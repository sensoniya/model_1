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DA\Veda\Veda_models\KiNESYS_IFP\SuppXLS\Trades\"/>
    </mc:Choice>
  </mc:AlternateContent>
  <xr:revisionPtr revIDLastSave="0" documentId="13_ncr:1_{3E18173D-B7F5-428D-9F73-90EE64A840D7}" xr6:coauthVersionLast="47" xr6:coauthVersionMax="47" xr10:uidLastSave="{00000000-0000-0000-0000-000000000000}"/>
  <bookViews>
    <workbookView xWindow="28680" yWindow="-120" windowWidth="29040" windowHeight="15840" activeTab="4" xr2:uid="{00000000-000D-0000-FFFF-FFFF00000000}"/>
  </bookViews>
  <sheets>
    <sheet name="Bi - markets" sheetId="8" r:id="rId1"/>
    <sheet name="InterReg_ELC" sheetId="11" r:id="rId2"/>
    <sheet name="InterReg_Gas" sheetId="12" r:id="rId3"/>
    <sheet name="InterReg_LNG" sheetId="13" r:id="rId4"/>
    <sheet name="InterReg_HH2" sheetId="14" r:id="rId5"/>
  </sheets>
  <definedNames>
    <definedName name="TradeLink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57" i="8" l="1"/>
  <c r="BA57" i="8"/>
  <c r="AX57" i="8"/>
  <c r="AU57" i="8"/>
  <c r="AR57" i="8"/>
  <c r="AO57" i="8"/>
  <c r="AL57" i="8"/>
  <c r="AI57" i="8"/>
  <c r="AF57" i="8"/>
  <c r="AC57" i="8"/>
  <c r="Z57" i="8"/>
  <c r="W57" i="8"/>
  <c r="T57" i="8"/>
  <c r="Q57" i="8"/>
  <c r="N57" i="8"/>
  <c r="K57" i="8"/>
  <c r="H57" i="8"/>
  <c r="E57" i="8"/>
  <c r="BD56" i="8"/>
  <c r="BA56" i="8"/>
  <c r="AX56" i="8"/>
  <c r="AU56" i="8"/>
  <c r="AR56" i="8"/>
  <c r="AO56" i="8"/>
  <c r="AL56" i="8"/>
  <c r="AI56" i="8"/>
  <c r="AF56" i="8"/>
  <c r="AC56" i="8"/>
  <c r="Z56" i="8"/>
  <c r="W56" i="8"/>
  <c r="T56" i="8"/>
  <c r="Q56" i="8"/>
  <c r="N56" i="8"/>
  <c r="K56" i="8"/>
  <c r="H56" i="8"/>
  <c r="E56" i="8"/>
  <c r="BD55" i="8"/>
  <c r="BA55" i="8"/>
  <c r="AX55" i="8"/>
  <c r="AU55" i="8"/>
  <c r="AR55" i="8"/>
  <c r="AO55" i="8"/>
  <c r="AL55" i="8"/>
  <c r="AI55" i="8"/>
  <c r="AF55" i="8"/>
  <c r="AC55" i="8"/>
  <c r="Z55" i="8"/>
  <c r="W55" i="8"/>
  <c r="T55" i="8"/>
  <c r="Q55" i="8"/>
  <c r="N55" i="8"/>
  <c r="K55" i="8"/>
  <c r="H55" i="8"/>
  <c r="E55" i="8"/>
  <c r="AX54" i="8"/>
  <c r="AO54" i="8"/>
  <c r="AL54" i="8"/>
  <c r="AI54" i="8"/>
  <c r="AF54" i="8"/>
  <c r="AC54" i="8"/>
  <c r="Z54" i="8"/>
  <c r="W54" i="8"/>
  <c r="T54" i="8"/>
  <c r="Q54" i="8"/>
  <c r="N54" i="8"/>
  <c r="K54" i="8"/>
  <c r="H54" i="8"/>
  <c r="E54" i="8"/>
  <c r="AX53" i="8"/>
  <c r="AO53" i="8"/>
  <c r="AL53" i="8"/>
  <c r="AI53" i="8"/>
  <c r="AF53" i="8"/>
  <c r="AC53" i="8"/>
  <c r="Z53" i="8"/>
  <c r="W53" i="8"/>
  <c r="T53" i="8"/>
  <c r="Q53" i="8"/>
  <c r="N53" i="8"/>
  <c r="K53" i="8"/>
  <c r="H53" i="8"/>
  <c r="E53" i="8"/>
  <c r="AX52" i="8"/>
  <c r="AO52" i="8"/>
  <c r="AL52" i="8"/>
  <c r="AI52" i="8"/>
  <c r="AF52" i="8"/>
  <c r="AC52" i="8"/>
  <c r="Z52" i="8"/>
  <c r="W52" i="8"/>
  <c r="T52" i="8"/>
  <c r="Q52" i="8"/>
  <c r="N52" i="8"/>
  <c r="K52" i="8"/>
  <c r="H52" i="8"/>
  <c r="E52" i="8"/>
  <c r="AX51" i="8"/>
  <c r="AO51" i="8"/>
  <c r="AL51" i="8"/>
  <c r="AI51" i="8"/>
  <c r="AF51" i="8"/>
  <c r="AC51" i="8"/>
  <c r="Z51" i="8"/>
  <c r="W51" i="8"/>
  <c r="T51" i="8"/>
  <c r="Q51" i="8"/>
  <c r="N51" i="8"/>
  <c r="K51" i="8"/>
  <c r="H51" i="8"/>
  <c r="E51" i="8"/>
  <c r="AX50" i="8"/>
  <c r="AO50" i="8"/>
  <c r="AL50" i="8"/>
  <c r="AI50" i="8"/>
  <c r="AF50" i="8"/>
  <c r="AC50" i="8"/>
  <c r="Z50" i="8"/>
  <c r="W50" i="8"/>
  <c r="T50" i="8"/>
  <c r="Q50" i="8"/>
  <c r="N50" i="8"/>
  <c r="K50" i="8"/>
  <c r="H50" i="8"/>
  <c r="E50" i="8"/>
  <c r="AX49" i="8"/>
  <c r="AO49" i="8"/>
  <c r="AL49" i="8"/>
  <c r="AI49" i="8"/>
  <c r="AF49" i="8"/>
  <c r="AC49" i="8"/>
  <c r="Z49" i="8"/>
  <c r="W49" i="8"/>
  <c r="T49" i="8"/>
  <c r="Q49" i="8"/>
  <c r="N49" i="8"/>
  <c r="K49" i="8"/>
  <c r="H49" i="8"/>
  <c r="E49" i="8"/>
  <c r="AX48" i="8"/>
  <c r="AO48" i="8"/>
  <c r="AL48" i="8"/>
  <c r="AI48" i="8"/>
  <c r="AF48" i="8"/>
  <c r="AC48" i="8"/>
  <c r="Z48" i="8"/>
  <c r="W48" i="8"/>
  <c r="T48" i="8"/>
  <c r="Q48" i="8"/>
  <c r="N48" i="8"/>
  <c r="K48" i="8"/>
  <c r="H48" i="8"/>
  <c r="E48" i="8"/>
  <c r="AX47" i="8"/>
  <c r="AO47" i="8"/>
  <c r="AL47" i="8"/>
  <c r="AI47" i="8"/>
  <c r="AF47" i="8"/>
  <c r="AC47" i="8"/>
  <c r="Z47" i="8"/>
  <c r="W47" i="8"/>
  <c r="T47" i="8"/>
  <c r="Q47" i="8"/>
  <c r="N47" i="8"/>
  <c r="K47" i="8"/>
  <c r="H47" i="8"/>
  <c r="E47" i="8"/>
  <c r="AX46" i="8"/>
  <c r="AO46" i="8"/>
  <c r="AL46" i="8"/>
  <c r="AI46" i="8"/>
  <c r="AF46" i="8"/>
  <c r="AC46" i="8"/>
  <c r="Z46" i="8"/>
  <c r="W46" i="8"/>
  <c r="T46" i="8"/>
  <c r="Q46" i="8"/>
  <c r="N46" i="8"/>
  <c r="K46" i="8"/>
  <c r="H46" i="8"/>
  <c r="E46" i="8"/>
  <c r="AX45" i="8"/>
  <c r="AO45" i="8"/>
  <c r="AL45" i="8"/>
  <c r="AI45" i="8"/>
  <c r="AF45" i="8"/>
  <c r="AC45" i="8"/>
  <c r="Z45" i="8"/>
  <c r="W45" i="8"/>
  <c r="T45" i="8"/>
  <c r="Q45" i="8"/>
  <c r="N45" i="8"/>
  <c r="K45" i="8"/>
  <c r="H45" i="8"/>
  <c r="E45" i="8"/>
  <c r="AX44" i="8"/>
  <c r="AO44" i="8"/>
  <c r="AL44" i="8"/>
  <c r="AI44" i="8"/>
  <c r="AF44" i="8"/>
  <c r="AC44" i="8"/>
  <c r="Z44" i="8"/>
  <c r="W44" i="8"/>
  <c r="T44" i="8"/>
  <c r="Q44" i="8"/>
  <c r="N44" i="8"/>
  <c r="K44" i="8"/>
  <c r="H44" i="8"/>
  <c r="E44" i="8"/>
  <c r="AX43" i="8"/>
  <c r="AO43" i="8"/>
  <c r="AL43" i="8"/>
  <c r="AI43" i="8"/>
  <c r="AF43" i="8"/>
  <c r="AC43" i="8"/>
  <c r="Z43" i="8"/>
  <c r="W43" i="8"/>
  <c r="T43" i="8"/>
  <c r="Q43" i="8"/>
  <c r="N43" i="8"/>
  <c r="K43" i="8"/>
  <c r="H43" i="8"/>
  <c r="E43" i="8"/>
  <c r="AX42" i="8"/>
  <c r="AO42" i="8"/>
  <c r="AL42" i="8"/>
  <c r="AI42" i="8"/>
  <c r="AF42" i="8"/>
  <c r="AC42" i="8"/>
  <c r="Z42" i="8"/>
  <c r="W42" i="8"/>
  <c r="T42" i="8"/>
  <c r="Q42" i="8"/>
  <c r="N42" i="8"/>
  <c r="K42" i="8"/>
  <c r="H42" i="8"/>
  <c r="E42" i="8"/>
  <c r="AX41" i="8"/>
  <c r="AO41" i="8"/>
  <c r="AL41" i="8"/>
  <c r="AI41" i="8"/>
  <c r="AF41" i="8"/>
  <c r="AC41" i="8"/>
  <c r="Z41" i="8"/>
  <c r="W41" i="8"/>
  <c r="T41" i="8"/>
  <c r="Q41" i="8"/>
  <c r="N41" i="8"/>
  <c r="K41" i="8"/>
  <c r="H41" i="8"/>
  <c r="E41" i="8"/>
  <c r="AR21" i="8"/>
  <c r="AO21" i="8"/>
  <c r="AL21" i="8"/>
  <c r="AI21" i="8"/>
  <c r="AF21" i="8"/>
  <c r="AC21" i="8"/>
  <c r="Z21" i="8"/>
  <c r="W21" i="8"/>
  <c r="T21" i="8"/>
  <c r="Q21" i="8"/>
  <c r="N21" i="8"/>
  <c r="K21" i="8"/>
  <c r="H21" i="8"/>
  <c r="E21" i="8"/>
  <c r="AR20" i="8"/>
  <c r="AO20" i="8"/>
  <c r="AL20" i="8"/>
  <c r="AI20" i="8"/>
  <c r="AF20" i="8"/>
  <c r="AC20" i="8"/>
  <c r="Z20" i="8"/>
  <c r="W20" i="8"/>
  <c r="T20" i="8"/>
  <c r="Q20" i="8"/>
  <c r="N20" i="8"/>
  <c r="K20" i="8"/>
  <c r="H20" i="8"/>
  <c r="E20" i="8"/>
  <c r="AR19" i="8"/>
  <c r="AO19" i="8"/>
  <c r="AL19" i="8"/>
  <c r="AI19" i="8"/>
  <c r="AF19" i="8"/>
  <c r="AC19" i="8"/>
  <c r="Z19" i="8"/>
  <c r="W19" i="8"/>
  <c r="T19" i="8"/>
  <c r="Q19" i="8"/>
  <c r="N19" i="8"/>
  <c r="K19" i="8"/>
  <c r="H19" i="8"/>
  <c r="E19" i="8"/>
  <c r="AR18" i="8"/>
  <c r="AO18" i="8"/>
  <c r="AL18" i="8"/>
  <c r="AI18" i="8"/>
  <c r="AF18" i="8"/>
  <c r="AC18" i="8"/>
  <c r="Z18" i="8"/>
  <c r="W18" i="8"/>
  <c r="T18" i="8"/>
  <c r="Q18" i="8"/>
  <c r="N18" i="8"/>
  <c r="K18" i="8"/>
  <c r="H18" i="8"/>
  <c r="E18" i="8"/>
  <c r="AR17" i="8"/>
  <c r="AO17" i="8"/>
  <c r="AL17" i="8"/>
  <c r="AI17" i="8"/>
  <c r="AF17" i="8"/>
  <c r="AC17" i="8"/>
  <c r="Z17" i="8"/>
  <c r="W17" i="8"/>
  <c r="T17" i="8"/>
  <c r="Q17" i="8"/>
  <c r="N17" i="8"/>
  <c r="K17" i="8"/>
  <c r="H17" i="8"/>
  <c r="E17" i="8"/>
  <c r="AR16" i="8"/>
  <c r="AO16" i="8"/>
  <c r="AL16" i="8"/>
  <c r="AI16" i="8"/>
  <c r="AF16" i="8"/>
  <c r="AC16" i="8"/>
  <c r="Z16" i="8"/>
  <c r="W16" i="8"/>
  <c r="T16" i="8"/>
  <c r="Q16" i="8"/>
  <c r="N16" i="8"/>
  <c r="K16" i="8"/>
  <c r="H16" i="8"/>
  <c r="E16" i="8"/>
  <c r="AR15" i="8"/>
  <c r="AO15" i="8"/>
  <c r="AL15" i="8"/>
  <c r="AI15" i="8"/>
  <c r="AF15" i="8"/>
  <c r="AC15" i="8"/>
  <c r="Z15" i="8"/>
  <c r="W15" i="8"/>
  <c r="T15" i="8"/>
  <c r="Q15" i="8"/>
  <c r="N15" i="8"/>
  <c r="K15" i="8"/>
  <c r="H15" i="8"/>
  <c r="E15" i="8"/>
  <c r="AR14" i="8"/>
  <c r="AO14" i="8"/>
  <c r="AL14" i="8"/>
  <c r="AI14" i="8"/>
  <c r="AF14" i="8"/>
  <c r="AC14" i="8"/>
  <c r="Z14" i="8"/>
  <c r="W14" i="8"/>
  <c r="T14" i="8"/>
  <c r="Q14" i="8"/>
  <c r="N14" i="8"/>
  <c r="K14" i="8"/>
  <c r="H14" i="8"/>
  <c r="E14" i="8"/>
  <c r="AR13" i="8"/>
  <c r="AO13" i="8"/>
  <c r="AL13" i="8"/>
  <c r="AI13" i="8"/>
  <c r="AF13" i="8"/>
  <c r="AC13" i="8"/>
  <c r="Z13" i="8"/>
  <c r="W13" i="8"/>
  <c r="T13" i="8"/>
  <c r="Q13" i="8"/>
  <c r="N13" i="8"/>
  <c r="K13" i="8"/>
  <c r="H13" i="8"/>
  <c r="E13" i="8"/>
  <c r="AR12" i="8"/>
  <c r="AO12" i="8"/>
  <c r="AL12" i="8"/>
  <c r="AI12" i="8"/>
  <c r="AF12" i="8"/>
  <c r="AC12" i="8"/>
  <c r="Z12" i="8"/>
  <c r="W12" i="8"/>
  <c r="T12" i="8"/>
  <c r="Q12" i="8"/>
  <c r="N12" i="8"/>
  <c r="K12" i="8"/>
  <c r="H12" i="8"/>
  <c r="E12" i="8"/>
  <c r="AR11" i="8"/>
  <c r="AO11" i="8"/>
  <c r="AL11" i="8"/>
  <c r="AI11" i="8"/>
  <c r="AF11" i="8"/>
  <c r="AC11" i="8"/>
  <c r="Z11" i="8"/>
  <c r="W11" i="8"/>
  <c r="T11" i="8"/>
  <c r="Q11" i="8"/>
  <c r="N11" i="8"/>
  <c r="K11" i="8"/>
  <c r="H11" i="8"/>
  <c r="E11" i="8"/>
  <c r="AR10" i="8"/>
  <c r="AO10" i="8"/>
  <c r="AL10" i="8"/>
  <c r="AI10" i="8"/>
  <c r="AF10" i="8"/>
  <c r="AC10" i="8"/>
  <c r="Z10" i="8"/>
  <c r="W10" i="8"/>
  <c r="T10" i="8"/>
  <c r="Q10" i="8"/>
  <c r="N10" i="8"/>
  <c r="K10" i="8"/>
  <c r="H10" i="8"/>
  <c r="E10" i="8"/>
  <c r="AR9" i="8"/>
  <c r="AO9" i="8"/>
  <c r="AL9" i="8"/>
  <c r="AI9" i="8"/>
  <c r="AF9" i="8"/>
  <c r="AC9" i="8"/>
  <c r="Z9" i="8"/>
  <c r="W9" i="8"/>
  <c r="T9" i="8"/>
  <c r="Q9" i="8"/>
  <c r="N9" i="8"/>
  <c r="K9" i="8"/>
  <c r="H9" i="8"/>
  <c r="E9" i="8"/>
  <c r="AR8" i="8"/>
  <c r="AO8" i="8"/>
  <c r="AL8" i="8"/>
  <c r="AI8" i="8"/>
  <c r="AF8" i="8"/>
  <c r="AC8" i="8"/>
  <c r="Z8" i="8"/>
  <c r="W8" i="8"/>
  <c r="T8" i="8"/>
  <c r="Q8" i="8"/>
  <c r="N8" i="8"/>
  <c r="K8" i="8"/>
  <c r="H8" i="8"/>
  <c r="E8" i="8"/>
  <c r="AR7" i="8"/>
  <c r="AO7" i="8"/>
  <c r="AL7" i="8"/>
  <c r="AI7" i="8"/>
  <c r="AF7" i="8"/>
  <c r="AC7" i="8"/>
  <c r="Z7" i="8"/>
  <c r="W7" i="8"/>
  <c r="T7" i="8"/>
  <c r="Q7" i="8"/>
  <c r="N7" i="8"/>
  <c r="K7" i="8"/>
  <c r="H7" i="8"/>
  <c r="E7" i="8"/>
  <c r="AR6" i="8"/>
  <c r="AO6" i="8"/>
  <c r="AL6" i="8"/>
  <c r="AI6" i="8"/>
  <c r="AF6" i="8"/>
  <c r="AC6" i="8"/>
  <c r="Z6" i="8"/>
  <c r="W6" i="8"/>
  <c r="T6" i="8"/>
  <c r="Q6" i="8"/>
  <c r="N6" i="8"/>
  <c r="K6" i="8"/>
  <c r="H6" i="8"/>
  <c r="E6" i="8"/>
  <c r="AR5" i="8"/>
  <c r="AO5" i="8"/>
  <c r="AL5" i="8"/>
  <c r="AI5" i="8"/>
  <c r="AF5" i="8"/>
  <c r="AC5" i="8"/>
  <c r="Z5" i="8"/>
  <c r="W5" i="8"/>
  <c r="T5" i="8"/>
  <c r="Q5" i="8"/>
  <c r="N5" i="8"/>
  <c r="K5" i="8"/>
  <c r="H5" i="8"/>
  <c r="E5" i="8"/>
  <c r="AW40" i="8"/>
  <c r="AN40" i="8"/>
  <c r="AK40" i="8"/>
  <c r="AH40" i="8"/>
  <c r="AE40" i="8"/>
  <c r="AB40" i="8"/>
  <c r="Y40" i="8"/>
  <c r="V40" i="8"/>
  <c r="S40" i="8"/>
  <c r="P40" i="8"/>
  <c r="M40" i="8"/>
  <c r="J40" i="8"/>
  <c r="G40" i="8"/>
  <c r="D40" i="8"/>
  <c r="AQ4" i="8"/>
  <c r="AN4" i="8"/>
  <c r="AK4" i="8"/>
  <c r="AH4" i="8"/>
  <c r="AE4" i="8"/>
  <c r="AB4" i="8"/>
  <c r="Y4" i="8"/>
  <c r="V4" i="8"/>
  <c r="S4" i="8"/>
  <c r="P4" i="8"/>
  <c r="M4" i="8"/>
  <c r="J4" i="8"/>
  <c r="G4" i="8"/>
  <c r="D4" i="8"/>
  <c r="BC70" i="8"/>
  <c r="AZ70" i="8"/>
  <c r="AW70" i="8"/>
  <c r="BC69" i="8"/>
  <c r="AZ69" i="8"/>
  <c r="AW69" i="8"/>
  <c r="BC68" i="8"/>
  <c r="AZ68" i="8"/>
  <c r="AW68" i="8"/>
  <c r="BC67" i="8"/>
  <c r="AZ67" i="8"/>
  <c r="AW67" i="8"/>
  <c r="BC66" i="8"/>
  <c r="AZ66" i="8"/>
  <c r="AW66" i="8"/>
  <c r="BC65" i="8"/>
  <c r="AZ65" i="8"/>
  <c r="AW65" i="8"/>
  <c r="BC64" i="8"/>
  <c r="AZ64" i="8"/>
  <c r="AW64" i="8"/>
  <c r="BC63" i="8"/>
  <c r="AZ63" i="8"/>
  <c r="AW63" i="8"/>
  <c r="BC62" i="8"/>
  <c r="AZ62" i="8"/>
  <c r="AW62" i="8"/>
  <c r="BC61" i="8"/>
  <c r="AZ61" i="8"/>
  <c r="AW61" i="8"/>
  <c r="BC60" i="8"/>
  <c r="AZ60" i="8"/>
  <c r="AW60" i="8"/>
  <c r="BC59" i="8"/>
  <c r="AZ59" i="8"/>
  <c r="AW59" i="8"/>
  <c r="BC58" i="8"/>
  <c r="AZ58" i="8"/>
  <c r="AW58" i="8"/>
  <c r="BC57" i="8"/>
  <c r="AZ57" i="8"/>
  <c r="AW57" i="8"/>
  <c r="BC56" i="8"/>
  <c r="AZ56" i="8"/>
  <c r="AW56" i="8"/>
  <c r="BC55" i="8"/>
  <c r="AZ55" i="8"/>
  <c r="AW55" i="8"/>
  <c r="BC54" i="8"/>
  <c r="AZ54" i="8"/>
  <c r="AW54" i="8"/>
  <c r="BC53" i="8"/>
  <c r="AZ53" i="8"/>
  <c r="AW53" i="8"/>
  <c r="BC52" i="8"/>
  <c r="BA52" i="8"/>
  <c r="AZ52" i="8"/>
  <c r="AW52" i="8"/>
  <c r="BC51" i="8"/>
  <c r="AZ51" i="8"/>
  <c r="AW51" i="8"/>
  <c r="BC50" i="8"/>
  <c r="AZ50" i="8"/>
  <c r="AW50" i="8"/>
  <c r="BC49" i="8"/>
  <c r="AZ49" i="8"/>
  <c r="AW49" i="8"/>
  <c r="BC48" i="8"/>
  <c r="AZ48" i="8"/>
  <c r="AW48" i="8"/>
  <c r="BC47" i="8"/>
  <c r="AZ47" i="8"/>
  <c r="AW47" i="8"/>
  <c r="BC46" i="8"/>
  <c r="AZ46" i="8"/>
  <c r="AW46" i="8"/>
  <c r="BC45" i="8"/>
  <c r="AZ45" i="8"/>
  <c r="AW45" i="8"/>
  <c r="BC44" i="8"/>
  <c r="BA44" i="8"/>
  <c r="AZ44" i="8"/>
  <c r="AW44" i="8"/>
  <c r="BC43" i="8"/>
  <c r="AZ43" i="8"/>
  <c r="AW43" i="8"/>
  <c r="BC42" i="8"/>
  <c r="AZ42" i="8"/>
  <c r="AW42" i="8"/>
  <c r="BC41" i="8"/>
  <c r="AZ41" i="8"/>
  <c r="AW41" i="8"/>
  <c r="AZ37" i="8"/>
  <c r="BA58" i="8" s="1"/>
  <c r="BA59" i="8" s="1"/>
  <c r="BA60" i="8" s="1"/>
  <c r="BA61" i="8" s="1"/>
  <c r="BA62" i="8" s="1"/>
  <c r="BA63" i="8" s="1"/>
  <c r="BA64" i="8" s="1"/>
  <c r="BA65" i="8" s="1"/>
  <c r="BA66" i="8" s="1"/>
  <c r="BA67" i="8" s="1"/>
  <c r="BA68" i="8" s="1"/>
  <c r="BA69" i="8" s="1"/>
  <c r="BA70" i="8" s="1"/>
  <c r="AW37" i="8"/>
  <c r="E22" i="8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D66" i="8"/>
  <c r="V66" i="8" s="1"/>
  <c r="D67" i="8"/>
  <c r="AH67" i="8" s="1"/>
  <c r="D68" i="8"/>
  <c r="AT68" i="8" s="1"/>
  <c r="D69" i="8"/>
  <c r="AH69" i="8" s="1"/>
  <c r="D70" i="8"/>
  <c r="AT70" i="8" s="1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2" i="8"/>
  <c r="Y23" i="8"/>
  <c r="Y24" i="8"/>
  <c r="Y25" i="8"/>
  <c r="Y26" i="8"/>
  <c r="Y27" i="8"/>
  <c r="Y28" i="8"/>
  <c r="Y29" i="8"/>
  <c r="Y30" i="8"/>
  <c r="Y31" i="8"/>
  <c r="Y32" i="8"/>
  <c r="Y33" i="8"/>
  <c r="Y3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34" i="8"/>
  <c r="AE5" i="8"/>
  <c r="AE6" i="8"/>
  <c r="AE7" i="8"/>
  <c r="AE8" i="8"/>
  <c r="AE9" i="8"/>
  <c r="AE10" i="8"/>
  <c r="AE11" i="8"/>
  <c r="AE12" i="8"/>
  <c r="AE13" i="8"/>
  <c r="AE14" i="8"/>
  <c r="AE15" i="8"/>
  <c r="AE16" i="8"/>
  <c r="AE17" i="8"/>
  <c r="AE18" i="8"/>
  <c r="AE19" i="8"/>
  <c r="AE20" i="8"/>
  <c r="AE21" i="8"/>
  <c r="AE22" i="8"/>
  <c r="AE23" i="8"/>
  <c r="AE24" i="8"/>
  <c r="AE25" i="8"/>
  <c r="AE26" i="8"/>
  <c r="AE27" i="8"/>
  <c r="AE28" i="8"/>
  <c r="AE29" i="8"/>
  <c r="AE30" i="8"/>
  <c r="AE31" i="8"/>
  <c r="AE32" i="8"/>
  <c r="AE33" i="8"/>
  <c r="AE34" i="8"/>
  <c r="AH5" i="8"/>
  <c r="AH6" i="8"/>
  <c r="AH7" i="8"/>
  <c r="AH8" i="8"/>
  <c r="AH9" i="8"/>
  <c r="AH10" i="8"/>
  <c r="AH11" i="8"/>
  <c r="AH12" i="8"/>
  <c r="AH13" i="8"/>
  <c r="AH14" i="8"/>
  <c r="AH15" i="8"/>
  <c r="AH16" i="8"/>
  <c r="AH17" i="8"/>
  <c r="AH18" i="8"/>
  <c r="AH19" i="8"/>
  <c r="AH20" i="8"/>
  <c r="AH21" i="8"/>
  <c r="AH22" i="8"/>
  <c r="AH23" i="8"/>
  <c r="AH24" i="8"/>
  <c r="AH25" i="8"/>
  <c r="AH26" i="8"/>
  <c r="AH27" i="8"/>
  <c r="AH28" i="8"/>
  <c r="AH29" i="8"/>
  <c r="AH30" i="8"/>
  <c r="AH31" i="8"/>
  <c r="AH32" i="8"/>
  <c r="AH33" i="8"/>
  <c r="AH34" i="8"/>
  <c r="AK5" i="8"/>
  <c r="AK6" i="8"/>
  <c r="AK7" i="8"/>
  <c r="AK8" i="8"/>
  <c r="AK9" i="8"/>
  <c r="AK10" i="8"/>
  <c r="AK11" i="8"/>
  <c r="AK12" i="8"/>
  <c r="AK13" i="8"/>
  <c r="AK14" i="8"/>
  <c r="AK15" i="8"/>
  <c r="AK16" i="8"/>
  <c r="AK17" i="8"/>
  <c r="AK18" i="8"/>
  <c r="AK19" i="8"/>
  <c r="AK20" i="8"/>
  <c r="AK21" i="8"/>
  <c r="AK22" i="8"/>
  <c r="AK23" i="8"/>
  <c r="AK24" i="8"/>
  <c r="AK25" i="8"/>
  <c r="AK26" i="8"/>
  <c r="AK27" i="8"/>
  <c r="AK28" i="8"/>
  <c r="AK29" i="8"/>
  <c r="AK30" i="8"/>
  <c r="AK31" i="8"/>
  <c r="AK32" i="8"/>
  <c r="AK33" i="8"/>
  <c r="AK34" i="8"/>
  <c r="AN5" i="8"/>
  <c r="AN6" i="8"/>
  <c r="AN7" i="8"/>
  <c r="AN8" i="8"/>
  <c r="AN9" i="8"/>
  <c r="AN10" i="8"/>
  <c r="AN11" i="8"/>
  <c r="AN12" i="8"/>
  <c r="AN13" i="8"/>
  <c r="AN14" i="8"/>
  <c r="AN15" i="8"/>
  <c r="AN16" i="8"/>
  <c r="AN17" i="8"/>
  <c r="AN18" i="8"/>
  <c r="AN19" i="8"/>
  <c r="AN20" i="8"/>
  <c r="AN21" i="8"/>
  <c r="AN22" i="8"/>
  <c r="AN23" i="8"/>
  <c r="AN24" i="8"/>
  <c r="AN25" i="8"/>
  <c r="AN26" i="8"/>
  <c r="AN27" i="8"/>
  <c r="AN28" i="8"/>
  <c r="AN29" i="8"/>
  <c r="AN30" i="8"/>
  <c r="AN31" i="8"/>
  <c r="AN32" i="8"/>
  <c r="AN33" i="8"/>
  <c r="AN34" i="8"/>
  <c r="AQ5" i="8"/>
  <c r="AQ6" i="8"/>
  <c r="AQ7" i="8"/>
  <c r="AQ8" i="8"/>
  <c r="AQ9" i="8"/>
  <c r="AQ10" i="8"/>
  <c r="AQ11" i="8"/>
  <c r="AQ12" i="8"/>
  <c r="AQ13" i="8"/>
  <c r="AQ14" i="8"/>
  <c r="AQ15" i="8"/>
  <c r="AQ16" i="8"/>
  <c r="AQ17" i="8"/>
  <c r="AQ18" i="8"/>
  <c r="AQ19" i="8"/>
  <c r="AQ20" i="8"/>
  <c r="AQ21" i="8"/>
  <c r="AQ22" i="8"/>
  <c r="AQ23" i="8"/>
  <c r="AQ24" i="8"/>
  <c r="AQ25" i="8"/>
  <c r="AQ26" i="8"/>
  <c r="AQ27" i="8"/>
  <c r="AQ28" i="8"/>
  <c r="AQ29" i="8"/>
  <c r="AQ30" i="8"/>
  <c r="AQ31" i="8"/>
  <c r="AQ32" i="8"/>
  <c r="AQ33" i="8"/>
  <c r="AQ34" i="8"/>
  <c r="D41" i="8"/>
  <c r="M41" i="8" s="1"/>
  <c r="G5" i="8"/>
  <c r="D58" i="8"/>
  <c r="AH58" i="8" s="1"/>
  <c r="D59" i="8"/>
  <c r="AK59" i="8" s="1"/>
  <c r="D60" i="8"/>
  <c r="AN60" i="8" s="1"/>
  <c r="D61" i="8"/>
  <c r="AQ61" i="8" s="1"/>
  <c r="D62" i="8"/>
  <c r="AN62" i="8" s="1"/>
  <c r="D63" i="8"/>
  <c r="D64" i="8"/>
  <c r="AB64" i="8" s="1"/>
  <c r="D65" i="8"/>
  <c r="AK65" i="8" s="1"/>
  <c r="AH70" i="8"/>
  <c r="AH62" i="8"/>
  <c r="E58" i="8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D56" i="8"/>
  <c r="P56" i="8" s="1"/>
  <c r="D57" i="8"/>
  <c r="M57" i="8" s="1"/>
  <c r="D42" i="8"/>
  <c r="J42" i="8" s="1"/>
  <c r="D43" i="8"/>
  <c r="AT43" i="8" s="1"/>
  <c r="D44" i="8"/>
  <c r="AN44" i="8" s="1"/>
  <c r="D45" i="8"/>
  <c r="AT45" i="8" s="1"/>
  <c r="D46" i="8"/>
  <c r="AT46" i="8" s="1"/>
  <c r="D47" i="8"/>
  <c r="AQ47" i="8" s="1"/>
  <c r="D48" i="8"/>
  <c r="AN48" i="8" s="1"/>
  <c r="D49" i="8"/>
  <c r="G49" i="8" s="1"/>
  <c r="D50" i="8"/>
  <c r="AN50" i="8" s="1"/>
  <c r="D51" i="8"/>
  <c r="AN51" i="8" s="1"/>
  <c r="D52" i="8"/>
  <c r="AH52" i="8" s="1"/>
  <c r="D53" i="8"/>
  <c r="AH53" i="8" s="1"/>
  <c r="D54" i="8"/>
  <c r="AQ54" i="8" s="1"/>
  <c r="D55" i="8"/>
  <c r="AB55" i="8" s="1"/>
  <c r="G1" i="8"/>
  <c r="H22" i="8" l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BA47" i="8"/>
  <c r="BC37" i="8"/>
  <c r="BA42" i="8"/>
  <c r="BA50" i="8"/>
  <c r="BA45" i="8"/>
  <c r="BA53" i="8"/>
  <c r="AW39" i="8"/>
  <c r="BA48" i="8"/>
  <c r="AZ40" i="8"/>
  <c r="AZ39" i="8" s="1"/>
  <c r="BA43" i="8"/>
  <c r="BA51" i="8"/>
  <c r="BA46" i="8"/>
  <c r="BA54" i="8"/>
  <c r="AX58" i="8"/>
  <c r="AX59" i="8" s="1"/>
  <c r="AX60" i="8" s="1"/>
  <c r="AX61" i="8" s="1"/>
  <c r="AX62" i="8" s="1"/>
  <c r="AX63" i="8" s="1"/>
  <c r="AX64" i="8" s="1"/>
  <c r="AX65" i="8" s="1"/>
  <c r="AX66" i="8" s="1"/>
  <c r="AX67" i="8" s="1"/>
  <c r="AX68" i="8" s="1"/>
  <c r="AX69" i="8" s="1"/>
  <c r="AX70" i="8" s="1"/>
  <c r="BA41" i="8"/>
  <c r="BA49" i="8"/>
  <c r="AK58" i="8"/>
  <c r="J64" i="8"/>
  <c r="M67" i="8"/>
  <c r="S67" i="8"/>
  <c r="AK67" i="8"/>
  <c r="J68" i="8"/>
  <c r="M68" i="8"/>
  <c r="S68" i="8"/>
  <c r="V69" i="8"/>
  <c r="AE69" i="8"/>
  <c r="M70" i="8"/>
  <c r="P70" i="8"/>
  <c r="AB70" i="8"/>
  <c r="AE70" i="8"/>
  <c r="AK70" i="8"/>
  <c r="AN70" i="8"/>
  <c r="AQ70" i="8"/>
  <c r="AT69" i="8"/>
  <c r="AB69" i="8"/>
  <c r="Y69" i="8"/>
  <c r="S69" i="8"/>
  <c r="AN69" i="8"/>
  <c r="AQ69" i="8"/>
  <c r="G69" i="8"/>
  <c r="AK69" i="8"/>
  <c r="S63" i="8"/>
  <c r="AQ63" i="8"/>
  <c r="V64" i="8"/>
  <c r="AE64" i="8"/>
  <c r="V68" i="8"/>
  <c r="Y68" i="8"/>
  <c r="AB68" i="8"/>
  <c r="AE68" i="8"/>
  <c r="AH68" i="8"/>
  <c r="G64" i="8"/>
  <c r="AQ68" i="8"/>
  <c r="Y64" i="8"/>
  <c r="P68" i="8"/>
  <c r="AT49" i="8"/>
  <c r="AT50" i="8"/>
  <c r="AT51" i="8"/>
  <c r="AT52" i="8"/>
  <c r="AT53" i="8"/>
  <c r="AT54" i="8"/>
  <c r="AT55" i="8"/>
  <c r="AT56" i="8"/>
  <c r="M58" i="8"/>
  <c r="AT41" i="8"/>
  <c r="AT57" i="8"/>
  <c r="AH61" i="8"/>
  <c r="AN61" i="8"/>
  <c r="AT42" i="8"/>
  <c r="AT58" i="8"/>
  <c r="G62" i="8"/>
  <c r="AT59" i="8"/>
  <c r="AT60" i="8"/>
  <c r="AT61" i="8"/>
  <c r="AT44" i="8"/>
  <c r="AT62" i="8"/>
  <c r="AT63" i="8"/>
  <c r="AT64" i="8"/>
  <c r="AT65" i="8"/>
  <c r="AT66" i="8"/>
  <c r="AH64" i="8"/>
  <c r="AT67" i="8"/>
  <c r="AT47" i="8"/>
  <c r="AT48" i="8"/>
  <c r="J61" i="8"/>
  <c r="J67" i="8"/>
  <c r="P67" i="8"/>
  <c r="J62" i="8"/>
  <c r="V67" i="8"/>
  <c r="AQ62" i="8"/>
  <c r="AB67" i="8"/>
  <c r="G67" i="8"/>
  <c r="G63" i="8"/>
  <c r="AE67" i="8"/>
  <c r="Y67" i="8"/>
  <c r="AK63" i="8"/>
  <c r="AH60" i="8"/>
  <c r="G61" i="8"/>
  <c r="M63" i="8"/>
  <c r="P61" i="8"/>
  <c r="P63" i="8"/>
  <c r="S61" i="8"/>
  <c r="V63" i="8"/>
  <c r="V61" i="8"/>
  <c r="Y63" i="8"/>
  <c r="M61" i="8"/>
  <c r="Y61" i="8"/>
  <c r="AB61" i="8"/>
  <c r="AE63" i="8"/>
  <c r="AB63" i="8"/>
  <c r="AE61" i="8"/>
  <c r="AH63" i="8"/>
  <c r="AK61" i="8"/>
  <c r="AN63" i="8"/>
  <c r="P65" i="8"/>
  <c r="AE65" i="8"/>
  <c r="AN65" i="8"/>
  <c r="Y66" i="8"/>
  <c r="AN59" i="8"/>
  <c r="AQ59" i="8"/>
  <c r="AQ60" i="8"/>
  <c r="M62" i="8"/>
  <c r="S58" i="8"/>
  <c r="AQ58" i="8"/>
  <c r="P62" i="8"/>
  <c r="P58" i="8"/>
  <c r="S62" i="8"/>
  <c r="V58" i="8"/>
  <c r="G59" i="8"/>
  <c r="V62" i="8"/>
  <c r="AN58" i="8"/>
  <c r="M47" i="8"/>
  <c r="J59" i="8"/>
  <c r="Y62" i="8"/>
  <c r="P43" i="8"/>
  <c r="Y58" i="8"/>
  <c r="AB62" i="8"/>
  <c r="S45" i="8"/>
  <c r="AE62" i="8"/>
  <c r="S46" i="8"/>
  <c r="AB58" i="8"/>
  <c r="V59" i="8"/>
  <c r="V57" i="8"/>
  <c r="AK62" i="8"/>
  <c r="G58" i="8"/>
  <c r="AE58" i="8"/>
  <c r="AH59" i="8"/>
  <c r="J58" i="8"/>
  <c r="AN66" i="8"/>
  <c r="AQ66" i="8"/>
  <c r="AB66" i="8"/>
  <c r="G66" i="8"/>
  <c r="J66" i="8"/>
  <c r="AE66" i="8"/>
  <c r="M66" i="8"/>
  <c r="AK66" i="8"/>
  <c r="P66" i="8"/>
  <c r="S66" i="8"/>
  <c r="AK64" i="8"/>
  <c r="G60" i="8"/>
  <c r="AN64" i="8"/>
  <c r="M59" i="8"/>
  <c r="J60" i="8"/>
  <c r="AQ64" i="8"/>
  <c r="M60" i="8"/>
  <c r="G65" i="8"/>
  <c r="AQ65" i="8"/>
  <c r="P59" i="8"/>
  <c r="P60" i="8"/>
  <c r="J65" i="8"/>
  <c r="AK68" i="8"/>
  <c r="G70" i="8"/>
  <c r="S59" i="8"/>
  <c r="S60" i="8"/>
  <c r="M65" i="8"/>
  <c r="AN68" i="8"/>
  <c r="J70" i="8"/>
  <c r="S65" i="8"/>
  <c r="Y59" i="8"/>
  <c r="Y60" i="8"/>
  <c r="M64" i="8"/>
  <c r="V65" i="8"/>
  <c r="AN67" i="8"/>
  <c r="J69" i="8"/>
  <c r="S70" i="8"/>
  <c r="AB59" i="8"/>
  <c r="AB60" i="8"/>
  <c r="P64" i="8"/>
  <c r="Y65" i="8"/>
  <c r="AH66" i="8"/>
  <c r="AQ67" i="8"/>
  <c r="M69" i="8"/>
  <c r="V70" i="8"/>
  <c r="V60" i="8"/>
  <c r="AE59" i="8"/>
  <c r="AE60" i="8"/>
  <c r="J63" i="8"/>
  <c r="S64" i="8"/>
  <c r="AB65" i="8"/>
  <c r="G68" i="8"/>
  <c r="P69" i="8"/>
  <c r="Y70" i="8"/>
  <c r="AK60" i="8"/>
  <c r="AH65" i="8"/>
  <c r="Y43" i="8"/>
  <c r="Y44" i="8"/>
  <c r="AE41" i="8"/>
  <c r="AE44" i="8"/>
  <c r="AE46" i="8"/>
  <c r="AH44" i="8"/>
  <c r="AK46" i="8"/>
  <c r="G41" i="8"/>
  <c r="AK56" i="8"/>
  <c r="J44" i="8"/>
  <c r="AN41" i="8"/>
  <c r="M43" i="8"/>
  <c r="AQ44" i="8"/>
  <c r="M46" i="8"/>
  <c r="G55" i="8"/>
  <c r="M48" i="8"/>
  <c r="S47" i="8"/>
  <c r="Y45" i="8"/>
  <c r="AE56" i="8"/>
  <c r="AN45" i="8"/>
  <c r="G52" i="8"/>
  <c r="M56" i="8"/>
  <c r="S56" i="8"/>
  <c r="Y56" i="8"/>
  <c r="AE57" i="8"/>
  <c r="AN56" i="8"/>
  <c r="J41" i="8"/>
  <c r="P41" i="8"/>
  <c r="S57" i="8"/>
  <c r="Y57" i="8"/>
  <c r="AH41" i="8"/>
  <c r="AQ41" i="8"/>
  <c r="J43" i="8"/>
  <c r="P42" i="8"/>
  <c r="V41" i="8"/>
  <c r="AB41" i="8"/>
  <c r="AH42" i="8"/>
  <c r="AQ42" i="8"/>
  <c r="J45" i="8"/>
  <c r="P44" i="8"/>
  <c r="V43" i="8"/>
  <c r="AB43" i="8"/>
  <c r="AH47" i="8"/>
  <c r="AQ46" i="8"/>
  <c r="V42" i="8"/>
  <c r="J46" i="8"/>
  <c r="P45" i="8"/>
  <c r="V44" i="8"/>
  <c r="AB44" i="8"/>
  <c r="AH56" i="8"/>
  <c r="AQ48" i="8"/>
  <c r="J47" i="8"/>
  <c r="P46" i="8"/>
  <c r="V45" i="8"/>
  <c r="AB53" i="8"/>
  <c r="AH57" i="8"/>
  <c r="AQ49" i="8"/>
  <c r="AB42" i="8"/>
  <c r="J48" i="8"/>
  <c r="P47" i="8"/>
  <c r="V46" i="8"/>
  <c r="AB54" i="8"/>
  <c r="AK41" i="8"/>
  <c r="AQ56" i="8"/>
  <c r="J56" i="8"/>
  <c r="P57" i="8"/>
  <c r="V55" i="8"/>
  <c r="AB56" i="8"/>
  <c r="AK42" i="8"/>
  <c r="M42" i="8"/>
  <c r="S41" i="8"/>
  <c r="V56" i="8"/>
  <c r="AB57" i="8"/>
  <c r="AK44" i="8"/>
  <c r="S42" i="8"/>
  <c r="M44" i="8"/>
  <c r="S43" i="8"/>
  <c r="Y41" i="8"/>
  <c r="AE42" i="8"/>
  <c r="AK54" i="8"/>
  <c r="M45" i="8"/>
  <c r="S44" i="8"/>
  <c r="Y42" i="8"/>
  <c r="AE43" i="8"/>
  <c r="AK55" i="8"/>
  <c r="G54" i="8"/>
  <c r="AQ50" i="8"/>
  <c r="G53" i="8"/>
  <c r="AH51" i="8"/>
  <c r="AQ52" i="8"/>
  <c r="AQ53" i="8"/>
  <c r="S55" i="8"/>
  <c r="P55" i="8"/>
  <c r="M55" i="8"/>
  <c r="J55" i="8"/>
  <c r="AQ55" i="8"/>
  <c r="AE55" i="8"/>
  <c r="G51" i="8"/>
  <c r="AN49" i="8"/>
  <c r="V54" i="8"/>
  <c r="S54" i="8"/>
  <c r="P54" i="8"/>
  <c r="M54" i="8"/>
  <c r="J54" i="8"/>
  <c r="AH54" i="8"/>
  <c r="G50" i="8"/>
  <c r="AH55" i="8"/>
  <c r="Y53" i="8"/>
  <c r="V53" i="8"/>
  <c r="S53" i="8"/>
  <c r="P53" i="8"/>
  <c r="M53" i="8"/>
  <c r="J53" i="8"/>
  <c r="AK53" i="8"/>
  <c r="AB52" i="8"/>
  <c r="Y52" i="8"/>
  <c r="V52" i="8"/>
  <c r="S52" i="8"/>
  <c r="P52" i="8"/>
  <c r="M52" i="8"/>
  <c r="J52" i="8"/>
  <c r="AN52" i="8"/>
  <c r="Y54" i="8"/>
  <c r="AN53" i="8"/>
  <c r="AE51" i="8"/>
  <c r="AB51" i="8"/>
  <c r="Y51" i="8"/>
  <c r="V51" i="8"/>
  <c r="S51" i="8"/>
  <c r="P51" i="8"/>
  <c r="M51" i="8"/>
  <c r="J51" i="8"/>
  <c r="AQ51" i="8"/>
  <c r="Y55" i="8"/>
  <c r="AN54" i="8"/>
  <c r="AH50" i="8"/>
  <c r="AE50" i="8"/>
  <c r="AB50" i="8"/>
  <c r="Y50" i="8"/>
  <c r="V50" i="8"/>
  <c r="S50" i="8"/>
  <c r="P50" i="8"/>
  <c r="M50" i="8"/>
  <c r="J50" i="8"/>
  <c r="AE52" i="8"/>
  <c r="AN55" i="8"/>
  <c r="AK49" i="8"/>
  <c r="AH49" i="8"/>
  <c r="AE49" i="8"/>
  <c r="AB49" i="8"/>
  <c r="Y49" i="8"/>
  <c r="V49" i="8"/>
  <c r="S49" i="8"/>
  <c r="P49" i="8"/>
  <c r="M49" i="8"/>
  <c r="AE53" i="8"/>
  <c r="AE54" i="8"/>
  <c r="AK50" i="8"/>
  <c r="AK51" i="8"/>
  <c r="J49" i="8"/>
  <c r="AK52" i="8"/>
  <c r="G48" i="8"/>
  <c r="P48" i="8"/>
  <c r="AK57" i="8"/>
  <c r="G47" i="8"/>
  <c r="S48" i="8"/>
  <c r="V47" i="8"/>
  <c r="Y46" i="8"/>
  <c r="AB45" i="8"/>
  <c r="AH43" i="8"/>
  <c r="AN57" i="8"/>
  <c r="G46" i="8"/>
  <c r="V48" i="8"/>
  <c r="Y47" i="8"/>
  <c r="AB46" i="8"/>
  <c r="AE45" i="8"/>
  <c r="AK43" i="8"/>
  <c r="AN42" i="8"/>
  <c r="AQ57" i="8"/>
  <c r="G45" i="8"/>
  <c r="Y48" i="8"/>
  <c r="AB47" i="8"/>
  <c r="AH45" i="8"/>
  <c r="AN43" i="8"/>
  <c r="G44" i="8"/>
  <c r="AB48" i="8"/>
  <c r="AE47" i="8"/>
  <c r="AH46" i="8"/>
  <c r="AK45" i="8"/>
  <c r="AQ43" i="8"/>
  <c r="G43" i="8"/>
  <c r="AE48" i="8"/>
  <c r="G42" i="8"/>
  <c r="AH48" i="8"/>
  <c r="AK47" i="8"/>
  <c r="AN46" i="8"/>
  <c r="AQ45" i="8"/>
  <c r="G57" i="8"/>
  <c r="J57" i="8"/>
  <c r="AK48" i="8"/>
  <c r="AN47" i="8"/>
  <c r="G56" i="8"/>
  <c r="J1" i="8"/>
  <c r="G37" i="8"/>
  <c r="BD54" i="8" l="1"/>
  <c r="BD46" i="8"/>
  <c r="BD51" i="8"/>
  <c r="BD43" i="8"/>
  <c r="BD48" i="8"/>
  <c r="BC40" i="8"/>
  <c r="BC39" i="8" s="1"/>
  <c r="BD53" i="8"/>
  <c r="BD45" i="8"/>
  <c r="BD41" i="8"/>
  <c r="BD50" i="8"/>
  <c r="BD42" i="8"/>
  <c r="BD47" i="8"/>
  <c r="BD52" i="8"/>
  <c r="BD44" i="8"/>
  <c r="BD58" i="8"/>
  <c r="BD59" i="8" s="1"/>
  <c r="BD60" i="8" s="1"/>
  <c r="BD61" i="8" s="1"/>
  <c r="BD62" i="8" s="1"/>
  <c r="BD63" i="8" s="1"/>
  <c r="BD64" i="8" s="1"/>
  <c r="BD65" i="8" s="1"/>
  <c r="BD66" i="8" s="1"/>
  <c r="BD67" i="8" s="1"/>
  <c r="BD68" i="8" s="1"/>
  <c r="BD69" i="8" s="1"/>
  <c r="BD70" i="8" s="1"/>
  <c r="BD49" i="8"/>
  <c r="H58" i="8"/>
  <c r="H59" i="8" s="1"/>
  <c r="H60" i="8" s="1"/>
  <c r="H61" i="8" s="1"/>
  <c r="H62" i="8" s="1"/>
  <c r="H63" i="8" s="1"/>
  <c r="H64" i="8" s="1"/>
  <c r="H65" i="8" s="1"/>
  <c r="H66" i="8" s="1"/>
  <c r="H67" i="8" s="1"/>
  <c r="H68" i="8" s="1"/>
  <c r="H69" i="8" s="1"/>
  <c r="H70" i="8" s="1"/>
  <c r="M1" i="8"/>
  <c r="K22" i="8"/>
  <c r="K23" i="8" s="1"/>
  <c r="K24" i="8" s="1"/>
  <c r="K25" i="8" s="1"/>
  <c r="K26" i="8" s="1"/>
  <c r="K27" i="8" s="1"/>
  <c r="K28" i="8" s="1"/>
  <c r="K29" i="8" s="1"/>
  <c r="K30" i="8" s="1"/>
  <c r="K31" i="8" s="1"/>
  <c r="K32" i="8" s="1"/>
  <c r="K33" i="8" s="1"/>
  <c r="K34" i="8" s="1"/>
  <c r="J37" i="8"/>
  <c r="P1" i="8" l="1"/>
  <c r="K58" i="8"/>
  <c r="K59" i="8" s="1"/>
  <c r="K60" i="8" s="1"/>
  <c r="K61" i="8" s="1"/>
  <c r="K62" i="8" s="1"/>
  <c r="K63" i="8" s="1"/>
  <c r="K64" i="8" s="1"/>
  <c r="K65" i="8" s="1"/>
  <c r="K66" i="8" s="1"/>
  <c r="K67" i="8" s="1"/>
  <c r="K68" i="8" s="1"/>
  <c r="K69" i="8" s="1"/>
  <c r="K70" i="8" s="1"/>
  <c r="Q22" i="8"/>
  <c r="Q23" i="8" s="1"/>
  <c r="Q24" i="8" s="1"/>
  <c r="Q25" i="8" s="1"/>
  <c r="Q26" i="8" s="1"/>
  <c r="Q27" i="8" s="1"/>
  <c r="Q28" i="8" s="1"/>
  <c r="Q29" i="8" s="1"/>
  <c r="Q30" i="8" s="1"/>
  <c r="Q31" i="8" s="1"/>
  <c r="Q32" i="8" s="1"/>
  <c r="Q33" i="8" s="1"/>
  <c r="Q34" i="8" s="1"/>
  <c r="N22" i="8"/>
  <c r="N23" i="8" s="1"/>
  <c r="N24" i="8" s="1"/>
  <c r="N25" i="8" s="1"/>
  <c r="N26" i="8" s="1"/>
  <c r="N27" i="8" s="1"/>
  <c r="N28" i="8" s="1"/>
  <c r="N29" i="8" s="1"/>
  <c r="N30" i="8" s="1"/>
  <c r="N31" i="8" s="1"/>
  <c r="N32" i="8" s="1"/>
  <c r="N33" i="8" s="1"/>
  <c r="N34" i="8" s="1"/>
  <c r="S1" i="8"/>
  <c r="M37" i="8"/>
  <c r="N58" i="8" l="1"/>
  <c r="N59" i="8" s="1"/>
  <c r="N60" i="8" s="1"/>
  <c r="N61" i="8" s="1"/>
  <c r="N62" i="8" s="1"/>
  <c r="N63" i="8" s="1"/>
  <c r="N64" i="8" s="1"/>
  <c r="N65" i="8" s="1"/>
  <c r="N66" i="8" s="1"/>
  <c r="N67" i="8" s="1"/>
  <c r="N68" i="8" s="1"/>
  <c r="N69" i="8" s="1"/>
  <c r="N70" i="8" s="1"/>
  <c r="T22" i="8"/>
  <c r="T23" i="8" s="1"/>
  <c r="T24" i="8" s="1"/>
  <c r="T25" i="8" s="1"/>
  <c r="T26" i="8" s="1"/>
  <c r="T27" i="8" s="1"/>
  <c r="T28" i="8" s="1"/>
  <c r="T29" i="8" s="1"/>
  <c r="T30" i="8" s="1"/>
  <c r="T31" i="8" s="1"/>
  <c r="T32" i="8" s="1"/>
  <c r="T33" i="8" s="1"/>
  <c r="T34" i="8" s="1"/>
  <c r="V1" i="8"/>
  <c r="P37" i="8"/>
  <c r="W22" i="8" l="1"/>
  <c r="W23" i="8" s="1"/>
  <c r="W24" i="8" s="1"/>
  <c r="W25" i="8" s="1"/>
  <c r="W26" i="8" s="1"/>
  <c r="W27" i="8" s="1"/>
  <c r="W28" i="8" s="1"/>
  <c r="W29" i="8" s="1"/>
  <c r="W30" i="8" s="1"/>
  <c r="W31" i="8" s="1"/>
  <c r="W32" i="8" s="1"/>
  <c r="W33" i="8" s="1"/>
  <c r="W34" i="8" s="1"/>
  <c r="Q58" i="8"/>
  <c r="Q59" i="8" s="1"/>
  <c r="Q60" i="8" s="1"/>
  <c r="Q61" i="8" s="1"/>
  <c r="Q62" i="8" s="1"/>
  <c r="Q63" i="8" s="1"/>
  <c r="Q64" i="8" s="1"/>
  <c r="Q65" i="8" s="1"/>
  <c r="Q66" i="8" s="1"/>
  <c r="Q67" i="8" s="1"/>
  <c r="Q68" i="8" s="1"/>
  <c r="Q69" i="8" s="1"/>
  <c r="Q70" i="8" s="1"/>
  <c r="Y1" i="8"/>
  <c r="S37" i="8"/>
  <c r="T58" i="8" l="1"/>
  <c r="T59" i="8" s="1"/>
  <c r="T60" i="8" s="1"/>
  <c r="T61" i="8" s="1"/>
  <c r="T62" i="8" s="1"/>
  <c r="T63" i="8" s="1"/>
  <c r="T64" i="8" s="1"/>
  <c r="T65" i="8" s="1"/>
  <c r="T66" i="8" s="1"/>
  <c r="T67" i="8" s="1"/>
  <c r="T68" i="8" s="1"/>
  <c r="T69" i="8" s="1"/>
  <c r="T70" i="8" s="1"/>
  <c r="Z22" i="8"/>
  <c r="Z23" i="8" s="1"/>
  <c r="Z24" i="8" s="1"/>
  <c r="Z25" i="8" s="1"/>
  <c r="Z26" i="8" s="1"/>
  <c r="Z27" i="8" s="1"/>
  <c r="Z28" i="8" s="1"/>
  <c r="Z29" i="8" s="1"/>
  <c r="Z30" i="8" s="1"/>
  <c r="Z31" i="8" s="1"/>
  <c r="Z32" i="8" s="1"/>
  <c r="Z33" i="8" s="1"/>
  <c r="Z34" i="8" s="1"/>
  <c r="AB1" i="8"/>
  <c r="V37" i="8"/>
  <c r="W58" i="8" l="1"/>
  <c r="W59" i="8" s="1"/>
  <c r="W60" i="8" s="1"/>
  <c r="W61" i="8" s="1"/>
  <c r="W62" i="8" s="1"/>
  <c r="W63" i="8" s="1"/>
  <c r="W64" i="8" s="1"/>
  <c r="W65" i="8" s="1"/>
  <c r="W66" i="8" s="1"/>
  <c r="W67" i="8" s="1"/>
  <c r="W68" i="8" s="1"/>
  <c r="W69" i="8" s="1"/>
  <c r="W70" i="8" s="1"/>
  <c r="AC22" i="8"/>
  <c r="AC23" i="8" s="1"/>
  <c r="AC24" i="8" s="1"/>
  <c r="AC25" i="8" s="1"/>
  <c r="AC26" i="8" s="1"/>
  <c r="AC27" i="8" s="1"/>
  <c r="AC28" i="8" s="1"/>
  <c r="AC29" i="8" s="1"/>
  <c r="AC30" i="8" s="1"/>
  <c r="AC31" i="8" s="1"/>
  <c r="AC32" i="8" s="1"/>
  <c r="AC33" i="8" s="1"/>
  <c r="AC34" i="8" s="1"/>
  <c r="AE1" i="8"/>
  <c r="Y37" i="8"/>
  <c r="Z58" i="8" l="1"/>
  <c r="Z59" i="8" s="1"/>
  <c r="Z60" i="8" s="1"/>
  <c r="Z61" i="8" s="1"/>
  <c r="Z62" i="8" s="1"/>
  <c r="Z63" i="8" s="1"/>
  <c r="Z64" i="8" s="1"/>
  <c r="Z65" i="8" s="1"/>
  <c r="Z66" i="8" s="1"/>
  <c r="Z67" i="8" s="1"/>
  <c r="Z68" i="8" s="1"/>
  <c r="Z69" i="8" s="1"/>
  <c r="Z70" i="8" s="1"/>
  <c r="AF22" i="8"/>
  <c r="AF23" i="8" s="1"/>
  <c r="AF24" i="8" s="1"/>
  <c r="AF25" i="8" s="1"/>
  <c r="AF26" i="8" s="1"/>
  <c r="AF27" i="8" s="1"/>
  <c r="AF28" i="8" s="1"/>
  <c r="AF29" i="8" s="1"/>
  <c r="AF30" i="8" s="1"/>
  <c r="AF31" i="8" s="1"/>
  <c r="AF32" i="8" s="1"/>
  <c r="AF33" i="8" s="1"/>
  <c r="AF34" i="8" s="1"/>
  <c r="AH1" i="8"/>
  <c r="AB37" i="8"/>
  <c r="AC58" i="8" l="1"/>
  <c r="AC59" i="8" s="1"/>
  <c r="AC60" i="8" s="1"/>
  <c r="AC61" i="8" s="1"/>
  <c r="AC62" i="8" s="1"/>
  <c r="AC63" i="8" s="1"/>
  <c r="AC64" i="8" s="1"/>
  <c r="AC65" i="8" s="1"/>
  <c r="AC66" i="8" s="1"/>
  <c r="AC67" i="8" s="1"/>
  <c r="AC68" i="8" s="1"/>
  <c r="AC69" i="8" s="1"/>
  <c r="AC70" i="8" s="1"/>
  <c r="AI22" i="8"/>
  <c r="AI23" i="8" s="1"/>
  <c r="AI24" i="8" s="1"/>
  <c r="AI25" i="8" s="1"/>
  <c r="AI26" i="8" s="1"/>
  <c r="AI27" i="8" s="1"/>
  <c r="AI28" i="8" s="1"/>
  <c r="AI29" i="8" s="1"/>
  <c r="AI30" i="8" s="1"/>
  <c r="AI31" i="8" s="1"/>
  <c r="AI32" i="8" s="1"/>
  <c r="AI33" i="8" s="1"/>
  <c r="AI34" i="8" s="1"/>
  <c r="AK1" i="8"/>
  <c r="AE37" i="8"/>
  <c r="AF58" i="8" l="1"/>
  <c r="AF59" i="8" s="1"/>
  <c r="AF60" i="8" s="1"/>
  <c r="AF61" i="8" s="1"/>
  <c r="AF62" i="8" s="1"/>
  <c r="AF63" i="8" s="1"/>
  <c r="AF64" i="8" s="1"/>
  <c r="AF65" i="8" s="1"/>
  <c r="AF66" i="8" s="1"/>
  <c r="AF67" i="8" s="1"/>
  <c r="AF68" i="8" s="1"/>
  <c r="AF69" i="8" s="1"/>
  <c r="AF70" i="8" s="1"/>
  <c r="AL22" i="8"/>
  <c r="AL23" i="8" s="1"/>
  <c r="AL24" i="8" s="1"/>
  <c r="AL25" i="8" s="1"/>
  <c r="AL26" i="8" s="1"/>
  <c r="AL27" i="8" s="1"/>
  <c r="AL28" i="8" s="1"/>
  <c r="AL29" i="8" s="1"/>
  <c r="AL30" i="8" s="1"/>
  <c r="AL31" i="8" s="1"/>
  <c r="AL32" i="8" s="1"/>
  <c r="AL33" i="8" s="1"/>
  <c r="AL34" i="8" s="1"/>
  <c r="AN1" i="8"/>
  <c r="AH37" i="8"/>
  <c r="AO22" i="8" l="1"/>
  <c r="AO23" i="8" s="1"/>
  <c r="AO24" i="8" s="1"/>
  <c r="AO25" i="8" s="1"/>
  <c r="AO26" i="8" s="1"/>
  <c r="AO27" i="8" s="1"/>
  <c r="AO28" i="8" s="1"/>
  <c r="AO29" i="8" s="1"/>
  <c r="AO30" i="8" s="1"/>
  <c r="AO31" i="8" s="1"/>
  <c r="AO32" i="8" s="1"/>
  <c r="AO33" i="8" s="1"/>
  <c r="AO34" i="8" s="1"/>
  <c r="AI58" i="8"/>
  <c r="AI59" i="8" s="1"/>
  <c r="AI60" i="8" s="1"/>
  <c r="AI61" i="8" s="1"/>
  <c r="AI62" i="8" s="1"/>
  <c r="AI63" i="8" s="1"/>
  <c r="AI64" i="8" s="1"/>
  <c r="AI65" i="8" s="1"/>
  <c r="AI66" i="8" s="1"/>
  <c r="AI67" i="8" s="1"/>
  <c r="AI68" i="8" s="1"/>
  <c r="AI69" i="8" s="1"/>
  <c r="AI70" i="8" s="1"/>
  <c r="AQ1" i="8"/>
  <c r="AK37" i="8"/>
  <c r="AR22" i="8" l="1"/>
  <c r="AR23" i="8" s="1"/>
  <c r="AR24" i="8" s="1"/>
  <c r="AR25" i="8" s="1"/>
  <c r="AR26" i="8" s="1"/>
  <c r="AR27" i="8" s="1"/>
  <c r="AR28" i="8" s="1"/>
  <c r="AR29" i="8" s="1"/>
  <c r="AR30" i="8" s="1"/>
  <c r="AR31" i="8" s="1"/>
  <c r="AR32" i="8" s="1"/>
  <c r="AR33" i="8" s="1"/>
  <c r="AR34" i="8" s="1"/>
  <c r="AL58" i="8"/>
  <c r="AL59" i="8" s="1"/>
  <c r="AL60" i="8" s="1"/>
  <c r="AL61" i="8" s="1"/>
  <c r="AL62" i="8" s="1"/>
  <c r="AL63" i="8" s="1"/>
  <c r="AL64" i="8" s="1"/>
  <c r="AL65" i="8" s="1"/>
  <c r="AL66" i="8" s="1"/>
  <c r="AL67" i="8" s="1"/>
  <c r="AL68" i="8" s="1"/>
  <c r="AL69" i="8" s="1"/>
  <c r="AL70" i="8" s="1"/>
  <c r="AN37" i="8"/>
  <c r="AK39" i="8"/>
  <c r="AO58" i="8" l="1"/>
  <c r="AO59" i="8" s="1"/>
  <c r="AO60" i="8" s="1"/>
  <c r="AO61" i="8" s="1"/>
  <c r="AO62" i="8" s="1"/>
  <c r="AO63" i="8" s="1"/>
  <c r="AO64" i="8" s="1"/>
  <c r="AO65" i="8" s="1"/>
  <c r="AO66" i="8" s="1"/>
  <c r="AO67" i="8" s="1"/>
  <c r="AO68" i="8" s="1"/>
  <c r="AO69" i="8" s="1"/>
  <c r="AO70" i="8" s="1"/>
  <c r="AQ37" i="8"/>
  <c r="AN39" i="8"/>
  <c r="AR53" i="8" l="1"/>
  <c r="AR49" i="8"/>
  <c r="AR45" i="8"/>
  <c r="AR41" i="8"/>
  <c r="AR54" i="8"/>
  <c r="AR51" i="8"/>
  <c r="AR47" i="8"/>
  <c r="AR43" i="8"/>
  <c r="AR52" i="8"/>
  <c r="AR48" i="8"/>
  <c r="AR44" i="8"/>
  <c r="AT37" i="8"/>
  <c r="AR50" i="8"/>
  <c r="AR46" i="8"/>
  <c r="AR42" i="8"/>
  <c r="AR58" i="8"/>
  <c r="AR59" i="8" s="1"/>
  <c r="AR60" i="8" s="1"/>
  <c r="AR61" i="8" s="1"/>
  <c r="AR62" i="8" s="1"/>
  <c r="AR63" i="8" s="1"/>
  <c r="AR64" i="8" s="1"/>
  <c r="AR65" i="8" s="1"/>
  <c r="AR66" i="8" s="1"/>
  <c r="AR67" i="8" s="1"/>
  <c r="AR68" i="8" s="1"/>
  <c r="AR69" i="8" s="1"/>
  <c r="AR70" i="8" s="1"/>
  <c r="AQ40" i="8"/>
  <c r="AQ39" i="8" s="1"/>
  <c r="AU54" i="8" l="1"/>
  <c r="AU50" i="8"/>
  <c r="AU46" i="8"/>
  <c r="AU42" i="8"/>
  <c r="AU51" i="8"/>
  <c r="AU47" i="8"/>
  <c r="AU43" i="8"/>
  <c r="AU58" i="8"/>
  <c r="AU59" i="8" s="1"/>
  <c r="AU60" i="8" s="1"/>
  <c r="AU61" i="8" s="1"/>
  <c r="AU62" i="8" s="1"/>
  <c r="AU63" i="8" s="1"/>
  <c r="AU64" i="8" s="1"/>
  <c r="AU65" i="8" s="1"/>
  <c r="AU66" i="8" s="1"/>
  <c r="AU67" i="8" s="1"/>
  <c r="AU68" i="8" s="1"/>
  <c r="AU69" i="8" s="1"/>
  <c r="AU70" i="8" s="1"/>
  <c r="AU52" i="8"/>
  <c r="AU48" i="8"/>
  <c r="AU44" i="8"/>
  <c r="AT40" i="8"/>
  <c r="AT39" i="8" s="1"/>
  <c r="AU53" i="8"/>
  <c r="AU49" i="8"/>
  <c r="AU45" i="8"/>
  <c r="AU41" i="8"/>
</calcChain>
</file>

<file path=xl/sharedStrings.xml><?xml version="1.0" encoding="utf-8"?>
<sst xmlns="http://schemas.openxmlformats.org/spreadsheetml/2006/main" count="6439" uniqueCount="932">
  <si>
    <t>COAHCO</t>
  </si>
  <si>
    <t>OILCRD</t>
  </si>
  <si>
    <t>OILDST</t>
  </si>
  <si>
    <t>OILGSL</t>
  </si>
  <si>
    <t>OILHFO</t>
  </si>
  <si>
    <t>OILNAP</t>
  </si>
  <si>
    <t>BIOBSL</t>
  </si>
  <si>
    <t>BIOCHR</t>
  </si>
  <si>
    <t>BIODST</t>
  </si>
  <si>
    <t>BIOGSL</t>
  </si>
  <si>
    <t>COABCO</t>
  </si>
  <si>
    <t>COACOK</t>
  </si>
  <si>
    <t>COAOVC</t>
  </si>
  <si>
    <t>COATAR</t>
  </si>
  <si>
    <t>ELC</t>
  </si>
  <si>
    <t>GASETH</t>
  </si>
  <si>
    <t>OILASP</t>
  </si>
  <si>
    <t>OILFEE</t>
  </si>
  <si>
    <t>OILJTK</t>
  </si>
  <si>
    <t>OILKER</t>
  </si>
  <si>
    <t>OILLPG</t>
  </si>
  <si>
    <t>OILLUB</t>
  </si>
  <si>
    <t>OILNCR</t>
  </si>
  <si>
    <t>OILNGL</t>
  </si>
  <si>
    <t>OILNSP</t>
  </si>
  <si>
    <t>OILPTC</t>
  </si>
  <si>
    <t>~Tradelinks</t>
  </si>
  <si>
    <t>China</t>
  </si>
  <si>
    <t>India</t>
  </si>
  <si>
    <t>Russia</t>
  </si>
  <si>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</si>
  <si>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</si>
  <si>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</si>
  <si>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</si>
  <si>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</si>
  <si>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</si>
  <si>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</si>
  <si>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</si>
  <si>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U</t>
  </si>
  <si>
    <t>HH2</t>
  </si>
  <si>
    <t>GASLNG</t>
  </si>
  <si>
    <t>Process</t>
  </si>
  <si>
    <t>Description</t>
  </si>
  <si>
    <t>GASNGA</t>
  </si>
  <si>
    <t>~TradeLinks_Desc</t>
  </si>
  <si>
    <t>central asia–china+central asia–china+central asia–china [5499.0 km]</t>
  </si>
  <si>
    <t>iran-armenia [141.0 km]</t>
  </si>
  <si>
    <t>irun-biriatou [4.0 km]</t>
  </si>
  <si>
    <t>larrau–villar de arnedo [145.0 km]</t>
  </si>
  <si>
    <t>sino-myanmar [2518.0 km]</t>
  </si>
  <si>
    <t>tabriz-ankara [2577.0 km]</t>
  </si>
  <si>
    <t>turkstream 2 [1646.0 km]</t>
  </si>
  <si>
    <t>yamal-europe [1660.0 km]</t>
  </si>
  <si>
    <t>baltic pipe project [613.0 km]</t>
  </si>
  <si>
    <t>central asia–china [966.0 km]</t>
  </si>
  <si>
    <t>iran-pakistan [2775.0 km]</t>
  </si>
  <si>
    <t>Tradelink</t>
  </si>
  <si>
    <t>TU_LNGShips_NGA-ITA</t>
  </si>
  <si>
    <t>TU_LNGShips_NGA-ESP</t>
  </si>
  <si>
    <t>TU_LNGShips_NGA-PRT</t>
  </si>
  <si>
    <t>TU_LNGShips_NGA-FRA</t>
  </si>
  <si>
    <t>TU_LNGShips_NGA-TUR</t>
  </si>
  <si>
    <t>TU_LNGShips_BRN-JPN</t>
  </si>
  <si>
    <t>TU_LNGShips_IDN-JPN</t>
  </si>
  <si>
    <t>TU_LNGShips_IDN-KOR</t>
  </si>
  <si>
    <t>TU_LNGShips_MYS-JPN</t>
  </si>
  <si>
    <t>TU_LNGShips_MYS-KOR</t>
  </si>
  <si>
    <t>TU_LNGShips_PNG-JPN</t>
  </si>
  <si>
    <t>TU_LNGShips_PNG-TWN</t>
  </si>
  <si>
    <t>TU_LNGShips_BRN-IDN</t>
  </si>
  <si>
    <t>TU_LNGShips_IDN-IDN</t>
  </si>
  <si>
    <t>TU_LNGShips_MYS-CHN</t>
  </si>
  <si>
    <t>TU_LNGShips_PNG-CHN</t>
  </si>
  <si>
    <t>TU_LNGShips_AUS-JPN</t>
  </si>
  <si>
    <t>TU_LNGShips_AUS-KOR</t>
  </si>
  <si>
    <t>TU_LNGShips_AUS-SGP</t>
  </si>
  <si>
    <t>TU_LNGShips_AUS-TWN</t>
  </si>
  <si>
    <t>TU_LNGShips_AUS-CHN</t>
  </si>
  <si>
    <t>TU_LNGShips_AUS-IND</t>
  </si>
  <si>
    <t>TU_LNGShips_NOR-ESP</t>
  </si>
  <si>
    <t>TU_LNGShips_ARE-JPN</t>
  </si>
  <si>
    <t>TU_LNGShips_QAT-JPN</t>
  </si>
  <si>
    <t>TU_LNGShips_QAT-KOR</t>
  </si>
  <si>
    <t>TU_LNGShips_QAT-TWN</t>
  </si>
  <si>
    <t>TU_LNGShips_QAT-BGD</t>
  </si>
  <si>
    <t>TU_LNGShips_QAT-PAK</t>
  </si>
  <si>
    <t>TU_LNGShips_QAT-THA</t>
  </si>
  <si>
    <t>TU_LNGShips_QAT-CHN</t>
  </si>
  <si>
    <t>TU_LNGShips_QAT-POL</t>
  </si>
  <si>
    <t>TU_LNGShips_DZA-GRC</t>
  </si>
  <si>
    <t>TU_LNGShips_DZA-ITA</t>
  </si>
  <si>
    <t>TU_LNGShips_QAT-ITA</t>
  </si>
  <si>
    <t>TU_LNGShips_DZA-ESP</t>
  </si>
  <si>
    <t>TU_LNGShips_QAT-ESP</t>
  </si>
  <si>
    <t>TU_LNGShips_QAT-BEL</t>
  </si>
  <si>
    <t>TU_LNGShips_QAT-FRA</t>
  </si>
  <si>
    <t>TU_LNGShips_QAT-IND</t>
  </si>
  <si>
    <t>TU_LNGShips_QAT-KWT</t>
  </si>
  <si>
    <t>TU_LNGShips_DZA-TUR</t>
  </si>
  <si>
    <t>TU_LNGShips_QAT-GBR</t>
  </si>
  <si>
    <t>TU_LNGShips_USA-JPN</t>
  </si>
  <si>
    <t>TU_LNGShips_USA-KOR</t>
  </si>
  <si>
    <t>TU_LNGShips_USA-TWN</t>
  </si>
  <si>
    <t>TU_LNGShips_MEX-CHN</t>
  </si>
  <si>
    <t>TU_LNGShips_USA-CHN</t>
  </si>
  <si>
    <t>TU_LNGShips_USA-POL</t>
  </si>
  <si>
    <t>TU_LNGShips_USA-PRT</t>
  </si>
  <si>
    <t>TU_LNGShips_USA-DEU</t>
  </si>
  <si>
    <t>TU_LNGShips_USA-FRA</t>
  </si>
  <si>
    <t>TU_LNGShips_USA-GBR</t>
  </si>
  <si>
    <t>TU_LNGShips_RUS-JPN</t>
  </si>
  <si>
    <t>TU_LNGShips_RUS-TWN</t>
  </si>
  <si>
    <t>TU_LNGShips_RUS-CHN</t>
  </si>
  <si>
    <t>TU_LNGShips_RUS-ESP</t>
  </si>
  <si>
    <t>CO2ForStorage</t>
  </si>
  <si>
    <t>BIOJTK</t>
  </si>
  <si>
    <t>Germany</t>
  </si>
  <si>
    <t>gazela+kateřinský potok junction point–přimda junction point [316.0 km]</t>
  </si>
  <si>
    <t>valdai-pskov-riga [365.0 km]</t>
  </si>
  <si>
    <t>gas interconnector greece–bulgaria (igb)+trans-mediterranean [2659.0 km]</t>
  </si>
  <si>
    <t>kohtla-järve-leningrad+kohtla-järve-leningrad [317.0 km]</t>
  </si>
  <si>
    <t>norpipe+europipe ii+europipe i [1718.0 km]</t>
  </si>
  <si>
    <t>ravenstein-echt+zweekhorst–paffrath+laren-vreden+ommen-legden+scheemda-emden+scheemda–bunde [254.0 km]</t>
  </si>
  <si>
    <t>rogatec–gorizia+kulata-nea missivria [193.0 km]</t>
  </si>
  <si>
    <t>south caucasus+trans-anatolian+south caucasus [2992.0 km]</t>
  </si>
  <si>
    <t>trans-anatolian [0.0 km]</t>
  </si>
  <si>
    <t>bulgaria-serbia interconnector+bulgaria-serbia interconnector [170.0 km]</t>
  </si>
  <si>
    <t>rasht-chelavend [150.0 km]</t>
  </si>
  <si>
    <t>taganrog-melitopol-berdyansk [273.0 km]</t>
  </si>
  <si>
    <t>yamal-reverse [0.0 km]</t>
  </si>
  <si>
    <t>TU_GasPip--Russia-Germany</t>
  </si>
  <si>
    <t>nord stream [1222.0 km]</t>
  </si>
  <si>
    <t>Africa_north</t>
  </si>
  <si>
    <t>Africa_other</t>
  </si>
  <si>
    <t>Arg-Chi</t>
  </si>
  <si>
    <t>Asia_central</t>
  </si>
  <si>
    <t>Asia_east</t>
  </si>
  <si>
    <t>Asia_other</t>
  </si>
  <si>
    <t>Australia_NZ</t>
  </si>
  <si>
    <t>Brazil</t>
  </si>
  <si>
    <t>Canada</t>
  </si>
  <si>
    <t>EU_north</t>
  </si>
  <si>
    <t>EU_northeast</t>
  </si>
  <si>
    <t>EU_northwest</t>
  </si>
  <si>
    <t>EU_south</t>
  </si>
  <si>
    <t>EU_southeast</t>
  </si>
  <si>
    <t>EU_southwest</t>
  </si>
  <si>
    <t>Europe_other</t>
  </si>
  <si>
    <t>France</t>
  </si>
  <si>
    <t>LatAm_other</t>
  </si>
  <si>
    <t>Mexico</t>
  </si>
  <si>
    <t>MidEast_other</t>
  </si>
  <si>
    <t>Nor-Ice</t>
  </si>
  <si>
    <t>SaudiArabia</t>
  </si>
  <si>
    <t>SouthAfrica</t>
  </si>
  <si>
    <t>UK</t>
  </si>
  <si>
    <t>USA</t>
  </si>
  <si>
    <t>\I:</t>
  </si>
  <si>
    <t>TU_ELC_Africa_north-EU_south</t>
  </si>
  <si>
    <t>TU_ELC_Africa_north-SaudiArabia</t>
  </si>
  <si>
    <t>TU_ELC_Africa_other-SouthAfrica</t>
  </si>
  <si>
    <t>TU_ELC_Arg-Chi-Brazil</t>
  </si>
  <si>
    <t>TU_ELC_Asia_central-Asia_other</t>
  </si>
  <si>
    <t>TU_ELC_Asia_central-EU_southeast</t>
  </si>
  <si>
    <t>TU_ELC_Asia_central-Europe_other</t>
  </si>
  <si>
    <t>TU_ELC_Asia_central-Russia</t>
  </si>
  <si>
    <t>TU_ELC_Asia_other-China</t>
  </si>
  <si>
    <t>TU_ELC_Asia_other-India</t>
  </si>
  <si>
    <t>TU_ELC_Canada-USA</t>
  </si>
  <si>
    <t>TU_ELC_China-Asia_other</t>
  </si>
  <si>
    <t>TU_ELC_EU_north-EU_northeast</t>
  </si>
  <si>
    <t>TU_ELC_EU_north-EU_northwest</t>
  </si>
  <si>
    <t>TU_ELC_EU_north-Germany</t>
  </si>
  <si>
    <t>TU_ELC_EU_north-Nor-Ice</t>
  </si>
  <si>
    <t>TU_ELC_EU_north-UK</t>
  </si>
  <si>
    <t>TU_ELC_EU_northeast-EU_north</t>
  </si>
  <si>
    <t>TU_ELC_EU_northeast-EU_south</t>
  </si>
  <si>
    <t>TU_ELC_EU_northeast-EU_southeast</t>
  </si>
  <si>
    <t>TU_ELC_EU_northeast-Europe_other</t>
  </si>
  <si>
    <t>TU_ELC_EU_northeast-Germany</t>
  </si>
  <si>
    <t>TU_ELC_EU_northwest-EU_north</t>
  </si>
  <si>
    <t>TU_ELC_EU_northwest-France</t>
  </si>
  <si>
    <t>TU_ELC_EU_northwest-Germany</t>
  </si>
  <si>
    <t>TU_ELC_EU_northwest-Nor-Ice</t>
  </si>
  <si>
    <t>TU_ELC_EU_northwest-UK</t>
  </si>
  <si>
    <t>TU_ELC_EU_south-Africa_north</t>
  </si>
  <si>
    <t>TU_ELC_EU_south-EU_northeast</t>
  </si>
  <si>
    <t>TU_ELC_EU_south-EU_southeast</t>
  </si>
  <si>
    <t>TU_ELC_EU_south-Europe_other</t>
  </si>
  <si>
    <t>TU_ELC_EU_south-France</t>
  </si>
  <si>
    <t>TU_ELC_EU_southeast-Asia_central</t>
  </si>
  <si>
    <t>TU_ELC_EU_southeast-EU_northeast</t>
  </si>
  <si>
    <t>TU_ELC_EU_southeast-EU_south</t>
  </si>
  <si>
    <t>TU_ELC_EU_southeast-Europe_other</t>
  </si>
  <si>
    <t>TU_ELC_EU_southwest-France</t>
  </si>
  <si>
    <t>TU_ELC_Europe_other-Asia_central</t>
  </si>
  <si>
    <t>TU_ELC_Europe_other-EU_northeast</t>
  </si>
  <si>
    <t>TU_ELC_Europe_other-EU_south</t>
  </si>
  <si>
    <t>TU_ELC_Europe_other-EU_southeast</t>
  </si>
  <si>
    <t>TU_ELC_Europe_other-France</t>
  </si>
  <si>
    <t>TU_ELC_Europe_other-Germany</t>
  </si>
  <si>
    <t>TU_ELC_Europe_other-Russia</t>
  </si>
  <si>
    <t>TU_ELC_France-EU_northwest</t>
  </si>
  <si>
    <t>TU_ELC_France-EU_south</t>
  </si>
  <si>
    <t>TU_ELC_France-EU_southwest</t>
  </si>
  <si>
    <t>TU_ELC_France-Europe_other</t>
  </si>
  <si>
    <t>TU_ELC_France-Germany</t>
  </si>
  <si>
    <t>TU_ELC_France-UK</t>
  </si>
  <si>
    <t>TU_ELC_Germany-EU_north</t>
  </si>
  <si>
    <t>TU_ELC_Germany-EU_northeast</t>
  </si>
  <si>
    <t>TU_ELC_Germany-EU_northwest</t>
  </si>
  <si>
    <t>TU_ELC_Germany-Europe_other</t>
  </si>
  <si>
    <t>TU_ELC_Germany-France</t>
  </si>
  <si>
    <t>TU_ELC_Germany-Nor-Ice</t>
  </si>
  <si>
    <t>TU_ELC_Germany-UK</t>
  </si>
  <si>
    <t>TU_ELC_India-Asia_other</t>
  </si>
  <si>
    <t>TU_ELC_LatAm_other-Arg-Chi</t>
  </si>
  <si>
    <t>TU_ELC_LatAm_other-Brazil</t>
  </si>
  <si>
    <t>TU_ELC_LatAm_other-Mexico</t>
  </si>
  <si>
    <t>TU_ELC_Mexico-LatAm_other</t>
  </si>
  <si>
    <t>TU_ELC_Mexico-USA</t>
  </si>
  <si>
    <t>TU_ELC_MidEast_other-Asia_other</t>
  </si>
  <si>
    <t>TU_ELC_MidEast_other-SaudiArabia</t>
  </si>
  <si>
    <t>TU_ELC_Nor-Ice-EU_north</t>
  </si>
  <si>
    <t>TU_ELC_Nor-Ice-EU_northwest</t>
  </si>
  <si>
    <t>TU_ELC_Nor-Ice-Germany</t>
  </si>
  <si>
    <t>TU_ELC_Nor-Ice-UK</t>
  </si>
  <si>
    <t>TU_ELC_Russia-Asia_central</t>
  </si>
  <si>
    <t>TU_ELC_Russia-Europe_other</t>
  </si>
  <si>
    <t>TU_ELC_SaudiArabia-Africa_north</t>
  </si>
  <si>
    <t>TU_ELC_SaudiArabia-MidEast_other</t>
  </si>
  <si>
    <t>TU_ELC_SouthAfrica-Africa_other</t>
  </si>
  <si>
    <t>TU_ELC_UK-EU_north</t>
  </si>
  <si>
    <t>TU_ELC_UK-EU_northwest</t>
  </si>
  <si>
    <t>TU_ELC_UK-France</t>
  </si>
  <si>
    <t>TU_ELC_UK-Germany</t>
  </si>
  <si>
    <t>TU_ELC_UK-Nor-Ice</t>
  </si>
  <si>
    <t>TU_ELC_USA-Canada</t>
  </si>
  <si>
    <t>TU_GasPip--France-Europe_other</t>
  </si>
  <si>
    <t>annecy-la gabiule+etrez-vernier+morelmaison-rodersdorf [276.0 km]</t>
  </si>
  <si>
    <t>TU_GasPip--Africa_north-MidEast_other</t>
  </si>
  <si>
    <t>arab [1200.0 km]</t>
  </si>
  <si>
    <t>TU_GasPip--MidEast_other-Africa_north</t>
  </si>
  <si>
    <t>arish–ashkelon [90.0 km]</t>
  </si>
  <si>
    <t>TU_GasPip--EU_northeast-EU_southeast</t>
  </si>
  <si>
    <t>austria–slovenia interconnector+ozdany–nemesbikk [132.0 km]</t>
  </si>
  <si>
    <t>TU_GasPip--EU_northwest-UK</t>
  </si>
  <si>
    <t>balgzand–bacton line+zeebrugge-bacton [232.0 km]</t>
  </si>
  <si>
    <t>TU_GasPip--Nor-Ice-EU_north</t>
  </si>
  <si>
    <t>TU_GasPip--EU_north-EU_northeast</t>
  </si>
  <si>
    <t>balticconnector+baltic pipe project [768.0 km]</t>
  </si>
  <si>
    <t>TU_GasPip--Canada-USA</t>
  </si>
  <si>
    <t>bc+gas transmission northwest+great lakestransmission+northern border+transgas+empire+vikingtransmission+alliance+maritimes and northeast [31596.0 km]</t>
  </si>
  <si>
    <t>TU_GasPip--Asia_central-Russia</t>
  </si>
  <si>
    <t>bukhara-ural+central asia–center+central asia–center+makat–north caucasus+hajigabul-shirvanovka-mozdok+central asia-center+central asia-center+bukhara-ural [20391.0 km]</t>
  </si>
  <si>
    <t>TU_GasPip--Asia_central-China</t>
  </si>
  <si>
    <t>TU_GasPip--France-EU_northwest</t>
  </si>
  <si>
    <t>dunkirk-zeebrugge+taisnieres sur hon-mons+maastricht-paris [376.0 km]</t>
  </si>
  <si>
    <t>TU_GasPip--Nor-Ice-France</t>
  </si>
  <si>
    <t>franpipe [840.0 km]</t>
  </si>
  <si>
    <t>TU_GasPip--EU_south-EU_southeast</t>
  </si>
  <si>
    <t>TU_GasPip--LatAm_other-Brazil</t>
  </si>
  <si>
    <t>gasbol+cuiabá [3795.0 km]</t>
  </si>
  <si>
    <t>TU_GasPip--Arg-Chi-LatAm_other</t>
  </si>
  <si>
    <t>gasoducto del litoral+southern cross [427.0 km]</t>
  </si>
  <si>
    <t>TU_GasPip--EU_northeast-Germany</t>
  </si>
  <si>
    <t>TU_GasPip--Africa_north-EU_south</t>
  </si>
  <si>
    <t>greenstream+trans-mediterranean [2995.0 km]</t>
  </si>
  <si>
    <t>TU_GasPip--Asia_central-MidEast_other</t>
  </si>
  <si>
    <t>hajiqabul–astara–abadan+korpeje-kordkuy+dauletabad-sarakhs-khangiran [1854.0 km]</t>
  </si>
  <si>
    <t>TU_GasPip--MidEast_other-Asia_central</t>
  </si>
  <si>
    <t>TU_GasPip--EU_southwest-France</t>
  </si>
  <si>
    <t>TU_GasPip--Europe_other-EU_northeast</t>
  </si>
  <si>
    <t>kobryn-brest-warsaw+uzhgorod–velke kapusany+urengoy-pomary-uzhgorod [4728.0 km]</t>
  </si>
  <si>
    <t>TU_GasPip--EU_northeast-Russia</t>
  </si>
  <si>
    <t>TU_GasPip--France-EU_southwest</t>
  </si>
  <si>
    <t>TU_GasPip--Africa_north-EU_southwest</t>
  </si>
  <si>
    <t>medgaz+medgaz [757.0 km]</t>
  </si>
  <si>
    <t>TU_GasPip--Germany-France</t>
  </si>
  <si>
    <t>megal–france [86.0 km]</t>
  </si>
  <si>
    <t>TU_GasPip--USA-Mexico</t>
  </si>
  <si>
    <t>mier monterrey+norte crossing+sierrita+nueva era+sur de texas-tuxpan+sierrita+sierrita [1334.0 km]</t>
  </si>
  <si>
    <t>TU_GasPip--Europe_other-Russia</t>
  </si>
  <si>
    <t>minsk-kaliningrad interconnection [155.0 km]</t>
  </si>
  <si>
    <t>TU_GasPip--Africa_other-SouthAfrica</t>
  </si>
  <si>
    <t>mozambique-south africa [865.0 km]</t>
  </si>
  <si>
    <t>TU_GasPip--EU_north-EU_northwest</t>
  </si>
  <si>
    <t>noordgastransport (nogat)+tyra west–f3 [570.0 km]</t>
  </si>
  <si>
    <t>TU_GasPip--Nor-Ice-Germany</t>
  </si>
  <si>
    <t>TU_GasPip--Russia-Asia_central</t>
  </si>
  <si>
    <t>north caucasus-transcaucasia+north caucasus-transcaucasia+kartaly-rudny-kostanai [1039.0 km]</t>
  </si>
  <si>
    <t>TU_GasPip--UK-Nor-Ice</t>
  </si>
  <si>
    <t>northern leg [80.0 km]</t>
  </si>
  <si>
    <t>TU_GasPip--Arg-Chi-Brazil</t>
  </si>
  <si>
    <t>paraná-uruguayana [437.0 km]</t>
  </si>
  <si>
    <t>TU_GasPip--EU_northwest-France</t>
  </si>
  <si>
    <t>pitgam–maldegem [76.0 km]</t>
  </si>
  <si>
    <t>TU_GasPip--EU_northwest-Germany</t>
  </si>
  <si>
    <t>TU_GasPip--EU_southeast-EU_south</t>
  </si>
  <si>
    <t>TU_GasPip--EU_southeast-Europe_other</t>
  </si>
  <si>
    <t>romania-moldova+strandja–malkoclar+turkstream 2 [1782.0 km]</t>
  </si>
  <si>
    <t>TU_GasPip--Russia-Europe_other</t>
  </si>
  <si>
    <t>shebelinka-belgorod-kursk-bryansk+dashava-kiev-bryansk-moscow+torzhok-minsk-ivatsevichy+torzhok-minsk-ivatsevichy+yelets-kursk-kyiv+torzhok-minsk-ivatsevichy+yelets-kursk-dykanka+yelets-kremenchuk–kryvyi rih+progress+tula-shostka-kiev+torzhok-smolens</t>
  </si>
  <si>
    <t>TU_GasPip--Asia_other-China</t>
  </si>
  <si>
    <t>TU_GasPip--Asia_central-Europe_other</t>
  </si>
  <si>
    <t>TU_GasPip--MidEast_other-Europe_other</t>
  </si>
  <si>
    <t>TU_GasPip--Germany-Europe_other</t>
  </si>
  <si>
    <t>trans europa naturgas [968.0 km]</t>
  </si>
  <si>
    <t>TU_GasPip--EU_south-Europe_other</t>
  </si>
  <si>
    <t>trans-adriatic+trans-anatolian [878.0 km]</t>
  </si>
  <si>
    <t>TU_GasPip--Asia_central-EU_south</t>
  </si>
  <si>
    <t>TU_GasPip--Europe_other-EU_southeast</t>
  </si>
  <si>
    <t>trans-balkan+serbian-hungarian+skopje-kriva palanka+anan^iv-tiraspol-izmail+hust–satu mare+turkstream 2 [2729.0 km]</t>
  </si>
  <si>
    <t>TU_GasPip--Europe_other-France</t>
  </si>
  <si>
    <t>transitgas–laneuvelotte–obergailbach [327.0 km]</t>
  </si>
  <si>
    <t>TU_GasPip--Europe_other-EU_south</t>
  </si>
  <si>
    <t>turkey-greece-italy interconnector (itgi)+trans-adriatic+trans-adriatic+kipi-komotini [2139.0 km]</t>
  </si>
  <si>
    <t>TU_GasPip--Russia-EU_southeast</t>
  </si>
  <si>
    <t>TU_GasPip--Russia-EU_northeast</t>
  </si>
  <si>
    <t>TU_GasPip--USA-Canada</t>
  </si>
  <si>
    <t>vector+empire+portland naturaltransmission system (pngts)+atlantic bridge+portland naturaltransmission system (pngts) [610.0 km]</t>
  </si>
  <si>
    <t>TU_GasPip--Nor-Ice-UK</t>
  </si>
  <si>
    <t>vesterled+langeled+tampen link+gjøa [1681.0 km]</t>
  </si>
  <si>
    <t>TU_GasPip--EU_northeast-Europe_other</t>
  </si>
  <si>
    <t>vojany-uzhgorod+hoscht-st.magrethen+rankweil-lienz [37.0 km]</t>
  </si>
  <si>
    <t>TU_GasPip--Germany-EU_northwest</t>
  </si>
  <si>
    <t>wedal+bunde-etzel [296.0 km]</t>
  </si>
  <si>
    <t>TU_GasPip--LatAm_other-Arg-Chi</t>
  </si>
  <si>
    <t>yabog+juana azurduy [493.0 km]</t>
  </si>
  <si>
    <t>TU_GasPip--Germany-EU_northeast</t>
  </si>
  <si>
    <t>TU_GasPip--UK-EU_northwest</t>
  </si>
  <si>
    <t>zeebrugge-bacton+uk-ireland interconnector 2+uk-ireland interconnector+carrickfergus-gormansten [808.0 km]</t>
  </si>
  <si>
    <t>TU_GasPip--Nor-Ice-EU_northwest</t>
  </si>
  <si>
    <t>zeepipe [1445.0 km]</t>
  </si>
  <si>
    <t>TU_GasPip--MidEast_other-Asia_other</t>
  </si>
  <si>
    <t>israel–egypt onshore [79.0 km]</t>
  </si>
  <si>
    <t>\I:Africa_north</t>
  </si>
  <si>
    <t>im_stlslabs</t>
  </si>
  <si>
    <t>im_fesponge</t>
  </si>
  <si>
    <t>im_fescrap</t>
  </si>
  <si>
    <t>NH3</t>
  </si>
  <si>
    <t>TimeSlice</t>
  </si>
  <si>
    <t>TU_H2Ships_AU-BR</t>
  </si>
  <si>
    <t>SEASON</t>
  </si>
  <si>
    <t>TU_H2Ships_CO-BR</t>
  </si>
  <si>
    <t>TU_H2Ships_EG-BR</t>
  </si>
  <si>
    <t>TU_H2Ships_ET-BR</t>
  </si>
  <si>
    <t>TU_H2Ships_IN-BR</t>
  </si>
  <si>
    <t>TU_H2Ships_MX-BR</t>
  </si>
  <si>
    <t>TU_H2Ships_OM-BR</t>
  </si>
  <si>
    <t>TU_H2Ships_SA-BR</t>
  </si>
  <si>
    <t>TU_H2Ships_ZA-BR</t>
  </si>
  <si>
    <t>TU_H2Ships_ES-BR</t>
  </si>
  <si>
    <t>TU_H2Ships_US-BR</t>
  </si>
  <si>
    <t>TU_H2Ships_CN-BR</t>
  </si>
  <si>
    <t>TU_H2Ships_GR-BR</t>
  </si>
  <si>
    <t>TU_H2Ships_ID-BR</t>
  </si>
  <si>
    <t>TU_H2Ships_TR-BR</t>
  </si>
  <si>
    <t>TU_H2Ships_CL-BR</t>
  </si>
  <si>
    <t>TU_H2Ships_KG-BR</t>
  </si>
  <si>
    <t>TU_H2Ships_AT-BR</t>
  </si>
  <si>
    <t>TU_H2Ships_BE-BR</t>
  </si>
  <si>
    <t>TU_H2Ships_BG-BR</t>
  </si>
  <si>
    <t>TU_H2Ships_CA-BR</t>
  </si>
  <si>
    <t>TU_H2Ships_DK-BR</t>
  </si>
  <si>
    <t>TU_H2Ships_FR-BR</t>
  </si>
  <si>
    <t>TU_H2Ships_DE-BR</t>
  </si>
  <si>
    <t>TU_H2Ships_JP-BR</t>
  </si>
  <si>
    <t>TU_H2Ships_NO-BR</t>
  </si>
  <si>
    <t>TU_H2Ships_RU-BR</t>
  </si>
  <si>
    <t>TU_H2Ships_GB-BR</t>
  </si>
  <si>
    <t>TU_H2Ships_AU-CL</t>
  </si>
  <si>
    <t>TU_H2Ships_CO-CL</t>
  </si>
  <si>
    <t>TU_H2Ships_EG-CL</t>
  </si>
  <si>
    <t>TU_H2Ships_ET-CL</t>
  </si>
  <si>
    <t>TU_H2Ships_IN-CL</t>
  </si>
  <si>
    <t>TU_H2Ships_MX-CL</t>
  </si>
  <si>
    <t>TU_H2Ships_OM-CL</t>
  </si>
  <si>
    <t>TU_H2Ships_SA-CL</t>
  </si>
  <si>
    <t>TU_H2Ships_ZA-CL</t>
  </si>
  <si>
    <t>TU_H2Ships_ES-CL</t>
  </si>
  <si>
    <t>TU_H2Ships_US-CL</t>
  </si>
  <si>
    <t>TU_H2Ships_CN-CL</t>
  </si>
  <si>
    <t>TU_H2Ships_GR-CL</t>
  </si>
  <si>
    <t>TU_H2Ships_ID-CL</t>
  </si>
  <si>
    <t>TU_H2Ships_TR-CL</t>
  </si>
  <si>
    <t>TU_H2Ships_KG-CL</t>
  </si>
  <si>
    <t>TU_H2Ships_AT-CL</t>
  </si>
  <si>
    <t>TU_H2Ships_BE-CL</t>
  </si>
  <si>
    <t>TU_H2Ships_BG-CL</t>
  </si>
  <si>
    <t>TU_H2Ships_CA-CL</t>
  </si>
  <si>
    <t>TU_H2Ships_DK-CL</t>
  </si>
  <si>
    <t>TU_H2Ships_FR-CL</t>
  </si>
  <si>
    <t>TU_H2Ships_DE-CL</t>
  </si>
  <si>
    <t>TU_H2Ships_JP-CL</t>
  </si>
  <si>
    <t>TU_H2Ships_NO-CL</t>
  </si>
  <si>
    <t>TU_H2Ships_RU-CL</t>
  </si>
  <si>
    <t>TU_H2Ships_GB-CL</t>
  </si>
  <si>
    <t>TU_H2Ships_BR-CL</t>
  </si>
  <si>
    <t>TU_H2Ships_AU-CN</t>
  </si>
  <si>
    <t>TU_H2Ships_CO-CN</t>
  </si>
  <si>
    <t>TU_H2Ships_EG-CN</t>
  </si>
  <si>
    <t>TU_H2Ships_ET-CN</t>
  </si>
  <si>
    <t>TU_H2Ships_IN-CN</t>
  </si>
  <si>
    <t>TU_H2Ships_MX-CN</t>
  </si>
  <si>
    <t>TU_H2Ships_OM-CN</t>
  </si>
  <si>
    <t>TU_H2Ships_SA-CN</t>
  </si>
  <si>
    <t>TU_H2Ships_ZA-CN</t>
  </si>
  <si>
    <t>TU_H2Ships_ES-CN</t>
  </si>
  <si>
    <t>TU_H2Ships_US-CN</t>
  </si>
  <si>
    <t>TU_H2Ships_GR-CN</t>
  </si>
  <si>
    <t>TU_H2Ships_ID-CN</t>
  </si>
  <si>
    <t>TU_H2Ships_TR-CN</t>
  </si>
  <si>
    <t>TU_H2Ships_CL-CN</t>
  </si>
  <si>
    <t>TU_H2Ships_KG-CN</t>
  </si>
  <si>
    <t>TU_H2Ships_AT-CN</t>
  </si>
  <si>
    <t>TU_H2Ships_BE-CN</t>
  </si>
  <si>
    <t>TU_H2Ships_BG-CN</t>
  </si>
  <si>
    <t>TU_H2Ships_CA-CN</t>
  </si>
  <si>
    <t>TU_H2Ships_DK-CN</t>
  </si>
  <si>
    <t>TU_H2Ships_FR-CN</t>
  </si>
  <si>
    <t>TU_H2Ships_DE-CN</t>
  </si>
  <si>
    <t>TU_H2Ships_JP-CN</t>
  </si>
  <si>
    <t>TU_H2Ships_NO-CN</t>
  </si>
  <si>
    <t>TU_H2Ships_RU-CN</t>
  </si>
  <si>
    <t>TU_H2Ships_GB-CN</t>
  </si>
  <si>
    <t>TU_H2Ships_BR-CN</t>
  </si>
  <si>
    <t>TU_H2Ships_AU-EG</t>
  </si>
  <si>
    <t>TU_H2Ships_CO-EG</t>
  </si>
  <si>
    <t>TU_H2Ships_ET-EG</t>
  </si>
  <si>
    <t>TU_H2Ships_IN-EG</t>
  </si>
  <si>
    <t>TU_H2Ships_MX-EG</t>
  </si>
  <si>
    <t>TU_H2Ships_OM-EG</t>
  </si>
  <si>
    <t>TU_H2Ships_SA-EG</t>
  </si>
  <si>
    <t>TU_H2Ships_ZA-EG</t>
  </si>
  <si>
    <t>TU_H2Ships_ES-EG</t>
  </si>
  <si>
    <t>TU_H2Ships_US-EG</t>
  </si>
  <si>
    <t>TU_H2Ships_CN-EG</t>
  </si>
  <si>
    <t>TU_H2Ships_GR-EG</t>
  </si>
  <si>
    <t>TU_H2Ships_ID-EG</t>
  </si>
  <si>
    <t>TU_H2Ships_TR-EG</t>
  </si>
  <si>
    <t>TU_H2Ships_CL-EG</t>
  </si>
  <si>
    <t>TU_H2Ships_KG-EG</t>
  </si>
  <si>
    <t>TU_H2Ships_AT-EG</t>
  </si>
  <si>
    <t>TU_H2Ships_BE-EG</t>
  </si>
  <si>
    <t>TU_H2Ships_BG-EG</t>
  </si>
  <si>
    <t>TU_H2Ships_CA-EG</t>
  </si>
  <si>
    <t>TU_H2Ships_DK-EG</t>
  </si>
  <si>
    <t>TU_H2Ships_FR-EG</t>
  </si>
  <si>
    <t>TU_H2Ships_DE-EG</t>
  </si>
  <si>
    <t>TU_H2Ships_JP-EG</t>
  </si>
  <si>
    <t>TU_H2Ships_NO-EG</t>
  </si>
  <si>
    <t>TU_H2Ships_RU-EG</t>
  </si>
  <si>
    <t>TU_H2Ships_GB-EG</t>
  </si>
  <si>
    <t>TU_H2Ships_BR-EG</t>
  </si>
  <si>
    <t>TU_H2Ships_AU-FR</t>
  </si>
  <si>
    <t>TU_H2Ships_CO-FR</t>
  </si>
  <si>
    <t>TU_H2Ships_EG-FR</t>
  </si>
  <si>
    <t>TU_H2Ships_ET-FR</t>
  </si>
  <si>
    <t>TU_H2Ships_IN-FR</t>
  </si>
  <si>
    <t>TU_H2Ships_MX-FR</t>
  </si>
  <si>
    <t>TU_H2Ships_OM-FR</t>
  </si>
  <si>
    <t>TU_H2Ships_SA-FR</t>
  </si>
  <si>
    <t>TU_H2Ships_ZA-FR</t>
  </si>
  <si>
    <t>TU_H2Ships_ES-FR</t>
  </si>
  <si>
    <t>TU_H2Ships_US-FR</t>
  </si>
  <si>
    <t>TU_H2Ships_CN-FR</t>
  </si>
  <si>
    <t>TU_H2Ships_GR-FR</t>
  </si>
  <si>
    <t>TU_H2Ships_ID-FR</t>
  </si>
  <si>
    <t>TU_H2Ships_TR-FR</t>
  </si>
  <si>
    <t>TU_H2Ships_CL-FR</t>
  </si>
  <si>
    <t>TU_H2Ships_KG-FR</t>
  </si>
  <si>
    <t>TU_H2Ships_AT-FR</t>
  </si>
  <si>
    <t>TU_H2Ships_BE-FR</t>
  </si>
  <si>
    <t>TU_H2Ships_BG-FR</t>
  </si>
  <si>
    <t>TU_H2Ships_CA-FR</t>
  </si>
  <si>
    <t>TU_H2Ships_DK-FR</t>
  </si>
  <si>
    <t>TU_H2Ships_DE-FR</t>
  </si>
  <si>
    <t>TU_H2Ships_JP-FR</t>
  </si>
  <si>
    <t>TU_H2Ships_NO-FR</t>
  </si>
  <si>
    <t>TU_H2Ships_RU-FR</t>
  </si>
  <si>
    <t>TU_H2Ships_GB-FR</t>
  </si>
  <si>
    <t>TU_H2Ships_BR-FR</t>
  </si>
  <si>
    <t>TU_H2Ships_AU-DE</t>
  </si>
  <si>
    <t>TU_H2Ships_CO-DE</t>
  </si>
  <si>
    <t>TU_H2Ships_EG-DE</t>
  </si>
  <si>
    <t>TU_H2Ships_ET-DE</t>
  </si>
  <si>
    <t>TU_H2Ships_IN-DE</t>
  </si>
  <si>
    <t>TU_H2Ships_MX-DE</t>
  </si>
  <si>
    <t>TU_H2Ships_OM-DE</t>
  </si>
  <si>
    <t>TU_H2Ships_SA-DE</t>
  </si>
  <si>
    <t>TU_H2Ships_ZA-DE</t>
  </si>
  <si>
    <t>TU_H2Ships_ES-DE</t>
  </si>
  <si>
    <t>TU_H2Ships_US-DE</t>
  </si>
  <si>
    <t>TU_H2Ships_CN-DE</t>
  </si>
  <si>
    <t>TU_H2Ships_GR-DE</t>
  </si>
  <si>
    <t>TU_H2Ships_ID-DE</t>
  </si>
  <si>
    <t>TU_H2Ships_TR-DE</t>
  </si>
  <si>
    <t>TU_H2Ships_CL-DE</t>
  </si>
  <si>
    <t>TU_H2Ships_KG-DE</t>
  </si>
  <si>
    <t>TU_H2Ships_AT-DE</t>
  </si>
  <si>
    <t>TU_H2Ships_BE-DE</t>
  </si>
  <si>
    <t>TU_H2Ships_BG-DE</t>
  </si>
  <si>
    <t>TU_H2Ships_CA-DE</t>
  </si>
  <si>
    <t>TU_H2Ships_DK-DE</t>
  </si>
  <si>
    <t>TU_H2Ships_FR-DE</t>
  </si>
  <si>
    <t>TU_H2Ships_JP-DE</t>
  </si>
  <si>
    <t>TU_H2Ships_NO-DE</t>
  </si>
  <si>
    <t>TU_H2Ships_RU-DE</t>
  </si>
  <si>
    <t>TU_H2Ships_GB-DE</t>
  </si>
  <si>
    <t>TU_H2Ships_BR-DE</t>
  </si>
  <si>
    <t>TU_H2Ships_AU-IN</t>
  </si>
  <si>
    <t>TU_H2Ships_CO-IN</t>
  </si>
  <si>
    <t>TU_H2Ships_EG-IN</t>
  </si>
  <si>
    <t>TU_H2Ships_ET-IN</t>
  </si>
  <si>
    <t>TU_H2Ships_MX-IN</t>
  </si>
  <si>
    <t>TU_H2Ships_OM-IN</t>
  </si>
  <si>
    <t>TU_H2Ships_SA-IN</t>
  </si>
  <si>
    <t>TU_H2Ships_ZA-IN</t>
  </si>
  <si>
    <t>TU_H2Ships_ES-IN</t>
  </si>
  <si>
    <t>TU_H2Ships_US-IN</t>
  </si>
  <si>
    <t>TU_H2Ships_CN-IN</t>
  </si>
  <si>
    <t>TU_H2Ships_GR-IN</t>
  </si>
  <si>
    <t>TU_H2Ships_ID-IN</t>
  </si>
  <si>
    <t>TU_H2Ships_TR-IN</t>
  </si>
  <si>
    <t>TU_H2Ships_CL-IN</t>
  </si>
  <si>
    <t>TU_H2Ships_KG-IN</t>
  </si>
  <si>
    <t>TU_H2Ships_AT-IN</t>
  </si>
  <si>
    <t>TU_H2Ships_BE-IN</t>
  </si>
  <si>
    <t>TU_H2Ships_BG-IN</t>
  </si>
  <si>
    <t>TU_H2Ships_CA-IN</t>
  </si>
  <si>
    <t>TU_H2Ships_DK-IN</t>
  </si>
  <si>
    <t>TU_H2Ships_FR-IN</t>
  </si>
  <si>
    <t>TU_H2Ships_DE-IN</t>
  </si>
  <si>
    <t>TU_H2Ships_JP-IN</t>
  </si>
  <si>
    <t>TU_H2Ships_NO-IN</t>
  </si>
  <si>
    <t>TU_H2Ships_RU-IN</t>
  </si>
  <si>
    <t>TU_H2Ships_GB-IN</t>
  </si>
  <si>
    <t>TU_H2Ships_BR-IN</t>
  </si>
  <si>
    <t>TU_H2Ships_AU-ID</t>
  </si>
  <si>
    <t>TU_H2Ships_CO-ID</t>
  </si>
  <si>
    <t>TU_H2Ships_EG-ID</t>
  </si>
  <si>
    <t>TU_H2Ships_ET-ID</t>
  </si>
  <si>
    <t>TU_H2Ships_IN-ID</t>
  </si>
  <si>
    <t>TU_H2Ships_MX-ID</t>
  </si>
  <si>
    <t>TU_H2Ships_OM-ID</t>
  </si>
  <si>
    <t>TU_H2Ships_SA-ID</t>
  </si>
  <si>
    <t>TU_H2Ships_ZA-ID</t>
  </si>
  <si>
    <t>TU_H2Ships_ES-ID</t>
  </si>
  <si>
    <t>TU_H2Ships_US-ID</t>
  </si>
  <si>
    <t>TU_H2Ships_CN-ID</t>
  </si>
  <si>
    <t>TU_H2Ships_GR-ID</t>
  </si>
  <si>
    <t>TU_H2Ships_TR-ID</t>
  </si>
  <si>
    <t>TU_H2Ships_CL-ID</t>
  </si>
  <si>
    <t>TU_H2Ships_KG-ID</t>
  </si>
  <si>
    <t>TU_H2Ships_AT-ID</t>
  </si>
  <si>
    <t>TU_H2Ships_BE-ID</t>
  </si>
  <si>
    <t>TU_H2Ships_BG-ID</t>
  </si>
  <si>
    <t>TU_H2Ships_CA-ID</t>
  </si>
  <si>
    <t>TU_H2Ships_DK-ID</t>
  </si>
  <si>
    <t>TU_H2Ships_FR-ID</t>
  </si>
  <si>
    <t>TU_H2Ships_DE-ID</t>
  </si>
  <si>
    <t>TU_H2Ships_JP-ID</t>
  </si>
  <si>
    <t>TU_H2Ships_NO-ID</t>
  </si>
  <si>
    <t>TU_H2Ships_RU-ID</t>
  </si>
  <si>
    <t>TU_H2Ships_GB-ID</t>
  </si>
  <si>
    <t>TU_H2Ships_BR-ID</t>
  </si>
  <si>
    <t>TU_H2Ships_AU-IT</t>
  </si>
  <si>
    <t>TU_H2Ships_CO-IT</t>
  </si>
  <si>
    <t>TU_H2Ships_EG-IT</t>
  </si>
  <si>
    <t>TU_H2Ships_ET-IT</t>
  </si>
  <si>
    <t>TU_H2Ships_IN-IT</t>
  </si>
  <si>
    <t>TU_H2Ships_MX-IT</t>
  </si>
  <si>
    <t>TU_H2Ships_OM-IT</t>
  </si>
  <si>
    <t>TU_H2Ships_SA-IT</t>
  </si>
  <si>
    <t>TU_H2Ships_ZA-IT</t>
  </si>
  <si>
    <t>TU_H2Ships_ES-IT</t>
  </si>
  <si>
    <t>TU_H2Ships_US-IT</t>
  </si>
  <si>
    <t>TU_H2Ships_CN-IT</t>
  </si>
  <si>
    <t>TU_H2Ships_ID-IT</t>
  </si>
  <si>
    <t>TU_H2Ships_TR-IT</t>
  </si>
  <si>
    <t>TU_H2Ships_CL-IT</t>
  </si>
  <si>
    <t>TU_H2Ships_KG-IT</t>
  </si>
  <si>
    <t>TU_H2Ships_AT-IT</t>
  </si>
  <si>
    <t>TU_H2Ships_BE-IT</t>
  </si>
  <si>
    <t>TU_H2Ships_BG-IT</t>
  </si>
  <si>
    <t>TU_H2Ships_CA-IT</t>
  </si>
  <si>
    <t>TU_H2Ships_DK-IT</t>
  </si>
  <si>
    <t>TU_H2Ships_FR-IT</t>
  </si>
  <si>
    <t>TU_H2Ships_DE-IT</t>
  </si>
  <si>
    <t>TU_H2Ships_JP-IT</t>
  </si>
  <si>
    <t>TU_H2Ships_NO-IT</t>
  </si>
  <si>
    <t>TU_H2Ships_RU-IT</t>
  </si>
  <si>
    <t>TU_H2Ships_GB-IT</t>
  </si>
  <si>
    <t>TU_H2Ships_BR-IT</t>
  </si>
  <si>
    <t>TU_H2Ships_AU-JP</t>
  </si>
  <si>
    <t>TU_H2Ships_CO-JP</t>
  </si>
  <si>
    <t>TU_H2Ships_EG-JP</t>
  </si>
  <si>
    <t>TU_H2Ships_ET-JP</t>
  </si>
  <si>
    <t>TU_H2Ships_IN-JP</t>
  </si>
  <si>
    <t>TU_H2Ships_MX-JP</t>
  </si>
  <si>
    <t>TU_H2Ships_OM-JP</t>
  </si>
  <si>
    <t>TU_H2Ships_SA-JP</t>
  </si>
  <si>
    <t>TU_H2Ships_ZA-JP</t>
  </si>
  <si>
    <t>TU_H2Ships_ES-JP</t>
  </si>
  <si>
    <t>TU_H2Ships_US-JP</t>
  </si>
  <si>
    <t>TU_H2Ships_CN-JP</t>
  </si>
  <si>
    <t>TU_H2Ships_GR-JP</t>
  </si>
  <si>
    <t>TU_H2Ships_ID-JP</t>
  </si>
  <si>
    <t>TU_H2Ships_TR-JP</t>
  </si>
  <si>
    <t>TU_H2Ships_CL-JP</t>
  </si>
  <si>
    <t>TU_H2Ships_KG-JP</t>
  </si>
  <si>
    <t>TU_H2Ships_AT-JP</t>
  </si>
  <si>
    <t>TU_H2Ships_BE-JP</t>
  </si>
  <si>
    <t>TU_H2Ships_BG-JP</t>
  </si>
  <si>
    <t>TU_H2Ships_CA-JP</t>
  </si>
  <si>
    <t>TU_H2Ships_DK-JP</t>
  </si>
  <si>
    <t>TU_H2Ships_FR-JP</t>
  </si>
  <si>
    <t>TU_H2Ships_DE-JP</t>
  </si>
  <si>
    <t>TU_H2Ships_NO-JP</t>
  </si>
  <si>
    <t>TU_H2Ships_RU-JP</t>
  </si>
  <si>
    <t>TU_H2Ships_GB-JP</t>
  </si>
  <si>
    <t>TU_H2Ships_BR-JP</t>
  </si>
  <si>
    <t>TU_H2Ships_AU-NL</t>
  </si>
  <si>
    <t>TU_H2Ships_CO-NL</t>
  </si>
  <si>
    <t>TU_H2Ships_EG-NL</t>
  </si>
  <si>
    <t>TU_H2Ships_ET-NL</t>
  </si>
  <si>
    <t>TU_H2Ships_IN-NL</t>
  </si>
  <si>
    <t>TU_H2Ships_MX-NL</t>
  </si>
  <si>
    <t>TU_H2Ships_OM-NL</t>
  </si>
  <si>
    <t>TU_H2Ships_SA-NL</t>
  </si>
  <si>
    <t>TU_H2Ships_ZA-NL</t>
  </si>
  <si>
    <t>TU_H2Ships_ES-NL</t>
  </si>
  <si>
    <t>TU_H2Ships_US-NL</t>
  </si>
  <si>
    <t>TU_H2Ships_CN-NL</t>
  </si>
  <si>
    <t>TU_H2Ships_GR-NL</t>
  </si>
  <si>
    <t>TU_H2Ships_ID-NL</t>
  </si>
  <si>
    <t>TU_H2Ships_TR-NL</t>
  </si>
  <si>
    <t>TU_H2Ships_CL-NL</t>
  </si>
  <si>
    <t>TU_H2Ships_KG-NL</t>
  </si>
  <si>
    <t>TU_H2Ships_AT-NL</t>
  </si>
  <si>
    <t>TU_H2Ships_BG-NL</t>
  </si>
  <si>
    <t>TU_H2Ships_CA-NL</t>
  </si>
  <si>
    <t>TU_H2Ships_DK-NL</t>
  </si>
  <si>
    <t>TU_H2Ships_FR-NL</t>
  </si>
  <si>
    <t>TU_H2Ships_DE-NL</t>
  </si>
  <si>
    <t>TU_H2Ships_JP-NL</t>
  </si>
  <si>
    <t>TU_H2Ships_NO-NL</t>
  </si>
  <si>
    <t>TU_H2Ships_RU-NL</t>
  </si>
  <si>
    <t>TU_H2Ships_GB-NL</t>
  </si>
  <si>
    <t>TU_H2Ships_BR-NL</t>
  </si>
  <si>
    <t>TU_H2Ships_AU-NG</t>
  </si>
  <si>
    <t>TU_H2Ships_CO-NG</t>
  </si>
  <si>
    <t>TU_H2Ships_EG-NG</t>
  </si>
  <si>
    <t>TU_H2Ships_IN-NG</t>
  </si>
  <si>
    <t>TU_H2Ships_MX-NG</t>
  </si>
  <si>
    <t>TU_H2Ships_OM-NG</t>
  </si>
  <si>
    <t>TU_H2Ships_SA-NG</t>
  </si>
  <si>
    <t>TU_H2Ships_ZA-NG</t>
  </si>
  <si>
    <t>TU_H2Ships_ES-NG</t>
  </si>
  <si>
    <t>TU_H2Ships_US-NG</t>
  </si>
  <si>
    <t>TU_H2Ships_CN-NG</t>
  </si>
  <si>
    <t>TU_H2Ships_GR-NG</t>
  </si>
  <si>
    <t>TU_H2Ships_ID-NG</t>
  </si>
  <si>
    <t>TU_H2Ships_TR-NG</t>
  </si>
  <si>
    <t>TU_H2Ships_CL-NG</t>
  </si>
  <si>
    <t>TU_H2Ships_KG-NG</t>
  </si>
  <si>
    <t>TU_H2Ships_AT-NG</t>
  </si>
  <si>
    <t>TU_H2Ships_BE-NG</t>
  </si>
  <si>
    <t>TU_H2Ships_BG-NG</t>
  </si>
  <si>
    <t>TU_H2Ships_CA-NG</t>
  </si>
  <si>
    <t>TU_H2Ships_DK-NG</t>
  </si>
  <si>
    <t>TU_H2Ships_FR-NG</t>
  </si>
  <si>
    <t>TU_H2Ships_DE-NG</t>
  </si>
  <si>
    <t>TU_H2Ships_JP-NG</t>
  </si>
  <si>
    <t>TU_H2Ships_NO-NG</t>
  </si>
  <si>
    <t>TU_H2Ships_RU-NG</t>
  </si>
  <si>
    <t>TU_H2Ships_GB-NG</t>
  </si>
  <si>
    <t>TU_H2Ships_BR-NG</t>
  </si>
  <si>
    <t>TU_H2Ships_AU-PL</t>
  </si>
  <si>
    <t>TU_H2Ships_CO-PL</t>
  </si>
  <si>
    <t>TU_H2Ships_EG-PL</t>
  </si>
  <si>
    <t>TU_H2Ships_ET-PL</t>
  </si>
  <si>
    <t>TU_H2Ships_IN-PL</t>
  </si>
  <si>
    <t>TU_H2Ships_MX-PL</t>
  </si>
  <si>
    <t>TU_H2Ships_OM-PL</t>
  </si>
  <si>
    <t>TU_H2Ships_SA-PL</t>
  </si>
  <si>
    <t>TU_H2Ships_ZA-PL</t>
  </si>
  <si>
    <t>TU_H2Ships_ES-PL</t>
  </si>
  <si>
    <t>TU_H2Ships_US-PL</t>
  </si>
  <si>
    <t>TU_H2Ships_CN-PL</t>
  </si>
  <si>
    <t>TU_H2Ships_GR-PL</t>
  </si>
  <si>
    <t>TU_H2Ships_ID-PL</t>
  </si>
  <si>
    <t>TU_H2Ships_TR-PL</t>
  </si>
  <si>
    <t>TU_H2Ships_CL-PL</t>
  </si>
  <si>
    <t>TU_H2Ships_KG-PL</t>
  </si>
  <si>
    <t>TU_H2Ships_BE-PL</t>
  </si>
  <si>
    <t>TU_H2Ships_BG-PL</t>
  </si>
  <si>
    <t>TU_H2Ships_CA-PL</t>
  </si>
  <si>
    <t>TU_H2Ships_DK-PL</t>
  </si>
  <si>
    <t>TU_H2Ships_FR-PL</t>
  </si>
  <si>
    <t>TU_H2Ships_DE-PL</t>
  </si>
  <si>
    <t>TU_H2Ships_JP-PL</t>
  </si>
  <si>
    <t>TU_H2Ships_NO-PL</t>
  </si>
  <si>
    <t>TU_H2Ships_RU-PL</t>
  </si>
  <si>
    <t>TU_H2Ships_GB-PL</t>
  </si>
  <si>
    <t>TU_H2Ships_BR-PL</t>
  </si>
  <si>
    <t>TU_H2Ships_AU-ZA</t>
  </si>
  <si>
    <t>TU_H2Ships_CO-ZA</t>
  </si>
  <si>
    <t>TU_H2Ships_EG-ZA</t>
  </si>
  <si>
    <t>TU_H2Ships_ET-ZA</t>
  </si>
  <si>
    <t>TU_H2Ships_IN-ZA</t>
  </si>
  <si>
    <t>TU_H2Ships_MX-ZA</t>
  </si>
  <si>
    <t>TU_H2Ships_OM-ZA</t>
  </si>
  <si>
    <t>TU_H2Ships_SA-ZA</t>
  </si>
  <si>
    <t>TU_H2Ships_ES-ZA</t>
  </si>
  <si>
    <t>TU_H2Ships_US-ZA</t>
  </si>
  <si>
    <t>TU_H2Ships_CN-ZA</t>
  </si>
  <si>
    <t>TU_H2Ships_GR-ZA</t>
  </si>
  <si>
    <t>TU_H2Ships_ID-ZA</t>
  </si>
  <si>
    <t>TU_H2Ships_TR-ZA</t>
  </si>
  <si>
    <t>TU_H2Ships_CL-ZA</t>
  </si>
  <si>
    <t>TU_H2Ships_KG-ZA</t>
  </si>
  <si>
    <t>TU_H2Ships_AT-ZA</t>
  </si>
  <si>
    <t>TU_H2Ships_BE-ZA</t>
  </si>
  <si>
    <t>TU_H2Ships_BG-ZA</t>
  </si>
  <si>
    <t>TU_H2Ships_CA-ZA</t>
  </si>
  <si>
    <t>TU_H2Ships_DK-ZA</t>
  </si>
  <si>
    <t>TU_H2Ships_FR-ZA</t>
  </si>
  <si>
    <t>TU_H2Ships_DE-ZA</t>
  </si>
  <si>
    <t>TU_H2Ships_JP-ZA</t>
  </si>
  <si>
    <t>TU_H2Ships_NO-ZA</t>
  </si>
  <si>
    <t>TU_H2Ships_RU-ZA</t>
  </si>
  <si>
    <t>TU_H2Ships_GB-ZA</t>
  </si>
  <si>
    <t>TU_H2Ships_BR-ZA</t>
  </si>
  <si>
    <t>TU_H2Ships_AU-ES</t>
  </si>
  <si>
    <t>TU_H2Ships_CO-ES</t>
  </si>
  <si>
    <t>TU_H2Ships_EG-ES</t>
  </si>
  <si>
    <t>TU_H2Ships_ET-ES</t>
  </si>
  <si>
    <t>TU_H2Ships_IN-ES</t>
  </si>
  <si>
    <t>TU_H2Ships_MX-ES</t>
  </si>
  <si>
    <t>TU_H2Ships_OM-ES</t>
  </si>
  <si>
    <t>TU_H2Ships_SA-ES</t>
  </si>
  <si>
    <t>TU_H2Ships_ZA-ES</t>
  </si>
  <si>
    <t>TU_H2Ships_US-ES</t>
  </si>
  <si>
    <t>TU_H2Ships_CN-ES</t>
  </si>
  <si>
    <t>TU_H2Ships_GR-ES</t>
  </si>
  <si>
    <t>TU_H2Ships_ID-ES</t>
  </si>
  <si>
    <t>TU_H2Ships_TR-ES</t>
  </si>
  <si>
    <t>TU_H2Ships_CL-ES</t>
  </si>
  <si>
    <t>TU_H2Ships_KG-ES</t>
  </si>
  <si>
    <t>TU_H2Ships_AT-ES</t>
  </si>
  <si>
    <t>TU_H2Ships_BE-ES</t>
  </si>
  <si>
    <t>TU_H2Ships_BG-ES</t>
  </si>
  <si>
    <t>TU_H2Ships_CA-ES</t>
  </si>
  <si>
    <t>TU_H2Ships_DK-ES</t>
  </si>
  <si>
    <t>TU_H2Ships_FR-ES</t>
  </si>
  <si>
    <t>TU_H2Ships_DE-ES</t>
  </si>
  <si>
    <t>TU_H2Ships_JP-ES</t>
  </si>
  <si>
    <t>TU_H2Ships_NO-ES</t>
  </si>
  <si>
    <t>TU_H2Ships_RU-ES</t>
  </si>
  <si>
    <t>TU_H2Ships_GB-ES</t>
  </si>
  <si>
    <t>TU_H2Ships_BR-ES</t>
  </si>
  <si>
    <t>TU_H2Ships_AU-GB</t>
  </si>
  <si>
    <t>TU_H2Ships_CO-GB</t>
  </si>
  <si>
    <t>TU_H2Ships_EG-GB</t>
  </si>
  <si>
    <t>TU_H2Ships_ET-GB</t>
  </si>
  <si>
    <t>TU_H2Ships_IN-GB</t>
  </si>
  <si>
    <t>TU_H2Ships_MX-GB</t>
  </si>
  <si>
    <t>TU_H2Ships_OM-GB</t>
  </si>
  <si>
    <t>TU_H2Ships_SA-GB</t>
  </si>
  <si>
    <t>TU_H2Ships_ZA-GB</t>
  </si>
  <si>
    <t>TU_H2Ships_ES-GB</t>
  </si>
  <si>
    <t>TU_H2Ships_US-GB</t>
  </si>
  <si>
    <t>TU_H2Ships_CN-GB</t>
  </si>
  <si>
    <t>TU_H2Ships_GR-GB</t>
  </si>
  <si>
    <t>TU_H2Ships_ID-GB</t>
  </si>
  <si>
    <t>TU_H2Ships_TR-GB</t>
  </si>
  <si>
    <t>TU_H2Ships_CL-GB</t>
  </si>
  <si>
    <t>TU_H2Ships_KG-GB</t>
  </si>
  <si>
    <t>TU_H2Ships_AT-GB</t>
  </si>
  <si>
    <t>TU_H2Ships_BE-GB</t>
  </si>
  <si>
    <t>TU_H2Ships_BG-GB</t>
  </si>
  <si>
    <t>TU_H2Ships_CA-GB</t>
  </si>
  <si>
    <t>TU_H2Ships_DK-GB</t>
  </si>
  <si>
    <t>TU_H2Ships_FR-GB</t>
  </si>
  <si>
    <t>TU_H2Ships_DE-GB</t>
  </si>
  <si>
    <t>TU_H2Ships_JP-GB</t>
  </si>
  <si>
    <t>TU_H2Ships_NO-GB</t>
  </si>
  <si>
    <t>TU_H2Ships_RU-GB</t>
  </si>
  <si>
    <t>TU_H2Ships_BR-GB</t>
  </si>
  <si>
    <t>TU_H2Ships_AU-US</t>
  </si>
  <si>
    <t>TU_H2Ships_CO-US</t>
  </si>
  <si>
    <t>TU_H2Ships_EG-US</t>
  </si>
  <si>
    <t>TU_H2Ships_ET-US</t>
  </si>
  <si>
    <t>TU_H2Ships_IN-US</t>
  </si>
  <si>
    <t>TU_H2Ships_MX-US</t>
  </si>
  <si>
    <t>TU_H2Ships_OM-US</t>
  </si>
  <si>
    <t>TU_H2Ships_SA-US</t>
  </si>
  <si>
    <t>TU_H2Ships_ZA-US</t>
  </si>
  <si>
    <t>TU_H2Ships_ES-US</t>
  </si>
  <si>
    <t>TU_H2Ships_CN-US</t>
  </si>
  <si>
    <t>TU_H2Ships_GR-US</t>
  </si>
  <si>
    <t>TU_H2Ships_ID-US</t>
  </si>
  <si>
    <t>TU_H2Ships_TR-US</t>
  </si>
  <si>
    <t>TU_H2Ships_CL-US</t>
  </si>
  <si>
    <t>TU_H2Ships_KG-US</t>
  </si>
  <si>
    <t>TU_H2Ships_AT-US</t>
  </si>
  <si>
    <t>TU_H2Ships_BE-US</t>
  </si>
  <si>
    <t>TU_H2Ships_BG-US</t>
  </si>
  <si>
    <t>TU_H2Ships_CA-US</t>
  </si>
  <si>
    <t>TU_H2Ships_DK-US</t>
  </si>
  <si>
    <t>TU_H2Ships_FR-US</t>
  </si>
  <si>
    <t>TU_H2Ships_DE-US</t>
  </si>
  <si>
    <t>TU_H2Ships_JP-US</t>
  </si>
  <si>
    <t>TU_H2Ships_NO-US</t>
  </si>
  <si>
    <t>TU_H2Ships_RU-US</t>
  </si>
  <si>
    <t>TU_H2Ships_GB-US</t>
  </si>
  <si>
    <t>TU_H2Ships_BR-US</t>
  </si>
  <si>
    <t>TU_H2Pip_BO-BR</t>
  </si>
  <si>
    <t>TU_H2Pip_CL-BR</t>
  </si>
  <si>
    <t>TU_H2Pip_BO-CL</t>
  </si>
  <si>
    <t>TU_H2Pip_BR-CL</t>
  </si>
  <si>
    <t>TU_H2Pip_IR-CN</t>
  </si>
  <si>
    <t>TU_H2Pip_KG-CN</t>
  </si>
  <si>
    <t>TU_H2Pip_MM-CN</t>
  </si>
  <si>
    <t>TU_H2Pip_RU-CN</t>
  </si>
  <si>
    <t>TU_H2Pip_IR-FR</t>
  </si>
  <si>
    <t>TU_H2Pip_KG-FR</t>
  </si>
  <si>
    <t>TU_H2Pip_RU-FR</t>
  </si>
  <si>
    <t>TU_H2Pip_MA-FR</t>
  </si>
  <si>
    <t>TU_H2Pip_ES-FR</t>
  </si>
  <si>
    <t>TU_H2Pip_GR-FR</t>
  </si>
  <si>
    <t>TU_H2Pip_TR-FR</t>
  </si>
  <si>
    <t>TU_H2Pip_AT-FR</t>
  </si>
  <si>
    <t>TU_H2Pip_BE-FR</t>
  </si>
  <si>
    <t>TU_H2Pip_BG-FR</t>
  </si>
  <si>
    <t>TU_H2Pip_DK-FR</t>
  </si>
  <si>
    <t>TU_H2Pip_DE-FR</t>
  </si>
  <si>
    <t>TU_H2Pip_NO-FR</t>
  </si>
  <si>
    <t>TU_H2Pip_GB-FR</t>
  </si>
  <si>
    <t>TU_H2Pip_IR-DE</t>
  </si>
  <si>
    <t>TU_H2Pip_KG-DE</t>
  </si>
  <si>
    <t>TU_H2Pip_RU-DE</t>
  </si>
  <si>
    <t>TU_H2Pip_MA-DE</t>
  </si>
  <si>
    <t>TU_H2Pip_ES-DE</t>
  </si>
  <si>
    <t>TU_H2Pip_GR-DE</t>
  </si>
  <si>
    <t>TU_H2Pip_TR-DE</t>
  </si>
  <si>
    <t>TU_H2Pip_AT-DE</t>
  </si>
  <si>
    <t>TU_H2Pip_BE-DE</t>
  </si>
  <si>
    <t>TU_H2Pip_BG-DE</t>
  </si>
  <si>
    <t>TU_H2Pip_DK-DE</t>
  </si>
  <si>
    <t>TU_H2Pip_NO-DE</t>
  </si>
  <si>
    <t>TU_H2Pip_GB-DE</t>
  </si>
  <si>
    <t>TU_H2Pip_FR-DE</t>
  </si>
  <si>
    <t>TU_H2Pip_IR-IT</t>
  </si>
  <si>
    <t>TU_H2Pip_KG-IT</t>
  </si>
  <si>
    <t>TU_H2Pip_RU-IT</t>
  </si>
  <si>
    <t>TU_H2Pip_MA-IT</t>
  </si>
  <si>
    <t>TU_H2Pip_ES-IT</t>
  </si>
  <si>
    <t>TU_H2Pip_TR-IT</t>
  </si>
  <si>
    <t>TU_H2Pip_AT-IT</t>
  </si>
  <si>
    <t>TU_H2Pip_BE-IT</t>
  </si>
  <si>
    <t>TU_H2Pip_BG-IT</t>
  </si>
  <si>
    <t>TU_H2Pip_DK-IT</t>
  </si>
  <si>
    <t>TU_H2Pip_DE-IT</t>
  </si>
  <si>
    <t>TU_H2Pip_NO-IT</t>
  </si>
  <si>
    <t>TU_H2Pip_GB-IT</t>
  </si>
  <si>
    <t>TU_H2Pip_FR-IT</t>
  </si>
  <si>
    <t>TU_H2Pip_IR-NL</t>
  </si>
  <si>
    <t>TU_H2Pip_KG-NL</t>
  </si>
  <si>
    <t>TU_H2Pip_RU-NL</t>
  </si>
  <si>
    <t>TU_H2Pip_MA-NL</t>
  </si>
  <si>
    <t>TU_H2Pip_ES-NL</t>
  </si>
  <si>
    <t>TU_H2Pip_GR-NL</t>
  </si>
  <si>
    <t>TU_H2Pip_TR-NL</t>
  </si>
  <si>
    <t>TU_H2Pip_AT-NL</t>
  </si>
  <si>
    <t>TU_H2Pip_BG-NL</t>
  </si>
  <si>
    <t>TU_H2Pip_DK-NL</t>
  </si>
  <si>
    <t>TU_H2Pip_DE-NL</t>
  </si>
  <si>
    <t>TU_H2Pip_NO-NL</t>
  </si>
  <si>
    <t>TU_H2Pip_GB-NL</t>
  </si>
  <si>
    <t>TU_H2Pip_FR-NL</t>
  </si>
  <si>
    <t>TU_H2Pip_IR-PL</t>
  </si>
  <si>
    <t>TU_H2Pip_KG-PL</t>
  </si>
  <si>
    <t>TU_H2Pip_RU-PL</t>
  </si>
  <si>
    <t>TU_H2Pip_MA-PL</t>
  </si>
  <si>
    <t>TU_H2Pip_ES-PL</t>
  </si>
  <si>
    <t>TU_H2Pip_GR-PL</t>
  </si>
  <si>
    <t>TU_H2Pip_TR-PL</t>
  </si>
  <si>
    <t>TU_H2Pip_BE-PL</t>
  </si>
  <si>
    <t>TU_H2Pip_BG-PL</t>
  </si>
  <si>
    <t>TU_H2Pip_DK-PL</t>
  </si>
  <si>
    <t>TU_H2Pip_DE-PL</t>
  </si>
  <si>
    <t>TU_H2Pip_NO-PL</t>
  </si>
  <si>
    <t>TU_H2Pip_GB-PL</t>
  </si>
  <si>
    <t>TU_H2Pip_FR-PL</t>
  </si>
  <si>
    <t>TU_H2Pip_IR-ES</t>
  </si>
  <si>
    <t>TU_H2Pip_KG-ES</t>
  </si>
  <si>
    <t>TU_H2Pip_RU-ES</t>
  </si>
  <si>
    <t>TU_H2Pip_MA-ES</t>
  </si>
  <si>
    <t>TU_H2Pip_GR-ES</t>
  </si>
  <si>
    <t>TU_H2Pip_TR-ES</t>
  </si>
  <si>
    <t>TU_H2Pip_AT-ES</t>
  </si>
  <si>
    <t>TU_H2Pip_BE-ES</t>
  </si>
  <si>
    <t>TU_H2Pip_BG-ES</t>
  </si>
  <si>
    <t>TU_H2Pip_DK-ES</t>
  </si>
  <si>
    <t>TU_H2Pip_DE-ES</t>
  </si>
  <si>
    <t>TU_H2Pip_NO-ES</t>
  </si>
  <si>
    <t>TU_H2Pip_GB-ES</t>
  </si>
  <si>
    <t>TU_H2Pip_FR-ES</t>
  </si>
  <si>
    <t>TU_H2Pip_CN-ES</t>
  </si>
  <si>
    <t>TU_H2Pip_IR-GB</t>
  </si>
  <si>
    <t>TU_H2Pip_KG-GB</t>
  </si>
  <si>
    <t>TU_H2Pip_RU-GB</t>
  </si>
  <si>
    <t>TU_H2Pip_MA-GB</t>
  </si>
  <si>
    <t>TU_H2Pip_ES-GB</t>
  </si>
  <si>
    <t>TU_H2Pip_GR-GB</t>
  </si>
  <si>
    <t>TU_H2Pip_TR-GB</t>
  </si>
  <si>
    <t>TU_H2Pip_AT-GB</t>
  </si>
  <si>
    <t>TU_H2Pip_BE-GB</t>
  </si>
  <si>
    <t>TU_H2Pip_BG-GB</t>
  </si>
  <si>
    <t>TU_H2Pip_DK-GB</t>
  </si>
  <si>
    <t>TU_H2Pip_DE-GB</t>
  </si>
  <si>
    <t>TU_H2Pip_NO-GB</t>
  </si>
  <si>
    <t>TU_H2Pip_FR-GB</t>
  </si>
  <si>
    <t>TU_H2Pip_CN-GB</t>
  </si>
  <si>
    <t>TU_H2Pip_IL-EG</t>
  </si>
  <si>
    <t>TU_H2Pip_PK-IN</t>
  </si>
  <si>
    <t>TU_H2Pip_MZ-ZA</t>
  </si>
  <si>
    <t>TU_H2Pip_MX-US</t>
  </si>
  <si>
    <t>TU_H2Pip_CA-US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</si>
</sst>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1" formatCode="_-* #,##0_-;\-* #,##0_-;_-* &quot;-&quot;_-;_-@_-"/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&quot;$&quot;#,##0_);\(&quot;$&quot;#,##0\)"/>
    <numFmt numFmtId="167" formatCode="_([$€]* #,##0.00_);_([$€]* \(#,##0.00\);_([$€]* &quot;-&quot;??_);_(@_)"/>
    <numFmt numFmtId="168" formatCode="_ &quot;kr&quot;\ * #,##0_ ;_ &quot;kr&quot;\ * \-#,##0_ ;_ &quot;kr&quot;\ * &quot;-&quot;_ ;_ @_ "/>
    <numFmt numFmtId="169" formatCode="_ &quot;kr&quot;\ * #,##0.00_ ;_ &quot;kr&quot;\ * \-#,##0.00_ ;_ &quot;kr&quot;\ * &quot;-&quot;??_ ;_ @_ "/>
    <numFmt numFmtId="170" formatCode="_([$€-2]* #,##0.00_);_([$€-2]* \(#,##0.00\);_([$€-2]* &quot;-&quot;??_)"/>
    <numFmt numFmtId="171" formatCode="_-[$€]* #,##0.00_-;\-[$€]* #,##0.00_-;_-[$€]* &quot;-&quot;??_-;_-@_-"/>
    <numFmt numFmtId="172" formatCode="_-&quot;$&quot;* #,##0.00_-;\-&quot;$&quot;* #,##0.00_-;_-&quot;$&quot;* &quot;-&quot;??_-;_-@_-"/>
    <numFmt numFmtId="173" formatCode="_-* #,##0.00\ _€_-;\-* #,##0.00\ _€_-;_-* &quot;-&quot;??\ _€_-;_-@_-"/>
    <numFmt numFmtId="174" formatCode="0.0%"/>
    <numFmt numFmtId="175" formatCode="\(##\);\(##\)"/>
    <numFmt numFmtId="176" formatCode="#,##0.0"/>
    <numFmt numFmtId="177" formatCode="_-[$€-2]\ * #,##0.00_-;\-[$€-2]\ * #,##0.00_-;_-[$€-2]\ * &quot;-&quot;??_-"/>
    <numFmt numFmtId="178" formatCode="#,##0;\-\ #,##0;_-\ &quot;- &quot;"/>
    <numFmt numFmtId="179" formatCode="_-&quot;€&quot;\ * #,##0.00_-;\-&quot;€&quot;\ * #,##0.00_-;_-&quot;€&quot;\ * &quot;-&quot;??_-;_-@_-"/>
    <numFmt numFmtId="180" formatCode="General_)"/>
    <numFmt numFmtId="181" formatCode="m\o\n\th\ d\,\ yyyy"/>
    <numFmt numFmtId="182" formatCode="#.00"/>
    <numFmt numFmtId="183" formatCode="#."/>
    <numFmt numFmtId="184" formatCode="yyyy"/>
    <numFmt numFmtId="186" formatCode="_-* #,##0_-;\-* #,##0_-;_-* &quot;-&quot;_-;_-@_-"/>
    <numFmt numFmtId="188" formatCode="_-* #,##0.00_-;\-* #,##0.00_-;_-* &quot;-&quot;??_-;_-@_-"/>
  </numFmts>
  <fonts count="68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11"/>
      <color indexed="60"/>
      <name val="Calibri"/>
      <family val="2"/>
      <charset val="161"/>
    </font>
    <font>
      <sz val="10"/>
      <name val="Helvetica"/>
      <family val="2"/>
    </font>
    <font>
      <sz val="8"/>
      <color indexed="9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u/>
      <sz val="10"/>
      <color indexed="12"/>
      <name val="Arial"/>
      <family val="2"/>
    </font>
    <font>
      <b/>
      <sz val="11"/>
      <color indexed="10"/>
      <name val="Calibri"/>
      <family val="2"/>
    </font>
    <font>
      <u/>
      <sz val="12"/>
      <color indexed="20"/>
      <name val="宋体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2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3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229">
    <xf numFmtId="0" fontId="0" fillId="0" borderId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3" fillId="2" borderId="0" applyNumberFormat="0" applyBorder="0" applyAlignment="0" applyProtection="0"/>
    <xf numFmtId="0" fontId="4" fillId="10" borderId="1" applyNumberFormat="0" applyAlignment="0" applyProtection="0"/>
    <xf numFmtId="0" fontId="5" fillId="3" borderId="0" applyNumberFormat="0" applyBorder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1" borderId="0" applyNumberFormat="0" applyBorder="0" applyAlignment="0" applyProtection="0"/>
    <xf numFmtId="0" fontId="13" fillId="0" borderId="0"/>
    <xf numFmtId="0" fontId="1" fillId="0" borderId="0"/>
    <xf numFmtId="0" fontId="13" fillId="0" borderId="0"/>
    <xf numFmtId="0" fontId="13" fillId="12" borderId="7" applyNumberFormat="0" applyFont="0" applyAlignment="0" applyProtection="0"/>
    <xf numFmtId="0" fontId="11" fillId="0" borderId="0" applyNumberFormat="0" applyFill="0" applyBorder="0" applyAlignment="0" applyProtection="0"/>
    <xf numFmtId="0" fontId="12" fillId="0" borderId="2" applyNumberFormat="0" applyFill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6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18" fillId="25" borderId="8" applyNumberFormat="0" applyAlignment="0" applyProtection="0"/>
    <xf numFmtId="0" fontId="18" fillId="25" borderId="8" applyNumberFormat="0" applyAlignment="0" applyProtection="0"/>
    <xf numFmtId="0" fontId="4" fillId="10" borderId="1" applyNumberFormat="0" applyAlignment="0" applyProtection="0"/>
    <xf numFmtId="0" fontId="4" fillId="10" borderId="1" applyNumberFormat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6" fillId="0" borderId="3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20" fillId="18" borderId="8" applyNumberFormat="0" applyAlignment="0" applyProtection="0"/>
    <xf numFmtId="0" fontId="20" fillId="18" borderId="8" applyNumberFormat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25" fillId="11" borderId="0" applyNumberFormat="0" applyBorder="0" applyAlignment="0" applyProtection="0"/>
    <xf numFmtId="0" fontId="13" fillId="0" borderId="0"/>
    <xf numFmtId="0" fontId="15" fillId="0" borderId="0"/>
    <xf numFmtId="0" fontId="13" fillId="0" borderId="0"/>
    <xf numFmtId="0" fontId="13" fillId="0" borderId="0"/>
    <xf numFmtId="0" fontId="1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5" fillId="0" borderId="0"/>
    <xf numFmtId="0" fontId="1" fillId="0" borderId="0"/>
    <xf numFmtId="0" fontId="15" fillId="0" borderId="0"/>
    <xf numFmtId="0" fontId="1" fillId="0" borderId="0"/>
    <xf numFmtId="0" fontId="15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 applyNumberFormat="0" applyFont="0" applyFill="0" applyBorder="0" applyAlignment="0" applyProtection="0"/>
    <xf numFmtId="0" fontId="23" fillId="0" borderId="0"/>
    <xf numFmtId="0" fontId="1" fillId="12" borderId="7" applyNumberFormat="0" applyFont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0" fontId="21" fillId="25" borderId="9" applyNumberFormat="0" applyAlignment="0" applyProtection="0"/>
    <xf numFmtId="0" fontId="21" fillId="25" borderId="9" applyNumberFormat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3" fillId="0" borderId="0"/>
    <xf numFmtId="0" fontId="13" fillId="0" borderId="10" applyNumberFormat="0" applyFill="0" applyProtection="0">
      <alignment horizontal="right"/>
    </xf>
    <xf numFmtId="0" fontId="13" fillId="0" borderId="10" applyNumberFormat="0" applyFill="0" applyProtection="0">
      <alignment horizontal="right"/>
    </xf>
    <xf numFmtId="0" fontId="17" fillId="26" borderId="10" applyNumberFormat="0" applyProtection="0">
      <alignment horizontal="right"/>
    </xf>
    <xf numFmtId="0" fontId="24" fillId="26" borderId="0" applyNumberFormat="0" applyBorder="0" applyProtection="0">
      <alignment horizontal="left"/>
    </xf>
    <xf numFmtId="0" fontId="17" fillId="26" borderId="10" applyNumberFormat="0" applyProtection="0">
      <alignment horizontal="left"/>
    </xf>
    <xf numFmtId="0" fontId="13" fillId="0" borderId="10" applyNumberFormat="0" applyFill="0" applyProtection="0">
      <alignment horizontal="right"/>
    </xf>
    <xf numFmtId="0" fontId="13" fillId="0" borderId="10" applyNumberFormat="0" applyFill="0" applyProtection="0">
      <alignment horizontal="right"/>
    </xf>
    <xf numFmtId="0" fontId="27" fillId="27" borderId="0" applyNumberFormat="0" applyBorder="0" applyProtection="0">
      <alignment horizontal="left"/>
    </xf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2" applyNumberFormat="0" applyFill="0" applyAlignment="0" applyProtection="0"/>
    <xf numFmtId="169" fontId="2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5" fillId="0" borderId="0"/>
    <xf numFmtId="0" fontId="15" fillId="0" borderId="0"/>
    <xf numFmtId="0" fontId="13" fillId="0" borderId="0"/>
    <xf numFmtId="0" fontId="13" fillId="0" borderId="0" applyNumberFormat="0" applyFont="0" applyFill="0" applyBorder="0" applyProtection="0">
      <alignment horizontal="left" vertical="center" indent="5"/>
    </xf>
    <xf numFmtId="4" fontId="28" fillId="28" borderId="10">
      <alignment horizontal="right" vertical="center"/>
    </xf>
    <xf numFmtId="4" fontId="28" fillId="28" borderId="10">
      <alignment horizontal="right" vertical="center"/>
    </xf>
    <xf numFmtId="0" fontId="29" fillId="0" borderId="12">
      <alignment horizontal="left" vertical="center" wrapText="1" indent="2"/>
    </xf>
    <xf numFmtId="167" fontId="13" fillId="0" borderId="0" applyFont="0" applyFill="0" applyBorder="0" applyAlignment="0" applyProtection="0"/>
    <xf numFmtId="4" fontId="29" fillId="0" borderId="0" applyBorder="0">
      <alignment horizontal="right" vertical="center"/>
    </xf>
    <xf numFmtId="0" fontId="13" fillId="0" borderId="0"/>
    <xf numFmtId="0" fontId="15" fillId="0" borderId="0"/>
    <xf numFmtId="4" fontId="29" fillId="0" borderId="10" applyFill="0" applyBorder="0" applyProtection="0">
      <alignment horizontal="right" vertical="center"/>
    </xf>
    <xf numFmtId="0" fontId="30" fillId="0" borderId="0" applyNumberFormat="0" applyFill="0" applyBorder="0" applyProtection="0">
      <alignment horizontal="left" vertical="center"/>
    </xf>
    <xf numFmtId="0" fontId="13" fillId="29" borderId="0" applyNumberFormat="0" applyFont="0" applyBorder="0" applyAlignment="0" applyProtection="0"/>
    <xf numFmtId="4" fontId="29" fillId="0" borderId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3" fillId="0" borderId="0" applyNumberFormat="0" applyFont="0" applyFill="0" applyBorder="0" applyProtection="0">
      <alignment horizontal="left" vertical="center" indent="5"/>
    </xf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2" fillId="32" borderId="8" applyNumberFormat="0" applyAlignment="0" applyProtection="0"/>
    <xf numFmtId="0" fontId="32" fillId="32" borderId="8" applyNumberFormat="0" applyAlignment="0" applyProtection="0"/>
    <xf numFmtId="0" fontId="32" fillId="32" borderId="8" applyNumberFormat="0" applyAlignment="0" applyProtection="0"/>
    <xf numFmtId="0" fontId="32" fillId="32" borderId="8" applyNumberFormat="0" applyAlignment="0" applyProtection="0"/>
    <xf numFmtId="0" fontId="32" fillId="32" borderId="8" applyNumberFormat="0" applyAlignment="0" applyProtection="0"/>
    <xf numFmtId="0" fontId="32" fillId="32" borderId="8" applyNumberFormat="0" applyAlignment="0" applyProtection="0"/>
    <xf numFmtId="0" fontId="32" fillId="32" borderId="8" applyNumberFormat="0" applyAlignment="0" applyProtection="0"/>
    <xf numFmtId="0" fontId="32" fillId="32" borderId="8" applyNumberFormat="0" applyAlignment="0" applyProtection="0"/>
    <xf numFmtId="0" fontId="32" fillId="32" borderId="8" applyNumberFormat="0" applyAlignment="0" applyProtection="0"/>
    <xf numFmtId="0" fontId="32" fillId="32" borderId="8" applyNumberFormat="0" applyAlignment="0" applyProtection="0"/>
    <xf numFmtId="0" fontId="4" fillId="10" borderId="1" applyNumberFormat="0" applyAlignment="0" applyProtection="0"/>
    <xf numFmtId="0" fontId="4" fillId="10" borderId="1" applyNumberFormat="0" applyAlignment="0" applyProtection="0"/>
    <xf numFmtId="0" fontId="4" fillId="10" borderId="1" applyNumberFormat="0" applyAlignment="0" applyProtection="0"/>
    <xf numFmtId="0" fontId="4" fillId="10" borderId="1" applyNumberFormat="0" applyAlignment="0" applyProtection="0"/>
    <xf numFmtId="0" fontId="4" fillId="10" borderId="1" applyNumberFormat="0" applyAlignment="0" applyProtection="0"/>
    <xf numFmtId="0" fontId="4" fillId="10" borderId="1" applyNumberFormat="0" applyAlignment="0" applyProtection="0"/>
    <xf numFmtId="0" fontId="4" fillId="10" borderId="1" applyNumberFormat="0" applyAlignment="0" applyProtection="0"/>
    <xf numFmtId="0" fontId="4" fillId="10" borderId="1" applyNumberFormat="0" applyAlignment="0" applyProtection="0"/>
    <xf numFmtId="0" fontId="4" fillId="10" borderId="1" applyNumberFormat="0" applyAlignment="0" applyProtection="0"/>
    <xf numFmtId="49" fontId="13" fillId="33" borderId="13">
      <alignment vertical="top" wrapText="1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0" fontId="42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0" fontId="4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13" fillId="0" borderId="0" applyFont="0" applyFill="0" applyBorder="0" applyAlignment="0" applyProtection="0"/>
    <xf numFmtId="181" fontId="49" fillId="0" borderId="0">
      <protection locked="0"/>
    </xf>
    <xf numFmtId="181" fontId="49" fillId="0" borderId="0">
      <protection locked="0"/>
    </xf>
    <xf numFmtId="3" fontId="34" fillId="0" borderId="13">
      <alignment horizontal="right" vertical="top"/>
    </xf>
    <xf numFmtId="0" fontId="17" fillId="34" borderId="10">
      <alignment horizontal="centerContinuous" vertical="top" wrapText="1"/>
    </xf>
    <xf numFmtId="0" fontId="35" fillId="0" borderId="0">
      <alignment vertical="top" wrapText="1"/>
    </xf>
    <xf numFmtId="177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82" fontId="49" fillId="0" borderId="0">
      <protection locked="0"/>
    </xf>
    <xf numFmtId="182" fontId="49" fillId="0" borderId="0">
      <protection locked="0"/>
    </xf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83" fontId="50" fillId="0" borderId="0">
      <protection locked="0"/>
    </xf>
    <xf numFmtId="183" fontId="50" fillId="0" borderId="0">
      <protection locked="0"/>
    </xf>
    <xf numFmtId="183" fontId="50" fillId="0" borderId="0">
      <protection locked="0"/>
    </xf>
    <xf numFmtId="183" fontId="50" fillId="0" borderId="0"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20" fillId="11" borderId="8" applyNumberFormat="0" applyAlignment="0" applyProtection="0"/>
    <xf numFmtId="0" fontId="20" fillId="11" borderId="8" applyNumberFormat="0" applyAlignment="0" applyProtection="0"/>
    <xf numFmtId="0" fontId="20" fillId="11" borderId="8" applyNumberFormat="0" applyAlignment="0" applyProtection="0"/>
    <xf numFmtId="0" fontId="20" fillId="11" borderId="8" applyNumberFormat="0" applyAlignment="0" applyProtection="0"/>
    <xf numFmtId="0" fontId="20" fillId="11" borderId="8" applyNumberFormat="0" applyAlignment="0" applyProtection="0"/>
    <xf numFmtId="0" fontId="20" fillId="11" borderId="8" applyNumberFormat="0" applyAlignment="0" applyProtection="0"/>
    <xf numFmtId="0" fontId="20" fillId="11" borderId="8" applyNumberFormat="0" applyAlignment="0" applyProtection="0"/>
    <xf numFmtId="0" fontId="20" fillId="11" borderId="8" applyNumberFormat="0" applyAlignment="0" applyProtection="0"/>
    <xf numFmtId="0" fontId="20" fillId="11" borderId="8" applyNumberFormat="0" applyAlignment="0" applyProtection="0"/>
    <xf numFmtId="0" fontId="20" fillId="11" borderId="8" applyNumberFormat="0" applyAlignment="0" applyProtection="0"/>
    <xf numFmtId="0" fontId="36" fillId="0" borderId="0"/>
    <xf numFmtId="0" fontId="22" fillId="0" borderId="17" applyNumberFormat="0" applyFill="0" applyAlignment="0" applyProtection="0"/>
    <xf numFmtId="0" fontId="22" fillId="0" borderId="17" applyNumberFormat="0" applyFill="0" applyAlignment="0" applyProtection="0"/>
    <xf numFmtId="0" fontId="22" fillId="0" borderId="17" applyNumberFormat="0" applyFill="0" applyAlignment="0" applyProtection="0"/>
    <xf numFmtId="0" fontId="22" fillId="0" borderId="17" applyNumberFormat="0" applyFill="0" applyAlignment="0" applyProtection="0"/>
    <xf numFmtId="0" fontId="22" fillId="0" borderId="17" applyNumberFormat="0" applyFill="0" applyAlignment="0" applyProtection="0"/>
    <xf numFmtId="0" fontId="22" fillId="0" borderId="17" applyNumberFormat="0" applyFill="0" applyAlignment="0" applyProtection="0"/>
    <xf numFmtId="0" fontId="22" fillId="0" borderId="17" applyNumberFormat="0" applyFill="0" applyAlignment="0" applyProtection="0"/>
    <xf numFmtId="0" fontId="22" fillId="0" borderId="17" applyNumberFormat="0" applyFill="0" applyAlignment="0" applyProtection="0"/>
    <xf numFmtId="0" fontId="22" fillId="0" borderId="17" applyNumberFormat="0" applyFill="0" applyAlignment="0" applyProtection="0"/>
    <xf numFmtId="0" fontId="22" fillId="0" borderId="17" applyNumberFormat="0" applyFill="0" applyAlignment="0" applyProtection="0"/>
    <xf numFmtId="173" fontId="13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10" fillId="11" borderId="0" applyNumberFormat="0" applyBorder="0" applyAlignment="0" applyProtection="0"/>
    <xf numFmtId="0" fontId="46" fillId="11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166" fontId="47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166" fontId="47" fillId="0" borderId="0">
      <alignment vertical="center"/>
    </xf>
    <xf numFmtId="166" fontId="47" fillId="0" borderId="0">
      <alignment vertical="center"/>
    </xf>
    <xf numFmtId="166" fontId="47" fillId="0" borderId="0">
      <alignment vertical="center"/>
    </xf>
    <xf numFmtId="166" fontId="47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6" fontId="47" fillId="0" borderId="0">
      <alignment vertical="center"/>
    </xf>
    <xf numFmtId="166" fontId="47" fillId="0" borderId="0">
      <alignment vertical="center"/>
    </xf>
    <xf numFmtId="166" fontId="47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166" fontId="47" fillId="0" borderId="0">
      <alignment vertical="center"/>
    </xf>
    <xf numFmtId="166" fontId="47" fillId="0" borderId="0">
      <alignment vertical="center"/>
    </xf>
    <xf numFmtId="166" fontId="47" fillId="0" borderId="0">
      <alignment vertical="center"/>
    </xf>
    <xf numFmtId="166" fontId="47" fillId="0" borderId="0">
      <alignment vertical="center"/>
    </xf>
    <xf numFmtId="0" fontId="15" fillId="0" borderId="0"/>
    <xf numFmtId="174" fontId="47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47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0" fontId="47" fillId="0" borderId="0">
      <alignment vertical="center"/>
    </xf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29" borderId="0" applyNumberFormat="0" applyFont="0" applyBorder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0" fontId="1" fillId="12" borderId="7" applyNumberFormat="0" applyFont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0" fontId="1" fillId="12" borderId="7" applyNumberFormat="0" applyFont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175" fontId="37" fillId="0" borderId="0">
      <alignment horizontal="right"/>
    </xf>
    <xf numFmtId="178" fontId="13" fillId="0" borderId="0" applyFont="0" applyFill="0" applyBorder="0" applyAlignment="0" applyProtection="0"/>
    <xf numFmtId="0" fontId="21" fillId="32" borderId="9" applyNumberFormat="0" applyAlignment="0" applyProtection="0"/>
    <xf numFmtId="0" fontId="21" fillId="32" borderId="9" applyNumberFormat="0" applyAlignment="0" applyProtection="0"/>
    <xf numFmtId="0" fontId="21" fillId="32" borderId="9" applyNumberFormat="0" applyAlignment="0" applyProtection="0"/>
    <xf numFmtId="0" fontId="21" fillId="32" borderId="9" applyNumberFormat="0" applyAlignment="0" applyProtection="0"/>
    <xf numFmtId="0" fontId="21" fillId="32" borderId="9" applyNumberFormat="0" applyAlignment="0" applyProtection="0"/>
    <xf numFmtId="0" fontId="21" fillId="32" borderId="9" applyNumberFormat="0" applyAlignment="0" applyProtection="0"/>
    <xf numFmtId="0" fontId="21" fillId="32" borderId="9" applyNumberFormat="0" applyAlignment="0" applyProtection="0"/>
    <xf numFmtId="0" fontId="21" fillId="32" borderId="9" applyNumberFormat="0" applyAlignment="0" applyProtection="0"/>
    <xf numFmtId="0" fontId="21" fillId="32" borderId="9" applyNumberFormat="0" applyAlignment="0" applyProtection="0"/>
    <xf numFmtId="0" fontId="21" fillId="32" borderId="9" applyNumberFormat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35" fillId="0" borderId="0">
      <alignment vertical="top" wrapText="1"/>
    </xf>
    <xf numFmtId="184" fontId="13" fillId="0" borderId="0" applyFill="0" applyBorder="0" applyAlignment="0" applyProtection="0">
      <alignment wrapText="1"/>
    </xf>
    <xf numFmtId="184" fontId="13" fillId="0" borderId="0" applyFill="0" applyBorder="0" applyAlignment="0" applyProtection="0">
      <alignment wrapText="1"/>
    </xf>
    <xf numFmtId="0" fontId="17" fillId="0" borderId="0" applyNumberFormat="0" applyFill="0" applyBorder="0">
      <alignment horizontal="center" wrapText="1"/>
    </xf>
    <xf numFmtId="0" fontId="17" fillId="0" borderId="0" applyNumberFormat="0" applyFill="0" applyBorder="0">
      <alignment horizontal="center" wrapText="1"/>
    </xf>
    <xf numFmtId="0" fontId="17" fillId="0" borderId="0" applyNumberFormat="0" applyFill="0" applyBorder="0">
      <alignment horizontal="center" wrapText="1"/>
    </xf>
    <xf numFmtId="0" fontId="17" fillId="0" borderId="0" applyNumberFormat="0" applyFill="0" applyBorder="0">
      <alignment horizontal="center" wrapText="1"/>
    </xf>
    <xf numFmtId="176" fontId="38" fillId="35" borderId="18">
      <alignment vertical="center"/>
    </xf>
    <xf numFmtId="174" fontId="39" fillId="35" borderId="18">
      <alignment vertical="center"/>
    </xf>
    <xf numFmtId="176" fontId="40" fillId="36" borderId="18">
      <alignment vertical="center"/>
    </xf>
    <xf numFmtId="0" fontId="13" fillId="37" borderId="19" applyBorder="0">
      <alignment horizontal="left" vertical="center"/>
    </xf>
    <xf numFmtId="49" fontId="13" fillId="38" borderId="10">
      <alignment vertical="center" wrapText="1"/>
    </xf>
    <xf numFmtId="0" fontId="13" fillId="39" borderId="11">
      <alignment horizontal="left" vertical="center" wrapText="1"/>
    </xf>
    <xf numFmtId="0" fontId="41" fillId="40" borderId="10">
      <alignment horizontal="left" vertical="center" wrapText="1"/>
    </xf>
    <xf numFmtId="0" fontId="13" fillId="41" borderId="10">
      <alignment horizontal="left" vertical="center" wrapText="1"/>
    </xf>
    <xf numFmtId="0" fontId="13" fillId="42" borderId="10">
      <alignment horizontal="left" vertical="center" wrapText="1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2" fillId="0" borderId="20" applyNumberFormat="0" applyFill="0" applyAlignment="0" applyProtection="0"/>
    <xf numFmtId="0" fontId="12" fillId="0" borderId="20" applyNumberFormat="0" applyFill="0" applyAlignment="0" applyProtection="0"/>
    <xf numFmtId="0" fontId="12" fillId="0" borderId="20" applyNumberFormat="0" applyFill="0" applyAlignment="0" applyProtection="0"/>
    <xf numFmtId="0" fontId="12" fillId="0" borderId="20" applyNumberFormat="0" applyFill="0" applyAlignment="0" applyProtection="0"/>
    <xf numFmtId="0" fontId="12" fillId="0" borderId="20" applyNumberFormat="0" applyFill="0" applyAlignment="0" applyProtection="0"/>
    <xf numFmtId="0" fontId="12" fillId="0" borderId="20" applyNumberFormat="0" applyFill="0" applyAlignment="0" applyProtection="0"/>
    <xf numFmtId="0" fontId="12" fillId="0" borderId="20" applyNumberFormat="0" applyFill="0" applyAlignment="0" applyProtection="0"/>
    <xf numFmtId="0" fontId="12" fillId="0" borderId="20" applyNumberFormat="0" applyFill="0" applyAlignment="0" applyProtection="0"/>
    <xf numFmtId="0" fontId="12" fillId="0" borderId="20" applyNumberFormat="0" applyFill="0" applyAlignment="0" applyProtection="0"/>
    <xf numFmtId="0" fontId="12" fillId="0" borderId="20" applyNumberFormat="0" applyFill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3" fillId="0" borderId="0" applyNumberFormat="0" applyFill="0" applyBorder="0" applyAlignment="0" applyProtection="0">
      <alignment vertical="center"/>
    </xf>
    <xf numFmtId="0" fontId="13" fillId="0" borderId="0" applyNumberFormat="0" applyFont="0" applyFill="0" applyBorder="0" applyProtection="0">
      <alignment horizontal="left" vertical="center" indent="5"/>
    </xf>
    <xf numFmtId="0" fontId="13" fillId="0" borderId="0" applyNumberFormat="0" applyFont="0" applyFill="0" applyBorder="0" applyProtection="0">
      <alignment horizontal="left" vertical="center" indent="5"/>
    </xf>
    <xf numFmtId="49" fontId="13" fillId="33" borderId="13">
      <alignment vertical="top" wrapText="1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29" borderId="0" applyNumberFormat="0" applyFont="0" applyBorder="0" applyAlignment="0" applyProtection="0"/>
    <xf numFmtId="0" fontId="13" fillId="29" borderId="0" applyNumberFormat="0" applyFont="0" applyBorder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0" fontId="13" fillId="12" borderId="7" applyNumberFormat="0" applyFont="0" applyAlignment="0" applyProtection="0"/>
    <xf numFmtId="178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84" fontId="13" fillId="0" borderId="0" applyFill="0" applyBorder="0" applyAlignment="0" applyProtection="0">
      <alignment wrapText="1"/>
    </xf>
    <xf numFmtId="184" fontId="13" fillId="0" borderId="0" applyFill="0" applyBorder="0" applyAlignment="0" applyProtection="0">
      <alignment wrapText="1"/>
    </xf>
    <xf numFmtId="0" fontId="13" fillId="37" borderId="19" applyBorder="0">
      <alignment horizontal="left" vertical="center"/>
    </xf>
    <xf numFmtId="49" fontId="13" fillId="38" borderId="10">
      <alignment vertical="center" wrapText="1"/>
    </xf>
    <xf numFmtId="0" fontId="13" fillId="39" borderId="11">
      <alignment horizontal="left" vertical="center" wrapText="1"/>
    </xf>
    <xf numFmtId="0" fontId="13" fillId="41" borderId="10">
      <alignment horizontal="left" vertical="center" wrapText="1"/>
    </xf>
    <xf numFmtId="0" fontId="13" fillId="42" borderId="10">
      <alignment horizontal="left" vertical="center" wrapText="1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5" fillId="0" borderId="0"/>
    <xf numFmtId="0" fontId="15" fillId="0" borderId="0"/>
    <xf numFmtId="0" fontId="51" fillId="0" borderId="0"/>
    <xf numFmtId="0" fontId="16" fillId="0" borderId="0"/>
    <xf numFmtId="0" fontId="52" fillId="0" borderId="0" applyNumberFormat="0" applyFill="0" applyBorder="0" applyAlignment="0" applyProtection="0"/>
    <xf numFmtId="0" fontId="53" fillId="0" borderId="21" applyNumberFormat="0" applyFill="0" applyAlignment="0" applyProtection="0"/>
    <xf numFmtId="0" fontId="54" fillId="0" borderId="22" applyNumberFormat="0" applyFill="0" applyAlignment="0" applyProtection="0"/>
    <xf numFmtId="0" fontId="55" fillId="0" borderId="23" applyNumberFormat="0" applyFill="0" applyAlignment="0" applyProtection="0"/>
    <xf numFmtId="0" fontId="55" fillId="0" borderId="0" applyNumberFormat="0" applyFill="0" applyBorder="0" applyAlignment="0" applyProtection="0"/>
    <xf numFmtId="0" fontId="56" fillId="43" borderId="0" applyNumberFormat="0" applyBorder="0" applyAlignment="0" applyProtection="0"/>
    <xf numFmtId="0" fontId="57" fillId="44" borderId="0" applyNumberFormat="0" applyBorder="0" applyAlignment="0" applyProtection="0"/>
    <xf numFmtId="0" fontId="58" fillId="13" borderId="0" applyNumberFormat="0" applyBorder="0" applyAlignment="0" applyProtection="0"/>
    <xf numFmtId="0" fontId="59" fillId="45" borderId="24" applyNumberFormat="0" applyAlignment="0" applyProtection="0"/>
    <xf numFmtId="0" fontId="60" fillId="46" borderId="25" applyNumberFormat="0" applyAlignment="0" applyProtection="0"/>
    <xf numFmtId="0" fontId="61" fillId="46" borderId="24" applyNumberFormat="0" applyAlignment="0" applyProtection="0"/>
    <xf numFmtId="0" fontId="62" fillId="0" borderId="26" applyNumberFormat="0" applyFill="0" applyAlignment="0" applyProtection="0"/>
    <xf numFmtId="0" fontId="63" fillId="47" borderId="27" applyNumberFormat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28" applyNumberFormat="0" applyFill="0" applyAlignment="0" applyProtection="0"/>
    <xf numFmtId="0" fontId="15" fillId="48" borderId="0" applyNumberFormat="0" applyBorder="0" applyAlignment="0" applyProtection="0"/>
    <xf numFmtId="0" fontId="15" fillId="49" borderId="0" applyNumberFormat="0" applyBorder="0" applyAlignment="0" applyProtection="0"/>
    <xf numFmtId="0" fontId="15" fillId="50" borderId="0" applyNumberFormat="0" applyBorder="0" applyAlignment="0" applyProtection="0"/>
    <xf numFmtId="0" fontId="15" fillId="51" borderId="0" applyNumberFormat="0" applyBorder="0" applyAlignment="0" applyProtection="0"/>
    <xf numFmtId="0" fontId="15" fillId="52" borderId="0" applyNumberFormat="0" applyBorder="0" applyAlignment="0" applyProtection="0"/>
    <xf numFmtId="0" fontId="15" fillId="53" borderId="0" applyNumberFormat="0" applyBorder="0" applyAlignment="0" applyProtection="0"/>
    <xf numFmtId="0" fontId="15" fillId="54" borderId="0" applyNumberFormat="0" applyBorder="0" applyAlignment="0" applyProtection="0"/>
    <xf numFmtId="0" fontId="15" fillId="55" borderId="0" applyNumberFormat="0" applyBorder="0" applyAlignment="0" applyProtection="0"/>
    <xf numFmtId="0" fontId="15" fillId="56" borderId="0" applyNumberFormat="0" applyBorder="0" applyAlignment="0" applyProtection="0"/>
    <xf numFmtId="0" fontId="15" fillId="57" borderId="0" applyNumberFormat="0" applyBorder="0" applyAlignment="0" applyProtection="0"/>
    <xf numFmtId="0" fontId="15" fillId="58" borderId="0" applyNumberFormat="0" applyBorder="0" applyAlignment="0" applyProtection="0"/>
    <xf numFmtId="0" fontId="15" fillId="59" borderId="0" applyNumberFormat="0" applyBorder="0" applyAlignment="0" applyProtection="0"/>
    <xf numFmtId="0" fontId="15" fillId="60" borderId="0" applyNumberFormat="0" applyBorder="0" applyAlignment="0" applyProtection="0"/>
    <xf numFmtId="0" fontId="15" fillId="61" borderId="0" applyNumberFormat="0" applyBorder="0" applyAlignment="0" applyProtection="0"/>
    <xf numFmtId="0" fontId="15" fillId="62" borderId="0" applyNumberFormat="0" applyBorder="0" applyAlignment="0" applyProtection="0"/>
    <xf numFmtId="0" fontId="15" fillId="63" borderId="0" applyNumberFormat="0" applyBorder="0" applyAlignment="0" applyProtection="0"/>
    <xf numFmtId="0" fontId="15" fillId="64" borderId="0" applyNumberFormat="0" applyBorder="0" applyAlignment="0" applyProtection="0"/>
    <xf numFmtId="0" fontId="15" fillId="65" borderId="29" applyNumberFormat="0" applyFont="0" applyAlignment="0" applyProtection="0"/>
    <xf numFmtId="0" fontId="67" fillId="66" borderId="0" applyNumberFormat="0" applyBorder="0" applyAlignment="0" applyProtection="0"/>
    <xf numFmtId="0" fontId="67" fillId="67" borderId="0" applyNumberFormat="0" applyBorder="0" applyAlignment="0" applyProtection="0"/>
    <xf numFmtId="0" fontId="67" fillId="68" borderId="0" applyNumberFormat="0" applyBorder="0" applyAlignment="0" applyProtection="0"/>
    <xf numFmtId="0" fontId="67" fillId="69" borderId="0" applyNumberFormat="0" applyBorder="0" applyAlignment="0" applyProtection="0"/>
    <xf numFmtId="0" fontId="67" fillId="70" borderId="0" applyNumberFormat="0" applyBorder="0" applyAlignment="0" applyProtection="0"/>
    <xf numFmtId="0" fontId="67" fillId="71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13" fillId="12" borderId="7" applyNumberFormat="0" applyFont="0" applyAlignment="0" applyProtection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0" borderId="0"/>
    <xf numFmtId="0" fontId="13" fillId="0" borderId="0"/>
    <xf numFmtId="0" fontId="15" fillId="65" borderId="29" applyNumberFormat="0" applyFont="0" applyAlignment="0" applyProtection="0"/>
    <xf numFmtId="0" fontId="67" fillId="66" borderId="0" applyNumberFormat="0" applyBorder="0" applyAlignment="0" applyProtection="0"/>
    <xf numFmtId="0" fontId="67" fillId="67" borderId="0" applyNumberFormat="0" applyBorder="0" applyAlignment="0" applyProtection="0"/>
    <xf numFmtId="0" fontId="67" fillId="68" borderId="0" applyNumberFormat="0" applyBorder="0" applyAlignment="0" applyProtection="0"/>
    <xf numFmtId="0" fontId="67" fillId="69" borderId="0" applyNumberFormat="0" applyBorder="0" applyAlignment="0" applyProtection="0"/>
    <xf numFmtId="0" fontId="67" fillId="70" borderId="0" applyNumberFormat="0" applyBorder="0" applyAlignment="0" applyProtection="0"/>
    <xf numFmtId="0" fontId="67" fillId="71" borderId="0" applyNumberFormat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6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</cellStyleXfs>
  <cellXfs count="5">
    <xf numFmtId="0" fontId="0" fillId="0" borderId="0" xfId="0"/>
    <xf numFmtId="0" fontId="14" fillId="13" borderId="0" xfId="22"/>
    <xf numFmtId="0" fontId="15" fillId="14" borderId="0" xfId="23"/>
    <xf numFmtId="0" fontId="0" fillId="0" borderId="0" xfId="0"/>
    <xf numFmtId="0" fontId="0" fillId="0" borderId="0" xfId="0"/>
  </cellXfs>
  <cellStyles count="4229">
    <cellStyle name="20 % - Accent1" xfId="3422" builtinId="30" customBuiltin="1"/>
    <cellStyle name="20 % - Accent2" xfId="3425" builtinId="34" customBuiltin="1"/>
    <cellStyle name="20 % - Accent3" xfId="3428" builtinId="38" customBuiltin="1"/>
    <cellStyle name="20 % - Accent4" xfId="3430" builtinId="42" customBuiltin="1"/>
    <cellStyle name="20 % - Accent5" xfId="3433" builtinId="46" customBuiltin="1"/>
    <cellStyle name="20 % - Accent6" xfId="3436" builtinId="50" customBuiltin="1"/>
    <cellStyle name="20% - Accent1 2" xfId="25" xr:uid="{AF881E8C-6A91-4532-869D-BEBBBA850BD6}"/>
    <cellStyle name="20% - Accent1 2 10" xfId="213" xr:uid="{4009A1B6-57A8-4817-A35C-B5A6436F1213}"/>
    <cellStyle name="20% - Accent1 2 11" xfId="214" xr:uid="{1B3A0355-642C-4A31-AC90-3803D19E6FB8}"/>
    <cellStyle name="20% - Accent1 2 12" xfId="215" xr:uid="{8D018963-064B-4E7B-ACA1-36F90E65A313}"/>
    <cellStyle name="20% - Accent1 2 13" xfId="216" xr:uid="{24A7882F-BCE5-4EE3-8425-E19C8028EDC0}"/>
    <cellStyle name="20% - Accent1 2 14" xfId="217" xr:uid="{476DFA9C-8B37-42C8-B76B-2B9B2ADCFC57}"/>
    <cellStyle name="20% - Accent1 2 15" xfId="218" xr:uid="{AACD0654-E2F2-4EFB-9B57-D2E20D66A663}"/>
    <cellStyle name="20% - Accent1 2 2" xfId="219" xr:uid="{6DB90583-4AA4-4A4F-B3C6-D810CD4D2D60}"/>
    <cellStyle name="20% - Accent1 2 3" xfId="220" xr:uid="{1A2DDA83-EFF5-40D5-9834-D135AFF2024B}"/>
    <cellStyle name="20% - Accent1 2 4" xfId="221" xr:uid="{8F3FA40E-FA13-4477-81D6-85600507F036}"/>
    <cellStyle name="20% - Accent1 2 5" xfId="222" xr:uid="{907A59FB-2ED3-44A3-A209-452287ADB5C1}"/>
    <cellStyle name="20% - Accent1 2 6" xfId="223" xr:uid="{A136E7E0-D330-40EC-BF04-78D806EA5E22}"/>
    <cellStyle name="20% - Accent1 2 7" xfId="224" xr:uid="{931F59C3-3AFD-413C-B891-CA5394D7027F}"/>
    <cellStyle name="20% - Accent1 2 8" xfId="225" xr:uid="{D2CBDFC7-10C9-41B0-8AB0-203C1C4CB037}"/>
    <cellStyle name="20% - Accent1 2 9" xfId="226" xr:uid="{0267FC08-B9C6-4317-991F-20C2C1F12909}"/>
    <cellStyle name="20% - Accent1 3" xfId="26" xr:uid="{96DE9F99-E63E-40B0-8B2B-FC37D9DF3ACE}"/>
    <cellStyle name="20% - Accent1 3 2" xfId="227" xr:uid="{E69FC6DA-BA93-4AEA-866E-D70E635A6D17}"/>
    <cellStyle name="20% - Accent1 4" xfId="228" xr:uid="{6BFDD1E1-7D42-484A-BC48-FAD46DBF1416}"/>
    <cellStyle name="20% - Accent1 5" xfId="229" xr:uid="{1A6E24C0-5361-42EF-BB1B-619EF0759A17}"/>
    <cellStyle name="20% - Accent1 6" xfId="230" xr:uid="{47DE18F0-5F07-4FC7-8EAA-0FF91B283646}"/>
    <cellStyle name="20% - Accent1 7" xfId="231" xr:uid="{98749809-0919-4E71-AED6-209656FBAA27}"/>
    <cellStyle name="20% - Accent1 8" xfId="232" xr:uid="{A40E8989-EC8D-4EF4-9CFB-0D559B43E3AC}"/>
    <cellStyle name="20% - Accent2 2" xfId="27" xr:uid="{42EBC133-77BC-4920-924C-6A8441240350}"/>
    <cellStyle name="20% - Accent2 2 10" xfId="233" xr:uid="{D33CB3D7-0AEF-4665-834C-9AF0B01AF5B4}"/>
    <cellStyle name="20% - Accent2 2 11" xfId="234" xr:uid="{B7420936-B878-411D-A2A2-CD11F8D27A96}"/>
    <cellStyle name="20% - Accent2 2 12" xfId="235" xr:uid="{DD852DAB-2DA2-4DDC-BD79-069502D5CD56}"/>
    <cellStyle name="20% - Accent2 2 13" xfId="236" xr:uid="{011693B2-CA47-48A5-AD0B-8DACEAD85D3A}"/>
    <cellStyle name="20% - Accent2 2 14" xfId="237" xr:uid="{3E9B3BF4-8982-4AB2-B91E-66F752CE14BF}"/>
    <cellStyle name="20% - Accent2 2 15" xfId="238" xr:uid="{458ECFF4-7576-42FC-8EB6-57BDFB0B6877}"/>
    <cellStyle name="20% - Accent2 2 2" xfId="239" xr:uid="{DAF09D9B-427B-4803-84CD-6F9126BF4C27}"/>
    <cellStyle name="20% - Accent2 2 3" xfId="240" xr:uid="{FEDE2C09-1A27-4680-A02A-83381AC4E2AF}"/>
    <cellStyle name="20% - Accent2 2 4" xfId="241" xr:uid="{741721FC-4459-4A45-9035-FB04E6B9C4B7}"/>
    <cellStyle name="20% - Accent2 2 5" xfId="242" xr:uid="{FF69C151-9B52-4E92-B7F5-7FD505F53280}"/>
    <cellStyle name="20% - Accent2 2 6" xfId="243" xr:uid="{3792BC53-0320-41F2-9E7C-9FDE2B1AED90}"/>
    <cellStyle name="20% - Accent2 2 7" xfId="244" xr:uid="{DD5E75A1-0DF2-4DE3-B637-C72F912B625B}"/>
    <cellStyle name="20% - Accent2 2 8" xfId="245" xr:uid="{38AE9A9F-CE3E-4A58-83B6-13BBDF0429AF}"/>
    <cellStyle name="20% - Accent2 2 9" xfId="246" xr:uid="{B42C705D-670F-407A-AE5C-9E7B5427A5D8}"/>
    <cellStyle name="20% - Accent2 3" xfId="28" xr:uid="{B10DF141-8AED-4430-AE8D-85A011D278F9}"/>
    <cellStyle name="20% - Accent2 3 2" xfId="247" xr:uid="{5845E9D0-6B17-421D-9F16-83995FA96B00}"/>
    <cellStyle name="20% - Accent2 4" xfId="248" xr:uid="{74B1CD6F-88E5-419C-8251-0578F6D9AA7A}"/>
    <cellStyle name="20% - Accent2 5" xfId="249" xr:uid="{B2AEF8B0-E248-494F-A6E2-E449B3154FC1}"/>
    <cellStyle name="20% - Accent2 6" xfId="250" xr:uid="{FD1116AC-4EF3-4037-8673-BA843E0513CA}"/>
    <cellStyle name="20% - Accent2 7" xfId="251" xr:uid="{DC53F59C-F254-45F0-A7EB-F2EC9AAF7F7E}"/>
    <cellStyle name="20% - Accent2 8" xfId="252" xr:uid="{A061A551-552F-4055-9F3F-90923A6BA823}"/>
    <cellStyle name="20% - Accent3 2" xfId="29" xr:uid="{5CD6F22F-92B2-40F2-BDD1-9D8C042EE2DA}"/>
    <cellStyle name="20% - Accent3 2 10" xfId="253" xr:uid="{2063F229-FEEA-4AD1-B196-3B4EC7785A84}"/>
    <cellStyle name="20% - Accent3 2 11" xfId="254" xr:uid="{14029471-5383-484F-9AD9-D8F9AB48587C}"/>
    <cellStyle name="20% - Accent3 2 12" xfId="255" xr:uid="{B4860365-DDF3-421F-BA6D-C76C9824A53D}"/>
    <cellStyle name="20% - Accent3 2 13" xfId="256" xr:uid="{4CCF03A8-789A-480B-AA0E-AFF47196C583}"/>
    <cellStyle name="20% - Accent3 2 14" xfId="257" xr:uid="{C4DBEA04-258D-4DC1-9E11-95F7A3295CF4}"/>
    <cellStyle name="20% - Accent3 2 15" xfId="258" xr:uid="{039D6350-689D-42B7-A5E8-7911D6778787}"/>
    <cellStyle name="20% - Accent3 2 2" xfId="259" xr:uid="{FDF51FEF-C00D-4819-A369-3E0938EC56A5}"/>
    <cellStyle name="20% - Accent3 2 3" xfId="260" xr:uid="{BB59EEF6-B2C2-4800-A8FE-1AE12073D3E3}"/>
    <cellStyle name="20% - Accent3 2 4" xfId="261" xr:uid="{FB991A80-EFD4-47AC-A20B-82A1728DE909}"/>
    <cellStyle name="20% - Accent3 2 5" xfId="262" xr:uid="{2688EDCB-5670-481F-9EF3-E64B5A43CDC5}"/>
    <cellStyle name="20% - Accent3 2 6" xfId="263" xr:uid="{1E6C8296-386A-491D-AA10-EA5733C2F42D}"/>
    <cellStyle name="20% - Accent3 2 7" xfId="264" xr:uid="{FC31614A-2C92-4F8D-AC5F-A5915DD0C743}"/>
    <cellStyle name="20% - Accent3 2 8" xfId="265" xr:uid="{81D24FA5-883D-4DCD-9B21-CC76B77682EA}"/>
    <cellStyle name="20% - Accent3 2 9" xfId="266" xr:uid="{2D50E23F-8B03-4173-ACE2-BF2AFBD4C3C0}"/>
    <cellStyle name="20% - Accent3 3" xfId="30" xr:uid="{BE47B9AC-BE63-4716-BF30-48A72976C9B8}"/>
    <cellStyle name="20% - Accent3 3 2" xfId="267" xr:uid="{57EF6F61-0A6F-485A-AC76-765719C671DC}"/>
    <cellStyle name="20% - Accent3 4" xfId="268" xr:uid="{80FBD103-F5A7-4270-B5B5-D975928F7827}"/>
    <cellStyle name="20% - Accent3 5" xfId="269" xr:uid="{5A7F062F-DF07-46C1-BC63-0B7AB7984824}"/>
    <cellStyle name="20% - Accent3 6" xfId="270" xr:uid="{EBD1E56E-3E27-4D55-8C4F-E9E69DA17AE0}"/>
    <cellStyle name="20% - Accent3 7" xfId="271" xr:uid="{C592EF9E-2776-484C-AB23-593662961F32}"/>
    <cellStyle name="20% - Accent3 8" xfId="272" xr:uid="{97CC78F8-BAE1-448F-9DB0-274EFFBBC4D8}"/>
    <cellStyle name="20% - Accent4 2" xfId="31" xr:uid="{04E03280-7336-4F7B-9F58-6C584F44B310}"/>
    <cellStyle name="20% - Accent4 2 10" xfId="273" xr:uid="{8BF67966-2000-4D5A-8CA8-1BED5A8AFB94}"/>
    <cellStyle name="20% - Accent4 2 11" xfId="274" xr:uid="{BB64B64D-3F8D-4BC2-9EF1-353FEEA61C9D}"/>
    <cellStyle name="20% - Accent4 2 12" xfId="275" xr:uid="{8F560DAC-0340-4041-9E84-966D2B1BDA35}"/>
    <cellStyle name="20% - Accent4 2 13" xfId="276" xr:uid="{80E962EE-65EE-424A-9B90-003123C04E2E}"/>
    <cellStyle name="20% - Accent4 2 14" xfId="277" xr:uid="{8D9BB69D-AC03-4797-A08C-1FE28966A97D}"/>
    <cellStyle name="20% - Accent4 2 15" xfId="278" xr:uid="{102E044F-128D-4A7E-A47A-AD37D1B3A51B}"/>
    <cellStyle name="20% - Accent4 2 2" xfId="279" xr:uid="{0D267FF8-892A-41A7-A672-0B2AC12FD97B}"/>
    <cellStyle name="20% - Accent4 2 3" xfId="280" xr:uid="{A66B62EF-41D9-4BE2-B6F5-D5EBED8369E6}"/>
    <cellStyle name="20% - Accent4 2 4" xfId="281" xr:uid="{7336E07F-D63D-4A75-8FEA-42F9AC742ED5}"/>
    <cellStyle name="20% - Accent4 2 5" xfId="282" xr:uid="{94C4733B-0F29-40E4-B092-F0A6FCB190B6}"/>
    <cellStyle name="20% - Accent4 2 6" xfId="283" xr:uid="{2A0D15E3-380D-45E0-B0B9-BB18F83E7F8B}"/>
    <cellStyle name="20% - Accent4 2 7" xfId="284" xr:uid="{330B8C1A-7D8F-44B2-BE1A-CA293397423D}"/>
    <cellStyle name="20% - Accent4 2 8" xfId="285" xr:uid="{CEADE3C9-43A8-418C-A5F0-8632E4C5DAE4}"/>
    <cellStyle name="20% - Accent4 2 9" xfId="286" xr:uid="{B348EEB9-6984-4E49-A975-DA11C7883B29}"/>
    <cellStyle name="20% - Accent4 3" xfId="32" xr:uid="{7502689C-E53F-4BB3-B3DA-69D9C072A471}"/>
    <cellStyle name="20% - Accent4 3 2" xfId="287" xr:uid="{5B635A7A-879F-46FC-9938-169A96AAB47D}"/>
    <cellStyle name="20% - Accent4 4" xfId="288" xr:uid="{1DA5A0E1-059F-411B-B643-8D54174B9F27}"/>
    <cellStyle name="20% - Accent4 5" xfId="289" xr:uid="{72B6F47D-E3E2-4141-87E0-58C6B37728F2}"/>
    <cellStyle name="20% - Accent4 6" xfId="290" xr:uid="{3DD0CE1F-8C42-4F68-92D4-92C3592850A9}"/>
    <cellStyle name="20% - Accent4 7" xfId="291" xr:uid="{45F508BC-F8A4-4377-A2CF-D834C14E29C4}"/>
    <cellStyle name="20% - Accent4 8" xfId="292" xr:uid="{EA15FB81-ED33-4B9C-BE36-F3D034018D77}"/>
    <cellStyle name="20% - Accent5 2" xfId="33" xr:uid="{EA45760B-F060-4F31-B2CE-07F20354A7D7}"/>
    <cellStyle name="20% - Accent5 2 10" xfId="293" xr:uid="{FFACBB97-BAE6-49F4-B225-2A2A47972E24}"/>
    <cellStyle name="20% - Accent5 2 11" xfId="294" xr:uid="{A00C7D7C-8EBC-44F4-B8A6-C896D6B02FCE}"/>
    <cellStyle name="20% - Accent5 2 12" xfId="295" xr:uid="{86D25B81-AECD-414E-A826-95AF08951FA6}"/>
    <cellStyle name="20% - Accent5 2 13" xfId="296" xr:uid="{EEC63A41-2359-4F0D-934F-01B698CA1C06}"/>
    <cellStyle name="20% - Accent5 2 14" xfId="297" xr:uid="{E415E76D-1FF2-4F76-BCD9-95C9C2030876}"/>
    <cellStyle name="20% - Accent5 2 15" xfId="298" xr:uid="{279C0B4E-37B4-4416-9E14-720C45506E00}"/>
    <cellStyle name="20% - Accent5 2 2" xfId="299" xr:uid="{BAE67991-95CD-4C46-B799-84CC24903247}"/>
    <cellStyle name="20% - Accent5 2 3" xfId="300" xr:uid="{0D8F023C-7729-4967-B19F-94BB96F96661}"/>
    <cellStyle name="20% - Accent5 2 4" xfId="301" xr:uid="{3EA92688-63C4-4C02-9C9B-A73720615696}"/>
    <cellStyle name="20% - Accent5 2 5" xfId="302" xr:uid="{4EB26CF3-DAA7-4587-B578-51388D75E3EB}"/>
    <cellStyle name="20% - Accent5 2 6" xfId="303" xr:uid="{99BCA8CF-D5FD-4F68-BC7C-7ABCAB2510BB}"/>
    <cellStyle name="20% - Accent5 2 7" xfId="304" xr:uid="{C6592D6A-98BA-4243-B89B-E7F4995A936E}"/>
    <cellStyle name="20% - Accent5 2 8" xfId="305" xr:uid="{1D876C75-869F-4493-AA3B-307AB4896FCC}"/>
    <cellStyle name="20% - Accent5 2 9" xfId="306" xr:uid="{0F4AEF7D-F439-44BE-9B14-0CBFE38C4882}"/>
    <cellStyle name="20% - Accent5 3" xfId="34" xr:uid="{A7FACF70-8047-472A-9403-6CCB2DA95D9E}"/>
    <cellStyle name="20% - Accent5 4" xfId="307" xr:uid="{BB48B816-CCEB-4FDC-9E7D-766D9F8A57A3}"/>
    <cellStyle name="20% - Accent5 5" xfId="308" xr:uid="{3EFB98E9-F0D7-41E1-A03C-57B5E24A62F0}"/>
    <cellStyle name="20% - Accent5 6" xfId="309" xr:uid="{2B3B3CB1-1E88-4420-B0EB-85FEEA0ABE06}"/>
    <cellStyle name="20% - Accent5 7" xfId="310" xr:uid="{D7413B7D-CDBD-46D8-ACFF-56F40818D8DA}"/>
    <cellStyle name="20% - Accent5 8" xfId="311" xr:uid="{E3F537A9-4ACF-4147-8D8C-44FE519E707B}"/>
    <cellStyle name="20% - Accent6 2" xfId="35" xr:uid="{09FDCD6F-076A-4CBB-B82D-E3CE8B05618E}"/>
    <cellStyle name="20% - Accent6 2 10" xfId="312" xr:uid="{8DE3B0CE-394B-49D5-8B12-BE6686D9DEC1}"/>
    <cellStyle name="20% - Accent6 2 11" xfId="313" xr:uid="{9E835B0C-461E-4847-9A2E-7271A5C0C6D3}"/>
    <cellStyle name="20% - Accent6 2 12" xfId="314" xr:uid="{C4704B78-AA95-4752-B342-C4B4E5617213}"/>
    <cellStyle name="20% - Accent6 2 13" xfId="315" xr:uid="{1AE9F282-A1CC-40C0-B620-287C25C4BE77}"/>
    <cellStyle name="20% - Accent6 2 14" xfId="316" xr:uid="{38BEF8AA-B23C-4061-9D16-91B5D831DC81}"/>
    <cellStyle name="20% - Accent6 2 15" xfId="317" xr:uid="{41E969E7-6901-46CD-A17A-790F60F1DEAC}"/>
    <cellStyle name="20% - Accent6 2 2" xfId="318" xr:uid="{825F8E9A-3E37-4B53-9449-3F8CC72B5E47}"/>
    <cellStyle name="20% - Accent6 2 3" xfId="319" xr:uid="{624E8E6C-DF54-4204-83D3-BA134407CC35}"/>
    <cellStyle name="20% - Accent6 2 4" xfId="320" xr:uid="{683731EF-E45E-4388-8C2D-A6C7AE98A257}"/>
    <cellStyle name="20% - Accent6 2 5" xfId="321" xr:uid="{D1B86A78-09A0-4EF3-9D97-215DE9810BD3}"/>
    <cellStyle name="20% - Accent6 2 6" xfId="322" xr:uid="{C9218A3D-B4D3-4403-B5E3-09CBCCE84131}"/>
    <cellStyle name="20% - Accent6 2 7" xfId="323" xr:uid="{04554BC4-D613-46A5-8BE9-E451F0508B4B}"/>
    <cellStyle name="20% - Accent6 2 8" xfId="324" xr:uid="{111E4D35-C958-4D68-B55A-BF87FDA62376}"/>
    <cellStyle name="20% - Accent6 2 9" xfId="325" xr:uid="{1B9A8F27-77D7-4E33-93F3-C8098455BC6E}"/>
    <cellStyle name="20% - Accent6 3" xfId="36" xr:uid="{51B1DEE6-504B-4F74-B305-FBAA49A59452}"/>
    <cellStyle name="20% - Accent6 3 2" xfId="326" xr:uid="{7A81B7E6-7652-4FE0-9DFF-A393503A927E}"/>
    <cellStyle name="20% - Accent6 4" xfId="327" xr:uid="{8F1FD23B-EE4B-411D-A3A0-05DC866745E2}"/>
    <cellStyle name="20% - Accent6 5" xfId="328" xr:uid="{74236A33-5DBA-43BB-A189-3298F18B5618}"/>
    <cellStyle name="20% - Accent6 6" xfId="329" xr:uid="{A98B1BDD-E122-4D85-8861-A015A5202135}"/>
    <cellStyle name="20% - Accent6 7" xfId="330" xr:uid="{C50DB4AB-4A1C-49B1-9145-A8D08746BF74}"/>
    <cellStyle name="20% - Accent6 8" xfId="331" xr:uid="{2A494B4D-AF2E-4A49-ADA0-15C68D5B1A49}"/>
    <cellStyle name="40 % - Accent1" xfId="3423" builtinId="31" customBuiltin="1"/>
    <cellStyle name="40 % - Accent2" xfId="3426" builtinId="35" customBuiltin="1"/>
    <cellStyle name="40 % - Accent3" xfId="23" builtinId="39" customBuiltin="1"/>
    <cellStyle name="40 % - Accent4" xfId="3431" builtinId="43" customBuiltin="1"/>
    <cellStyle name="40 % - Accent5" xfId="3434" builtinId="47" customBuiltin="1"/>
    <cellStyle name="40 % - Accent6" xfId="3437" builtinId="51" customBuiltin="1"/>
    <cellStyle name="40% - Accent1 2" xfId="37" xr:uid="{40728BBD-3DE3-4F95-A8F8-4C47291B38B0}"/>
    <cellStyle name="40% - Accent1 2 10" xfId="332" xr:uid="{FFF794D6-F65C-4231-ACF4-5A2E8A440A53}"/>
    <cellStyle name="40% - Accent1 2 11" xfId="333" xr:uid="{BED08039-CC1B-4D7A-91AC-028F6EFAE662}"/>
    <cellStyle name="40% - Accent1 2 12" xfId="334" xr:uid="{1CBB192F-7E13-44EA-882C-491E2C68BF37}"/>
    <cellStyle name="40% - Accent1 2 13" xfId="335" xr:uid="{8CD65D83-48AD-4326-98F2-BA216370C252}"/>
    <cellStyle name="40% - Accent1 2 14" xfId="336" xr:uid="{C3FB87D2-D642-4F30-981A-A2D1FB0F9EAF}"/>
    <cellStyle name="40% - Accent1 2 15" xfId="337" xr:uid="{0F4665E5-3A1F-4272-936D-3F7D3E53F731}"/>
    <cellStyle name="40% - Accent1 2 2" xfId="338" xr:uid="{C8E41BFF-8FEB-46A3-A810-021CB517B67A}"/>
    <cellStyle name="40% - Accent1 2 3" xfId="339" xr:uid="{32CC7AC8-4BA2-48E6-92DF-5FF3700CBF5A}"/>
    <cellStyle name="40% - Accent1 2 4" xfId="340" xr:uid="{9618394B-5063-4B32-BBB9-2F8CB1E4C3AC}"/>
    <cellStyle name="40% - Accent1 2 5" xfId="341" xr:uid="{61860B41-8D45-4748-9E4C-0A2D56B32B35}"/>
    <cellStyle name="40% - Accent1 2 6" xfId="342" xr:uid="{B9049BC7-6A97-494F-8D0A-786FCB0224D9}"/>
    <cellStyle name="40% - Accent1 2 7" xfId="343" xr:uid="{426272EB-4AAE-4335-BA58-B190750325F1}"/>
    <cellStyle name="40% - Accent1 2 8" xfId="344" xr:uid="{D91563F8-39F8-42E5-9686-AB7775639B0E}"/>
    <cellStyle name="40% - Accent1 2 9" xfId="345" xr:uid="{C26D8AFB-34FC-4B0E-BB31-2FCDB8FAC5D0}"/>
    <cellStyle name="40% - Accent1 3" xfId="38" xr:uid="{26C0A863-22B9-4F22-93F8-9AA05526DD1C}"/>
    <cellStyle name="40% - Accent1 3 2" xfId="346" xr:uid="{4B9E2B27-C71C-4EC0-9EE8-E46399C488A7}"/>
    <cellStyle name="40% - Accent1 4" xfId="347" xr:uid="{1966E0D6-96BF-4AF5-BF1A-9C78CAB64BF4}"/>
    <cellStyle name="40% - Accent1 5" xfId="348" xr:uid="{E686D3E6-EB67-49AA-9443-333DAB5C6212}"/>
    <cellStyle name="40% - Accent1 6" xfId="349" xr:uid="{554444C3-59E1-4459-9585-1958F5096955}"/>
    <cellStyle name="40% - Accent1 7" xfId="350" xr:uid="{78548878-CF52-4132-BD46-A0ACEA910382}"/>
    <cellStyle name="40% - Accent1 8" xfId="351" xr:uid="{3883BC91-9E7E-4220-9BA2-9A22C8734B51}"/>
    <cellStyle name="40% - Accent2 2" xfId="39" xr:uid="{60992B96-EF15-4D13-879C-FA3F2F514689}"/>
    <cellStyle name="40% - Accent2 2 10" xfId="352" xr:uid="{1883E408-DC01-47C7-BC0F-26A9AF238DFF}"/>
    <cellStyle name="40% - Accent2 2 11" xfId="353" xr:uid="{BDC5961C-D5B8-4B63-896F-AEB4B79667AA}"/>
    <cellStyle name="40% - Accent2 2 12" xfId="354" xr:uid="{BB1A82AF-DE9E-40BB-8262-754E0C5CC598}"/>
    <cellStyle name="40% - Accent2 2 13" xfId="355" xr:uid="{6CBAD35B-C51C-4503-AC0E-9A541134BA51}"/>
    <cellStyle name="40% - Accent2 2 14" xfId="356" xr:uid="{C15E1E9A-A637-435F-AC07-8E3E4E348A7F}"/>
    <cellStyle name="40% - Accent2 2 15" xfId="357" xr:uid="{B72F3DC0-E24C-46BB-AAE9-49D1A6C592CF}"/>
    <cellStyle name="40% - Accent2 2 2" xfId="358" xr:uid="{76E3A92A-4EB6-4351-8A8F-C6920D573238}"/>
    <cellStyle name="40% - Accent2 2 3" xfId="359" xr:uid="{0DD2F9E5-DED0-4742-8DE2-8D9D8B40415A}"/>
    <cellStyle name="40% - Accent2 2 4" xfId="360" xr:uid="{4D043BBB-7824-4807-9373-6660E8C90952}"/>
    <cellStyle name="40% - Accent2 2 5" xfId="361" xr:uid="{9CC33A0E-54FE-48F7-90E1-7D8126800894}"/>
    <cellStyle name="40% - Accent2 2 6" xfId="362" xr:uid="{D7A1BED3-B27C-40DD-98B5-4687EC6276CF}"/>
    <cellStyle name="40% - Accent2 2 7" xfId="363" xr:uid="{2C6DB15B-C174-466C-B4BD-157930A80E61}"/>
    <cellStyle name="40% - Accent2 2 8" xfId="364" xr:uid="{7DED2E3A-4FB1-4B52-B1C7-7B79CDB4C055}"/>
    <cellStyle name="40% - Accent2 2 9" xfId="365" xr:uid="{09B63A92-3532-43F8-AEF6-A5BCEA8C5925}"/>
    <cellStyle name="40% - Accent2 3" xfId="40" xr:uid="{877D770F-8D94-4286-838E-F699D13FDD56}"/>
    <cellStyle name="40% - Accent2 4" xfId="366" xr:uid="{D065D64B-3941-4D92-8B52-D1DB406E9447}"/>
    <cellStyle name="40% - Accent2 5" xfId="367" xr:uid="{8CAF3DA7-E3E5-4C54-BCAC-26281EA3A45A}"/>
    <cellStyle name="40% - Accent2 6" xfId="368" xr:uid="{58AF42D0-0A35-4408-8F07-C8CDE2FCC256}"/>
    <cellStyle name="40% - Accent2 7" xfId="369" xr:uid="{050282C0-87B1-440D-83C2-549FEAA7C482}"/>
    <cellStyle name="40% - Accent2 8" xfId="370" xr:uid="{BD64C598-98F7-4E1C-BF1A-5513C2073598}"/>
    <cellStyle name="40% - Accent3 2" xfId="41" xr:uid="{8A1EA787-92CE-4B2A-A18D-F1AF0F38AF3C}"/>
    <cellStyle name="40% - Accent3 2 10" xfId="371" xr:uid="{5730256B-D0D6-4754-A287-61FEC2A73AA9}"/>
    <cellStyle name="40% - Accent3 2 11" xfId="372" xr:uid="{285889A9-C0D4-4544-BD15-A04B87B86646}"/>
    <cellStyle name="40% - Accent3 2 12" xfId="373" xr:uid="{486CF3DF-8B5E-4A00-8912-EC24CDD33377}"/>
    <cellStyle name="40% - Accent3 2 13" xfId="374" xr:uid="{4AA45E68-D7E8-4BCB-8E2B-EF193F5106A7}"/>
    <cellStyle name="40% - Accent3 2 14" xfId="375" xr:uid="{4B8B33DF-326F-443F-A1F7-72BF2D4AA683}"/>
    <cellStyle name="40% - Accent3 2 15" xfId="376" xr:uid="{E187CD7B-42B7-47DE-B2FA-6D28E8C9BA41}"/>
    <cellStyle name="40% - Accent3 2 2" xfId="377" xr:uid="{9EA8DACE-EA51-4CA7-A3BB-C055DD2EF043}"/>
    <cellStyle name="40% - Accent3 2 3" xfId="378" xr:uid="{5D1F5F04-B722-4179-A711-FBAA6AE03FC2}"/>
    <cellStyle name="40% - Accent3 2 4" xfId="379" xr:uid="{40181483-CF33-40C2-8223-D4C5D31C42E0}"/>
    <cellStyle name="40% - Accent3 2 5" xfId="380" xr:uid="{BDF0F925-A26C-4A7A-9BC3-3B8626875A1C}"/>
    <cellStyle name="40% - Accent3 2 6" xfId="381" xr:uid="{B2E9DEF7-2847-41B3-912F-07E76E46B905}"/>
    <cellStyle name="40% - Accent3 2 7" xfId="382" xr:uid="{3F211B47-6340-4B70-B57B-A4D3576EC4A0}"/>
    <cellStyle name="40% - Accent3 2 8" xfId="383" xr:uid="{832AB97A-C85A-436F-BF82-DA8149001368}"/>
    <cellStyle name="40% - Accent3 2 9" xfId="384" xr:uid="{6F7256E6-0DA3-4501-804E-4FEF7D379AC6}"/>
    <cellStyle name="40% - Accent3 3" xfId="42" xr:uid="{96D262BB-1129-40B9-9E07-69BC93FC97AC}"/>
    <cellStyle name="40% - Accent3 3 2" xfId="385" xr:uid="{551C8BC3-89F6-4682-B342-12693CB25FA0}"/>
    <cellStyle name="40% - Accent3 4" xfId="386" xr:uid="{A3EFA666-0FD8-4943-999E-0E15FF926961}"/>
    <cellStyle name="40% - Accent3 5" xfId="387" xr:uid="{6B96149C-B11A-4CF6-839E-EF37718D20E9}"/>
    <cellStyle name="40% - Accent3 6" xfId="388" xr:uid="{01BA4555-94B0-4174-B7AC-61F1056D117D}"/>
    <cellStyle name="40% - Accent3 7" xfId="389" xr:uid="{400C3892-B5B5-4B7C-8A1C-6C3C61A78CF0}"/>
    <cellStyle name="40% - Accent3 8" xfId="390" xr:uid="{F5B9B5BF-DB3B-48B7-921C-5790F3211CD5}"/>
    <cellStyle name="40% - Accent4 2" xfId="43" xr:uid="{C00CCDFA-5A99-4C0D-B90A-6DAA76E3EE56}"/>
    <cellStyle name="40% - Accent4 2 10" xfId="391" xr:uid="{17494FD3-F320-41BF-AA84-7AB0820B9A3E}"/>
    <cellStyle name="40% - Accent4 2 11" xfId="392" xr:uid="{DF3BEF89-BCFF-464A-9E33-3871AB3462B7}"/>
    <cellStyle name="40% - Accent4 2 12" xfId="393" xr:uid="{4F1EA0C2-0804-4360-893D-C0A22A9DCD54}"/>
    <cellStyle name="40% - Accent4 2 13" xfId="394" xr:uid="{7F6E2AAD-468E-498A-B694-BB56EAE68739}"/>
    <cellStyle name="40% - Accent4 2 14" xfId="395" xr:uid="{DBA39A85-C816-4616-9C09-7C162A3E6FC8}"/>
    <cellStyle name="40% - Accent4 2 15" xfId="396" xr:uid="{314C54D9-1F46-49AA-A752-6BCFB96BA5E5}"/>
    <cellStyle name="40% - Accent4 2 2" xfId="397" xr:uid="{9E8B68D1-1DC9-4146-86D8-5A5497AAD706}"/>
    <cellStyle name="40% - Accent4 2 3" xfId="398" xr:uid="{A1F085DD-679C-424E-B2E3-9E3CBDF73407}"/>
    <cellStyle name="40% - Accent4 2 4" xfId="399" xr:uid="{C4644711-6D60-4B4C-AA27-D5C76673B5F6}"/>
    <cellStyle name="40% - Accent4 2 5" xfId="400" xr:uid="{1E3E9E86-20DF-4AA2-B8EF-DB1EB6A2FC18}"/>
    <cellStyle name="40% - Accent4 2 6" xfId="401" xr:uid="{F998166E-51A2-4593-9DFA-0AE5C27C3AF2}"/>
    <cellStyle name="40% - Accent4 2 7" xfId="402" xr:uid="{FFCAD07E-4B0F-4BE1-AF34-08D0004E57BA}"/>
    <cellStyle name="40% - Accent4 2 8" xfId="403" xr:uid="{21D5EC94-BD67-472B-92DE-A7F9E108686E}"/>
    <cellStyle name="40% - Accent4 2 9" xfId="404" xr:uid="{BBC8241A-3C7B-4B45-9C20-63AA48BF2D72}"/>
    <cellStyle name="40% - Accent4 3" xfId="44" xr:uid="{DE28ABE1-D617-43EB-92A6-5382B26C7756}"/>
    <cellStyle name="40% - Accent4 3 2" xfId="405" xr:uid="{C2B98072-1311-47BD-8543-60FE7EA16174}"/>
    <cellStyle name="40% - Accent4 4" xfId="406" xr:uid="{7008BB9F-6F05-4BC6-A26C-867C728E5332}"/>
    <cellStyle name="40% - Accent4 5" xfId="407" xr:uid="{524024EF-10E6-4EE5-8B3E-CBA85B1A3DB3}"/>
    <cellStyle name="40% - Accent4 6" xfId="408" xr:uid="{2C8E2301-1BCA-4484-866C-0004770F2537}"/>
    <cellStyle name="40% - Accent4 7" xfId="409" xr:uid="{3F1F0021-C42F-4302-AECD-58B83B5CC37E}"/>
    <cellStyle name="40% - Accent4 8" xfId="410" xr:uid="{B50A6E25-288D-462A-9B7B-791A6C58CC29}"/>
    <cellStyle name="40% - Accent5 2" xfId="45" xr:uid="{33AB81FA-0C45-4791-A0C5-2EC9D3BEA2F3}"/>
    <cellStyle name="40% - Accent5 2 10" xfId="411" xr:uid="{ABDC31E0-2F59-40C0-8B41-1737E39A75F2}"/>
    <cellStyle name="40% - Accent5 2 11" xfId="412" xr:uid="{F6BF6B72-8FB2-4D30-975F-B0CCEB9BAE5E}"/>
    <cellStyle name="40% - Accent5 2 12" xfId="413" xr:uid="{42A7E89D-2728-4097-8BFE-6E420026F30C}"/>
    <cellStyle name="40% - Accent5 2 13" xfId="414" xr:uid="{D6AF879F-8439-48CD-B360-2BD2BA3BEF54}"/>
    <cellStyle name="40% - Accent5 2 14" xfId="415" xr:uid="{ADB16CF1-3F96-4D00-BD95-5F4233D1114B}"/>
    <cellStyle name="40% - Accent5 2 15" xfId="416" xr:uid="{E6368A7C-B585-45AC-9840-042B979A3C1D}"/>
    <cellStyle name="40% - Accent5 2 2" xfId="417" xr:uid="{118EBDB1-A11E-424F-B41C-D41C4BAE44F3}"/>
    <cellStyle name="40% - Accent5 2 3" xfId="418" xr:uid="{0A79D095-1AC4-4B51-B117-44D2D4F2F81E}"/>
    <cellStyle name="40% - Accent5 2 4" xfId="419" xr:uid="{5284D4F6-05DE-4591-BC7A-CF78B09928B7}"/>
    <cellStyle name="40% - Accent5 2 5" xfId="420" xr:uid="{497CDCB6-607D-4F01-8F43-0EA2F94A04A4}"/>
    <cellStyle name="40% - Accent5 2 6" xfId="421" xr:uid="{67B79773-316E-4F13-BCD6-38D4E741482F}"/>
    <cellStyle name="40% - Accent5 2 7" xfId="422" xr:uid="{3596BF4F-56C9-4A60-A3D3-047E03D13938}"/>
    <cellStyle name="40% - Accent5 2 8" xfId="423" xr:uid="{6A2DB8BC-61BA-4C44-9008-6B6A717503E8}"/>
    <cellStyle name="40% - Accent5 2 9" xfId="424" xr:uid="{99218DE2-7B70-4F6D-91B0-37BBB94929C7}"/>
    <cellStyle name="40% - Accent5 3" xfId="46" xr:uid="{66456149-138F-45B8-917E-A207AFCBA07A}"/>
    <cellStyle name="40% - Accent5 3 2" xfId="425" xr:uid="{CD83D07A-1EE6-4214-A055-742E665DB521}"/>
    <cellStyle name="40% - Accent5 4" xfId="426" xr:uid="{C94EB8FB-4CE2-4C18-B3F7-AE2178EC696B}"/>
    <cellStyle name="40% - Accent5 5" xfId="427" xr:uid="{D1BF9E8D-2281-4192-8125-90FDFDEC791B}"/>
    <cellStyle name="40% - Accent5 6" xfId="428" xr:uid="{61379A8D-EEF2-4433-8EAE-CAC56C0D8F77}"/>
    <cellStyle name="40% - Accent5 7" xfId="429" xr:uid="{A6C80336-5F56-4782-9480-B19673719056}"/>
    <cellStyle name="40% - Accent5 8" xfId="430" xr:uid="{F44EC653-916B-4ECF-BAA6-8A14CD3CD949}"/>
    <cellStyle name="40% - Accent6 2" xfId="47" xr:uid="{DA6CC614-C1C3-45A2-B2E6-AE0B11AEEB86}"/>
    <cellStyle name="40% - Accent6 2 10" xfId="431" xr:uid="{ADD0F521-962A-40C6-ACD9-4E3960FD96BB}"/>
    <cellStyle name="40% - Accent6 2 11" xfId="432" xr:uid="{CA042C97-6A8B-4575-A220-75756AC42F02}"/>
    <cellStyle name="40% - Accent6 2 12" xfId="433" xr:uid="{A327BB28-F150-4A0C-A77F-3026FB32FD9D}"/>
    <cellStyle name="40% - Accent6 2 13" xfId="434" xr:uid="{F107DD07-168D-4686-9114-36CE4A4B4F0B}"/>
    <cellStyle name="40% - Accent6 2 14" xfId="435" xr:uid="{0949CBD0-F835-415E-8D37-5A67502FE2AD}"/>
    <cellStyle name="40% - Accent6 2 15" xfId="436" xr:uid="{C63DF55F-E390-48B2-A82C-90899BC15F77}"/>
    <cellStyle name="40% - Accent6 2 2" xfId="437" xr:uid="{4732260E-D887-403C-AD51-197F447382D4}"/>
    <cellStyle name="40% - Accent6 2 3" xfId="438" xr:uid="{7997D823-9EFF-4DCC-98D9-A3CC1AA11B55}"/>
    <cellStyle name="40% - Accent6 2 4" xfId="439" xr:uid="{55A3BECD-BFD5-4C54-A99C-F595B6AC9324}"/>
    <cellStyle name="40% - Accent6 2 5" xfId="440" xr:uid="{EB1B6187-8E59-4E90-AC84-9B8DA03E7C68}"/>
    <cellStyle name="40% - Accent6 2 6" xfId="441" xr:uid="{CAF05D3F-DFE2-4F59-BA5A-25C36A29BC83}"/>
    <cellStyle name="40% - Accent6 2 7" xfId="442" xr:uid="{9AB79E81-3992-4A42-9D85-0CF3FFD503CB}"/>
    <cellStyle name="40% - Accent6 2 8" xfId="443" xr:uid="{AB2F22CF-4F2A-4663-9193-9A9792349142}"/>
    <cellStyle name="40% - Accent6 2 9" xfId="444" xr:uid="{FB194BB5-7124-44DE-8768-517D7054B9EF}"/>
    <cellStyle name="40% - Accent6 3" xfId="48" xr:uid="{F5C99489-A1AD-466D-993C-F7EB71BF674D}"/>
    <cellStyle name="40% - Accent6 3 2" xfId="445" xr:uid="{03907AA2-CBF7-41A3-AB67-1C37CDD39E1B}"/>
    <cellStyle name="40% - Accent6 4" xfId="446" xr:uid="{A6327978-ECA9-4BAC-A02F-980266A3233C}"/>
    <cellStyle name="40% - Accent6 5" xfId="447" xr:uid="{E7B25854-8024-485C-9D70-FFDFE1F79AC5}"/>
    <cellStyle name="40% - Accent6 6" xfId="448" xr:uid="{6B99B71A-34DC-4364-BF48-2DA1FFA27E78}"/>
    <cellStyle name="40% - Accent6 7" xfId="449" xr:uid="{1A49C61F-11E4-42AD-8376-47376D861508}"/>
    <cellStyle name="40% - Accent6 8" xfId="450" xr:uid="{6821E3C9-329C-41C7-8A03-1CFB7597A7F1}"/>
    <cellStyle name="5x indented GHG Textfiels" xfId="201" xr:uid="{61632588-BD22-488D-B22B-FFD94F40B747}"/>
    <cellStyle name="5x indented GHG Textfiels 2" xfId="451" xr:uid="{1077E486-DCEB-4ABB-BE65-A6952F235205}"/>
    <cellStyle name="5x indented GHG Textfiels 2 2" xfId="1869" xr:uid="{7366730F-5C50-4211-8E07-52151CF9FDFB}"/>
    <cellStyle name="5x indented GHG Textfiels 3" xfId="1868" xr:uid="{A41A6C83-E15B-4B10-BAA7-B981CDE47C0A}"/>
    <cellStyle name="60 % - Accent1" xfId="3424" builtinId="32" customBuiltin="1"/>
    <cellStyle name="60 % - Accent2" xfId="3427" builtinId="36" customBuiltin="1"/>
    <cellStyle name="60 % - Accent3" xfId="3429" builtinId="40" customBuiltin="1"/>
    <cellStyle name="60 % - Accent4" xfId="3432" builtinId="44" customBuiltin="1"/>
    <cellStyle name="60 % - Accent5" xfId="3435" builtinId="48" customBuiltin="1"/>
    <cellStyle name="60 % - Accent6" xfId="3438" builtinId="52" customBuiltin="1"/>
    <cellStyle name="60% - Accent1 2" xfId="49" xr:uid="{1BBC5B26-2AB9-4DEC-9A3E-85532CA191B2}"/>
    <cellStyle name="60% - Accent1 2 10" xfId="452" xr:uid="{DDC6E611-16E5-4D4C-90D6-C7CE4C4CEC2F}"/>
    <cellStyle name="60% - Accent1 2 2" xfId="453" xr:uid="{BF08D1E1-C156-4530-A7FF-F08CE1B15615}"/>
    <cellStyle name="60% - Accent1 2 3" xfId="454" xr:uid="{BC771E8B-F1D4-42A7-91D9-1410F871B3C4}"/>
    <cellStyle name="60% - Accent1 2 4" xfId="455" xr:uid="{AA474F28-ECB9-4152-9A25-C4B8548CD379}"/>
    <cellStyle name="60% - Accent1 2 5" xfId="456" xr:uid="{6614D835-7E9B-4F80-B4EF-2D1A6C18E171}"/>
    <cellStyle name="60% - Accent1 2 6" xfId="457" xr:uid="{9AD4C160-9F1F-4428-987A-6366324AB89D}"/>
    <cellStyle name="60% - Accent1 2 7" xfId="458" xr:uid="{E8E7A418-7C4D-40DC-8FB9-EF98B2E74F9D}"/>
    <cellStyle name="60% - Accent1 2 8" xfId="459" xr:uid="{7A02A547-CEAE-4BC4-980A-338EF683126E}"/>
    <cellStyle name="60% - Accent1 2 9" xfId="460" xr:uid="{DF2BC969-4F2F-4CEC-A0F1-8494DC32AF97}"/>
    <cellStyle name="60% - Accent1 3" xfId="50" xr:uid="{4EFCA618-AF6E-4701-A058-EA67BA0594C2}"/>
    <cellStyle name="60% - Accent1 3 2" xfId="461" xr:uid="{DF3D8498-8BF1-49D6-A10B-ECE1E87EBC17}"/>
    <cellStyle name="60% - Accent2 2" xfId="51" xr:uid="{C19F159A-BADE-435F-8306-8E574F07CB80}"/>
    <cellStyle name="60% - Accent2 2 10" xfId="462" xr:uid="{F9DB6982-1CD6-4A5B-8BC6-25A4A1337FC4}"/>
    <cellStyle name="60% - Accent2 2 2" xfId="463" xr:uid="{EE202E13-7102-40D4-8241-A98A90F8A25A}"/>
    <cellStyle name="60% - Accent2 2 3" xfId="464" xr:uid="{710E0FB1-9936-4683-8A6C-E15CBB96D419}"/>
    <cellStyle name="60% - Accent2 2 4" xfId="465" xr:uid="{B79250A0-ECAE-4572-93B4-BC7D8C5CDF0D}"/>
    <cellStyle name="60% - Accent2 2 5" xfId="466" xr:uid="{268B6CBD-2903-445F-8D4F-97699213BB66}"/>
    <cellStyle name="60% - Accent2 2 6" xfId="467" xr:uid="{6492EEAE-4AB2-47B9-9F56-921AB6FFD0FB}"/>
    <cellStyle name="60% - Accent2 2 7" xfId="468" xr:uid="{B692B450-4039-461C-BD62-BC95F6084D60}"/>
    <cellStyle name="60% - Accent2 2 8" xfId="469" xr:uid="{346BAC6E-A1F1-4B76-AC60-BBF33C18F7A5}"/>
    <cellStyle name="60% - Accent2 2 9" xfId="470" xr:uid="{602B48E5-E747-4C36-ABA2-70238CC5E71F}"/>
    <cellStyle name="60% - Accent2 3" xfId="52" xr:uid="{3F8C6671-1F33-4653-A1BD-7E51785B9F4F}"/>
    <cellStyle name="60% - Accent2 3 2" xfId="471" xr:uid="{0BDC787E-FDF0-4D59-8B8A-E60BB4DD4ABD}"/>
    <cellStyle name="60% - Accent3 2" xfId="53" xr:uid="{FFE35D5C-3E78-4999-BFCA-AA8E5F3C8EE7}"/>
    <cellStyle name="60% - Accent3 2 10" xfId="472" xr:uid="{E77AA727-A66F-4EBF-A0D6-932ABF92620C}"/>
    <cellStyle name="60% - Accent3 2 2" xfId="473" xr:uid="{0C5690B8-25B8-4DAC-863E-6533BC8DAA48}"/>
    <cellStyle name="60% - Accent3 2 3" xfId="474" xr:uid="{1C43FF36-8E4E-4C30-ACF5-EC063CE3F5FC}"/>
    <cellStyle name="60% - Accent3 2 4" xfId="475" xr:uid="{B502DE18-8BCE-4579-A814-7C9EED5A82B1}"/>
    <cellStyle name="60% - Accent3 2 5" xfId="476" xr:uid="{D4AE514C-14CB-46CE-A78C-7EB900CCF73D}"/>
    <cellStyle name="60% - Accent3 2 6" xfId="477" xr:uid="{40C04A04-0EEC-4F0D-BDD9-B70701DA6EDC}"/>
    <cellStyle name="60% - Accent3 2 7" xfId="478" xr:uid="{2E15D992-B5C5-4E0B-9346-5A0407D2B973}"/>
    <cellStyle name="60% - Accent3 2 8" xfId="479" xr:uid="{FBB83AD1-6673-404B-A2FF-304ACC663B82}"/>
    <cellStyle name="60% - Accent3 2 9" xfId="480" xr:uid="{A6E4F159-E4AF-4272-A6CA-5535648E35AA}"/>
    <cellStyle name="60% - Accent3 3" xfId="54" xr:uid="{8D512295-B310-4AC9-92AC-E85F4BADC7E7}"/>
    <cellStyle name="60% - Accent3 3 2" xfId="481" xr:uid="{2B3958DA-D944-4991-9EA4-C4E50E54CE3E}"/>
    <cellStyle name="60% - Accent4 2" xfId="55" xr:uid="{7E9FFF1A-2F66-402B-8B18-480A4F4FCFB0}"/>
    <cellStyle name="60% - Accent4 2 10" xfId="482" xr:uid="{3564EB42-3CAF-47C8-B666-C74DB109DEA6}"/>
    <cellStyle name="60% - Accent4 2 2" xfId="483" xr:uid="{7A9CC010-A957-4C49-9E03-A18E0308769C}"/>
    <cellStyle name="60% - Accent4 2 3" xfId="484" xr:uid="{83EA90DF-D8C2-4F44-A5D3-D743704A4B77}"/>
    <cellStyle name="60% - Accent4 2 4" xfId="485" xr:uid="{0BCA34AE-47CC-471F-82EC-E0623EFEB49D}"/>
    <cellStyle name="60% - Accent4 2 5" xfId="486" xr:uid="{656C808C-6D3D-4F3C-9AFA-A462299888BF}"/>
    <cellStyle name="60% - Accent4 2 6" xfId="487" xr:uid="{D2F2BBA2-2B46-41E1-BB5F-DAC7FFFD782C}"/>
    <cellStyle name="60% - Accent4 2 7" xfId="488" xr:uid="{29EEBBAC-ACF6-44F0-94B5-4CD9DC9477CA}"/>
    <cellStyle name="60% - Accent4 2 8" xfId="489" xr:uid="{326C96CB-F27D-4976-8272-163DAAA3A394}"/>
    <cellStyle name="60% - Accent4 2 9" xfId="490" xr:uid="{A7A89616-0748-431D-A073-DAC19FFEBA89}"/>
    <cellStyle name="60% - Accent4 3" xfId="56" xr:uid="{49330A6D-51FD-4002-A8B9-44906C07B8D5}"/>
    <cellStyle name="60% - Accent4 3 2" xfId="491" xr:uid="{6B9DD6CB-A076-4F02-B054-5DE406193684}"/>
    <cellStyle name="60% - Accent5 2" xfId="57" xr:uid="{BBFC861A-7007-414F-8E1E-F8ED6ACE0381}"/>
    <cellStyle name="60% - Accent5 2 10" xfId="492" xr:uid="{E7D05070-CAAE-48F6-86F6-E14F0F4AE18C}"/>
    <cellStyle name="60% - Accent5 2 2" xfId="493" xr:uid="{D9799E22-DF0C-41E2-8C13-AFC781BBF50C}"/>
    <cellStyle name="60% - Accent5 2 3" xfId="494" xr:uid="{9FCBB2FC-574C-43C2-9F57-EE75B192ED87}"/>
    <cellStyle name="60% - Accent5 2 4" xfId="495" xr:uid="{BE4CC27C-D619-4A35-9696-2170BD3B986A}"/>
    <cellStyle name="60% - Accent5 2 5" xfId="496" xr:uid="{18A3B256-40BA-4B85-84A1-FB41CDF337E6}"/>
    <cellStyle name="60% - Accent5 2 6" xfId="497" xr:uid="{F60CA240-96AA-4213-9C2C-4515942DB95B}"/>
    <cellStyle name="60% - Accent5 2 7" xfId="498" xr:uid="{7DABDAA6-6FA6-4D2F-8AE9-BFCBE53D0A3F}"/>
    <cellStyle name="60% - Accent5 2 8" xfId="499" xr:uid="{7BC62C4B-13B1-474A-A475-211B3B7FAAE9}"/>
    <cellStyle name="60% - Accent5 2 9" xfId="500" xr:uid="{DF07DF00-568A-464C-97A4-38B03BC6C189}"/>
    <cellStyle name="60% - Accent5 3" xfId="58" xr:uid="{534CEA0A-55B3-4010-8FF5-AE6295FBEBDA}"/>
    <cellStyle name="60% - Accent5 3 2" xfId="501" xr:uid="{2469A2F5-03E5-40A4-957F-AB68B32C0898}"/>
    <cellStyle name="60% - Accent6 2" xfId="59" xr:uid="{31F2DB6D-5BEB-4B61-8532-83C4A9C91B9C}"/>
    <cellStyle name="60% - Accent6 2 10" xfId="502" xr:uid="{A9DF75AB-D956-47A8-897B-4330ECC11DE7}"/>
    <cellStyle name="60% - Accent6 2 2" xfId="503" xr:uid="{5AA194C6-78D7-466B-935B-F619FCE26733}"/>
    <cellStyle name="60% - Accent6 2 3" xfId="504" xr:uid="{AEC283BB-8165-4431-A0E8-AF91725C003D}"/>
    <cellStyle name="60% - Accent6 2 4" xfId="505" xr:uid="{AB1B35D3-F444-428B-BE91-85CE6963C880}"/>
    <cellStyle name="60% - Accent6 2 5" xfId="506" xr:uid="{594C2D83-8B56-4B73-A20E-30248168D807}"/>
    <cellStyle name="60% - Accent6 2 6" xfId="507" xr:uid="{9F1EE318-D9EA-470E-91A9-F63FD91C7EC5}"/>
    <cellStyle name="60% - Accent6 2 7" xfId="508" xr:uid="{DCEFDD02-DAD5-4E65-8120-44256844C3D8}"/>
    <cellStyle name="60% - Accent6 2 8" xfId="509" xr:uid="{13AAC1CD-9647-48CA-996D-4196C424518D}"/>
    <cellStyle name="60% - Accent6 2 9" xfId="510" xr:uid="{2B9A823E-BC8E-4BB3-ABA7-8871B2EA504D}"/>
    <cellStyle name="60% - Accent6 3" xfId="60" xr:uid="{1C5931DD-3228-408F-9003-6F85EF44B0FA}"/>
    <cellStyle name="60% - Accent6 3 2" xfId="511" xr:uid="{940DE17F-7B40-4299-B24B-FD57473D8655}"/>
    <cellStyle name="Accent1" xfId="1" xr:uid="{00000000-0005-0000-0000-000000000000}"/>
    <cellStyle name="Accent1 2" xfId="61" xr:uid="{BF9304A7-A3FB-4CB8-A352-3204ED01A100}"/>
    <cellStyle name="Accent1 2 10" xfId="512" xr:uid="{5C6C9F1F-0ADD-4FCF-B0A3-58446044D6B9}"/>
    <cellStyle name="Accent1 2 2" xfId="513" xr:uid="{611DEA40-57B2-4156-B2E4-E1E6FD09A2D2}"/>
    <cellStyle name="Accent1 2 3" xfId="514" xr:uid="{B8A470C3-4133-4F7A-84BA-FE5C17066EE9}"/>
    <cellStyle name="Accent1 2 4" xfId="515" xr:uid="{49F6444E-9924-4976-B024-2BE322D48989}"/>
    <cellStyle name="Accent1 2 5" xfId="516" xr:uid="{D6D5A5CA-71D0-49ED-B885-33A791555B97}"/>
    <cellStyle name="Accent1 2 6" xfId="517" xr:uid="{65BFBE62-987F-411A-83EC-9AFFC633A44B}"/>
    <cellStyle name="Accent1 2 7" xfId="518" xr:uid="{66810657-4A16-4928-869A-D9E7D0B880A8}"/>
    <cellStyle name="Accent1 2 8" xfId="519" xr:uid="{12884960-F170-47AD-92E5-9C67E7D89C56}"/>
    <cellStyle name="Accent1 2 9" xfId="520" xr:uid="{8A3C1C5E-A010-4809-A8D9-776C1E9CCE5E}"/>
    <cellStyle name="Accent1 3" xfId="62" xr:uid="{59B361D9-F495-435F-A6B7-14F483FB8FB7}"/>
    <cellStyle name="Accent1 3 2" xfId="521" xr:uid="{5294211E-D0E5-4A57-94EB-70F40AA88395}"/>
    <cellStyle name="Accent1 4" xfId="3840" xr:uid="{A5C50432-0907-44B8-89C7-876ADBB397D0}"/>
    <cellStyle name="Accent1 5" xfId="3446" xr:uid="{9F3BA228-7D1B-4E31-BCD0-FCF2808B7203}"/>
    <cellStyle name="Accent1 6" xfId="3440" xr:uid="{F160D988-C5F3-44AA-A8E6-D50A2B2BB553}"/>
    <cellStyle name="Accent2" xfId="2" xr:uid="{00000000-0005-0000-0000-000001000000}"/>
    <cellStyle name="Accent2 2" xfId="63" xr:uid="{CE29C91C-37FF-4A62-8B38-17371341735D}"/>
    <cellStyle name="Accent2 2 10" xfId="522" xr:uid="{11E597A1-1461-4B8A-917E-522F24E50F73}"/>
    <cellStyle name="Accent2 2 2" xfId="523" xr:uid="{57DA46A1-DC8C-4DB9-911B-FF02C20741EF}"/>
    <cellStyle name="Accent2 2 3" xfId="524" xr:uid="{4A40E1F9-1BF2-47CD-87A9-098E8311D04F}"/>
    <cellStyle name="Accent2 2 4" xfId="525" xr:uid="{06F17632-A54B-435D-90FC-778DEB0ADAF3}"/>
    <cellStyle name="Accent2 2 5" xfId="526" xr:uid="{C07320D3-ADAE-43BD-8BAC-AF6A2C322642}"/>
    <cellStyle name="Accent2 2 6" xfId="527" xr:uid="{84FD6664-11CB-4BEF-B6AC-BD4AE7AC5D91}"/>
    <cellStyle name="Accent2 2 7" xfId="528" xr:uid="{BE82361A-088F-4C08-9686-91F82A87C302}"/>
    <cellStyle name="Accent2 2 8" xfId="529" xr:uid="{0342CA82-E683-47B2-A1B0-A9188E722018}"/>
    <cellStyle name="Accent2 2 9" xfId="530" xr:uid="{97B503E2-7B3D-45E1-9926-ABEA741F3AA9}"/>
    <cellStyle name="Accent2 3" xfId="64" xr:uid="{8260F010-84F5-415F-92F4-617EE48FB13D}"/>
    <cellStyle name="Accent2 3 2" xfId="531" xr:uid="{9F72DF0C-CD70-4A7A-BA3A-BE65934843BF}"/>
    <cellStyle name="Accent2 4" xfId="3841" xr:uid="{0CA2C4AA-1A8C-4A2C-AA91-F59E978749F3}"/>
    <cellStyle name="Accent2 5" xfId="3447" xr:uid="{45BF203E-ECCC-4BA3-A821-1E6BC6E95333}"/>
    <cellStyle name="Accent2 6" xfId="3441" xr:uid="{94D5EB47-6E10-4566-80EE-4B03CD131E81}"/>
    <cellStyle name="Accent3" xfId="3" xr:uid="{00000000-0005-0000-0000-000002000000}"/>
    <cellStyle name="Accent3 2" xfId="65" xr:uid="{D48FE61E-0E2B-4964-9435-983A999B47D8}"/>
    <cellStyle name="Accent3 2 10" xfId="532" xr:uid="{DCCE9499-0436-4CCA-B399-BB0B9A096E5B}"/>
    <cellStyle name="Accent3 2 2" xfId="533" xr:uid="{AE286233-1EEE-426B-BDB4-2CA52597E16B}"/>
    <cellStyle name="Accent3 2 3" xfId="534" xr:uid="{F285D000-C20C-420B-B163-FD7B4D40AE07}"/>
    <cellStyle name="Accent3 2 4" xfId="535" xr:uid="{8CB43857-BC6D-4854-AA8D-58795F1FB56E}"/>
    <cellStyle name="Accent3 2 5" xfId="536" xr:uid="{8AA5667F-407F-4655-926E-4AFF055C5895}"/>
    <cellStyle name="Accent3 2 6" xfId="537" xr:uid="{88AC5B27-1534-41EB-99F5-A4702E042E58}"/>
    <cellStyle name="Accent3 2 7" xfId="538" xr:uid="{43A87A1C-4AD4-40F4-8DC8-49591674D8EF}"/>
    <cellStyle name="Accent3 2 8" xfId="539" xr:uid="{739F904F-8B26-42FD-8347-53773818AAF0}"/>
    <cellStyle name="Accent3 2 9" xfId="540" xr:uid="{4068D9C8-53D5-49EF-9BFA-CC9C7D82223B}"/>
    <cellStyle name="Accent3 3" xfId="66" xr:uid="{516CB6C7-4C42-43E5-AA1A-06016B91C237}"/>
    <cellStyle name="Accent3 3 2" xfId="541" xr:uid="{5F015542-497A-4668-A157-267F56CE8D81}"/>
    <cellStyle name="Accent3 4" xfId="3842" xr:uid="{F48734F8-7BF3-4A7C-9DFE-D8983BB3E8A4}"/>
    <cellStyle name="Accent3 5" xfId="3448" xr:uid="{6164B876-6A80-4CE6-B9FB-290DF88CBBE4}"/>
    <cellStyle name="Accent3 6" xfId="3442" xr:uid="{AFF4A12C-8A4B-40A5-BCBA-AA9A0BB285E3}"/>
    <cellStyle name="Accent4" xfId="4" xr:uid="{00000000-0005-0000-0000-000003000000}"/>
    <cellStyle name="Accent4 2" xfId="67" xr:uid="{7FC406C2-94C0-41AD-A901-90658E9737F9}"/>
    <cellStyle name="Accent4 2 10" xfId="542" xr:uid="{90481E4A-F238-4564-A172-0F24F6F73CF3}"/>
    <cellStyle name="Accent4 2 2" xfId="543" xr:uid="{C4654C71-4512-4075-881B-3D6FC3B11DF9}"/>
    <cellStyle name="Accent4 2 3" xfId="544" xr:uid="{8E5C93B4-E92D-49F1-B876-1F50861AC9EF}"/>
    <cellStyle name="Accent4 2 4" xfId="545" xr:uid="{47895CDB-AD04-44FC-ABBC-D87EDBD8348C}"/>
    <cellStyle name="Accent4 2 5" xfId="546" xr:uid="{EB8A2A6F-21E7-4E43-BAA5-D6732D5427EE}"/>
    <cellStyle name="Accent4 2 6" xfId="547" xr:uid="{CD310050-AED9-460A-9F33-C201AD0AE2F8}"/>
    <cellStyle name="Accent4 2 7" xfId="548" xr:uid="{899C97A1-C7E6-41AA-9C7C-EBF217050480}"/>
    <cellStyle name="Accent4 2 8" xfId="549" xr:uid="{8BF95925-6C4A-4EAE-AA48-E634AAF6E312}"/>
    <cellStyle name="Accent4 2 9" xfId="550" xr:uid="{B2746079-8A64-4858-890D-CBF2FE536BED}"/>
    <cellStyle name="Accent4 3" xfId="68" xr:uid="{9DFE96F1-4C11-49C0-B3FD-B19137D94ED9}"/>
    <cellStyle name="Accent4 3 2" xfId="551" xr:uid="{87846C3F-5B1E-4551-BFFD-295FE344E934}"/>
    <cellStyle name="Accent4 4" xfId="3843" xr:uid="{945B58ED-0955-46DB-93CC-FE958C58EACE}"/>
    <cellStyle name="Accent4 5" xfId="3449" xr:uid="{A4A5D63A-0D75-4C95-B5DE-6CB1494872ED}"/>
    <cellStyle name="Accent4 6" xfId="3443" xr:uid="{0BB2CB41-DB65-4B65-A0B6-AA2DFED7CFD4}"/>
    <cellStyle name="Accent5" xfId="5" xr:uid="{00000000-0005-0000-0000-000004000000}"/>
    <cellStyle name="Accent5 2" xfId="69" xr:uid="{5C5E8D83-33FF-4C43-B109-B1D10BD61C7A}"/>
    <cellStyle name="Accent5 2 10" xfId="552" xr:uid="{1EA6F93D-6605-430F-B24E-20DE0556A7BB}"/>
    <cellStyle name="Accent5 2 2" xfId="553" xr:uid="{DF593B1F-1957-44F5-9432-1BDDD3460031}"/>
    <cellStyle name="Accent5 2 3" xfId="554" xr:uid="{49DCC0A6-7974-4516-85A0-B60B3CDBDB79}"/>
    <cellStyle name="Accent5 2 4" xfId="555" xr:uid="{CA6B0E62-6822-43DE-BA7B-AF608A398EED}"/>
    <cellStyle name="Accent5 2 5" xfId="556" xr:uid="{C44C518B-1BBD-41C4-B142-FF3677A6F0FD}"/>
    <cellStyle name="Accent5 2 6" xfId="557" xr:uid="{E0D78DDD-F4D9-4D3F-A293-CE078EC55360}"/>
    <cellStyle name="Accent5 2 7" xfId="558" xr:uid="{6869652D-031A-4B63-839B-3886E4347D82}"/>
    <cellStyle name="Accent5 2 8" xfId="559" xr:uid="{182122F1-D96E-4770-91C6-B5AC14FE6B40}"/>
    <cellStyle name="Accent5 2 9" xfId="560" xr:uid="{DFE576B8-DD99-4CBF-9B9F-160C75DA3C4C}"/>
    <cellStyle name="Accent5 3" xfId="70" xr:uid="{B0A60050-F6E3-4DA2-80EE-DB9A565100FC}"/>
    <cellStyle name="Accent5 4" xfId="3844" xr:uid="{C0E72313-CD02-4ED1-8D21-35FD3B20CBE1}"/>
    <cellStyle name="Accent5 5" xfId="3450" xr:uid="{84A78D75-A849-4C2B-B728-29DCE7396C3C}"/>
    <cellStyle name="Accent5 6" xfId="3444" xr:uid="{91128A9A-FF06-4A14-892B-1C008FC2561B}"/>
    <cellStyle name="Accent6" xfId="6" xr:uid="{00000000-0005-0000-0000-000005000000}"/>
    <cellStyle name="Accent6 2" xfId="71" xr:uid="{857A3AA7-933A-4444-9939-77F9B67F7753}"/>
    <cellStyle name="Accent6 2 10" xfId="561" xr:uid="{F30076B0-7EFC-4E4B-887F-7F371C11B3BB}"/>
    <cellStyle name="Accent6 2 2" xfId="562" xr:uid="{F8794CEF-9B4E-4F4C-B2B6-F67327CDA781}"/>
    <cellStyle name="Accent6 2 3" xfId="563" xr:uid="{8D74345A-4C4E-4511-A318-753817B442F5}"/>
    <cellStyle name="Accent6 2 4" xfId="564" xr:uid="{50F84A63-953A-4734-941E-2AA9A1428B12}"/>
    <cellStyle name="Accent6 2 5" xfId="565" xr:uid="{910EFF12-3386-47AA-A2DF-91441CAAFC79}"/>
    <cellStyle name="Accent6 2 6" xfId="566" xr:uid="{95C32912-8CB3-4250-BDCA-8A289DA8C4AD}"/>
    <cellStyle name="Accent6 2 7" xfId="567" xr:uid="{D8AC2337-E580-4FEE-A3E8-F1C1CA904EE1}"/>
    <cellStyle name="Accent6 2 8" xfId="568" xr:uid="{6AF061D0-EDB1-4FBB-9F2B-EFE8E2189051}"/>
    <cellStyle name="Accent6 2 9" xfId="569" xr:uid="{BC9E0DB7-0B6D-4B42-917B-3B097FE9BF90}"/>
    <cellStyle name="Accent6 3" xfId="72" xr:uid="{BD95EF4D-2CEC-4740-BBA7-B95967049D74}"/>
    <cellStyle name="Accent6 3 2" xfId="570" xr:uid="{994A6719-2142-4BFC-B8FE-C3839C133CB4}"/>
    <cellStyle name="Accent6 4" xfId="3845" xr:uid="{384A9B7D-2192-4A2F-B223-3CE5A17536BB}"/>
    <cellStyle name="Accent6 5" xfId="3451" xr:uid="{4536D4EA-6A2C-474A-B0E3-D24427E6C7A0}"/>
    <cellStyle name="Accent6 6" xfId="3445" xr:uid="{E07281AC-6C7C-4B6A-B314-CD705C326557}"/>
    <cellStyle name="AggOrange_CRFReport-template" xfId="202" xr:uid="{BF1690A7-DBBA-467C-95E1-F5BF62D28B68}"/>
    <cellStyle name="AggOrange9_CRFReport-template" xfId="203" xr:uid="{5D947C6F-AB37-42A7-B668-0B5CD317354C}"/>
    <cellStyle name="Avertissement" xfId="3419" builtinId="11" customBuiltin="1"/>
    <cellStyle name="Bad" xfId="7" xr:uid="{00000000-0005-0000-0000-000006000000}"/>
    <cellStyle name="Bad 2" xfId="73" xr:uid="{01EE7094-0669-4E6D-BB26-41D27E5A054B}"/>
    <cellStyle name="Bad 2 10" xfId="571" xr:uid="{86EE6C5E-59F0-4E45-86DE-CCCB4771D975}"/>
    <cellStyle name="Bad 2 2" xfId="572" xr:uid="{72CF1EA0-F873-4555-BD64-E2C775FF8DD9}"/>
    <cellStyle name="Bad 2 3" xfId="573" xr:uid="{A99E8041-2953-4362-9FF2-29A83BF746AE}"/>
    <cellStyle name="Bad 2 4" xfId="574" xr:uid="{E95B821B-F6D9-4EF6-848B-DC9F0C6A6A9A}"/>
    <cellStyle name="Bad 2 5" xfId="575" xr:uid="{E6B75AFF-919D-4C0C-88F1-0136D679DB23}"/>
    <cellStyle name="Bad 2 6" xfId="576" xr:uid="{3CA80D30-06E0-4802-83E9-95CBED94AD16}"/>
    <cellStyle name="Bad 2 7" xfId="577" xr:uid="{DDEC4C77-77C3-4024-94A2-915293D2E6A7}"/>
    <cellStyle name="Bad 2 8" xfId="578" xr:uid="{EC02B620-A425-411A-8DF8-D81B5FCB8AC8}"/>
    <cellStyle name="Bad 2 9" xfId="579" xr:uid="{E64F3799-F769-4BCD-AC84-5CBE9D97FED7}"/>
    <cellStyle name="Bad 3" xfId="74" xr:uid="{27E10885-F0F1-4099-BDC8-EFE8F5FCCE1B}"/>
    <cellStyle name="Bad 3 2" xfId="580" xr:uid="{5D87D8E3-8C50-4CC2-BF18-61D1A120BBC4}"/>
    <cellStyle name="Calcul" xfId="3416" builtinId="22" customBuiltin="1"/>
    <cellStyle name="Calculation 2" xfId="75" xr:uid="{482B6869-F4C9-472D-8BA6-C48385CF65A3}"/>
    <cellStyle name="Calculation 2 10" xfId="581" xr:uid="{44602EC5-450E-4402-9766-10274A42BE11}"/>
    <cellStyle name="Calculation 2 2" xfId="582" xr:uid="{33E09423-7F01-4F57-BC78-477164B29D3E}"/>
    <cellStyle name="Calculation 2 3" xfId="583" xr:uid="{5F63D22C-6B07-4321-AF20-FF2436285DBC}"/>
    <cellStyle name="Calculation 2 4" xfId="584" xr:uid="{85F6E310-866C-454E-96F5-DD89DD2C14E4}"/>
    <cellStyle name="Calculation 2 5" xfId="585" xr:uid="{236854DA-CCE9-4AB0-9145-02D04B0CB8ED}"/>
    <cellStyle name="Calculation 2 6" xfId="586" xr:uid="{CA1B1C61-4FE1-4639-AC1A-E751C6CBAE3F}"/>
    <cellStyle name="Calculation 2 7" xfId="587" xr:uid="{1F9A0868-071B-4DED-A76C-E69B9E2B076F}"/>
    <cellStyle name="Calculation 2 8" xfId="588" xr:uid="{AAB807D2-FB86-4AED-824E-0118AD6E7DF1}"/>
    <cellStyle name="Calculation 2 9" xfId="589" xr:uid="{A7C229AA-DE56-4590-8C43-7D6D897137DC}"/>
    <cellStyle name="Calculation 3" xfId="76" xr:uid="{881F86C5-B218-4BBE-B305-2309559E5EC0}"/>
    <cellStyle name="Calculation 3 2" xfId="590" xr:uid="{79F1F1A0-27C2-43AF-8C75-AEA07FAE707E}"/>
    <cellStyle name="Cellule liée" xfId="3417" builtinId="24" customBuiltin="1"/>
    <cellStyle name="Check Cell" xfId="8" xr:uid="{00000000-0005-0000-0000-000007000000}"/>
    <cellStyle name="Check Cell 2" xfId="77" xr:uid="{780D3374-A9B2-45A9-A44B-3DDCBAE7DCF2}"/>
    <cellStyle name="Check Cell 2 10" xfId="591" xr:uid="{4CBC69C8-55DD-4AF9-A5C7-2AD6D7B08BDF}"/>
    <cellStyle name="Check Cell 2 2" xfId="592" xr:uid="{4C1E47FD-7552-44A6-B9C4-A6888F4F9385}"/>
    <cellStyle name="Check Cell 2 3" xfId="593" xr:uid="{A6A2CDA8-15D8-4AEB-8E26-88AA769A2CB5}"/>
    <cellStyle name="Check Cell 2 4" xfId="594" xr:uid="{DC2B2CC4-90DE-4244-A711-C8389E5634EB}"/>
    <cellStyle name="Check Cell 2 5" xfId="595" xr:uid="{9DA465CA-C4DC-45AA-9760-6DA731DEA24B}"/>
    <cellStyle name="Check Cell 2 6" xfId="596" xr:uid="{0A8F5927-D1C5-486F-97D3-084F65E9015B}"/>
    <cellStyle name="Check Cell 2 7" xfId="597" xr:uid="{CEDC95DE-2A96-472C-BA5A-A6E95D781A31}"/>
    <cellStyle name="Check Cell 2 8" xfId="598" xr:uid="{A5718275-0023-4C9F-9778-230CBC3AB222}"/>
    <cellStyle name="Check Cell 2 9" xfId="599" xr:uid="{B65224F3-2332-4AA0-887B-621FEFB356EF}"/>
    <cellStyle name="Check Cell 3" xfId="78" xr:uid="{7E502E2D-FADA-4B40-A303-CD1F70F0DC7A}"/>
    <cellStyle name="coin" xfId="600" xr:uid="{8D8652AB-464F-4414-934F-EDDAFA345472}"/>
    <cellStyle name="coin 2" xfId="1870" xr:uid="{4B27886F-5A49-4B23-A80C-9FC52BDB95DE}"/>
    <cellStyle name="Comma [0] 2 10" xfId="601" xr:uid="{7965A89D-40A4-46EF-BF59-CDAE47C22A36}"/>
    <cellStyle name="Comma [0] 2 10 2" xfId="1871" xr:uid="{CA311549-D962-4582-8876-52DB270C1D56}"/>
    <cellStyle name="Comma [0] 2 10 2 2" xfId="3650" xr:uid="{64E6CF89-9C52-47A1-8746-3AF96FBEBC24}"/>
    <cellStyle name="Comma [0] 2 10 2 3" xfId="4042" xr:uid="{758D55D7-B884-4082-ADC5-8992E3B4991D}"/>
    <cellStyle name="Comma [0] 2 10 3" xfId="3456" xr:uid="{106116DC-9EA7-46DF-B979-8F92C737A764}"/>
    <cellStyle name="Comma [0] 2 10 4" xfId="3848" xr:uid="{F80EB446-B422-4DBC-8113-4430EB489C5F}"/>
    <cellStyle name="Comma [0] 2 2" xfId="602" xr:uid="{9D5DE8AF-1E38-4010-9C96-663066725A6A}"/>
    <cellStyle name="Comma [0] 2 2 2" xfId="1872" xr:uid="{BEDBE054-349D-4584-A4A7-652F84B0175D}"/>
    <cellStyle name="Comma [0] 2 2 2 2" xfId="3651" xr:uid="{386CD6AE-32BA-4714-8F5C-1E77C28F78DD}"/>
    <cellStyle name="Comma [0] 2 2 2 3" xfId="4043" xr:uid="{EE3489AE-04CE-419F-A5C5-5D8DA3A36C90}"/>
    <cellStyle name="Comma [0] 2 2 3" xfId="3457" xr:uid="{872584BA-BA9B-4907-ADC0-65ED6B7B8495}"/>
    <cellStyle name="Comma [0] 2 2 4" xfId="3849" xr:uid="{9DCF4C62-4D52-4127-A450-9A7922F6D743}"/>
    <cellStyle name="Comma [0] 2 3" xfId="603" xr:uid="{08AD60E0-8C66-4DA1-B98B-240B3BB60E56}"/>
    <cellStyle name="Comma [0] 2 3 2" xfId="1873" xr:uid="{676D7324-0342-4BDA-A232-C8A3E3F22906}"/>
    <cellStyle name="Comma [0] 2 3 2 2" xfId="3652" xr:uid="{26DC7E37-7CB5-4194-8E65-3221DC138D96}"/>
    <cellStyle name="Comma [0] 2 3 2 3" xfId="4044" xr:uid="{E503B5C1-FFA8-4EDA-9B7A-8C55E628DF65}"/>
    <cellStyle name="Comma [0] 2 3 3" xfId="3458" xr:uid="{88F6F9F9-783F-4F1A-BFE4-7303660045F1}"/>
    <cellStyle name="Comma [0] 2 3 4" xfId="3850" xr:uid="{0A2ED02E-1041-4E8F-A6B5-F4A9D173CD9F}"/>
    <cellStyle name="Comma [0] 2 4" xfId="604" xr:uid="{68271CF2-1998-42BD-B284-F6B415410B17}"/>
    <cellStyle name="Comma [0] 2 4 2" xfId="1874" xr:uid="{10FB02B2-7F57-45C4-B815-60A12FF71C67}"/>
    <cellStyle name="Comma [0] 2 4 2 2" xfId="3653" xr:uid="{167F13BC-CBF4-4E27-8F97-A2B860C87C95}"/>
    <cellStyle name="Comma [0] 2 4 2 3" xfId="4045" xr:uid="{69B58CEB-1C5C-4DEF-A60F-8329E678F364}"/>
    <cellStyle name="Comma [0] 2 4 3" xfId="3459" xr:uid="{36602DC4-EB12-4C0D-9594-F851B12DFF08}"/>
    <cellStyle name="Comma [0] 2 4 4" xfId="3851" xr:uid="{881DEA00-E9C2-4D19-833D-1B8807EA2C61}"/>
    <cellStyle name="Comma [0] 2 5" xfId="605" xr:uid="{FF4CB8D3-DCF7-4E7B-9BE2-5D9573F0831E}"/>
    <cellStyle name="Comma [0] 2 5 2" xfId="1875" xr:uid="{3572ABB6-42E4-4BB3-9881-AD0C5FB40640}"/>
    <cellStyle name="Comma [0] 2 5 2 2" xfId="3654" xr:uid="{AFE2DAE5-043A-4CC0-AB07-2BE6BDC2DC1F}"/>
    <cellStyle name="Comma [0] 2 5 2 3" xfId="4046" xr:uid="{14F3842D-D333-4331-B28C-AA31BD14919C}"/>
    <cellStyle name="Comma [0] 2 5 3" xfId="3460" xr:uid="{74A440C9-B873-489A-964C-BBE078DD46D4}"/>
    <cellStyle name="Comma [0] 2 5 4" xfId="3852" xr:uid="{0D987B10-FB3D-4D5A-A30F-567B049FC11A}"/>
    <cellStyle name="Comma [0] 2 6" xfId="606" xr:uid="{2BD55C33-EAF5-43C2-9B9E-254139A47A75}"/>
    <cellStyle name="Comma [0] 2 6 2" xfId="1876" xr:uid="{C52A0519-946A-4F0E-8606-EE6283F8F154}"/>
    <cellStyle name="Comma [0] 2 6 2 2" xfId="3655" xr:uid="{A1694ACC-4AA2-4BCA-92C5-5E62A485E35F}"/>
    <cellStyle name="Comma [0] 2 6 2 3" xfId="4047" xr:uid="{438A6868-43C0-4356-8336-8A4C5E4487E5}"/>
    <cellStyle name="Comma [0] 2 6 3" xfId="3461" xr:uid="{9700936C-527E-4939-AD96-D8EC56AA0EC9}"/>
    <cellStyle name="Comma [0] 2 6 4" xfId="3853" xr:uid="{E56D8842-197F-4DC8-B986-4F3D0FF59443}"/>
    <cellStyle name="Comma [0] 2 7" xfId="607" xr:uid="{DEAE5B03-A8B7-4BFE-A33C-DE9528FA1648}"/>
    <cellStyle name="Comma [0] 2 7 2" xfId="1877" xr:uid="{DA9144A5-4146-411D-9764-4BD52787405F}"/>
    <cellStyle name="Comma [0] 2 7 2 2" xfId="3656" xr:uid="{D84184FF-700D-49C9-9FF6-D7C39FEB738B}"/>
    <cellStyle name="Comma [0] 2 7 2 3" xfId="4048" xr:uid="{CA8D9B01-9707-4CC4-B44F-10E72E55526A}"/>
    <cellStyle name="Comma [0] 2 7 3" xfId="3462" xr:uid="{8110CDF6-5776-4B77-AEB1-CD06BD38CEBE}"/>
    <cellStyle name="Comma [0] 2 7 4" xfId="3854" xr:uid="{FAD29647-A084-4A89-B020-2D3FA6E1FE7A}"/>
    <cellStyle name="Comma [0] 2 8" xfId="608" xr:uid="{2C275770-372C-45EF-B60D-441635E67222}"/>
    <cellStyle name="Comma [0] 2 8 2" xfId="1878" xr:uid="{C1CFDCA0-F6B7-4353-987C-D636071747E0}"/>
    <cellStyle name="Comma [0] 2 8 2 2" xfId="3657" xr:uid="{BFBF665C-C2F9-46D7-BFB1-0AC7706DE4AE}"/>
    <cellStyle name="Comma [0] 2 8 2 3" xfId="4049" xr:uid="{734AAB2D-EA2C-4A8F-98DB-75E8C5A69016}"/>
    <cellStyle name="Comma [0] 2 8 3" xfId="3463" xr:uid="{005A3FD5-3B43-4EB2-8855-DA4C73EABD8A}"/>
    <cellStyle name="Comma [0] 2 8 4" xfId="3855" xr:uid="{3938C42F-BE8B-4CC9-AD87-57AD4D9CB822}"/>
    <cellStyle name="Comma [0] 2 9" xfId="609" xr:uid="{AE98FEFB-534C-411A-BD25-ADD4070392AF}"/>
    <cellStyle name="Comma [0] 2 9 2" xfId="1879" xr:uid="{354C4153-5054-479A-90B7-54827B78715F}"/>
    <cellStyle name="Comma [0] 2 9 2 2" xfId="3658" xr:uid="{5A9C0AFD-2F3E-43B4-A825-0A5AD2182414}"/>
    <cellStyle name="Comma [0] 2 9 2 3" xfId="4050" xr:uid="{FCE16D61-B088-4A21-A407-55940DB1F32E}"/>
    <cellStyle name="Comma [0] 2 9 3" xfId="3464" xr:uid="{C5AAD636-9184-4B47-AEBD-8466E9C8D433}"/>
    <cellStyle name="Comma [0] 2 9 4" xfId="3856" xr:uid="{80156281-1135-4217-9F25-48F442BFF9BF}"/>
    <cellStyle name="Comma 10 2" xfId="610" xr:uid="{0644179C-D034-4F3A-9769-EE2B37E0921E}"/>
    <cellStyle name="Comma 10 2 10" xfId="611" xr:uid="{E1CA5A8B-5E0C-4EE7-A985-19C19ADC2605}"/>
    <cellStyle name="Comma 10 2 10 2" xfId="1881" xr:uid="{C99C7BE1-BBF4-4534-BFCA-A18E095B5F0E}"/>
    <cellStyle name="Comma 10 2 10 2 2" xfId="3660" xr:uid="{81B2CA36-B34F-43C4-BD49-F396D0EB9741}"/>
    <cellStyle name="Comma 10 2 10 2 3" xfId="4052" xr:uid="{C542B3E8-D21C-415A-8444-FE518FE3F655}"/>
    <cellStyle name="Comma 10 2 10 3" xfId="3466" xr:uid="{2E7F2780-2D22-40E8-AF9F-FD8441387301}"/>
    <cellStyle name="Comma 10 2 10 4" xfId="3858" xr:uid="{05401E23-736E-475B-8CC2-D229E493BE15}"/>
    <cellStyle name="Comma 10 2 11" xfId="612" xr:uid="{5CB53B2D-A959-4163-9A8C-B697994A2272}"/>
    <cellStyle name="Comma 10 2 11 2" xfId="1882" xr:uid="{28525EB1-21AF-4E78-947B-32A394A3DC35}"/>
    <cellStyle name="Comma 10 2 11 2 2" xfId="3661" xr:uid="{1A192CD1-C69F-4961-9F1D-284BC29E4F5F}"/>
    <cellStyle name="Comma 10 2 11 2 3" xfId="4053" xr:uid="{D9187B2D-5EEA-43B2-81D5-20201E8ECB72}"/>
    <cellStyle name="Comma 10 2 11 3" xfId="3467" xr:uid="{0E7E3B04-8E62-41A3-BB6B-DAFBF739870E}"/>
    <cellStyle name="Comma 10 2 11 4" xfId="3859" xr:uid="{6717294F-C8DD-4C56-AF32-8FD787250137}"/>
    <cellStyle name="Comma 10 2 12" xfId="613" xr:uid="{52428DC4-CE98-4C9F-A76F-4143943F0AF1}"/>
    <cellStyle name="Comma 10 2 12 2" xfId="1883" xr:uid="{73E65051-4C53-4C33-AAD3-EFFACA8CA6D3}"/>
    <cellStyle name="Comma 10 2 12 2 2" xfId="3662" xr:uid="{D20FAC0F-5098-472F-B030-DFFBE900AEDB}"/>
    <cellStyle name="Comma 10 2 12 2 3" xfId="4054" xr:uid="{E3578D9F-F6AC-4EDD-84BC-F72BB5F7B06B}"/>
    <cellStyle name="Comma 10 2 12 3" xfId="3468" xr:uid="{B17B6EAB-F513-4525-8493-02D2124D28F4}"/>
    <cellStyle name="Comma 10 2 12 4" xfId="3860" xr:uid="{213367E9-18BC-459A-BC11-94FF08157BAD}"/>
    <cellStyle name="Comma 10 2 13" xfId="614" xr:uid="{817200EE-D0DB-4084-998C-83CE3C2E5955}"/>
    <cellStyle name="Comma 10 2 13 2" xfId="1884" xr:uid="{BC07E1A7-5D59-49D6-B621-58BA0962D52F}"/>
    <cellStyle name="Comma 10 2 13 2 2" xfId="3663" xr:uid="{37A3BDDC-ED4D-4585-8203-D742E60631DE}"/>
    <cellStyle name="Comma 10 2 13 2 3" xfId="4055" xr:uid="{7581ABEF-FDFC-4AD1-B7BB-DB8D7E68C182}"/>
    <cellStyle name="Comma 10 2 13 3" xfId="3469" xr:uid="{BF21074D-5879-4EDF-A087-AE8673AA4C71}"/>
    <cellStyle name="Comma 10 2 13 4" xfId="3861" xr:uid="{0B2EAFCF-517D-42D0-ADDA-E2ED1F736787}"/>
    <cellStyle name="Comma 10 2 14" xfId="615" xr:uid="{47BAC701-B34A-4C04-9793-C9618B6B19AF}"/>
    <cellStyle name="Comma 10 2 14 2" xfId="1885" xr:uid="{E85C2D67-09D5-4393-98BA-BC3A59903D34}"/>
    <cellStyle name="Comma 10 2 14 2 2" xfId="3664" xr:uid="{AB530E8E-EF7F-4871-A978-58796E050F1B}"/>
    <cellStyle name="Comma 10 2 14 2 3" xfId="4056" xr:uid="{E30BCFB7-001A-4033-85F7-D2D517F99441}"/>
    <cellStyle name="Comma 10 2 14 3" xfId="3470" xr:uid="{FDE7C2DA-1008-447A-A0F8-24DF2EAE76E3}"/>
    <cellStyle name="Comma 10 2 14 4" xfId="3862" xr:uid="{9734921B-2BEB-4344-BD12-C32D5CF3E13E}"/>
    <cellStyle name="Comma 10 2 15" xfId="616" xr:uid="{0DDB7948-7D55-4A2E-B3CE-49A221401D5D}"/>
    <cellStyle name="Comma 10 2 15 2" xfId="1886" xr:uid="{052A9DA5-DB0F-4534-8A42-F816716AFA8B}"/>
    <cellStyle name="Comma 10 2 15 2 2" xfId="3665" xr:uid="{D9013A63-2AD5-4920-B14D-FC40A619AA79}"/>
    <cellStyle name="Comma 10 2 15 2 3" xfId="4057" xr:uid="{FCF7B595-E5C9-45A0-9F35-430C05768A74}"/>
    <cellStyle name="Comma 10 2 15 3" xfId="3471" xr:uid="{C33413CD-40B3-41B3-8CDC-1E459CBBF8DF}"/>
    <cellStyle name="Comma 10 2 15 4" xfId="3863" xr:uid="{98D075DF-F806-4392-BD6D-B2D35C6D7FFF}"/>
    <cellStyle name="Comma 10 2 16" xfId="617" xr:uid="{99FD1C7D-427E-4790-B5D9-BAC953B8BC16}"/>
    <cellStyle name="Comma 10 2 16 2" xfId="1887" xr:uid="{A27288AE-10F9-441A-8649-2FA0C269C7A0}"/>
    <cellStyle name="Comma 10 2 16 2 2" xfId="3666" xr:uid="{CB7A447B-0BA1-4B77-91D0-A8F5629CD9C2}"/>
    <cellStyle name="Comma 10 2 16 2 3" xfId="4058" xr:uid="{867964EC-F221-4853-A7B8-49FB327FE860}"/>
    <cellStyle name="Comma 10 2 16 3" xfId="3472" xr:uid="{76B7CF79-CEEA-4D4D-ABAB-0231D50D4B3A}"/>
    <cellStyle name="Comma 10 2 16 4" xfId="3864" xr:uid="{560C62C0-3B49-49B2-9320-C8C70580F7A6}"/>
    <cellStyle name="Comma 10 2 17" xfId="618" xr:uid="{B78CB103-045E-4074-8A59-D03EA10E7C19}"/>
    <cellStyle name="Comma 10 2 17 2" xfId="1888" xr:uid="{BAE9B006-F4BA-4B07-B983-FEFB92E5EBBC}"/>
    <cellStyle name="Comma 10 2 17 2 2" xfId="3667" xr:uid="{84D14003-9B4C-43B1-906F-B340043837FE}"/>
    <cellStyle name="Comma 10 2 17 2 3" xfId="4059" xr:uid="{B3C5E7BC-83FC-49A4-B93D-5A7ED9DEC18C}"/>
    <cellStyle name="Comma 10 2 17 3" xfId="3473" xr:uid="{D5E0EBF0-E2F0-450B-AE3E-D43AE1B5883B}"/>
    <cellStyle name="Comma 10 2 17 4" xfId="3865" xr:uid="{3110B41D-A69A-4881-A746-A12437D9C648}"/>
    <cellStyle name="Comma 10 2 18" xfId="1880" xr:uid="{2DEA9A45-033B-469A-994C-2894C689BBEB}"/>
    <cellStyle name="Comma 10 2 18 2" xfId="3659" xr:uid="{A0DB76AE-C4F3-4E61-92FB-B8BE0C43AB47}"/>
    <cellStyle name="Comma 10 2 18 3" xfId="4051" xr:uid="{4D01853D-A043-4DE8-85D4-63A55204ADA5}"/>
    <cellStyle name="Comma 10 2 19" xfId="3465" xr:uid="{3A9E72EB-8B28-424A-AECB-810326D4667C}"/>
    <cellStyle name="Comma 10 2 2" xfId="619" xr:uid="{6C649DD2-EA06-4424-BFE2-A0DEB19DA5CE}"/>
    <cellStyle name="Comma 10 2 2 2" xfId="1889" xr:uid="{CBA9D370-6B86-49D0-832D-86956E3A53A7}"/>
    <cellStyle name="Comma 10 2 2 2 2" xfId="3668" xr:uid="{633E6EEF-C188-473E-B578-3AC90102924E}"/>
    <cellStyle name="Comma 10 2 2 2 3" xfId="4060" xr:uid="{595ADD8B-097B-4085-AE1E-1E081D032722}"/>
    <cellStyle name="Comma 10 2 2 3" xfId="3474" xr:uid="{B23FDDF8-9A20-4D7B-B24F-3224740696E2}"/>
    <cellStyle name="Comma 10 2 2 4" xfId="3866" xr:uid="{68A1FD5C-C99F-4333-B7A7-1C8982CC0CB4}"/>
    <cellStyle name="Comma 10 2 20" xfId="3857" xr:uid="{FD510D68-6BB8-4716-81ED-8F52045EB39B}"/>
    <cellStyle name="Comma 10 2 3" xfId="620" xr:uid="{A1649871-3CCC-4F4D-B4E3-AE3786DB4FD7}"/>
    <cellStyle name="Comma 10 2 3 2" xfId="1890" xr:uid="{AF0162B6-3366-4A16-B5D3-92A640A1C524}"/>
    <cellStyle name="Comma 10 2 3 2 2" xfId="3669" xr:uid="{E77BF6A9-9186-4E80-85F5-11AB0EF0AA6E}"/>
    <cellStyle name="Comma 10 2 3 2 3" xfId="4061" xr:uid="{B11F40F4-C9AA-43E3-9192-607A39033FF7}"/>
    <cellStyle name="Comma 10 2 3 3" xfId="3475" xr:uid="{CDD86884-32B8-4BA6-B83B-791A3C429C7B}"/>
    <cellStyle name="Comma 10 2 3 4" xfId="3867" xr:uid="{FAAE9044-8F0E-48FD-9DF6-000B6934D9FA}"/>
    <cellStyle name="Comma 10 2 4" xfId="621" xr:uid="{9D2E2E9E-5538-4E89-9525-F5983FDD38D5}"/>
    <cellStyle name="Comma 10 2 4 2" xfId="1891" xr:uid="{6C214EDE-162D-4F93-8C36-E8B5458D60D6}"/>
    <cellStyle name="Comma 10 2 4 2 2" xfId="3670" xr:uid="{FF0BA236-8050-4FD3-8FA9-1E4140AB3491}"/>
    <cellStyle name="Comma 10 2 4 2 3" xfId="4062" xr:uid="{C4702662-8614-4C9D-A429-BBE90CB1D16C}"/>
    <cellStyle name="Comma 10 2 4 3" xfId="3476" xr:uid="{05B775C6-9D2F-4B2E-B7C2-21C76AB0BDCC}"/>
    <cellStyle name="Comma 10 2 4 4" xfId="3868" xr:uid="{2CD2EB63-06E9-40C3-968E-D6705BB53DB2}"/>
    <cellStyle name="Comma 10 2 5" xfId="622" xr:uid="{4B83FA78-CFC3-4A5E-A670-D147726E8FF9}"/>
    <cellStyle name="Comma 10 2 5 2" xfId="1892" xr:uid="{445E490B-76D3-4524-8F89-54AFF91AD027}"/>
    <cellStyle name="Comma 10 2 5 2 2" xfId="3671" xr:uid="{6C5888A4-4B2D-4672-B2FE-D90A4B8494DD}"/>
    <cellStyle name="Comma 10 2 5 2 3" xfId="4063" xr:uid="{6A3E06B4-3121-42BB-87B6-F361A4DC0F5D}"/>
    <cellStyle name="Comma 10 2 5 3" xfId="3477" xr:uid="{96A48E0E-AE91-49B0-9233-468276250E6C}"/>
    <cellStyle name="Comma 10 2 5 4" xfId="3869" xr:uid="{812B18FD-7119-4448-A08F-DE1F8037BD93}"/>
    <cellStyle name="Comma 10 2 6" xfId="623" xr:uid="{5BF79805-50B4-44BE-BD84-038B6CA96959}"/>
    <cellStyle name="Comma 10 2 6 2" xfId="1893" xr:uid="{3250F0B3-EB8A-4EE8-BE73-45D3D39C0A96}"/>
    <cellStyle name="Comma 10 2 6 2 2" xfId="3672" xr:uid="{0DF9BD97-1766-4113-855E-BCEB979DBD9E}"/>
    <cellStyle name="Comma 10 2 6 2 3" xfId="4064" xr:uid="{25F4BF23-5B0C-43D6-B0F9-E116BAC8B3E2}"/>
    <cellStyle name="Comma 10 2 6 3" xfId="3478" xr:uid="{9A8ABA23-BD0F-42E1-A857-B20523708223}"/>
    <cellStyle name="Comma 10 2 6 4" xfId="3870" xr:uid="{485D71CE-1387-4648-9289-73639C7D6C77}"/>
    <cellStyle name="Comma 10 2 7" xfId="624" xr:uid="{6767D2E9-5263-4F6B-96D1-17FB170A5C7F}"/>
    <cellStyle name="Comma 10 2 7 2" xfId="1894" xr:uid="{301F4000-D757-4BD3-80A7-131D9600EE38}"/>
    <cellStyle name="Comma 10 2 7 2 2" xfId="3673" xr:uid="{9E716318-6000-481A-BCBB-F19DB5A9F513}"/>
    <cellStyle name="Comma 10 2 7 2 3" xfId="4065" xr:uid="{FD24D1B3-7684-4C67-9D74-2DAC2116BA23}"/>
    <cellStyle name="Comma 10 2 7 3" xfId="3479" xr:uid="{1C5E94ED-53E4-407C-B457-5880F1EE991C}"/>
    <cellStyle name="Comma 10 2 7 4" xfId="3871" xr:uid="{3A244032-9BFF-44ED-B315-EF93674B65C6}"/>
    <cellStyle name="Comma 10 2 8" xfId="625" xr:uid="{5750768F-0661-4DE5-AF0C-F13BFFBCACBD}"/>
    <cellStyle name="Comma 10 2 8 2" xfId="1895" xr:uid="{C7A8BB94-2EED-4926-9E1A-4C137182BAF2}"/>
    <cellStyle name="Comma 10 2 8 2 2" xfId="3674" xr:uid="{FC10C5FB-FA80-48DC-8371-761F3973A057}"/>
    <cellStyle name="Comma 10 2 8 2 3" xfId="4066" xr:uid="{1C264F19-7D12-4DBC-8E1E-D126051DC082}"/>
    <cellStyle name="Comma 10 2 8 3" xfId="3480" xr:uid="{1B8BB4AD-015C-4A84-8DED-9AC5BCA7580A}"/>
    <cellStyle name="Comma 10 2 8 4" xfId="3872" xr:uid="{1768E7E9-69BA-4433-AC10-756BA16F71D9}"/>
    <cellStyle name="Comma 10 2 9" xfId="626" xr:uid="{80F60C20-0693-4790-B8BF-60A3DE01FB93}"/>
    <cellStyle name="Comma 10 2 9 2" xfId="1896" xr:uid="{ED89DFEB-8D07-45D8-870B-FB291C14614E}"/>
    <cellStyle name="Comma 10 2 9 2 2" xfId="3675" xr:uid="{D3ADDA5A-13B3-4D51-A668-F80C2407F641}"/>
    <cellStyle name="Comma 10 2 9 2 3" xfId="4067" xr:uid="{F1447CF3-26FC-418E-A7A2-3C04D8635942}"/>
    <cellStyle name="Comma 10 2 9 3" xfId="3481" xr:uid="{AE5437E1-B580-4872-9040-6232680C7499}"/>
    <cellStyle name="Comma 10 2 9 4" xfId="3873" xr:uid="{A04CF275-2304-4C3D-96DA-C08732BB93C7}"/>
    <cellStyle name="Comma 10 3" xfId="627" xr:uid="{A656C774-61FB-4407-9379-DB61D9B59760}"/>
    <cellStyle name="Comma 10 3 10" xfId="628" xr:uid="{E15AD609-E046-4B7D-B643-EEEA11669205}"/>
    <cellStyle name="Comma 10 3 10 2" xfId="1898" xr:uid="{865D59C0-27E2-42D1-8A71-E993974013CF}"/>
    <cellStyle name="Comma 10 3 10 2 2" xfId="3677" xr:uid="{60002638-EA96-46CB-815B-BE04825C933B}"/>
    <cellStyle name="Comma 10 3 10 2 3" xfId="4069" xr:uid="{92F7179F-315E-4F92-B0BA-8AA5170403F7}"/>
    <cellStyle name="Comma 10 3 10 3" xfId="3483" xr:uid="{B352EC19-9973-4F2A-8FC0-E7F9F412612C}"/>
    <cellStyle name="Comma 10 3 10 4" xfId="3875" xr:uid="{DB29C3D4-C26E-4A9A-8535-23DC83643370}"/>
    <cellStyle name="Comma 10 3 11" xfId="629" xr:uid="{B72452DD-AA8F-4F09-AB79-505751F0D15F}"/>
    <cellStyle name="Comma 10 3 11 2" xfId="1899" xr:uid="{1B6A13A7-527F-4598-8E40-B2FD3E217141}"/>
    <cellStyle name="Comma 10 3 11 2 2" xfId="3678" xr:uid="{E789A9F4-238F-43ED-B156-2A2E9A27F441}"/>
    <cellStyle name="Comma 10 3 11 2 3" xfId="4070" xr:uid="{3ED3A741-BACB-4B24-A86B-ABE4C23F46FB}"/>
    <cellStyle name="Comma 10 3 11 3" xfId="3484" xr:uid="{75CE3615-AA5F-4C7C-817D-D687300517E9}"/>
    <cellStyle name="Comma 10 3 11 4" xfId="3876" xr:uid="{9A30C4F9-0C35-4AB8-95B2-C4211FA607E0}"/>
    <cellStyle name="Comma 10 3 12" xfId="630" xr:uid="{A241B0B4-A449-409F-AD6C-45266D721B42}"/>
    <cellStyle name="Comma 10 3 12 2" xfId="1900" xr:uid="{2CE2DBAC-A719-4BAD-AFE4-BBA908F9D9CC}"/>
    <cellStyle name="Comma 10 3 12 2 2" xfId="3679" xr:uid="{EEEE776F-DBAA-481A-843D-B4A0ABB57942}"/>
    <cellStyle name="Comma 10 3 12 2 3" xfId="4071" xr:uid="{F6E19A31-32F1-4A7C-9319-EECC96A25FAE}"/>
    <cellStyle name="Comma 10 3 12 3" xfId="3485" xr:uid="{7E70E0A1-9ABC-46CD-ADA4-05C6567C9487}"/>
    <cellStyle name="Comma 10 3 12 4" xfId="3877" xr:uid="{4ADBDF89-497F-4001-B26E-D9E49F87B4CF}"/>
    <cellStyle name="Comma 10 3 13" xfId="631" xr:uid="{9B60DFB7-98B3-49DF-BAA6-874B8EE16FEC}"/>
    <cellStyle name="Comma 10 3 13 2" xfId="1901" xr:uid="{3B65621E-075D-4F63-A822-FB51AEDC4057}"/>
    <cellStyle name="Comma 10 3 13 2 2" xfId="3680" xr:uid="{644EB2ED-7DC9-4B5B-BA0C-2D4AC007933A}"/>
    <cellStyle name="Comma 10 3 13 2 3" xfId="4072" xr:uid="{FCFFCD2C-BA4D-4848-AD23-0A7065971320}"/>
    <cellStyle name="Comma 10 3 13 3" xfId="3486" xr:uid="{DC0895E2-0EDD-45FD-97E4-25FB0D15CF4F}"/>
    <cellStyle name="Comma 10 3 13 4" xfId="3878" xr:uid="{B9656B8C-6232-47C7-AD0B-0194BFD25064}"/>
    <cellStyle name="Comma 10 3 14" xfId="632" xr:uid="{163C467C-9E30-4D7A-ADEF-AA2A1EF29840}"/>
    <cellStyle name="Comma 10 3 14 2" xfId="1902" xr:uid="{2041B36F-5A49-4B50-AC7A-2C741DFA4864}"/>
    <cellStyle name="Comma 10 3 14 2 2" xfId="3681" xr:uid="{10351A41-B25D-460E-BC83-ECAA337EA426}"/>
    <cellStyle name="Comma 10 3 14 2 3" xfId="4073" xr:uid="{91A31BC4-730C-42D4-B4EC-FD83F73C39B6}"/>
    <cellStyle name="Comma 10 3 14 3" xfId="3487" xr:uid="{1581E24F-C402-4F8B-8210-805D62BF0A6A}"/>
    <cellStyle name="Comma 10 3 14 4" xfId="3879" xr:uid="{104B86EE-AFC6-4784-B33C-2D1EA12CFC6F}"/>
    <cellStyle name="Comma 10 3 15" xfId="633" xr:uid="{E0C53A65-6EE0-4BEE-AB5A-0C8D5CAF9A60}"/>
    <cellStyle name="Comma 10 3 15 2" xfId="1903" xr:uid="{2A7C0E79-2B4F-4814-A461-CCA62C31FCBF}"/>
    <cellStyle name="Comma 10 3 15 2 2" xfId="3682" xr:uid="{A06169D0-9B85-4379-95E7-01FFBD2E0AB5}"/>
    <cellStyle name="Comma 10 3 15 2 3" xfId="4074" xr:uid="{8ED8CD7F-993E-459A-8EDF-D920DC36D037}"/>
    <cellStyle name="Comma 10 3 15 3" xfId="3488" xr:uid="{0BAA6694-55FB-42EC-9942-25E59E234A99}"/>
    <cellStyle name="Comma 10 3 15 4" xfId="3880" xr:uid="{EAD0FE94-C676-485B-A2F5-3E76B1D50DBE}"/>
    <cellStyle name="Comma 10 3 16" xfId="634" xr:uid="{DABE4326-F221-45F1-B5FC-1C530F2C59D7}"/>
    <cellStyle name="Comma 10 3 16 2" xfId="1904" xr:uid="{35370CDD-376F-40AB-BC52-A88874AA0CE3}"/>
    <cellStyle name="Comma 10 3 16 2 2" xfId="3683" xr:uid="{604287CF-47B0-471E-B2F4-816C51306495}"/>
    <cellStyle name="Comma 10 3 16 2 3" xfId="4075" xr:uid="{83735C8D-3029-4411-860E-F8121FBB04CE}"/>
    <cellStyle name="Comma 10 3 16 3" xfId="3489" xr:uid="{E90785BA-291A-4CF1-BB1E-18D5B0B77B0C}"/>
    <cellStyle name="Comma 10 3 16 4" xfId="3881" xr:uid="{4109F6CA-1F34-47B1-B529-B8D2ED8A4DD2}"/>
    <cellStyle name="Comma 10 3 17" xfId="635" xr:uid="{2E6EEF90-8952-4542-B3FF-7CED743078D2}"/>
    <cellStyle name="Comma 10 3 17 2" xfId="1905" xr:uid="{CA43C3D1-D360-4FD2-BA51-38F9B5C90C17}"/>
    <cellStyle name="Comma 10 3 17 2 2" xfId="3684" xr:uid="{CCCE59C4-6AA2-4A49-9571-E79431E15A12}"/>
    <cellStyle name="Comma 10 3 17 2 3" xfId="4076" xr:uid="{1F3360F2-857C-4E96-9A45-5DE57FCA2037}"/>
    <cellStyle name="Comma 10 3 17 3" xfId="3490" xr:uid="{D29CF75A-57AD-4CDA-A096-4DBB1FD9A875}"/>
    <cellStyle name="Comma 10 3 17 4" xfId="3882" xr:uid="{058F85F9-422B-4FEE-A6E5-ED5C5800E9B1}"/>
    <cellStyle name="Comma 10 3 18" xfId="1897" xr:uid="{97BD5B9D-A6D5-4C22-ACE1-94876C3DA37F}"/>
    <cellStyle name="Comma 10 3 18 2" xfId="3676" xr:uid="{FCD7624E-E4A6-460E-8CBA-D729EC855852}"/>
    <cellStyle name="Comma 10 3 18 3" xfId="4068" xr:uid="{5F290CA7-C3B2-4F9C-9D5E-A579DCF82B3E}"/>
    <cellStyle name="Comma 10 3 19" xfId="3482" xr:uid="{95FE61F3-1CC7-48B0-8161-8FBAA534EAEB}"/>
    <cellStyle name="Comma 10 3 2" xfId="636" xr:uid="{8E1FDB88-347F-4BF5-8C2B-DB3A9193A02D}"/>
    <cellStyle name="Comma 10 3 2 2" xfId="1906" xr:uid="{13E71EBE-D41D-4B16-839C-8EEE7FFE0F77}"/>
    <cellStyle name="Comma 10 3 2 2 2" xfId="3685" xr:uid="{DD36907E-CA89-4B00-9CFE-570586F8EB23}"/>
    <cellStyle name="Comma 10 3 2 2 3" xfId="4077" xr:uid="{C7B4F1D7-A493-4A51-BB9C-36150F92DED7}"/>
    <cellStyle name="Comma 10 3 2 3" xfId="3491" xr:uid="{EE4481F0-D2A0-477E-9E6A-ACEA6017698D}"/>
    <cellStyle name="Comma 10 3 2 4" xfId="3883" xr:uid="{0345AAC2-AE18-4D42-B3DD-A4B2BB8B388F}"/>
    <cellStyle name="Comma 10 3 20" xfId="3874" xr:uid="{3CB1493A-CF11-4627-A86E-40EAA5FCA630}"/>
    <cellStyle name="Comma 10 3 3" xfId="637" xr:uid="{8A7A7034-13C1-4E80-8FA4-01ACA4F22A4C}"/>
    <cellStyle name="Comma 10 3 3 2" xfId="1907" xr:uid="{5D9C71B5-610E-4C03-A232-A15E33C86938}"/>
    <cellStyle name="Comma 10 3 3 2 2" xfId="3686" xr:uid="{4B6B377D-0849-447E-8078-A7FC8EF0C58E}"/>
    <cellStyle name="Comma 10 3 3 2 3" xfId="4078" xr:uid="{83DEBAA8-E09E-470D-B017-3881203FC101}"/>
    <cellStyle name="Comma 10 3 3 3" xfId="3492" xr:uid="{762DA178-894D-481A-AB40-5CFEB40158F8}"/>
    <cellStyle name="Comma 10 3 3 4" xfId="3884" xr:uid="{FBB411ED-C19D-43A7-BE65-4F40FE77F36E}"/>
    <cellStyle name="Comma 10 3 4" xfId="638" xr:uid="{65880D08-D5FB-4ABB-8E01-67428E944D11}"/>
    <cellStyle name="Comma 10 3 4 2" xfId="1908" xr:uid="{160DAF59-0162-48A1-8D0E-98647AA7E1D6}"/>
    <cellStyle name="Comma 10 3 4 2 2" xfId="3687" xr:uid="{186D4D58-0D7A-4B5B-A909-9360E71E939C}"/>
    <cellStyle name="Comma 10 3 4 2 3" xfId="4079" xr:uid="{27F3F6F8-28D9-4DDD-8AA0-30C7DCC0E542}"/>
    <cellStyle name="Comma 10 3 4 3" xfId="3493" xr:uid="{B5E3E6A0-646A-4BE6-B1ED-8C6511295CE3}"/>
    <cellStyle name="Comma 10 3 4 4" xfId="3885" xr:uid="{5821DE77-169C-42AB-BC50-727F380A6702}"/>
    <cellStyle name="Comma 10 3 5" xfId="639" xr:uid="{E8F28848-F726-42AB-89E0-4842D3C01E80}"/>
    <cellStyle name="Comma 10 3 5 2" xfId="1909" xr:uid="{E3D296AE-D4C3-48FE-8C10-9C060AE5FD12}"/>
    <cellStyle name="Comma 10 3 5 2 2" xfId="3688" xr:uid="{F35564CB-AAE4-4BDF-BB04-B026C7A73FD1}"/>
    <cellStyle name="Comma 10 3 5 2 3" xfId="4080" xr:uid="{2C7DC52C-8414-4E45-BDB8-F465312C4F5C}"/>
    <cellStyle name="Comma 10 3 5 3" xfId="3494" xr:uid="{2DCF88A7-44D7-4DAB-AB16-8428C4B9A425}"/>
    <cellStyle name="Comma 10 3 5 4" xfId="3886" xr:uid="{1AE1829B-4516-4D76-A8F1-6C004E8C0A2C}"/>
    <cellStyle name="Comma 10 3 6" xfId="640" xr:uid="{E1CB09D7-EF20-4A27-94D6-7B86F18CF6F7}"/>
    <cellStyle name="Comma 10 3 6 2" xfId="1910" xr:uid="{EAB4DB45-BC54-47C9-B5EB-1F40CBFD3FEE}"/>
    <cellStyle name="Comma 10 3 6 2 2" xfId="3689" xr:uid="{CA8C0A89-A937-47E7-BAAA-ECA5E76DD451}"/>
    <cellStyle name="Comma 10 3 6 2 3" xfId="4081" xr:uid="{C3E64121-0133-41D4-B472-F202E51ECD00}"/>
    <cellStyle name="Comma 10 3 6 3" xfId="3495" xr:uid="{33B12484-4DBC-4517-B7EB-0623E8576D63}"/>
    <cellStyle name="Comma 10 3 6 4" xfId="3887" xr:uid="{E40A794E-DD0F-41A2-AD11-A7885665540C}"/>
    <cellStyle name="Comma 10 3 7" xfId="641" xr:uid="{90E43839-83E1-4062-BD7D-EA202C959FB9}"/>
    <cellStyle name="Comma 10 3 7 2" xfId="1911" xr:uid="{5ED56733-CDF9-4801-BBC7-9C5947F91E3E}"/>
    <cellStyle name="Comma 10 3 7 2 2" xfId="3690" xr:uid="{BAC3C2C9-202D-4052-8E29-459BF20570D4}"/>
    <cellStyle name="Comma 10 3 7 2 3" xfId="4082" xr:uid="{7FDD2FB1-05A0-4C49-8AB5-2EB7BA00DAD2}"/>
    <cellStyle name="Comma 10 3 7 3" xfId="3496" xr:uid="{FCDBBC61-60E8-4B64-8A57-EEF046764985}"/>
    <cellStyle name="Comma 10 3 7 4" xfId="3888" xr:uid="{3306D60C-FF67-412E-9CCB-AB987CCB7BC5}"/>
    <cellStyle name="Comma 10 3 8" xfId="642" xr:uid="{0A745FDA-4885-41FE-A06D-39A5E1DE068F}"/>
    <cellStyle name="Comma 10 3 8 2" xfId="1912" xr:uid="{FCE89623-48F8-4707-83A3-32930FE11C1F}"/>
    <cellStyle name="Comma 10 3 8 2 2" xfId="3691" xr:uid="{8B63F54A-0200-4873-B4F6-20DF315B8C51}"/>
    <cellStyle name="Comma 10 3 8 2 3" xfId="4083" xr:uid="{D81E7887-0C2A-481A-8709-0631A4302D74}"/>
    <cellStyle name="Comma 10 3 8 3" xfId="3497" xr:uid="{737A85FC-16C4-49A4-88FC-19EEBBC51739}"/>
    <cellStyle name="Comma 10 3 8 4" xfId="3889" xr:uid="{16C9F4B4-8315-43F1-97CB-C02FD9444D3A}"/>
    <cellStyle name="Comma 10 3 9" xfId="643" xr:uid="{6DD70035-DBD6-4D98-813E-0C12BB874DDD}"/>
    <cellStyle name="Comma 10 3 9 2" xfId="1913" xr:uid="{6E15BA8B-AC6B-4025-92AB-E85CF02F149A}"/>
    <cellStyle name="Comma 10 3 9 2 2" xfId="3692" xr:uid="{CE17B161-AFF6-4B2F-B598-3D683A1DD720}"/>
    <cellStyle name="Comma 10 3 9 2 3" xfId="4084" xr:uid="{EBCD10C4-9EAF-44E0-9EF5-99CC2F1CD452}"/>
    <cellStyle name="Comma 10 3 9 3" xfId="3498" xr:uid="{CE9A176E-2FF6-41DD-BAC9-92422E1E9C3B}"/>
    <cellStyle name="Comma 10 3 9 4" xfId="3890" xr:uid="{3E5A1214-4FF6-4D73-B05E-A6B50B4B94EA}"/>
    <cellStyle name="Comma 10 4" xfId="644" xr:uid="{022DB2A4-F8A1-49AD-82A3-B7F67C0A44D6}"/>
    <cellStyle name="Comma 10 4 10" xfId="645" xr:uid="{577DB220-C2B2-4414-A803-E7F0AD19B0B0}"/>
    <cellStyle name="Comma 10 4 10 2" xfId="1915" xr:uid="{2B525A59-0C56-45F9-B2C8-E659FD66BE5A}"/>
    <cellStyle name="Comma 10 4 10 2 2" xfId="3694" xr:uid="{3AEB9291-6D2F-4474-AEC6-EB8E5A2831C1}"/>
    <cellStyle name="Comma 10 4 10 2 3" xfId="4086" xr:uid="{C10A3260-9359-4FD5-ADC8-6F8075E71FB4}"/>
    <cellStyle name="Comma 10 4 10 3" xfId="3500" xr:uid="{E2FB4068-2D50-4EB7-A851-2FF3114EFD08}"/>
    <cellStyle name="Comma 10 4 10 4" xfId="3892" xr:uid="{BA02AF39-1F76-449F-8327-E9CB2D337265}"/>
    <cellStyle name="Comma 10 4 11" xfId="646" xr:uid="{81AB02D9-E77F-46B4-8577-1EC7BC1AB7FA}"/>
    <cellStyle name="Comma 10 4 11 2" xfId="1916" xr:uid="{4025262F-9624-40DA-BF92-03DDCAE8152D}"/>
    <cellStyle name="Comma 10 4 11 2 2" xfId="3695" xr:uid="{AD13D730-914A-4C7D-A735-30AF1E743CBF}"/>
    <cellStyle name="Comma 10 4 11 2 3" xfId="4087" xr:uid="{3D856073-1A6B-4225-A877-294557571E1C}"/>
    <cellStyle name="Comma 10 4 11 3" xfId="3501" xr:uid="{C2A4AA68-63FD-4721-8579-3CF1988D36F9}"/>
    <cellStyle name="Comma 10 4 11 4" xfId="3893" xr:uid="{F940FDA8-8C04-4ECC-A355-B56C3C83E242}"/>
    <cellStyle name="Comma 10 4 12" xfId="647" xr:uid="{1AAE3A56-71BF-4D82-B6AD-2D04E45FF679}"/>
    <cellStyle name="Comma 10 4 12 2" xfId="1917" xr:uid="{29305FE0-627D-44CC-8D0D-CBE0D91D6493}"/>
    <cellStyle name="Comma 10 4 12 2 2" xfId="3696" xr:uid="{8942A078-C996-4CA0-B768-54FC53FF3898}"/>
    <cellStyle name="Comma 10 4 12 2 3" xfId="4088" xr:uid="{DC8DB761-5728-4663-9B82-969556F041BF}"/>
    <cellStyle name="Comma 10 4 12 3" xfId="3502" xr:uid="{D0B47094-7B53-49FD-8B2F-9100A006BF49}"/>
    <cellStyle name="Comma 10 4 12 4" xfId="3894" xr:uid="{4B5E7311-2E7C-4DE6-881C-A49A91C4AA46}"/>
    <cellStyle name="Comma 10 4 13" xfId="648" xr:uid="{2CF3C247-C1DB-4354-8549-FE62A75C95BF}"/>
    <cellStyle name="Comma 10 4 13 2" xfId="1918" xr:uid="{10222B75-78F3-4960-9623-9F2E59D60B63}"/>
    <cellStyle name="Comma 10 4 13 2 2" xfId="3697" xr:uid="{F398D13D-E05A-4C82-8C5B-E27255F1C911}"/>
    <cellStyle name="Comma 10 4 13 2 3" xfId="4089" xr:uid="{3A552938-CA78-48BE-9AE2-2AE94BCE1725}"/>
    <cellStyle name="Comma 10 4 13 3" xfId="3503" xr:uid="{BF09DF4E-9A4B-4A34-8811-8ED8EB6C9500}"/>
    <cellStyle name="Comma 10 4 13 4" xfId="3895" xr:uid="{6F30E340-7085-4842-805A-C948C9757152}"/>
    <cellStyle name="Comma 10 4 14" xfId="649" xr:uid="{F15AFD8D-67CA-43B6-A37B-F6C749FB867D}"/>
    <cellStyle name="Comma 10 4 14 2" xfId="1919" xr:uid="{D32AF6A6-147F-4AD3-8CFE-B167E2F75252}"/>
    <cellStyle name="Comma 10 4 14 2 2" xfId="3698" xr:uid="{8C3CBACB-9A6B-4209-8E51-392869A37975}"/>
    <cellStyle name="Comma 10 4 14 2 3" xfId="4090" xr:uid="{B22A2224-84E7-4BB4-8A63-3AA17F3497F5}"/>
    <cellStyle name="Comma 10 4 14 3" xfId="3504" xr:uid="{E71D5E9D-929D-405D-B5CD-15BA52A27783}"/>
    <cellStyle name="Comma 10 4 14 4" xfId="3896" xr:uid="{67B132D7-2B86-49CD-AA71-D6541CC58A82}"/>
    <cellStyle name="Comma 10 4 15" xfId="650" xr:uid="{82289F87-53D5-4167-BE28-74440E505A46}"/>
    <cellStyle name="Comma 10 4 15 2" xfId="1920" xr:uid="{B21F0A65-8D65-4167-B257-A6F07B95F577}"/>
    <cellStyle name="Comma 10 4 15 2 2" xfId="3699" xr:uid="{0FFA7679-0C6C-4CDA-A02C-F7AD0363A212}"/>
    <cellStyle name="Comma 10 4 15 2 3" xfId="4091" xr:uid="{A70EAAAF-EEF7-4739-B73C-65339B50BCEE}"/>
    <cellStyle name="Comma 10 4 15 3" xfId="3505" xr:uid="{1985B422-E392-4F80-A33A-DEEEDF48B95A}"/>
    <cellStyle name="Comma 10 4 15 4" xfId="3897" xr:uid="{1464ADA2-38D8-43F7-9A17-3725E86B6C5F}"/>
    <cellStyle name="Comma 10 4 16" xfId="651" xr:uid="{CD50A813-2547-4773-B604-9E69325CA037}"/>
    <cellStyle name="Comma 10 4 16 2" xfId="1921" xr:uid="{B3E42B76-0894-45CE-B016-174309CDFA30}"/>
    <cellStyle name="Comma 10 4 16 2 2" xfId="3700" xr:uid="{C13BD638-BDDD-4D01-89C7-B3C5F205D2B7}"/>
    <cellStyle name="Comma 10 4 16 2 3" xfId="4092" xr:uid="{5538F8A3-2191-49B1-809B-F9A7A6AAD7BD}"/>
    <cellStyle name="Comma 10 4 16 3" xfId="3506" xr:uid="{F81753AB-5B77-4338-A1E0-AE2CA7BC6371}"/>
    <cellStyle name="Comma 10 4 16 4" xfId="3898" xr:uid="{3B4F07A8-C9B7-40FB-BCF0-E22B262751BB}"/>
    <cellStyle name="Comma 10 4 17" xfId="652" xr:uid="{E65C042D-E8B9-4FB0-8338-0892E293BB4E}"/>
    <cellStyle name="Comma 10 4 17 2" xfId="1922" xr:uid="{113E9147-664F-48C7-BBD3-2F8AAD9617A7}"/>
    <cellStyle name="Comma 10 4 17 2 2" xfId="3701" xr:uid="{742177F5-755C-43C5-A810-695EA77E33FE}"/>
    <cellStyle name="Comma 10 4 17 2 3" xfId="4093" xr:uid="{739C9967-C99A-4D7C-9916-91740608F0E6}"/>
    <cellStyle name="Comma 10 4 17 3" xfId="3507" xr:uid="{C490977E-4968-4A0D-8612-CEA67A3E8706}"/>
    <cellStyle name="Comma 10 4 17 4" xfId="3899" xr:uid="{CB95A887-BB45-4B52-8089-924E700B276F}"/>
    <cellStyle name="Comma 10 4 18" xfId="1914" xr:uid="{4842A9BE-D349-4517-BF96-5174E4AFD6CC}"/>
    <cellStyle name="Comma 10 4 18 2" xfId="3693" xr:uid="{CDF66805-52C8-4E64-A848-C8A542A4FF58}"/>
    <cellStyle name="Comma 10 4 18 3" xfId="4085" xr:uid="{3F2963FB-88C1-4AF3-8319-7019ACCBFD18}"/>
    <cellStyle name="Comma 10 4 19" xfId="3499" xr:uid="{0F186BCD-0CD6-467C-8700-53EE5067093C}"/>
    <cellStyle name="Comma 10 4 2" xfId="653" xr:uid="{535DAEB4-FD14-44A8-A8AB-19C8C6823350}"/>
    <cellStyle name="Comma 10 4 2 2" xfId="1923" xr:uid="{E0B47A32-6FF4-4254-A4BF-E5F08AB115A7}"/>
    <cellStyle name="Comma 10 4 2 2 2" xfId="3702" xr:uid="{117D1218-6A57-4B03-8122-3187D1135D05}"/>
    <cellStyle name="Comma 10 4 2 2 3" xfId="4094" xr:uid="{A4F05B15-20B8-4884-99B1-C80F62E0538A}"/>
    <cellStyle name="Comma 10 4 2 3" xfId="3508" xr:uid="{BD218EE8-6D95-49FC-9083-EF4E16528213}"/>
    <cellStyle name="Comma 10 4 2 4" xfId="3900" xr:uid="{7401336C-BBE1-4F4E-AECC-DBD8B3F6C725}"/>
    <cellStyle name="Comma 10 4 20" xfId="3891" xr:uid="{39C1F0FA-9DFD-4856-B5FC-0EA7B5C4F43B}"/>
    <cellStyle name="Comma 10 4 3" xfId="654" xr:uid="{FCC7A00B-40D5-4230-9133-EB1369EE98BA}"/>
    <cellStyle name="Comma 10 4 3 2" xfId="1924" xr:uid="{FC0718FB-463E-4E14-B51F-7AEAD01AA8BA}"/>
    <cellStyle name="Comma 10 4 3 2 2" xfId="3703" xr:uid="{1409F398-1B9D-4905-8E32-11EA45A749BF}"/>
    <cellStyle name="Comma 10 4 3 2 3" xfId="4095" xr:uid="{F2E84DE0-88E3-475C-88FA-0EDDE477F03B}"/>
    <cellStyle name="Comma 10 4 3 3" xfId="3509" xr:uid="{BD88FCE8-9AF7-40B5-BB8F-1F664ED41651}"/>
    <cellStyle name="Comma 10 4 3 4" xfId="3901" xr:uid="{2BCCECCF-EF7A-4002-93B5-D38ECF753387}"/>
    <cellStyle name="Comma 10 4 4" xfId="655" xr:uid="{DDE13568-C863-4C9A-B069-C0E8BC56687B}"/>
    <cellStyle name="Comma 10 4 4 2" xfId="1925" xr:uid="{CB04D0B3-01BF-41FF-A480-0F98E197BA27}"/>
    <cellStyle name="Comma 10 4 4 2 2" xfId="3704" xr:uid="{65D70FCF-4A22-4C9B-9A01-5F7ED74EF805}"/>
    <cellStyle name="Comma 10 4 4 2 3" xfId="4096" xr:uid="{7BC736DE-C110-494A-B1D9-F79EC75B8A36}"/>
    <cellStyle name="Comma 10 4 4 3" xfId="3510" xr:uid="{19DA6053-475B-42DA-A8CC-E6DD3F1407CB}"/>
    <cellStyle name="Comma 10 4 4 4" xfId="3902" xr:uid="{9EB8FE3A-DC42-4A23-82B7-DCC66E304000}"/>
    <cellStyle name="Comma 10 4 5" xfId="656" xr:uid="{5D2E3096-7C11-47C7-8FA1-AE70A81D8536}"/>
    <cellStyle name="Comma 10 4 5 2" xfId="1926" xr:uid="{41EAA9AF-7D42-4424-AC3C-46D993784F09}"/>
    <cellStyle name="Comma 10 4 5 2 2" xfId="3705" xr:uid="{2A6690FC-7BD8-4BA3-8611-E8AB9BB2BC4F}"/>
    <cellStyle name="Comma 10 4 5 2 3" xfId="4097" xr:uid="{AE9DCEF0-0B91-4704-883D-EADDBAEF01F9}"/>
    <cellStyle name="Comma 10 4 5 3" xfId="3511" xr:uid="{C4DAC373-4095-4161-AAB6-D0DE264959FE}"/>
    <cellStyle name="Comma 10 4 5 4" xfId="3903" xr:uid="{11A006B2-EE5B-49AD-978F-329576763389}"/>
    <cellStyle name="Comma 10 4 6" xfId="657" xr:uid="{890072EA-094E-4538-81B1-BBF67BFC0020}"/>
    <cellStyle name="Comma 10 4 6 2" xfId="1927" xr:uid="{5A60A0AE-5610-489D-BBD8-B6BA33C3262D}"/>
    <cellStyle name="Comma 10 4 6 2 2" xfId="3706" xr:uid="{A2AED021-4F24-4D12-8C60-6BA1C0E7BBE4}"/>
    <cellStyle name="Comma 10 4 6 2 3" xfId="4098" xr:uid="{B7ABEDAE-9441-45C5-9D29-2D1EFC498AEC}"/>
    <cellStyle name="Comma 10 4 6 3" xfId="3512" xr:uid="{7984096B-1A67-4B8C-AC32-E640252E0A56}"/>
    <cellStyle name="Comma 10 4 6 4" xfId="3904" xr:uid="{A3B155A1-9D4B-4BAA-A0F0-9A2FA54D7BC6}"/>
    <cellStyle name="Comma 10 4 7" xfId="658" xr:uid="{57119F3D-2B8F-456B-9645-550234B3C8D8}"/>
    <cellStyle name="Comma 10 4 7 2" xfId="1928" xr:uid="{243A693B-3067-4B84-8CDA-D25B7DA62F0B}"/>
    <cellStyle name="Comma 10 4 7 2 2" xfId="3707" xr:uid="{1D1798D6-C77C-4FF0-8CF2-AF10AA6DA9BB}"/>
    <cellStyle name="Comma 10 4 7 2 3" xfId="4099" xr:uid="{7C22ED29-287E-41B0-9A3E-7EDC98A98511}"/>
    <cellStyle name="Comma 10 4 7 3" xfId="3513" xr:uid="{E84F08C7-75D2-4FDC-9303-059487C3A70E}"/>
    <cellStyle name="Comma 10 4 7 4" xfId="3905" xr:uid="{013FB42F-9313-4075-979E-9140FBB0655A}"/>
    <cellStyle name="Comma 10 4 8" xfId="659" xr:uid="{2E66C18A-CAD2-4950-8479-10FEA120B08A}"/>
    <cellStyle name="Comma 10 4 8 2" xfId="1929" xr:uid="{2A6A174F-90B1-4E31-85DB-514308230AB7}"/>
    <cellStyle name="Comma 10 4 8 2 2" xfId="3708" xr:uid="{63718115-C624-45C0-97CB-DFEA2B024C2A}"/>
    <cellStyle name="Comma 10 4 8 2 3" xfId="4100" xr:uid="{A163FBAE-81E4-41CA-8922-B8A6A85352E8}"/>
    <cellStyle name="Comma 10 4 8 3" xfId="3514" xr:uid="{20D06EAC-B042-4D80-AE35-DD9D31357625}"/>
    <cellStyle name="Comma 10 4 8 4" xfId="3906" xr:uid="{2A8806B8-BE2A-43AA-9A62-586D06514F72}"/>
    <cellStyle name="Comma 10 4 9" xfId="660" xr:uid="{E1D4C055-ABD0-4E48-A478-AAFC5A0E410B}"/>
    <cellStyle name="Comma 10 4 9 2" xfId="1930" xr:uid="{1D52F150-29E0-4D93-9B44-9FBB6D2BC595}"/>
    <cellStyle name="Comma 10 4 9 2 2" xfId="3709" xr:uid="{B8619839-5F03-486E-9769-CBFA14808763}"/>
    <cellStyle name="Comma 10 4 9 2 3" xfId="4101" xr:uid="{A16E82EC-FDB4-43CF-B0F3-A5B2E71C7FD3}"/>
    <cellStyle name="Comma 10 4 9 3" xfId="3515" xr:uid="{5B422679-BB25-422A-A45E-3800D46EE90D}"/>
    <cellStyle name="Comma 10 4 9 4" xfId="3907" xr:uid="{FCF4BC36-CBC9-4DD1-A25B-7EB1F0312728}"/>
    <cellStyle name="Comma 10 5" xfId="661" xr:uid="{95A9BF73-AFE7-4452-8878-0ADA8378400A}"/>
    <cellStyle name="Comma 10 5 10" xfId="662" xr:uid="{DB62F87E-C296-4508-83EF-B205B7B773D9}"/>
    <cellStyle name="Comma 10 5 10 2" xfId="1932" xr:uid="{E390ED4F-4FF9-447D-97E8-D99EFBE63CF5}"/>
    <cellStyle name="Comma 10 5 10 2 2" xfId="3711" xr:uid="{0FB08F26-D77F-4BA6-8DD0-DD6D3CDA63F4}"/>
    <cellStyle name="Comma 10 5 10 2 3" xfId="4103" xr:uid="{6C5A0BE1-E3DF-4761-8D48-4E3D4A15282B}"/>
    <cellStyle name="Comma 10 5 10 3" xfId="3517" xr:uid="{975E9F06-AC33-4376-8E97-709397CA6CE3}"/>
    <cellStyle name="Comma 10 5 10 4" xfId="3909" xr:uid="{A8B6A7FE-0C2D-4B46-8295-1AE02C8673BD}"/>
    <cellStyle name="Comma 10 5 11" xfId="663" xr:uid="{F9EA8900-D215-4CC0-9E91-E05200E2BF29}"/>
    <cellStyle name="Comma 10 5 11 2" xfId="1933" xr:uid="{EC46DEA9-69FC-479F-9428-1C23BBE917F2}"/>
    <cellStyle name="Comma 10 5 11 2 2" xfId="3712" xr:uid="{68DDDDEB-7859-4B13-81C9-1D311094829E}"/>
    <cellStyle name="Comma 10 5 11 2 3" xfId="4104" xr:uid="{6E69A542-B693-4FDF-B459-F22C7F563F7D}"/>
    <cellStyle name="Comma 10 5 11 3" xfId="3518" xr:uid="{1D788F29-27C1-4A72-BAF2-506C101CFEF9}"/>
    <cellStyle name="Comma 10 5 11 4" xfId="3910" xr:uid="{8EF943C5-7C2D-4E5A-A9C7-D66CDF5B0719}"/>
    <cellStyle name="Comma 10 5 12" xfId="664" xr:uid="{471C5CF6-750D-47CC-997F-9B7F5F15A09B}"/>
    <cellStyle name="Comma 10 5 12 2" xfId="1934" xr:uid="{43F4E84B-7084-46CC-9072-B7EC65DDADB2}"/>
    <cellStyle name="Comma 10 5 12 2 2" xfId="3713" xr:uid="{EADB4B30-6F5C-4536-854B-EB4F6039AA05}"/>
    <cellStyle name="Comma 10 5 12 2 3" xfId="4105" xr:uid="{455F5B57-22AF-4E89-A1F6-DC6AA005E080}"/>
    <cellStyle name="Comma 10 5 12 3" xfId="3519" xr:uid="{3EDAC5EF-18CC-439A-9F82-0D0420CBD670}"/>
    <cellStyle name="Comma 10 5 12 4" xfId="3911" xr:uid="{DE8C06D3-6FE0-4964-A7EE-662CE1CCD202}"/>
    <cellStyle name="Comma 10 5 13" xfId="665" xr:uid="{FD7B7D05-53FA-418D-91BF-17910E41B4DC}"/>
    <cellStyle name="Comma 10 5 13 2" xfId="1935" xr:uid="{3DA41472-BBD3-4918-BD44-C60DA6D11783}"/>
    <cellStyle name="Comma 10 5 13 2 2" xfId="3714" xr:uid="{CC91BD4A-804E-4398-8EC1-A5D3D5C9D6FB}"/>
    <cellStyle name="Comma 10 5 13 2 3" xfId="4106" xr:uid="{818AAED7-64AB-4B56-B6DB-A8145BDD7089}"/>
    <cellStyle name="Comma 10 5 13 3" xfId="3520" xr:uid="{FCEF8B3C-BE31-4468-B4DC-DA1E54C8DEB5}"/>
    <cellStyle name="Comma 10 5 13 4" xfId="3912" xr:uid="{9B6B48AC-6C13-4C5B-8EA9-153DBFFCA89D}"/>
    <cellStyle name="Comma 10 5 14" xfId="666" xr:uid="{8C9FDB14-6C1D-4967-9CEE-A0185A1696F2}"/>
    <cellStyle name="Comma 10 5 14 2" xfId="1936" xr:uid="{10F4BC91-6497-4328-A12D-3C1CD79F54D2}"/>
    <cellStyle name="Comma 10 5 14 2 2" xfId="3715" xr:uid="{A9DE5682-DF4E-481D-ACEF-061621BF9EA4}"/>
    <cellStyle name="Comma 10 5 14 2 3" xfId="4107" xr:uid="{3F0B6EED-53E9-4A88-AA1D-A55313112E7A}"/>
    <cellStyle name="Comma 10 5 14 3" xfId="3521" xr:uid="{113681F9-9D0E-4340-B481-9936BC2864D2}"/>
    <cellStyle name="Comma 10 5 14 4" xfId="3913" xr:uid="{3B4D0621-B09B-455C-9326-0887CB9A6AE8}"/>
    <cellStyle name="Comma 10 5 15" xfId="667" xr:uid="{B72707BA-6A14-4E0A-B0B4-AAED1580EE62}"/>
    <cellStyle name="Comma 10 5 15 2" xfId="1937" xr:uid="{976ECB11-B058-4170-8F66-56D810770F28}"/>
    <cellStyle name="Comma 10 5 15 2 2" xfId="3716" xr:uid="{05E42068-37AE-48DF-9C88-8E7AC148D92C}"/>
    <cellStyle name="Comma 10 5 15 2 3" xfId="4108" xr:uid="{5607DDD8-F75B-4919-8240-379161061807}"/>
    <cellStyle name="Comma 10 5 15 3" xfId="3522" xr:uid="{4C2A2589-DA79-4E71-908A-A97D2F5CF50E}"/>
    <cellStyle name="Comma 10 5 15 4" xfId="3914" xr:uid="{AE1A4132-A4E8-4A37-AE3D-81587565C6D3}"/>
    <cellStyle name="Comma 10 5 16" xfId="668" xr:uid="{D5D13619-C944-47AE-8A26-BCCDF2B6C8B8}"/>
    <cellStyle name="Comma 10 5 16 2" xfId="1938" xr:uid="{A458CC77-2822-4BEA-80FD-FB4B0C2A9FE3}"/>
    <cellStyle name="Comma 10 5 16 2 2" xfId="3717" xr:uid="{C45CADE1-8D7D-47CE-9D25-A04572BD6F0A}"/>
    <cellStyle name="Comma 10 5 16 2 3" xfId="4109" xr:uid="{990F10A5-B5CA-4670-8A3E-CFF735679C01}"/>
    <cellStyle name="Comma 10 5 16 3" xfId="3523" xr:uid="{D908A988-6B59-4DB0-A550-4D3F5EF76B77}"/>
    <cellStyle name="Comma 10 5 16 4" xfId="3915" xr:uid="{E7E778EC-17AB-461B-820D-8CFBA4F61F2F}"/>
    <cellStyle name="Comma 10 5 17" xfId="669" xr:uid="{8B5B49DB-968B-48ED-9C68-2B646339C14D}"/>
    <cellStyle name="Comma 10 5 17 2" xfId="1939" xr:uid="{C77E444F-BDD2-4AA7-8A84-DC9445889E72}"/>
    <cellStyle name="Comma 10 5 17 2 2" xfId="3718" xr:uid="{46F7E317-9508-4780-81FB-2B0F54E6B34A}"/>
    <cellStyle name="Comma 10 5 17 2 3" xfId="4110" xr:uid="{64573BA1-15ED-4462-98F7-B7E5B7FBDA31}"/>
    <cellStyle name="Comma 10 5 17 3" xfId="3524" xr:uid="{775D31BC-CCCF-476C-B02D-4E3AA54A454E}"/>
    <cellStyle name="Comma 10 5 17 4" xfId="3916" xr:uid="{60B4C4FB-9EF8-42C7-A7F8-C0D419725ADE}"/>
    <cellStyle name="Comma 10 5 18" xfId="1931" xr:uid="{1B05A981-ECA2-49BA-88F2-B682B69FEC10}"/>
    <cellStyle name="Comma 10 5 18 2" xfId="3710" xr:uid="{919BDEA9-330D-4C61-9A1D-8DA2AE966625}"/>
    <cellStyle name="Comma 10 5 18 3" xfId="4102" xr:uid="{2381D148-E223-43E8-B097-1872C6A0F4A6}"/>
    <cellStyle name="Comma 10 5 19" xfId="3516" xr:uid="{6D91676C-637D-4AE0-A745-1D14EA52B3FF}"/>
    <cellStyle name="Comma 10 5 2" xfId="670" xr:uid="{29AD792F-3E94-4EB9-AF35-B2F701EC6CD8}"/>
    <cellStyle name="Comma 10 5 2 2" xfId="1940" xr:uid="{3C20B6AA-5DC2-4BFA-B022-2AA910829D97}"/>
    <cellStyle name="Comma 10 5 2 2 2" xfId="3719" xr:uid="{33B6408B-9FE2-4D85-9454-EE6D3FE9FD36}"/>
    <cellStyle name="Comma 10 5 2 2 3" xfId="4111" xr:uid="{2A38CC77-713E-46A0-9438-6DE879D7C821}"/>
    <cellStyle name="Comma 10 5 2 3" xfId="3525" xr:uid="{D760D776-F30A-4525-8BED-E078A13CBA7C}"/>
    <cellStyle name="Comma 10 5 2 4" xfId="3917" xr:uid="{86F83708-CE09-4AAB-B3C8-35EE2EB44473}"/>
    <cellStyle name="Comma 10 5 20" xfId="3908" xr:uid="{BE30FB1A-9358-44F8-B376-B7DE1925EE1D}"/>
    <cellStyle name="Comma 10 5 3" xfId="671" xr:uid="{1163E40B-37B9-4C2F-928F-CC0163598BBF}"/>
    <cellStyle name="Comma 10 5 3 2" xfId="1941" xr:uid="{63044FAF-0C1B-46C9-BC77-22B73DA7F9BC}"/>
    <cellStyle name="Comma 10 5 3 2 2" xfId="3720" xr:uid="{0BDCEE0B-F115-4F9C-B12C-225387F4916A}"/>
    <cellStyle name="Comma 10 5 3 2 3" xfId="4112" xr:uid="{A1764132-9681-4C7E-857D-4EC67134A6C0}"/>
    <cellStyle name="Comma 10 5 3 3" xfId="3526" xr:uid="{9DC259A3-7615-4D03-9B56-B12D95BB500C}"/>
    <cellStyle name="Comma 10 5 3 4" xfId="3918" xr:uid="{EEA732DB-5EAB-4FCD-90E4-85EECF0A2297}"/>
    <cellStyle name="Comma 10 5 4" xfId="672" xr:uid="{3A9C6372-B59B-414C-860D-0246CEEEE0E3}"/>
    <cellStyle name="Comma 10 5 4 2" xfId="1942" xr:uid="{27B72B80-42A9-4247-B87C-42BC2A471CE1}"/>
    <cellStyle name="Comma 10 5 4 2 2" xfId="3721" xr:uid="{3159C26B-EEF9-4B18-BD21-F50D3A2D9E6C}"/>
    <cellStyle name="Comma 10 5 4 2 3" xfId="4113" xr:uid="{EC045888-2C58-47B0-A99F-82F04661D3E5}"/>
    <cellStyle name="Comma 10 5 4 3" xfId="3527" xr:uid="{717AA3A0-8484-4E70-B969-01621D5252BD}"/>
    <cellStyle name="Comma 10 5 4 4" xfId="3919" xr:uid="{3A85FC72-10B3-41DE-9431-7960339B25E5}"/>
    <cellStyle name="Comma 10 5 5" xfId="673" xr:uid="{3EA51302-0A51-47AE-9EA1-B539F78A24BC}"/>
    <cellStyle name="Comma 10 5 5 2" xfId="1943" xr:uid="{BB7AD119-7066-4074-AD10-65198EBB40C1}"/>
    <cellStyle name="Comma 10 5 5 2 2" xfId="3722" xr:uid="{9D300349-E0B7-42AF-95BD-291F56F64961}"/>
    <cellStyle name="Comma 10 5 5 2 3" xfId="4114" xr:uid="{2668C69D-4D17-4CE3-B249-F6582C56750B}"/>
    <cellStyle name="Comma 10 5 5 3" xfId="3528" xr:uid="{120E2EBA-0DDB-4DA6-92AC-AD1B2618E155}"/>
    <cellStyle name="Comma 10 5 5 4" xfId="3920" xr:uid="{F6F157F3-BDEF-47E7-86D6-1F21B1961EA8}"/>
    <cellStyle name="Comma 10 5 6" xfId="674" xr:uid="{350ECB71-4701-4A65-8B44-DCCFDA45C876}"/>
    <cellStyle name="Comma 10 5 6 2" xfId="1944" xr:uid="{F436EF4F-EC7D-411C-AFE4-E296179ADF10}"/>
    <cellStyle name="Comma 10 5 6 2 2" xfId="3723" xr:uid="{9602AFFD-D66F-441A-AEF6-4BB939B3510D}"/>
    <cellStyle name="Comma 10 5 6 2 3" xfId="4115" xr:uid="{CCAAEBF4-DCA9-4FEA-9BAA-0C3BB2B7256C}"/>
    <cellStyle name="Comma 10 5 6 3" xfId="3529" xr:uid="{0F953942-6F90-46C0-82C8-84501C97ADAE}"/>
    <cellStyle name="Comma 10 5 6 4" xfId="3921" xr:uid="{2D866177-6A60-4208-8138-63C050F522ED}"/>
    <cellStyle name="Comma 10 5 7" xfId="675" xr:uid="{032D5952-8630-471C-BF6F-EDEFA4905BC2}"/>
    <cellStyle name="Comma 10 5 7 2" xfId="1945" xr:uid="{4AF5BCD5-36D4-45C8-A25E-132D37DA1549}"/>
    <cellStyle name="Comma 10 5 7 2 2" xfId="3724" xr:uid="{189AAFB3-C3E9-43F5-A2D9-06ACFFEAD3F3}"/>
    <cellStyle name="Comma 10 5 7 2 3" xfId="4116" xr:uid="{6ABFF881-FE6C-4F0B-A584-63397FE566AD}"/>
    <cellStyle name="Comma 10 5 7 3" xfId="3530" xr:uid="{660E453E-31ED-480F-B2B8-CF268331D9E6}"/>
    <cellStyle name="Comma 10 5 7 4" xfId="3922" xr:uid="{766D5682-3F4A-44E0-91BB-8D5233B5C6C1}"/>
    <cellStyle name="Comma 10 5 8" xfId="676" xr:uid="{F785857B-2AB5-492E-A48C-3EE853255EC6}"/>
    <cellStyle name="Comma 10 5 8 2" xfId="1946" xr:uid="{94C3D4D8-56B5-4DA6-8516-91F7FE381F34}"/>
    <cellStyle name="Comma 10 5 8 2 2" xfId="3725" xr:uid="{45A60EA5-FC35-47CD-B1F9-44370AE96572}"/>
    <cellStyle name="Comma 10 5 8 2 3" xfId="4117" xr:uid="{354CF476-C6E7-4187-94E0-2C0B6B9D5173}"/>
    <cellStyle name="Comma 10 5 8 3" xfId="3531" xr:uid="{C00E8991-56C9-4831-BEA9-99CFA178C40B}"/>
    <cellStyle name="Comma 10 5 8 4" xfId="3923" xr:uid="{B635AC6A-A4F5-4489-A12A-8705B7927D0E}"/>
    <cellStyle name="Comma 10 5 9" xfId="677" xr:uid="{0BA855A0-F9DD-483B-BBD2-DAB3335AC84A}"/>
    <cellStyle name="Comma 10 5 9 2" xfId="1947" xr:uid="{5252B737-E3B3-4657-96B2-39354D1FD45F}"/>
    <cellStyle name="Comma 10 5 9 2 2" xfId="3726" xr:uid="{BF46C788-5E63-4CE6-892E-ADF3B5F7BEF7}"/>
    <cellStyle name="Comma 10 5 9 2 3" xfId="4118" xr:uid="{0AD38823-14B2-496A-A1FA-C53041E81497}"/>
    <cellStyle name="Comma 10 5 9 3" xfId="3532" xr:uid="{CA48B673-E491-43E1-B89E-49328602780E}"/>
    <cellStyle name="Comma 10 5 9 4" xfId="3924" xr:uid="{F6C18270-862B-4D98-ABE3-691FCF136039}"/>
    <cellStyle name="Comma 10 6" xfId="678" xr:uid="{E502B093-C426-4D21-B17D-D4D56504F2D7}"/>
    <cellStyle name="Comma 10 6 10" xfId="679" xr:uid="{B3455BA2-E36E-4BF6-9BE9-E55FB4847366}"/>
    <cellStyle name="Comma 10 6 10 2" xfId="1949" xr:uid="{B5C82AE4-E826-43B4-B0D6-081B6545009A}"/>
    <cellStyle name="Comma 10 6 10 2 2" xfId="3728" xr:uid="{1B141E2E-BC64-4A2C-A546-3718BE97D842}"/>
    <cellStyle name="Comma 10 6 10 2 3" xfId="4120" xr:uid="{4B126446-391D-4A3D-A2FD-07709CA6C4BE}"/>
    <cellStyle name="Comma 10 6 10 3" xfId="3534" xr:uid="{AD44B072-2FFE-494A-89D8-3C75E4442501}"/>
    <cellStyle name="Comma 10 6 10 4" xfId="3926" xr:uid="{423DAC8A-9110-4A70-8376-75B03707D23F}"/>
    <cellStyle name="Comma 10 6 11" xfId="680" xr:uid="{462F9B62-65D8-4E91-8F12-7DBC45042F37}"/>
    <cellStyle name="Comma 10 6 11 2" xfId="1950" xr:uid="{8DD99E9F-1F87-4A57-A57F-6AB02A39443F}"/>
    <cellStyle name="Comma 10 6 11 2 2" xfId="3729" xr:uid="{DA384BD3-F0B2-4CD1-B854-0591C558442F}"/>
    <cellStyle name="Comma 10 6 11 2 3" xfId="4121" xr:uid="{877F9C30-A4A2-44B0-88C2-38EF3CEEB15F}"/>
    <cellStyle name="Comma 10 6 11 3" xfId="3535" xr:uid="{A5F261BC-704D-4ECB-96DB-7CA38FCC907D}"/>
    <cellStyle name="Comma 10 6 11 4" xfId="3927" xr:uid="{F3DEAE45-1D46-4EFD-8473-491CFF8633D8}"/>
    <cellStyle name="Comma 10 6 12" xfId="681" xr:uid="{3ADCD88B-B2C2-4702-B525-175DD61FE4F2}"/>
    <cellStyle name="Comma 10 6 12 2" xfId="1951" xr:uid="{5FA79242-810C-445E-9872-21AC5501B488}"/>
    <cellStyle name="Comma 10 6 12 2 2" xfId="3730" xr:uid="{516E2CBE-B72B-4B7A-BF56-A8E6C7B57471}"/>
    <cellStyle name="Comma 10 6 12 2 3" xfId="4122" xr:uid="{C360300B-CAC8-4FBC-94C8-35646ADCDED1}"/>
    <cellStyle name="Comma 10 6 12 3" xfId="3536" xr:uid="{FEE89333-28B7-491D-9084-F54490D65530}"/>
    <cellStyle name="Comma 10 6 12 4" xfId="3928" xr:uid="{393718AC-3E0B-435A-AB84-285DE020979B}"/>
    <cellStyle name="Comma 10 6 13" xfId="682" xr:uid="{92B487BB-2194-4D46-9D90-A0D5594E4101}"/>
    <cellStyle name="Comma 10 6 13 2" xfId="1952" xr:uid="{1106E5B4-26D9-46E9-9370-AB57C1B7E9C2}"/>
    <cellStyle name="Comma 10 6 13 2 2" xfId="3731" xr:uid="{190E140B-B1C5-4EF7-A740-2CFA36885EA2}"/>
    <cellStyle name="Comma 10 6 13 2 3" xfId="4123" xr:uid="{0C48EB28-AEA5-49F8-9911-3828989106F5}"/>
    <cellStyle name="Comma 10 6 13 3" xfId="3537" xr:uid="{20B6C54A-D250-4604-B9A4-9F41323566BC}"/>
    <cellStyle name="Comma 10 6 13 4" xfId="3929" xr:uid="{E53E00C9-0405-4611-9701-BD10734A5FA3}"/>
    <cellStyle name="Comma 10 6 14" xfId="683" xr:uid="{079793C0-25E9-4AF3-B60F-DF3A8F864673}"/>
    <cellStyle name="Comma 10 6 14 2" xfId="1953" xr:uid="{AF3DD579-2668-4B89-8E2A-518859B3D149}"/>
    <cellStyle name="Comma 10 6 14 2 2" xfId="3732" xr:uid="{F57ED789-0BF6-4B05-B291-A7D62F0DCBC5}"/>
    <cellStyle name="Comma 10 6 14 2 3" xfId="4124" xr:uid="{A65480A2-5034-4905-99C6-3EBACE2FE914}"/>
    <cellStyle name="Comma 10 6 14 3" xfId="3538" xr:uid="{5BA7435D-BBBF-4032-AE32-F0670E30E1AC}"/>
    <cellStyle name="Comma 10 6 14 4" xfId="3930" xr:uid="{DD2885D0-1662-4B90-92C7-DC1940C3DB39}"/>
    <cellStyle name="Comma 10 6 15" xfId="684" xr:uid="{3CE2A848-B808-454E-B2ED-381BD2F906AC}"/>
    <cellStyle name="Comma 10 6 15 2" xfId="1954" xr:uid="{18E9E6EB-91FD-49F4-829D-495C218D47A9}"/>
    <cellStyle name="Comma 10 6 15 2 2" xfId="3733" xr:uid="{EB65E423-0454-4E89-BCA8-FB4D208DB3B1}"/>
    <cellStyle name="Comma 10 6 15 2 3" xfId="4125" xr:uid="{614A5244-136E-4465-BE57-BEAAECF38370}"/>
    <cellStyle name="Comma 10 6 15 3" xfId="3539" xr:uid="{957A9123-04B6-4FCF-97C0-39251311CB46}"/>
    <cellStyle name="Comma 10 6 15 4" xfId="3931" xr:uid="{4C66DCD8-0FD4-4AE6-8180-09BF9984E04E}"/>
    <cellStyle name="Comma 10 6 16" xfId="685" xr:uid="{C46EAE4E-F550-430A-855F-1BDCEAEBE9CB}"/>
    <cellStyle name="Comma 10 6 16 2" xfId="1955" xr:uid="{23D1300F-6F4C-42B7-9F38-1967F5644B8C}"/>
    <cellStyle name="Comma 10 6 16 2 2" xfId="3734" xr:uid="{F183925E-39BE-4C3F-B0C6-8686F3E46241}"/>
    <cellStyle name="Comma 10 6 16 2 3" xfId="4126" xr:uid="{CBDED514-4F13-4077-A350-FBB2023896CC}"/>
    <cellStyle name="Comma 10 6 16 3" xfId="3540" xr:uid="{39CEEF21-68B4-4163-AAE3-65C63632E9D1}"/>
    <cellStyle name="Comma 10 6 16 4" xfId="3932" xr:uid="{998A6A14-C537-4047-8DAC-10E22B1A3596}"/>
    <cellStyle name="Comma 10 6 17" xfId="686" xr:uid="{2ABD0CFF-DF34-4465-9A17-6F8B594BF3CE}"/>
    <cellStyle name="Comma 10 6 17 2" xfId="1956" xr:uid="{90752234-6ADF-4C88-A9AC-276D4A209B67}"/>
    <cellStyle name="Comma 10 6 17 2 2" xfId="3735" xr:uid="{02E781FE-BE14-40B4-A063-255BDB2A52EF}"/>
    <cellStyle name="Comma 10 6 17 2 3" xfId="4127" xr:uid="{50EBC879-64BF-4307-9B61-C93A5327C715}"/>
    <cellStyle name="Comma 10 6 17 3" xfId="3541" xr:uid="{3B25CA5E-1A33-468E-B08F-D61B03D8C02B}"/>
    <cellStyle name="Comma 10 6 17 4" xfId="3933" xr:uid="{6C6B34EA-A534-4E67-B12A-3524212BF338}"/>
    <cellStyle name="Comma 10 6 18" xfId="1948" xr:uid="{7108B055-4E7F-46AD-993E-5BA3A586C385}"/>
    <cellStyle name="Comma 10 6 18 2" xfId="3727" xr:uid="{A2E21F0E-7384-4270-857F-07B216504257}"/>
    <cellStyle name="Comma 10 6 18 3" xfId="4119" xr:uid="{5D98C463-313B-4EAA-B25B-C8C6648BF198}"/>
    <cellStyle name="Comma 10 6 19" xfId="3533" xr:uid="{6DA8C9E2-1BAA-4876-ACB9-F9E4126E9015}"/>
    <cellStyle name="Comma 10 6 2" xfId="687" xr:uid="{2385A4FD-FB58-4226-9593-44E022E08D79}"/>
    <cellStyle name="Comma 10 6 2 2" xfId="1957" xr:uid="{3A2EE11E-F80B-4CBF-AE74-347524DBAED5}"/>
    <cellStyle name="Comma 10 6 2 2 2" xfId="3736" xr:uid="{0C62DE45-33FC-4F92-A436-6E0B4DAB9205}"/>
    <cellStyle name="Comma 10 6 2 2 3" xfId="4128" xr:uid="{D1CE188A-B87C-4D4D-A76C-C9361A16D5BD}"/>
    <cellStyle name="Comma 10 6 2 3" xfId="3542" xr:uid="{3FFF8D37-9EC8-4447-ACC8-697AB5DFE425}"/>
    <cellStyle name="Comma 10 6 2 4" xfId="3934" xr:uid="{C7CB1490-979F-40EC-99F0-6F29D1F1B7B4}"/>
    <cellStyle name="Comma 10 6 20" xfId="3925" xr:uid="{08386C16-575A-4033-BFA2-84BFF846EF46}"/>
    <cellStyle name="Comma 10 6 3" xfId="688" xr:uid="{DAF73C20-4A49-442A-8B39-A21676FAB7F5}"/>
    <cellStyle name="Comma 10 6 3 2" xfId="1958" xr:uid="{1A861494-329D-4723-9908-FD00AD273801}"/>
    <cellStyle name="Comma 10 6 3 2 2" xfId="3737" xr:uid="{BDDECB13-C026-42D6-ACD8-BAF349183711}"/>
    <cellStyle name="Comma 10 6 3 2 3" xfId="4129" xr:uid="{C5DFFAAF-81D7-42F7-9487-C0D3E555F835}"/>
    <cellStyle name="Comma 10 6 3 3" xfId="3543" xr:uid="{8CEFA9FE-B3BA-4FCD-88E6-AA02561E0319}"/>
    <cellStyle name="Comma 10 6 3 4" xfId="3935" xr:uid="{15BCB2C0-2276-4E26-B738-D3B25D2653EE}"/>
    <cellStyle name="Comma 10 6 4" xfId="689" xr:uid="{993ED5F2-9FBD-48B4-9DF9-715B7E20D569}"/>
    <cellStyle name="Comma 10 6 4 2" xfId="1959" xr:uid="{FAB2530D-1737-4B76-971A-FAA1099C56B4}"/>
    <cellStyle name="Comma 10 6 4 2 2" xfId="3738" xr:uid="{D2C91304-15E7-4EC9-93FE-532E102BA481}"/>
    <cellStyle name="Comma 10 6 4 2 3" xfId="4130" xr:uid="{DFF66232-C01C-4944-9774-8FCF214112B7}"/>
    <cellStyle name="Comma 10 6 4 3" xfId="3544" xr:uid="{1F77363A-4993-4081-8732-655DDADF6B06}"/>
    <cellStyle name="Comma 10 6 4 4" xfId="3936" xr:uid="{495F3BFA-6AC7-4A5D-8677-DC96694B83AB}"/>
    <cellStyle name="Comma 10 6 5" xfId="690" xr:uid="{8BB19669-DB31-41D1-97B1-B13FD5392FB1}"/>
    <cellStyle name="Comma 10 6 5 2" xfId="1960" xr:uid="{0BA30185-442F-4B0F-9078-3511748B90F0}"/>
    <cellStyle name="Comma 10 6 5 2 2" xfId="3739" xr:uid="{55EB48C0-0D2A-4040-ADAC-DC083DBA2206}"/>
    <cellStyle name="Comma 10 6 5 2 3" xfId="4131" xr:uid="{4DFF796B-3122-457E-8F14-35828F48DA89}"/>
    <cellStyle name="Comma 10 6 5 3" xfId="3545" xr:uid="{F2F8BAA9-06F4-4068-9BD6-283D2CFF89B7}"/>
    <cellStyle name="Comma 10 6 5 4" xfId="3937" xr:uid="{DD16CD19-F9EC-4E62-ABFC-1836E45F7F4B}"/>
    <cellStyle name="Comma 10 6 6" xfId="691" xr:uid="{96162E19-FC9F-4830-BFDE-D825AEF7007D}"/>
    <cellStyle name="Comma 10 6 6 2" xfId="1961" xr:uid="{019D02EF-E7AD-4E8B-AB76-B6CE19679AA0}"/>
    <cellStyle name="Comma 10 6 6 2 2" xfId="3740" xr:uid="{3F210D95-623A-4EB4-B859-3467272ECC97}"/>
    <cellStyle name="Comma 10 6 6 2 3" xfId="4132" xr:uid="{8A8B40AB-CED9-4637-8E02-D62BF95758FA}"/>
    <cellStyle name="Comma 10 6 6 3" xfId="3546" xr:uid="{3E40AEB7-7F2D-47E8-A9AB-7C6C4112A202}"/>
    <cellStyle name="Comma 10 6 6 4" xfId="3938" xr:uid="{40B86E39-A544-4E10-915A-44619EB67F9A}"/>
    <cellStyle name="Comma 10 6 7" xfId="692" xr:uid="{8858550B-228A-4FCA-8DEC-8CF021D29BDD}"/>
    <cellStyle name="Comma 10 6 7 2" xfId="1962" xr:uid="{985D34DC-0FDC-4DCC-8246-418FBDE13A0C}"/>
    <cellStyle name="Comma 10 6 7 2 2" xfId="3741" xr:uid="{83F5527B-9F98-4B0B-9878-96A9709F86DB}"/>
    <cellStyle name="Comma 10 6 7 2 3" xfId="4133" xr:uid="{A7E0AED2-82FB-4475-9E34-FD8E9EA8F917}"/>
    <cellStyle name="Comma 10 6 7 3" xfId="3547" xr:uid="{3943FE09-25C7-4EFA-90FF-53C7BB772E0F}"/>
    <cellStyle name="Comma 10 6 7 4" xfId="3939" xr:uid="{D0BFBD2D-F1E9-4652-86E5-8E272A42E694}"/>
    <cellStyle name="Comma 10 6 8" xfId="693" xr:uid="{0AF981F3-62EF-47CF-9156-38886F8640CA}"/>
    <cellStyle name="Comma 10 6 8 2" xfId="1963" xr:uid="{7BB1C8F5-166E-4572-88BC-85B2C3313A86}"/>
    <cellStyle name="Comma 10 6 8 2 2" xfId="3742" xr:uid="{D5CB324C-0816-40BB-9D6F-40B7AD0791D4}"/>
    <cellStyle name="Comma 10 6 8 2 3" xfId="4134" xr:uid="{BA739A52-FB53-4F6D-8E97-05B59F4C3118}"/>
    <cellStyle name="Comma 10 6 8 3" xfId="3548" xr:uid="{02B24B93-1D6E-436F-A2C6-F615765FEEA0}"/>
    <cellStyle name="Comma 10 6 8 4" xfId="3940" xr:uid="{86C4F0E8-413D-411F-BBCF-1E0039D4906D}"/>
    <cellStyle name="Comma 10 6 9" xfId="694" xr:uid="{65F55BCC-E57C-474F-AA30-2EF886CBE56F}"/>
    <cellStyle name="Comma 10 6 9 2" xfId="1964" xr:uid="{BCB33FD4-671D-4C67-8D68-E763D077C589}"/>
    <cellStyle name="Comma 10 6 9 2 2" xfId="3743" xr:uid="{88D1C45E-F423-40CC-8464-3F4DF7570CDA}"/>
    <cellStyle name="Comma 10 6 9 2 3" xfId="4135" xr:uid="{60488AF2-5926-4B42-8D8D-EA62267E0CD8}"/>
    <cellStyle name="Comma 10 6 9 3" xfId="3549" xr:uid="{311006AF-57E6-476D-8378-CF2BA2B95BF4}"/>
    <cellStyle name="Comma 10 6 9 4" xfId="3941" xr:uid="{EC1FF12E-FDF0-4EE2-AEA5-4CFE9D8D72A9}"/>
    <cellStyle name="Comma 10 7" xfId="695" xr:uid="{FC4FC2C7-1FC1-4B1E-9A75-FB55D1A6902F}"/>
    <cellStyle name="Comma 10 7 10" xfId="696" xr:uid="{05ED95CB-0387-411A-8671-5661E7649C83}"/>
    <cellStyle name="Comma 10 7 10 2" xfId="1966" xr:uid="{9409F071-856F-46C9-8512-CBBBE33BC054}"/>
    <cellStyle name="Comma 10 7 10 2 2" xfId="3745" xr:uid="{151E5EFD-8569-4C5E-AF0F-9DB87A33DDEC}"/>
    <cellStyle name="Comma 10 7 10 2 3" xfId="4137" xr:uid="{D50D0600-19B6-472C-A2B3-927F3FC25E1C}"/>
    <cellStyle name="Comma 10 7 10 3" xfId="3551" xr:uid="{8D1F4625-21D4-480A-825D-90D05327FEDF}"/>
    <cellStyle name="Comma 10 7 10 4" xfId="3943" xr:uid="{72A4C8DA-CA71-446D-ADB3-D5A6E0755706}"/>
    <cellStyle name="Comma 10 7 11" xfId="697" xr:uid="{B7806228-494F-4C49-A24B-5C14BE73BF5C}"/>
    <cellStyle name="Comma 10 7 11 2" xfId="1967" xr:uid="{C0B0DC5E-5CFB-4174-94DF-DA9944649E30}"/>
    <cellStyle name="Comma 10 7 11 2 2" xfId="3746" xr:uid="{490F884C-1608-49F6-BFE4-FD4688AB81F7}"/>
    <cellStyle name="Comma 10 7 11 2 3" xfId="4138" xr:uid="{8BA4BBD0-FFE5-4BA9-8A27-02363430C63E}"/>
    <cellStyle name="Comma 10 7 11 3" xfId="3552" xr:uid="{4EACFD74-CB3D-4B19-9448-662A6984B617}"/>
    <cellStyle name="Comma 10 7 11 4" xfId="3944" xr:uid="{1A6EF506-E192-492C-A626-2543D01AE129}"/>
    <cellStyle name="Comma 10 7 12" xfId="698" xr:uid="{8FE69D97-98F2-48DB-AA69-BBE17DBD725C}"/>
    <cellStyle name="Comma 10 7 12 2" xfId="1968" xr:uid="{788A4A7E-D94B-4294-BDD7-35C4E514ABEF}"/>
    <cellStyle name="Comma 10 7 12 2 2" xfId="3747" xr:uid="{73B42A6F-02A2-4603-9384-5A289CA0EC2B}"/>
    <cellStyle name="Comma 10 7 12 2 3" xfId="4139" xr:uid="{536FD582-6517-43AB-A705-77A911D29D7B}"/>
    <cellStyle name="Comma 10 7 12 3" xfId="3553" xr:uid="{A4A642DE-24D9-415E-B332-03388317CF1C}"/>
    <cellStyle name="Comma 10 7 12 4" xfId="3945" xr:uid="{89F6D265-1548-4E87-AB96-0B2E88F2EC38}"/>
    <cellStyle name="Comma 10 7 13" xfId="699" xr:uid="{2C7A8EDD-E11D-4CB0-9D7C-9AEB7D2CEBC8}"/>
    <cellStyle name="Comma 10 7 13 2" xfId="1969" xr:uid="{1B635B49-B5EF-4955-8A60-F65197C84B3E}"/>
    <cellStyle name="Comma 10 7 13 2 2" xfId="3748" xr:uid="{FBDC3386-7506-44DB-ADED-384AF26E2DCD}"/>
    <cellStyle name="Comma 10 7 13 2 3" xfId="4140" xr:uid="{8876F5D6-79F9-44E1-853F-1D968F371FC0}"/>
    <cellStyle name="Comma 10 7 13 3" xfId="3554" xr:uid="{ED097DCB-19B0-4F35-8303-FF2F51643AD7}"/>
    <cellStyle name="Comma 10 7 13 4" xfId="3946" xr:uid="{30543E8E-8F79-46ED-9489-65DCC70937F5}"/>
    <cellStyle name="Comma 10 7 14" xfId="700" xr:uid="{CAFE0417-2B74-4F64-9C5F-7C4E7E718E61}"/>
    <cellStyle name="Comma 10 7 14 2" xfId="1970" xr:uid="{1F10D051-FAC2-4E2F-AB23-84B0EA114737}"/>
    <cellStyle name="Comma 10 7 14 2 2" xfId="3749" xr:uid="{34B9C9CB-7722-4F63-A86B-DA92FCA60FD5}"/>
    <cellStyle name="Comma 10 7 14 2 3" xfId="4141" xr:uid="{DE2CDAAE-9DF9-4E3D-AF72-F97CE989B3D4}"/>
    <cellStyle name="Comma 10 7 14 3" xfId="3555" xr:uid="{7705F768-CAC6-4870-B146-851041E5CBA6}"/>
    <cellStyle name="Comma 10 7 14 4" xfId="3947" xr:uid="{D54FB65A-05FF-43F7-A74C-1EC66506D8B7}"/>
    <cellStyle name="Comma 10 7 15" xfId="701" xr:uid="{6D3BC855-9603-4827-98D8-EA4646AF3E6B}"/>
    <cellStyle name="Comma 10 7 15 2" xfId="1971" xr:uid="{41E1ADBD-8F0F-4BC3-9BC3-75B1F43EAEB8}"/>
    <cellStyle name="Comma 10 7 15 2 2" xfId="3750" xr:uid="{EE31E64E-72D8-4FC1-A816-8A7A94687B95}"/>
    <cellStyle name="Comma 10 7 15 2 3" xfId="4142" xr:uid="{44770AC9-C847-4975-910C-EEE8B1C5B7CE}"/>
    <cellStyle name="Comma 10 7 15 3" xfId="3556" xr:uid="{20921FCE-B91E-4265-8FE5-4580B29AF5F9}"/>
    <cellStyle name="Comma 10 7 15 4" xfId="3948" xr:uid="{C6756C5D-4A07-4C66-8041-6C2677D54797}"/>
    <cellStyle name="Comma 10 7 16" xfId="702" xr:uid="{7C499BF1-7F09-4D1C-8D40-D7995E2FA975}"/>
    <cellStyle name="Comma 10 7 16 2" xfId="1972" xr:uid="{AE71D2B4-8F74-4E53-B38D-64F37826B1C6}"/>
    <cellStyle name="Comma 10 7 16 2 2" xfId="3751" xr:uid="{415EC327-7F13-41EB-AA16-26E986537B0A}"/>
    <cellStyle name="Comma 10 7 16 2 3" xfId="4143" xr:uid="{ACC3CDE9-A7ED-4061-9953-93B2163ED285}"/>
    <cellStyle name="Comma 10 7 16 3" xfId="3557" xr:uid="{26FEC7AF-FF31-4425-A39B-2355067CA138}"/>
    <cellStyle name="Comma 10 7 16 4" xfId="3949" xr:uid="{FF96E318-DFA0-4506-99E8-C5D40ED47362}"/>
    <cellStyle name="Comma 10 7 17" xfId="703" xr:uid="{5538D36E-7DA7-4C07-97E8-F3C610B23804}"/>
    <cellStyle name="Comma 10 7 17 2" xfId="1973" xr:uid="{FDA82B56-7B7F-4CA0-9EB7-16AC114AB928}"/>
    <cellStyle name="Comma 10 7 17 2 2" xfId="3752" xr:uid="{4B355B8B-73A9-4800-89AF-CDBC78AB8C04}"/>
    <cellStyle name="Comma 10 7 17 2 3" xfId="4144" xr:uid="{7E9E26B2-2CF4-443F-A861-F4E5FBB6D41A}"/>
    <cellStyle name="Comma 10 7 17 3" xfId="3558" xr:uid="{866F2721-0AA3-4566-8B47-F90D64683389}"/>
    <cellStyle name="Comma 10 7 17 4" xfId="3950" xr:uid="{1601E3AD-C839-48A6-A6D8-09CA25D8B742}"/>
    <cellStyle name="Comma 10 7 18" xfId="1965" xr:uid="{0AA5679E-7B84-4CAF-9C9A-3D8BEA877698}"/>
    <cellStyle name="Comma 10 7 18 2" xfId="3744" xr:uid="{0F2FD3AC-B23F-45A7-BB51-A52978E2AC1D}"/>
    <cellStyle name="Comma 10 7 18 3" xfId="4136" xr:uid="{1EE203D3-BE6E-45A1-9FB7-5F7CDA9DDF19}"/>
    <cellStyle name="Comma 10 7 19" xfId="3550" xr:uid="{CCDAF257-11B0-427B-B1C2-EA35077CB168}"/>
    <cellStyle name="Comma 10 7 2" xfId="704" xr:uid="{831D43A3-E539-4ADB-8105-6345A0D7CA5E}"/>
    <cellStyle name="Comma 10 7 2 2" xfId="1974" xr:uid="{1D178742-922F-443B-BA0C-312BBCF07331}"/>
    <cellStyle name="Comma 10 7 2 2 2" xfId="3753" xr:uid="{7BD4618F-4997-4E04-BC04-ED0D1328AE57}"/>
    <cellStyle name="Comma 10 7 2 2 3" xfId="4145" xr:uid="{5D833CFD-8235-4D75-B72C-3EBAA1825C1D}"/>
    <cellStyle name="Comma 10 7 2 3" xfId="3559" xr:uid="{3A51F176-175E-41C4-B07C-F804DFF91442}"/>
    <cellStyle name="Comma 10 7 2 4" xfId="3951" xr:uid="{C8154DC5-B4B5-45DD-86CA-13815A88609C}"/>
    <cellStyle name="Comma 10 7 20" xfId="3942" xr:uid="{5967F1EC-46D7-406F-B45F-0EAC2ACC0135}"/>
    <cellStyle name="Comma 10 7 3" xfId="705" xr:uid="{0B022D21-73A8-4DE3-B121-0E08EC04C4FE}"/>
    <cellStyle name="Comma 10 7 3 2" xfId="1975" xr:uid="{149ACEBD-05D2-4D77-B3D4-8D5ADAD28761}"/>
    <cellStyle name="Comma 10 7 3 2 2" xfId="3754" xr:uid="{ED6CB991-90E7-4285-B98E-5710179B19FC}"/>
    <cellStyle name="Comma 10 7 3 2 3" xfId="4146" xr:uid="{ADF6788A-1070-48AD-A5EA-4AF31C0EB02B}"/>
    <cellStyle name="Comma 10 7 3 3" xfId="3560" xr:uid="{DF029C35-E633-4D0A-A9FF-FF92205C70B3}"/>
    <cellStyle name="Comma 10 7 3 4" xfId="3952" xr:uid="{E60A05F9-E7C6-4BEB-B69C-166636A981E2}"/>
    <cellStyle name="Comma 10 7 4" xfId="706" xr:uid="{0B5CE5AD-1B03-49B4-9EF2-24CE9B38F2EA}"/>
    <cellStyle name="Comma 10 7 4 2" xfId="1976" xr:uid="{2BFB6C5E-83D9-4878-824F-126553E27F39}"/>
    <cellStyle name="Comma 10 7 4 2 2" xfId="3755" xr:uid="{DEE60622-2680-45B6-8151-C3B650786B2D}"/>
    <cellStyle name="Comma 10 7 4 2 3" xfId="4147" xr:uid="{FD716A2F-C863-4CA2-A80E-9B5EE29FFAA7}"/>
    <cellStyle name="Comma 10 7 4 3" xfId="3561" xr:uid="{D02BA60E-CA79-4AA4-8CAD-23778A285259}"/>
    <cellStyle name="Comma 10 7 4 4" xfId="3953" xr:uid="{6AE52357-D53C-47D5-9767-6A16576D8220}"/>
    <cellStyle name="Comma 10 7 5" xfId="707" xr:uid="{A97B537C-C13E-4E25-A862-E824AA602707}"/>
    <cellStyle name="Comma 10 7 5 2" xfId="1977" xr:uid="{E9E909E7-F80A-4412-8B0D-9A323C60D61A}"/>
    <cellStyle name="Comma 10 7 5 2 2" xfId="3756" xr:uid="{106AB208-F71A-4F25-846A-05ED7612BF6C}"/>
    <cellStyle name="Comma 10 7 5 2 3" xfId="4148" xr:uid="{D1659DA7-6C4D-4C33-AACF-2A5ECA1F4F2C}"/>
    <cellStyle name="Comma 10 7 5 3" xfId="3562" xr:uid="{45794D0A-38A3-4F11-895E-215065D88625}"/>
    <cellStyle name="Comma 10 7 5 4" xfId="3954" xr:uid="{3CDD740E-8E49-4008-A0CF-831650CD408B}"/>
    <cellStyle name="Comma 10 7 6" xfId="708" xr:uid="{E9C71226-682B-4FAC-98BE-8587AFA8D0F3}"/>
    <cellStyle name="Comma 10 7 6 2" xfId="1978" xr:uid="{C566BCCB-696A-4208-84BF-7E3C05375039}"/>
    <cellStyle name="Comma 10 7 6 2 2" xfId="3757" xr:uid="{57F11AAD-7DA7-41D3-BDFF-93D8FCF19D4B}"/>
    <cellStyle name="Comma 10 7 6 2 3" xfId="4149" xr:uid="{9AD7853C-3101-4E0E-BFA7-52F8BD9C9C27}"/>
    <cellStyle name="Comma 10 7 6 3" xfId="3563" xr:uid="{5CE895F4-A0B5-447A-9D87-4807C0F4C8F0}"/>
    <cellStyle name="Comma 10 7 6 4" xfId="3955" xr:uid="{241C42F2-C325-46D4-99A1-633BA283CF93}"/>
    <cellStyle name="Comma 10 7 7" xfId="709" xr:uid="{3D878BF1-56A3-487F-9875-1DF969BB3616}"/>
    <cellStyle name="Comma 10 7 7 2" xfId="1979" xr:uid="{FF48D514-C40E-4480-BDCD-F755246D3F74}"/>
    <cellStyle name="Comma 10 7 7 2 2" xfId="3758" xr:uid="{B5933F8C-EAA3-42FC-B16C-22FE2A2678AD}"/>
    <cellStyle name="Comma 10 7 7 2 3" xfId="4150" xr:uid="{35BA529F-1FA4-4F1B-BE3A-99DA29260C7C}"/>
    <cellStyle name="Comma 10 7 7 3" xfId="3564" xr:uid="{E6406D3D-40ED-4BC4-ADEE-14B8CA7D6753}"/>
    <cellStyle name="Comma 10 7 7 4" xfId="3956" xr:uid="{D36313FD-B021-4831-9AC5-1AA5C5E3B523}"/>
    <cellStyle name="Comma 10 7 8" xfId="710" xr:uid="{47E62E5F-6708-40C3-8DA2-BF6339676598}"/>
    <cellStyle name="Comma 10 7 8 2" xfId="1980" xr:uid="{FA9A4C47-BB01-4B08-9A37-8690E753219E}"/>
    <cellStyle name="Comma 10 7 8 2 2" xfId="3759" xr:uid="{6C5BD8F0-20E5-45AD-A9D6-CCBEAAC60282}"/>
    <cellStyle name="Comma 10 7 8 2 3" xfId="4151" xr:uid="{7F5E20C8-3140-4A1B-B5F6-1286D7E6BCCA}"/>
    <cellStyle name="Comma 10 7 8 3" xfId="3565" xr:uid="{5C9DB2B6-7341-4290-890C-2695ECDB184F}"/>
    <cellStyle name="Comma 10 7 8 4" xfId="3957" xr:uid="{2F0A006B-6471-434C-876E-77CF0DD6E80E}"/>
    <cellStyle name="Comma 10 7 9" xfId="711" xr:uid="{1205FD70-BCB0-436F-A450-3F586D3A9971}"/>
    <cellStyle name="Comma 10 7 9 2" xfId="1981" xr:uid="{A28C6BF0-E95D-4390-BD14-6EF481CBF4C9}"/>
    <cellStyle name="Comma 10 7 9 2 2" xfId="3760" xr:uid="{28F3C305-6716-48B3-8CBE-E0CB33042E36}"/>
    <cellStyle name="Comma 10 7 9 2 3" xfId="4152" xr:uid="{307ABC48-7DF1-4E58-B5FB-21957549F65B}"/>
    <cellStyle name="Comma 10 7 9 3" xfId="3566" xr:uid="{725EF474-0FA3-47F5-B4E0-FCB3FA6FE67E}"/>
    <cellStyle name="Comma 10 7 9 4" xfId="3958" xr:uid="{1F71B3DB-094C-4BC4-BF3C-EE67DC9EA6BE}"/>
    <cellStyle name="Comma 10 8" xfId="712" xr:uid="{26C76A71-42DA-436C-90C7-EED653B08AA2}"/>
    <cellStyle name="Comma 10 8 10" xfId="713" xr:uid="{3FA7FE9A-3510-4CB1-AE70-6026B949AE47}"/>
    <cellStyle name="Comma 10 8 10 2" xfId="1983" xr:uid="{1230355C-D6D9-4CB9-9E84-1D1324EDD5CA}"/>
    <cellStyle name="Comma 10 8 10 2 2" xfId="3762" xr:uid="{AC9B68B5-C247-4EB8-B26B-B9826452AACE}"/>
    <cellStyle name="Comma 10 8 10 2 3" xfId="4154" xr:uid="{295D1635-1AD3-4235-9574-17889F0466F9}"/>
    <cellStyle name="Comma 10 8 10 3" xfId="3568" xr:uid="{DD0351E7-ADC4-40E5-A77A-CF47391DEA3D}"/>
    <cellStyle name="Comma 10 8 10 4" xfId="3960" xr:uid="{BFD225E8-4698-4C29-8BCF-80B9F846868C}"/>
    <cellStyle name="Comma 10 8 11" xfId="714" xr:uid="{FD9CADEF-38A8-4B5B-ADA0-8BD1F4A258A4}"/>
    <cellStyle name="Comma 10 8 11 2" xfId="1984" xr:uid="{EB62D930-A6E2-4BBF-A339-BF12353D1210}"/>
    <cellStyle name="Comma 10 8 11 2 2" xfId="3763" xr:uid="{3FD48F6D-8ECB-4267-A40E-D5214D48AB22}"/>
    <cellStyle name="Comma 10 8 11 2 3" xfId="4155" xr:uid="{A4F4843F-893C-40DB-AA4C-2E94F4FC5A96}"/>
    <cellStyle name="Comma 10 8 11 3" xfId="3569" xr:uid="{D473A731-06E4-4B94-829B-51E5EEAC84C6}"/>
    <cellStyle name="Comma 10 8 11 4" xfId="3961" xr:uid="{8DD0B605-A98A-4331-9D4B-C0C7077EDDC4}"/>
    <cellStyle name="Comma 10 8 12" xfId="715" xr:uid="{CD157D55-A336-4A1D-8347-188D1A55409C}"/>
    <cellStyle name="Comma 10 8 12 2" xfId="1985" xr:uid="{EDCFAC2C-BEAA-4AF0-954F-7A245C002DE1}"/>
    <cellStyle name="Comma 10 8 12 2 2" xfId="3764" xr:uid="{DCC1A7AB-B728-4E5F-81AF-CB950D4B7EE7}"/>
    <cellStyle name="Comma 10 8 12 2 3" xfId="4156" xr:uid="{3345B636-CFF0-43E8-8AE6-DD1AC7CDBFF0}"/>
    <cellStyle name="Comma 10 8 12 3" xfId="3570" xr:uid="{FEBB7E2C-8729-4E4B-BD93-AB9A64BA7F47}"/>
    <cellStyle name="Comma 10 8 12 4" xfId="3962" xr:uid="{6C8CF893-E2E5-46BC-BB3E-BBD80161DB44}"/>
    <cellStyle name="Comma 10 8 13" xfId="716" xr:uid="{8043DC03-5077-485E-ACFE-3F66EAFC8512}"/>
    <cellStyle name="Comma 10 8 13 2" xfId="1986" xr:uid="{3777C88A-4080-4C4F-AE74-62E44E2F90B1}"/>
    <cellStyle name="Comma 10 8 13 2 2" xfId="3765" xr:uid="{9FB7D6BA-8913-44E1-9910-DDFD8A8C0B7F}"/>
    <cellStyle name="Comma 10 8 13 2 3" xfId="4157" xr:uid="{0EF5D9DF-9AFC-4F47-8A3A-CFEC2A3FFD58}"/>
    <cellStyle name="Comma 10 8 13 3" xfId="3571" xr:uid="{BF8FEAFF-C289-4FC0-B389-9F78834D09FA}"/>
    <cellStyle name="Comma 10 8 13 4" xfId="3963" xr:uid="{08210054-EB0B-4D77-A4BE-C55960F98C83}"/>
    <cellStyle name="Comma 10 8 14" xfId="717" xr:uid="{07C988BC-63B1-4586-B8CA-8708E5C9EB19}"/>
    <cellStyle name="Comma 10 8 14 2" xfId="1987" xr:uid="{DEA95169-581A-4192-B223-1573162A53ED}"/>
    <cellStyle name="Comma 10 8 14 2 2" xfId="3766" xr:uid="{78ACB8DC-B1A4-4C3C-B066-F92431138A68}"/>
    <cellStyle name="Comma 10 8 14 2 3" xfId="4158" xr:uid="{925369B5-E9F9-45FA-965C-1C3C47D6136C}"/>
    <cellStyle name="Comma 10 8 14 3" xfId="3572" xr:uid="{A382E192-BB0E-49AE-AD99-8F4A13A52FEB}"/>
    <cellStyle name="Comma 10 8 14 4" xfId="3964" xr:uid="{869895C7-D3C3-483C-A16E-421CA569DE2C}"/>
    <cellStyle name="Comma 10 8 15" xfId="718" xr:uid="{13CFE9FB-23A9-4166-9879-680250E99347}"/>
    <cellStyle name="Comma 10 8 15 2" xfId="1988" xr:uid="{9B4345B4-95F7-4266-8E8D-BC869A72BC5E}"/>
    <cellStyle name="Comma 10 8 15 2 2" xfId="3767" xr:uid="{5CBCF4B0-3B32-4F68-9B82-4068AEB927DB}"/>
    <cellStyle name="Comma 10 8 15 2 3" xfId="4159" xr:uid="{473752FC-05C4-4948-B03B-7E9D405CE502}"/>
    <cellStyle name="Comma 10 8 15 3" xfId="3573" xr:uid="{D7828A62-4B1C-44C3-BD55-538FA91E1D77}"/>
    <cellStyle name="Comma 10 8 15 4" xfId="3965" xr:uid="{AA7DBA70-F737-41DC-B1B8-4085A74242D9}"/>
    <cellStyle name="Comma 10 8 16" xfId="719" xr:uid="{56790E50-FA19-4D2F-A728-B58CD939A41F}"/>
    <cellStyle name="Comma 10 8 16 2" xfId="1989" xr:uid="{31383F6F-DA18-4870-AEC5-3A88E0064798}"/>
    <cellStyle name="Comma 10 8 16 2 2" xfId="3768" xr:uid="{C9F7EDD8-D308-4A25-8B12-396DABD06E28}"/>
    <cellStyle name="Comma 10 8 16 2 3" xfId="4160" xr:uid="{2508CF14-A355-41D9-8583-8DE25D7257FB}"/>
    <cellStyle name="Comma 10 8 16 3" xfId="3574" xr:uid="{BAADDA75-EDF3-48F9-8A5F-FAEA33C7721F}"/>
    <cellStyle name="Comma 10 8 16 4" xfId="3966" xr:uid="{90E15C7A-BC1C-4186-831C-41E0F43CC13A}"/>
    <cellStyle name="Comma 10 8 17" xfId="720" xr:uid="{5B6486C2-D094-4602-9E49-EDEEF3FD95D9}"/>
    <cellStyle name="Comma 10 8 17 2" xfId="1990" xr:uid="{307A0405-1886-4A04-9052-42AC7D60F175}"/>
    <cellStyle name="Comma 10 8 17 2 2" xfId="3769" xr:uid="{A0443294-AA73-43E8-AC10-4B80F1EF7E7C}"/>
    <cellStyle name="Comma 10 8 17 2 3" xfId="4161" xr:uid="{412F1903-1CC1-418D-AF01-E7F349D6D4C2}"/>
    <cellStyle name="Comma 10 8 17 3" xfId="3575" xr:uid="{7DFB360D-F903-429F-B229-3908AE08228D}"/>
    <cellStyle name="Comma 10 8 17 4" xfId="3967" xr:uid="{C9B72093-49E1-42D4-86A6-D5E49EDD1B70}"/>
    <cellStyle name="Comma 10 8 18" xfId="1982" xr:uid="{6E58F1C4-0415-4716-BDB1-61ED90175616}"/>
    <cellStyle name="Comma 10 8 18 2" xfId="3761" xr:uid="{1C209DC3-66E7-47A0-B045-103E89E8330A}"/>
    <cellStyle name="Comma 10 8 18 3" xfId="4153" xr:uid="{61A33572-A915-48A3-A8DB-BC2401BC6E64}"/>
    <cellStyle name="Comma 10 8 19" xfId="3567" xr:uid="{B509A622-56B8-4D14-A94F-65903F294AEA}"/>
    <cellStyle name="Comma 10 8 2" xfId="721" xr:uid="{138A6A16-C024-4126-9DDC-64170791D6EB}"/>
    <cellStyle name="Comma 10 8 2 2" xfId="1991" xr:uid="{D2C3F793-852A-46A3-BB06-04315420565F}"/>
    <cellStyle name="Comma 10 8 2 2 2" xfId="3770" xr:uid="{439EAF2A-183E-4301-81B9-4F55AC25A879}"/>
    <cellStyle name="Comma 10 8 2 2 3" xfId="4162" xr:uid="{C486CC30-CAB0-47B4-A5DF-BA422F57FDF0}"/>
    <cellStyle name="Comma 10 8 2 3" xfId="3576" xr:uid="{74B55B83-52DE-4C2D-BF9F-9E62526442DE}"/>
    <cellStyle name="Comma 10 8 2 4" xfId="3968" xr:uid="{D822BB3D-D2C8-458D-94E2-AEBA39EAEB3D}"/>
    <cellStyle name="Comma 10 8 20" xfId="3959" xr:uid="{A3D3E637-BBD7-4ED9-B5BE-746BA4C9A80F}"/>
    <cellStyle name="Comma 10 8 3" xfId="722" xr:uid="{3592BC86-87CF-430A-A8AB-0230993E8949}"/>
    <cellStyle name="Comma 10 8 3 2" xfId="1992" xr:uid="{16FDAD41-A8B4-43FD-A019-2AC42F749351}"/>
    <cellStyle name="Comma 10 8 3 2 2" xfId="3771" xr:uid="{861CA3CB-02D9-49B6-9561-FF292B839003}"/>
    <cellStyle name="Comma 10 8 3 2 3" xfId="4163" xr:uid="{544F0211-212F-4BAE-9303-111568B22FFF}"/>
    <cellStyle name="Comma 10 8 3 3" xfId="3577" xr:uid="{BBBE73C6-B1A6-466B-80E3-AF5B9A9139CE}"/>
    <cellStyle name="Comma 10 8 3 4" xfId="3969" xr:uid="{97D4A369-A3E9-42B1-BBD2-3120F415E9B8}"/>
    <cellStyle name="Comma 10 8 4" xfId="723" xr:uid="{BD313A78-F431-4430-849D-A26057C4992E}"/>
    <cellStyle name="Comma 10 8 4 2" xfId="1993" xr:uid="{AADD6878-FD7F-4483-A5EA-F0740A667469}"/>
    <cellStyle name="Comma 10 8 4 2 2" xfId="3772" xr:uid="{B196047A-D161-4852-BE30-2C0208972FAD}"/>
    <cellStyle name="Comma 10 8 4 2 3" xfId="4164" xr:uid="{BB9D2681-A97A-426F-9BB9-C822C5A08E58}"/>
    <cellStyle name="Comma 10 8 4 3" xfId="3578" xr:uid="{D82D2215-0C91-46F7-AB2C-44719C0798BE}"/>
    <cellStyle name="Comma 10 8 4 4" xfId="3970" xr:uid="{F49339AE-657C-464B-94B4-B0FDE17DD0FA}"/>
    <cellStyle name="Comma 10 8 5" xfId="724" xr:uid="{65CAF248-9CAE-4CA2-85E9-EFFAFA077B95}"/>
    <cellStyle name="Comma 10 8 5 2" xfId="1994" xr:uid="{73FE2896-4848-4959-96B3-409054E7F782}"/>
    <cellStyle name="Comma 10 8 5 2 2" xfId="3773" xr:uid="{2027F977-679B-47FD-8F3B-314128526A96}"/>
    <cellStyle name="Comma 10 8 5 2 3" xfId="4165" xr:uid="{B84AB648-4E16-4B69-9218-B04BB8EEC8DA}"/>
    <cellStyle name="Comma 10 8 5 3" xfId="3579" xr:uid="{E36E12F8-F662-4402-B903-759F625180A9}"/>
    <cellStyle name="Comma 10 8 5 4" xfId="3971" xr:uid="{98558095-1FED-4EEA-874F-6A4DEF6680E5}"/>
    <cellStyle name="Comma 10 8 6" xfId="725" xr:uid="{181538B5-B1FD-411E-AE0B-5A53DEF8081E}"/>
    <cellStyle name="Comma 10 8 6 2" xfId="1995" xr:uid="{0272A38E-24C3-4B08-A934-117021C8EC83}"/>
    <cellStyle name="Comma 10 8 6 2 2" xfId="3774" xr:uid="{8498A5EC-E906-4DB2-8E78-85C3BEC69EAC}"/>
    <cellStyle name="Comma 10 8 6 2 3" xfId="4166" xr:uid="{82641D7E-DEA2-483F-9AE4-507A388B526C}"/>
    <cellStyle name="Comma 10 8 6 3" xfId="3580" xr:uid="{3E97041E-23C7-4075-BAEE-5339E69B71E5}"/>
    <cellStyle name="Comma 10 8 6 4" xfId="3972" xr:uid="{F88D6D8A-E2B5-4099-BE2C-78982FAE0387}"/>
    <cellStyle name="Comma 10 8 7" xfId="726" xr:uid="{5E4CA65F-A6BB-4193-BB83-A42B1694C520}"/>
    <cellStyle name="Comma 10 8 7 2" xfId="1996" xr:uid="{865BFD6E-92A4-480B-B42C-952F1DD00E9D}"/>
    <cellStyle name="Comma 10 8 7 2 2" xfId="3775" xr:uid="{DBE1E347-543D-4883-9D6D-6272F2838B3C}"/>
    <cellStyle name="Comma 10 8 7 2 3" xfId="4167" xr:uid="{31C0F769-8BC5-4027-8DDF-ABEEDA1F2FF9}"/>
    <cellStyle name="Comma 10 8 7 3" xfId="3581" xr:uid="{26E31956-5477-4037-9F47-C35C766A1003}"/>
    <cellStyle name="Comma 10 8 7 4" xfId="3973" xr:uid="{955AF472-9767-46D5-9DE7-548541F4E50A}"/>
    <cellStyle name="Comma 10 8 8" xfId="727" xr:uid="{339E7683-DA16-41D5-B704-A8B78818BFB3}"/>
    <cellStyle name="Comma 10 8 8 2" xfId="1997" xr:uid="{CAC4043F-66A7-4D74-A2DA-3DABCF2B1074}"/>
    <cellStyle name="Comma 10 8 8 2 2" xfId="3776" xr:uid="{76B83366-074B-40B4-99D2-5EC14D915677}"/>
    <cellStyle name="Comma 10 8 8 2 3" xfId="4168" xr:uid="{D1DFC329-B5D1-4297-A994-88A5542BA95C}"/>
    <cellStyle name="Comma 10 8 8 3" xfId="3582" xr:uid="{D5DDF9B2-CEE4-4F66-BA8B-E830A35924A8}"/>
    <cellStyle name="Comma 10 8 8 4" xfId="3974" xr:uid="{62A1A9D5-0595-48F5-98F1-F0E9B5106E0F}"/>
    <cellStyle name="Comma 10 8 9" xfId="728" xr:uid="{D841992C-7D8E-4ECD-A055-A96AF3C9C50B}"/>
    <cellStyle name="Comma 10 8 9 2" xfId="1998" xr:uid="{386F17D3-64C6-4FA5-AB45-4DC1846BC353}"/>
    <cellStyle name="Comma 10 8 9 2 2" xfId="3777" xr:uid="{6543BCC2-1B3A-4B45-B5DF-8C3E58A8EFD0}"/>
    <cellStyle name="Comma 10 8 9 2 3" xfId="4169" xr:uid="{44C1DA4E-3BDD-4373-8338-8780D53241C9}"/>
    <cellStyle name="Comma 10 8 9 3" xfId="3583" xr:uid="{F9C83E04-4051-451C-BA97-BA0E2A9E6124}"/>
    <cellStyle name="Comma 10 8 9 4" xfId="3975" xr:uid="{3BA3FF98-B16E-420A-9983-6BE6F8E913FB}"/>
    <cellStyle name="Comma 2" xfId="79" xr:uid="{1C802D38-B9B0-4B4C-936E-7845AFAC3725}"/>
    <cellStyle name="Comma 2 10" xfId="730" xr:uid="{53C9309C-586F-4205-AB91-D149C1C00709}"/>
    <cellStyle name="Comma 2 10 2" xfId="2000" xr:uid="{78FD620A-1C01-4552-B77C-517FAC74CF25}"/>
    <cellStyle name="Comma 2 11" xfId="731" xr:uid="{9F9E061D-A2AC-4590-B141-C377EE15AEAD}"/>
    <cellStyle name="Comma 2 11 2" xfId="2001" xr:uid="{D81A9030-A713-4319-B798-0233A2ED6DF4}"/>
    <cellStyle name="Comma 2 12" xfId="732" xr:uid="{03B5130F-DD69-4850-B029-F87D85BAAD2C}"/>
    <cellStyle name="Comma 2 12 2" xfId="2002" xr:uid="{2AAD0114-794D-44A4-8401-EE80B60437A9}"/>
    <cellStyle name="Comma 2 13" xfId="733" xr:uid="{CABFC1A3-8136-4770-BCCF-B6792B63DC82}"/>
    <cellStyle name="Comma 2 13 2" xfId="2003" xr:uid="{075D5F92-516A-45B6-A951-617781F72E85}"/>
    <cellStyle name="Comma 2 14" xfId="734" xr:uid="{CD35A153-F96B-4329-A98E-8FA33BFCBB93}"/>
    <cellStyle name="Comma 2 14 2" xfId="2004" xr:uid="{10D3E168-9DE6-4E84-B679-0F407621B26D}"/>
    <cellStyle name="Comma 2 15" xfId="735" xr:uid="{99C4FEA6-B484-4EF4-A540-8C7FEE680138}"/>
    <cellStyle name="Comma 2 15 2" xfId="2005" xr:uid="{F16DD29B-E497-40C1-A8B0-97E868CB789B}"/>
    <cellStyle name="Comma 2 16" xfId="736" xr:uid="{85766B35-DA62-4080-A60E-3C288ADC0F67}"/>
    <cellStyle name="Comma 2 16 2" xfId="2006" xr:uid="{11D6AE36-9D0D-4214-8CE4-86C5A08BA537}"/>
    <cellStyle name="Comma 2 17" xfId="1999" xr:uid="{DE02AFC6-394D-49FE-B7E1-F9A6315F21A8}"/>
    <cellStyle name="Comma 2 17 2" xfId="3054" xr:uid="{509D3B09-73F2-4353-A6D2-2BE83BE53863}"/>
    <cellStyle name="Comma 2 17 3" xfId="3280" xr:uid="{A01E9D7D-8110-4983-9153-973130FA87DC}"/>
    <cellStyle name="Comma 2 18" xfId="729" xr:uid="{FA30D089-6FFE-42EE-BE11-8EFA6586F3D5}"/>
    <cellStyle name="Comma 2 19" xfId="3454" xr:uid="{42BB3374-3434-45FC-A87C-9AEA840199A6}"/>
    <cellStyle name="Comma 2 2" xfId="80" xr:uid="{00390445-6E2E-41EC-8ED4-62BF08FF4339}"/>
    <cellStyle name="Comma 2 2 2" xfId="2007" xr:uid="{B06C452E-9EB2-4245-91B0-8B50F4C3F88A}"/>
    <cellStyle name="Comma 2 2 3" xfId="737" xr:uid="{B2DC4E22-823A-4743-A52A-CD71DDE4C417}"/>
    <cellStyle name="Comma 2 2 4" xfId="3455" xr:uid="{C10921C1-8A32-4277-8166-55B4AB1F1D9F}"/>
    <cellStyle name="Comma 2 2 5" xfId="3847" xr:uid="{0A23A6F6-98B2-4713-89BF-28B11443472E}"/>
    <cellStyle name="Comma 2 20" xfId="3846" xr:uid="{FB2C2891-F650-43D4-A5EE-7C9AD17A16E3}"/>
    <cellStyle name="Comma 2 3" xfId="738" xr:uid="{D0BD90EA-0AEF-4646-8D63-6EBECCBC090D}"/>
    <cellStyle name="Comma 2 3 2" xfId="2008" xr:uid="{0CC7A5BE-1E00-4AFD-8397-C0EE3DC2AB31}"/>
    <cellStyle name="Comma 2 4" xfId="739" xr:uid="{37011BD8-A1B8-4C0D-ADBD-E0F1E29ABD77}"/>
    <cellStyle name="Comma 2 4 2" xfId="2009" xr:uid="{B7A451A9-4F52-477A-BC94-60A010F203D8}"/>
    <cellStyle name="Comma 2 5" xfId="740" xr:uid="{F128D981-5073-4471-BE0B-A1DB9DFC0EB5}"/>
    <cellStyle name="Comma 2 5 2" xfId="2010" xr:uid="{972D8D76-17F5-4D86-ADEF-F6A452271856}"/>
    <cellStyle name="Comma 2 6" xfId="741" xr:uid="{3EFAA04C-EA47-478F-8018-906851835C85}"/>
    <cellStyle name="Comma 2 6 2" xfId="2011" xr:uid="{941D5A58-F977-4791-BEB5-0641F13B5A23}"/>
    <cellStyle name="Comma 2 7" xfId="742" xr:uid="{F11C6AC0-2481-4171-90A2-CF4E71F73529}"/>
    <cellStyle name="Comma 2 7 2" xfId="2012" xr:uid="{411BA8D5-3BFA-4AF5-8979-35DD205CD1CA}"/>
    <cellStyle name="Comma 2 8" xfId="743" xr:uid="{6BA4CB0F-DA73-44CB-A36C-B2A47E39ADBE}"/>
    <cellStyle name="Comma 2 8 2" xfId="2013" xr:uid="{8CA3E0A9-30DE-46DA-BBD9-12EDA9159BCB}"/>
    <cellStyle name="Comma 2 9" xfId="744" xr:uid="{5E8B35E7-BD18-437B-A2B1-22F7D9116679}"/>
    <cellStyle name="Comma 2 9 2" xfId="2014" xr:uid="{5319FBC4-B632-4025-B5CF-4506432EE3B7}"/>
    <cellStyle name="Comma 3" xfId="745" xr:uid="{33FB5822-BF81-4705-9D57-CF776B807A03}"/>
    <cellStyle name="Comma 3 10" xfId="3584" xr:uid="{CDC1BAC5-857A-484A-BC4F-B5BC6B3C0995}"/>
    <cellStyle name="Comma 3 11" xfId="3976" xr:uid="{B595D408-67DB-4822-91D2-636CD8535D8B}"/>
    <cellStyle name="Comma 3 2" xfId="746" xr:uid="{F9B841FE-13CC-4AE1-8923-2123A720CE1A}"/>
    <cellStyle name="Comma 3 2 2" xfId="2016" xr:uid="{841B2EAD-E08A-48C0-9428-C31EE53B952C}"/>
    <cellStyle name="Comma 3 2 2 2" xfId="3779" xr:uid="{EDA93C4B-C53E-4905-8463-BC7BA5E7FD19}"/>
    <cellStyle name="Comma 3 2 2 3" xfId="4171" xr:uid="{20D766EB-B387-46A5-A4C5-CB8D04DB14E5}"/>
    <cellStyle name="Comma 3 2 3" xfId="3585" xr:uid="{B6970F3A-392F-40AF-B744-3858FCF24661}"/>
    <cellStyle name="Comma 3 2 4" xfId="3977" xr:uid="{D6D719E5-46DB-493B-9223-842FCD2928FA}"/>
    <cellStyle name="Comma 3 3" xfId="747" xr:uid="{7BAC6BC1-6896-4630-BB09-81F83A930120}"/>
    <cellStyle name="Comma 3 3 2" xfId="2017" xr:uid="{56C4E982-EE84-4D7B-90B7-5ED5BB615679}"/>
    <cellStyle name="Comma 3 3 2 2" xfId="3780" xr:uid="{ED0EECD5-DB6A-4926-9B73-0D2FB5EEFE9B}"/>
    <cellStyle name="Comma 3 3 2 3" xfId="4172" xr:uid="{62090858-8463-403F-8E25-4B7B2C3FC718}"/>
    <cellStyle name="Comma 3 3 3" xfId="3586" xr:uid="{A2030631-85F0-4857-94CF-0BB9BDA28234}"/>
    <cellStyle name="Comma 3 3 4" xfId="3978" xr:uid="{BAB172E2-938F-4916-92EC-F24FC828DCC5}"/>
    <cellStyle name="Comma 3 4" xfId="748" xr:uid="{CA4DD4A9-9F78-4D82-A599-D14165E0B6D4}"/>
    <cellStyle name="Comma 3 4 2" xfId="2018" xr:uid="{17646FA1-E96F-427F-9E89-D3D999E51473}"/>
    <cellStyle name="Comma 3 4 2 2" xfId="3781" xr:uid="{CE047F43-EFDF-4A10-B836-9169F39C31A0}"/>
    <cellStyle name="Comma 3 4 2 3" xfId="4173" xr:uid="{629B90D9-6316-4341-A8C4-2400D4B51E56}"/>
    <cellStyle name="Comma 3 4 3" xfId="3587" xr:uid="{C5CA4E08-B900-4EE0-8A58-1BAF73BBA4C0}"/>
    <cellStyle name="Comma 3 4 4" xfId="3979" xr:uid="{C0EB9000-D2A0-4DA2-A777-C5758297A9D0}"/>
    <cellStyle name="Comma 3 5" xfId="749" xr:uid="{B04A092A-9CF5-4D43-8469-815ADA96E996}"/>
    <cellStyle name="Comma 3 5 2" xfId="2019" xr:uid="{E59B16F5-A065-4E79-8D09-3C91533E4A22}"/>
    <cellStyle name="Comma 3 5 2 2" xfId="3782" xr:uid="{96B73CFE-062A-49F6-AC65-E88618116881}"/>
    <cellStyle name="Comma 3 5 2 3" xfId="4174" xr:uid="{D86F2290-802A-4831-82FB-66FE83CFF66D}"/>
    <cellStyle name="Comma 3 5 3" xfId="3588" xr:uid="{A745D4BA-9994-433C-8CA3-0A6917210DC8}"/>
    <cellStyle name="Comma 3 5 4" xfId="3980" xr:uid="{F80ABA52-6D9D-4519-97FF-AE2497C25136}"/>
    <cellStyle name="Comma 3 6" xfId="750" xr:uid="{E19E37B1-D716-4C4E-B96A-435982765316}"/>
    <cellStyle name="Comma 3 6 2" xfId="2020" xr:uid="{1129B6B1-E80B-40FE-A073-D83163FD5889}"/>
    <cellStyle name="Comma 3 6 2 2" xfId="3783" xr:uid="{9606B414-27FD-4F4B-9AF9-926DE77F5B34}"/>
    <cellStyle name="Comma 3 6 2 3" xfId="4175" xr:uid="{720404D7-EE9D-493B-84BE-96C20CD1F977}"/>
    <cellStyle name="Comma 3 6 3" xfId="3589" xr:uid="{8D25104C-2432-4086-A095-02347D0FAC41}"/>
    <cellStyle name="Comma 3 6 4" xfId="3981" xr:uid="{DAE02FC6-90BC-4F17-99F7-DED170820593}"/>
    <cellStyle name="Comma 3 7" xfId="751" xr:uid="{D9F9F578-647F-4331-8F0C-18CF01017F37}"/>
    <cellStyle name="Comma 3 7 2" xfId="2021" xr:uid="{91417573-7DCC-45AB-BA18-D57833757643}"/>
    <cellStyle name="Comma 3 7 2 2" xfId="3784" xr:uid="{F7BF394C-D160-4A0D-A79C-7B3C96E4F7AF}"/>
    <cellStyle name="Comma 3 7 2 3" xfId="4176" xr:uid="{29E09632-5EE1-4F5C-B84A-358E5B73FFE8}"/>
    <cellStyle name="Comma 3 7 3" xfId="3590" xr:uid="{0148CDF2-590B-4F7C-AA9C-FEE62152B900}"/>
    <cellStyle name="Comma 3 7 4" xfId="3982" xr:uid="{7C812D37-26E4-4E83-A8A4-0A3DC0A9713C}"/>
    <cellStyle name="Comma 3 8" xfId="752" xr:uid="{ACAE507C-17AE-4A7D-B506-321C25451AA7}"/>
    <cellStyle name="Comma 3 8 2" xfId="2022" xr:uid="{6757EA73-08E0-49A6-B24D-49F773B4EE53}"/>
    <cellStyle name="Comma 3 8 2 2" xfId="3785" xr:uid="{3E177E65-821D-4F91-942E-22F5C5CB5BE9}"/>
    <cellStyle name="Comma 3 8 2 3" xfId="4177" xr:uid="{0CE48253-4FD9-48F9-9C6E-F97536DABDD5}"/>
    <cellStyle name="Comma 3 8 3" xfId="3591" xr:uid="{D0C700B4-94F0-4A80-AF3E-1B8BCE07BE7B}"/>
    <cellStyle name="Comma 3 8 4" xfId="3983" xr:uid="{35E1AA23-6863-4BEB-995D-F4A4BEB38115}"/>
    <cellStyle name="Comma 3 9" xfId="2015" xr:uid="{EEB60F2F-A924-41E0-859F-6B78E8F0BCDD}"/>
    <cellStyle name="Comma 3 9 2" xfId="3778" xr:uid="{C58879C1-2D9D-46E1-8D97-B5F8224EB2B4}"/>
    <cellStyle name="Comma 3 9 3" xfId="4170" xr:uid="{6F181293-5865-4A8E-88FB-BE50857F2214}"/>
    <cellStyle name="Comma 4" xfId="753" xr:uid="{ED02EA65-A1DB-4A2C-8D16-8056253E9253}"/>
    <cellStyle name="Comma 4 10" xfId="3592" xr:uid="{9E1461E2-7BA3-4C53-8990-70B2B8B518BF}"/>
    <cellStyle name="Comma 4 11" xfId="3984" xr:uid="{B30D7BCC-C305-40D1-9613-EC8FFCB29E49}"/>
    <cellStyle name="Comma 4 2" xfId="754" xr:uid="{B53D2A39-00D8-4097-A95A-BFFEFD24CF53}"/>
    <cellStyle name="Comma 4 2 2" xfId="2024" xr:uid="{781BF04D-A6B6-4899-9418-722645273A8D}"/>
    <cellStyle name="Comma 4 2 2 2" xfId="3787" xr:uid="{36DA3A94-A973-42B0-9416-5353CBB98078}"/>
    <cellStyle name="Comma 4 2 2 3" xfId="4179" xr:uid="{643B3CE8-04E7-4376-BE47-010590BA5DAD}"/>
    <cellStyle name="Comma 4 2 3" xfId="3593" xr:uid="{DEAE4D79-6AAD-40CD-A9F9-57BF5058BA2C}"/>
    <cellStyle name="Comma 4 2 4" xfId="3985" xr:uid="{CC18CDF7-CD1C-45BF-9323-9B96225093A1}"/>
    <cellStyle name="Comma 4 3" xfId="755" xr:uid="{525015F0-94CC-4E52-8745-CF74B77C6194}"/>
    <cellStyle name="Comma 4 3 2" xfId="2025" xr:uid="{0C63415B-5494-4830-A3FA-F9C3109A893D}"/>
    <cellStyle name="Comma 4 3 2 2" xfId="3788" xr:uid="{86C295F8-41AE-4302-8F46-F8FEE003D111}"/>
    <cellStyle name="Comma 4 3 2 3" xfId="4180" xr:uid="{0956DD7C-1D3D-446E-A4B0-770EB6AD51C1}"/>
    <cellStyle name="Comma 4 3 3" xfId="3594" xr:uid="{19A066BD-600E-4CF9-9FB0-B319C8659B2C}"/>
    <cellStyle name="Comma 4 3 4" xfId="3986" xr:uid="{C740CABE-6EC4-420F-9859-C499C99AE5E1}"/>
    <cellStyle name="Comma 4 4" xfId="756" xr:uid="{6B494DBC-75AA-4721-97C4-2429A2086037}"/>
    <cellStyle name="Comma 4 4 2" xfId="2026" xr:uid="{7373D792-2114-453D-AC8D-63516B48C55C}"/>
    <cellStyle name="Comma 4 4 2 2" xfId="3789" xr:uid="{4079069D-2796-4F19-97C2-01F38CE0A8BC}"/>
    <cellStyle name="Comma 4 4 2 3" xfId="4181" xr:uid="{1FC2BEB3-3450-462F-82C3-17904F390B25}"/>
    <cellStyle name="Comma 4 4 3" xfId="3595" xr:uid="{368AD238-7261-46F0-B22B-1B5CBFB7EFF1}"/>
    <cellStyle name="Comma 4 4 4" xfId="3987" xr:uid="{8D3C516F-5236-4CF6-815F-615A257C7FF7}"/>
    <cellStyle name="Comma 4 5" xfId="757" xr:uid="{D7BEB9E7-76CF-47FB-BFA3-5C0793562787}"/>
    <cellStyle name="Comma 4 5 2" xfId="2027" xr:uid="{A91A266C-4DE9-4E2A-B267-D925F335791A}"/>
    <cellStyle name="Comma 4 5 2 2" xfId="3790" xr:uid="{9CA02CF7-4836-4DE1-963C-B44C1584E78B}"/>
    <cellStyle name="Comma 4 5 2 3" xfId="4182" xr:uid="{050B7E21-9C43-4E43-862D-A08FFFC258FC}"/>
    <cellStyle name="Comma 4 5 3" xfId="3596" xr:uid="{DA7984CD-E07E-4926-86F3-B4775BB414B8}"/>
    <cellStyle name="Comma 4 5 4" xfId="3988" xr:uid="{B7E319DC-0417-4794-9EBB-5A7177C64034}"/>
    <cellStyle name="Comma 4 6" xfId="758" xr:uid="{CFB9AFA9-1788-46D2-B3F6-8536022476DF}"/>
    <cellStyle name="Comma 4 6 2" xfId="2028" xr:uid="{EBD2CECA-4D15-43D8-AED7-5D616ADE5BDE}"/>
    <cellStyle name="Comma 4 6 2 2" xfId="3791" xr:uid="{FFB83F46-54F4-4A53-BFBE-88666EF272D4}"/>
    <cellStyle name="Comma 4 6 2 3" xfId="4183" xr:uid="{090CAE74-3C4A-42F1-85A0-FA64E6DFBB2F}"/>
    <cellStyle name="Comma 4 6 3" xfId="3597" xr:uid="{9CBA0821-AB3C-4B58-A757-E8215883F336}"/>
    <cellStyle name="Comma 4 6 4" xfId="3989" xr:uid="{AF573DE0-9925-42AB-9DDC-B837D46B3983}"/>
    <cellStyle name="Comma 4 7" xfId="759" xr:uid="{5EB7FAB2-8CEF-476E-9BE7-898FA2FE14D7}"/>
    <cellStyle name="Comma 4 7 2" xfId="2029" xr:uid="{56A1F4C2-4248-4013-909B-2B49AED97A43}"/>
    <cellStyle name="Comma 4 7 2 2" xfId="3792" xr:uid="{2C84E57D-E4C5-4D00-B770-9A51ACA6BFEC}"/>
    <cellStyle name="Comma 4 7 2 3" xfId="4184" xr:uid="{26F6C4FE-0E1D-440A-87E4-C016922886EF}"/>
    <cellStyle name="Comma 4 7 3" xfId="3598" xr:uid="{9486497E-8C32-408D-889B-F648E5198AE9}"/>
    <cellStyle name="Comma 4 7 4" xfId="3990" xr:uid="{E90F3F55-8DEF-4023-AD17-14C5FA95E4B7}"/>
    <cellStyle name="Comma 4 8" xfId="760" xr:uid="{09466A16-797C-445E-BF93-C9928FD05C1D}"/>
    <cellStyle name="Comma 4 8 2" xfId="2030" xr:uid="{4863EC28-A59B-4D1E-A354-5BB881BDAF8B}"/>
    <cellStyle name="Comma 4 8 2 2" xfId="3793" xr:uid="{356995B6-3B6A-4252-B7DD-205793026355}"/>
    <cellStyle name="Comma 4 8 2 3" xfId="4185" xr:uid="{ECC82B7A-4CEF-4693-98EA-E7C71563C24D}"/>
    <cellStyle name="Comma 4 8 3" xfId="3599" xr:uid="{91DFA2A8-BD6C-476A-AADF-6D73C0FBCA7E}"/>
    <cellStyle name="Comma 4 8 4" xfId="3991" xr:uid="{D104E34B-CE75-4AA7-B12B-ED3D27E19140}"/>
    <cellStyle name="Comma 4 9" xfId="2023" xr:uid="{E1ADD37E-A7CE-4952-8635-9CC2EA69C76D}"/>
    <cellStyle name="Comma 4 9 2" xfId="3786" xr:uid="{71FD29B8-3160-4790-A2E8-FF3C1B589B53}"/>
    <cellStyle name="Comma 4 9 3" xfId="4178" xr:uid="{F2E94B3D-F6A6-468E-84FD-84556F4C9C77}"/>
    <cellStyle name="Comma 5" xfId="761" xr:uid="{F4C021DF-44BA-4C5D-AA55-B2400AC4A36B}"/>
    <cellStyle name="Comma 5 10" xfId="3600" xr:uid="{C268E67B-EBFC-42E0-ABAA-4F81F4A5F0F0}"/>
    <cellStyle name="Comma 5 11" xfId="3992" xr:uid="{79B871AC-2105-4718-AAA6-63BEAA58BAFC}"/>
    <cellStyle name="Comma 5 2" xfId="762" xr:uid="{4AC9B9CB-BA0E-4759-AC58-A9E74F35275E}"/>
    <cellStyle name="Comma 5 2 2" xfId="2032" xr:uid="{3EBEA434-7C16-426C-8FE6-A85254E83696}"/>
    <cellStyle name="Comma 5 2 2 2" xfId="3795" xr:uid="{3CE834EE-C629-4771-879D-E8D16925AC09}"/>
    <cellStyle name="Comma 5 2 2 3" xfId="4187" xr:uid="{0701E9AF-8D7C-4E18-8503-16DBD5E67C07}"/>
    <cellStyle name="Comma 5 2 3" xfId="3601" xr:uid="{DBFC5F7B-1045-43E8-B9F4-88FA56D08F76}"/>
    <cellStyle name="Comma 5 2 4" xfId="3993" xr:uid="{1740988C-9D55-40F9-BC42-9665FBF1F3DB}"/>
    <cellStyle name="Comma 5 3" xfId="763" xr:uid="{2704480F-3E4A-4E00-B30C-1B3A6FD0FE7C}"/>
    <cellStyle name="Comma 5 3 2" xfId="2033" xr:uid="{931F64BA-AF9B-4E1D-AFF2-940143AA2E66}"/>
    <cellStyle name="Comma 5 3 2 2" xfId="3796" xr:uid="{2C88A676-F9AA-4870-B563-B928C23AB377}"/>
    <cellStyle name="Comma 5 3 2 3" xfId="4188" xr:uid="{69FE359C-9AC4-4C6D-BD39-1200879B2D97}"/>
    <cellStyle name="Comma 5 3 3" xfId="3602" xr:uid="{3725D7BE-69D7-453C-BDE8-61DAB864B382}"/>
    <cellStyle name="Comma 5 3 4" xfId="3994" xr:uid="{8ED338EE-71D5-4BDF-9CC2-A74081E6B826}"/>
    <cellStyle name="Comma 5 4" xfId="764" xr:uid="{24B110E4-8250-4C44-99D3-615DAB6DA2E7}"/>
    <cellStyle name="Comma 5 4 2" xfId="2034" xr:uid="{8B65C37D-B4BE-423F-857C-13E28A4B95A8}"/>
    <cellStyle name="Comma 5 4 2 2" xfId="3797" xr:uid="{C7B9860A-7359-4774-8DF4-73E9AC5A44ED}"/>
    <cellStyle name="Comma 5 4 2 3" xfId="4189" xr:uid="{66585156-120A-4B59-BA6D-FE6069847FAD}"/>
    <cellStyle name="Comma 5 4 3" xfId="3603" xr:uid="{D0884F51-E480-4A1F-9511-97393E5E6735}"/>
    <cellStyle name="Comma 5 4 4" xfId="3995" xr:uid="{B2454DC4-5BF3-4778-8C5F-EB4195B736B9}"/>
    <cellStyle name="Comma 5 5" xfId="765" xr:uid="{50E82112-D618-407A-9F20-07CA06ED1E1B}"/>
    <cellStyle name="Comma 5 5 2" xfId="2035" xr:uid="{E8225CA9-71F3-4FA6-BAD1-9264B7F861EF}"/>
    <cellStyle name="Comma 5 5 2 2" xfId="3798" xr:uid="{C01FFE7C-B81F-4B3F-A9E1-214DC489C1E4}"/>
    <cellStyle name="Comma 5 5 2 3" xfId="4190" xr:uid="{ADD91AA1-5A2A-4DE9-8664-678D578A1429}"/>
    <cellStyle name="Comma 5 5 3" xfId="3604" xr:uid="{78073D29-9073-480C-AA65-96AF0A714154}"/>
    <cellStyle name="Comma 5 5 4" xfId="3996" xr:uid="{64E04845-FD97-40D5-8227-473FB8D51E35}"/>
    <cellStyle name="Comma 5 6" xfId="766" xr:uid="{01F17B09-306E-455A-86AD-A25A2F644766}"/>
    <cellStyle name="Comma 5 6 2" xfId="2036" xr:uid="{BAF79687-7A6F-4C0A-A875-3CA6152873AE}"/>
    <cellStyle name="Comma 5 6 2 2" xfId="3799" xr:uid="{1EBACEE0-820A-4977-8E80-0D209F06C7D5}"/>
    <cellStyle name="Comma 5 6 2 3" xfId="4191" xr:uid="{3F7C3B53-C859-4B0A-A85F-754E104190A3}"/>
    <cellStyle name="Comma 5 6 3" xfId="3605" xr:uid="{3231DF0C-3BD6-48B1-B065-CD232E05697E}"/>
    <cellStyle name="Comma 5 6 4" xfId="3997" xr:uid="{1EE6B618-63CE-45AD-B9C1-86863C494FA9}"/>
    <cellStyle name="Comma 5 7" xfId="767" xr:uid="{002E52C1-DAF2-4830-9B5B-71C7580ACAF4}"/>
    <cellStyle name="Comma 5 7 2" xfId="2037" xr:uid="{F2FFE45F-5FAE-4832-A410-FF610AFBAFCF}"/>
    <cellStyle name="Comma 5 7 2 2" xfId="3800" xr:uid="{C1DF4B23-5830-44ED-B81A-C37647B846B8}"/>
    <cellStyle name="Comma 5 7 2 3" xfId="4192" xr:uid="{7D6C6EB0-9E3E-4ADA-B1E7-4FA9185D9987}"/>
    <cellStyle name="Comma 5 7 3" xfId="3606" xr:uid="{C1959064-CD36-4808-B1A5-CB3CA7DB62B8}"/>
    <cellStyle name="Comma 5 7 4" xfId="3998" xr:uid="{DA2DD758-66E7-494E-87EE-B99B23ECF10D}"/>
    <cellStyle name="Comma 5 8" xfId="768" xr:uid="{AE2C7B17-60DD-481E-87BD-30EFDDB294E7}"/>
    <cellStyle name="Comma 5 8 2" xfId="2038" xr:uid="{C1A529E7-ED36-4AB6-908C-8E79D3F1868A}"/>
    <cellStyle name="Comma 5 8 2 2" xfId="3801" xr:uid="{766F6B48-F9E9-4766-B9DD-BECBD61CD1DA}"/>
    <cellStyle name="Comma 5 8 2 3" xfId="4193" xr:uid="{B9542C8B-9A4F-4195-AFCE-33B9BB9B3424}"/>
    <cellStyle name="Comma 5 8 3" xfId="3607" xr:uid="{C7D7C8FA-F178-411B-8FFC-1DDF9A0FEE54}"/>
    <cellStyle name="Comma 5 8 4" xfId="3999" xr:uid="{691E2F01-F86E-4A93-98F4-D7428F3C1265}"/>
    <cellStyle name="Comma 5 9" xfId="2031" xr:uid="{579A4865-94C5-482A-860B-3C79A8189531}"/>
    <cellStyle name="Comma 5 9 2" xfId="3794" xr:uid="{B139917F-D9AA-4A88-95DE-7D57F3D8D742}"/>
    <cellStyle name="Comma 5 9 3" xfId="4186" xr:uid="{96D6835A-E49C-46FB-97FA-37D052606FFF}"/>
    <cellStyle name="Comma 6" xfId="769" xr:uid="{F9A3C4BE-C006-4DB5-8273-1265F192CFA1}"/>
    <cellStyle name="Comma 6 10" xfId="3608" xr:uid="{3F231625-73EB-42D3-B14E-287DD1394828}"/>
    <cellStyle name="Comma 6 11" xfId="4000" xr:uid="{D9963F95-7493-46BA-89D5-8937B2333501}"/>
    <cellStyle name="Comma 6 2" xfId="770" xr:uid="{E826AF01-E957-4BB5-B896-08D9A3976DBA}"/>
    <cellStyle name="Comma 6 2 2" xfId="2040" xr:uid="{450DBA26-2FEE-4C47-BC9B-8A22E454CB70}"/>
    <cellStyle name="Comma 6 2 2 2" xfId="3803" xr:uid="{A2FE6AD5-4CDE-4CBC-B831-6E62E51DF70E}"/>
    <cellStyle name="Comma 6 2 2 3" xfId="4195" xr:uid="{62A66F46-98F4-4546-ABC1-29B7D1FDEFF9}"/>
    <cellStyle name="Comma 6 2 3" xfId="3609" xr:uid="{D4AEF049-1392-4CBC-9531-EBB76AFB1688}"/>
    <cellStyle name="Comma 6 2 4" xfId="4001" xr:uid="{D8C611E8-7570-4E2B-BC53-F2496B71654F}"/>
    <cellStyle name="Comma 6 3" xfId="771" xr:uid="{370245D7-A5FC-429F-A200-A644EF2308A0}"/>
    <cellStyle name="Comma 6 3 2" xfId="2041" xr:uid="{786CAB06-E66E-4B92-9C70-5E326B156E0E}"/>
    <cellStyle name="Comma 6 3 2 2" xfId="3804" xr:uid="{6FD075F2-4065-4BB7-8319-AA62F32D70B0}"/>
    <cellStyle name="Comma 6 3 2 3" xfId="4196" xr:uid="{4829CD85-39E9-4299-A51C-BC20AAED79D7}"/>
    <cellStyle name="Comma 6 3 3" xfId="3610" xr:uid="{AA7127D7-75B6-4958-B80A-C4A5A85B0D26}"/>
    <cellStyle name="Comma 6 3 4" xfId="4002" xr:uid="{F94F4459-8BF2-4C8D-8AC5-2A61FF887288}"/>
    <cellStyle name="Comma 6 4" xfId="772" xr:uid="{0A1E9B4A-BDE4-4299-9E23-C21B31C3F0F6}"/>
    <cellStyle name="Comma 6 4 2" xfId="2042" xr:uid="{633299F3-53E3-4DBF-89BA-C3B13FCA8B77}"/>
    <cellStyle name="Comma 6 4 2 2" xfId="3805" xr:uid="{7D6F47B9-0947-467D-B6BC-C6FE45207F54}"/>
    <cellStyle name="Comma 6 4 2 3" xfId="4197" xr:uid="{C18D5452-28F9-4F96-9952-5706746D7889}"/>
    <cellStyle name="Comma 6 4 3" xfId="3611" xr:uid="{0BD3BE86-E73C-47E5-A215-38FBC2EB5595}"/>
    <cellStyle name="Comma 6 4 4" xfId="4003" xr:uid="{557396B6-E1B1-48FC-9D62-D2A62E62E82A}"/>
    <cellStyle name="Comma 6 5" xfId="773" xr:uid="{AEA754B3-053E-4E01-B8CF-A4B3105F126B}"/>
    <cellStyle name="Comma 6 5 2" xfId="2043" xr:uid="{4D252D04-1604-4D77-B517-8CDD64FD8280}"/>
    <cellStyle name="Comma 6 5 2 2" xfId="3806" xr:uid="{7C85C689-B7B3-42D9-B6AD-CD61C2080313}"/>
    <cellStyle name="Comma 6 5 2 3" xfId="4198" xr:uid="{6A81AFA8-BE54-4F14-BEC8-6600EA488DA6}"/>
    <cellStyle name="Comma 6 5 3" xfId="3612" xr:uid="{FCBCF98B-322B-4828-9514-8E920C30C8C6}"/>
    <cellStyle name="Comma 6 5 4" xfId="4004" xr:uid="{472745B7-E03C-4FB6-B7F6-0CD207F6FC08}"/>
    <cellStyle name="Comma 6 6" xfId="774" xr:uid="{01E14320-1B63-400F-BE3E-211CAFDADDDD}"/>
    <cellStyle name="Comma 6 6 2" xfId="2044" xr:uid="{DE2E73E6-0AB5-48FC-9C3D-949ED249E6FE}"/>
    <cellStyle name="Comma 6 6 2 2" xfId="3807" xr:uid="{55634F05-44A7-4828-8FB5-E15E1D79C0AA}"/>
    <cellStyle name="Comma 6 6 2 3" xfId="4199" xr:uid="{B971D976-056F-494C-932A-F393F91E95CD}"/>
    <cellStyle name="Comma 6 6 3" xfId="3613" xr:uid="{246D7D8B-F89A-47EB-9586-F11DA458758D}"/>
    <cellStyle name="Comma 6 6 4" xfId="4005" xr:uid="{3734E4D9-FC69-4E4D-B50D-76C093123D71}"/>
    <cellStyle name="Comma 6 7" xfId="775" xr:uid="{1D645A0A-6100-4B17-B0F0-963AFB603C7D}"/>
    <cellStyle name="Comma 6 7 2" xfId="2045" xr:uid="{6FE609A4-1F9F-4CE3-8B26-0356102432D3}"/>
    <cellStyle name="Comma 6 7 2 2" xfId="3808" xr:uid="{7C1BC7F7-F018-4ABC-AC51-5B9183F47CE6}"/>
    <cellStyle name="Comma 6 7 2 3" xfId="4200" xr:uid="{1026BBC2-BBE1-4D9C-BD19-7E50B490723A}"/>
    <cellStyle name="Comma 6 7 3" xfId="3614" xr:uid="{EBD9465B-A183-4C33-9599-6BBF8864EEE5}"/>
    <cellStyle name="Comma 6 7 4" xfId="4006" xr:uid="{6D81A8DB-C5E5-49D2-89B6-F23BF8A18FE5}"/>
    <cellStyle name="Comma 6 8" xfId="776" xr:uid="{3B30B8AD-BC06-4F8B-85D7-9B298A6372A8}"/>
    <cellStyle name="Comma 6 8 2" xfId="2046" xr:uid="{A0563199-AC93-4903-9DD7-90FD5FD822DA}"/>
    <cellStyle name="Comma 6 8 2 2" xfId="3809" xr:uid="{A30D1DFC-068E-47F9-9F5C-A7D554368AAF}"/>
    <cellStyle name="Comma 6 8 2 3" xfId="4201" xr:uid="{7A658FF0-9D94-4BA7-82A8-82B8C73ED57E}"/>
    <cellStyle name="Comma 6 8 3" xfId="3615" xr:uid="{4CB09B29-F3A8-4EE4-BB05-2FB9B89B3AF0}"/>
    <cellStyle name="Comma 6 8 4" xfId="4007" xr:uid="{5B0C66DA-78CC-4305-9D75-7FB0139611BE}"/>
    <cellStyle name="Comma 6 9" xfId="2039" xr:uid="{45437B8D-3BCA-4653-8EB5-7E1CA2C90CB6}"/>
    <cellStyle name="Comma 6 9 2" xfId="3802" xr:uid="{C0A41243-CB95-4A7F-ADA8-B348AEEA9CB9}"/>
    <cellStyle name="Comma 6 9 3" xfId="4194" xr:uid="{BB32834D-B829-451D-AB9C-6E8893F98E72}"/>
    <cellStyle name="Comma 7" xfId="777" xr:uid="{D2AFEDE6-D9CA-43CC-828B-EAEB0486D749}"/>
    <cellStyle name="Comma 7 10" xfId="778" xr:uid="{F286CF32-1C29-4638-A204-879CC0FC4A09}"/>
    <cellStyle name="Comma 7 10 2" xfId="2047" xr:uid="{5C47784E-006C-4DF6-B67C-11D83AA4367F}"/>
    <cellStyle name="Comma 7 10 2 2" xfId="3810" xr:uid="{1E10C0E1-A2A3-40AC-8BC1-59ED468C4ED3}"/>
    <cellStyle name="Comma 7 10 2 3" xfId="4202" xr:uid="{16CF8000-315B-435A-AD7E-852322814B2E}"/>
    <cellStyle name="Comma 7 10 3" xfId="3616" xr:uid="{19B571DC-FD30-4F37-B423-759CD5C0862B}"/>
    <cellStyle name="Comma 7 10 4" xfId="4008" xr:uid="{8C1CAF56-FBE2-4F2E-9436-F7802DA2C9F7}"/>
    <cellStyle name="Comma 7 11" xfId="779" xr:uid="{452F9D84-B9D2-4F51-A183-8F381C9947AA}"/>
    <cellStyle name="Comma 7 11 2" xfId="2048" xr:uid="{83BB2F90-BAE6-4E19-AF03-3A39C9A862EC}"/>
    <cellStyle name="Comma 7 11 2 2" xfId="3055" xr:uid="{564C48AF-2284-43B7-9C57-139BAFBBCD74}"/>
    <cellStyle name="Comma 7 11 2 3" xfId="3281" xr:uid="{E9940CAE-7025-4687-A04F-6FC2489AB2D8}"/>
    <cellStyle name="Comma 7 12" xfId="780" xr:uid="{0575A0E3-F11C-4255-8EEF-ECD4607B240F}"/>
    <cellStyle name="Comma 7 12 2" xfId="2049" xr:uid="{1547A1CA-2F4A-40F4-8164-CA5839455DA9}"/>
    <cellStyle name="Comma 7 12 2 2" xfId="3811" xr:uid="{14EE0116-E4E4-43B2-A37A-969F2CC7DD59}"/>
    <cellStyle name="Comma 7 12 2 3" xfId="4203" xr:uid="{F9F99413-7C58-4D09-A2C7-0A7D08E5165E}"/>
    <cellStyle name="Comma 7 12 3" xfId="3617" xr:uid="{9BF61A40-B4E0-4C0A-BE8B-7E7158A14877}"/>
    <cellStyle name="Comma 7 12 4" xfId="4009" xr:uid="{4656E4BD-5164-4737-A894-9CE15F8E6A62}"/>
    <cellStyle name="Comma 7 13" xfId="781" xr:uid="{D1A358AE-86A8-4B2E-9682-E98665840F0E}"/>
    <cellStyle name="Comma 7 13 2" xfId="2050" xr:uid="{0E9D9447-C607-4E98-A3D3-992595AF24AC}"/>
    <cellStyle name="Comma 7 13 2 2" xfId="3812" xr:uid="{E9B0C17C-8B2B-4251-9950-9E046D29D953}"/>
    <cellStyle name="Comma 7 13 2 3" xfId="4204" xr:uid="{8D7B74E4-DBBA-4A3B-B100-ADD491FAB3D1}"/>
    <cellStyle name="Comma 7 13 3" xfId="3618" xr:uid="{14764828-BE6C-414C-922C-0B6DA2B76500}"/>
    <cellStyle name="Comma 7 13 4" xfId="4010" xr:uid="{111408C5-1F0E-4167-86EF-38DCA3BAA3CB}"/>
    <cellStyle name="Comma 7 14" xfId="782" xr:uid="{F4DC0BED-6A4C-46A5-9514-02A4A738C57D}"/>
    <cellStyle name="Comma 7 14 2" xfId="2051" xr:uid="{770B71C3-E17B-42DB-B617-A8902411D232}"/>
    <cellStyle name="Comma 7 14 2 2" xfId="3813" xr:uid="{157247CB-49F0-4E1B-ADF5-1938A121DE5D}"/>
    <cellStyle name="Comma 7 14 2 3" xfId="4205" xr:uid="{A45E0DF5-DBBD-4716-84FE-D2B8E76EEAD5}"/>
    <cellStyle name="Comma 7 14 3" xfId="3619" xr:uid="{FD4A6A9F-8736-4C48-806B-6C0ABF679509}"/>
    <cellStyle name="Comma 7 14 4" xfId="4011" xr:uid="{67FFA225-3834-497F-9DB8-7AD50A1A69C8}"/>
    <cellStyle name="Comma 7 15" xfId="783" xr:uid="{40080DCA-B68B-4009-8773-58930F88387D}"/>
    <cellStyle name="Comma 7 15 2" xfId="2052" xr:uid="{04A24391-327D-4598-9D25-D26261624213}"/>
    <cellStyle name="Comma 7 15 2 2" xfId="3814" xr:uid="{F936C56E-8F4F-42C8-A891-74E54F78461C}"/>
    <cellStyle name="Comma 7 15 2 3" xfId="4206" xr:uid="{6BDA4160-4AC1-461C-A0C5-C78936102DF2}"/>
    <cellStyle name="Comma 7 15 3" xfId="3620" xr:uid="{C30675E0-103B-4A34-A9D0-027AF5B27DFD}"/>
    <cellStyle name="Comma 7 15 4" xfId="4012" xr:uid="{855121C9-EE10-4841-A7AF-D2A60EB8FCBD}"/>
    <cellStyle name="Comma 7 16" xfId="784" xr:uid="{70EE0390-50C8-490D-AB50-54E541F6103F}"/>
    <cellStyle name="Comma 7 16 2" xfId="2053" xr:uid="{7D3CCE51-9010-4140-A229-25B39294394C}"/>
    <cellStyle name="Comma 7 16 2 2" xfId="3056" xr:uid="{F0B93A77-A2A0-4BDC-88CB-2F7634FDEB29}"/>
    <cellStyle name="Comma 7 16 2 3" xfId="3282" xr:uid="{E6836177-C3AB-43EC-9158-7BB271FF2091}"/>
    <cellStyle name="Comma 7 17" xfId="785" xr:uid="{9EB19DD0-305E-4FE2-BD4A-F9432CC45009}"/>
    <cellStyle name="Comma 7 17 2" xfId="2054" xr:uid="{094AE985-C013-4348-9AF7-196B716D43B7}"/>
    <cellStyle name="Comma 7 17 2 2" xfId="3057" xr:uid="{AB0F65EF-E434-4D85-A835-81255314BF2F}"/>
    <cellStyle name="Comma 7 17 2 3" xfId="3283" xr:uid="{5A624172-3E41-47DC-9934-33BD54862674}"/>
    <cellStyle name="Comma 7 18" xfId="786" xr:uid="{36FC3F97-E592-4FDE-9988-A446C5AE8509}"/>
    <cellStyle name="Comma 7 18 2" xfId="2055" xr:uid="{DAE61038-B077-4ECB-A066-AAF9CAC2EB09}"/>
    <cellStyle name="Comma 7 18 2 2" xfId="3058" xr:uid="{D3BDD9CE-519E-4569-8441-F2B21B66A484}"/>
    <cellStyle name="Comma 7 18 2 3" xfId="3284" xr:uid="{210EE30F-1DA0-41DB-8A4C-603389FF4465}"/>
    <cellStyle name="Comma 7 19" xfId="787" xr:uid="{1500D65A-3420-4B37-8B81-B228EAF698CB}"/>
    <cellStyle name="Comma 7 19 2" xfId="2056" xr:uid="{52CB5C54-39E8-4B17-BC8D-C84F5B794ED5}"/>
    <cellStyle name="Comma 7 19 2 2" xfId="3059" xr:uid="{297C33D4-083D-44EC-AFE3-CC66920B7EA6}"/>
    <cellStyle name="Comma 7 19 2 3" xfId="3285" xr:uid="{5E87C0DD-9671-4D2E-B106-7E8AE4F686D1}"/>
    <cellStyle name="Comma 7 2" xfId="788" xr:uid="{7716DA92-9116-4A15-A1DA-EB530C09276A}"/>
    <cellStyle name="Comma 7 2 2" xfId="2057" xr:uid="{5FCB31C3-A61F-46EA-AC7F-942ACADC6A7A}"/>
    <cellStyle name="Comma 7 2 2 2" xfId="3815" xr:uid="{9ADBF073-6C28-4DF6-84FD-D3C69EAB6480}"/>
    <cellStyle name="Comma 7 2 2 3" xfId="4207" xr:uid="{EBABFCA3-5877-433C-8DDC-8D8CCEC8D55B}"/>
    <cellStyle name="Comma 7 2 3" xfId="3621" xr:uid="{FC3CA367-053D-44E1-8D57-CFF99D9A58F5}"/>
    <cellStyle name="Comma 7 2 4" xfId="4013" xr:uid="{69BC62F8-C854-43A7-81A4-6C4DF066A232}"/>
    <cellStyle name="Comma 7 20" xfId="789" xr:uid="{38C8CC37-006D-4F5D-BC64-E77376E16170}"/>
    <cellStyle name="Comma 7 20 2" xfId="2058" xr:uid="{5D2E4C97-4302-465A-9CE1-E24F1D2EF586}"/>
    <cellStyle name="Comma 7 20 2 2" xfId="3060" xr:uid="{2FF7118F-DBE7-40DD-9F27-CBFD4AFD255B}"/>
    <cellStyle name="Comma 7 20 2 3" xfId="3286" xr:uid="{62C32AD7-68B7-4484-B011-7EC082C9C3F6}"/>
    <cellStyle name="Comma 7 21" xfId="790" xr:uid="{D1C877F1-149C-4D2F-9B33-403B36BFB201}"/>
    <cellStyle name="Comma 7 21 2" xfId="2059" xr:uid="{88BC8D05-4A29-4B74-9250-FE0C3E06F316}"/>
    <cellStyle name="Comma 7 21 2 2" xfId="3061" xr:uid="{49CBCDFB-4DA3-409B-8C0C-D3D32FAAD974}"/>
    <cellStyle name="Comma 7 21 2 3" xfId="3287" xr:uid="{C4A04481-AE9C-4FCE-BDC8-6C8C68C6999A}"/>
    <cellStyle name="Comma 7 3" xfId="791" xr:uid="{96502E67-F3D1-4D70-A64F-E277D0E86EC0}"/>
    <cellStyle name="Comma 7 3 10" xfId="792" xr:uid="{70FDCF1D-4C9C-455B-960E-AD3B6329B071}"/>
    <cellStyle name="Comma 7 3 10 2" xfId="2061" xr:uid="{B9BD1863-B59E-455A-9940-44C6D181E2B5}"/>
    <cellStyle name="Comma 7 3 10 2 2" xfId="3816" xr:uid="{A96052F7-148D-4A16-8007-53C20104C11E}"/>
    <cellStyle name="Comma 7 3 10 2 3" xfId="4208" xr:uid="{D8410D5A-D577-4797-A3C9-A20E231E06FF}"/>
    <cellStyle name="Comma 7 3 10 3" xfId="3622" xr:uid="{38A54C12-1283-45B5-829D-407F10ABB5B7}"/>
    <cellStyle name="Comma 7 3 10 4" xfId="4014" xr:uid="{78DBC201-BBAA-4B66-8A44-2DDD66B7365C}"/>
    <cellStyle name="Comma 7 3 11" xfId="793" xr:uid="{0628C58C-8594-40FF-8A3C-7230F83219BC}"/>
    <cellStyle name="Comma 7 3 11 2" xfId="2062" xr:uid="{86FB5E6F-51C8-4CA4-B485-921E137EE5DA}"/>
    <cellStyle name="Comma 7 3 11 2 2" xfId="3817" xr:uid="{3DC4737B-B078-4507-A081-3F126B194A40}"/>
    <cellStyle name="Comma 7 3 11 2 3" xfId="4209" xr:uid="{00C8C4FE-D439-4A65-B550-19BEE8E943A2}"/>
    <cellStyle name="Comma 7 3 11 3" xfId="3623" xr:uid="{714DEBA0-682F-4D10-8319-68F18236F560}"/>
    <cellStyle name="Comma 7 3 11 4" xfId="4015" xr:uid="{75FB2FC6-DE78-4B76-BFC4-D52950404AD1}"/>
    <cellStyle name="Comma 7 3 12" xfId="794" xr:uid="{2C94D9F9-8FF1-49C5-8FB2-E0B16197C6A3}"/>
    <cellStyle name="Comma 7 3 12 2" xfId="2063" xr:uid="{19E89A79-457E-43F3-A82E-1A06D9A2B5D1}"/>
    <cellStyle name="Comma 7 3 12 2 2" xfId="3818" xr:uid="{874920FB-3474-4DD4-AA0E-AC963A180A19}"/>
    <cellStyle name="Comma 7 3 12 2 3" xfId="4210" xr:uid="{B6BF7F26-B24D-48E9-A03F-95F9BD80F1E8}"/>
    <cellStyle name="Comma 7 3 12 3" xfId="3624" xr:uid="{F969C0ED-7E8E-4084-A9EF-589360DAFD0F}"/>
    <cellStyle name="Comma 7 3 12 4" xfId="4016" xr:uid="{86E7988F-4496-4D1E-A153-CC5718712654}"/>
    <cellStyle name="Comma 7 3 13" xfId="795" xr:uid="{6E794D01-9DF4-4199-A654-A45B0166036B}"/>
    <cellStyle name="Comma 7 3 13 2" xfId="2064" xr:uid="{388E76F2-AEB6-42E7-92CC-1AEC5C4277A5}"/>
    <cellStyle name="Comma 7 3 13 2 2" xfId="3819" xr:uid="{A5BC2BDF-44AE-4F2E-B45A-7E7BA6549447}"/>
    <cellStyle name="Comma 7 3 13 2 3" xfId="4211" xr:uid="{185E40EB-86B4-4120-A089-8724DFC4280E}"/>
    <cellStyle name="Comma 7 3 13 3" xfId="3625" xr:uid="{E337559C-A351-4C18-B639-B29E756EAE16}"/>
    <cellStyle name="Comma 7 3 13 4" xfId="4017" xr:uid="{F84F1ED6-1521-4257-8CAB-045BFAE0AE2D}"/>
    <cellStyle name="Comma 7 3 14" xfId="796" xr:uid="{AECDC968-41DE-4224-BB02-0F78638023E3}"/>
    <cellStyle name="Comma 7 3 14 2" xfId="2065" xr:uid="{ABDD7BFA-C89D-4A0F-9DFC-F79F5F932C43}"/>
    <cellStyle name="Comma 7 3 14 2 2" xfId="3820" xr:uid="{A05ACD82-35C6-4065-9998-D534BBB7C27B}"/>
    <cellStyle name="Comma 7 3 14 2 3" xfId="4212" xr:uid="{9F2F4FF1-960E-4B12-89CB-76496440B1AB}"/>
    <cellStyle name="Comma 7 3 14 3" xfId="3626" xr:uid="{74DE01C5-1792-42D6-A7A9-BCF2C7250654}"/>
    <cellStyle name="Comma 7 3 14 4" xfId="4018" xr:uid="{0949AA3E-511F-4D0F-B9DD-9BB58F10A5BC}"/>
    <cellStyle name="Comma 7 3 15" xfId="797" xr:uid="{637A3B97-682D-466F-9F44-D27FED143175}"/>
    <cellStyle name="Comma 7 3 15 2" xfId="2066" xr:uid="{813FD74F-A996-413A-8A68-077E0CCDBB6B}"/>
    <cellStyle name="Comma 7 3 15 2 2" xfId="3821" xr:uid="{3097F39B-2392-439F-AE7D-476E6696B3A7}"/>
    <cellStyle name="Comma 7 3 15 2 3" xfId="4213" xr:uid="{2063846A-15D6-4180-8B85-3DE6A9A18366}"/>
    <cellStyle name="Comma 7 3 15 3" xfId="3627" xr:uid="{2A7A48B3-6AE6-40BC-8076-76E8AE47B33B}"/>
    <cellStyle name="Comma 7 3 15 4" xfId="4019" xr:uid="{4BF2C129-F515-4C36-9188-56C91E683B66}"/>
    <cellStyle name="Comma 7 3 16" xfId="2060" xr:uid="{BB05F034-2493-4BCF-B5B6-7FFE2D452485}"/>
    <cellStyle name="Comma 7 3 16 2" xfId="3062" xr:uid="{EDB57519-CDC1-4CF1-AD03-CB7310CC12BA}"/>
    <cellStyle name="Comma 7 3 16 3" xfId="3288" xr:uid="{02BD42D1-552A-45A5-BEBE-9F22C9DC16B5}"/>
    <cellStyle name="Comma 7 3 2" xfId="798" xr:uid="{EEA7F97B-F4BC-4630-BDEB-25FB0A2F34E5}"/>
    <cellStyle name="Comma 7 3 2 2" xfId="2067" xr:uid="{68C40D38-D2C9-43BE-9D60-A0128319CB77}"/>
    <cellStyle name="Comma 7 3 2 2 2" xfId="3822" xr:uid="{4358E0F0-E7E0-4F1A-BB08-8E4B30CF2D0E}"/>
    <cellStyle name="Comma 7 3 2 2 3" xfId="4214" xr:uid="{27AA8FF1-974D-412E-AA62-7906CF00001B}"/>
    <cellStyle name="Comma 7 3 2 3" xfId="3628" xr:uid="{12F54E85-EEE9-41D6-A1E2-446FD58CFE07}"/>
    <cellStyle name="Comma 7 3 2 4" xfId="4020" xr:uid="{A36B6291-E7BF-4D22-98CE-EA3FE35526F7}"/>
    <cellStyle name="Comma 7 3 3" xfId="799" xr:uid="{5B64E9FD-8964-4943-918F-6E31207443D3}"/>
    <cellStyle name="Comma 7 3 3 2" xfId="2068" xr:uid="{16012AD4-49AA-499E-9B6E-26D3BBCB5552}"/>
    <cellStyle name="Comma 7 3 3 2 2" xfId="3823" xr:uid="{D493D06F-6860-4647-9E4F-37808846235D}"/>
    <cellStyle name="Comma 7 3 3 2 3" xfId="4215" xr:uid="{BBC8E140-8B8F-44B0-A604-0D99331C0EEA}"/>
    <cellStyle name="Comma 7 3 3 3" xfId="3629" xr:uid="{C05D3F06-A60A-4D96-97F8-4471B5995B29}"/>
    <cellStyle name="Comma 7 3 3 4" xfId="4021" xr:uid="{5A3ED17B-EEC3-4B92-8F28-C22E2F944A13}"/>
    <cellStyle name="Comma 7 3 4" xfId="800" xr:uid="{B1B1256C-809E-4194-A4CD-B9FC27471907}"/>
    <cellStyle name="Comma 7 3 4 2" xfId="2069" xr:uid="{AEC07DAE-BBDF-4BD5-9B44-D17BC40A1E5D}"/>
    <cellStyle name="Comma 7 3 4 2 2" xfId="3824" xr:uid="{59051D47-F4BC-431A-9798-5549F2C26365}"/>
    <cellStyle name="Comma 7 3 4 2 3" xfId="4216" xr:uid="{B8E52030-A037-4F52-BB1B-1F026A67BC3D}"/>
    <cellStyle name="Comma 7 3 4 3" xfId="3630" xr:uid="{B704595C-CB5E-4259-995C-C90923098C7A}"/>
    <cellStyle name="Comma 7 3 4 4" xfId="4022" xr:uid="{146C598A-67E5-410D-988E-6E9CE395D807}"/>
    <cellStyle name="Comma 7 3 5" xfId="801" xr:uid="{3A373011-A8D6-4130-A76C-8B96B279050B}"/>
    <cellStyle name="Comma 7 3 5 2" xfId="2070" xr:uid="{3D501B30-6ACA-4E3F-9F8F-249B1CCBACE2}"/>
    <cellStyle name="Comma 7 3 5 2 2" xfId="3825" xr:uid="{6E0B91FE-BE90-4BB3-8736-864E14428105}"/>
    <cellStyle name="Comma 7 3 5 2 3" xfId="4217" xr:uid="{42188CE6-A56A-4610-B7FB-F8E54AD595C9}"/>
    <cellStyle name="Comma 7 3 5 3" xfId="3631" xr:uid="{1AE87977-36F7-4986-BC25-A74A902F49F6}"/>
    <cellStyle name="Comma 7 3 5 4" xfId="4023" xr:uid="{CF61CD9A-472E-4FFF-9BFC-4DBA1D282117}"/>
    <cellStyle name="Comma 7 3 6" xfId="802" xr:uid="{4418D0EE-3063-4B78-841C-74E1D1CAA7CD}"/>
    <cellStyle name="Comma 7 3 6 2" xfId="2071" xr:uid="{8EC019B3-036B-4E85-9934-973049370FC8}"/>
    <cellStyle name="Comma 7 3 6 2 2" xfId="3826" xr:uid="{20FA9610-821D-40BA-9E2F-7E01775BE0E4}"/>
    <cellStyle name="Comma 7 3 6 2 3" xfId="4218" xr:uid="{064C44F4-76D3-4548-8B4D-3EF0B535FCDB}"/>
    <cellStyle name="Comma 7 3 6 3" xfId="3632" xr:uid="{BE18C598-82A4-4F90-9C1B-1893C292AE03}"/>
    <cellStyle name="Comma 7 3 6 4" xfId="4024" xr:uid="{9D318B83-79A2-4660-BB5A-AD5C46215294}"/>
    <cellStyle name="Comma 7 3 7" xfId="803" xr:uid="{10968084-E07A-4E78-AC5E-DF0B8313DF6D}"/>
    <cellStyle name="Comma 7 3 7 2" xfId="2072" xr:uid="{763A79C0-4961-4A43-B909-CE96B8E2BC93}"/>
    <cellStyle name="Comma 7 3 7 2 2" xfId="3827" xr:uid="{B71973F9-C82C-4028-8E72-598DB1BCFBDE}"/>
    <cellStyle name="Comma 7 3 7 2 3" xfId="4219" xr:uid="{BCA503D8-1378-4AD8-AACF-F5E70797C32D}"/>
    <cellStyle name="Comma 7 3 7 3" xfId="3633" xr:uid="{12A6C6D0-5BF4-4F1A-8555-089F6EAC4098}"/>
    <cellStyle name="Comma 7 3 7 4" xfId="4025" xr:uid="{CD87863D-8582-4A63-A359-A146BED5AE45}"/>
    <cellStyle name="Comma 7 3 8" xfId="804" xr:uid="{9AA2AB15-B562-4E8E-861A-76C0B2AF8297}"/>
    <cellStyle name="Comma 7 3 8 2" xfId="2073" xr:uid="{E8E3BA82-A84E-401D-8117-7F5DA8BB454C}"/>
    <cellStyle name="Comma 7 3 8 2 2" xfId="3828" xr:uid="{719DED3F-4A38-4C8C-B29D-E8880A9A15EC}"/>
    <cellStyle name="Comma 7 3 8 2 3" xfId="4220" xr:uid="{650D3166-D0FB-41D6-889F-39DE61A0B655}"/>
    <cellStyle name="Comma 7 3 8 3" xfId="3634" xr:uid="{D76C30E5-4C97-4A3B-9B05-0AFC0B9D47D6}"/>
    <cellStyle name="Comma 7 3 8 4" xfId="4026" xr:uid="{8862B092-CCD0-4423-B168-2FD8DA4BF901}"/>
    <cellStyle name="Comma 7 3 9" xfId="805" xr:uid="{6BBED4FB-0447-4F48-A8AE-73529ED424D2}"/>
    <cellStyle name="Comma 7 3 9 2" xfId="2074" xr:uid="{1D726492-8262-4D05-A112-BE6D0C765621}"/>
    <cellStyle name="Comma 7 3 9 2 2" xfId="3829" xr:uid="{DBD3803A-6085-4214-BCF8-937359B90EB5}"/>
    <cellStyle name="Comma 7 3 9 2 3" xfId="4221" xr:uid="{B6513E69-37DF-461D-B696-D640ED4692DE}"/>
    <cellStyle name="Comma 7 3 9 3" xfId="3635" xr:uid="{E5806837-4340-4E1C-8558-A07B85CDFF5F}"/>
    <cellStyle name="Comma 7 3 9 4" xfId="4027" xr:uid="{ABD0C2C4-E956-40B8-A6B2-60A6D219B579}"/>
    <cellStyle name="Comma 7 4" xfId="806" xr:uid="{4616BF68-197D-43DA-85D8-63BFEF538D3E}"/>
    <cellStyle name="Comma 7 4 2" xfId="2075" xr:uid="{273410A0-8144-4791-A6C3-47A58697087C}"/>
    <cellStyle name="Comma 7 4 2 2" xfId="3830" xr:uid="{F3AE4AC0-0B94-4462-BB32-9E5E43A71405}"/>
    <cellStyle name="Comma 7 4 2 3" xfId="4222" xr:uid="{4B9D7F20-DA1E-4061-8274-AEFD4426C146}"/>
    <cellStyle name="Comma 7 4 3" xfId="3636" xr:uid="{B8A06AF8-3715-42EA-A35A-158C9FC8812D}"/>
    <cellStyle name="Comma 7 4 4" xfId="4028" xr:uid="{27343E9D-02A8-4672-AB4A-8D84BC06BF66}"/>
    <cellStyle name="Comma 7 5" xfId="807" xr:uid="{C2E93A03-7F5A-404D-9350-7D4895DBDB3A}"/>
    <cellStyle name="Comma 7 5 2" xfId="2076" xr:uid="{11B0C895-BB77-4D31-ABF6-FE7D4E04E137}"/>
    <cellStyle name="Comma 7 5 2 2" xfId="3831" xr:uid="{9DA347A3-B145-4C83-85A8-6CDD32376711}"/>
    <cellStyle name="Comma 7 5 2 3" xfId="4223" xr:uid="{5553B64F-5FCF-41EE-AA04-8328DB9F7206}"/>
    <cellStyle name="Comma 7 5 3" xfId="3637" xr:uid="{5B649A72-46B2-4263-9B82-4FC6951B19B6}"/>
    <cellStyle name="Comma 7 5 4" xfId="4029" xr:uid="{AFCAAC90-1DE5-4166-B67E-2128DB45C0F3}"/>
    <cellStyle name="Comma 7 6" xfId="808" xr:uid="{3F25CAB6-F365-4686-AB8E-103F7393EDF4}"/>
    <cellStyle name="Comma 7 6 2" xfId="2077" xr:uid="{A3CD9104-14BF-4F2E-A8BE-189B9D148A94}"/>
    <cellStyle name="Comma 7 6 2 2" xfId="3832" xr:uid="{8DB74566-F209-4D74-89CB-8CD16720FFB3}"/>
    <cellStyle name="Comma 7 6 2 3" xfId="4224" xr:uid="{B3F195AC-F894-4625-A8DB-119295E7FD89}"/>
    <cellStyle name="Comma 7 6 3" xfId="3638" xr:uid="{05D62601-99C6-4133-AA36-D7310B0634C9}"/>
    <cellStyle name="Comma 7 6 4" xfId="4030" xr:uid="{7D8073D7-6EE1-4D30-BBF4-231F289AC82D}"/>
    <cellStyle name="Comma 7 7" xfId="809" xr:uid="{1B38B0A2-8E44-472B-88B7-23551510994A}"/>
    <cellStyle name="Comma 7 7 2" xfId="2078" xr:uid="{DB87FC2B-17F4-4E49-847C-77DD14041139}"/>
    <cellStyle name="Comma 7 7 2 2" xfId="3833" xr:uid="{A1458DC6-60B1-4904-888A-1F7C098A3D47}"/>
    <cellStyle name="Comma 7 7 2 3" xfId="4225" xr:uid="{380A9F89-32D5-47E6-B653-CBFDB91FB097}"/>
    <cellStyle name="Comma 7 7 3" xfId="3639" xr:uid="{4FBBAB64-EBF5-4BFE-B1E8-0C9A3FC0854F}"/>
    <cellStyle name="Comma 7 7 4" xfId="4031" xr:uid="{3BC2E671-C04C-42B7-9692-C726F8328E88}"/>
    <cellStyle name="Comma 7 8" xfId="810" xr:uid="{5EC4D308-8863-4B27-94D3-E411A5F6B665}"/>
    <cellStyle name="Comma 7 8 2" xfId="2079" xr:uid="{180CC2C6-1220-45D1-BA7C-B417B84C66DC}"/>
    <cellStyle name="Comma 7 8 2 2" xfId="3834" xr:uid="{DA974D56-EBD2-4C7F-9506-2D16F0A7E160}"/>
    <cellStyle name="Comma 7 8 2 3" xfId="4226" xr:uid="{2D9AB80B-3DB7-4F97-B3DE-91E77F72AD40}"/>
    <cellStyle name="Comma 7 8 3" xfId="3640" xr:uid="{65501EE4-F18F-4DFF-9A7D-A4308EC768C0}"/>
    <cellStyle name="Comma 7 8 4" xfId="4032" xr:uid="{DBC26157-7BE1-42DA-83F7-C1878B928C6C}"/>
    <cellStyle name="Comma 7 9" xfId="811" xr:uid="{9D5D6F20-A836-441C-83A3-13417ACB3A60}"/>
    <cellStyle name="Comma 7 9 2" xfId="2080" xr:uid="{4A312DFA-B1F7-4A8D-8B17-8CA984F6F929}"/>
    <cellStyle name="Comma 7 9 2 2" xfId="3835" xr:uid="{01939429-085F-460F-93ED-5484CF37799D}"/>
    <cellStyle name="Comma 7 9 2 3" xfId="4227" xr:uid="{3877824B-81AD-41DA-B4E0-2ED1AB3B7360}"/>
    <cellStyle name="Comma 7 9 3" xfId="3641" xr:uid="{6936CEFE-167F-4355-8481-AB0AB951EC46}"/>
    <cellStyle name="Comma 7 9 4" xfId="4033" xr:uid="{F7A2E1AA-3BCE-404A-9111-DC66B9C86E77}"/>
    <cellStyle name="Comma 8" xfId="812" xr:uid="{37E256AD-5DB6-4AB2-A97D-D1EE2F69ECD2}"/>
    <cellStyle name="Comma 8 2" xfId="813" xr:uid="{0F7FC1D6-15B4-412D-AD73-C4D94A034F67}"/>
    <cellStyle name="Comma 8 2 2" xfId="2081" xr:uid="{B22D7DC0-075D-4A59-86FA-24817E089701}"/>
    <cellStyle name="Comma 8 2 2 2" xfId="3063" xr:uid="{70F8B8B5-6057-4ED3-82F8-2D82BDBC7EC8}"/>
    <cellStyle name="Comma 8 2 2 3" xfId="3289" xr:uid="{DC3FD1CD-BD4A-4207-98E4-E3B375B64D17}"/>
    <cellStyle name="Comma 8 3" xfId="814" xr:uid="{BF650AE8-37A2-4CCA-9447-930A3B037DA4}"/>
    <cellStyle name="Comma 8 3 2" xfId="2082" xr:uid="{78165631-BB69-4F92-BF2C-6C9EDD302501}"/>
    <cellStyle name="Comma 8 3 2 2" xfId="3064" xr:uid="{B21196C6-E5B4-4EE7-A266-2F993EEB7447}"/>
    <cellStyle name="Comma 8 3 2 3" xfId="3290" xr:uid="{F8FB7344-9DB7-4A92-A247-27AE50070276}"/>
    <cellStyle name="Comma 8 4" xfId="815" xr:uid="{33B18CFA-9776-44A3-BB91-20D8116DDF6A}"/>
    <cellStyle name="Comma 8 4 2" xfId="2083" xr:uid="{695C3A56-5E70-464D-B6FB-D7D90437CB07}"/>
    <cellStyle name="Comma 8 4 2 2" xfId="3065" xr:uid="{B1E21050-EDD2-4A07-BCD3-5A103ABCC181}"/>
    <cellStyle name="Comma 8 4 2 3" xfId="3291" xr:uid="{B919AA5E-4EEC-4CB1-AC74-17B358D3D588}"/>
    <cellStyle name="Comma 8 5" xfId="816" xr:uid="{4CFFFFEB-8ED8-49FD-A01C-10E0210FF0C6}"/>
    <cellStyle name="Comma 8 5 2" xfId="2084" xr:uid="{48B7C126-88DF-4068-A492-0642B559B5D7}"/>
    <cellStyle name="Comma 8 5 2 2" xfId="3066" xr:uid="{BD80627A-E243-4CE0-BB3F-7A891729CFF3}"/>
    <cellStyle name="Comma 8 5 2 3" xfId="3292" xr:uid="{90546165-E148-48B8-8E37-48DB9D7401AC}"/>
    <cellStyle name="Comma 8 6" xfId="817" xr:uid="{2A4B75B0-CF7A-43F1-B221-004F3D295FEC}"/>
    <cellStyle name="Comma 8 6 2" xfId="2085" xr:uid="{B7C2E3B9-7995-4591-9817-9E6D7EC5F162}"/>
    <cellStyle name="Comma 8 6 2 2" xfId="3067" xr:uid="{ECD925FA-C940-4A78-AF30-6A5FD81B7902}"/>
    <cellStyle name="Comma 8 6 2 3" xfId="3293" xr:uid="{52B471D3-9607-42F6-BBC6-B15062F7B40C}"/>
    <cellStyle name="Comma 8 7" xfId="818" xr:uid="{B87DA94A-D9FE-4B48-AF78-860C685AE063}"/>
    <cellStyle name="Comma 8 7 2" xfId="2086" xr:uid="{05F5E850-DB90-41CD-87C7-76CC3EC219C3}"/>
    <cellStyle name="Comma 8 7 2 2" xfId="3068" xr:uid="{5FDB8BEF-2D53-4EB3-90BC-BF46A6E32679}"/>
    <cellStyle name="Comma 8 7 2 3" xfId="3294" xr:uid="{603295C2-9D0F-474E-A437-DB9A8A69EF17}"/>
    <cellStyle name="Comma 8 8" xfId="819" xr:uid="{B51E3458-C091-4719-B34F-4CFF24DDB28B}"/>
    <cellStyle name="Comma 8 8 2" xfId="2087" xr:uid="{B4B83A27-93AF-44F1-B4AA-AAC5A1078407}"/>
    <cellStyle name="Comma 8 8 2 2" xfId="3069" xr:uid="{9107327B-2BEC-4022-8731-7E781E954607}"/>
    <cellStyle name="Comma 8 8 2 3" xfId="3295" xr:uid="{F997E77D-13BE-4D95-9D3F-77D5471D8C02}"/>
    <cellStyle name="Comma 9" xfId="3401" xr:uid="{A3A00E7A-64B6-4DC9-A60C-3DC9397901D6}"/>
    <cellStyle name="Comma 9 2" xfId="820" xr:uid="{0A1AA4F5-1051-4E9E-94DC-59618FBBEA62}"/>
    <cellStyle name="Comma 9 2 2" xfId="2088" xr:uid="{94D4D8F5-E884-405B-8D0F-8AF1BC8D3B40}"/>
    <cellStyle name="Comma 9 2 2 2" xfId="3836" xr:uid="{6C13EB70-20AC-4493-88E8-B3A0A7EAEDC7}"/>
    <cellStyle name="Comma 9 2 2 3" xfId="4228" xr:uid="{A0CE526B-2562-4AB4-9220-0D9F1C91991F}"/>
    <cellStyle name="Comma 9 2 3" xfId="3642" xr:uid="{6A3CCF65-1533-4F0E-B199-F401BF14E55B}"/>
    <cellStyle name="Comma 9 2 4" xfId="4034" xr:uid="{6F1758D4-7C07-48C7-9543-E92189649297}"/>
    <cellStyle name="Comma 9 3" xfId="821" xr:uid="{D83F07E7-E192-4095-99CD-1572EC0AA86B}"/>
    <cellStyle name="Comma 9 3 2" xfId="3643" xr:uid="{BC020FAF-57EA-4E4B-A3DB-C227CB573FE9}"/>
    <cellStyle name="Comma 9 3 3" xfId="4035" xr:uid="{37F22766-5C68-4B70-A0FC-C3A7F4191CD3}"/>
    <cellStyle name="Comma 9 4" xfId="822" xr:uid="{439D4F75-C39C-4063-9AE2-1ADAC7F81257}"/>
    <cellStyle name="Comma 9 4 2" xfId="3644" xr:uid="{6A7F8518-686B-424C-B6C5-9FF418E9EEBE}"/>
    <cellStyle name="Comma 9 4 3" xfId="4036" xr:uid="{2A90C4FB-7928-4437-A80D-4F694DE909F2}"/>
    <cellStyle name="Comma 9 5" xfId="823" xr:uid="{81C61326-92DA-4D00-A35F-D84F28890412}"/>
    <cellStyle name="Comma 9 5 2" xfId="3645" xr:uid="{E2374541-E39E-4745-B164-75C6E579D1E5}"/>
    <cellStyle name="Comma 9 5 3" xfId="4037" xr:uid="{B1D34C2F-AA86-4E49-A991-B53261D4DF5C}"/>
    <cellStyle name="Comma 9 6" xfId="824" xr:uid="{44F37025-535F-4F2F-930C-9C0A61678798}"/>
    <cellStyle name="Comma 9 6 2" xfId="3646" xr:uid="{5B806B0A-9B48-46D3-BF31-0A76CBF7775F}"/>
    <cellStyle name="Comma 9 6 3" xfId="4038" xr:uid="{04CE859B-ACF3-4764-B1C8-1F128A0685C2}"/>
    <cellStyle name="Comma 9 7" xfId="825" xr:uid="{3E65BA18-9EEF-446A-B5CB-E9900980E587}"/>
    <cellStyle name="Comma 9 7 2" xfId="3647" xr:uid="{389ED67D-7D49-45E3-BB9B-86921D5ABE08}"/>
    <cellStyle name="Comma 9 7 3" xfId="4039" xr:uid="{B538FD37-7F70-4A85-A924-4077BA1050AD}"/>
    <cellStyle name="Comma 9 8" xfId="826" xr:uid="{0BA1EEBF-DB4E-4984-8955-69738EF2D2F0}"/>
    <cellStyle name="Comma 9 8 2" xfId="3648" xr:uid="{0F97CCB1-CA53-46F3-BB23-9BF724093CBD}"/>
    <cellStyle name="Comma 9 8 3" xfId="4040" xr:uid="{E2B115D2-AF20-4EDB-8996-9BD86DE4DC75}"/>
    <cellStyle name="Comma 9 9" xfId="827" xr:uid="{9332F3CD-9138-48C9-871E-395EFDBB7E88}"/>
    <cellStyle name="Comma 9 9 2" xfId="3649" xr:uid="{28DC9057-38D4-4789-83FF-0E6415DF2D47}"/>
    <cellStyle name="Comma 9 9 3" xfId="4041" xr:uid="{3C917085-5FBC-45E6-B595-95A36F67ADB2}"/>
    <cellStyle name="Currency 2 2" xfId="828" xr:uid="{A6EFC7BA-32C7-4E8B-85A2-D90EABA8A496}"/>
    <cellStyle name="Currency 2 2 2" xfId="2089" xr:uid="{D0D5F347-7DEA-4CA0-8DF8-52AE0C23CD6C}"/>
    <cellStyle name="CustomizationCells" xfId="204" xr:uid="{CAAA074D-2310-4B71-A98B-19634B00FCC5}"/>
    <cellStyle name="Date" xfId="829" xr:uid="{390466C1-5567-4A13-BAD1-E4BF9ED3250F}"/>
    <cellStyle name="Date 2" xfId="830" xr:uid="{69C27843-50F4-4B8D-B4D0-5FB1B3B3D40D}"/>
    <cellStyle name="donn_normal" xfId="831" xr:uid="{56ACAC56-CA01-4CCB-9CDF-8B19885F0B13}"/>
    <cellStyle name="ent_col_ser" xfId="832" xr:uid="{B0A0BAE4-5C6F-4E90-A3F7-83A161A553F6}"/>
    <cellStyle name="entete_source" xfId="833" xr:uid="{44FB3D60-4CC9-4D2C-BFD4-055B7D0024B0}"/>
    <cellStyle name="Entrée" xfId="3414" builtinId="20" customBuiltin="1"/>
    <cellStyle name="Euro" xfId="81" xr:uid="{8A373845-DE8A-4C1F-9A35-118BA57AFE66}"/>
    <cellStyle name="Euro 2" xfId="82" xr:uid="{EAA4E415-6718-4449-8E89-B16F045DD790}"/>
    <cellStyle name="Euro 2 2" xfId="83" xr:uid="{2BD85338-31E7-42CF-AE5D-45829E1CD36D}"/>
    <cellStyle name="Euro 2 2 2" xfId="84" xr:uid="{3775026E-B2E6-4E32-8BA1-A482A8BC272A}"/>
    <cellStyle name="Euro 2 2 2 2" xfId="2092" xr:uid="{944CCA7F-4FE0-4A81-967F-663892430E50}"/>
    <cellStyle name="Euro 2 2 2 3" xfId="836" xr:uid="{749CEAFC-FB50-4E35-8DBE-187A61598C25}"/>
    <cellStyle name="Euro 2 2 3" xfId="2091" xr:uid="{36B4F388-91B8-4B85-9A57-E4096D04DAA4}"/>
    <cellStyle name="Euro 2 2 4" xfId="835" xr:uid="{448FD2A1-99E7-4B6F-9186-0B98C4121995}"/>
    <cellStyle name="Euro 2 3" xfId="837" xr:uid="{47C883B7-5004-48F5-8F98-2061346E9408}"/>
    <cellStyle name="Euro 2 3 2" xfId="2093" xr:uid="{5FC12215-B02A-4233-A45D-A0B757BA2E4C}"/>
    <cellStyle name="Euro 2 4" xfId="2090" xr:uid="{2A1EB89C-917E-46FD-86FC-30C94B22327C}"/>
    <cellStyle name="Euro 2 5" xfId="834" xr:uid="{E4320907-C6FD-4378-935C-C6B5105EEAB2}"/>
    <cellStyle name="Euro 3" xfId="85" xr:uid="{4BC6D293-6D4B-4A4E-8008-478FC5C3BBD9}"/>
    <cellStyle name="Euro 3 2" xfId="2094" xr:uid="{EE433215-A8A0-4F50-9C64-F1F5811EF031}"/>
    <cellStyle name="Euro 3 3" xfId="838" xr:uid="{E06FC577-D382-49A7-AEFB-E1DE7248B3B6}"/>
    <cellStyle name="Euro 4" xfId="86" xr:uid="{833E5B97-29F7-476E-AA80-D452B8103896}"/>
    <cellStyle name="Euro 4 2" xfId="2095" xr:uid="{67DD23F4-1835-448E-B506-5F0A559A6076}"/>
    <cellStyle name="Euro 4 3" xfId="839" xr:uid="{57F2D254-BD3D-4D19-9149-D02065E31D5D}"/>
    <cellStyle name="Euro 5" xfId="205" xr:uid="{DE0A1DB1-AF42-4F41-B9D5-E7F161381341}"/>
    <cellStyle name="Explanatory Text 2" xfId="87" xr:uid="{0FAB0C85-D1FF-4843-AEF0-7A9621460538}"/>
    <cellStyle name="Explanatory Text 2 10" xfId="840" xr:uid="{8908132A-56C4-4B2A-9041-E76183CF1EED}"/>
    <cellStyle name="Explanatory Text 2 2" xfId="841" xr:uid="{0463A4DC-3477-4F27-9EAF-9F532F448D68}"/>
    <cellStyle name="Explanatory Text 2 3" xfId="842" xr:uid="{D2A7EF00-A88B-4697-BE4F-05C826BEEB04}"/>
    <cellStyle name="Explanatory Text 2 4" xfId="843" xr:uid="{91DD89CA-8F7B-4F72-9FB6-3091EFBA5550}"/>
    <cellStyle name="Explanatory Text 2 5" xfId="844" xr:uid="{6B869209-3FCF-4F89-A363-1BF6DD1496A3}"/>
    <cellStyle name="Explanatory Text 2 6" xfId="845" xr:uid="{0E0A96F0-F79E-412B-8B6F-7E36C4CAE2EB}"/>
    <cellStyle name="Explanatory Text 2 7" xfId="846" xr:uid="{BC919370-9F1C-4625-A943-B937607EA71F}"/>
    <cellStyle name="Explanatory Text 2 8" xfId="847" xr:uid="{8A383AD0-4038-4E1B-A04B-5D11DAC7EA57}"/>
    <cellStyle name="Explanatory Text 2 9" xfId="848" xr:uid="{B721C8AB-156B-4651-BBA9-EB0B1FAA4DC1}"/>
    <cellStyle name="Explanatory Text 3" xfId="88" xr:uid="{D9860CF9-F048-4501-BCE0-00C03615694A}"/>
    <cellStyle name="Fixed" xfId="849" xr:uid="{8AC6E62C-988D-49F3-84CB-DFCEB0945C3C}"/>
    <cellStyle name="Fixed 2" xfId="850" xr:uid="{D3C2B493-35C1-44E3-B809-4808E4CCCCAF}"/>
    <cellStyle name="Float" xfId="89" xr:uid="{A062542C-5C86-4B67-933B-84DEF9F0D56A}"/>
    <cellStyle name="Float 2" xfId="90" xr:uid="{13D3FCFF-2209-4465-9AAA-14CF37FF045F}"/>
    <cellStyle name="Good" xfId="9" xr:uid="{00000000-0005-0000-0000-000008000000}"/>
    <cellStyle name="Good 2" xfId="91" xr:uid="{99AFFCAF-DB60-4D3B-BCB8-31F223E15319}"/>
    <cellStyle name="Good 2 10" xfId="851" xr:uid="{1EDDBEC4-8938-48DF-B420-BEAD33C10C27}"/>
    <cellStyle name="Good 2 2" xfId="852" xr:uid="{20DC8410-AE08-406A-92C5-09397650B58A}"/>
    <cellStyle name="Good 2 3" xfId="853" xr:uid="{72D52B54-A53F-4F86-BA35-02A68C2D6E04}"/>
    <cellStyle name="Good 2 4" xfId="854" xr:uid="{32F8335C-4AAE-465C-90BB-F8CF7E38C15A}"/>
    <cellStyle name="Good 2 5" xfId="855" xr:uid="{EB9663FB-EA0D-4497-9F3C-D4B634729833}"/>
    <cellStyle name="Good 2 6" xfId="856" xr:uid="{7D3AF821-EB21-40B5-8CDF-FB6997CB6333}"/>
    <cellStyle name="Good 2 7" xfId="857" xr:uid="{C74A06C5-88B2-478F-80ED-B02E44ADD023}"/>
    <cellStyle name="Good 2 8" xfId="858" xr:uid="{A32305DD-CEC0-4137-8F04-9389F40FF9C2}"/>
    <cellStyle name="Good 2 9" xfId="859" xr:uid="{16CDF178-CF9C-4547-A87B-D0B3BCCC6182}"/>
    <cellStyle name="Good 3" xfId="92" xr:uid="{62B068AC-95EC-4201-AD8A-38B988DF69B4}"/>
    <cellStyle name="Good 3 2" xfId="860" xr:uid="{8B2F99F2-7283-478D-8AFD-E779382983A9}"/>
    <cellStyle name="Heading 1" xfId="10" xr:uid="{00000000-0005-0000-0000-000009000000}"/>
    <cellStyle name="Heading 1 2" xfId="93" xr:uid="{B8BAEDD3-00E0-4EB1-B3E4-822430544E99}"/>
    <cellStyle name="Heading 1 2 10" xfId="861" xr:uid="{F1E960A8-D638-455B-B09E-A97F950AB13A}"/>
    <cellStyle name="Heading 1 2 2" xfId="862" xr:uid="{57DE5159-ED07-468C-B2D5-CEA9A08B7C7E}"/>
    <cellStyle name="Heading 1 2 3" xfId="863" xr:uid="{308465CC-B7AC-4A35-9F1B-81DBC41F3B7F}"/>
    <cellStyle name="Heading 1 2 4" xfId="864" xr:uid="{815C4EC9-51C6-491E-97D5-DDCC8CE20775}"/>
    <cellStyle name="Heading 1 2 5" xfId="865" xr:uid="{10514D0F-19C9-4139-AC4A-C3C689D4A885}"/>
    <cellStyle name="Heading 1 2 6" xfId="866" xr:uid="{05BEFCBB-7EFE-4686-A0E2-38BA030379FC}"/>
    <cellStyle name="Heading 1 2 7" xfId="867" xr:uid="{1CE0A5FD-60F0-4330-B0B6-9F5814B05F9A}"/>
    <cellStyle name="Heading 1 2 8" xfId="868" xr:uid="{BE573D8C-867D-4DDC-875B-EE82B45539A7}"/>
    <cellStyle name="Heading 1 2 9" xfId="869" xr:uid="{2CEB6086-353D-44B1-ACF2-8405EBC8B7C4}"/>
    <cellStyle name="Heading 1 3" xfId="94" xr:uid="{2353D2CE-6CE4-45F9-8453-7A4E492DA040}"/>
    <cellStyle name="Heading 1 3 2" xfId="870" xr:uid="{9C6944F1-94E7-4648-801E-C864258C1060}"/>
    <cellStyle name="Heading 2" xfId="11" xr:uid="{00000000-0005-0000-0000-00000A000000}"/>
    <cellStyle name="Heading 2 2" xfId="95" xr:uid="{252B26F2-1BC0-4DA4-9ECE-FAB6D8EC2C8D}"/>
    <cellStyle name="Heading 2 2 10" xfId="871" xr:uid="{93A07D59-6291-46A8-8A62-AE614951C728}"/>
    <cellStyle name="Heading 2 2 2" xfId="872" xr:uid="{B52A07ED-EAF2-47F6-92FB-B7E58F725FE3}"/>
    <cellStyle name="Heading 2 2 3" xfId="873" xr:uid="{E71D93C5-D8A2-49E5-94D2-B1BA23F3012C}"/>
    <cellStyle name="Heading 2 2 4" xfId="874" xr:uid="{FAEE2EB6-9F29-4EB3-B74B-A978D1BCFF3C}"/>
    <cellStyle name="Heading 2 2 5" xfId="875" xr:uid="{2F4A814B-B057-4DC6-A34B-CEB2C3F22151}"/>
    <cellStyle name="Heading 2 2 6" xfId="876" xr:uid="{BF34031B-F18F-4705-9781-48F18D683E32}"/>
    <cellStyle name="Heading 2 2 7" xfId="877" xr:uid="{8189800B-4C72-4AC7-B33D-0F44A3AF24FB}"/>
    <cellStyle name="Heading 2 2 8" xfId="878" xr:uid="{5B3C62AD-F974-4859-856C-4C3C1FD5C9B8}"/>
    <cellStyle name="Heading 2 2 9" xfId="879" xr:uid="{6A6BBE38-F43D-45B3-AB17-21B0CEB8C63A}"/>
    <cellStyle name="Heading 2 3" xfId="96" xr:uid="{BA7E28AC-ECD6-4D5F-9A45-FCEF80D60782}"/>
    <cellStyle name="Heading 2 3 2" xfId="880" xr:uid="{DAE620A8-2894-4C95-9FCB-B229608D3722}"/>
    <cellStyle name="Heading 3" xfId="12" xr:uid="{00000000-0005-0000-0000-00000B000000}"/>
    <cellStyle name="Heading 3 2" xfId="97" xr:uid="{EE0F7FFB-3EEE-494D-BA6C-DE5DFD0506AC}"/>
    <cellStyle name="Heading 3 2 10" xfId="881" xr:uid="{E757549A-453E-4D88-BE05-21B7E489CB9D}"/>
    <cellStyle name="Heading 3 2 2" xfId="882" xr:uid="{07BC46D6-3846-476E-8E19-003B90452F54}"/>
    <cellStyle name="Heading 3 2 3" xfId="883" xr:uid="{441F5B44-8FFE-4A1D-B352-1831C69C6C4E}"/>
    <cellStyle name="Heading 3 2 4" xfId="884" xr:uid="{C50F77E3-646E-40C5-935A-2FE2B834BC17}"/>
    <cellStyle name="Heading 3 2 5" xfId="885" xr:uid="{CA42FB88-850E-4568-BC7C-F358A3A622C7}"/>
    <cellStyle name="Heading 3 2 6" xfId="886" xr:uid="{D476FCEB-C5EC-4A0F-B588-322A561A3B44}"/>
    <cellStyle name="Heading 3 2 7" xfId="887" xr:uid="{F89E4754-D1AD-4A78-AE0D-B1376A5BB1D2}"/>
    <cellStyle name="Heading 3 2 8" xfId="888" xr:uid="{350E5D76-FA13-4371-9871-B436F5307176}"/>
    <cellStyle name="Heading 3 2 9" xfId="889" xr:uid="{35A9D5E5-3750-42D3-BD57-F0732512A41B}"/>
    <cellStyle name="Heading 3 3" xfId="98" xr:uid="{397EEA44-1BEF-4DE6-BCD8-AA6CA3821285}"/>
    <cellStyle name="Heading 3 3 2" xfId="890" xr:uid="{AED17771-21E5-41D3-BAD8-6F835CCBE998}"/>
    <cellStyle name="Heading 4" xfId="13" xr:uid="{00000000-0005-0000-0000-00000C000000}"/>
    <cellStyle name="Heading 4 2" xfId="99" xr:uid="{1576B023-5CD5-418A-AEF4-4A22DE28832C}"/>
    <cellStyle name="Heading 4 2 10" xfId="891" xr:uid="{B14F5BE2-0516-4F06-A0E3-75C52983E074}"/>
    <cellStyle name="Heading 4 2 2" xfId="892" xr:uid="{A40E04C8-FE18-4919-A340-8BBDD2054B62}"/>
    <cellStyle name="Heading 4 2 3" xfId="893" xr:uid="{370BA9C6-220C-4B13-B353-8414A30D960C}"/>
    <cellStyle name="Heading 4 2 4" xfId="894" xr:uid="{56DC7792-F232-4015-A13D-85E7F680D5B6}"/>
    <cellStyle name="Heading 4 2 5" xfId="895" xr:uid="{3C62DDBB-B70D-44E1-A9D0-59D2A3725F3A}"/>
    <cellStyle name="Heading 4 2 6" xfId="896" xr:uid="{98160AFC-4827-4619-B47A-5B4008A42E30}"/>
    <cellStyle name="Heading 4 2 7" xfId="897" xr:uid="{1DA8095A-232E-44E8-8873-64C4309BB1C8}"/>
    <cellStyle name="Heading 4 2 8" xfId="898" xr:uid="{647DD156-C241-4631-ABEF-6A8BC632C426}"/>
    <cellStyle name="Heading 4 2 9" xfId="899" xr:uid="{C027EC9A-C8E6-4548-8B3C-1BCCA4A2DF08}"/>
    <cellStyle name="Heading 4 3" xfId="100" xr:uid="{44A6903C-C030-4097-8B77-151536CBAD8D}"/>
    <cellStyle name="Heading 4 3 2" xfId="900" xr:uid="{D8882767-0A9B-49AF-9848-8EBC8B235E58}"/>
    <cellStyle name="Heading1" xfId="901" xr:uid="{9FBDFD51-08A0-42C3-9EB7-5DE848C72961}"/>
    <cellStyle name="Heading1 2" xfId="902" xr:uid="{8D1E5364-C41B-47B1-93DD-621C54B9F2F4}"/>
    <cellStyle name="Heading2" xfId="903" xr:uid="{AC5C6890-F2AF-4241-A6C5-6BD1A72B9D6E}"/>
    <cellStyle name="Heading2 2" xfId="904" xr:uid="{1AB3D1FB-2453-4DCE-8306-B1CD2CD69618}"/>
    <cellStyle name="Hyperlink 2" xfId="905" xr:uid="{8BAE7FD8-3569-4603-8D55-06B396D1FCC1}"/>
    <cellStyle name="Input 2" xfId="101" xr:uid="{1558FD4E-A5CF-450C-9E29-ABF5BEA590FF}"/>
    <cellStyle name="Input 2 10" xfId="906" xr:uid="{347CA109-974B-42DE-95B9-E0D104E1804F}"/>
    <cellStyle name="Input 2 2" xfId="907" xr:uid="{0FB9A9CC-70E0-49A3-AD5A-627997DD0831}"/>
    <cellStyle name="Input 2 3" xfId="908" xr:uid="{23785BA2-2BA0-4B56-A190-17FEDFF149B7}"/>
    <cellStyle name="Input 2 4" xfId="909" xr:uid="{970A95C0-A43A-4756-8280-783489B8D578}"/>
    <cellStyle name="Input 2 5" xfId="910" xr:uid="{8FB04749-0A8B-4D75-83FE-5412E5D8A5FD}"/>
    <cellStyle name="Input 2 6" xfId="911" xr:uid="{5EE81A11-AB60-45A6-B534-E373CB6DF259}"/>
    <cellStyle name="Input 2 7" xfId="912" xr:uid="{76C2FCDB-E578-46D5-9EFB-3D8132A07B2D}"/>
    <cellStyle name="Input 2 8" xfId="913" xr:uid="{3FB8FCD4-1BF2-41BB-90BC-0D20D111AC59}"/>
    <cellStyle name="Input 2 9" xfId="914" xr:uid="{6799F9A3-3842-49F1-A2F7-B5399434949A}"/>
    <cellStyle name="Input 3" xfId="102" xr:uid="{18F7C727-C961-40BF-B553-9C5F94E3766E}"/>
    <cellStyle name="Input 3 2" xfId="915" xr:uid="{C1445B6E-1E0A-4CF3-A784-3A88B6E454B1}"/>
    <cellStyle name="InputCells" xfId="206" xr:uid="{74BB8B64-5960-46B8-8C56-8A6E72E88856}"/>
    <cellStyle name="Insatisfaisant" xfId="3412" builtinId="27" customBuiltin="1"/>
    <cellStyle name="ligne_titre_0" xfId="916" xr:uid="{5BE07456-6E20-4F6F-B271-2587C1A747C1}"/>
    <cellStyle name="Linked Cell" xfId="14" xr:uid="{00000000-0005-0000-0000-00000D000000}"/>
    <cellStyle name="Linked Cell 2" xfId="103" xr:uid="{0A947968-95B1-4491-983C-E3A1D05E5297}"/>
    <cellStyle name="Linked Cell 2 10" xfId="917" xr:uid="{40F55658-F631-43B0-8910-022751D85EE7}"/>
    <cellStyle name="Linked Cell 2 2" xfId="918" xr:uid="{2258096C-69EC-44C5-B510-73B0BE3132AE}"/>
    <cellStyle name="Linked Cell 2 3" xfId="919" xr:uid="{11249C1C-7F05-4D25-9274-C614AA850177}"/>
    <cellStyle name="Linked Cell 2 4" xfId="920" xr:uid="{EF1379C7-A18F-402D-B9C2-CD0B8D10120D}"/>
    <cellStyle name="Linked Cell 2 5" xfId="921" xr:uid="{FA6EE9DB-22E7-4BB0-8FAE-03890FA0CB89}"/>
    <cellStyle name="Linked Cell 2 6" xfId="922" xr:uid="{BEF82C26-23E6-49C2-A49B-5BF02EAAC52D}"/>
    <cellStyle name="Linked Cell 2 7" xfId="923" xr:uid="{24CFDCC3-FC88-49A9-BD8B-04F92CC829F1}"/>
    <cellStyle name="Linked Cell 2 8" xfId="924" xr:uid="{9013A339-B076-4D4B-A731-A6394DCFE234}"/>
    <cellStyle name="Linked Cell 2 9" xfId="925" xr:uid="{DA394910-FA1A-4DBD-86CE-9F4C771316A2}"/>
    <cellStyle name="Linked Cell 3" xfId="104" xr:uid="{513180C9-BF6F-4E00-9725-8AA93919B187}"/>
    <cellStyle name="Linked Cell 3 2" xfId="926" xr:uid="{AE170784-7120-4315-B33F-2D95A7639F2E}"/>
    <cellStyle name="Migliaia_Oil&amp;Gas IFE ARC POLITO" xfId="927" xr:uid="{95AE8E3B-8B3E-439A-B412-6579DE9E0CA7}"/>
    <cellStyle name="Neutral 2" xfId="15" xr:uid="{00000000-0005-0000-0000-00000E000000}"/>
    <cellStyle name="Neutral 2 10" xfId="928" xr:uid="{A68C1763-9F02-4F75-8FE3-4A4F0E887627}"/>
    <cellStyle name="Neutral 2 2" xfId="929" xr:uid="{CE1C304F-B6B2-4780-A80B-950EBDCC51B6}"/>
    <cellStyle name="Neutral 2 3" xfId="930" xr:uid="{ED454597-E9AA-4ED0-ADC3-9C23840CCC08}"/>
    <cellStyle name="Neutral 2 4" xfId="931" xr:uid="{781F1CB7-6648-474C-827A-9973091F94ED}"/>
    <cellStyle name="Neutral 2 5" xfId="932" xr:uid="{BBA06620-5559-489E-9DC2-6B26D289C1AB}"/>
    <cellStyle name="Neutral 2 6" xfId="933" xr:uid="{9978F17B-56EA-4DAB-A17C-E20501B67C26}"/>
    <cellStyle name="Neutral 2 7" xfId="934" xr:uid="{A01704BE-39E7-45C8-A6EB-9469CA974F46}"/>
    <cellStyle name="Neutral 2 8" xfId="935" xr:uid="{99C4BAB1-D47D-4F7B-81C3-0FBB4FA8A5D8}"/>
    <cellStyle name="Neutral 2 9" xfId="936" xr:uid="{E93AD226-FC9D-44EC-92B0-035A1BCE3953}"/>
    <cellStyle name="Neutral 3" xfId="22" xr:uid="{7B166AB3-EBD5-4FF9-B754-B56389D2111E}"/>
    <cellStyle name="Neutral 3 2" xfId="938" xr:uid="{AD89E236-E0B3-4A04-8F24-F4C710B799D9}"/>
    <cellStyle name="Neutral 3 3" xfId="937" xr:uid="{E8AC75E2-D872-4C53-8836-98CA0F98FC48}"/>
    <cellStyle name="Neutral 3 4" xfId="105" xr:uid="{A563240F-66D9-40AA-A884-F86CCCF6D24D}"/>
    <cellStyle name="Neutre" xfId="3413" builtinId="28" customBuiltin="1"/>
    <cellStyle name="Normal" xfId="0" builtinId="0"/>
    <cellStyle name="Normal 10" xfId="106" xr:uid="{27100F6B-B637-4420-A142-9084EB94BF61}"/>
    <cellStyle name="Normal 10 2" xfId="207" xr:uid="{56CC5CFB-2903-4D96-804D-7782C0866E72}"/>
    <cellStyle name="Normal 10 2 2" xfId="2097" xr:uid="{6882AE49-C2C0-4369-8271-71B59EF5FC7B}"/>
    <cellStyle name="Normal 10 3" xfId="939" xr:uid="{CF19E763-FF7E-49D1-AC0A-0F2BEE2560EB}"/>
    <cellStyle name="Normal 10 3 2" xfId="2098" xr:uid="{89151122-EF2D-4535-A593-AAD094459497}"/>
    <cellStyle name="Normal 10 4" xfId="940" xr:uid="{93008424-2C83-48B6-B107-A6EF7F9364FB}"/>
    <cellStyle name="Normal 10 4 2" xfId="2099" xr:uid="{6BCFC619-48C4-4417-9E6A-FB1C833240F4}"/>
    <cellStyle name="Normal 10 5" xfId="941" xr:uid="{5DB50B2B-47F0-46EC-8713-DE0F398A734D}"/>
    <cellStyle name="Normal 10 5 2" xfId="2100" xr:uid="{B792BE59-0BBB-4502-BF04-C62C5CA61561}"/>
    <cellStyle name="Normal 10 6" xfId="942" xr:uid="{6849FD82-094F-4321-A8FE-5095A19F234A}"/>
    <cellStyle name="Normal 10 6 2" xfId="2101" xr:uid="{69D353B1-07C8-4A8B-B48E-5BC8DFB0CC7C}"/>
    <cellStyle name="Normal 10 7" xfId="943" xr:uid="{294CF3EF-57A7-4B6E-9097-103507877AF9}"/>
    <cellStyle name="Normal 10 7 2" xfId="2102" xr:uid="{818A437E-038E-49DC-950D-F58BEB6F94EC}"/>
    <cellStyle name="Normal 10 8" xfId="944" xr:uid="{B8838F9C-00E5-4C8B-B9A1-41204F6D3512}"/>
    <cellStyle name="Normal 10 8 2" xfId="2103" xr:uid="{38168524-AEE3-447C-AE27-133521569CB0}"/>
    <cellStyle name="Normal 10 9" xfId="2096" xr:uid="{510A5CF3-9B9A-4657-B468-4BC39EAD8562}"/>
    <cellStyle name="Normal 11" xfId="198" xr:uid="{F93E9EB1-81DC-4516-B917-4C5F15111150}"/>
    <cellStyle name="Normal 11 10" xfId="945" xr:uid="{99933968-59BF-42F8-A577-FFBCD3B923D3}"/>
    <cellStyle name="Normal 11 2" xfId="946" xr:uid="{4B13652C-55AA-4FBE-883F-0DFA6D96D1EE}"/>
    <cellStyle name="Normal 11 2 2" xfId="2105" xr:uid="{6E544711-D482-4A35-9241-A9AF12C8C7FC}"/>
    <cellStyle name="Normal 11 3" xfId="947" xr:uid="{6A7B8AB9-4885-4A8D-A72F-BBFB99B043CC}"/>
    <cellStyle name="Normal 11 3 2" xfId="2106" xr:uid="{CE60F714-DA44-4729-AF2A-87F0E67B4184}"/>
    <cellStyle name="Normal 11 4" xfId="948" xr:uid="{12B4C620-4EC3-4AEE-9955-0187C4431F1B}"/>
    <cellStyle name="Normal 11 4 2" xfId="2107" xr:uid="{74B929A9-69DC-47FE-B858-29B55A950D05}"/>
    <cellStyle name="Normal 11 5" xfId="949" xr:uid="{BA9C0732-E05A-4764-B87B-D161C663CAD5}"/>
    <cellStyle name="Normal 11 5 2" xfId="2108" xr:uid="{B7992900-1F9A-4036-B3A6-82C00890B2EE}"/>
    <cellStyle name="Normal 11 6" xfId="950" xr:uid="{063E9647-08EE-44F8-B3DC-670C31BC8F24}"/>
    <cellStyle name="Normal 11 6 2" xfId="2109" xr:uid="{EFD51AC0-3203-4D57-84E5-CAE2F99271D2}"/>
    <cellStyle name="Normal 11 7" xfId="951" xr:uid="{F7285C24-B6A7-4284-8958-F2D36D77CB31}"/>
    <cellStyle name="Normal 11 7 2" xfId="2110" xr:uid="{E3BC7CB3-C106-4618-A412-67B26D7E390E}"/>
    <cellStyle name="Normal 11 8" xfId="952" xr:uid="{C7A0B273-0FCD-4EFE-A8F4-DA50495577E1}"/>
    <cellStyle name="Normal 11 8 2" xfId="2111" xr:uid="{761F7F80-3445-4F2F-BB6C-77E985444025}"/>
    <cellStyle name="Normal 11 9" xfId="2104" xr:uid="{12B1F226-DCFD-44C2-84D0-73CEF672C8D0}"/>
    <cellStyle name="Normal 12" xfId="199" xr:uid="{471A06A7-6C77-44D8-A812-F41CC41FD80D}"/>
    <cellStyle name="Normal 12 10" xfId="953" xr:uid="{1A621DFF-69C3-43D4-87DF-86FEFF68C15D}"/>
    <cellStyle name="Normal 12 2" xfId="954" xr:uid="{C33A14FD-BD56-4668-B33C-54DE50C38F8F}"/>
    <cellStyle name="Normal 12 2 2" xfId="2113" xr:uid="{B34993B4-77E4-441F-B9CC-19A2183AF65E}"/>
    <cellStyle name="Normal 12 3" xfId="955" xr:uid="{FE5188C4-AF49-4BA2-8810-8F9C2906B47B}"/>
    <cellStyle name="Normal 12 3 2" xfId="2114" xr:uid="{855D42EA-C60A-4C25-8F56-F12BDDD9CBA6}"/>
    <cellStyle name="Normal 12 4" xfId="956" xr:uid="{F678CD8E-FFC7-4368-A28D-2AF750A287D0}"/>
    <cellStyle name="Normal 12 4 2" xfId="2115" xr:uid="{799A86E6-4988-46A5-BD01-EA143F00D420}"/>
    <cellStyle name="Normal 12 5" xfId="957" xr:uid="{FC1A6C7A-4810-439E-B107-2B528200B6C7}"/>
    <cellStyle name="Normal 12 5 2" xfId="2116" xr:uid="{226B0B09-A2D0-4C2F-9B54-9FF9396482EE}"/>
    <cellStyle name="Normal 12 6" xfId="958" xr:uid="{5DD38A71-54E3-4976-A7FA-D04381FC0928}"/>
    <cellStyle name="Normal 12 6 2" xfId="2117" xr:uid="{EAC593D8-3D72-4763-89E8-42B5D4ECD78C}"/>
    <cellStyle name="Normal 12 7" xfId="959" xr:uid="{CB4C3AFC-CD9E-4C82-9ACF-066AA3723945}"/>
    <cellStyle name="Normal 12 7 2" xfId="2118" xr:uid="{7E4700F8-E749-414A-9987-54F7BEE393FB}"/>
    <cellStyle name="Normal 12 8" xfId="960" xr:uid="{DCDD013A-9634-4FD0-8255-380C2F0987A3}"/>
    <cellStyle name="Normal 12 8 2" xfId="2119" xr:uid="{F755C461-01E9-4ABB-BBFE-F5AD7C28407C}"/>
    <cellStyle name="Normal 12 9" xfId="2112" xr:uid="{FE2AFE40-C33C-4576-9A1E-D1CA34AF8C07}"/>
    <cellStyle name="Normal 13" xfId="961" xr:uid="{B682A9F1-6331-4B23-A157-ECA459F71DCE}"/>
    <cellStyle name="Normal 13 10" xfId="962" xr:uid="{23A6BAB1-0248-49D0-BD01-F6009D8F2226}"/>
    <cellStyle name="Normal 13 10 2" xfId="2121" xr:uid="{9C192E00-BE4B-4D03-9580-13A1D02F93DD}"/>
    <cellStyle name="Normal 13 10 2 2" xfId="3070" xr:uid="{BF83DA69-1449-4347-AB28-9EC0CEB62129}"/>
    <cellStyle name="Normal 13 10 2 3" xfId="3296" xr:uid="{DCC353AE-05C5-42D2-8EDC-14FE49FD4AB1}"/>
    <cellStyle name="Normal 13 10 3" xfId="2949" xr:uid="{48BA873B-8C3B-4871-AECC-D15B4A326A61}"/>
    <cellStyle name="Normal 13 10 4" xfId="3175" xr:uid="{175AA619-5850-4064-B8AA-5CABFEF052D3}"/>
    <cellStyle name="Normal 13 11" xfId="963" xr:uid="{5263FBDC-9C35-40AC-81A5-637B24D4CF8A}"/>
    <cellStyle name="Normal 13 11 2" xfId="2122" xr:uid="{536B6A4A-0689-4FFB-AB48-5A2CADAE2E5B}"/>
    <cellStyle name="Normal 13 11 2 2" xfId="3071" xr:uid="{1DA174A9-89E9-4403-A3B7-C070313E4094}"/>
    <cellStyle name="Normal 13 11 2 3" xfId="3297" xr:uid="{4889D37B-3AF6-4F91-8ECE-A91548E04CDF}"/>
    <cellStyle name="Normal 13 11 3" xfId="2950" xr:uid="{E2DE574C-0888-4320-BC32-2D97E33E4442}"/>
    <cellStyle name="Normal 13 11 4" xfId="3176" xr:uid="{F3C5E420-CC25-44FD-8832-9678EEAEC129}"/>
    <cellStyle name="Normal 13 12" xfId="964" xr:uid="{098A4B22-2E83-428D-858E-5BEC882935BC}"/>
    <cellStyle name="Normal 13 13" xfId="965" xr:uid="{232061C8-0A3B-43C5-9785-34566FF164D4}"/>
    <cellStyle name="Normal 13 13 2" xfId="2123" xr:uid="{332A06DD-8F2E-44FE-A30F-C6286F447039}"/>
    <cellStyle name="Normal 13 13 2 2" xfId="3072" xr:uid="{53B50E1C-AFE9-4008-8A05-A405CF9534E5}"/>
    <cellStyle name="Normal 13 13 2 3" xfId="3298" xr:uid="{D9E4F9C6-6EE6-4C69-8B64-6E1A65C5F5EF}"/>
    <cellStyle name="Normal 13 13 3" xfId="2951" xr:uid="{45067225-F3A3-45EF-B516-B9540535FBEE}"/>
    <cellStyle name="Normal 13 13 4" xfId="3177" xr:uid="{6AD8A68B-AB76-4DAF-962C-FEDB0FF67A96}"/>
    <cellStyle name="Normal 13 14" xfId="966" xr:uid="{9DB40DA9-5EEA-4CB0-A723-7DA83933F5E3}"/>
    <cellStyle name="Normal 13 14 2" xfId="2124" xr:uid="{38F992A9-9CDB-4663-AE1D-E6B6CC43609F}"/>
    <cellStyle name="Normal 13 14 2 2" xfId="3073" xr:uid="{841A3286-F577-4CA4-AFD4-69EBD61BE645}"/>
    <cellStyle name="Normal 13 14 2 3" xfId="3299" xr:uid="{A2DB5A3A-FB5C-4B26-9EFC-D2FB886AAECA}"/>
    <cellStyle name="Normal 13 14 3" xfId="2952" xr:uid="{1A99031E-4EE7-490A-A5E7-DCB590C53636}"/>
    <cellStyle name="Normal 13 14 4" xfId="3178" xr:uid="{BA677B5B-44DA-4AE5-9714-BB9E60DAACC1}"/>
    <cellStyle name="Normal 13 15" xfId="967" xr:uid="{119EF16C-63FA-4B96-8D94-9D18FBA943F2}"/>
    <cellStyle name="Normal 13 15 2" xfId="2125" xr:uid="{E0CDB28F-99EA-4C03-AC71-94D829004BAD}"/>
    <cellStyle name="Normal 13 15 2 2" xfId="3074" xr:uid="{819E92BE-9129-44F4-9C9D-F65C4CCA1969}"/>
    <cellStyle name="Normal 13 15 2 3" xfId="3300" xr:uid="{CF0EF1C7-F8F0-4056-BE4A-9C1CBA111DE3}"/>
    <cellStyle name="Normal 13 15 3" xfId="2953" xr:uid="{477D040D-3410-48E1-9504-131928814679}"/>
    <cellStyle name="Normal 13 15 4" xfId="3179" xr:uid="{5DC6D0E1-E1B3-4DA4-A49C-F066126229A9}"/>
    <cellStyle name="Normal 13 16" xfId="968" xr:uid="{97BB2852-883D-49CA-B8D8-762CE671E31C}"/>
    <cellStyle name="Normal 13 16 2" xfId="2126" xr:uid="{16F9D222-9120-4D14-90AF-258EB21B3943}"/>
    <cellStyle name="Normal 13 16 2 2" xfId="3075" xr:uid="{7D27A82B-40B8-4571-95EA-7074449A5C93}"/>
    <cellStyle name="Normal 13 16 2 3" xfId="3301" xr:uid="{EBE95F33-BA71-461C-A6C4-5518C16BC4AC}"/>
    <cellStyle name="Normal 13 16 3" xfId="2954" xr:uid="{EB23BC7E-3A98-4864-8D81-2E6280983920}"/>
    <cellStyle name="Normal 13 16 4" xfId="3180" xr:uid="{14378EE6-4139-4D2B-B173-BD1FABC1F528}"/>
    <cellStyle name="Normal 13 17" xfId="969" xr:uid="{AAF9BE5B-214B-4FA3-A791-A522F58AAB63}"/>
    <cellStyle name="Normal 13 18" xfId="970" xr:uid="{B21E6B66-E2EF-4AE8-AABB-A9FF0F0A8E9D}"/>
    <cellStyle name="Normal 13 19" xfId="971" xr:uid="{5D07F134-AC32-4FAA-9CC8-12649313AEA7}"/>
    <cellStyle name="Normal 13 2" xfId="972" xr:uid="{54A6463E-C72E-46E3-B1BB-FC96AF603156}"/>
    <cellStyle name="Normal 13 2 2" xfId="973" xr:uid="{05F121C2-76AD-430D-987C-CF44F5CB109C}"/>
    <cellStyle name="Normal 13 2 2 2" xfId="2127" xr:uid="{F9EDDEDC-C322-4C44-8B3B-8CDD01CA5177}"/>
    <cellStyle name="Normal 13 2 2 2 2" xfId="3076" xr:uid="{89D969F8-9513-4DE3-A5FE-141EB90D1D8A}"/>
    <cellStyle name="Normal 13 2 2 2 3" xfId="3302" xr:uid="{D5C19233-FFB3-42F5-A06B-4FF4AB154467}"/>
    <cellStyle name="Normal 13 2 2 3" xfId="2955" xr:uid="{07B0CBDA-3755-45C0-890B-F111AB4A8A5E}"/>
    <cellStyle name="Normal 13 2 2 4" xfId="3181" xr:uid="{8F0301E3-2FEE-4BC5-8486-AADC8A47E163}"/>
    <cellStyle name="Normal 13 2 3" xfId="974" xr:uid="{C4982A9D-20AE-4CFA-B826-23B3A6C6CDE1}"/>
    <cellStyle name="Normal 13 2 3 2" xfId="2128" xr:uid="{29312973-5410-445D-AA7F-1B91DFF5577E}"/>
    <cellStyle name="Normal 13 2 3 2 2" xfId="3077" xr:uid="{5735EDD1-EBEF-4865-B824-0D493883B9C5}"/>
    <cellStyle name="Normal 13 2 3 2 3" xfId="3303" xr:uid="{B4D37833-2EB8-497B-ABD8-02377061E7CD}"/>
    <cellStyle name="Normal 13 2 3 3" xfId="2956" xr:uid="{419C3DAB-6316-4F86-B34E-C979893169A8}"/>
    <cellStyle name="Normal 13 2 3 4" xfId="3182" xr:uid="{25010B33-42FD-4CBD-A4FE-F46A6F9FFA08}"/>
    <cellStyle name="Normal 13 2 4" xfId="975" xr:uid="{F8035351-3CCB-4110-896C-F8CEEDFC2506}"/>
    <cellStyle name="Normal 13 2 4 2" xfId="2129" xr:uid="{D6D1242F-90E8-43DB-A89F-931DA229B65B}"/>
    <cellStyle name="Normal 13 2 4 2 2" xfId="3078" xr:uid="{F07A9AE9-23AA-41D9-80CA-A1F77E8D3C25}"/>
    <cellStyle name="Normal 13 2 4 2 3" xfId="3304" xr:uid="{925E6B1D-8147-4D53-A893-96BCDFE22CC1}"/>
    <cellStyle name="Normal 13 2 4 3" xfId="2957" xr:uid="{ED7950B8-DD11-4FF1-B329-27A672AD1DD0}"/>
    <cellStyle name="Normal 13 2 4 4" xfId="3183" xr:uid="{FA674E38-6284-4BCC-A333-ABDA28487992}"/>
    <cellStyle name="Normal 13 2 5" xfId="976" xr:uid="{5EDBD9D0-0B8F-4638-82D5-43DAFA47B393}"/>
    <cellStyle name="Normal 13 2 5 2" xfId="2130" xr:uid="{D2CC89EF-79F8-4B8C-8BF9-368345656322}"/>
    <cellStyle name="Normal 13 2 5 2 2" xfId="3079" xr:uid="{7637814E-D5FE-4637-BCC0-EA4DA18D5BD4}"/>
    <cellStyle name="Normal 13 2 5 2 3" xfId="3305" xr:uid="{73624E58-3F95-445A-A376-8023141521E3}"/>
    <cellStyle name="Normal 13 2 5 3" xfId="2958" xr:uid="{999A012F-E17A-44E7-814F-36E2DCB94099}"/>
    <cellStyle name="Normal 13 2 5 4" xfId="3184" xr:uid="{50BABDB2-01E5-42BA-9657-4B9D1F90E51F}"/>
    <cellStyle name="Normal 13 2 6" xfId="977" xr:uid="{5BD80607-2E49-4DDC-AE21-77AE60A65598}"/>
    <cellStyle name="Normal 13 2 6 2" xfId="2131" xr:uid="{6FFE8D98-5D55-4C74-9098-96E440410A3F}"/>
    <cellStyle name="Normal 13 2 6 2 2" xfId="3080" xr:uid="{8DC5368E-D9FB-44E7-86FF-9782DE6563BE}"/>
    <cellStyle name="Normal 13 2 6 2 3" xfId="3306" xr:uid="{FB2CB30E-DF7C-4095-89EA-08F81CE0793E}"/>
    <cellStyle name="Normal 13 2 6 3" xfId="2959" xr:uid="{965CFE07-BB5D-4819-903A-C194D634BB6A}"/>
    <cellStyle name="Normal 13 2 6 4" xfId="3185" xr:uid="{542C564E-9F67-4C86-A9BA-DA4E14747664}"/>
    <cellStyle name="Normal 13 2 7" xfId="978" xr:uid="{96681D82-3952-4EAE-9A92-8DEA0695B90B}"/>
    <cellStyle name="Normal 13 2 7 2" xfId="2132" xr:uid="{183B210B-6B6B-4B4E-8498-DDCA1CC18070}"/>
    <cellStyle name="Normal 13 2 7 2 2" xfId="3081" xr:uid="{EF798614-BFFA-4D77-9257-FF205DD93880}"/>
    <cellStyle name="Normal 13 2 7 2 3" xfId="3307" xr:uid="{C4FF22B3-38F8-4C06-A539-607B3182A82E}"/>
    <cellStyle name="Normal 13 2 7 3" xfId="2960" xr:uid="{1A977F2C-8B9A-4DA3-82ED-D557E071B044}"/>
    <cellStyle name="Normal 13 2 7 4" xfId="3186" xr:uid="{67C7ABA1-06B4-4183-B872-B6829F2F0780}"/>
    <cellStyle name="Normal 13 2 8" xfId="979" xr:uid="{E13E4D5A-50C2-4816-87B2-2E610BB7C33E}"/>
    <cellStyle name="Normal 13 2 8 2" xfId="2133" xr:uid="{946DED00-1B8E-4882-B502-27F9FF2CF65B}"/>
    <cellStyle name="Normal 13 2 8 2 2" xfId="3082" xr:uid="{2229A73F-06B6-424D-9B17-55AF92BDEEAA}"/>
    <cellStyle name="Normal 13 2 8 2 3" xfId="3308" xr:uid="{1F87E8C6-C3D3-427D-8C74-9349B8EA9F80}"/>
    <cellStyle name="Normal 13 2 8 3" xfId="2961" xr:uid="{3EF712A8-CE2E-48C3-9573-A4292C3397E6}"/>
    <cellStyle name="Normal 13 2 8 4" xfId="3187" xr:uid="{17CEF314-0F2C-47C2-B40F-8932FE100272}"/>
    <cellStyle name="Normal 13 20" xfId="980" xr:uid="{127DD8D1-ED95-4623-9F80-CF04DE93C119}"/>
    <cellStyle name="Normal 13 21" xfId="981" xr:uid="{4B4654EB-FE43-4151-9DD6-55FD5808936C}"/>
    <cellStyle name="Normal 13 22" xfId="982" xr:uid="{9FEE9881-C10E-44AC-BEE9-04AEE86265FB}"/>
    <cellStyle name="Normal 13 23" xfId="983" xr:uid="{E5EE4DD8-A9AD-4F17-BC91-7083EEC0BC0B}"/>
    <cellStyle name="Normal 13 23 2" xfId="2134" xr:uid="{8A9C8143-2C8C-41EF-8E1C-B6AB9D02029D}"/>
    <cellStyle name="Normal 13 24" xfId="984" xr:uid="{C4965D9B-82D3-4370-9562-5C491488B735}"/>
    <cellStyle name="Normal 13 24 2" xfId="2135" xr:uid="{AFFB7F46-5AEF-465F-B17C-83EA00338E8C}"/>
    <cellStyle name="Normal 13 25" xfId="985" xr:uid="{60DCE936-8E48-4340-8E42-82CF37478B4F}"/>
    <cellStyle name="Normal 13 25 2" xfId="2136" xr:uid="{A3C61C58-5F75-4F56-B16F-30EAC701EE99}"/>
    <cellStyle name="Normal 13 26" xfId="986" xr:uid="{8E690D72-466F-4681-9FF6-3F5D7B9036FC}"/>
    <cellStyle name="Normal 13 26 2" xfId="2137" xr:uid="{2A3275ED-4CFF-4FB0-8850-A69BCF688907}"/>
    <cellStyle name="Normal 13 27" xfId="987" xr:uid="{9CE17D06-0E5B-44BC-A57A-F159103EC946}"/>
    <cellStyle name="Normal 13 27 2" xfId="2138" xr:uid="{7D504991-648C-4D91-96D5-840F21F27726}"/>
    <cellStyle name="Normal 13 28" xfId="988" xr:uid="{FDF9ABDA-1AC4-4454-B8D8-5263DBD41571}"/>
    <cellStyle name="Normal 13 28 2" xfId="2139" xr:uid="{204BED6D-7A12-423D-B690-CFB5C3753146}"/>
    <cellStyle name="Normal 13 29" xfId="989" xr:uid="{73452091-6A93-4CA0-9B2B-E51B63F87998}"/>
    <cellStyle name="Normal 13 29 2" xfId="2140" xr:uid="{E59A2949-9F29-4467-A035-3A74882B364D}"/>
    <cellStyle name="Normal 13 3" xfId="990" xr:uid="{590B3450-DA9B-4755-8E58-8FE32A66A376}"/>
    <cellStyle name="Normal 13 3 2" xfId="2141" xr:uid="{32A2F533-D231-4102-90F3-E31768D853A9}"/>
    <cellStyle name="Normal 13 3 2 2" xfId="3083" xr:uid="{0031F86B-C012-46CF-867D-51DCC83350F3}"/>
    <cellStyle name="Normal 13 3 2 3" xfId="3309" xr:uid="{279CB13A-47C4-4477-936C-392E260257D4}"/>
    <cellStyle name="Normal 13 3 3" xfId="2962" xr:uid="{25F37172-288E-4B00-9501-CF2B6BDFBC00}"/>
    <cellStyle name="Normal 13 3 4" xfId="3188" xr:uid="{04D40D18-EDEA-4A8B-8925-47D234C913DF}"/>
    <cellStyle name="Normal 13 30" xfId="991" xr:uid="{59237E9C-F7AB-491B-9FCA-D82EE8FB00D4}"/>
    <cellStyle name="Normal 13 30 2" xfId="2142" xr:uid="{62C88BD7-1F10-428F-9DA5-3F2AA9B9CC33}"/>
    <cellStyle name="Normal 13 31" xfId="992" xr:uid="{BAD9ECEF-4DA9-4872-BBC4-1947AB432B5F}"/>
    <cellStyle name="Normal 13 31 2" xfId="2143" xr:uid="{AEC3DDDF-A1D4-4D05-8AFB-81DE9A9A2466}"/>
    <cellStyle name="Normal 13 32" xfId="993" xr:uid="{A8A91E77-782D-4ADF-B5A2-BCC954DD79C1}"/>
    <cellStyle name="Normal 13 32 2" xfId="2144" xr:uid="{B066557A-4635-4CB4-BDE4-2723968B7B5B}"/>
    <cellStyle name="Normal 13 33" xfId="994" xr:uid="{3D48F593-9541-4309-9F31-252C2DFC4E51}"/>
    <cellStyle name="Normal 13 33 2" xfId="2145" xr:uid="{4ED0FA0C-6ECC-44AD-8B79-2B8F51743C85}"/>
    <cellStyle name="Normal 13 34" xfId="995" xr:uid="{D022BEAA-051B-418F-8B31-80518E208913}"/>
    <cellStyle name="Normal 13 34 2" xfId="2146" xr:uid="{0B7D0EE1-B87E-4BC9-95D0-60CD7BC614A5}"/>
    <cellStyle name="Normal 13 35" xfId="996" xr:uid="{11E8895E-2CB3-4FD4-8262-E1195477DBDD}"/>
    <cellStyle name="Normal 13 35 2" xfId="2147" xr:uid="{2E7EE72A-ECAE-48AB-8F47-D86D6B45D324}"/>
    <cellStyle name="Normal 13 36" xfId="997" xr:uid="{46808277-E364-4F03-933B-6FF6812048F2}"/>
    <cellStyle name="Normal 13 36 2" xfId="2148" xr:uid="{528D4FF6-B80D-47BE-86F3-19058E4A441C}"/>
    <cellStyle name="Normal 13 37" xfId="998" xr:uid="{4DE7149D-95F4-44B6-B1CD-F9DDA489B194}"/>
    <cellStyle name="Normal 13 37 2" xfId="2149" xr:uid="{C6B74BBB-35AA-4FE0-BF26-36095FBDFBAD}"/>
    <cellStyle name="Normal 13 38" xfId="999" xr:uid="{2AD12BBC-9A92-4B26-AFBD-125DFCD1FB34}"/>
    <cellStyle name="Normal 13 38 2" xfId="2150" xr:uid="{DEB385F0-5FBA-4DC8-9CE1-3FC05BBF7AEF}"/>
    <cellStyle name="Normal 13 39" xfId="2120" xr:uid="{22535007-45D2-4115-8806-DD9F308723E1}"/>
    <cellStyle name="Normal 13 4" xfId="1000" xr:uid="{28F6125C-B362-4677-819A-3025A8CCF9E6}"/>
    <cellStyle name="Normal 13 4 2" xfId="2151" xr:uid="{4C38D1B0-EAB8-4B08-BC27-A4365CE29DAD}"/>
    <cellStyle name="Normal 13 4 2 2" xfId="3084" xr:uid="{DDA25F3A-ABD3-4957-B76C-AE463034003F}"/>
    <cellStyle name="Normal 13 4 2 3" xfId="3310" xr:uid="{843B47BE-9686-43EA-9339-3E8B2A8AF06F}"/>
    <cellStyle name="Normal 13 4 3" xfId="2963" xr:uid="{BE2ECC67-AF60-498E-8A42-0571606A4EEB}"/>
    <cellStyle name="Normal 13 4 4" xfId="3189" xr:uid="{5D5F392F-72FC-4572-BB2E-41238BA45CA2}"/>
    <cellStyle name="Normal 13 5" xfId="1001" xr:uid="{E9625A2F-E3EF-40A6-8C18-5BCB1F3D1301}"/>
    <cellStyle name="Normal 13 6" xfId="1002" xr:uid="{48FE42C5-CBDC-4399-A2AE-892833575EA5}"/>
    <cellStyle name="Normal 13 7" xfId="1003" xr:uid="{48CABB8B-2C66-48E8-99EA-45DAE926C308}"/>
    <cellStyle name="Normal 13 8" xfId="1004" xr:uid="{66B3BC27-C458-40F5-9561-665811F3558B}"/>
    <cellStyle name="Normal 13 9" xfId="1005" xr:uid="{B00AA107-8BCB-4A10-9116-59CD5D8ED1C9}"/>
    <cellStyle name="Normal 13 9 2" xfId="2152" xr:uid="{77EAC3D9-08C1-4164-8BED-8E4E751B05E3}"/>
    <cellStyle name="Normal 13 9 2 2" xfId="3085" xr:uid="{EA75E7E5-1F69-41A1-A28A-7A0AF10A5231}"/>
    <cellStyle name="Normal 13 9 2 3" xfId="3311" xr:uid="{E65CCDC8-06A0-4F80-B995-9623F876FB6D}"/>
    <cellStyle name="Normal 13 9 3" xfId="2964" xr:uid="{D809E452-0884-458A-A855-0E4EE05DDAC5}"/>
    <cellStyle name="Normal 13 9 4" xfId="3190" xr:uid="{E46C0262-FECA-43A3-A707-054E809D99D7}"/>
    <cellStyle name="Normal 14" xfId="1006" xr:uid="{B9D44FAA-0071-4677-BF34-E013508808D3}"/>
    <cellStyle name="Normal 14 10" xfId="1007" xr:uid="{3891F064-75AA-4C4D-AC92-6D7B4BA68532}"/>
    <cellStyle name="Normal 14 10 2" xfId="2153" xr:uid="{526030B6-75AF-4D3A-9FCD-C9DB9C22A347}"/>
    <cellStyle name="Normal 14 10 2 2" xfId="3086" xr:uid="{24119B2A-F5BA-4B32-8A01-81BD3E350079}"/>
    <cellStyle name="Normal 14 10 2 3" xfId="3312" xr:uid="{D33C7BA8-CEB4-4363-A096-CD8715CDFE7F}"/>
    <cellStyle name="Normal 14 10 3" xfId="2965" xr:uid="{F25D8EEE-95C5-4D70-8490-5DEDD7AEBB8B}"/>
    <cellStyle name="Normal 14 10 4" xfId="3191" xr:uid="{532C8B82-4880-4A4A-90BD-4DB224D5D9D5}"/>
    <cellStyle name="Normal 14 11" xfId="1008" xr:uid="{CE56BDEB-F9CA-4343-9C7B-18CD7377507F}"/>
    <cellStyle name="Normal 14 11 2" xfId="2154" xr:uid="{9BC19F0E-EC24-452C-B6A0-38A6FE6775A8}"/>
    <cellStyle name="Normal 14 11 2 2" xfId="3087" xr:uid="{DA7FC2B7-F865-490D-8377-981B618515CE}"/>
    <cellStyle name="Normal 14 11 2 3" xfId="3313" xr:uid="{65B0EB84-06B7-46D2-87C7-90D4746D25E2}"/>
    <cellStyle name="Normal 14 11 3" xfId="2966" xr:uid="{14AA7A8A-AC6D-4ED5-9FF0-C1E6F8C10CE0}"/>
    <cellStyle name="Normal 14 11 4" xfId="3192" xr:uid="{64DF7429-6437-4103-B05C-0E125959C06B}"/>
    <cellStyle name="Normal 14 12" xfId="1009" xr:uid="{1D4537BA-20DA-45C1-9DC6-7AD2B32BFE4C}"/>
    <cellStyle name="Normal 14 12 2" xfId="2155" xr:uid="{43E40638-E720-442D-BB9D-06EC1AC35E34}"/>
    <cellStyle name="Normal 14 12 2 2" xfId="3088" xr:uid="{38BD12E9-CCEF-4F02-9737-13B57FE8C1B8}"/>
    <cellStyle name="Normal 14 12 2 3" xfId="3314" xr:uid="{69B9E546-ECB8-4934-B8CF-33DD527693D2}"/>
    <cellStyle name="Normal 14 12 3" xfId="2967" xr:uid="{45086C24-7AC7-410D-A7E2-41A583EEB466}"/>
    <cellStyle name="Normal 14 12 4" xfId="3193" xr:uid="{512DBD84-A155-4E3A-9B05-436CB43AC234}"/>
    <cellStyle name="Normal 14 13" xfId="1010" xr:uid="{F417884F-79A8-40CF-81BA-D4C748AC1DC7}"/>
    <cellStyle name="Normal 14 13 2" xfId="2156" xr:uid="{0C8B757A-E5BD-4708-856A-55394F09A8C7}"/>
    <cellStyle name="Normal 14 13 2 2" xfId="3089" xr:uid="{45B4E18A-0D04-4545-9CA2-4E1213417059}"/>
    <cellStyle name="Normal 14 13 2 3" xfId="3315" xr:uid="{89491B1F-FBAA-4255-998C-27247B858D46}"/>
    <cellStyle name="Normal 14 13 3" xfId="2968" xr:uid="{34D90BFA-4A4F-4B78-B981-A985C4B71C7E}"/>
    <cellStyle name="Normal 14 13 4" xfId="3194" xr:uid="{78348395-078B-4BF7-B255-4AE3281733B2}"/>
    <cellStyle name="Normal 14 14" xfId="1011" xr:uid="{B4E6CD32-93F9-42DC-B157-79275B36FF24}"/>
    <cellStyle name="Normal 14 14 2" xfId="2157" xr:uid="{8F4919EE-01B5-4DA0-9AA0-F86211FC0A8F}"/>
    <cellStyle name="Normal 14 14 2 2" xfId="3090" xr:uid="{B77C707C-BF27-44FC-B9B0-4F917CFA0D71}"/>
    <cellStyle name="Normal 14 14 2 3" xfId="3316" xr:uid="{F60E590B-ED65-401D-B908-94E458519841}"/>
    <cellStyle name="Normal 14 14 3" xfId="2969" xr:uid="{2AF93452-8E90-4D14-BCBE-2EFBF04F104A}"/>
    <cellStyle name="Normal 14 14 4" xfId="3195" xr:uid="{FF250090-56CD-4D7F-B61A-B2F81AD8EC7B}"/>
    <cellStyle name="Normal 14 15" xfId="1012" xr:uid="{9330D800-E3DD-4CED-8883-A88D9C3A248E}"/>
    <cellStyle name="Normal 14 15 2" xfId="2158" xr:uid="{051C9B9E-A968-4303-8D4F-C962696F6B16}"/>
    <cellStyle name="Normal 14 15 2 2" xfId="3091" xr:uid="{60A4FB80-82F1-4542-AF3C-F559E24C612D}"/>
    <cellStyle name="Normal 14 15 2 3" xfId="3317" xr:uid="{340EE700-D850-487E-B26E-8D51D340F23C}"/>
    <cellStyle name="Normal 14 15 3" xfId="2970" xr:uid="{668C1A1F-AD1A-4937-A5A0-EF88F0562A33}"/>
    <cellStyle name="Normal 14 15 4" xfId="3196" xr:uid="{455809F1-E1F5-45F2-80A0-3BA803486C84}"/>
    <cellStyle name="Normal 14 2" xfId="1013" xr:uid="{0A85AF1E-E1A4-45BC-82FA-D3196B246FF1}"/>
    <cellStyle name="Normal 14 2 10" xfId="3197" xr:uid="{97ED7E09-D05F-47CA-9CB6-D7DEA9C10665}"/>
    <cellStyle name="Normal 14 2 2" xfId="1014" xr:uid="{E18962AA-1735-4FAD-982E-FE8BC338052C}"/>
    <cellStyle name="Normal 14 2 2 2" xfId="2160" xr:uid="{13549261-0644-4747-9D09-AC30B063B518}"/>
    <cellStyle name="Normal 14 2 3" xfId="1015" xr:uid="{E43EC102-2BCB-40BB-B1DA-D719C6BD4792}"/>
    <cellStyle name="Normal 14 2 3 2" xfId="2161" xr:uid="{DC135403-609E-4D48-9AAF-E6B38A1DB8E4}"/>
    <cellStyle name="Normal 14 2 4" xfId="1016" xr:uid="{10C1156A-D976-45CA-8138-FEC7ED2B770F}"/>
    <cellStyle name="Normal 14 2 4 2" xfId="2162" xr:uid="{6CC46BE9-5B43-499E-A7A3-C40AF213A8A2}"/>
    <cellStyle name="Normal 14 2 5" xfId="1017" xr:uid="{988F5904-9845-4F36-BADD-F284245DC3BA}"/>
    <cellStyle name="Normal 14 2 5 2" xfId="2163" xr:uid="{AE5D0BA3-7E4F-44A8-9897-732315E122C1}"/>
    <cellStyle name="Normal 14 2 6" xfId="1018" xr:uid="{DF769D69-FFD2-4726-A500-1A2A2757E8D5}"/>
    <cellStyle name="Normal 14 2 6 2" xfId="2164" xr:uid="{363F44B6-1700-449B-81F7-BBCE0FAC5536}"/>
    <cellStyle name="Normal 14 2 7" xfId="1019" xr:uid="{57C32C48-9C0C-49F0-B46F-D9CB7B6CDE2C}"/>
    <cellStyle name="Normal 14 2 7 2" xfId="2165" xr:uid="{59418163-2A4F-4F1D-862B-30F6DFB9288E}"/>
    <cellStyle name="Normal 14 2 8" xfId="2159" xr:uid="{28735A15-7D06-4975-98A4-920CF5E58F4C}"/>
    <cellStyle name="Normal 14 2 8 2" xfId="3092" xr:uid="{75EA8026-89BE-4432-9299-D29EFF83E107}"/>
    <cellStyle name="Normal 14 2 8 3" xfId="3318" xr:uid="{57C6FB9F-6286-4CD7-84E3-2FEFEC5D62B3}"/>
    <cellStyle name="Normal 14 2 9" xfId="2971" xr:uid="{74281F53-A7BB-4A32-99C4-34808795BFDA}"/>
    <cellStyle name="Normal 14 3" xfId="1020" xr:uid="{A46D7C16-0818-42E3-A878-DBC98F90383E}"/>
    <cellStyle name="Normal 14 3 2" xfId="2166" xr:uid="{E315A0B2-DD25-4B69-BA0F-503F2EC764DF}"/>
    <cellStyle name="Normal 14 4" xfId="1021" xr:uid="{F8C95643-7D6D-49E3-95F2-ACE919D65F60}"/>
    <cellStyle name="Normal 14 4 2" xfId="2167" xr:uid="{7B7355F0-6DC0-4EEE-A550-28CE81987E28}"/>
    <cellStyle name="Normal 14 4 2 2" xfId="3093" xr:uid="{C89E469D-A450-4FEC-A0E6-CE163B4A6CCA}"/>
    <cellStyle name="Normal 14 4 2 3" xfId="3319" xr:uid="{4E0FD915-82C0-4CE7-B224-4984E1E11AC6}"/>
    <cellStyle name="Normal 14 4 3" xfId="2972" xr:uid="{F84BFC07-DBFD-4252-85E8-49910AAB15B6}"/>
    <cellStyle name="Normal 14 4 4" xfId="3198" xr:uid="{DAFF045C-3359-449E-958B-8D61383B41C6}"/>
    <cellStyle name="Normal 14 5" xfId="1022" xr:uid="{DEA14C7F-C49D-4C98-A4E6-BF285ADE9DE9}"/>
    <cellStyle name="Normal 14 5 2" xfId="2168" xr:uid="{4DF89BA3-E40D-468A-B339-E4E85D2D277A}"/>
    <cellStyle name="Normal 14 5 2 2" xfId="3094" xr:uid="{1DFD04A5-9F7F-486B-B6DB-DCA5FE2BF307}"/>
    <cellStyle name="Normal 14 5 2 3" xfId="3320" xr:uid="{089FE0DC-B18A-4A32-AD09-47C46DB569DE}"/>
    <cellStyle name="Normal 14 5 3" xfId="2973" xr:uid="{0888609A-69D6-43EA-A503-192FB80893FE}"/>
    <cellStyle name="Normal 14 5 4" xfId="3199" xr:uid="{8C3CFE8D-23EC-43AE-84EE-BFA8B5853D90}"/>
    <cellStyle name="Normal 14 6" xfId="1023" xr:uid="{3475C900-85D3-4A31-BF9D-39E460FCCDBC}"/>
    <cellStyle name="Normal 14 6 2" xfId="2169" xr:uid="{11B690BA-9B29-44D6-AFB6-50BD3CDE8D14}"/>
    <cellStyle name="Normal 14 7" xfId="1024" xr:uid="{63E2A666-7736-45FD-A4E9-184B5CBDF314}"/>
    <cellStyle name="Normal 14 7 2" xfId="2170" xr:uid="{D2A4C583-621F-454E-BDE6-0696087CF9CD}"/>
    <cellStyle name="Normal 14 8" xfId="1025" xr:uid="{C184D918-372A-48DE-9B9A-0F7033D2AA54}"/>
    <cellStyle name="Normal 14 8 2" xfId="2171" xr:uid="{B6840044-B112-48BF-AAFF-1364A4B1EF44}"/>
    <cellStyle name="Normal 14 9" xfId="1026" xr:uid="{B70EFC2D-888C-4081-A9BC-ED21D7F9A23F}"/>
    <cellStyle name="Normal 14 9 2" xfId="2172" xr:uid="{3F1306A7-A8AA-4E45-AF53-51033543EBD4}"/>
    <cellStyle name="Normal 15" xfId="1027" xr:uid="{2E62C1CC-2A0F-42D4-9136-1A4B116DBE04}"/>
    <cellStyle name="Normal 15 2" xfId="1028" xr:uid="{76228F50-6D21-454B-A863-96FD5310FC3F}"/>
    <cellStyle name="Normal 15 2 2" xfId="2173" xr:uid="{67033B19-A622-4733-B43C-53FF533868AE}"/>
    <cellStyle name="Normal 15 3" xfId="1029" xr:uid="{1EADB803-9222-44EB-AC04-0E85BA181709}"/>
    <cellStyle name="Normal 15 3 2" xfId="2174" xr:uid="{FEAF0A91-6CC4-4EA5-9AA3-2EF48BD1AF65}"/>
    <cellStyle name="Normal 15 4" xfId="1030" xr:uid="{B21578AA-9A24-44EB-B16D-3C0613C4340B}"/>
    <cellStyle name="Normal 15 4 2" xfId="2175" xr:uid="{F2E9F112-5E19-48B8-915F-78D1E13969F0}"/>
    <cellStyle name="Normal 15 5" xfId="1031" xr:uid="{8C556506-86E7-425C-9958-462B62F975B9}"/>
    <cellStyle name="Normal 15 5 2" xfId="2176" xr:uid="{2455C816-4701-42F2-ADF9-33EE6A8414D1}"/>
    <cellStyle name="Normal 15 6" xfId="1032" xr:uid="{086FA82A-D527-4963-8924-35E2DE0A0493}"/>
    <cellStyle name="Normal 15 6 2" xfId="2177" xr:uid="{F8F5CE1C-6215-4AC8-B739-84C5312FEF4E}"/>
    <cellStyle name="Normal 16" xfId="1033" xr:uid="{69F41619-DFAB-4CAC-9C73-C698EA2E287C}"/>
    <cellStyle name="Normal 16 2" xfId="1034" xr:uid="{57DBFAE2-156A-4533-8690-3CD3E9440844}"/>
    <cellStyle name="Normal 16 2 2" xfId="2179" xr:uid="{A30EC18F-0112-4CD7-94C1-5B0C930844A8}"/>
    <cellStyle name="Normal 16 3" xfId="1035" xr:uid="{E86CC14A-B611-41BC-8B70-489CA24AC89E}"/>
    <cellStyle name="Normal 16 3 2" xfId="2180" xr:uid="{FBE00042-B8C4-4B94-AAFF-32207180D15F}"/>
    <cellStyle name="Normal 16 4" xfId="1036" xr:uid="{972EF12A-56E8-4A74-9673-E9220D34EB99}"/>
    <cellStyle name="Normal 16 4 2" xfId="2181" xr:uid="{F37F51B6-6088-4ACA-B006-ACE751BEDF0A}"/>
    <cellStyle name="Normal 16 5" xfId="1037" xr:uid="{65578E99-B2D7-4946-A5ED-7E01BFC9103E}"/>
    <cellStyle name="Normal 16 5 2" xfId="2182" xr:uid="{27B94D17-4DBA-45D3-BC7D-DD34EE27EDA9}"/>
    <cellStyle name="Normal 16 6" xfId="1038" xr:uid="{C8B710EA-93F7-42FD-A337-6711F9503FA2}"/>
    <cellStyle name="Normal 16 6 2" xfId="2183" xr:uid="{F1B5B49A-ACF3-4902-95BB-C45BCC5C05FB}"/>
    <cellStyle name="Normal 16 7" xfId="2178" xr:uid="{C2E9D29C-C3E4-4E4F-AD78-C179F0C6824C}"/>
    <cellStyle name="Normal 16 7 2" xfId="3095" xr:uid="{60ED2179-1814-4152-9CD9-A4DEC2BBCCC4}"/>
    <cellStyle name="Normal 16 7 3" xfId="3321" xr:uid="{86DD211C-8571-499A-8716-31D60688ACFA}"/>
    <cellStyle name="Normal 16 8" xfId="2974" xr:uid="{7B1D4E71-BDF0-4D9F-AFD1-A540F580E538}"/>
    <cellStyle name="Normal 16 9" xfId="3200" xr:uid="{A43759BF-D2F0-47D9-B9AA-B29E8AAD05E8}"/>
    <cellStyle name="Normal 17" xfId="1039" xr:uid="{92FE17A7-8998-4CC2-895B-A4B9324F4433}"/>
    <cellStyle name="Normal 17 10" xfId="1040" xr:uid="{89960AAA-6422-4739-B075-2A572B9A5A24}"/>
    <cellStyle name="Normal 17 10 2" xfId="2185" xr:uid="{0BD4B6CA-C523-4868-B647-9E41FD26825A}"/>
    <cellStyle name="Normal 17 11" xfId="1041" xr:uid="{00CEE49F-D1E7-4212-9BD9-8805F33A2202}"/>
    <cellStyle name="Normal 17 11 2" xfId="2186" xr:uid="{C76A2E79-DC9E-4038-B782-076362BBA553}"/>
    <cellStyle name="Normal 17 12" xfId="1042" xr:uid="{3FE33BDC-3C8E-4E26-8810-6B0ACA528096}"/>
    <cellStyle name="Normal 17 12 2" xfId="2187" xr:uid="{8762F752-C747-4740-8C4B-BE78FE32FBB4}"/>
    <cellStyle name="Normal 17 13" xfId="1043" xr:uid="{F8C72F00-D390-4215-84C3-6D797212B39D}"/>
    <cellStyle name="Normal 17 13 2" xfId="2188" xr:uid="{DEFEEBEE-0FCB-4EE7-B834-CAA8191FA05D}"/>
    <cellStyle name="Normal 17 14" xfId="2184" xr:uid="{BF873306-FD45-451D-986A-ED3D620504CB}"/>
    <cellStyle name="Normal 17 14 2" xfId="3096" xr:uid="{F9CB0D39-9464-423D-80C6-B25D58113513}"/>
    <cellStyle name="Normal 17 14 3" xfId="3322" xr:uid="{641068C0-CAAB-4E8D-AC3B-1ECA33AF03EB}"/>
    <cellStyle name="Normal 17 15" xfId="2975" xr:uid="{D23EA34B-7217-4196-83D6-AA488CF0D321}"/>
    <cellStyle name="Normal 17 16" xfId="3201" xr:uid="{665E04F6-DE30-41A4-A609-52297A3BAEDE}"/>
    <cellStyle name="Normal 17 2" xfId="1044" xr:uid="{1BD22553-5812-4F08-A2E4-404D0B0E1771}"/>
    <cellStyle name="Normal 17 2 2" xfId="2189" xr:uid="{2819FA2D-367A-441D-B495-82F6A46BADC4}"/>
    <cellStyle name="Normal 17 3" xfId="1045" xr:uid="{4D7916C0-A752-428C-B7EA-AE8AD3696BA0}"/>
    <cellStyle name="Normal 17 3 2" xfId="2190" xr:uid="{2CF4B15D-E169-4D8C-B536-BFB9A839E0E3}"/>
    <cellStyle name="Normal 17 4" xfId="1046" xr:uid="{1EF6E72C-7C14-4445-8D3F-D8B55320EEAD}"/>
    <cellStyle name="Normal 17 4 2" xfId="2191" xr:uid="{99B1A287-3503-4C34-9D20-F083AA4CA0E5}"/>
    <cellStyle name="Normal 17 5" xfId="1047" xr:uid="{872C14DF-07EF-4B06-8143-60D45D2D6397}"/>
    <cellStyle name="Normal 17 5 2" xfId="2192" xr:uid="{C25A97E2-34B2-4DB0-8C1F-3EF2C5567FF2}"/>
    <cellStyle name="Normal 17 6" xfId="1048" xr:uid="{9FC65D3F-C782-4E62-A979-42EF4BCF79F7}"/>
    <cellStyle name="Normal 17 6 2" xfId="2193" xr:uid="{430E867C-BBAC-4736-9C61-F504814E2B77}"/>
    <cellStyle name="Normal 17 7" xfId="1049" xr:uid="{01FF2A50-10B1-4C5C-9E86-3EC8D571EEB0}"/>
    <cellStyle name="Normal 17 7 2" xfId="2194" xr:uid="{D911013D-4C1D-4084-B929-09943C063D74}"/>
    <cellStyle name="Normal 17 8" xfId="1050" xr:uid="{E5639119-1355-4234-8FB0-A08BE5EE60B1}"/>
    <cellStyle name="Normal 17 8 2" xfId="2195" xr:uid="{AF4A9D18-6593-4CCC-9DA4-2C08D37AF247}"/>
    <cellStyle name="Normal 17 9" xfId="1051" xr:uid="{E5AD1A29-56B7-463C-BB56-A9703276B608}"/>
    <cellStyle name="Normal 17 9 2" xfId="2196" xr:uid="{79ABACD3-160A-48C6-8F1E-3536C51D1BDA}"/>
    <cellStyle name="Normal 18" xfId="1052" xr:uid="{A49034DD-6494-4A0F-A451-AB17690E033D}"/>
    <cellStyle name="Normal 18 2" xfId="2197" xr:uid="{70B020B4-9312-46C3-91EB-1CF9DC8D77F2}"/>
    <cellStyle name="Normal 18 2 2" xfId="3097" xr:uid="{B3ABFF88-3168-4219-AD14-92EE2D87050D}"/>
    <cellStyle name="Normal 18 2 3" xfId="3323" xr:uid="{7C1C06C1-8129-4B07-918F-6AD0C9F3CB14}"/>
    <cellStyle name="Normal 18 3" xfId="2976" xr:uid="{BF4157A9-8284-4180-B32A-A114A45586BA}"/>
    <cellStyle name="Normal 18 4" xfId="3202" xr:uid="{2B0E865D-AAAE-4607-AD40-CA0C53E3E71F}"/>
    <cellStyle name="Normal 19" xfId="24" xr:uid="{50588D08-00BA-420F-BD3B-4B0D839A676C}"/>
    <cellStyle name="Normal 19 2" xfId="3453" xr:uid="{515044B2-177F-4CC4-9715-C005B6F2FB4A}"/>
    <cellStyle name="Normal 2" xfId="16" xr:uid="{00000000-0005-0000-0000-000010000000}"/>
    <cellStyle name="Normal 2 10" xfId="1054" xr:uid="{B3FB7232-FE66-4C70-92F7-4AC87F8BBD0A}"/>
    <cellStyle name="Normal 2 10 2" xfId="2199" xr:uid="{9A694711-974A-4B0B-9B0A-3204BFB81EDC}"/>
    <cellStyle name="Normal 2 11" xfId="1055" xr:uid="{D96F7520-9788-484D-A37C-262B4391F07E}"/>
    <cellStyle name="Normal 2 11 2" xfId="2200" xr:uid="{206ADB4D-6942-4EFA-9D87-20AB0BE80120}"/>
    <cellStyle name="Normal 2 12" xfId="1056" xr:uid="{DC840EE7-A3E0-4C85-99A4-CC6FD2ECEEEA}"/>
    <cellStyle name="Normal 2 12 2" xfId="2201" xr:uid="{BA1DCCA0-A78D-4E26-AFF6-2CE3D1712A14}"/>
    <cellStyle name="Normal 2 13" xfId="1057" xr:uid="{07F83D61-3A3D-45FE-84FC-DB050F91FD12}"/>
    <cellStyle name="Normal 2 13 2" xfId="2202" xr:uid="{2F6432C8-2D9E-4DD5-9716-EE299BEF544B}"/>
    <cellStyle name="Normal 2 14" xfId="1058" xr:uid="{2D5340AD-2287-4AA0-8120-AFD8E2C04FC3}"/>
    <cellStyle name="Normal 2 14 2" xfId="2203" xr:uid="{AC20724A-BCEC-4573-B8CD-E806C28873F0}"/>
    <cellStyle name="Normal 2 15" xfId="1059" xr:uid="{23DA37A6-4846-4FD2-A4CD-ACDE4874B373}"/>
    <cellStyle name="Normal 2 15 2" xfId="2204" xr:uid="{AF491320-190F-4753-8843-8C11208B5151}"/>
    <cellStyle name="Normal 2 16" xfId="1060" xr:uid="{C22DD450-9B47-455F-902A-1C8EC487575B}"/>
    <cellStyle name="Normal 2 16 2" xfId="2205" xr:uid="{4F288088-7DDD-49BB-A58E-E68F76B3CB2F}"/>
    <cellStyle name="Normal 2 17" xfId="1061" xr:uid="{50D1A431-756C-4549-86D3-D0A0638E2F02}"/>
    <cellStyle name="Normal 2 17 2" xfId="2206" xr:uid="{8250F6A4-C53A-4C21-87E7-4199F823F177}"/>
    <cellStyle name="Normal 2 18" xfId="2198" xr:uid="{765551F3-711D-47AA-BDFF-A00D413E6131}"/>
    <cellStyle name="Normal 2 18 2" xfId="3098" xr:uid="{4A0E3E22-7834-4CA4-A663-E3C46B1B69EA}"/>
    <cellStyle name="Normal 2 18 3" xfId="3324" xr:uid="{76BEB652-D0EC-4B1C-AAED-5345D644BC8E}"/>
    <cellStyle name="Normal 2 19" xfId="1053" xr:uid="{920A6BCA-BD52-48A9-A0A7-636874625C95}"/>
    <cellStyle name="Normal 2 2" xfId="108" xr:uid="{FFD43274-0D53-4525-8F3F-55D741B1496F}"/>
    <cellStyle name="Normal 2 2 10" xfId="1063" xr:uid="{FA7D072A-2950-4E5F-890E-8015A1F90881}"/>
    <cellStyle name="Normal 2 2 10 2" xfId="2208" xr:uid="{B9125E92-C356-4343-B47E-210485E69267}"/>
    <cellStyle name="Normal 2 2 10 2 2" xfId="3099" xr:uid="{2DC0CC0A-C350-48F4-B558-B9940EE225D8}"/>
    <cellStyle name="Normal 2 2 10 2 3" xfId="3325" xr:uid="{A74A6E15-F612-4B79-B5E2-9571345E6160}"/>
    <cellStyle name="Normal 2 2 10 3" xfId="2978" xr:uid="{15A46B14-4F63-4412-A29F-5F4794F84609}"/>
    <cellStyle name="Normal 2 2 10 4" xfId="3204" xr:uid="{02D96F64-187A-47B0-9F81-2B538F4CC2D9}"/>
    <cellStyle name="Normal 2 2 11" xfId="1064" xr:uid="{AD1A7C05-C85D-4E12-885E-00B5C5B9C9F8}"/>
    <cellStyle name="Normal 2 2 11 2" xfId="2209" xr:uid="{44663952-9441-43B3-AA87-8847D930385F}"/>
    <cellStyle name="Normal 2 2 11 2 2" xfId="3100" xr:uid="{3EA2E80C-05B1-4BB4-A86F-38EB54568261}"/>
    <cellStyle name="Normal 2 2 11 2 3" xfId="3326" xr:uid="{B3DD17A7-0F7B-4DED-B0D6-93DDF84B2F6A}"/>
    <cellStyle name="Normal 2 2 11 3" xfId="2979" xr:uid="{514C421B-7C4D-48B1-9CAE-4E2A72645A7B}"/>
    <cellStyle name="Normal 2 2 11 4" xfId="3205" xr:uid="{4BEFF683-BBE6-43D5-A212-0703B3F8A4EA}"/>
    <cellStyle name="Normal 2 2 12" xfId="1065" xr:uid="{5E80C644-F545-4BD0-91A7-272FA1D32F90}"/>
    <cellStyle name="Normal 2 2 12 2" xfId="2210" xr:uid="{8220FC23-E352-4925-8C1A-601A888F3B4A}"/>
    <cellStyle name="Normal 2 2 12 2 2" xfId="3101" xr:uid="{80E242CA-7A6D-4F76-9DF9-5A3179AE2529}"/>
    <cellStyle name="Normal 2 2 12 2 3" xfId="3327" xr:uid="{77313B15-A168-411D-8052-D3C4477DC995}"/>
    <cellStyle name="Normal 2 2 12 3" xfId="2980" xr:uid="{5000851E-1DB6-474D-BAE0-B70DF6B41916}"/>
    <cellStyle name="Normal 2 2 12 4" xfId="3206" xr:uid="{59A0DE82-B7AC-4940-A693-0857ABB100FD}"/>
    <cellStyle name="Normal 2 2 13" xfId="1066" xr:uid="{5E1E09A1-1F17-445E-8B95-5004D89B9AFF}"/>
    <cellStyle name="Normal 2 2 13 2" xfId="2211" xr:uid="{EBA4A437-1201-4F6A-8DCB-FEB233C91D85}"/>
    <cellStyle name="Normal 2 2 13 2 2" xfId="3102" xr:uid="{038DA019-EE33-472E-B478-113984AF5A3F}"/>
    <cellStyle name="Normal 2 2 13 2 3" xfId="3328" xr:uid="{FEDAFE3C-E80A-44EF-AFAD-6B8885AE24BC}"/>
    <cellStyle name="Normal 2 2 13 3" xfId="2981" xr:uid="{F27D4F6A-AD31-4A81-8113-53D0AE191051}"/>
    <cellStyle name="Normal 2 2 13 4" xfId="3207" xr:uid="{1A46F9E4-14E7-4118-94A9-C90B67BB7465}"/>
    <cellStyle name="Normal 2 2 14" xfId="1067" xr:uid="{1A0723AE-43BC-40C5-B56E-3B90EC5D871C}"/>
    <cellStyle name="Normal 2 2 14 2" xfId="2212" xr:uid="{6D786E5A-351D-4E08-B265-FA5D9F6D32F5}"/>
    <cellStyle name="Normal 2 2 15" xfId="2207" xr:uid="{31562D13-F247-4215-B5E0-A43DF39D8036}"/>
    <cellStyle name="Normal 2 2 16" xfId="1062" xr:uid="{8A40BCC8-E75A-48FE-B548-DCA85EE8A8B0}"/>
    <cellStyle name="Normal 2 2 2" xfId="109" xr:uid="{2E597C8D-D68B-4C9D-B884-85DF11F9E0BB}"/>
    <cellStyle name="Normal 2 2 2 2" xfId="2213" xr:uid="{53C12ED5-2567-4EE2-B5F5-54A40E2971B8}"/>
    <cellStyle name="Normal 2 2 2 2 2" xfId="3103" xr:uid="{CC8250C1-ACBC-4194-9E24-B3120624CF92}"/>
    <cellStyle name="Normal 2 2 2 2 3" xfId="3329" xr:uid="{84C1EB98-95DE-4CB3-A5CC-C52F6E78EE79}"/>
    <cellStyle name="Normal 2 2 2 3" xfId="1068" xr:uid="{F58247C6-EBDA-417B-BDE8-34FB1C87FAF8}"/>
    <cellStyle name="Normal 2 2 2 4" xfId="2982" xr:uid="{569F9C20-E019-4CBC-9792-F70828D13484}"/>
    <cellStyle name="Normal 2 2 2 5" xfId="3208" xr:uid="{DE330C1F-02B6-4D01-A176-6D3D306E6D36}"/>
    <cellStyle name="Normal 2 2 3" xfId="110" xr:uid="{F4B7B65D-3FF9-40A3-B9BE-FFBE674F9DAF}"/>
    <cellStyle name="Normal 2 2 3 2" xfId="2214" xr:uid="{EC42C041-A84A-4BE3-8F1A-65D6C088CED0}"/>
    <cellStyle name="Normal 2 2 3 2 2" xfId="3104" xr:uid="{49E00A4C-B12A-4ACF-A87D-635D6A7ECCB0}"/>
    <cellStyle name="Normal 2 2 3 2 3" xfId="3330" xr:uid="{9938DBD5-F683-4C5C-A850-53DDA3790A70}"/>
    <cellStyle name="Normal 2 2 3 3" xfId="1069" xr:uid="{B8CA111C-3EFA-4FD4-A6DB-19489C98A6BB}"/>
    <cellStyle name="Normal 2 2 3 4" xfId="2983" xr:uid="{6CB27AB5-DF1E-4DA9-AA4F-F42D1F3B835C}"/>
    <cellStyle name="Normal 2 2 3 5" xfId="3209" xr:uid="{3854C463-DB0C-48BB-8CEA-FBCC84635C99}"/>
    <cellStyle name="Normal 2 2 4" xfId="1070" xr:uid="{67490EEC-9B53-49FA-A114-DF596B633CD6}"/>
    <cellStyle name="Normal 2 2 4 2" xfId="2215" xr:uid="{6480CDCE-23DB-48B0-809F-DEE8870BDC77}"/>
    <cellStyle name="Normal 2 2 4 2 2" xfId="3105" xr:uid="{F6FF8E8A-88AD-42CC-B80D-D999FD05D7AB}"/>
    <cellStyle name="Normal 2 2 4 2 3" xfId="3331" xr:uid="{C33EC344-2984-43D9-928E-BF72D322735E}"/>
    <cellStyle name="Normal 2 2 4 3" xfId="2984" xr:uid="{22F9F5A1-598E-46C4-947E-2B754AD9F622}"/>
    <cellStyle name="Normal 2 2 4 4" xfId="3210" xr:uid="{926A18C2-F984-4A95-96BC-BA27D2A962C6}"/>
    <cellStyle name="Normal 2 2 5" xfId="1071" xr:uid="{018110BB-F412-4551-83F6-73EF81913F82}"/>
    <cellStyle name="Normal 2 2 5 2" xfId="2216" xr:uid="{ABAA4A48-1571-4876-A660-B61A2C181D30}"/>
    <cellStyle name="Normal 2 2 5 2 2" xfId="3106" xr:uid="{9BD20C32-0FFA-4B42-BFE5-226E54F4CCA3}"/>
    <cellStyle name="Normal 2 2 5 2 3" xfId="3332" xr:uid="{A31820E3-9958-4CAB-9BF9-8CB9A43050B0}"/>
    <cellStyle name="Normal 2 2 5 3" xfId="2985" xr:uid="{8B6F0830-F360-4D59-B032-C2E10180F022}"/>
    <cellStyle name="Normal 2 2 5 4" xfId="3211" xr:uid="{F17327F0-B747-4687-A1FC-1709169CFC46}"/>
    <cellStyle name="Normal 2 2 6" xfId="1072" xr:uid="{475EB027-3F94-440E-8BE0-944BF2299374}"/>
    <cellStyle name="Normal 2 2 6 2" xfId="2217" xr:uid="{529631B4-A5A5-4206-BA6A-4AC656001246}"/>
    <cellStyle name="Normal 2 2 6 2 2" xfId="3107" xr:uid="{412FCE82-6965-4C0F-86A5-7A77BA27292C}"/>
    <cellStyle name="Normal 2 2 6 2 3" xfId="3333" xr:uid="{7AFB57ED-CF93-46F0-85A7-C8B61AC34662}"/>
    <cellStyle name="Normal 2 2 6 3" xfId="2986" xr:uid="{047FEC7A-3586-4EE5-8A0D-E959D5355A15}"/>
    <cellStyle name="Normal 2 2 6 4" xfId="3212" xr:uid="{58B18987-2B24-42B0-92FA-03F6CF2A92F3}"/>
    <cellStyle name="Normal 2 2 7" xfId="1073" xr:uid="{652C3045-B692-4E7F-82D9-5A93B426BA9B}"/>
    <cellStyle name="Normal 2 2 7 2" xfId="2218" xr:uid="{CE0BB53C-BE25-40CE-A97B-57BE0CA5AA22}"/>
    <cellStyle name="Normal 2 2 7 2 2" xfId="3108" xr:uid="{B5B61C02-4B27-4BBE-86CA-D681FF3B9D8F}"/>
    <cellStyle name="Normal 2 2 7 2 3" xfId="3334" xr:uid="{ECDDA8CF-40AA-4381-8AF1-E279BEE45B3F}"/>
    <cellStyle name="Normal 2 2 7 3" xfId="2987" xr:uid="{AE8503FC-7B6A-47AF-89BC-2E78496A5559}"/>
    <cellStyle name="Normal 2 2 7 4" xfId="3213" xr:uid="{F540CFD0-61F3-4E73-9900-36AE7BAD0719}"/>
    <cellStyle name="Normal 2 2 8" xfId="1074" xr:uid="{AB9EB7E5-0D06-4BBD-8A5D-177853487989}"/>
    <cellStyle name="Normal 2 2 8 2" xfId="2219" xr:uid="{CF9CAB9C-750E-43B6-8945-7EA4E2FD78EE}"/>
    <cellStyle name="Normal 2 2 8 2 2" xfId="3109" xr:uid="{A8C4A8BF-DD11-4193-98E1-27905CDB8E74}"/>
    <cellStyle name="Normal 2 2 8 2 3" xfId="3335" xr:uid="{2AD47B97-8D61-4DCA-A89A-E7A76962E293}"/>
    <cellStyle name="Normal 2 2 8 3" xfId="2988" xr:uid="{8D541887-5A68-4F71-BC89-2CC44DE773E5}"/>
    <cellStyle name="Normal 2 2 8 4" xfId="3214" xr:uid="{265BF1D4-5119-43EE-9778-64FF44DF23B0}"/>
    <cellStyle name="Normal 2 2 9" xfId="1075" xr:uid="{D7828358-384A-4F36-8F17-C55E9BCD6DCE}"/>
    <cellStyle name="Normal 2 2 9 2" xfId="2220" xr:uid="{54CCD077-93B6-4C71-9939-07C42331CC1A}"/>
    <cellStyle name="Normal 2 2 9 2 2" xfId="3110" xr:uid="{D4D5F3E6-98FA-4D2D-AE23-FAD468FCF323}"/>
    <cellStyle name="Normal 2 2 9 2 3" xfId="3336" xr:uid="{64C698D3-A654-4DB0-9666-725E59FE629A}"/>
    <cellStyle name="Normal 2 2 9 3" xfId="2989" xr:uid="{1B6FF4A3-B17A-4F0E-BA34-C774DD168A09}"/>
    <cellStyle name="Normal 2 2 9 4" xfId="3215" xr:uid="{D8D2C5FE-CFBC-43B6-9FFB-3EF765BD9C0D}"/>
    <cellStyle name="Normal 2 20" xfId="2977" xr:uid="{067DEB3C-418F-449D-8222-6D7231CCA6B4}"/>
    <cellStyle name="Normal 2 21" xfId="3203" xr:uid="{FF7FCCBD-0AF2-4FB4-884A-04051824A24C}"/>
    <cellStyle name="Normal 2 22" xfId="3402" xr:uid="{0E12DB3C-3484-4FAB-9454-BB99F89AF46F}"/>
    <cellStyle name="Normal 2 23" xfId="107" xr:uid="{2DE2EF4B-2D28-4164-A0BD-3C166EDDD29F}"/>
    <cellStyle name="Normal 2 3" xfId="111" xr:uid="{7CA9A486-3214-4A37-9345-7F133A0E3FB7}"/>
    <cellStyle name="Normal 2 3 10" xfId="1077" xr:uid="{3999CB89-0F09-4CAC-AE7E-DEF9BFEC26F8}"/>
    <cellStyle name="Normal 2 3 10 2" xfId="2222" xr:uid="{549A9F0B-F738-40CA-A38E-B524816598D3}"/>
    <cellStyle name="Normal 2 3 10 2 2" xfId="3111" xr:uid="{3E7C4193-CE0A-43A1-B1FF-26A8B55F4642}"/>
    <cellStyle name="Normal 2 3 10 2 3" xfId="3337" xr:uid="{9CD1E6C8-4807-44E6-9C3F-17DA956D8D73}"/>
    <cellStyle name="Normal 2 3 10 3" xfId="2990" xr:uid="{54C33FC6-DD08-436A-B3DE-2799815670D5}"/>
    <cellStyle name="Normal 2 3 10 4" xfId="3216" xr:uid="{40776CD3-C57C-4A3C-940B-2F2526C68E90}"/>
    <cellStyle name="Normal 2 3 11" xfId="1078" xr:uid="{E60321A7-1142-4225-8BFE-1B4B8F1064B5}"/>
    <cellStyle name="Normal 2 3 11 2" xfId="2223" xr:uid="{A951C38D-0FFE-42F5-A081-DC5F88D54CD3}"/>
    <cellStyle name="Normal 2 3 11 2 2" xfId="3112" xr:uid="{595F5707-AC9C-4280-8450-DE769E359001}"/>
    <cellStyle name="Normal 2 3 11 2 3" xfId="3338" xr:uid="{6147D271-F080-4A1D-84F8-9034DF2F4DF7}"/>
    <cellStyle name="Normal 2 3 11 3" xfId="2991" xr:uid="{0FCAB54E-F5F1-4F12-BA9A-E0F2099CED91}"/>
    <cellStyle name="Normal 2 3 11 4" xfId="3217" xr:uid="{707FAEED-E00A-4360-BC00-A88A1306EF82}"/>
    <cellStyle name="Normal 2 3 12" xfId="1079" xr:uid="{194DDD1C-CD37-43CF-939B-F9DB5D1701CD}"/>
    <cellStyle name="Normal 2 3 12 2" xfId="2224" xr:uid="{EDBC00F1-047E-4990-844F-4AE87BF43F5A}"/>
    <cellStyle name="Normal 2 3 12 2 2" xfId="3113" xr:uid="{D0134501-A857-4F1E-BF74-6D1AC01B2D36}"/>
    <cellStyle name="Normal 2 3 12 2 3" xfId="3339" xr:uid="{93E49430-F7BD-421F-B273-345A7691DA3D}"/>
    <cellStyle name="Normal 2 3 12 3" xfId="2992" xr:uid="{AD035F78-4D13-4989-99EC-F7894DDD0D37}"/>
    <cellStyle name="Normal 2 3 12 4" xfId="3218" xr:uid="{D1DCF962-ED39-483A-A2DC-421B282F13AE}"/>
    <cellStyle name="Normal 2 3 13" xfId="1080" xr:uid="{30F566EF-6C36-4513-A0DE-99396CC7A9C0}"/>
    <cellStyle name="Normal 2 3 13 2" xfId="2225" xr:uid="{4BE3A778-0777-4F78-B880-C7985F642A8C}"/>
    <cellStyle name="Normal 2 3 13 2 2" xfId="3114" xr:uid="{47B8AA11-C6FC-4DD5-9CD3-87019088B7E0}"/>
    <cellStyle name="Normal 2 3 13 2 3" xfId="3340" xr:uid="{6F169E9A-9488-4042-8398-B144D5AD4017}"/>
    <cellStyle name="Normal 2 3 13 3" xfId="2993" xr:uid="{CC1F3D04-E5A6-4BEE-8A2B-F312F4194D85}"/>
    <cellStyle name="Normal 2 3 13 4" xfId="3219" xr:uid="{2EDBA59E-778C-4E35-8C0A-622120D4ACD7}"/>
    <cellStyle name="Normal 2 3 14" xfId="2221" xr:uid="{E0CD949B-117F-41BC-86B2-8F1989E68BB3}"/>
    <cellStyle name="Normal 2 3 15" xfId="1076" xr:uid="{1B3F62BD-34DD-4B2A-84C2-7AFE5BA969EE}"/>
    <cellStyle name="Normal 2 3 2" xfId="112" xr:uid="{0A372E3D-2C15-4567-88A2-BFBB5D28D290}"/>
    <cellStyle name="Normal 2 3 2 2" xfId="2226" xr:uid="{FF82390C-BF83-46A1-BC20-6B51C5C45E9D}"/>
    <cellStyle name="Normal 2 3 2 2 2" xfId="3115" xr:uid="{C810232B-D75F-4186-AEDE-A32B9CBF5D26}"/>
    <cellStyle name="Normal 2 3 2 2 3" xfId="3341" xr:uid="{F57AC919-015B-49C4-966E-791E8B2B2327}"/>
    <cellStyle name="Normal 2 3 2 3" xfId="1081" xr:uid="{BE15E25E-FEAD-49AA-8893-4E05A5ED6EF4}"/>
    <cellStyle name="Normal 2 3 2 4" xfId="2994" xr:uid="{B255F0BE-A749-4665-8150-CBC6FFB72A29}"/>
    <cellStyle name="Normal 2 3 2 5" xfId="3220" xr:uid="{60E7F4A5-25C2-4745-A4AC-23710869D000}"/>
    <cellStyle name="Normal 2 3 3" xfId="113" xr:uid="{1A099603-C26E-47DB-B62E-A47712A4ACE7}"/>
    <cellStyle name="Normal 2 3 3 2" xfId="2227" xr:uid="{169EABE5-81C4-4CFC-80AC-598C368FCECC}"/>
    <cellStyle name="Normal 2 3 3 2 2" xfId="3116" xr:uid="{E9F618AB-6B86-42DA-B686-5AFB03FD94E5}"/>
    <cellStyle name="Normal 2 3 3 2 3" xfId="3342" xr:uid="{F082AA0B-F595-4FB1-9E00-CA9C84958874}"/>
    <cellStyle name="Normal 2 3 3 3" xfId="1082" xr:uid="{3CC1BF96-AD31-4112-A2CC-1550F81095FD}"/>
    <cellStyle name="Normal 2 3 3 4" xfId="2995" xr:uid="{6D99943B-F32C-444A-85C5-7498991F153B}"/>
    <cellStyle name="Normal 2 3 3 5" xfId="3221" xr:uid="{C4644CBA-7890-4501-86E6-90EB0B43EF4F}"/>
    <cellStyle name="Normal 2 3 4" xfId="1083" xr:uid="{5D0F596E-5EE8-4DB1-900B-05A4D1DC6751}"/>
    <cellStyle name="Normal 2 3 4 2" xfId="2228" xr:uid="{DFF71F83-93CB-456C-B514-B300005CED45}"/>
    <cellStyle name="Normal 2 3 4 2 2" xfId="3117" xr:uid="{3535A845-C23F-43D7-8560-D242F353DC86}"/>
    <cellStyle name="Normal 2 3 4 2 3" xfId="3343" xr:uid="{31FDFEC6-849C-4C5F-B387-B6BF846C2F1C}"/>
    <cellStyle name="Normal 2 3 4 3" xfId="2996" xr:uid="{633D78B1-4F42-40D7-9CC6-CCFE4D0865BC}"/>
    <cellStyle name="Normal 2 3 4 4" xfId="3222" xr:uid="{205E4E61-FDCF-46D0-AED2-BF194A1386CE}"/>
    <cellStyle name="Normal 2 3 5" xfId="1084" xr:uid="{E733C5B5-884B-40D7-AA78-EB47324BB42B}"/>
    <cellStyle name="Normal 2 3 5 2" xfId="2229" xr:uid="{28BDC602-9D3C-43CB-B826-7433966F9E6B}"/>
    <cellStyle name="Normal 2 3 5 2 2" xfId="3118" xr:uid="{072161BD-2A38-41B7-B4CB-959638ABBC8F}"/>
    <cellStyle name="Normal 2 3 5 2 3" xfId="3344" xr:uid="{9D26577E-BE90-4E6A-84DF-6632027F2265}"/>
    <cellStyle name="Normal 2 3 5 3" xfId="2997" xr:uid="{4017D7E7-36C8-4BBE-AFCF-00D6B19E9886}"/>
    <cellStyle name="Normal 2 3 5 4" xfId="3223" xr:uid="{404DB424-1D62-4CC6-8158-B82A84127C87}"/>
    <cellStyle name="Normal 2 3 6" xfId="1085" xr:uid="{EDE627EE-AD68-48AF-9AA2-7110A4009550}"/>
    <cellStyle name="Normal 2 3 6 2" xfId="2230" xr:uid="{303C3824-29A5-4EB3-B57A-94166522716D}"/>
    <cellStyle name="Normal 2 3 6 2 2" xfId="3119" xr:uid="{ED123BC0-38A0-4511-98BC-6FB899D85081}"/>
    <cellStyle name="Normal 2 3 6 2 3" xfId="3345" xr:uid="{99840590-18AB-4E59-B6DD-EBBAD41FF92F}"/>
    <cellStyle name="Normal 2 3 6 3" xfId="2998" xr:uid="{D44DA4C8-0970-417D-96B3-97AFA6D64B1C}"/>
    <cellStyle name="Normal 2 3 6 4" xfId="3224" xr:uid="{ACAC0088-A154-4800-8150-F45653B3A691}"/>
    <cellStyle name="Normal 2 3 7" xfId="1086" xr:uid="{9B2028EE-746E-4C4E-BE98-5C5A4B0578FE}"/>
    <cellStyle name="Normal 2 3 7 2" xfId="2231" xr:uid="{FBFC5829-6EAD-490B-9D20-C01D5E1074C1}"/>
    <cellStyle name="Normal 2 3 7 2 2" xfId="3120" xr:uid="{72FDDC70-54FE-4063-B30C-D1C6EFC7787F}"/>
    <cellStyle name="Normal 2 3 7 2 3" xfId="3346" xr:uid="{5C9F30F3-C7A6-4BEA-B469-1590CA17C2DF}"/>
    <cellStyle name="Normal 2 3 7 3" xfId="2999" xr:uid="{8F5F9E63-48DB-4881-9C09-ED10F8E62757}"/>
    <cellStyle name="Normal 2 3 7 4" xfId="3225" xr:uid="{7A7A2B6F-A62D-4E64-AE90-6A328C53540B}"/>
    <cellStyle name="Normal 2 3 8" xfId="1087" xr:uid="{A6B1AB66-CC1C-4C30-918A-57887D91DCB8}"/>
    <cellStyle name="Normal 2 3 8 2" xfId="2232" xr:uid="{8423F077-4855-48DF-94CC-742F9CA7D824}"/>
    <cellStyle name="Normal 2 3 8 2 2" xfId="3121" xr:uid="{AC6645E7-DEAA-4D17-8C22-6FF774AAFD9D}"/>
    <cellStyle name="Normal 2 3 8 2 3" xfId="3347" xr:uid="{D3E24959-2E42-4F7F-A249-2DBB5B48DF8C}"/>
    <cellStyle name="Normal 2 3 8 3" xfId="3000" xr:uid="{39BF1CEF-265C-4029-82C6-8ECDA79D84C6}"/>
    <cellStyle name="Normal 2 3 8 4" xfId="3226" xr:uid="{AD708B92-5610-4BEF-B42C-F782AA4A5F55}"/>
    <cellStyle name="Normal 2 3 9" xfId="1088" xr:uid="{8AE2DB80-AC89-4A8A-9C0A-C317EA3A864D}"/>
    <cellStyle name="Normal 2 3 9 2" xfId="2233" xr:uid="{012EBEA3-9344-4212-885E-9DA1024AF949}"/>
    <cellStyle name="Normal 2 3 9 2 2" xfId="3122" xr:uid="{CEE00CB3-F234-458A-84F2-839D7014D726}"/>
    <cellStyle name="Normal 2 3 9 2 3" xfId="3348" xr:uid="{2AA3C2EA-2EF0-4F6C-9AB9-2303627CEF02}"/>
    <cellStyle name="Normal 2 3 9 3" xfId="3001" xr:uid="{D9A46E07-A9D6-461B-8147-9175E0B3825B}"/>
    <cellStyle name="Normal 2 3 9 4" xfId="3227" xr:uid="{F9C35DE6-92E9-4949-8699-194380A5A1E4}"/>
    <cellStyle name="Normal 2 4" xfId="114" xr:uid="{E282499E-7BFC-41FF-90CE-F42F06A6BA76}"/>
    <cellStyle name="Normal 2 4 10" xfId="1090" xr:uid="{92F449E2-B158-44F0-B929-7973737EF51D}"/>
    <cellStyle name="Normal 2 4 10 2" xfId="2235" xr:uid="{48582EB2-7443-4961-A35F-5118FFD8C48E}"/>
    <cellStyle name="Normal 2 4 10 2 2" xfId="3123" xr:uid="{620136E8-D744-47A7-938A-1F001E490A55}"/>
    <cellStyle name="Normal 2 4 10 2 3" xfId="3349" xr:uid="{30C1C63B-54C5-4AEC-B395-C4B670BCBDBC}"/>
    <cellStyle name="Normal 2 4 10 3" xfId="3002" xr:uid="{497A733E-98E3-42CB-AF04-884B07ADBAEB}"/>
    <cellStyle name="Normal 2 4 10 4" xfId="3228" xr:uid="{D520F3CC-EDA1-4127-B230-06188DDF2C58}"/>
    <cellStyle name="Normal 2 4 11" xfId="1091" xr:uid="{36FD7F06-82BD-417A-8704-B75DEE45EAFF}"/>
    <cellStyle name="Normal 2 4 11 2" xfId="2236" xr:uid="{789C32F0-3D97-4420-A0B7-137C784283D1}"/>
    <cellStyle name="Normal 2 4 11 2 2" xfId="3124" xr:uid="{0FC97D1C-CC13-4A17-BA45-49C81D634232}"/>
    <cellStyle name="Normal 2 4 11 2 3" xfId="3350" xr:uid="{0493EFB3-C4AE-48B6-8FAB-A02F00378B7A}"/>
    <cellStyle name="Normal 2 4 11 3" xfId="3003" xr:uid="{DFE755DB-B6EC-4983-8AAD-5AD15EDFEAEF}"/>
    <cellStyle name="Normal 2 4 11 4" xfId="3229" xr:uid="{7D13997E-1643-4EC5-8B36-B87280642DC6}"/>
    <cellStyle name="Normal 2 4 12" xfId="1092" xr:uid="{55C9CDB5-8FC2-4AFF-945D-2F3DF9D978D1}"/>
    <cellStyle name="Normal 2 4 12 2" xfId="2237" xr:uid="{92379343-DCD2-42FD-880D-7732D7CC977D}"/>
    <cellStyle name="Normal 2 4 12 2 2" xfId="3125" xr:uid="{14FE3819-2A07-4DA5-AEEC-FDFC86267F76}"/>
    <cellStyle name="Normal 2 4 12 2 3" xfId="3351" xr:uid="{3503FD30-A0A7-4A24-9E2E-BC761A72D83F}"/>
    <cellStyle name="Normal 2 4 12 3" xfId="3004" xr:uid="{0E965B4E-7DE6-4A56-A254-3369F37B0C19}"/>
    <cellStyle name="Normal 2 4 12 4" xfId="3230" xr:uid="{EDD49BC5-2CE2-40BF-8AB6-7E810B75D0A5}"/>
    <cellStyle name="Normal 2 4 13" xfId="1093" xr:uid="{8AC68C04-8CC5-407C-821F-D2FA3939ABFB}"/>
    <cellStyle name="Normal 2 4 13 2" xfId="2238" xr:uid="{37C94E93-AE2B-49C4-A95D-11DEBDEB4AA5}"/>
    <cellStyle name="Normal 2 4 13 2 2" xfId="3126" xr:uid="{15C6E781-DA11-4B6C-9E43-5451D1486FD3}"/>
    <cellStyle name="Normal 2 4 13 2 3" xfId="3352" xr:uid="{2E87448A-0634-462C-AC03-418BBDF820B8}"/>
    <cellStyle name="Normal 2 4 13 3" xfId="3005" xr:uid="{BBE8760A-3915-4213-A59F-6B63299DA784}"/>
    <cellStyle name="Normal 2 4 13 4" xfId="3231" xr:uid="{AFE0AE45-99C0-4922-B9FA-7C3D1CE4ACE0}"/>
    <cellStyle name="Normal 2 4 14" xfId="2234" xr:uid="{785975CA-489B-4B6C-B83C-F58AA669D277}"/>
    <cellStyle name="Normal 2 4 15" xfId="1089" xr:uid="{C8EBDD3A-4E2C-467F-9B86-BFE5C865C460}"/>
    <cellStyle name="Normal 2 4 2" xfId="1094" xr:uid="{D7F2E220-374F-478A-877E-6BF7804242F0}"/>
    <cellStyle name="Normal 2 4 2 2" xfId="2239" xr:uid="{2E7CC7DE-9BCD-41D2-9E29-7ED86ECED358}"/>
    <cellStyle name="Normal 2 4 2 2 2" xfId="3127" xr:uid="{BD513409-6C3C-460A-9B8F-68A0758F9F68}"/>
    <cellStyle name="Normal 2 4 2 2 3" xfId="3353" xr:uid="{95453CCC-708B-4461-9AB5-670DEE239B0E}"/>
    <cellStyle name="Normal 2 4 2 3" xfId="3006" xr:uid="{D86157CD-CDD3-47CE-843A-7A192F1146ED}"/>
    <cellStyle name="Normal 2 4 2 4" xfId="3232" xr:uid="{F9178746-BDCB-48CE-A851-63A210685B44}"/>
    <cellStyle name="Normal 2 4 3" xfId="1095" xr:uid="{A5AC1714-3BBF-4678-BFCE-6766E28F7DA9}"/>
    <cellStyle name="Normal 2 4 3 2" xfId="2240" xr:uid="{11B0E71E-719C-4689-B6BB-F47D09486861}"/>
    <cellStyle name="Normal 2 4 3 2 2" xfId="3128" xr:uid="{74D76C7C-4735-4574-9D1B-84C7DAFCEACD}"/>
    <cellStyle name="Normal 2 4 3 2 3" xfId="3354" xr:uid="{737C83BF-E356-46AE-B2B0-E791523119C8}"/>
    <cellStyle name="Normal 2 4 3 3" xfId="3007" xr:uid="{D3EB3AE4-C219-47B7-B975-E6E1B542386D}"/>
    <cellStyle name="Normal 2 4 3 4" xfId="3233" xr:uid="{A9BDDC75-CE1A-4702-936F-ED68A2399133}"/>
    <cellStyle name="Normal 2 4 4" xfId="1096" xr:uid="{FF17C051-C856-49AB-9FBA-94AF2DB66D36}"/>
    <cellStyle name="Normal 2 4 4 2" xfId="2241" xr:uid="{C187D319-FC88-4C6D-A631-3A7124F88584}"/>
    <cellStyle name="Normal 2 4 4 2 2" xfId="3129" xr:uid="{077C7C2E-9B41-4197-8287-86AB5A8C44FB}"/>
    <cellStyle name="Normal 2 4 4 2 3" xfId="3355" xr:uid="{F58AAD48-5EB1-4BE5-8FE6-A9FE48D4D67F}"/>
    <cellStyle name="Normal 2 4 4 3" xfId="3008" xr:uid="{428E4F8B-54FD-4FAD-BABB-16A5D48D278D}"/>
    <cellStyle name="Normal 2 4 4 4" xfId="3234" xr:uid="{875B720F-0EB4-4838-9E6F-7A4862E15B79}"/>
    <cellStyle name="Normal 2 4 5" xfId="1097" xr:uid="{CADF9288-0EF0-4DC3-9F33-09406B5F6D90}"/>
    <cellStyle name="Normal 2 4 5 2" xfId="2242" xr:uid="{66C8BFB1-F901-4A3C-A5C7-6FE42FACCD16}"/>
    <cellStyle name="Normal 2 4 5 2 2" xfId="3130" xr:uid="{31868B3E-B186-4FC2-9C45-41C0D437E47C}"/>
    <cellStyle name="Normal 2 4 5 2 3" xfId="3356" xr:uid="{82B22DA9-576C-4C53-AE2F-410637C8662F}"/>
    <cellStyle name="Normal 2 4 5 3" xfId="3009" xr:uid="{8DDE2B4F-5AEB-4086-87EA-B3DA8475176D}"/>
    <cellStyle name="Normal 2 4 5 4" xfId="3235" xr:uid="{DFEDB601-F804-4D23-AD2F-71B22100CC75}"/>
    <cellStyle name="Normal 2 4 6" xfId="1098" xr:uid="{C069D1CA-61F0-46EF-BAC8-27E0D89E84C3}"/>
    <cellStyle name="Normal 2 4 6 2" xfId="2243" xr:uid="{ADE143D0-EADA-43B8-805D-92A9757E4219}"/>
    <cellStyle name="Normal 2 4 6 2 2" xfId="3131" xr:uid="{31100940-84BA-4DA4-86CE-E6E1B7BA3D22}"/>
    <cellStyle name="Normal 2 4 6 2 3" xfId="3357" xr:uid="{14B7A31C-6502-4510-8C3D-E250BB4AFCFE}"/>
    <cellStyle name="Normal 2 4 6 3" xfId="3010" xr:uid="{B392DCDE-1177-48CC-B21B-56F08D68F41B}"/>
    <cellStyle name="Normal 2 4 6 4" xfId="3236" xr:uid="{638F2E51-7AB4-438E-A4D6-745CF79A6C3E}"/>
    <cellStyle name="Normal 2 4 7" xfId="1099" xr:uid="{783CF498-4736-46EC-8FCC-290C04E10A16}"/>
    <cellStyle name="Normal 2 4 7 2" xfId="2244" xr:uid="{324EB7AB-1649-4EB6-BF54-1D38DC03A53E}"/>
    <cellStyle name="Normal 2 4 7 2 2" xfId="3132" xr:uid="{585CEA4A-41FA-4599-B3E4-6C1732877656}"/>
    <cellStyle name="Normal 2 4 7 2 3" xfId="3358" xr:uid="{7BF35DA8-62FD-4DC0-B1AC-93390618E4C8}"/>
    <cellStyle name="Normal 2 4 7 3" xfId="3011" xr:uid="{AD61D89B-5164-4E58-9C8E-D60C6AAB1746}"/>
    <cellStyle name="Normal 2 4 7 4" xfId="3237" xr:uid="{D0ABBBEC-7312-4E63-A2BB-8DA3F1CB088E}"/>
    <cellStyle name="Normal 2 4 8" xfId="1100" xr:uid="{03743A2B-0DAD-497B-8C51-051D22968918}"/>
    <cellStyle name="Normal 2 4 8 2" xfId="2245" xr:uid="{A34662C3-87F3-43EB-B1DC-C7D36EC61D50}"/>
    <cellStyle name="Normal 2 4 8 2 2" xfId="3133" xr:uid="{E24EA513-7776-45E1-B4BC-E42001B10071}"/>
    <cellStyle name="Normal 2 4 8 2 3" xfId="3359" xr:uid="{82F139B0-48DD-496F-8588-67A475EB303E}"/>
    <cellStyle name="Normal 2 4 8 3" xfId="3012" xr:uid="{ED9261B8-0E76-4EA0-9E84-3F138EE72C51}"/>
    <cellStyle name="Normal 2 4 8 4" xfId="3238" xr:uid="{DCA0EA5A-ECFD-46D9-9208-FD556E538F5B}"/>
    <cellStyle name="Normal 2 4 9" xfId="1101" xr:uid="{7239FA22-A051-42FD-AEE3-C3F4FF7D89C0}"/>
    <cellStyle name="Normal 2 4 9 2" xfId="2246" xr:uid="{C3ABE539-16D1-4549-960B-B8E4DAA0184C}"/>
    <cellStyle name="Normal 2 4 9 2 2" xfId="3134" xr:uid="{A532EFDE-1E6D-41EC-A59C-ED60859CF06C}"/>
    <cellStyle name="Normal 2 4 9 2 3" xfId="3360" xr:uid="{1D3B2BC2-F2EA-4AA9-8B24-FDBDB675AC69}"/>
    <cellStyle name="Normal 2 4 9 3" xfId="3013" xr:uid="{B1421E11-E1C6-4C9E-AAEF-3ACA39B8CBFA}"/>
    <cellStyle name="Normal 2 4 9 4" xfId="3239" xr:uid="{BB308776-B7D1-4BE4-898D-7E47B0AC3269}"/>
    <cellStyle name="Normal 2 5" xfId="115" xr:uid="{A3B4AA8A-DED5-4DF7-AE04-8DE6B0758029}"/>
    <cellStyle name="Normal 2 5 2" xfId="2247" xr:uid="{9790A7E1-CFEF-4CBA-BCF8-6F1C385E68FA}"/>
    <cellStyle name="Normal 2 5 3" xfId="1102" xr:uid="{6E4A23F9-643E-4946-8291-0A01FE5568BB}"/>
    <cellStyle name="Normal 2 6" xfId="116" xr:uid="{33AD34BF-6D4D-4681-9D9C-6B40478FA630}"/>
    <cellStyle name="Normal 2 6 2" xfId="2248" xr:uid="{7C2EBCB5-2EF4-4B79-A898-8586E12D156E}"/>
    <cellStyle name="Normal 2 6 3" xfId="1103" xr:uid="{32A14A52-6AF0-4870-9E2A-8A252AD947C9}"/>
    <cellStyle name="Normal 2 7" xfId="117" xr:uid="{95126CF3-7C0B-4D53-95BD-C34586C74FFF}"/>
    <cellStyle name="Normal 2 7 2" xfId="2249" xr:uid="{24E58FB0-5D50-4FC1-918D-F4C35E83107B}"/>
    <cellStyle name="Normal 2 7 3" xfId="1104" xr:uid="{AF125148-D057-44D0-AA2E-E6B87ECAF4C9}"/>
    <cellStyle name="Normal 2 8" xfId="118" xr:uid="{9A54CE0B-5274-4B63-B8E4-F0D584595397}"/>
    <cellStyle name="Normal 2 8 2" xfId="2250" xr:uid="{9D20B9D8-F67F-4ABE-A8BF-369876454C8A}"/>
    <cellStyle name="Normal 2 8 3" xfId="1105" xr:uid="{40976324-31F6-42DF-AD6D-A2DE7958C413}"/>
    <cellStyle name="Normal 2 9" xfId="200" xr:uid="{4179B1CE-8604-4E3E-A78F-A38A8C3105F2}"/>
    <cellStyle name="Normal 2 9 2" xfId="2251" xr:uid="{2F81E629-7172-4290-9269-4BFCFECD0C29}"/>
    <cellStyle name="Normal 2_OTHsectors" xfId="119" xr:uid="{CF8CFB7B-C21A-4599-992D-3D0421B178E2}"/>
    <cellStyle name="Normal 20" xfId="1106" xr:uid="{4644FE27-BC5F-4B7B-A316-C3D2E378F3A9}"/>
    <cellStyle name="Normal 21" xfId="1107" xr:uid="{52438960-DB99-42F0-8A89-3AF87566DA27}"/>
    <cellStyle name="Normal 21 2" xfId="2252" xr:uid="{254BD7D8-B531-4F84-84ED-CBCC2E555F0F}"/>
    <cellStyle name="Normal 26" xfId="1108" xr:uid="{D06C86E9-FEE2-4120-98E7-5A44BA9F5EA4}"/>
    <cellStyle name="Normal 26 2" xfId="2253" xr:uid="{6B67E307-B222-412C-B459-A1D02AB715D7}"/>
    <cellStyle name="Normal 3" xfId="17" xr:uid="{00000000-0005-0000-0000-000011000000}"/>
    <cellStyle name="Normal 3 10" xfId="1110" xr:uid="{6372AD01-285D-4CB5-9CF4-3EC9C70B8BFE}"/>
    <cellStyle name="Normal 3 10 2" xfId="2255" xr:uid="{BDA81FCD-5D2C-43D3-A393-BE28144310DB}"/>
    <cellStyle name="Normal 3 11" xfId="1111" xr:uid="{3C8C37FA-77BA-4AB9-9E15-F1329BCA87F8}"/>
    <cellStyle name="Normal 3 11 2" xfId="2256" xr:uid="{63E80525-1AB9-4D86-A9E7-202084EE570A}"/>
    <cellStyle name="Normal 3 12" xfId="1112" xr:uid="{1F763B15-FFAC-4C05-B8E6-3C0A4F820904}"/>
    <cellStyle name="Normal 3 12 2" xfId="2257" xr:uid="{A66ED7EB-0973-4835-88B6-B7F795432EE4}"/>
    <cellStyle name="Normal 3 13" xfId="1113" xr:uid="{9BCBF890-B764-4FC8-AD0B-416C1ECF0F51}"/>
    <cellStyle name="Normal 3 13 2" xfId="2258" xr:uid="{968772A6-0690-420D-91FC-53673191F3E9}"/>
    <cellStyle name="Normal 3 14" xfId="2254" xr:uid="{08E3980A-2D48-44B6-A5FF-8925BEEF4794}"/>
    <cellStyle name="Normal 3 14 2" xfId="3135" xr:uid="{46CB350D-59A7-4133-B06A-486396360C95}"/>
    <cellStyle name="Normal 3 14 3" xfId="3361" xr:uid="{973970EA-97D2-49E8-A3F3-3ED9086FE4F5}"/>
    <cellStyle name="Normal 3 15" xfId="1109" xr:uid="{FE93D779-48C0-4D0E-953E-692CD971EECA}"/>
    <cellStyle name="Normal 3 16" xfId="3014" xr:uid="{BE4C3E01-891B-4B45-B51B-7777E114E839}"/>
    <cellStyle name="Normal 3 17" xfId="3240" xr:uid="{ED837BE3-00E2-4CA9-8E09-8F5EA61E55C2}"/>
    <cellStyle name="Normal 3 18" xfId="120" xr:uid="{CAD06282-1B33-41E9-B3D7-12D56C8CA419}"/>
    <cellStyle name="Normal 3 2" xfId="121" xr:uid="{3E1DBC05-F17D-4F74-9916-37B891EDEDA5}"/>
    <cellStyle name="Normal 3 2 10" xfId="1114" xr:uid="{1808B40C-586A-4357-8382-7537BA49D5C2}"/>
    <cellStyle name="Normal 3 2 2" xfId="122" xr:uid="{3C131C61-7DC7-47E2-A7BC-B914FDF8B935}"/>
    <cellStyle name="Normal 3 2 2 2" xfId="2260" xr:uid="{01CC2CBF-F0C8-4DBA-B053-589BA0B1C79C}"/>
    <cellStyle name="Normal 3 2 2 3" xfId="1115" xr:uid="{496BF2D2-5840-4DD7-8F71-F99484448E48}"/>
    <cellStyle name="Normal 3 2 3" xfId="1116" xr:uid="{5BE1022E-02E6-4E3B-A49A-BE81BE9D2388}"/>
    <cellStyle name="Normal 3 2 3 2" xfId="2261" xr:uid="{49BF1C8B-CF6C-4E1C-8E93-5415406AC70F}"/>
    <cellStyle name="Normal 3 2 4" xfId="1117" xr:uid="{50C93346-6FA2-4BB2-9E32-732CC3FCDB1B}"/>
    <cellStyle name="Normal 3 2 4 2" xfId="2262" xr:uid="{6E0B027F-AFBA-4136-BB06-5B13F795CC02}"/>
    <cellStyle name="Normal 3 2 5" xfId="1118" xr:uid="{11C8BCB2-B3E9-4362-9741-F7495FB8F891}"/>
    <cellStyle name="Normal 3 2 5 2" xfId="2263" xr:uid="{3E82CED9-5DB5-40D2-BA66-0060E7B74B87}"/>
    <cellStyle name="Normal 3 2 6" xfId="1119" xr:uid="{9DE9982E-FD38-449D-B7A3-D1111420A3B0}"/>
    <cellStyle name="Normal 3 2 6 2" xfId="2264" xr:uid="{AE9FF2E2-DD83-4B95-988B-E119E8EB09AE}"/>
    <cellStyle name="Normal 3 2 7" xfId="1120" xr:uid="{94070F51-3D6E-4B95-8E8E-72C96743AB6F}"/>
    <cellStyle name="Normal 3 2 7 2" xfId="2265" xr:uid="{D173E385-7DDD-48EA-B7D4-E36C51F63CA8}"/>
    <cellStyle name="Normal 3 2 8" xfId="1121" xr:uid="{27237E83-7650-4952-9774-A34D584F114D}"/>
    <cellStyle name="Normal 3 2 8 2" xfId="2266" xr:uid="{EC95EECB-B5CE-442F-931C-CEB04EC1C04D}"/>
    <cellStyle name="Normal 3 2 9" xfId="2259" xr:uid="{DAB9AAC8-E2B7-4081-B215-6DBE188653A2}"/>
    <cellStyle name="Normal 3 3" xfId="123" xr:uid="{391EE6BB-46E2-40B7-8952-6EED9A79658E}"/>
    <cellStyle name="Normal 3 3 10" xfId="1122" xr:uid="{3010481A-20F8-4D81-B785-23977331F235}"/>
    <cellStyle name="Normal 3 3 2" xfId="1123" xr:uid="{08628371-728F-4C76-8BE9-0A6FDD56F2A0}"/>
    <cellStyle name="Normal 3 3 2 2" xfId="2268" xr:uid="{39BC4BAE-E6CF-4B2A-95DF-DBB7540794E0}"/>
    <cellStyle name="Normal 3 3 3" xfId="1124" xr:uid="{2EC9B566-EC3B-4742-A623-55CBEC5A24E8}"/>
    <cellStyle name="Normal 3 3 3 2" xfId="2269" xr:uid="{1E7B14BB-49F9-4AB4-AA93-3D433D80B6AB}"/>
    <cellStyle name="Normal 3 3 4" xfId="1125" xr:uid="{AE785503-287B-4467-B094-DF4C7C5DAD77}"/>
    <cellStyle name="Normal 3 3 4 2" xfId="2270" xr:uid="{3DA64DD2-C4B5-4B1A-B2B8-7EF891DE57D2}"/>
    <cellStyle name="Normal 3 3 5" xfId="1126" xr:uid="{812A44E3-DD69-45B4-97A7-0906291DA03D}"/>
    <cellStyle name="Normal 3 3 5 2" xfId="2271" xr:uid="{C168DA5A-3471-4FB9-BB4F-36C55AD1E735}"/>
    <cellStyle name="Normal 3 3 6" xfId="1127" xr:uid="{4334EC7C-8819-4B46-A719-1DBF8600C4A0}"/>
    <cellStyle name="Normal 3 3 6 2" xfId="2272" xr:uid="{0D402AD8-87BB-474E-98C2-967F2A882395}"/>
    <cellStyle name="Normal 3 3 7" xfId="1128" xr:uid="{9EB322C6-8026-4B9A-AD4B-918B56806692}"/>
    <cellStyle name="Normal 3 3 7 2" xfId="2273" xr:uid="{76A5AAE7-4AFE-4259-BBD3-607426B4CAB5}"/>
    <cellStyle name="Normal 3 3 8" xfId="1129" xr:uid="{E70C6986-01F2-4A5D-8CB7-59A3B7676406}"/>
    <cellStyle name="Normal 3 3 8 2" xfId="2274" xr:uid="{F1EAC9ED-2D29-4711-A36C-C281D1ED766E}"/>
    <cellStyle name="Normal 3 3 9" xfId="2267" xr:uid="{0FBB22B4-D7B4-4FE0-B984-A6505E9B2246}"/>
    <cellStyle name="Normal 3 4" xfId="124" xr:uid="{C5CA7C53-77DB-4763-98A5-F6E9E46CA217}"/>
    <cellStyle name="Normal 3 4 10" xfId="1130" xr:uid="{DD650A24-E848-4733-8DC3-53A4CB083A84}"/>
    <cellStyle name="Normal 3 4 2" xfId="125" xr:uid="{26160909-78D4-4F55-AE39-69BB9E79FD0C}"/>
    <cellStyle name="Normal 3 4 2 2" xfId="2276" xr:uid="{1B66251D-0EF7-40B0-B02F-CE61B2A927D0}"/>
    <cellStyle name="Normal 3 4 2 3" xfId="1131" xr:uid="{BA35463D-0126-4CED-AE9D-29136F533152}"/>
    <cellStyle name="Normal 3 4 3" xfId="1132" xr:uid="{1350739D-1CAC-4B39-BB67-D1B50B257347}"/>
    <cellStyle name="Normal 3 4 3 2" xfId="2277" xr:uid="{5FFF451A-22B3-4545-A4D4-379415755239}"/>
    <cellStyle name="Normal 3 4 4" xfId="1133" xr:uid="{61BFB9A6-B634-4A3C-BC06-DAFC9BAB7B00}"/>
    <cellStyle name="Normal 3 4 4 2" xfId="2278" xr:uid="{7F5BC6C6-D30C-46B3-9FFD-28E1E7B6A10E}"/>
    <cellStyle name="Normal 3 4 5" xfId="1134" xr:uid="{D65A6234-407A-4A62-986E-82A28AA6B29E}"/>
    <cellStyle name="Normal 3 4 5 2" xfId="2279" xr:uid="{6749C9AC-8A78-4280-B956-36D9EE60407E}"/>
    <cellStyle name="Normal 3 4 6" xfId="1135" xr:uid="{2821E2BF-BFB9-402D-A050-C2FF5701B31B}"/>
    <cellStyle name="Normal 3 4 6 2" xfId="2280" xr:uid="{7C800701-BE9C-4470-94EE-84D649D02D16}"/>
    <cellStyle name="Normal 3 4 7" xfId="1136" xr:uid="{83FADEC1-74AD-415F-9910-4119B7EE34D6}"/>
    <cellStyle name="Normal 3 4 7 2" xfId="2281" xr:uid="{C5A83874-55AD-441F-A4DE-1BA568E7BF88}"/>
    <cellStyle name="Normal 3 4 8" xfId="1137" xr:uid="{39B10468-2A98-44C4-973E-5AE7C6DE4BC9}"/>
    <cellStyle name="Normal 3 4 8 2" xfId="2282" xr:uid="{3CA22AEA-109F-47FF-BF42-9FE2D48BFC2F}"/>
    <cellStyle name="Normal 3 4 9" xfId="2275" xr:uid="{AFA98F11-624E-4FEB-AD23-EA551676B765}"/>
    <cellStyle name="Normal 3 5" xfId="126" xr:uid="{D8264A4B-437B-4C3C-81B4-665C869C0091}"/>
    <cellStyle name="Normal 3 5 10" xfId="1138" xr:uid="{D37975D9-5CB6-4095-B40B-34A7CAE0B73B}"/>
    <cellStyle name="Normal 3 5 2" xfId="1139" xr:uid="{D06432ED-7317-4F3B-AA64-039DF576C6D2}"/>
    <cellStyle name="Normal 3 5 2 2" xfId="2284" xr:uid="{BF7E1716-F0F7-4486-AC60-1F8EEE6529C6}"/>
    <cellStyle name="Normal 3 5 3" xfId="1140" xr:uid="{9EA2BA09-FA43-4786-85C8-5F7D1DAA77D3}"/>
    <cellStyle name="Normal 3 5 3 2" xfId="2285" xr:uid="{17DD0FCF-4FFC-4A62-96BD-9FAEBA5BA42D}"/>
    <cellStyle name="Normal 3 5 4" xfId="1141" xr:uid="{4CDCF4EC-90FF-4594-99F4-F4B9DE21786E}"/>
    <cellStyle name="Normal 3 5 4 2" xfId="2286" xr:uid="{8E002130-CF75-48CB-B2C5-999E34DC730A}"/>
    <cellStyle name="Normal 3 5 5" xfId="1142" xr:uid="{C8091467-75BA-4FF8-8E2B-0D18292A7E43}"/>
    <cellStyle name="Normal 3 5 5 2" xfId="2287" xr:uid="{10658030-A294-4B2F-8189-D548470ABF91}"/>
    <cellStyle name="Normal 3 5 6" xfId="1143" xr:uid="{73978A31-5D1E-4814-91A4-5B426C2CE824}"/>
    <cellStyle name="Normal 3 5 6 2" xfId="2288" xr:uid="{753562FA-8206-40A4-9AA1-9A764079ED51}"/>
    <cellStyle name="Normal 3 5 7" xfId="1144" xr:uid="{702E58E0-FC02-4992-84E6-AC1E78FFD35E}"/>
    <cellStyle name="Normal 3 5 7 2" xfId="2289" xr:uid="{C6B8602E-01F8-4494-8AC1-777020F37BB8}"/>
    <cellStyle name="Normal 3 5 8" xfId="1145" xr:uid="{8F236FC6-F64D-445F-9E2A-94FEF5EFDE9A}"/>
    <cellStyle name="Normal 3 5 8 2" xfId="2290" xr:uid="{B0B20C82-C19B-4C5B-BD12-36C96191AB53}"/>
    <cellStyle name="Normal 3 5 9" xfId="2283" xr:uid="{CB06E2A0-FDF7-495C-A615-3411CB62DB9B}"/>
    <cellStyle name="Normal 3 6" xfId="208" xr:uid="{EA1382DC-B81B-4150-8483-1CC1E15233BF}"/>
    <cellStyle name="Normal 3 6 2" xfId="2291" xr:uid="{806E92A4-F741-4B2E-9F79-9C916FC0A350}"/>
    <cellStyle name="Normal 3 6 3" xfId="1146" xr:uid="{FAF9BC90-E058-414D-A21C-3CE6372F47F2}"/>
    <cellStyle name="Normal 3 7" xfId="1147" xr:uid="{18F5B05E-B0D2-481F-B088-D1DBCEE54855}"/>
    <cellStyle name="Normal 3 7 2" xfId="2292" xr:uid="{98156971-2B85-447C-971F-E2C14C2E60AE}"/>
    <cellStyle name="Normal 3 8" xfId="1148" xr:uid="{AB119FC2-143A-45D0-8C8F-F3DE4EF362C5}"/>
    <cellStyle name="Normal 3 8 2" xfId="2293" xr:uid="{542E130F-B389-4992-9DBB-EAC49B914B10}"/>
    <cellStyle name="Normal 3 9" xfId="1149" xr:uid="{E9B30F8B-1347-442A-9D0A-5BD93EC0D8CF}"/>
    <cellStyle name="Normal 3 9 2" xfId="2294" xr:uid="{148118D0-BAF1-439E-9AEF-57ADF0C33DF1}"/>
    <cellStyle name="Normal 4" xfId="18" xr:uid="{00000000-0005-0000-0000-000012000000}"/>
    <cellStyle name="Normal 4 10" xfId="1151" xr:uid="{0C3FC939-CCDC-4A09-9953-5E5613199606}"/>
    <cellStyle name="Normal 4 10 2" xfId="2296" xr:uid="{8231ED5C-EBBA-44F0-B91F-4F6E5D8BEFC3}"/>
    <cellStyle name="Normal 4 11" xfId="1152" xr:uid="{B6A9C19A-44C6-48EB-8BD2-7A044F2F6834}"/>
    <cellStyle name="Normal 4 11 2" xfId="2297" xr:uid="{DAE1B4ED-039D-428D-A6B8-F2C24921F6CD}"/>
    <cellStyle name="Normal 4 12" xfId="1153" xr:uid="{B8C80549-2623-40C2-906C-3880EA72D112}"/>
    <cellStyle name="Normal 4 12 2" xfId="2298" xr:uid="{2D3F4939-40A2-4C8A-A1A1-F9AA94184A83}"/>
    <cellStyle name="Normal 4 13" xfId="2295" xr:uid="{CA86F1BE-DBA0-45BF-B6A1-A1BD988BDD44}"/>
    <cellStyle name="Normal 4 14" xfId="1150" xr:uid="{349A9331-1FA7-4BEE-934A-3BFD012BF6BB}"/>
    <cellStyle name="Normal 4 15" xfId="3403" xr:uid="{0E525D4D-3AFD-40CF-95E1-FBBC9A851C0B}"/>
    <cellStyle name="Normal 4 16" xfId="127" xr:uid="{3D22DA2D-4DFF-4530-9922-8BC83745206A}"/>
    <cellStyle name="Normal 4 2" xfId="128" xr:uid="{B53FC711-5821-4D0A-A343-6453C47D6BD6}"/>
    <cellStyle name="Normal 4 2 10" xfId="1154" xr:uid="{6167D958-8497-42D8-8B96-4DC54242E5B0}"/>
    <cellStyle name="Normal 4 2 2" xfId="1155" xr:uid="{17DA0DF0-8419-4ADB-A6EF-626A4BEC8986}"/>
    <cellStyle name="Normal 4 2 2 10" xfId="1156" xr:uid="{238A0E78-A0CB-4876-89BE-5C1A774458B9}"/>
    <cellStyle name="Normal 4 2 2 10 2" xfId="2301" xr:uid="{938A551C-2CF3-49A9-9BA8-277406A80823}"/>
    <cellStyle name="Normal 4 2 2 10 2 2" xfId="3136" xr:uid="{D5F50724-4659-4CE3-96B8-920FA2AA37DC}"/>
    <cellStyle name="Normal 4 2 2 10 2 3" xfId="3362" xr:uid="{B0830B8E-C512-4BB0-98C1-C7982B1A1EBE}"/>
    <cellStyle name="Normal 4 2 2 10 3" xfId="3015" xr:uid="{97C4BEB9-F088-4EF8-98B3-2F79AEF1D5B3}"/>
    <cellStyle name="Normal 4 2 2 10 4" xfId="3241" xr:uid="{60292BA4-08BD-40D6-81C0-41906FB157B5}"/>
    <cellStyle name="Normal 4 2 2 11" xfId="1157" xr:uid="{D50092FF-0E16-40AD-827A-D9BCB36D65C2}"/>
    <cellStyle name="Normal 4 2 2 11 2" xfId="2302" xr:uid="{2F1D1BF8-80D1-4CF3-9857-8875AD35B3F4}"/>
    <cellStyle name="Normal 4 2 2 11 2 2" xfId="3137" xr:uid="{27081E33-13F0-44F1-A9DC-1AE097F07654}"/>
    <cellStyle name="Normal 4 2 2 11 2 3" xfId="3363" xr:uid="{BB3856F3-8353-4C85-9770-2AC3F40B26A7}"/>
    <cellStyle name="Normal 4 2 2 11 3" xfId="3016" xr:uid="{E060FA77-C550-4CD1-9C78-D1024A9CEF8F}"/>
    <cellStyle name="Normal 4 2 2 11 4" xfId="3242" xr:uid="{C4A69FA8-F0CE-43F8-AC4D-3682C98C70D5}"/>
    <cellStyle name="Normal 4 2 2 12" xfId="1158" xr:uid="{68C39835-75B4-4D55-92DE-388BA17853F4}"/>
    <cellStyle name="Normal 4 2 2 12 2" xfId="2303" xr:uid="{675B423F-87B0-4473-9A2B-578189910F95}"/>
    <cellStyle name="Normal 4 2 2 12 2 2" xfId="3138" xr:uid="{FD46E77F-9D37-46CE-A141-3C9E9D5E04B6}"/>
    <cellStyle name="Normal 4 2 2 12 2 3" xfId="3364" xr:uid="{2D15D536-E240-4A3B-95C1-A0EE3CA1D975}"/>
    <cellStyle name="Normal 4 2 2 12 3" xfId="3017" xr:uid="{A11E0580-F93D-4394-8AC8-EF69D7BCDE36}"/>
    <cellStyle name="Normal 4 2 2 12 4" xfId="3243" xr:uid="{8A69157E-660C-4D8D-9957-62E6E6C20C4B}"/>
    <cellStyle name="Normal 4 2 2 13" xfId="1159" xr:uid="{BF3F59F5-9EF4-42CC-B975-D97020FCEB3E}"/>
    <cellStyle name="Normal 4 2 2 13 2" xfId="2304" xr:uid="{F1C8D4AA-97DF-4160-918D-D25C511851B3}"/>
    <cellStyle name="Normal 4 2 2 13 2 2" xfId="3139" xr:uid="{A0AD753A-21D5-46AF-BCFF-959F3FF00B52}"/>
    <cellStyle name="Normal 4 2 2 13 2 3" xfId="3365" xr:uid="{4F4C9B69-3D5C-4B99-9818-6AB12D9ACF53}"/>
    <cellStyle name="Normal 4 2 2 13 3" xfId="3018" xr:uid="{D4573080-75B9-4455-A475-950CA1ED8B0E}"/>
    <cellStyle name="Normal 4 2 2 13 4" xfId="3244" xr:uid="{015CB061-C2D0-4684-BC1E-FAA726BB2346}"/>
    <cellStyle name="Normal 4 2 2 14" xfId="2300" xr:uid="{25210985-313E-46A0-827D-FEDAC4869F31}"/>
    <cellStyle name="Normal 4 2 2 2" xfId="1160" xr:uid="{1365CE23-2197-4055-8CCA-44CEDC90E9DD}"/>
    <cellStyle name="Normal 4 2 2 2 10" xfId="1161" xr:uid="{961C3708-60C3-4E79-B752-1A622E6AB56F}"/>
    <cellStyle name="Normal 4 2 2 2 10 2" xfId="2306" xr:uid="{A67F962C-51B3-4EE0-8D16-6A8AAF96E2AC}"/>
    <cellStyle name="Normal 4 2 2 2 11" xfId="1162" xr:uid="{E851ACED-3976-4654-B0B4-D66EF2949BCF}"/>
    <cellStyle name="Normal 4 2 2 2 11 2" xfId="2307" xr:uid="{2FD41037-3DA3-4E9A-9DD0-348D2BDA7473}"/>
    <cellStyle name="Normal 4 2 2 2 12" xfId="1163" xr:uid="{6992EF7F-1C11-4CBD-96C0-E83F59366204}"/>
    <cellStyle name="Normal 4 2 2 2 12 2" xfId="2308" xr:uid="{B8FB7BC3-EE62-4D60-9B21-375C4591D3DF}"/>
    <cellStyle name="Normal 4 2 2 2 13" xfId="1164" xr:uid="{4187FDAD-1FCF-4E08-B889-BC81CF49D59F}"/>
    <cellStyle name="Normal 4 2 2 2 13 2" xfId="2309" xr:uid="{3797A0C1-BE75-4B31-B0C3-BE0508FC63F9}"/>
    <cellStyle name="Normal 4 2 2 2 14" xfId="2305" xr:uid="{42F6D17E-8332-484C-B365-1F9EF4EC0273}"/>
    <cellStyle name="Normal 4 2 2 2 14 2" xfId="3140" xr:uid="{55FB1218-61AA-4B1C-8F11-B9BAD615E330}"/>
    <cellStyle name="Normal 4 2 2 2 14 3" xfId="3366" xr:uid="{2448C082-72FF-4CD0-BD05-770BDCA86242}"/>
    <cellStyle name="Normal 4 2 2 2 15" xfId="3019" xr:uid="{6C6DE6C7-324F-442C-B787-194BD8691669}"/>
    <cellStyle name="Normal 4 2 2 2 16" xfId="3245" xr:uid="{ACC922A2-4CD5-4E6D-BE78-0ADBAAFFECEC}"/>
    <cellStyle name="Normal 4 2 2 2 2" xfId="1165" xr:uid="{FDEECE46-5CBF-4248-BEA5-B137D5E636DE}"/>
    <cellStyle name="Normal 4 2 2 2 2 2" xfId="2310" xr:uid="{A74BCEA3-26E4-47B7-93B1-28AFCCB24B24}"/>
    <cellStyle name="Normal 4 2 2 2 3" xfId="1166" xr:uid="{DD5888F9-40A0-4D1C-89F2-29A551094082}"/>
    <cellStyle name="Normal 4 2 2 2 3 2" xfId="2311" xr:uid="{38C70E6B-75D7-4242-98F9-4178BEEFB1A0}"/>
    <cellStyle name="Normal 4 2 2 2 4" xfId="1167" xr:uid="{B04D21EE-887E-4C59-87FA-DDF001BB0412}"/>
    <cellStyle name="Normal 4 2 2 2 4 2" xfId="2312" xr:uid="{FBD67D96-6387-47ED-91CA-99044C8DC7A7}"/>
    <cellStyle name="Normal 4 2 2 2 5" xfId="1168" xr:uid="{67317960-B96B-4BB0-97F2-7E6B842CAA45}"/>
    <cellStyle name="Normal 4 2 2 2 5 2" xfId="2313" xr:uid="{10A66DE8-9A47-4DB1-8AB2-5440BEFCCC5A}"/>
    <cellStyle name="Normal 4 2 2 2 6" xfId="1169" xr:uid="{EF23230A-E130-47EF-9849-E5DBEDA09430}"/>
    <cellStyle name="Normal 4 2 2 2 6 2" xfId="2314" xr:uid="{405ADC19-7163-4B40-9CCB-8CCCE3CCFC5A}"/>
    <cellStyle name="Normal 4 2 2 2 7" xfId="1170" xr:uid="{270E0DA9-6991-4B9C-9429-C90AB01F62A2}"/>
    <cellStyle name="Normal 4 2 2 2 7 2" xfId="2315" xr:uid="{332F2AD7-F452-4694-8CAA-82C7FE758B21}"/>
    <cellStyle name="Normal 4 2 2 2 8" xfId="1171" xr:uid="{92A17361-2AC5-4DCE-BF3E-ED6FBFB3FFE7}"/>
    <cellStyle name="Normal 4 2 2 2 8 2" xfId="2316" xr:uid="{4F8547B3-BE50-410A-BA6A-BFE640B9306B}"/>
    <cellStyle name="Normal 4 2 2 2 9" xfId="1172" xr:uid="{4A0887FD-1CD1-4D28-B877-21C036489C9E}"/>
    <cellStyle name="Normal 4 2 2 2 9 2" xfId="2317" xr:uid="{EBAA9920-3C99-4913-9116-D9DD50641B78}"/>
    <cellStyle name="Normal 4 2 2 3" xfId="1173" xr:uid="{DD7DD752-EFFC-48C4-94FF-ED5D7F79F38A}"/>
    <cellStyle name="Normal 4 2 2 3 2" xfId="2318" xr:uid="{D3BCECD1-E061-4FD2-BE71-4195FE8778EC}"/>
    <cellStyle name="Normal 4 2 2 3 2 2" xfId="3141" xr:uid="{BDA681FD-38D0-4D48-995F-E356DDA3E94F}"/>
    <cellStyle name="Normal 4 2 2 3 2 3" xfId="3367" xr:uid="{98B91E90-3902-4397-8656-68B567ECE3D4}"/>
    <cellStyle name="Normal 4 2 2 3 3" xfId="3020" xr:uid="{5B2FD242-03C1-4F85-9A18-0A8E9222FBE5}"/>
    <cellStyle name="Normal 4 2 2 3 4" xfId="3246" xr:uid="{3BAB6636-1A08-40B0-A4B4-2ADFE04A9F7C}"/>
    <cellStyle name="Normal 4 2 2 4" xfId="1174" xr:uid="{5B980405-E3F9-4E1D-AB76-DE0149538E09}"/>
    <cellStyle name="Normal 4 2 2 4 2" xfId="2319" xr:uid="{5B8C869C-E03C-460B-9FCA-B4970800454B}"/>
    <cellStyle name="Normal 4 2 2 4 2 2" xfId="3142" xr:uid="{1FE21944-07A5-4D5E-975D-DBBF986269CA}"/>
    <cellStyle name="Normal 4 2 2 4 2 3" xfId="3368" xr:uid="{F2DA407E-85AF-43AA-A9F1-47BC0217CD41}"/>
    <cellStyle name="Normal 4 2 2 4 3" xfId="3021" xr:uid="{BB6BE731-6CEA-42B3-8AE7-8482EA85E499}"/>
    <cellStyle name="Normal 4 2 2 4 4" xfId="3247" xr:uid="{4408E8A7-0152-4B9E-B7BC-5A47D04CC41E}"/>
    <cellStyle name="Normal 4 2 2 5" xfId="1175" xr:uid="{2B556928-364C-4246-93A4-4071D42E5479}"/>
    <cellStyle name="Normal 4 2 2 5 2" xfId="2320" xr:uid="{7A8AA944-6376-43CA-B56D-9562031934A2}"/>
    <cellStyle name="Normal 4 2 2 5 2 2" xfId="3143" xr:uid="{95B445DB-D6FB-4A0F-AA19-9EDD9E7FF805}"/>
    <cellStyle name="Normal 4 2 2 5 2 3" xfId="3369" xr:uid="{39DA2632-56EB-40B9-858C-51966A543635}"/>
    <cellStyle name="Normal 4 2 2 5 3" xfId="3022" xr:uid="{C9572213-FCD2-4B88-886D-B8A9FCF172B2}"/>
    <cellStyle name="Normal 4 2 2 5 4" xfId="3248" xr:uid="{4D629908-250D-403E-8135-4BC7FD5A2E54}"/>
    <cellStyle name="Normal 4 2 2 6" xfId="1176" xr:uid="{B9C0AE09-6063-4501-BB3E-602D1AEBDA6D}"/>
    <cellStyle name="Normal 4 2 2 6 2" xfId="2321" xr:uid="{9888F173-2AE8-4AF2-9544-4DAF2AACC61C}"/>
    <cellStyle name="Normal 4 2 2 6 2 2" xfId="3144" xr:uid="{66C2DDEC-A020-4416-B5F6-31CDFBDE6AB5}"/>
    <cellStyle name="Normal 4 2 2 6 2 3" xfId="3370" xr:uid="{E0CA4E03-3C45-4D68-9562-D8FCCA75954E}"/>
    <cellStyle name="Normal 4 2 2 6 3" xfId="3023" xr:uid="{65890B56-031C-4BAF-8A97-E0E5C7CD80ED}"/>
    <cellStyle name="Normal 4 2 2 6 4" xfId="3249" xr:uid="{477C1E3F-A9D9-43C4-8356-C9E8174E1569}"/>
    <cellStyle name="Normal 4 2 2 7" xfId="1177" xr:uid="{9FFD9668-0C3B-4FA0-980C-390BEF18C0A6}"/>
    <cellStyle name="Normal 4 2 2 7 2" xfId="2322" xr:uid="{849AE179-9884-47F4-B521-2DAA51315E8F}"/>
    <cellStyle name="Normal 4 2 2 7 2 2" xfId="3145" xr:uid="{9686AEBD-3511-430D-9400-874D5DD7822B}"/>
    <cellStyle name="Normal 4 2 2 7 2 3" xfId="3371" xr:uid="{3CA4A59A-534C-4B64-9E1F-0B208018B616}"/>
    <cellStyle name="Normal 4 2 2 7 3" xfId="3024" xr:uid="{15938212-9C5C-40A5-9A5A-9073257845D3}"/>
    <cellStyle name="Normal 4 2 2 7 4" xfId="3250" xr:uid="{8F5F7CAC-6741-49AB-9832-5EAD5CC82EE3}"/>
    <cellStyle name="Normal 4 2 2 8" xfId="1178" xr:uid="{1F8A4AB5-4718-4784-9DC4-94C36DE0FAA3}"/>
    <cellStyle name="Normal 4 2 2 8 2" xfId="2323" xr:uid="{DB1700AA-E727-4C6C-B3EE-198094E6AD5B}"/>
    <cellStyle name="Normal 4 2 2 8 2 2" xfId="3146" xr:uid="{5D7A03DC-078C-4B5C-AB5B-F31BD455DBDB}"/>
    <cellStyle name="Normal 4 2 2 8 2 3" xfId="3372" xr:uid="{2CDCFD84-01C6-4025-9842-6C40ED5205B2}"/>
    <cellStyle name="Normal 4 2 2 8 3" xfId="3025" xr:uid="{65CD6550-AC93-4A00-8F99-175D8CCE450C}"/>
    <cellStyle name="Normal 4 2 2 8 4" xfId="3251" xr:uid="{D3EA16AC-0018-452D-9893-9899BEF0A558}"/>
    <cellStyle name="Normal 4 2 2 9" xfId="1179" xr:uid="{B5E3C9AD-4483-42F5-8232-1A6DC50058C8}"/>
    <cellStyle name="Normal 4 2 2 9 2" xfId="2324" xr:uid="{D4246219-42CD-45B0-8A2C-26CD55CAF291}"/>
    <cellStyle name="Normal 4 2 2 9 2 2" xfId="3147" xr:uid="{9FAEF8E3-8E3A-42C9-AFBC-1D26F0DF18C6}"/>
    <cellStyle name="Normal 4 2 2 9 2 3" xfId="3373" xr:uid="{ADB86216-02B3-4D13-BC06-86857FDF9E00}"/>
    <cellStyle name="Normal 4 2 2 9 3" xfId="3026" xr:uid="{08179666-A63F-4447-92FF-E3653F662ADB}"/>
    <cellStyle name="Normal 4 2 2 9 4" xfId="3252" xr:uid="{79065CB2-0D78-410C-BCF1-B779837E3DC6}"/>
    <cellStyle name="Normal 4 2 3" xfId="1180" xr:uid="{52240472-7F00-4599-8E6B-076588D052AE}"/>
    <cellStyle name="Normal 4 2 3 2" xfId="2325" xr:uid="{8DD3836A-63F1-46A2-9183-03533EB2289F}"/>
    <cellStyle name="Normal 4 2 4" xfId="1181" xr:uid="{617D3C1D-B456-4F67-B509-B4FD7CD0CD98}"/>
    <cellStyle name="Normal 4 2 4 2" xfId="2326" xr:uid="{19D19B5E-B428-4F68-8E67-3B11B5725421}"/>
    <cellStyle name="Normal 4 2 5" xfId="1182" xr:uid="{080D074E-D798-4AED-B3D0-8260B57D95A8}"/>
    <cellStyle name="Normal 4 2 5 2" xfId="2327" xr:uid="{4245347F-E66A-4DD2-919B-DFDDC5C21B96}"/>
    <cellStyle name="Normal 4 2 6" xfId="1183" xr:uid="{1D83F6F1-875D-4ADC-8E6D-833D16E73B53}"/>
    <cellStyle name="Normal 4 2 6 2" xfId="2328" xr:uid="{8FF26FED-D6F6-4488-A2E5-3B776BF0266A}"/>
    <cellStyle name="Normal 4 2 7" xfId="1184" xr:uid="{08729ACE-3D72-49B1-9E5F-56BDE1BD81D3}"/>
    <cellStyle name="Normal 4 2 7 2" xfId="2329" xr:uid="{947C5E1D-8737-437D-8F24-E1FC46A0D6F3}"/>
    <cellStyle name="Normal 4 2 8" xfId="1185" xr:uid="{D7F98DD2-6C29-4F3F-89C5-26948026FCF1}"/>
    <cellStyle name="Normal 4 2 8 2" xfId="2330" xr:uid="{7FD836F3-96A6-4C54-ACF5-CFAF30347F2B}"/>
    <cellStyle name="Normal 4 2 9" xfId="2299" xr:uid="{B04F2A42-99B5-4152-AE50-EF04621F8379}"/>
    <cellStyle name="Normal 4 3" xfId="129" xr:uid="{38026147-7CA9-47EC-B98C-8501242EA9A0}"/>
    <cellStyle name="Normal 4 3 10" xfId="1186" xr:uid="{5A04071E-5278-44B8-989F-11B6CF9047E4}"/>
    <cellStyle name="Normal 4 3 2" xfId="1187" xr:uid="{55E16FDA-C8C9-42F9-A816-9D8E8C17B328}"/>
    <cellStyle name="Normal 4 3 2 2" xfId="2332" xr:uid="{B9F1FE3F-7E9F-4C19-A1E8-C31A5C3FF033}"/>
    <cellStyle name="Normal 4 3 3" xfId="1188" xr:uid="{AF4F19B1-D607-4DD4-AF47-7918FD597A03}"/>
    <cellStyle name="Normal 4 3 3 2" xfId="2333" xr:uid="{380B9B16-B38B-403D-874C-551F343AAE8E}"/>
    <cellStyle name="Normal 4 3 4" xfId="1189" xr:uid="{0614355B-FA48-4317-87FD-5D274A270808}"/>
    <cellStyle name="Normal 4 3 4 2" xfId="2334" xr:uid="{A3771CCB-134B-4F80-8E65-8FA4B92C2D5C}"/>
    <cellStyle name="Normal 4 3 5" xfId="1190" xr:uid="{4981C74F-CCBB-413D-BB12-F1548EE18293}"/>
    <cellStyle name="Normal 4 3 5 2" xfId="2335" xr:uid="{64BB3770-F1A3-4AB7-A9CF-7AF8A27F6097}"/>
    <cellStyle name="Normal 4 3 6" xfId="1191" xr:uid="{B867FEEF-DF4C-432B-9C0B-2531F2E9A86C}"/>
    <cellStyle name="Normal 4 3 6 2" xfId="2336" xr:uid="{91BD6758-85AA-4A00-931A-687A8E527DB5}"/>
    <cellStyle name="Normal 4 3 7" xfId="1192" xr:uid="{B2A3C533-D44A-4986-B194-3139CBAB5518}"/>
    <cellStyle name="Normal 4 3 7 2" xfId="2337" xr:uid="{D0EB7D3C-ABB0-4C6E-A3CC-F28E6BFC8987}"/>
    <cellStyle name="Normal 4 3 8" xfId="1193" xr:uid="{7C23449E-50D6-47F5-B9CD-E9C90377E0DE}"/>
    <cellStyle name="Normal 4 3 8 2" xfId="2338" xr:uid="{5CC01DFF-DD88-4C14-B90B-CE873F5DCFC7}"/>
    <cellStyle name="Normal 4 3 9" xfId="2331" xr:uid="{197C65FB-F9BF-4946-8733-411054C51684}"/>
    <cellStyle name="Normal 4 4" xfId="130" xr:uid="{0B39AD2D-678E-4701-B90F-69E8E532E527}"/>
    <cellStyle name="Normal 4 4 10" xfId="1194" xr:uid="{6A272D37-59F3-45A7-BA09-DD75845451F6}"/>
    <cellStyle name="Normal 4 4 2" xfId="1195" xr:uid="{F61DA868-CCB7-4A76-9441-D876E6B6501E}"/>
    <cellStyle name="Normal 4 4 2 2" xfId="2340" xr:uid="{749BF460-6C8F-4D16-98AA-0A0CBA87E723}"/>
    <cellStyle name="Normal 4 4 3" xfId="1196" xr:uid="{9D7F9465-18D4-4AD8-BAB1-F995B71B4A95}"/>
    <cellStyle name="Normal 4 4 3 2" xfId="2341" xr:uid="{5B4DCA5F-6415-4E4F-892E-EAB3A9749DC4}"/>
    <cellStyle name="Normal 4 4 4" xfId="1197" xr:uid="{A7D4D6DB-DA4A-4870-95B3-5439FCA8D5DC}"/>
    <cellStyle name="Normal 4 4 4 2" xfId="2342" xr:uid="{13074193-02A6-45EA-827D-A5A85D0DA3A7}"/>
    <cellStyle name="Normal 4 4 5" xfId="1198" xr:uid="{A90F7E42-F97E-4010-BC42-CF7F21A51E85}"/>
    <cellStyle name="Normal 4 4 5 2" xfId="2343" xr:uid="{784D2696-960F-4A32-A237-53261AD8AB8E}"/>
    <cellStyle name="Normal 4 4 6" xfId="1199" xr:uid="{78F0DE05-98FC-4D34-8830-E4CBF48966AA}"/>
    <cellStyle name="Normal 4 4 6 2" xfId="2344" xr:uid="{0802315B-1A25-4DEE-86A4-A54EF6A04551}"/>
    <cellStyle name="Normal 4 4 7" xfId="1200" xr:uid="{9E118011-DBF6-443C-8B07-7A68DE4BA815}"/>
    <cellStyle name="Normal 4 4 7 2" xfId="2345" xr:uid="{67525B96-7899-4F6D-8F0C-29E144368E06}"/>
    <cellStyle name="Normal 4 4 8" xfId="1201" xr:uid="{87BB3820-7BA2-4AA7-8DEA-05315B3B5C9A}"/>
    <cellStyle name="Normal 4 4 8 2" xfId="2346" xr:uid="{D1E96391-E969-46D8-B3BA-02CB2EC3DB87}"/>
    <cellStyle name="Normal 4 4 9" xfId="2339" xr:uid="{93454DA2-175D-46C0-A8A9-F0D9F0C0AA85}"/>
    <cellStyle name="Normal 4 5" xfId="1202" xr:uid="{A746FD50-A255-4A7B-9D31-57F017CE2F09}"/>
    <cellStyle name="Normal 4 5 2" xfId="1203" xr:uid="{A775D91B-B101-4805-99D9-B003AFE80885}"/>
    <cellStyle name="Normal 4 5 2 2" xfId="2348" xr:uid="{309F3F86-7F81-40DC-B900-8986B1DC9936}"/>
    <cellStyle name="Normal 4 5 3" xfId="1204" xr:uid="{C06976B7-6C51-4E50-878D-6207B352631B}"/>
    <cellStyle name="Normal 4 5 3 2" xfId="2349" xr:uid="{B4E31A5C-798F-4C3D-8F77-0505E7D47DF8}"/>
    <cellStyle name="Normal 4 5 4" xfId="1205" xr:uid="{B634E877-D26A-4380-8A7A-FC71A4D56B4E}"/>
    <cellStyle name="Normal 4 5 4 2" xfId="2350" xr:uid="{7D1BF5B6-AAC1-4466-A229-ADDADB4A817D}"/>
    <cellStyle name="Normal 4 5 5" xfId="1206" xr:uid="{9EE7AD72-B55A-4453-A29C-77B023203BEB}"/>
    <cellStyle name="Normal 4 5 5 2" xfId="2351" xr:uid="{4C2A1FE2-54B7-4751-8141-568FA218A098}"/>
    <cellStyle name="Normal 4 5 6" xfId="1207" xr:uid="{3DFB8454-4039-4363-AA8D-3E33C3D48948}"/>
    <cellStyle name="Normal 4 5 6 2" xfId="2352" xr:uid="{F9FE4886-0A8F-4A72-BDF2-DCCD886AD22B}"/>
    <cellStyle name="Normal 4 5 7" xfId="1208" xr:uid="{BAE81E3C-98EC-4EA0-B50E-003B20DFB3E1}"/>
    <cellStyle name="Normal 4 5 7 2" xfId="2353" xr:uid="{42AADCA7-4A1C-4AC7-AEC9-5869C7249C60}"/>
    <cellStyle name="Normal 4 5 8" xfId="1209" xr:uid="{3F985A31-89DA-4F28-AB16-C068050F13D4}"/>
    <cellStyle name="Normal 4 5 8 2" xfId="2354" xr:uid="{C6CCC52A-83DB-443C-918E-09C3E3648CA4}"/>
    <cellStyle name="Normal 4 5 9" xfId="2347" xr:uid="{C1D74316-78EC-4F70-8F85-1C78B5356CEA}"/>
    <cellStyle name="Normal 4 6" xfId="1210" xr:uid="{06BA2607-697B-4805-815B-BF6DB0184F85}"/>
    <cellStyle name="Normal 4 6 2" xfId="2355" xr:uid="{638D5E4F-7C8F-41C2-A996-16A61D382271}"/>
    <cellStyle name="Normal 4 7" xfId="1211" xr:uid="{190747B6-5DF0-4E21-82A8-AF6A1B0EE0E7}"/>
    <cellStyle name="Normal 4 7 2" xfId="2356" xr:uid="{9020378A-83E1-4D68-B43F-A3DF2B554B29}"/>
    <cellStyle name="Normal 4 8" xfId="1212" xr:uid="{6C3272AB-C76E-4956-9CF3-139CF549602E}"/>
    <cellStyle name="Normal 4 8 2" xfId="2357" xr:uid="{5369B99A-5199-483A-A9B9-1AB5E683BD62}"/>
    <cellStyle name="Normal 4 9" xfId="1213" xr:uid="{FAA75B06-806F-4CCB-9A45-8206913A44EF}"/>
    <cellStyle name="Normal 4 9 2" xfId="2358" xr:uid="{09C47263-57FA-41FC-9028-D5338FC4685C}"/>
    <cellStyle name="Normal 5" xfId="131" xr:uid="{C868EE95-0B94-41A6-B583-BFC48BC78099}"/>
    <cellStyle name="Normal 5 10" xfId="1215" xr:uid="{038D51F6-703E-4566-812E-4ECC2A633EB3}"/>
    <cellStyle name="Normal 5 10 2" xfId="2360" xr:uid="{4FD681C7-0753-4B87-B243-C6CC5BFEBE03}"/>
    <cellStyle name="Normal 5 11" xfId="1216" xr:uid="{5441E2EA-5EA6-4FEA-B402-B06709A5B83B}"/>
    <cellStyle name="Normal 5 11 2" xfId="2361" xr:uid="{DCF2F9E9-7AE3-4F6E-BA44-FECDD2B2F567}"/>
    <cellStyle name="Normal 5 12" xfId="1217" xr:uid="{B30450DB-B009-4061-BE28-5866DBEF7566}"/>
    <cellStyle name="Normal 5 12 2" xfId="2362" xr:uid="{C6BE89A4-016C-44E4-AAF8-72096392B7F3}"/>
    <cellStyle name="Normal 5 13" xfId="1218" xr:uid="{C42F4EE9-3EE9-4056-99B1-03BC456CBCBD}"/>
    <cellStyle name="Normal 5 13 2" xfId="2363" xr:uid="{D3BF24D2-2C7E-4B8C-A57D-E351C0B2F6F2}"/>
    <cellStyle name="Normal 5 14" xfId="2359" xr:uid="{C8A3CEDC-1E1B-4BD3-BDDC-12B5DE4F5C06}"/>
    <cellStyle name="Normal 5 14 2" xfId="3148" xr:uid="{A81F7BF4-B8E2-47F7-98C1-43E9BB8B4B52}"/>
    <cellStyle name="Normal 5 14 3" xfId="3374" xr:uid="{DEC23B55-A516-4AAF-AE05-B0CFE62085F8}"/>
    <cellStyle name="Normal 5 15" xfId="1214" xr:uid="{32AB6CEF-3D85-4B02-B678-313A8FD8F82B}"/>
    <cellStyle name="Normal 5 16" xfId="3027" xr:uid="{28431DAF-B918-4E23-AFB2-B23D63052236}"/>
    <cellStyle name="Normal 5 17" xfId="3253" xr:uid="{81423DA6-D991-4983-A066-079BD5A7A075}"/>
    <cellStyle name="Normal 5 18" xfId="3404" xr:uid="{FABF3F0B-6692-45A7-9FE6-CEA19F5DD864}"/>
    <cellStyle name="Normal 5 18 2" xfId="3837" xr:uid="{CE40B5A5-3BA5-41C6-954E-21985B2DABD9}"/>
    <cellStyle name="Normal 5 2" xfId="132" xr:uid="{F5FF825D-F4D8-4888-80B2-E68D9D858626}"/>
    <cellStyle name="Normal 5 2 10" xfId="2364" xr:uid="{A9228685-3C27-4744-8AF5-18179C21BD66}"/>
    <cellStyle name="Normal 5 2 10 2" xfId="3149" xr:uid="{A731FA94-DA69-48F9-AB81-18D193D7B271}"/>
    <cellStyle name="Normal 5 2 10 3" xfId="3375" xr:uid="{9DF1A63E-F7F0-4BB6-9682-3EEA876C8DB6}"/>
    <cellStyle name="Normal 5 2 11" xfId="1219" xr:uid="{78816445-C9F9-4F03-B63F-F22E2B7EEDF5}"/>
    <cellStyle name="Normal 5 2 12" xfId="3028" xr:uid="{5D8FA3E3-7610-4E9C-B1A2-D14EEB335FCB}"/>
    <cellStyle name="Normal 5 2 13" xfId="3254" xr:uid="{58663802-527D-4EC1-9870-A32398E7C04B}"/>
    <cellStyle name="Normal 5 2 14" xfId="3405" xr:uid="{87D141E5-90F8-4570-9722-3CF3D9D8EA34}"/>
    <cellStyle name="Normal 5 2 14 2" xfId="3838" xr:uid="{A37C424F-D2FA-4645-85E1-42BC0D0EC0C1}"/>
    <cellStyle name="Normal 5 2 2" xfId="1220" xr:uid="{F2B1BE33-E93F-48C1-B8A0-9C1769D85C09}"/>
    <cellStyle name="Normal 5 2 2 10" xfId="1221" xr:uid="{C7CB743C-5490-4A75-880F-19A8F34750E7}"/>
    <cellStyle name="Normal 5 2 2 10 2" xfId="2366" xr:uid="{5671FBFD-BEA4-4DB4-ACB4-2AEF77EEA705}"/>
    <cellStyle name="Normal 5 2 2 10 2 2" xfId="3150" xr:uid="{F8CF1141-28D3-463E-ADFB-CCED0FCDE465}"/>
    <cellStyle name="Normal 5 2 2 10 2 3" xfId="3376" xr:uid="{E5D399EA-278A-442D-A88E-72380C7CD568}"/>
    <cellStyle name="Normal 5 2 2 10 3" xfId="3029" xr:uid="{68F12F4E-2918-4692-9CB4-DC32A59DBB3F}"/>
    <cellStyle name="Normal 5 2 2 10 4" xfId="3255" xr:uid="{042C1932-66D4-4CF6-BC56-6147CF0E41B6}"/>
    <cellStyle name="Normal 5 2 2 11" xfId="1222" xr:uid="{16BDC3F8-64D7-40BB-8DAA-136A6A69C382}"/>
    <cellStyle name="Normal 5 2 2 11 2" xfId="2367" xr:uid="{7F3B28CF-9DEA-4C24-BCD8-CE15911ECE01}"/>
    <cellStyle name="Normal 5 2 2 11 2 2" xfId="3151" xr:uid="{029CD40F-7286-4DF4-B65F-297BEFB079FD}"/>
    <cellStyle name="Normal 5 2 2 11 2 3" xfId="3377" xr:uid="{261C053C-B719-42A8-BCDF-D91AADDEBF6D}"/>
    <cellStyle name="Normal 5 2 2 11 3" xfId="3030" xr:uid="{D42C0AD6-951E-445D-BC61-5DFB00244A14}"/>
    <cellStyle name="Normal 5 2 2 11 4" xfId="3256" xr:uid="{6A139D3D-3ADF-4677-B539-20F1266B3AB2}"/>
    <cellStyle name="Normal 5 2 2 12" xfId="1223" xr:uid="{B745337F-8F33-46A0-8844-3E1C2D7DE4AA}"/>
    <cellStyle name="Normal 5 2 2 12 2" xfId="2368" xr:uid="{074E4FE1-E2A4-4892-9935-438BDEF139BA}"/>
    <cellStyle name="Normal 5 2 2 12 2 2" xfId="3152" xr:uid="{C5B0C60C-C845-4C0B-94CF-72FB787A4B8F}"/>
    <cellStyle name="Normal 5 2 2 12 2 3" xfId="3378" xr:uid="{C36876E1-094A-4DE4-8C52-9F5DAA908328}"/>
    <cellStyle name="Normal 5 2 2 12 3" xfId="3031" xr:uid="{85750535-F966-4610-AB38-F1895BD4F1BF}"/>
    <cellStyle name="Normal 5 2 2 12 4" xfId="3257" xr:uid="{F084BD28-A7E3-487D-B251-CAEB7FBDD4D2}"/>
    <cellStyle name="Normal 5 2 2 13" xfId="1224" xr:uid="{88C1A122-B5FB-46A4-90F2-473E01C80831}"/>
    <cellStyle name="Normal 5 2 2 13 2" xfId="2369" xr:uid="{E9C73470-87FC-4414-89AC-382DFB073189}"/>
    <cellStyle name="Normal 5 2 2 13 2 2" xfId="3153" xr:uid="{45AEC7B0-145F-4F9D-9590-A1647AF32930}"/>
    <cellStyle name="Normal 5 2 2 13 2 3" xfId="3379" xr:uid="{99008763-59FE-494E-AE62-D58379B1C94E}"/>
    <cellStyle name="Normal 5 2 2 13 3" xfId="3032" xr:uid="{62673658-0E4D-4027-ABAF-505E19D7F8E4}"/>
    <cellStyle name="Normal 5 2 2 13 4" xfId="3258" xr:uid="{B9864388-FF80-4DD9-986B-833FCD812561}"/>
    <cellStyle name="Normal 5 2 2 14" xfId="2365" xr:uid="{4A3E4555-FBC0-4759-B177-C7CCC4E6B7EB}"/>
    <cellStyle name="Normal 5 2 2 2" xfId="1225" xr:uid="{48862E17-9CAF-4E69-B19E-1043BD0DBAFF}"/>
    <cellStyle name="Normal 5 2 2 2 10" xfId="1226" xr:uid="{FC394552-4AAC-4336-9AF2-A1E08321D511}"/>
    <cellStyle name="Normal 5 2 2 2 10 2" xfId="2371" xr:uid="{4B279588-3C5D-4763-BDC1-8ED0931C4E52}"/>
    <cellStyle name="Normal 5 2 2 2 11" xfId="1227" xr:uid="{96CA664E-A444-4559-B660-7F7F2000B7AA}"/>
    <cellStyle name="Normal 5 2 2 2 11 2" xfId="2372" xr:uid="{45460455-525D-4D41-91A8-E65AC57297B2}"/>
    <cellStyle name="Normal 5 2 2 2 12" xfId="1228" xr:uid="{2958565F-9DF0-4C5C-9830-1ED0A3435023}"/>
    <cellStyle name="Normal 5 2 2 2 12 2" xfId="2373" xr:uid="{B6A7C759-94CD-4231-9A38-40FFBB67A083}"/>
    <cellStyle name="Normal 5 2 2 2 13" xfId="1229" xr:uid="{316AE29C-CCBD-4A35-8605-E38467D3C507}"/>
    <cellStyle name="Normal 5 2 2 2 13 2" xfId="2374" xr:uid="{8720D889-8615-44CC-AC46-E121B30384B6}"/>
    <cellStyle name="Normal 5 2 2 2 14" xfId="2370" xr:uid="{AE0D6AF7-8B32-492B-9692-43C50361D51A}"/>
    <cellStyle name="Normal 5 2 2 2 14 2" xfId="3154" xr:uid="{40D8FD85-8D99-470E-9809-2405C4650B98}"/>
    <cellStyle name="Normal 5 2 2 2 14 3" xfId="3380" xr:uid="{EF6DC60B-4D05-46C8-ADDA-DBF28872F32B}"/>
    <cellStyle name="Normal 5 2 2 2 15" xfId="3033" xr:uid="{FD826EFB-779B-49A3-8D17-17F78434D7B2}"/>
    <cellStyle name="Normal 5 2 2 2 16" xfId="3259" xr:uid="{49D6FC8E-098C-4D6A-8679-7F1DFF234801}"/>
    <cellStyle name="Normal 5 2 2 2 2" xfId="1230" xr:uid="{CB7794AE-47E4-4758-BD68-569793259DBD}"/>
    <cellStyle name="Normal 5 2 2 2 2 2" xfId="2375" xr:uid="{1F82533C-4D5F-4922-A38F-99B08AE435FB}"/>
    <cellStyle name="Normal 5 2 2 2 3" xfId="1231" xr:uid="{BCBD2F71-F9B5-4DE6-919E-7BE9A844BEC0}"/>
    <cellStyle name="Normal 5 2 2 2 3 2" xfId="2376" xr:uid="{E57EAD77-1634-4EAE-B56D-91E288C574F3}"/>
    <cellStyle name="Normal 5 2 2 2 4" xfId="1232" xr:uid="{BFE62D68-8820-4827-BF0C-00352788A2F0}"/>
    <cellStyle name="Normal 5 2 2 2 4 2" xfId="2377" xr:uid="{F0D7F1BB-EC8F-41A4-8AED-B5DB83212BF1}"/>
    <cellStyle name="Normal 5 2 2 2 5" xfId="1233" xr:uid="{CBFF80E7-EB3B-4142-AD47-4ECC2D7EFBB5}"/>
    <cellStyle name="Normal 5 2 2 2 5 2" xfId="2378" xr:uid="{A9B1D973-198B-4708-BC72-94E2AA36A0C3}"/>
    <cellStyle name="Normal 5 2 2 2 6" xfId="1234" xr:uid="{31DFE187-9A80-404B-8248-79FDA79CD4B4}"/>
    <cellStyle name="Normal 5 2 2 2 6 2" xfId="2379" xr:uid="{C873B703-A760-482B-9F54-603F972CA084}"/>
    <cellStyle name="Normal 5 2 2 2 7" xfId="1235" xr:uid="{316E6DE8-0562-491B-ABF7-9F1A52D4E598}"/>
    <cellStyle name="Normal 5 2 2 2 7 2" xfId="2380" xr:uid="{3CCB216B-BB6C-481C-8D97-CB9E78EB71C5}"/>
    <cellStyle name="Normal 5 2 2 2 8" xfId="1236" xr:uid="{98057B79-F270-481E-94A6-507BAD198D60}"/>
    <cellStyle name="Normal 5 2 2 2 8 2" xfId="2381" xr:uid="{B0C8BCB7-3C38-480E-83FC-1A737891ED7D}"/>
    <cellStyle name="Normal 5 2 2 2 9" xfId="1237" xr:uid="{9CC3E938-05D5-4560-B778-682DE1E741F5}"/>
    <cellStyle name="Normal 5 2 2 2 9 2" xfId="2382" xr:uid="{1D25FEA0-9DA6-4A15-B97B-5CBCD54BCBA5}"/>
    <cellStyle name="Normal 5 2 2 3" xfId="1238" xr:uid="{F1DDF2EB-1E51-4F11-8678-9ED948A2623E}"/>
    <cellStyle name="Normal 5 2 2 3 2" xfId="2383" xr:uid="{C2740608-8C7E-4EE1-A0D4-3009F334B980}"/>
    <cellStyle name="Normal 5 2 2 3 2 2" xfId="3155" xr:uid="{82EE38CB-1145-439D-8EB4-65286C99B018}"/>
    <cellStyle name="Normal 5 2 2 3 2 3" xfId="3381" xr:uid="{5D3AE30D-278A-46D6-A24A-93FA6572EB56}"/>
    <cellStyle name="Normal 5 2 2 3 3" xfId="3034" xr:uid="{69FAD1F3-2EAD-4823-9D66-79F8BF0D4993}"/>
    <cellStyle name="Normal 5 2 2 3 4" xfId="3260" xr:uid="{7DFDD6AC-BC67-4228-BEEC-EE591FC495BB}"/>
    <cellStyle name="Normal 5 2 2 4" xfId="1239" xr:uid="{459B1AD0-F252-4101-921B-BDD11CB8C727}"/>
    <cellStyle name="Normal 5 2 2 4 2" xfId="2384" xr:uid="{A66CFC26-551F-4272-9B89-688D3BD8966F}"/>
    <cellStyle name="Normal 5 2 2 4 2 2" xfId="3156" xr:uid="{254E037F-C664-4ADA-A3E5-2E2C253C756A}"/>
    <cellStyle name="Normal 5 2 2 4 2 3" xfId="3382" xr:uid="{CFB9EDB0-E3A8-4E03-BA7B-16355DE9F236}"/>
    <cellStyle name="Normal 5 2 2 4 3" xfId="3035" xr:uid="{91237FA5-03AE-40E4-BEF1-709F1544878B}"/>
    <cellStyle name="Normal 5 2 2 4 4" xfId="3261" xr:uid="{AEC5A0F7-B781-446B-8FAC-20A326C760D4}"/>
    <cellStyle name="Normal 5 2 2 5" xfId="1240" xr:uid="{ACEF294D-63BF-4000-9350-20C0D95C477E}"/>
    <cellStyle name="Normal 5 2 2 5 2" xfId="2385" xr:uid="{A334930A-3C6A-4A21-A72D-1D100769A9F1}"/>
    <cellStyle name="Normal 5 2 2 5 2 2" xfId="3157" xr:uid="{946F3632-71A6-4092-962A-866444CEBA1F}"/>
    <cellStyle name="Normal 5 2 2 5 2 3" xfId="3383" xr:uid="{B7E07A67-7DE3-4131-A821-4DD7782E4CD5}"/>
    <cellStyle name="Normal 5 2 2 5 3" xfId="3036" xr:uid="{F8418D07-592A-431C-89F3-3D448CF1814E}"/>
    <cellStyle name="Normal 5 2 2 5 4" xfId="3262" xr:uid="{F094F7C5-3CB8-4DF6-83B9-30B97CD93430}"/>
    <cellStyle name="Normal 5 2 2 6" xfId="1241" xr:uid="{87A5CDCA-D915-41B6-A21A-53B9702D7B9A}"/>
    <cellStyle name="Normal 5 2 2 6 2" xfId="2386" xr:uid="{99178648-D11E-4F97-B72A-008D204968F9}"/>
    <cellStyle name="Normal 5 2 2 6 2 2" xfId="3158" xr:uid="{C9681AD2-8EDC-4929-8BB4-CB37388D6916}"/>
    <cellStyle name="Normal 5 2 2 6 2 3" xfId="3384" xr:uid="{D4C348B4-134E-4FE2-A18B-66932442B1EB}"/>
    <cellStyle name="Normal 5 2 2 6 3" xfId="3037" xr:uid="{09AF659F-BB78-4933-8D8C-F33B6A27DAC0}"/>
    <cellStyle name="Normal 5 2 2 6 4" xfId="3263" xr:uid="{88498AC6-BCD4-4BA1-8A81-A6033AA99D41}"/>
    <cellStyle name="Normal 5 2 2 7" xfId="1242" xr:uid="{4FF4E772-6C70-4362-85A5-2C4483D9A1C0}"/>
    <cellStyle name="Normal 5 2 2 7 2" xfId="2387" xr:uid="{40775CEC-61FF-4646-89DA-C92365A3CAA7}"/>
    <cellStyle name="Normal 5 2 2 7 2 2" xfId="3159" xr:uid="{6B8EDB65-4AFD-4D4F-8CD7-27716982CF13}"/>
    <cellStyle name="Normal 5 2 2 7 2 3" xfId="3385" xr:uid="{CD8F1FFE-AFB4-4DFD-B89A-4D384561B8B1}"/>
    <cellStyle name="Normal 5 2 2 7 3" xfId="3038" xr:uid="{22915295-C15E-4778-AFA9-606868187AF3}"/>
    <cellStyle name="Normal 5 2 2 7 4" xfId="3264" xr:uid="{0595BB91-3CCE-473B-BBA7-819D36AB0835}"/>
    <cellStyle name="Normal 5 2 2 8" xfId="1243" xr:uid="{E86F6705-FB82-4350-A23D-5BB7165712F0}"/>
    <cellStyle name="Normal 5 2 2 8 2" xfId="2388" xr:uid="{C7CFCD2F-509B-41D4-9AD5-72DD085AFCBB}"/>
    <cellStyle name="Normal 5 2 2 8 2 2" xfId="3160" xr:uid="{B63D28DD-53EC-47E8-9E08-A3B36193C60A}"/>
    <cellStyle name="Normal 5 2 2 8 2 3" xfId="3386" xr:uid="{099AB0EB-0268-47A9-A8FC-7843788F4E85}"/>
    <cellStyle name="Normal 5 2 2 8 3" xfId="3039" xr:uid="{9F60EFDA-CF87-44F4-90CD-581916083DAC}"/>
    <cellStyle name="Normal 5 2 2 8 4" xfId="3265" xr:uid="{D3FB29BC-6829-46A4-AC9A-22881AAA960C}"/>
    <cellStyle name="Normal 5 2 2 9" xfId="1244" xr:uid="{47432A3C-31EF-4332-AF2A-04C12D3029F3}"/>
    <cellStyle name="Normal 5 2 2 9 2" xfId="2389" xr:uid="{6DCE205A-0446-4E43-87EB-7C3A2DE04870}"/>
    <cellStyle name="Normal 5 2 2 9 2 2" xfId="3161" xr:uid="{BC13F057-66CE-41FE-BC00-D8D285B9D915}"/>
    <cellStyle name="Normal 5 2 2 9 2 3" xfId="3387" xr:uid="{F84ED170-CE24-462C-B85F-E773A391B5C9}"/>
    <cellStyle name="Normal 5 2 2 9 3" xfId="3040" xr:uid="{962A5811-450A-496B-AA1D-0366E2F61C0A}"/>
    <cellStyle name="Normal 5 2 2 9 4" xfId="3266" xr:uid="{85C83333-378D-45B8-93BF-1F1B82BE3E12}"/>
    <cellStyle name="Normal 5 2 3" xfId="1245" xr:uid="{141C80CC-FEE4-43EF-9681-5C2EBA274014}"/>
    <cellStyle name="Normal 5 2 3 2" xfId="2390" xr:uid="{726E30DD-6DE3-4456-B040-19B0B09F7451}"/>
    <cellStyle name="Normal 5 2 4" xfId="1246" xr:uid="{63FF4D28-EDD5-40B5-89A2-8FFB17EB6EE6}"/>
    <cellStyle name="Normal 5 2 4 2" xfId="2391" xr:uid="{487C7546-ED95-497B-8CCE-8F9D30A36566}"/>
    <cellStyle name="Normal 5 2 5" xfId="1247" xr:uid="{D21D3D06-AE77-4D7C-951D-6BF53E19CB0F}"/>
    <cellStyle name="Normal 5 2 5 2" xfId="2392" xr:uid="{895C05FD-E2C4-4DDE-9AA8-95A6E6F0BE16}"/>
    <cellStyle name="Normal 5 2 6" xfId="1248" xr:uid="{F0146160-AF2C-4495-9B86-B73BC09C7D83}"/>
    <cellStyle name="Normal 5 2 6 2" xfId="2393" xr:uid="{A27A0518-040B-462B-AB8B-45D7D0F34C87}"/>
    <cellStyle name="Normal 5 2 7" xfId="1249" xr:uid="{603CCA32-BB07-4F76-8850-6DF5C7308F73}"/>
    <cellStyle name="Normal 5 2 7 2" xfId="2394" xr:uid="{D3D03CB5-ECCB-4779-8A4F-57CAF983A3C5}"/>
    <cellStyle name="Normal 5 2 8" xfId="1250" xr:uid="{0694EABD-7D62-46D6-A1A4-E90D736C72C0}"/>
    <cellStyle name="Normal 5 2 8 2" xfId="2395" xr:uid="{51B9A2CE-F93E-4A6A-BA67-E46C4CB1210A}"/>
    <cellStyle name="Normal 5 2 9" xfId="1251" xr:uid="{0745C0AA-BF1C-4BA3-BBED-443A8A92C15A}"/>
    <cellStyle name="Normal 5 2 9 2" xfId="2396" xr:uid="{6BD867CF-B9AD-4FFD-82F0-780000872661}"/>
    <cellStyle name="Normal 5 3" xfId="133" xr:uid="{8BE61E53-8492-4327-A69F-5AAF4ECCD2A5}"/>
    <cellStyle name="Normal 5 3 10" xfId="1252" xr:uid="{55809113-1CB6-4909-865C-9C4D193F1377}"/>
    <cellStyle name="Normal 5 3 2" xfId="1253" xr:uid="{F7C95C4A-387F-499C-8915-1E55F6815CAE}"/>
    <cellStyle name="Normal 5 3 2 2" xfId="2398" xr:uid="{56A67BA5-47B7-4BEA-9251-8CAB74331A59}"/>
    <cellStyle name="Normal 5 3 3" xfId="1254" xr:uid="{69A9E877-A247-4407-B5EB-F784091F400B}"/>
    <cellStyle name="Normal 5 3 3 2" xfId="2399" xr:uid="{178629F2-4480-488B-8292-9F5BC652791A}"/>
    <cellStyle name="Normal 5 3 4" xfId="1255" xr:uid="{B9E363A0-9F07-4733-85FE-47E40D5A4C40}"/>
    <cellStyle name="Normal 5 3 4 2" xfId="2400" xr:uid="{D525F93C-7340-4E27-BE7E-D20443BE1E06}"/>
    <cellStyle name="Normal 5 3 5" xfId="1256" xr:uid="{0F85E994-0E06-4A67-B940-AD043DC98D6B}"/>
    <cellStyle name="Normal 5 3 5 2" xfId="2401" xr:uid="{47890C09-4035-4233-82D6-A17E533BED7C}"/>
    <cellStyle name="Normal 5 3 6" xfId="1257" xr:uid="{F7554FE2-753F-43E7-A81C-62466CAFFABC}"/>
    <cellStyle name="Normal 5 3 6 2" xfId="2402" xr:uid="{71E01AF0-32F4-4538-A3CE-4348C8DC90CD}"/>
    <cellStyle name="Normal 5 3 7" xfId="1258" xr:uid="{6C8B166A-A2BB-4C8C-8968-DDD102CC1802}"/>
    <cellStyle name="Normal 5 3 7 2" xfId="2403" xr:uid="{DCB98C3E-6CD2-4A8F-8C6C-9FE4DF55968E}"/>
    <cellStyle name="Normal 5 3 8" xfId="1259" xr:uid="{484BFCB8-100A-4E76-A3E5-509935C7F5B9}"/>
    <cellStyle name="Normal 5 3 8 2" xfId="2404" xr:uid="{4674BA1E-29C3-4835-9843-057529331928}"/>
    <cellStyle name="Normal 5 3 9" xfId="2397" xr:uid="{17676A37-16C1-4AA5-862A-DAC9B9A259EC}"/>
    <cellStyle name="Normal 5 4" xfId="134" xr:uid="{FF4A710A-486F-45E9-8C48-550DECE722FE}"/>
    <cellStyle name="Normal 5 4 10" xfId="1260" xr:uid="{75DF8711-6E74-4258-A573-133DDEB28E0A}"/>
    <cellStyle name="Normal 5 4 2" xfId="1261" xr:uid="{A80D0780-9FC4-46CE-BCCA-F49036375A85}"/>
    <cellStyle name="Normal 5 4 2 2" xfId="2406" xr:uid="{07321300-649D-4DB8-B0DA-24B55A6F2274}"/>
    <cellStyle name="Normal 5 4 3" xfId="1262" xr:uid="{A7236A1E-BB8F-48FB-BC6F-F1CB78CE40E5}"/>
    <cellStyle name="Normal 5 4 3 2" xfId="2407" xr:uid="{45AB48C0-9BB7-468D-AB69-B973918B7485}"/>
    <cellStyle name="Normal 5 4 4" xfId="1263" xr:uid="{9FEE1D34-6C1C-4A57-BEA1-95648340953B}"/>
    <cellStyle name="Normal 5 4 4 2" xfId="2408" xr:uid="{47D24F93-A272-48A7-A0F9-58B4EC9B8617}"/>
    <cellStyle name="Normal 5 4 5" xfId="1264" xr:uid="{1B397550-F5AA-4DFB-89D1-3DFF03B47893}"/>
    <cellStyle name="Normal 5 4 5 2" xfId="2409" xr:uid="{B52DFA0F-3367-4BC3-82F2-2494DD9544A7}"/>
    <cellStyle name="Normal 5 4 6" xfId="1265" xr:uid="{DE54BA40-734F-4FA3-8CF8-949E325FEF71}"/>
    <cellStyle name="Normal 5 4 6 2" xfId="2410" xr:uid="{CA7009C8-8ED6-413B-A1C4-6976E60D9C30}"/>
    <cellStyle name="Normal 5 4 7" xfId="1266" xr:uid="{89DC3934-F0C2-4D35-9E53-D33F709B42B8}"/>
    <cellStyle name="Normal 5 4 7 2" xfId="2411" xr:uid="{BC11595A-70C0-453C-9F7D-2460EF964164}"/>
    <cellStyle name="Normal 5 4 8" xfId="1267" xr:uid="{7C7D354D-C169-4C94-A960-4C9A65434680}"/>
    <cellStyle name="Normal 5 4 8 2" xfId="2412" xr:uid="{2430B647-2B0C-4C67-B039-08BA23809A93}"/>
    <cellStyle name="Normal 5 4 9" xfId="2405" xr:uid="{A2A7D3FF-071C-4D8F-B5A4-468AD6EDCE99}"/>
    <cellStyle name="Normal 5 5" xfId="1268" xr:uid="{08A7A9D0-E02C-436E-A6F4-1BB6E9201E5A}"/>
    <cellStyle name="Normal 5 5 2" xfId="1269" xr:uid="{397F975C-9032-4C26-B2DF-BB03793797D8}"/>
    <cellStyle name="Normal 5 5 2 2" xfId="2414" xr:uid="{858E6192-A412-489A-88C6-3297E0AB3187}"/>
    <cellStyle name="Normal 5 5 3" xfId="1270" xr:uid="{0E2AC399-45E6-4F92-98C3-96D7C3B03B8F}"/>
    <cellStyle name="Normal 5 5 3 2" xfId="2415" xr:uid="{2452A13F-15AE-4902-A946-DBD7C28C88E6}"/>
    <cellStyle name="Normal 5 5 4" xfId="1271" xr:uid="{E9FC3951-235D-4C7E-B21B-59F6A7706C0F}"/>
    <cellStyle name="Normal 5 5 4 2" xfId="2416" xr:uid="{57709F2F-35C0-4AB6-9470-113AD0829DDB}"/>
    <cellStyle name="Normal 5 5 5" xfId="1272" xr:uid="{F97C2ABE-1335-4E37-AC32-C6BD8694563C}"/>
    <cellStyle name="Normal 5 5 5 2" xfId="2417" xr:uid="{538810E4-E331-4C35-B621-5BCA30D1309E}"/>
    <cellStyle name="Normal 5 5 6" xfId="1273" xr:uid="{F44DBD5F-8249-4973-AD97-A81D771E6048}"/>
    <cellStyle name="Normal 5 5 6 2" xfId="2418" xr:uid="{9B030640-CDA6-4184-9855-09A413186D67}"/>
    <cellStyle name="Normal 5 5 7" xfId="1274" xr:uid="{969DF56B-E202-4850-833F-53FA24EA4BDF}"/>
    <cellStyle name="Normal 5 5 7 2" xfId="2419" xr:uid="{6E1BE08F-CBB8-4038-9A44-81BF31B10E42}"/>
    <cellStyle name="Normal 5 5 8" xfId="1275" xr:uid="{8528BAE0-C3D3-49A3-AAFB-FE8BED608109}"/>
    <cellStyle name="Normal 5 5 8 2" xfId="2420" xr:uid="{B1941792-1589-499E-B20E-0724AC2853FE}"/>
    <cellStyle name="Normal 5 5 9" xfId="2413" xr:uid="{BDF95518-7F8F-4F5D-ACA5-2BFA9A233FB7}"/>
    <cellStyle name="Normal 5 6" xfId="1276" xr:uid="{F9E7B162-7C2E-4B47-90A0-CECFCE0EF49D}"/>
    <cellStyle name="Normal 5 6 2" xfId="2421" xr:uid="{36D1D3FA-C30E-4E8A-B9CF-905F800F73E5}"/>
    <cellStyle name="Normal 5 7" xfId="1277" xr:uid="{73BA358F-9559-4028-883C-6AFE80B1D148}"/>
    <cellStyle name="Normal 5 7 2" xfId="2422" xr:uid="{924B541F-50AD-4573-8159-11C7CEE7285A}"/>
    <cellStyle name="Normal 5 8" xfId="1278" xr:uid="{1A30E9B0-A87F-4B81-9B72-B68B11592906}"/>
    <cellStyle name="Normal 5 8 2" xfId="2423" xr:uid="{959BE946-CF54-425E-B7C6-98500BABCE96}"/>
    <cellStyle name="Normal 5 9" xfId="1279" xr:uid="{8FEFC72F-F8B6-40D6-8722-D5AED26670A0}"/>
    <cellStyle name="Normal 5 9 2" xfId="2424" xr:uid="{B8BEBE4B-4EC1-4509-A828-FE62DAB13786}"/>
    <cellStyle name="Normal 6" xfId="135" xr:uid="{A4807E09-4FAE-4C66-AA9B-C7BC5695AEAC}"/>
    <cellStyle name="Normal 6 10" xfId="1281" xr:uid="{CA42FF44-4672-4A64-9AC9-9F68E115AF3C}"/>
    <cellStyle name="Normal 6 10 2" xfId="2426" xr:uid="{83A487A5-A8C2-45BA-AB46-93E1ED97FCF1}"/>
    <cellStyle name="Normal 6 11" xfId="1282" xr:uid="{B9C8D57E-31D9-4CBA-B7CB-CAABD5961FB3}"/>
    <cellStyle name="Normal 6 11 2" xfId="2427" xr:uid="{6BD995D9-498E-4327-A2D6-202176F39D72}"/>
    <cellStyle name="Normal 6 12" xfId="1283" xr:uid="{304809EC-E8B6-4B5E-B93E-303513DBCB75}"/>
    <cellStyle name="Normal 6 12 2" xfId="2428" xr:uid="{28A20AA0-97A1-4266-B4EA-AE08D7524A17}"/>
    <cellStyle name="Normal 6 13" xfId="1284" xr:uid="{1C45DE12-30C5-40CF-B505-9B1AA9E82FD9}"/>
    <cellStyle name="Normal 6 13 2" xfId="2429" xr:uid="{ADF2EA62-4881-4BC3-A7C2-E16BB7C4B03A}"/>
    <cellStyle name="Normal 6 14" xfId="2425" xr:uid="{B32FC5DE-EDF6-4285-85C9-35E5D999F5B3}"/>
    <cellStyle name="Normal 6 15" xfId="1280" xr:uid="{103D2A8D-F357-4F63-972E-E8FE3C066A46}"/>
    <cellStyle name="Normal 6 2" xfId="136" xr:uid="{0FBC1463-CAAA-48D9-9A4F-2620EBD830CD}"/>
    <cellStyle name="Normal 6 2 10" xfId="1285" xr:uid="{7F6D021A-C585-440E-BA42-B777F084FC42}"/>
    <cellStyle name="Normal 6 2 2" xfId="137" xr:uid="{2D8082E0-2C54-4E6E-AC92-585EC532B741}"/>
    <cellStyle name="Normal 6 2 2 10" xfId="1287" xr:uid="{9BD8022C-05E1-4944-8091-168E2437B93D}"/>
    <cellStyle name="Normal 6 2 2 10 2" xfId="2432" xr:uid="{E839EED8-0D20-4890-B7F3-A1EAEF5B39FC}"/>
    <cellStyle name="Normal 6 2 2 10 2 2" xfId="3162" xr:uid="{80745067-1395-467C-8E73-DA75ED1C82EB}"/>
    <cellStyle name="Normal 6 2 2 10 2 3" xfId="3388" xr:uid="{920613EA-2277-45B2-B4F7-8566C81DA0CE}"/>
    <cellStyle name="Normal 6 2 2 10 3" xfId="3041" xr:uid="{807A77AC-E0F3-46E1-B93D-DAF69D2C0204}"/>
    <cellStyle name="Normal 6 2 2 10 4" xfId="3267" xr:uid="{A516E763-79FC-419A-B2A6-1A669C238D2D}"/>
    <cellStyle name="Normal 6 2 2 11" xfId="1288" xr:uid="{8BC69711-A1F9-440C-ADF7-42EA5252E9FE}"/>
    <cellStyle name="Normal 6 2 2 11 2" xfId="2433" xr:uid="{F57D1EA5-1955-4B6D-851A-1B6E3478724D}"/>
    <cellStyle name="Normal 6 2 2 11 2 2" xfId="3163" xr:uid="{DF83B5E9-2CC7-4374-B6C5-A7EA19EFB6A8}"/>
    <cellStyle name="Normal 6 2 2 11 2 3" xfId="3389" xr:uid="{13372BDB-CF1A-4811-AF79-3BD92F97F6BA}"/>
    <cellStyle name="Normal 6 2 2 11 3" xfId="3042" xr:uid="{EAC96B2E-8077-422F-AD66-1187B5E4CBC6}"/>
    <cellStyle name="Normal 6 2 2 11 4" xfId="3268" xr:uid="{4663F7D3-2414-4D24-8A95-AA9E91969A70}"/>
    <cellStyle name="Normal 6 2 2 12" xfId="1289" xr:uid="{BABE1FF1-9450-4E0D-922A-6114A46D9A49}"/>
    <cellStyle name="Normal 6 2 2 12 2" xfId="2434" xr:uid="{6036A845-E820-458A-82D4-6F797D739849}"/>
    <cellStyle name="Normal 6 2 2 12 2 2" xfId="3164" xr:uid="{C940C54C-5BA2-49DF-A9DA-12E334D81AE6}"/>
    <cellStyle name="Normal 6 2 2 12 2 3" xfId="3390" xr:uid="{2BEA8645-41D6-4CC7-B8EB-0F534F90B014}"/>
    <cellStyle name="Normal 6 2 2 12 3" xfId="3043" xr:uid="{F36B1403-118D-4106-91E4-A1FAA227C715}"/>
    <cellStyle name="Normal 6 2 2 12 4" xfId="3269" xr:uid="{10B5B321-88E2-4850-A709-7975DEA12B31}"/>
    <cellStyle name="Normal 6 2 2 13" xfId="1290" xr:uid="{D575B887-A166-46D1-A40D-89B5D1292D76}"/>
    <cellStyle name="Normal 6 2 2 13 2" xfId="2435" xr:uid="{27259A26-F4E0-4C02-B16B-28C73D5F0B1B}"/>
    <cellStyle name="Normal 6 2 2 13 2 2" xfId="3165" xr:uid="{EFCEB6BF-4465-4FB5-BA09-7F2C9AE36975}"/>
    <cellStyle name="Normal 6 2 2 13 2 3" xfId="3391" xr:uid="{4187990C-5AD2-4901-B01B-4D62982AA841}"/>
    <cellStyle name="Normal 6 2 2 13 3" xfId="3044" xr:uid="{21BC2825-B33A-46DE-AF44-7700593F8D22}"/>
    <cellStyle name="Normal 6 2 2 13 4" xfId="3270" xr:uid="{E4B9A6F3-ED03-44ED-9497-E56F7218553F}"/>
    <cellStyle name="Normal 6 2 2 14" xfId="2431" xr:uid="{27E2DD1F-46C5-4150-A2F7-7276B490023D}"/>
    <cellStyle name="Normal 6 2 2 15" xfId="1286" xr:uid="{281CFD22-FA01-4077-A6D5-E08E7FD34CF7}"/>
    <cellStyle name="Normal 6 2 2 2" xfId="1291" xr:uid="{54FF5491-98C4-4259-A0EA-7018E85F63BD}"/>
    <cellStyle name="Normal 6 2 2 2 2" xfId="2436" xr:uid="{D2BCA340-9ACC-4400-AE7B-4426DF8FD0F3}"/>
    <cellStyle name="Normal 6 2 2 2 2 2" xfId="3166" xr:uid="{6660C26C-25A4-4957-B665-32373EF36BEA}"/>
    <cellStyle name="Normal 6 2 2 2 2 3" xfId="3392" xr:uid="{54E2B7AB-B206-455F-9E2B-C3CB7E0B4828}"/>
    <cellStyle name="Normal 6 2 2 2 3" xfId="3045" xr:uid="{F559542F-0237-4B0A-8775-3AF422BFA09D}"/>
    <cellStyle name="Normal 6 2 2 2 4" xfId="3271" xr:uid="{8D502DDD-52DD-4E93-9F5D-21AB1BBA5CC7}"/>
    <cellStyle name="Normal 6 2 2 3" xfId="1292" xr:uid="{1CAA2972-84D1-4AD5-A116-DCC3E994A2CF}"/>
    <cellStyle name="Normal 6 2 2 3 2" xfId="2437" xr:uid="{1C1980C3-C3F0-44DD-9603-33A42D1EE92A}"/>
    <cellStyle name="Normal 6 2 2 3 2 2" xfId="3167" xr:uid="{950DEC6D-DC6D-4B5B-ACE9-775D5CB266F0}"/>
    <cellStyle name="Normal 6 2 2 3 2 3" xfId="3393" xr:uid="{183F9631-1421-4896-8554-1C7590044876}"/>
    <cellStyle name="Normal 6 2 2 3 3" xfId="3046" xr:uid="{8A9235C1-14E3-490A-91F3-B1D0407D6769}"/>
    <cellStyle name="Normal 6 2 2 3 4" xfId="3272" xr:uid="{CFA59EFA-81CF-4635-B744-041A214395AC}"/>
    <cellStyle name="Normal 6 2 2 4" xfId="1293" xr:uid="{9480CE56-2AD7-4758-8CFE-57C348EF5F5D}"/>
    <cellStyle name="Normal 6 2 2 4 2" xfId="2438" xr:uid="{E51B28E8-F05E-4F1C-93BB-163AE71C36F5}"/>
    <cellStyle name="Normal 6 2 2 4 2 2" xfId="3168" xr:uid="{01D154FC-7974-42CC-80F3-5483194F3195}"/>
    <cellStyle name="Normal 6 2 2 4 2 3" xfId="3394" xr:uid="{47A29254-5007-421B-8FE6-D2A05E342DE8}"/>
    <cellStyle name="Normal 6 2 2 4 3" xfId="3047" xr:uid="{0C8BF070-7D70-4B6C-886D-5BFFA6179FAA}"/>
    <cellStyle name="Normal 6 2 2 4 4" xfId="3273" xr:uid="{C72024BB-150B-485F-91FB-8F2D10490CC2}"/>
    <cellStyle name="Normal 6 2 2 5" xfId="1294" xr:uid="{13C0B0B3-EF71-4745-859D-825906850EA3}"/>
    <cellStyle name="Normal 6 2 2 5 2" xfId="2439" xr:uid="{5C352782-08ED-4067-8AD2-1F2610C79525}"/>
    <cellStyle name="Normal 6 2 2 5 2 2" xfId="3169" xr:uid="{68067A7F-C5B4-4554-BF2B-AF38C218A679}"/>
    <cellStyle name="Normal 6 2 2 5 2 3" xfId="3395" xr:uid="{A4687081-A78D-414D-B45A-4B80B05CEF46}"/>
    <cellStyle name="Normal 6 2 2 5 3" xfId="3048" xr:uid="{6544E5CA-20DF-4833-8C28-E6B1F133C261}"/>
    <cellStyle name="Normal 6 2 2 5 4" xfId="3274" xr:uid="{94445DCA-EE2D-4582-B853-0446F0194F0F}"/>
    <cellStyle name="Normal 6 2 2 6" xfId="1295" xr:uid="{7FE00A64-6EBC-4F59-9511-DB76201F37D2}"/>
    <cellStyle name="Normal 6 2 2 6 2" xfId="2440" xr:uid="{F1E382DA-30DF-4871-AE95-8CEDE71027FF}"/>
    <cellStyle name="Normal 6 2 2 6 2 2" xfId="3170" xr:uid="{CA4A9F14-C148-40BD-A06E-355D3862B99C}"/>
    <cellStyle name="Normal 6 2 2 6 2 3" xfId="3396" xr:uid="{F8E3A1DD-047B-46D6-9ED7-30A9719C8CEE}"/>
    <cellStyle name="Normal 6 2 2 6 3" xfId="3049" xr:uid="{A3DDEBD0-3512-444A-BD46-06366FB68931}"/>
    <cellStyle name="Normal 6 2 2 6 4" xfId="3275" xr:uid="{B1799C3A-89B2-46DA-9B4F-D044217F08E5}"/>
    <cellStyle name="Normal 6 2 2 7" xfId="1296" xr:uid="{C6E68302-22F3-42B2-B4B5-BB9770E154F2}"/>
    <cellStyle name="Normal 6 2 2 7 2" xfId="2441" xr:uid="{1ED2D9D3-AA1A-47C6-BDFB-D5A3E69C5C87}"/>
    <cellStyle name="Normal 6 2 2 7 2 2" xfId="3171" xr:uid="{F34E571A-0EEE-4E7A-9618-565E28CBB66B}"/>
    <cellStyle name="Normal 6 2 2 7 2 3" xfId="3397" xr:uid="{679050E6-611B-41E7-91D9-F21AFD0FA03B}"/>
    <cellStyle name="Normal 6 2 2 7 3" xfId="3050" xr:uid="{603CF861-7EED-481C-B181-101F9102494D}"/>
    <cellStyle name="Normal 6 2 2 7 4" xfId="3276" xr:uid="{EBDDE582-7EF4-4BFC-A177-7DB80D9F85A0}"/>
    <cellStyle name="Normal 6 2 2 8" xfId="1297" xr:uid="{90E0A5F8-38D8-4076-84D9-657D1312CC6F}"/>
    <cellStyle name="Normal 6 2 2 8 2" xfId="2442" xr:uid="{38DFFB4E-8AA2-4271-8DE0-ED304428B711}"/>
    <cellStyle name="Normal 6 2 2 8 2 2" xfId="3172" xr:uid="{DEB9F39F-9CD5-43BB-9DE0-A474838D08E9}"/>
    <cellStyle name="Normal 6 2 2 8 2 3" xfId="3398" xr:uid="{46F0FB22-C0DA-4005-ADBC-3D5D7B13EEA9}"/>
    <cellStyle name="Normal 6 2 2 8 3" xfId="3051" xr:uid="{6671ACDD-D994-4874-8A6B-5685C0D421CE}"/>
    <cellStyle name="Normal 6 2 2 8 4" xfId="3277" xr:uid="{AC7C2973-020F-4F36-94E4-8E0C2844C35F}"/>
    <cellStyle name="Normal 6 2 2 9" xfId="1298" xr:uid="{4B75D0C6-6BAA-4F0A-AF15-240218EB718E}"/>
    <cellStyle name="Normal 6 2 2 9 2" xfId="2443" xr:uid="{D06B0CC1-868F-4674-BB8A-1944EEC1A393}"/>
    <cellStyle name="Normal 6 2 2 9 2 2" xfId="3173" xr:uid="{CE11212F-FEF8-4494-B382-80EB505256F2}"/>
    <cellStyle name="Normal 6 2 2 9 2 3" xfId="3399" xr:uid="{77ADF7E7-49D5-4E22-B067-990A76E87E1C}"/>
    <cellStyle name="Normal 6 2 2 9 3" xfId="3052" xr:uid="{6FC7D1F9-9E1B-40EA-850E-EDD7FF533957}"/>
    <cellStyle name="Normal 6 2 2 9 4" xfId="3278" xr:uid="{2BCBF400-EB50-4C6F-89EA-44E5E0FC2C28}"/>
    <cellStyle name="Normal 6 2 3" xfId="1299" xr:uid="{18901DD7-06CF-4594-B571-0B0CDE402833}"/>
    <cellStyle name="Normal 6 2 3 2" xfId="2444" xr:uid="{69D26D0E-3985-45E7-892D-6235754B8F5B}"/>
    <cellStyle name="Normal 6 2 4" xfId="1300" xr:uid="{BD885FE8-F840-40A3-8E68-C44E8957180E}"/>
    <cellStyle name="Normal 6 2 4 2" xfId="2445" xr:uid="{4354F3DA-1F82-4C8E-BC42-084AF731AB2C}"/>
    <cellStyle name="Normal 6 2 5" xfId="1301" xr:uid="{9B421D11-9C77-46A8-A599-BEDB04799D79}"/>
    <cellStyle name="Normal 6 2 5 2" xfId="2446" xr:uid="{915421A6-E68F-41A0-B93A-B0933D7808F1}"/>
    <cellStyle name="Normal 6 2 6" xfId="1302" xr:uid="{D3FB096A-AED6-4C3B-835A-46E54CAB5136}"/>
    <cellStyle name="Normal 6 2 6 2" xfId="2447" xr:uid="{CDB5E24F-C01A-4F4F-9335-6670E18E1B95}"/>
    <cellStyle name="Normal 6 2 7" xfId="1303" xr:uid="{B2BBAB9B-1AEC-4F5A-B7E1-BE7FBF5FDB07}"/>
    <cellStyle name="Normal 6 2 7 2" xfId="2448" xr:uid="{BF3D3FF3-F251-4AD6-92BA-FF858CCBC839}"/>
    <cellStyle name="Normal 6 2 8" xfId="1304" xr:uid="{29A29A06-BFEB-48AD-BF58-21DAEB602047}"/>
    <cellStyle name="Normal 6 2 8 2" xfId="2449" xr:uid="{B25E369B-9D39-4D28-85DA-A7EFC8D4E901}"/>
    <cellStyle name="Normal 6 2 9" xfId="2430" xr:uid="{9B5D0FB4-48E7-4489-9480-F2FB9B7A2198}"/>
    <cellStyle name="Normal 6 3" xfId="138" xr:uid="{AE9D513C-EF44-4910-B429-954D63F71EF9}"/>
    <cellStyle name="Normal 6 3 10" xfId="1305" xr:uid="{0334EA3B-5C18-487C-80BF-307B929A33CB}"/>
    <cellStyle name="Normal 6 3 2" xfId="1306" xr:uid="{5052A1F8-C922-4B96-B0EC-D724CFC2DAED}"/>
    <cellStyle name="Normal 6 3 2 2" xfId="2451" xr:uid="{7A30BF52-D7C1-4555-AF65-0A9C7D124797}"/>
    <cellStyle name="Normal 6 3 3" xfId="1307" xr:uid="{0DDB4F26-117F-48ED-AB1A-AB29DD53ABE6}"/>
    <cellStyle name="Normal 6 3 3 2" xfId="2452" xr:uid="{39A8EC48-A484-4260-948C-77688A8ECC76}"/>
    <cellStyle name="Normal 6 3 4" xfId="1308" xr:uid="{1D9D3B70-BAC6-4300-8831-0ADC662ED3A3}"/>
    <cellStyle name="Normal 6 3 4 2" xfId="2453" xr:uid="{ED9E3959-02C4-48B1-BB39-4FB950DD97A1}"/>
    <cellStyle name="Normal 6 3 5" xfId="1309" xr:uid="{0598C824-4BFF-4ACE-86FC-3CD07BB5E5D1}"/>
    <cellStyle name="Normal 6 3 5 2" xfId="2454" xr:uid="{2715DB43-A28B-428A-9DD6-BCCC85A96F9C}"/>
    <cellStyle name="Normal 6 3 6" xfId="1310" xr:uid="{647A7AB0-7F6B-4869-A205-E34CB945C685}"/>
    <cellStyle name="Normal 6 3 6 2" xfId="2455" xr:uid="{DE38B71A-C8A4-4331-A9A7-C9B849D12D5A}"/>
    <cellStyle name="Normal 6 3 7" xfId="1311" xr:uid="{D430F6FE-FDAD-4897-8CB4-F2BD51760A5C}"/>
    <cellStyle name="Normal 6 3 7 2" xfId="2456" xr:uid="{4A29255A-4764-4C2F-9A7A-4FD39BF7DFA7}"/>
    <cellStyle name="Normal 6 3 8" xfId="1312" xr:uid="{541F7099-8113-4BA8-BB52-930E87766C85}"/>
    <cellStyle name="Normal 6 3 8 2" xfId="2457" xr:uid="{CC9BE258-8229-43CF-B31A-5CC90101AC81}"/>
    <cellStyle name="Normal 6 3 9" xfId="2450" xr:uid="{3EF5BF22-8267-4A6C-95FF-5B54DA835465}"/>
    <cellStyle name="Normal 6 4" xfId="139" xr:uid="{748D07FC-E1E6-42A7-A98E-E4F9BBEF4DBF}"/>
    <cellStyle name="Normal 6 4 10" xfId="1313" xr:uid="{39A20861-EB65-4E48-A42D-88FAC2008D74}"/>
    <cellStyle name="Normal 6 4 2" xfId="1314" xr:uid="{0D7C8622-D8E1-44EF-BCA1-CC86EB73C67D}"/>
    <cellStyle name="Normal 6 4 2 2" xfId="2459" xr:uid="{81E3E3D2-5307-43B0-9463-9CCBF8188CCC}"/>
    <cellStyle name="Normal 6 4 3" xfId="1315" xr:uid="{5E25FEBF-AAC0-4A0E-AA1A-F72EE715B0F3}"/>
    <cellStyle name="Normal 6 4 3 2" xfId="2460" xr:uid="{7C128D85-AB12-45E0-ACFA-E3B5A582FDF7}"/>
    <cellStyle name="Normal 6 4 4" xfId="1316" xr:uid="{177BB347-7F35-4EC3-86A4-556327FAA8F3}"/>
    <cellStyle name="Normal 6 4 4 2" xfId="2461" xr:uid="{54ADB8A1-AFF6-4EC6-8EDA-F066AB44913C}"/>
    <cellStyle name="Normal 6 4 5" xfId="1317" xr:uid="{5855BD51-40C0-4C1F-8616-39D1EB0AE072}"/>
    <cellStyle name="Normal 6 4 5 2" xfId="2462" xr:uid="{5DE5B175-8AC1-4C59-A6AE-72565D73BB96}"/>
    <cellStyle name="Normal 6 4 6" xfId="1318" xr:uid="{DC57E544-A674-4CEC-8C28-014DA1139F2A}"/>
    <cellStyle name="Normal 6 4 6 2" xfId="2463" xr:uid="{CE477E1C-1A00-41EE-88FD-42B9C3BD23B0}"/>
    <cellStyle name="Normal 6 4 7" xfId="1319" xr:uid="{9C6EE4C7-A11E-4948-BE04-F7AE9CF08454}"/>
    <cellStyle name="Normal 6 4 7 2" xfId="2464" xr:uid="{02C8E1B8-E5BE-475D-9833-700903940ABE}"/>
    <cellStyle name="Normal 6 4 8" xfId="1320" xr:uid="{156AA579-2288-4AD8-8B43-E9C7306C49A5}"/>
    <cellStyle name="Normal 6 4 8 2" xfId="2465" xr:uid="{976A5082-5FB1-4321-B0EA-F8A301255921}"/>
    <cellStyle name="Normal 6 4 9" xfId="2458" xr:uid="{FEF07F13-1BFA-4B9E-89E1-90CAD7E7663B}"/>
    <cellStyle name="Normal 6 5" xfId="1321" xr:uid="{CB21C490-221E-4989-88E1-64A915D4E726}"/>
    <cellStyle name="Normal 6 5 2" xfId="1322" xr:uid="{9467461C-6597-4EC2-8584-FF58C93DF41D}"/>
    <cellStyle name="Normal 6 5 2 2" xfId="2467" xr:uid="{C30517E1-1258-4ACA-BA69-713E5E935FFE}"/>
    <cellStyle name="Normal 6 5 3" xfId="1323" xr:uid="{90D2EACE-8226-4106-A43D-27BD6035623A}"/>
    <cellStyle name="Normal 6 5 3 2" xfId="2468" xr:uid="{132E8F77-1EAA-475C-B10E-A537F1BE8058}"/>
    <cellStyle name="Normal 6 5 4" xfId="1324" xr:uid="{13ABAA6E-0390-48DB-AA82-6C7FA74980D5}"/>
    <cellStyle name="Normal 6 5 4 2" xfId="2469" xr:uid="{664FE185-67CD-4B0B-BE81-21477C97E410}"/>
    <cellStyle name="Normal 6 5 5" xfId="1325" xr:uid="{2408B772-F822-496E-8800-8AA9EEA1B626}"/>
    <cellStyle name="Normal 6 5 5 2" xfId="2470" xr:uid="{1DADDEB7-3E87-426A-8A26-1DB665FE8400}"/>
    <cellStyle name="Normal 6 5 6" xfId="1326" xr:uid="{044F1DC2-13EB-4178-93E1-B1E0E91221F5}"/>
    <cellStyle name="Normal 6 5 6 2" xfId="2471" xr:uid="{2646FEFB-A016-4C0B-8279-078B838F8B81}"/>
    <cellStyle name="Normal 6 5 7" xfId="1327" xr:uid="{DCFE0990-2AE7-44DA-A780-0E5A6C46C0F9}"/>
    <cellStyle name="Normal 6 5 7 2" xfId="2472" xr:uid="{54DAFFA3-911A-451D-A685-26E265FC8B71}"/>
    <cellStyle name="Normal 6 5 8" xfId="1328" xr:uid="{81493E04-95D1-4F3D-89C1-2E0280B45078}"/>
    <cellStyle name="Normal 6 5 8 2" xfId="2473" xr:uid="{FBE2D1D3-AB52-47AB-B091-A3099C81C6D4}"/>
    <cellStyle name="Normal 6 5 9" xfId="2466" xr:uid="{B1CCABCE-62E7-4D8E-A0AE-A351F7F6555C}"/>
    <cellStyle name="Normal 6 6" xfId="1329" xr:uid="{9E57D8D7-8CD6-4B6C-BECC-99EBE386D368}"/>
    <cellStyle name="Normal 6 6 2" xfId="2474" xr:uid="{99472139-B252-4E10-8AEC-393798846612}"/>
    <cellStyle name="Normal 6 7" xfId="1330" xr:uid="{ACB2AFB0-F317-46A0-995B-B65BED9AC28B}"/>
    <cellStyle name="Normal 6 7 2" xfId="2475" xr:uid="{44B04777-ADE2-4859-B254-17AF0E1BA61C}"/>
    <cellStyle name="Normal 6 8" xfId="1331" xr:uid="{13A3A9ED-3483-4414-9F21-2740DE95A0CE}"/>
    <cellStyle name="Normal 6 8 2" xfId="2476" xr:uid="{467A7A82-7065-4AEA-B4D8-DCAA7194D7CE}"/>
    <cellStyle name="Normal 6 9" xfId="1332" xr:uid="{56B449F1-FA01-49A4-A19D-CF99FEF852BC}"/>
    <cellStyle name="Normal 6 9 2" xfId="2477" xr:uid="{E2EEFFA0-F045-43DC-93AA-CB4A0385E5EC}"/>
    <cellStyle name="Normal 7" xfId="140" xr:uid="{0DF7485C-39B7-4FF3-BB95-D4561FB93196}"/>
    <cellStyle name="Normal 7 10" xfId="1334" xr:uid="{3FEC02C2-2EFE-4889-B8BF-BD269CDC5243}"/>
    <cellStyle name="Normal 7 10 2" xfId="2479" xr:uid="{30A345F4-DD34-4656-A257-5F3499C739B8}"/>
    <cellStyle name="Normal 7 11" xfId="1335" xr:uid="{655C7B80-784A-4BA9-841F-B307C1EC4006}"/>
    <cellStyle name="Normal 7 11 2" xfId="2480" xr:uid="{D7AEA680-203C-4760-B889-2691D80BD5C9}"/>
    <cellStyle name="Normal 7 12" xfId="1336" xr:uid="{DD4C6628-6D55-4067-93AA-10F3F6C506ED}"/>
    <cellStyle name="Normal 7 12 2" xfId="2481" xr:uid="{AB002DF0-C4E5-47AD-9562-614A1DE19A54}"/>
    <cellStyle name="Normal 7 13" xfId="2478" xr:uid="{5509447D-2962-43C8-B5E8-892808AE89EF}"/>
    <cellStyle name="Normal 7 14" xfId="1333" xr:uid="{0817E392-E3B3-49E5-8F5D-C5E60831697A}"/>
    <cellStyle name="Normal 7 2" xfId="141" xr:uid="{297D0857-63BA-4621-B232-90F9A6E27ABD}"/>
    <cellStyle name="Normal 7 2 10" xfId="1337" xr:uid="{A748F6A7-9F36-4833-AB44-FC7DC14CDC16}"/>
    <cellStyle name="Normal 7 2 2" xfId="1338" xr:uid="{5A432EAE-0C11-4467-B0C1-F29E0577A566}"/>
    <cellStyle name="Normal 7 2 2 2" xfId="2483" xr:uid="{5ABB4F44-79C3-4673-92B0-C523E9283AA4}"/>
    <cellStyle name="Normal 7 2 3" xfId="1339" xr:uid="{B56E7224-144A-415A-9F01-54150E69C62B}"/>
    <cellStyle name="Normal 7 2 3 2" xfId="2484" xr:uid="{50D55A67-F939-4533-9735-CC46CB9C960B}"/>
    <cellStyle name="Normal 7 2 4" xfId="1340" xr:uid="{DED68FCE-A48E-4A65-9EE5-6246C13B6B0C}"/>
    <cellStyle name="Normal 7 2 4 2" xfId="2485" xr:uid="{AF0EB42D-1F8F-4832-A3C1-D489464A698E}"/>
    <cellStyle name="Normal 7 2 5" xfId="1341" xr:uid="{A22BE5D1-A437-4565-8AE9-0E351B1A390C}"/>
    <cellStyle name="Normal 7 2 5 2" xfId="2486" xr:uid="{D5F31B69-F721-4A71-9498-84C9E2D35054}"/>
    <cellStyle name="Normal 7 2 6" xfId="1342" xr:uid="{C4023628-EC2C-49A1-9DEB-399E496D8574}"/>
    <cellStyle name="Normal 7 2 6 2" xfId="2487" xr:uid="{43332C65-E46C-4E6D-8A0C-C056988DA183}"/>
    <cellStyle name="Normal 7 2 7" xfId="1343" xr:uid="{3E35D8FD-5B6F-4E66-A2C8-552C304C5169}"/>
    <cellStyle name="Normal 7 2 7 2" xfId="2488" xr:uid="{9C342268-B6F2-4D19-BAD3-123F81491C2C}"/>
    <cellStyle name="Normal 7 2 8" xfId="1344" xr:uid="{4CD7C121-5E91-4F0E-8E20-6D6604920456}"/>
    <cellStyle name="Normal 7 2 8 2" xfId="2489" xr:uid="{53145D6A-AA74-4B7F-B004-DCCE7FE9A17B}"/>
    <cellStyle name="Normal 7 2 9" xfId="2482" xr:uid="{A8FA2478-BD30-4982-8C56-9FCEB582ED77}"/>
    <cellStyle name="Normal 7 3" xfId="1345" xr:uid="{FD7D3933-5A1C-492A-AE5D-E28558188D3C}"/>
    <cellStyle name="Normal 7 3 2" xfId="1346" xr:uid="{C841BDEE-E747-4363-8E79-D892A5EB6E41}"/>
    <cellStyle name="Normal 7 3 2 2" xfId="2491" xr:uid="{36C616F5-B09E-4C39-9133-8B19DA209910}"/>
    <cellStyle name="Normal 7 3 3" xfId="1347" xr:uid="{0797E8FC-A3B3-4F5B-A76A-B591D4B98CF5}"/>
    <cellStyle name="Normal 7 3 3 2" xfId="2492" xr:uid="{8DE99499-2B13-495C-891E-A5EFA1F05513}"/>
    <cellStyle name="Normal 7 3 4" xfId="1348" xr:uid="{D590802C-27A1-4A0B-A7DB-80E4EA0EFD41}"/>
    <cellStyle name="Normal 7 3 4 2" xfId="2493" xr:uid="{8367D53A-8F51-4B8F-AEB8-9187C32A2860}"/>
    <cellStyle name="Normal 7 3 5" xfId="1349" xr:uid="{53F4B682-C5E9-4880-B3FA-A82B9ECD8CA0}"/>
    <cellStyle name="Normal 7 3 5 2" xfId="2494" xr:uid="{0A3F0CAB-77F8-407D-91DA-EBDBB0DE6465}"/>
    <cellStyle name="Normal 7 3 6" xfId="1350" xr:uid="{4B10D9EF-DD6B-4EA8-96A6-6F1233EBE475}"/>
    <cellStyle name="Normal 7 3 6 2" xfId="2495" xr:uid="{FC1BA974-FF69-4588-A59B-D2A6421F5AB0}"/>
    <cellStyle name="Normal 7 3 7" xfId="1351" xr:uid="{AAB00115-2237-485F-B1CC-1B30BB15E795}"/>
    <cellStyle name="Normal 7 3 7 2" xfId="2496" xr:uid="{8C6CA10C-2B96-4A5C-BA05-30E890B9C7FC}"/>
    <cellStyle name="Normal 7 3 8" xfId="1352" xr:uid="{5718D151-A07C-4738-8862-5AE46EFB9BE7}"/>
    <cellStyle name="Normal 7 3 8 2" xfId="2497" xr:uid="{69820180-C230-4C35-A98D-E84E6E664974}"/>
    <cellStyle name="Normal 7 3 9" xfId="2490" xr:uid="{395CF9BA-6135-44AD-A2D2-9A5EBEF65CDE}"/>
    <cellStyle name="Normal 7 4" xfId="1353" xr:uid="{DCF28068-B427-4DE7-8909-240B08A666F7}"/>
    <cellStyle name="Normal 7 4 2" xfId="1354" xr:uid="{7013C40E-3ECA-4667-8588-F394165A2FCD}"/>
    <cellStyle name="Normal 7 4 2 2" xfId="2499" xr:uid="{341156EE-521A-4AAD-969F-11A2B90CAD20}"/>
    <cellStyle name="Normal 7 4 3" xfId="1355" xr:uid="{B12DFB17-4807-48D8-980B-045E7EE570D1}"/>
    <cellStyle name="Normal 7 4 3 2" xfId="2500" xr:uid="{43F40019-CE51-43E7-96B6-60FDEC88E65C}"/>
    <cellStyle name="Normal 7 4 4" xfId="1356" xr:uid="{69D937F8-6E11-461C-B2B8-13CE70023960}"/>
    <cellStyle name="Normal 7 4 4 2" xfId="2501" xr:uid="{7D3533BF-808D-484C-A569-891D1241DCA3}"/>
    <cellStyle name="Normal 7 4 5" xfId="1357" xr:uid="{84E49F31-6790-4A3D-BF79-FBECDD043444}"/>
    <cellStyle name="Normal 7 4 5 2" xfId="2502" xr:uid="{32468795-4023-474C-8409-68815871351F}"/>
    <cellStyle name="Normal 7 4 6" xfId="1358" xr:uid="{56E217CA-4201-4700-A247-CB7116C11CF7}"/>
    <cellStyle name="Normal 7 4 6 2" xfId="2503" xr:uid="{88131FA3-34E9-4068-8A74-B592B95AE299}"/>
    <cellStyle name="Normal 7 4 7" xfId="1359" xr:uid="{27C81932-EDF1-4B4D-A0D4-9ECA14B716E0}"/>
    <cellStyle name="Normal 7 4 7 2" xfId="2504" xr:uid="{9392DC26-031C-47CF-9545-C6D32CD99EB5}"/>
    <cellStyle name="Normal 7 4 8" xfId="1360" xr:uid="{A0F34A19-8DAC-43AC-A99B-6025B4DEED2D}"/>
    <cellStyle name="Normal 7 4 8 2" xfId="2505" xr:uid="{2F341ECC-03FC-4E5F-AD30-78CEEF3AC915}"/>
    <cellStyle name="Normal 7 4 9" xfId="2498" xr:uid="{95BE87A0-4C5D-46FA-BE00-95B58B61FE06}"/>
    <cellStyle name="Normal 7 5" xfId="1361" xr:uid="{A7FF32CD-2474-44D1-8173-9BEC85FA8A06}"/>
    <cellStyle name="Normal 7 5 2" xfId="1362" xr:uid="{1792BFCC-A564-416C-A372-A55A9156B605}"/>
    <cellStyle name="Normal 7 5 2 2" xfId="2507" xr:uid="{6A72B54A-8E89-46BD-B809-E294468D49DF}"/>
    <cellStyle name="Normal 7 5 3" xfId="1363" xr:uid="{6854C06E-1E6C-46F2-9719-D725F492B644}"/>
    <cellStyle name="Normal 7 5 3 2" xfId="2508" xr:uid="{7091394D-B07C-45E4-A1A2-F1D8AD97AD88}"/>
    <cellStyle name="Normal 7 5 4" xfId="1364" xr:uid="{A7A88CD7-EF8C-4361-988A-B4FE2D8A6779}"/>
    <cellStyle name="Normal 7 5 4 2" xfId="2509" xr:uid="{39D5A159-8F1E-4C76-BC1C-8E10AB4036B7}"/>
    <cellStyle name="Normal 7 5 5" xfId="1365" xr:uid="{261AF7F4-7DC5-4C06-84EC-9793D907A284}"/>
    <cellStyle name="Normal 7 5 5 2" xfId="2510" xr:uid="{E0CC15D5-EB8F-4642-91F8-6D744A20D6A4}"/>
    <cellStyle name="Normal 7 5 6" xfId="1366" xr:uid="{B70F3BD1-A5DE-43B9-A362-B769D0CC0AB8}"/>
    <cellStyle name="Normal 7 5 6 2" xfId="2511" xr:uid="{D8F220B7-D12C-4C08-8300-CC17096446C0}"/>
    <cellStyle name="Normal 7 5 7" xfId="1367" xr:uid="{E379AE9F-806B-4E56-849E-3C547E84B31B}"/>
    <cellStyle name="Normal 7 5 7 2" xfId="2512" xr:uid="{528D673A-EC88-4DF1-AA4B-2FB3F0CDFAEA}"/>
    <cellStyle name="Normal 7 5 8" xfId="1368" xr:uid="{7B29BC9D-F0D8-4A3D-B52F-D5618D89CA4A}"/>
    <cellStyle name="Normal 7 5 8 2" xfId="2513" xr:uid="{3EBC507F-F531-4B6C-B9AE-3D16ECBEA300}"/>
    <cellStyle name="Normal 7 5 9" xfId="2506" xr:uid="{F18C4390-6B74-4F65-AE85-6F14ACBA15B7}"/>
    <cellStyle name="Normal 7 6" xfId="1369" xr:uid="{CBEA3C48-99D0-428E-966A-1DD33971BC13}"/>
    <cellStyle name="Normal 7 6 2" xfId="2514" xr:uid="{34F2A0CE-C00F-4EA9-A837-CC856C370F6C}"/>
    <cellStyle name="Normal 7 7" xfId="1370" xr:uid="{3DFD0393-34F0-49CD-8FA9-D35FBEDE198A}"/>
    <cellStyle name="Normal 7 7 2" xfId="2515" xr:uid="{774C4C5A-55DB-4F97-9B9B-825C60519833}"/>
    <cellStyle name="Normal 7 8" xfId="1371" xr:uid="{9C219352-5E74-4C61-B055-0394796B7C27}"/>
    <cellStyle name="Normal 7 8 2" xfId="2516" xr:uid="{41BD138F-A57A-44B9-A49C-1E0A97B79DD7}"/>
    <cellStyle name="Normal 7 9" xfId="1372" xr:uid="{2D1F3A3F-5349-4250-A087-AA578FA7AF29}"/>
    <cellStyle name="Normal 7 9 2" xfId="2517" xr:uid="{8A5A9FE6-BC4B-410B-9414-78F1279AB226}"/>
    <cellStyle name="Normal 8" xfId="142" xr:uid="{8388F8CD-7354-4E50-9607-A556A774EE09}"/>
    <cellStyle name="Normal 8 10" xfId="1374" xr:uid="{43F2FD5F-AAE7-47D5-8050-DB37D9B00AE4}"/>
    <cellStyle name="Normal 8 10 2" xfId="2519" xr:uid="{2612D53C-7D5B-470C-ADAF-37828C7541DD}"/>
    <cellStyle name="Normal 8 11" xfId="1375" xr:uid="{9204C7F4-30AD-49C8-9330-E7CCE66113EB}"/>
    <cellStyle name="Normal 8 11 2" xfId="2520" xr:uid="{B567858B-D2DA-407C-AFE2-B95D9281FAF0}"/>
    <cellStyle name="Normal 8 12" xfId="1376" xr:uid="{ED9955AC-1D78-4AD9-B84C-2E6DC4D4F9DD}"/>
    <cellStyle name="Normal 8 12 2" xfId="2521" xr:uid="{D4A222E4-161F-4E35-94AA-57BFEA41513F}"/>
    <cellStyle name="Normal 8 13" xfId="2518" xr:uid="{11F8B6F4-5C64-40BB-83BB-A94630C4F757}"/>
    <cellStyle name="Normal 8 14" xfId="1373" xr:uid="{B8AD5BD4-D89A-4CCF-A08C-9359471DB4D3}"/>
    <cellStyle name="Normal 8 2" xfId="143" xr:uid="{B124FD98-3D6F-44F8-8774-563CB20081F9}"/>
    <cellStyle name="Normal 8 2 10" xfId="1377" xr:uid="{9E3C6BD6-37FF-4505-9BCF-45B6C8172EB4}"/>
    <cellStyle name="Normal 8 2 2" xfId="1378" xr:uid="{A699AB00-8606-4411-A832-58DCF8D3B3CF}"/>
    <cellStyle name="Normal 8 2 2 2" xfId="2523" xr:uid="{503EA1C9-1FD6-4B47-9F59-00088E3CC271}"/>
    <cellStyle name="Normal 8 2 3" xfId="1379" xr:uid="{8DC77D31-3976-4602-AC82-565F7931AE9F}"/>
    <cellStyle name="Normal 8 2 3 2" xfId="2524" xr:uid="{F63DB276-E0C0-4600-8AA3-D91A98B4C64A}"/>
    <cellStyle name="Normal 8 2 4" xfId="1380" xr:uid="{074CCDE7-0986-4E6F-A557-B4432FA2D585}"/>
    <cellStyle name="Normal 8 2 4 2" xfId="2525" xr:uid="{0A58EDB1-0911-4515-A29D-C80169B1C9A3}"/>
    <cellStyle name="Normal 8 2 5" xfId="1381" xr:uid="{AB2D9294-EB2B-4FCD-BCDC-D7F5906639A9}"/>
    <cellStyle name="Normal 8 2 5 2" xfId="2526" xr:uid="{01210E45-3BAB-4B86-AF59-9C6E53AD411F}"/>
    <cellStyle name="Normal 8 2 6" xfId="1382" xr:uid="{8B68E458-64E8-43A7-B1F2-2FC176F25907}"/>
    <cellStyle name="Normal 8 2 6 2" xfId="2527" xr:uid="{68BF962F-6B5F-442D-9CA9-DE5AD7122291}"/>
    <cellStyle name="Normal 8 2 7" xfId="1383" xr:uid="{CA141598-8F4B-4204-9FB9-6E9F0129301F}"/>
    <cellStyle name="Normal 8 2 7 2" xfId="2528" xr:uid="{20A176F2-1422-454F-B1D2-2B7F43E2E7FE}"/>
    <cellStyle name="Normal 8 2 8" xfId="1384" xr:uid="{24923047-CA32-4A8E-A5E6-DDA53E29CCB3}"/>
    <cellStyle name="Normal 8 2 8 2" xfId="2529" xr:uid="{C4374E55-C137-46D5-9BE7-54FA08657604}"/>
    <cellStyle name="Normal 8 2 9" xfId="2522" xr:uid="{BB0BE1AD-90A8-49F4-AB72-B7D88F546648}"/>
    <cellStyle name="Normal 8 3" xfId="1385" xr:uid="{FD098608-9B8E-40FD-AE8D-1C11F752F206}"/>
    <cellStyle name="Normal 8 3 2" xfId="1386" xr:uid="{CD2EDFA2-EB70-489E-90D2-18E4D4A3AE24}"/>
    <cellStyle name="Normal 8 3 2 2" xfId="2531" xr:uid="{D9A28306-EC9D-4FC5-92A9-E16F6E287699}"/>
    <cellStyle name="Normal 8 3 3" xfId="1387" xr:uid="{A0215A19-36FD-4FF4-AAD0-C3C08EB55369}"/>
    <cellStyle name="Normal 8 3 3 2" xfId="2532" xr:uid="{19447D8E-6B74-4CA0-9473-791EB9341B2B}"/>
    <cellStyle name="Normal 8 3 4" xfId="1388" xr:uid="{067CA37F-4420-4700-BAEE-07B34BD8760A}"/>
    <cellStyle name="Normal 8 3 4 2" xfId="2533" xr:uid="{83260114-39BC-482E-B8C8-9A33BF947680}"/>
    <cellStyle name="Normal 8 3 5" xfId="1389" xr:uid="{E8B11F1F-66DD-4FFB-9A42-24A322837D93}"/>
    <cellStyle name="Normal 8 3 5 2" xfId="2534" xr:uid="{31F3A728-DFD1-4CF5-BE43-7A7DC2608F0B}"/>
    <cellStyle name="Normal 8 3 6" xfId="1390" xr:uid="{75E12C9C-4788-46D3-BB7F-660AECA97ABF}"/>
    <cellStyle name="Normal 8 3 6 2" xfId="2535" xr:uid="{60CB2B1D-2606-4BBA-82E4-D7FC523B7B8A}"/>
    <cellStyle name="Normal 8 3 7" xfId="1391" xr:uid="{F9701B52-0973-41C5-82B9-6E537D053CF0}"/>
    <cellStyle name="Normal 8 3 7 2" xfId="2536" xr:uid="{8EF54035-F541-49E8-AA71-9F13E69B58AE}"/>
    <cellStyle name="Normal 8 3 8" xfId="1392" xr:uid="{6487A310-F682-4F85-AA53-ACEA855C47C9}"/>
    <cellStyle name="Normal 8 3 8 2" xfId="2537" xr:uid="{FF54CC6D-44B9-4B71-BF51-B046D21DBA3F}"/>
    <cellStyle name="Normal 8 3 9" xfId="2530" xr:uid="{2FBD2479-EC1B-491C-B477-6D1D2E5C839B}"/>
    <cellStyle name="Normal 8 4" xfId="1393" xr:uid="{7AE85F49-A508-467D-BC8A-7C5C4372EA30}"/>
    <cellStyle name="Normal 8 4 2" xfId="1394" xr:uid="{4E63E61A-B903-4282-AD64-6C9607C3011F}"/>
    <cellStyle name="Normal 8 4 2 2" xfId="2539" xr:uid="{12E5F53E-E664-46AA-86A3-6A97A825377A}"/>
    <cellStyle name="Normal 8 4 3" xfId="1395" xr:uid="{2FE77642-1C9F-4BD2-A190-D49BBB375769}"/>
    <cellStyle name="Normal 8 4 3 2" xfId="2540" xr:uid="{CC9D8A22-4FA3-49D7-99D6-2A27BE8289A8}"/>
    <cellStyle name="Normal 8 4 4" xfId="1396" xr:uid="{61B588D8-1FFB-40EA-84F8-7F637E1AA255}"/>
    <cellStyle name="Normal 8 4 4 2" xfId="2541" xr:uid="{D6A9AE71-B350-4104-BB68-4408E820F904}"/>
    <cellStyle name="Normal 8 4 5" xfId="1397" xr:uid="{4127A436-8D70-451C-9040-850EF001B80F}"/>
    <cellStyle name="Normal 8 4 5 2" xfId="2542" xr:uid="{D94FBC6A-DC10-448E-89E8-3E0C331A86A1}"/>
    <cellStyle name="Normal 8 4 6" xfId="1398" xr:uid="{DD01F072-B65B-4AF4-945C-561F56A3A65E}"/>
    <cellStyle name="Normal 8 4 6 2" xfId="2543" xr:uid="{78F20162-E306-4AC7-8C0F-8864227813F6}"/>
    <cellStyle name="Normal 8 4 7" xfId="1399" xr:uid="{826E9FDB-EADB-4ACD-B6DB-78A4B8DF2C2F}"/>
    <cellStyle name="Normal 8 4 7 2" xfId="2544" xr:uid="{7CD8945F-16D2-4751-8E09-574275B86524}"/>
    <cellStyle name="Normal 8 4 8" xfId="1400" xr:uid="{36C1D99F-D24E-4075-87AF-D0BF71ABD18B}"/>
    <cellStyle name="Normal 8 4 8 2" xfId="2545" xr:uid="{ECC4E06D-FB3C-436B-802C-8390F504730A}"/>
    <cellStyle name="Normal 8 4 9" xfId="2538" xr:uid="{AB7832CB-062E-45E5-A718-CA142FAD68D5}"/>
    <cellStyle name="Normal 8 5" xfId="1401" xr:uid="{F02B4371-5F03-4D9A-9DA9-440CA97E7F7A}"/>
    <cellStyle name="Normal 8 5 2" xfId="1402" xr:uid="{22EB7E5D-4EF7-4439-9C9B-5891F0EC6D19}"/>
    <cellStyle name="Normal 8 5 2 2" xfId="2547" xr:uid="{41A0670B-92C0-4E5B-BCC2-2CA18918BE43}"/>
    <cellStyle name="Normal 8 5 3" xfId="1403" xr:uid="{A97DE4F5-0763-4C62-B0FE-F4E9B46F995E}"/>
    <cellStyle name="Normal 8 5 3 2" xfId="2548" xr:uid="{B08BC18F-C78E-484E-A06A-7F8227E73312}"/>
    <cellStyle name="Normal 8 5 4" xfId="1404" xr:uid="{18B6F08D-8747-42A4-B627-65FB5388680E}"/>
    <cellStyle name="Normal 8 5 4 2" xfId="2549" xr:uid="{B30A3D56-BD42-410A-A19F-153CEC951396}"/>
    <cellStyle name="Normal 8 5 5" xfId="1405" xr:uid="{669072BA-7309-423E-8E74-41887485E12F}"/>
    <cellStyle name="Normal 8 5 5 2" xfId="2550" xr:uid="{EE879309-D8AA-4F8C-89E3-178A61671EAF}"/>
    <cellStyle name="Normal 8 5 6" xfId="1406" xr:uid="{2C1B4286-0B39-48F8-9B3A-A841F244D519}"/>
    <cellStyle name="Normal 8 5 6 2" xfId="2551" xr:uid="{7EF1A27B-FD6F-4AB5-B495-D79C813CC029}"/>
    <cellStyle name="Normal 8 5 7" xfId="1407" xr:uid="{938E276E-D732-4075-9AD3-8248BBD2BAFF}"/>
    <cellStyle name="Normal 8 5 7 2" xfId="2552" xr:uid="{396F29F1-8E43-465F-BB87-559B50F843BC}"/>
    <cellStyle name="Normal 8 5 8" xfId="1408" xr:uid="{081B431D-1563-4CB2-BF2B-72E046D4D673}"/>
    <cellStyle name="Normal 8 5 8 2" xfId="2553" xr:uid="{22D58856-FEA5-4B44-922C-1975C9D3DDF4}"/>
    <cellStyle name="Normal 8 5 9" xfId="2546" xr:uid="{7BE19A47-1C83-4FB1-A301-7E6DC2256570}"/>
    <cellStyle name="Normal 8 6" xfId="1409" xr:uid="{67ACB390-B06E-4620-9542-8C93461DBB86}"/>
    <cellStyle name="Normal 8 6 2" xfId="2554" xr:uid="{6709ED5E-03BB-452F-B9BE-5F032D74E1C4}"/>
    <cellStyle name="Normal 8 7" xfId="1410" xr:uid="{30489E3F-2833-4277-B46E-51F850BE3E54}"/>
    <cellStyle name="Normal 8 7 2" xfId="2555" xr:uid="{E9748634-3D8B-45C5-9CBE-AA65F987C248}"/>
    <cellStyle name="Normal 8 8" xfId="1411" xr:uid="{009E808D-FC52-43EA-979D-626FB605D7EF}"/>
    <cellStyle name="Normal 8 8 2" xfId="2556" xr:uid="{CA70045C-8095-4E95-AB9C-D66027C6E9C9}"/>
    <cellStyle name="Normal 8 9" xfId="1412" xr:uid="{A1C3801F-063E-44CB-AFF2-87AAED087711}"/>
    <cellStyle name="Normal 8 9 2" xfId="2557" xr:uid="{4E6DE9A9-60F6-4369-9B3A-39CFF36A24A4}"/>
    <cellStyle name="Normal 9" xfId="144" xr:uid="{9EB34472-4EF1-4530-B38F-260024DDC83D}"/>
    <cellStyle name="Normal 9 10" xfId="1413" xr:uid="{A05A533A-AB8D-45DE-A2B6-CEDD18FB11B5}"/>
    <cellStyle name="Normal 9 2" xfId="1414" xr:uid="{90D7C0C4-A166-4C3D-853A-DF6BC1DC00A1}"/>
    <cellStyle name="Normal 9 2 2" xfId="2559" xr:uid="{0B99BE3A-3F49-48BE-96A2-C56D6E93217A}"/>
    <cellStyle name="Normal 9 3" xfId="1415" xr:uid="{3A803594-A4D0-49AA-9D27-3479ED142A1C}"/>
    <cellStyle name="Normal 9 3 2" xfId="2560" xr:uid="{69F67C01-D4C2-4BFF-A868-83C680A70D4E}"/>
    <cellStyle name="Normal 9 4" xfId="1416" xr:uid="{FE1F5752-8501-4441-98FF-7992A39BF727}"/>
    <cellStyle name="Normal 9 4 2" xfId="2561" xr:uid="{099D52EC-C898-46C1-BA72-C6C55B85FC1A}"/>
    <cellStyle name="Normal 9 5" xfId="1417" xr:uid="{CE50E4D0-53BC-43FE-B165-0CAEEA119D5E}"/>
    <cellStyle name="Normal 9 5 2" xfId="2562" xr:uid="{DE893E4D-FDFD-4B60-9E3A-D3A331AC71CD}"/>
    <cellStyle name="Normal 9 6" xfId="1418" xr:uid="{3FA7F53F-FF33-4F55-AD1A-5CC75328718E}"/>
    <cellStyle name="Normal 9 6 2" xfId="2563" xr:uid="{664D82C9-7FB5-46BF-AFF1-3829FC2E624A}"/>
    <cellStyle name="Normal 9 7" xfId="1419" xr:uid="{CC2979D5-067A-4518-8AF3-F87D87634BA9}"/>
    <cellStyle name="Normal 9 7 2" xfId="2564" xr:uid="{D004D3CB-3530-48C2-A878-8701EF4DE4A9}"/>
    <cellStyle name="Normal 9 8" xfId="1420" xr:uid="{738975FC-81D0-4BC1-AB08-7C048D1ADE77}"/>
    <cellStyle name="Normal 9 8 2" xfId="2565" xr:uid="{D654F1D1-828A-4D31-A13E-1579FDA647DC}"/>
    <cellStyle name="Normal 9 9" xfId="2558" xr:uid="{A71A19B5-7A67-462E-AC72-A159683D18CD}"/>
    <cellStyle name="Normal GHG Numbers (0.00)" xfId="209" xr:uid="{950867D9-55E9-4369-9738-E2F4219616EC}"/>
    <cellStyle name="Normal GHG Textfiels Bold" xfId="210" xr:uid="{D60A31B7-61EF-41EB-A6D6-F249106C53FB}"/>
    <cellStyle name="Normal GHG-Shade" xfId="211" xr:uid="{969650A7-9B11-4076-A7BE-02E30EA4D6FB}"/>
    <cellStyle name="Normal GHG-Shade 2" xfId="1421" xr:uid="{124FCDBA-F8B7-4BDB-BE55-87680EC24C49}"/>
    <cellStyle name="Normal GHG-Shade 2 2" xfId="2567" xr:uid="{E73195F4-CCD8-455D-98AA-4547FAB05E8D}"/>
    <cellStyle name="Normal GHG-Shade 3" xfId="2566" xr:uid="{E19E7D44-77C5-4FCC-B455-2F147FDA2F7F}"/>
    <cellStyle name="Normale_B2020" xfId="145" xr:uid="{EF4DB2DF-1F1E-415B-8AB9-BD6E16E1AAF6}"/>
    <cellStyle name="Note" xfId="19" xr:uid="{00000000-0005-0000-0000-000013000000}"/>
    <cellStyle name="Note 10" xfId="3452" xr:uid="{AC9D7FBC-8972-48FE-9A3B-F7FE150A9D44}"/>
    <cellStyle name="Note 11" xfId="3439" xr:uid="{E1904C76-C5DC-41A6-BA61-5939002B7730}"/>
    <cellStyle name="Note 2" xfId="146" xr:uid="{E2EC1903-7533-4DEB-83C5-8507F231FCFD}"/>
    <cellStyle name="Note 2 10" xfId="1423" xr:uid="{8A0CA044-F01B-44F8-BA54-9C082597964E}"/>
    <cellStyle name="Note 2 10 2" xfId="2569" xr:uid="{982F6438-0A67-4727-A6D9-A5D179E1F8A6}"/>
    <cellStyle name="Note 2 11" xfId="1424" xr:uid="{CFD337A3-3183-4E3C-A054-360F98354EDB}"/>
    <cellStyle name="Note 2 11 2" xfId="2570" xr:uid="{2BD0CDC8-B16D-47AD-A8C5-22C5A8E7F2BE}"/>
    <cellStyle name="Note 2 12" xfId="1425" xr:uid="{697A28FC-EBF6-4065-8782-41C0D7F75463}"/>
    <cellStyle name="Note 2 12 2" xfId="2571" xr:uid="{CA710807-2C00-4CC2-BE8B-A04A6EAD84B2}"/>
    <cellStyle name="Note 2 13" xfId="1426" xr:uid="{FE58B447-1E81-4314-9487-9623FF2BAF93}"/>
    <cellStyle name="Note 2 13 2" xfId="2572" xr:uid="{0DFFA006-DC57-4BE9-BB0F-6080324A5A46}"/>
    <cellStyle name="Note 2 14" xfId="1427" xr:uid="{930384C2-C5DF-41CB-853C-9E9AC7B393C9}"/>
    <cellStyle name="Note 2 14 2" xfId="2573" xr:uid="{B64963CE-4FD0-4804-8009-7340F84834C2}"/>
    <cellStyle name="Note 2 15" xfId="1428" xr:uid="{0E60B5E8-70FB-4899-B6A2-C46B2A907DF3}"/>
    <cellStyle name="Note 2 15 2" xfId="2574" xr:uid="{4D59CE43-D283-48E9-8604-D2F73D42AA19}"/>
    <cellStyle name="Note 2 16" xfId="2568" xr:uid="{F337B42D-3856-436B-B1F4-C89075450F7D}"/>
    <cellStyle name="Note 2 17" xfId="1422" xr:uid="{9C102EF0-9D97-488E-B1F1-523A0A5CB08A}"/>
    <cellStyle name="Note 2 2" xfId="1429" xr:uid="{3BBC47D7-1F4E-4F80-A502-3200E5E3B4CA}"/>
    <cellStyle name="Note 2 2 2" xfId="1430" xr:uid="{1075DC58-83D1-404F-82C8-60BE633DE81E}"/>
    <cellStyle name="Note 2 2 2 2" xfId="2575" xr:uid="{9FF5246A-C8A7-4DFC-AAC0-1AF8263934D1}"/>
    <cellStyle name="Note 2 3" xfId="1431" xr:uid="{1F01E033-AE67-4AD8-B9D5-557696E5D3A3}"/>
    <cellStyle name="Note 2 3 2" xfId="2576" xr:uid="{89268ADD-36C4-44FB-A890-874DA4AD0EC5}"/>
    <cellStyle name="Note 2 4" xfId="1432" xr:uid="{759BAC9E-ED5B-41B3-B2BF-5C08389DFF4F}"/>
    <cellStyle name="Note 2 4 2" xfId="2577" xr:uid="{1EBAE3CB-3239-409D-A1AE-AD4CBE838EAE}"/>
    <cellStyle name="Note 2 5" xfId="1433" xr:uid="{522F15D3-2442-4EBA-9F9A-1E0F50513290}"/>
    <cellStyle name="Note 2 5 2" xfId="2578" xr:uid="{7435BF11-385C-452B-B860-3FF2D433A80C}"/>
    <cellStyle name="Note 2 6" xfId="1434" xr:uid="{678341DF-AC6C-4184-8A4D-A29E61180EB2}"/>
    <cellStyle name="Note 2 6 2" xfId="2579" xr:uid="{084C7CCD-B9CA-4CF2-872A-AF510AE91AEF}"/>
    <cellStyle name="Note 2 7" xfId="1435" xr:uid="{45C58151-3FB3-4FDB-95AB-86EA99AE9CB8}"/>
    <cellStyle name="Note 2 7 2" xfId="2580" xr:uid="{A4C182A2-3CFB-483F-9957-38DA8D384B84}"/>
    <cellStyle name="Note 2 8" xfId="1436" xr:uid="{799A51B6-0AE8-4DB2-A0D4-4FADF0A3456D}"/>
    <cellStyle name="Note 2 8 2" xfId="2581" xr:uid="{EFAFC078-25B9-46DE-8CC8-361C30CF88FE}"/>
    <cellStyle name="Note 2 9" xfId="1437" xr:uid="{DDD07DD1-CA13-4DF1-9730-9D4F3CB4F73C}"/>
    <cellStyle name="Note 2 9 2" xfId="2582" xr:uid="{D50883F4-41AB-4426-83B3-ECC18E80264E}"/>
    <cellStyle name="Note 3" xfId="147" xr:uid="{6DDE171D-2916-45FC-895B-1D27EB34DFA2}"/>
    <cellStyle name="Note 3 2" xfId="148" xr:uid="{66600AED-B885-4C2F-A7E8-128CF4857D0E}"/>
    <cellStyle name="Note 3 2 2" xfId="2583" xr:uid="{C116FCDF-BAB7-4382-AE0A-74BA119F1990}"/>
    <cellStyle name="Note 3 2 3" xfId="1439" xr:uid="{EA988FB0-938A-468F-8C17-B006759173C2}"/>
    <cellStyle name="Note 3 3" xfId="1438" xr:uid="{91943185-CEEB-4DD4-9D49-AED638950F9E}"/>
    <cellStyle name="Note 4" xfId="1440" xr:uid="{63AB7A41-1BBF-44BB-AE86-273A65E50F89}"/>
    <cellStyle name="Note 4 2" xfId="2584" xr:uid="{C52C1791-91CC-4FA3-B283-F5550466C5FE}"/>
    <cellStyle name="Note 5" xfId="1441" xr:uid="{7D3FF376-01F3-47A8-9F93-9EA1F084783A}"/>
    <cellStyle name="Note 5 2" xfId="2585" xr:uid="{D0F7BF5A-40E2-41EF-8B4D-1B1184FBD73F}"/>
    <cellStyle name="Note 6" xfId="1442" xr:uid="{FE333A7E-589A-4FA4-90AD-0C9A5DDC0C3A}"/>
    <cellStyle name="Note 6 2" xfId="2586" xr:uid="{D3A65E03-BFD1-41D7-8419-E9E4476DCD60}"/>
    <cellStyle name="Note 7" xfId="1443" xr:uid="{BCD97310-E774-4663-99BE-5AFB522A821F}"/>
    <cellStyle name="Note 7 2" xfId="2587" xr:uid="{D9A33D5F-3F5F-4B29-93B6-61B1C85310B4}"/>
    <cellStyle name="Note 8" xfId="1444" xr:uid="{CD6F35C4-A816-4BB0-815A-CCF975C8171B}"/>
    <cellStyle name="Note 8 2" xfId="2588" xr:uid="{E7DEC505-B768-452D-A38D-A2E9B0DE93B1}"/>
    <cellStyle name="Note 9" xfId="3839" xr:uid="{EC1FE622-71FC-4DFE-B66B-41B106AFAC3C}"/>
    <cellStyle name="num_note" xfId="1445" xr:uid="{7FC897D4-4360-4AB2-93A6-E8C87A03D1B6}"/>
    <cellStyle name="Nuovo" xfId="1446" xr:uid="{7631D4B5-3B45-4493-A078-77B8520E7592}"/>
    <cellStyle name="Nuovo 2" xfId="2589" xr:uid="{3EACB564-A3F1-4F03-AA24-C73415D3A46A}"/>
    <cellStyle name="Output 2" xfId="149" xr:uid="{3FB9333E-684E-4EB6-81BF-1ED91ABD6ABD}"/>
    <cellStyle name="Output 2 10" xfId="1447" xr:uid="{6DCCCB02-A5DB-4615-BA8C-369BEE3210C8}"/>
    <cellStyle name="Output 2 2" xfId="1448" xr:uid="{7F778A1C-9C24-4B2A-89BD-8C1B04D3F830}"/>
    <cellStyle name="Output 2 3" xfId="1449" xr:uid="{11F2E6DD-8FAA-454B-8CF9-F3295C6753FA}"/>
    <cellStyle name="Output 2 4" xfId="1450" xr:uid="{0A5B57FA-33B6-47BC-9BF2-C15FCB5D868D}"/>
    <cellStyle name="Output 2 5" xfId="1451" xr:uid="{895E1EE7-D637-4967-9E80-0E4EECD9D672}"/>
    <cellStyle name="Output 2 6" xfId="1452" xr:uid="{52FDFFF0-0358-47F1-9DC1-1F09FFC1195E}"/>
    <cellStyle name="Output 2 7" xfId="1453" xr:uid="{CDBDB99E-17DB-455D-A0C6-1C0EDCEF7489}"/>
    <cellStyle name="Output 2 8" xfId="1454" xr:uid="{FD10D625-40F0-460E-8CE4-21A2AAAA5D0E}"/>
    <cellStyle name="Output 2 9" xfId="1455" xr:uid="{093AEC42-6003-435E-9576-7AAF24324E92}"/>
    <cellStyle name="Output 3" xfId="150" xr:uid="{E942C548-93F3-4704-9299-5A4F4277553B}"/>
    <cellStyle name="Output 3 2" xfId="1456" xr:uid="{666F7A0E-FE85-47C4-BCBB-0DE92E50B1F3}"/>
    <cellStyle name="Percent 10" xfId="1457" xr:uid="{0F6E8E5C-AF81-4332-BFFA-A85CD968A6CB}"/>
    <cellStyle name="Percent 10 2" xfId="1458" xr:uid="{C1D60283-69C1-44FC-993B-430DF61E0C41}"/>
    <cellStyle name="Percent 10 2 2" xfId="2591" xr:uid="{5515A759-33F4-4EA5-8B01-EF6D1BFE2BBC}"/>
    <cellStyle name="Percent 10 3" xfId="1459" xr:uid="{A890D726-1DAD-4B92-AFEE-1F13A1550EA6}"/>
    <cellStyle name="Percent 10 3 2" xfId="2592" xr:uid="{929253AD-221A-4EDE-A07E-14CC7E9C3020}"/>
    <cellStyle name="Percent 10 4" xfId="1460" xr:uid="{D43F9A63-9C80-4218-90D8-BF00E7B36901}"/>
    <cellStyle name="Percent 10 4 2" xfId="2593" xr:uid="{21A3B472-B8E3-4364-86D5-D507AF092FD3}"/>
    <cellStyle name="Percent 10 5" xfId="1461" xr:uid="{220A536B-D31E-4509-9834-EFAF16673A76}"/>
    <cellStyle name="Percent 10 5 2" xfId="2594" xr:uid="{A93738C9-DDEC-4514-8ADF-B02E6BC8606F}"/>
    <cellStyle name="Percent 10 6" xfId="1462" xr:uid="{AE915547-D1CB-4759-A06D-87F0885AC778}"/>
    <cellStyle name="Percent 10 6 2" xfId="2595" xr:uid="{99BBD1FA-41A1-4395-83DE-D39ECFF9CF0F}"/>
    <cellStyle name="Percent 10 7" xfId="1463" xr:uid="{F175B55E-10CC-4DF3-B4B3-644CF988228E}"/>
    <cellStyle name="Percent 10 7 2" xfId="2596" xr:uid="{4F82EE9E-0E86-4753-AB2E-8222108286D6}"/>
    <cellStyle name="Percent 10 8" xfId="1464" xr:uid="{AA3DE9EC-84AB-46AC-921C-A4A440C9CB48}"/>
    <cellStyle name="Percent 10 8 2" xfId="2597" xr:uid="{B844336F-B7BF-4F67-8A2F-CCB654D05141}"/>
    <cellStyle name="Percent 10 9" xfId="2590" xr:uid="{87E2F9FA-5C58-4DFA-B9CE-655C405B55A9}"/>
    <cellStyle name="Percent 11" xfId="1465" xr:uid="{DB9D7A5F-E76F-4E55-9DF6-361783171DFF}"/>
    <cellStyle name="Percent 11 2" xfId="1466" xr:uid="{7D8295EF-EDBA-4FEF-8D8D-D01E1533BCF5}"/>
    <cellStyle name="Percent 11 2 2" xfId="2599" xr:uid="{5215EE08-5F59-4C69-AA0D-51A57FB058D6}"/>
    <cellStyle name="Percent 11 3" xfId="1467" xr:uid="{A201408D-3603-440B-ACB6-76DFAA7CF470}"/>
    <cellStyle name="Percent 11 3 2" xfId="2600" xr:uid="{6D48D464-6292-4201-A3A9-49830A7843B7}"/>
    <cellStyle name="Percent 11 4" xfId="1468" xr:uid="{56EA0117-CE63-4802-AAB5-D6E6BB452C77}"/>
    <cellStyle name="Percent 11 4 2" xfId="2601" xr:uid="{3FAB61A6-6A4A-44CD-9444-D649E6D3061F}"/>
    <cellStyle name="Percent 11 5" xfId="1469" xr:uid="{2E3A53B8-EE8D-473C-B060-3F1AEF524B58}"/>
    <cellStyle name="Percent 11 5 2" xfId="2602" xr:uid="{C71D2535-7512-473A-BE26-4BB4E62A1EA0}"/>
    <cellStyle name="Percent 11 6" xfId="1470" xr:uid="{733BD9ED-CA80-4C75-B730-6BA0ECCB99CB}"/>
    <cellStyle name="Percent 11 6 2" xfId="2603" xr:uid="{137FD7BE-B041-4902-A30B-47F955613898}"/>
    <cellStyle name="Percent 11 7" xfId="1471" xr:uid="{A08EADB7-B60C-4B00-ABC9-E4ED049C0D53}"/>
    <cellStyle name="Percent 11 7 2" xfId="2604" xr:uid="{871968EC-56EA-45F4-BC7D-994D59580007}"/>
    <cellStyle name="Percent 11 8" xfId="1472" xr:uid="{06A58215-E30C-4F5E-A261-62432017292A}"/>
    <cellStyle name="Percent 11 8 2" xfId="2605" xr:uid="{BCC2A2BE-A5F9-485A-8CC3-CAB41C41530E}"/>
    <cellStyle name="Percent 11 9" xfId="2598" xr:uid="{E60A0A0A-A8A3-4121-BE30-23ED6E0A465C}"/>
    <cellStyle name="Percent 12" xfId="1473" xr:uid="{55F189BB-7A6F-4CF4-B875-C4DC5E4DDD4A}"/>
    <cellStyle name="Percent 12 2" xfId="1474" xr:uid="{2E9B0EA3-69EE-48EC-BC5D-6B7B951C7CAA}"/>
    <cellStyle name="Percent 12 2 2" xfId="2607" xr:uid="{9EC2D36D-7297-4D41-8C29-1695490F399B}"/>
    <cellStyle name="Percent 12 3" xfId="1475" xr:uid="{606BD936-240E-4EF9-98B5-642B5C48FC66}"/>
    <cellStyle name="Percent 12 3 2" xfId="2608" xr:uid="{C2EF15DF-8C7C-43AE-BA52-A030F17C71EA}"/>
    <cellStyle name="Percent 12 4" xfId="1476" xr:uid="{D4F554F3-98AC-4DB4-BBD0-6B938BDB011F}"/>
    <cellStyle name="Percent 12 4 2" xfId="2609" xr:uid="{43E452B1-05C9-4087-A15A-6FFC07BEC603}"/>
    <cellStyle name="Percent 12 5" xfId="1477" xr:uid="{C5CBA879-C375-4141-A483-3DC396AF18FC}"/>
    <cellStyle name="Percent 12 5 2" xfId="2610" xr:uid="{538DA90B-A4A0-4CBF-9811-0FE6ABB51358}"/>
    <cellStyle name="Percent 12 6" xfId="1478" xr:uid="{76A4DFA8-40B0-4A0D-BBBE-DFFA4258D139}"/>
    <cellStyle name="Percent 12 6 2" xfId="2611" xr:uid="{8C8AF9DF-218A-482F-BD22-A18E120703A1}"/>
    <cellStyle name="Percent 12 7" xfId="1479" xr:uid="{82E06E62-E247-4F58-839C-87D1E4BEC066}"/>
    <cellStyle name="Percent 12 7 2" xfId="2612" xr:uid="{80622FA5-C667-4026-955F-409939656E8C}"/>
    <cellStyle name="Percent 12 8" xfId="1480" xr:uid="{429DEC4F-2F65-4E64-9DBF-AA00AD6DE066}"/>
    <cellStyle name="Percent 12 8 2" xfId="2613" xr:uid="{ACE06B74-36EA-4B31-AAF7-301F810835A2}"/>
    <cellStyle name="Percent 12 9" xfId="2606" xr:uid="{4527B4BA-1B41-4B82-B585-4CFBD3ECA366}"/>
    <cellStyle name="Percent 13" xfId="1481" xr:uid="{D13A66A0-146B-4CE2-BF08-E682FC5A829D}"/>
    <cellStyle name="Percent 13 2" xfId="1482" xr:uid="{360437A1-C32E-481D-B45A-C01878E0DDD3}"/>
    <cellStyle name="Percent 13 2 2" xfId="2615" xr:uid="{2AEC2F2F-B9AF-4907-9FFA-CBBA67481978}"/>
    <cellStyle name="Percent 13 3" xfId="1483" xr:uid="{42F0C0D2-C801-476E-8059-48B2C1BF5227}"/>
    <cellStyle name="Percent 13 3 2" xfId="2616" xr:uid="{51827F4A-D6D7-4F7E-B3F9-42E1DA901550}"/>
    <cellStyle name="Percent 13 4" xfId="1484" xr:uid="{C346C568-C22F-4C51-AF9C-FCE606F61B4E}"/>
    <cellStyle name="Percent 13 4 2" xfId="2617" xr:uid="{80790AB4-E457-457C-AEDD-726E388730E7}"/>
    <cellStyle name="Percent 13 5" xfId="1485" xr:uid="{CEC4A4F7-30A6-4FBB-A840-40A467A90B83}"/>
    <cellStyle name="Percent 13 5 2" xfId="2618" xr:uid="{2C5CB1CD-72FF-4070-94C8-EEF2744B991B}"/>
    <cellStyle name="Percent 13 6" xfId="1486" xr:uid="{924FC513-9327-436E-8F9D-9A3E3F27F4E0}"/>
    <cellStyle name="Percent 13 6 2" xfId="2619" xr:uid="{D277D624-DD03-44F3-BFFA-8484E6EA3101}"/>
    <cellStyle name="Percent 13 7" xfId="1487" xr:uid="{61F98B8E-C0D6-4DA4-A664-D35B7C02E431}"/>
    <cellStyle name="Percent 13 7 2" xfId="2620" xr:uid="{F70A231E-9FB3-46FD-A7CE-24B07CB8153B}"/>
    <cellStyle name="Percent 13 8" xfId="1488" xr:uid="{603B4E3C-6AA0-41C9-BD09-21CE43D7C58D}"/>
    <cellStyle name="Percent 13 8 2" xfId="2621" xr:uid="{04673D57-6A45-45D7-8BFB-FE0125EC34CE}"/>
    <cellStyle name="Percent 13 9" xfId="2614" xr:uid="{44894210-9A11-48DE-9818-E241CE181CA7}"/>
    <cellStyle name="Percent 14" xfId="1489" xr:uid="{5522C6FE-B502-4458-A295-415C9F78F476}"/>
    <cellStyle name="Percent 14 2" xfId="1490" xr:uid="{D5A54948-7590-448A-998C-930DDFC6359E}"/>
    <cellStyle name="Percent 14 2 2" xfId="2623" xr:uid="{52A60C46-BD88-41EE-BA74-97ABD60DB971}"/>
    <cellStyle name="Percent 14 3" xfId="1491" xr:uid="{CE57DEC5-7DD6-4490-95A2-1BB023A5CCCC}"/>
    <cellStyle name="Percent 14 3 2" xfId="2624" xr:uid="{044C3DA7-897E-4948-B4CC-5835E24CB740}"/>
    <cellStyle name="Percent 14 4" xfId="1492" xr:uid="{590E7187-3722-4A47-B766-65091CAD977D}"/>
    <cellStyle name="Percent 14 4 2" xfId="2625" xr:uid="{A5F2B7E5-AC8E-4902-B254-A03DB131DCEE}"/>
    <cellStyle name="Percent 14 5" xfId="1493" xr:uid="{DD7E0287-7C3B-4013-8270-63C07BCEA9FC}"/>
    <cellStyle name="Percent 14 5 2" xfId="2626" xr:uid="{EC7E2AC3-533E-462E-999A-963F65ACA691}"/>
    <cellStyle name="Percent 14 6" xfId="1494" xr:uid="{E881CADE-72F8-4DE1-BC1B-40AD6B9FDE7D}"/>
    <cellStyle name="Percent 14 6 2" xfId="2627" xr:uid="{3999565D-A073-4EEF-A9ED-47CB1F957D53}"/>
    <cellStyle name="Percent 14 7" xfId="1495" xr:uid="{1D32D832-8763-410C-BEC9-48CC0375EA0A}"/>
    <cellStyle name="Percent 14 7 2" xfId="2628" xr:uid="{D6F6D0EC-1556-4A7B-AAAC-B1C8BA02982D}"/>
    <cellStyle name="Percent 14 8" xfId="1496" xr:uid="{B2D1734D-F386-4298-9F5A-A38863DE1D39}"/>
    <cellStyle name="Percent 14 8 2" xfId="2629" xr:uid="{11B2C8C4-1A45-4931-860B-3B373B2663F8}"/>
    <cellStyle name="Percent 14 9" xfId="2622" xr:uid="{ACC68BCD-78B2-405A-A430-2CC314EAD631}"/>
    <cellStyle name="Percent 15" xfId="1497" xr:uid="{D46F984D-90D8-4466-A2E7-CF42514C131E}"/>
    <cellStyle name="Percent 15 10" xfId="1498" xr:uid="{88ED749E-79CB-4090-9DFD-DDE86B1689FC}"/>
    <cellStyle name="Percent 15 10 2" xfId="2630" xr:uid="{B4178139-7D13-4C02-8BDB-7BD47B619FF1}"/>
    <cellStyle name="Percent 15 11" xfId="1499" xr:uid="{96D9FACD-5D75-40E2-9869-4E9A8176F825}"/>
    <cellStyle name="Percent 15 11 2" xfId="2631" xr:uid="{E52FEB8B-D86D-44D3-9321-3233B19E9569}"/>
    <cellStyle name="Percent 15 12" xfId="1500" xr:uid="{53583FF9-1CAA-4B7C-ACD2-8F189B27A122}"/>
    <cellStyle name="Percent 15 12 2" xfId="2632" xr:uid="{BCFD0152-045B-47EE-B74C-DC91EC5A4CF6}"/>
    <cellStyle name="Percent 15 13" xfId="1501" xr:uid="{5A82418B-525A-4DD4-B713-4A1174C6777F}"/>
    <cellStyle name="Percent 15 13 2" xfId="2633" xr:uid="{DE62E951-5390-4BC0-9067-F9315C6B7F18}"/>
    <cellStyle name="Percent 15 14" xfId="1502" xr:uid="{B08E243A-9BAA-4E22-98D6-B4B425438A60}"/>
    <cellStyle name="Percent 15 14 2" xfId="2634" xr:uid="{119685D8-38D0-4FD6-A895-500C8150127D}"/>
    <cellStyle name="Percent 15 2" xfId="1503" xr:uid="{A15530C1-832E-4E96-80DC-967CC2467CD9}"/>
    <cellStyle name="Percent 15 2 2" xfId="1504" xr:uid="{D5720670-1B58-4C25-92A9-CC277D6CA221}"/>
    <cellStyle name="Percent 15 2 3" xfId="1505" xr:uid="{7C21949B-76EA-40BF-B25A-CF48504FBABC}"/>
    <cellStyle name="Percent 15 2 4" xfId="1506" xr:uid="{4ADB110A-AC4C-423E-8ACC-1C16C757D2D2}"/>
    <cellStyle name="Percent 15 2 5" xfId="1507" xr:uid="{F4C3161F-399E-479C-A526-D2FEA2F1E56D}"/>
    <cellStyle name="Percent 15 2 6" xfId="1508" xr:uid="{FD482DA4-6C43-49EB-BF53-0F8096FB558C}"/>
    <cellStyle name="Percent 15 2 7" xfId="1509" xr:uid="{5EAA2A31-AB3E-4BF2-8E5C-EC586C78030A}"/>
    <cellStyle name="Percent 15 2 8" xfId="2635" xr:uid="{7B00BD34-ACC0-4F23-9A85-628BCF26A559}"/>
    <cellStyle name="Percent 15 3" xfId="1510" xr:uid="{15768149-830F-485C-8E93-E4F7B1569585}"/>
    <cellStyle name="Percent 15 4" xfId="1511" xr:uid="{728532E1-9C92-4842-95FA-3F93350C9679}"/>
    <cellStyle name="Percent 15 4 2" xfId="2636" xr:uid="{0647A4F3-9449-42B3-B43A-D4AD120DA8F4}"/>
    <cellStyle name="Percent 15 5" xfId="1512" xr:uid="{E713AF95-0889-4B77-8ED5-5D17DCCBF450}"/>
    <cellStyle name="Percent 15 6" xfId="1513" xr:uid="{46E456E9-7CAB-413C-BDDC-5F52CE7C1325}"/>
    <cellStyle name="Percent 15 7" xfId="1514" xr:uid="{015E7108-CFE0-4BBE-9BD4-D4F8F72E1226}"/>
    <cellStyle name="Percent 15 8" xfId="1515" xr:uid="{ECBE2450-DE2C-4A33-86B4-8C554706106E}"/>
    <cellStyle name="Percent 15 9" xfId="1516" xr:uid="{A49DBD69-D445-4D38-B5DE-99CD4BE96C43}"/>
    <cellStyle name="Percent 15 9 2" xfId="2637" xr:uid="{0D95A323-C190-4DBD-A484-E3FDA5857295}"/>
    <cellStyle name="Percent 16 2" xfId="1517" xr:uid="{D89FAC86-5554-4E69-9BB0-D41AD9B9B529}"/>
    <cellStyle name="Percent 16 3" xfId="1518" xr:uid="{C033F6A0-0D00-45C0-B55A-41D366B9A31D}"/>
    <cellStyle name="Percent 16 3 10" xfId="1519" xr:uid="{DBD3B086-5DCF-4879-B397-83B4E64E41D7}"/>
    <cellStyle name="Percent 16 3 10 2" xfId="2639" xr:uid="{B098929F-56A4-4544-9E48-40DD9B5BAE4C}"/>
    <cellStyle name="Percent 16 3 11" xfId="1520" xr:uid="{4BF31AD0-6CCF-4115-986C-C1C58FAC37F8}"/>
    <cellStyle name="Percent 16 3 11 2" xfId="2640" xr:uid="{DAB1CAA3-E2D4-4BE3-B073-60BED6236B7F}"/>
    <cellStyle name="Percent 16 3 12" xfId="1521" xr:uid="{49BAF734-92B1-493A-8EB8-A580DDFE435D}"/>
    <cellStyle name="Percent 16 3 12 2" xfId="2641" xr:uid="{DF6FFE2F-8A03-45D5-9E0C-8B9C7D46C9A0}"/>
    <cellStyle name="Percent 16 3 13" xfId="1522" xr:uid="{62E85F70-E0B9-4E40-A32D-D95FFDE3B3DB}"/>
    <cellStyle name="Percent 16 3 13 2" xfId="2642" xr:uid="{E264250E-955B-48E7-B652-E7D47B1FBD74}"/>
    <cellStyle name="Percent 16 3 14" xfId="1523" xr:uid="{B2FBBEB5-DB7C-4368-AF9B-CCBCDD341A02}"/>
    <cellStyle name="Percent 16 3 14 2" xfId="2643" xr:uid="{ABAFE696-3803-4032-946B-FFBB6A2BB12E}"/>
    <cellStyle name="Percent 16 3 15" xfId="1524" xr:uid="{13BC62A0-77B7-48D3-AF02-ABECBF0848E0}"/>
    <cellStyle name="Percent 16 3 15 2" xfId="2644" xr:uid="{CC349AC1-C3AC-4EE4-ABE5-C134FD0FE7D1}"/>
    <cellStyle name="Percent 16 3 16" xfId="1525" xr:uid="{7C82C469-56B2-46A5-A1CF-13C8476E4292}"/>
    <cellStyle name="Percent 16 3 16 2" xfId="2645" xr:uid="{19AFEE89-62A9-4BBD-90F7-94A3AEFC5C51}"/>
    <cellStyle name="Percent 16 3 17" xfId="1526" xr:uid="{25E32488-89AB-4731-AEAC-1A9F3E774D51}"/>
    <cellStyle name="Percent 16 3 17 2" xfId="2646" xr:uid="{55289BE3-431A-4051-83D9-30437E10D5CB}"/>
    <cellStyle name="Percent 16 3 18" xfId="2638" xr:uid="{06D18503-A197-4592-B513-2F4F4479F7C7}"/>
    <cellStyle name="Percent 16 3 2" xfId="1527" xr:uid="{7AE7506A-1545-44C8-8C8B-CB4F4887A711}"/>
    <cellStyle name="Percent 16 3 2 2" xfId="2647" xr:uid="{ADF6970E-795C-468F-9F03-2DD328EAF772}"/>
    <cellStyle name="Percent 16 3 3" xfId="1528" xr:uid="{BA19E692-161D-46CD-A823-D752CBC39913}"/>
    <cellStyle name="Percent 16 3 3 2" xfId="2648" xr:uid="{EDF1FA6A-BB5C-48F5-A88B-FA603749390C}"/>
    <cellStyle name="Percent 16 3 4" xfId="1529" xr:uid="{ACBBA895-EB98-4CC3-B921-41F38A237957}"/>
    <cellStyle name="Percent 16 3 4 2" xfId="2649" xr:uid="{BDF944FB-3026-4F57-947F-3426576A8848}"/>
    <cellStyle name="Percent 16 3 5" xfId="1530" xr:uid="{66489930-F943-45F2-88C1-9329EA28B5AC}"/>
    <cellStyle name="Percent 16 3 5 2" xfId="2650" xr:uid="{8A92132D-419A-4623-8D41-030FD4606329}"/>
    <cellStyle name="Percent 16 3 6" xfId="1531" xr:uid="{EE2941E6-25A2-451A-9A59-E501A73BC0DA}"/>
    <cellStyle name="Percent 16 3 6 2" xfId="2651" xr:uid="{60A593C9-2CEE-4DD8-B1C6-F95993F9ABCF}"/>
    <cellStyle name="Percent 16 3 7" xfId="1532" xr:uid="{F8F49105-5F9E-4622-9E0B-57E841DEBA75}"/>
    <cellStyle name="Percent 16 3 7 2" xfId="2652" xr:uid="{ED1F7410-EA46-4404-B608-0DA8790A69DD}"/>
    <cellStyle name="Percent 16 3 8" xfId="1533" xr:uid="{87F1236C-BEEA-4C7A-ACEC-F11846CA1368}"/>
    <cellStyle name="Percent 16 3 8 2" xfId="2653" xr:uid="{260B4EF8-F299-4929-82FC-1C79AEF0C48D}"/>
    <cellStyle name="Percent 16 3 9" xfId="1534" xr:uid="{0BD2CD89-D26C-4D53-B426-C5E22E1EA276}"/>
    <cellStyle name="Percent 16 3 9 2" xfId="2654" xr:uid="{BE614342-4BA3-4E4D-B230-B5B189078EC9}"/>
    <cellStyle name="Percent 16 4" xfId="1535" xr:uid="{45E0A827-BCAC-40EC-B2FA-B59A998300A5}"/>
    <cellStyle name="Percent 16 4 10" xfId="1536" xr:uid="{3E46FAD1-91BB-4D59-8296-7C3879656EC3}"/>
    <cellStyle name="Percent 16 4 10 2" xfId="2656" xr:uid="{1A435A9C-4D00-49FB-9C32-DC9A3FE3FA29}"/>
    <cellStyle name="Percent 16 4 11" xfId="1537" xr:uid="{5D340E06-E991-4349-8435-B5F26A1519DA}"/>
    <cellStyle name="Percent 16 4 11 2" xfId="2657" xr:uid="{04CDB530-79D2-4433-8EF9-90D3EEFDB508}"/>
    <cellStyle name="Percent 16 4 12" xfId="1538" xr:uid="{C600F9EE-533F-4053-AD7F-0569B23A7563}"/>
    <cellStyle name="Percent 16 4 12 2" xfId="2658" xr:uid="{A9E7122E-D238-4FE9-89BB-F3DA91C11B71}"/>
    <cellStyle name="Percent 16 4 13" xfId="1539" xr:uid="{4BB50AD1-79A2-4081-957A-23AAE82030E8}"/>
    <cellStyle name="Percent 16 4 13 2" xfId="2659" xr:uid="{71E1F9F3-2C37-406C-A973-72C1DACFE8DA}"/>
    <cellStyle name="Percent 16 4 14" xfId="1540" xr:uid="{AA36E47E-73BE-411A-9E33-BD0EBCE3FA0A}"/>
    <cellStyle name="Percent 16 4 14 2" xfId="2660" xr:uid="{B8BC5C11-A038-498F-ADE9-AFA63128D85F}"/>
    <cellStyle name="Percent 16 4 15" xfId="1541" xr:uid="{5736CB49-E75B-461A-B58C-48297D125EF0}"/>
    <cellStyle name="Percent 16 4 15 2" xfId="2661" xr:uid="{B98194A0-689E-4AF7-BD05-968D7BE87428}"/>
    <cellStyle name="Percent 16 4 16" xfId="1542" xr:uid="{424155C0-6ED7-4400-BBBE-F2C855D70B52}"/>
    <cellStyle name="Percent 16 4 16 2" xfId="2662" xr:uid="{527C71F5-9398-455E-890C-4E85C760F82F}"/>
    <cellStyle name="Percent 16 4 17" xfId="1543" xr:uid="{A51D40CA-A589-46E4-8A9E-7A50A762AE90}"/>
    <cellStyle name="Percent 16 4 17 2" xfId="2663" xr:uid="{0054067D-9ADC-40F6-B84F-CF855D317308}"/>
    <cellStyle name="Percent 16 4 18" xfId="2655" xr:uid="{A676E092-4B80-4252-959D-73C22A02FACF}"/>
    <cellStyle name="Percent 16 4 2" xfId="1544" xr:uid="{6AD63964-76B5-4848-BE81-40D2AF37F02A}"/>
    <cellStyle name="Percent 16 4 2 2" xfId="2664" xr:uid="{3465AF97-F9DC-4E23-8786-41501BE48F85}"/>
    <cellStyle name="Percent 16 4 3" xfId="1545" xr:uid="{0CAC3743-BB39-40D0-B76C-2325163CD9FC}"/>
    <cellStyle name="Percent 16 4 3 2" xfId="2665" xr:uid="{B6CBF370-5B4E-4AF2-85A6-0C4608E570B7}"/>
    <cellStyle name="Percent 16 4 4" xfId="1546" xr:uid="{94C41589-FC05-443B-8880-D4B44EBD88AA}"/>
    <cellStyle name="Percent 16 4 4 2" xfId="2666" xr:uid="{A99EAACB-17B0-4D61-A61F-B5E4EF0CA9E0}"/>
    <cellStyle name="Percent 16 4 5" xfId="1547" xr:uid="{7FBE4D40-3C5A-43A9-A3B3-610B6EB4C767}"/>
    <cellStyle name="Percent 16 4 5 2" xfId="2667" xr:uid="{78360C31-2DB6-4407-B715-4BBFA681EAB5}"/>
    <cellStyle name="Percent 16 4 6" xfId="1548" xr:uid="{6AC46534-7906-4877-AC6B-4BD2B4799D36}"/>
    <cellStyle name="Percent 16 4 6 2" xfId="2668" xr:uid="{C2E0F1E6-928C-4362-9594-4C2B44EE685D}"/>
    <cellStyle name="Percent 16 4 7" xfId="1549" xr:uid="{52B172A0-B788-4146-BCBA-3C9C1FA4538E}"/>
    <cellStyle name="Percent 16 4 7 2" xfId="2669" xr:uid="{E5B166A3-9377-4F6C-A1C0-4D13D1833E04}"/>
    <cellStyle name="Percent 16 4 8" xfId="1550" xr:uid="{943A0024-DAAD-47BA-8635-A18742764E0C}"/>
    <cellStyle name="Percent 16 4 8 2" xfId="2670" xr:uid="{88F2A96E-C499-4149-835A-9B5B6FF32473}"/>
    <cellStyle name="Percent 16 4 9" xfId="1551" xr:uid="{CF08D325-784F-48DA-AD1B-26F10197A336}"/>
    <cellStyle name="Percent 16 4 9 2" xfId="2671" xr:uid="{3806ACC4-9EAB-4401-B455-F8765148FF9A}"/>
    <cellStyle name="Percent 16 5" xfId="1552" xr:uid="{49F5B954-E54F-409E-95DB-CA3014B64D63}"/>
    <cellStyle name="Percent 16 5 10" xfId="1553" xr:uid="{DA8832AE-6F5E-48DF-BF07-24C658E6EC38}"/>
    <cellStyle name="Percent 16 5 10 2" xfId="2673" xr:uid="{49B0B270-2EBB-4910-96EE-05B48CCA7512}"/>
    <cellStyle name="Percent 16 5 11" xfId="1554" xr:uid="{2FCA156F-6ABF-4B41-B976-124263B7AD90}"/>
    <cellStyle name="Percent 16 5 11 2" xfId="2674" xr:uid="{9F906C75-1BF8-4B02-A486-5C9FF506738D}"/>
    <cellStyle name="Percent 16 5 12" xfId="1555" xr:uid="{98F00E6E-0D3E-4930-B0B5-9BF4C7FBFD96}"/>
    <cellStyle name="Percent 16 5 12 2" xfId="2675" xr:uid="{FDCF21C3-A673-4733-9944-754EE254BA32}"/>
    <cellStyle name="Percent 16 5 13" xfId="1556" xr:uid="{152D0815-C3AC-4F9E-95FD-89D2B404E629}"/>
    <cellStyle name="Percent 16 5 13 2" xfId="2676" xr:uid="{46B437F8-B474-4958-B5E9-2EED372534BF}"/>
    <cellStyle name="Percent 16 5 14" xfId="1557" xr:uid="{E3C936E9-3D32-4F52-8AA8-38389B4E2D5E}"/>
    <cellStyle name="Percent 16 5 14 2" xfId="2677" xr:uid="{7017FAB1-B07A-4A54-AC49-2DE6ED7BBA57}"/>
    <cellStyle name="Percent 16 5 15" xfId="1558" xr:uid="{534C8BCD-393B-45A2-944C-A662CD3EBD1A}"/>
    <cellStyle name="Percent 16 5 15 2" xfId="2678" xr:uid="{A5E941EC-1C88-4F32-86D8-D6B02638595D}"/>
    <cellStyle name="Percent 16 5 16" xfId="1559" xr:uid="{BB6F8FC9-AE21-463D-B04F-A4F3677405A3}"/>
    <cellStyle name="Percent 16 5 16 2" xfId="2679" xr:uid="{027DB8D6-138F-4070-8DFB-043C1BF27B67}"/>
    <cellStyle name="Percent 16 5 17" xfId="1560" xr:uid="{E95ED429-8779-48C2-BB61-C56B55A6B863}"/>
    <cellStyle name="Percent 16 5 17 2" xfId="2680" xr:uid="{3CE94DD2-0C2B-42D1-BAD1-E419B1ADD6C8}"/>
    <cellStyle name="Percent 16 5 18" xfId="2672" xr:uid="{F0B48BB0-A14F-47F6-8ABF-85DA67BF8D94}"/>
    <cellStyle name="Percent 16 5 2" xfId="1561" xr:uid="{C8E49D31-5EA5-494A-B9DF-13FE7F44B56B}"/>
    <cellStyle name="Percent 16 5 2 2" xfId="2681" xr:uid="{46638459-58A1-4574-9659-360E9E02FF67}"/>
    <cellStyle name="Percent 16 5 3" xfId="1562" xr:uid="{C8788FC7-C738-48CC-9204-18EE90D19B26}"/>
    <cellStyle name="Percent 16 5 3 2" xfId="2682" xr:uid="{059E5E91-B85B-4A6E-B273-4DC879AC450D}"/>
    <cellStyle name="Percent 16 5 4" xfId="1563" xr:uid="{35C3EF96-7BBD-44E6-AF18-0DC1CBDD415A}"/>
    <cellStyle name="Percent 16 5 4 2" xfId="2683" xr:uid="{7E431EA0-A34B-4C29-836C-576E00394796}"/>
    <cellStyle name="Percent 16 5 5" xfId="1564" xr:uid="{4B7AC9D5-5B0A-47BB-A0CF-F2EDE5156B08}"/>
    <cellStyle name="Percent 16 5 5 2" xfId="2684" xr:uid="{DBD8B75E-B3F4-482E-88B9-0DBB5B8BC530}"/>
    <cellStyle name="Percent 16 5 6" xfId="1565" xr:uid="{817056B2-D860-4B4A-83EF-4AB0CA06DA2E}"/>
    <cellStyle name="Percent 16 5 6 2" xfId="2685" xr:uid="{DF1C0C41-DE15-4DEB-84F5-6B0E6D315C18}"/>
    <cellStyle name="Percent 16 5 7" xfId="1566" xr:uid="{F8D3D772-AD02-4973-927D-1B64708BE51F}"/>
    <cellStyle name="Percent 16 5 7 2" xfId="2686" xr:uid="{C82ABD46-DFE2-4477-AEC5-4591A45B6CA3}"/>
    <cellStyle name="Percent 16 5 8" xfId="1567" xr:uid="{E5B5EBA2-D1D9-438D-A5D6-34B800AC78D2}"/>
    <cellStyle name="Percent 16 5 8 2" xfId="2687" xr:uid="{6DE321B9-05AB-4F40-B624-C9291DA9C296}"/>
    <cellStyle name="Percent 16 5 9" xfId="1568" xr:uid="{52C2FAFE-A1C2-437A-A4D7-0EC1D0BF9FD3}"/>
    <cellStyle name="Percent 16 5 9 2" xfId="2688" xr:uid="{198BF396-E5CD-425F-99EE-4B1050B313B7}"/>
    <cellStyle name="Percent 16 6" xfId="1569" xr:uid="{D3455DDD-9F3E-4343-9C57-63C9CD8BE140}"/>
    <cellStyle name="Percent 16 6 10" xfId="1570" xr:uid="{3FF5DC5F-38D0-4500-A204-65FBDC4C3E11}"/>
    <cellStyle name="Percent 16 6 10 2" xfId="2690" xr:uid="{CAF134BE-34B8-40B7-BD39-4B941BDFD1C9}"/>
    <cellStyle name="Percent 16 6 11" xfId="1571" xr:uid="{41F9E0AB-034E-48F0-A5F3-37F5D763F16A}"/>
    <cellStyle name="Percent 16 6 11 2" xfId="2691" xr:uid="{97B2525E-A42F-4842-8EF8-99A5DE6F6884}"/>
    <cellStyle name="Percent 16 6 12" xfId="1572" xr:uid="{5A5C1976-BF36-4DA7-A220-035E2C8E2000}"/>
    <cellStyle name="Percent 16 6 12 2" xfId="2692" xr:uid="{41060BD4-B2A9-42B6-9420-BF906605ABB0}"/>
    <cellStyle name="Percent 16 6 13" xfId="1573" xr:uid="{03B799DF-B444-40FD-A674-40A809442B3B}"/>
    <cellStyle name="Percent 16 6 13 2" xfId="2693" xr:uid="{044ED07C-2059-4E98-ADFE-D35EAA7083BD}"/>
    <cellStyle name="Percent 16 6 14" xfId="1574" xr:uid="{AE7BE035-6FFE-454F-97C0-9D584A55BFF5}"/>
    <cellStyle name="Percent 16 6 14 2" xfId="2694" xr:uid="{AC71E376-5F7A-4166-8B59-2837E6B706F6}"/>
    <cellStyle name="Percent 16 6 15" xfId="1575" xr:uid="{0B856C54-5C6D-4255-BE7B-1AE80ACA7FAB}"/>
    <cellStyle name="Percent 16 6 15 2" xfId="2695" xr:uid="{209AA9AB-41F2-4657-8748-C103CCCE7DD0}"/>
    <cellStyle name="Percent 16 6 16" xfId="1576" xr:uid="{50A55067-CD9B-4A58-8C5C-AC033D9DD3CC}"/>
    <cellStyle name="Percent 16 6 16 2" xfId="2696" xr:uid="{62EE7E2F-B83E-4B6C-A167-E1078DB0A25E}"/>
    <cellStyle name="Percent 16 6 17" xfId="1577" xr:uid="{1F272900-BE60-4D07-9054-1627458A5116}"/>
    <cellStyle name="Percent 16 6 17 2" xfId="2697" xr:uid="{8BC9B2F3-F9B1-4371-B642-AD7CC9A91642}"/>
    <cellStyle name="Percent 16 6 18" xfId="2689" xr:uid="{ED1826D9-6417-43E3-BBFA-C81A98912A87}"/>
    <cellStyle name="Percent 16 6 2" xfId="1578" xr:uid="{476BF5DC-233E-491F-9305-F0AE1019CACD}"/>
    <cellStyle name="Percent 16 6 2 2" xfId="2698" xr:uid="{E440D721-160D-409A-B1A2-E0BFFAF3FD56}"/>
    <cellStyle name="Percent 16 6 3" xfId="1579" xr:uid="{DD081FF8-FD20-4FF1-AA77-B2AA5DF18DFC}"/>
    <cellStyle name="Percent 16 6 3 2" xfId="2699" xr:uid="{CCC5E349-CFE3-4F86-9CD9-7E47D866C551}"/>
    <cellStyle name="Percent 16 6 4" xfId="1580" xr:uid="{5BF589A4-C193-4F8E-95DF-BA38ECCBC6F8}"/>
    <cellStyle name="Percent 16 6 4 2" xfId="2700" xr:uid="{E6389E0A-5A52-47A2-A3DC-0AF0D21D4A2D}"/>
    <cellStyle name="Percent 16 6 5" xfId="1581" xr:uid="{46E14B4E-40D1-41DB-9BEC-ABDAD7A5B1BD}"/>
    <cellStyle name="Percent 16 6 5 2" xfId="2701" xr:uid="{833E0DAF-CF90-4A60-BC4B-F7A9FC8C2B40}"/>
    <cellStyle name="Percent 16 6 6" xfId="1582" xr:uid="{4A66D227-2149-4ADB-8BA9-C90A0AD60CC4}"/>
    <cellStyle name="Percent 16 6 6 2" xfId="2702" xr:uid="{1B5ECAB5-FB5A-490B-899A-2C3C5FFFB366}"/>
    <cellStyle name="Percent 16 6 7" xfId="1583" xr:uid="{8964D293-72A7-4931-A914-4AE706C67101}"/>
    <cellStyle name="Percent 16 6 7 2" xfId="2703" xr:uid="{63DD15A9-491F-43FD-B784-2EEB783EA9FA}"/>
    <cellStyle name="Percent 16 6 8" xfId="1584" xr:uid="{93A3FD0E-A5AC-4704-822A-95F46FAA4E4B}"/>
    <cellStyle name="Percent 16 6 8 2" xfId="2704" xr:uid="{010E7D43-800D-4B0B-89DF-3F4FA2E1A460}"/>
    <cellStyle name="Percent 16 6 9" xfId="1585" xr:uid="{60A1B5F5-7214-4D75-A55E-768693E73A0E}"/>
    <cellStyle name="Percent 16 6 9 2" xfId="2705" xr:uid="{7EFF8605-80EE-4299-9ADA-FB51C64BFBEF}"/>
    <cellStyle name="Percent 16 7" xfId="1586" xr:uid="{69AF2BE1-3EEC-4174-AF18-02EB2D69EB55}"/>
    <cellStyle name="Percent 16 7 10" xfId="1587" xr:uid="{65C21848-E5BF-4D76-A80E-F2A1BC3E3C39}"/>
    <cellStyle name="Percent 16 7 10 2" xfId="2707" xr:uid="{813E89F8-A128-4B5A-96CD-70D9463D4B46}"/>
    <cellStyle name="Percent 16 7 11" xfId="1588" xr:uid="{EE644D67-F2DE-481D-A85B-CD9B96E37234}"/>
    <cellStyle name="Percent 16 7 11 2" xfId="2708" xr:uid="{D2918FAB-6D9F-4736-A5D1-3F7296E8593C}"/>
    <cellStyle name="Percent 16 7 12" xfId="1589" xr:uid="{6F5A5EC8-2634-4D3C-B8AB-9F57F62E2257}"/>
    <cellStyle name="Percent 16 7 12 2" xfId="2709" xr:uid="{19C1D403-2A59-4B6F-BABA-7AA38514A1AF}"/>
    <cellStyle name="Percent 16 7 13" xfId="1590" xr:uid="{B039E2BA-7A63-44C7-A48D-801FA68E9275}"/>
    <cellStyle name="Percent 16 7 13 2" xfId="2710" xr:uid="{60C03905-8E75-43E6-B2A3-0EA24CC9DDAD}"/>
    <cellStyle name="Percent 16 7 14" xfId="1591" xr:uid="{D994F288-D720-435A-AEED-4F65D2DAE924}"/>
    <cellStyle name="Percent 16 7 14 2" xfId="2711" xr:uid="{9FDC8945-AAE5-4D26-99B2-4C19FB29A5FB}"/>
    <cellStyle name="Percent 16 7 15" xfId="1592" xr:uid="{9ED38458-F676-4E82-B69A-4AF897E96E0C}"/>
    <cellStyle name="Percent 16 7 15 2" xfId="2712" xr:uid="{2369B9AB-6434-4A69-9B9D-96D3601C1509}"/>
    <cellStyle name="Percent 16 7 16" xfId="1593" xr:uid="{38D29F6C-B2F1-41C6-9DF9-B982F9D6E97E}"/>
    <cellStyle name="Percent 16 7 16 2" xfId="2713" xr:uid="{EDCE7867-96D2-4988-B528-E255B5EF4A8F}"/>
    <cellStyle name="Percent 16 7 17" xfId="1594" xr:uid="{0B885190-44D0-40B6-B7C8-88BCE67B773C}"/>
    <cellStyle name="Percent 16 7 17 2" xfId="2714" xr:uid="{FE954B19-8D62-484C-A0F1-B5734A230EF8}"/>
    <cellStyle name="Percent 16 7 18" xfId="2706" xr:uid="{E0F92115-A433-432B-A759-C2CCE19311CF}"/>
    <cellStyle name="Percent 16 7 2" xfId="1595" xr:uid="{083C14C2-FD25-4B46-A97F-87D13F5771CB}"/>
    <cellStyle name="Percent 16 7 2 2" xfId="2715" xr:uid="{2E679458-CC68-4019-A24F-6F15BE45AA32}"/>
    <cellStyle name="Percent 16 7 3" xfId="1596" xr:uid="{DE7934CF-D64F-41CA-9805-54E0A343819A}"/>
    <cellStyle name="Percent 16 7 3 2" xfId="2716" xr:uid="{C329433C-B9F3-45AA-AF6A-C9A34C428027}"/>
    <cellStyle name="Percent 16 7 4" xfId="1597" xr:uid="{16A7621A-DBA3-4AA4-93F9-B266DEB1BECD}"/>
    <cellStyle name="Percent 16 7 4 2" xfId="2717" xr:uid="{005164AA-AD82-4A81-A3C6-BC617474F5D4}"/>
    <cellStyle name="Percent 16 7 5" xfId="1598" xr:uid="{3FBB6782-CEAB-4166-9B4B-DEF6ABC33C30}"/>
    <cellStyle name="Percent 16 7 5 2" xfId="2718" xr:uid="{A542E2E6-AB3F-4560-97EA-F1EE3216E897}"/>
    <cellStyle name="Percent 16 7 6" xfId="1599" xr:uid="{F9919589-937A-4324-86EE-F0D9A8EB26EB}"/>
    <cellStyle name="Percent 16 7 6 2" xfId="2719" xr:uid="{A05898F0-18C4-4AA3-A389-661BB53D652C}"/>
    <cellStyle name="Percent 16 7 7" xfId="1600" xr:uid="{F2B5759D-2EC5-4D7B-BF89-F43997F00FCC}"/>
    <cellStyle name="Percent 16 7 7 2" xfId="2720" xr:uid="{431BC083-A8CE-4996-ACA5-5AEB5C09AC42}"/>
    <cellStyle name="Percent 16 7 8" xfId="1601" xr:uid="{026110A4-C382-41B1-8837-9DEF86E4D65C}"/>
    <cellStyle name="Percent 16 7 8 2" xfId="2721" xr:uid="{2CCEE42F-F9CA-47D8-8A02-37F567215E73}"/>
    <cellStyle name="Percent 16 7 9" xfId="1602" xr:uid="{65B8E10B-9ACB-44BC-A29D-ABF1121FD152}"/>
    <cellStyle name="Percent 16 7 9 2" xfId="2722" xr:uid="{E69C7FF2-1C08-47EC-B395-685CF1D75200}"/>
    <cellStyle name="Percent 16 8" xfId="1603" xr:uid="{C5A00F1E-FA6D-4F9F-9BF8-9581FCA4671A}"/>
    <cellStyle name="Percent 16 8 10" xfId="1604" xr:uid="{2E96BBC8-8120-4F27-A057-F05BDEEC75E7}"/>
    <cellStyle name="Percent 16 8 10 2" xfId="2724" xr:uid="{C8209674-4595-482D-8BCC-1C033AECAB19}"/>
    <cellStyle name="Percent 16 8 11" xfId="1605" xr:uid="{B5255486-5C54-4E01-A08D-641F515F9862}"/>
    <cellStyle name="Percent 16 8 11 2" xfId="2725" xr:uid="{18BE497A-B4CA-466C-ABDC-FE86C95E6276}"/>
    <cellStyle name="Percent 16 8 12" xfId="1606" xr:uid="{1B936A07-A979-465B-A0EE-596F8EF6786F}"/>
    <cellStyle name="Percent 16 8 12 2" xfId="2726" xr:uid="{71791DFF-409B-49B2-9EC1-7C8DFF100EBC}"/>
    <cellStyle name="Percent 16 8 13" xfId="1607" xr:uid="{8D046E7A-D58B-4E79-A79B-F8B11B70DE3D}"/>
    <cellStyle name="Percent 16 8 13 2" xfId="2727" xr:uid="{9CF7B58A-00B5-4811-8238-1726A3EFDEB0}"/>
    <cellStyle name="Percent 16 8 14" xfId="1608" xr:uid="{124919EA-3CB6-4148-AAD8-9774ADFDB8DB}"/>
    <cellStyle name="Percent 16 8 14 2" xfId="2728" xr:uid="{7483DE34-DE70-48B7-9BED-DDFB5549C973}"/>
    <cellStyle name="Percent 16 8 15" xfId="1609" xr:uid="{661D47A8-5474-4420-ADFA-3C5D16E69BDB}"/>
    <cellStyle name="Percent 16 8 15 2" xfId="2729" xr:uid="{2AB3794C-41F4-47DB-86B6-790F508DD0D6}"/>
    <cellStyle name="Percent 16 8 16" xfId="1610" xr:uid="{312188CB-824A-496E-9CA1-762A4709B378}"/>
    <cellStyle name="Percent 16 8 16 2" xfId="2730" xr:uid="{764A1FAD-7113-4F5E-9755-0469974C4AB4}"/>
    <cellStyle name="Percent 16 8 17" xfId="1611" xr:uid="{6D82CDB5-E916-4842-99DB-02E9F50CAEDE}"/>
    <cellStyle name="Percent 16 8 17 2" xfId="2731" xr:uid="{4F3CEBF1-A6C4-4F25-9334-CA8D9ED6E35E}"/>
    <cellStyle name="Percent 16 8 18" xfId="2723" xr:uid="{70B0F76C-4770-4FBD-BB72-4621DCBB3F06}"/>
    <cellStyle name="Percent 16 8 2" xfId="1612" xr:uid="{D7D8A015-1CF5-4DB6-8FF2-DFC8A517F995}"/>
    <cellStyle name="Percent 16 8 2 2" xfId="2732" xr:uid="{07D33E6F-D874-4FD7-B5F0-391B87D0EBE8}"/>
    <cellStyle name="Percent 16 8 3" xfId="1613" xr:uid="{552394B2-05B5-419F-A612-C7A85F3F72DF}"/>
    <cellStyle name="Percent 16 8 3 2" xfId="2733" xr:uid="{C8B01E89-E095-4856-8CE8-FCD8C7F0EF34}"/>
    <cellStyle name="Percent 16 8 4" xfId="1614" xr:uid="{A310A9FA-5053-411A-89A7-F0E0972BF24A}"/>
    <cellStyle name="Percent 16 8 4 2" xfId="2734" xr:uid="{2AD3DA5B-1220-4AD9-9755-6338109DD8D6}"/>
    <cellStyle name="Percent 16 8 5" xfId="1615" xr:uid="{C6031897-5195-4CCC-8736-DE27E487252C}"/>
    <cellStyle name="Percent 16 8 5 2" xfId="2735" xr:uid="{B80A982E-C7FB-43E0-BC82-3F3B1E7340B1}"/>
    <cellStyle name="Percent 16 8 6" xfId="1616" xr:uid="{88DDD206-5C8F-45C1-B7C1-69E351673837}"/>
    <cellStyle name="Percent 16 8 6 2" xfId="2736" xr:uid="{96418755-2441-4227-B133-7D47C6E747D1}"/>
    <cellStyle name="Percent 16 8 7" xfId="1617" xr:uid="{F19544E3-C43C-41B2-8EA1-82F9784D9329}"/>
    <cellStyle name="Percent 16 8 7 2" xfId="2737" xr:uid="{1D3389FE-4F00-4D0F-9D58-7D000E66D24B}"/>
    <cellStyle name="Percent 16 8 8" xfId="1618" xr:uid="{6627A273-33C2-411F-A8D4-3CF3FFBBD690}"/>
    <cellStyle name="Percent 16 8 8 2" xfId="2738" xr:uid="{8193637F-BFD9-4CD9-B282-919568E05610}"/>
    <cellStyle name="Percent 16 8 9" xfId="1619" xr:uid="{0BA67661-1783-4180-ABCD-27DAA11357D8}"/>
    <cellStyle name="Percent 16 8 9 2" xfId="2739" xr:uid="{7DE5FA19-9845-4B6F-893E-EFCC69386820}"/>
    <cellStyle name="Percent 16 9" xfId="1620" xr:uid="{1415DD7A-0D96-4747-AE8B-3F8E298365A6}"/>
    <cellStyle name="Percent 16 9 10" xfId="1621" xr:uid="{DA39A568-75E7-4EC1-83DE-DE2793155DD8}"/>
    <cellStyle name="Percent 16 9 10 2" xfId="2741" xr:uid="{9A85948F-6F33-463A-83E0-7F3E3E187072}"/>
    <cellStyle name="Percent 16 9 11" xfId="1622" xr:uid="{3C623FC9-97E1-46A1-BFD7-8F0B1A6888F7}"/>
    <cellStyle name="Percent 16 9 11 2" xfId="2742" xr:uid="{DF2B6BF8-8F58-4191-8EB4-1EFF9ADB0ADA}"/>
    <cellStyle name="Percent 16 9 12" xfId="1623" xr:uid="{786AD905-0C7A-47E1-82BD-AFA04D150142}"/>
    <cellStyle name="Percent 16 9 12 2" xfId="2743" xr:uid="{6E369D5A-4D75-49FA-99CC-6B10E211C35E}"/>
    <cellStyle name="Percent 16 9 13" xfId="1624" xr:uid="{3322C7E6-B603-4F1A-9504-37740BA3924E}"/>
    <cellStyle name="Percent 16 9 13 2" xfId="2744" xr:uid="{A4357CFA-A88D-4D1D-A4A0-BEEBC4594AFC}"/>
    <cellStyle name="Percent 16 9 14" xfId="1625" xr:uid="{BF773B6A-F1B9-4E67-97B6-8F057B597884}"/>
    <cellStyle name="Percent 16 9 14 2" xfId="2745" xr:uid="{87984AE5-78F4-44DF-8DF5-B2BD32A08BAC}"/>
    <cellStyle name="Percent 16 9 15" xfId="1626" xr:uid="{73F9E1FD-602E-4C16-B9F9-705BA0681E18}"/>
    <cellStyle name="Percent 16 9 15 2" xfId="2746" xr:uid="{CD5B0CDA-7926-43F1-83DF-34036D614202}"/>
    <cellStyle name="Percent 16 9 16" xfId="1627" xr:uid="{5D2975E1-17DF-47DA-94B9-9669248A5B01}"/>
    <cellStyle name="Percent 16 9 16 2" xfId="2747" xr:uid="{54D1673A-8ED7-4436-9843-A9B90DC7F661}"/>
    <cellStyle name="Percent 16 9 17" xfId="1628" xr:uid="{A550862A-C38A-4E35-BA80-8D6C6C3E6871}"/>
    <cellStyle name="Percent 16 9 17 2" xfId="2748" xr:uid="{2A53B294-987C-478F-95FE-1902740A9687}"/>
    <cellStyle name="Percent 16 9 18" xfId="2740" xr:uid="{9AC6BF17-4682-4234-B92B-AC0694256587}"/>
    <cellStyle name="Percent 16 9 2" xfId="1629" xr:uid="{01DAAA36-3F2A-45EC-88C4-399B77B8CF21}"/>
    <cellStyle name="Percent 16 9 2 2" xfId="2749" xr:uid="{E0897907-7B65-4C74-8562-9E116310D228}"/>
    <cellStyle name="Percent 16 9 3" xfId="1630" xr:uid="{7062232B-4BB0-4CE2-AABD-616FE6266EC0}"/>
    <cellStyle name="Percent 16 9 3 2" xfId="2750" xr:uid="{4148859B-D236-4F95-AF34-12484420CC7F}"/>
    <cellStyle name="Percent 16 9 4" xfId="1631" xr:uid="{C0081020-7B71-4D7D-B4B2-D6A3941F96FA}"/>
    <cellStyle name="Percent 16 9 4 2" xfId="2751" xr:uid="{C411BD96-7662-4923-8900-26CAA5285EDE}"/>
    <cellStyle name="Percent 16 9 5" xfId="1632" xr:uid="{3E96AD12-D07E-4073-88E9-927C8C046C69}"/>
    <cellStyle name="Percent 16 9 5 2" xfId="2752" xr:uid="{608F49A4-32A9-4500-A4DC-573F83D0ABE5}"/>
    <cellStyle name="Percent 16 9 6" xfId="1633" xr:uid="{B62BFB86-FB68-4678-8081-EBEC786541C7}"/>
    <cellStyle name="Percent 16 9 6 2" xfId="2753" xr:uid="{F4A3DDDF-C4B1-4E49-8BA0-49B4D2016719}"/>
    <cellStyle name="Percent 16 9 7" xfId="1634" xr:uid="{A19D4598-A07B-470B-8C7D-A4FE44530D09}"/>
    <cellStyle name="Percent 16 9 7 2" xfId="2754" xr:uid="{7E4B56EE-F0BB-48C4-B419-31A1CF24AFFE}"/>
    <cellStyle name="Percent 16 9 8" xfId="1635" xr:uid="{F56C964E-E059-4448-8073-DC29048888A0}"/>
    <cellStyle name="Percent 16 9 8 2" xfId="2755" xr:uid="{1535FC74-5C23-46E0-8355-339925EB0214}"/>
    <cellStyle name="Percent 16 9 9" xfId="1636" xr:uid="{5CB5F079-A3DF-47B1-AC05-A7CCE7BDB7DE}"/>
    <cellStyle name="Percent 16 9 9 2" xfId="2756" xr:uid="{275BAD11-725E-4DD7-9BB5-0AB119393659}"/>
    <cellStyle name="Percent 17" xfId="1637" xr:uid="{348B84EA-D71C-4EE4-A6FA-ED82E129705D}"/>
    <cellStyle name="Percent 17 2" xfId="2757" xr:uid="{586912D2-ED8A-4926-9EED-B7181D8979B0}"/>
    <cellStyle name="Percent 2" xfId="151" xr:uid="{1F6C1769-707F-4CD9-9EE7-FE2C988C281E}"/>
    <cellStyle name="Percent 2 10" xfId="1639" xr:uid="{CA8D8D14-E8A1-4DB1-BC35-C235093BE002}"/>
    <cellStyle name="Percent 2 10 2" xfId="1640" xr:uid="{0D47905E-43F4-4263-8EF9-696508DB69DB}"/>
    <cellStyle name="Percent 2 10 2 2" xfId="2760" xr:uid="{0A970BF1-8A59-477D-807B-3975E43701B1}"/>
    <cellStyle name="Percent 2 10 3" xfId="1641" xr:uid="{9D5BE26B-F84D-483A-90F2-6D8EEB188525}"/>
    <cellStyle name="Percent 2 10 3 2" xfId="2761" xr:uid="{9E7E11DA-82F8-493E-AABB-938D42773E5B}"/>
    <cellStyle name="Percent 2 10 4" xfId="1642" xr:uid="{5473582A-2E97-47D4-AF9A-B11DB0D0ADA7}"/>
    <cellStyle name="Percent 2 10 4 2" xfId="2762" xr:uid="{9A3D414D-C899-4141-8630-246CBE6BD212}"/>
    <cellStyle name="Percent 2 10 5" xfId="1643" xr:uid="{07119459-58CE-4F1C-8D69-39C3B7BDFB29}"/>
    <cellStyle name="Percent 2 10 5 2" xfId="2763" xr:uid="{D7DB6489-E713-4347-9DFD-6840043AA276}"/>
    <cellStyle name="Percent 2 10 6" xfId="1644" xr:uid="{4D1CC322-B353-4A32-A595-CDF0485BB9D4}"/>
    <cellStyle name="Percent 2 10 6 2" xfId="2764" xr:uid="{45D9B36D-B17B-41D1-BC7D-91F3BF957EDD}"/>
    <cellStyle name="Percent 2 10 7" xfId="1645" xr:uid="{0B2D7A41-8A8E-4BC0-937B-ECA0332F721D}"/>
    <cellStyle name="Percent 2 10 7 2" xfId="2765" xr:uid="{1B5701E1-9A78-4668-9344-1796B7D91B27}"/>
    <cellStyle name="Percent 2 10 8" xfId="1646" xr:uid="{CBA15956-1999-49BF-AEBC-F3788C163346}"/>
    <cellStyle name="Percent 2 10 8 2" xfId="2766" xr:uid="{D20C21F4-90AC-4891-B5EB-286715FC1994}"/>
    <cellStyle name="Percent 2 10 9" xfId="2759" xr:uid="{4A4FA7B3-591B-4CA2-A09E-EE796E70ECC4}"/>
    <cellStyle name="Percent 2 11" xfId="1647" xr:uid="{EBCE0FAF-CD81-4AB3-9F05-E07CBCA77501}"/>
    <cellStyle name="Percent 2 11 2" xfId="1648" xr:uid="{E24F850F-68B6-4A22-B7F9-ECCDD1BD2137}"/>
    <cellStyle name="Percent 2 11 2 2" xfId="2768" xr:uid="{554BA6AD-A3EF-4559-88E1-699573EAFA63}"/>
    <cellStyle name="Percent 2 11 3" xfId="1649" xr:uid="{C326BBB4-47F8-49A6-99D7-57D3537D3CBA}"/>
    <cellStyle name="Percent 2 11 3 2" xfId="2769" xr:uid="{027D116E-59C5-4854-A908-5B939F3B9298}"/>
    <cellStyle name="Percent 2 11 4" xfId="1650" xr:uid="{EE568B8E-3472-476F-9F1D-B2A5A345B597}"/>
    <cellStyle name="Percent 2 11 4 2" xfId="2770" xr:uid="{25BBA048-A080-4538-97CE-10D3E33C329B}"/>
    <cellStyle name="Percent 2 11 5" xfId="1651" xr:uid="{111579E6-766F-4309-B78F-7C559AA7531B}"/>
    <cellStyle name="Percent 2 11 5 2" xfId="2771" xr:uid="{14F545A4-8112-4855-91FB-0F8D48D3291C}"/>
    <cellStyle name="Percent 2 11 6" xfId="1652" xr:uid="{FA772093-1F8D-4511-BAD9-914D54E35863}"/>
    <cellStyle name="Percent 2 11 6 2" xfId="2772" xr:uid="{8D1124A9-6129-4F19-8E04-9FCAB4710CF9}"/>
    <cellStyle name="Percent 2 11 7" xfId="1653" xr:uid="{769C4C4E-DE79-4D49-AC0D-32B0D8170564}"/>
    <cellStyle name="Percent 2 11 7 2" xfId="2773" xr:uid="{1948C07F-9DDE-4264-B064-576C11F58C6F}"/>
    <cellStyle name="Percent 2 11 8" xfId="1654" xr:uid="{66B50F2C-FE75-4F2D-AB3B-52351F42BCAF}"/>
    <cellStyle name="Percent 2 11 8 2" xfId="2774" xr:uid="{65251B69-F77E-433C-97E8-BAF001348696}"/>
    <cellStyle name="Percent 2 11 9" xfId="2767" xr:uid="{284DD727-CE41-4BC6-AE92-9E33D2CE380E}"/>
    <cellStyle name="Percent 2 12" xfId="1655" xr:uid="{808AF142-E5B9-4DCD-B946-E9BA8510166C}"/>
    <cellStyle name="Percent 2 12 2" xfId="2775" xr:uid="{AD4C6887-45CF-4599-BEE8-A9634E06465C}"/>
    <cellStyle name="Percent 2 13" xfId="1656" xr:uid="{3C7952BC-7A5C-4E22-B085-2740922C7F42}"/>
    <cellStyle name="Percent 2 13 2" xfId="2776" xr:uid="{6BFC21FC-B801-4E22-AA6F-51F0DEBCAA3B}"/>
    <cellStyle name="Percent 2 14" xfId="1657" xr:uid="{E2FDEB2A-65C7-475E-988E-6450B665C8DD}"/>
    <cellStyle name="Percent 2 14 2" xfId="2777" xr:uid="{6904B2CC-6579-414A-9548-6F36277D8E34}"/>
    <cellStyle name="Percent 2 15" xfId="1658" xr:uid="{A96B7A79-0B92-41CD-9985-CEAE61655071}"/>
    <cellStyle name="Percent 2 15 2" xfId="2778" xr:uid="{80DD1E0F-E9A9-4F4F-8D2B-57E1657BE220}"/>
    <cellStyle name="Percent 2 16" xfId="1659" xr:uid="{30995864-E281-42C3-AE9C-CFF3FF1E07E4}"/>
    <cellStyle name="Percent 2 16 2" xfId="2779" xr:uid="{B57EF178-1F6A-47D1-BEED-832FB0C9792B}"/>
    <cellStyle name="Percent 2 17" xfId="1660" xr:uid="{87DE2D04-F755-4F75-9FD3-F6549897D609}"/>
    <cellStyle name="Percent 2 17 2" xfId="2780" xr:uid="{EFB59029-6A5F-4FA5-B83C-2BACDBB9F213}"/>
    <cellStyle name="Percent 2 18" xfId="1661" xr:uid="{928527F4-FC83-4C9C-B738-8FDE4F417C3B}"/>
    <cellStyle name="Percent 2 18 2" xfId="2781" xr:uid="{DCAA8359-6598-433E-8857-4D9CD6F6CA85}"/>
    <cellStyle name="Percent 2 19" xfId="2758" xr:uid="{8F1132EA-3721-4F84-9240-10290A3EBF42}"/>
    <cellStyle name="Percent 2 2" xfId="152" xr:uid="{1A17160C-6012-4DAE-85AE-7FCA484A9572}"/>
    <cellStyle name="Percent 2 2 10" xfId="1662" xr:uid="{5B514AAF-153E-41AB-ADDF-E86087145A31}"/>
    <cellStyle name="Percent 2 2 2" xfId="153" xr:uid="{B2961A20-64DD-45AC-8DEB-E05E3EAEED20}"/>
    <cellStyle name="Percent 2 2 2 2" xfId="2783" xr:uid="{58B31000-043A-412B-A7FF-F94FD2B8D327}"/>
    <cellStyle name="Percent 2 2 2 3" xfId="1663" xr:uid="{36696573-F297-4BBC-B325-2545614BB783}"/>
    <cellStyle name="Percent 2 2 3" xfId="154" xr:uid="{17DAE0F6-C956-4CCE-964B-A90406D77503}"/>
    <cellStyle name="Percent 2 2 3 2" xfId="155" xr:uid="{0679FD13-BCDA-40DA-97BE-3190DE52E2F7}"/>
    <cellStyle name="Percent 2 2 3 2 2" xfId="2784" xr:uid="{74B55997-5DED-4ED6-A246-20EAED9A52BD}"/>
    <cellStyle name="Percent 2 2 3 3" xfId="1664" xr:uid="{3DE63163-F812-4E70-9AE2-4D9883752228}"/>
    <cellStyle name="Percent 2 2 4" xfId="1665" xr:uid="{3FC6385E-EC91-4BBB-ADCB-8C5C659036A6}"/>
    <cellStyle name="Percent 2 2 4 2" xfId="2785" xr:uid="{5EEC68D0-6A7A-4EC3-96A3-0B184CEC3DC5}"/>
    <cellStyle name="Percent 2 2 5" xfId="1666" xr:uid="{E7FD38AF-C8B3-4469-9495-6C5AB151B224}"/>
    <cellStyle name="Percent 2 2 5 2" xfId="2786" xr:uid="{F51335EA-79FD-494F-8122-659B053EA93A}"/>
    <cellStyle name="Percent 2 2 6" xfId="1667" xr:uid="{B1F448BE-48D3-4DE5-A115-D2E578F2F0CD}"/>
    <cellStyle name="Percent 2 2 6 2" xfId="2787" xr:uid="{CA63220E-5B9D-46C1-8B41-54540EE8864C}"/>
    <cellStyle name="Percent 2 2 7" xfId="1668" xr:uid="{D715E7B1-EED6-4E1F-8656-81F54A6F08AC}"/>
    <cellStyle name="Percent 2 2 7 2" xfId="2788" xr:uid="{A1647653-CAD2-463B-BF5A-7DC2B81333B4}"/>
    <cellStyle name="Percent 2 2 8" xfId="1669" xr:uid="{98A871D2-C8C3-4726-8C2D-EF5E599D6A00}"/>
    <cellStyle name="Percent 2 2 8 2" xfId="2789" xr:uid="{806AA85D-A8C1-4B65-AD5E-44392467D092}"/>
    <cellStyle name="Percent 2 2 9" xfId="2782" xr:uid="{57C87920-9286-45AB-BDB6-8D0694D909FA}"/>
    <cellStyle name="Percent 2 20" xfId="1638" xr:uid="{655D1340-EA43-4BFF-BF43-1B527F2BE15A}"/>
    <cellStyle name="Percent 2 3" xfId="156" xr:uid="{B4A10982-520E-4075-9EC3-7C789E5EF13F}"/>
    <cellStyle name="Percent 2 3 10" xfId="1670" xr:uid="{453CE159-C7D3-404A-B959-EE23C1F1B68C}"/>
    <cellStyle name="Percent 2 3 2" xfId="157" xr:uid="{6299FCB0-ACCE-4256-A9B7-574E956BFACE}"/>
    <cellStyle name="Percent 2 3 2 2" xfId="2791" xr:uid="{95D2EC5D-9A98-4A83-86AF-F04557E5A579}"/>
    <cellStyle name="Percent 2 3 2 3" xfId="1671" xr:uid="{D5FA2B41-8BE2-4F2E-83F2-36BFB212CABD}"/>
    <cellStyle name="Percent 2 3 3" xfId="158" xr:uid="{242CE198-B14B-4B62-BE59-14C97D38C0CE}"/>
    <cellStyle name="Percent 2 3 3 2" xfId="159" xr:uid="{159C2A76-5474-45CA-8BD6-230F2ED50D49}"/>
    <cellStyle name="Percent 2 3 3 2 2" xfId="2792" xr:uid="{FAA27A10-311F-4C0C-B804-763D3560B439}"/>
    <cellStyle name="Percent 2 3 3 3" xfId="1672" xr:uid="{7470EA79-77AD-42F4-B78E-823DDE9E06EB}"/>
    <cellStyle name="Percent 2 3 4" xfId="1673" xr:uid="{33BA6783-841B-4325-9CFB-0A14B24443D8}"/>
    <cellStyle name="Percent 2 3 4 2" xfId="2793" xr:uid="{C638DCBD-27F9-41B8-81D5-3AABA6A8558E}"/>
    <cellStyle name="Percent 2 3 5" xfId="1674" xr:uid="{751B109C-C3AB-4ADC-BC43-FFAF79C6245C}"/>
    <cellStyle name="Percent 2 3 5 2" xfId="2794" xr:uid="{A9EEBE28-BB38-4D55-8474-048CD92A8C09}"/>
    <cellStyle name="Percent 2 3 6" xfId="1675" xr:uid="{7CCBF3E6-B129-4C15-A249-8CF75FBF96D0}"/>
    <cellStyle name="Percent 2 3 6 2" xfId="2795" xr:uid="{F9D1C2AA-605B-43B8-81FB-8CF874E11C44}"/>
    <cellStyle name="Percent 2 3 7" xfId="1676" xr:uid="{717A760C-8FAF-4106-AB80-D72CC405C08E}"/>
    <cellStyle name="Percent 2 3 7 2" xfId="2796" xr:uid="{798FB8AC-5941-439B-84A1-1543B0219A5A}"/>
    <cellStyle name="Percent 2 3 8" xfId="1677" xr:uid="{D9B18572-6339-42F0-B473-7DD2C1CC03C9}"/>
    <cellStyle name="Percent 2 3 8 2" xfId="2797" xr:uid="{1F4961A3-8B06-4444-A49B-BDF6D6958FD8}"/>
    <cellStyle name="Percent 2 3 9" xfId="2790" xr:uid="{F3FB54BD-85B8-46A6-B7CB-8BCF64A97657}"/>
    <cellStyle name="Percent 2 4" xfId="160" xr:uid="{9276ACC4-E0B8-4000-B3B2-3673BEA9899C}"/>
    <cellStyle name="Percent 2 4 10" xfId="1678" xr:uid="{2B71677E-CDB8-4715-AAE0-5C7A73049ADF}"/>
    <cellStyle name="Percent 2 4 2" xfId="1679" xr:uid="{7FB50935-90D6-4B78-8CCD-34CECD8DCD15}"/>
    <cellStyle name="Percent 2 4 2 2" xfId="2799" xr:uid="{483E3D89-0721-48A8-8162-5BC3808024A3}"/>
    <cellStyle name="Percent 2 4 3" xfId="1680" xr:uid="{606A82D6-BEB3-42CF-A998-B34E00DD89A5}"/>
    <cellStyle name="Percent 2 4 3 2" xfId="2800" xr:uid="{E88FD602-AABF-46E1-A2D3-571179BABEC2}"/>
    <cellStyle name="Percent 2 4 4" xfId="1681" xr:uid="{0E084348-F420-43CB-9650-0A7B11D94FC1}"/>
    <cellStyle name="Percent 2 4 4 2" xfId="2801" xr:uid="{9966F977-9773-48B7-BB3B-72B3F802691B}"/>
    <cellStyle name="Percent 2 4 5" xfId="1682" xr:uid="{66F9B66A-7814-4AEA-9BD0-7D5EAB2790A8}"/>
    <cellStyle name="Percent 2 4 5 2" xfId="2802" xr:uid="{97168376-062E-4D38-86F3-E0996508E8CC}"/>
    <cellStyle name="Percent 2 4 6" xfId="1683" xr:uid="{CECEA9B7-7AA1-429F-828E-858530587A03}"/>
    <cellStyle name="Percent 2 4 6 2" xfId="2803" xr:uid="{7CDD6C18-B02E-4C12-9BF4-01AC762B346A}"/>
    <cellStyle name="Percent 2 4 7" xfId="1684" xr:uid="{B1435D3C-1441-4F34-B61E-83FAEEFD5619}"/>
    <cellStyle name="Percent 2 4 7 2" xfId="2804" xr:uid="{D9AB4FA7-F4A3-4732-A711-CAF05DC1698C}"/>
    <cellStyle name="Percent 2 4 8" xfId="1685" xr:uid="{BFEF36D2-B6DB-49EA-9585-21FAD8D6653A}"/>
    <cellStyle name="Percent 2 4 8 2" xfId="2805" xr:uid="{221E3EB5-A735-4B15-869E-FEB016963B38}"/>
    <cellStyle name="Percent 2 4 9" xfId="2798" xr:uid="{4096B2E0-3EC7-4853-92C3-7962CD8F321F}"/>
    <cellStyle name="Percent 2 5" xfId="1686" xr:uid="{E1A87B4B-10BE-4D20-BAD3-1CB2772893E0}"/>
    <cellStyle name="Percent 2 5 2" xfId="1687" xr:uid="{8FB1D489-ADDF-4ED9-B26D-E7A9E05CFCBC}"/>
    <cellStyle name="Percent 2 5 2 2" xfId="2807" xr:uid="{F9133D53-34F0-4488-91AF-844CA4016340}"/>
    <cellStyle name="Percent 2 5 3" xfId="1688" xr:uid="{A4152C0C-0035-4805-A92F-71C210255AAF}"/>
    <cellStyle name="Percent 2 5 3 2" xfId="2808" xr:uid="{2DB54380-3B13-4F6F-8677-A73178A2F237}"/>
    <cellStyle name="Percent 2 5 4" xfId="1689" xr:uid="{D1B92A5A-CBA7-4B69-B925-2C73C0AAF4F5}"/>
    <cellStyle name="Percent 2 5 4 2" xfId="2809" xr:uid="{2D42686B-0C2C-4D88-80F4-6E52DE447D39}"/>
    <cellStyle name="Percent 2 5 5" xfId="1690" xr:uid="{DCE32A5E-4821-424E-9463-D7725449BF6F}"/>
    <cellStyle name="Percent 2 5 5 2" xfId="2810" xr:uid="{A53A04C5-0A73-451B-9197-3A07089DF0DE}"/>
    <cellStyle name="Percent 2 5 6" xfId="1691" xr:uid="{FBEB1111-8CFA-4BE7-B778-5B6B54BB09A6}"/>
    <cellStyle name="Percent 2 5 6 2" xfId="2811" xr:uid="{EC5CE1A1-D107-4C7B-91C5-8B16B3E19747}"/>
    <cellStyle name="Percent 2 5 7" xfId="1692" xr:uid="{210CBAE0-5E9C-4906-AD23-A94D537B6483}"/>
    <cellStyle name="Percent 2 5 7 2" xfId="2812" xr:uid="{1A67CF41-DF2B-4E0B-992C-4B7CCACD2059}"/>
    <cellStyle name="Percent 2 5 8" xfId="1693" xr:uid="{F92D74D8-AA9A-4FD8-8DBD-A38FF3BB63AF}"/>
    <cellStyle name="Percent 2 5 8 2" xfId="2813" xr:uid="{7D0A1784-2309-4E92-BC49-2528204AD90F}"/>
    <cellStyle name="Percent 2 5 9" xfId="2806" xr:uid="{FB78ECAE-E86A-436D-9D2D-83172E6A639D}"/>
    <cellStyle name="Percent 2 6" xfId="1694" xr:uid="{A780BA8B-167A-4B30-9495-3719ED36C2B3}"/>
    <cellStyle name="Percent 2 6 2" xfId="1695" xr:uid="{3EBAE026-16EB-481F-90E9-6A070051CA1F}"/>
    <cellStyle name="Percent 2 6 2 2" xfId="2815" xr:uid="{5707D373-A427-46C9-B0EA-7FFB5FED055F}"/>
    <cellStyle name="Percent 2 6 3" xfId="1696" xr:uid="{108CA8DB-6644-4302-95F2-B28D6CBFE79E}"/>
    <cellStyle name="Percent 2 6 3 2" xfId="2816" xr:uid="{3B6C9D34-1AD4-4109-8F49-4090DD58F952}"/>
    <cellStyle name="Percent 2 6 4" xfId="1697" xr:uid="{72CBE911-A692-4C42-8A80-24D565022C2F}"/>
    <cellStyle name="Percent 2 6 4 2" xfId="2817" xr:uid="{129CDCA7-C16F-406D-B019-703FB7377609}"/>
    <cellStyle name="Percent 2 6 5" xfId="1698" xr:uid="{50165FA5-2C87-4856-A913-8618E327CE7C}"/>
    <cellStyle name="Percent 2 6 5 2" xfId="2818" xr:uid="{DFB19445-7219-41CD-A8AA-8A05B9FA0876}"/>
    <cellStyle name="Percent 2 6 6" xfId="1699" xr:uid="{34469800-82B2-48BC-9BB2-2F2CEC7D5763}"/>
    <cellStyle name="Percent 2 6 6 2" xfId="2819" xr:uid="{2D6AB537-67EC-48A3-82A5-288C2ACADB0F}"/>
    <cellStyle name="Percent 2 6 7" xfId="1700" xr:uid="{B7557AA6-D6F2-4E58-B2BB-177E759A2B86}"/>
    <cellStyle name="Percent 2 6 7 2" xfId="2820" xr:uid="{58B1BB5B-CC91-4FE0-927A-4BC0F5457A8D}"/>
    <cellStyle name="Percent 2 6 8" xfId="1701" xr:uid="{0FC8980A-54C1-4663-8F78-F32B14036B46}"/>
    <cellStyle name="Percent 2 6 8 2" xfId="2821" xr:uid="{BB84C724-C815-41F3-85B3-F07747B92C2C}"/>
    <cellStyle name="Percent 2 6 9" xfId="2814" xr:uid="{5B5AEC1B-0F2B-4033-AD4E-5568ED9B38C0}"/>
    <cellStyle name="Percent 2 7" xfId="1702" xr:uid="{9712B5FC-B4B0-4E5C-9EE7-2B5832061B88}"/>
    <cellStyle name="Percent 2 7 2" xfId="1703" xr:uid="{CB09E45E-DF04-4515-9E3D-5D608921B4DB}"/>
    <cellStyle name="Percent 2 7 2 2" xfId="2823" xr:uid="{EEA0E762-339F-4063-9C43-0E33EAE69AEC}"/>
    <cellStyle name="Percent 2 7 3" xfId="1704" xr:uid="{5B515FDD-83BA-4188-92D4-660F9B980D0A}"/>
    <cellStyle name="Percent 2 7 3 2" xfId="2824" xr:uid="{56263665-9B09-4AFF-AD98-C37DC51D03C9}"/>
    <cellStyle name="Percent 2 7 4" xfId="1705" xr:uid="{AE12137A-52E3-40C2-A0EF-0FA351FAB1EF}"/>
    <cellStyle name="Percent 2 7 4 2" xfId="2825" xr:uid="{53EEE71E-025D-4D76-9D0C-CF4C1EAEAF20}"/>
    <cellStyle name="Percent 2 7 5" xfId="1706" xr:uid="{B482B7B5-BCB1-494F-BBE0-D13549A6B934}"/>
    <cellStyle name="Percent 2 7 5 2" xfId="2826" xr:uid="{54FC3C78-A7A9-417F-B7CF-BFAA3E9B5648}"/>
    <cellStyle name="Percent 2 7 6" xfId="1707" xr:uid="{CE2C3AD7-F9DE-40D0-8859-80FC78C16E7E}"/>
    <cellStyle name="Percent 2 7 6 2" xfId="2827" xr:uid="{30F71552-DD4A-49AF-A470-3C8B124B086B}"/>
    <cellStyle name="Percent 2 7 7" xfId="1708" xr:uid="{B81E59F3-117E-4433-A44E-C3B392595F5D}"/>
    <cellStyle name="Percent 2 7 7 2" xfId="2828" xr:uid="{0210AD18-88B3-4A63-959F-B291CB554782}"/>
    <cellStyle name="Percent 2 7 8" xfId="1709" xr:uid="{7B607EAE-A13E-482A-BE26-C5996655779C}"/>
    <cellStyle name="Percent 2 7 8 2" xfId="2829" xr:uid="{74E6F62D-EA24-4270-B5BE-16FEB5B736E5}"/>
    <cellStyle name="Percent 2 7 9" xfId="2822" xr:uid="{4FC594A6-3658-49CE-90DF-552A9EC17847}"/>
    <cellStyle name="Percent 2 8" xfId="1710" xr:uid="{8B052617-76BB-4F96-80C4-2297A711A544}"/>
    <cellStyle name="Percent 2 8 2" xfId="1711" xr:uid="{07F55F7B-93D0-437C-A08B-1A1F1DB8A135}"/>
    <cellStyle name="Percent 2 8 2 2" xfId="2831" xr:uid="{00B0A758-435B-4130-BED0-DD59EE5D5DDF}"/>
    <cellStyle name="Percent 2 8 3" xfId="1712" xr:uid="{AAFAA7F0-BC19-4EA7-BC43-4576022D47D3}"/>
    <cellStyle name="Percent 2 8 3 2" xfId="2832" xr:uid="{F0573D06-5A03-4D43-B7CE-41E3E66457C7}"/>
    <cellStyle name="Percent 2 8 4" xfId="1713" xr:uid="{4AF6FB74-3860-4803-BE45-33AA1640C71D}"/>
    <cellStyle name="Percent 2 8 4 2" xfId="2833" xr:uid="{B91CE94F-592C-4864-93C2-FCFFE154E1DA}"/>
    <cellStyle name="Percent 2 8 5" xfId="1714" xr:uid="{5044BAB8-B063-4C5A-9397-3E96B3165DA3}"/>
    <cellStyle name="Percent 2 8 5 2" xfId="2834" xr:uid="{ACC35158-CEF6-4268-819C-5CD01C72BD96}"/>
    <cellStyle name="Percent 2 8 6" xfId="1715" xr:uid="{C49FE425-2DA3-4F0E-B088-A31D72362DB3}"/>
    <cellStyle name="Percent 2 8 6 2" xfId="2835" xr:uid="{9ECAB85D-C1CC-4388-9076-D048A3F2B2C1}"/>
    <cellStyle name="Percent 2 8 7" xfId="1716" xr:uid="{3A86156D-D10B-47FE-B4C2-738F552A6608}"/>
    <cellStyle name="Percent 2 8 7 2" xfId="2836" xr:uid="{7EEC16D1-AAD4-4AF9-A626-DEE0B9281158}"/>
    <cellStyle name="Percent 2 8 8" xfId="1717" xr:uid="{E686C868-D9B1-4C4B-8E1F-CEA00DE44B9C}"/>
    <cellStyle name="Percent 2 8 8 2" xfId="2837" xr:uid="{D1CC7491-13F8-4CAD-88FC-5C5318AF86B3}"/>
    <cellStyle name="Percent 2 8 9" xfId="2830" xr:uid="{C6D0382B-02A4-4B84-B4C2-705AA770B406}"/>
    <cellStyle name="Percent 2 9" xfId="1718" xr:uid="{9BADACF8-B250-493E-9B6E-3D3301D7F755}"/>
    <cellStyle name="Percent 2 9 2" xfId="1719" xr:uid="{12C7CF11-0106-42BE-AEB4-D6B16F63C377}"/>
    <cellStyle name="Percent 2 9 2 2" xfId="2839" xr:uid="{6A451E35-97E2-4A4A-A94F-DE6493EE51BD}"/>
    <cellStyle name="Percent 2 9 3" xfId="1720" xr:uid="{EB0783FF-FFF4-4B46-BAED-97C5ADB86596}"/>
    <cellStyle name="Percent 2 9 3 2" xfId="2840" xr:uid="{2B3CAE58-89D7-4DDB-97FD-1ECC1F6C737F}"/>
    <cellStyle name="Percent 2 9 4" xfId="1721" xr:uid="{D7793318-FA4E-4185-A01B-8C03151DDCBA}"/>
    <cellStyle name="Percent 2 9 4 2" xfId="2841" xr:uid="{427C0986-C31D-4436-836A-1C356429AE37}"/>
    <cellStyle name="Percent 2 9 5" xfId="1722" xr:uid="{D1FF476A-3139-4659-A287-6320BF850A4F}"/>
    <cellStyle name="Percent 2 9 5 2" xfId="2842" xr:uid="{3CEE167D-19C6-491B-97AD-DD8B40774073}"/>
    <cellStyle name="Percent 2 9 6" xfId="1723" xr:uid="{67741240-974B-4AA3-84F6-F3AFF0281D45}"/>
    <cellStyle name="Percent 2 9 6 2" xfId="2843" xr:uid="{76CEE98B-1B11-4038-AD64-5EC6E35018A6}"/>
    <cellStyle name="Percent 2 9 7" xfId="1724" xr:uid="{8916952B-949B-4737-9FBE-4C31B794FB2B}"/>
    <cellStyle name="Percent 2 9 7 2" xfId="2844" xr:uid="{F9D2E1B4-88D5-4589-8BA8-250B01AEA7C1}"/>
    <cellStyle name="Percent 2 9 8" xfId="1725" xr:uid="{B18387CF-54D7-4DF9-9708-D5FE7463162F}"/>
    <cellStyle name="Percent 2 9 8 2" xfId="2845" xr:uid="{C077EAA6-DB3A-4D2D-BE77-D05924658042}"/>
    <cellStyle name="Percent 2 9 9" xfId="2838" xr:uid="{DB603A5E-DB5E-4A30-AD60-480D78EAA783}"/>
    <cellStyle name="Percent 3" xfId="161" xr:uid="{06FCC362-1234-4016-9FF0-8DD1257C9E9A}"/>
    <cellStyle name="Percent 3 10" xfId="1726" xr:uid="{484B1E82-E6EB-4646-BA06-94CC97DBF2F7}"/>
    <cellStyle name="Percent 3 11" xfId="3053" xr:uid="{5871E19D-505F-4566-BF9D-E6AB2DFB25BC}"/>
    <cellStyle name="Percent 3 12" xfId="3279" xr:uid="{5DAD5498-D7E4-4160-9568-31CF52CDD0F5}"/>
    <cellStyle name="Percent 3 2" xfId="162" xr:uid="{58E16179-AECC-415E-8539-8232EE7D091C}"/>
    <cellStyle name="Percent 3 2 2" xfId="163" xr:uid="{398409BF-FADB-4C5C-A959-B986B898C1CC}"/>
    <cellStyle name="Percent 3 2 2 2" xfId="2847" xr:uid="{D9E390A3-5935-4902-9C45-B4508D051A7A}"/>
    <cellStyle name="Percent 3 2 3" xfId="164" xr:uid="{C65CB4F1-B05F-45EC-93BF-1F82156A7702}"/>
    <cellStyle name="Percent 3 2 4" xfId="1727" xr:uid="{38D4DCCF-0980-498D-8D9D-33BAAB2C44A3}"/>
    <cellStyle name="Percent 3 3" xfId="165" xr:uid="{8DD4D7B1-BBD9-4FC3-8CE7-A8D867DEA56A}"/>
    <cellStyle name="Percent 3 3 2" xfId="166" xr:uid="{F3CDDAF9-DA3D-4EB2-919A-F0B0CE34489E}"/>
    <cellStyle name="Percent 3 3 2 2" xfId="2848" xr:uid="{6EA5B155-E44B-4F9F-90C0-68554D6858D1}"/>
    <cellStyle name="Percent 3 3 3" xfId="167" xr:uid="{C4DABC53-B7B2-4578-88CE-88A5AE887756}"/>
    <cellStyle name="Percent 3 3 3 2" xfId="168" xr:uid="{19FB2702-86AF-43BE-921A-CB3C00E31DDE}"/>
    <cellStyle name="Percent 3 3 4" xfId="1728" xr:uid="{F8D00B43-FE0B-4934-AA5A-36D39A6B96E0}"/>
    <cellStyle name="Percent 3 4" xfId="169" xr:uid="{A665B49F-956B-41B4-B625-65BAD557B382}"/>
    <cellStyle name="Percent 3 4 2" xfId="170" xr:uid="{17A31BEC-E80D-462B-B6DD-D277C70FF0D4}"/>
    <cellStyle name="Percent 3 4 2 2" xfId="2849" xr:uid="{C0D36C69-17BE-42A7-8008-51C225277BA6}"/>
    <cellStyle name="Percent 3 4 3" xfId="1729" xr:uid="{A919015E-42A4-4C3E-8A91-FE4259FDE5FD}"/>
    <cellStyle name="Percent 3 5" xfId="171" xr:uid="{34EE6BD2-6DE3-4343-88C4-F02F7F4FCC88}"/>
    <cellStyle name="Percent 3 5 2" xfId="2850" xr:uid="{A0701474-0C46-40F3-A2B0-13E57C07BE04}"/>
    <cellStyle name="Percent 3 5 3" xfId="1730" xr:uid="{0C6F2926-7F80-46DA-B66B-D4D32B7067DE}"/>
    <cellStyle name="Percent 3 6" xfId="1731" xr:uid="{6E5936FB-DEE8-45A9-8895-A04155BFAF7C}"/>
    <cellStyle name="Percent 3 6 2" xfId="2851" xr:uid="{015086E9-E464-4696-9DBA-FB0094DF2BD6}"/>
    <cellStyle name="Percent 3 7" xfId="1732" xr:uid="{ACC9D8CB-9912-45C4-9AF8-9E023C1FE5F7}"/>
    <cellStyle name="Percent 3 7 2" xfId="2852" xr:uid="{6CD6F8BF-37F2-4821-9894-543F1D8F819C}"/>
    <cellStyle name="Percent 3 8" xfId="1733" xr:uid="{199D8ED7-2EB0-4FF8-9C50-EB671C152D14}"/>
    <cellStyle name="Percent 3 8 2" xfId="2853" xr:uid="{4A54EFE0-F2A3-490D-8677-7918575ACFF0}"/>
    <cellStyle name="Percent 3 9" xfId="2846" xr:uid="{A33FF214-6B62-45F4-BDC7-FC9449CF67FF}"/>
    <cellStyle name="Percent 3 9 2" xfId="3174" xr:uid="{B96CC545-BAA3-45E1-9269-6B3D5DE22151}"/>
    <cellStyle name="Percent 3 9 3" xfId="3400" xr:uid="{C99806E4-AECD-4EB1-A031-8EBDE460188C}"/>
    <cellStyle name="Percent 4" xfId="172" xr:uid="{7F06814C-C801-4D86-BEAE-C286A7B5BB8E}"/>
    <cellStyle name="Percent 4 10" xfId="1735" xr:uid="{E7952377-79C5-4C6B-9E1C-A2E4DB620AC3}"/>
    <cellStyle name="Percent 4 10 2" xfId="2855" xr:uid="{29210DCF-8F03-40A2-B0D5-7C71EF85856A}"/>
    <cellStyle name="Percent 4 11" xfId="1736" xr:uid="{69E17CFF-7F90-49D8-980E-4B1A9096154C}"/>
    <cellStyle name="Percent 4 11 2" xfId="2856" xr:uid="{0C9DADF5-3442-421D-91B6-B7F4EB792D00}"/>
    <cellStyle name="Percent 4 12" xfId="1737" xr:uid="{0A7E6261-751A-422B-80C7-6BC33D5C223F}"/>
    <cellStyle name="Percent 4 12 2" xfId="2857" xr:uid="{201A07CD-9604-4DCC-9157-39652ACE610A}"/>
    <cellStyle name="Percent 4 13" xfId="1738" xr:uid="{94E42999-4FED-4C89-A2CD-C5A045C879A3}"/>
    <cellStyle name="Percent 4 13 2" xfId="2858" xr:uid="{D115B11C-0ADA-4668-8948-0868F2E91C1D}"/>
    <cellStyle name="Percent 4 14" xfId="2854" xr:uid="{BF74BD28-5E44-4196-8D0B-BBAABC417963}"/>
    <cellStyle name="Percent 4 15" xfId="1734" xr:uid="{2FF54908-4847-4196-8760-5F1D25544BB7}"/>
    <cellStyle name="Percent 4 2" xfId="173" xr:uid="{C9D4416D-A938-4CEC-9D04-A36C2A9E2373}"/>
    <cellStyle name="Percent 4 2 10" xfId="1739" xr:uid="{B8BCFB91-2969-412E-A33A-52229A25D6FC}"/>
    <cellStyle name="Percent 4 2 2" xfId="174" xr:uid="{9EAE481F-57D1-499C-B58B-C6E0FB685807}"/>
    <cellStyle name="Percent 4 2 2 2" xfId="2860" xr:uid="{14AB14A2-9BC8-45B8-8D43-162CDCC1709E}"/>
    <cellStyle name="Percent 4 2 2 3" xfId="1740" xr:uid="{516BE3E5-A47A-44C0-8D24-5D8B271DD628}"/>
    <cellStyle name="Percent 4 2 3" xfId="1741" xr:uid="{40F9ED9B-76CD-45A4-A84C-504A0D1E185E}"/>
    <cellStyle name="Percent 4 2 3 2" xfId="2861" xr:uid="{52A44254-67B2-44C2-AB73-84CA3842ADAF}"/>
    <cellStyle name="Percent 4 2 4" xfId="1742" xr:uid="{5B887495-200A-4660-BEC7-84078491FE38}"/>
    <cellStyle name="Percent 4 2 4 2" xfId="2862" xr:uid="{B0C745C0-D712-4078-9BBF-A98E67AB1358}"/>
    <cellStyle name="Percent 4 2 5" xfId="1743" xr:uid="{4EDF0561-9C46-4153-959E-C30287B7F93B}"/>
    <cellStyle name="Percent 4 2 5 2" xfId="2863" xr:uid="{6D841259-A649-48FC-B769-C81BD45BC455}"/>
    <cellStyle name="Percent 4 2 6" xfId="1744" xr:uid="{B0254A3B-E653-4421-B631-AB11E0ABEDF9}"/>
    <cellStyle name="Percent 4 2 6 2" xfId="2864" xr:uid="{BE82B348-5348-477E-AE2B-2D72A33AE6F4}"/>
    <cellStyle name="Percent 4 2 7" xfId="1745" xr:uid="{25EF619F-86B7-4933-9DC7-C4374D682A1D}"/>
    <cellStyle name="Percent 4 2 7 2" xfId="2865" xr:uid="{290EABC1-8D42-41F8-905F-B550548F348B}"/>
    <cellStyle name="Percent 4 2 8" xfId="1746" xr:uid="{D09987CC-64BF-4CF1-8D2F-AAC51DB3FDF0}"/>
    <cellStyle name="Percent 4 2 8 2" xfId="2866" xr:uid="{72DE262B-A06F-420D-B9D9-26B104D92B17}"/>
    <cellStyle name="Percent 4 2 9" xfId="2859" xr:uid="{5DA8365F-5924-4605-AF94-08D98A082F39}"/>
    <cellStyle name="Percent 4 3" xfId="175" xr:uid="{B80D8242-0685-4FC3-A3F3-88ABED6155AE}"/>
    <cellStyle name="Percent 4 3 10" xfId="1747" xr:uid="{FCD10A21-A971-4B72-98AA-1AB025693BFF}"/>
    <cellStyle name="Percent 4 3 2" xfId="1748" xr:uid="{93E0B1A1-2D74-4BB6-AC49-120205A8C0F1}"/>
    <cellStyle name="Percent 4 3 2 2" xfId="2868" xr:uid="{B690A838-632C-4EAA-8503-DD4214B5A057}"/>
    <cellStyle name="Percent 4 3 3" xfId="1749" xr:uid="{44B36C15-D837-4CE0-8B97-46F7543740CB}"/>
    <cellStyle name="Percent 4 3 3 2" xfId="2869" xr:uid="{AED31671-28AB-464B-BC8B-D6F65E25CF7E}"/>
    <cellStyle name="Percent 4 3 4" xfId="1750" xr:uid="{85A318DD-5D53-431A-B0C8-CD965F2931A4}"/>
    <cellStyle name="Percent 4 3 4 2" xfId="2870" xr:uid="{75A0BFA2-EF40-4DC1-BBD9-F7DCB8BFFE0F}"/>
    <cellStyle name="Percent 4 3 5" xfId="1751" xr:uid="{313B6D66-205D-424F-A335-7B2728AC06E2}"/>
    <cellStyle name="Percent 4 3 5 2" xfId="2871" xr:uid="{D6638012-911F-4CE9-8BCB-69324E34AEB4}"/>
    <cellStyle name="Percent 4 3 6" xfId="1752" xr:uid="{FC2F9C7D-867D-476A-BDBA-8B32B7583300}"/>
    <cellStyle name="Percent 4 3 6 2" xfId="2872" xr:uid="{A494C05B-698E-42BF-8BCA-A713C534B763}"/>
    <cellStyle name="Percent 4 3 7" xfId="1753" xr:uid="{0D15BFED-FA1F-444A-8C87-0987F88FBE3E}"/>
    <cellStyle name="Percent 4 3 7 2" xfId="2873" xr:uid="{F1FD7B9F-5B30-4C40-A973-7A359BE35242}"/>
    <cellStyle name="Percent 4 3 8" xfId="1754" xr:uid="{CA43D40F-8489-40D4-B009-1A7E19AE5E98}"/>
    <cellStyle name="Percent 4 3 8 2" xfId="2874" xr:uid="{F52759BD-1233-4841-9B97-CA7C5419238C}"/>
    <cellStyle name="Percent 4 3 9" xfId="2867" xr:uid="{1111508B-60EA-4D03-99C4-704F70AC90ED}"/>
    <cellStyle name="Percent 4 4" xfId="176" xr:uid="{C809B3B0-6589-4077-A08E-653CEC433A90}"/>
    <cellStyle name="Percent 4 4 10" xfId="1755" xr:uid="{AE2B8A65-4064-42F3-9D17-B2F71A9F7B3A}"/>
    <cellStyle name="Percent 4 4 2" xfId="1756" xr:uid="{0D1092CB-DF6C-4748-8E7A-CA455D516578}"/>
    <cellStyle name="Percent 4 4 2 2" xfId="2876" xr:uid="{EFFD51BF-BB6E-4031-93E3-75F28E36DFED}"/>
    <cellStyle name="Percent 4 4 3" xfId="1757" xr:uid="{EAD0A9B6-EEC2-4376-BE9C-73FC4978F2D7}"/>
    <cellStyle name="Percent 4 4 3 2" xfId="2877" xr:uid="{6564F273-F032-41BE-828F-6950D98D7E5E}"/>
    <cellStyle name="Percent 4 4 4" xfId="1758" xr:uid="{AF28A02A-E368-4CAC-97E4-98844C95C4D7}"/>
    <cellStyle name="Percent 4 4 4 2" xfId="2878" xr:uid="{5A2D9FB3-2659-401E-BDB3-3AABC943200B}"/>
    <cellStyle name="Percent 4 4 5" xfId="1759" xr:uid="{30995F32-3865-4F94-83A3-D4964B1BE6D6}"/>
    <cellStyle name="Percent 4 4 5 2" xfId="2879" xr:uid="{06A44B04-BC7B-4835-AD55-479B5BD8AC4F}"/>
    <cellStyle name="Percent 4 4 6" xfId="1760" xr:uid="{5DEEA9A0-95F3-428B-88D3-33D20EDCD511}"/>
    <cellStyle name="Percent 4 4 6 2" xfId="2880" xr:uid="{E63D2385-FFDE-4896-B7C9-9ED6EBE1AE03}"/>
    <cellStyle name="Percent 4 4 7" xfId="1761" xr:uid="{7E91B160-0E7E-45FD-BEC4-7195650EB6CD}"/>
    <cellStyle name="Percent 4 4 7 2" xfId="2881" xr:uid="{4B59347B-ACE3-47C1-82B3-39A32E94AFE2}"/>
    <cellStyle name="Percent 4 4 8" xfId="1762" xr:uid="{6A0DD36B-9270-4359-BB18-EF303C308089}"/>
    <cellStyle name="Percent 4 4 8 2" xfId="2882" xr:uid="{E7AC295A-BAFA-493A-A5AE-CDCD54DDC37D}"/>
    <cellStyle name="Percent 4 4 9" xfId="2875" xr:uid="{F62611D5-7075-480C-9B63-773F0EDC268B}"/>
    <cellStyle name="Percent 4 5" xfId="1763" xr:uid="{2F0B5565-6F58-4474-A395-96C8C5357F7E}"/>
    <cellStyle name="Percent 4 5 2" xfId="1764" xr:uid="{0FAD28A4-141F-467D-92F7-09507396246D}"/>
    <cellStyle name="Percent 4 5 2 2" xfId="2884" xr:uid="{4C24D0E0-B721-4D2A-90C1-36D169E0ECE0}"/>
    <cellStyle name="Percent 4 5 3" xfId="1765" xr:uid="{31027CAA-5E03-469F-B6B5-9C2F96D2D6B1}"/>
    <cellStyle name="Percent 4 5 3 2" xfId="2885" xr:uid="{E953F01A-4673-4157-BACB-2204F60CA495}"/>
    <cellStyle name="Percent 4 5 4" xfId="1766" xr:uid="{4813D488-76A7-4658-B0BE-3DCEC0AE7B78}"/>
    <cellStyle name="Percent 4 5 4 2" xfId="2886" xr:uid="{530E8FEF-D7D0-418F-9B0D-C7FD8EE9634C}"/>
    <cellStyle name="Percent 4 5 5" xfId="1767" xr:uid="{7B642CA1-31FC-4DFC-85C5-A4485D3E31E2}"/>
    <cellStyle name="Percent 4 5 5 2" xfId="2887" xr:uid="{E6F0327E-594E-48F4-B327-13EE841AD0BA}"/>
    <cellStyle name="Percent 4 5 6" xfId="1768" xr:uid="{0E703881-33A2-4A9A-8AAC-4D40067BC4FA}"/>
    <cellStyle name="Percent 4 5 6 2" xfId="2888" xr:uid="{F1A1F719-B0AB-43AC-B913-B5C980DDBE56}"/>
    <cellStyle name="Percent 4 5 7" xfId="1769" xr:uid="{E2651E68-7992-4D57-B2D5-E7998D414A54}"/>
    <cellStyle name="Percent 4 5 7 2" xfId="2889" xr:uid="{7DB850AD-CA3C-4707-9E65-6AC3FFE9FE98}"/>
    <cellStyle name="Percent 4 5 8" xfId="1770" xr:uid="{E8BC5A9B-E9A7-4C3F-9D14-9C7B32BA0B50}"/>
    <cellStyle name="Percent 4 5 8 2" xfId="2890" xr:uid="{B3434503-E222-4ABF-9EFF-EFC07D18C121}"/>
    <cellStyle name="Percent 4 5 9" xfId="2883" xr:uid="{D25D4887-0947-45A0-A43A-ACFF3D2F9FFB}"/>
    <cellStyle name="Percent 4 6" xfId="1771" xr:uid="{2620EC24-D4DB-4609-A533-BC8A768AEE35}"/>
    <cellStyle name="Percent 4 6 2" xfId="1772" xr:uid="{642D6F0F-E5EF-4372-BEDF-44E841BB11B6}"/>
    <cellStyle name="Percent 4 6 2 2" xfId="2892" xr:uid="{388C55F5-C103-406A-B092-9B64AF2A068E}"/>
    <cellStyle name="Percent 4 6 3" xfId="1773" xr:uid="{173AED30-530D-4F96-A0E5-B7591D1FD587}"/>
    <cellStyle name="Percent 4 6 3 2" xfId="2893" xr:uid="{A8B31208-0A2C-44BB-A9B5-F72450946BBC}"/>
    <cellStyle name="Percent 4 6 4" xfId="1774" xr:uid="{2939AB1D-9832-4795-987C-307EF38B67DB}"/>
    <cellStyle name="Percent 4 6 4 2" xfId="2894" xr:uid="{03421E79-E572-4D69-9856-B82FD31E4EDF}"/>
    <cellStyle name="Percent 4 6 5" xfId="1775" xr:uid="{E0D9CB34-BA19-4EBE-AFCF-B4BE8DD0E162}"/>
    <cellStyle name="Percent 4 6 5 2" xfId="2895" xr:uid="{E6A9FA86-3926-47FB-8466-659B39912105}"/>
    <cellStyle name="Percent 4 6 6" xfId="1776" xr:uid="{72A68B79-C584-4D6E-A236-F588EFD88921}"/>
    <cellStyle name="Percent 4 6 6 2" xfId="2896" xr:uid="{FBDE5D93-9812-44C9-9E3E-DEE1D3933380}"/>
    <cellStyle name="Percent 4 6 7" xfId="1777" xr:uid="{D9DA53B1-3BF6-43AD-90CF-1A5127C82DCD}"/>
    <cellStyle name="Percent 4 6 7 2" xfId="2897" xr:uid="{3FE018FE-D9F1-46C4-84B2-2C7591026700}"/>
    <cellStyle name="Percent 4 6 8" xfId="1778" xr:uid="{2A1E05D4-C695-45DC-89A2-84A36D21AEA3}"/>
    <cellStyle name="Percent 4 6 8 2" xfId="2898" xr:uid="{D3618692-7A7C-49AB-8C57-53EC8372AEB3}"/>
    <cellStyle name="Percent 4 6 9" xfId="2891" xr:uid="{EA9D9CD2-187F-46C5-9ADE-749205744F34}"/>
    <cellStyle name="Percent 4 7" xfId="1779" xr:uid="{86E11987-6E1D-44DC-9318-CA0DDD1FBA0C}"/>
    <cellStyle name="Percent 4 7 2" xfId="2899" xr:uid="{8782491C-556B-4E88-842D-8052E805EE7A}"/>
    <cellStyle name="Percent 4 8" xfId="1780" xr:uid="{AC577838-B2F6-4AEE-AFAE-C92131B297D0}"/>
    <cellStyle name="Percent 4 8 2" xfId="2900" xr:uid="{7EC2F270-DCEB-41EB-8CB7-B12E3A42234B}"/>
    <cellStyle name="Percent 4 9" xfId="1781" xr:uid="{DD1615EF-CF41-4DA3-A9D5-A14A30C7452B}"/>
    <cellStyle name="Percent 4 9 2" xfId="2901" xr:uid="{75948DE4-EB53-4151-B2D0-FB2984071500}"/>
    <cellStyle name="Percent 5" xfId="177" xr:uid="{F46001BD-1F1D-4A14-B174-2D869C68F361}"/>
    <cellStyle name="Percent 5 10" xfId="1782" xr:uid="{4ACF4A38-D80C-4E35-9956-9E632CF955EC}"/>
    <cellStyle name="Percent 5 2" xfId="178" xr:uid="{3F714C59-9787-4DE4-BB7F-3D90C78183B8}"/>
    <cellStyle name="Percent 5 2 2" xfId="2903" xr:uid="{9A146871-4A25-409D-BA78-7110E7B722ED}"/>
    <cellStyle name="Percent 5 2 3" xfId="1783" xr:uid="{AE68A29C-727F-4575-988B-82126963CD1E}"/>
    <cellStyle name="Percent 5 3" xfId="1784" xr:uid="{465832BB-6842-4575-96D6-52FE9F01A050}"/>
    <cellStyle name="Percent 5 3 2" xfId="2904" xr:uid="{6F2B76AB-B9AD-43D3-B4DF-90F78D207277}"/>
    <cellStyle name="Percent 5 4" xfId="1785" xr:uid="{2B6463B1-3FD3-4AD2-93E8-9DC93A88F744}"/>
    <cellStyle name="Percent 5 4 2" xfId="2905" xr:uid="{56AA07EB-B0FF-4CF4-9D7D-F44D31213AE9}"/>
    <cellStyle name="Percent 5 5" xfId="1786" xr:uid="{26D4280F-E57B-4633-812E-428AA6D25E59}"/>
    <cellStyle name="Percent 5 5 2" xfId="2906" xr:uid="{849EA112-25CD-4C48-B64C-74FC31B129D0}"/>
    <cellStyle name="Percent 5 6" xfId="1787" xr:uid="{224D2B1B-36FB-4828-81C6-A2862DCDD5CF}"/>
    <cellStyle name="Percent 5 6 2" xfId="2907" xr:uid="{AB7ED6A4-E4B3-46F0-8000-6E439787E4EB}"/>
    <cellStyle name="Percent 5 7" xfId="1788" xr:uid="{959937A7-CF96-4932-957C-EC32F2654BC9}"/>
    <cellStyle name="Percent 5 7 2" xfId="2908" xr:uid="{553B96B7-0F83-4960-A72C-E43BE8D9EE55}"/>
    <cellStyle name="Percent 5 8" xfId="1789" xr:uid="{0B00F3E3-D298-4B71-B8EB-808993834A34}"/>
    <cellStyle name="Percent 5 8 2" xfId="2909" xr:uid="{AF9DC949-BA7C-4AD4-960E-7AF54A96A74A}"/>
    <cellStyle name="Percent 5 9" xfId="2902" xr:uid="{D40A0F0E-FBFA-4445-B012-C103789D5F55}"/>
    <cellStyle name="Percent 6" xfId="179" xr:uid="{7CE459FE-3DF7-4450-894F-82799A38877F}"/>
    <cellStyle name="Percent 6 10" xfId="1790" xr:uid="{2660BDA6-0370-4AC0-B94F-118025629B26}"/>
    <cellStyle name="Percent 6 2" xfId="1791" xr:uid="{0B89C3B6-7E58-48F0-B79F-AABA57895C04}"/>
    <cellStyle name="Percent 6 2 2" xfId="2911" xr:uid="{57819599-FFC2-444A-8334-481859FE855E}"/>
    <cellStyle name="Percent 6 3" xfId="1792" xr:uid="{705D8112-D6C2-40CD-A4AF-24BC879C5DCB}"/>
    <cellStyle name="Percent 6 3 2" xfId="2912" xr:uid="{B3D28A52-263A-4851-B3BE-E7CAC10B3124}"/>
    <cellStyle name="Percent 6 4" xfId="1793" xr:uid="{9B35ABD0-74FE-4423-8B6C-2E4A0913B05F}"/>
    <cellStyle name="Percent 6 4 2" xfId="2913" xr:uid="{D99CAE75-CA69-44E9-8E76-2985EB68C1E8}"/>
    <cellStyle name="Percent 6 5" xfId="1794" xr:uid="{52FA952C-F61D-45DA-8AA5-05EC692E1211}"/>
    <cellStyle name="Percent 6 5 2" xfId="2914" xr:uid="{7850CE9E-DB85-43E2-850B-DD1A40AF838E}"/>
    <cellStyle name="Percent 6 6" xfId="1795" xr:uid="{743130AC-27C2-48B6-8E4C-B9FF45EE17B8}"/>
    <cellStyle name="Percent 6 6 2" xfId="2915" xr:uid="{D91115B3-89A8-46B5-8FA3-29C2C3D5DC63}"/>
    <cellStyle name="Percent 6 7" xfId="1796" xr:uid="{ECF5DDF5-E4C8-4ED5-90B5-3AD0F9E65EAC}"/>
    <cellStyle name="Percent 6 7 2" xfId="2916" xr:uid="{DE96C603-B56A-4166-BE8F-7DA788353E4C}"/>
    <cellStyle name="Percent 6 8" xfId="1797" xr:uid="{50032812-2C41-4292-821A-60C3B329D20A}"/>
    <cellStyle name="Percent 6 8 2" xfId="2917" xr:uid="{3CB698AA-E157-4886-AD25-40435C2D5EBD}"/>
    <cellStyle name="Percent 6 9" xfId="2910" xr:uid="{9DF51AF0-4200-467D-B0DB-45A8A551FB64}"/>
    <cellStyle name="Percent 7" xfId="1798" xr:uid="{3C119AE8-4DCC-4B02-8EFD-617B72A3223A}"/>
    <cellStyle name="Percent 7 2" xfId="1799" xr:uid="{6DAD1E01-592B-40EA-BF39-F2938DAA1A0F}"/>
    <cellStyle name="Percent 7 2 2" xfId="2919" xr:uid="{CEFB1D39-6E30-46BB-BCC3-7ED89E16E97B}"/>
    <cellStyle name="Percent 7 3" xfId="1800" xr:uid="{C9477AA2-03CF-40FD-9B4B-E3F8467888E9}"/>
    <cellStyle name="Percent 7 3 2" xfId="2920" xr:uid="{65ABA89F-6E9B-430B-8DC4-61A7E11A8273}"/>
    <cellStyle name="Percent 7 4" xfId="1801" xr:uid="{461CAB59-680E-4718-9137-2DBDE895B52A}"/>
    <cellStyle name="Percent 7 4 2" xfId="2921" xr:uid="{FB6F9459-E815-4B11-8698-C8DCE79890CB}"/>
    <cellStyle name="Percent 7 5" xfId="1802" xr:uid="{DAACD261-041A-4AD7-B5E7-6C68CAE529E4}"/>
    <cellStyle name="Percent 7 5 2" xfId="2922" xr:uid="{B09272B8-6AAD-4A46-9CAB-1BF149C89DA3}"/>
    <cellStyle name="Percent 7 6" xfId="1803" xr:uid="{3FE634D1-C98E-48CE-B960-0C2AD45989DB}"/>
    <cellStyle name="Percent 7 6 2" xfId="2923" xr:uid="{93457BCB-9D6D-4C10-A2EB-A80DAB1B37EB}"/>
    <cellStyle name="Percent 7 7" xfId="1804" xr:uid="{E764C62B-5FC7-462F-8A7A-6E2444F1D5F7}"/>
    <cellStyle name="Percent 7 7 2" xfId="2924" xr:uid="{11085D68-B4EE-48D1-9A44-778D11EDEB24}"/>
    <cellStyle name="Percent 7 8" xfId="1805" xr:uid="{FCEDE033-A4B3-4007-A4B7-13EF23634451}"/>
    <cellStyle name="Percent 7 8 2" xfId="2925" xr:uid="{EC2C9DEE-02BD-4AC0-B5FC-FBBA4CAB1E2A}"/>
    <cellStyle name="Percent 7 9" xfId="2918" xr:uid="{F4A5CF38-C601-4E18-B67B-10FF5A280E30}"/>
    <cellStyle name="Percent 8" xfId="1806" xr:uid="{1CB7B422-3865-4C5C-AB38-E7E8DD4A37B1}"/>
    <cellStyle name="Percent 8 2" xfId="1807" xr:uid="{ABF5CDF7-75FB-461E-96D4-C8101A7305CA}"/>
    <cellStyle name="Percent 8 2 2" xfId="2927" xr:uid="{8AEE4498-9841-4EC4-9640-E48608A6C9CE}"/>
    <cellStyle name="Percent 8 3" xfId="1808" xr:uid="{3E369A01-4129-49A9-841E-F354DC1050CC}"/>
    <cellStyle name="Percent 8 3 2" xfId="2928" xr:uid="{E6AE98E4-5D2B-459B-9285-A31619F7EE01}"/>
    <cellStyle name="Percent 8 4" xfId="1809" xr:uid="{D1B343BE-34F7-4168-8BCF-07D55CB661D4}"/>
    <cellStyle name="Percent 8 4 2" xfId="2929" xr:uid="{E8518F14-BC57-4D15-9C0E-4750AFB7513E}"/>
    <cellStyle name="Percent 8 5" xfId="1810" xr:uid="{BFA34287-1488-438C-96C7-AB88F62FB4B7}"/>
    <cellStyle name="Percent 8 5 2" xfId="2930" xr:uid="{0684E381-12EE-479A-BED8-91838D30DCD3}"/>
    <cellStyle name="Percent 8 6" xfId="1811" xr:uid="{6E5129D0-95F8-47DD-8969-816C98904657}"/>
    <cellStyle name="Percent 8 6 2" xfId="2931" xr:uid="{FDE9DCF3-4250-44AF-BD1E-D7F826E6A907}"/>
    <cellStyle name="Percent 8 7" xfId="1812" xr:uid="{8CE193DA-E662-4F3E-BEF9-A0BE9D12988B}"/>
    <cellStyle name="Percent 8 7 2" xfId="2932" xr:uid="{6850C20A-FB93-47C4-8297-4A02FE888AA0}"/>
    <cellStyle name="Percent 8 8" xfId="1813" xr:uid="{DBA7C620-48A3-47BB-BA87-6BB95AA082A0}"/>
    <cellStyle name="Percent 8 8 2" xfId="2933" xr:uid="{1A7D83D5-C8AC-472A-9EDE-79BD620DFF76}"/>
    <cellStyle name="Percent 8 9" xfId="2926" xr:uid="{928FD524-81DE-446C-947B-88F340CF2783}"/>
    <cellStyle name="Percent 9" xfId="1814" xr:uid="{C56B1BBB-F6B7-4DB0-B609-FA2713CE0642}"/>
    <cellStyle name="Percent 9 2" xfId="1815" xr:uid="{CCBF3421-06B5-47AC-8E38-2CBA5DA3F2AA}"/>
    <cellStyle name="Percent 9 2 2" xfId="2935" xr:uid="{FAD2AD43-483E-4FEF-95FD-B3F4124CDE07}"/>
    <cellStyle name="Percent 9 3" xfId="1816" xr:uid="{8D5E2071-A214-44E9-9AE8-65ACAFE91E9F}"/>
    <cellStyle name="Percent 9 3 2" xfId="2936" xr:uid="{67763EF8-47C9-4F99-98AD-F55A6B63F220}"/>
    <cellStyle name="Percent 9 4" xfId="1817" xr:uid="{1A85D613-4705-470B-8E60-4EBDDB0B9343}"/>
    <cellStyle name="Percent 9 4 2" xfId="2937" xr:uid="{9AB54E31-14E7-40F5-9222-BC04876694FD}"/>
    <cellStyle name="Percent 9 5" xfId="1818" xr:uid="{4686F4A0-BA4C-41BA-92A6-5ED82CA45EA3}"/>
    <cellStyle name="Percent 9 5 2" xfId="2938" xr:uid="{C0BA9AA8-F82D-403B-98A9-0E998FE47734}"/>
    <cellStyle name="Percent 9 6" xfId="1819" xr:uid="{EFA28079-0D40-4B3C-B1B7-1D5FA88E03C6}"/>
    <cellStyle name="Percent 9 6 2" xfId="2939" xr:uid="{8F67D574-DB24-40FB-891F-3247DC851557}"/>
    <cellStyle name="Percent 9 7" xfId="1820" xr:uid="{81573217-402F-43DE-8D7D-AF4A7512976E}"/>
    <cellStyle name="Percent 9 7 2" xfId="2940" xr:uid="{74C709A9-4D4F-42EA-AE81-66AB96437388}"/>
    <cellStyle name="Percent 9 8" xfId="1821" xr:uid="{1AB0DC28-962F-4442-A1F7-98695532D188}"/>
    <cellStyle name="Percent 9 8 2" xfId="2941" xr:uid="{E1C77E1A-F120-44B1-AF33-3A88C2AD4AD6}"/>
    <cellStyle name="Percent 9 9" xfId="2934" xr:uid="{EC2FE809-AABE-495F-9FE7-274B3EF94CC1}"/>
    <cellStyle name="Pilkku_Layo9704" xfId="180" xr:uid="{D6044678-FC46-44A9-AB01-231A293BAB29}"/>
    <cellStyle name="Pyör. luku_Layo9704" xfId="181" xr:uid="{F61786D8-2F69-455B-AB1F-62845F8AE5B1}"/>
    <cellStyle name="Pyör. valuutta_Layo9704" xfId="182" xr:uid="{107911F1-E407-48E8-9606-35D30AC7855E}"/>
    <cellStyle name="Satisfaisant" xfId="3411" builtinId="26" customBuiltin="1"/>
    <cellStyle name="Sortie" xfId="3415" builtinId="21" customBuiltin="1"/>
    <cellStyle name="source" xfId="1822" xr:uid="{8A5AABAF-117A-4995-A355-8C2D288F8EC3}"/>
    <cellStyle name="Standard_Sce_D_Extraction" xfId="183" xr:uid="{D9FE6B43-FE43-427C-8B1E-6516AFD76699}"/>
    <cellStyle name="Style 21" xfId="184" xr:uid="{45695843-C36A-4408-B21C-049527F55823}"/>
    <cellStyle name="Style 21 2" xfId="185" xr:uid="{CD1D11D8-FF48-4F87-8CA5-7B30E4287A83}"/>
    <cellStyle name="Style 22" xfId="186" xr:uid="{00D54230-25DF-4D32-BD2A-D46AFBFA2A90}"/>
    <cellStyle name="Style 23" xfId="187" xr:uid="{65DF8249-6F1E-40F3-8C73-3BAA42CDADD2}"/>
    <cellStyle name="Style 24" xfId="188" xr:uid="{82D31B89-F336-4198-AA07-D629DB24B6FF}"/>
    <cellStyle name="Style 25" xfId="189" xr:uid="{E05D9945-5BE0-4C84-9E63-19B8A4D0C969}"/>
    <cellStyle name="Style 25 2" xfId="190" xr:uid="{FBF8AE20-7653-4250-933D-D5F7BBD66A91}"/>
    <cellStyle name="Style 26" xfId="191" xr:uid="{F1A704EB-042F-4C9A-9B9E-B1CB8BE89378}"/>
    <cellStyle name="Style 29" xfId="1823" xr:uid="{A664DB9B-C08C-4DE9-9E6F-6BA2F745FF77}"/>
    <cellStyle name="Style 29 2" xfId="1824" xr:uid="{A1790FBE-5432-4F6E-84C6-64F04AA4AFDE}"/>
    <cellStyle name="Style 29 2 2" xfId="2943" xr:uid="{0802FE5E-E8EB-4735-B8D9-F0E9CB808675}"/>
    <cellStyle name="Style 29 3" xfId="2942" xr:uid="{79A1CF71-9898-421D-B6F3-70895E81C7F9}"/>
    <cellStyle name="Style 35" xfId="1825" xr:uid="{CA4CDC80-9E78-4F9E-9DE7-07B138C03E86}"/>
    <cellStyle name="Style 35 2" xfId="1826" xr:uid="{060E862D-3E68-4CF2-BD96-3BDA16B965A3}"/>
    <cellStyle name="Style 36" xfId="1827" xr:uid="{CB56C6B2-44B6-4BF7-B581-F769322D7BF8}"/>
    <cellStyle name="Style 36 2" xfId="1828" xr:uid="{47BFE44D-F2D9-422B-BC3A-4E80B9842F7D}"/>
    <cellStyle name="tableau | cellule | normal | decimal 1" xfId="1829" xr:uid="{8D1BB2DB-D99F-4E63-8FF7-8910F78FE4C0}"/>
    <cellStyle name="tableau | cellule | normal | pourcentage | decimal 1" xfId="1830" xr:uid="{8DA1B312-D6E9-440A-8817-5F92E8DEFC17}"/>
    <cellStyle name="tableau | cellule | total | decimal 1" xfId="1831" xr:uid="{1D8FFDAB-A6EC-49B2-9DE7-06BFF306C1F8}"/>
    <cellStyle name="tableau | coin superieur gauche" xfId="1832" xr:uid="{B4A94F66-0B9A-4BB0-AFA5-2FA54EDA9016}"/>
    <cellStyle name="tableau | coin superieur gauche 2" xfId="2944" xr:uid="{5D973D6E-801E-401A-BE0B-82F8E777AA18}"/>
    <cellStyle name="tableau | entete-colonne | series" xfId="1833" xr:uid="{6DE101C5-D2B8-4A7E-86C5-AB5EC7901E90}"/>
    <cellStyle name="tableau | entete-colonne | series 2" xfId="2945" xr:uid="{4DF19732-6302-4E41-8229-0029F9CC7486}"/>
    <cellStyle name="tableau | entete-ligne | normal" xfId="1834" xr:uid="{A7D2D3BF-B4C4-43EC-BFEC-5018C4D631C4}"/>
    <cellStyle name="tableau | entete-ligne | normal 2" xfId="2946" xr:uid="{60F83D2D-D8A3-4BCD-A6ED-E1664F1E452D}"/>
    <cellStyle name="tableau | entete-ligne | total" xfId="1835" xr:uid="{BAA95041-E76C-406C-AFD5-F68097F5FAD5}"/>
    <cellStyle name="tableau | ligne-titre | niveau1" xfId="1836" xr:uid="{CDA99859-CBC7-4701-9783-4288989065F5}"/>
    <cellStyle name="tableau | ligne-titre | niveau1 2" xfId="2947" xr:uid="{64ED52ED-0186-4562-9D69-183BB623AA10}"/>
    <cellStyle name="tableau | ligne-titre | niveau2" xfId="1837" xr:uid="{BA7BEB6B-A9C7-4EA8-963C-82FB9578BE33}"/>
    <cellStyle name="tableau | ligne-titre | niveau2 2" xfId="2948" xr:uid="{5F99D8C1-4B4D-42DC-A072-1C2C05B2E91A}"/>
    <cellStyle name="Texte explicatif" xfId="3420" builtinId="53" customBuiltin="1"/>
    <cellStyle name="Title" xfId="20" xr:uid="{00000000-0005-0000-0000-000014000000}"/>
    <cellStyle name="Title 2" xfId="192" xr:uid="{F8B31A9A-FDC7-4C02-B2BF-F75434B9F864}"/>
    <cellStyle name="Title 2 10" xfId="1838" xr:uid="{86CECB4D-E9CA-40AF-83DF-5D739E26F884}"/>
    <cellStyle name="Title 2 2" xfId="1839" xr:uid="{0B0DD9DF-2F1E-417E-B22D-44CC09A2FD11}"/>
    <cellStyle name="Title 2 3" xfId="1840" xr:uid="{C7C4409A-5376-4CC4-B060-E8D57B862477}"/>
    <cellStyle name="Title 2 4" xfId="1841" xr:uid="{951043ED-6E56-44A4-B1E6-BF58CD227D6E}"/>
    <cellStyle name="Title 2 5" xfId="1842" xr:uid="{BB2BF6B3-8375-4404-B942-F8E603626172}"/>
    <cellStyle name="Title 2 6" xfId="1843" xr:uid="{B6F49C1B-8D2C-43D1-AE9C-FB401F2B0091}"/>
    <cellStyle name="Title 2 7" xfId="1844" xr:uid="{5C460521-DB05-4C47-A35B-B7D04CC5980D}"/>
    <cellStyle name="Title 2 8" xfId="1845" xr:uid="{6CE21357-32E5-4D8A-BF74-1B4B42022F7F}"/>
    <cellStyle name="Title 2 9" xfId="1846" xr:uid="{6A45F88D-85FA-4772-BC0E-AF4C7638575B}"/>
    <cellStyle name="Title 3" xfId="193" xr:uid="{BB81E5F9-712A-41E4-98ED-FC17AAC2E2BB}"/>
    <cellStyle name="Title 3 2" xfId="1847" xr:uid="{5822A7FD-E2FF-419D-8CEC-C4FE7CF5E677}"/>
    <cellStyle name="Titre" xfId="3406" builtinId="15" customBuiltin="1"/>
    <cellStyle name="Titre 1" xfId="3407" builtinId="16" customBuiltin="1"/>
    <cellStyle name="Titre 2" xfId="3408" builtinId="17" customBuiltin="1"/>
    <cellStyle name="Titre 3" xfId="3409" builtinId="18" customBuiltin="1"/>
    <cellStyle name="Titre 4" xfId="3410" builtinId="19" customBuiltin="1"/>
    <cellStyle name="Total" xfId="3421" builtinId="25" customBuiltin="1"/>
    <cellStyle name="Total 2" xfId="21" xr:uid="{00000000-0005-0000-0000-000015000000}"/>
    <cellStyle name="Total 2 10" xfId="1848" xr:uid="{D042F624-61D0-4626-9552-9B42B894EB13}"/>
    <cellStyle name="Total 2 2" xfId="1849" xr:uid="{17D7F646-D2AB-4AC6-9FB5-4222B73A1C89}"/>
    <cellStyle name="Total 2 3" xfId="1850" xr:uid="{CA37E589-142B-4B95-9F1E-10C772D21212}"/>
    <cellStyle name="Total 2 4" xfId="1851" xr:uid="{6E802696-22D2-428E-AB46-71D84B2BB9F6}"/>
    <cellStyle name="Total 2 5" xfId="1852" xr:uid="{A137F31E-0FE3-4B63-AFBE-96F803C0EFCD}"/>
    <cellStyle name="Total 2 6" xfId="1853" xr:uid="{3B7D6361-4A74-4AC8-8AC8-BAAC45C07163}"/>
    <cellStyle name="Total 2 7" xfId="1854" xr:uid="{46968427-6DA2-438E-9651-A2CE0F9A3F10}"/>
    <cellStyle name="Total 2 8" xfId="1855" xr:uid="{EFFF9527-7A8A-4D5E-B203-35B6467EBDD0}"/>
    <cellStyle name="Total 2 9" xfId="1856" xr:uid="{9A124DF4-5D86-4C46-8D79-D1093858B36A}"/>
    <cellStyle name="Total 3" xfId="194" xr:uid="{FA9B276B-E0A4-485B-BAED-13530C5C0546}"/>
    <cellStyle name="Total 3 2" xfId="1857" xr:uid="{D912981C-6CD5-4C16-9AA5-C988945404C6}"/>
    <cellStyle name="Valuutta_Layo9704" xfId="195" xr:uid="{651C5DAC-1443-4AB3-A5AF-2AAAD49D9059}"/>
    <cellStyle name="Vérification" xfId="3418" builtinId="23" customBuiltin="1"/>
    <cellStyle name="Warning Text 2" xfId="196" xr:uid="{69ABD87C-D638-4331-B762-8E057B25DA1D}"/>
    <cellStyle name="Warning Text 2 10" xfId="1858" xr:uid="{F57550C4-D65C-4C2C-9EC1-5987E10162A8}"/>
    <cellStyle name="Warning Text 2 2" xfId="1859" xr:uid="{03D5EE2B-B428-41C0-947B-CC49C07071F0}"/>
    <cellStyle name="Warning Text 2 3" xfId="1860" xr:uid="{DCA7BB7C-945B-4083-8F09-7BD62189990A}"/>
    <cellStyle name="Warning Text 2 4" xfId="1861" xr:uid="{6F020E1B-AA09-40B3-957C-6EDA1491FB64}"/>
    <cellStyle name="Warning Text 2 5" xfId="1862" xr:uid="{4ACE47E9-0DF3-4CD8-9BEC-4EAC6F1822AA}"/>
    <cellStyle name="Warning Text 2 6" xfId="1863" xr:uid="{7C45A15E-502B-4F5D-9C44-0921EE349E7D}"/>
    <cellStyle name="Warning Text 2 7" xfId="1864" xr:uid="{651F5708-5EBE-4008-91E4-B60CFEEE3619}"/>
    <cellStyle name="Warning Text 2 8" xfId="1865" xr:uid="{D33F7F19-7550-406D-AE96-AC0572B05AA1}"/>
    <cellStyle name="Warning Text 2 9" xfId="1866" xr:uid="{2A9623E3-2EC1-46E0-A25B-992B0583B79D}"/>
    <cellStyle name="Warning Text 3" xfId="197" xr:uid="{75D6D77B-8F5D-4417-9684-B703C9AB9A5C}"/>
    <cellStyle name="Обычный_CRF2002 (1)" xfId="212" xr:uid="{B62965E6-0C09-4F9F-9AB8-B217B9305BE7}"/>
    <cellStyle name="已访问的超链接" xfId="1867" xr:uid="{8078E9F6-B5A8-4601-981C-D331240A3DD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9E44E-CA1A-4013-B57D-190BA43BD6EC}">
  <dimension ref="A1:BD70"/>
  <sheetViews>
    <sheetView workbookViewId="0">
      <selection activeCell="H36" sqref="H36"/>
    </sheetView>
  </sheetViews>
  <sheetFormatPr baseColWidth="10" defaultColWidth="8.88671875" defaultRowHeight="14.4"/>
  <cols>
    <col min="4" max="4" width="12.33203125" bestFit="1" customWidth="1"/>
    <col min="5" max="5" width="17.6640625" bestFit="1" customWidth="1"/>
    <col min="8" max="8" width="17.6640625" bestFit="1" customWidth="1"/>
  </cols>
  <sheetData>
    <row r="1" spans="1:44">
      <c r="A1">
        <v>1</v>
      </c>
      <c r="B1" t="s">
        <v>6</v>
      </c>
      <c r="D1">
        <v>1</v>
      </c>
      <c r="G1">
        <f>D1+1</f>
        <v>2</v>
      </c>
      <c r="J1">
        <f>G1+1</f>
        <v>3</v>
      </c>
      <c r="M1">
        <f>J1+1</f>
        <v>4</v>
      </c>
      <c r="P1">
        <f>M1+1</f>
        <v>5</v>
      </c>
      <c r="S1">
        <f>P1+1</f>
        <v>6</v>
      </c>
      <c r="V1">
        <f>S1+1</f>
        <v>7</v>
      </c>
      <c r="Y1">
        <f>V1+1</f>
        <v>8</v>
      </c>
      <c r="AB1">
        <f>Y1+1</f>
        <v>9</v>
      </c>
      <c r="AE1">
        <f>AB1+1</f>
        <v>10</v>
      </c>
      <c r="AH1">
        <f>AE1+1</f>
        <v>11</v>
      </c>
      <c r="AK1">
        <f>AH1+1</f>
        <v>12</v>
      </c>
      <c r="AN1">
        <f>AK1+1</f>
        <v>13</v>
      </c>
      <c r="AQ1">
        <f>AN1+1</f>
        <v>14</v>
      </c>
    </row>
    <row r="2" spans="1:44">
      <c r="A2">
        <v>2</v>
      </c>
      <c r="B2" t="s">
        <v>7</v>
      </c>
    </row>
    <row r="3" spans="1:44">
      <c r="A3">
        <v>3</v>
      </c>
      <c r="B3" t="s">
        <v>8</v>
      </c>
      <c r="D3" t="s">
        <v>26</v>
      </c>
      <c r="G3" t="s">
        <v>26</v>
      </c>
      <c r="J3" t="s">
        <v>26</v>
      </c>
      <c r="M3" t="s">
        <v>26</v>
      </c>
      <c r="P3" t="s">
        <v>26</v>
      </c>
      <c r="S3" t="s">
        <v>26</v>
      </c>
      <c r="V3" t="s">
        <v>26</v>
      </c>
      <c r="Y3" t="s">
        <v>26</v>
      </c>
      <c r="AB3" t="s">
        <v>26</v>
      </c>
      <c r="AE3" t="s">
        <v>26</v>
      </c>
      <c r="AH3" t="s">
        <v>26</v>
      </c>
      <c r="AK3" t="s">
        <v>26</v>
      </c>
      <c r="AN3" t="s">
        <v>26</v>
      </c>
      <c r="AQ3" t="s">
        <v>26</v>
      </c>
    </row>
    <row r="4" spans="1:44">
      <c r="A4">
        <v>4</v>
      </c>
      <c r="B4" t="s">
        <v>9</v>
      </c>
      <c r="D4" t="str">
        <f>VLOOKUP(D1,$A$1:$B$50,2,FALSE)</f>
        <v>BIOBSL</v>
      </c>
      <c r="E4" t="s">
        <v>132</v>
      </c>
      <c r="G4" t="str">
        <f>VLOOKUP(G1,$A$1:$B$50,2,FALSE)</f>
        <v>BIOCHR</v>
      </c>
      <c r="H4" t="s">
        <v>132</v>
      </c>
      <c r="J4" t="str">
        <f>VLOOKUP(J1,$A$1:$B$50,2,FALSE)</f>
        <v>BIODST</v>
      </c>
      <c r="K4" t="s">
        <v>132</v>
      </c>
      <c r="M4" t="str">
        <f>VLOOKUP(M1,$A$1:$B$50,2,FALSE)</f>
        <v>BIOGSL</v>
      </c>
      <c r="N4" t="s">
        <v>132</v>
      </c>
      <c r="P4" t="str">
        <f>VLOOKUP(P1,$A$1:$B$50,2,FALSE)</f>
        <v>BIOJTK</v>
      </c>
      <c r="Q4" t="s">
        <v>132</v>
      </c>
      <c r="S4" t="str">
        <f>VLOOKUP(S1,$A$1:$B$50,2,FALSE)</f>
        <v>COABCO</v>
      </c>
      <c r="T4" t="s">
        <v>132</v>
      </c>
      <c r="V4" t="str">
        <f>VLOOKUP(V1,$A$1:$B$50,2,FALSE)</f>
        <v>COACOK</v>
      </c>
      <c r="W4" t="s">
        <v>132</v>
      </c>
      <c r="Y4" t="str">
        <f>VLOOKUP(Y1,$A$1:$B$50,2,FALSE)</f>
        <v>COAHCO</v>
      </c>
      <c r="Z4" t="s">
        <v>132</v>
      </c>
      <c r="AB4" t="str">
        <f>VLOOKUP(AB1,$A$1:$B$50,2,FALSE)</f>
        <v>COAOVC</v>
      </c>
      <c r="AC4" t="s">
        <v>132</v>
      </c>
      <c r="AE4" t="str">
        <f>VLOOKUP(AE1,$A$1:$B$50,2,FALSE)</f>
        <v>COATAR</v>
      </c>
      <c r="AF4" t="s">
        <v>132</v>
      </c>
      <c r="AH4" t="str">
        <f>VLOOKUP(AH1,$A$1:$B$50,2,FALSE)</f>
        <v>GASETH</v>
      </c>
      <c r="AI4" t="s">
        <v>132</v>
      </c>
      <c r="AK4" t="str">
        <f>VLOOKUP(AK1,$A$1:$B$50,2,FALSE)</f>
        <v>GASLNG</v>
      </c>
      <c r="AL4" t="s">
        <v>132</v>
      </c>
      <c r="AN4" t="str">
        <f>VLOOKUP(AN1,$A$1:$B$50,2,FALSE)</f>
        <v>OILASP</v>
      </c>
      <c r="AO4" t="s">
        <v>132</v>
      </c>
      <c r="AQ4" t="str">
        <f>VLOOKUP(AQ1,$A$1:$B$50,2,FALSE)</f>
        <v>OILCRD</v>
      </c>
      <c r="AR4" t="s">
        <v>132</v>
      </c>
    </row>
    <row r="5" spans="1:44">
      <c r="A5">
        <v>5</v>
      </c>
      <c r="B5" t="s">
        <v>115</v>
      </c>
      <c r="D5" s="2" t="s">
        <v>336</v>
      </c>
      <c r="E5" t="str">
        <f>"GlbMarket_"&amp;VLOOKUP(D1,$A$1:$B$50,2,FALSE)</f>
        <v>GlbMarket_BIOBSL</v>
      </c>
      <c r="G5" t="str">
        <f>IF($D5="","\I:",$D5)</f>
        <v>\I:Africa_north</v>
      </c>
      <c r="H5" t="str">
        <f>"GlbMarket_"&amp;VLOOKUP(G1,$A$1:$B$50,2,FALSE)</f>
        <v>GlbMarket_BIOCHR</v>
      </c>
      <c r="J5" t="str">
        <f>$D5</f>
        <v>\I:Africa_north</v>
      </c>
      <c r="K5" t="str">
        <f>"GlbMarket_"&amp;VLOOKUP(J1,$A$1:$B$50,2,FALSE)</f>
        <v>GlbMarket_BIODST</v>
      </c>
      <c r="M5" t="str">
        <f>$D5</f>
        <v>\I:Africa_north</v>
      </c>
      <c r="N5" t="str">
        <f>"GlbMarket_"&amp;VLOOKUP(M1,$A$1:$B$50,2,FALSE)</f>
        <v>GlbMarket_BIOGSL</v>
      </c>
      <c r="P5" t="str">
        <f>$D5</f>
        <v>\I:Africa_north</v>
      </c>
      <c r="Q5" t="str">
        <f>"GlbMarket_"&amp;VLOOKUP(P1,$A$1:$B$50,2,FALSE)</f>
        <v>GlbMarket_BIOJTK</v>
      </c>
      <c r="S5" t="str">
        <f>$D5</f>
        <v>\I:Africa_north</v>
      </c>
      <c r="T5" t="str">
        <f>"GlbMarket_"&amp;VLOOKUP(S1,$A$1:$B$50,2,FALSE)</f>
        <v>GlbMarket_COABCO</v>
      </c>
      <c r="V5" t="str">
        <f>$D5</f>
        <v>\I:Africa_north</v>
      </c>
      <c r="W5" t="str">
        <f>"GlbMarket_"&amp;VLOOKUP(V1,$A$1:$B$50,2,FALSE)</f>
        <v>GlbMarket_COACOK</v>
      </c>
      <c r="Y5" t="str">
        <f>$D5</f>
        <v>\I:Africa_north</v>
      </c>
      <c r="Z5" t="str">
        <f>"GlbMarket_"&amp;VLOOKUP(Y1,$A$1:$B$50,2,FALSE)</f>
        <v>GlbMarket_COAHCO</v>
      </c>
      <c r="AB5" t="str">
        <f>$D5</f>
        <v>\I:Africa_north</v>
      </c>
      <c r="AC5" t="str">
        <f>"GlbMarket_"&amp;VLOOKUP(AB1,$A$1:$B$50,2,FALSE)</f>
        <v>GlbMarket_COAOVC</v>
      </c>
      <c r="AE5" t="str">
        <f>$D5</f>
        <v>\I:Africa_north</v>
      </c>
      <c r="AF5" t="str">
        <f>"GlbMarket_"&amp;VLOOKUP(AE1,$A$1:$B$50,2,FALSE)</f>
        <v>GlbMarket_COATAR</v>
      </c>
      <c r="AH5" t="str">
        <f>$D5</f>
        <v>\I:Africa_north</v>
      </c>
      <c r="AI5" t="str">
        <f>"GlbMarket_"&amp;VLOOKUP(AH1,$A$1:$B$50,2,FALSE)</f>
        <v>GlbMarket_GASETH</v>
      </c>
      <c r="AK5" t="str">
        <f>$D5</f>
        <v>\I:Africa_north</v>
      </c>
      <c r="AL5" t="str">
        <f>"GlbMarket_"&amp;VLOOKUP(AK1,$A$1:$B$50,2,FALSE)</f>
        <v>GlbMarket_GASLNG</v>
      </c>
      <c r="AN5" t="str">
        <f>$D5</f>
        <v>\I:Africa_north</v>
      </c>
      <c r="AO5" t="str">
        <f>"GlbMarket_"&amp;VLOOKUP(AN1,$A$1:$B$50,2,FALSE)</f>
        <v>GlbMarket_OILASP</v>
      </c>
      <c r="AQ5" t="str">
        <f>$D5</f>
        <v>\I:Africa_north</v>
      </c>
      <c r="AR5" t="str">
        <f>"GlbMarket_"&amp;VLOOKUP(AQ1,$A$1:$B$50,2,FALSE)</f>
        <v>GlbMarket_OILCRD</v>
      </c>
    </row>
    <row r="6" spans="1:44">
      <c r="A6">
        <v>6</v>
      </c>
      <c r="B6" t="s">
        <v>10</v>
      </c>
      <c r="D6" s="2" t="s">
        <v>133</v>
      </c>
      <c r="E6" t="str">
        <f>"GlbMarket_"&amp;VLOOKUP(D1,$A$1:$B$50,2,FALSE)</f>
        <v>GlbMarket_BIOBSL</v>
      </c>
      <c r="G6" t="str">
        <f t="shared" ref="G6:G34" si="0">$D6</f>
        <v>Africa_other</v>
      </c>
      <c r="H6" t="str">
        <f>"GlbMarket_"&amp;VLOOKUP(G1,$A$1:$B$50,2,FALSE)</f>
        <v>GlbMarket_BIOCHR</v>
      </c>
      <c r="J6" t="str">
        <f t="shared" ref="J6:J34" si="1">$D6</f>
        <v>Africa_other</v>
      </c>
      <c r="K6" t="str">
        <f>"GlbMarket_"&amp;VLOOKUP(J1,$A$1:$B$50,2,FALSE)</f>
        <v>GlbMarket_BIODST</v>
      </c>
      <c r="M6" t="str">
        <f t="shared" ref="M6:M34" si="2">$D6</f>
        <v>Africa_other</v>
      </c>
      <c r="N6" t="str">
        <f>"GlbMarket_"&amp;VLOOKUP(M1,$A$1:$B$50,2,FALSE)</f>
        <v>GlbMarket_BIOGSL</v>
      </c>
      <c r="P6" t="str">
        <f t="shared" ref="P6:P34" si="3">$D6</f>
        <v>Africa_other</v>
      </c>
      <c r="Q6" t="str">
        <f>"GlbMarket_"&amp;VLOOKUP(P1,$A$1:$B$50,2,FALSE)</f>
        <v>GlbMarket_BIOJTK</v>
      </c>
      <c r="S6" t="str">
        <f t="shared" ref="S6:S34" si="4">$D6</f>
        <v>Africa_other</v>
      </c>
      <c r="T6" t="str">
        <f>"GlbMarket_"&amp;VLOOKUP(S1,$A$1:$B$50,2,FALSE)</f>
        <v>GlbMarket_COABCO</v>
      </c>
      <c r="V6" t="str">
        <f t="shared" ref="V6:V34" si="5">$D6</f>
        <v>Africa_other</v>
      </c>
      <c r="W6" t="str">
        <f>"GlbMarket_"&amp;VLOOKUP(V1,$A$1:$B$50,2,FALSE)</f>
        <v>GlbMarket_COACOK</v>
      </c>
      <c r="Y6" t="str">
        <f t="shared" ref="Y6:Y34" si="6">$D6</f>
        <v>Africa_other</v>
      </c>
      <c r="Z6" t="str">
        <f>"GlbMarket_"&amp;VLOOKUP(Y1,$A$1:$B$50,2,FALSE)</f>
        <v>GlbMarket_COAHCO</v>
      </c>
      <c r="AB6" t="str">
        <f t="shared" ref="AB6:AB34" si="7">$D6</f>
        <v>Africa_other</v>
      </c>
      <c r="AC6" t="str">
        <f>"GlbMarket_"&amp;VLOOKUP(AB1,$A$1:$B$50,2,FALSE)</f>
        <v>GlbMarket_COAOVC</v>
      </c>
      <c r="AE6" t="str">
        <f t="shared" ref="AE6:AE34" si="8">$D6</f>
        <v>Africa_other</v>
      </c>
      <c r="AF6" t="str">
        <f>"GlbMarket_"&amp;VLOOKUP(AE1,$A$1:$B$50,2,FALSE)</f>
        <v>GlbMarket_COATAR</v>
      </c>
      <c r="AH6" t="str">
        <f t="shared" ref="AH6:AH34" si="9">$D6</f>
        <v>Africa_other</v>
      </c>
      <c r="AI6" t="str">
        <f>"GlbMarket_"&amp;VLOOKUP(AH1,$A$1:$B$50,2,FALSE)</f>
        <v>GlbMarket_GASETH</v>
      </c>
      <c r="AK6" t="str">
        <f t="shared" ref="AK6:AK34" si="10">$D6</f>
        <v>Africa_other</v>
      </c>
      <c r="AL6" t="str">
        <f>"GlbMarket_"&amp;VLOOKUP(AK1,$A$1:$B$50,2,FALSE)</f>
        <v>GlbMarket_GASLNG</v>
      </c>
      <c r="AN6" t="str">
        <f t="shared" ref="AN6:AN34" si="11">$D6</f>
        <v>Africa_other</v>
      </c>
      <c r="AO6" t="str">
        <f>"GlbMarket_"&amp;VLOOKUP(AN1,$A$1:$B$50,2,FALSE)</f>
        <v>GlbMarket_OILASP</v>
      </c>
      <c r="AQ6" t="str">
        <f t="shared" ref="AQ6:AQ34" si="12">$D6</f>
        <v>Africa_other</v>
      </c>
      <c r="AR6" t="str">
        <f>"GlbMarket_"&amp;VLOOKUP(AQ1,$A$1:$B$50,2,FALSE)</f>
        <v>GlbMarket_OILCRD</v>
      </c>
    </row>
    <row r="7" spans="1:44">
      <c r="A7">
        <v>7</v>
      </c>
      <c r="B7" t="s">
        <v>11</v>
      </c>
      <c r="D7" s="2" t="s">
        <v>134</v>
      </c>
      <c r="E7" t="str">
        <f>"GlbMarket_"&amp;VLOOKUP(D1,$A$1:$B$50,2,FALSE)</f>
        <v>GlbMarket_BIOBSL</v>
      </c>
      <c r="G7" t="str">
        <f t="shared" si="0"/>
        <v>Arg-Chi</v>
      </c>
      <c r="H7" t="str">
        <f>"GlbMarket_"&amp;VLOOKUP(G1,$A$1:$B$50,2,FALSE)</f>
        <v>GlbMarket_BIOCHR</v>
      </c>
      <c r="J7" t="str">
        <f t="shared" si="1"/>
        <v>Arg-Chi</v>
      </c>
      <c r="K7" t="str">
        <f>"GlbMarket_"&amp;VLOOKUP(J1,$A$1:$B$50,2,FALSE)</f>
        <v>GlbMarket_BIODST</v>
      </c>
      <c r="M7" t="str">
        <f t="shared" si="2"/>
        <v>Arg-Chi</v>
      </c>
      <c r="N7" t="str">
        <f>"GlbMarket_"&amp;VLOOKUP(M1,$A$1:$B$50,2,FALSE)</f>
        <v>GlbMarket_BIOGSL</v>
      </c>
      <c r="P7" t="str">
        <f t="shared" si="3"/>
        <v>Arg-Chi</v>
      </c>
      <c r="Q7" t="str">
        <f>"GlbMarket_"&amp;VLOOKUP(P1,$A$1:$B$50,2,FALSE)</f>
        <v>GlbMarket_BIOJTK</v>
      </c>
      <c r="S7" t="str">
        <f t="shared" si="4"/>
        <v>Arg-Chi</v>
      </c>
      <c r="T7" t="str">
        <f>"GlbMarket_"&amp;VLOOKUP(S1,$A$1:$B$50,2,FALSE)</f>
        <v>GlbMarket_COABCO</v>
      </c>
      <c r="V7" t="str">
        <f t="shared" si="5"/>
        <v>Arg-Chi</v>
      </c>
      <c r="W7" t="str">
        <f>"GlbMarket_"&amp;VLOOKUP(V1,$A$1:$B$50,2,FALSE)</f>
        <v>GlbMarket_COACOK</v>
      </c>
      <c r="Y7" t="str">
        <f t="shared" si="6"/>
        <v>Arg-Chi</v>
      </c>
      <c r="Z7" t="str">
        <f>"GlbMarket_"&amp;VLOOKUP(Y1,$A$1:$B$50,2,FALSE)</f>
        <v>GlbMarket_COAHCO</v>
      </c>
      <c r="AB7" t="str">
        <f t="shared" si="7"/>
        <v>Arg-Chi</v>
      </c>
      <c r="AC7" t="str">
        <f>"GlbMarket_"&amp;VLOOKUP(AB1,$A$1:$B$50,2,FALSE)</f>
        <v>GlbMarket_COAOVC</v>
      </c>
      <c r="AE7" t="str">
        <f t="shared" si="8"/>
        <v>Arg-Chi</v>
      </c>
      <c r="AF7" t="str">
        <f>"GlbMarket_"&amp;VLOOKUP(AE1,$A$1:$B$50,2,FALSE)</f>
        <v>GlbMarket_COATAR</v>
      </c>
      <c r="AH7" t="str">
        <f t="shared" si="9"/>
        <v>Arg-Chi</v>
      </c>
      <c r="AI7" t="str">
        <f>"GlbMarket_"&amp;VLOOKUP(AH1,$A$1:$B$50,2,FALSE)</f>
        <v>GlbMarket_GASETH</v>
      </c>
      <c r="AK7" t="str">
        <f t="shared" si="10"/>
        <v>Arg-Chi</v>
      </c>
      <c r="AL7" t="str">
        <f>"GlbMarket_"&amp;VLOOKUP(AK1,$A$1:$B$50,2,FALSE)</f>
        <v>GlbMarket_GASLNG</v>
      </c>
      <c r="AN7" t="str">
        <f t="shared" si="11"/>
        <v>Arg-Chi</v>
      </c>
      <c r="AO7" t="str">
        <f>"GlbMarket_"&amp;VLOOKUP(AN1,$A$1:$B$50,2,FALSE)</f>
        <v>GlbMarket_OILASP</v>
      </c>
      <c r="AQ7" t="str">
        <f t="shared" si="12"/>
        <v>Arg-Chi</v>
      </c>
      <c r="AR7" t="str">
        <f>"GlbMarket_"&amp;VLOOKUP(AQ1,$A$1:$B$50,2,FALSE)</f>
        <v>GlbMarket_OILCRD</v>
      </c>
    </row>
    <row r="8" spans="1:44">
      <c r="A8">
        <v>8</v>
      </c>
      <c r="B8" t="s">
        <v>0</v>
      </c>
      <c r="D8" s="2" t="s">
        <v>135</v>
      </c>
      <c r="E8" t="str">
        <f>"GlbMarket_"&amp;VLOOKUP(D1,$A$1:$B$50,2,FALSE)</f>
        <v>GlbMarket_BIOBSL</v>
      </c>
      <c r="G8" t="str">
        <f t="shared" si="0"/>
        <v>Asia_central</v>
      </c>
      <c r="H8" t="str">
        <f>"GlbMarket_"&amp;VLOOKUP(G1,$A$1:$B$50,2,FALSE)</f>
        <v>GlbMarket_BIOCHR</v>
      </c>
      <c r="J8" t="str">
        <f t="shared" si="1"/>
        <v>Asia_central</v>
      </c>
      <c r="K8" t="str">
        <f>"GlbMarket_"&amp;VLOOKUP(J1,$A$1:$B$50,2,FALSE)</f>
        <v>GlbMarket_BIODST</v>
      </c>
      <c r="M8" t="str">
        <f t="shared" si="2"/>
        <v>Asia_central</v>
      </c>
      <c r="N8" t="str">
        <f>"GlbMarket_"&amp;VLOOKUP(M1,$A$1:$B$50,2,FALSE)</f>
        <v>GlbMarket_BIOGSL</v>
      </c>
      <c r="P8" t="str">
        <f t="shared" si="3"/>
        <v>Asia_central</v>
      </c>
      <c r="Q8" t="str">
        <f>"GlbMarket_"&amp;VLOOKUP(P1,$A$1:$B$50,2,FALSE)</f>
        <v>GlbMarket_BIOJTK</v>
      </c>
      <c r="S8" t="str">
        <f t="shared" si="4"/>
        <v>Asia_central</v>
      </c>
      <c r="T8" t="str">
        <f>"GlbMarket_"&amp;VLOOKUP(S1,$A$1:$B$50,2,FALSE)</f>
        <v>GlbMarket_COABCO</v>
      </c>
      <c r="V8" t="str">
        <f t="shared" si="5"/>
        <v>Asia_central</v>
      </c>
      <c r="W8" t="str">
        <f>"GlbMarket_"&amp;VLOOKUP(V1,$A$1:$B$50,2,FALSE)</f>
        <v>GlbMarket_COACOK</v>
      </c>
      <c r="Y8" t="str">
        <f t="shared" si="6"/>
        <v>Asia_central</v>
      </c>
      <c r="Z8" t="str">
        <f>"GlbMarket_"&amp;VLOOKUP(Y1,$A$1:$B$50,2,FALSE)</f>
        <v>GlbMarket_COAHCO</v>
      </c>
      <c r="AB8" t="str">
        <f t="shared" si="7"/>
        <v>Asia_central</v>
      </c>
      <c r="AC8" t="str">
        <f>"GlbMarket_"&amp;VLOOKUP(AB1,$A$1:$B$50,2,FALSE)</f>
        <v>GlbMarket_COAOVC</v>
      </c>
      <c r="AE8" t="str">
        <f t="shared" si="8"/>
        <v>Asia_central</v>
      </c>
      <c r="AF8" t="str">
        <f>"GlbMarket_"&amp;VLOOKUP(AE1,$A$1:$B$50,2,FALSE)</f>
        <v>GlbMarket_COATAR</v>
      </c>
      <c r="AH8" t="str">
        <f t="shared" si="9"/>
        <v>Asia_central</v>
      </c>
      <c r="AI8" t="str">
        <f>"GlbMarket_"&amp;VLOOKUP(AH1,$A$1:$B$50,2,FALSE)</f>
        <v>GlbMarket_GASETH</v>
      </c>
      <c r="AK8" t="str">
        <f t="shared" si="10"/>
        <v>Asia_central</v>
      </c>
      <c r="AL8" t="str">
        <f>"GlbMarket_"&amp;VLOOKUP(AK1,$A$1:$B$50,2,FALSE)</f>
        <v>GlbMarket_GASLNG</v>
      </c>
      <c r="AN8" t="str">
        <f t="shared" si="11"/>
        <v>Asia_central</v>
      </c>
      <c r="AO8" t="str">
        <f>"GlbMarket_"&amp;VLOOKUP(AN1,$A$1:$B$50,2,FALSE)</f>
        <v>GlbMarket_OILASP</v>
      </c>
      <c r="AQ8" t="str">
        <f t="shared" si="12"/>
        <v>Asia_central</v>
      </c>
      <c r="AR8" t="str">
        <f>"GlbMarket_"&amp;VLOOKUP(AQ1,$A$1:$B$50,2,FALSE)</f>
        <v>GlbMarket_OILCRD</v>
      </c>
    </row>
    <row r="9" spans="1:44">
      <c r="A9">
        <v>9</v>
      </c>
      <c r="B9" t="s">
        <v>12</v>
      </c>
      <c r="D9" s="2" t="s">
        <v>136</v>
      </c>
      <c r="E9" t="str">
        <f>"GlbMarket_"&amp;VLOOKUP(D1,$A$1:$B$50,2,FALSE)</f>
        <v>GlbMarket_BIOBSL</v>
      </c>
      <c r="G9" t="str">
        <f t="shared" si="0"/>
        <v>Asia_east</v>
      </c>
      <c r="H9" t="str">
        <f>"GlbMarket_"&amp;VLOOKUP(G1,$A$1:$B$50,2,FALSE)</f>
        <v>GlbMarket_BIOCHR</v>
      </c>
      <c r="J9" t="str">
        <f t="shared" si="1"/>
        <v>Asia_east</v>
      </c>
      <c r="K9" t="str">
        <f>"GlbMarket_"&amp;VLOOKUP(J1,$A$1:$B$50,2,FALSE)</f>
        <v>GlbMarket_BIODST</v>
      </c>
      <c r="M9" t="str">
        <f t="shared" si="2"/>
        <v>Asia_east</v>
      </c>
      <c r="N9" t="str">
        <f>"GlbMarket_"&amp;VLOOKUP(M1,$A$1:$B$50,2,FALSE)</f>
        <v>GlbMarket_BIOGSL</v>
      </c>
      <c r="P9" t="str">
        <f t="shared" si="3"/>
        <v>Asia_east</v>
      </c>
      <c r="Q9" t="str">
        <f>"GlbMarket_"&amp;VLOOKUP(P1,$A$1:$B$50,2,FALSE)</f>
        <v>GlbMarket_BIOJTK</v>
      </c>
      <c r="S9" t="str">
        <f t="shared" si="4"/>
        <v>Asia_east</v>
      </c>
      <c r="T9" t="str">
        <f>"GlbMarket_"&amp;VLOOKUP(S1,$A$1:$B$50,2,FALSE)</f>
        <v>GlbMarket_COABCO</v>
      </c>
      <c r="V9" t="str">
        <f t="shared" si="5"/>
        <v>Asia_east</v>
      </c>
      <c r="W9" t="str">
        <f>"GlbMarket_"&amp;VLOOKUP(V1,$A$1:$B$50,2,FALSE)</f>
        <v>GlbMarket_COACOK</v>
      </c>
      <c r="Y9" t="str">
        <f t="shared" si="6"/>
        <v>Asia_east</v>
      </c>
      <c r="Z9" t="str">
        <f>"GlbMarket_"&amp;VLOOKUP(Y1,$A$1:$B$50,2,FALSE)</f>
        <v>GlbMarket_COAHCO</v>
      </c>
      <c r="AB9" t="str">
        <f t="shared" si="7"/>
        <v>Asia_east</v>
      </c>
      <c r="AC9" t="str">
        <f>"GlbMarket_"&amp;VLOOKUP(AB1,$A$1:$B$50,2,FALSE)</f>
        <v>GlbMarket_COAOVC</v>
      </c>
      <c r="AE9" t="str">
        <f t="shared" si="8"/>
        <v>Asia_east</v>
      </c>
      <c r="AF9" t="str">
        <f>"GlbMarket_"&amp;VLOOKUP(AE1,$A$1:$B$50,2,FALSE)</f>
        <v>GlbMarket_COATAR</v>
      </c>
      <c r="AH9" t="str">
        <f t="shared" si="9"/>
        <v>Asia_east</v>
      </c>
      <c r="AI9" t="str">
        <f>"GlbMarket_"&amp;VLOOKUP(AH1,$A$1:$B$50,2,FALSE)</f>
        <v>GlbMarket_GASETH</v>
      </c>
      <c r="AK9" t="str">
        <f t="shared" si="10"/>
        <v>Asia_east</v>
      </c>
      <c r="AL9" t="str">
        <f>"GlbMarket_"&amp;VLOOKUP(AK1,$A$1:$B$50,2,FALSE)</f>
        <v>GlbMarket_GASLNG</v>
      </c>
      <c r="AN9" t="str">
        <f t="shared" si="11"/>
        <v>Asia_east</v>
      </c>
      <c r="AO9" t="str">
        <f>"GlbMarket_"&amp;VLOOKUP(AN1,$A$1:$B$50,2,FALSE)</f>
        <v>GlbMarket_OILASP</v>
      </c>
      <c r="AQ9" t="str">
        <f t="shared" si="12"/>
        <v>Asia_east</v>
      </c>
      <c r="AR9" t="str">
        <f>"GlbMarket_"&amp;VLOOKUP(AQ1,$A$1:$B$50,2,FALSE)</f>
        <v>GlbMarket_OILCRD</v>
      </c>
    </row>
    <row r="10" spans="1:44">
      <c r="A10">
        <v>10</v>
      </c>
      <c r="B10" t="s">
        <v>13</v>
      </c>
      <c r="D10" s="2" t="s">
        <v>137</v>
      </c>
      <c r="E10" t="str">
        <f>"GlbMarket_"&amp;VLOOKUP(D1,$A$1:$B$50,2,FALSE)</f>
        <v>GlbMarket_BIOBSL</v>
      </c>
      <c r="G10" t="str">
        <f t="shared" si="0"/>
        <v>Asia_other</v>
      </c>
      <c r="H10" t="str">
        <f>"GlbMarket_"&amp;VLOOKUP(G1,$A$1:$B$50,2,FALSE)</f>
        <v>GlbMarket_BIOCHR</v>
      </c>
      <c r="J10" t="str">
        <f t="shared" si="1"/>
        <v>Asia_other</v>
      </c>
      <c r="K10" t="str">
        <f>"GlbMarket_"&amp;VLOOKUP(J1,$A$1:$B$50,2,FALSE)</f>
        <v>GlbMarket_BIODST</v>
      </c>
      <c r="M10" t="str">
        <f t="shared" si="2"/>
        <v>Asia_other</v>
      </c>
      <c r="N10" t="str">
        <f>"GlbMarket_"&amp;VLOOKUP(M1,$A$1:$B$50,2,FALSE)</f>
        <v>GlbMarket_BIOGSL</v>
      </c>
      <c r="P10" t="str">
        <f t="shared" si="3"/>
        <v>Asia_other</v>
      </c>
      <c r="Q10" t="str">
        <f>"GlbMarket_"&amp;VLOOKUP(P1,$A$1:$B$50,2,FALSE)</f>
        <v>GlbMarket_BIOJTK</v>
      </c>
      <c r="S10" t="str">
        <f t="shared" si="4"/>
        <v>Asia_other</v>
      </c>
      <c r="T10" t="str">
        <f>"GlbMarket_"&amp;VLOOKUP(S1,$A$1:$B$50,2,FALSE)</f>
        <v>GlbMarket_COABCO</v>
      </c>
      <c r="V10" t="str">
        <f t="shared" si="5"/>
        <v>Asia_other</v>
      </c>
      <c r="W10" t="str">
        <f>"GlbMarket_"&amp;VLOOKUP(V1,$A$1:$B$50,2,FALSE)</f>
        <v>GlbMarket_COACOK</v>
      </c>
      <c r="Y10" t="str">
        <f t="shared" si="6"/>
        <v>Asia_other</v>
      </c>
      <c r="Z10" t="str">
        <f>"GlbMarket_"&amp;VLOOKUP(Y1,$A$1:$B$50,2,FALSE)</f>
        <v>GlbMarket_COAHCO</v>
      </c>
      <c r="AB10" t="str">
        <f t="shared" si="7"/>
        <v>Asia_other</v>
      </c>
      <c r="AC10" t="str">
        <f>"GlbMarket_"&amp;VLOOKUP(AB1,$A$1:$B$50,2,FALSE)</f>
        <v>GlbMarket_COAOVC</v>
      </c>
      <c r="AE10" t="str">
        <f t="shared" si="8"/>
        <v>Asia_other</v>
      </c>
      <c r="AF10" t="str">
        <f>"GlbMarket_"&amp;VLOOKUP(AE1,$A$1:$B$50,2,FALSE)</f>
        <v>GlbMarket_COATAR</v>
      </c>
      <c r="AH10" t="str">
        <f t="shared" si="9"/>
        <v>Asia_other</v>
      </c>
      <c r="AI10" t="str">
        <f>"GlbMarket_"&amp;VLOOKUP(AH1,$A$1:$B$50,2,FALSE)</f>
        <v>GlbMarket_GASETH</v>
      </c>
      <c r="AK10" t="str">
        <f t="shared" si="10"/>
        <v>Asia_other</v>
      </c>
      <c r="AL10" t="str">
        <f>"GlbMarket_"&amp;VLOOKUP(AK1,$A$1:$B$50,2,FALSE)</f>
        <v>GlbMarket_GASLNG</v>
      </c>
      <c r="AN10" t="str">
        <f t="shared" si="11"/>
        <v>Asia_other</v>
      </c>
      <c r="AO10" t="str">
        <f>"GlbMarket_"&amp;VLOOKUP(AN1,$A$1:$B$50,2,FALSE)</f>
        <v>GlbMarket_OILASP</v>
      </c>
      <c r="AQ10" t="str">
        <f t="shared" si="12"/>
        <v>Asia_other</v>
      </c>
      <c r="AR10" t="str">
        <f>"GlbMarket_"&amp;VLOOKUP(AQ1,$A$1:$B$50,2,FALSE)</f>
        <v>GlbMarket_OILCRD</v>
      </c>
    </row>
    <row r="11" spans="1:44">
      <c r="A11">
        <v>11</v>
      </c>
      <c r="B11" t="s">
        <v>15</v>
      </c>
      <c r="D11" s="2" t="s">
        <v>138</v>
      </c>
      <c r="E11" t="str">
        <f>"GlbMarket_"&amp;VLOOKUP(D1,$A$1:$B$50,2,FALSE)</f>
        <v>GlbMarket_BIOBSL</v>
      </c>
      <c r="G11" t="str">
        <f t="shared" si="0"/>
        <v>Australia_NZ</v>
      </c>
      <c r="H11" t="str">
        <f>"GlbMarket_"&amp;VLOOKUP(G1,$A$1:$B$50,2,FALSE)</f>
        <v>GlbMarket_BIOCHR</v>
      </c>
      <c r="J11" t="str">
        <f t="shared" si="1"/>
        <v>Australia_NZ</v>
      </c>
      <c r="K11" t="str">
        <f>"GlbMarket_"&amp;VLOOKUP(J1,$A$1:$B$50,2,FALSE)</f>
        <v>GlbMarket_BIODST</v>
      </c>
      <c r="M11" t="str">
        <f t="shared" si="2"/>
        <v>Australia_NZ</v>
      </c>
      <c r="N11" t="str">
        <f>"GlbMarket_"&amp;VLOOKUP(M1,$A$1:$B$50,2,FALSE)</f>
        <v>GlbMarket_BIOGSL</v>
      </c>
      <c r="P11" t="str">
        <f t="shared" si="3"/>
        <v>Australia_NZ</v>
      </c>
      <c r="Q11" t="str">
        <f>"GlbMarket_"&amp;VLOOKUP(P1,$A$1:$B$50,2,FALSE)</f>
        <v>GlbMarket_BIOJTK</v>
      </c>
      <c r="S11" t="str">
        <f t="shared" si="4"/>
        <v>Australia_NZ</v>
      </c>
      <c r="T11" t="str">
        <f>"GlbMarket_"&amp;VLOOKUP(S1,$A$1:$B$50,2,FALSE)</f>
        <v>GlbMarket_COABCO</v>
      </c>
      <c r="V11" t="str">
        <f t="shared" si="5"/>
        <v>Australia_NZ</v>
      </c>
      <c r="W11" t="str">
        <f>"GlbMarket_"&amp;VLOOKUP(V1,$A$1:$B$50,2,FALSE)</f>
        <v>GlbMarket_COACOK</v>
      </c>
      <c r="Y11" t="str">
        <f t="shared" si="6"/>
        <v>Australia_NZ</v>
      </c>
      <c r="Z11" t="str">
        <f>"GlbMarket_"&amp;VLOOKUP(Y1,$A$1:$B$50,2,FALSE)</f>
        <v>GlbMarket_COAHCO</v>
      </c>
      <c r="AB11" t="str">
        <f t="shared" si="7"/>
        <v>Australia_NZ</v>
      </c>
      <c r="AC11" t="str">
        <f>"GlbMarket_"&amp;VLOOKUP(AB1,$A$1:$B$50,2,FALSE)</f>
        <v>GlbMarket_COAOVC</v>
      </c>
      <c r="AE11" t="str">
        <f t="shared" si="8"/>
        <v>Australia_NZ</v>
      </c>
      <c r="AF11" t="str">
        <f>"GlbMarket_"&amp;VLOOKUP(AE1,$A$1:$B$50,2,FALSE)</f>
        <v>GlbMarket_COATAR</v>
      </c>
      <c r="AH11" t="str">
        <f t="shared" si="9"/>
        <v>Australia_NZ</v>
      </c>
      <c r="AI11" t="str">
        <f>"GlbMarket_"&amp;VLOOKUP(AH1,$A$1:$B$50,2,FALSE)</f>
        <v>GlbMarket_GASETH</v>
      </c>
      <c r="AK11" t="str">
        <f t="shared" si="10"/>
        <v>Australia_NZ</v>
      </c>
      <c r="AL11" t="str">
        <f>"GlbMarket_"&amp;VLOOKUP(AK1,$A$1:$B$50,2,FALSE)</f>
        <v>GlbMarket_GASLNG</v>
      </c>
      <c r="AN11" t="str">
        <f t="shared" si="11"/>
        <v>Australia_NZ</v>
      </c>
      <c r="AO11" t="str">
        <f>"GlbMarket_"&amp;VLOOKUP(AN1,$A$1:$B$50,2,FALSE)</f>
        <v>GlbMarket_OILASP</v>
      </c>
      <c r="AQ11" t="str">
        <f t="shared" si="12"/>
        <v>Australia_NZ</v>
      </c>
      <c r="AR11" t="str">
        <f>"GlbMarket_"&amp;VLOOKUP(AQ1,$A$1:$B$50,2,FALSE)</f>
        <v>GlbMarket_OILCRD</v>
      </c>
    </row>
    <row r="12" spans="1:44">
      <c r="A12">
        <v>12</v>
      </c>
      <c r="B12" t="s">
        <v>40</v>
      </c>
      <c r="D12" s="2" t="s">
        <v>139</v>
      </c>
      <c r="E12" t="str">
        <f>"GlbMarket_"&amp;VLOOKUP(D1,$A$1:$B$50,2,FALSE)</f>
        <v>GlbMarket_BIOBSL</v>
      </c>
      <c r="G12" t="str">
        <f t="shared" si="0"/>
        <v>Brazil</v>
      </c>
      <c r="H12" t="str">
        <f>"GlbMarket_"&amp;VLOOKUP(G1,$A$1:$B$50,2,FALSE)</f>
        <v>GlbMarket_BIOCHR</v>
      </c>
      <c r="J12" t="str">
        <f t="shared" si="1"/>
        <v>Brazil</v>
      </c>
      <c r="K12" t="str">
        <f>"GlbMarket_"&amp;VLOOKUP(J1,$A$1:$B$50,2,FALSE)</f>
        <v>GlbMarket_BIODST</v>
      </c>
      <c r="M12" t="str">
        <f t="shared" si="2"/>
        <v>Brazil</v>
      </c>
      <c r="N12" t="str">
        <f>"GlbMarket_"&amp;VLOOKUP(M1,$A$1:$B$50,2,FALSE)</f>
        <v>GlbMarket_BIOGSL</v>
      </c>
      <c r="P12" t="str">
        <f t="shared" si="3"/>
        <v>Brazil</v>
      </c>
      <c r="Q12" t="str">
        <f>"GlbMarket_"&amp;VLOOKUP(P1,$A$1:$B$50,2,FALSE)</f>
        <v>GlbMarket_BIOJTK</v>
      </c>
      <c r="S12" t="str">
        <f t="shared" si="4"/>
        <v>Brazil</v>
      </c>
      <c r="T12" t="str">
        <f>"GlbMarket_"&amp;VLOOKUP(S1,$A$1:$B$50,2,FALSE)</f>
        <v>GlbMarket_COABCO</v>
      </c>
      <c r="V12" t="str">
        <f t="shared" si="5"/>
        <v>Brazil</v>
      </c>
      <c r="W12" t="str">
        <f>"GlbMarket_"&amp;VLOOKUP(V1,$A$1:$B$50,2,FALSE)</f>
        <v>GlbMarket_COACOK</v>
      </c>
      <c r="Y12" t="str">
        <f t="shared" si="6"/>
        <v>Brazil</v>
      </c>
      <c r="Z12" t="str">
        <f>"GlbMarket_"&amp;VLOOKUP(Y1,$A$1:$B$50,2,FALSE)</f>
        <v>GlbMarket_COAHCO</v>
      </c>
      <c r="AB12" t="str">
        <f t="shared" si="7"/>
        <v>Brazil</v>
      </c>
      <c r="AC12" t="str">
        <f>"GlbMarket_"&amp;VLOOKUP(AB1,$A$1:$B$50,2,FALSE)</f>
        <v>GlbMarket_COAOVC</v>
      </c>
      <c r="AE12" t="str">
        <f t="shared" si="8"/>
        <v>Brazil</v>
      </c>
      <c r="AF12" t="str">
        <f>"GlbMarket_"&amp;VLOOKUP(AE1,$A$1:$B$50,2,FALSE)</f>
        <v>GlbMarket_COATAR</v>
      </c>
      <c r="AH12" t="str">
        <f t="shared" si="9"/>
        <v>Brazil</v>
      </c>
      <c r="AI12" t="str">
        <f>"GlbMarket_"&amp;VLOOKUP(AH1,$A$1:$B$50,2,FALSE)</f>
        <v>GlbMarket_GASETH</v>
      </c>
      <c r="AK12" t="str">
        <f t="shared" si="10"/>
        <v>Brazil</v>
      </c>
      <c r="AL12" t="str">
        <f>"GlbMarket_"&amp;VLOOKUP(AK1,$A$1:$B$50,2,FALSE)</f>
        <v>GlbMarket_GASLNG</v>
      </c>
      <c r="AN12" t="str">
        <f t="shared" si="11"/>
        <v>Brazil</v>
      </c>
      <c r="AO12" t="str">
        <f>"GlbMarket_"&amp;VLOOKUP(AN1,$A$1:$B$50,2,FALSE)</f>
        <v>GlbMarket_OILASP</v>
      </c>
      <c r="AQ12" t="str">
        <f t="shared" si="12"/>
        <v>Brazil</v>
      </c>
      <c r="AR12" t="str">
        <f>"GlbMarket_"&amp;VLOOKUP(AQ1,$A$1:$B$50,2,FALSE)</f>
        <v>GlbMarket_OILCRD</v>
      </c>
    </row>
    <row r="13" spans="1:44">
      <c r="A13">
        <v>13</v>
      </c>
      <c r="B13" t="s">
        <v>16</v>
      </c>
      <c r="D13" s="2" t="s">
        <v>140</v>
      </c>
      <c r="E13" t="str">
        <f>"GlbMarket_"&amp;VLOOKUP(D1,$A$1:$B$50,2,FALSE)</f>
        <v>GlbMarket_BIOBSL</v>
      </c>
      <c r="G13" t="str">
        <f t="shared" si="0"/>
        <v>Canada</v>
      </c>
      <c r="H13" t="str">
        <f>"GlbMarket_"&amp;VLOOKUP(G1,$A$1:$B$50,2,FALSE)</f>
        <v>GlbMarket_BIOCHR</v>
      </c>
      <c r="J13" t="str">
        <f t="shared" si="1"/>
        <v>Canada</v>
      </c>
      <c r="K13" t="str">
        <f>"GlbMarket_"&amp;VLOOKUP(J1,$A$1:$B$50,2,FALSE)</f>
        <v>GlbMarket_BIODST</v>
      </c>
      <c r="M13" t="str">
        <f t="shared" si="2"/>
        <v>Canada</v>
      </c>
      <c r="N13" t="str">
        <f>"GlbMarket_"&amp;VLOOKUP(M1,$A$1:$B$50,2,FALSE)</f>
        <v>GlbMarket_BIOGSL</v>
      </c>
      <c r="P13" t="str">
        <f t="shared" si="3"/>
        <v>Canada</v>
      </c>
      <c r="Q13" t="str">
        <f>"GlbMarket_"&amp;VLOOKUP(P1,$A$1:$B$50,2,FALSE)</f>
        <v>GlbMarket_BIOJTK</v>
      </c>
      <c r="S13" t="str">
        <f t="shared" si="4"/>
        <v>Canada</v>
      </c>
      <c r="T13" t="str">
        <f>"GlbMarket_"&amp;VLOOKUP(S1,$A$1:$B$50,2,FALSE)</f>
        <v>GlbMarket_COABCO</v>
      </c>
      <c r="V13" t="str">
        <f t="shared" si="5"/>
        <v>Canada</v>
      </c>
      <c r="W13" t="str">
        <f>"GlbMarket_"&amp;VLOOKUP(V1,$A$1:$B$50,2,FALSE)</f>
        <v>GlbMarket_COACOK</v>
      </c>
      <c r="Y13" t="str">
        <f t="shared" si="6"/>
        <v>Canada</v>
      </c>
      <c r="Z13" t="str">
        <f>"GlbMarket_"&amp;VLOOKUP(Y1,$A$1:$B$50,2,FALSE)</f>
        <v>GlbMarket_COAHCO</v>
      </c>
      <c r="AB13" t="str">
        <f t="shared" si="7"/>
        <v>Canada</v>
      </c>
      <c r="AC13" t="str">
        <f>"GlbMarket_"&amp;VLOOKUP(AB1,$A$1:$B$50,2,FALSE)</f>
        <v>GlbMarket_COAOVC</v>
      </c>
      <c r="AE13" t="str">
        <f t="shared" si="8"/>
        <v>Canada</v>
      </c>
      <c r="AF13" t="str">
        <f>"GlbMarket_"&amp;VLOOKUP(AE1,$A$1:$B$50,2,FALSE)</f>
        <v>GlbMarket_COATAR</v>
      </c>
      <c r="AH13" t="str">
        <f t="shared" si="9"/>
        <v>Canada</v>
      </c>
      <c r="AI13" t="str">
        <f>"GlbMarket_"&amp;VLOOKUP(AH1,$A$1:$B$50,2,FALSE)</f>
        <v>GlbMarket_GASETH</v>
      </c>
      <c r="AK13" t="str">
        <f t="shared" si="10"/>
        <v>Canada</v>
      </c>
      <c r="AL13" t="str">
        <f>"GlbMarket_"&amp;VLOOKUP(AK1,$A$1:$B$50,2,FALSE)</f>
        <v>GlbMarket_GASLNG</v>
      </c>
      <c r="AN13" t="str">
        <f t="shared" si="11"/>
        <v>Canada</v>
      </c>
      <c r="AO13" t="str">
        <f>"GlbMarket_"&amp;VLOOKUP(AN1,$A$1:$B$50,2,FALSE)</f>
        <v>GlbMarket_OILASP</v>
      </c>
      <c r="AQ13" t="str">
        <f t="shared" si="12"/>
        <v>Canada</v>
      </c>
      <c r="AR13" t="str">
        <f>"GlbMarket_"&amp;VLOOKUP(AQ1,$A$1:$B$50,2,FALSE)</f>
        <v>GlbMarket_OILCRD</v>
      </c>
    </row>
    <row r="14" spans="1:44">
      <c r="A14">
        <v>14</v>
      </c>
      <c r="B14" t="s">
        <v>1</v>
      </c>
      <c r="D14" s="2" t="s">
        <v>27</v>
      </c>
      <c r="E14" t="str">
        <f>"GlbMarket_"&amp;VLOOKUP(D1,$A$1:$B$50,2,FALSE)</f>
        <v>GlbMarket_BIOBSL</v>
      </c>
      <c r="G14" t="str">
        <f t="shared" si="0"/>
        <v>China</v>
      </c>
      <c r="H14" t="str">
        <f>"GlbMarket_"&amp;VLOOKUP(G1,$A$1:$B$50,2,FALSE)</f>
        <v>GlbMarket_BIOCHR</v>
      </c>
      <c r="J14" t="str">
        <f t="shared" si="1"/>
        <v>China</v>
      </c>
      <c r="K14" t="str">
        <f>"GlbMarket_"&amp;VLOOKUP(J1,$A$1:$B$50,2,FALSE)</f>
        <v>GlbMarket_BIODST</v>
      </c>
      <c r="M14" t="str">
        <f t="shared" si="2"/>
        <v>China</v>
      </c>
      <c r="N14" t="str">
        <f>"GlbMarket_"&amp;VLOOKUP(M1,$A$1:$B$50,2,FALSE)</f>
        <v>GlbMarket_BIOGSL</v>
      </c>
      <c r="P14" t="str">
        <f t="shared" si="3"/>
        <v>China</v>
      </c>
      <c r="Q14" t="str">
        <f>"GlbMarket_"&amp;VLOOKUP(P1,$A$1:$B$50,2,FALSE)</f>
        <v>GlbMarket_BIOJTK</v>
      </c>
      <c r="S14" t="str">
        <f t="shared" si="4"/>
        <v>China</v>
      </c>
      <c r="T14" t="str">
        <f>"GlbMarket_"&amp;VLOOKUP(S1,$A$1:$B$50,2,FALSE)</f>
        <v>GlbMarket_COABCO</v>
      </c>
      <c r="V14" t="str">
        <f t="shared" si="5"/>
        <v>China</v>
      </c>
      <c r="W14" t="str">
        <f>"GlbMarket_"&amp;VLOOKUP(V1,$A$1:$B$50,2,FALSE)</f>
        <v>GlbMarket_COACOK</v>
      </c>
      <c r="Y14" t="str">
        <f t="shared" si="6"/>
        <v>China</v>
      </c>
      <c r="Z14" t="str">
        <f>"GlbMarket_"&amp;VLOOKUP(Y1,$A$1:$B$50,2,FALSE)</f>
        <v>GlbMarket_COAHCO</v>
      </c>
      <c r="AB14" t="str">
        <f t="shared" si="7"/>
        <v>China</v>
      </c>
      <c r="AC14" t="str">
        <f>"GlbMarket_"&amp;VLOOKUP(AB1,$A$1:$B$50,2,FALSE)</f>
        <v>GlbMarket_COAOVC</v>
      </c>
      <c r="AE14" t="str">
        <f t="shared" si="8"/>
        <v>China</v>
      </c>
      <c r="AF14" t="str">
        <f>"GlbMarket_"&amp;VLOOKUP(AE1,$A$1:$B$50,2,FALSE)</f>
        <v>GlbMarket_COATAR</v>
      </c>
      <c r="AH14" t="str">
        <f t="shared" si="9"/>
        <v>China</v>
      </c>
      <c r="AI14" t="str">
        <f>"GlbMarket_"&amp;VLOOKUP(AH1,$A$1:$B$50,2,FALSE)</f>
        <v>GlbMarket_GASETH</v>
      </c>
      <c r="AK14" t="str">
        <f t="shared" si="10"/>
        <v>China</v>
      </c>
      <c r="AL14" t="str">
        <f>"GlbMarket_"&amp;VLOOKUP(AK1,$A$1:$B$50,2,FALSE)</f>
        <v>GlbMarket_GASLNG</v>
      </c>
      <c r="AN14" t="str">
        <f t="shared" si="11"/>
        <v>China</v>
      </c>
      <c r="AO14" t="str">
        <f>"GlbMarket_"&amp;VLOOKUP(AN1,$A$1:$B$50,2,FALSE)</f>
        <v>GlbMarket_OILASP</v>
      </c>
      <c r="AQ14" t="str">
        <f t="shared" si="12"/>
        <v>China</v>
      </c>
      <c r="AR14" t="str">
        <f>"GlbMarket_"&amp;VLOOKUP(AQ1,$A$1:$B$50,2,FALSE)</f>
        <v>GlbMarket_OILCRD</v>
      </c>
    </row>
    <row r="15" spans="1:44">
      <c r="A15">
        <v>15</v>
      </c>
      <c r="B15" t="s">
        <v>2</v>
      </c>
      <c r="D15" s="2" t="s">
        <v>141</v>
      </c>
      <c r="E15" t="str">
        <f>"GlbMarket_"&amp;VLOOKUP(D1,$A$1:$B$50,2,FALSE)</f>
        <v>GlbMarket_BIOBSL</v>
      </c>
      <c r="G15" t="str">
        <f t="shared" si="0"/>
        <v>EU_north</v>
      </c>
      <c r="H15" t="str">
        <f>"GlbMarket_"&amp;VLOOKUP(G1,$A$1:$B$50,2,FALSE)</f>
        <v>GlbMarket_BIOCHR</v>
      </c>
      <c r="J15" t="str">
        <f t="shared" si="1"/>
        <v>EU_north</v>
      </c>
      <c r="K15" t="str">
        <f>"GlbMarket_"&amp;VLOOKUP(J1,$A$1:$B$50,2,FALSE)</f>
        <v>GlbMarket_BIODST</v>
      </c>
      <c r="M15" t="str">
        <f t="shared" si="2"/>
        <v>EU_north</v>
      </c>
      <c r="N15" t="str">
        <f>"GlbMarket_"&amp;VLOOKUP(M1,$A$1:$B$50,2,FALSE)</f>
        <v>GlbMarket_BIOGSL</v>
      </c>
      <c r="P15" t="str">
        <f t="shared" si="3"/>
        <v>EU_north</v>
      </c>
      <c r="Q15" t="str">
        <f>"GlbMarket_"&amp;VLOOKUP(P1,$A$1:$B$50,2,FALSE)</f>
        <v>GlbMarket_BIOJTK</v>
      </c>
      <c r="S15" t="str">
        <f t="shared" si="4"/>
        <v>EU_north</v>
      </c>
      <c r="T15" t="str">
        <f>"GlbMarket_"&amp;VLOOKUP(S1,$A$1:$B$50,2,FALSE)</f>
        <v>GlbMarket_COABCO</v>
      </c>
      <c r="V15" t="str">
        <f t="shared" si="5"/>
        <v>EU_north</v>
      </c>
      <c r="W15" t="str">
        <f>"GlbMarket_"&amp;VLOOKUP(V1,$A$1:$B$50,2,FALSE)</f>
        <v>GlbMarket_COACOK</v>
      </c>
      <c r="Y15" t="str">
        <f t="shared" si="6"/>
        <v>EU_north</v>
      </c>
      <c r="Z15" t="str">
        <f>"GlbMarket_"&amp;VLOOKUP(Y1,$A$1:$B$50,2,FALSE)</f>
        <v>GlbMarket_COAHCO</v>
      </c>
      <c r="AB15" t="str">
        <f t="shared" si="7"/>
        <v>EU_north</v>
      </c>
      <c r="AC15" t="str">
        <f>"GlbMarket_"&amp;VLOOKUP(AB1,$A$1:$B$50,2,FALSE)</f>
        <v>GlbMarket_COAOVC</v>
      </c>
      <c r="AE15" t="str">
        <f t="shared" si="8"/>
        <v>EU_north</v>
      </c>
      <c r="AF15" t="str">
        <f>"GlbMarket_"&amp;VLOOKUP(AE1,$A$1:$B$50,2,FALSE)</f>
        <v>GlbMarket_COATAR</v>
      </c>
      <c r="AH15" t="str">
        <f t="shared" si="9"/>
        <v>EU_north</v>
      </c>
      <c r="AI15" t="str">
        <f>"GlbMarket_"&amp;VLOOKUP(AH1,$A$1:$B$50,2,FALSE)</f>
        <v>GlbMarket_GASETH</v>
      </c>
      <c r="AK15" t="str">
        <f t="shared" si="10"/>
        <v>EU_north</v>
      </c>
      <c r="AL15" t="str">
        <f>"GlbMarket_"&amp;VLOOKUP(AK1,$A$1:$B$50,2,FALSE)</f>
        <v>GlbMarket_GASLNG</v>
      </c>
      <c r="AN15" t="str">
        <f t="shared" si="11"/>
        <v>EU_north</v>
      </c>
      <c r="AO15" t="str">
        <f>"GlbMarket_"&amp;VLOOKUP(AN1,$A$1:$B$50,2,FALSE)</f>
        <v>GlbMarket_OILASP</v>
      </c>
      <c r="AQ15" t="str">
        <f t="shared" si="12"/>
        <v>EU_north</v>
      </c>
      <c r="AR15" t="str">
        <f>"GlbMarket_"&amp;VLOOKUP(AQ1,$A$1:$B$50,2,FALSE)</f>
        <v>GlbMarket_OILCRD</v>
      </c>
    </row>
    <row r="16" spans="1:44">
      <c r="A16">
        <v>16</v>
      </c>
      <c r="B16" t="s">
        <v>17</v>
      </c>
      <c r="D16" s="2" t="s">
        <v>142</v>
      </c>
      <c r="E16" t="str">
        <f>"GlbMarket_"&amp;VLOOKUP(D1,$A$1:$B$50,2,FALSE)</f>
        <v>GlbMarket_BIOBSL</v>
      </c>
      <c r="G16" t="str">
        <f t="shared" si="0"/>
        <v>EU_northeast</v>
      </c>
      <c r="H16" t="str">
        <f>"GlbMarket_"&amp;VLOOKUP(G1,$A$1:$B$50,2,FALSE)</f>
        <v>GlbMarket_BIOCHR</v>
      </c>
      <c r="J16" t="str">
        <f t="shared" si="1"/>
        <v>EU_northeast</v>
      </c>
      <c r="K16" t="str">
        <f>"GlbMarket_"&amp;VLOOKUP(J1,$A$1:$B$50,2,FALSE)</f>
        <v>GlbMarket_BIODST</v>
      </c>
      <c r="M16" t="str">
        <f t="shared" si="2"/>
        <v>EU_northeast</v>
      </c>
      <c r="N16" t="str">
        <f>"GlbMarket_"&amp;VLOOKUP(M1,$A$1:$B$50,2,FALSE)</f>
        <v>GlbMarket_BIOGSL</v>
      </c>
      <c r="P16" t="str">
        <f t="shared" si="3"/>
        <v>EU_northeast</v>
      </c>
      <c r="Q16" t="str">
        <f>"GlbMarket_"&amp;VLOOKUP(P1,$A$1:$B$50,2,FALSE)</f>
        <v>GlbMarket_BIOJTK</v>
      </c>
      <c r="S16" t="str">
        <f t="shared" si="4"/>
        <v>EU_northeast</v>
      </c>
      <c r="T16" t="str">
        <f>"GlbMarket_"&amp;VLOOKUP(S1,$A$1:$B$50,2,FALSE)</f>
        <v>GlbMarket_COABCO</v>
      </c>
      <c r="V16" t="str">
        <f t="shared" si="5"/>
        <v>EU_northeast</v>
      </c>
      <c r="W16" t="str">
        <f>"GlbMarket_"&amp;VLOOKUP(V1,$A$1:$B$50,2,FALSE)</f>
        <v>GlbMarket_COACOK</v>
      </c>
      <c r="Y16" t="str">
        <f t="shared" si="6"/>
        <v>EU_northeast</v>
      </c>
      <c r="Z16" t="str">
        <f>"GlbMarket_"&amp;VLOOKUP(Y1,$A$1:$B$50,2,FALSE)</f>
        <v>GlbMarket_COAHCO</v>
      </c>
      <c r="AB16" t="str">
        <f t="shared" si="7"/>
        <v>EU_northeast</v>
      </c>
      <c r="AC16" t="str">
        <f>"GlbMarket_"&amp;VLOOKUP(AB1,$A$1:$B$50,2,FALSE)</f>
        <v>GlbMarket_COAOVC</v>
      </c>
      <c r="AE16" t="str">
        <f t="shared" si="8"/>
        <v>EU_northeast</v>
      </c>
      <c r="AF16" t="str">
        <f>"GlbMarket_"&amp;VLOOKUP(AE1,$A$1:$B$50,2,FALSE)</f>
        <v>GlbMarket_COATAR</v>
      </c>
      <c r="AH16" t="str">
        <f t="shared" si="9"/>
        <v>EU_northeast</v>
      </c>
      <c r="AI16" t="str">
        <f>"GlbMarket_"&amp;VLOOKUP(AH1,$A$1:$B$50,2,FALSE)</f>
        <v>GlbMarket_GASETH</v>
      </c>
      <c r="AK16" t="str">
        <f t="shared" si="10"/>
        <v>EU_northeast</v>
      </c>
      <c r="AL16" t="str">
        <f>"GlbMarket_"&amp;VLOOKUP(AK1,$A$1:$B$50,2,FALSE)</f>
        <v>GlbMarket_GASLNG</v>
      </c>
      <c r="AN16" t="str">
        <f t="shared" si="11"/>
        <v>EU_northeast</v>
      </c>
      <c r="AO16" t="str">
        <f>"GlbMarket_"&amp;VLOOKUP(AN1,$A$1:$B$50,2,FALSE)</f>
        <v>GlbMarket_OILASP</v>
      </c>
      <c r="AQ16" t="str">
        <f t="shared" si="12"/>
        <v>EU_northeast</v>
      </c>
      <c r="AR16" t="str">
        <f>"GlbMarket_"&amp;VLOOKUP(AQ1,$A$1:$B$50,2,FALSE)</f>
        <v>GlbMarket_OILCRD</v>
      </c>
    </row>
    <row r="17" spans="1:44">
      <c r="A17">
        <v>17</v>
      </c>
      <c r="B17" t="s">
        <v>3</v>
      </c>
      <c r="D17" s="2" t="s">
        <v>143</v>
      </c>
      <c r="E17" t="str">
        <f>"GlbMarket_"&amp;VLOOKUP(D1,$A$1:$B$50,2,FALSE)</f>
        <v>GlbMarket_BIOBSL</v>
      </c>
      <c r="G17" t="str">
        <f t="shared" si="0"/>
        <v>EU_northwest</v>
      </c>
      <c r="H17" t="str">
        <f>"GlbMarket_"&amp;VLOOKUP(G1,$A$1:$B$50,2,FALSE)</f>
        <v>GlbMarket_BIOCHR</v>
      </c>
      <c r="J17" t="str">
        <f t="shared" si="1"/>
        <v>EU_northwest</v>
      </c>
      <c r="K17" t="str">
        <f>"GlbMarket_"&amp;VLOOKUP(J1,$A$1:$B$50,2,FALSE)</f>
        <v>GlbMarket_BIODST</v>
      </c>
      <c r="M17" t="str">
        <f t="shared" si="2"/>
        <v>EU_northwest</v>
      </c>
      <c r="N17" t="str">
        <f>"GlbMarket_"&amp;VLOOKUP(M1,$A$1:$B$50,2,FALSE)</f>
        <v>GlbMarket_BIOGSL</v>
      </c>
      <c r="P17" t="str">
        <f t="shared" si="3"/>
        <v>EU_northwest</v>
      </c>
      <c r="Q17" t="str">
        <f>"GlbMarket_"&amp;VLOOKUP(P1,$A$1:$B$50,2,FALSE)</f>
        <v>GlbMarket_BIOJTK</v>
      </c>
      <c r="S17" t="str">
        <f t="shared" si="4"/>
        <v>EU_northwest</v>
      </c>
      <c r="T17" t="str">
        <f>"GlbMarket_"&amp;VLOOKUP(S1,$A$1:$B$50,2,FALSE)</f>
        <v>GlbMarket_COABCO</v>
      </c>
      <c r="V17" t="str">
        <f t="shared" si="5"/>
        <v>EU_northwest</v>
      </c>
      <c r="W17" t="str">
        <f>"GlbMarket_"&amp;VLOOKUP(V1,$A$1:$B$50,2,FALSE)</f>
        <v>GlbMarket_COACOK</v>
      </c>
      <c r="Y17" t="str">
        <f t="shared" si="6"/>
        <v>EU_northwest</v>
      </c>
      <c r="Z17" t="str">
        <f>"GlbMarket_"&amp;VLOOKUP(Y1,$A$1:$B$50,2,FALSE)</f>
        <v>GlbMarket_COAHCO</v>
      </c>
      <c r="AB17" t="str">
        <f t="shared" si="7"/>
        <v>EU_northwest</v>
      </c>
      <c r="AC17" t="str">
        <f>"GlbMarket_"&amp;VLOOKUP(AB1,$A$1:$B$50,2,FALSE)</f>
        <v>GlbMarket_COAOVC</v>
      </c>
      <c r="AE17" t="str">
        <f t="shared" si="8"/>
        <v>EU_northwest</v>
      </c>
      <c r="AF17" t="str">
        <f>"GlbMarket_"&amp;VLOOKUP(AE1,$A$1:$B$50,2,FALSE)</f>
        <v>GlbMarket_COATAR</v>
      </c>
      <c r="AH17" t="str">
        <f t="shared" si="9"/>
        <v>EU_northwest</v>
      </c>
      <c r="AI17" t="str">
        <f>"GlbMarket_"&amp;VLOOKUP(AH1,$A$1:$B$50,2,FALSE)</f>
        <v>GlbMarket_GASETH</v>
      </c>
      <c r="AK17" t="str">
        <f t="shared" si="10"/>
        <v>EU_northwest</v>
      </c>
      <c r="AL17" t="str">
        <f>"GlbMarket_"&amp;VLOOKUP(AK1,$A$1:$B$50,2,FALSE)</f>
        <v>GlbMarket_GASLNG</v>
      </c>
      <c r="AN17" t="str">
        <f t="shared" si="11"/>
        <v>EU_northwest</v>
      </c>
      <c r="AO17" t="str">
        <f>"GlbMarket_"&amp;VLOOKUP(AN1,$A$1:$B$50,2,FALSE)</f>
        <v>GlbMarket_OILASP</v>
      </c>
      <c r="AQ17" t="str">
        <f t="shared" si="12"/>
        <v>EU_northwest</v>
      </c>
      <c r="AR17" t="str">
        <f>"GlbMarket_"&amp;VLOOKUP(AQ1,$A$1:$B$50,2,FALSE)</f>
        <v>GlbMarket_OILCRD</v>
      </c>
    </row>
    <row r="18" spans="1:44">
      <c r="A18">
        <v>18</v>
      </c>
      <c r="B18" t="s">
        <v>4</v>
      </c>
      <c r="D18" s="2" t="s">
        <v>144</v>
      </c>
      <c r="E18" t="str">
        <f>"GlbMarket_"&amp;VLOOKUP(D1,$A$1:$B$50,2,FALSE)</f>
        <v>GlbMarket_BIOBSL</v>
      </c>
      <c r="G18" t="str">
        <f t="shared" si="0"/>
        <v>EU_south</v>
      </c>
      <c r="H18" t="str">
        <f>"GlbMarket_"&amp;VLOOKUP(G1,$A$1:$B$50,2,FALSE)</f>
        <v>GlbMarket_BIOCHR</v>
      </c>
      <c r="J18" t="str">
        <f t="shared" si="1"/>
        <v>EU_south</v>
      </c>
      <c r="K18" t="str">
        <f>"GlbMarket_"&amp;VLOOKUP(J1,$A$1:$B$50,2,FALSE)</f>
        <v>GlbMarket_BIODST</v>
      </c>
      <c r="M18" t="str">
        <f t="shared" si="2"/>
        <v>EU_south</v>
      </c>
      <c r="N18" t="str">
        <f>"GlbMarket_"&amp;VLOOKUP(M1,$A$1:$B$50,2,FALSE)</f>
        <v>GlbMarket_BIOGSL</v>
      </c>
      <c r="P18" t="str">
        <f t="shared" si="3"/>
        <v>EU_south</v>
      </c>
      <c r="Q18" t="str">
        <f>"GlbMarket_"&amp;VLOOKUP(P1,$A$1:$B$50,2,FALSE)</f>
        <v>GlbMarket_BIOJTK</v>
      </c>
      <c r="S18" t="str">
        <f t="shared" si="4"/>
        <v>EU_south</v>
      </c>
      <c r="T18" t="str">
        <f>"GlbMarket_"&amp;VLOOKUP(S1,$A$1:$B$50,2,FALSE)</f>
        <v>GlbMarket_COABCO</v>
      </c>
      <c r="V18" t="str">
        <f t="shared" si="5"/>
        <v>EU_south</v>
      </c>
      <c r="W18" t="str">
        <f>"GlbMarket_"&amp;VLOOKUP(V1,$A$1:$B$50,2,FALSE)</f>
        <v>GlbMarket_COACOK</v>
      </c>
      <c r="Y18" t="str">
        <f t="shared" si="6"/>
        <v>EU_south</v>
      </c>
      <c r="Z18" t="str">
        <f>"GlbMarket_"&amp;VLOOKUP(Y1,$A$1:$B$50,2,FALSE)</f>
        <v>GlbMarket_COAHCO</v>
      </c>
      <c r="AB18" t="str">
        <f t="shared" si="7"/>
        <v>EU_south</v>
      </c>
      <c r="AC18" t="str">
        <f>"GlbMarket_"&amp;VLOOKUP(AB1,$A$1:$B$50,2,FALSE)</f>
        <v>GlbMarket_COAOVC</v>
      </c>
      <c r="AE18" t="str">
        <f t="shared" si="8"/>
        <v>EU_south</v>
      </c>
      <c r="AF18" t="str">
        <f>"GlbMarket_"&amp;VLOOKUP(AE1,$A$1:$B$50,2,FALSE)</f>
        <v>GlbMarket_COATAR</v>
      </c>
      <c r="AH18" t="str">
        <f t="shared" si="9"/>
        <v>EU_south</v>
      </c>
      <c r="AI18" t="str">
        <f>"GlbMarket_"&amp;VLOOKUP(AH1,$A$1:$B$50,2,FALSE)</f>
        <v>GlbMarket_GASETH</v>
      </c>
      <c r="AK18" t="str">
        <f t="shared" si="10"/>
        <v>EU_south</v>
      </c>
      <c r="AL18" t="str">
        <f>"GlbMarket_"&amp;VLOOKUP(AK1,$A$1:$B$50,2,FALSE)</f>
        <v>GlbMarket_GASLNG</v>
      </c>
      <c r="AN18" t="str">
        <f t="shared" si="11"/>
        <v>EU_south</v>
      </c>
      <c r="AO18" t="str">
        <f>"GlbMarket_"&amp;VLOOKUP(AN1,$A$1:$B$50,2,FALSE)</f>
        <v>GlbMarket_OILASP</v>
      </c>
      <c r="AQ18" t="str">
        <f t="shared" si="12"/>
        <v>EU_south</v>
      </c>
      <c r="AR18" t="str">
        <f>"GlbMarket_"&amp;VLOOKUP(AQ1,$A$1:$B$50,2,FALSE)</f>
        <v>GlbMarket_OILCRD</v>
      </c>
    </row>
    <row r="19" spans="1:44">
      <c r="A19">
        <v>19</v>
      </c>
      <c r="B19" t="s">
        <v>18</v>
      </c>
      <c r="D19" s="2" t="s">
        <v>145</v>
      </c>
      <c r="E19" t="str">
        <f>"GlbMarket_"&amp;VLOOKUP(D1,$A$1:$B$50,2,FALSE)</f>
        <v>GlbMarket_BIOBSL</v>
      </c>
      <c r="G19" t="str">
        <f t="shared" si="0"/>
        <v>EU_southeast</v>
      </c>
      <c r="H19" t="str">
        <f>"GlbMarket_"&amp;VLOOKUP(G1,$A$1:$B$50,2,FALSE)</f>
        <v>GlbMarket_BIOCHR</v>
      </c>
      <c r="J19" t="str">
        <f t="shared" si="1"/>
        <v>EU_southeast</v>
      </c>
      <c r="K19" t="str">
        <f>"GlbMarket_"&amp;VLOOKUP(J1,$A$1:$B$50,2,FALSE)</f>
        <v>GlbMarket_BIODST</v>
      </c>
      <c r="M19" t="str">
        <f t="shared" si="2"/>
        <v>EU_southeast</v>
      </c>
      <c r="N19" t="str">
        <f>"GlbMarket_"&amp;VLOOKUP(M1,$A$1:$B$50,2,FALSE)</f>
        <v>GlbMarket_BIOGSL</v>
      </c>
      <c r="P19" t="str">
        <f t="shared" si="3"/>
        <v>EU_southeast</v>
      </c>
      <c r="Q19" t="str">
        <f>"GlbMarket_"&amp;VLOOKUP(P1,$A$1:$B$50,2,FALSE)</f>
        <v>GlbMarket_BIOJTK</v>
      </c>
      <c r="S19" t="str">
        <f t="shared" si="4"/>
        <v>EU_southeast</v>
      </c>
      <c r="T19" t="str">
        <f>"GlbMarket_"&amp;VLOOKUP(S1,$A$1:$B$50,2,FALSE)</f>
        <v>GlbMarket_COABCO</v>
      </c>
      <c r="V19" t="str">
        <f t="shared" si="5"/>
        <v>EU_southeast</v>
      </c>
      <c r="W19" t="str">
        <f>"GlbMarket_"&amp;VLOOKUP(V1,$A$1:$B$50,2,FALSE)</f>
        <v>GlbMarket_COACOK</v>
      </c>
      <c r="Y19" t="str">
        <f t="shared" si="6"/>
        <v>EU_southeast</v>
      </c>
      <c r="Z19" t="str">
        <f>"GlbMarket_"&amp;VLOOKUP(Y1,$A$1:$B$50,2,FALSE)</f>
        <v>GlbMarket_COAHCO</v>
      </c>
      <c r="AB19" t="str">
        <f t="shared" si="7"/>
        <v>EU_southeast</v>
      </c>
      <c r="AC19" t="str">
        <f>"GlbMarket_"&amp;VLOOKUP(AB1,$A$1:$B$50,2,FALSE)</f>
        <v>GlbMarket_COAOVC</v>
      </c>
      <c r="AE19" t="str">
        <f t="shared" si="8"/>
        <v>EU_southeast</v>
      </c>
      <c r="AF19" t="str">
        <f>"GlbMarket_"&amp;VLOOKUP(AE1,$A$1:$B$50,2,FALSE)</f>
        <v>GlbMarket_COATAR</v>
      </c>
      <c r="AH19" t="str">
        <f t="shared" si="9"/>
        <v>EU_southeast</v>
      </c>
      <c r="AI19" t="str">
        <f>"GlbMarket_"&amp;VLOOKUP(AH1,$A$1:$B$50,2,FALSE)</f>
        <v>GlbMarket_GASETH</v>
      </c>
      <c r="AK19" t="str">
        <f t="shared" si="10"/>
        <v>EU_southeast</v>
      </c>
      <c r="AL19" t="str">
        <f>"GlbMarket_"&amp;VLOOKUP(AK1,$A$1:$B$50,2,FALSE)</f>
        <v>GlbMarket_GASLNG</v>
      </c>
      <c r="AN19" t="str">
        <f t="shared" si="11"/>
        <v>EU_southeast</v>
      </c>
      <c r="AO19" t="str">
        <f>"GlbMarket_"&amp;VLOOKUP(AN1,$A$1:$B$50,2,FALSE)</f>
        <v>GlbMarket_OILASP</v>
      </c>
      <c r="AQ19" t="str">
        <f t="shared" si="12"/>
        <v>EU_southeast</v>
      </c>
      <c r="AR19" t="str">
        <f>"GlbMarket_"&amp;VLOOKUP(AQ1,$A$1:$B$50,2,FALSE)</f>
        <v>GlbMarket_OILCRD</v>
      </c>
    </row>
    <row r="20" spans="1:44">
      <c r="A20">
        <v>20</v>
      </c>
      <c r="B20" t="s">
        <v>19</v>
      </c>
      <c r="D20" s="2" t="s">
        <v>146</v>
      </c>
      <c r="E20" t="str">
        <f>"GlbMarket_"&amp;VLOOKUP(D1,$A$1:$B$50,2,FALSE)</f>
        <v>GlbMarket_BIOBSL</v>
      </c>
      <c r="G20" t="str">
        <f t="shared" si="0"/>
        <v>EU_southwest</v>
      </c>
      <c r="H20" t="str">
        <f>"GlbMarket_"&amp;VLOOKUP(G1,$A$1:$B$50,2,FALSE)</f>
        <v>GlbMarket_BIOCHR</v>
      </c>
      <c r="J20" t="str">
        <f t="shared" si="1"/>
        <v>EU_southwest</v>
      </c>
      <c r="K20" t="str">
        <f>"GlbMarket_"&amp;VLOOKUP(J1,$A$1:$B$50,2,FALSE)</f>
        <v>GlbMarket_BIODST</v>
      </c>
      <c r="M20" t="str">
        <f t="shared" si="2"/>
        <v>EU_southwest</v>
      </c>
      <c r="N20" t="str">
        <f>"GlbMarket_"&amp;VLOOKUP(M1,$A$1:$B$50,2,FALSE)</f>
        <v>GlbMarket_BIOGSL</v>
      </c>
      <c r="P20" t="str">
        <f t="shared" si="3"/>
        <v>EU_southwest</v>
      </c>
      <c r="Q20" t="str">
        <f>"GlbMarket_"&amp;VLOOKUP(P1,$A$1:$B$50,2,FALSE)</f>
        <v>GlbMarket_BIOJTK</v>
      </c>
      <c r="S20" t="str">
        <f t="shared" si="4"/>
        <v>EU_southwest</v>
      </c>
      <c r="T20" t="str">
        <f>"GlbMarket_"&amp;VLOOKUP(S1,$A$1:$B$50,2,FALSE)</f>
        <v>GlbMarket_COABCO</v>
      </c>
      <c r="V20" t="str">
        <f t="shared" si="5"/>
        <v>EU_southwest</v>
      </c>
      <c r="W20" t="str">
        <f>"GlbMarket_"&amp;VLOOKUP(V1,$A$1:$B$50,2,FALSE)</f>
        <v>GlbMarket_COACOK</v>
      </c>
      <c r="Y20" t="str">
        <f t="shared" si="6"/>
        <v>EU_southwest</v>
      </c>
      <c r="Z20" t="str">
        <f>"GlbMarket_"&amp;VLOOKUP(Y1,$A$1:$B$50,2,FALSE)</f>
        <v>GlbMarket_COAHCO</v>
      </c>
      <c r="AB20" t="str">
        <f t="shared" si="7"/>
        <v>EU_southwest</v>
      </c>
      <c r="AC20" t="str">
        <f>"GlbMarket_"&amp;VLOOKUP(AB1,$A$1:$B$50,2,FALSE)</f>
        <v>GlbMarket_COAOVC</v>
      </c>
      <c r="AE20" t="str">
        <f t="shared" si="8"/>
        <v>EU_southwest</v>
      </c>
      <c r="AF20" t="str">
        <f>"GlbMarket_"&amp;VLOOKUP(AE1,$A$1:$B$50,2,FALSE)</f>
        <v>GlbMarket_COATAR</v>
      </c>
      <c r="AH20" t="str">
        <f t="shared" si="9"/>
        <v>EU_southwest</v>
      </c>
      <c r="AI20" t="str">
        <f>"GlbMarket_"&amp;VLOOKUP(AH1,$A$1:$B$50,2,FALSE)</f>
        <v>GlbMarket_GASETH</v>
      </c>
      <c r="AK20" t="str">
        <f t="shared" si="10"/>
        <v>EU_southwest</v>
      </c>
      <c r="AL20" t="str">
        <f>"GlbMarket_"&amp;VLOOKUP(AK1,$A$1:$B$50,2,FALSE)</f>
        <v>GlbMarket_GASLNG</v>
      </c>
      <c r="AN20" t="str">
        <f t="shared" si="11"/>
        <v>EU_southwest</v>
      </c>
      <c r="AO20" t="str">
        <f>"GlbMarket_"&amp;VLOOKUP(AN1,$A$1:$B$50,2,FALSE)</f>
        <v>GlbMarket_OILASP</v>
      </c>
      <c r="AQ20" t="str">
        <f t="shared" si="12"/>
        <v>EU_southwest</v>
      </c>
      <c r="AR20" t="str">
        <f>"GlbMarket_"&amp;VLOOKUP(AQ1,$A$1:$B$50,2,FALSE)</f>
        <v>GlbMarket_OILCRD</v>
      </c>
    </row>
    <row r="21" spans="1:44">
      <c r="A21">
        <v>21</v>
      </c>
      <c r="B21" t="s">
        <v>20</v>
      </c>
      <c r="D21" s="2" t="s">
        <v>147</v>
      </c>
      <c r="E21" t="str">
        <f>"GlbMarket_"&amp;VLOOKUP(D1,$A$1:$B$50,2,FALSE)</f>
        <v>GlbMarket_BIOBSL</v>
      </c>
      <c r="G21" t="str">
        <f t="shared" si="0"/>
        <v>Europe_other</v>
      </c>
      <c r="H21" t="str">
        <f>"GlbMarket_"&amp;VLOOKUP(G1,$A$1:$B$50,2,FALSE)</f>
        <v>GlbMarket_BIOCHR</v>
      </c>
      <c r="J21" t="str">
        <f t="shared" si="1"/>
        <v>Europe_other</v>
      </c>
      <c r="K21" t="str">
        <f>"GlbMarket_"&amp;VLOOKUP(J1,$A$1:$B$50,2,FALSE)</f>
        <v>GlbMarket_BIODST</v>
      </c>
      <c r="M21" t="str">
        <f t="shared" si="2"/>
        <v>Europe_other</v>
      </c>
      <c r="N21" t="str">
        <f>"GlbMarket_"&amp;VLOOKUP(M1,$A$1:$B$50,2,FALSE)</f>
        <v>GlbMarket_BIOGSL</v>
      </c>
      <c r="P21" t="str">
        <f t="shared" si="3"/>
        <v>Europe_other</v>
      </c>
      <c r="Q21" t="str">
        <f>"GlbMarket_"&amp;VLOOKUP(P1,$A$1:$B$50,2,FALSE)</f>
        <v>GlbMarket_BIOJTK</v>
      </c>
      <c r="S21" t="str">
        <f t="shared" si="4"/>
        <v>Europe_other</v>
      </c>
      <c r="T21" t="str">
        <f>"GlbMarket_"&amp;VLOOKUP(S1,$A$1:$B$50,2,FALSE)</f>
        <v>GlbMarket_COABCO</v>
      </c>
      <c r="V21" t="str">
        <f t="shared" si="5"/>
        <v>Europe_other</v>
      </c>
      <c r="W21" t="str">
        <f>"GlbMarket_"&amp;VLOOKUP(V1,$A$1:$B$50,2,FALSE)</f>
        <v>GlbMarket_COACOK</v>
      </c>
      <c r="Y21" t="str">
        <f t="shared" si="6"/>
        <v>Europe_other</v>
      </c>
      <c r="Z21" t="str">
        <f>"GlbMarket_"&amp;VLOOKUP(Y1,$A$1:$B$50,2,FALSE)</f>
        <v>GlbMarket_COAHCO</v>
      </c>
      <c r="AB21" t="str">
        <f t="shared" si="7"/>
        <v>Europe_other</v>
      </c>
      <c r="AC21" t="str">
        <f>"GlbMarket_"&amp;VLOOKUP(AB1,$A$1:$B$50,2,FALSE)</f>
        <v>GlbMarket_COAOVC</v>
      </c>
      <c r="AE21" t="str">
        <f t="shared" si="8"/>
        <v>Europe_other</v>
      </c>
      <c r="AF21" t="str">
        <f>"GlbMarket_"&amp;VLOOKUP(AE1,$A$1:$B$50,2,FALSE)</f>
        <v>GlbMarket_COATAR</v>
      </c>
      <c r="AH21" t="str">
        <f t="shared" si="9"/>
        <v>Europe_other</v>
      </c>
      <c r="AI21" t="str">
        <f>"GlbMarket_"&amp;VLOOKUP(AH1,$A$1:$B$50,2,FALSE)</f>
        <v>GlbMarket_GASETH</v>
      </c>
      <c r="AK21" t="str">
        <f t="shared" si="10"/>
        <v>Europe_other</v>
      </c>
      <c r="AL21" t="str">
        <f>"GlbMarket_"&amp;VLOOKUP(AK1,$A$1:$B$50,2,FALSE)</f>
        <v>GlbMarket_GASLNG</v>
      </c>
      <c r="AN21" t="str">
        <f t="shared" si="11"/>
        <v>Europe_other</v>
      </c>
      <c r="AO21" t="str">
        <f>"GlbMarket_"&amp;VLOOKUP(AN1,$A$1:$B$50,2,FALSE)</f>
        <v>GlbMarket_OILASP</v>
      </c>
      <c r="AQ21" t="str">
        <f t="shared" si="12"/>
        <v>Europe_other</v>
      </c>
      <c r="AR21" t="str">
        <f>"GlbMarket_"&amp;VLOOKUP(AQ1,$A$1:$B$50,2,FALSE)</f>
        <v>GlbMarket_OILCRD</v>
      </c>
    </row>
    <row r="22" spans="1:44">
      <c r="A22">
        <v>22</v>
      </c>
      <c r="B22" t="s">
        <v>21</v>
      </c>
      <c r="D22" s="2" t="s">
        <v>148</v>
      </c>
      <c r="E22" t="str">
        <f>E21</f>
        <v>GlbMarket_BIOBSL</v>
      </c>
      <c r="G22" t="str">
        <f t="shared" si="0"/>
        <v>France</v>
      </c>
      <c r="H22" t="str">
        <f>H21</f>
        <v>GlbMarket_BIOCHR</v>
      </c>
      <c r="J22" t="str">
        <f t="shared" si="1"/>
        <v>France</v>
      </c>
      <c r="K22" t="str">
        <f>K21</f>
        <v>GlbMarket_BIODST</v>
      </c>
      <c r="M22" t="str">
        <f t="shared" si="2"/>
        <v>France</v>
      </c>
      <c r="N22" t="str">
        <f>N21</f>
        <v>GlbMarket_BIOGSL</v>
      </c>
      <c r="P22" t="str">
        <f t="shared" si="3"/>
        <v>France</v>
      </c>
      <c r="Q22" t="str">
        <f>Q21</f>
        <v>GlbMarket_BIOJTK</v>
      </c>
      <c r="S22" t="str">
        <f t="shared" si="4"/>
        <v>France</v>
      </c>
      <c r="T22" t="str">
        <f>T21</f>
        <v>GlbMarket_COABCO</v>
      </c>
      <c r="V22" t="str">
        <f t="shared" si="5"/>
        <v>France</v>
      </c>
      <c r="W22" t="str">
        <f>W21</f>
        <v>GlbMarket_COACOK</v>
      </c>
      <c r="Y22" t="str">
        <f t="shared" si="6"/>
        <v>France</v>
      </c>
      <c r="Z22" t="str">
        <f>Z21</f>
        <v>GlbMarket_COAHCO</v>
      </c>
      <c r="AB22" t="str">
        <f t="shared" si="7"/>
        <v>France</v>
      </c>
      <c r="AC22" t="str">
        <f>AC21</f>
        <v>GlbMarket_COAOVC</v>
      </c>
      <c r="AE22" t="str">
        <f t="shared" si="8"/>
        <v>France</v>
      </c>
      <c r="AF22" t="str">
        <f>AF21</f>
        <v>GlbMarket_COATAR</v>
      </c>
      <c r="AH22" t="str">
        <f t="shared" si="9"/>
        <v>France</v>
      </c>
      <c r="AI22" t="str">
        <f>AI21</f>
        <v>GlbMarket_GASETH</v>
      </c>
      <c r="AK22" t="str">
        <f t="shared" si="10"/>
        <v>France</v>
      </c>
      <c r="AL22" t="str">
        <f>AL21</f>
        <v>GlbMarket_GASLNG</v>
      </c>
      <c r="AN22" t="str">
        <f t="shared" si="11"/>
        <v>France</v>
      </c>
      <c r="AO22" t="str">
        <f>AO21</f>
        <v>GlbMarket_OILASP</v>
      </c>
      <c r="AQ22" t="str">
        <f t="shared" si="12"/>
        <v>France</v>
      </c>
      <c r="AR22" t="str">
        <f>AR21</f>
        <v>GlbMarket_OILCRD</v>
      </c>
    </row>
    <row r="23" spans="1:44">
      <c r="A23">
        <v>23</v>
      </c>
      <c r="B23" t="s">
        <v>5</v>
      </c>
      <c r="D23" s="2" t="s">
        <v>116</v>
      </c>
      <c r="E23" t="str">
        <f t="shared" ref="E23:E34" si="13">E22</f>
        <v>GlbMarket_BIOBSL</v>
      </c>
      <c r="G23" t="str">
        <f t="shared" si="0"/>
        <v>Germany</v>
      </c>
      <c r="H23" t="str">
        <f t="shared" ref="H23:H34" si="14">H22</f>
        <v>GlbMarket_BIOCHR</v>
      </c>
      <c r="J23" t="str">
        <f t="shared" si="1"/>
        <v>Germany</v>
      </c>
      <c r="K23" t="str">
        <f t="shared" ref="K23:K34" si="15">K22</f>
        <v>GlbMarket_BIODST</v>
      </c>
      <c r="M23" t="str">
        <f t="shared" si="2"/>
        <v>Germany</v>
      </c>
      <c r="N23" t="str">
        <f t="shared" ref="N23:N34" si="16">N22</f>
        <v>GlbMarket_BIOGSL</v>
      </c>
      <c r="P23" t="str">
        <f t="shared" si="3"/>
        <v>Germany</v>
      </c>
      <c r="Q23" t="str">
        <f t="shared" ref="Q23:Q34" si="17">Q22</f>
        <v>GlbMarket_BIOJTK</v>
      </c>
      <c r="S23" t="str">
        <f t="shared" si="4"/>
        <v>Germany</v>
      </c>
      <c r="T23" t="str">
        <f t="shared" ref="T23:T34" si="18">T22</f>
        <v>GlbMarket_COABCO</v>
      </c>
      <c r="V23" t="str">
        <f t="shared" si="5"/>
        <v>Germany</v>
      </c>
      <c r="W23" t="str">
        <f t="shared" ref="W23:W34" si="19">W22</f>
        <v>GlbMarket_COACOK</v>
      </c>
      <c r="Y23" t="str">
        <f t="shared" si="6"/>
        <v>Germany</v>
      </c>
      <c r="Z23" t="str">
        <f t="shared" ref="Z23:Z34" si="20">Z22</f>
        <v>GlbMarket_COAHCO</v>
      </c>
      <c r="AB23" t="str">
        <f t="shared" si="7"/>
        <v>Germany</v>
      </c>
      <c r="AC23" t="str">
        <f t="shared" ref="AC23:AC34" si="21">AC22</f>
        <v>GlbMarket_COAOVC</v>
      </c>
      <c r="AE23" t="str">
        <f t="shared" si="8"/>
        <v>Germany</v>
      </c>
      <c r="AF23" t="str">
        <f t="shared" ref="AF23:AF34" si="22">AF22</f>
        <v>GlbMarket_COATAR</v>
      </c>
      <c r="AH23" t="str">
        <f t="shared" si="9"/>
        <v>Germany</v>
      </c>
      <c r="AI23" t="str">
        <f t="shared" ref="AI23:AI34" si="23">AI22</f>
        <v>GlbMarket_GASETH</v>
      </c>
      <c r="AK23" t="str">
        <f t="shared" si="10"/>
        <v>Germany</v>
      </c>
      <c r="AL23" t="str">
        <f t="shared" ref="AL23:AL34" si="24">AL22</f>
        <v>GlbMarket_GASLNG</v>
      </c>
      <c r="AN23" t="str">
        <f t="shared" si="11"/>
        <v>Germany</v>
      </c>
      <c r="AO23" t="str">
        <f t="shared" ref="AO23:AO34" si="25">AO22</f>
        <v>GlbMarket_OILASP</v>
      </c>
      <c r="AQ23" t="str">
        <f t="shared" si="12"/>
        <v>Germany</v>
      </c>
      <c r="AR23" t="str">
        <f t="shared" ref="AR23:AR34" si="26">AR22</f>
        <v>GlbMarket_OILCRD</v>
      </c>
    </row>
    <row r="24" spans="1:44">
      <c r="A24">
        <v>24</v>
      </c>
      <c r="B24" t="s">
        <v>22</v>
      </c>
      <c r="D24" s="2" t="s">
        <v>28</v>
      </c>
      <c r="E24" t="str">
        <f t="shared" si="13"/>
        <v>GlbMarket_BIOBSL</v>
      </c>
      <c r="G24" t="str">
        <f t="shared" si="0"/>
        <v>India</v>
      </c>
      <c r="H24" t="str">
        <f t="shared" si="14"/>
        <v>GlbMarket_BIOCHR</v>
      </c>
      <c r="J24" t="str">
        <f t="shared" si="1"/>
        <v>India</v>
      </c>
      <c r="K24" t="str">
        <f t="shared" si="15"/>
        <v>GlbMarket_BIODST</v>
      </c>
      <c r="M24" t="str">
        <f t="shared" si="2"/>
        <v>India</v>
      </c>
      <c r="N24" t="str">
        <f t="shared" si="16"/>
        <v>GlbMarket_BIOGSL</v>
      </c>
      <c r="P24" t="str">
        <f t="shared" si="3"/>
        <v>India</v>
      </c>
      <c r="Q24" t="str">
        <f t="shared" si="17"/>
        <v>GlbMarket_BIOJTK</v>
      </c>
      <c r="S24" t="str">
        <f t="shared" si="4"/>
        <v>India</v>
      </c>
      <c r="T24" t="str">
        <f t="shared" si="18"/>
        <v>GlbMarket_COABCO</v>
      </c>
      <c r="V24" t="str">
        <f t="shared" si="5"/>
        <v>India</v>
      </c>
      <c r="W24" t="str">
        <f t="shared" si="19"/>
        <v>GlbMarket_COACOK</v>
      </c>
      <c r="Y24" t="str">
        <f t="shared" si="6"/>
        <v>India</v>
      </c>
      <c r="Z24" t="str">
        <f t="shared" si="20"/>
        <v>GlbMarket_COAHCO</v>
      </c>
      <c r="AB24" t="str">
        <f t="shared" si="7"/>
        <v>India</v>
      </c>
      <c r="AC24" t="str">
        <f t="shared" si="21"/>
        <v>GlbMarket_COAOVC</v>
      </c>
      <c r="AE24" t="str">
        <f t="shared" si="8"/>
        <v>India</v>
      </c>
      <c r="AF24" t="str">
        <f t="shared" si="22"/>
        <v>GlbMarket_COATAR</v>
      </c>
      <c r="AH24" t="str">
        <f t="shared" si="9"/>
        <v>India</v>
      </c>
      <c r="AI24" t="str">
        <f t="shared" si="23"/>
        <v>GlbMarket_GASETH</v>
      </c>
      <c r="AK24" t="str">
        <f t="shared" si="10"/>
        <v>India</v>
      </c>
      <c r="AL24" t="str">
        <f t="shared" si="24"/>
        <v>GlbMarket_GASLNG</v>
      </c>
      <c r="AN24" t="str">
        <f t="shared" si="11"/>
        <v>India</v>
      </c>
      <c r="AO24" t="str">
        <f t="shared" si="25"/>
        <v>GlbMarket_OILASP</v>
      </c>
      <c r="AQ24" t="str">
        <f t="shared" si="12"/>
        <v>India</v>
      </c>
      <c r="AR24" t="str">
        <f t="shared" si="26"/>
        <v>GlbMarket_OILCRD</v>
      </c>
    </row>
    <row r="25" spans="1:44">
      <c r="A25">
        <v>25</v>
      </c>
      <c r="B25" t="s">
        <v>23</v>
      </c>
      <c r="D25" s="2" t="s">
        <v>149</v>
      </c>
      <c r="E25" t="str">
        <f t="shared" si="13"/>
        <v>GlbMarket_BIOBSL</v>
      </c>
      <c r="G25" t="str">
        <f t="shared" si="0"/>
        <v>LatAm_other</v>
      </c>
      <c r="H25" t="str">
        <f t="shared" si="14"/>
        <v>GlbMarket_BIOCHR</v>
      </c>
      <c r="J25" t="str">
        <f t="shared" si="1"/>
        <v>LatAm_other</v>
      </c>
      <c r="K25" t="str">
        <f t="shared" si="15"/>
        <v>GlbMarket_BIODST</v>
      </c>
      <c r="M25" t="str">
        <f t="shared" si="2"/>
        <v>LatAm_other</v>
      </c>
      <c r="N25" t="str">
        <f t="shared" si="16"/>
        <v>GlbMarket_BIOGSL</v>
      </c>
      <c r="P25" t="str">
        <f t="shared" si="3"/>
        <v>LatAm_other</v>
      </c>
      <c r="Q25" t="str">
        <f t="shared" si="17"/>
        <v>GlbMarket_BIOJTK</v>
      </c>
      <c r="S25" t="str">
        <f t="shared" si="4"/>
        <v>LatAm_other</v>
      </c>
      <c r="T25" t="str">
        <f t="shared" si="18"/>
        <v>GlbMarket_COABCO</v>
      </c>
      <c r="V25" t="str">
        <f t="shared" si="5"/>
        <v>LatAm_other</v>
      </c>
      <c r="W25" t="str">
        <f t="shared" si="19"/>
        <v>GlbMarket_COACOK</v>
      </c>
      <c r="Y25" t="str">
        <f t="shared" si="6"/>
        <v>LatAm_other</v>
      </c>
      <c r="Z25" t="str">
        <f t="shared" si="20"/>
        <v>GlbMarket_COAHCO</v>
      </c>
      <c r="AB25" t="str">
        <f t="shared" si="7"/>
        <v>LatAm_other</v>
      </c>
      <c r="AC25" t="str">
        <f t="shared" si="21"/>
        <v>GlbMarket_COAOVC</v>
      </c>
      <c r="AE25" t="str">
        <f t="shared" si="8"/>
        <v>LatAm_other</v>
      </c>
      <c r="AF25" t="str">
        <f t="shared" si="22"/>
        <v>GlbMarket_COATAR</v>
      </c>
      <c r="AH25" t="str">
        <f t="shared" si="9"/>
        <v>LatAm_other</v>
      </c>
      <c r="AI25" t="str">
        <f t="shared" si="23"/>
        <v>GlbMarket_GASETH</v>
      </c>
      <c r="AK25" t="str">
        <f t="shared" si="10"/>
        <v>LatAm_other</v>
      </c>
      <c r="AL25" t="str">
        <f t="shared" si="24"/>
        <v>GlbMarket_GASLNG</v>
      </c>
      <c r="AN25" t="str">
        <f t="shared" si="11"/>
        <v>LatAm_other</v>
      </c>
      <c r="AO25" t="str">
        <f t="shared" si="25"/>
        <v>GlbMarket_OILASP</v>
      </c>
      <c r="AQ25" t="str">
        <f t="shared" si="12"/>
        <v>LatAm_other</v>
      </c>
      <c r="AR25" t="str">
        <f t="shared" si="26"/>
        <v>GlbMarket_OILCRD</v>
      </c>
    </row>
    <row r="26" spans="1:44">
      <c r="A26">
        <v>26</v>
      </c>
      <c r="B26" t="s">
        <v>24</v>
      </c>
      <c r="D26" s="2" t="s">
        <v>150</v>
      </c>
      <c r="E26" t="str">
        <f t="shared" si="13"/>
        <v>GlbMarket_BIOBSL</v>
      </c>
      <c r="G26" t="str">
        <f t="shared" si="0"/>
        <v>Mexico</v>
      </c>
      <c r="H26" t="str">
        <f t="shared" si="14"/>
        <v>GlbMarket_BIOCHR</v>
      </c>
      <c r="J26" t="str">
        <f t="shared" si="1"/>
        <v>Mexico</v>
      </c>
      <c r="K26" t="str">
        <f t="shared" si="15"/>
        <v>GlbMarket_BIODST</v>
      </c>
      <c r="M26" t="str">
        <f t="shared" si="2"/>
        <v>Mexico</v>
      </c>
      <c r="N26" t="str">
        <f t="shared" si="16"/>
        <v>GlbMarket_BIOGSL</v>
      </c>
      <c r="P26" t="str">
        <f t="shared" si="3"/>
        <v>Mexico</v>
      </c>
      <c r="Q26" t="str">
        <f t="shared" si="17"/>
        <v>GlbMarket_BIOJTK</v>
      </c>
      <c r="S26" t="str">
        <f t="shared" si="4"/>
        <v>Mexico</v>
      </c>
      <c r="T26" t="str">
        <f t="shared" si="18"/>
        <v>GlbMarket_COABCO</v>
      </c>
      <c r="V26" t="str">
        <f t="shared" si="5"/>
        <v>Mexico</v>
      </c>
      <c r="W26" t="str">
        <f t="shared" si="19"/>
        <v>GlbMarket_COACOK</v>
      </c>
      <c r="Y26" t="str">
        <f t="shared" si="6"/>
        <v>Mexico</v>
      </c>
      <c r="Z26" t="str">
        <f t="shared" si="20"/>
        <v>GlbMarket_COAHCO</v>
      </c>
      <c r="AB26" t="str">
        <f t="shared" si="7"/>
        <v>Mexico</v>
      </c>
      <c r="AC26" t="str">
        <f t="shared" si="21"/>
        <v>GlbMarket_COAOVC</v>
      </c>
      <c r="AE26" t="str">
        <f t="shared" si="8"/>
        <v>Mexico</v>
      </c>
      <c r="AF26" t="str">
        <f t="shared" si="22"/>
        <v>GlbMarket_COATAR</v>
      </c>
      <c r="AH26" t="str">
        <f t="shared" si="9"/>
        <v>Mexico</v>
      </c>
      <c r="AI26" t="str">
        <f t="shared" si="23"/>
        <v>GlbMarket_GASETH</v>
      </c>
      <c r="AK26" t="str">
        <f t="shared" si="10"/>
        <v>Mexico</v>
      </c>
      <c r="AL26" t="str">
        <f t="shared" si="24"/>
        <v>GlbMarket_GASLNG</v>
      </c>
      <c r="AN26" t="str">
        <f t="shared" si="11"/>
        <v>Mexico</v>
      </c>
      <c r="AO26" t="str">
        <f t="shared" si="25"/>
        <v>GlbMarket_OILASP</v>
      </c>
      <c r="AQ26" t="str">
        <f t="shared" si="12"/>
        <v>Mexico</v>
      </c>
      <c r="AR26" t="str">
        <f t="shared" si="26"/>
        <v>GlbMarket_OILCRD</v>
      </c>
    </row>
    <row r="27" spans="1:44">
      <c r="A27">
        <v>27</v>
      </c>
      <c r="B27" t="s">
        <v>25</v>
      </c>
      <c r="D27" s="2" t="s">
        <v>151</v>
      </c>
      <c r="E27" t="str">
        <f t="shared" si="13"/>
        <v>GlbMarket_BIOBSL</v>
      </c>
      <c r="G27" t="str">
        <f t="shared" si="0"/>
        <v>MidEast_other</v>
      </c>
      <c r="H27" t="str">
        <f t="shared" si="14"/>
        <v>GlbMarket_BIOCHR</v>
      </c>
      <c r="J27" t="str">
        <f t="shared" si="1"/>
        <v>MidEast_other</v>
      </c>
      <c r="K27" t="str">
        <f t="shared" si="15"/>
        <v>GlbMarket_BIODST</v>
      </c>
      <c r="M27" t="str">
        <f t="shared" si="2"/>
        <v>MidEast_other</v>
      </c>
      <c r="N27" t="str">
        <f t="shared" si="16"/>
        <v>GlbMarket_BIOGSL</v>
      </c>
      <c r="P27" t="str">
        <f t="shared" si="3"/>
        <v>MidEast_other</v>
      </c>
      <c r="Q27" t="str">
        <f t="shared" si="17"/>
        <v>GlbMarket_BIOJTK</v>
      </c>
      <c r="S27" t="str">
        <f t="shared" si="4"/>
        <v>MidEast_other</v>
      </c>
      <c r="T27" t="str">
        <f t="shared" si="18"/>
        <v>GlbMarket_COABCO</v>
      </c>
      <c r="V27" t="str">
        <f t="shared" si="5"/>
        <v>MidEast_other</v>
      </c>
      <c r="W27" t="str">
        <f t="shared" si="19"/>
        <v>GlbMarket_COACOK</v>
      </c>
      <c r="Y27" t="str">
        <f t="shared" si="6"/>
        <v>MidEast_other</v>
      </c>
      <c r="Z27" t="str">
        <f t="shared" si="20"/>
        <v>GlbMarket_COAHCO</v>
      </c>
      <c r="AB27" t="str">
        <f t="shared" si="7"/>
        <v>MidEast_other</v>
      </c>
      <c r="AC27" t="str">
        <f t="shared" si="21"/>
        <v>GlbMarket_COAOVC</v>
      </c>
      <c r="AE27" t="str">
        <f t="shared" si="8"/>
        <v>MidEast_other</v>
      </c>
      <c r="AF27" t="str">
        <f t="shared" si="22"/>
        <v>GlbMarket_COATAR</v>
      </c>
      <c r="AH27" t="str">
        <f t="shared" si="9"/>
        <v>MidEast_other</v>
      </c>
      <c r="AI27" t="str">
        <f t="shared" si="23"/>
        <v>GlbMarket_GASETH</v>
      </c>
      <c r="AK27" t="str">
        <f t="shared" si="10"/>
        <v>MidEast_other</v>
      </c>
      <c r="AL27" t="str">
        <f t="shared" si="24"/>
        <v>GlbMarket_GASLNG</v>
      </c>
      <c r="AN27" t="str">
        <f t="shared" si="11"/>
        <v>MidEast_other</v>
      </c>
      <c r="AO27" t="str">
        <f t="shared" si="25"/>
        <v>GlbMarket_OILASP</v>
      </c>
      <c r="AQ27" t="str">
        <f t="shared" si="12"/>
        <v>MidEast_other</v>
      </c>
      <c r="AR27" t="str">
        <f t="shared" si="26"/>
        <v>GlbMarket_OILCRD</v>
      </c>
    </row>
    <row r="28" spans="1:44">
      <c r="A28">
        <v>28</v>
      </c>
      <c r="B28" t="s">
        <v>340</v>
      </c>
      <c r="D28" s="2" t="s">
        <v>152</v>
      </c>
      <c r="E28" t="str">
        <f t="shared" si="13"/>
        <v>GlbMarket_BIOBSL</v>
      </c>
      <c r="G28" t="str">
        <f t="shared" si="0"/>
        <v>Nor-Ice</v>
      </c>
      <c r="H28" t="str">
        <f t="shared" si="14"/>
        <v>GlbMarket_BIOCHR</v>
      </c>
      <c r="J28" t="str">
        <f t="shared" si="1"/>
        <v>Nor-Ice</v>
      </c>
      <c r="K28" t="str">
        <f t="shared" si="15"/>
        <v>GlbMarket_BIODST</v>
      </c>
      <c r="M28" t="str">
        <f t="shared" si="2"/>
        <v>Nor-Ice</v>
      </c>
      <c r="N28" t="str">
        <f t="shared" si="16"/>
        <v>GlbMarket_BIOGSL</v>
      </c>
      <c r="P28" t="str">
        <f t="shared" si="3"/>
        <v>Nor-Ice</v>
      </c>
      <c r="Q28" t="str">
        <f t="shared" si="17"/>
        <v>GlbMarket_BIOJTK</v>
      </c>
      <c r="S28" t="str">
        <f t="shared" si="4"/>
        <v>Nor-Ice</v>
      </c>
      <c r="T28" t="str">
        <f t="shared" si="18"/>
        <v>GlbMarket_COABCO</v>
      </c>
      <c r="V28" t="str">
        <f t="shared" si="5"/>
        <v>Nor-Ice</v>
      </c>
      <c r="W28" t="str">
        <f t="shared" si="19"/>
        <v>GlbMarket_COACOK</v>
      </c>
      <c r="Y28" t="str">
        <f t="shared" si="6"/>
        <v>Nor-Ice</v>
      </c>
      <c r="Z28" t="str">
        <f t="shared" si="20"/>
        <v>GlbMarket_COAHCO</v>
      </c>
      <c r="AB28" t="str">
        <f t="shared" si="7"/>
        <v>Nor-Ice</v>
      </c>
      <c r="AC28" t="str">
        <f t="shared" si="21"/>
        <v>GlbMarket_COAOVC</v>
      </c>
      <c r="AE28" t="str">
        <f t="shared" si="8"/>
        <v>Nor-Ice</v>
      </c>
      <c r="AF28" t="str">
        <f t="shared" si="22"/>
        <v>GlbMarket_COATAR</v>
      </c>
      <c r="AH28" t="str">
        <f t="shared" si="9"/>
        <v>Nor-Ice</v>
      </c>
      <c r="AI28" t="str">
        <f t="shared" si="23"/>
        <v>GlbMarket_GASETH</v>
      </c>
      <c r="AK28" t="str">
        <f t="shared" si="10"/>
        <v>Nor-Ice</v>
      </c>
      <c r="AL28" t="str">
        <f t="shared" si="24"/>
        <v>GlbMarket_GASLNG</v>
      </c>
      <c r="AN28" t="str">
        <f t="shared" si="11"/>
        <v>Nor-Ice</v>
      </c>
      <c r="AO28" t="str">
        <f t="shared" si="25"/>
        <v>GlbMarket_OILASP</v>
      </c>
      <c r="AQ28" t="str">
        <f t="shared" si="12"/>
        <v>Nor-Ice</v>
      </c>
      <c r="AR28" t="str">
        <f t="shared" si="26"/>
        <v>GlbMarket_OILCRD</v>
      </c>
    </row>
    <row r="29" spans="1:44">
      <c r="A29">
        <v>29</v>
      </c>
      <c r="B29" t="s">
        <v>114</v>
      </c>
      <c r="D29" s="2" t="s">
        <v>29</v>
      </c>
      <c r="E29" t="str">
        <f t="shared" si="13"/>
        <v>GlbMarket_BIOBSL</v>
      </c>
      <c r="G29" t="str">
        <f t="shared" si="0"/>
        <v>Russia</v>
      </c>
      <c r="H29" t="str">
        <f t="shared" si="14"/>
        <v>GlbMarket_BIOCHR</v>
      </c>
      <c r="J29" t="str">
        <f t="shared" si="1"/>
        <v>Russia</v>
      </c>
      <c r="K29" t="str">
        <f t="shared" si="15"/>
        <v>GlbMarket_BIODST</v>
      </c>
      <c r="M29" t="str">
        <f t="shared" si="2"/>
        <v>Russia</v>
      </c>
      <c r="N29" t="str">
        <f t="shared" si="16"/>
        <v>GlbMarket_BIOGSL</v>
      </c>
      <c r="P29" t="str">
        <f t="shared" si="3"/>
        <v>Russia</v>
      </c>
      <c r="Q29" t="str">
        <f t="shared" si="17"/>
        <v>GlbMarket_BIOJTK</v>
      </c>
      <c r="S29" t="str">
        <f t="shared" si="4"/>
        <v>Russia</v>
      </c>
      <c r="T29" t="str">
        <f t="shared" si="18"/>
        <v>GlbMarket_COABCO</v>
      </c>
      <c r="V29" t="str">
        <f t="shared" si="5"/>
        <v>Russia</v>
      </c>
      <c r="W29" t="str">
        <f t="shared" si="19"/>
        <v>GlbMarket_COACOK</v>
      </c>
      <c r="Y29" t="str">
        <f t="shared" si="6"/>
        <v>Russia</v>
      </c>
      <c r="Z29" t="str">
        <f t="shared" si="20"/>
        <v>GlbMarket_COAHCO</v>
      </c>
      <c r="AB29" t="str">
        <f t="shared" si="7"/>
        <v>Russia</v>
      </c>
      <c r="AC29" t="str">
        <f t="shared" si="21"/>
        <v>GlbMarket_COAOVC</v>
      </c>
      <c r="AE29" t="str">
        <f t="shared" si="8"/>
        <v>Russia</v>
      </c>
      <c r="AF29" t="str">
        <f t="shared" si="22"/>
        <v>GlbMarket_COATAR</v>
      </c>
      <c r="AH29" t="str">
        <f t="shared" si="9"/>
        <v>Russia</v>
      </c>
      <c r="AI29" t="str">
        <f t="shared" si="23"/>
        <v>GlbMarket_GASETH</v>
      </c>
      <c r="AK29" t="str">
        <f t="shared" si="10"/>
        <v>Russia</v>
      </c>
      <c r="AL29" t="str">
        <f t="shared" si="24"/>
        <v>GlbMarket_GASLNG</v>
      </c>
      <c r="AN29" t="str">
        <f t="shared" si="11"/>
        <v>Russia</v>
      </c>
      <c r="AO29" t="str">
        <f t="shared" si="25"/>
        <v>GlbMarket_OILASP</v>
      </c>
      <c r="AQ29" t="str">
        <f t="shared" si="12"/>
        <v>Russia</v>
      </c>
      <c r="AR29" t="str">
        <f t="shared" si="26"/>
        <v>GlbMarket_OILCRD</v>
      </c>
    </row>
    <row r="30" spans="1:44">
      <c r="A30">
        <v>30</v>
      </c>
      <c r="B30" t="s">
        <v>337</v>
      </c>
      <c r="D30" s="2" t="s">
        <v>153</v>
      </c>
      <c r="E30" t="str">
        <f t="shared" si="13"/>
        <v>GlbMarket_BIOBSL</v>
      </c>
      <c r="G30" t="str">
        <f t="shared" si="0"/>
        <v>SaudiArabia</v>
      </c>
      <c r="H30" t="str">
        <f t="shared" si="14"/>
        <v>GlbMarket_BIOCHR</v>
      </c>
      <c r="J30" t="str">
        <f t="shared" si="1"/>
        <v>SaudiArabia</v>
      </c>
      <c r="K30" t="str">
        <f t="shared" si="15"/>
        <v>GlbMarket_BIODST</v>
      </c>
      <c r="M30" t="str">
        <f t="shared" si="2"/>
        <v>SaudiArabia</v>
      </c>
      <c r="N30" t="str">
        <f t="shared" si="16"/>
        <v>GlbMarket_BIOGSL</v>
      </c>
      <c r="P30" t="str">
        <f t="shared" si="3"/>
        <v>SaudiArabia</v>
      </c>
      <c r="Q30" t="str">
        <f t="shared" si="17"/>
        <v>GlbMarket_BIOJTK</v>
      </c>
      <c r="S30" t="str">
        <f t="shared" si="4"/>
        <v>SaudiArabia</v>
      </c>
      <c r="T30" t="str">
        <f t="shared" si="18"/>
        <v>GlbMarket_COABCO</v>
      </c>
      <c r="V30" t="str">
        <f t="shared" si="5"/>
        <v>SaudiArabia</v>
      </c>
      <c r="W30" t="str">
        <f t="shared" si="19"/>
        <v>GlbMarket_COACOK</v>
      </c>
      <c r="Y30" t="str">
        <f t="shared" si="6"/>
        <v>SaudiArabia</v>
      </c>
      <c r="Z30" t="str">
        <f t="shared" si="20"/>
        <v>GlbMarket_COAHCO</v>
      </c>
      <c r="AB30" t="str">
        <f t="shared" si="7"/>
        <v>SaudiArabia</v>
      </c>
      <c r="AC30" t="str">
        <f t="shared" si="21"/>
        <v>GlbMarket_COAOVC</v>
      </c>
      <c r="AE30" t="str">
        <f t="shared" si="8"/>
        <v>SaudiArabia</v>
      </c>
      <c r="AF30" t="str">
        <f t="shared" si="22"/>
        <v>GlbMarket_COATAR</v>
      </c>
      <c r="AH30" t="str">
        <f t="shared" si="9"/>
        <v>SaudiArabia</v>
      </c>
      <c r="AI30" t="str">
        <f t="shared" si="23"/>
        <v>GlbMarket_GASETH</v>
      </c>
      <c r="AK30" t="str">
        <f t="shared" si="10"/>
        <v>SaudiArabia</v>
      </c>
      <c r="AL30" t="str">
        <f t="shared" si="24"/>
        <v>GlbMarket_GASLNG</v>
      </c>
      <c r="AN30" t="str">
        <f t="shared" si="11"/>
        <v>SaudiArabia</v>
      </c>
      <c r="AO30" t="str">
        <f t="shared" si="25"/>
        <v>GlbMarket_OILASP</v>
      </c>
      <c r="AQ30" t="str">
        <f t="shared" si="12"/>
        <v>SaudiArabia</v>
      </c>
      <c r="AR30" t="str">
        <f t="shared" si="26"/>
        <v>GlbMarket_OILCRD</v>
      </c>
    </row>
    <row r="31" spans="1:44">
      <c r="A31">
        <v>31</v>
      </c>
      <c r="B31" t="s">
        <v>338</v>
      </c>
      <c r="D31" s="2" t="s">
        <v>154</v>
      </c>
      <c r="E31" t="str">
        <f t="shared" si="13"/>
        <v>GlbMarket_BIOBSL</v>
      </c>
      <c r="G31" t="str">
        <f t="shared" si="0"/>
        <v>SouthAfrica</v>
      </c>
      <c r="H31" t="str">
        <f t="shared" si="14"/>
        <v>GlbMarket_BIOCHR</v>
      </c>
      <c r="J31" t="str">
        <f t="shared" si="1"/>
        <v>SouthAfrica</v>
      </c>
      <c r="K31" t="str">
        <f t="shared" si="15"/>
        <v>GlbMarket_BIODST</v>
      </c>
      <c r="M31" t="str">
        <f t="shared" si="2"/>
        <v>SouthAfrica</v>
      </c>
      <c r="N31" t="str">
        <f t="shared" si="16"/>
        <v>GlbMarket_BIOGSL</v>
      </c>
      <c r="P31" t="str">
        <f t="shared" si="3"/>
        <v>SouthAfrica</v>
      </c>
      <c r="Q31" t="str">
        <f t="shared" si="17"/>
        <v>GlbMarket_BIOJTK</v>
      </c>
      <c r="S31" t="str">
        <f t="shared" si="4"/>
        <v>SouthAfrica</v>
      </c>
      <c r="T31" t="str">
        <f t="shared" si="18"/>
        <v>GlbMarket_COABCO</v>
      </c>
      <c r="V31" t="str">
        <f t="shared" si="5"/>
        <v>SouthAfrica</v>
      </c>
      <c r="W31" t="str">
        <f t="shared" si="19"/>
        <v>GlbMarket_COACOK</v>
      </c>
      <c r="Y31" t="str">
        <f t="shared" si="6"/>
        <v>SouthAfrica</v>
      </c>
      <c r="Z31" t="str">
        <f t="shared" si="20"/>
        <v>GlbMarket_COAHCO</v>
      </c>
      <c r="AB31" t="str">
        <f t="shared" si="7"/>
        <v>SouthAfrica</v>
      </c>
      <c r="AC31" t="str">
        <f t="shared" si="21"/>
        <v>GlbMarket_COAOVC</v>
      </c>
      <c r="AE31" t="str">
        <f t="shared" si="8"/>
        <v>SouthAfrica</v>
      </c>
      <c r="AF31" t="str">
        <f t="shared" si="22"/>
        <v>GlbMarket_COATAR</v>
      </c>
      <c r="AH31" t="str">
        <f t="shared" si="9"/>
        <v>SouthAfrica</v>
      </c>
      <c r="AI31" t="str">
        <f t="shared" si="23"/>
        <v>GlbMarket_GASETH</v>
      </c>
      <c r="AK31" t="str">
        <f t="shared" si="10"/>
        <v>SouthAfrica</v>
      </c>
      <c r="AL31" t="str">
        <f t="shared" si="24"/>
        <v>GlbMarket_GASLNG</v>
      </c>
      <c r="AN31" t="str">
        <f t="shared" si="11"/>
        <v>SouthAfrica</v>
      </c>
      <c r="AO31" t="str">
        <f t="shared" si="25"/>
        <v>GlbMarket_OILASP</v>
      </c>
      <c r="AQ31" t="str">
        <f t="shared" si="12"/>
        <v>SouthAfrica</v>
      </c>
      <c r="AR31" t="str">
        <f t="shared" si="26"/>
        <v>GlbMarket_OILCRD</v>
      </c>
    </row>
    <row r="32" spans="1:44">
      <c r="A32">
        <v>32</v>
      </c>
      <c r="B32" t="s">
        <v>339</v>
      </c>
      <c r="D32" s="2" t="s">
        <v>155</v>
      </c>
      <c r="E32" t="str">
        <f t="shared" si="13"/>
        <v>GlbMarket_BIOBSL</v>
      </c>
      <c r="G32" t="str">
        <f t="shared" si="0"/>
        <v>UK</v>
      </c>
      <c r="H32" t="str">
        <f t="shared" si="14"/>
        <v>GlbMarket_BIOCHR</v>
      </c>
      <c r="J32" t="str">
        <f t="shared" si="1"/>
        <v>UK</v>
      </c>
      <c r="K32" t="str">
        <f t="shared" si="15"/>
        <v>GlbMarket_BIODST</v>
      </c>
      <c r="M32" t="str">
        <f t="shared" si="2"/>
        <v>UK</v>
      </c>
      <c r="N32" t="str">
        <f t="shared" si="16"/>
        <v>GlbMarket_BIOGSL</v>
      </c>
      <c r="P32" t="str">
        <f t="shared" si="3"/>
        <v>UK</v>
      </c>
      <c r="Q32" t="str">
        <f t="shared" si="17"/>
        <v>GlbMarket_BIOJTK</v>
      </c>
      <c r="S32" t="str">
        <f t="shared" si="4"/>
        <v>UK</v>
      </c>
      <c r="T32" t="str">
        <f t="shared" si="18"/>
        <v>GlbMarket_COABCO</v>
      </c>
      <c r="V32" t="str">
        <f t="shared" si="5"/>
        <v>UK</v>
      </c>
      <c r="W32" t="str">
        <f t="shared" si="19"/>
        <v>GlbMarket_COACOK</v>
      </c>
      <c r="Y32" t="str">
        <f t="shared" si="6"/>
        <v>UK</v>
      </c>
      <c r="Z32" t="str">
        <f t="shared" si="20"/>
        <v>GlbMarket_COAHCO</v>
      </c>
      <c r="AB32" t="str">
        <f t="shared" si="7"/>
        <v>UK</v>
      </c>
      <c r="AC32" t="str">
        <f t="shared" si="21"/>
        <v>GlbMarket_COAOVC</v>
      </c>
      <c r="AE32" t="str">
        <f t="shared" si="8"/>
        <v>UK</v>
      </c>
      <c r="AF32" t="str">
        <f t="shared" si="22"/>
        <v>GlbMarket_COATAR</v>
      </c>
      <c r="AH32" t="str">
        <f t="shared" si="9"/>
        <v>UK</v>
      </c>
      <c r="AI32" t="str">
        <f t="shared" si="23"/>
        <v>GlbMarket_GASETH</v>
      </c>
      <c r="AK32" t="str">
        <f t="shared" si="10"/>
        <v>UK</v>
      </c>
      <c r="AL32" t="str">
        <f t="shared" si="24"/>
        <v>GlbMarket_GASLNG</v>
      </c>
      <c r="AN32" t="str">
        <f t="shared" si="11"/>
        <v>UK</v>
      </c>
      <c r="AO32" t="str">
        <f t="shared" si="25"/>
        <v>GlbMarket_OILASP</v>
      </c>
      <c r="AQ32" t="str">
        <f t="shared" si="12"/>
        <v>UK</v>
      </c>
      <c r="AR32" t="str">
        <f t="shared" si="26"/>
        <v>GlbMarket_OILCRD</v>
      </c>
    </row>
    <row r="33" spans="4:56">
      <c r="D33" s="2" t="s">
        <v>156</v>
      </c>
      <c r="E33" t="str">
        <f t="shared" si="13"/>
        <v>GlbMarket_BIOBSL</v>
      </c>
      <c r="G33" t="str">
        <f t="shared" si="0"/>
        <v>USA</v>
      </c>
      <c r="H33" t="str">
        <f t="shared" si="14"/>
        <v>GlbMarket_BIOCHR</v>
      </c>
      <c r="J33" t="str">
        <f t="shared" si="1"/>
        <v>USA</v>
      </c>
      <c r="K33" t="str">
        <f t="shared" si="15"/>
        <v>GlbMarket_BIODST</v>
      </c>
      <c r="M33" t="str">
        <f t="shared" si="2"/>
        <v>USA</v>
      </c>
      <c r="N33" t="str">
        <f t="shared" si="16"/>
        <v>GlbMarket_BIOGSL</v>
      </c>
      <c r="P33" t="str">
        <f t="shared" si="3"/>
        <v>USA</v>
      </c>
      <c r="Q33" t="str">
        <f t="shared" si="17"/>
        <v>GlbMarket_BIOJTK</v>
      </c>
      <c r="S33" t="str">
        <f t="shared" si="4"/>
        <v>USA</v>
      </c>
      <c r="T33" t="str">
        <f t="shared" si="18"/>
        <v>GlbMarket_COABCO</v>
      </c>
      <c r="V33" t="str">
        <f t="shared" si="5"/>
        <v>USA</v>
      </c>
      <c r="W33" t="str">
        <f t="shared" si="19"/>
        <v>GlbMarket_COACOK</v>
      </c>
      <c r="Y33" t="str">
        <f t="shared" si="6"/>
        <v>USA</v>
      </c>
      <c r="Z33" t="str">
        <f t="shared" si="20"/>
        <v>GlbMarket_COAHCO</v>
      </c>
      <c r="AB33" t="str">
        <f t="shared" si="7"/>
        <v>USA</v>
      </c>
      <c r="AC33" t="str">
        <f t="shared" si="21"/>
        <v>GlbMarket_COAOVC</v>
      </c>
      <c r="AE33" t="str">
        <f t="shared" si="8"/>
        <v>USA</v>
      </c>
      <c r="AF33" t="str">
        <f t="shared" si="22"/>
        <v>GlbMarket_COATAR</v>
      </c>
      <c r="AH33" t="str">
        <f t="shared" si="9"/>
        <v>USA</v>
      </c>
      <c r="AI33" t="str">
        <f t="shared" si="23"/>
        <v>GlbMarket_GASETH</v>
      </c>
      <c r="AK33" t="str">
        <f t="shared" si="10"/>
        <v>USA</v>
      </c>
      <c r="AL33" t="str">
        <f t="shared" si="24"/>
        <v>GlbMarket_GASLNG</v>
      </c>
      <c r="AN33" t="str">
        <f t="shared" si="11"/>
        <v>USA</v>
      </c>
      <c r="AO33" t="str">
        <f t="shared" si="25"/>
        <v>GlbMarket_OILASP</v>
      </c>
      <c r="AQ33" t="str">
        <f t="shared" si="12"/>
        <v>USA</v>
      </c>
      <c r="AR33" t="str">
        <f t="shared" si="26"/>
        <v>GlbMarket_OILCRD</v>
      </c>
    </row>
    <row r="34" spans="4:56">
      <c r="D34" s="2" t="s">
        <v>157</v>
      </c>
      <c r="E34" t="str">
        <f t="shared" si="13"/>
        <v>GlbMarket_BIOBSL</v>
      </c>
      <c r="G34" t="str">
        <f t="shared" si="0"/>
        <v>\I:</v>
      </c>
      <c r="H34" t="str">
        <f t="shared" si="14"/>
        <v>GlbMarket_BIOCHR</v>
      </c>
      <c r="J34" t="str">
        <f t="shared" si="1"/>
        <v>\I:</v>
      </c>
      <c r="K34" t="str">
        <f t="shared" si="15"/>
        <v>GlbMarket_BIODST</v>
      </c>
      <c r="M34" t="str">
        <f t="shared" si="2"/>
        <v>\I:</v>
      </c>
      <c r="N34" t="str">
        <f t="shared" si="16"/>
        <v>GlbMarket_BIOGSL</v>
      </c>
      <c r="P34" t="str">
        <f t="shared" si="3"/>
        <v>\I:</v>
      </c>
      <c r="Q34" t="str">
        <f t="shared" si="17"/>
        <v>GlbMarket_BIOJTK</v>
      </c>
      <c r="S34" t="str">
        <f t="shared" si="4"/>
        <v>\I:</v>
      </c>
      <c r="T34" t="str">
        <f t="shared" si="18"/>
        <v>GlbMarket_COABCO</v>
      </c>
      <c r="V34" t="str">
        <f t="shared" si="5"/>
        <v>\I:</v>
      </c>
      <c r="W34" t="str">
        <f t="shared" si="19"/>
        <v>GlbMarket_COACOK</v>
      </c>
      <c r="Y34" t="str">
        <f t="shared" si="6"/>
        <v>\I:</v>
      </c>
      <c r="Z34" t="str">
        <f t="shared" si="20"/>
        <v>GlbMarket_COAHCO</v>
      </c>
      <c r="AB34" t="str">
        <f t="shared" si="7"/>
        <v>\I:</v>
      </c>
      <c r="AC34" t="str">
        <f t="shared" si="21"/>
        <v>GlbMarket_COAOVC</v>
      </c>
      <c r="AE34" t="str">
        <f t="shared" si="8"/>
        <v>\I:</v>
      </c>
      <c r="AF34" t="str">
        <f t="shared" si="22"/>
        <v>GlbMarket_COATAR</v>
      </c>
      <c r="AH34" t="str">
        <f t="shared" si="9"/>
        <v>\I:</v>
      </c>
      <c r="AI34" t="str">
        <f t="shared" si="23"/>
        <v>GlbMarket_GASETH</v>
      </c>
      <c r="AK34" t="str">
        <f t="shared" si="10"/>
        <v>\I:</v>
      </c>
      <c r="AL34" t="str">
        <f t="shared" si="24"/>
        <v>GlbMarket_GASLNG</v>
      </c>
      <c r="AN34" t="str">
        <f t="shared" si="11"/>
        <v>\I:</v>
      </c>
      <c r="AO34" t="str">
        <f t="shared" si="25"/>
        <v>GlbMarket_OILASP</v>
      </c>
      <c r="AQ34" t="str">
        <f t="shared" si="12"/>
        <v>\I:</v>
      </c>
      <c r="AR34" t="str">
        <f t="shared" si="26"/>
        <v>GlbMarket_OILCRD</v>
      </c>
    </row>
    <row r="37" spans="4:56">
      <c r="D37">
        <v>15</v>
      </c>
      <c r="G37">
        <f>D37+1</f>
        <v>16</v>
      </c>
      <c r="J37">
        <f>G37+1</f>
        <v>17</v>
      </c>
      <c r="M37">
        <f>J37+1</f>
        <v>18</v>
      </c>
      <c r="P37">
        <f>M37+1</f>
        <v>19</v>
      </c>
      <c r="S37">
        <f>P37+1</f>
        <v>20</v>
      </c>
      <c r="V37">
        <f>S37+1</f>
        <v>21</v>
      </c>
      <c r="Y37">
        <f>V37+1</f>
        <v>22</v>
      </c>
      <c r="AB37">
        <f>Y37+1</f>
        <v>23</v>
      </c>
      <c r="AE37">
        <f>AB37+1</f>
        <v>24</v>
      </c>
      <c r="AH37">
        <f>AE37+1</f>
        <v>25</v>
      </c>
      <c r="AK37">
        <f>AH37+1</f>
        <v>26</v>
      </c>
      <c r="AN37">
        <f>AK37+1</f>
        <v>27</v>
      </c>
      <c r="AQ37">
        <f>AN37+1</f>
        <v>28</v>
      </c>
      <c r="AT37">
        <f>AQ37+1</f>
        <v>29</v>
      </c>
      <c r="AW37">
        <f>AT37+1</f>
        <v>30</v>
      </c>
      <c r="AZ37">
        <f>AW37+1</f>
        <v>31</v>
      </c>
      <c r="BC37">
        <f>AZ37+1</f>
        <v>32</v>
      </c>
    </row>
    <row r="39" spans="4:56">
      <c r="D39" t="s">
        <v>26</v>
      </c>
      <c r="G39" t="s">
        <v>26</v>
      </c>
      <c r="J39" t="s">
        <v>26</v>
      </c>
      <c r="M39" t="s">
        <v>26</v>
      </c>
      <c r="P39" t="s">
        <v>26</v>
      </c>
      <c r="S39" t="s">
        <v>26</v>
      </c>
      <c r="V39" t="s">
        <v>26</v>
      </c>
      <c r="Y39" t="s">
        <v>26</v>
      </c>
      <c r="AB39" t="s">
        <v>26</v>
      </c>
      <c r="AE39" t="s">
        <v>26</v>
      </c>
      <c r="AH39" t="s">
        <v>26</v>
      </c>
      <c r="AK39" t="str">
        <f>IF(AK40=0,"","~Tradelinks")</f>
        <v>~Tradelinks</v>
      </c>
      <c r="AN39" t="str">
        <f>IF(AN40=0,"","~Tradelinks")</f>
        <v>~Tradelinks</v>
      </c>
      <c r="AQ39" t="str">
        <f>IF(AQ40=0,"","~Tradelinks")</f>
        <v>~Tradelinks</v>
      </c>
      <c r="AT39" t="str">
        <f>IF(AT40=0,"","~Tradelinks")</f>
        <v>~Tradelinks</v>
      </c>
      <c r="AW39" t="str">
        <f>IF(AW40=0,"","~Tradelinks")</f>
        <v>~Tradelinks</v>
      </c>
      <c r="AZ39" t="str">
        <f>IF(AZ40=0,"","~Tradelinks")</f>
        <v>~Tradelinks</v>
      </c>
      <c r="BC39" t="str">
        <f>IF(BC40=0,"","~Tradelinks")</f>
        <v>~Tradelinks</v>
      </c>
    </row>
    <row r="40" spans="4:56">
      <c r="D40" t="str">
        <f>VLOOKUP(D37,$A$1:$B$50,2,FALSE)</f>
        <v>OILDST</v>
      </c>
      <c r="E40" t="s">
        <v>132</v>
      </c>
      <c r="G40" t="str">
        <f>VLOOKUP(G37,$A$1:$B$50,2,FALSE)</f>
        <v>OILFEE</v>
      </c>
      <c r="H40" t="s">
        <v>132</v>
      </c>
      <c r="J40" t="str">
        <f>VLOOKUP(J37,$A$1:$B$50,2,FALSE)</f>
        <v>OILGSL</v>
      </c>
      <c r="K40" t="s">
        <v>132</v>
      </c>
      <c r="M40" t="str">
        <f>VLOOKUP(M37,$A$1:$B$50,2,FALSE)</f>
        <v>OILHFO</v>
      </c>
      <c r="N40" t="s">
        <v>132</v>
      </c>
      <c r="P40" t="str">
        <f>VLOOKUP(P37,$A$1:$B$50,2,FALSE)</f>
        <v>OILJTK</v>
      </c>
      <c r="Q40" t="s">
        <v>132</v>
      </c>
      <c r="S40" t="str">
        <f>VLOOKUP(S37,$A$1:$B$50,2,FALSE)</f>
        <v>OILKER</v>
      </c>
      <c r="T40" t="s">
        <v>132</v>
      </c>
      <c r="V40" t="str">
        <f>VLOOKUP(V37,$A$1:$B$50,2,FALSE)</f>
        <v>OILLPG</v>
      </c>
      <c r="W40" t="s">
        <v>132</v>
      </c>
      <c r="Y40" t="str">
        <f>VLOOKUP(Y37,$A$1:$B$50,2,FALSE)</f>
        <v>OILLUB</v>
      </c>
      <c r="Z40" t="s">
        <v>132</v>
      </c>
      <c r="AB40" t="str">
        <f>VLOOKUP(AB37,$A$1:$B$50,2,FALSE)</f>
        <v>OILNAP</v>
      </c>
      <c r="AC40" t="s">
        <v>132</v>
      </c>
      <c r="AE40" t="str">
        <f>VLOOKUP(AE37,$A$1:$B$50,2,FALSE)</f>
        <v>OILNCR</v>
      </c>
      <c r="AF40" t="s">
        <v>132</v>
      </c>
      <c r="AH40" t="str">
        <f>VLOOKUP(AH37,$A$1:$B$50,2,FALSE)</f>
        <v>OILNGL</v>
      </c>
      <c r="AI40" t="s">
        <v>132</v>
      </c>
      <c r="AK40" t="str">
        <f>VLOOKUP(AK37,$A$1:$B$50,2,FALSE)</f>
        <v>OILNSP</v>
      </c>
      <c r="AL40" t="s">
        <v>132</v>
      </c>
      <c r="AN40" t="str">
        <f>VLOOKUP(AN37,$A$1:$B$50,2,FALSE)</f>
        <v>OILPTC</v>
      </c>
      <c r="AO40" t="s">
        <v>132</v>
      </c>
      <c r="AQ40" t="str">
        <f>VLOOKUP(AQ37,$A$1:$B$50,2,FALSE)</f>
        <v>NH3</v>
      </c>
      <c r="AR40" t="s">
        <v>132</v>
      </c>
      <c r="AT40" t="str">
        <f>VLOOKUP(AT37,$A$1:$B$50,2,FALSE)</f>
        <v>CO2ForStorage</v>
      </c>
      <c r="AU40" t="s">
        <v>132</v>
      </c>
      <c r="AW40" t="str">
        <f>VLOOKUP(AW37,$A$1:$B$50,2,FALSE)</f>
        <v>im_stlslabs</v>
      </c>
      <c r="AX40" t="s">
        <v>132</v>
      </c>
      <c r="AZ40" t="str">
        <f>VLOOKUP(AZ37,$A$1:$B$50,2,FALSE)</f>
        <v>im_fesponge</v>
      </c>
      <c r="BA40" t="s">
        <v>132</v>
      </c>
      <c r="BC40" t="str">
        <f>VLOOKUP(BC37,$A$1:$B$50,2,FALSE)</f>
        <v>im_fescrap</v>
      </c>
      <c r="BD40" t="s">
        <v>132</v>
      </c>
    </row>
    <row r="41" spans="4:56">
      <c r="D41" t="str">
        <f t="shared" ref="D41:D57" si="27">D5</f>
        <v>\I:Africa_north</v>
      </c>
      <c r="E41" t="str">
        <f>"GlbMarket_"&amp;VLOOKUP(D37,$A$1:$B$50,2,FALSE)</f>
        <v>GlbMarket_OILDST</v>
      </c>
      <c r="G41" t="str">
        <f>$D41</f>
        <v>\I:Africa_north</v>
      </c>
      <c r="H41" t="str">
        <f>"GlbMarket_"&amp;VLOOKUP(G37,$A$1:$B$50,2,FALSE)</f>
        <v>GlbMarket_OILFEE</v>
      </c>
      <c r="J41" t="str">
        <f>$D41</f>
        <v>\I:Africa_north</v>
      </c>
      <c r="K41" t="str">
        <f>"GlbMarket_"&amp;VLOOKUP(J37,$A$1:$B$50,2,FALSE)</f>
        <v>GlbMarket_OILGSL</v>
      </c>
      <c r="M41" t="str">
        <f>$D41</f>
        <v>\I:Africa_north</v>
      </c>
      <c r="N41" t="str">
        <f>"GlbMarket_"&amp;VLOOKUP(M37,$A$1:$B$50,2,FALSE)</f>
        <v>GlbMarket_OILHFO</v>
      </c>
      <c r="P41" t="str">
        <f>$D41</f>
        <v>\I:Africa_north</v>
      </c>
      <c r="Q41" t="str">
        <f>"GlbMarket_"&amp;VLOOKUP(P37,$A$1:$B$50,2,FALSE)</f>
        <v>GlbMarket_OILJTK</v>
      </c>
      <c r="S41" t="str">
        <f>$D41</f>
        <v>\I:Africa_north</v>
      </c>
      <c r="T41" t="str">
        <f>"GlbMarket_"&amp;VLOOKUP(S37,$A$1:$B$50,2,FALSE)</f>
        <v>GlbMarket_OILKER</v>
      </c>
      <c r="V41" t="str">
        <f>$D41</f>
        <v>\I:Africa_north</v>
      </c>
      <c r="W41" t="str">
        <f>"GlbMarket_"&amp;VLOOKUP(V37,$A$1:$B$50,2,FALSE)</f>
        <v>GlbMarket_OILLPG</v>
      </c>
      <c r="Y41" t="str">
        <f>$D41</f>
        <v>\I:Africa_north</v>
      </c>
      <c r="Z41" t="str">
        <f>"GlbMarket_"&amp;VLOOKUP(Y37,$A$1:$B$50,2,FALSE)</f>
        <v>GlbMarket_OILLUB</v>
      </c>
      <c r="AB41" t="str">
        <f>$D41</f>
        <v>\I:Africa_north</v>
      </c>
      <c r="AC41" t="str">
        <f>"GlbMarket_"&amp;VLOOKUP(AB37,$A$1:$B$50,2,FALSE)</f>
        <v>GlbMarket_OILNAP</v>
      </c>
      <c r="AE41" t="str">
        <f>$D41</f>
        <v>\I:Africa_north</v>
      </c>
      <c r="AF41" t="str">
        <f>"GlbMarket_"&amp;VLOOKUP(AE37,$A$1:$B$50,2,FALSE)</f>
        <v>GlbMarket_OILNCR</v>
      </c>
      <c r="AH41" t="str">
        <f>$D41</f>
        <v>\I:Africa_north</v>
      </c>
      <c r="AI41" t="str">
        <f>"GlbMarket_"&amp;VLOOKUP(AH37,$A$1:$B$50,2,FALSE)</f>
        <v>GlbMarket_OILNGL</v>
      </c>
      <c r="AK41" t="str">
        <f>$D41</f>
        <v>\I:Africa_north</v>
      </c>
      <c r="AL41" t="str">
        <f>"GlbMarket_"&amp;VLOOKUP(AK37,$A$1:$B$50,2,FALSE)</f>
        <v>GlbMarket_OILNSP</v>
      </c>
      <c r="AN41" t="str">
        <f>$D41</f>
        <v>\I:Africa_north</v>
      </c>
      <c r="AO41" t="str">
        <f>"GlbMarket_"&amp;VLOOKUP(AN37,$A$1:$B$50,2,FALSE)</f>
        <v>GlbMarket_OILPTC</v>
      </c>
      <c r="AQ41" t="str">
        <f>$D41</f>
        <v>\I:Africa_north</v>
      </c>
      <c r="AR41" t="str">
        <f>"GlbMarket_"&amp;VLOOKUP(AQ37,$A$1:$B$50,2,FALSE)</f>
        <v>GlbMarket_NH3</v>
      </c>
      <c r="AT41" t="str">
        <f>$D41</f>
        <v>\I:Africa_north</v>
      </c>
      <c r="AU41" t="str">
        <f>"GlbMarket_"&amp;VLOOKUP(AT37,$A$1:$B$50,2,FALSE)</f>
        <v>GlbMarket_CO2ForStorage</v>
      </c>
      <c r="AW41" t="str">
        <f>$D41</f>
        <v>\I:Africa_north</v>
      </c>
      <c r="AX41" t="str">
        <f>"GlbMarket_"&amp;VLOOKUP(AW37,$A$1:$B$50,2,FALSE)</f>
        <v>GlbMarket_im_stlslabs</v>
      </c>
      <c r="AZ41" t="str">
        <f>$D41</f>
        <v>\I:Africa_north</v>
      </c>
      <c r="BA41" t="str">
        <f>"GlbMarket_"&amp;VLOOKUP(AZ37,$A$1:$B$50,2,FALSE)</f>
        <v>GlbMarket_im_fesponge</v>
      </c>
      <c r="BC41" t="str">
        <f>$D41</f>
        <v>\I:Africa_north</v>
      </c>
      <c r="BD41" t="str">
        <f>"GlbMarket_"&amp;VLOOKUP(BC37,$A$1:$B$50,2,FALSE)</f>
        <v>GlbMarket_im_fescrap</v>
      </c>
    </row>
    <row r="42" spans="4:56">
      <c r="D42" t="str">
        <f t="shared" si="27"/>
        <v>Africa_other</v>
      </c>
      <c r="E42" t="str">
        <f>"GlbMarket_"&amp;VLOOKUP(D37,$A$1:$B$50,2,FALSE)</f>
        <v>GlbMarket_OILDST</v>
      </c>
      <c r="G42" t="str">
        <f t="shared" ref="G42:G70" si="28">$D42</f>
        <v>Africa_other</v>
      </c>
      <c r="H42" t="str">
        <f>"GlbMarket_"&amp;VLOOKUP(G37,$A$1:$B$50,2,FALSE)</f>
        <v>GlbMarket_OILFEE</v>
      </c>
      <c r="J42" t="str">
        <f t="shared" ref="J42:J70" si="29">$D42</f>
        <v>Africa_other</v>
      </c>
      <c r="K42" t="str">
        <f>"GlbMarket_"&amp;VLOOKUP(J37,$A$1:$B$50,2,FALSE)</f>
        <v>GlbMarket_OILGSL</v>
      </c>
      <c r="M42" t="str">
        <f t="shared" ref="M42:M70" si="30">$D42</f>
        <v>Africa_other</v>
      </c>
      <c r="N42" t="str">
        <f>"GlbMarket_"&amp;VLOOKUP(M37,$A$1:$B$50,2,FALSE)</f>
        <v>GlbMarket_OILHFO</v>
      </c>
      <c r="P42" t="str">
        <f t="shared" ref="P42:P70" si="31">$D42</f>
        <v>Africa_other</v>
      </c>
      <c r="Q42" t="str">
        <f>"GlbMarket_"&amp;VLOOKUP(P37,$A$1:$B$50,2,FALSE)</f>
        <v>GlbMarket_OILJTK</v>
      </c>
      <c r="S42" t="str">
        <f t="shared" ref="S42:S70" si="32">$D42</f>
        <v>Africa_other</v>
      </c>
      <c r="T42" t="str">
        <f>"GlbMarket_"&amp;VLOOKUP(S37,$A$1:$B$50,2,FALSE)</f>
        <v>GlbMarket_OILKER</v>
      </c>
      <c r="V42" t="str">
        <f t="shared" ref="V42:V70" si="33">$D42</f>
        <v>Africa_other</v>
      </c>
      <c r="W42" t="str">
        <f>"GlbMarket_"&amp;VLOOKUP(V37,$A$1:$B$50,2,FALSE)</f>
        <v>GlbMarket_OILLPG</v>
      </c>
      <c r="Y42" t="str">
        <f t="shared" ref="Y42:Y70" si="34">$D42</f>
        <v>Africa_other</v>
      </c>
      <c r="Z42" t="str">
        <f>"GlbMarket_"&amp;VLOOKUP(Y37,$A$1:$B$50,2,FALSE)</f>
        <v>GlbMarket_OILLUB</v>
      </c>
      <c r="AB42" t="str">
        <f t="shared" ref="AB42:AB70" si="35">$D42</f>
        <v>Africa_other</v>
      </c>
      <c r="AC42" t="str">
        <f>"GlbMarket_"&amp;VLOOKUP(AB37,$A$1:$B$50,2,FALSE)</f>
        <v>GlbMarket_OILNAP</v>
      </c>
      <c r="AE42" t="str">
        <f t="shared" ref="AE42:AE70" si="36">$D42</f>
        <v>Africa_other</v>
      </c>
      <c r="AF42" t="str">
        <f>"GlbMarket_"&amp;VLOOKUP(AE37,$A$1:$B$50,2,FALSE)</f>
        <v>GlbMarket_OILNCR</v>
      </c>
      <c r="AH42" t="str">
        <f t="shared" ref="AH42:AH70" si="37">$D42</f>
        <v>Africa_other</v>
      </c>
      <c r="AI42" t="str">
        <f>"GlbMarket_"&amp;VLOOKUP(AH37,$A$1:$B$50,2,FALSE)</f>
        <v>GlbMarket_OILNGL</v>
      </c>
      <c r="AK42" t="str">
        <f t="shared" ref="AK42:AK70" si="38">$D42</f>
        <v>Africa_other</v>
      </c>
      <c r="AL42" t="str">
        <f>"GlbMarket_"&amp;VLOOKUP(AK37,$A$1:$B$50,2,FALSE)</f>
        <v>GlbMarket_OILNSP</v>
      </c>
      <c r="AN42" t="str">
        <f t="shared" ref="AN42:AN70" si="39">$D42</f>
        <v>Africa_other</v>
      </c>
      <c r="AO42" t="str">
        <f>"GlbMarket_"&amp;VLOOKUP(AN37,$A$1:$B$50,2,FALSE)</f>
        <v>GlbMarket_OILPTC</v>
      </c>
      <c r="AQ42" t="str">
        <f t="shared" ref="AQ42:AQ70" si="40">$D42</f>
        <v>Africa_other</v>
      </c>
      <c r="AR42" t="str">
        <f>"GlbMarket_"&amp;VLOOKUP(AQ37,$A$1:$B$50,2,FALSE)</f>
        <v>GlbMarket_NH3</v>
      </c>
      <c r="AT42" t="str">
        <f t="shared" ref="AT42:AT70" si="41">$D42</f>
        <v>Africa_other</v>
      </c>
      <c r="AU42" t="str">
        <f>"GlbMarket_"&amp;VLOOKUP(AT37,$A$1:$B$50,2,FALSE)</f>
        <v>GlbMarket_CO2ForStorage</v>
      </c>
      <c r="AW42" t="str">
        <f t="shared" ref="AW42:AW70" si="42">$D42</f>
        <v>Africa_other</v>
      </c>
      <c r="AX42" t="str">
        <f>"GlbMarket_"&amp;VLOOKUP(AW37,$A$1:$B$50,2,FALSE)</f>
        <v>GlbMarket_im_stlslabs</v>
      </c>
      <c r="AZ42" t="str">
        <f t="shared" ref="AZ42:AZ70" si="43">$D42</f>
        <v>Africa_other</v>
      </c>
      <c r="BA42" t="str">
        <f>"GlbMarket_"&amp;VLOOKUP(AZ37,$A$1:$B$50,2,FALSE)</f>
        <v>GlbMarket_im_fesponge</v>
      </c>
      <c r="BC42" t="str">
        <f t="shared" ref="BC42:BC70" si="44">$D42</f>
        <v>Africa_other</v>
      </c>
      <c r="BD42" t="str">
        <f>"GlbMarket_"&amp;VLOOKUP(BC37,$A$1:$B$50,2,FALSE)</f>
        <v>GlbMarket_im_fescrap</v>
      </c>
    </row>
    <row r="43" spans="4:56">
      <c r="D43" t="str">
        <f t="shared" si="27"/>
        <v>Arg-Chi</v>
      </c>
      <c r="E43" t="str">
        <f>"GlbMarket_"&amp;VLOOKUP(D37,$A$1:$B$50,2,FALSE)</f>
        <v>GlbMarket_OILDST</v>
      </c>
      <c r="G43" t="str">
        <f t="shared" si="28"/>
        <v>Arg-Chi</v>
      </c>
      <c r="H43" t="str">
        <f>"GlbMarket_"&amp;VLOOKUP(G37,$A$1:$B$50,2,FALSE)</f>
        <v>GlbMarket_OILFEE</v>
      </c>
      <c r="J43" t="str">
        <f t="shared" si="29"/>
        <v>Arg-Chi</v>
      </c>
      <c r="K43" t="str">
        <f>"GlbMarket_"&amp;VLOOKUP(J37,$A$1:$B$50,2,FALSE)</f>
        <v>GlbMarket_OILGSL</v>
      </c>
      <c r="M43" t="str">
        <f t="shared" si="30"/>
        <v>Arg-Chi</v>
      </c>
      <c r="N43" t="str">
        <f>"GlbMarket_"&amp;VLOOKUP(M37,$A$1:$B$50,2,FALSE)</f>
        <v>GlbMarket_OILHFO</v>
      </c>
      <c r="P43" t="str">
        <f t="shared" si="31"/>
        <v>Arg-Chi</v>
      </c>
      <c r="Q43" t="str">
        <f>"GlbMarket_"&amp;VLOOKUP(P37,$A$1:$B$50,2,FALSE)</f>
        <v>GlbMarket_OILJTK</v>
      </c>
      <c r="S43" t="str">
        <f t="shared" si="32"/>
        <v>Arg-Chi</v>
      </c>
      <c r="T43" t="str">
        <f>"GlbMarket_"&amp;VLOOKUP(S37,$A$1:$B$50,2,FALSE)</f>
        <v>GlbMarket_OILKER</v>
      </c>
      <c r="V43" t="str">
        <f t="shared" si="33"/>
        <v>Arg-Chi</v>
      </c>
      <c r="W43" t="str">
        <f>"GlbMarket_"&amp;VLOOKUP(V37,$A$1:$B$50,2,FALSE)</f>
        <v>GlbMarket_OILLPG</v>
      </c>
      <c r="Y43" t="str">
        <f t="shared" si="34"/>
        <v>Arg-Chi</v>
      </c>
      <c r="Z43" t="str">
        <f>"GlbMarket_"&amp;VLOOKUP(Y37,$A$1:$B$50,2,FALSE)</f>
        <v>GlbMarket_OILLUB</v>
      </c>
      <c r="AB43" t="str">
        <f t="shared" si="35"/>
        <v>Arg-Chi</v>
      </c>
      <c r="AC43" t="str">
        <f>"GlbMarket_"&amp;VLOOKUP(AB37,$A$1:$B$50,2,FALSE)</f>
        <v>GlbMarket_OILNAP</v>
      </c>
      <c r="AE43" t="str">
        <f t="shared" si="36"/>
        <v>Arg-Chi</v>
      </c>
      <c r="AF43" t="str">
        <f>"GlbMarket_"&amp;VLOOKUP(AE37,$A$1:$B$50,2,FALSE)</f>
        <v>GlbMarket_OILNCR</v>
      </c>
      <c r="AH43" t="str">
        <f t="shared" si="37"/>
        <v>Arg-Chi</v>
      </c>
      <c r="AI43" t="str">
        <f>"GlbMarket_"&amp;VLOOKUP(AH37,$A$1:$B$50,2,FALSE)</f>
        <v>GlbMarket_OILNGL</v>
      </c>
      <c r="AK43" t="str">
        <f t="shared" si="38"/>
        <v>Arg-Chi</v>
      </c>
      <c r="AL43" t="str">
        <f>"GlbMarket_"&amp;VLOOKUP(AK37,$A$1:$B$50,2,FALSE)</f>
        <v>GlbMarket_OILNSP</v>
      </c>
      <c r="AN43" t="str">
        <f t="shared" si="39"/>
        <v>Arg-Chi</v>
      </c>
      <c r="AO43" t="str">
        <f>"GlbMarket_"&amp;VLOOKUP(AN37,$A$1:$B$50,2,FALSE)</f>
        <v>GlbMarket_OILPTC</v>
      </c>
      <c r="AQ43" t="str">
        <f t="shared" si="40"/>
        <v>Arg-Chi</v>
      </c>
      <c r="AR43" t="str">
        <f>"GlbMarket_"&amp;VLOOKUP(AQ37,$A$1:$B$50,2,FALSE)</f>
        <v>GlbMarket_NH3</v>
      </c>
      <c r="AT43" t="str">
        <f t="shared" si="41"/>
        <v>Arg-Chi</v>
      </c>
      <c r="AU43" t="str">
        <f>"GlbMarket_"&amp;VLOOKUP(AT37,$A$1:$B$50,2,FALSE)</f>
        <v>GlbMarket_CO2ForStorage</v>
      </c>
      <c r="AW43" t="str">
        <f t="shared" si="42"/>
        <v>Arg-Chi</v>
      </c>
      <c r="AX43" t="str">
        <f>"GlbMarket_"&amp;VLOOKUP(AW37,$A$1:$B$50,2,FALSE)</f>
        <v>GlbMarket_im_stlslabs</v>
      </c>
      <c r="AZ43" t="str">
        <f t="shared" si="43"/>
        <v>Arg-Chi</v>
      </c>
      <c r="BA43" t="str">
        <f>"GlbMarket_"&amp;VLOOKUP(AZ37,$A$1:$B$50,2,FALSE)</f>
        <v>GlbMarket_im_fesponge</v>
      </c>
      <c r="BC43" t="str">
        <f t="shared" si="44"/>
        <v>Arg-Chi</v>
      </c>
      <c r="BD43" t="str">
        <f>"GlbMarket_"&amp;VLOOKUP(BC37,$A$1:$B$50,2,FALSE)</f>
        <v>GlbMarket_im_fescrap</v>
      </c>
    </row>
    <row r="44" spans="4:56">
      <c r="D44" t="str">
        <f t="shared" si="27"/>
        <v>Asia_central</v>
      </c>
      <c r="E44" t="str">
        <f>"GlbMarket_"&amp;VLOOKUP(D37,$A$1:$B$50,2,FALSE)</f>
        <v>GlbMarket_OILDST</v>
      </c>
      <c r="G44" t="str">
        <f t="shared" si="28"/>
        <v>Asia_central</v>
      </c>
      <c r="H44" t="str">
        <f>"GlbMarket_"&amp;VLOOKUP(G37,$A$1:$B$50,2,FALSE)</f>
        <v>GlbMarket_OILFEE</v>
      </c>
      <c r="J44" t="str">
        <f t="shared" si="29"/>
        <v>Asia_central</v>
      </c>
      <c r="K44" t="str">
        <f>"GlbMarket_"&amp;VLOOKUP(J37,$A$1:$B$50,2,FALSE)</f>
        <v>GlbMarket_OILGSL</v>
      </c>
      <c r="M44" t="str">
        <f t="shared" si="30"/>
        <v>Asia_central</v>
      </c>
      <c r="N44" t="str">
        <f>"GlbMarket_"&amp;VLOOKUP(M37,$A$1:$B$50,2,FALSE)</f>
        <v>GlbMarket_OILHFO</v>
      </c>
      <c r="P44" t="str">
        <f t="shared" si="31"/>
        <v>Asia_central</v>
      </c>
      <c r="Q44" t="str">
        <f>"GlbMarket_"&amp;VLOOKUP(P37,$A$1:$B$50,2,FALSE)</f>
        <v>GlbMarket_OILJTK</v>
      </c>
      <c r="S44" t="str">
        <f t="shared" si="32"/>
        <v>Asia_central</v>
      </c>
      <c r="T44" t="str">
        <f>"GlbMarket_"&amp;VLOOKUP(S37,$A$1:$B$50,2,FALSE)</f>
        <v>GlbMarket_OILKER</v>
      </c>
      <c r="V44" t="str">
        <f t="shared" si="33"/>
        <v>Asia_central</v>
      </c>
      <c r="W44" t="str">
        <f>"GlbMarket_"&amp;VLOOKUP(V37,$A$1:$B$50,2,FALSE)</f>
        <v>GlbMarket_OILLPG</v>
      </c>
      <c r="Y44" t="str">
        <f t="shared" si="34"/>
        <v>Asia_central</v>
      </c>
      <c r="Z44" t="str">
        <f>"GlbMarket_"&amp;VLOOKUP(Y37,$A$1:$B$50,2,FALSE)</f>
        <v>GlbMarket_OILLUB</v>
      </c>
      <c r="AB44" t="str">
        <f t="shared" si="35"/>
        <v>Asia_central</v>
      </c>
      <c r="AC44" t="str">
        <f>"GlbMarket_"&amp;VLOOKUP(AB37,$A$1:$B$50,2,FALSE)</f>
        <v>GlbMarket_OILNAP</v>
      </c>
      <c r="AE44" t="str">
        <f t="shared" si="36"/>
        <v>Asia_central</v>
      </c>
      <c r="AF44" t="str">
        <f>"GlbMarket_"&amp;VLOOKUP(AE37,$A$1:$B$50,2,FALSE)</f>
        <v>GlbMarket_OILNCR</v>
      </c>
      <c r="AH44" t="str">
        <f t="shared" si="37"/>
        <v>Asia_central</v>
      </c>
      <c r="AI44" t="str">
        <f>"GlbMarket_"&amp;VLOOKUP(AH37,$A$1:$B$50,2,FALSE)</f>
        <v>GlbMarket_OILNGL</v>
      </c>
      <c r="AK44" t="str">
        <f t="shared" si="38"/>
        <v>Asia_central</v>
      </c>
      <c r="AL44" t="str">
        <f>"GlbMarket_"&amp;VLOOKUP(AK37,$A$1:$B$50,2,FALSE)</f>
        <v>GlbMarket_OILNSP</v>
      </c>
      <c r="AN44" t="str">
        <f t="shared" si="39"/>
        <v>Asia_central</v>
      </c>
      <c r="AO44" t="str">
        <f>"GlbMarket_"&amp;VLOOKUP(AN37,$A$1:$B$50,2,FALSE)</f>
        <v>GlbMarket_OILPTC</v>
      </c>
      <c r="AQ44" t="str">
        <f t="shared" si="40"/>
        <v>Asia_central</v>
      </c>
      <c r="AR44" t="str">
        <f>"GlbMarket_"&amp;VLOOKUP(AQ37,$A$1:$B$50,2,FALSE)</f>
        <v>GlbMarket_NH3</v>
      </c>
      <c r="AT44" t="str">
        <f t="shared" si="41"/>
        <v>Asia_central</v>
      </c>
      <c r="AU44" t="str">
        <f>"GlbMarket_"&amp;VLOOKUP(AT37,$A$1:$B$50,2,FALSE)</f>
        <v>GlbMarket_CO2ForStorage</v>
      </c>
      <c r="AW44" t="str">
        <f t="shared" si="42"/>
        <v>Asia_central</v>
      </c>
      <c r="AX44" t="str">
        <f>"GlbMarket_"&amp;VLOOKUP(AW37,$A$1:$B$50,2,FALSE)</f>
        <v>GlbMarket_im_stlslabs</v>
      </c>
      <c r="AZ44" t="str">
        <f t="shared" si="43"/>
        <v>Asia_central</v>
      </c>
      <c r="BA44" t="str">
        <f>"GlbMarket_"&amp;VLOOKUP(AZ37,$A$1:$B$50,2,FALSE)</f>
        <v>GlbMarket_im_fesponge</v>
      </c>
      <c r="BC44" t="str">
        <f t="shared" si="44"/>
        <v>Asia_central</v>
      </c>
      <c r="BD44" t="str">
        <f>"GlbMarket_"&amp;VLOOKUP(BC37,$A$1:$B$50,2,FALSE)</f>
        <v>GlbMarket_im_fescrap</v>
      </c>
    </row>
    <row r="45" spans="4:56">
      <c r="D45" t="str">
        <f t="shared" si="27"/>
        <v>Asia_east</v>
      </c>
      <c r="E45" t="str">
        <f>"GlbMarket_"&amp;VLOOKUP(D37,$A$1:$B$50,2,FALSE)</f>
        <v>GlbMarket_OILDST</v>
      </c>
      <c r="G45" t="str">
        <f t="shared" si="28"/>
        <v>Asia_east</v>
      </c>
      <c r="H45" t="str">
        <f>"GlbMarket_"&amp;VLOOKUP(G37,$A$1:$B$50,2,FALSE)</f>
        <v>GlbMarket_OILFEE</v>
      </c>
      <c r="J45" t="str">
        <f t="shared" si="29"/>
        <v>Asia_east</v>
      </c>
      <c r="K45" t="str">
        <f>"GlbMarket_"&amp;VLOOKUP(J37,$A$1:$B$50,2,FALSE)</f>
        <v>GlbMarket_OILGSL</v>
      </c>
      <c r="M45" t="str">
        <f t="shared" si="30"/>
        <v>Asia_east</v>
      </c>
      <c r="N45" t="str">
        <f>"GlbMarket_"&amp;VLOOKUP(M37,$A$1:$B$50,2,FALSE)</f>
        <v>GlbMarket_OILHFO</v>
      </c>
      <c r="P45" t="str">
        <f t="shared" si="31"/>
        <v>Asia_east</v>
      </c>
      <c r="Q45" t="str">
        <f>"GlbMarket_"&amp;VLOOKUP(P37,$A$1:$B$50,2,FALSE)</f>
        <v>GlbMarket_OILJTK</v>
      </c>
      <c r="S45" t="str">
        <f t="shared" si="32"/>
        <v>Asia_east</v>
      </c>
      <c r="T45" t="str">
        <f>"GlbMarket_"&amp;VLOOKUP(S37,$A$1:$B$50,2,FALSE)</f>
        <v>GlbMarket_OILKER</v>
      </c>
      <c r="V45" t="str">
        <f t="shared" si="33"/>
        <v>Asia_east</v>
      </c>
      <c r="W45" t="str">
        <f>"GlbMarket_"&amp;VLOOKUP(V37,$A$1:$B$50,2,FALSE)</f>
        <v>GlbMarket_OILLPG</v>
      </c>
      <c r="Y45" t="str">
        <f t="shared" si="34"/>
        <v>Asia_east</v>
      </c>
      <c r="Z45" t="str">
        <f>"GlbMarket_"&amp;VLOOKUP(Y37,$A$1:$B$50,2,FALSE)</f>
        <v>GlbMarket_OILLUB</v>
      </c>
      <c r="AB45" t="str">
        <f t="shared" si="35"/>
        <v>Asia_east</v>
      </c>
      <c r="AC45" t="str">
        <f>"GlbMarket_"&amp;VLOOKUP(AB37,$A$1:$B$50,2,FALSE)</f>
        <v>GlbMarket_OILNAP</v>
      </c>
      <c r="AE45" t="str">
        <f t="shared" si="36"/>
        <v>Asia_east</v>
      </c>
      <c r="AF45" t="str">
        <f>"GlbMarket_"&amp;VLOOKUP(AE37,$A$1:$B$50,2,FALSE)</f>
        <v>GlbMarket_OILNCR</v>
      </c>
      <c r="AH45" t="str">
        <f t="shared" si="37"/>
        <v>Asia_east</v>
      </c>
      <c r="AI45" t="str">
        <f>"GlbMarket_"&amp;VLOOKUP(AH37,$A$1:$B$50,2,FALSE)</f>
        <v>GlbMarket_OILNGL</v>
      </c>
      <c r="AK45" t="str">
        <f t="shared" si="38"/>
        <v>Asia_east</v>
      </c>
      <c r="AL45" t="str">
        <f>"GlbMarket_"&amp;VLOOKUP(AK37,$A$1:$B$50,2,FALSE)</f>
        <v>GlbMarket_OILNSP</v>
      </c>
      <c r="AN45" t="str">
        <f t="shared" si="39"/>
        <v>Asia_east</v>
      </c>
      <c r="AO45" t="str">
        <f>"GlbMarket_"&amp;VLOOKUP(AN37,$A$1:$B$50,2,FALSE)</f>
        <v>GlbMarket_OILPTC</v>
      </c>
      <c r="AQ45" t="str">
        <f t="shared" si="40"/>
        <v>Asia_east</v>
      </c>
      <c r="AR45" t="str">
        <f>"GlbMarket_"&amp;VLOOKUP(AQ37,$A$1:$B$50,2,FALSE)</f>
        <v>GlbMarket_NH3</v>
      </c>
      <c r="AT45" t="str">
        <f t="shared" si="41"/>
        <v>Asia_east</v>
      </c>
      <c r="AU45" t="str">
        <f>"GlbMarket_"&amp;VLOOKUP(AT37,$A$1:$B$50,2,FALSE)</f>
        <v>GlbMarket_CO2ForStorage</v>
      </c>
      <c r="AW45" t="str">
        <f t="shared" si="42"/>
        <v>Asia_east</v>
      </c>
      <c r="AX45" t="str">
        <f>"GlbMarket_"&amp;VLOOKUP(AW37,$A$1:$B$50,2,FALSE)</f>
        <v>GlbMarket_im_stlslabs</v>
      </c>
      <c r="AZ45" t="str">
        <f t="shared" si="43"/>
        <v>Asia_east</v>
      </c>
      <c r="BA45" t="str">
        <f>"GlbMarket_"&amp;VLOOKUP(AZ37,$A$1:$B$50,2,FALSE)</f>
        <v>GlbMarket_im_fesponge</v>
      </c>
      <c r="BC45" t="str">
        <f t="shared" si="44"/>
        <v>Asia_east</v>
      </c>
      <c r="BD45" t="str">
        <f>"GlbMarket_"&amp;VLOOKUP(BC37,$A$1:$B$50,2,FALSE)</f>
        <v>GlbMarket_im_fescrap</v>
      </c>
    </row>
    <row r="46" spans="4:56">
      <c r="D46" t="str">
        <f t="shared" si="27"/>
        <v>Asia_other</v>
      </c>
      <c r="E46" t="str">
        <f>"GlbMarket_"&amp;VLOOKUP(D37,$A$1:$B$50,2,FALSE)</f>
        <v>GlbMarket_OILDST</v>
      </c>
      <c r="G46" t="str">
        <f t="shared" si="28"/>
        <v>Asia_other</v>
      </c>
      <c r="H46" t="str">
        <f>"GlbMarket_"&amp;VLOOKUP(G37,$A$1:$B$50,2,FALSE)</f>
        <v>GlbMarket_OILFEE</v>
      </c>
      <c r="J46" t="str">
        <f t="shared" si="29"/>
        <v>Asia_other</v>
      </c>
      <c r="K46" t="str">
        <f>"GlbMarket_"&amp;VLOOKUP(J37,$A$1:$B$50,2,FALSE)</f>
        <v>GlbMarket_OILGSL</v>
      </c>
      <c r="M46" t="str">
        <f t="shared" si="30"/>
        <v>Asia_other</v>
      </c>
      <c r="N46" t="str">
        <f>"GlbMarket_"&amp;VLOOKUP(M37,$A$1:$B$50,2,FALSE)</f>
        <v>GlbMarket_OILHFO</v>
      </c>
      <c r="P46" t="str">
        <f t="shared" si="31"/>
        <v>Asia_other</v>
      </c>
      <c r="Q46" t="str">
        <f>"GlbMarket_"&amp;VLOOKUP(P37,$A$1:$B$50,2,FALSE)</f>
        <v>GlbMarket_OILJTK</v>
      </c>
      <c r="S46" t="str">
        <f t="shared" si="32"/>
        <v>Asia_other</v>
      </c>
      <c r="T46" t="str">
        <f>"GlbMarket_"&amp;VLOOKUP(S37,$A$1:$B$50,2,FALSE)</f>
        <v>GlbMarket_OILKER</v>
      </c>
      <c r="V46" t="str">
        <f t="shared" si="33"/>
        <v>Asia_other</v>
      </c>
      <c r="W46" t="str">
        <f>"GlbMarket_"&amp;VLOOKUP(V37,$A$1:$B$50,2,FALSE)</f>
        <v>GlbMarket_OILLPG</v>
      </c>
      <c r="Y46" t="str">
        <f t="shared" si="34"/>
        <v>Asia_other</v>
      </c>
      <c r="Z46" t="str">
        <f>"GlbMarket_"&amp;VLOOKUP(Y37,$A$1:$B$50,2,FALSE)</f>
        <v>GlbMarket_OILLUB</v>
      </c>
      <c r="AB46" t="str">
        <f t="shared" si="35"/>
        <v>Asia_other</v>
      </c>
      <c r="AC46" t="str">
        <f>"GlbMarket_"&amp;VLOOKUP(AB37,$A$1:$B$50,2,FALSE)</f>
        <v>GlbMarket_OILNAP</v>
      </c>
      <c r="AE46" t="str">
        <f t="shared" si="36"/>
        <v>Asia_other</v>
      </c>
      <c r="AF46" t="str">
        <f>"GlbMarket_"&amp;VLOOKUP(AE37,$A$1:$B$50,2,FALSE)</f>
        <v>GlbMarket_OILNCR</v>
      </c>
      <c r="AH46" t="str">
        <f t="shared" si="37"/>
        <v>Asia_other</v>
      </c>
      <c r="AI46" t="str">
        <f>"GlbMarket_"&amp;VLOOKUP(AH37,$A$1:$B$50,2,FALSE)</f>
        <v>GlbMarket_OILNGL</v>
      </c>
      <c r="AK46" t="str">
        <f t="shared" si="38"/>
        <v>Asia_other</v>
      </c>
      <c r="AL46" t="str">
        <f>"GlbMarket_"&amp;VLOOKUP(AK37,$A$1:$B$50,2,FALSE)</f>
        <v>GlbMarket_OILNSP</v>
      </c>
      <c r="AN46" t="str">
        <f t="shared" si="39"/>
        <v>Asia_other</v>
      </c>
      <c r="AO46" t="str">
        <f>"GlbMarket_"&amp;VLOOKUP(AN37,$A$1:$B$50,2,FALSE)</f>
        <v>GlbMarket_OILPTC</v>
      </c>
      <c r="AQ46" t="str">
        <f t="shared" si="40"/>
        <v>Asia_other</v>
      </c>
      <c r="AR46" t="str">
        <f>"GlbMarket_"&amp;VLOOKUP(AQ37,$A$1:$B$50,2,FALSE)</f>
        <v>GlbMarket_NH3</v>
      </c>
      <c r="AT46" t="str">
        <f t="shared" si="41"/>
        <v>Asia_other</v>
      </c>
      <c r="AU46" t="str">
        <f>"GlbMarket_"&amp;VLOOKUP(AT37,$A$1:$B$50,2,FALSE)</f>
        <v>GlbMarket_CO2ForStorage</v>
      </c>
      <c r="AW46" t="str">
        <f t="shared" si="42"/>
        <v>Asia_other</v>
      </c>
      <c r="AX46" t="str">
        <f>"GlbMarket_"&amp;VLOOKUP(AW37,$A$1:$B$50,2,FALSE)</f>
        <v>GlbMarket_im_stlslabs</v>
      </c>
      <c r="AZ46" t="str">
        <f t="shared" si="43"/>
        <v>Asia_other</v>
      </c>
      <c r="BA46" t="str">
        <f>"GlbMarket_"&amp;VLOOKUP(AZ37,$A$1:$B$50,2,FALSE)</f>
        <v>GlbMarket_im_fesponge</v>
      </c>
      <c r="BC46" t="str">
        <f t="shared" si="44"/>
        <v>Asia_other</v>
      </c>
      <c r="BD46" t="str">
        <f>"GlbMarket_"&amp;VLOOKUP(BC37,$A$1:$B$50,2,FALSE)</f>
        <v>GlbMarket_im_fescrap</v>
      </c>
    </row>
    <row r="47" spans="4:56">
      <c r="D47" t="str">
        <f t="shared" si="27"/>
        <v>Australia_NZ</v>
      </c>
      <c r="E47" t="str">
        <f>"GlbMarket_"&amp;VLOOKUP(D37,$A$1:$B$50,2,FALSE)</f>
        <v>GlbMarket_OILDST</v>
      </c>
      <c r="G47" t="str">
        <f t="shared" si="28"/>
        <v>Australia_NZ</v>
      </c>
      <c r="H47" t="str">
        <f>"GlbMarket_"&amp;VLOOKUP(G37,$A$1:$B$50,2,FALSE)</f>
        <v>GlbMarket_OILFEE</v>
      </c>
      <c r="J47" t="str">
        <f t="shared" si="29"/>
        <v>Australia_NZ</v>
      </c>
      <c r="K47" t="str">
        <f>"GlbMarket_"&amp;VLOOKUP(J37,$A$1:$B$50,2,FALSE)</f>
        <v>GlbMarket_OILGSL</v>
      </c>
      <c r="M47" t="str">
        <f t="shared" si="30"/>
        <v>Australia_NZ</v>
      </c>
      <c r="N47" t="str">
        <f>"GlbMarket_"&amp;VLOOKUP(M37,$A$1:$B$50,2,FALSE)</f>
        <v>GlbMarket_OILHFO</v>
      </c>
      <c r="P47" t="str">
        <f t="shared" si="31"/>
        <v>Australia_NZ</v>
      </c>
      <c r="Q47" t="str">
        <f>"GlbMarket_"&amp;VLOOKUP(P37,$A$1:$B$50,2,FALSE)</f>
        <v>GlbMarket_OILJTK</v>
      </c>
      <c r="S47" t="str">
        <f t="shared" si="32"/>
        <v>Australia_NZ</v>
      </c>
      <c r="T47" t="str">
        <f>"GlbMarket_"&amp;VLOOKUP(S37,$A$1:$B$50,2,FALSE)</f>
        <v>GlbMarket_OILKER</v>
      </c>
      <c r="V47" t="str">
        <f t="shared" si="33"/>
        <v>Australia_NZ</v>
      </c>
      <c r="W47" t="str">
        <f>"GlbMarket_"&amp;VLOOKUP(V37,$A$1:$B$50,2,FALSE)</f>
        <v>GlbMarket_OILLPG</v>
      </c>
      <c r="Y47" t="str">
        <f t="shared" si="34"/>
        <v>Australia_NZ</v>
      </c>
      <c r="Z47" t="str">
        <f>"GlbMarket_"&amp;VLOOKUP(Y37,$A$1:$B$50,2,FALSE)</f>
        <v>GlbMarket_OILLUB</v>
      </c>
      <c r="AB47" t="str">
        <f t="shared" si="35"/>
        <v>Australia_NZ</v>
      </c>
      <c r="AC47" t="str">
        <f>"GlbMarket_"&amp;VLOOKUP(AB37,$A$1:$B$50,2,FALSE)</f>
        <v>GlbMarket_OILNAP</v>
      </c>
      <c r="AE47" t="str">
        <f t="shared" si="36"/>
        <v>Australia_NZ</v>
      </c>
      <c r="AF47" t="str">
        <f>"GlbMarket_"&amp;VLOOKUP(AE37,$A$1:$B$50,2,FALSE)</f>
        <v>GlbMarket_OILNCR</v>
      </c>
      <c r="AH47" t="str">
        <f t="shared" si="37"/>
        <v>Australia_NZ</v>
      </c>
      <c r="AI47" t="str">
        <f>"GlbMarket_"&amp;VLOOKUP(AH37,$A$1:$B$50,2,FALSE)</f>
        <v>GlbMarket_OILNGL</v>
      </c>
      <c r="AK47" t="str">
        <f t="shared" si="38"/>
        <v>Australia_NZ</v>
      </c>
      <c r="AL47" t="str">
        <f>"GlbMarket_"&amp;VLOOKUP(AK37,$A$1:$B$50,2,FALSE)</f>
        <v>GlbMarket_OILNSP</v>
      </c>
      <c r="AN47" t="str">
        <f t="shared" si="39"/>
        <v>Australia_NZ</v>
      </c>
      <c r="AO47" t="str">
        <f>"GlbMarket_"&amp;VLOOKUP(AN37,$A$1:$B$50,2,FALSE)</f>
        <v>GlbMarket_OILPTC</v>
      </c>
      <c r="AQ47" t="str">
        <f t="shared" si="40"/>
        <v>Australia_NZ</v>
      </c>
      <c r="AR47" t="str">
        <f>"GlbMarket_"&amp;VLOOKUP(AQ37,$A$1:$B$50,2,FALSE)</f>
        <v>GlbMarket_NH3</v>
      </c>
      <c r="AT47" t="str">
        <f t="shared" si="41"/>
        <v>Australia_NZ</v>
      </c>
      <c r="AU47" t="str">
        <f>"GlbMarket_"&amp;VLOOKUP(AT37,$A$1:$B$50,2,FALSE)</f>
        <v>GlbMarket_CO2ForStorage</v>
      </c>
      <c r="AW47" t="str">
        <f t="shared" si="42"/>
        <v>Australia_NZ</v>
      </c>
      <c r="AX47" t="str">
        <f>"GlbMarket_"&amp;VLOOKUP(AW37,$A$1:$B$50,2,FALSE)</f>
        <v>GlbMarket_im_stlslabs</v>
      </c>
      <c r="AZ47" t="str">
        <f t="shared" si="43"/>
        <v>Australia_NZ</v>
      </c>
      <c r="BA47" t="str">
        <f>"GlbMarket_"&amp;VLOOKUP(AZ37,$A$1:$B$50,2,FALSE)</f>
        <v>GlbMarket_im_fesponge</v>
      </c>
      <c r="BC47" t="str">
        <f t="shared" si="44"/>
        <v>Australia_NZ</v>
      </c>
      <c r="BD47" t="str">
        <f>"GlbMarket_"&amp;VLOOKUP(BC37,$A$1:$B$50,2,FALSE)</f>
        <v>GlbMarket_im_fescrap</v>
      </c>
    </row>
    <row r="48" spans="4:56">
      <c r="D48" t="str">
        <f t="shared" si="27"/>
        <v>Brazil</v>
      </c>
      <c r="E48" t="str">
        <f>"GlbMarket_"&amp;VLOOKUP(D37,$A$1:$B$50,2,FALSE)</f>
        <v>GlbMarket_OILDST</v>
      </c>
      <c r="G48" t="str">
        <f t="shared" si="28"/>
        <v>Brazil</v>
      </c>
      <c r="H48" t="str">
        <f>"GlbMarket_"&amp;VLOOKUP(G37,$A$1:$B$50,2,FALSE)</f>
        <v>GlbMarket_OILFEE</v>
      </c>
      <c r="J48" t="str">
        <f t="shared" si="29"/>
        <v>Brazil</v>
      </c>
      <c r="K48" t="str">
        <f>"GlbMarket_"&amp;VLOOKUP(J37,$A$1:$B$50,2,FALSE)</f>
        <v>GlbMarket_OILGSL</v>
      </c>
      <c r="M48" t="str">
        <f t="shared" si="30"/>
        <v>Brazil</v>
      </c>
      <c r="N48" t="str">
        <f>"GlbMarket_"&amp;VLOOKUP(M37,$A$1:$B$50,2,FALSE)</f>
        <v>GlbMarket_OILHFO</v>
      </c>
      <c r="P48" t="str">
        <f t="shared" si="31"/>
        <v>Brazil</v>
      </c>
      <c r="Q48" t="str">
        <f>"GlbMarket_"&amp;VLOOKUP(P37,$A$1:$B$50,2,FALSE)</f>
        <v>GlbMarket_OILJTK</v>
      </c>
      <c r="S48" t="str">
        <f t="shared" si="32"/>
        <v>Brazil</v>
      </c>
      <c r="T48" t="str">
        <f>"GlbMarket_"&amp;VLOOKUP(S37,$A$1:$B$50,2,FALSE)</f>
        <v>GlbMarket_OILKER</v>
      </c>
      <c r="V48" t="str">
        <f t="shared" si="33"/>
        <v>Brazil</v>
      </c>
      <c r="W48" t="str">
        <f>"GlbMarket_"&amp;VLOOKUP(V37,$A$1:$B$50,2,FALSE)</f>
        <v>GlbMarket_OILLPG</v>
      </c>
      <c r="Y48" t="str">
        <f t="shared" si="34"/>
        <v>Brazil</v>
      </c>
      <c r="Z48" t="str">
        <f>"GlbMarket_"&amp;VLOOKUP(Y37,$A$1:$B$50,2,FALSE)</f>
        <v>GlbMarket_OILLUB</v>
      </c>
      <c r="AB48" t="str">
        <f t="shared" si="35"/>
        <v>Brazil</v>
      </c>
      <c r="AC48" t="str">
        <f>"GlbMarket_"&amp;VLOOKUP(AB37,$A$1:$B$50,2,FALSE)</f>
        <v>GlbMarket_OILNAP</v>
      </c>
      <c r="AE48" t="str">
        <f t="shared" si="36"/>
        <v>Brazil</v>
      </c>
      <c r="AF48" t="str">
        <f>"GlbMarket_"&amp;VLOOKUP(AE37,$A$1:$B$50,2,FALSE)</f>
        <v>GlbMarket_OILNCR</v>
      </c>
      <c r="AH48" t="str">
        <f t="shared" si="37"/>
        <v>Brazil</v>
      </c>
      <c r="AI48" t="str">
        <f>"GlbMarket_"&amp;VLOOKUP(AH37,$A$1:$B$50,2,FALSE)</f>
        <v>GlbMarket_OILNGL</v>
      </c>
      <c r="AK48" t="str">
        <f t="shared" si="38"/>
        <v>Brazil</v>
      </c>
      <c r="AL48" t="str">
        <f>"GlbMarket_"&amp;VLOOKUP(AK37,$A$1:$B$50,2,FALSE)</f>
        <v>GlbMarket_OILNSP</v>
      </c>
      <c r="AN48" t="str">
        <f t="shared" si="39"/>
        <v>Brazil</v>
      </c>
      <c r="AO48" t="str">
        <f>"GlbMarket_"&amp;VLOOKUP(AN37,$A$1:$B$50,2,FALSE)</f>
        <v>GlbMarket_OILPTC</v>
      </c>
      <c r="AQ48" t="str">
        <f t="shared" si="40"/>
        <v>Brazil</v>
      </c>
      <c r="AR48" t="str">
        <f>"GlbMarket_"&amp;VLOOKUP(AQ37,$A$1:$B$50,2,FALSE)</f>
        <v>GlbMarket_NH3</v>
      </c>
      <c r="AT48" t="str">
        <f t="shared" si="41"/>
        <v>Brazil</v>
      </c>
      <c r="AU48" t="str">
        <f>"GlbMarket_"&amp;VLOOKUP(AT37,$A$1:$B$50,2,FALSE)</f>
        <v>GlbMarket_CO2ForStorage</v>
      </c>
      <c r="AW48" t="str">
        <f t="shared" si="42"/>
        <v>Brazil</v>
      </c>
      <c r="AX48" t="str">
        <f>"GlbMarket_"&amp;VLOOKUP(AW37,$A$1:$B$50,2,FALSE)</f>
        <v>GlbMarket_im_stlslabs</v>
      </c>
      <c r="AZ48" t="str">
        <f t="shared" si="43"/>
        <v>Brazil</v>
      </c>
      <c r="BA48" t="str">
        <f>"GlbMarket_"&amp;VLOOKUP(AZ37,$A$1:$B$50,2,FALSE)</f>
        <v>GlbMarket_im_fesponge</v>
      </c>
      <c r="BC48" t="str">
        <f t="shared" si="44"/>
        <v>Brazil</v>
      </c>
      <c r="BD48" t="str">
        <f>"GlbMarket_"&amp;VLOOKUP(BC37,$A$1:$B$50,2,FALSE)</f>
        <v>GlbMarket_im_fescrap</v>
      </c>
    </row>
    <row r="49" spans="4:56">
      <c r="D49" t="str">
        <f t="shared" si="27"/>
        <v>Canada</v>
      </c>
      <c r="E49" t="str">
        <f>"GlbMarket_"&amp;VLOOKUP(D37,$A$1:$B$50,2,FALSE)</f>
        <v>GlbMarket_OILDST</v>
      </c>
      <c r="G49" t="str">
        <f t="shared" si="28"/>
        <v>Canada</v>
      </c>
      <c r="H49" t="str">
        <f>"GlbMarket_"&amp;VLOOKUP(G37,$A$1:$B$50,2,FALSE)</f>
        <v>GlbMarket_OILFEE</v>
      </c>
      <c r="J49" t="str">
        <f t="shared" si="29"/>
        <v>Canada</v>
      </c>
      <c r="K49" t="str">
        <f>"GlbMarket_"&amp;VLOOKUP(J37,$A$1:$B$50,2,FALSE)</f>
        <v>GlbMarket_OILGSL</v>
      </c>
      <c r="M49" t="str">
        <f t="shared" si="30"/>
        <v>Canada</v>
      </c>
      <c r="N49" t="str">
        <f>"GlbMarket_"&amp;VLOOKUP(M37,$A$1:$B$50,2,FALSE)</f>
        <v>GlbMarket_OILHFO</v>
      </c>
      <c r="P49" t="str">
        <f t="shared" si="31"/>
        <v>Canada</v>
      </c>
      <c r="Q49" t="str">
        <f>"GlbMarket_"&amp;VLOOKUP(P37,$A$1:$B$50,2,FALSE)</f>
        <v>GlbMarket_OILJTK</v>
      </c>
      <c r="S49" t="str">
        <f t="shared" si="32"/>
        <v>Canada</v>
      </c>
      <c r="T49" t="str">
        <f>"GlbMarket_"&amp;VLOOKUP(S37,$A$1:$B$50,2,FALSE)</f>
        <v>GlbMarket_OILKER</v>
      </c>
      <c r="V49" t="str">
        <f t="shared" si="33"/>
        <v>Canada</v>
      </c>
      <c r="W49" t="str">
        <f>"GlbMarket_"&amp;VLOOKUP(V37,$A$1:$B$50,2,FALSE)</f>
        <v>GlbMarket_OILLPG</v>
      </c>
      <c r="Y49" t="str">
        <f t="shared" si="34"/>
        <v>Canada</v>
      </c>
      <c r="Z49" t="str">
        <f>"GlbMarket_"&amp;VLOOKUP(Y37,$A$1:$B$50,2,FALSE)</f>
        <v>GlbMarket_OILLUB</v>
      </c>
      <c r="AB49" t="str">
        <f t="shared" si="35"/>
        <v>Canada</v>
      </c>
      <c r="AC49" t="str">
        <f>"GlbMarket_"&amp;VLOOKUP(AB37,$A$1:$B$50,2,FALSE)</f>
        <v>GlbMarket_OILNAP</v>
      </c>
      <c r="AE49" t="str">
        <f t="shared" si="36"/>
        <v>Canada</v>
      </c>
      <c r="AF49" t="str">
        <f>"GlbMarket_"&amp;VLOOKUP(AE37,$A$1:$B$50,2,FALSE)</f>
        <v>GlbMarket_OILNCR</v>
      </c>
      <c r="AH49" t="str">
        <f t="shared" si="37"/>
        <v>Canada</v>
      </c>
      <c r="AI49" t="str">
        <f>"GlbMarket_"&amp;VLOOKUP(AH37,$A$1:$B$50,2,FALSE)</f>
        <v>GlbMarket_OILNGL</v>
      </c>
      <c r="AK49" t="str">
        <f t="shared" si="38"/>
        <v>Canada</v>
      </c>
      <c r="AL49" t="str">
        <f>"GlbMarket_"&amp;VLOOKUP(AK37,$A$1:$B$50,2,FALSE)</f>
        <v>GlbMarket_OILNSP</v>
      </c>
      <c r="AN49" t="str">
        <f t="shared" si="39"/>
        <v>Canada</v>
      </c>
      <c r="AO49" t="str">
        <f>"GlbMarket_"&amp;VLOOKUP(AN37,$A$1:$B$50,2,FALSE)</f>
        <v>GlbMarket_OILPTC</v>
      </c>
      <c r="AQ49" t="str">
        <f t="shared" si="40"/>
        <v>Canada</v>
      </c>
      <c r="AR49" t="str">
        <f>"GlbMarket_"&amp;VLOOKUP(AQ37,$A$1:$B$50,2,FALSE)</f>
        <v>GlbMarket_NH3</v>
      </c>
      <c r="AT49" t="str">
        <f t="shared" si="41"/>
        <v>Canada</v>
      </c>
      <c r="AU49" t="str">
        <f>"GlbMarket_"&amp;VLOOKUP(AT37,$A$1:$B$50,2,FALSE)</f>
        <v>GlbMarket_CO2ForStorage</v>
      </c>
      <c r="AW49" t="str">
        <f t="shared" si="42"/>
        <v>Canada</v>
      </c>
      <c r="AX49" t="str">
        <f>"GlbMarket_"&amp;VLOOKUP(AW37,$A$1:$B$50,2,FALSE)</f>
        <v>GlbMarket_im_stlslabs</v>
      </c>
      <c r="AZ49" t="str">
        <f t="shared" si="43"/>
        <v>Canada</v>
      </c>
      <c r="BA49" t="str">
        <f>"GlbMarket_"&amp;VLOOKUP(AZ37,$A$1:$B$50,2,FALSE)</f>
        <v>GlbMarket_im_fesponge</v>
      </c>
      <c r="BC49" t="str">
        <f t="shared" si="44"/>
        <v>Canada</v>
      </c>
      <c r="BD49" t="str">
        <f>"GlbMarket_"&amp;VLOOKUP(BC37,$A$1:$B$50,2,FALSE)</f>
        <v>GlbMarket_im_fescrap</v>
      </c>
    </row>
    <row r="50" spans="4:56">
      <c r="D50" t="str">
        <f t="shared" si="27"/>
        <v>China</v>
      </c>
      <c r="E50" t="str">
        <f>"GlbMarket_"&amp;VLOOKUP(D37,$A$1:$B$50,2,FALSE)</f>
        <v>GlbMarket_OILDST</v>
      </c>
      <c r="G50" t="str">
        <f t="shared" si="28"/>
        <v>China</v>
      </c>
      <c r="H50" t="str">
        <f>"GlbMarket_"&amp;VLOOKUP(G37,$A$1:$B$50,2,FALSE)</f>
        <v>GlbMarket_OILFEE</v>
      </c>
      <c r="J50" t="str">
        <f t="shared" si="29"/>
        <v>China</v>
      </c>
      <c r="K50" t="str">
        <f>"GlbMarket_"&amp;VLOOKUP(J37,$A$1:$B$50,2,FALSE)</f>
        <v>GlbMarket_OILGSL</v>
      </c>
      <c r="M50" t="str">
        <f t="shared" si="30"/>
        <v>China</v>
      </c>
      <c r="N50" t="str">
        <f>"GlbMarket_"&amp;VLOOKUP(M37,$A$1:$B$50,2,FALSE)</f>
        <v>GlbMarket_OILHFO</v>
      </c>
      <c r="P50" t="str">
        <f t="shared" si="31"/>
        <v>China</v>
      </c>
      <c r="Q50" t="str">
        <f>"GlbMarket_"&amp;VLOOKUP(P37,$A$1:$B$50,2,FALSE)</f>
        <v>GlbMarket_OILJTK</v>
      </c>
      <c r="S50" t="str">
        <f t="shared" si="32"/>
        <v>China</v>
      </c>
      <c r="T50" t="str">
        <f>"GlbMarket_"&amp;VLOOKUP(S37,$A$1:$B$50,2,FALSE)</f>
        <v>GlbMarket_OILKER</v>
      </c>
      <c r="V50" t="str">
        <f t="shared" si="33"/>
        <v>China</v>
      </c>
      <c r="W50" t="str">
        <f>"GlbMarket_"&amp;VLOOKUP(V37,$A$1:$B$50,2,FALSE)</f>
        <v>GlbMarket_OILLPG</v>
      </c>
      <c r="Y50" t="str">
        <f t="shared" si="34"/>
        <v>China</v>
      </c>
      <c r="Z50" t="str">
        <f>"GlbMarket_"&amp;VLOOKUP(Y37,$A$1:$B$50,2,FALSE)</f>
        <v>GlbMarket_OILLUB</v>
      </c>
      <c r="AB50" t="str">
        <f t="shared" si="35"/>
        <v>China</v>
      </c>
      <c r="AC50" t="str">
        <f>"GlbMarket_"&amp;VLOOKUP(AB37,$A$1:$B$50,2,FALSE)</f>
        <v>GlbMarket_OILNAP</v>
      </c>
      <c r="AE50" t="str">
        <f t="shared" si="36"/>
        <v>China</v>
      </c>
      <c r="AF50" t="str">
        <f>"GlbMarket_"&amp;VLOOKUP(AE37,$A$1:$B$50,2,FALSE)</f>
        <v>GlbMarket_OILNCR</v>
      </c>
      <c r="AH50" t="str">
        <f t="shared" si="37"/>
        <v>China</v>
      </c>
      <c r="AI50" t="str">
        <f>"GlbMarket_"&amp;VLOOKUP(AH37,$A$1:$B$50,2,FALSE)</f>
        <v>GlbMarket_OILNGL</v>
      </c>
      <c r="AK50" t="str">
        <f t="shared" si="38"/>
        <v>China</v>
      </c>
      <c r="AL50" t="str">
        <f>"GlbMarket_"&amp;VLOOKUP(AK37,$A$1:$B$50,2,FALSE)</f>
        <v>GlbMarket_OILNSP</v>
      </c>
      <c r="AN50" t="str">
        <f t="shared" si="39"/>
        <v>China</v>
      </c>
      <c r="AO50" t="str">
        <f>"GlbMarket_"&amp;VLOOKUP(AN37,$A$1:$B$50,2,FALSE)</f>
        <v>GlbMarket_OILPTC</v>
      </c>
      <c r="AQ50" t="str">
        <f t="shared" si="40"/>
        <v>China</v>
      </c>
      <c r="AR50" t="str">
        <f>"GlbMarket_"&amp;VLOOKUP(AQ37,$A$1:$B$50,2,FALSE)</f>
        <v>GlbMarket_NH3</v>
      </c>
      <c r="AT50" t="str">
        <f t="shared" si="41"/>
        <v>China</v>
      </c>
      <c r="AU50" t="str">
        <f>"GlbMarket_"&amp;VLOOKUP(AT37,$A$1:$B$50,2,FALSE)</f>
        <v>GlbMarket_CO2ForStorage</v>
      </c>
      <c r="AW50" t="str">
        <f t="shared" si="42"/>
        <v>China</v>
      </c>
      <c r="AX50" t="str">
        <f>"GlbMarket_"&amp;VLOOKUP(AW37,$A$1:$B$50,2,FALSE)</f>
        <v>GlbMarket_im_stlslabs</v>
      </c>
      <c r="AZ50" t="str">
        <f t="shared" si="43"/>
        <v>China</v>
      </c>
      <c r="BA50" t="str">
        <f>"GlbMarket_"&amp;VLOOKUP(AZ37,$A$1:$B$50,2,FALSE)</f>
        <v>GlbMarket_im_fesponge</v>
      </c>
      <c r="BC50" t="str">
        <f t="shared" si="44"/>
        <v>China</v>
      </c>
      <c r="BD50" t="str">
        <f>"GlbMarket_"&amp;VLOOKUP(BC37,$A$1:$B$50,2,FALSE)</f>
        <v>GlbMarket_im_fescrap</v>
      </c>
    </row>
    <row r="51" spans="4:56">
      <c r="D51" t="str">
        <f t="shared" si="27"/>
        <v>EU_north</v>
      </c>
      <c r="E51" t="str">
        <f>"GlbMarket_"&amp;VLOOKUP(D37,$A$1:$B$50,2,FALSE)</f>
        <v>GlbMarket_OILDST</v>
      </c>
      <c r="G51" t="str">
        <f t="shared" si="28"/>
        <v>EU_north</v>
      </c>
      <c r="H51" t="str">
        <f>"GlbMarket_"&amp;VLOOKUP(G37,$A$1:$B$50,2,FALSE)</f>
        <v>GlbMarket_OILFEE</v>
      </c>
      <c r="J51" t="str">
        <f t="shared" si="29"/>
        <v>EU_north</v>
      </c>
      <c r="K51" t="str">
        <f>"GlbMarket_"&amp;VLOOKUP(J37,$A$1:$B$50,2,FALSE)</f>
        <v>GlbMarket_OILGSL</v>
      </c>
      <c r="M51" t="str">
        <f t="shared" si="30"/>
        <v>EU_north</v>
      </c>
      <c r="N51" t="str">
        <f>"GlbMarket_"&amp;VLOOKUP(M37,$A$1:$B$50,2,FALSE)</f>
        <v>GlbMarket_OILHFO</v>
      </c>
      <c r="P51" t="str">
        <f t="shared" si="31"/>
        <v>EU_north</v>
      </c>
      <c r="Q51" t="str">
        <f>"GlbMarket_"&amp;VLOOKUP(P37,$A$1:$B$50,2,FALSE)</f>
        <v>GlbMarket_OILJTK</v>
      </c>
      <c r="S51" t="str">
        <f t="shared" si="32"/>
        <v>EU_north</v>
      </c>
      <c r="T51" t="str">
        <f>"GlbMarket_"&amp;VLOOKUP(S37,$A$1:$B$50,2,FALSE)</f>
        <v>GlbMarket_OILKER</v>
      </c>
      <c r="V51" t="str">
        <f t="shared" si="33"/>
        <v>EU_north</v>
      </c>
      <c r="W51" t="str">
        <f>"GlbMarket_"&amp;VLOOKUP(V37,$A$1:$B$50,2,FALSE)</f>
        <v>GlbMarket_OILLPG</v>
      </c>
      <c r="Y51" t="str">
        <f t="shared" si="34"/>
        <v>EU_north</v>
      </c>
      <c r="Z51" t="str">
        <f>"GlbMarket_"&amp;VLOOKUP(Y37,$A$1:$B$50,2,FALSE)</f>
        <v>GlbMarket_OILLUB</v>
      </c>
      <c r="AB51" t="str">
        <f t="shared" si="35"/>
        <v>EU_north</v>
      </c>
      <c r="AC51" t="str">
        <f>"GlbMarket_"&amp;VLOOKUP(AB37,$A$1:$B$50,2,FALSE)</f>
        <v>GlbMarket_OILNAP</v>
      </c>
      <c r="AE51" t="str">
        <f t="shared" si="36"/>
        <v>EU_north</v>
      </c>
      <c r="AF51" t="str">
        <f>"GlbMarket_"&amp;VLOOKUP(AE37,$A$1:$B$50,2,FALSE)</f>
        <v>GlbMarket_OILNCR</v>
      </c>
      <c r="AH51" t="str">
        <f t="shared" si="37"/>
        <v>EU_north</v>
      </c>
      <c r="AI51" t="str">
        <f>"GlbMarket_"&amp;VLOOKUP(AH37,$A$1:$B$50,2,FALSE)</f>
        <v>GlbMarket_OILNGL</v>
      </c>
      <c r="AK51" t="str">
        <f t="shared" si="38"/>
        <v>EU_north</v>
      </c>
      <c r="AL51" t="str">
        <f>"GlbMarket_"&amp;VLOOKUP(AK37,$A$1:$B$50,2,FALSE)</f>
        <v>GlbMarket_OILNSP</v>
      </c>
      <c r="AN51" t="str">
        <f t="shared" si="39"/>
        <v>EU_north</v>
      </c>
      <c r="AO51" t="str">
        <f>"GlbMarket_"&amp;VLOOKUP(AN37,$A$1:$B$50,2,FALSE)</f>
        <v>GlbMarket_OILPTC</v>
      </c>
      <c r="AQ51" t="str">
        <f t="shared" si="40"/>
        <v>EU_north</v>
      </c>
      <c r="AR51" t="str">
        <f>"GlbMarket_"&amp;VLOOKUP(AQ37,$A$1:$B$50,2,FALSE)</f>
        <v>GlbMarket_NH3</v>
      </c>
      <c r="AT51" t="str">
        <f t="shared" si="41"/>
        <v>EU_north</v>
      </c>
      <c r="AU51" t="str">
        <f>"GlbMarket_"&amp;VLOOKUP(AT37,$A$1:$B$50,2,FALSE)</f>
        <v>GlbMarket_CO2ForStorage</v>
      </c>
      <c r="AW51" t="str">
        <f t="shared" si="42"/>
        <v>EU_north</v>
      </c>
      <c r="AX51" t="str">
        <f>"GlbMarket_"&amp;VLOOKUP(AW37,$A$1:$B$50,2,FALSE)</f>
        <v>GlbMarket_im_stlslabs</v>
      </c>
      <c r="AZ51" t="str">
        <f t="shared" si="43"/>
        <v>EU_north</v>
      </c>
      <c r="BA51" t="str">
        <f>"GlbMarket_"&amp;VLOOKUP(AZ37,$A$1:$B$50,2,FALSE)</f>
        <v>GlbMarket_im_fesponge</v>
      </c>
      <c r="BC51" t="str">
        <f t="shared" si="44"/>
        <v>EU_north</v>
      </c>
      <c r="BD51" t="str">
        <f>"GlbMarket_"&amp;VLOOKUP(BC37,$A$1:$B$50,2,FALSE)</f>
        <v>GlbMarket_im_fescrap</v>
      </c>
    </row>
    <row r="52" spans="4:56">
      <c r="D52" t="str">
        <f t="shared" si="27"/>
        <v>EU_northeast</v>
      </c>
      <c r="E52" t="str">
        <f>"GlbMarket_"&amp;VLOOKUP(D37,$A$1:$B$50,2,FALSE)</f>
        <v>GlbMarket_OILDST</v>
      </c>
      <c r="G52" t="str">
        <f t="shared" si="28"/>
        <v>EU_northeast</v>
      </c>
      <c r="H52" t="str">
        <f>"GlbMarket_"&amp;VLOOKUP(G37,$A$1:$B$50,2,FALSE)</f>
        <v>GlbMarket_OILFEE</v>
      </c>
      <c r="J52" t="str">
        <f t="shared" si="29"/>
        <v>EU_northeast</v>
      </c>
      <c r="K52" t="str">
        <f>"GlbMarket_"&amp;VLOOKUP(J37,$A$1:$B$50,2,FALSE)</f>
        <v>GlbMarket_OILGSL</v>
      </c>
      <c r="M52" t="str">
        <f t="shared" si="30"/>
        <v>EU_northeast</v>
      </c>
      <c r="N52" t="str">
        <f>"GlbMarket_"&amp;VLOOKUP(M37,$A$1:$B$50,2,FALSE)</f>
        <v>GlbMarket_OILHFO</v>
      </c>
      <c r="P52" t="str">
        <f t="shared" si="31"/>
        <v>EU_northeast</v>
      </c>
      <c r="Q52" t="str">
        <f>"GlbMarket_"&amp;VLOOKUP(P37,$A$1:$B$50,2,FALSE)</f>
        <v>GlbMarket_OILJTK</v>
      </c>
      <c r="S52" t="str">
        <f t="shared" si="32"/>
        <v>EU_northeast</v>
      </c>
      <c r="T52" t="str">
        <f>"GlbMarket_"&amp;VLOOKUP(S37,$A$1:$B$50,2,FALSE)</f>
        <v>GlbMarket_OILKER</v>
      </c>
      <c r="V52" t="str">
        <f t="shared" si="33"/>
        <v>EU_northeast</v>
      </c>
      <c r="W52" t="str">
        <f>"GlbMarket_"&amp;VLOOKUP(V37,$A$1:$B$50,2,FALSE)</f>
        <v>GlbMarket_OILLPG</v>
      </c>
      <c r="Y52" t="str">
        <f t="shared" si="34"/>
        <v>EU_northeast</v>
      </c>
      <c r="Z52" t="str">
        <f>"GlbMarket_"&amp;VLOOKUP(Y37,$A$1:$B$50,2,FALSE)</f>
        <v>GlbMarket_OILLUB</v>
      </c>
      <c r="AB52" t="str">
        <f t="shared" si="35"/>
        <v>EU_northeast</v>
      </c>
      <c r="AC52" t="str">
        <f>"GlbMarket_"&amp;VLOOKUP(AB37,$A$1:$B$50,2,FALSE)</f>
        <v>GlbMarket_OILNAP</v>
      </c>
      <c r="AE52" t="str">
        <f t="shared" si="36"/>
        <v>EU_northeast</v>
      </c>
      <c r="AF52" t="str">
        <f>"GlbMarket_"&amp;VLOOKUP(AE37,$A$1:$B$50,2,FALSE)</f>
        <v>GlbMarket_OILNCR</v>
      </c>
      <c r="AH52" t="str">
        <f t="shared" si="37"/>
        <v>EU_northeast</v>
      </c>
      <c r="AI52" t="str">
        <f>"GlbMarket_"&amp;VLOOKUP(AH37,$A$1:$B$50,2,FALSE)</f>
        <v>GlbMarket_OILNGL</v>
      </c>
      <c r="AK52" t="str">
        <f t="shared" si="38"/>
        <v>EU_northeast</v>
      </c>
      <c r="AL52" t="str">
        <f>"GlbMarket_"&amp;VLOOKUP(AK37,$A$1:$B$50,2,FALSE)</f>
        <v>GlbMarket_OILNSP</v>
      </c>
      <c r="AN52" t="str">
        <f t="shared" si="39"/>
        <v>EU_northeast</v>
      </c>
      <c r="AO52" t="str">
        <f>"GlbMarket_"&amp;VLOOKUP(AN37,$A$1:$B$50,2,FALSE)</f>
        <v>GlbMarket_OILPTC</v>
      </c>
      <c r="AQ52" t="str">
        <f t="shared" si="40"/>
        <v>EU_northeast</v>
      </c>
      <c r="AR52" t="str">
        <f>"GlbMarket_"&amp;VLOOKUP(AQ37,$A$1:$B$50,2,FALSE)</f>
        <v>GlbMarket_NH3</v>
      </c>
      <c r="AT52" t="str">
        <f t="shared" si="41"/>
        <v>EU_northeast</v>
      </c>
      <c r="AU52" t="str">
        <f>"GlbMarket_"&amp;VLOOKUP(AT37,$A$1:$B$50,2,FALSE)</f>
        <v>GlbMarket_CO2ForStorage</v>
      </c>
      <c r="AW52" t="str">
        <f t="shared" si="42"/>
        <v>EU_northeast</v>
      </c>
      <c r="AX52" t="str">
        <f>"GlbMarket_"&amp;VLOOKUP(AW37,$A$1:$B$50,2,FALSE)</f>
        <v>GlbMarket_im_stlslabs</v>
      </c>
      <c r="AZ52" t="str">
        <f t="shared" si="43"/>
        <v>EU_northeast</v>
      </c>
      <c r="BA52" t="str">
        <f>"GlbMarket_"&amp;VLOOKUP(AZ37,$A$1:$B$50,2,FALSE)</f>
        <v>GlbMarket_im_fesponge</v>
      </c>
      <c r="BC52" t="str">
        <f t="shared" si="44"/>
        <v>EU_northeast</v>
      </c>
      <c r="BD52" t="str">
        <f>"GlbMarket_"&amp;VLOOKUP(BC37,$A$1:$B$50,2,FALSE)</f>
        <v>GlbMarket_im_fescrap</v>
      </c>
    </row>
    <row r="53" spans="4:56">
      <c r="D53" t="str">
        <f t="shared" si="27"/>
        <v>EU_northwest</v>
      </c>
      <c r="E53" t="str">
        <f>"GlbMarket_"&amp;VLOOKUP(D37,$A$1:$B$50,2,FALSE)</f>
        <v>GlbMarket_OILDST</v>
      </c>
      <c r="G53" t="str">
        <f t="shared" si="28"/>
        <v>EU_northwest</v>
      </c>
      <c r="H53" t="str">
        <f>"GlbMarket_"&amp;VLOOKUP(G37,$A$1:$B$50,2,FALSE)</f>
        <v>GlbMarket_OILFEE</v>
      </c>
      <c r="J53" t="str">
        <f t="shared" si="29"/>
        <v>EU_northwest</v>
      </c>
      <c r="K53" t="str">
        <f>"GlbMarket_"&amp;VLOOKUP(J37,$A$1:$B$50,2,FALSE)</f>
        <v>GlbMarket_OILGSL</v>
      </c>
      <c r="M53" t="str">
        <f t="shared" si="30"/>
        <v>EU_northwest</v>
      </c>
      <c r="N53" t="str">
        <f>"GlbMarket_"&amp;VLOOKUP(M37,$A$1:$B$50,2,FALSE)</f>
        <v>GlbMarket_OILHFO</v>
      </c>
      <c r="P53" t="str">
        <f t="shared" si="31"/>
        <v>EU_northwest</v>
      </c>
      <c r="Q53" t="str">
        <f>"GlbMarket_"&amp;VLOOKUP(P37,$A$1:$B$50,2,FALSE)</f>
        <v>GlbMarket_OILJTK</v>
      </c>
      <c r="S53" t="str">
        <f t="shared" si="32"/>
        <v>EU_northwest</v>
      </c>
      <c r="T53" t="str">
        <f>"GlbMarket_"&amp;VLOOKUP(S37,$A$1:$B$50,2,FALSE)</f>
        <v>GlbMarket_OILKER</v>
      </c>
      <c r="V53" t="str">
        <f t="shared" si="33"/>
        <v>EU_northwest</v>
      </c>
      <c r="W53" t="str">
        <f>"GlbMarket_"&amp;VLOOKUP(V37,$A$1:$B$50,2,FALSE)</f>
        <v>GlbMarket_OILLPG</v>
      </c>
      <c r="Y53" t="str">
        <f t="shared" si="34"/>
        <v>EU_northwest</v>
      </c>
      <c r="Z53" t="str">
        <f>"GlbMarket_"&amp;VLOOKUP(Y37,$A$1:$B$50,2,FALSE)</f>
        <v>GlbMarket_OILLUB</v>
      </c>
      <c r="AB53" t="str">
        <f t="shared" si="35"/>
        <v>EU_northwest</v>
      </c>
      <c r="AC53" t="str">
        <f>"GlbMarket_"&amp;VLOOKUP(AB37,$A$1:$B$50,2,FALSE)</f>
        <v>GlbMarket_OILNAP</v>
      </c>
      <c r="AE53" t="str">
        <f t="shared" si="36"/>
        <v>EU_northwest</v>
      </c>
      <c r="AF53" t="str">
        <f>"GlbMarket_"&amp;VLOOKUP(AE37,$A$1:$B$50,2,FALSE)</f>
        <v>GlbMarket_OILNCR</v>
      </c>
      <c r="AH53" t="str">
        <f t="shared" si="37"/>
        <v>EU_northwest</v>
      </c>
      <c r="AI53" t="str">
        <f>"GlbMarket_"&amp;VLOOKUP(AH37,$A$1:$B$50,2,FALSE)</f>
        <v>GlbMarket_OILNGL</v>
      </c>
      <c r="AK53" t="str">
        <f t="shared" si="38"/>
        <v>EU_northwest</v>
      </c>
      <c r="AL53" t="str">
        <f>"GlbMarket_"&amp;VLOOKUP(AK37,$A$1:$B$50,2,FALSE)</f>
        <v>GlbMarket_OILNSP</v>
      </c>
      <c r="AN53" t="str">
        <f t="shared" si="39"/>
        <v>EU_northwest</v>
      </c>
      <c r="AO53" t="str">
        <f>"GlbMarket_"&amp;VLOOKUP(AN37,$A$1:$B$50,2,FALSE)</f>
        <v>GlbMarket_OILPTC</v>
      </c>
      <c r="AQ53" t="str">
        <f t="shared" si="40"/>
        <v>EU_northwest</v>
      </c>
      <c r="AR53" t="str">
        <f>"GlbMarket_"&amp;VLOOKUP(AQ37,$A$1:$B$50,2,FALSE)</f>
        <v>GlbMarket_NH3</v>
      </c>
      <c r="AT53" t="str">
        <f t="shared" si="41"/>
        <v>EU_northwest</v>
      </c>
      <c r="AU53" t="str">
        <f>"GlbMarket_"&amp;VLOOKUP(AT37,$A$1:$B$50,2,FALSE)</f>
        <v>GlbMarket_CO2ForStorage</v>
      </c>
      <c r="AW53" t="str">
        <f t="shared" si="42"/>
        <v>EU_northwest</v>
      </c>
      <c r="AX53" t="str">
        <f>"GlbMarket_"&amp;VLOOKUP(AW37,$A$1:$B$50,2,FALSE)</f>
        <v>GlbMarket_im_stlslabs</v>
      </c>
      <c r="AZ53" t="str">
        <f t="shared" si="43"/>
        <v>EU_northwest</v>
      </c>
      <c r="BA53" t="str">
        <f>"GlbMarket_"&amp;VLOOKUP(AZ37,$A$1:$B$50,2,FALSE)</f>
        <v>GlbMarket_im_fesponge</v>
      </c>
      <c r="BC53" t="str">
        <f t="shared" si="44"/>
        <v>EU_northwest</v>
      </c>
      <c r="BD53" t="str">
        <f>"GlbMarket_"&amp;VLOOKUP(BC37,$A$1:$B$50,2,FALSE)</f>
        <v>GlbMarket_im_fescrap</v>
      </c>
    </row>
    <row r="54" spans="4:56">
      <c r="D54" t="str">
        <f t="shared" si="27"/>
        <v>EU_south</v>
      </c>
      <c r="E54" t="str">
        <f>"GlbMarket_"&amp;VLOOKUP(D37,$A$1:$B$50,2,FALSE)</f>
        <v>GlbMarket_OILDST</v>
      </c>
      <c r="G54" t="str">
        <f t="shared" si="28"/>
        <v>EU_south</v>
      </c>
      <c r="H54" t="str">
        <f>"GlbMarket_"&amp;VLOOKUP(G37,$A$1:$B$50,2,FALSE)</f>
        <v>GlbMarket_OILFEE</v>
      </c>
      <c r="J54" t="str">
        <f t="shared" si="29"/>
        <v>EU_south</v>
      </c>
      <c r="K54" t="str">
        <f>"GlbMarket_"&amp;VLOOKUP(J37,$A$1:$B$50,2,FALSE)</f>
        <v>GlbMarket_OILGSL</v>
      </c>
      <c r="M54" t="str">
        <f t="shared" si="30"/>
        <v>EU_south</v>
      </c>
      <c r="N54" t="str">
        <f>"GlbMarket_"&amp;VLOOKUP(M37,$A$1:$B$50,2,FALSE)</f>
        <v>GlbMarket_OILHFO</v>
      </c>
      <c r="P54" t="str">
        <f t="shared" si="31"/>
        <v>EU_south</v>
      </c>
      <c r="Q54" t="str">
        <f>"GlbMarket_"&amp;VLOOKUP(P37,$A$1:$B$50,2,FALSE)</f>
        <v>GlbMarket_OILJTK</v>
      </c>
      <c r="S54" t="str">
        <f t="shared" si="32"/>
        <v>EU_south</v>
      </c>
      <c r="T54" t="str">
        <f>"GlbMarket_"&amp;VLOOKUP(S37,$A$1:$B$50,2,FALSE)</f>
        <v>GlbMarket_OILKER</v>
      </c>
      <c r="V54" t="str">
        <f t="shared" si="33"/>
        <v>EU_south</v>
      </c>
      <c r="W54" t="str">
        <f>"GlbMarket_"&amp;VLOOKUP(V37,$A$1:$B$50,2,FALSE)</f>
        <v>GlbMarket_OILLPG</v>
      </c>
      <c r="Y54" t="str">
        <f t="shared" si="34"/>
        <v>EU_south</v>
      </c>
      <c r="Z54" t="str">
        <f>"GlbMarket_"&amp;VLOOKUP(Y37,$A$1:$B$50,2,FALSE)</f>
        <v>GlbMarket_OILLUB</v>
      </c>
      <c r="AB54" t="str">
        <f t="shared" si="35"/>
        <v>EU_south</v>
      </c>
      <c r="AC54" t="str">
        <f>"GlbMarket_"&amp;VLOOKUP(AB37,$A$1:$B$50,2,FALSE)</f>
        <v>GlbMarket_OILNAP</v>
      </c>
      <c r="AE54" t="str">
        <f t="shared" si="36"/>
        <v>EU_south</v>
      </c>
      <c r="AF54" t="str">
        <f>"GlbMarket_"&amp;VLOOKUP(AE37,$A$1:$B$50,2,FALSE)</f>
        <v>GlbMarket_OILNCR</v>
      </c>
      <c r="AH54" t="str">
        <f t="shared" si="37"/>
        <v>EU_south</v>
      </c>
      <c r="AI54" t="str">
        <f>"GlbMarket_"&amp;VLOOKUP(AH37,$A$1:$B$50,2,FALSE)</f>
        <v>GlbMarket_OILNGL</v>
      </c>
      <c r="AK54" t="str">
        <f t="shared" si="38"/>
        <v>EU_south</v>
      </c>
      <c r="AL54" t="str">
        <f>"GlbMarket_"&amp;VLOOKUP(AK37,$A$1:$B$50,2,FALSE)</f>
        <v>GlbMarket_OILNSP</v>
      </c>
      <c r="AN54" t="str">
        <f t="shared" si="39"/>
        <v>EU_south</v>
      </c>
      <c r="AO54" t="str">
        <f>"GlbMarket_"&amp;VLOOKUP(AN37,$A$1:$B$50,2,FALSE)</f>
        <v>GlbMarket_OILPTC</v>
      </c>
      <c r="AQ54" t="str">
        <f t="shared" si="40"/>
        <v>EU_south</v>
      </c>
      <c r="AR54" t="str">
        <f>"GlbMarket_"&amp;VLOOKUP(AQ37,$A$1:$B$50,2,FALSE)</f>
        <v>GlbMarket_NH3</v>
      </c>
      <c r="AT54" t="str">
        <f t="shared" si="41"/>
        <v>EU_south</v>
      </c>
      <c r="AU54" t="str">
        <f>"GlbMarket_"&amp;VLOOKUP(AT37,$A$1:$B$50,2,FALSE)</f>
        <v>GlbMarket_CO2ForStorage</v>
      </c>
      <c r="AW54" t="str">
        <f t="shared" si="42"/>
        <v>EU_south</v>
      </c>
      <c r="AX54" t="str">
        <f>"GlbMarket_"&amp;VLOOKUP(AW37,$A$1:$B$50,2,FALSE)</f>
        <v>GlbMarket_im_stlslabs</v>
      </c>
      <c r="AZ54" t="str">
        <f t="shared" si="43"/>
        <v>EU_south</v>
      </c>
      <c r="BA54" t="str">
        <f>"GlbMarket_"&amp;VLOOKUP(AZ37,$A$1:$B$50,2,FALSE)</f>
        <v>GlbMarket_im_fesponge</v>
      </c>
      <c r="BC54" t="str">
        <f t="shared" si="44"/>
        <v>EU_south</v>
      </c>
      <c r="BD54" t="str">
        <f>"GlbMarket_"&amp;VLOOKUP(BC37,$A$1:$B$50,2,FALSE)</f>
        <v>GlbMarket_im_fescrap</v>
      </c>
    </row>
    <row r="55" spans="4:56">
      <c r="D55" t="str">
        <f t="shared" si="27"/>
        <v>EU_southeast</v>
      </c>
      <c r="E55" t="str">
        <f>"GlbMarket_"&amp;VLOOKUP(D37,$A$1:$B$50,2,FALSE)</f>
        <v>GlbMarket_OILDST</v>
      </c>
      <c r="G55" t="str">
        <f t="shared" si="28"/>
        <v>EU_southeast</v>
      </c>
      <c r="H55" t="str">
        <f>"GlbMarket_"&amp;VLOOKUP(G37,$A$1:$B$50,2,FALSE)</f>
        <v>GlbMarket_OILFEE</v>
      </c>
      <c r="J55" t="str">
        <f t="shared" si="29"/>
        <v>EU_southeast</v>
      </c>
      <c r="K55" t="str">
        <f>"GlbMarket_"&amp;VLOOKUP(J37,$A$1:$B$50,2,FALSE)</f>
        <v>GlbMarket_OILGSL</v>
      </c>
      <c r="M55" t="str">
        <f t="shared" si="30"/>
        <v>EU_southeast</v>
      </c>
      <c r="N55" t="str">
        <f>"GlbMarket_"&amp;VLOOKUP(M37,$A$1:$B$50,2,FALSE)</f>
        <v>GlbMarket_OILHFO</v>
      </c>
      <c r="P55" t="str">
        <f t="shared" si="31"/>
        <v>EU_southeast</v>
      </c>
      <c r="Q55" t="str">
        <f>"GlbMarket_"&amp;VLOOKUP(P37,$A$1:$B$50,2,FALSE)</f>
        <v>GlbMarket_OILJTK</v>
      </c>
      <c r="S55" t="str">
        <f t="shared" si="32"/>
        <v>EU_southeast</v>
      </c>
      <c r="T55" t="str">
        <f>"GlbMarket_"&amp;VLOOKUP(S37,$A$1:$B$50,2,FALSE)</f>
        <v>GlbMarket_OILKER</v>
      </c>
      <c r="V55" t="str">
        <f t="shared" si="33"/>
        <v>EU_southeast</v>
      </c>
      <c r="W55" t="str">
        <f>"GlbMarket_"&amp;VLOOKUP(V37,$A$1:$B$50,2,FALSE)</f>
        <v>GlbMarket_OILLPG</v>
      </c>
      <c r="Y55" t="str">
        <f t="shared" si="34"/>
        <v>EU_southeast</v>
      </c>
      <c r="Z55" t="str">
        <f>"GlbMarket_"&amp;VLOOKUP(Y37,$A$1:$B$50,2,FALSE)</f>
        <v>GlbMarket_OILLUB</v>
      </c>
      <c r="AB55" t="str">
        <f t="shared" si="35"/>
        <v>EU_southeast</v>
      </c>
      <c r="AC55" t="str">
        <f>"GlbMarket_"&amp;VLOOKUP(AB37,$A$1:$B$50,2,FALSE)</f>
        <v>GlbMarket_OILNAP</v>
      </c>
      <c r="AE55" t="str">
        <f t="shared" si="36"/>
        <v>EU_southeast</v>
      </c>
      <c r="AF55" t="str">
        <f>"GlbMarket_"&amp;VLOOKUP(AE37,$A$1:$B$50,2,FALSE)</f>
        <v>GlbMarket_OILNCR</v>
      </c>
      <c r="AH55" t="str">
        <f t="shared" si="37"/>
        <v>EU_southeast</v>
      </c>
      <c r="AI55" t="str">
        <f>"GlbMarket_"&amp;VLOOKUP(AH37,$A$1:$B$50,2,FALSE)</f>
        <v>GlbMarket_OILNGL</v>
      </c>
      <c r="AK55" t="str">
        <f t="shared" si="38"/>
        <v>EU_southeast</v>
      </c>
      <c r="AL55" t="str">
        <f>"GlbMarket_"&amp;VLOOKUP(AK37,$A$1:$B$50,2,FALSE)</f>
        <v>GlbMarket_OILNSP</v>
      </c>
      <c r="AN55" t="str">
        <f t="shared" si="39"/>
        <v>EU_southeast</v>
      </c>
      <c r="AO55" t="str">
        <f>"GlbMarket_"&amp;VLOOKUP(AN37,$A$1:$B$50,2,FALSE)</f>
        <v>GlbMarket_OILPTC</v>
      </c>
      <c r="AQ55" t="str">
        <f t="shared" si="40"/>
        <v>EU_southeast</v>
      </c>
      <c r="AR55" t="str">
        <f>"GlbMarket_"&amp;VLOOKUP(AQ37,$A$1:$B$50,2,FALSE)</f>
        <v>GlbMarket_NH3</v>
      </c>
      <c r="AT55" t="str">
        <f t="shared" si="41"/>
        <v>EU_southeast</v>
      </c>
      <c r="AU55" t="str">
        <f>"GlbMarket_"&amp;VLOOKUP(AT37,$A$1:$B$50,2,FALSE)</f>
        <v>GlbMarket_CO2ForStorage</v>
      </c>
      <c r="AW55" t="str">
        <f t="shared" si="42"/>
        <v>EU_southeast</v>
      </c>
      <c r="AX55" t="str">
        <f>"GlbMarket_"&amp;VLOOKUP(AW37,$A$1:$B$50,2,FALSE)</f>
        <v>GlbMarket_im_stlslabs</v>
      </c>
      <c r="AZ55" t="str">
        <f t="shared" si="43"/>
        <v>EU_southeast</v>
      </c>
      <c r="BA55" t="str">
        <f>"GlbMarket_"&amp;VLOOKUP(AZ37,$A$1:$B$50,2,FALSE)</f>
        <v>GlbMarket_im_fesponge</v>
      </c>
      <c r="BC55" t="str">
        <f t="shared" si="44"/>
        <v>EU_southeast</v>
      </c>
      <c r="BD55" t="str">
        <f>"GlbMarket_"&amp;VLOOKUP(BC37,$A$1:$B$50,2,FALSE)</f>
        <v>GlbMarket_im_fescrap</v>
      </c>
    </row>
    <row r="56" spans="4:56">
      <c r="D56" t="str">
        <f t="shared" si="27"/>
        <v>EU_southwest</v>
      </c>
      <c r="E56" t="str">
        <f>"GlbMarket_"&amp;VLOOKUP(D37,$A$1:$B$50,2,FALSE)</f>
        <v>GlbMarket_OILDST</v>
      </c>
      <c r="G56" t="str">
        <f t="shared" si="28"/>
        <v>EU_southwest</v>
      </c>
      <c r="H56" t="str">
        <f>"GlbMarket_"&amp;VLOOKUP(G37,$A$1:$B$50,2,FALSE)</f>
        <v>GlbMarket_OILFEE</v>
      </c>
      <c r="J56" t="str">
        <f t="shared" si="29"/>
        <v>EU_southwest</v>
      </c>
      <c r="K56" t="str">
        <f>"GlbMarket_"&amp;VLOOKUP(J37,$A$1:$B$50,2,FALSE)</f>
        <v>GlbMarket_OILGSL</v>
      </c>
      <c r="M56" t="str">
        <f t="shared" si="30"/>
        <v>EU_southwest</v>
      </c>
      <c r="N56" t="str">
        <f>"GlbMarket_"&amp;VLOOKUP(M37,$A$1:$B$50,2,FALSE)</f>
        <v>GlbMarket_OILHFO</v>
      </c>
      <c r="P56" t="str">
        <f t="shared" si="31"/>
        <v>EU_southwest</v>
      </c>
      <c r="Q56" t="str">
        <f>"GlbMarket_"&amp;VLOOKUP(P37,$A$1:$B$50,2,FALSE)</f>
        <v>GlbMarket_OILJTK</v>
      </c>
      <c r="S56" t="str">
        <f t="shared" si="32"/>
        <v>EU_southwest</v>
      </c>
      <c r="T56" t="str">
        <f>"GlbMarket_"&amp;VLOOKUP(S37,$A$1:$B$50,2,FALSE)</f>
        <v>GlbMarket_OILKER</v>
      </c>
      <c r="V56" t="str">
        <f t="shared" si="33"/>
        <v>EU_southwest</v>
      </c>
      <c r="W56" t="str">
        <f>"GlbMarket_"&amp;VLOOKUP(V37,$A$1:$B$50,2,FALSE)</f>
        <v>GlbMarket_OILLPG</v>
      </c>
      <c r="Y56" t="str">
        <f t="shared" si="34"/>
        <v>EU_southwest</v>
      </c>
      <c r="Z56" t="str">
        <f>"GlbMarket_"&amp;VLOOKUP(Y37,$A$1:$B$50,2,FALSE)</f>
        <v>GlbMarket_OILLUB</v>
      </c>
      <c r="AB56" t="str">
        <f t="shared" si="35"/>
        <v>EU_southwest</v>
      </c>
      <c r="AC56" t="str">
        <f>"GlbMarket_"&amp;VLOOKUP(AB37,$A$1:$B$50,2,FALSE)</f>
        <v>GlbMarket_OILNAP</v>
      </c>
      <c r="AE56" t="str">
        <f t="shared" si="36"/>
        <v>EU_southwest</v>
      </c>
      <c r="AF56" t="str">
        <f>"GlbMarket_"&amp;VLOOKUP(AE37,$A$1:$B$50,2,FALSE)</f>
        <v>GlbMarket_OILNCR</v>
      </c>
      <c r="AH56" t="str">
        <f t="shared" si="37"/>
        <v>EU_southwest</v>
      </c>
      <c r="AI56" t="str">
        <f>"GlbMarket_"&amp;VLOOKUP(AH37,$A$1:$B$50,2,FALSE)</f>
        <v>GlbMarket_OILNGL</v>
      </c>
      <c r="AK56" t="str">
        <f t="shared" si="38"/>
        <v>EU_southwest</v>
      </c>
      <c r="AL56" t="str">
        <f>"GlbMarket_"&amp;VLOOKUP(AK37,$A$1:$B$50,2,FALSE)</f>
        <v>GlbMarket_OILNSP</v>
      </c>
      <c r="AN56" t="str">
        <f t="shared" si="39"/>
        <v>EU_southwest</v>
      </c>
      <c r="AO56" t="str">
        <f>"GlbMarket_"&amp;VLOOKUP(AN37,$A$1:$B$50,2,FALSE)</f>
        <v>GlbMarket_OILPTC</v>
      </c>
      <c r="AQ56" t="str">
        <f t="shared" si="40"/>
        <v>EU_southwest</v>
      </c>
      <c r="AR56" t="str">
        <f>"GlbMarket_"&amp;VLOOKUP(AQ37,$A$1:$B$50,2,FALSE)</f>
        <v>GlbMarket_NH3</v>
      </c>
      <c r="AT56" t="str">
        <f t="shared" si="41"/>
        <v>EU_southwest</v>
      </c>
      <c r="AU56" t="str">
        <f>"GlbMarket_"&amp;VLOOKUP(AT37,$A$1:$B$50,2,FALSE)</f>
        <v>GlbMarket_CO2ForStorage</v>
      </c>
      <c r="AW56" t="str">
        <f t="shared" si="42"/>
        <v>EU_southwest</v>
      </c>
      <c r="AX56" t="str">
        <f>"GlbMarket_"&amp;VLOOKUP(AW37,$A$1:$B$50,2,FALSE)</f>
        <v>GlbMarket_im_stlslabs</v>
      </c>
      <c r="AZ56" t="str">
        <f t="shared" si="43"/>
        <v>EU_southwest</v>
      </c>
      <c r="BA56" t="str">
        <f>"GlbMarket_"&amp;VLOOKUP(AZ37,$A$1:$B$50,2,FALSE)</f>
        <v>GlbMarket_im_fesponge</v>
      </c>
      <c r="BC56" t="str">
        <f t="shared" si="44"/>
        <v>EU_southwest</v>
      </c>
      <c r="BD56" t="str">
        <f>"GlbMarket_"&amp;VLOOKUP(BC37,$A$1:$B$50,2,FALSE)</f>
        <v>GlbMarket_im_fescrap</v>
      </c>
    </row>
    <row r="57" spans="4:56">
      <c r="D57" t="str">
        <f t="shared" si="27"/>
        <v>Europe_other</v>
      </c>
      <c r="E57" t="str">
        <f>"GlbMarket_"&amp;VLOOKUP(D37,$A$1:$B$50,2,FALSE)</f>
        <v>GlbMarket_OILDST</v>
      </c>
      <c r="G57" t="str">
        <f t="shared" si="28"/>
        <v>Europe_other</v>
      </c>
      <c r="H57" t="str">
        <f>"GlbMarket_"&amp;VLOOKUP(G37,$A$1:$B$50,2,FALSE)</f>
        <v>GlbMarket_OILFEE</v>
      </c>
      <c r="J57" t="str">
        <f t="shared" si="29"/>
        <v>Europe_other</v>
      </c>
      <c r="K57" t="str">
        <f>"GlbMarket_"&amp;VLOOKUP(J37,$A$1:$B$50,2,FALSE)</f>
        <v>GlbMarket_OILGSL</v>
      </c>
      <c r="M57" t="str">
        <f t="shared" si="30"/>
        <v>Europe_other</v>
      </c>
      <c r="N57" t="str">
        <f>"GlbMarket_"&amp;VLOOKUP(M37,$A$1:$B$50,2,FALSE)</f>
        <v>GlbMarket_OILHFO</v>
      </c>
      <c r="P57" t="str">
        <f t="shared" si="31"/>
        <v>Europe_other</v>
      </c>
      <c r="Q57" t="str">
        <f>"GlbMarket_"&amp;VLOOKUP(P37,$A$1:$B$50,2,FALSE)</f>
        <v>GlbMarket_OILJTK</v>
      </c>
      <c r="S57" t="str">
        <f t="shared" si="32"/>
        <v>Europe_other</v>
      </c>
      <c r="T57" t="str">
        <f>"GlbMarket_"&amp;VLOOKUP(S37,$A$1:$B$50,2,FALSE)</f>
        <v>GlbMarket_OILKER</v>
      </c>
      <c r="V57" t="str">
        <f t="shared" si="33"/>
        <v>Europe_other</v>
      </c>
      <c r="W57" t="str">
        <f>"GlbMarket_"&amp;VLOOKUP(V37,$A$1:$B$50,2,FALSE)</f>
        <v>GlbMarket_OILLPG</v>
      </c>
      <c r="Y57" t="str">
        <f t="shared" si="34"/>
        <v>Europe_other</v>
      </c>
      <c r="Z57" t="str">
        <f>"GlbMarket_"&amp;VLOOKUP(Y37,$A$1:$B$50,2,FALSE)</f>
        <v>GlbMarket_OILLUB</v>
      </c>
      <c r="AB57" t="str">
        <f t="shared" si="35"/>
        <v>Europe_other</v>
      </c>
      <c r="AC57" t="str">
        <f>"GlbMarket_"&amp;VLOOKUP(AB37,$A$1:$B$50,2,FALSE)</f>
        <v>GlbMarket_OILNAP</v>
      </c>
      <c r="AE57" t="str">
        <f t="shared" si="36"/>
        <v>Europe_other</v>
      </c>
      <c r="AF57" t="str">
        <f>"GlbMarket_"&amp;VLOOKUP(AE37,$A$1:$B$50,2,FALSE)</f>
        <v>GlbMarket_OILNCR</v>
      </c>
      <c r="AH57" t="str">
        <f t="shared" si="37"/>
        <v>Europe_other</v>
      </c>
      <c r="AI57" t="str">
        <f>"GlbMarket_"&amp;VLOOKUP(AH37,$A$1:$B$50,2,FALSE)</f>
        <v>GlbMarket_OILNGL</v>
      </c>
      <c r="AK57" t="str">
        <f t="shared" si="38"/>
        <v>Europe_other</v>
      </c>
      <c r="AL57" t="str">
        <f>"GlbMarket_"&amp;VLOOKUP(AK37,$A$1:$B$50,2,FALSE)</f>
        <v>GlbMarket_OILNSP</v>
      </c>
      <c r="AN57" t="str">
        <f t="shared" si="39"/>
        <v>Europe_other</v>
      </c>
      <c r="AO57" t="str">
        <f>"GlbMarket_"&amp;VLOOKUP(AN37,$A$1:$B$50,2,FALSE)</f>
        <v>GlbMarket_OILPTC</v>
      </c>
      <c r="AQ57" t="str">
        <f t="shared" si="40"/>
        <v>Europe_other</v>
      </c>
      <c r="AR57" t="str">
        <f>"GlbMarket_"&amp;VLOOKUP(AQ37,$A$1:$B$50,2,FALSE)</f>
        <v>GlbMarket_NH3</v>
      </c>
      <c r="AT57" t="str">
        <f t="shared" si="41"/>
        <v>Europe_other</v>
      </c>
      <c r="AU57" t="str">
        <f>"GlbMarket_"&amp;VLOOKUP(AT37,$A$1:$B$50,2,FALSE)</f>
        <v>GlbMarket_CO2ForStorage</v>
      </c>
      <c r="AW57" t="str">
        <f t="shared" si="42"/>
        <v>Europe_other</v>
      </c>
      <c r="AX57" t="str">
        <f>"GlbMarket_"&amp;VLOOKUP(AW37,$A$1:$B$50,2,FALSE)</f>
        <v>GlbMarket_im_stlslabs</v>
      </c>
      <c r="AZ57" t="str">
        <f t="shared" si="43"/>
        <v>Europe_other</v>
      </c>
      <c r="BA57" t="str">
        <f>"GlbMarket_"&amp;VLOOKUP(AZ37,$A$1:$B$50,2,FALSE)</f>
        <v>GlbMarket_im_fesponge</v>
      </c>
      <c r="BC57" t="str">
        <f t="shared" si="44"/>
        <v>Europe_other</v>
      </c>
      <c r="BD57" t="str">
        <f>"GlbMarket_"&amp;VLOOKUP(BC37,$A$1:$B$50,2,FALSE)</f>
        <v>GlbMarket_im_fescrap</v>
      </c>
    </row>
    <row r="58" spans="4:56">
      <c r="D58" t="str">
        <f t="shared" ref="D58:D70" si="45">D22</f>
        <v>France</v>
      </c>
      <c r="E58" t="str">
        <f>E57</f>
        <v>GlbMarket_OILDST</v>
      </c>
      <c r="G58" t="str">
        <f t="shared" si="28"/>
        <v>France</v>
      </c>
      <c r="H58" t="str">
        <f>H57</f>
        <v>GlbMarket_OILFEE</v>
      </c>
      <c r="J58" t="str">
        <f t="shared" si="29"/>
        <v>France</v>
      </c>
      <c r="K58" t="str">
        <f>K57</f>
        <v>GlbMarket_OILGSL</v>
      </c>
      <c r="M58" t="str">
        <f t="shared" si="30"/>
        <v>France</v>
      </c>
      <c r="N58" t="str">
        <f>N57</f>
        <v>GlbMarket_OILHFO</v>
      </c>
      <c r="P58" t="str">
        <f t="shared" si="31"/>
        <v>France</v>
      </c>
      <c r="Q58" t="str">
        <f>Q57</f>
        <v>GlbMarket_OILJTK</v>
      </c>
      <c r="S58" t="str">
        <f t="shared" si="32"/>
        <v>France</v>
      </c>
      <c r="T58" t="str">
        <f>T57</f>
        <v>GlbMarket_OILKER</v>
      </c>
      <c r="V58" t="str">
        <f t="shared" si="33"/>
        <v>France</v>
      </c>
      <c r="W58" t="str">
        <f>W57</f>
        <v>GlbMarket_OILLPG</v>
      </c>
      <c r="Y58" t="str">
        <f t="shared" si="34"/>
        <v>France</v>
      </c>
      <c r="Z58" t="str">
        <f>Z57</f>
        <v>GlbMarket_OILLUB</v>
      </c>
      <c r="AB58" t="str">
        <f t="shared" si="35"/>
        <v>France</v>
      </c>
      <c r="AC58" t="str">
        <f>AC57</f>
        <v>GlbMarket_OILNAP</v>
      </c>
      <c r="AE58" t="str">
        <f t="shared" si="36"/>
        <v>France</v>
      </c>
      <c r="AF58" t="str">
        <f>AF57</f>
        <v>GlbMarket_OILNCR</v>
      </c>
      <c r="AH58" t="str">
        <f t="shared" si="37"/>
        <v>France</v>
      </c>
      <c r="AI58" t="str">
        <f>AI57</f>
        <v>GlbMarket_OILNGL</v>
      </c>
      <c r="AK58" t="str">
        <f t="shared" si="38"/>
        <v>France</v>
      </c>
      <c r="AL58" t="str">
        <f>AL57</f>
        <v>GlbMarket_OILNSP</v>
      </c>
      <c r="AN58" t="str">
        <f t="shared" si="39"/>
        <v>France</v>
      </c>
      <c r="AO58" t="str">
        <f>AO57</f>
        <v>GlbMarket_OILPTC</v>
      </c>
      <c r="AQ58" t="str">
        <f t="shared" si="40"/>
        <v>France</v>
      </c>
      <c r="AR58" t="str">
        <f>AR57</f>
        <v>GlbMarket_NH3</v>
      </c>
      <c r="AT58" t="str">
        <f t="shared" si="41"/>
        <v>France</v>
      </c>
      <c r="AU58" t="str">
        <f>AU57</f>
        <v>GlbMarket_CO2ForStorage</v>
      </c>
      <c r="AW58" t="str">
        <f t="shared" si="42"/>
        <v>France</v>
      </c>
      <c r="AX58" t="str">
        <f>AX57</f>
        <v>GlbMarket_im_stlslabs</v>
      </c>
      <c r="AZ58" t="str">
        <f t="shared" si="43"/>
        <v>France</v>
      </c>
      <c r="BA58" t="str">
        <f>BA57</f>
        <v>GlbMarket_im_fesponge</v>
      </c>
      <c r="BC58" t="str">
        <f t="shared" si="44"/>
        <v>France</v>
      </c>
      <c r="BD58" t="str">
        <f>BD57</f>
        <v>GlbMarket_im_fescrap</v>
      </c>
    </row>
    <row r="59" spans="4:56">
      <c r="D59" t="str">
        <f t="shared" si="45"/>
        <v>Germany</v>
      </c>
      <c r="E59" t="str">
        <f t="shared" ref="E59:E70" si="46">E58</f>
        <v>GlbMarket_OILDST</v>
      </c>
      <c r="G59" t="str">
        <f t="shared" si="28"/>
        <v>Germany</v>
      </c>
      <c r="H59" t="str">
        <f t="shared" ref="H59:H70" si="47">H58</f>
        <v>GlbMarket_OILFEE</v>
      </c>
      <c r="J59" t="str">
        <f t="shared" si="29"/>
        <v>Germany</v>
      </c>
      <c r="K59" t="str">
        <f t="shared" ref="K59:K70" si="48">K58</f>
        <v>GlbMarket_OILGSL</v>
      </c>
      <c r="M59" t="str">
        <f t="shared" si="30"/>
        <v>Germany</v>
      </c>
      <c r="N59" t="str">
        <f t="shared" ref="N59:N70" si="49">N58</f>
        <v>GlbMarket_OILHFO</v>
      </c>
      <c r="P59" t="str">
        <f t="shared" si="31"/>
        <v>Germany</v>
      </c>
      <c r="Q59" t="str">
        <f t="shared" ref="Q59:Q70" si="50">Q58</f>
        <v>GlbMarket_OILJTK</v>
      </c>
      <c r="S59" t="str">
        <f t="shared" si="32"/>
        <v>Germany</v>
      </c>
      <c r="T59" t="str">
        <f t="shared" ref="T59:T70" si="51">T58</f>
        <v>GlbMarket_OILKER</v>
      </c>
      <c r="V59" t="str">
        <f t="shared" si="33"/>
        <v>Germany</v>
      </c>
      <c r="W59" t="str">
        <f t="shared" ref="W59:W70" si="52">W58</f>
        <v>GlbMarket_OILLPG</v>
      </c>
      <c r="Y59" t="str">
        <f t="shared" si="34"/>
        <v>Germany</v>
      </c>
      <c r="Z59" t="str">
        <f t="shared" ref="Z59:Z70" si="53">Z58</f>
        <v>GlbMarket_OILLUB</v>
      </c>
      <c r="AB59" t="str">
        <f t="shared" si="35"/>
        <v>Germany</v>
      </c>
      <c r="AC59" t="str">
        <f t="shared" ref="AC59:AC70" si="54">AC58</f>
        <v>GlbMarket_OILNAP</v>
      </c>
      <c r="AE59" t="str">
        <f t="shared" si="36"/>
        <v>Germany</v>
      </c>
      <c r="AF59" t="str">
        <f t="shared" ref="AF59:AF70" si="55">AF58</f>
        <v>GlbMarket_OILNCR</v>
      </c>
      <c r="AH59" t="str">
        <f t="shared" si="37"/>
        <v>Germany</v>
      </c>
      <c r="AI59" t="str">
        <f t="shared" ref="AI59:AI70" si="56">AI58</f>
        <v>GlbMarket_OILNGL</v>
      </c>
      <c r="AK59" t="str">
        <f t="shared" si="38"/>
        <v>Germany</v>
      </c>
      <c r="AL59" t="str">
        <f t="shared" ref="AL59:AL70" si="57">AL58</f>
        <v>GlbMarket_OILNSP</v>
      </c>
      <c r="AN59" t="str">
        <f t="shared" si="39"/>
        <v>Germany</v>
      </c>
      <c r="AO59" t="str">
        <f t="shared" ref="AO59:AO70" si="58">AO58</f>
        <v>GlbMarket_OILPTC</v>
      </c>
      <c r="AQ59" t="str">
        <f t="shared" si="40"/>
        <v>Germany</v>
      </c>
      <c r="AR59" t="str">
        <f t="shared" ref="AR59:AR70" si="59">AR58</f>
        <v>GlbMarket_NH3</v>
      </c>
      <c r="AT59" t="str">
        <f t="shared" si="41"/>
        <v>Germany</v>
      </c>
      <c r="AU59" t="str">
        <f t="shared" ref="AU59:AU70" si="60">AU58</f>
        <v>GlbMarket_CO2ForStorage</v>
      </c>
      <c r="AW59" t="str">
        <f t="shared" si="42"/>
        <v>Germany</v>
      </c>
      <c r="AX59" t="str">
        <f t="shared" ref="AX59:AX70" si="61">AX58</f>
        <v>GlbMarket_im_stlslabs</v>
      </c>
      <c r="AZ59" t="str">
        <f t="shared" si="43"/>
        <v>Germany</v>
      </c>
      <c r="BA59" t="str">
        <f t="shared" ref="BA59:BA70" si="62">BA58</f>
        <v>GlbMarket_im_fesponge</v>
      </c>
      <c r="BC59" t="str">
        <f t="shared" si="44"/>
        <v>Germany</v>
      </c>
      <c r="BD59" t="str">
        <f t="shared" ref="BD59:BD70" si="63">BD58</f>
        <v>GlbMarket_im_fescrap</v>
      </c>
    </row>
    <row r="60" spans="4:56">
      <c r="D60" t="str">
        <f t="shared" si="45"/>
        <v>India</v>
      </c>
      <c r="E60" t="str">
        <f t="shared" si="46"/>
        <v>GlbMarket_OILDST</v>
      </c>
      <c r="G60" t="str">
        <f t="shared" si="28"/>
        <v>India</v>
      </c>
      <c r="H60" t="str">
        <f t="shared" si="47"/>
        <v>GlbMarket_OILFEE</v>
      </c>
      <c r="J60" t="str">
        <f t="shared" si="29"/>
        <v>India</v>
      </c>
      <c r="K60" t="str">
        <f t="shared" si="48"/>
        <v>GlbMarket_OILGSL</v>
      </c>
      <c r="M60" t="str">
        <f t="shared" si="30"/>
        <v>India</v>
      </c>
      <c r="N60" t="str">
        <f t="shared" si="49"/>
        <v>GlbMarket_OILHFO</v>
      </c>
      <c r="P60" t="str">
        <f t="shared" si="31"/>
        <v>India</v>
      </c>
      <c r="Q60" t="str">
        <f t="shared" si="50"/>
        <v>GlbMarket_OILJTK</v>
      </c>
      <c r="S60" t="str">
        <f t="shared" si="32"/>
        <v>India</v>
      </c>
      <c r="T60" t="str">
        <f t="shared" si="51"/>
        <v>GlbMarket_OILKER</v>
      </c>
      <c r="V60" t="str">
        <f t="shared" si="33"/>
        <v>India</v>
      </c>
      <c r="W60" t="str">
        <f t="shared" si="52"/>
        <v>GlbMarket_OILLPG</v>
      </c>
      <c r="Y60" t="str">
        <f t="shared" si="34"/>
        <v>India</v>
      </c>
      <c r="Z60" t="str">
        <f t="shared" si="53"/>
        <v>GlbMarket_OILLUB</v>
      </c>
      <c r="AB60" t="str">
        <f t="shared" si="35"/>
        <v>India</v>
      </c>
      <c r="AC60" t="str">
        <f t="shared" si="54"/>
        <v>GlbMarket_OILNAP</v>
      </c>
      <c r="AE60" t="str">
        <f t="shared" si="36"/>
        <v>India</v>
      </c>
      <c r="AF60" t="str">
        <f t="shared" si="55"/>
        <v>GlbMarket_OILNCR</v>
      </c>
      <c r="AH60" t="str">
        <f t="shared" si="37"/>
        <v>India</v>
      </c>
      <c r="AI60" t="str">
        <f t="shared" si="56"/>
        <v>GlbMarket_OILNGL</v>
      </c>
      <c r="AK60" t="str">
        <f t="shared" si="38"/>
        <v>India</v>
      </c>
      <c r="AL60" t="str">
        <f t="shared" si="57"/>
        <v>GlbMarket_OILNSP</v>
      </c>
      <c r="AN60" t="str">
        <f t="shared" si="39"/>
        <v>India</v>
      </c>
      <c r="AO60" t="str">
        <f t="shared" si="58"/>
        <v>GlbMarket_OILPTC</v>
      </c>
      <c r="AQ60" t="str">
        <f t="shared" si="40"/>
        <v>India</v>
      </c>
      <c r="AR60" t="str">
        <f t="shared" si="59"/>
        <v>GlbMarket_NH3</v>
      </c>
      <c r="AT60" t="str">
        <f t="shared" si="41"/>
        <v>India</v>
      </c>
      <c r="AU60" t="str">
        <f t="shared" si="60"/>
        <v>GlbMarket_CO2ForStorage</v>
      </c>
      <c r="AW60" t="str">
        <f t="shared" si="42"/>
        <v>India</v>
      </c>
      <c r="AX60" t="str">
        <f t="shared" si="61"/>
        <v>GlbMarket_im_stlslabs</v>
      </c>
      <c r="AZ60" t="str">
        <f t="shared" si="43"/>
        <v>India</v>
      </c>
      <c r="BA60" t="str">
        <f t="shared" si="62"/>
        <v>GlbMarket_im_fesponge</v>
      </c>
      <c r="BC60" t="str">
        <f t="shared" si="44"/>
        <v>India</v>
      </c>
      <c r="BD60" t="str">
        <f t="shared" si="63"/>
        <v>GlbMarket_im_fescrap</v>
      </c>
    </row>
    <row r="61" spans="4:56">
      <c r="D61" t="str">
        <f t="shared" si="45"/>
        <v>LatAm_other</v>
      </c>
      <c r="E61" t="str">
        <f t="shared" si="46"/>
        <v>GlbMarket_OILDST</v>
      </c>
      <c r="G61" t="str">
        <f t="shared" si="28"/>
        <v>LatAm_other</v>
      </c>
      <c r="H61" t="str">
        <f t="shared" si="47"/>
        <v>GlbMarket_OILFEE</v>
      </c>
      <c r="J61" t="str">
        <f t="shared" si="29"/>
        <v>LatAm_other</v>
      </c>
      <c r="K61" t="str">
        <f t="shared" si="48"/>
        <v>GlbMarket_OILGSL</v>
      </c>
      <c r="M61" t="str">
        <f t="shared" si="30"/>
        <v>LatAm_other</v>
      </c>
      <c r="N61" t="str">
        <f t="shared" si="49"/>
        <v>GlbMarket_OILHFO</v>
      </c>
      <c r="P61" t="str">
        <f t="shared" si="31"/>
        <v>LatAm_other</v>
      </c>
      <c r="Q61" t="str">
        <f t="shared" si="50"/>
        <v>GlbMarket_OILJTK</v>
      </c>
      <c r="S61" t="str">
        <f t="shared" si="32"/>
        <v>LatAm_other</v>
      </c>
      <c r="T61" t="str">
        <f t="shared" si="51"/>
        <v>GlbMarket_OILKER</v>
      </c>
      <c r="V61" t="str">
        <f t="shared" si="33"/>
        <v>LatAm_other</v>
      </c>
      <c r="W61" t="str">
        <f t="shared" si="52"/>
        <v>GlbMarket_OILLPG</v>
      </c>
      <c r="Y61" t="str">
        <f t="shared" si="34"/>
        <v>LatAm_other</v>
      </c>
      <c r="Z61" t="str">
        <f t="shared" si="53"/>
        <v>GlbMarket_OILLUB</v>
      </c>
      <c r="AB61" t="str">
        <f t="shared" si="35"/>
        <v>LatAm_other</v>
      </c>
      <c r="AC61" t="str">
        <f t="shared" si="54"/>
        <v>GlbMarket_OILNAP</v>
      </c>
      <c r="AE61" t="str">
        <f t="shared" si="36"/>
        <v>LatAm_other</v>
      </c>
      <c r="AF61" t="str">
        <f t="shared" si="55"/>
        <v>GlbMarket_OILNCR</v>
      </c>
      <c r="AH61" t="str">
        <f t="shared" si="37"/>
        <v>LatAm_other</v>
      </c>
      <c r="AI61" t="str">
        <f t="shared" si="56"/>
        <v>GlbMarket_OILNGL</v>
      </c>
      <c r="AK61" t="str">
        <f t="shared" si="38"/>
        <v>LatAm_other</v>
      </c>
      <c r="AL61" t="str">
        <f t="shared" si="57"/>
        <v>GlbMarket_OILNSP</v>
      </c>
      <c r="AN61" t="str">
        <f t="shared" si="39"/>
        <v>LatAm_other</v>
      </c>
      <c r="AO61" t="str">
        <f t="shared" si="58"/>
        <v>GlbMarket_OILPTC</v>
      </c>
      <c r="AQ61" t="str">
        <f t="shared" si="40"/>
        <v>LatAm_other</v>
      </c>
      <c r="AR61" t="str">
        <f t="shared" si="59"/>
        <v>GlbMarket_NH3</v>
      </c>
      <c r="AT61" t="str">
        <f t="shared" si="41"/>
        <v>LatAm_other</v>
      </c>
      <c r="AU61" t="str">
        <f t="shared" si="60"/>
        <v>GlbMarket_CO2ForStorage</v>
      </c>
      <c r="AW61" t="str">
        <f t="shared" si="42"/>
        <v>LatAm_other</v>
      </c>
      <c r="AX61" t="str">
        <f t="shared" si="61"/>
        <v>GlbMarket_im_stlslabs</v>
      </c>
      <c r="AZ61" t="str">
        <f t="shared" si="43"/>
        <v>LatAm_other</v>
      </c>
      <c r="BA61" t="str">
        <f t="shared" si="62"/>
        <v>GlbMarket_im_fesponge</v>
      </c>
      <c r="BC61" t="str">
        <f t="shared" si="44"/>
        <v>LatAm_other</v>
      </c>
      <c r="BD61" t="str">
        <f t="shared" si="63"/>
        <v>GlbMarket_im_fescrap</v>
      </c>
    </row>
    <row r="62" spans="4:56">
      <c r="D62" t="str">
        <f t="shared" si="45"/>
        <v>Mexico</v>
      </c>
      <c r="E62" t="str">
        <f t="shared" si="46"/>
        <v>GlbMarket_OILDST</v>
      </c>
      <c r="G62" t="str">
        <f t="shared" si="28"/>
        <v>Mexico</v>
      </c>
      <c r="H62" t="str">
        <f t="shared" si="47"/>
        <v>GlbMarket_OILFEE</v>
      </c>
      <c r="J62" t="str">
        <f t="shared" si="29"/>
        <v>Mexico</v>
      </c>
      <c r="K62" t="str">
        <f t="shared" si="48"/>
        <v>GlbMarket_OILGSL</v>
      </c>
      <c r="M62" t="str">
        <f t="shared" si="30"/>
        <v>Mexico</v>
      </c>
      <c r="N62" t="str">
        <f t="shared" si="49"/>
        <v>GlbMarket_OILHFO</v>
      </c>
      <c r="P62" t="str">
        <f t="shared" si="31"/>
        <v>Mexico</v>
      </c>
      <c r="Q62" t="str">
        <f t="shared" si="50"/>
        <v>GlbMarket_OILJTK</v>
      </c>
      <c r="S62" t="str">
        <f t="shared" si="32"/>
        <v>Mexico</v>
      </c>
      <c r="T62" t="str">
        <f t="shared" si="51"/>
        <v>GlbMarket_OILKER</v>
      </c>
      <c r="V62" t="str">
        <f t="shared" si="33"/>
        <v>Mexico</v>
      </c>
      <c r="W62" t="str">
        <f t="shared" si="52"/>
        <v>GlbMarket_OILLPG</v>
      </c>
      <c r="Y62" t="str">
        <f t="shared" si="34"/>
        <v>Mexico</v>
      </c>
      <c r="Z62" t="str">
        <f t="shared" si="53"/>
        <v>GlbMarket_OILLUB</v>
      </c>
      <c r="AB62" t="str">
        <f t="shared" si="35"/>
        <v>Mexico</v>
      </c>
      <c r="AC62" t="str">
        <f t="shared" si="54"/>
        <v>GlbMarket_OILNAP</v>
      </c>
      <c r="AE62" t="str">
        <f t="shared" si="36"/>
        <v>Mexico</v>
      </c>
      <c r="AF62" t="str">
        <f t="shared" si="55"/>
        <v>GlbMarket_OILNCR</v>
      </c>
      <c r="AH62" t="str">
        <f t="shared" si="37"/>
        <v>Mexico</v>
      </c>
      <c r="AI62" t="str">
        <f t="shared" si="56"/>
        <v>GlbMarket_OILNGL</v>
      </c>
      <c r="AK62" t="str">
        <f t="shared" si="38"/>
        <v>Mexico</v>
      </c>
      <c r="AL62" t="str">
        <f t="shared" si="57"/>
        <v>GlbMarket_OILNSP</v>
      </c>
      <c r="AN62" t="str">
        <f t="shared" si="39"/>
        <v>Mexico</v>
      </c>
      <c r="AO62" t="str">
        <f t="shared" si="58"/>
        <v>GlbMarket_OILPTC</v>
      </c>
      <c r="AQ62" t="str">
        <f t="shared" si="40"/>
        <v>Mexico</v>
      </c>
      <c r="AR62" t="str">
        <f t="shared" si="59"/>
        <v>GlbMarket_NH3</v>
      </c>
      <c r="AT62" t="str">
        <f t="shared" si="41"/>
        <v>Mexico</v>
      </c>
      <c r="AU62" t="str">
        <f t="shared" si="60"/>
        <v>GlbMarket_CO2ForStorage</v>
      </c>
      <c r="AW62" t="str">
        <f t="shared" si="42"/>
        <v>Mexico</v>
      </c>
      <c r="AX62" t="str">
        <f t="shared" si="61"/>
        <v>GlbMarket_im_stlslabs</v>
      </c>
      <c r="AZ62" t="str">
        <f t="shared" si="43"/>
        <v>Mexico</v>
      </c>
      <c r="BA62" t="str">
        <f t="shared" si="62"/>
        <v>GlbMarket_im_fesponge</v>
      </c>
      <c r="BC62" t="str">
        <f t="shared" si="44"/>
        <v>Mexico</v>
      </c>
      <c r="BD62" t="str">
        <f t="shared" si="63"/>
        <v>GlbMarket_im_fescrap</v>
      </c>
    </row>
    <row r="63" spans="4:56">
      <c r="D63" t="str">
        <f t="shared" si="45"/>
        <v>MidEast_other</v>
      </c>
      <c r="E63" t="str">
        <f t="shared" si="46"/>
        <v>GlbMarket_OILDST</v>
      </c>
      <c r="G63" t="str">
        <f t="shared" si="28"/>
        <v>MidEast_other</v>
      </c>
      <c r="H63" t="str">
        <f t="shared" si="47"/>
        <v>GlbMarket_OILFEE</v>
      </c>
      <c r="J63" t="str">
        <f t="shared" si="29"/>
        <v>MidEast_other</v>
      </c>
      <c r="K63" t="str">
        <f t="shared" si="48"/>
        <v>GlbMarket_OILGSL</v>
      </c>
      <c r="M63" t="str">
        <f t="shared" si="30"/>
        <v>MidEast_other</v>
      </c>
      <c r="N63" t="str">
        <f t="shared" si="49"/>
        <v>GlbMarket_OILHFO</v>
      </c>
      <c r="P63" t="str">
        <f t="shared" si="31"/>
        <v>MidEast_other</v>
      </c>
      <c r="Q63" t="str">
        <f t="shared" si="50"/>
        <v>GlbMarket_OILJTK</v>
      </c>
      <c r="S63" t="str">
        <f t="shared" si="32"/>
        <v>MidEast_other</v>
      </c>
      <c r="T63" t="str">
        <f t="shared" si="51"/>
        <v>GlbMarket_OILKER</v>
      </c>
      <c r="V63" t="str">
        <f t="shared" si="33"/>
        <v>MidEast_other</v>
      </c>
      <c r="W63" t="str">
        <f t="shared" si="52"/>
        <v>GlbMarket_OILLPG</v>
      </c>
      <c r="Y63" t="str">
        <f t="shared" si="34"/>
        <v>MidEast_other</v>
      </c>
      <c r="Z63" t="str">
        <f t="shared" si="53"/>
        <v>GlbMarket_OILLUB</v>
      </c>
      <c r="AB63" t="str">
        <f t="shared" si="35"/>
        <v>MidEast_other</v>
      </c>
      <c r="AC63" t="str">
        <f t="shared" si="54"/>
        <v>GlbMarket_OILNAP</v>
      </c>
      <c r="AE63" t="str">
        <f t="shared" si="36"/>
        <v>MidEast_other</v>
      </c>
      <c r="AF63" t="str">
        <f t="shared" si="55"/>
        <v>GlbMarket_OILNCR</v>
      </c>
      <c r="AH63" t="str">
        <f t="shared" si="37"/>
        <v>MidEast_other</v>
      </c>
      <c r="AI63" t="str">
        <f t="shared" si="56"/>
        <v>GlbMarket_OILNGL</v>
      </c>
      <c r="AK63" t="str">
        <f t="shared" si="38"/>
        <v>MidEast_other</v>
      </c>
      <c r="AL63" t="str">
        <f t="shared" si="57"/>
        <v>GlbMarket_OILNSP</v>
      </c>
      <c r="AN63" t="str">
        <f t="shared" si="39"/>
        <v>MidEast_other</v>
      </c>
      <c r="AO63" t="str">
        <f t="shared" si="58"/>
        <v>GlbMarket_OILPTC</v>
      </c>
      <c r="AQ63" t="str">
        <f t="shared" si="40"/>
        <v>MidEast_other</v>
      </c>
      <c r="AR63" t="str">
        <f t="shared" si="59"/>
        <v>GlbMarket_NH3</v>
      </c>
      <c r="AT63" t="str">
        <f t="shared" si="41"/>
        <v>MidEast_other</v>
      </c>
      <c r="AU63" t="str">
        <f t="shared" si="60"/>
        <v>GlbMarket_CO2ForStorage</v>
      </c>
      <c r="AW63" t="str">
        <f t="shared" si="42"/>
        <v>MidEast_other</v>
      </c>
      <c r="AX63" t="str">
        <f t="shared" si="61"/>
        <v>GlbMarket_im_stlslabs</v>
      </c>
      <c r="AZ63" t="str">
        <f t="shared" si="43"/>
        <v>MidEast_other</v>
      </c>
      <c r="BA63" t="str">
        <f t="shared" si="62"/>
        <v>GlbMarket_im_fesponge</v>
      </c>
      <c r="BC63" t="str">
        <f t="shared" si="44"/>
        <v>MidEast_other</v>
      </c>
      <c r="BD63" t="str">
        <f t="shared" si="63"/>
        <v>GlbMarket_im_fescrap</v>
      </c>
    </row>
    <row r="64" spans="4:56">
      <c r="D64" t="str">
        <f t="shared" si="45"/>
        <v>Nor-Ice</v>
      </c>
      <c r="E64" t="str">
        <f t="shared" si="46"/>
        <v>GlbMarket_OILDST</v>
      </c>
      <c r="G64" t="str">
        <f t="shared" si="28"/>
        <v>Nor-Ice</v>
      </c>
      <c r="H64" t="str">
        <f t="shared" si="47"/>
        <v>GlbMarket_OILFEE</v>
      </c>
      <c r="J64" t="str">
        <f t="shared" si="29"/>
        <v>Nor-Ice</v>
      </c>
      <c r="K64" t="str">
        <f t="shared" si="48"/>
        <v>GlbMarket_OILGSL</v>
      </c>
      <c r="M64" t="str">
        <f t="shared" si="30"/>
        <v>Nor-Ice</v>
      </c>
      <c r="N64" t="str">
        <f t="shared" si="49"/>
        <v>GlbMarket_OILHFO</v>
      </c>
      <c r="P64" t="str">
        <f t="shared" si="31"/>
        <v>Nor-Ice</v>
      </c>
      <c r="Q64" t="str">
        <f t="shared" si="50"/>
        <v>GlbMarket_OILJTK</v>
      </c>
      <c r="S64" t="str">
        <f t="shared" si="32"/>
        <v>Nor-Ice</v>
      </c>
      <c r="T64" t="str">
        <f t="shared" si="51"/>
        <v>GlbMarket_OILKER</v>
      </c>
      <c r="V64" t="str">
        <f t="shared" si="33"/>
        <v>Nor-Ice</v>
      </c>
      <c r="W64" t="str">
        <f t="shared" si="52"/>
        <v>GlbMarket_OILLPG</v>
      </c>
      <c r="Y64" t="str">
        <f t="shared" si="34"/>
        <v>Nor-Ice</v>
      </c>
      <c r="Z64" t="str">
        <f t="shared" si="53"/>
        <v>GlbMarket_OILLUB</v>
      </c>
      <c r="AB64" t="str">
        <f t="shared" si="35"/>
        <v>Nor-Ice</v>
      </c>
      <c r="AC64" t="str">
        <f t="shared" si="54"/>
        <v>GlbMarket_OILNAP</v>
      </c>
      <c r="AE64" t="str">
        <f t="shared" si="36"/>
        <v>Nor-Ice</v>
      </c>
      <c r="AF64" t="str">
        <f t="shared" si="55"/>
        <v>GlbMarket_OILNCR</v>
      </c>
      <c r="AH64" t="str">
        <f t="shared" si="37"/>
        <v>Nor-Ice</v>
      </c>
      <c r="AI64" t="str">
        <f t="shared" si="56"/>
        <v>GlbMarket_OILNGL</v>
      </c>
      <c r="AK64" t="str">
        <f t="shared" si="38"/>
        <v>Nor-Ice</v>
      </c>
      <c r="AL64" t="str">
        <f t="shared" si="57"/>
        <v>GlbMarket_OILNSP</v>
      </c>
      <c r="AN64" t="str">
        <f t="shared" si="39"/>
        <v>Nor-Ice</v>
      </c>
      <c r="AO64" t="str">
        <f t="shared" si="58"/>
        <v>GlbMarket_OILPTC</v>
      </c>
      <c r="AQ64" t="str">
        <f t="shared" si="40"/>
        <v>Nor-Ice</v>
      </c>
      <c r="AR64" t="str">
        <f t="shared" si="59"/>
        <v>GlbMarket_NH3</v>
      </c>
      <c r="AT64" t="str">
        <f t="shared" si="41"/>
        <v>Nor-Ice</v>
      </c>
      <c r="AU64" t="str">
        <f t="shared" si="60"/>
        <v>GlbMarket_CO2ForStorage</v>
      </c>
      <c r="AW64" t="str">
        <f t="shared" si="42"/>
        <v>Nor-Ice</v>
      </c>
      <c r="AX64" t="str">
        <f t="shared" si="61"/>
        <v>GlbMarket_im_stlslabs</v>
      </c>
      <c r="AZ64" t="str">
        <f t="shared" si="43"/>
        <v>Nor-Ice</v>
      </c>
      <c r="BA64" t="str">
        <f t="shared" si="62"/>
        <v>GlbMarket_im_fesponge</v>
      </c>
      <c r="BC64" t="str">
        <f t="shared" si="44"/>
        <v>Nor-Ice</v>
      </c>
      <c r="BD64" t="str">
        <f t="shared" si="63"/>
        <v>GlbMarket_im_fescrap</v>
      </c>
    </row>
    <row r="65" spans="4:56">
      <c r="D65" t="str">
        <f t="shared" si="45"/>
        <v>Russia</v>
      </c>
      <c r="E65" t="str">
        <f t="shared" si="46"/>
        <v>GlbMarket_OILDST</v>
      </c>
      <c r="G65" t="str">
        <f t="shared" si="28"/>
        <v>Russia</v>
      </c>
      <c r="H65" t="str">
        <f t="shared" si="47"/>
        <v>GlbMarket_OILFEE</v>
      </c>
      <c r="J65" t="str">
        <f t="shared" si="29"/>
        <v>Russia</v>
      </c>
      <c r="K65" t="str">
        <f t="shared" si="48"/>
        <v>GlbMarket_OILGSL</v>
      </c>
      <c r="M65" t="str">
        <f t="shared" si="30"/>
        <v>Russia</v>
      </c>
      <c r="N65" t="str">
        <f t="shared" si="49"/>
        <v>GlbMarket_OILHFO</v>
      </c>
      <c r="P65" t="str">
        <f t="shared" si="31"/>
        <v>Russia</v>
      </c>
      <c r="Q65" t="str">
        <f t="shared" si="50"/>
        <v>GlbMarket_OILJTK</v>
      </c>
      <c r="S65" t="str">
        <f t="shared" si="32"/>
        <v>Russia</v>
      </c>
      <c r="T65" t="str">
        <f t="shared" si="51"/>
        <v>GlbMarket_OILKER</v>
      </c>
      <c r="V65" t="str">
        <f t="shared" si="33"/>
        <v>Russia</v>
      </c>
      <c r="W65" t="str">
        <f t="shared" si="52"/>
        <v>GlbMarket_OILLPG</v>
      </c>
      <c r="Y65" t="str">
        <f t="shared" si="34"/>
        <v>Russia</v>
      </c>
      <c r="Z65" t="str">
        <f t="shared" si="53"/>
        <v>GlbMarket_OILLUB</v>
      </c>
      <c r="AB65" t="str">
        <f t="shared" si="35"/>
        <v>Russia</v>
      </c>
      <c r="AC65" t="str">
        <f t="shared" si="54"/>
        <v>GlbMarket_OILNAP</v>
      </c>
      <c r="AE65" t="str">
        <f t="shared" si="36"/>
        <v>Russia</v>
      </c>
      <c r="AF65" t="str">
        <f t="shared" si="55"/>
        <v>GlbMarket_OILNCR</v>
      </c>
      <c r="AH65" t="str">
        <f t="shared" si="37"/>
        <v>Russia</v>
      </c>
      <c r="AI65" t="str">
        <f t="shared" si="56"/>
        <v>GlbMarket_OILNGL</v>
      </c>
      <c r="AK65" t="str">
        <f t="shared" si="38"/>
        <v>Russia</v>
      </c>
      <c r="AL65" t="str">
        <f t="shared" si="57"/>
        <v>GlbMarket_OILNSP</v>
      </c>
      <c r="AN65" t="str">
        <f t="shared" si="39"/>
        <v>Russia</v>
      </c>
      <c r="AO65" t="str">
        <f t="shared" si="58"/>
        <v>GlbMarket_OILPTC</v>
      </c>
      <c r="AQ65" t="str">
        <f t="shared" si="40"/>
        <v>Russia</v>
      </c>
      <c r="AR65" t="str">
        <f t="shared" si="59"/>
        <v>GlbMarket_NH3</v>
      </c>
      <c r="AT65" t="str">
        <f t="shared" si="41"/>
        <v>Russia</v>
      </c>
      <c r="AU65" t="str">
        <f t="shared" si="60"/>
        <v>GlbMarket_CO2ForStorage</v>
      </c>
      <c r="AW65" t="str">
        <f t="shared" si="42"/>
        <v>Russia</v>
      </c>
      <c r="AX65" t="str">
        <f t="shared" si="61"/>
        <v>GlbMarket_im_stlslabs</v>
      </c>
      <c r="AZ65" t="str">
        <f t="shared" si="43"/>
        <v>Russia</v>
      </c>
      <c r="BA65" t="str">
        <f t="shared" si="62"/>
        <v>GlbMarket_im_fesponge</v>
      </c>
      <c r="BC65" t="str">
        <f t="shared" si="44"/>
        <v>Russia</v>
      </c>
      <c r="BD65" t="str">
        <f t="shared" si="63"/>
        <v>GlbMarket_im_fescrap</v>
      </c>
    </row>
    <row r="66" spans="4:56">
      <c r="D66" t="str">
        <f t="shared" si="45"/>
        <v>SaudiArabia</v>
      </c>
      <c r="E66" t="str">
        <f t="shared" si="46"/>
        <v>GlbMarket_OILDST</v>
      </c>
      <c r="G66" t="str">
        <f t="shared" si="28"/>
        <v>SaudiArabia</v>
      </c>
      <c r="H66" t="str">
        <f t="shared" si="47"/>
        <v>GlbMarket_OILFEE</v>
      </c>
      <c r="J66" t="str">
        <f t="shared" si="29"/>
        <v>SaudiArabia</v>
      </c>
      <c r="K66" t="str">
        <f t="shared" si="48"/>
        <v>GlbMarket_OILGSL</v>
      </c>
      <c r="M66" t="str">
        <f t="shared" si="30"/>
        <v>SaudiArabia</v>
      </c>
      <c r="N66" t="str">
        <f t="shared" si="49"/>
        <v>GlbMarket_OILHFO</v>
      </c>
      <c r="P66" t="str">
        <f t="shared" si="31"/>
        <v>SaudiArabia</v>
      </c>
      <c r="Q66" t="str">
        <f t="shared" si="50"/>
        <v>GlbMarket_OILJTK</v>
      </c>
      <c r="S66" t="str">
        <f t="shared" si="32"/>
        <v>SaudiArabia</v>
      </c>
      <c r="T66" t="str">
        <f t="shared" si="51"/>
        <v>GlbMarket_OILKER</v>
      </c>
      <c r="V66" t="str">
        <f t="shared" si="33"/>
        <v>SaudiArabia</v>
      </c>
      <c r="W66" t="str">
        <f t="shared" si="52"/>
        <v>GlbMarket_OILLPG</v>
      </c>
      <c r="Y66" t="str">
        <f t="shared" si="34"/>
        <v>SaudiArabia</v>
      </c>
      <c r="Z66" t="str">
        <f t="shared" si="53"/>
        <v>GlbMarket_OILLUB</v>
      </c>
      <c r="AB66" t="str">
        <f t="shared" si="35"/>
        <v>SaudiArabia</v>
      </c>
      <c r="AC66" t="str">
        <f t="shared" si="54"/>
        <v>GlbMarket_OILNAP</v>
      </c>
      <c r="AE66" t="str">
        <f t="shared" si="36"/>
        <v>SaudiArabia</v>
      </c>
      <c r="AF66" t="str">
        <f t="shared" si="55"/>
        <v>GlbMarket_OILNCR</v>
      </c>
      <c r="AH66" t="str">
        <f t="shared" si="37"/>
        <v>SaudiArabia</v>
      </c>
      <c r="AI66" t="str">
        <f t="shared" si="56"/>
        <v>GlbMarket_OILNGL</v>
      </c>
      <c r="AK66" t="str">
        <f t="shared" si="38"/>
        <v>SaudiArabia</v>
      </c>
      <c r="AL66" t="str">
        <f t="shared" si="57"/>
        <v>GlbMarket_OILNSP</v>
      </c>
      <c r="AN66" t="str">
        <f t="shared" si="39"/>
        <v>SaudiArabia</v>
      </c>
      <c r="AO66" t="str">
        <f t="shared" si="58"/>
        <v>GlbMarket_OILPTC</v>
      </c>
      <c r="AQ66" t="str">
        <f t="shared" si="40"/>
        <v>SaudiArabia</v>
      </c>
      <c r="AR66" t="str">
        <f t="shared" si="59"/>
        <v>GlbMarket_NH3</v>
      </c>
      <c r="AT66" t="str">
        <f t="shared" si="41"/>
        <v>SaudiArabia</v>
      </c>
      <c r="AU66" t="str">
        <f t="shared" si="60"/>
        <v>GlbMarket_CO2ForStorage</v>
      </c>
      <c r="AW66" t="str">
        <f t="shared" si="42"/>
        <v>SaudiArabia</v>
      </c>
      <c r="AX66" t="str">
        <f t="shared" si="61"/>
        <v>GlbMarket_im_stlslabs</v>
      </c>
      <c r="AZ66" t="str">
        <f t="shared" si="43"/>
        <v>SaudiArabia</v>
      </c>
      <c r="BA66" t="str">
        <f t="shared" si="62"/>
        <v>GlbMarket_im_fesponge</v>
      </c>
      <c r="BC66" t="str">
        <f t="shared" si="44"/>
        <v>SaudiArabia</v>
      </c>
      <c r="BD66" t="str">
        <f t="shared" si="63"/>
        <v>GlbMarket_im_fescrap</v>
      </c>
    </row>
    <row r="67" spans="4:56">
      <c r="D67" t="str">
        <f t="shared" si="45"/>
        <v>SouthAfrica</v>
      </c>
      <c r="E67" t="str">
        <f t="shared" si="46"/>
        <v>GlbMarket_OILDST</v>
      </c>
      <c r="G67" t="str">
        <f t="shared" si="28"/>
        <v>SouthAfrica</v>
      </c>
      <c r="H67" t="str">
        <f t="shared" si="47"/>
        <v>GlbMarket_OILFEE</v>
      </c>
      <c r="J67" t="str">
        <f t="shared" si="29"/>
        <v>SouthAfrica</v>
      </c>
      <c r="K67" t="str">
        <f t="shared" si="48"/>
        <v>GlbMarket_OILGSL</v>
      </c>
      <c r="M67" t="str">
        <f t="shared" si="30"/>
        <v>SouthAfrica</v>
      </c>
      <c r="N67" t="str">
        <f t="shared" si="49"/>
        <v>GlbMarket_OILHFO</v>
      </c>
      <c r="P67" t="str">
        <f t="shared" si="31"/>
        <v>SouthAfrica</v>
      </c>
      <c r="Q67" t="str">
        <f t="shared" si="50"/>
        <v>GlbMarket_OILJTK</v>
      </c>
      <c r="S67" t="str">
        <f t="shared" si="32"/>
        <v>SouthAfrica</v>
      </c>
      <c r="T67" t="str">
        <f t="shared" si="51"/>
        <v>GlbMarket_OILKER</v>
      </c>
      <c r="V67" t="str">
        <f t="shared" si="33"/>
        <v>SouthAfrica</v>
      </c>
      <c r="W67" t="str">
        <f t="shared" si="52"/>
        <v>GlbMarket_OILLPG</v>
      </c>
      <c r="Y67" t="str">
        <f t="shared" si="34"/>
        <v>SouthAfrica</v>
      </c>
      <c r="Z67" t="str">
        <f t="shared" si="53"/>
        <v>GlbMarket_OILLUB</v>
      </c>
      <c r="AB67" t="str">
        <f t="shared" si="35"/>
        <v>SouthAfrica</v>
      </c>
      <c r="AC67" t="str">
        <f t="shared" si="54"/>
        <v>GlbMarket_OILNAP</v>
      </c>
      <c r="AE67" t="str">
        <f t="shared" si="36"/>
        <v>SouthAfrica</v>
      </c>
      <c r="AF67" t="str">
        <f t="shared" si="55"/>
        <v>GlbMarket_OILNCR</v>
      </c>
      <c r="AH67" t="str">
        <f t="shared" si="37"/>
        <v>SouthAfrica</v>
      </c>
      <c r="AI67" t="str">
        <f t="shared" si="56"/>
        <v>GlbMarket_OILNGL</v>
      </c>
      <c r="AK67" t="str">
        <f t="shared" si="38"/>
        <v>SouthAfrica</v>
      </c>
      <c r="AL67" t="str">
        <f t="shared" si="57"/>
        <v>GlbMarket_OILNSP</v>
      </c>
      <c r="AN67" t="str">
        <f t="shared" si="39"/>
        <v>SouthAfrica</v>
      </c>
      <c r="AO67" t="str">
        <f t="shared" si="58"/>
        <v>GlbMarket_OILPTC</v>
      </c>
      <c r="AQ67" t="str">
        <f t="shared" si="40"/>
        <v>SouthAfrica</v>
      </c>
      <c r="AR67" t="str">
        <f t="shared" si="59"/>
        <v>GlbMarket_NH3</v>
      </c>
      <c r="AT67" t="str">
        <f t="shared" si="41"/>
        <v>SouthAfrica</v>
      </c>
      <c r="AU67" t="str">
        <f t="shared" si="60"/>
        <v>GlbMarket_CO2ForStorage</v>
      </c>
      <c r="AW67" t="str">
        <f t="shared" si="42"/>
        <v>SouthAfrica</v>
      </c>
      <c r="AX67" t="str">
        <f t="shared" si="61"/>
        <v>GlbMarket_im_stlslabs</v>
      </c>
      <c r="AZ67" t="str">
        <f t="shared" si="43"/>
        <v>SouthAfrica</v>
      </c>
      <c r="BA67" t="str">
        <f t="shared" si="62"/>
        <v>GlbMarket_im_fesponge</v>
      </c>
      <c r="BC67" t="str">
        <f t="shared" si="44"/>
        <v>SouthAfrica</v>
      </c>
      <c r="BD67" t="str">
        <f t="shared" si="63"/>
        <v>GlbMarket_im_fescrap</v>
      </c>
    </row>
    <row r="68" spans="4:56">
      <c r="D68" t="str">
        <f t="shared" si="45"/>
        <v>UK</v>
      </c>
      <c r="E68" t="str">
        <f t="shared" si="46"/>
        <v>GlbMarket_OILDST</v>
      </c>
      <c r="G68" t="str">
        <f t="shared" si="28"/>
        <v>UK</v>
      </c>
      <c r="H68" t="str">
        <f t="shared" si="47"/>
        <v>GlbMarket_OILFEE</v>
      </c>
      <c r="J68" t="str">
        <f t="shared" si="29"/>
        <v>UK</v>
      </c>
      <c r="K68" t="str">
        <f t="shared" si="48"/>
        <v>GlbMarket_OILGSL</v>
      </c>
      <c r="M68" t="str">
        <f t="shared" si="30"/>
        <v>UK</v>
      </c>
      <c r="N68" t="str">
        <f t="shared" si="49"/>
        <v>GlbMarket_OILHFO</v>
      </c>
      <c r="P68" t="str">
        <f t="shared" si="31"/>
        <v>UK</v>
      </c>
      <c r="Q68" t="str">
        <f t="shared" si="50"/>
        <v>GlbMarket_OILJTK</v>
      </c>
      <c r="S68" t="str">
        <f t="shared" si="32"/>
        <v>UK</v>
      </c>
      <c r="T68" t="str">
        <f t="shared" si="51"/>
        <v>GlbMarket_OILKER</v>
      </c>
      <c r="V68" t="str">
        <f t="shared" si="33"/>
        <v>UK</v>
      </c>
      <c r="W68" t="str">
        <f t="shared" si="52"/>
        <v>GlbMarket_OILLPG</v>
      </c>
      <c r="Y68" t="str">
        <f t="shared" si="34"/>
        <v>UK</v>
      </c>
      <c r="Z68" t="str">
        <f t="shared" si="53"/>
        <v>GlbMarket_OILLUB</v>
      </c>
      <c r="AB68" t="str">
        <f t="shared" si="35"/>
        <v>UK</v>
      </c>
      <c r="AC68" t="str">
        <f t="shared" si="54"/>
        <v>GlbMarket_OILNAP</v>
      </c>
      <c r="AE68" t="str">
        <f t="shared" si="36"/>
        <v>UK</v>
      </c>
      <c r="AF68" t="str">
        <f t="shared" si="55"/>
        <v>GlbMarket_OILNCR</v>
      </c>
      <c r="AH68" t="str">
        <f t="shared" si="37"/>
        <v>UK</v>
      </c>
      <c r="AI68" t="str">
        <f t="shared" si="56"/>
        <v>GlbMarket_OILNGL</v>
      </c>
      <c r="AK68" t="str">
        <f t="shared" si="38"/>
        <v>UK</v>
      </c>
      <c r="AL68" t="str">
        <f t="shared" si="57"/>
        <v>GlbMarket_OILNSP</v>
      </c>
      <c r="AN68" t="str">
        <f t="shared" si="39"/>
        <v>UK</v>
      </c>
      <c r="AO68" t="str">
        <f t="shared" si="58"/>
        <v>GlbMarket_OILPTC</v>
      </c>
      <c r="AQ68" t="str">
        <f t="shared" si="40"/>
        <v>UK</v>
      </c>
      <c r="AR68" t="str">
        <f t="shared" si="59"/>
        <v>GlbMarket_NH3</v>
      </c>
      <c r="AT68" t="str">
        <f t="shared" si="41"/>
        <v>UK</v>
      </c>
      <c r="AU68" t="str">
        <f t="shared" si="60"/>
        <v>GlbMarket_CO2ForStorage</v>
      </c>
      <c r="AW68" t="str">
        <f t="shared" si="42"/>
        <v>UK</v>
      </c>
      <c r="AX68" t="str">
        <f t="shared" si="61"/>
        <v>GlbMarket_im_stlslabs</v>
      </c>
      <c r="AZ68" t="str">
        <f t="shared" si="43"/>
        <v>UK</v>
      </c>
      <c r="BA68" t="str">
        <f t="shared" si="62"/>
        <v>GlbMarket_im_fesponge</v>
      </c>
      <c r="BC68" t="str">
        <f t="shared" si="44"/>
        <v>UK</v>
      </c>
      <c r="BD68" t="str">
        <f t="shared" si="63"/>
        <v>GlbMarket_im_fescrap</v>
      </c>
    </row>
    <row r="69" spans="4:56">
      <c r="D69" t="str">
        <f t="shared" si="45"/>
        <v>USA</v>
      </c>
      <c r="E69" t="str">
        <f t="shared" si="46"/>
        <v>GlbMarket_OILDST</v>
      </c>
      <c r="G69" t="str">
        <f t="shared" si="28"/>
        <v>USA</v>
      </c>
      <c r="H69" t="str">
        <f t="shared" si="47"/>
        <v>GlbMarket_OILFEE</v>
      </c>
      <c r="J69" t="str">
        <f t="shared" si="29"/>
        <v>USA</v>
      </c>
      <c r="K69" t="str">
        <f t="shared" si="48"/>
        <v>GlbMarket_OILGSL</v>
      </c>
      <c r="M69" t="str">
        <f t="shared" si="30"/>
        <v>USA</v>
      </c>
      <c r="N69" t="str">
        <f t="shared" si="49"/>
        <v>GlbMarket_OILHFO</v>
      </c>
      <c r="P69" t="str">
        <f t="shared" si="31"/>
        <v>USA</v>
      </c>
      <c r="Q69" t="str">
        <f t="shared" si="50"/>
        <v>GlbMarket_OILJTK</v>
      </c>
      <c r="S69" t="str">
        <f t="shared" si="32"/>
        <v>USA</v>
      </c>
      <c r="T69" t="str">
        <f t="shared" si="51"/>
        <v>GlbMarket_OILKER</v>
      </c>
      <c r="V69" t="str">
        <f t="shared" si="33"/>
        <v>USA</v>
      </c>
      <c r="W69" t="str">
        <f t="shared" si="52"/>
        <v>GlbMarket_OILLPG</v>
      </c>
      <c r="Y69" t="str">
        <f t="shared" si="34"/>
        <v>USA</v>
      </c>
      <c r="Z69" t="str">
        <f t="shared" si="53"/>
        <v>GlbMarket_OILLUB</v>
      </c>
      <c r="AB69" t="str">
        <f t="shared" si="35"/>
        <v>USA</v>
      </c>
      <c r="AC69" t="str">
        <f t="shared" si="54"/>
        <v>GlbMarket_OILNAP</v>
      </c>
      <c r="AE69" t="str">
        <f t="shared" si="36"/>
        <v>USA</v>
      </c>
      <c r="AF69" t="str">
        <f t="shared" si="55"/>
        <v>GlbMarket_OILNCR</v>
      </c>
      <c r="AH69" t="str">
        <f t="shared" si="37"/>
        <v>USA</v>
      </c>
      <c r="AI69" t="str">
        <f t="shared" si="56"/>
        <v>GlbMarket_OILNGL</v>
      </c>
      <c r="AK69" t="str">
        <f t="shared" si="38"/>
        <v>USA</v>
      </c>
      <c r="AL69" t="str">
        <f t="shared" si="57"/>
        <v>GlbMarket_OILNSP</v>
      </c>
      <c r="AN69" t="str">
        <f t="shared" si="39"/>
        <v>USA</v>
      </c>
      <c r="AO69" t="str">
        <f t="shared" si="58"/>
        <v>GlbMarket_OILPTC</v>
      </c>
      <c r="AQ69" t="str">
        <f t="shared" si="40"/>
        <v>USA</v>
      </c>
      <c r="AR69" t="str">
        <f t="shared" si="59"/>
        <v>GlbMarket_NH3</v>
      </c>
      <c r="AT69" t="str">
        <f t="shared" si="41"/>
        <v>USA</v>
      </c>
      <c r="AU69" t="str">
        <f t="shared" si="60"/>
        <v>GlbMarket_CO2ForStorage</v>
      </c>
      <c r="AW69" t="str">
        <f t="shared" si="42"/>
        <v>USA</v>
      </c>
      <c r="AX69" t="str">
        <f t="shared" si="61"/>
        <v>GlbMarket_im_stlslabs</v>
      </c>
      <c r="AZ69" t="str">
        <f t="shared" si="43"/>
        <v>USA</v>
      </c>
      <c r="BA69" t="str">
        <f t="shared" si="62"/>
        <v>GlbMarket_im_fesponge</v>
      </c>
      <c r="BC69" t="str">
        <f t="shared" si="44"/>
        <v>USA</v>
      </c>
      <c r="BD69" t="str">
        <f t="shared" si="63"/>
        <v>GlbMarket_im_fescrap</v>
      </c>
    </row>
    <row r="70" spans="4:56">
      <c r="D70" t="str">
        <f t="shared" si="45"/>
        <v>\I:</v>
      </c>
      <c r="E70" t="str">
        <f t="shared" si="46"/>
        <v>GlbMarket_OILDST</v>
      </c>
      <c r="G70" t="str">
        <f t="shared" si="28"/>
        <v>\I:</v>
      </c>
      <c r="H70" t="str">
        <f t="shared" si="47"/>
        <v>GlbMarket_OILFEE</v>
      </c>
      <c r="J70" t="str">
        <f t="shared" si="29"/>
        <v>\I:</v>
      </c>
      <c r="K70" t="str">
        <f t="shared" si="48"/>
        <v>GlbMarket_OILGSL</v>
      </c>
      <c r="M70" t="str">
        <f t="shared" si="30"/>
        <v>\I:</v>
      </c>
      <c r="N70" t="str">
        <f t="shared" si="49"/>
        <v>GlbMarket_OILHFO</v>
      </c>
      <c r="P70" t="str">
        <f t="shared" si="31"/>
        <v>\I:</v>
      </c>
      <c r="Q70" t="str">
        <f t="shared" si="50"/>
        <v>GlbMarket_OILJTK</v>
      </c>
      <c r="S70" t="str">
        <f t="shared" si="32"/>
        <v>\I:</v>
      </c>
      <c r="T70" t="str">
        <f t="shared" si="51"/>
        <v>GlbMarket_OILKER</v>
      </c>
      <c r="V70" t="str">
        <f t="shared" si="33"/>
        <v>\I:</v>
      </c>
      <c r="W70" t="str">
        <f t="shared" si="52"/>
        <v>GlbMarket_OILLPG</v>
      </c>
      <c r="Y70" t="str">
        <f t="shared" si="34"/>
        <v>\I:</v>
      </c>
      <c r="Z70" t="str">
        <f t="shared" si="53"/>
        <v>GlbMarket_OILLUB</v>
      </c>
      <c r="AB70" t="str">
        <f t="shared" si="35"/>
        <v>\I:</v>
      </c>
      <c r="AC70" t="str">
        <f t="shared" si="54"/>
        <v>GlbMarket_OILNAP</v>
      </c>
      <c r="AE70" t="str">
        <f t="shared" si="36"/>
        <v>\I:</v>
      </c>
      <c r="AF70" t="str">
        <f t="shared" si="55"/>
        <v>GlbMarket_OILNCR</v>
      </c>
      <c r="AH70" t="str">
        <f t="shared" si="37"/>
        <v>\I:</v>
      </c>
      <c r="AI70" t="str">
        <f t="shared" si="56"/>
        <v>GlbMarket_OILNGL</v>
      </c>
      <c r="AK70" t="str">
        <f t="shared" si="38"/>
        <v>\I:</v>
      </c>
      <c r="AL70" t="str">
        <f t="shared" si="57"/>
        <v>GlbMarket_OILNSP</v>
      </c>
      <c r="AN70" t="str">
        <f t="shared" si="39"/>
        <v>\I:</v>
      </c>
      <c r="AO70" t="str">
        <f t="shared" si="58"/>
        <v>GlbMarket_OILPTC</v>
      </c>
      <c r="AQ70" t="str">
        <f t="shared" si="40"/>
        <v>\I:</v>
      </c>
      <c r="AR70" t="str">
        <f t="shared" si="59"/>
        <v>GlbMarket_NH3</v>
      </c>
      <c r="AT70" t="str">
        <f t="shared" si="41"/>
        <v>\I:</v>
      </c>
      <c r="AU70" t="str">
        <f t="shared" si="60"/>
        <v>GlbMarket_CO2ForStorage</v>
      </c>
      <c r="AW70" t="str">
        <f t="shared" si="42"/>
        <v>\I:</v>
      </c>
      <c r="AX70" t="str">
        <f t="shared" si="61"/>
        <v>GlbMarket_im_stlslabs</v>
      </c>
      <c r="AZ70" t="str">
        <f t="shared" si="43"/>
        <v>\I:</v>
      </c>
      <c r="BA70" t="str">
        <f t="shared" si="62"/>
        <v>GlbMarket_im_fesponge</v>
      </c>
      <c r="BC70" t="str">
        <f t="shared" si="44"/>
        <v>\I:</v>
      </c>
      <c r="BD70" t="str">
        <f t="shared" si="63"/>
        <v>GlbMarket_im_fescrap</v>
      </c>
    </row>
  </sheetData>
  <sortState xmlns:xlrd2="http://schemas.microsoft.com/office/spreadsheetml/2017/richdata2" ref="D5:D19">
    <sortCondition ref="D5:D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DAAF8-AC3C-4CE8-B79B-D77F486FA01B}">
  <dimension ref="C1:I84"/>
  <sheetViews>
    <sheetView workbookViewId="0">
      <selection activeCell="C3" sqref="C3:I84"/>
    </sheetView>
  </sheetViews>
  <sheetFormatPr baseColWidth="10" defaultColWidth="8.88671875" defaultRowHeight="14.4"/>
  <cols>
    <col min="1" max="2" width="8.88671875" customWidth="1"/>
    <col min="3" max="3" width="16.88671875" bestFit="1" customWidth="1"/>
    <col min="4" max="4" width="12.33203125" bestFit="1" customWidth="1"/>
    <col min="5" max="5" width="6.6640625" bestFit="1" customWidth="1"/>
    <col min="6" max="7" width="7.6640625" bestFit="1" customWidth="1"/>
    <col min="8" max="8" width="31.6640625" bestFit="1" customWidth="1"/>
    <col min="9" max="9" width="9.5546875" bestFit="1" customWidth="1"/>
  </cols>
  <sheetData>
    <row r="1" spans="3:9">
      <c r="E1" s="1" t="s">
        <v>14</v>
      </c>
    </row>
    <row r="3" spans="3:9">
      <c r="C3" t="s">
        <v>30</v>
      </c>
    </row>
    <row r="4" spans="3:9"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</row>
    <row r="5" spans="3:9">
      <c r="C5" t="s">
        <v>132</v>
      </c>
      <c r="D5" t="s">
        <v>144</v>
      </c>
      <c r="E5" t="s">
        <v>14</v>
      </c>
      <c r="F5" t="s">
        <v>14</v>
      </c>
      <c r="G5" t="s">
        <v>14</v>
      </c>
      <c r="H5" t="s">
        <v>158</v>
      </c>
      <c r="I5" t="s">
        <v>38</v>
      </c>
    </row>
    <row r="6" spans="3:9">
      <c r="C6" t="s">
        <v>132</v>
      </c>
      <c r="D6" t="s">
        <v>153</v>
      </c>
      <c r="E6" t="s">
        <v>14</v>
      </c>
      <c r="F6" t="s">
        <v>14</v>
      </c>
      <c r="G6" t="s">
        <v>14</v>
      </c>
      <c r="H6" t="s">
        <v>159</v>
      </c>
      <c r="I6" t="s">
        <v>38</v>
      </c>
    </row>
    <row r="7" spans="3:9">
      <c r="C7" t="s">
        <v>133</v>
      </c>
      <c r="D7" t="s">
        <v>154</v>
      </c>
      <c r="E7" t="s">
        <v>14</v>
      </c>
      <c r="F7" t="s">
        <v>14</v>
      </c>
      <c r="G7" t="s">
        <v>14</v>
      </c>
      <c r="H7" t="s">
        <v>160</v>
      </c>
      <c r="I7" t="s">
        <v>38</v>
      </c>
    </row>
    <row r="8" spans="3:9">
      <c r="C8" t="s">
        <v>134</v>
      </c>
      <c r="D8" t="s">
        <v>139</v>
      </c>
      <c r="E8" t="s">
        <v>14</v>
      </c>
      <c r="F8" t="s">
        <v>14</v>
      </c>
      <c r="G8" t="s">
        <v>14</v>
      </c>
      <c r="H8" t="s">
        <v>161</v>
      </c>
      <c r="I8" t="s">
        <v>38</v>
      </c>
    </row>
    <row r="9" spans="3:9">
      <c r="C9" t="s">
        <v>135</v>
      </c>
      <c r="D9" t="s">
        <v>137</v>
      </c>
      <c r="E9" t="s">
        <v>14</v>
      </c>
      <c r="F9" t="s">
        <v>14</v>
      </c>
      <c r="G9" t="s">
        <v>14</v>
      </c>
      <c r="H9" t="s">
        <v>162</v>
      </c>
      <c r="I9" t="s">
        <v>38</v>
      </c>
    </row>
    <row r="10" spans="3:9">
      <c r="C10" t="s">
        <v>135</v>
      </c>
      <c r="D10" t="s">
        <v>145</v>
      </c>
      <c r="E10" t="s">
        <v>14</v>
      </c>
      <c r="F10" t="s">
        <v>14</v>
      </c>
      <c r="G10" t="s">
        <v>14</v>
      </c>
      <c r="H10" t="s">
        <v>163</v>
      </c>
      <c r="I10" t="s">
        <v>38</v>
      </c>
    </row>
    <row r="11" spans="3:9">
      <c r="C11" t="s">
        <v>135</v>
      </c>
      <c r="D11" t="s">
        <v>147</v>
      </c>
      <c r="E11" t="s">
        <v>14</v>
      </c>
      <c r="F11" t="s">
        <v>14</v>
      </c>
      <c r="G11" t="s">
        <v>14</v>
      </c>
      <c r="H11" t="s">
        <v>164</v>
      </c>
      <c r="I11" t="s">
        <v>38</v>
      </c>
    </row>
    <row r="12" spans="3:9">
      <c r="C12" t="s">
        <v>135</v>
      </c>
      <c r="D12" t="s">
        <v>29</v>
      </c>
      <c r="E12" t="s">
        <v>14</v>
      </c>
      <c r="F12" t="s">
        <v>14</v>
      </c>
      <c r="G12" t="s">
        <v>14</v>
      </c>
      <c r="H12" t="s">
        <v>165</v>
      </c>
      <c r="I12" t="s">
        <v>38</v>
      </c>
    </row>
    <row r="13" spans="3:9">
      <c r="C13" t="s">
        <v>137</v>
      </c>
      <c r="D13" t="s">
        <v>27</v>
      </c>
      <c r="E13" t="s">
        <v>14</v>
      </c>
      <c r="F13" t="s">
        <v>14</v>
      </c>
      <c r="G13" t="s">
        <v>14</v>
      </c>
      <c r="H13" t="s">
        <v>166</v>
      </c>
      <c r="I13" t="s">
        <v>38</v>
      </c>
    </row>
    <row r="14" spans="3:9">
      <c r="C14" t="s">
        <v>137</v>
      </c>
      <c r="D14" t="s">
        <v>28</v>
      </c>
      <c r="E14" t="s">
        <v>14</v>
      </c>
      <c r="F14" t="s">
        <v>14</v>
      </c>
      <c r="G14" t="s">
        <v>14</v>
      </c>
      <c r="H14" t="s">
        <v>167</v>
      </c>
      <c r="I14" t="s">
        <v>38</v>
      </c>
    </row>
    <row r="15" spans="3:9">
      <c r="C15" t="s">
        <v>140</v>
      </c>
      <c r="D15" t="s">
        <v>156</v>
      </c>
      <c r="E15" t="s">
        <v>14</v>
      </c>
      <c r="F15" t="s">
        <v>14</v>
      </c>
      <c r="G15" t="s">
        <v>14</v>
      </c>
      <c r="H15" t="s">
        <v>168</v>
      </c>
      <c r="I15" t="s">
        <v>38</v>
      </c>
    </row>
    <row r="16" spans="3:9">
      <c r="C16" t="s">
        <v>27</v>
      </c>
      <c r="D16" t="s">
        <v>137</v>
      </c>
      <c r="E16" t="s">
        <v>14</v>
      </c>
      <c r="F16" t="s">
        <v>14</v>
      </c>
      <c r="G16" t="s">
        <v>14</v>
      </c>
      <c r="H16" t="s">
        <v>169</v>
      </c>
      <c r="I16" t="s">
        <v>38</v>
      </c>
    </row>
    <row r="17" spans="3:9">
      <c r="C17" t="s">
        <v>141</v>
      </c>
      <c r="D17" t="s">
        <v>142</v>
      </c>
      <c r="E17" t="s">
        <v>14</v>
      </c>
      <c r="F17" t="s">
        <v>14</v>
      </c>
      <c r="G17" t="s">
        <v>14</v>
      </c>
      <c r="H17" t="s">
        <v>170</v>
      </c>
      <c r="I17" t="s">
        <v>38</v>
      </c>
    </row>
    <row r="18" spans="3:9">
      <c r="C18" t="s">
        <v>141</v>
      </c>
      <c r="D18" t="s">
        <v>143</v>
      </c>
      <c r="E18" t="s">
        <v>14</v>
      </c>
      <c r="F18" t="s">
        <v>14</v>
      </c>
      <c r="G18" t="s">
        <v>14</v>
      </c>
      <c r="H18" t="s">
        <v>171</v>
      </c>
      <c r="I18" t="s">
        <v>38</v>
      </c>
    </row>
    <row r="19" spans="3:9">
      <c r="C19" t="s">
        <v>141</v>
      </c>
      <c r="D19" t="s">
        <v>116</v>
      </c>
      <c r="E19" t="s">
        <v>14</v>
      </c>
      <c r="F19" t="s">
        <v>14</v>
      </c>
      <c r="G19" t="s">
        <v>14</v>
      </c>
      <c r="H19" t="s">
        <v>172</v>
      </c>
      <c r="I19" t="s">
        <v>38</v>
      </c>
    </row>
    <row r="20" spans="3:9">
      <c r="C20" t="s">
        <v>141</v>
      </c>
      <c r="D20" t="s">
        <v>152</v>
      </c>
      <c r="E20" t="s">
        <v>14</v>
      </c>
      <c r="F20" t="s">
        <v>14</v>
      </c>
      <c r="G20" t="s">
        <v>14</v>
      </c>
      <c r="H20" t="s">
        <v>173</v>
      </c>
      <c r="I20" t="s">
        <v>38</v>
      </c>
    </row>
    <row r="21" spans="3:9">
      <c r="C21" t="s">
        <v>141</v>
      </c>
      <c r="D21" t="s">
        <v>155</v>
      </c>
      <c r="E21" t="s">
        <v>14</v>
      </c>
      <c r="F21" t="s">
        <v>14</v>
      </c>
      <c r="G21" t="s">
        <v>14</v>
      </c>
      <c r="H21" t="s">
        <v>174</v>
      </c>
      <c r="I21" t="s">
        <v>38</v>
      </c>
    </row>
    <row r="22" spans="3:9">
      <c r="C22" t="s">
        <v>142</v>
      </c>
      <c r="D22" t="s">
        <v>141</v>
      </c>
      <c r="E22" t="s">
        <v>14</v>
      </c>
      <c r="F22" t="s">
        <v>14</v>
      </c>
      <c r="G22" t="s">
        <v>14</v>
      </c>
      <c r="H22" t="s">
        <v>175</v>
      </c>
      <c r="I22" t="s">
        <v>38</v>
      </c>
    </row>
    <row r="23" spans="3:9">
      <c r="C23" t="s">
        <v>142</v>
      </c>
      <c r="D23" t="s">
        <v>144</v>
      </c>
      <c r="E23" t="s">
        <v>14</v>
      </c>
      <c r="F23" t="s">
        <v>14</v>
      </c>
      <c r="G23" t="s">
        <v>14</v>
      </c>
      <c r="H23" t="s">
        <v>176</v>
      </c>
      <c r="I23" t="s">
        <v>38</v>
      </c>
    </row>
    <row r="24" spans="3:9">
      <c r="C24" t="s">
        <v>142</v>
      </c>
      <c r="D24" t="s">
        <v>145</v>
      </c>
      <c r="E24" t="s">
        <v>14</v>
      </c>
      <c r="F24" t="s">
        <v>14</v>
      </c>
      <c r="G24" t="s">
        <v>14</v>
      </c>
      <c r="H24" t="s">
        <v>177</v>
      </c>
      <c r="I24" t="s">
        <v>38</v>
      </c>
    </row>
    <row r="25" spans="3:9">
      <c r="C25" t="s">
        <v>142</v>
      </c>
      <c r="D25" t="s">
        <v>147</v>
      </c>
      <c r="E25" t="s">
        <v>14</v>
      </c>
      <c r="F25" t="s">
        <v>14</v>
      </c>
      <c r="G25" t="s">
        <v>14</v>
      </c>
      <c r="H25" t="s">
        <v>178</v>
      </c>
      <c r="I25" t="s">
        <v>38</v>
      </c>
    </row>
    <row r="26" spans="3:9">
      <c r="C26" t="s">
        <v>142</v>
      </c>
      <c r="D26" t="s">
        <v>116</v>
      </c>
      <c r="E26" t="s">
        <v>14</v>
      </c>
      <c r="F26" t="s">
        <v>14</v>
      </c>
      <c r="G26" t="s">
        <v>14</v>
      </c>
      <c r="H26" t="s">
        <v>179</v>
      </c>
      <c r="I26" t="s">
        <v>38</v>
      </c>
    </row>
    <row r="27" spans="3:9">
      <c r="C27" t="s">
        <v>143</v>
      </c>
      <c r="D27" t="s">
        <v>141</v>
      </c>
      <c r="E27" t="s">
        <v>14</v>
      </c>
      <c r="F27" t="s">
        <v>14</v>
      </c>
      <c r="G27" t="s">
        <v>14</v>
      </c>
      <c r="H27" t="s">
        <v>180</v>
      </c>
      <c r="I27" t="s">
        <v>38</v>
      </c>
    </row>
    <row r="28" spans="3:9">
      <c r="C28" t="s">
        <v>143</v>
      </c>
      <c r="D28" t="s">
        <v>148</v>
      </c>
      <c r="E28" t="s">
        <v>14</v>
      </c>
      <c r="F28" t="s">
        <v>14</v>
      </c>
      <c r="G28" t="s">
        <v>14</v>
      </c>
      <c r="H28" t="s">
        <v>181</v>
      </c>
      <c r="I28" t="s">
        <v>38</v>
      </c>
    </row>
    <row r="29" spans="3:9">
      <c r="C29" t="s">
        <v>143</v>
      </c>
      <c r="D29" t="s">
        <v>116</v>
      </c>
      <c r="E29" t="s">
        <v>14</v>
      </c>
      <c r="F29" t="s">
        <v>14</v>
      </c>
      <c r="G29" t="s">
        <v>14</v>
      </c>
      <c r="H29" t="s">
        <v>182</v>
      </c>
      <c r="I29" t="s">
        <v>38</v>
      </c>
    </row>
    <row r="30" spans="3:9">
      <c r="C30" t="s">
        <v>143</v>
      </c>
      <c r="D30" t="s">
        <v>152</v>
      </c>
      <c r="E30" t="s">
        <v>14</v>
      </c>
      <c r="F30" t="s">
        <v>14</v>
      </c>
      <c r="G30" t="s">
        <v>14</v>
      </c>
      <c r="H30" t="s">
        <v>183</v>
      </c>
      <c r="I30" t="s">
        <v>38</v>
      </c>
    </row>
    <row r="31" spans="3:9">
      <c r="C31" t="s">
        <v>143</v>
      </c>
      <c r="D31" t="s">
        <v>155</v>
      </c>
      <c r="E31" t="s">
        <v>14</v>
      </c>
      <c r="F31" t="s">
        <v>14</v>
      </c>
      <c r="G31" t="s">
        <v>14</v>
      </c>
      <c r="H31" t="s">
        <v>184</v>
      </c>
      <c r="I31" t="s">
        <v>38</v>
      </c>
    </row>
    <row r="32" spans="3:9">
      <c r="C32" t="s">
        <v>144</v>
      </c>
      <c r="D32" t="s">
        <v>132</v>
      </c>
      <c r="E32" t="s">
        <v>14</v>
      </c>
      <c r="F32" t="s">
        <v>14</v>
      </c>
      <c r="G32" t="s">
        <v>14</v>
      </c>
      <c r="H32" t="s">
        <v>185</v>
      </c>
      <c r="I32" t="s">
        <v>38</v>
      </c>
    </row>
    <row r="33" spans="3:9">
      <c r="C33" t="s">
        <v>144</v>
      </c>
      <c r="D33" t="s">
        <v>142</v>
      </c>
      <c r="E33" t="s">
        <v>14</v>
      </c>
      <c r="F33" t="s">
        <v>14</v>
      </c>
      <c r="G33" t="s">
        <v>14</v>
      </c>
      <c r="H33" t="s">
        <v>186</v>
      </c>
      <c r="I33" t="s">
        <v>38</v>
      </c>
    </row>
    <row r="34" spans="3:9">
      <c r="C34" t="s">
        <v>144</v>
      </c>
      <c r="D34" t="s">
        <v>145</v>
      </c>
      <c r="E34" t="s">
        <v>14</v>
      </c>
      <c r="F34" t="s">
        <v>14</v>
      </c>
      <c r="G34" t="s">
        <v>14</v>
      </c>
      <c r="H34" t="s">
        <v>187</v>
      </c>
      <c r="I34" t="s">
        <v>38</v>
      </c>
    </row>
    <row r="35" spans="3:9">
      <c r="C35" t="s">
        <v>144</v>
      </c>
      <c r="D35" t="s">
        <v>147</v>
      </c>
      <c r="E35" t="s">
        <v>14</v>
      </c>
      <c r="F35" t="s">
        <v>14</v>
      </c>
      <c r="G35" t="s">
        <v>14</v>
      </c>
      <c r="H35" t="s">
        <v>188</v>
      </c>
      <c r="I35" t="s">
        <v>38</v>
      </c>
    </row>
    <row r="36" spans="3:9">
      <c r="C36" t="s">
        <v>144</v>
      </c>
      <c r="D36" t="s">
        <v>148</v>
      </c>
      <c r="E36" t="s">
        <v>14</v>
      </c>
      <c r="F36" t="s">
        <v>14</v>
      </c>
      <c r="G36" t="s">
        <v>14</v>
      </c>
      <c r="H36" t="s">
        <v>189</v>
      </c>
      <c r="I36" t="s">
        <v>38</v>
      </c>
    </row>
    <row r="37" spans="3:9">
      <c r="C37" t="s">
        <v>145</v>
      </c>
      <c r="D37" t="s">
        <v>135</v>
      </c>
      <c r="E37" t="s">
        <v>14</v>
      </c>
      <c r="F37" t="s">
        <v>14</v>
      </c>
      <c r="G37" t="s">
        <v>14</v>
      </c>
      <c r="H37" t="s">
        <v>190</v>
      </c>
      <c r="I37" t="s">
        <v>38</v>
      </c>
    </row>
    <row r="38" spans="3:9">
      <c r="C38" t="s">
        <v>145</v>
      </c>
      <c r="D38" t="s">
        <v>142</v>
      </c>
      <c r="E38" t="s">
        <v>14</v>
      </c>
      <c r="F38" t="s">
        <v>14</v>
      </c>
      <c r="G38" t="s">
        <v>14</v>
      </c>
      <c r="H38" t="s">
        <v>191</v>
      </c>
      <c r="I38" t="s">
        <v>38</v>
      </c>
    </row>
    <row r="39" spans="3:9">
      <c r="C39" t="s">
        <v>145</v>
      </c>
      <c r="D39" t="s">
        <v>144</v>
      </c>
      <c r="E39" t="s">
        <v>14</v>
      </c>
      <c r="F39" t="s">
        <v>14</v>
      </c>
      <c r="G39" t="s">
        <v>14</v>
      </c>
      <c r="H39" t="s">
        <v>192</v>
      </c>
      <c r="I39" t="s">
        <v>38</v>
      </c>
    </row>
    <row r="40" spans="3:9">
      <c r="C40" t="s">
        <v>145</v>
      </c>
      <c r="D40" t="s">
        <v>147</v>
      </c>
      <c r="E40" t="s">
        <v>14</v>
      </c>
      <c r="F40" t="s">
        <v>14</v>
      </c>
      <c r="G40" t="s">
        <v>14</v>
      </c>
      <c r="H40" t="s">
        <v>193</v>
      </c>
      <c r="I40" t="s">
        <v>38</v>
      </c>
    </row>
    <row r="41" spans="3:9">
      <c r="C41" t="s">
        <v>146</v>
      </c>
      <c r="D41" t="s">
        <v>148</v>
      </c>
      <c r="E41" t="s">
        <v>14</v>
      </c>
      <c r="F41" t="s">
        <v>14</v>
      </c>
      <c r="G41" t="s">
        <v>14</v>
      </c>
      <c r="H41" t="s">
        <v>194</v>
      </c>
      <c r="I41" t="s">
        <v>38</v>
      </c>
    </row>
    <row r="42" spans="3:9">
      <c r="C42" t="s">
        <v>147</v>
      </c>
      <c r="D42" t="s">
        <v>135</v>
      </c>
      <c r="E42" t="s">
        <v>14</v>
      </c>
      <c r="F42" t="s">
        <v>14</v>
      </c>
      <c r="G42" t="s">
        <v>14</v>
      </c>
      <c r="H42" t="s">
        <v>195</v>
      </c>
      <c r="I42" t="s">
        <v>38</v>
      </c>
    </row>
    <row r="43" spans="3:9">
      <c r="C43" t="s">
        <v>147</v>
      </c>
      <c r="D43" t="s">
        <v>142</v>
      </c>
      <c r="E43" t="s">
        <v>14</v>
      </c>
      <c r="F43" t="s">
        <v>14</v>
      </c>
      <c r="G43" t="s">
        <v>14</v>
      </c>
      <c r="H43" t="s">
        <v>196</v>
      </c>
      <c r="I43" t="s">
        <v>38</v>
      </c>
    </row>
    <row r="44" spans="3:9">
      <c r="C44" t="s">
        <v>147</v>
      </c>
      <c r="D44" t="s">
        <v>144</v>
      </c>
      <c r="E44" t="s">
        <v>14</v>
      </c>
      <c r="F44" t="s">
        <v>14</v>
      </c>
      <c r="G44" t="s">
        <v>14</v>
      </c>
      <c r="H44" t="s">
        <v>197</v>
      </c>
      <c r="I44" t="s">
        <v>38</v>
      </c>
    </row>
    <row r="45" spans="3:9">
      <c r="C45" t="s">
        <v>147</v>
      </c>
      <c r="D45" t="s">
        <v>145</v>
      </c>
      <c r="E45" t="s">
        <v>14</v>
      </c>
      <c r="F45" t="s">
        <v>14</v>
      </c>
      <c r="G45" t="s">
        <v>14</v>
      </c>
      <c r="H45" t="s">
        <v>198</v>
      </c>
      <c r="I45" t="s">
        <v>38</v>
      </c>
    </row>
    <row r="46" spans="3:9">
      <c r="C46" t="s">
        <v>147</v>
      </c>
      <c r="D46" t="s">
        <v>148</v>
      </c>
      <c r="E46" t="s">
        <v>14</v>
      </c>
      <c r="F46" t="s">
        <v>14</v>
      </c>
      <c r="G46" t="s">
        <v>14</v>
      </c>
      <c r="H46" t="s">
        <v>199</v>
      </c>
      <c r="I46" t="s">
        <v>38</v>
      </c>
    </row>
    <row r="47" spans="3:9">
      <c r="C47" t="s">
        <v>147</v>
      </c>
      <c r="D47" t="s">
        <v>116</v>
      </c>
      <c r="E47" t="s">
        <v>14</v>
      </c>
      <c r="F47" t="s">
        <v>14</v>
      </c>
      <c r="G47" t="s">
        <v>14</v>
      </c>
      <c r="H47" t="s">
        <v>200</v>
      </c>
      <c r="I47" t="s">
        <v>38</v>
      </c>
    </row>
    <row r="48" spans="3:9">
      <c r="C48" t="s">
        <v>147</v>
      </c>
      <c r="D48" t="s">
        <v>29</v>
      </c>
      <c r="E48" t="s">
        <v>14</v>
      </c>
      <c r="F48" t="s">
        <v>14</v>
      </c>
      <c r="G48" t="s">
        <v>14</v>
      </c>
      <c r="H48" t="s">
        <v>201</v>
      </c>
      <c r="I48" t="s">
        <v>38</v>
      </c>
    </row>
    <row r="49" spans="3:9">
      <c r="C49" t="s">
        <v>148</v>
      </c>
      <c r="D49" t="s">
        <v>143</v>
      </c>
      <c r="E49" t="s">
        <v>14</v>
      </c>
      <c r="F49" t="s">
        <v>14</v>
      </c>
      <c r="G49" t="s">
        <v>14</v>
      </c>
      <c r="H49" t="s">
        <v>202</v>
      </c>
      <c r="I49" t="s">
        <v>38</v>
      </c>
    </row>
    <row r="50" spans="3:9">
      <c r="C50" t="s">
        <v>148</v>
      </c>
      <c r="D50" t="s">
        <v>144</v>
      </c>
      <c r="E50" t="s">
        <v>14</v>
      </c>
      <c r="F50" t="s">
        <v>14</v>
      </c>
      <c r="G50" t="s">
        <v>14</v>
      </c>
      <c r="H50" t="s">
        <v>203</v>
      </c>
      <c r="I50" t="s">
        <v>38</v>
      </c>
    </row>
    <row r="51" spans="3:9">
      <c r="C51" t="s">
        <v>148</v>
      </c>
      <c r="D51" t="s">
        <v>146</v>
      </c>
      <c r="E51" t="s">
        <v>14</v>
      </c>
      <c r="F51" t="s">
        <v>14</v>
      </c>
      <c r="G51" t="s">
        <v>14</v>
      </c>
      <c r="H51" t="s">
        <v>204</v>
      </c>
      <c r="I51" t="s">
        <v>38</v>
      </c>
    </row>
    <row r="52" spans="3:9">
      <c r="C52" t="s">
        <v>148</v>
      </c>
      <c r="D52" t="s">
        <v>147</v>
      </c>
      <c r="E52" t="s">
        <v>14</v>
      </c>
      <c r="F52" t="s">
        <v>14</v>
      </c>
      <c r="G52" t="s">
        <v>14</v>
      </c>
      <c r="H52" t="s">
        <v>205</v>
      </c>
      <c r="I52" t="s">
        <v>38</v>
      </c>
    </row>
    <row r="53" spans="3:9">
      <c r="C53" t="s">
        <v>148</v>
      </c>
      <c r="D53" t="s">
        <v>116</v>
      </c>
      <c r="E53" t="s">
        <v>14</v>
      </c>
      <c r="F53" t="s">
        <v>14</v>
      </c>
      <c r="G53" t="s">
        <v>14</v>
      </c>
      <c r="H53" t="s">
        <v>206</v>
      </c>
      <c r="I53" t="s">
        <v>38</v>
      </c>
    </row>
    <row r="54" spans="3:9">
      <c r="C54" t="s">
        <v>148</v>
      </c>
      <c r="D54" t="s">
        <v>155</v>
      </c>
      <c r="E54" t="s">
        <v>14</v>
      </c>
      <c r="F54" t="s">
        <v>14</v>
      </c>
      <c r="G54" t="s">
        <v>14</v>
      </c>
      <c r="H54" t="s">
        <v>207</v>
      </c>
      <c r="I54" t="s">
        <v>38</v>
      </c>
    </row>
    <row r="55" spans="3:9">
      <c r="C55" t="s">
        <v>116</v>
      </c>
      <c r="D55" t="s">
        <v>141</v>
      </c>
      <c r="E55" t="s">
        <v>14</v>
      </c>
      <c r="F55" t="s">
        <v>14</v>
      </c>
      <c r="G55" t="s">
        <v>14</v>
      </c>
      <c r="H55" t="s">
        <v>208</v>
      </c>
      <c r="I55" t="s">
        <v>38</v>
      </c>
    </row>
    <row r="56" spans="3:9">
      <c r="C56" t="s">
        <v>116</v>
      </c>
      <c r="D56" t="s">
        <v>142</v>
      </c>
      <c r="E56" t="s">
        <v>14</v>
      </c>
      <c r="F56" t="s">
        <v>14</v>
      </c>
      <c r="G56" t="s">
        <v>14</v>
      </c>
      <c r="H56" t="s">
        <v>209</v>
      </c>
      <c r="I56" t="s">
        <v>38</v>
      </c>
    </row>
    <row r="57" spans="3:9">
      <c r="C57" t="s">
        <v>116</v>
      </c>
      <c r="D57" t="s">
        <v>143</v>
      </c>
      <c r="E57" t="s">
        <v>14</v>
      </c>
      <c r="F57" t="s">
        <v>14</v>
      </c>
      <c r="G57" t="s">
        <v>14</v>
      </c>
      <c r="H57" t="s">
        <v>210</v>
      </c>
      <c r="I57" t="s">
        <v>38</v>
      </c>
    </row>
    <row r="58" spans="3:9">
      <c r="C58" t="s">
        <v>116</v>
      </c>
      <c r="D58" t="s">
        <v>147</v>
      </c>
      <c r="E58" t="s">
        <v>14</v>
      </c>
      <c r="F58" t="s">
        <v>14</v>
      </c>
      <c r="G58" t="s">
        <v>14</v>
      </c>
      <c r="H58" t="s">
        <v>211</v>
      </c>
      <c r="I58" t="s">
        <v>38</v>
      </c>
    </row>
    <row r="59" spans="3:9">
      <c r="C59" t="s">
        <v>116</v>
      </c>
      <c r="D59" t="s">
        <v>148</v>
      </c>
      <c r="E59" t="s">
        <v>14</v>
      </c>
      <c r="F59" t="s">
        <v>14</v>
      </c>
      <c r="G59" t="s">
        <v>14</v>
      </c>
      <c r="H59" t="s">
        <v>212</v>
      </c>
      <c r="I59" t="s">
        <v>38</v>
      </c>
    </row>
    <row r="60" spans="3:9">
      <c r="C60" t="s">
        <v>116</v>
      </c>
      <c r="D60" t="s">
        <v>152</v>
      </c>
      <c r="E60" t="s">
        <v>14</v>
      </c>
      <c r="F60" t="s">
        <v>14</v>
      </c>
      <c r="G60" t="s">
        <v>14</v>
      </c>
      <c r="H60" t="s">
        <v>213</v>
      </c>
      <c r="I60" t="s">
        <v>38</v>
      </c>
    </row>
    <row r="61" spans="3:9">
      <c r="C61" t="s">
        <v>116</v>
      </c>
      <c r="D61" t="s">
        <v>155</v>
      </c>
      <c r="E61" t="s">
        <v>14</v>
      </c>
      <c r="F61" t="s">
        <v>14</v>
      </c>
      <c r="G61" t="s">
        <v>14</v>
      </c>
      <c r="H61" t="s">
        <v>214</v>
      </c>
      <c r="I61" t="s">
        <v>38</v>
      </c>
    </row>
    <row r="62" spans="3:9">
      <c r="C62" t="s">
        <v>28</v>
      </c>
      <c r="D62" t="s">
        <v>137</v>
      </c>
      <c r="E62" t="s">
        <v>14</v>
      </c>
      <c r="F62" t="s">
        <v>14</v>
      </c>
      <c r="G62" t="s">
        <v>14</v>
      </c>
      <c r="H62" t="s">
        <v>215</v>
      </c>
      <c r="I62" t="s">
        <v>38</v>
      </c>
    </row>
    <row r="63" spans="3:9">
      <c r="C63" t="s">
        <v>149</v>
      </c>
      <c r="D63" t="s">
        <v>134</v>
      </c>
      <c r="E63" t="s">
        <v>14</v>
      </c>
      <c r="F63" t="s">
        <v>14</v>
      </c>
      <c r="G63" t="s">
        <v>14</v>
      </c>
      <c r="H63" t="s">
        <v>216</v>
      </c>
      <c r="I63" t="s">
        <v>38</v>
      </c>
    </row>
    <row r="64" spans="3:9">
      <c r="C64" t="s">
        <v>149</v>
      </c>
      <c r="D64" t="s">
        <v>139</v>
      </c>
      <c r="E64" t="s">
        <v>14</v>
      </c>
      <c r="F64" t="s">
        <v>14</v>
      </c>
      <c r="G64" t="s">
        <v>14</v>
      </c>
      <c r="H64" t="s">
        <v>217</v>
      </c>
      <c r="I64" t="s">
        <v>38</v>
      </c>
    </row>
    <row r="65" spans="3:9">
      <c r="C65" t="s">
        <v>149</v>
      </c>
      <c r="D65" t="s">
        <v>150</v>
      </c>
      <c r="E65" t="s">
        <v>14</v>
      </c>
      <c r="F65" t="s">
        <v>14</v>
      </c>
      <c r="G65" t="s">
        <v>14</v>
      </c>
      <c r="H65" t="s">
        <v>218</v>
      </c>
      <c r="I65" t="s">
        <v>38</v>
      </c>
    </row>
    <row r="66" spans="3:9">
      <c r="C66" t="s">
        <v>150</v>
      </c>
      <c r="D66" t="s">
        <v>149</v>
      </c>
      <c r="E66" t="s">
        <v>14</v>
      </c>
      <c r="F66" t="s">
        <v>14</v>
      </c>
      <c r="G66" t="s">
        <v>14</v>
      </c>
      <c r="H66" t="s">
        <v>219</v>
      </c>
      <c r="I66" t="s">
        <v>38</v>
      </c>
    </row>
    <row r="67" spans="3:9">
      <c r="C67" t="s">
        <v>150</v>
      </c>
      <c r="D67" t="s">
        <v>156</v>
      </c>
      <c r="E67" t="s">
        <v>14</v>
      </c>
      <c r="F67" t="s">
        <v>14</v>
      </c>
      <c r="G67" t="s">
        <v>14</v>
      </c>
      <c r="H67" t="s">
        <v>220</v>
      </c>
      <c r="I67" t="s">
        <v>38</v>
      </c>
    </row>
    <row r="68" spans="3:9">
      <c r="C68" t="s">
        <v>151</v>
      </c>
      <c r="D68" t="s">
        <v>137</v>
      </c>
      <c r="E68" t="s">
        <v>14</v>
      </c>
      <c r="F68" t="s">
        <v>14</v>
      </c>
      <c r="G68" t="s">
        <v>14</v>
      </c>
      <c r="H68" t="s">
        <v>221</v>
      </c>
      <c r="I68" t="s">
        <v>38</v>
      </c>
    </row>
    <row r="69" spans="3:9">
      <c r="C69" t="s">
        <v>151</v>
      </c>
      <c r="D69" t="s">
        <v>153</v>
      </c>
      <c r="E69" t="s">
        <v>14</v>
      </c>
      <c r="F69" t="s">
        <v>14</v>
      </c>
      <c r="G69" t="s">
        <v>14</v>
      </c>
      <c r="H69" t="s">
        <v>222</v>
      </c>
      <c r="I69" t="s">
        <v>38</v>
      </c>
    </row>
    <row r="70" spans="3:9">
      <c r="C70" t="s">
        <v>152</v>
      </c>
      <c r="D70" t="s">
        <v>141</v>
      </c>
      <c r="E70" t="s">
        <v>14</v>
      </c>
      <c r="F70" t="s">
        <v>14</v>
      </c>
      <c r="G70" t="s">
        <v>14</v>
      </c>
      <c r="H70" t="s">
        <v>223</v>
      </c>
      <c r="I70" t="s">
        <v>38</v>
      </c>
    </row>
    <row r="71" spans="3:9">
      <c r="C71" t="s">
        <v>152</v>
      </c>
      <c r="D71" t="s">
        <v>143</v>
      </c>
      <c r="E71" t="s">
        <v>14</v>
      </c>
      <c r="F71" t="s">
        <v>14</v>
      </c>
      <c r="G71" t="s">
        <v>14</v>
      </c>
      <c r="H71" t="s">
        <v>224</v>
      </c>
      <c r="I71" t="s">
        <v>38</v>
      </c>
    </row>
    <row r="72" spans="3:9">
      <c r="C72" t="s">
        <v>152</v>
      </c>
      <c r="D72" t="s">
        <v>116</v>
      </c>
      <c r="E72" t="s">
        <v>14</v>
      </c>
      <c r="F72" t="s">
        <v>14</v>
      </c>
      <c r="G72" t="s">
        <v>14</v>
      </c>
      <c r="H72" t="s">
        <v>225</v>
      </c>
      <c r="I72" t="s">
        <v>38</v>
      </c>
    </row>
    <row r="73" spans="3:9">
      <c r="C73" t="s">
        <v>152</v>
      </c>
      <c r="D73" t="s">
        <v>155</v>
      </c>
      <c r="E73" t="s">
        <v>14</v>
      </c>
      <c r="F73" t="s">
        <v>14</v>
      </c>
      <c r="G73" t="s">
        <v>14</v>
      </c>
      <c r="H73" t="s">
        <v>226</v>
      </c>
      <c r="I73" t="s">
        <v>38</v>
      </c>
    </row>
    <row r="74" spans="3:9">
      <c r="C74" t="s">
        <v>29</v>
      </c>
      <c r="D74" t="s">
        <v>135</v>
      </c>
      <c r="E74" t="s">
        <v>14</v>
      </c>
      <c r="F74" t="s">
        <v>14</v>
      </c>
      <c r="G74" t="s">
        <v>14</v>
      </c>
      <c r="H74" t="s">
        <v>227</v>
      </c>
      <c r="I74" t="s">
        <v>38</v>
      </c>
    </row>
    <row r="75" spans="3:9">
      <c r="C75" t="s">
        <v>29</v>
      </c>
      <c r="D75" t="s">
        <v>147</v>
      </c>
      <c r="E75" t="s">
        <v>14</v>
      </c>
      <c r="F75" t="s">
        <v>14</v>
      </c>
      <c r="G75" t="s">
        <v>14</v>
      </c>
      <c r="H75" t="s">
        <v>228</v>
      </c>
      <c r="I75" t="s">
        <v>38</v>
      </c>
    </row>
    <row r="76" spans="3:9">
      <c r="C76" t="s">
        <v>153</v>
      </c>
      <c r="D76" t="s">
        <v>132</v>
      </c>
      <c r="E76" t="s">
        <v>14</v>
      </c>
      <c r="F76" t="s">
        <v>14</v>
      </c>
      <c r="G76" t="s">
        <v>14</v>
      </c>
      <c r="H76" t="s">
        <v>229</v>
      </c>
      <c r="I76" t="s">
        <v>38</v>
      </c>
    </row>
    <row r="77" spans="3:9">
      <c r="C77" t="s">
        <v>153</v>
      </c>
      <c r="D77" t="s">
        <v>151</v>
      </c>
      <c r="E77" t="s">
        <v>14</v>
      </c>
      <c r="F77" t="s">
        <v>14</v>
      </c>
      <c r="G77" t="s">
        <v>14</v>
      </c>
      <c r="H77" t="s">
        <v>230</v>
      </c>
      <c r="I77" t="s">
        <v>38</v>
      </c>
    </row>
    <row r="78" spans="3:9">
      <c r="C78" t="s">
        <v>154</v>
      </c>
      <c r="D78" t="s">
        <v>133</v>
      </c>
      <c r="E78" t="s">
        <v>14</v>
      </c>
      <c r="F78" t="s">
        <v>14</v>
      </c>
      <c r="G78" t="s">
        <v>14</v>
      </c>
      <c r="H78" t="s">
        <v>231</v>
      </c>
      <c r="I78" t="s">
        <v>38</v>
      </c>
    </row>
    <row r="79" spans="3:9">
      <c r="C79" t="s">
        <v>155</v>
      </c>
      <c r="D79" t="s">
        <v>141</v>
      </c>
      <c r="E79" t="s">
        <v>14</v>
      </c>
      <c r="F79" t="s">
        <v>14</v>
      </c>
      <c r="G79" t="s">
        <v>14</v>
      </c>
      <c r="H79" t="s">
        <v>232</v>
      </c>
      <c r="I79" t="s">
        <v>38</v>
      </c>
    </row>
    <row r="80" spans="3:9">
      <c r="C80" t="s">
        <v>155</v>
      </c>
      <c r="D80" t="s">
        <v>143</v>
      </c>
      <c r="E80" t="s">
        <v>14</v>
      </c>
      <c r="F80" t="s">
        <v>14</v>
      </c>
      <c r="G80" t="s">
        <v>14</v>
      </c>
      <c r="H80" t="s">
        <v>233</v>
      </c>
      <c r="I80" t="s">
        <v>38</v>
      </c>
    </row>
    <row r="81" spans="3:9">
      <c r="C81" t="s">
        <v>155</v>
      </c>
      <c r="D81" t="s">
        <v>148</v>
      </c>
      <c r="E81" t="s">
        <v>14</v>
      </c>
      <c r="F81" t="s">
        <v>14</v>
      </c>
      <c r="G81" t="s">
        <v>14</v>
      </c>
      <c r="H81" t="s">
        <v>234</v>
      </c>
      <c r="I81" t="s">
        <v>38</v>
      </c>
    </row>
    <row r="82" spans="3:9">
      <c r="C82" t="s">
        <v>155</v>
      </c>
      <c r="D82" t="s">
        <v>116</v>
      </c>
      <c r="E82" t="s">
        <v>14</v>
      </c>
      <c r="F82" t="s">
        <v>14</v>
      </c>
      <c r="G82" t="s">
        <v>14</v>
      </c>
      <c r="H82" t="s">
        <v>235</v>
      </c>
      <c r="I82" t="s">
        <v>38</v>
      </c>
    </row>
    <row r="83" spans="3:9">
      <c r="C83" t="s">
        <v>155</v>
      </c>
      <c r="D83" t="s">
        <v>152</v>
      </c>
      <c r="E83" t="s">
        <v>14</v>
      </c>
      <c r="F83" t="s">
        <v>14</v>
      </c>
      <c r="G83" t="s">
        <v>14</v>
      </c>
      <c r="H83" t="s">
        <v>236</v>
      </c>
      <c r="I83" t="s">
        <v>38</v>
      </c>
    </row>
    <row r="84" spans="3:9">
      <c r="C84" t="s">
        <v>156</v>
      </c>
      <c r="D84" t="s">
        <v>140</v>
      </c>
      <c r="E84" t="s">
        <v>14</v>
      </c>
      <c r="F84" t="s">
        <v>14</v>
      </c>
      <c r="G84" t="s">
        <v>14</v>
      </c>
      <c r="H84" t="s">
        <v>237</v>
      </c>
      <c r="I84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F0E7A-58D6-49A3-8A43-D10973407DD4}">
  <dimension ref="A3:K71"/>
  <sheetViews>
    <sheetView topLeftCell="A34" workbookViewId="0">
      <selection activeCell="A3" sqref="A3:K71"/>
    </sheetView>
  </sheetViews>
  <sheetFormatPr baseColWidth="10" defaultColWidth="8.88671875" defaultRowHeight="14.4"/>
  <cols>
    <col min="2" max="2" width="12.33203125" bestFit="1" customWidth="1"/>
    <col min="3" max="5" width="8.5546875" bestFit="1" customWidth="1"/>
    <col min="6" max="6" width="35" bestFit="1" customWidth="1"/>
    <col min="7" max="7" width="9.5546875" bestFit="1" customWidth="1"/>
    <col min="9" max="9" width="34.88671875" bestFit="1" customWidth="1"/>
    <col min="10" max="10" width="49" bestFit="1" customWidth="1"/>
    <col min="11" max="11" width="2" bestFit="1" customWidth="1"/>
    <col min="12" max="12" width="12.33203125" bestFit="1" customWidth="1"/>
  </cols>
  <sheetData>
    <row r="3" spans="1:11">
      <c r="A3" t="s">
        <v>30</v>
      </c>
      <c r="J3" t="s">
        <v>44</v>
      </c>
    </row>
    <row r="4" spans="1:11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J4" t="s">
        <v>41</v>
      </c>
      <c r="K4" t="s">
        <v>42</v>
      </c>
    </row>
    <row r="5" spans="1:11">
      <c r="A5" t="s">
        <v>148</v>
      </c>
      <c r="B5" t="s">
        <v>147</v>
      </c>
      <c r="C5" t="s">
        <v>43</v>
      </c>
      <c r="D5" t="s">
        <v>43</v>
      </c>
      <c r="E5" t="s">
        <v>43</v>
      </c>
      <c r="F5" t="s">
        <v>238</v>
      </c>
      <c r="G5" t="s">
        <v>38</v>
      </c>
      <c r="J5" t="s">
        <v>238</v>
      </c>
      <c r="K5" t="s">
        <v>239</v>
      </c>
    </row>
    <row r="6" spans="1:11">
      <c r="A6" t="s">
        <v>132</v>
      </c>
      <c r="B6" t="s">
        <v>151</v>
      </c>
      <c r="C6" t="s">
        <v>43</v>
      </c>
      <c r="D6" t="s">
        <v>43</v>
      </c>
      <c r="E6" t="s">
        <v>43</v>
      </c>
      <c r="F6" t="s">
        <v>240</v>
      </c>
      <c r="G6" t="s">
        <v>38</v>
      </c>
      <c r="J6" t="s">
        <v>240</v>
      </c>
      <c r="K6" t="s">
        <v>241</v>
      </c>
    </row>
    <row r="7" spans="1:11">
      <c r="A7" t="s">
        <v>151</v>
      </c>
      <c r="B7" t="s">
        <v>132</v>
      </c>
      <c r="C7" t="s">
        <v>43</v>
      </c>
      <c r="D7" t="s">
        <v>43</v>
      </c>
      <c r="E7" t="s">
        <v>43</v>
      </c>
      <c r="F7" t="s">
        <v>242</v>
      </c>
      <c r="G7" t="s">
        <v>38</v>
      </c>
      <c r="J7" t="s">
        <v>242</v>
      </c>
      <c r="K7" t="s">
        <v>243</v>
      </c>
    </row>
    <row r="8" spans="1:11">
      <c r="A8" t="s">
        <v>142</v>
      </c>
      <c r="B8" t="s">
        <v>145</v>
      </c>
      <c r="C8" t="s">
        <v>43</v>
      </c>
      <c r="D8" t="s">
        <v>43</v>
      </c>
      <c r="E8" t="s">
        <v>43</v>
      </c>
      <c r="F8" t="s">
        <v>244</v>
      </c>
      <c r="G8" t="s">
        <v>38</v>
      </c>
      <c r="J8" t="s">
        <v>244</v>
      </c>
      <c r="K8" t="s">
        <v>245</v>
      </c>
    </row>
    <row r="9" spans="1:11">
      <c r="A9" t="s">
        <v>143</v>
      </c>
      <c r="B9" t="s">
        <v>155</v>
      </c>
      <c r="C9" t="s">
        <v>43</v>
      </c>
      <c r="D9" t="s">
        <v>43</v>
      </c>
      <c r="E9" t="s">
        <v>43</v>
      </c>
      <c r="F9" t="s">
        <v>246</v>
      </c>
      <c r="G9" t="s">
        <v>38</v>
      </c>
      <c r="J9" t="s">
        <v>246</v>
      </c>
      <c r="K9" t="s">
        <v>247</v>
      </c>
    </row>
    <row r="10" spans="1:11">
      <c r="A10" t="s">
        <v>152</v>
      </c>
      <c r="B10" t="s">
        <v>141</v>
      </c>
      <c r="C10" t="s">
        <v>43</v>
      </c>
      <c r="D10" t="s">
        <v>43</v>
      </c>
      <c r="E10" t="s">
        <v>43</v>
      </c>
      <c r="F10" t="s">
        <v>248</v>
      </c>
      <c r="G10" t="s">
        <v>38</v>
      </c>
      <c r="J10" t="s">
        <v>248</v>
      </c>
      <c r="K10" t="s">
        <v>53</v>
      </c>
    </row>
    <row r="11" spans="1:11">
      <c r="A11" t="s">
        <v>141</v>
      </c>
      <c r="B11" t="s">
        <v>142</v>
      </c>
      <c r="C11" t="s">
        <v>43</v>
      </c>
      <c r="D11" t="s">
        <v>43</v>
      </c>
      <c r="E11" t="s">
        <v>43</v>
      </c>
      <c r="F11" t="s">
        <v>249</v>
      </c>
      <c r="G11" t="s">
        <v>38</v>
      </c>
      <c r="J11" t="s">
        <v>249</v>
      </c>
      <c r="K11" t="s">
        <v>250</v>
      </c>
    </row>
    <row r="12" spans="1:11">
      <c r="A12" t="s">
        <v>140</v>
      </c>
      <c r="B12" t="s">
        <v>156</v>
      </c>
      <c r="C12" t="s">
        <v>43</v>
      </c>
      <c r="D12" t="s">
        <v>43</v>
      </c>
      <c r="E12" t="s">
        <v>43</v>
      </c>
      <c r="F12" t="s">
        <v>251</v>
      </c>
      <c r="G12" t="s">
        <v>38</v>
      </c>
      <c r="J12" t="s">
        <v>251</v>
      </c>
      <c r="K12" t="s">
        <v>252</v>
      </c>
    </row>
    <row r="13" spans="1:11">
      <c r="A13" t="s">
        <v>135</v>
      </c>
      <c r="B13" t="s">
        <v>29</v>
      </c>
      <c r="C13" t="s">
        <v>43</v>
      </c>
      <c r="D13" t="s">
        <v>43</v>
      </c>
      <c r="E13" t="s">
        <v>43</v>
      </c>
      <c r="F13" t="s">
        <v>253</v>
      </c>
      <c r="G13" t="s">
        <v>38</v>
      </c>
      <c r="J13" t="s">
        <v>253</v>
      </c>
      <c r="K13" t="s">
        <v>254</v>
      </c>
    </row>
    <row r="14" spans="1:11">
      <c r="A14" t="s">
        <v>135</v>
      </c>
      <c r="B14" t="s">
        <v>27</v>
      </c>
      <c r="C14" t="s">
        <v>43</v>
      </c>
      <c r="D14" t="s">
        <v>43</v>
      </c>
      <c r="E14" t="s">
        <v>43</v>
      </c>
      <c r="F14" t="s">
        <v>255</v>
      </c>
      <c r="G14" t="s">
        <v>38</v>
      </c>
      <c r="J14" t="s">
        <v>255</v>
      </c>
      <c r="K14" t="s">
        <v>45</v>
      </c>
    </row>
    <row r="15" spans="1:11">
      <c r="A15" t="s">
        <v>148</v>
      </c>
      <c r="B15" t="s">
        <v>143</v>
      </c>
      <c r="C15" t="s">
        <v>43</v>
      </c>
      <c r="D15" t="s">
        <v>43</v>
      </c>
      <c r="E15" t="s">
        <v>43</v>
      </c>
      <c r="F15" t="s">
        <v>256</v>
      </c>
      <c r="G15" t="s">
        <v>38</v>
      </c>
      <c r="J15" t="s">
        <v>256</v>
      </c>
      <c r="K15" t="s">
        <v>257</v>
      </c>
    </row>
    <row r="16" spans="1:11">
      <c r="A16" t="s">
        <v>152</v>
      </c>
      <c r="B16" t="s">
        <v>148</v>
      </c>
      <c r="C16" t="s">
        <v>43</v>
      </c>
      <c r="D16" t="s">
        <v>43</v>
      </c>
      <c r="E16" t="s">
        <v>43</v>
      </c>
      <c r="F16" t="s">
        <v>258</v>
      </c>
      <c r="G16" t="s">
        <v>38</v>
      </c>
      <c r="J16" t="s">
        <v>258</v>
      </c>
      <c r="K16" t="s">
        <v>259</v>
      </c>
    </row>
    <row r="17" spans="1:11">
      <c r="A17" t="s">
        <v>144</v>
      </c>
      <c r="B17" t="s">
        <v>145</v>
      </c>
      <c r="C17" t="s">
        <v>43</v>
      </c>
      <c r="D17" t="s">
        <v>43</v>
      </c>
      <c r="E17" t="s">
        <v>43</v>
      </c>
      <c r="F17" t="s">
        <v>260</v>
      </c>
      <c r="G17" t="s">
        <v>38</v>
      </c>
      <c r="J17" t="s">
        <v>260</v>
      </c>
      <c r="K17" t="s">
        <v>119</v>
      </c>
    </row>
    <row r="18" spans="1:11">
      <c r="A18" t="s">
        <v>149</v>
      </c>
      <c r="B18" t="s">
        <v>139</v>
      </c>
      <c r="C18" t="s">
        <v>43</v>
      </c>
      <c r="D18" t="s">
        <v>43</v>
      </c>
      <c r="E18" t="s">
        <v>43</v>
      </c>
      <c r="F18" t="s">
        <v>261</v>
      </c>
      <c r="G18" t="s">
        <v>38</v>
      </c>
      <c r="J18" t="s">
        <v>261</v>
      </c>
      <c r="K18" t="s">
        <v>262</v>
      </c>
    </row>
    <row r="19" spans="1:11">
      <c r="A19" t="s">
        <v>134</v>
      </c>
      <c r="B19" t="s">
        <v>149</v>
      </c>
      <c r="C19" t="s">
        <v>43</v>
      </c>
      <c r="D19" t="s">
        <v>43</v>
      </c>
      <c r="E19" t="s">
        <v>43</v>
      </c>
      <c r="F19" t="s">
        <v>263</v>
      </c>
      <c r="G19" t="s">
        <v>38</v>
      </c>
      <c r="J19" t="s">
        <v>263</v>
      </c>
      <c r="K19" t="s">
        <v>264</v>
      </c>
    </row>
    <row r="20" spans="1:11">
      <c r="A20" t="s">
        <v>142</v>
      </c>
      <c r="B20" t="s">
        <v>116</v>
      </c>
      <c r="C20" t="s">
        <v>43</v>
      </c>
      <c r="D20" t="s">
        <v>43</v>
      </c>
      <c r="E20" t="s">
        <v>43</v>
      </c>
      <c r="F20" t="s">
        <v>265</v>
      </c>
      <c r="G20" t="s">
        <v>38</v>
      </c>
      <c r="J20" t="s">
        <v>265</v>
      </c>
      <c r="K20" t="s">
        <v>117</v>
      </c>
    </row>
    <row r="21" spans="1:11">
      <c r="A21" t="s">
        <v>132</v>
      </c>
      <c r="B21" t="s">
        <v>144</v>
      </c>
      <c r="C21" t="s">
        <v>43</v>
      </c>
      <c r="D21" t="s">
        <v>43</v>
      </c>
      <c r="E21" t="s">
        <v>43</v>
      </c>
      <c r="F21" t="s">
        <v>266</v>
      </c>
      <c r="G21" t="s">
        <v>38</v>
      </c>
      <c r="J21" t="s">
        <v>266</v>
      </c>
      <c r="K21" t="s">
        <v>267</v>
      </c>
    </row>
    <row r="22" spans="1:11">
      <c r="A22" t="s">
        <v>135</v>
      </c>
      <c r="B22" t="s">
        <v>151</v>
      </c>
      <c r="C22" t="s">
        <v>43</v>
      </c>
      <c r="D22" t="s">
        <v>43</v>
      </c>
      <c r="E22" t="s">
        <v>43</v>
      </c>
      <c r="F22" t="s">
        <v>268</v>
      </c>
      <c r="G22" t="s">
        <v>38</v>
      </c>
      <c r="J22" t="s">
        <v>268</v>
      </c>
      <c r="K22" t="s">
        <v>269</v>
      </c>
    </row>
    <row r="23" spans="1:11">
      <c r="A23" t="s">
        <v>151</v>
      </c>
      <c r="B23" t="s">
        <v>135</v>
      </c>
      <c r="C23" t="s">
        <v>43</v>
      </c>
      <c r="D23" t="s">
        <v>43</v>
      </c>
      <c r="E23" t="s">
        <v>43</v>
      </c>
      <c r="F23" t="s">
        <v>270</v>
      </c>
      <c r="G23" t="s">
        <v>38</v>
      </c>
      <c r="J23" t="s">
        <v>270</v>
      </c>
      <c r="K23" t="s">
        <v>46</v>
      </c>
    </row>
    <row r="24" spans="1:11">
      <c r="A24" t="s">
        <v>146</v>
      </c>
      <c r="B24" t="s">
        <v>148</v>
      </c>
      <c r="C24" t="s">
        <v>43</v>
      </c>
      <c r="D24" t="s">
        <v>43</v>
      </c>
      <c r="E24" t="s">
        <v>43</v>
      </c>
      <c r="F24" t="s">
        <v>271</v>
      </c>
      <c r="G24" t="s">
        <v>38</v>
      </c>
      <c r="J24" t="s">
        <v>271</v>
      </c>
      <c r="K24" t="s">
        <v>47</v>
      </c>
    </row>
    <row r="25" spans="1:11">
      <c r="A25" t="s">
        <v>147</v>
      </c>
      <c r="B25" t="s">
        <v>142</v>
      </c>
      <c r="C25" t="s">
        <v>43</v>
      </c>
      <c r="D25" t="s">
        <v>43</v>
      </c>
      <c r="E25" t="s">
        <v>43</v>
      </c>
      <c r="F25" t="s">
        <v>272</v>
      </c>
      <c r="G25" t="s">
        <v>38</v>
      </c>
      <c r="J25" t="s">
        <v>272</v>
      </c>
      <c r="K25" t="s">
        <v>273</v>
      </c>
    </row>
    <row r="26" spans="1:11">
      <c r="A26" t="s">
        <v>142</v>
      </c>
      <c r="B26" t="s">
        <v>29</v>
      </c>
      <c r="C26" t="s">
        <v>43</v>
      </c>
      <c r="D26" t="s">
        <v>43</v>
      </c>
      <c r="E26" t="s">
        <v>43</v>
      </c>
      <c r="F26" t="s">
        <v>274</v>
      </c>
      <c r="G26" t="s">
        <v>38</v>
      </c>
      <c r="J26" t="s">
        <v>274</v>
      </c>
      <c r="K26" t="s">
        <v>120</v>
      </c>
    </row>
    <row r="27" spans="1:11">
      <c r="A27" t="s">
        <v>148</v>
      </c>
      <c r="B27" t="s">
        <v>146</v>
      </c>
      <c r="C27" t="s">
        <v>43</v>
      </c>
      <c r="D27" t="s">
        <v>43</v>
      </c>
      <c r="E27" t="s">
        <v>43</v>
      </c>
      <c r="F27" t="s">
        <v>275</v>
      </c>
      <c r="G27" t="s">
        <v>38</v>
      </c>
      <c r="J27" t="s">
        <v>275</v>
      </c>
      <c r="K27" t="s">
        <v>48</v>
      </c>
    </row>
    <row r="28" spans="1:11">
      <c r="A28" t="s">
        <v>132</v>
      </c>
      <c r="B28" t="s">
        <v>146</v>
      </c>
      <c r="C28" t="s">
        <v>43</v>
      </c>
      <c r="D28" t="s">
        <v>43</v>
      </c>
      <c r="E28" t="s">
        <v>43</v>
      </c>
      <c r="F28" t="s">
        <v>276</v>
      </c>
      <c r="G28" t="s">
        <v>38</v>
      </c>
      <c r="J28" t="s">
        <v>276</v>
      </c>
      <c r="K28" t="s">
        <v>277</v>
      </c>
    </row>
    <row r="29" spans="1:11">
      <c r="A29" t="s">
        <v>116</v>
      </c>
      <c r="B29" t="s">
        <v>148</v>
      </c>
      <c r="C29" t="s">
        <v>43</v>
      </c>
      <c r="D29" t="s">
        <v>43</v>
      </c>
      <c r="E29" t="s">
        <v>43</v>
      </c>
      <c r="F29" t="s">
        <v>278</v>
      </c>
      <c r="G29" t="s">
        <v>38</v>
      </c>
      <c r="J29" t="s">
        <v>278</v>
      </c>
      <c r="K29" t="s">
        <v>279</v>
      </c>
    </row>
    <row r="30" spans="1:11">
      <c r="A30" t="s">
        <v>156</v>
      </c>
      <c r="B30" t="s">
        <v>150</v>
      </c>
      <c r="C30" t="s">
        <v>43</v>
      </c>
      <c r="D30" t="s">
        <v>43</v>
      </c>
      <c r="E30" t="s">
        <v>43</v>
      </c>
      <c r="F30" t="s">
        <v>280</v>
      </c>
      <c r="G30" t="s">
        <v>38</v>
      </c>
      <c r="J30" t="s">
        <v>280</v>
      </c>
      <c r="K30" t="s">
        <v>281</v>
      </c>
    </row>
    <row r="31" spans="1:11">
      <c r="A31" t="s">
        <v>147</v>
      </c>
      <c r="B31" t="s">
        <v>29</v>
      </c>
      <c r="C31" t="s">
        <v>43</v>
      </c>
      <c r="D31" t="s">
        <v>43</v>
      </c>
      <c r="E31" t="s">
        <v>43</v>
      </c>
      <c r="F31" t="s">
        <v>282</v>
      </c>
      <c r="G31" t="s">
        <v>38</v>
      </c>
      <c r="J31" t="s">
        <v>282</v>
      </c>
      <c r="K31" t="s">
        <v>283</v>
      </c>
    </row>
    <row r="32" spans="1:11">
      <c r="A32" t="s">
        <v>133</v>
      </c>
      <c r="B32" t="s">
        <v>154</v>
      </c>
      <c r="C32" t="s">
        <v>43</v>
      </c>
      <c r="D32" t="s">
        <v>43</v>
      </c>
      <c r="E32" t="s">
        <v>43</v>
      </c>
      <c r="F32" t="s">
        <v>284</v>
      </c>
      <c r="G32" t="s">
        <v>38</v>
      </c>
      <c r="J32" t="s">
        <v>284</v>
      </c>
      <c r="K32" t="s">
        <v>285</v>
      </c>
    </row>
    <row r="33" spans="1:11">
      <c r="A33" t="s">
        <v>141</v>
      </c>
      <c r="B33" t="s">
        <v>143</v>
      </c>
      <c r="C33" t="s">
        <v>43</v>
      </c>
      <c r="D33" t="s">
        <v>43</v>
      </c>
      <c r="E33" t="s">
        <v>43</v>
      </c>
      <c r="F33" t="s">
        <v>286</v>
      </c>
      <c r="G33" t="s">
        <v>38</v>
      </c>
      <c r="J33" t="s">
        <v>286</v>
      </c>
      <c r="K33" t="s">
        <v>287</v>
      </c>
    </row>
    <row r="34" spans="1:11">
      <c r="A34" t="s">
        <v>152</v>
      </c>
      <c r="B34" t="s">
        <v>116</v>
      </c>
      <c r="C34" t="s">
        <v>43</v>
      </c>
      <c r="D34" t="s">
        <v>43</v>
      </c>
      <c r="E34" t="s">
        <v>43</v>
      </c>
      <c r="F34" t="s">
        <v>288</v>
      </c>
      <c r="G34" t="s">
        <v>38</v>
      </c>
      <c r="J34" t="s">
        <v>288</v>
      </c>
      <c r="K34" t="s">
        <v>121</v>
      </c>
    </row>
    <row r="35" spans="1:11">
      <c r="A35" t="s">
        <v>29</v>
      </c>
      <c r="B35" t="s">
        <v>135</v>
      </c>
      <c r="C35" t="s">
        <v>43</v>
      </c>
      <c r="D35" t="s">
        <v>43</v>
      </c>
      <c r="E35" t="s">
        <v>43</v>
      </c>
      <c r="F35" t="s">
        <v>289</v>
      </c>
      <c r="G35" t="s">
        <v>38</v>
      </c>
      <c r="J35" t="s">
        <v>289</v>
      </c>
      <c r="K35" t="s">
        <v>290</v>
      </c>
    </row>
    <row r="36" spans="1:11">
      <c r="A36" t="s">
        <v>155</v>
      </c>
      <c r="B36" t="s">
        <v>152</v>
      </c>
      <c r="C36" t="s">
        <v>43</v>
      </c>
      <c r="D36" t="s">
        <v>43</v>
      </c>
      <c r="E36" t="s">
        <v>43</v>
      </c>
      <c r="F36" t="s">
        <v>291</v>
      </c>
      <c r="G36" t="s">
        <v>38</v>
      </c>
      <c r="J36" t="s">
        <v>291</v>
      </c>
      <c r="K36" t="s">
        <v>292</v>
      </c>
    </row>
    <row r="37" spans="1:11">
      <c r="A37" t="s">
        <v>134</v>
      </c>
      <c r="B37" t="s">
        <v>139</v>
      </c>
      <c r="C37" t="s">
        <v>43</v>
      </c>
      <c r="D37" t="s">
        <v>43</v>
      </c>
      <c r="E37" t="s">
        <v>43</v>
      </c>
      <c r="F37" t="s">
        <v>293</v>
      </c>
      <c r="G37" t="s">
        <v>38</v>
      </c>
      <c r="J37" t="s">
        <v>293</v>
      </c>
      <c r="K37" t="s">
        <v>294</v>
      </c>
    </row>
    <row r="38" spans="1:11">
      <c r="A38" t="s">
        <v>143</v>
      </c>
      <c r="B38" t="s">
        <v>148</v>
      </c>
      <c r="C38" t="s">
        <v>43</v>
      </c>
      <c r="D38" t="s">
        <v>43</v>
      </c>
      <c r="E38" t="s">
        <v>43</v>
      </c>
      <c r="F38" t="s">
        <v>295</v>
      </c>
      <c r="G38" t="s">
        <v>38</v>
      </c>
      <c r="J38" t="s">
        <v>295</v>
      </c>
      <c r="K38" t="s">
        <v>296</v>
      </c>
    </row>
    <row r="39" spans="1:11">
      <c r="A39" t="s">
        <v>143</v>
      </c>
      <c r="B39" t="s">
        <v>116</v>
      </c>
      <c r="C39" t="s">
        <v>43</v>
      </c>
      <c r="D39" t="s">
        <v>43</v>
      </c>
      <c r="E39" t="s">
        <v>43</v>
      </c>
      <c r="F39" t="s">
        <v>297</v>
      </c>
      <c r="G39" t="s">
        <v>38</v>
      </c>
      <c r="J39" t="s">
        <v>297</v>
      </c>
      <c r="K39" t="s">
        <v>122</v>
      </c>
    </row>
    <row r="40" spans="1:11">
      <c r="A40" t="s">
        <v>145</v>
      </c>
      <c r="B40" t="s">
        <v>144</v>
      </c>
      <c r="C40" t="s">
        <v>43</v>
      </c>
      <c r="D40" t="s">
        <v>43</v>
      </c>
      <c r="E40" t="s">
        <v>43</v>
      </c>
      <c r="F40" t="s">
        <v>298</v>
      </c>
      <c r="G40" t="s">
        <v>38</v>
      </c>
      <c r="J40" t="s">
        <v>298</v>
      </c>
      <c r="K40" t="s">
        <v>123</v>
      </c>
    </row>
    <row r="41" spans="1:11">
      <c r="A41" t="s">
        <v>145</v>
      </c>
      <c r="B41" t="s">
        <v>147</v>
      </c>
      <c r="C41" t="s">
        <v>43</v>
      </c>
      <c r="D41" t="s">
        <v>43</v>
      </c>
      <c r="E41" t="s">
        <v>43</v>
      </c>
      <c r="F41" t="s">
        <v>299</v>
      </c>
      <c r="G41" t="s">
        <v>38</v>
      </c>
      <c r="J41" t="s">
        <v>299</v>
      </c>
      <c r="K41" t="s">
        <v>300</v>
      </c>
    </row>
    <row r="42" spans="1:11">
      <c r="A42" t="s">
        <v>29</v>
      </c>
      <c r="B42" t="s">
        <v>147</v>
      </c>
      <c r="C42" t="s">
        <v>43</v>
      </c>
      <c r="D42" t="s">
        <v>43</v>
      </c>
      <c r="E42" t="s">
        <v>43</v>
      </c>
      <c r="F42" t="s">
        <v>301</v>
      </c>
      <c r="G42" t="s">
        <v>38</v>
      </c>
      <c r="J42" t="s">
        <v>301</v>
      </c>
      <c r="K42" t="s">
        <v>302</v>
      </c>
    </row>
    <row r="43" spans="1:11">
      <c r="A43" t="s">
        <v>137</v>
      </c>
      <c r="B43" t="s">
        <v>27</v>
      </c>
      <c r="C43" t="s">
        <v>43</v>
      </c>
      <c r="D43" t="s">
        <v>43</v>
      </c>
      <c r="E43" t="s">
        <v>43</v>
      </c>
      <c r="F43" t="s">
        <v>303</v>
      </c>
      <c r="G43" t="s">
        <v>38</v>
      </c>
      <c r="J43" t="s">
        <v>303</v>
      </c>
      <c r="K43" t="s">
        <v>49</v>
      </c>
    </row>
    <row r="44" spans="1:11">
      <c r="A44" t="s">
        <v>135</v>
      </c>
      <c r="B44" t="s">
        <v>147</v>
      </c>
      <c r="C44" t="s">
        <v>43</v>
      </c>
      <c r="D44" t="s">
        <v>43</v>
      </c>
      <c r="E44" t="s">
        <v>43</v>
      </c>
      <c r="F44" t="s">
        <v>304</v>
      </c>
      <c r="G44" t="s">
        <v>38</v>
      </c>
      <c r="J44" t="s">
        <v>304</v>
      </c>
      <c r="K44" t="s">
        <v>124</v>
      </c>
    </row>
    <row r="45" spans="1:11">
      <c r="A45" t="s">
        <v>151</v>
      </c>
      <c r="B45" t="s">
        <v>147</v>
      </c>
      <c r="C45" t="s">
        <v>43</v>
      </c>
      <c r="D45" t="s">
        <v>43</v>
      </c>
      <c r="E45" t="s">
        <v>43</v>
      </c>
      <c r="F45" t="s">
        <v>305</v>
      </c>
      <c r="G45" t="s">
        <v>38</v>
      </c>
      <c r="J45" t="s">
        <v>305</v>
      </c>
      <c r="K45" t="s">
        <v>50</v>
      </c>
    </row>
    <row r="46" spans="1:11">
      <c r="A46" t="s">
        <v>116</v>
      </c>
      <c r="B46" t="s">
        <v>147</v>
      </c>
      <c r="C46" t="s">
        <v>43</v>
      </c>
      <c r="D46" t="s">
        <v>43</v>
      </c>
      <c r="E46" t="s">
        <v>43</v>
      </c>
      <c r="F46" t="s">
        <v>306</v>
      </c>
      <c r="G46" t="s">
        <v>38</v>
      </c>
      <c r="J46" t="s">
        <v>306</v>
      </c>
      <c r="K46" t="s">
        <v>307</v>
      </c>
    </row>
    <row r="47" spans="1:11">
      <c r="A47" t="s">
        <v>144</v>
      </c>
      <c r="B47" t="s">
        <v>147</v>
      </c>
      <c r="C47" t="s">
        <v>43</v>
      </c>
      <c r="D47" t="s">
        <v>43</v>
      </c>
      <c r="E47" t="s">
        <v>43</v>
      </c>
      <c r="F47" t="s">
        <v>308</v>
      </c>
      <c r="G47" t="s">
        <v>38</v>
      </c>
      <c r="J47" t="s">
        <v>308</v>
      </c>
      <c r="K47" t="s">
        <v>309</v>
      </c>
    </row>
    <row r="48" spans="1:11">
      <c r="A48" t="s">
        <v>135</v>
      </c>
      <c r="B48" t="s">
        <v>144</v>
      </c>
      <c r="C48" t="s">
        <v>43</v>
      </c>
      <c r="D48" t="s">
        <v>43</v>
      </c>
      <c r="E48" t="s">
        <v>43</v>
      </c>
      <c r="F48" t="s">
        <v>310</v>
      </c>
      <c r="G48" t="s">
        <v>38</v>
      </c>
      <c r="J48" t="s">
        <v>310</v>
      </c>
      <c r="K48" t="s">
        <v>125</v>
      </c>
    </row>
    <row r="49" spans="1:11">
      <c r="A49" t="s">
        <v>147</v>
      </c>
      <c r="B49" t="s">
        <v>145</v>
      </c>
      <c r="C49" t="s">
        <v>43</v>
      </c>
      <c r="D49" t="s">
        <v>43</v>
      </c>
      <c r="E49" t="s">
        <v>43</v>
      </c>
      <c r="F49" t="s">
        <v>311</v>
      </c>
      <c r="G49" t="s">
        <v>38</v>
      </c>
      <c r="J49" t="s">
        <v>311</v>
      </c>
      <c r="K49" t="s">
        <v>312</v>
      </c>
    </row>
    <row r="50" spans="1:11">
      <c r="A50" t="s">
        <v>147</v>
      </c>
      <c r="B50" t="s">
        <v>148</v>
      </c>
      <c r="C50" t="s">
        <v>43</v>
      </c>
      <c r="D50" t="s">
        <v>43</v>
      </c>
      <c r="E50" t="s">
        <v>43</v>
      </c>
      <c r="F50" t="s">
        <v>313</v>
      </c>
      <c r="G50" t="s">
        <v>38</v>
      </c>
      <c r="J50" t="s">
        <v>313</v>
      </c>
      <c r="K50" t="s">
        <v>314</v>
      </c>
    </row>
    <row r="51" spans="1:11">
      <c r="A51" t="s">
        <v>147</v>
      </c>
      <c r="B51" t="s">
        <v>144</v>
      </c>
      <c r="C51" t="s">
        <v>43</v>
      </c>
      <c r="D51" t="s">
        <v>43</v>
      </c>
      <c r="E51" t="s">
        <v>43</v>
      </c>
      <c r="F51" t="s">
        <v>315</v>
      </c>
      <c r="G51" t="s">
        <v>38</v>
      </c>
      <c r="J51" t="s">
        <v>315</v>
      </c>
      <c r="K51" t="s">
        <v>316</v>
      </c>
    </row>
    <row r="52" spans="1:11">
      <c r="A52" t="s">
        <v>29</v>
      </c>
      <c r="B52" t="s">
        <v>145</v>
      </c>
      <c r="C52" t="s">
        <v>43</v>
      </c>
      <c r="D52" t="s">
        <v>43</v>
      </c>
      <c r="E52" t="s">
        <v>43</v>
      </c>
      <c r="F52" t="s">
        <v>317</v>
      </c>
      <c r="G52" t="s">
        <v>38</v>
      </c>
      <c r="J52" t="s">
        <v>317</v>
      </c>
      <c r="K52" t="s">
        <v>51</v>
      </c>
    </row>
    <row r="53" spans="1:11">
      <c r="A53" t="s">
        <v>29</v>
      </c>
      <c r="B53" t="s">
        <v>142</v>
      </c>
      <c r="C53" t="s">
        <v>43</v>
      </c>
      <c r="D53" t="s">
        <v>43</v>
      </c>
      <c r="E53" t="s">
        <v>43</v>
      </c>
      <c r="F53" t="s">
        <v>318</v>
      </c>
      <c r="G53" t="s">
        <v>38</v>
      </c>
      <c r="J53" t="s">
        <v>318</v>
      </c>
      <c r="K53" t="s">
        <v>118</v>
      </c>
    </row>
    <row r="54" spans="1:11">
      <c r="A54" t="s">
        <v>156</v>
      </c>
      <c r="B54" t="s">
        <v>140</v>
      </c>
      <c r="C54" t="s">
        <v>43</v>
      </c>
      <c r="D54" t="s">
        <v>43</v>
      </c>
      <c r="E54" t="s">
        <v>43</v>
      </c>
      <c r="F54" t="s">
        <v>319</v>
      </c>
      <c r="G54" t="s">
        <v>38</v>
      </c>
      <c r="J54" t="s">
        <v>319</v>
      </c>
      <c r="K54" t="s">
        <v>320</v>
      </c>
    </row>
    <row r="55" spans="1:11">
      <c r="A55" t="s">
        <v>152</v>
      </c>
      <c r="B55" t="s">
        <v>155</v>
      </c>
      <c r="C55" t="s">
        <v>43</v>
      </c>
      <c r="D55" t="s">
        <v>43</v>
      </c>
      <c r="E55" t="s">
        <v>43</v>
      </c>
      <c r="F55" t="s">
        <v>321</v>
      </c>
      <c r="G55" t="s">
        <v>38</v>
      </c>
      <c r="J55" t="s">
        <v>321</v>
      </c>
      <c r="K55" t="s">
        <v>322</v>
      </c>
    </row>
    <row r="56" spans="1:11">
      <c r="A56" t="s">
        <v>142</v>
      </c>
      <c r="B56" t="s">
        <v>147</v>
      </c>
      <c r="C56" t="s">
        <v>43</v>
      </c>
      <c r="D56" t="s">
        <v>43</v>
      </c>
      <c r="E56" t="s">
        <v>43</v>
      </c>
      <c r="F56" t="s">
        <v>323</v>
      </c>
      <c r="G56" t="s">
        <v>38</v>
      </c>
      <c r="J56" t="s">
        <v>323</v>
      </c>
      <c r="K56" t="s">
        <v>324</v>
      </c>
    </row>
    <row r="57" spans="1:11">
      <c r="A57" t="s">
        <v>116</v>
      </c>
      <c r="B57" t="s">
        <v>143</v>
      </c>
      <c r="C57" t="s">
        <v>43</v>
      </c>
      <c r="D57" t="s">
        <v>43</v>
      </c>
      <c r="E57" t="s">
        <v>43</v>
      </c>
      <c r="F57" t="s">
        <v>325</v>
      </c>
      <c r="G57" t="s">
        <v>38</v>
      </c>
      <c r="J57" t="s">
        <v>325</v>
      </c>
      <c r="K57" t="s">
        <v>326</v>
      </c>
    </row>
    <row r="58" spans="1:11">
      <c r="A58" t="s">
        <v>149</v>
      </c>
      <c r="B58" t="s">
        <v>134</v>
      </c>
      <c r="C58" t="s">
        <v>43</v>
      </c>
      <c r="D58" t="s">
        <v>43</v>
      </c>
      <c r="E58" t="s">
        <v>43</v>
      </c>
      <c r="F58" t="s">
        <v>327</v>
      </c>
      <c r="G58" t="s">
        <v>38</v>
      </c>
      <c r="J58" t="s">
        <v>327</v>
      </c>
      <c r="K58" t="s">
        <v>328</v>
      </c>
    </row>
    <row r="59" spans="1:11">
      <c r="A59" t="s">
        <v>142</v>
      </c>
      <c r="B59" t="s">
        <v>116</v>
      </c>
      <c r="C59" t="s">
        <v>43</v>
      </c>
      <c r="D59" t="s">
        <v>43</v>
      </c>
      <c r="E59" t="s">
        <v>43</v>
      </c>
      <c r="F59" t="s">
        <v>265</v>
      </c>
      <c r="G59" t="s">
        <v>38</v>
      </c>
      <c r="J59" t="s">
        <v>265</v>
      </c>
      <c r="K59" t="s">
        <v>52</v>
      </c>
    </row>
    <row r="60" spans="1:11">
      <c r="A60" t="s">
        <v>147</v>
      </c>
      <c r="B60" t="s">
        <v>142</v>
      </c>
      <c r="C60" t="s">
        <v>43</v>
      </c>
      <c r="D60" t="s">
        <v>43</v>
      </c>
      <c r="E60" t="s">
        <v>43</v>
      </c>
      <c r="F60" t="s">
        <v>272</v>
      </c>
      <c r="G60" t="s">
        <v>38</v>
      </c>
      <c r="J60" t="s">
        <v>272</v>
      </c>
      <c r="K60" t="s">
        <v>52</v>
      </c>
    </row>
    <row r="61" spans="1:11">
      <c r="A61" t="s">
        <v>29</v>
      </c>
      <c r="B61" t="s">
        <v>147</v>
      </c>
      <c r="C61" t="s">
        <v>43</v>
      </c>
      <c r="D61" t="s">
        <v>43</v>
      </c>
      <c r="E61" t="s">
        <v>43</v>
      </c>
      <c r="F61" t="s">
        <v>301</v>
      </c>
      <c r="G61" t="s">
        <v>38</v>
      </c>
      <c r="J61" t="s">
        <v>301</v>
      </c>
      <c r="K61" t="s">
        <v>52</v>
      </c>
    </row>
    <row r="62" spans="1:11">
      <c r="A62" t="s">
        <v>116</v>
      </c>
      <c r="B62" t="s">
        <v>142</v>
      </c>
      <c r="C62" t="s">
        <v>43</v>
      </c>
      <c r="D62" t="s">
        <v>43</v>
      </c>
      <c r="E62" t="s">
        <v>43</v>
      </c>
      <c r="F62" t="s">
        <v>329</v>
      </c>
      <c r="G62" t="s">
        <v>38</v>
      </c>
      <c r="J62" t="s">
        <v>329</v>
      </c>
      <c r="K62" t="s">
        <v>129</v>
      </c>
    </row>
    <row r="63" spans="1:11">
      <c r="A63" t="s">
        <v>155</v>
      </c>
      <c r="B63" t="s">
        <v>143</v>
      </c>
      <c r="C63" t="s">
        <v>43</v>
      </c>
      <c r="D63" t="s">
        <v>43</v>
      </c>
      <c r="E63" t="s">
        <v>43</v>
      </c>
      <c r="F63" t="s">
        <v>330</v>
      </c>
      <c r="G63" t="s">
        <v>38</v>
      </c>
      <c r="J63" t="s">
        <v>330</v>
      </c>
      <c r="K63" t="s">
        <v>331</v>
      </c>
    </row>
    <row r="64" spans="1:11">
      <c r="A64" t="s">
        <v>152</v>
      </c>
      <c r="B64" t="s">
        <v>143</v>
      </c>
      <c r="C64" t="s">
        <v>43</v>
      </c>
      <c r="D64" t="s">
        <v>43</v>
      </c>
      <c r="E64" t="s">
        <v>43</v>
      </c>
      <c r="F64" t="s">
        <v>332</v>
      </c>
      <c r="G64" t="s">
        <v>38</v>
      </c>
      <c r="J64" t="s">
        <v>332</v>
      </c>
      <c r="K64" t="s">
        <v>333</v>
      </c>
    </row>
    <row r="65" spans="1:11">
      <c r="A65" t="s">
        <v>29</v>
      </c>
      <c r="B65" t="s">
        <v>116</v>
      </c>
      <c r="C65" t="s">
        <v>43</v>
      </c>
      <c r="D65" t="s">
        <v>43</v>
      </c>
      <c r="E65" t="s">
        <v>43</v>
      </c>
      <c r="F65" t="s">
        <v>130</v>
      </c>
      <c r="G65" t="s">
        <v>38</v>
      </c>
      <c r="J65" t="s">
        <v>130</v>
      </c>
      <c r="K65" t="s">
        <v>131</v>
      </c>
    </row>
    <row r="66" spans="1:11">
      <c r="A66" t="s">
        <v>145</v>
      </c>
      <c r="B66" t="s">
        <v>147</v>
      </c>
      <c r="C66" t="s">
        <v>43</v>
      </c>
      <c r="D66" t="s">
        <v>43</v>
      </c>
      <c r="E66" t="s">
        <v>43</v>
      </c>
      <c r="F66" t="s">
        <v>299</v>
      </c>
      <c r="G66" t="s">
        <v>38</v>
      </c>
      <c r="J66" t="s">
        <v>299</v>
      </c>
      <c r="K66" t="s">
        <v>126</v>
      </c>
    </row>
    <row r="67" spans="1:11">
      <c r="A67" t="s">
        <v>135</v>
      </c>
      <c r="B67" t="s">
        <v>27</v>
      </c>
      <c r="C67" t="s">
        <v>43</v>
      </c>
      <c r="D67" t="s">
        <v>43</v>
      </c>
      <c r="E67" t="s">
        <v>43</v>
      </c>
      <c r="F67" t="s">
        <v>255</v>
      </c>
      <c r="G67" t="s">
        <v>38</v>
      </c>
      <c r="J67" t="s">
        <v>255</v>
      </c>
      <c r="K67" t="s">
        <v>54</v>
      </c>
    </row>
    <row r="68" spans="1:11">
      <c r="A68" t="s">
        <v>151</v>
      </c>
      <c r="B68" t="s">
        <v>137</v>
      </c>
      <c r="C68" t="s">
        <v>43</v>
      </c>
      <c r="D68" t="s">
        <v>43</v>
      </c>
      <c r="E68" t="s">
        <v>43</v>
      </c>
      <c r="F68" t="s">
        <v>334</v>
      </c>
      <c r="G68" t="s">
        <v>38</v>
      </c>
      <c r="J68" t="s">
        <v>334</v>
      </c>
      <c r="K68" t="s">
        <v>55</v>
      </c>
    </row>
    <row r="69" spans="1:11">
      <c r="A69" t="s">
        <v>151</v>
      </c>
      <c r="B69" t="s">
        <v>132</v>
      </c>
      <c r="C69" t="s">
        <v>43</v>
      </c>
      <c r="D69" t="s">
        <v>43</v>
      </c>
      <c r="E69" t="s">
        <v>43</v>
      </c>
      <c r="F69" t="s">
        <v>242</v>
      </c>
      <c r="G69" t="s">
        <v>38</v>
      </c>
      <c r="J69" t="s">
        <v>242</v>
      </c>
      <c r="K69" t="s">
        <v>335</v>
      </c>
    </row>
    <row r="70" spans="1:11">
      <c r="A70" t="s">
        <v>151</v>
      </c>
      <c r="B70" t="s">
        <v>135</v>
      </c>
      <c r="C70" t="s">
        <v>43</v>
      </c>
      <c r="D70" t="s">
        <v>43</v>
      </c>
      <c r="E70" t="s">
        <v>43</v>
      </c>
      <c r="F70" t="s">
        <v>270</v>
      </c>
      <c r="G70" t="s">
        <v>38</v>
      </c>
      <c r="J70" t="s">
        <v>270</v>
      </c>
      <c r="K70" t="s">
        <v>127</v>
      </c>
    </row>
    <row r="71" spans="1:11">
      <c r="A71" t="s">
        <v>29</v>
      </c>
      <c r="B71" t="s">
        <v>147</v>
      </c>
      <c r="C71" t="s">
        <v>43</v>
      </c>
      <c r="D71" t="s">
        <v>43</v>
      </c>
      <c r="E71" t="s">
        <v>43</v>
      </c>
      <c r="F71" t="s">
        <v>301</v>
      </c>
      <c r="G71" t="s">
        <v>38</v>
      </c>
      <c r="J71" t="s">
        <v>301</v>
      </c>
      <c r="K71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6DA54-4252-430D-94B7-DF07B0FFDCC5}">
  <dimension ref="A2:G60"/>
  <sheetViews>
    <sheetView topLeftCell="A34" workbookViewId="0">
      <selection activeCell="F18" sqref="F18"/>
    </sheetView>
  </sheetViews>
  <sheetFormatPr baseColWidth="10" defaultColWidth="8.88671875" defaultRowHeight="14.4"/>
  <cols>
    <col min="1" max="1" width="16.88671875" bestFit="1" customWidth="1"/>
    <col min="2" max="2" width="12.109375" bestFit="1" customWidth="1"/>
    <col min="3" max="5" width="8.109375" bestFit="1" customWidth="1"/>
    <col min="6" max="6" width="22.88671875" bestFit="1" customWidth="1"/>
    <col min="7" max="7" width="9.33203125" bestFit="1" customWidth="1"/>
  </cols>
  <sheetData>
    <row r="2" spans="1:7">
      <c r="A2" t="s">
        <v>30</v>
      </c>
    </row>
    <row r="3" spans="1:7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56</v>
      </c>
    </row>
    <row r="4" spans="1:7">
      <c r="A4" t="s">
        <v>132</v>
      </c>
      <c r="B4" t="s">
        <v>144</v>
      </c>
      <c r="C4" t="s">
        <v>40</v>
      </c>
      <c r="D4" t="s">
        <v>40</v>
      </c>
      <c r="E4" t="s">
        <v>40</v>
      </c>
      <c r="F4" t="s">
        <v>89</v>
      </c>
      <c r="G4" t="s">
        <v>38</v>
      </c>
    </row>
    <row r="5" spans="1:7">
      <c r="A5" t="s">
        <v>132</v>
      </c>
      <c r="B5" t="s">
        <v>144</v>
      </c>
      <c r="C5" t="s">
        <v>40</v>
      </c>
      <c r="D5" t="s">
        <v>40</v>
      </c>
      <c r="E5" t="s">
        <v>40</v>
      </c>
      <c r="F5" t="s">
        <v>90</v>
      </c>
      <c r="G5" t="s">
        <v>38</v>
      </c>
    </row>
    <row r="6" spans="1:7">
      <c r="A6" t="s">
        <v>132</v>
      </c>
      <c r="B6" t="s">
        <v>146</v>
      </c>
      <c r="C6" t="s">
        <v>40</v>
      </c>
      <c r="D6" t="s">
        <v>40</v>
      </c>
      <c r="E6" t="s">
        <v>40</v>
      </c>
      <c r="F6" t="s">
        <v>92</v>
      </c>
      <c r="G6" t="s">
        <v>38</v>
      </c>
    </row>
    <row r="7" spans="1:7">
      <c r="A7" t="s">
        <v>132</v>
      </c>
      <c r="B7" t="s">
        <v>147</v>
      </c>
      <c r="C7" t="s">
        <v>40</v>
      </c>
      <c r="D7" t="s">
        <v>40</v>
      </c>
      <c r="E7" t="s">
        <v>40</v>
      </c>
      <c r="F7" t="s">
        <v>98</v>
      </c>
      <c r="G7" t="s">
        <v>38</v>
      </c>
    </row>
    <row r="8" spans="1:7">
      <c r="A8" t="s">
        <v>133</v>
      </c>
      <c r="B8" t="s">
        <v>144</v>
      </c>
      <c r="C8" t="s">
        <v>40</v>
      </c>
      <c r="D8" t="s">
        <v>40</v>
      </c>
      <c r="E8" t="s">
        <v>40</v>
      </c>
      <c r="F8" t="s">
        <v>57</v>
      </c>
      <c r="G8" t="s">
        <v>38</v>
      </c>
    </row>
    <row r="9" spans="1:7">
      <c r="A9" t="s">
        <v>133</v>
      </c>
      <c r="B9" t="s">
        <v>146</v>
      </c>
      <c r="C9" t="s">
        <v>40</v>
      </c>
      <c r="D9" t="s">
        <v>40</v>
      </c>
      <c r="E9" t="s">
        <v>40</v>
      </c>
      <c r="F9" t="s">
        <v>58</v>
      </c>
      <c r="G9" t="s">
        <v>38</v>
      </c>
    </row>
    <row r="10" spans="1:7">
      <c r="A10" t="s">
        <v>133</v>
      </c>
      <c r="B10" t="s">
        <v>146</v>
      </c>
      <c r="C10" t="s">
        <v>40</v>
      </c>
      <c r="D10" t="s">
        <v>40</v>
      </c>
      <c r="E10" t="s">
        <v>40</v>
      </c>
      <c r="F10" t="s">
        <v>59</v>
      </c>
      <c r="G10" t="s">
        <v>38</v>
      </c>
    </row>
    <row r="11" spans="1:7">
      <c r="A11" t="s">
        <v>133</v>
      </c>
      <c r="B11" t="s">
        <v>147</v>
      </c>
      <c r="C11" t="s">
        <v>40</v>
      </c>
      <c r="D11" t="s">
        <v>40</v>
      </c>
      <c r="E11" t="s">
        <v>40</v>
      </c>
      <c r="F11" t="s">
        <v>61</v>
      </c>
      <c r="G11" t="s">
        <v>38</v>
      </c>
    </row>
    <row r="12" spans="1:7">
      <c r="A12" t="s">
        <v>133</v>
      </c>
      <c r="B12" t="s">
        <v>148</v>
      </c>
      <c r="C12" t="s">
        <v>40</v>
      </c>
      <c r="D12" t="s">
        <v>40</v>
      </c>
      <c r="E12" t="s">
        <v>40</v>
      </c>
      <c r="F12" t="s">
        <v>60</v>
      </c>
      <c r="G12" t="s">
        <v>38</v>
      </c>
    </row>
    <row r="13" spans="1:7">
      <c r="A13" t="s">
        <v>137</v>
      </c>
      <c r="B13" t="s">
        <v>136</v>
      </c>
      <c r="C13" t="s">
        <v>40</v>
      </c>
      <c r="D13" t="s">
        <v>40</v>
      </c>
      <c r="E13" t="s">
        <v>40</v>
      </c>
      <c r="F13" t="s">
        <v>62</v>
      </c>
      <c r="G13" t="s">
        <v>38</v>
      </c>
    </row>
    <row r="14" spans="1:7">
      <c r="A14" t="s">
        <v>137</v>
      </c>
      <c r="B14" t="s">
        <v>136</v>
      </c>
      <c r="C14" t="s">
        <v>40</v>
      </c>
      <c r="D14" t="s">
        <v>40</v>
      </c>
      <c r="E14" t="s">
        <v>40</v>
      </c>
      <c r="F14" t="s">
        <v>63</v>
      </c>
      <c r="G14" t="s">
        <v>38</v>
      </c>
    </row>
    <row r="15" spans="1:7">
      <c r="A15" t="s">
        <v>137</v>
      </c>
      <c r="B15" t="s">
        <v>136</v>
      </c>
      <c r="C15" t="s">
        <v>40</v>
      </c>
      <c r="D15" t="s">
        <v>40</v>
      </c>
      <c r="E15" t="s">
        <v>40</v>
      </c>
      <c r="F15" t="s">
        <v>64</v>
      </c>
      <c r="G15" t="s">
        <v>38</v>
      </c>
    </row>
    <row r="16" spans="1:7">
      <c r="A16" t="s">
        <v>137</v>
      </c>
      <c r="B16" t="s">
        <v>136</v>
      </c>
      <c r="C16" t="s">
        <v>40</v>
      </c>
      <c r="D16" t="s">
        <v>40</v>
      </c>
      <c r="E16" t="s">
        <v>40</v>
      </c>
      <c r="F16" t="s">
        <v>65</v>
      </c>
      <c r="G16" t="s">
        <v>38</v>
      </c>
    </row>
    <row r="17" spans="1:7">
      <c r="A17" t="s">
        <v>137</v>
      </c>
      <c r="B17" t="s">
        <v>136</v>
      </c>
      <c r="C17" t="s">
        <v>40</v>
      </c>
      <c r="D17" t="s">
        <v>40</v>
      </c>
      <c r="E17" t="s">
        <v>40</v>
      </c>
      <c r="F17" t="s">
        <v>66</v>
      </c>
      <c r="G17" t="s">
        <v>38</v>
      </c>
    </row>
    <row r="18" spans="1:7">
      <c r="A18" t="s">
        <v>137</v>
      </c>
      <c r="B18" t="s">
        <v>136</v>
      </c>
      <c r="C18" t="s">
        <v>40</v>
      </c>
      <c r="D18" t="s">
        <v>40</v>
      </c>
      <c r="E18" t="s">
        <v>40</v>
      </c>
      <c r="F18" t="s">
        <v>67</v>
      </c>
      <c r="G18" t="s">
        <v>38</v>
      </c>
    </row>
    <row r="19" spans="1:7">
      <c r="A19" t="s">
        <v>137</v>
      </c>
      <c r="B19" t="s">
        <v>137</v>
      </c>
      <c r="C19" t="s">
        <v>40</v>
      </c>
      <c r="D19" t="s">
        <v>40</v>
      </c>
      <c r="E19" t="s">
        <v>40</v>
      </c>
      <c r="F19" t="s">
        <v>69</v>
      </c>
      <c r="G19" t="s">
        <v>38</v>
      </c>
    </row>
    <row r="20" spans="1:7">
      <c r="A20" t="s">
        <v>137</v>
      </c>
      <c r="B20" t="s">
        <v>137</v>
      </c>
      <c r="C20" t="s">
        <v>40</v>
      </c>
      <c r="D20" t="s">
        <v>40</v>
      </c>
      <c r="E20" t="s">
        <v>40</v>
      </c>
      <c r="F20" t="s">
        <v>70</v>
      </c>
      <c r="G20" t="s">
        <v>38</v>
      </c>
    </row>
    <row r="21" spans="1:7">
      <c r="A21" t="s">
        <v>137</v>
      </c>
      <c r="B21" t="s">
        <v>137</v>
      </c>
      <c r="C21" t="s">
        <v>40</v>
      </c>
      <c r="D21" t="s">
        <v>40</v>
      </c>
      <c r="E21" t="s">
        <v>40</v>
      </c>
      <c r="F21" t="s">
        <v>68</v>
      </c>
      <c r="G21" t="s">
        <v>38</v>
      </c>
    </row>
    <row r="22" spans="1:7">
      <c r="A22" t="s">
        <v>137</v>
      </c>
      <c r="B22" t="s">
        <v>27</v>
      </c>
      <c r="C22" t="s">
        <v>40</v>
      </c>
      <c r="D22" t="s">
        <v>40</v>
      </c>
      <c r="E22" t="s">
        <v>40</v>
      </c>
      <c r="F22" t="s">
        <v>71</v>
      </c>
      <c r="G22" t="s">
        <v>38</v>
      </c>
    </row>
    <row r="23" spans="1:7">
      <c r="A23" t="s">
        <v>137</v>
      </c>
      <c r="B23" t="s">
        <v>27</v>
      </c>
      <c r="C23" t="s">
        <v>40</v>
      </c>
      <c r="D23" t="s">
        <v>40</v>
      </c>
      <c r="E23" t="s">
        <v>40</v>
      </c>
      <c r="F23" t="s">
        <v>72</v>
      </c>
      <c r="G23" t="s">
        <v>38</v>
      </c>
    </row>
    <row r="24" spans="1:7">
      <c r="A24" t="s">
        <v>138</v>
      </c>
      <c r="B24" t="s">
        <v>136</v>
      </c>
      <c r="C24" t="s">
        <v>40</v>
      </c>
      <c r="D24" t="s">
        <v>40</v>
      </c>
      <c r="E24" t="s">
        <v>40</v>
      </c>
      <c r="F24" t="s">
        <v>73</v>
      </c>
      <c r="G24" t="s">
        <v>38</v>
      </c>
    </row>
    <row r="25" spans="1:7">
      <c r="A25" t="s">
        <v>138</v>
      </c>
      <c r="B25" t="s">
        <v>136</v>
      </c>
      <c r="C25" t="s">
        <v>40</v>
      </c>
      <c r="D25" t="s">
        <v>40</v>
      </c>
      <c r="E25" t="s">
        <v>40</v>
      </c>
      <c r="F25" t="s">
        <v>74</v>
      </c>
      <c r="G25" t="s">
        <v>38</v>
      </c>
    </row>
    <row r="26" spans="1:7">
      <c r="A26" t="s">
        <v>138</v>
      </c>
      <c r="B26" t="s">
        <v>137</v>
      </c>
      <c r="C26" t="s">
        <v>40</v>
      </c>
      <c r="D26" t="s">
        <v>40</v>
      </c>
      <c r="E26" t="s">
        <v>40</v>
      </c>
      <c r="F26" t="s">
        <v>75</v>
      </c>
      <c r="G26" t="s">
        <v>38</v>
      </c>
    </row>
    <row r="27" spans="1:7">
      <c r="A27" t="s">
        <v>138</v>
      </c>
      <c r="B27" t="s">
        <v>137</v>
      </c>
      <c r="C27" t="s">
        <v>40</v>
      </c>
      <c r="D27" t="s">
        <v>40</v>
      </c>
      <c r="E27" t="s">
        <v>40</v>
      </c>
      <c r="F27" t="s">
        <v>76</v>
      </c>
      <c r="G27" t="s">
        <v>38</v>
      </c>
    </row>
    <row r="28" spans="1:7">
      <c r="A28" t="s">
        <v>138</v>
      </c>
      <c r="B28" t="s">
        <v>27</v>
      </c>
      <c r="C28" t="s">
        <v>40</v>
      </c>
      <c r="D28" t="s">
        <v>40</v>
      </c>
      <c r="E28" t="s">
        <v>40</v>
      </c>
      <c r="F28" t="s">
        <v>77</v>
      </c>
      <c r="G28" t="s">
        <v>38</v>
      </c>
    </row>
    <row r="29" spans="1:7">
      <c r="A29" t="s">
        <v>138</v>
      </c>
      <c r="B29" t="s">
        <v>28</v>
      </c>
      <c r="C29" t="s">
        <v>40</v>
      </c>
      <c r="D29" t="s">
        <v>40</v>
      </c>
      <c r="E29" t="s">
        <v>40</v>
      </c>
      <c r="F29" t="s">
        <v>78</v>
      </c>
      <c r="G29" t="s">
        <v>38</v>
      </c>
    </row>
    <row r="30" spans="1:7">
      <c r="A30" t="s">
        <v>150</v>
      </c>
      <c r="B30" t="s">
        <v>27</v>
      </c>
      <c r="C30" t="s">
        <v>40</v>
      </c>
      <c r="D30" t="s">
        <v>40</v>
      </c>
      <c r="E30" t="s">
        <v>40</v>
      </c>
      <c r="F30" t="s">
        <v>103</v>
      </c>
      <c r="G30" t="s">
        <v>38</v>
      </c>
    </row>
    <row r="31" spans="1:7">
      <c r="A31" t="s">
        <v>151</v>
      </c>
      <c r="B31" t="s">
        <v>136</v>
      </c>
      <c r="C31" t="s">
        <v>40</v>
      </c>
      <c r="D31" t="s">
        <v>40</v>
      </c>
      <c r="E31" t="s">
        <v>40</v>
      </c>
      <c r="F31" t="s">
        <v>80</v>
      </c>
      <c r="G31" t="s">
        <v>38</v>
      </c>
    </row>
    <row r="32" spans="1:7">
      <c r="A32" t="s">
        <v>151</v>
      </c>
      <c r="B32" t="s">
        <v>136</v>
      </c>
      <c r="C32" t="s">
        <v>40</v>
      </c>
      <c r="D32" t="s">
        <v>40</v>
      </c>
      <c r="E32" t="s">
        <v>40</v>
      </c>
      <c r="F32" t="s">
        <v>81</v>
      </c>
      <c r="G32" t="s">
        <v>38</v>
      </c>
    </row>
    <row r="33" spans="1:7">
      <c r="A33" t="s">
        <v>151</v>
      </c>
      <c r="B33" t="s">
        <v>136</v>
      </c>
      <c r="C33" t="s">
        <v>40</v>
      </c>
      <c r="D33" t="s">
        <v>40</v>
      </c>
      <c r="E33" t="s">
        <v>40</v>
      </c>
      <c r="F33" t="s">
        <v>82</v>
      </c>
      <c r="G33" t="s">
        <v>38</v>
      </c>
    </row>
    <row r="34" spans="1:7">
      <c r="A34" t="s">
        <v>151</v>
      </c>
      <c r="B34" t="s">
        <v>137</v>
      </c>
      <c r="C34" t="s">
        <v>40</v>
      </c>
      <c r="D34" t="s">
        <v>40</v>
      </c>
      <c r="E34" t="s">
        <v>40</v>
      </c>
      <c r="F34" t="s">
        <v>84</v>
      </c>
      <c r="G34" t="s">
        <v>38</v>
      </c>
    </row>
    <row r="35" spans="1:7">
      <c r="A35" t="s">
        <v>151</v>
      </c>
      <c r="B35" t="s">
        <v>137</v>
      </c>
      <c r="C35" t="s">
        <v>40</v>
      </c>
      <c r="D35" t="s">
        <v>40</v>
      </c>
      <c r="E35" t="s">
        <v>40</v>
      </c>
      <c r="F35" t="s">
        <v>85</v>
      </c>
      <c r="G35" t="s">
        <v>38</v>
      </c>
    </row>
    <row r="36" spans="1:7">
      <c r="A36" t="s">
        <v>151</v>
      </c>
      <c r="B36" t="s">
        <v>137</v>
      </c>
      <c r="C36" t="s">
        <v>40</v>
      </c>
      <c r="D36" t="s">
        <v>40</v>
      </c>
      <c r="E36" t="s">
        <v>40</v>
      </c>
      <c r="F36" t="s">
        <v>86</v>
      </c>
      <c r="G36" t="s">
        <v>38</v>
      </c>
    </row>
    <row r="37" spans="1:7">
      <c r="A37" t="s">
        <v>151</v>
      </c>
      <c r="B37" t="s">
        <v>137</v>
      </c>
      <c r="C37" t="s">
        <v>40</v>
      </c>
      <c r="D37" t="s">
        <v>40</v>
      </c>
      <c r="E37" t="s">
        <v>40</v>
      </c>
      <c r="F37" t="s">
        <v>83</v>
      </c>
      <c r="G37" t="s">
        <v>38</v>
      </c>
    </row>
    <row r="38" spans="1:7">
      <c r="A38" t="s">
        <v>151</v>
      </c>
      <c r="B38" t="s">
        <v>27</v>
      </c>
      <c r="C38" t="s">
        <v>40</v>
      </c>
      <c r="D38" t="s">
        <v>40</v>
      </c>
      <c r="E38" t="s">
        <v>40</v>
      </c>
      <c r="F38" t="s">
        <v>87</v>
      </c>
      <c r="G38" t="s">
        <v>38</v>
      </c>
    </row>
    <row r="39" spans="1:7">
      <c r="A39" t="s">
        <v>151</v>
      </c>
      <c r="B39" t="s">
        <v>142</v>
      </c>
      <c r="C39" t="s">
        <v>40</v>
      </c>
      <c r="D39" t="s">
        <v>40</v>
      </c>
      <c r="E39" t="s">
        <v>40</v>
      </c>
      <c r="F39" t="s">
        <v>88</v>
      </c>
      <c r="G39" t="s">
        <v>38</v>
      </c>
    </row>
    <row r="40" spans="1:7">
      <c r="A40" t="s">
        <v>151</v>
      </c>
      <c r="B40" t="s">
        <v>143</v>
      </c>
      <c r="C40" t="s">
        <v>40</v>
      </c>
      <c r="D40" t="s">
        <v>40</v>
      </c>
      <c r="E40" t="s">
        <v>40</v>
      </c>
      <c r="F40" t="s">
        <v>94</v>
      </c>
      <c r="G40" t="s">
        <v>38</v>
      </c>
    </row>
    <row r="41" spans="1:7">
      <c r="A41" t="s">
        <v>151</v>
      </c>
      <c r="B41" t="s">
        <v>144</v>
      </c>
      <c r="C41" t="s">
        <v>40</v>
      </c>
      <c r="D41" t="s">
        <v>40</v>
      </c>
      <c r="E41" t="s">
        <v>40</v>
      </c>
      <c r="F41" t="s">
        <v>91</v>
      </c>
      <c r="G41" t="s">
        <v>38</v>
      </c>
    </row>
    <row r="42" spans="1:7">
      <c r="A42" t="s">
        <v>151</v>
      </c>
      <c r="B42" t="s">
        <v>146</v>
      </c>
      <c r="C42" t="s">
        <v>40</v>
      </c>
      <c r="D42" t="s">
        <v>40</v>
      </c>
      <c r="E42" t="s">
        <v>40</v>
      </c>
      <c r="F42" t="s">
        <v>93</v>
      </c>
      <c r="G42" t="s">
        <v>38</v>
      </c>
    </row>
    <row r="43" spans="1:7">
      <c r="A43" t="s">
        <v>151</v>
      </c>
      <c r="B43" t="s">
        <v>148</v>
      </c>
      <c r="C43" t="s">
        <v>40</v>
      </c>
      <c r="D43" t="s">
        <v>40</v>
      </c>
      <c r="E43" t="s">
        <v>40</v>
      </c>
      <c r="F43" t="s">
        <v>95</v>
      </c>
      <c r="G43" t="s">
        <v>38</v>
      </c>
    </row>
    <row r="44" spans="1:7">
      <c r="A44" t="s">
        <v>151</v>
      </c>
      <c r="B44" t="s">
        <v>28</v>
      </c>
      <c r="C44" t="s">
        <v>40</v>
      </c>
      <c r="D44" t="s">
        <v>40</v>
      </c>
      <c r="E44" t="s">
        <v>40</v>
      </c>
      <c r="F44" t="s">
        <v>96</v>
      </c>
      <c r="G44" t="s">
        <v>38</v>
      </c>
    </row>
    <row r="45" spans="1:7">
      <c r="A45" t="s">
        <v>151</v>
      </c>
      <c r="B45" t="s">
        <v>151</v>
      </c>
      <c r="C45" t="s">
        <v>40</v>
      </c>
      <c r="D45" t="s">
        <v>40</v>
      </c>
      <c r="E45" t="s">
        <v>40</v>
      </c>
      <c r="F45" t="s">
        <v>97</v>
      </c>
      <c r="G45" t="s">
        <v>38</v>
      </c>
    </row>
    <row r="46" spans="1:7">
      <c r="A46" t="s">
        <v>151</v>
      </c>
      <c r="B46" t="s">
        <v>155</v>
      </c>
      <c r="C46" t="s">
        <v>40</v>
      </c>
      <c r="D46" t="s">
        <v>40</v>
      </c>
      <c r="E46" t="s">
        <v>40</v>
      </c>
      <c r="F46" t="s">
        <v>99</v>
      </c>
      <c r="G46" t="s">
        <v>38</v>
      </c>
    </row>
    <row r="47" spans="1:7">
      <c r="A47" t="s">
        <v>152</v>
      </c>
      <c r="B47" t="s">
        <v>146</v>
      </c>
      <c r="C47" t="s">
        <v>40</v>
      </c>
      <c r="D47" t="s">
        <v>40</v>
      </c>
      <c r="E47" t="s">
        <v>40</v>
      </c>
      <c r="F47" t="s">
        <v>79</v>
      </c>
      <c r="G47" t="s">
        <v>38</v>
      </c>
    </row>
    <row r="48" spans="1:7">
      <c r="A48" t="s">
        <v>29</v>
      </c>
      <c r="B48" t="s">
        <v>136</v>
      </c>
      <c r="C48" t="s">
        <v>40</v>
      </c>
      <c r="D48" t="s">
        <v>40</v>
      </c>
      <c r="E48" t="s">
        <v>40</v>
      </c>
      <c r="F48" t="s">
        <v>110</v>
      </c>
      <c r="G48" t="s">
        <v>38</v>
      </c>
    </row>
    <row r="49" spans="1:7">
      <c r="A49" t="s">
        <v>29</v>
      </c>
      <c r="B49" t="s">
        <v>137</v>
      </c>
      <c r="C49" t="s">
        <v>40</v>
      </c>
      <c r="D49" t="s">
        <v>40</v>
      </c>
      <c r="E49" t="s">
        <v>40</v>
      </c>
      <c r="F49" t="s">
        <v>111</v>
      </c>
      <c r="G49" t="s">
        <v>38</v>
      </c>
    </row>
    <row r="50" spans="1:7">
      <c r="A50" t="s">
        <v>29</v>
      </c>
      <c r="B50" t="s">
        <v>27</v>
      </c>
      <c r="C50" t="s">
        <v>40</v>
      </c>
      <c r="D50" t="s">
        <v>40</v>
      </c>
      <c r="E50" t="s">
        <v>40</v>
      </c>
      <c r="F50" t="s">
        <v>112</v>
      </c>
      <c r="G50" t="s">
        <v>38</v>
      </c>
    </row>
    <row r="51" spans="1:7">
      <c r="A51" t="s">
        <v>29</v>
      </c>
      <c r="B51" t="s">
        <v>146</v>
      </c>
      <c r="C51" t="s">
        <v>40</v>
      </c>
      <c r="D51" t="s">
        <v>40</v>
      </c>
      <c r="E51" t="s">
        <v>40</v>
      </c>
      <c r="F51" t="s">
        <v>113</v>
      </c>
      <c r="G51" t="s">
        <v>38</v>
      </c>
    </row>
    <row r="52" spans="1:7">
      <c r="A52" t="s">
        <v>156</v>
      </c>
      <c r="B52" t="s">
        <v>136</v>
      </c>
      <c r="C52" t="s">
        <v>40</v>
      </c>
      <c r="D52" t="s">
        <v>40</v>
      </c>
      <c r="E52" t="s">
        <v>40</v>
      </c>
      <c r="F52" t="s">
        <v>100</v>
      </c>
      <c r="G52" t="s">
        <v>38</v>
      </c>
    </row>
    <row r="53" spans="1:7">
      <c r="A53" t="s">
        <v>156</v>
      </c>
      <c r="B53" t="s">
        <v>136</v>
      </c>
      <c r="C53" t="s">
        <v>40</v>
      </c>
      <c r="D53" t="s">
        <v>40</v>
      </c>
      <c r="E53" t="s">
        <v>40</v>
      </c>
      <c r="F53" t="s">
        <v>101</v>
      </c>
      <c r="G53" t="s">
        <v>38</v>
      </c>
    </row>
    <row r="54" spans="1:7">
      <c r="A54" t="s">
        <v>156</v>
      </c>
      <c r="B54" t="s">
        <v>137</v>
      </c>
      <c r="C54" t="s">
        <v>40</v>
      </c>
      <c r="D54" t="s">
        <v>40</v>
      </c>
      <c r="E54" t="s">
        <v>40</v>
      </c>
      <c r="F54" t="s">
        <v>102</v>
      </c>
      <c r="G54" t="s">
        <v>38</v>
      </c>
    </row>
    <row r="55" spans="1:7">
      <c r="A55" t="s">
        <v>156</v>
      </c>
      <c r="B55" t="s">
        <v>27</v>
      </c>
      <c r="C55" t="s">
        <v>40</v>
      </c>
      <c r="D55" t="s">
        <v>40</v>
      </c>
      <c r="E55" t="s">
        <v>40</v>
      </c>
      <c r="F55" t="s">
        <v>104</v>
      </c>
      <c r="G55" t="s">
        <v>38</v>
      </c>
    </row>
    <row r="56" spans="1:7">
      <c r="A56" t="s">
        <v>156</v>
      </c>
      <c r="B56" t="s">
        <v>142</v>
      </c>
      <c r="C56" t="s">
        <v>40</v>
      </c>
      <c r="D56" t="s">
        <v>40</v>
      </c>
      <c r="E56" t="s">
        <v>40</v>
      </c>
      <c r="F56" t="s">
        <v>105</v>
      </c>
      <c r="G56" t="s">
        <v>38</v>
      </c>
    </row>
    <row r="57" spans="1:7">
      <c r="A57" t="s">
        <v>156</v>
      </c>
      <c r="B57" t="s">
        <v>146</v>
      </c>
      <c r="C57" t="s">
        <v>40</v>
      </c>
      <c r="D57" t="s">
        <v>40</v>
      </c>
      <c r="E57" t="s">
        <v>40</v>
      </c>
      <c r="F57" t="s">
        <v>106</v>
      </c>
      <c r="G57" t="s">
        <v>38</v>
      </c>
    </row>
    <row r="58" spans="1:7">
      <c r="A58" t="s">
        <v>156</v>
      </c>
      <c r="B58" t="s">
        <v>148</v>
      </c>
      <c r="C58" t="s">
        <v>40</v>
      </c>
      <c r="D58" t="s">
        <v>40</v>
      </c>
      <c r="E58" t="s">
        <v>40</v>
      </c>
      <c r="F58" t="s">
        <v>108</v>
      </c>
      <c r="G58" t="s">
        <v>38</v>
      </c>
    </row>
    <row r="59" spans="1:7">
      <c r="A59" t="s">
        <v>156</v>
      </c>
      <c r="B59" t="s">
        <v>116</v>
      </c>
      <c r="C59" t="s">
        <v>40</v>
      </c>
      <c r="D59" t="s">
        <v>40</v>
      </c>
      <c r="E59" t="s">
        <v>40</v>
      </c>
      <c r="F59" t="s">
        <v>107</v>
      </c>
      <c r="G59" t="s">
        <v>38</v>
      </c>
    </row>
    <row r="60" spans="1:7">
      <c r="A60" t="s">
        <v>156</v>
      </c>
      <c r="B60" t="s">
        <v>155</v>
      </c>
      <c r="C60" t="s">
        <v>40</v>
      </c>
      <c r="D60" t="s">
        <v>40</v>
      </c>
      <c r="E60" t="s">
        <v>40</v>
      </c>
      <c r="F60" t="s">
        <v>109</v>
      </c>
      <c r="G60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4BBAF-809F-4882-883B-4E9C53C1AD40}">
  <dimension ref="B2:R479"/>
  <sheetViews>
    <sheetView tabSelected="1" topLeftCell="A112" workbookViewId="0">
      <selection activeCell="N131" sqref="N131"/>
    </sheetView>
  </sheetViews>
  <sheetFormatPr baseColWidth="10" defaultRowHeight="14.4"/>
  <sheetData>
    <row r="2" spans="2:18">
      <c r="B2" s="3" t="s">
        <v>30</v>
      </c>
      <c r="C2" s="3"/>
      <c r="D2" s="3"/>
      <c r="E2" s="3"/>
      <c r="F2" s="3"/>
      <c r="G2" s="3"/>
      <c r="H2" s="3"/>
      <c r="I2" s="3"/>
      <c r="K2" s="4" t="s">
        <v>30</v>
      </c>
      <c r="L2" s="4"/>
      <c r="M2" s="4"/>
      <c r="N2" s="4"/>
      <c r="O2" s="4"/>
      <c r="P2" s="4"/>
      <c r="Q2" s="4"/>
      <c r="R2" s="4"/>
    </row>
    <row r="3" spans="2:18"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56</v>
      </c>
      <c r="I3" s="3" t="s">
        <v>341</v>
      </c>
      <c r="K3" s="4" t="s">
        <v>31</v>
      </c>
      <c r="L3" s="4" t="s">
        <v>32</v>
      </c>
      <c r="M3" s="4" t="s">
        <v>33</v>
      </c>
      <c r="N3" s="4" t="s">
        <v>34</v>
      </c>
      <c r="O3" s="4" t="s">
        <v>35</v>
      </c>
      <c r="P3" s="4" t="s">
        <v>36</v>
      </c>
      <c r="Q3" s="4" t="s">
        <v>37</v>
      </c>
      <c r="R3" s="4" t="s">
        <v>341</v>
      </c>
    </row>
    <row r="4" spans="2:18">
      <c r="B4" s="3" t="s">
        <v>138</v>
      </c>
      <c r="C4" s="3" t="s">
        <v>139</v>
      </c>
      <c r="D4" s="3" t="s">
        <v>39</v>
      </c>
      <c r="E4" s="3" t="s">
        <v>39</v>
      </c>
      <c r="F4" s="3" t="s">
        <v>39</v>
      </c>
      <c r="G4" s="3" t="s">
        <v>342</v>
      </c>
      <c r="H4" s="3" t="s">
        <v>38</v>
      </c>
      <c r="I4" s="3" t="s">
        <v>343</v>
      </c>
      <c r="K4" s="4" t="s">
        <v>149</v>
      </c>
      <c r="L4" s="4" t="s">
        <v>139</v>
      </c>
      <c r="M4" s="4" t="s">
        <v>39</v>
      </c>
      <c r="N4" s="4" t="s">
        <v>39</v>
      </c>
      <c r="O4" s="4" t="s">
        <v>39</v>
      </c>
      <c r="P4" s="4" t="s">
        <v>819</v>
      </c>
      <c r="Q4" s="4" t="s">
        <v>38</v>
      </c>
      <c r="R4" s="4" t="s">
        <v>343</v>
      </c>
    </row>
    <row r="5" spans="2:18">
      <c r="B5" s="3" t="s">
        <v>149</v>
      </c>
      <c r="C5" s="3" t="s">
        <v>139</v>
      </c>
      <c r="D5" s="3" t="s">
        <v>39</v>
      </c>
      <c r="E5" s="3" t="s">
        <v>39</v>
      </c>
      <c r="F5" s="3" t="s">
        <v>39</v>
      </c>
      <c r="G5" s="3" t="s">
        <v>344</v>
      </c>
      <c r="H5" s="3" t="s">
        <v>38</v>
      </c>
      <c r="I5" s="3" t="s">
        <v>343</v>
      </c>
      <c r="K5" s="4" t="s">
        <v>134</v>
      </c>
      <c r="L5" s="4" t="s">
        <v>139</v>
      </c>
      <c r="M5" s="4" t="s">
        <v>39</v>
      </c>
      <c r="N5" s="4" t="s">
        <v>39</v>
      </c>
      <c r="O5" s="4" t="s">
        <v>39</v>
      </c>
      <c r="P5" s="4" t="s">
        <v>820</v>
      </c>
      <c r="Q5" s="4" t="s">
        <v>38</v>
      </c>
      <c r="R5" s="4" t="s">
        <v>343</v>
      </c>
    </row>
    <row r="6" spans="2:18">
      <c r="B6" s="3" t="s">
        <v>132</v>
      </c>
      <c r="C6" s="3" t="s">
        <v>139</v>
      </c>
      <c r="D6" s="3" t="s">
        <v>39</v>
      </c>
      <c r="E6" s="3" t="s">
        <v>39</v>
      </c>
      <c r="F6" s="3" t="s">
        <v>39</v>
      </c>
      <c r="G6" s="3" t="s">
        <v>345</v>
      </c>
      <c r="H6" s="3" t="s">
        <v>38</v>
      </c>
      <c r="I6" s="3" t="s">
        <v>343</v>
      </c>
      <c r="K6" s="4" t="s">
        <v>149</v>
      </c>
      <c r="L6" s="4" t="s">
        <v>134</v>
      </c>
      <c r="M6" s="4" t="s">
        <v>39</v>
      </c>
      <c r="N6" s="4" t="s">
        <v>39</v>
      </c>
      <c r="O6" s="4" t="s">
        <v>39</v>
      </c>
      <c r="P6" s="4" t="s">
        <v>821</v>
      </c>
      <c r="Q6" s="4" t="s">
        <v>38</v>
      </c>
      <c r="R6" s="4" t="s">
        <v>343</v>
      </c>
    </row>
    <row r="7" spans="2:18">
      <c r="B7" s="3" t="s">
        <v>133</v>
      </c>
      <c r="C7" s="3" t="s">
        <v>139</v>
      </c>
      <c r="D7" s="3" t="s">
        <v>39</v>
      </c>
      <c r="E7" s="3" t="s">
        <v>39</v>
      </c>
      <c r="F7" s="3" t="s">
        <v>39</v>
      </c>
      <c r="G7" s="3" t="s">
        <v>346</v>
      </c>
      <c r="H7" s="3" t="s">
        <v>38</v>
      </c>
      <c r="I7" s="3" t="s">
        <v>343</v>
      </c>
      <c r="K7" s="4" t="s">
        <v>139</v>
      </c>
      <c r="L7" s="4" t="s">
        <v>134</v>
      </c>
      <c r="M7" s="4" t="s">
        <v>39</v>
      </c>
      <c r="N7" s="4" t="s">
        <v>39</v>
      </c>
      <c r="O7" s="4" t="s">
        <v>39</v>
      </c>
      <c r="P7" s="4" t="s">
        <v>822</v>
      </c>
      <c r="Q7" s="4" t="s">
        <v>38</v>
      </c>
      <c r="R7" s="4" t="s">
        <v>343</v>
      </c>
    </row>
    <row r="8" spans="2:18">
      <c r="B8" s="3" t="s">
        <v>28</v>
      </c>
      <c r="C8" s="3" t="s">
        <v>139</v>
      </c>
      <c r="D8" s="3" t="s">
        <v>39</v>
      </c>
      <c r="E8" s="3" t="s">
        <v>39</v>
      </c>
      <c r="F8" s="3" t="s">
        <v>39</v>
      </c>
      <c r="G8" s="3" t="s">
        <v>347</v>
      </c>
      <c r="H8" s="3" t="s">
        <v>38</v>
      </c>
      <c r="I8" s="3" t="s">
        <v>343</v>
      </c>
      <c r="K8" s="4" t="s">
        <v>151</v>
      </c>
      <c r="L8" s="4" t="s">
        <v>27</v>
      </c>
      <c r="M8" s="4" t="s">
        <v>39</v>
      </c>
      <c r="N8" s="4" t="s">
        <v>39</v>
      </c>
      <c r="O8" s="4" t="s">
        <v>39</v>
      </c>
      <c r="P8" s="4" t="s">
        <v>823</v>
      </c>
      <c r="Q8" s="4" t="s">
        <v>38</v>
      </c>
      <c r="R8" s="4" t="s">
        <v>343</v>
      </c>
    </row>
    <row r="9" spans="2:18">
      <c r="B9" s="3" t="s">
        <v>150</v>
      </c>
      <c r="C9" s="3" t="s">
        <v>139</v>
      </c>
      <c r="D9" s="3" t="s">
        <v>39</v>
      </c>
      <c r="E9" s="3" t="s">
        <v>39</v>
      </c>
      <c r="F9" s="3" t="s">
        <v>39</v>
      </c>
      <c r="G9" s="3" t="s">
        <v>348</v>
      </c>
      <c r="H9" s="3" t="s">
        <v>38</v>
      </c>
      <c r="I9" s="3" t="s">
        <v>343</v>
      </c>
      <c r="K9" s="4" t="s">
        <v>135</v>
      </c>
      <c r="L9" s="4" t="s">
        <v>27</v>
      </c>
      <c r="M9" s="4" t="s">
        <v>39</v>
      </c>
      <c r="N9" s="4" t="s">
        <v>39</v>
      </c>
      <c r="O9" s="4" t="s">
        <v>39</v>
      </c>
      <c r="P9" s="4" t="s">
        <v>824</v>
      </c>
      <c r="Q9" s="4" t="s">
        <v>38</v>
      </c>
      <c r="R9" s="4" t="s">
        <v>343</v>
      </c>
    </row>
    <row r="10" spans="2:18">
      <c r="B10" s="3" t="s">
        <v>151</v>
      </c>
      <c r="C10" s="3" t="s">
        <v>139</v>
      </c>
      <c r="D10" s="3" t="s">
        <v>39</v>
      </c>
      <c r="E10" s="3" t="s">
        <v>39</v>
      </c>
      <c r="F10" s="3" t="s">
        <v>39</v>
      </c>
      <c r="G10" s="3" t="s">
        <v>349</v>
      </c>
      <c r="H10" s="3" t="s">
        <v>38</v>
      </c>
      <c r="I10" s="3" t="s">
        <v>343</v>
      </c>
      <c r="K10" s="4" t="s">
        <v>137</v>
      </c>
      <c r="L10" s="4" t="s">
        <v>27</v>
      </c>
      <c r="M10" s="4" t="s">
        <v>39</v>
      </c>
      <c r="N10" s="4" t="s">
        <v>39</v>
      </c>
      <c r="O10" s="4" t="s">
        <v>39</v>
      </c>
      <c r="P10" s="4" t="s">
        <v>825</v>
      </c>
      <c r="Q10" s="4" t="s">
        <v>38</v>
      </c>
      <c r="R10" s="4" t="s">
        <v>343</v>
      </c>
    </row>
    <row r="11" spans="2:18">
      <c r="B11" s="3" t="s">
        <v>153</v>
      </c>
      <c r="C11" s="3" t="s">
        <v>139</v>
      </c>
      <c r="D11" s="3" t="s">
        <v>39</v>
      </c>
      <c r="E11" s="3" t="s">
        <v>39</v>
      </c>
      <c r="F11" s="3" t="s">
        <v>39</v>
      </c>
      <c r="G11" s="3" t="s">
        <v>350</v>
      </c>
      <c r="H11" s="3" t="s">
        <v>38</v>
      </c>
      <c r="I11" s="3" t="s">
        <v>343</v>
      </c>
      <c r="K11" s="4" t="s">
        <v>29</v>
      </c>
      <c r="L11" s="4" t="s">
        <v>27</v>
      </c>
      <c r="M11" s="4" t="s">
        <v>39</v>
      </c>
      <c r="N11" s="4" t="s">
        <v>39</v>
      </c>
      <c r="O11" s="4" t="s">
        <v>39</v>
      </c>
      <c r="P11" s="4" t="s">
        <v>826</v>
      </c>
      <c r="Q11" s="4" t="s">
        <v>38</v>
      </c>
      <c r="R11" s="4" t="s">
        <v>343</v>
      </c>
    </row>
    <row r="12" spans="2:18">
      <c r="B12" s="3" t="s">
        <v>154</v>
      </c>
      <c r="C12" s="3" t="s">
        <v>139</v>
      </c>
      <c r="D12" s="3" t="s">
        <v>39</v>
      </c>
      <c r="E12" s="3" t="s">
        <v>39</v>
      </c>
      <c r="F12" s="3" t="s">
        <v>39</v>
      </c>
      <c r="G12" s="3" t="s">
        <v>351</v>
      </c>
      <c r="H12" s="3" t="s">
        <v>38</v>
      </c>
      <c r="I12" s="3" t="s">
        <v>343</v>
      </c>
      <c r="K12" s="4" t="s">
        <v>151</v>
      </c>
      <c r="L12" s="4" t="s">
        <v>148</v>
      </c>
      <c r="M12" s="4" t="s">
        <v>39</v>
      </c>
      <c r="N12" s="4" t="s">
        <v>39</v>
      </c>
      <c r="O12" s="4" t="s">
        <v>39</v>
      </c>
      <c r="P12" s="4" t="s">
        <v>827</v>
      </c>
      <c r="Q12" s="4" t="s">
        <v>38</v>
      </c>
      <c r="R12" s="4" t="s">
        <v>343</v>
      </c>
    </row>
    <row r="13" spans="2:18">
      <c r="B13" s="3" t="s">
        <v>146</v>
      </c>
      <c r="C13" s="3" t="s">
        <v>139</v>
      </c>
      <c r="D13" s="3" t="s">
        <v>39</v>
      </c>
      <c r="E13" s="3" t="s">
        <v>39</v>
      </c>
      <c r="F13" s="3" t="s">
        <v>39</v>
      </c>
      <c r="G13" s="3" t="s">
        <v>352</v>
      </c>
      <c r="H13" s="3" t="s">
        <v>38</v>
      </c>
      <c r="I13" s="3" t="s">
        <v>343</v>
      </c>
      <c r="K13" s="4" t="s">
        <v>135</v>
      </c>
      <c r="L13" s="4" t="s">
        <v>148</v>
      </c>
      <c r="M13" s="4" t="s">
        <v>39</v>
      </c>
      <c r="N13" s="4" t="s">
        <v>39</v>
      </c>
      <c r="O13" s="4" t="s">
        <v>39</v>
      </c>
      <c r="P13" s="4" t="s">
        <v>828</v>
      </c>
      <c r="Q13" s="4" t="s">
        <v>38</v>
      </c>
      <c r="R13" s="4" t="s">
        <v>343</v>
      </c>
    </row>
    <row r="14" spans="2:18">
      <c r="B14" s="3" t="s">
        <v>156</v>
      </c>
      <c r="C14" s="3" t="s">
        <v>139</v>
      </c>
      <c r="D14" s="3" t="s">
        <v>39</v>
      </c>
      <c r="E14" s="3" t="s">
        <v>39</v>
      </c>
      <c r="F14" s="3" t="s">
        <v>39</v>
      </c>
      <c r="G14" s="3" t="s">
        <v>353</v>
      </c>
      <c r="H14" s="3" t="s">
        <v>38</v>
      </c>
      <c r="I14" s="3" t="s">
        <v>343</v>
      </c>
      <c r="K14" s="4" t="s">
        <v>29</v>
      </c>
      <c r="L14" s="4" t="s">
        <v>148</v>
      </c>
      <c r="M14" s="4" t="s">
        <v>39</v>
      </c>
      <c r="N14" s="4" t="s">
        <v>39</v>
      </c>
      <c r="O14" s="4" t="s">
        <v>39</v>
      </c>
      <c r="P14" s="4" t="s">
        <v>829</v>
      </c>
      <c r="Q14" s="4" t="s">
        <v>38</v>
      </c>
      <c r="R14" s="4" t="s">
        <v>343</v>
      </c>
    </row>
    <row r="15" spans="2:18">
      <c r="B15" s="3" t="s">
        <v>27</v>
      </c>
      <c r="C15" s="3" t="s">
        <v>139</v>
      </c>
      <c r="D15" s="3" t="s">
        <v>39</v>
      </c>
      <c r="E15" s="3" t="s">
        <v>39</v>
      </c>
      <c r="F15" s="3" t="s">
        <v>39</v>
      </c>
      <c r="G15" s="3" t="s">
        <v>354</v>
      </c>
      <c r="H15" s="3" t="s">
        <v>38</v>
      </c>
      <c r="I15" s="3" t="s">
        <v>343</v>
      </c>
      <c r="K15" s="4" t="s">
        <v>132</v>
      </c>
      <c r="L15" s="4" t="s">
        <v>148</v>
      </c>
      <c r="M15" s="4" t="s">
        <v>39</v>
      </c>
      <c r="N15" s="4" t="s">
        <v>39</v>
      </c>
      <c r="O15" s="4" t="s">
        <v>39</v>
      </c>
      <c r="P15" s="4" t="s">
        <v>830</v>
      </c>
      <c r="Q15" s="4" t="s">
        <v>38</v>
      </c>
      <c r="R15" s="4" t="s">
        <v>343</v>
      </c>
    </row>
    <row r="16" spans="2:18">
      <c r="B16" s="3" t="s">
        <v>144</v>
      </c>
      <c r="C16" s="3" t="s">
        <v>139</v>
      </c>
      <c r="D16" s="3" t="s">
        <v>39</v>
      </c>
      <c r="E16" s="3" t="s">
        <v>39</v>
      </c>
      <c r="F16" s="3" t="s">
        <v>39</v>
      </c>
      <c r="G16" s="3" t="s">
        <v>355</v>
      </c>
      <c r="H16" s="3" t="s">
        <v>38</v>
      </c>
      <c r="I16" s="3" t="s">
        <v>343</v>
      </c>
      <c r="K16" s="4" t="s">
        <v>146</v>
      </c>
      <c r="L16" s="4" t="s">
        <v>148</v>
      </c>
      <c r="M16" s="4" t="s">
        <v>39</v>
      </c>
      <c r="N16" s="4" t="s">
        <v>39</v>
      </c>
      <c r="O16" s="4" t="s">
        <v>39</v>
      </c>
      <c r="P16" s="4" t="s">
        <v>831</v>
      </c>
      <c r="Q16" s="4" t="s">
        <v>38</v>
      </c>
      <c r="R16" s="4" t="s">
        <v>343</v>
      </c>
    </row>
    <row r="17" spans="2:18">
      <c r="B17" s="3" t="s">
        <v>137</v>
      </c>
      <c r="C17" s="3" t="s">
        <v>139</v>
      </c>
      <c r="D17" s="3" t="s">
        <v>39</v>
      </c>
      <c r="E17" s="3" t="s">
        <v>39</v>
      </c>
      <c r="F17" s="3" t="s">
        <v>39</v>
      </c>
      <c r="G17" s="3" t="s">
        <v>356</v>
      </c>
      <c r="H17" s="3" t="s">
        <v>38</v>
      </c>
      <c r="I17" s="3" t="s">
        <v>343</v>
      </c>
      <c r="K17" s="4" t="s">
        <v>144</v>
      </c>
      <c r="L17" s="4" t="s">
        <v>148</v>
      </c>
      <c r="M17" s="4" t="s">
        <v>39</v>
      </c>
      <c r="N17" s="4" t="s">
        <v>39</v>
      </c>
      <c r="O17" s="4" t="s">
        <v>39</v>
      </c>
      <c r="P17" s="4" t="s">
        <v>832</v>
      </c>
      <c r="Q17" s="4" t="s">
        <v>38</v>
      </c>
      <c r="R17" s="4" t="s">
        <v>343</v>
      </c>
    </row>
    <row r="18" spans="2:18">
      <c r="B18" s="3" t="s">
        <v>147</v>
      </c>
      <c r="C18" s="3" t="s">
        <v>139</v>
      </c>
      <c r="D18" s="3" t="s">
        <v>39</v>
      </c>
      <c r="E18" s="3" t="s">
        <v>39</v>
      </c>
      <c r="F18" s="3" t="s">
        <v>39</v>
      </c>
      <c r="G18" s="3" t="s">
        <v>357</v>
      </c>
      <c r="H18" s="3" t="s">
        <v>38</v>
      </c>
      <c r="I18" s="3" t="s">
        <v>343</v>
      </c>
      <c r="K18" s="4" t="s">
        <v>147</v>
      </c>
      <c r="L18" s="4" t="s">
        <v>148</v>
      </c>
      <c r="M18" s="4" t="s">
        <v>39</v>
      </c>
      <c r="N18" s="4" t="s">
        <v>39</v>
      </c>
      <c r="O18" s="4" t="s">
        <v>39</v>
      </c>
      <c r="P18" s="4" t="s">
        <v>833</v>
      </c>
      <c r="Q18" s="4" t="s">
        <v>38</v>
      </c>
      <c r="R18" s="4" t="s">
        <v>343</v>
      </c>
    </row>
    <row r="19" spans="2:18">
      <c r="B19" s="3" t="s">
        <v>134</v>
      </c>
      <c r="C19" s="3" t="s">
        <v>139</v>
      </c>
      <c r="D19" s="3" t="s">
        <v>39</v>
      </c>
      <c r="E19" s="3" t="s">
        <v>39</v>
      </c>
      <c r="F19" s="3" t="s">
        <v>39</v>
      </c>
      <c r="G19" s="3" t="s">
        <v>358</v>
      </c>
      <c r="H19" s="3" t="s">
        <v>38</v>
      </c>
      <c r="I19" s="3" t="s">
        <v>343</v>
      </c>
      <c r="K19" s="4" t="s">
        <v>142</v>
      </c>
      <c r="L19" s="4" t="s">
        <v>148</v>
      </c>
      <c r="M19" s="4" t="s">
        <v>39</v>
      </c>
      <c r="N19" s="4" t="s">
        <v>39</v>
      </c>
      <c r="O19" s="4" t="s">
        <v>39</v>
      </c>
      <c r="P19" s="4" t="s">
        <v>834</v>
      </c>
      <c r="Q19" s="4" t="s">
        <v>38</v>
      </c>
      <c r="R19" s="4" t="s">
        <v>343</v>
      </c>
    </row>
    <row r="20" spans="2:18">
      <c r="B20" s="3" t="s">
        <v>135</v>
      </c>
      <c r="C20" s="3" t="s">
        <v>139</v>
      </c>
      <c r="D20" s="3" t="s">
        <v>39</v>
      </c>
      <c r="E20" s="3" t="s">
        <v>39</v>
      </c>
      <c r="F20" s="3" t="s">
        <v>39</v>
      </c>
      <c r="G20" s="3" t="s">
        <v>359</v>
      </c>
      <c r="H20" s="3" t="s">
        <v>38</v>
      </c>
      <c r="I20" s="3" t="s">
        <v>343</v>
      </c>
      <c r="K20" s="4" t="s">
        <v>143</v>
      </c>
      <c r="L20" s="4" t="s">
        <v>148</v>
      </c>
      <c r="M20" s="4" t="s">
        <v>39</v>
      </c>
      <c r="N20" s="4" t="s">
        <v>39</v>
      </c>
      <c r="O20" s="4" t="s">
        <v>39</v>
      </c>
      <c r="P20" s="4" t="s">
        <v>835</v>
      </c>
      <c r="Q20" s="4" t="s">
        <v>38</v>
      </c>
      <c r="R20" s="4" t="s">
        <v>343</v>
      </c>
    </row>
    <row r="21" spans="2:18">
      <c r="B21" s="3" t="s">
        <v>142</v>
      </c>
      <c r="C21" s="3" t="s">
        <v>139</v>
      </c>
      <c r="D21" s="3" t="s">
        <v>39</v>
      </c>
      <c r="E21" s="3" t="s">
        <v>39</v>
      </c>
      <c r="F21" s="3" t="s">
        <v>39</v>
      </c>
      <c r="G21" s="3" t="s">
        <v>360</v>
      </c>
      <c r="H21" s="3" t="s">
        <v>38</v>
      </c>
      <c r="I21" s="3" t="s">
        <v>343</v>
      </c>
      <c r="K21" s="4" t="s">
        <v>145</v>
      </c>
      <c r="L21" s="4" t="s">
        <v>148</v>
      </c>
      <c r="M21" s="4" t="s">
        <v>39</v>
      </c>
      <c r="N21" s="4" t="s">
        <v>39</v>
      </c>
      <c r="O21" s="4" t="s">
        <v>39</v>
      </c>
      <c r="P21" s="4" t="s">
        <v>836</v>
      </c>
      <c r="Q21" s="4" t="s">
        <v>38</v>
      </c>
      <c r="R21" s="4" t="s">
        <v>343</v>
      </c>
    </row>
    <row r="22" spans="2:18">
      <c r="B22" s="3" t="s">
        <v>143</v>
      </c>
      <c r="C22" s="3" t="s">
        <v>139</v>
      </c>
      <c r="D22" s="3" t="s">
        <v>39</v>
      </c>
      <c r="E22" s="3" t="s">
        <v>39</v>
      </c>
      <c r="F22" s="3" t="s">
        <v>39</v>
      </c>
      <c r="G22" s="3" t="s">
        <v>361</v>
      </c>
      <c r="H22" s="3" t="s">
        <v>38</v>
      </c>
      <c r="I22" s="3" t="s">
        <v>343</v>
      </c>
      <c r="K22" s="4" t="s">
        <v>141</v>
      </c>
      <c r="L22" s="4" t="s">
        <v>148</v>
      </c>
      <c r="M22" s="4" t="s">
        <v>39</v>
      </c>
      <c r="N22" s="4" t="s">
        <v>39</v>
      </c>
      <c r="O22" s="4" t="s">
        <v>39</v>
      </c>
      <c r="P22" s="4" t="s">
        <v>837</v>
      </c>
      <c r="Q22" s="4" t="s">
        <v>38</v>
      </c>
      <c r="R22" s="4" t="s">
        <v>343</v>
      </c>
    </row>
    <row r="23" spans="2:18">
      <c r="B23" s="3" t="s">
        <v>145</v>
      </c>
      <c r="C23" s="3" t="s">
        <v>139</v>
      </c>
      <c r="D23" s="3" t="s">
        <v>39</v>
      </c>
      <c r="E23" s="3" t="s">
        <v>39</v>
      </c>
      <c r="F23" s="3" t="s">
        <v>39</v>
      </c>
      <c r="G23" s="3" t="s">
        <v>362</v>
      </c>
      <c r="H23" s="3" t="s">
        <v>38</v>
      </c>
      <c r="I23" s="3" t="s">
        <v>343</v>
      </c>
      <c r="K23" s="4" t="s">
        <v>116</v>
      </c>
      <c r="L23" s="4" t="s">
        <v>148</v>
      </c>
      <c r="M23" s="4" t="s">
        <v>39</v>
      </c>
      <c r="N23" s="4" t="s">
        <v>39</v>
      </c>
      <c r="O23" s="4" t="s">
        <v>39</v>
      </c>
      <c r="P23" s="4" t="s">
        <v>838</v>
      </c>
      <c r="Q23" s="4" t="s">
        <v>38</v>
      </c>
      <c r="R23" s="4" t="s">
        <v>343</v>
      </c>
    </row>
    <row r="24" spans="2:18">
      <c r="B24" s="3" t="s">
        <v>140</v>
      </c>
      <c r="C24" s="3" t="s">
        <v>139</v>
      </c>
      <c r="D24" s="3" t="s">
        <v>39</v>
      </c>
      <c r="E24" s="3" t="s">
        <v>39</v>
      </c>
      <c r="F24" s="3" t="s">
        <v>39</v>
      </c>
      <c r="G24" s="3" t="s">
        <v>363</v>
      </c>
      <c r="H24" s="3" t="s">
        <v>38</v>
      </c>
      <c r="I24" s="3" t="s">
        <v>343</v>
      </c>
      <c r="K24" s="4" t="s">
        <v>152</v>
      </c>
      <c r="L24" s="4" t="s">
        <v>148</v>
      </c>
      <c r="M24" s="4" t="s">
        <v>39</v>
      </c>
      <c r="N24" s="4" t="s">
        <v>39</v>
      </c>
      <c r="O24" s="4" t="s">
        <v>39</v>
      </c>
      <c r="P24" s="4" t="s">
        <v>839</v>
      </c>
      <c r="Q24" s="4" t="s">
        <v>38</v>
      </c>
      <c r="R24" s="4" t="s">
        <v>343</v>
      </c>
    </row>
    <row r="25" spans="2:18">
      <c r="B25" s="3" t="s">
        <v>141</v>
      </c>
      <c r="C25" s="3" t="s">
        <v>139</v>
      </c>
      <c r="D25" s="3" t="s">
        <v>39</v>
      </c>
      <c r="E25" s="3" t="s">
        <v>39</v>
      </c>
      <c r="F25" s="3" t="s">
        <v>39</v>
      </c>
      <c r="G25" s="3" t="s">
        <v>364</v>
      </c>
      <c r="H25" s="3" t="s">
        <v>38</v>
      </c>
      <c r="I25" s="3" t="s">
        <v>343</v>
      </c>
      <c r="K25" s="4" t="s">
        <v>155</v>
      </c>
      <c r="L25" s="4" t="s">
        <v>148</v>
      </c>
      <c r="M25" s="4" t="s">
        <v>39</v>
      </c>
      <c r="N25" s="4" t="s">
        <v>39</v>
      </c>
      <c r="O25" s="4" t="s">
        <v>39</v>
      </c>
      <c r="P25" s="4" t="s">
        <v>840</v>
      </c>
      <c r="Q25" s="4" t="s">
        <v>38</v>
      </c>
      <c r="R25" s="4" t="s">
        <v>343</v>
      </c>
    </row>
    <row r="26" spans="2:18">
      <c r="B26" s="3" t="s">
        <v>148</v>
      </c>
      <c r="C26" s="3" t="s">
        <v>139</v>
      </c>
      <c r="D26" s="3" t="s">
        <v>39</v>
      </c>
      <c r="E26" s="3" t="s">
        <v>39</v>
      </c>
      <c r="F26" s="3" t="s">
        <v>39</v>
      </c>
      <c r="G26" s="3" t="s">
        <v>365</v>
      </c>
      <c r="H26" s="3" t="s">
        <v>38</v>
      </c>
      <c r="I26" s="3" t="s">
        <v>343</v>
      </c>
      <c r="K26" s="4" t="s">
        <v>151</v>
      </c>
      <c r="L26" s="4" t="s">
        <v>116</v>
      </c>
      <c r="M26" s="4" t="s">
        <v>39</v>
      </c>
      <c r="N26" s="4" t="s">
        <v>39</v>
      </c>
      <c r="O26" s="4" t="s">
        <v>39</v>
      </c>
      <c r="P26" s="4" t="s">
        <v>841</v>
      </c>
      <c r="Q26" s="4" t="s">
        <v>38</v>
      </c>
      <c r="R26" s="4" t="s">
        <v>343</v>
      </c>
    </row>
    <row r="27" spans="2:18">
      <c r="B27" s="3" t="s">
        <v>116</v>
      </c>
      <c r="C27" s="3" t="s">
        <v>139</v>
      </c>
      <c r="D27" s="3" t="s">
        <v>39</v>
      </c>
      <c r="E27" s="3" t="s">
        <v>39</v>
      </c>
      <c r="F27" s="3" t="s">
        <v>39</v>
      </c>
      <c r="G27" s="3" t="s">
        <v>366</v>
      </c>
      <c r="H27" s="3" t="s">
        <v>38</v>
      </c>
      <c r="I27" s="3" t="s">
        <v>343</v>
      </c>
      <c r="K27" s="4" t="s">
        <v>135</v>
      </c>
      <c r="L27" s="4" t="s">
        <v>116</v>
      </c>
      <c r="M27" s="4" t="s">
        <v>39</v>
      </c>
      <c r="N27" s="4" t="s">
        <v>39</v>
      </c>
      <c r="O27" s="4" t="s">
        <v>39</v>
      </c>
      <c r="P27" s="4" t="s">
        <v>842</v>
      </c>
      <c r="Q27" s="4" t="s">
        <v>38</v>
      </c>
      <c r="R27" s="4" t="s">
        <v>343</v>
      </c>
    </row>
    <row r="28" spans="2:18">
      <c r="B28" s="3" t="s">
        <v>136</v>
      </c>
      <c r="C28" s="3" t="s">
        <v>139</v>
      </c>
      <c r="D28" s="3" t="s">
        <v>39</v>
      </c>
      <c r="E28" s="3" t="s">
        <v>39</v>
      </c>
      <c r="F28" s="3" t="s">
        <v>39</v>
      </c>
      <c r="G28" s="3" t="s">
        <v>367</v>
      </c>
      <c r="H28" s="3" t="s">
        <v>38</v>
      </c>
      <c r="I28" s="3" t="s">
        <v>343</v>
      </c>
      <c r="K28" s="4" t="s">
        <v>29</v>
      </c>
      <c r="L28" s="4" t="s">
        <v>116</v>
      </c>
      <c r="M28" s="4" t="s">
        <v>39</v>
      </c>
      <c r="N28" s="4" t="s">
        <v>39</v>
      </c>
      <c r="O28" s="4" t="s">
        <v>39</v>
      </c>
      <c r="P28" s="4" t="s">
        <v>843</v>
      </c>
      <c r="Q28" s="4" t="s">
        <v>38</v>
      </c>
      <c r="R28" s="4" t="s">
        <v>343</v>
      </c>
    </row>
    <row r="29" spans="2:18">
      <c r="B29" s="3" t="s">
        <v>152</v>
      </c>
      <c r="C29" s="3" t="s">
        <v>139</v>
      </c>
      <c r="D29" s="3" t="s">
        <v>39</v>
      </c>
      <c r="E29" s="3" t="s">
        <v>39</v>
      </c>
      <c r="F29" s="3" t="s">
        <v>39</v>
      </c>
      <c r="G29" s="3" t="s">
        <v>368</v>
      </c>
      <c r="H29" s="3" t="s">
        <v>38</v>
      </c>
      <c r="I29" s="3" t="s">
        <v>343</v>
      </c>
      <c r="K29" s="4" t="s">
        <v>132</v>
      </c>
      <c r="L29" s="4" t="s">
        <v>116</v>
      </c>
      <c r="M29" s="4" t="s">
        <v>39</v>
      </c>
      <c r="N29" s="4" t="s">
        <v>39</v>
      </c>
      <c r="O29" s="4" t="s">
        <v>39</v>
      </c>
      <c r="P29" s="4" t="s">
        <v>844</v>
      </c>
      <c r="Q29" s="4" t="s">
        <v>38</v>
      </c>
      <c r="R29" s="4" t="s">
        <v>343</v>
      </c>
    </row>
    <row r="30" spans="2:18">
      <c r="B30" s="3" t="s">
        <v>29</v>
      </c>
      <c r="C30" s="3" t="s">
        <v>139</v>
      </c>
      <c r="D30" s="3" t="s">
        <v>39</v>
      </c>
      <c r="E30" s="3" t="s">
        <v>39</v>
      </c>
      <c r="F30" s="3" t="s">
        <v>39</v>
      </c>
      <c r="G30" s="3" t="s">
        <v>369</v>
      </c>
      <c r="H30" s="3" t="s">
        <v>38</v>
      </c>
      <c r="I30" s="3" t="s">
        <v>343</v>
      </c>
      <c r="K30" s="4" t="s">
        <v>146</v>
      </c>
      <c r="L30" s="4" t="s">
        <v>116</v>
      </c>
      <c r="M30" s="4" t="s">
        <v>39</v>
      </c>
      <c r="N30" s="4" t="s">
        <v>39</v>
      </c>
      <c r="O30" s="4" t="s">
        <v>39</v>
      </c>
      <c r="P30" s="4" t="s">
        <v>845</v>
      </c>
      <c r="Q30" s="4" t="s">
        <v>38</v>
      </c>
      <c r="R30" s="4" t="s">
        <v>343</v>
      </c>
    </row>
    <row r="31" spans="2:18">
      <c r="B31" s="3" t="s">
        <v>155</v>
      </c>
      <c r="C31" s="3" t="s">
        <v>139</v>
      </c>
      <c r="D31" s="3" t="s">
        <v>39</v>
      </c>
      <c r="E31" s="3" t="s">
        <v>39</v>
      </c>
      <c r="F31" s="3" t="s">
        <v>39</v>
      </c>
      <c r="G31" s="3" t="s">
        <v>370</v>
      </c>
      <c r="H31" s="3" t="s">
        <v>38</v>
      </c>
      <c r="I31" s="3" t="s">
        <v>343</v>
      </c>
      <c r="K31" s="4" t="s">
        <v>144</v>
      </c>
      <c r="L31" s="4" t="s">
        <v>116</v>
      </c>
      <c r="M31" s="4" t="s">
        <v>39</v>
      </c>
      <c r="N31" s="4" t="s">
        <v>39</v>
      </c>
      <c r="O31" s="4" t="s">
        <v>39</v>
      </c>
      <c r="P31" s="4" t="s">
        <v>846</v>
      </c>
      <c r="Q31" s="4" t="s">
        <v>38</v>
      </c>
      <c r="R31" s="4" t="s">
        <v>343</v>
      </c>
    </row>
    <row r="32" spans="2:18">
      <c r="B32" s="3" t="s">
        <v>138</v>
      </c>
      <c r="C32" s="3" t="s">
        <v>134</v>
      </c>
      <c r="D32" s="3" t="s">
        <v>39</v>
      </c>
      <c r="E32" s="3" t="s">
        <v>39</v>
      </c>
      <c r="F32" s="3" t="s">
        <v>39</v>
      </c>
      <c r="G32" s="3" t="s">
        <v>371</v>
      </c>
      <c r="H32" s="3" t="s">
        <v>38</v>
      </c>
      <c r="I32" s="3" t="s">
        <v>343</v>
      </c>
      <c r="K32" s="4" t="s">
        <v>147</v>
      </c>
      <c r="L32" s="4" t="s">
        <v>116</v>
      </c>
      <c r="M32" s="4" t="s">
        <v>39</v>
      </c>
      <c r="N32" s="4" t="s">
        <v>39</v>
      </c>
      <c r="O32" s="4" t="s">
        <v>39</v>
      </c>
      <c r="P32" s="4" t="s">
        <v>847</v>
      </c>
      <c r="Q32" s="4" t="s">
        <v>38</v>
      </c>
      <c r="R32" s="4" t="s">
        <v>343</v>
      </c>
    </row>
    <row r="33" spans="2:18">
      <c r="B33" s="3" t="s">
        <v>149</v>
      </c>
      <c r="C33" s="3" t="s">
        <v>134</v>
      </c>
      <c r="D33" s="3" t="s">
        <v>39</v>
      </c>
      <c r="E33" s="3" t="s">
        <v>39</v>
      </c>
      <c r="F33" s="3" t="s">
        <v>39</v>
      </c>
      <c r="G33" s="3" t="s">
        <v>372</v>
      </c>
      <c r="H33" s="3" t="s">
        <v>38</v>
      </c>
      <c r="I33" s="3" t="s">
        <v>343</v>
      </c>
      <c r="K33" s="4" t="s">
        <v>142</v>
      </c>
      <c r="L33" s="4" t="s">
        <v>116</v>
      </c>
      <c r="M33" s="4" t="s">
        <v>39</v>
      </c>
      <c r="N33" s="4" t="s">
        <v>39</v>
      </c>
      <c r="O33" s="4" t="s">
        <v>39</v>
      </c>
      <c r="P33" s="4" t="s">
        <v>848</v>
      </c>
      <c r="Q33" s="4" t="s">
        <v>38</v>
      </c>
      <c r="R33" s="4" t="s">
        <v>343</v>
      </c>
    </row>
    <row r="34" spans="2:18">
      <c r="B34" s="3" t="s">
        <v>132</v>
      </c>
      <c r="C34" s="3" t="s">
        <v>134</v>
      </c>
      <c r="D34" s="3" t="s">
        <v>39</v>
      </c>
      <c r="E34" s="3" t="s">
        <v>39</v>
      </c>
      <c r="F34" s="3" t="s">
        <v>39</v>
      </c>
      <c r="G34" s="3" t="s">
        <v>373</v>
      </c>
      <c r="H34" s="3" t="s">
        <v>38</v>
      </c>
      <c r="I34" s="3" t="s">
        <v>343</v>
      </c>
      <c r="K34" s="4" t="s">
        <v>143</v>
      </c>
      <c r="L34" s="4" t="s">
        <v>116</v>
      </c>
      <c r="M34" s="4" t="s">
        <v>39</v>
      </c>
      <c r="N34" s="4" t="s">
        <v>39</v>
      </c>
      <c r="O34" s="4" t="s">
        <v>39</v>
      </c>
      <c r="P34" s="4" t="s">
        <v>849</v>
      </c>
      <c r="Q34" s="4" t="s">
        <v>38</v>
      </c>
      <c r="R34" s="4" t="s">
        <v>343</v>
      </c>
    </row>
    <row r="35" spans="2:18">
      <c r="B35" s="3" t="s">
        <v>133</v>
      </c>
      <c r="C35" s="3" t="s">
        <v>134</v>
      </c>
      <c r="D35" s="3" t="s">
        <v>39</v>
      </c>
      <c r="E35" s="3" t="s">
        <v>39</v>
      </c>
      <c r="F35" s="3" t="s">
        <v>39</v>
      </c>
      <c r="G35" s="3" t="s">
        <v>374</v>
      </c>
      <c r="H35" s="3" t="s">
        <v>38</v>
      </c>
      <c r="I35" s="3" t="s">
        <v>343</v>
      </c>
      <c r="K35" s="4" t="s">
        <v>145</v>
      </c>
      <c r="L35" s="4" t="s">
        <v>116</v>
      </c>
      <c r="M35" s="4" t="s">
        <v>39</v>
      </c>
      <c r="N35" s="4" t="s">
        <v>39</v>
      </c>
      <c r="O35" s="4" t="s">
        <v>39</v>
      </c>
      <c r="P35" s="4" t="s">
        <v>850</v>
      </c>
      <c r="Q35" s="4" t="s">
        <v>38</v>
      </c>
      <c r="R35" s="4" t="s">
        <v>343</v>
      </c>
    </row>
    <row r="36" spans="2:18">
      <c r="B36" s="3" t="s">
        <v>28</v>
      </c>
      <c r="C36" s="3" t="s">
        <v>134</v>
      </c>
      <c r="D36" s="3" t="s">
        <v>39</v>
      </c>
      <c r="E36" s="3" t="s">
        <v>39</v>
      </c>
      <c r="F36" s="3" t="s">
        <v>39</v>
      </c>
      <c r="G36" s="3" t="s">
        <v>375</v>
      </c>
      <c r="H36" s="3" t="s">
        <v>38</v>
      </c>
      <c r="I36" s="3" t="s">
        <v>343</v>
      </c>
      <c r="K36" s="4" t="s">
        <v>141</v>
      </c>
      <c r="L36" s="4" t="s">
        <v>116</v>
      </c>
      <c r="M36" s="4" t="s">
        <v>39</v>
      </c>
      <c r="N36" s="4" t="s">
        <v>39</v>
      </c>
      <c r="O36" s="4" t="s">
        <v>39</v>
      </c>
      <c r="P36" s="4" t="s">
        <v>851</v>
      </c>
      <c r="Q36" s="4" t="s">
        <v>38</v>
      </c>
      <c r="R36" s="4" t="s">
        <v>343</v>
      </c>
    </row>
    <row r="37" spans="2:18">
      <c r="B37" s="3" t="s">
        <v>150</v>
      </c>
      <c r="C37" s="3" t="s">
        <v>134</v>
      </c>
      <c r="D37" s="3" t="s">
        <v>39</v>
      </c>
      <c r="E37" s="3" t="s">
        <v>39</v>
      </c>
      <c r="F37" s="3" t="s">
        <v>39</v>
      </c>
      <c r="G37" s="3" t="s">
        <v>376</v>
      </c>
      <c r="H37" s="3" t="s">
        <v>38</v>
      </c>
      <c r="I37" s="3" t="s">
        <v>343</v>
      </c>
      <c r="K37" s="4" t="s">
        <v>152</v>
      </c>
      <c r="L37" s="4" t="s">
        <v>116</v>
      </c>
      <c r="M37" s="4" t="s">
        <v>39</v>
      </c>
      <c r="N37" s="4" t="s">
        <v>39</v>
      </c>
      <c r="O37" s="4" t="s">
        <v>39</v>
      </c>
      <c r="P37" s="4" t="s">
        <v>852</v>
      </c>
      <c r="Q37" s="4" t="s">
        <v>38</v>
      </c>
      <c r="R37" s="4" t="s">
        <v>343</v>
      </c>
    </row>
    <row r="38" spans="2:18">
      <c r="B38" s="3" t="s">
        <v>151</v>
      </c>
      <c r="C38" s="3" t="s">
        <v>134</v>
      </c>
      <c r="D38" s="3" t="s">
        <v>39</v>
      </c>
      <c r="E38" s="3" t="s">
        <v>39</v>
      </c>
      <c r="F38" s="3" t="s">
        <v>39</v>
      </c>
      <c r="G38" s="3" t="s">
        <v>377</v>
      </c>
      <c r="H38" s="3" t="s">
        <v>38</v>
      </c>
      <c r="I38" s="3" t="s">
        <v>343</v>
      </c>
      <c r="K38" s="4" t="s">
        <v>155</v>
      </c>
      <c r="L38" s="4" t="s">
        <v>116</v>
      </c>
      <c r="M38" s="4" t="s">
        <v>39</v>
      </c>
      <c r="N38" s="4" t="s">
        <v>39</v>
      </c>
      <c r="O38" s="4" t="s">
        <v>39</v>
      </c>
      <c r="P38" s="4" t="s">
        <v>853</v>
      </c>
      <c r="Q38" s="4" t="s">
        <v>38</v>
      </c>
      <c r="R38" s="4" t="s">
        <v>343</v>
      </c>
    </row>
    <row r="39" spans="2:18">
      <c r="B39" s="3" t="s">
        <v>153</v>
      </c>
      <c r="C39" s="3" t="s">
        <v>134</v>
      </c>
      <c r="D39" s="3" t="s">
        <v>39</v>
      </c>
      <c r="E39" s="3" t="s">
        <v>39</v>
      </c>
      <c r="F39" s="3" t="s">
        <v>39</v>
      </c>
      <c r="G39" s="3" t="s">
        <v>378</v>
      </c>
      <c r="H39" s="3" t="s">
        <v>38</v>
      </c>
      <c r="I39" s="3" t="s">
        <v>343</v>
      </c>
      <c r="K39" s="4" t="s">
        <v>148</v>
      </c>
      <c r="L39" s="4" t="s">
        <v>116</v>
      </c>
      <c r="M39" s="4" t="s">
        <v>39</v>
      </c>
      <c r="N39" s="4" t="s">
        <v>39</v>
      </c>
      <c r="O39" s="4" t="s">
        <v>39</v>
      </c>
      <c r="P39" s="4" t="s">
        <v>854</v>
      </c>
      <c r="Q39" s="4" t="s">
        <v>38</v>
      </c>
      <c r="R39" s="4" t="s">
        <v>343</v>
      </c>
    </row>
    <row r="40" spans="2:18">
      <c r="B40" s="3" t="s">
        <v>154</v>
      </c>
      <c r="C40" s="3" t="s">
        <v>134</v>
      </c>
      <c r="D40" s="3" t="s">
        <v>39</v>
      </c>
      <c r="E40" s="3" t="s">
        <v>39</v>
      </c>
      <c r="F40" s="3" t="s">
        <v>39</v>
      </c>
      <c r="G40" s="3" t="s">
        <v>379</v>
      </c>
      <c r="H40" s="3" t="s">
        <v>38</v>
      </c>
      <c r="I40" s="3" t="s">
        <v>343</v>
      </c>
      <c r="K40" s="4" t="s">
        <v>151</v>
      </c>
      <c r="L40" s="4" t="s">
        <v>144</v>
      </c>
      <c r="M40" s="4" t="s">
        <v>39</v>
      </c>
      <c r="N40" s="4" t="s">
        <v>39</v>
      </c>
      <c r="O40" s="4" t="s">
        <v>39</v>
      </c>
      <c r="P40" s="4" t="s">
        <v>855</v>
      </c>
      <c r="Q40" s="4" t="s">
        <v>38</v>
      </c>
      <c r="R40" s="4" t="s">
        <v>343</v>
      </c>
    </row>
    <row r="41" spans="2:18">
      <c r="B41" s="3" t="s">
        <v>146</v>
      </c>
      <c r="C41" s="3" t="s">
        <v>134</v>
      </c>
      <c r="D41" s="3" t="s">
        <v>39</v>
      </c>
      <c r="E41" s="3" t="s">
        <v>39</v>
      </c>
      <c r="F41" s="3" t="s">
        <v>39</v>
      </c>
      <c r="G41" s="3" t="s">
        <v>380</v>
      </c>
      <c r="H41" s="3" t="s">
        <v>38</v>
      </c>
      <c r="I41" s="3" t="s">
        <v>343</v>
      </c>
      <c r="K41" s="4" t="s">
        <v>135</v>
      </c>
      <c r="L41" s="4" t="s">
        <v>144</v>
      </c>
      <c r="M41" s="4" t="s">
        <v>39</v>
      </c>
      <c r="N41" s="4" t="s">
        <v>39</v>
      </c>
      <c r="O41" s="4" t="s">
        <v>39</v>
      </c>
      <c r="P41" s="4" t="s">
        <v>856</v>
      </c>
      <c r="Q41" s="4" t="s">
        <v>38</v>
      </c>
      <c r="R41" s="4" t="s">
        <v>343</v>
      </c>
    </row>
    <row r="42" spans="2:18">
      <c r="B42" s="3" t="s">
        <v>156</v>
      </c>
      <c r="C42" s="3" t="s">
        <v>134</v>
      </c>
      <c r="D42" s="3" t="s">
        <v>39</v>
      </c>
      <c r="E42" s="3" t="s">
        <v>39</v>
      </c>
      <c r="F42" s="3" t="s">
        <v>39</v>
      </c>
      <c r="G42" s="3" t="s">
        <v>381</v>
      </c>
      <c r="H42" s="3" t="s">
        <v>38</v>
      </c>
      <c r="I42" s="3" t="s">
        <v>343</v>
      </c>
      <c r="K42" s="4" t="s">
        <v>29</v>
      </c>
      <c r="L42" s="4" t="s">
        <v>144</v>
      </c>
      <c r="M42" s="4" t="s">
        <v>39</v>
      </c>
      <c r="N42" s="4" t="s">
        <v>39</v>
      </c>
      <c r="O42" s="4" t="s">
        <v>39</v>
      </c>
      <c r="P42" s="4" t="s">
        <v>857</v>
      </c>
      <c r="Q42" s="4" t="s">
        <v>38</v>
      </c>
      <c r="R42" s="4" t="s">
        <v>343</v>
      </c>
    </row>
    <row r="43" spans="2:18">
      <c r="B43" s="3" t="s">
        <v>27</v>
      </c>
      <c r="C43" s="3" t="s">
        <v>134</v>
      </c>
      <c r="D43" s="3" t="s">
        <v>39</v>
      </c>
      <c r="E43" s="3" t="s">
        <v>39</v>
      </c>
      <c r="F43" s="3" t="s">
        <v>39</v>
      </c>
      <c r="G43" s="3" t="s">
        <v>382</v>
      </c>
      <c r="H43" s="3" t="s">
        <v>38</v>
      </c>
      <c r="I43" s="3" t="s">
        <v>343</v>
      </c>
      <c r="K43" s="4" t="s">
        <v>132</v>
      </c>
      <c r="L43" s="4" t="s">
        <v>144</v>
      </c>
      <c r="M43" s="4" t="s">
        <v>39</v>
      </c>
      <c r="N43" s="4" t="s">
        <v>39</v>
      </c>
      <c r="O43" s="4" t="s">
        <v>39</v>
      </c>
      <c r="P43" s="4" t="s">
        <v>858</v>
      </c>
      <c r="Q43" s="4" t="s">
        <v>38</v>
      </c>
      <c r="R43" s="4" t="s">
        <v>343</v>
      </c>
    </row>
    <row r="44" spans="2:18">
      <c r="B44" s="3" t="s">
        <v>144</v>
      </c>
      <c r="C44" s="3" t="s">
        <v>134</v>
      </c>
      <c r="D44" s="3" t="s">
        <v>39</v>
      </c>
      <c r="E44" s="3" t="s">
        <v>39</v>
      </c>
      <c r="F44" s="3" t="s">
        <v>39</v>
      </c>
      <c r="G44" s="3" t="s">
        <v>383</v>
      </c>
      <c r="H44" s="3" t="s">
        <v>38</v>
      </c>
      <c r="I44" s="3" t="s">
        <v>343</v>
      </c>
      <c r="K44" s="4" t="s">
        <v>146</v>
      </c>
      <c r="L44" s="4" t="s">
        <v>144</v>
      </c>
      <c r="M44" s="4" t="s">
        <v>39</v>
      </c>
      <c r="N44" s="4" t="s">
        <v>39</v>
      </c>
      <c r="O44" s="4" t="s">
        <v>39</v>
      </c>
      <c r="P44" s="4" t="s">
        <v>859</v>
      </c>
      <c r="Q44" s="4" t="s">
        <v>38</v>
      </c>
      <c r="R44" s="4" t="s">
        <v>343</v>
      </c>
    </row>
    <row r="45" spans="2:18">
      <c r="B45" s="3" t="s">
        <v>137</v>
      </c>
      <c r="C45" s="3" t="s">
        <v>134</v>
      </c>
      <c r="D45" s="3" t="s">
        <v>39</v>
      </c>
      <c r="E45" s="3" t="s">
        <v>39</v>
      </c>
      <c r="F45" s="3" t="s">
        <v>39</v>
      </c>
      <c r="G45" s="3" t="s">
        <v>384</v>
      </c>
      <c r="H45" s="3" t="s">
        <v>38</v>
      </c>
      <c r="I45" s="3" t="s">
        <v>343</v>
      </c>
      <c r="K45" s="4" t="s">
        <v>147</v>
      </c>
      <c r="L45" s="4" t="s">
        <v>144</v>
      </c>
      <c r="M45" s="4" t="s">
        <v>39</v>
      </c>
      <c r="N45" s="4" t="s">
        <v>39</v>
      </c>
      <c r="O45" s="4" t="s">
        <v>39</v>
      </c>
      <c r="P45" s="4" t="s">
        <v>860</v>
      </c>
      <c r="Q45" s="4" t="s">
        <v>38</v>
      </c>
      <c r="R45" s="4" t="s">
        <v>343</v>
      </c>
    </row>
    <row r="46" spans="2:18">
      <c r="B46" s="3" t="s">
        <v>147</v>
      </c>
      <c r="C46" s="3" t="s">
        <v>134</v>
      </c>
      <c r="D46" s="3" t="s">
        <v>39</v>
      </c>
      <c r="E46" s="3" t="s">
        <v>39</v>
      </c>
      <c r="F46" s="3" t="s">
        <v>39</v>
      </c>
      <c r="G46" s="3" t="s">
        <v>385</v>
      </c>
      <c r="H46" s="3" t="s">
        <v>38</v>
      </c>
      <c r="I46" s="3" t="s">
        <v>343</v>
      </c>
      <c r="K46" s="4" t="s">
        <v>142</v>
      </c>
      <c r="L46" s="4" t="s">
        <v>144</v>
      </c>
      <c r="M46" s="4" t="s">
        <v>39</v>
      </c>
      <c r="N46" s="4" t="s">
        <v>39</v>
      </c>
      <c r="O46" s="4" t="s">
        <v>39</v>
      </c>
      <c r="P46" s="4" t="s">
        <v>861</v>
      </c>
      <c r="Q46" s="4" t="s">
        <v>38</v>
      </c>
      <c r="R46" s="4" t="s">
        <v>343</v>
      </c>
    </row>
    <row r="47" spans="2:18">
      <c r="B47" s="3" t="s">
        <v>135</v>
      </c>
      <c r="C47" s="3" t="s">
        <v>134</v>
      </c>
      <c r="D47" s="3" t="s">
        <v>39</v>
      </c>
      <c r="E47" s="3" t="s">
        <v>39</v>
      </c>
      <c r="F47" s="3" t="s">
        <v>39</v>
      </c>
      <c r="G47" s="3" t="s">
        <v>386</v>
      </c>
      <c r="H47" s="3" t="s">
        <v>38</v>
      </c>
      <c r="I47" s="3" t="s">
        <v>343</v>
      </c>
      <c r="K47" s="4" t="s">
        <v>143</v>
      </c>
      <c r="L47" s="4" t="s">
        <v>144</v>
      </c>
      <c r="M47" s="4" t="s">
        <v>39</v>
      </c>
      <c r="N47" s="4" t="s">
        <v>39</v>
      </c>
      <c r="O47" s="4" t="s">
        <v>39</v>
      </c>
      <c r="P47" s="4" t="s">
        <v>862</v>
      </c>
      <c r="Q47" s="4" t="s">
        <v>38</v>
      </c>
      <c r="R47" s="4" t="s">
        <v>343</v>
      </c>
    </row>
    <row r="48" spans="2:18">
      <c r="B48" s="3" t="s">
        <v>142</v>
      </c>
      <c r="C48" s="3" t="s">
        <v>134</v>
      </c>
      <c r="D48" s="3" t="s">
        <v>39</v>
      </c>
      <c r="E48" s="3" t="s">
        <v>39</v>
      </c>
      <c r="F48" s="3" t="s">
        <v>39</v>
      </c>
      <c r="G48" s="3" t="s">
        <v>387</v>
      </c>
      <c r="H48" s="3" t="s">
        <v>38</v>
      </c>
      <c r="I48" s="3" t="s">
        <v>343</v>
      </c>
      <c r="K48" s="4" t="s">
        <v>145</v>
      </c>
      <c r="L48" s="4" t="s">
        <v>144</v>
      </c>
      <c r="M48" s="4" t="s">
        <v>39</v>
      </c>
      <c r="N48" s="4" t="s">
        <v>39</v>
      </c>
      <c r="O48" s="4" t="s">
        <v>39</v>
      </c>
      <c r="P48" s="4" t="s">
        <v>863</v>
      </c>
      <c r="Q48" s="4" t="s">
        <v>38</v>
      </c>
      <c r="R48" s="4" t="s">
        <v>343</v>
      </c>
    </row>
    <row r="49" spans="2:18">
      <c r="B49" s="3" t="s">
        <v>143</v>
      </c>
      <c r="C49" s="3" t="s">
        <v>134</v>
      </c>
      <c r="D49" s="3" t="s">
        <v>39</v>
      </c>
      <c r="E49" s="3" t="s">
        <v>39</v>
      </c>
      <c r="F49" s="3" t="s">
        <v>39</v>
      </c>
      <c r="G49" s="3" t="s">
        <v>388</v>
      </c>
      <c r="H49" s="3" t="s">
        <v>38</v>
      </c>
      <c r="I49" s="3" t="s">
        <v>343</v>
      </c>
      <c r="K49" s="4" t="s">
        <v>141</v>
      </c>
      <c r="L49" s="4" t="s">
        <v>144</v>
      </c>
      <c r="M49" s="4" t="s">
        <v>39</v>
      </c>
      <c r="N49" s="4" t="s">
        <v>39</v>
      </c>
      <c r="O49" s="4" t="s">
        <v>39</v>
      </c>
      <c r="P49" s="4" t="s">
        <v>864</v>
      </c>
      <c r="Q49" s="4" t="s">
        <v>38</v>
      </c>
      <c r="R49" s="4" t="s">
        <v>343</v>
      </c>
    </row>
    <row r="50" spans="2:18">
      <c r="B50" s="3" t="s">
        <v>145</v>
      </c>
      <c r="C50" s="3" t="s">
        <v>134</v>
      </c>
      <c r="D50" s="3" t="s">
        <v>39</v>
      </c>
      <c r="E50" s="3" t="s">
        <v>39</v>
      </c>
      <c r="F50" s="3" t="s">
        <v>39</v>
      </c>
      <c r="G50" s="3" t="s">
        <v>389</v>
      </c>
      <c r="H50" s="3" t="s">
        <v>38</v>
      </c>
      <c r="I50" s="3" t="s">
        <v>343</v>
      </c>
      <c r="K50" s="4" t="s">
        <v>116</v>
      </c>
      <c r="L50" s="4" t="s">
        <v>144</v>
      </c>
      <c r="M50" s="4" t="s">
        <v>39</v>
      </c>
      <c r="N50" s="4" t="s">
        <v>39</v>
      </c>
      <c r="O50" s="4" t="s">
        <v>39</v>
      </c>
      <c r="P50" s="4" t="s">
        <v>865</v>
      </c>
      <c r="Q50" s="4" t="s">
        <v>38</v>
      </c>
      <c r="R50" s="4" t="s">
        <v>343</v>
      </c>
    </row>
    <row r="51" spans="2:18">
      <c r="B51" s="3" t="s">
        <v>140</v>
      </c>
      <c r="C51" s="3" t="s">
        <v>134</v>
      </c>
      <c r="D51" s="3" t="s">
        <v>39</v>
      </c>
      <c r="E51" s="3" t="s">
        <v>39</v>
      </c>
      <c r="F51" s="3" t="s">
        <v>39</v>
      </c>
      <c r="G51" s="3" t="s">
        <v>390</v>
      </c>
      <c r="H51" s="3" t="s">
        <v>38</v>
      </c>
      <c r="I51" s="3" t="s">
        <v>343</v>
      </c>
      <c r="K51" s="4" t="s">
        <v>152</v>
      </c>
      <c r="L51" s="4" t="s">
        <v>144</v>
      </c>
      <c r="M51" s="4" t="s">
        <v>39</v>
      </c>
      <c r="N51" s="4" t="s">
        <v>39</v>
      </c>
      <c r="O51" s="4" t="s">
        <v>39</v>
      </c>
      <c r="P51" s="4" t="s">
        <v>866</v>
      </c>
      <c r="Q51" s="4" t="s">
        <v>38</v>
      </c>
      <c r="R51" s="4" t="s">
        <v>343</v>
      </c>
    </row>
    <row r="52" spans="2:18">
      <c r="B52" s="3" t="s">
        <v>141</v>
      </c>
      <c r="C52" s="3" t="s">
        <v>134</v>
      </c>
      <c r="D52" s="3" t="s">
        <v>39</v>
      </c>
      <c r="E52" s="3" t="s">
        <v>39</v>
      </c>
      <c r="F52" s="3" t="s">
        <v>39</v>
      </c>
      <c r="G52" s="3" t="s">
        <v>391</v>
      </c>
      <c r="H52" s="3" t="s">
        <v>38</v>
      </c>
      <c r="I52" s="3" t="s">
        <v>343</v>
      </c>
      <c r="K52" s="4" t="s">
        <v>155</v>
      </c>
      <c r="L52" s="4" t="s">
        <v>144</v>
      </c>
      <c r="M52" s="4" t="s">
        <v>39</v>
      </c>
      <c r="N52" s="4" t="s">
        <v>39</v>
      </c>
      <c r="O52" s="4" t="s">
        <v>39</v>
      </c>
      <c r="P52" s="4" t="s">
        <v>867</v>
      </c>
      <c r="Q52" s="4" t="s">
        <v>38</v>
      </c>
      <c r="R52" s="4" t="s">
        <v>343</v>
      </c>
    </row>
    <row r="53" spans="2:18">
      <c r="B53" s="3" t="s">
        <v>148</v>
      </c>
      <c r="C53" s="3" t="s">
        <v>134</v>
      </c>
      <c r="D53" s="3" t="s">
        <v>39</v>
      </c>
      <c r="E53" s="3" t="s">
        <v>39</v>
      </c>
      <c r="F53" s="3" t="s">
        <v>39</v>
      </c>
      <c r="G53" s="3" t="s">
        <v>392</v>
      </c>
      <c r="H53" s="3" t="s">
        <v>38</v>
      </c>
      <c r="I53" s="3" t="s">
        <v>343</v>
      </c>
      <c r="K53" s="4" t="s">
        <v>148</v>
      </c>
      <c r="L53" s="4" t="s">
        <v>144</v>
      </c>
      <c r="M53" s="4" t="s">
        <v>39</v>
      </c>
      <c r="N53" s="4" t="s">
        <v>39</v>
      </c>
      <c r="O53" s="4" t="s">
        <v>39</v>
      </c>
      <c r="P53" s="4" t="s">
        <v>868</v>
      </c>
      <c r="Q53" s="4" t="s">
        <v>38</v>
      </c>
      <c r="R53" s="4" t="s">
        <v>343</v>
      </c>
    </row>
    <row r="54" spans="2:18">
      <c r="B54" s="3" t="s">
        <v>116</v>
      </c>
      <c r="C54" s="3" t="s">
        <v>134</v>
      </c>
      <c r="D54" s="3" t="s">
        <v>39</v>
      </c>
      <c r="E54" s="3" t="s">
        <v>39</v>
      </c>
      <c r="F54" s="3" t="s">
        <v>39</v>
      </c>
      <c r="G54" s="3" t="s">
        <v>393</v>
      </c>
      <c r="H54" s="3" t="s">
        <v>38</v>
      </c>
      <c r="I54" s="3" t="s">
        <v>343</v>
      </c>
      <c r="K54" s="4" t="s">
        <v>151</v>
      </c>
      <c r="L54" s="4" t="s">
        <v>143</v>
      </c>
      <c r="M54" s="4" t="s">
        <v>39</v>
      </c>
      <c r="N54" s="4" t="s">
        <v>39</v>
      </c>
      <c r="O54" s="4" t="s">
        <v>39</v>
      </c>
      <c r="P54" s="4" t="s">
        <v>869</v>
      </c>
      <c r="Q54" s="4" t="s">
        <v>38</v>
      </c>
      <c r="R54" s="4" t="s">
        <v>343</v>
      </c>
    </row>
    <row r="55" spans="2:18">
      <c r="B55" s="3" t="s">
        <v>136</v>
      </c>
      <c r="C55" s="3" t="s">
        <v>134</v>
      </c>
      <c r="D55" s="3" t="s">
        <v>39</v>
      </c>
      <c r="E55" s="3" t="s">
        <v>39</v>
      </c>
      <c r="F55" s="3" t="s">
        <v>39</v>
      </c>
      <c r="G55" s="3" t="s">
        <v>394</v>
      </c>
      <c r="H55" s="3" t="s">
        <v>38</v>
      </c>
      <c r="I55" s="3" t="s">
        <v>343</v>
      </c>
      <c r="K55" s="4" t="s">
        <v>135</v>
      </c>
      <c r="L55" s="4" t="s">
        <v>143</v>
      </c>
      <c r="M55" s="4" t="s">
        <v>39</v>
      </c>
      <c r="N55" s="4" t="s">
        <v>39</v>
      </c>
      <c r="O55" s="4" t="s">
        <v>39</v>
      </c>
      <c r="P55" s="4" t="s">
        <v>870</v>
      </c>
      <c r="Q55" s="4" t="s">
        <v>38</v>
      </c>
      <c r="R55" s="4" t="s">
        <v>343</v>
      </c>
    </row>
    <row r="56" spans="2:18">
      <c r="B56" s="3" t="s">
        <v>152</v>
      </c>
      <c r="C56" s="3" t="s">
        <v>134</v>
      </c>
      <c r="D56" s="3" t="s">
        <v>39</v>
      </c>
      <c r="E56" s="3" t="s">
        <v>39</v>
      </c>
      <c r="F56" s="3" t="s">
        <v>39</v>
      </c>
      <c r="G56" s="3" t="s">
        <v>395</v>
      </c>
      <c r="H56" s="3" t="s">
        <v>38</v>
      </c>
      <c r="I56" s="3" t="s">
        <v>343</v>
      </c>
      <c r="K56" s="4" t="s">
        <v>29</v>
      </c>
      <c r="L56" s="4" t="s">
        <v>143</v>
      </c>
      <c r="M56" s="4" t="s">
        <v>39</v>
      </c>
      <c r="N56" s="4" t="s">
        <v>39</v>
      </c>
      <c r="O56" s="4" t="s">
        <v>39</v>
      </c>
      <c r="P56" s="4" t="s">
        <v>871</v>
      </c>
      <c r="Q56" s="4" t="s">
        <v>38</v>
      </c>
      <c r="R56" s="4" t="s">
        <v>343</v>
      </c>
    </row>
    <row r="57" spans="2:18">
      <c r="B57" s="3" t="s">
        <v>29</v>
      </c>
      <c r="C57" s="3" t="s">
        <v>134</v>
      </c>
      <c r="D57" s="3" t="s">
        <v>39</v>
      </c>
      <c r="E57" s="3" t="s">
        <v>39</v>
      </c>
      <c r="F57" s="3" t="s">
        <v>39</v>
      </c>
      <c r="G57" s="3" t="s">
        <v>396</v>
      </c>
      <c r="H57" s="3" t="s">
        <v>38</v>
      </c>
      <c r="I57" s="3" t="s">
        <v>343</v>
      </c>
      <c r="K57" s="4" t="s">
        <v>132</v>
      </c>
      <c r="L57" s="4" t="s">
        <v>143</v>
      </c>
      <c r="M57" s="4" t="s">
        <v>39</v>
      </c>
      <c r="N57" s="4" t="s">
        <v>39</v>
      </c>
      <c r="O57" s="4" t="s">
        <v>39</v>
      </c>
      <c r="P57" s="4" t="s">
        <v>872</v>
      </c>
      <c r="Q57" s="4" t="s">
        <v>38</v>
      </c>
      <c r="R57" s="4" t="s">
        <v>343</v>
      </c>
    </row>
    <row r="58" spans="2:18">
      <c r="B58" s="3" t="s">
        <v>155</v>
      </c>
      <c r="C58" s="3" t="s">
        <v>134</v>
      </c>
      <c r="D58" s="3" t="s">
        <v>39</v>
      </c>
      <c r="E58" s="3" t="s">
        <v>39</v>
      </c>
      <c r="F58" s="3" t="s">
        <v>39</v>
      </c>
      <c r="G58" s="3" t="s">
        <v>397</v>
      </c>
      <c r="H58" s="3" t="s">
        <v>38</v>
      </c>
      <c r="I58" s="3" t="s">
        <v>343</v>
      </c>
      <c r="K58" s="4" t="s">
        <v>146</v>
      </c>
      <c r="L58" s="4" t="s">
        <v>143</v>
      </c>
      <c r="M58" s="4" t="s">
        <v>39</v>
      </c>
      <c r="N58" s="4" t="s">
        <v>39</v>
      </c>
      <c r="O58" s="4" t="s">
        <v>39</v>
      </c>
      <c r="P58" s="4" t="s">
        <v>873</v>
      </c>
      <c r="Q58" s="4" t="s">
        <v>38</v>
      </c>
      <c r="R58" s="4" t="s">
        <v>343</v>
      </c>
    </row>
    <row r="59" spans="2:18">
      <c r="B59" s="3" t="s">
        <v>139</v>
      </c>
      <c r="C59" s="3" t="s">
        <v>134</v>
      </c>
      <c r="D59" s="3" t="s">
        <v>39</v>
      </c>
      <c r="E59" s="3" t="s">
        <v>39</v>
      </c>
      <c r="F59" s="3" t="s">
        <v>39</v>
      </c>
      <c r="G59" s="3" t="s">
        <v>398</v>
      </c>
      <c r="H59" s="3" t="s">
        <v>38</v>
      </c>
      <c r="I59" s="3" t="s">
        <v>343</v>
      </c>
      <c r="K59" s="4" t="s">
        <v>144</v>
      </c>
      <c r="L59" s="4" t="s">
        <v>143</v>
      </c>
      <c r="M59" s="4" t="s">
        <v>39</v>
      </c>
      <c r="N59" s="4" t="s">
        <v>39</v>
      </c>
      <c r="O59" s="4" t="s">
        <v>39</v>
      </c>
      <c r="P59" s="4" t="s">
        <v>874</v>
      </c>
      <c r="Q59" s="4" t="s">
        <v>38</v>
      </c>
      <c r="R59" s="4" t="s">
        <v>343</v>
      </c>
    </row>
    <row r="60" spans="2:18">
      <c r="B60" s="3" t="s">
        <v>138</v>
      </c>
      <c r="C60" s="3" t="s">
        <v>27</v>
      </c>
      <c r="D60" s="3" t="s">
        <v>39</v>
      </c>
      <c r="E60" s="3" t="s">
        <v>39</v>
      </c>
      <c r="F60" s="3" t="s">
        <v>39</v>
      </c>
      <c r="G60" s="3" t="s">
        <v>399</v>
      </c>
      <c r="H60" s="3" t="s">
        <v>38</v>
      </c>
      <c r="I60" s="3" t="s">
        <v>343</v>
      </c>
      <c r="K60" s="4" t="s">
        <v>147</v>
      </c>
      <c r="L60" s="4" t="s">
        <v>143</v>
      </c>
      <c r="M60" s="4" t="s">
        <v>39</v>
      </c>
      <c r="N60" s="4" t="s">
        <v>39</v>
      </c>
      <c r="O60" s="4" t="s">
        <v>39</v>
      </c>
      <c r="P60" s="4" t="s">
        <v>875</v>
      </c>
      <c r="Q60" s="4" t="s">
        <v>38</v>
      </c>
      <c r="R60" s="4" t="s">
        <v>343</v>
      </c>
    </row>
    <row r="61" spans="2:18">
      <c r="B61" s="3" t="s">
        <v>149</v>
      </c>
      <c r="C61" s="3" t="s">
        <v>27</v>
      </c>
      <c r="D61" s="3" t="s">
        <v>39</v>
      </c>
      <c r="E61" s="3" t="s">
        <v>39</v>
      </c>
      <c r="F61" s="3" t="s">
        <v>39</v>
      </c>
      <c r="G61" s="3" t="s">
        <v>400</v>
      </c>
      <c r="H61" s="3" t="s">
        <v>38</v>
      </c>
      <c r="I61" s="3" t="s">
        <v>343</v>
      </c>
      <c r="K61" s="4" t="s">
        <v>142</v>
      </c>
      <c r="L61" s="4" t="s">
        <v>143</v>
      </c>
      <c r="M61" s="4" t="s">
        <v>39</v>
      </c>
      <c r="N61" s="4" t="s">
        <v>39</v>
      </c>
      <c r="O61" s="4" t="s">
        <v>39</v>
      </c>
      <c r="P61" s="4" t="s">
        <v>876</v>
      </c>
      <c r="Q61" s="4" t="s">
        <v>38</v>
      </c>
      <c r="R61" s="4" t="s">
        <v>343</v>
      </c>
    </row>
    <row r="62" spans="2:18">
      <c r="B62" s="3" t="s">
        <v>132</v>
      </c>
      <c r="C62" s="3" t="s">
        <v>27</v>
      </c>
      <c r="D62" s="3" t="s">
        <v>39</v>
      </c>
      <c r="E62" s="3" t="s">
        <v>39</v>
      </c>
      <c r="F62" s="3" t="s">
        <v>39</v>
      </c>
      <c r="G62" s="3" t="s">
        <v>401</v>
      </c>
      <c r="H62" s="3" t="s">
        <v>38</v>
      </c>
      <c r="I62" s="3" t="s">
        <v>343</v>
      </c>
      <c r="K62" s="4" t="s">
        <v>145</v>
      </c>
      <c r="L62" s="4" t="s">
        <v>143</v>
      </c>
      <c r="M62" s="4" t="s">
        <v>39</v>
      </c>
      <c r="N62" s="4" t="s">
        <v>39</v>
      </c>
      <c r="O62" s="4" t="s">
        <v>39</v>
      </c>
      <c r="P62" s="4" t="s">
        <v>877</v>
      </c>
      <c r="Q62" s="4" t="s">
        <v>38</v>
      </c>
      <c r="R62" s="4" t="s">
        <v>343</v>
      </c>
    </row>
    <row r="63" spans="2:18">
      <c r="B63" s="3" t="s">
        <v>133</v>
      </c>
      <c r="C63" s="3" t="s">
        <v>27</v>
      </c>
      <c r="D63" s="3" t="s">
        <v>39</v>
      </c>
      <c r="E63" s="3" t="s">
        <v>39</v>
      </c>
      <c r="F63" s="3" t="s">
        <v>39</v>
      </c>
      <c r="G63" s="3" t="s">
        <v>402</v>
      </c>
      <c r="H63" s="3" t="s">
        <v>38</v>
      </c>
      <c r="I63" s="3" t="s">
        <v>343</v>
      </c>
      <c r="K63" s="4" t="s">
        <v>141</v>
      </c>
      <c r="L63" s="4" t="s">
        <v>143</v>
      </c>
      <c r="M63" s="4" t="s">
        <v>39</v>
      </c>
      <c r="N63" s="4" t="s">
        <v>39</v>
      </c>
      <c r="O63" s="4" t="s">
        <v>39</v>
      </c>
      <c r="P63" s="4" t="s">
        <v>878</v>
      </c>
      <c r="Q63" s="4" t="s">
        <v>38</v>
      </c>
      <c r="R63" s="4" t="s">
        <v>343</v>
      </c>
    </row>
    <row r="64" spans="2:18">
      <c r="B64" s="3" t="s">
        <v>28</v>
      </c>
      <c r="C64" s="3" t="s">
        <v>27</v>
      </c>
      <c r="D64" s="3" t="s">
        <v>39</v>
      </c>
      <c r="E64" s="3" t="s">
        <v>39</v>
      </c>
      <c r="F64" s="3" t="s">
        <v>39</v>
      </c>
      <c r="G64" s="3" t="s">
        <v>403</v>
      </c>
      <c r="H64" s="3" t="s">
        <v>38</v>
      </c>
      <c r="I64" s="3" t="s">
        <v>343</v>
      </c>
      <c r="K64" s="4" t="s">
        <v>116</v>
      </c>
      <c r="L64" s="4" t="s">
        <v>143</v>
      </c>
      <c r="M64" s="4" t="s">
        <v>39</v>
      </c>
      <c r="N64" s="4" t="s">
        <v>39</v>
      </c>
      <c r="O64" s="4" t="s">
        <v>39</v>
      </c>
      <c r="P64" s="4" t="s">
        <v>879</v>
      </c>
      <c r="Q64" s="4" t="s">
        <v>38</v>
      </c>
      <c r="R64" s="4" t="s">
        <v>343</v>
      </c>
    </row>
    <row r="65" spans="2:18">
      <c r="B65" s="3" t="s">
        <v>150</v>
      </c>
      <c r="C65" s="3" t="s">
        <v>27</v>
      </c>
      <c r="D65" s="3" t="s">
        <v>39</v>
      </c>
      <c r="E65" s="3" t="s">
        <v>39</v>
      </c>
      <c r="F65" s="3" t="s">
        <v>39</v>
      </c>
      <c r="G65" s="3" t="s">
        <v>404</v>
      </c>
      <c r="H65" s="3" t="s">
        <v>38</v>
      </c>
      <c r="I65" s="3" t="s">
        <v>343</v>
      </c>
      <c r="K65" s="4" t="s">
        <v>152</v>
      </c>
      <c r="L65" s="4" t="s">
        <v>143</v>
      </c>
      <c r="M65" s="4" t="s">
        <v>39</v>
      </c>
      <c r="N65" s="4" t="s">
        <v>39</v>
      </c>
      <c r="O65" s="4" t="s">
        <v>39</v>
      </c>
      <c r="P65" s="4" t="s">
        <v>880</v>
      </c>
      <c r="Q65" s="4" t="s">
        <v>38</v>
      </c>
      <c r="R65" s="4" t="s">
        <v>343</v>
      </c>
    </row>
    <row r="66" spans="2:18">
      <c r="B66" s="3" t="s">
        <v>151</v>
      </c>
      <c r="C66" s="3" t="s">
        <v>27</v>
      </c>
      <c r="D66" s="3" t="s">
        <v>39</v>
      </c>
      <c r="E66" s="3" t="s">
        <v>39</v>
      </c>
      <c r="F66" s="3" t="s">
        <v>39</v>
      </c>
      <c r="G66" s="3" t="s">
        <v>405</v>
      </c>
      <c r="H66" s="3" t="s">
        <v>38</v>
      </c>
      <c r="I66" s="3" t="s">
        <v>343</v>
      </c>
      <c r="K66" s="4" t="s">
        <v>155</v>
      </c>
      <c r="L66" s="4" t="s">
        <v>143</v>
      </c>
      <c r="M66" s="4" t="s">
        <v>39</v>
      </c>
      <c r="N66" s="4" t="s">
        <v>39</v>
      </c>
      <c r="O66" s="4" t="s">
        <v>39</v>
      </c>
      <c r="P66" s="4" t="s">
        <v>881</v>
      </c>
      <c r="Q66" s="4" t="s">
        <v>38</v>
      </c>
      <c r="R66" s="4" t="s">
        <v>343</v>
      </c>
    </row>
    <row r="67" spans="2:18">
      <c r="B67" s="3" t="s">
        <v>153</v>
      </c>
      <c r="C67" s="3" t="s">
        <v>27</v>
      </c>
      <c r="D67" s="3" t="s">
        <v>39</v>
      </c>
      <c r="E67" s="3" t="s">
        <v>39</v>
      </c>
      <c r="F67" s="3" t="s">
        <v>39</v>
      </c>
      <c r="G67" s="3" t="s">
        <v>406</v>
      </c>
      <c r="H67" s="3" t="s">
        <v>38</v>
      </c>
      <c r="I67" s="3" t="s">
        <v>343</v>
      </c>
      <c r="K67" s="4" t="s">
        <v>148</v>
      </c>
      <c r="L67" s="4" t="s">
        <v>143</v>
      </c>
      <c r="M67" s="4" t="s">
        <v>39</v>
      </c>
      <c r="N67" s="4" t="s">
        <v>39</v>
      </c>
      <c r="O67" s="4" t="s">
        <v>39</v>
      </c>
      <c r="P67" s="4" t="s">
        <v>882</v>
      </c>
      <c r="Q67" s="4" t="s">
        <v>38</v>
      </c>
      <c r="R67" s="4" t="s">
        <v>343</v>
      </c>
    </row>
    <row r="68" spans="2:18">
      <c r="B68" s="3" t="s">
        <v>154</v>
      </c>
      <c r="C68" s="3" t="s">
        <v>27</v>
      </c>
      <c r="D68" s="3" t="s">
        <v>39</v>
      </c>
      <c r="E68" s="3" t="s">
        <v>39</v>
      </c>
      <c r="F68" s="3" t="s">
        <v>39</v>
      </c>
      <c r="G68" s="3" t="s">
        <v>407</v>
      </c>
      <c r="H68" s="3" t="s">
        <v>38</v>
      </c>
      <c r="I68" s="3" t="s">
        <v>343</v>
      </c>
      <c r="K68" s="4" t="s">
        <v>151</v>
      </c>
      <c r="L68" s="4" t="s">
        <v>142</v>
      </c>
      <c r="M68" s="4" t="s">
        <v>39</v>
      </c>
      <c r="N68" s="4" t="s">
        <v>39</v>
      </c>
      <c r="O68" s="4" t="s">
        <v>39</v>
      </c>
      <c r="P68" s="4" t="s">
        <v>883</v>
      </c>
      <c r="Q68" s="4" t="s">
        <v>38</v>
      </c>
      <c r="R68" s="4" t="s">
        <v>343</v>
      </c>
    </row>
    <row r="69" spans="2:18">
      <c r="B69" s="3" t="s">
        <v>146</v>
      </c>
      <c r="C69" s="3" t="s">
        <v>27</v>
      </c>
      <c r="D69" s="3" t="s">
        <v>39</v>
      </c>
      <c r="E69" s="3" t="s">
        <v>39</v>
      </c>
      <c r="F69" s="3" t="s">
        <v>39</v>
      </c>
      <c r="G69" s="3" t="s">
        <v>408</v>
      </c>
      <c r="H69" s="3" t="s">
        <v>38</v>
      </c>
      <c r="I69" s="3" t="s">
        <v>343</v>
      </c>
      <c r="K69" s="4" t="s">
        <v>135</v>
      </c>
      <c r="L69" s="4" t="s">
        <v>142</v>
      </c>
      <c r="M69" s="4" t="s">
        <v>39</v>
      </c>
      <c r="N69" s="4" t="s">
        <v>39</v>
      </c>
      <c r="O69" s="4" t="s">
        <v>39</v>
      </c>
      <c r="P69" s="4" t="s">
        <v>884</v>
      </c>
      <c r="Q69" s="4" t="s">
        <v>38</v>
      </c>
      <c r="R69" s="4" t="s">
        <v>343</v>
      </c>
    </row>
    <row r="70" spans="2:18">
      <c r="B70" s="3" t="s">
        <v>156</v>
      </c>
      <c r="C70" s="3" t="s">
        <v>27</v>
      </c>
      <c r="D70" s="3" t="s">
        <v>39</v>
      </c>
      <c r="E70" s="3" t="s">
        <v>39</v>
      </c>
      <c r="F70" s="3" t="s">
        <v>39</v>
      </c>
      <c r="G70" s="3" t="s">
        <v>409</v>
      </c>
      <c r="H70" s="3" t="s">
        <v>38</v>
      </c>
      <c r="I70" s="3" t="s">
        <v>343</v>
      </c>
      <c r="K70" s="4" t="s">
        <v>29</v>
      </c>
      <c r="L70" s="4" t="s">
        <v>142</v>
      </c>
      <c r="M70" s="4" t="s">
        <v>39</v>
      </c>
      <c r="N70" s="4" t="s">
        <v>39</v>
      </c>
      <c r="O70" s="4" t="s">
        <v>39</v>
      </c>
      <c r="P70" s="4" t="s">
        <v>885</v>
      </c>
      <c r="Q70" s="4" t="s">
        <v>38</v>
      </c>
      <c r="R70" s="4" t="s">
        <v>343</v>
      </c>
    </row>
    <row r="71" spans="2:18">
      <c r="B71" s="3" t="s">
        <v>144</v>
      </c>
      <c r="C71" s="3" t="s">
        <v>27</v>
      </c>
      <c r="D71" s="3" t="s">
        <v>39</v>
      </c>
      <c r="E71" s="3" t="s">
        <v>39</v>
      </c>
      <c r="F71" s="3" t="s">
        <v>39</v>
      </c>
      <c r="G71" s="3" t="s">
        <v>410</v>
      </c>
      <c r="H71" s="3" t="s">
        <v>38</v>
      </c>
      <c r="I71" s="3" t="s">
        <v>343</v>
      </c>
      <c r="K71" s="4" t="s">
        <v>132</v>
      </c>
      <c r="L71" s="4" t="s">
        <v>142</v>
      </c>
      <c r="M71" s="4" t="s">
        <v>39</v>
      </c>
      <c r="N71" s="4" t="s">
        <v>39</v>
      </c>
      <c r="O71" s="4" t="s">
        <v>39</v>
      </c>
      <c r="P71" s="4" t="s">
        <v>886</v>
      </c>
      <c r="Q71" s="4" t="s">
        <v>38</v>
      </c>
      <c r="R71" s="4" t="s">
        <v>343</v>
      </c>
    </row>
    <row r="72" spans="2:18">
      <c r="B72" s="3" t="s">
        <v>137</v>
      </c>
      <c r="C72" s="3" t="s">
        <v>27</v>
      </c>
      <c r="D72" s="3" t="s">
        <v>39</v>
      </c>
      <c r="E72" s="3" t="s">
        <v>39</v>
      </c>
      <c r="F72" s="3" t="s">
        <v>39</v>
      </c>
      <c r="G72" s="3" t="s">
        <v>411</v>
      </c>
      <c r="H72" s="3" t="s">
        <v>38</v>
      </c>
      <c r="I72" s="3" t="s">
        <v>343</v>
      </c>
      <c r="K72" s="4" t="s">
        <v>146</v>
      </c>
      <c r="L72" s="4" t="s">
        <v>142</v>
      </c>
      <c r="M72" s="4" t="s">
        <v>39</v>
      </c>
      <c r="N72" s="4" t="s">
        <v>39</v>
      </c>
      <c r="O72" s="4" t="s">
        <v>39</v>
      </c>
      <c r="P72" s="4" t="s">
        <v>887</v>
      </c>
      <c r="Q72" s="4" t="s">
        <v>38</v>
      </c>
      <c r="R72" s="4" t="s">
        <v>343</v>
      </c>
    </row>
    <row r="73" spans="2:18">
      <c r="B73" s="3" t="s">
        <v>147</v>
      </c>
      <c r="C73" s="3" t="s">
        <v>27</v>
      </c>
      <c r="D73" s="3" t="s">
        <v>39</v>
      </c>
      <c r="E73" s="3" t="s">
        <v>39</v>
      </c>
      <c r="F73" s="3" t="s">
        <v>39</v>
      </c>
      <c r="G73" s="3" t="s">
        <v>412</v>
      </c>
      <c r="H73" s="3" t="s">
        <v>38</v>
      </c>
      <c r="I73" s="3" t="s">
        <v>343</v>
      </c>
      <c r="K73" s="4" t="s">
        <v>144</v>
      </c>
      <c r="L73" s="4" t="s">
        <v>142</v>
      </c>
      <c r="M73" s="4" t="s">
        <v>39</v>
      </c>
      <c r="N73" s="4" t="s">
        <v>39</v>
      </c>
      <c r="O73" s="4" t="s">
        <v>39</v>
      </c>
      <c r="P73" s="4" t="s">
        <v>888</v>
      </c>
      <c r="Q73" s="4" t="s">
        <v>38</v>
      </c>
      <c r="R73" s="4" t="s">
        <v>343</v>
      </c>
    </row>
    <row r="74" spans="2:18">
      <c r="B74" s="3" t="s">
        <v>134</v>
      </c>
      <c r="C74" s="3" t="s">
        <v>27</v>
      </c>
      <c r="D74" s="3" t="s">
        <v>39</v>
      </c>
      <c r="E74" s="3" t="s">
        <v>39</v>
      </c>
      <c r="F74" s="3" t="s">
        <v>39</v>
      </c>
      <c r="G74" s="3" t="s">
        <v>413</v>
      </c>
      <c r="H74" s="3" t="s">
        <v>38</v>
      </c>
      <c r="I74" s="3" t="s">
        <v>343</v>
      </c>
      <c r="K74" s="4" t="s">
        <v>147</v>
      </c>
      <c r="L74" s="4" t="s">
        <v>142</v>
      </c>
      <c r="M74" s="4" t="s">
        <v>39</v>
      </c>
      <c r="N74" s="4" t="s">
        <v>39</v>
      </c>
      <c r="O74" s="4" t="s">
        <v>39</v>
      </c>
      <c r="P74" s="4" t="s">
        <v>889</v>
      </c>
      <c r="Q74" s="4" t="s">
        <v>38</v>
      </c>
      <c r="R74" s="4" t="s">
        <v>343</v>
      </c>
    </row>
    <row r="75" spans="2:18">
      <c r="B75" s="3" t="s">
        <v>135</v>
      </c>
      <c r="C75" s="3" t="s">
        <v>27</v>
      </c>
      <c r="D75" s="3" t="s">
        <v>39</v>
      </c>
      <c r="E75" s="3" t="s">
        <v>39</v>
      </c>
      <c r="F75" s="3" t="s">
        <v>39</v>
      </c>
      <c r="G75" s="3" t="s">
        <v>414</v>
      </c>
      <c r="H75" s="3" t="s">
        <v>38</v>
      </c>
      <c r="I75" s="3" t="s">
        <v>343</v>
      </c>
      <c r="K75" s="4" t="s">
        <v>143</v>
      </c>
      <c r="L75" s="4" t="s">
        <v>142</v>
      </c>
      <c r="M75" s="4" t="s">
        <v>39</v>
      </c>
      <c r="N75" s="4" t="s">
        <v>39</v>
      </c>
      <c r="O75" s="4" t="s">
        <v>39</v>
      </c>
      <c r="P75" s="4" t="s">
        <v>890</v>
      </c>
      <c r="Q75" s="4" t="s">
        <v>38</v>
      </c>
      <c r="R75" s="4" t="s">
        <v>343</v>
      </c>
    </row>
    <row r="76" spans="2:18">
      <c r="B76" s="3" t="s">
        <v>142</v>
      </c>
      <c r="C76" s="3" t="s">
        <v>27</v>
      </c>
      <c r="D76" s="3" t="s">
        <v>39</v>
      </c>
      <c r="E76" s="3" t="s">
        <v>39</v>
      </c>
      <c r="F76" s="3" t="s">
        <v>39</v>
      </c>
      <c r="G76" s="3" t="s">
        <v>415</v>
      </c>
      <c r="H76" s="3" t="s">
        <v>38</v>
      </c>
      <c r="I76" s="3" t="s">
        <v>343</v>
      </c>
      <c r="K76" s="4" t="s">
        <v>145</v>
      </c>
      <c r="L76" s="4" t="s">
        <v>142</v>
      </c>
      <c r="M76" s="4" t="s">
        <v>39</v>
      </c>
      <c r="N76" s="4" t="s">
        <v>39</v>
      </c>
      <c r="O76" s="4" t="s">
        <v>39</v>
      </c>
      <c r="P76" s="4" t="s">
        <v>891</v>
      </c>
      <c r="Q76" s="4" t="s">
        <v>38</v>
      </c>
      <c r="R76" s="4" t="s">
        <v>343</v>
      </c>
    </row>
    <row r="77" spans="2:18">
      <c r="B77" s="3" t="s">
        <v>143</v>
      </c>
      <c r="C77" s="3" t="s">
        <v>27</v>
      </c>
      <c r="D77" s="3" t="s">
        <v>39</v>
      </c>
      <c r="E77" s="3" t="s">
        <v>39</v>
      </c>
      <c r="F77" s="3" t="s">
        <v>39</v>
      </c>
      <c r="G77" s="3" t="s">
        <v>416</v>
      </c>
      <c r="H77" s="3" t="s">
        <v>38</v>
      </c>
      <c r="I77" s="3" t="s">
        <v>343</v>
      </c>
      <c r="K77" s="4" t="s">
        <v>141</v>
      </c>
      <c r="L77" s="4" t="s">
        <v>142</v>
      </c>
      <c r="M77" s="4" t="s">
        <v>39</v>
      </c>
      <c r="N77" s="4" t="s">
        <v>39</v>
      </c>
      <c r="O77" s="4" t="s">
        <v>39</v>
      </c>
      <c r="P77" s="4" t="s">
        <v>892</v>
      </c>
      <c r="Q77" s="4" t="s">
        <v>38</v>
      </c>
      <c r="R77" s="4" t="s">
        <v>343</v>
      </c>
    </row>
    <row r="78" spans="2:18">
      <c r="B78" s="3" t="s">
        <v>145</v>
      </c>
      <c r="C78" s="3" t="s">
        <v>27</v>
      </c>
      <c r="D78" s="3" t="s">
        <v>39</v>
      </c>
      <c r="E78" s="3" t="s">
        <v>39</v>
      </c>
      <c r="F78" s="3" t="s">
        <v>39</v>
      </c>
      <c r="G78" s="3" t="s">
        <v>417</v>
      </c>
      <c r="H78" s="3" t="s">
        <v>38</v>
      </c>
      <c r="I78" s="3" t="s">
        <v>343</v>
      </c>
      <c r="K78" s="4" t="s">
        <v>116</v>
      </c>
      <c r="L78" s="4" t="s">
        <v>142</v>
      </c>
      <c r="M78" s="4" t="s">
        <v>39</v>
      </c>
      <c r="N78" s="4" t="s">
        <v>39</v>
      </c>
      <c r="O78" s="4" t="s">
        <v>39</v>
      </c>
      <c r="P78" s="4" t="s">
        <v>893</v>
      </c>
      <c r="Q78" s="4" t="s">
        <v>38</v>
      </c>
      <c r="R78" s="4" t="s">
        <v>343</v>
      </c>
    </row>
    <row r="79" spans="2:18">
      <c r="B79" s="3" t="s">
        <v>140</v>
      </c>
      <c r="C79" s="3" t="s">
        <v>27</v>
      </c>
      <c r="D79" s="3" t="s">
        <v>39</v>
      </c>
      <c r="E79" s="3" t="s">
        <v>39</v>
      </c>
      <c r="F79" s="3" t="s">
        <v>39</v>
      </c>
      <c r="G79" s="3" t="s">
        <v>418</v>
      </c>
      <c r="H79" s="3" t="s">
        <v>38</v>
      </c>
      <c r="I79" s="3" t="s">
        <v>343</v>
      </c>
      <c r="K79" s="4" t="s">
        <v>152</v>
      </c>
      <c r="L79" s="4" t="s">
        <v>142</v>
      </c>
      <c r="M79" s="4" t="s">
        <v>39</v>
      </c>
      <c r="N79" s="4" t="s">
        <v>39</v>
      </c>
      <c r="O79" s="4" t="s">
        <v>39</v>
      </c>
      <c r="P79" s="4" t="s">
        <v>894</v>
      </c>
      <c r="Q79" s="4" t="s">
        <v>38</v>
      </c>
      <c r="R79" s="4" t="s">
        <v>343</v>
      </c>
    </row>
    <row r="80" spans="2:18">
      <c r="B80" s="3" t="s">
        <v>141</v>
      </c>
      <c r="C80" s="3" t="s">
        <v>27</v>
      </c>
      <c r="D80" s="3" t="s">
        <v>39</v>
      </c>
      <c r="E80" s="3" t="s">
        <v>39</v>
      </c>
      <c r="F80" s="3" t="s">
        <v>39</v>
      </c>
      <c r="G80" s="3" t="s">
        <v>419</v>
      </c>
      <c r="H80" s="3" t="s">
        <v>38</v>
      </c>
      <c r="I80" s="3" t="s">
        <v>343</v>
      </c>
      <c r="K80" s="4" t="s">
        <v>155</v>
      </c>
      <c r="L80" s="4" t="s">
        <v>142</v>
      </c>
      <c r="M80" s="4" t="s">
        <v>39</v>
      </c>
      <c r="N80" s="4" t="s">
        <v>39</v>
      </c>
      <c r="O80" s="4" t="s">
        <v>39</v>
      </c>
      <c r="P80" s="4" t="s">
        <v>895</v>
      </c>
      <c r="Q80" s="4" t="s">
        <v>38</v>
      </c>
      <c r="R80" s="4" t="s">
        <v>343</v>
      </c>
    </row>
    <row r="81" spans="2:18">
      <c r="B81" s="3" t="s">
        <v>148</v>
      </c>
      <c r="C81" s="3" t="s">
        <v>27</v>
      </c>
      <c r="D81" s="3" t="s">
        <v>39</v>
      </c>
      <c r="E81" s="3" t="s">
        <v>39</v>
      </c>
      <c r="F81" s="3" t="s">
        <v>39</v>
      </c>
      <c r="G81" s="3" t="s">
        <v>420</v>
      </c>
      <c r="H81" s="3" t="s">
        <v>38</v>
      </c>
      <c r="I81" s="3" t="s">
        <v>343</v>
      </c>
      <c r="K81" s="4" t="s">
        <v>148</v>
      </c>
      <c r="L81" s="4" t="s">
        <v>142</v>
      </c>
      <c r="M81" s="4" t="s">
        <v>39</v>
      </c>
      <c r="N81" s="4" t="s">
        <v>39</v>
      </c>
      <c r="O81" s="4" t="s">
        <v>39</v>
      </c>
      <c r="P81" s="4" t="s">
        <v>896</v>
      </c>
      <c r="Q81" s="4" t="s">
        <v>38</v>
      </c>
      <c r="R81" s="4" t="s">
        <v>343</v>
      </c>
    </row>
    <row r="82" spans="2:18">
      <c r="B82" s="3" t="s">
        <v>116</v>
      </c>
      <c r="C82" s="3" t="s">
        <v>27</v>
      </c>
      <c r="D82" s="3" t="s">
        <v>39</v>
      </c>
      <c r="E82" s="3" t="s">
        <v>39</v>
      </c>
      <c r="F82" s="3" t="s">
        <v>39</v>
      </c>
      <c r="G82" s="3" t="s">
        <v>421</v>
      </c>
      <c r="H82" s="3" t="s">
        <v>38</v>
      </c>
      <c r="I82" s="3" t="s">
        <v>343</v>
      </c>
      <c r="K82" s="4" t="s">
        <v>151</v>
      </c>
      <c r="L82" s="4" t="s">
        <v>146</v>
      </c>
      <c r="M82" s="4" t="s">
        <v>39</v>
      </c>
      <c r="N82" s="4" t="s">
        <v>39</v>
      </c>
      <c r="O82" s="4" t="s">
        <v>39</v>
      </c>
      <c r="P82" s="4" t="s">
        <v>897</v>
      </c>
      <c r="Q82" s="4" t="s">
        <v>38</v>
      </c>
      <c r="R82" s="4" t="s">
        <v>343</v>
      </c>
    </row>
    <row r="83" spans="2:18">
      <c r="B83" s="3" t="s">
        <v>136</v>
      </c>
      <c r="C83" s="3" t="s">
        <v>27</v>
      </c>
      <c r="D83" s="3" t="s">
        <v>39</v>
      </c>
      <c r="E83" s="3" t="s">
        <v>39</v>
      </c>
      <c r="F83" s="3" t="s">
        <v>39</v>
      </c>
      <c r="G83" s="3" t="s">
        <v>422</v>
      </c>
      <c r="H83" s="3" t="s">
        <v>38</v>
      </c>
      <c r="I83" s="3" t="s">
        <v>343</v>
      </c>
      <c r="K83" s="4" t="s">
        <v>135</v>
      </c>
      <c r="L83" s="4" t="s">
        <v>146</v>
      </c>
      <c r="M83" s="4" t="s">
        <v>39</v>
      </c>
      <c r="N83" s="4" t="s">
        <v>39</v>
      </c>
      <c r="O83" s="4" t="s">
        <v>39</v>
      </c>
      <c r="P83" s="4" t="s">
        <v>898</v>
      </c>
      <c r="Q83" s="4" t="s">
        <v>38</v>
      </c>
      <c r="R83" s="4" t="s">
        <v>343</v>
      </c>
    </row>
    <row r="84" spans="2:18">
      <c r="B84" s="3" t="s">
        <v>152</v>
      </c>
      <c r="C84" s="3" t="s">
        <v>27</v>
      </c>
      <c r="D84" s="3" t="s">
        <v>39</v>
      </c>
      <c r="E84" s="3" t="s">
        <v>39</v>
      </c>
      <c r="F84" s="3" t="s">
        <v>39</v>
      </c>
      <c r="G84" s="3" t="s">
        <v>423</v>
      </c>
      <c r="H84" s="3" t="s">
        <v>38</v>
      </c>
      <c r="I84" s="3" t="s">
        <v>343</v>
      </c>
      <c r="K84" s="4" t="s">
        <v>29</v>
      </c>
      <c r="L84" s="4" t="s">
        <v>146</v>
      </c>
      <c r="M84" s="4" t="s">
        <v>39</v>
      </c>
      <c r="N84" s="4" t="s">
        <v>39</v>
      </c>
      <c r="O84" s="4" t="s">
        <v>39</v>
      </c>
      <c r="P84" s="4" t="s">
        <v>899</v>
      </c>
      <c r="Q84" s="4" t="s">
        <v>38</v>
      </c>
      <c r="R84" s="4" t="s">
        <v>343</v>
      </c>
    </row>
    <row r="85" spans="2:18">
      <c r="B85" s="3" t="s">
        <v>29</v>
      </c>
      <c r="C85" s="3" t="s">
        <v>27</v>
      </c>
      <c r="D85" s="3" t="s">
        <v>39</v>
      </c>
      <c r="E85" s="3" t="s">
        <v>39</v>
      </c>
      <c r="F85" s="3" t="s">
        <v>39</v>
      </c>
      <c r="G85" s="3" t="s">
        <v>424</v>
      </c>
      <c r="H85" s="3" t="s">
        <v>38</v>
      </c>
      <c r="I85" s="3" t="s">
        <v>343</v>
      </c>
      <c r="K85" s="4" t="s">
        <v>132</v>
      </c>
      <c r="L85" s="4" t="s">
        <v>146</v>
      </c>
      <c r="M85" s="4" t="s">
        <v>39</v>
      </c>
      <c r="N85" s="4" t="s">
        <v>39</v>
      </c>
      <c r="O85" s="4" t="s">
        <v>39</v>
      </c>
      <c r="P85" s="4" t="s">
        <v>900</v>
      </c>
      <c r="Q85" s="4" t="s">
        <v>38</v>
      </c>
      <c r="R85" s="4" t="s">
        <v>343</v>
      </c>
    </row>
    <row r="86" spans="2:18">
      <c r="B86" s="3" t="s">
        <v>155</v>
      </c>
      <c r="C86" s="3" t="s">
        <v>27</v>
      </c>
      <c r="D86" s="3" t="s">
        <v>39</v>
      </c>
      <c r="E86" s="3" t="s">
        <v>39</v>
      </c>
      <c r="F86" s="3" t="s">
        <v>39</v>
      </c>
      <c r="G86" s="3" t="s">
        <v>425</v>
      </c>
      <c r="H86" s="3" t="s">
        <v>38</v>
      </c>
      <c r="I86" s="3" t="s">
        <v>343</v>
      </c>
      <c r="K86" s="4" t="s">
        <v>144</v>
      </c>
      <c r="L86" s="4" t="s">
        <v>146</v>
      </c>
      <c r="M86" s="4" t="s">
        <v>39</v>
      </c>
      <c r="N86" s="4" t="s">
        <v>39</v>
      </c>
      <c r="O86" s="4" t="s">
        <v>39</v>
      </c>
      <c r="P86" s="4" t="s">
        <v>901</v>
      </c>
      <c r="Q86" s="4" t="s">
        <v>38</v>
      </c>
      <c r="R86" s="4" t="s">
        <v>343</v>
      </c>
    </row>
    <row r="87" spans="2:18">
      <c r="B87" s="3" t="s">
        <v>139</v>
      </c>
      <c r="C87" s="3" t="s">
        <v>27</v>
      </c>
      <c r="D87" s="3" t="s">
        <v>39</v>
      </c>
      <c r="E87" s="3" t="s">
        <v>39</v>
      </c>
      <c r="F87" s="3" t="s">
        <v>39</v>
      </c>
      <c r="G87" s="3" t="s">
        <v>426</v>
      </c>
      <c r="H87" s="3" t="s">
        <v>38</v>
      </c>
      <c r="I87" s="3" t="s">
        <v>343</v>
      </c>
      <c r="K87" s="4" t="s">
        <v>147</v>
      </c>
      <c r="L87" s="4" t="s">
        <v>146</v>
      </c>
      <c r="M87" s="4" t="s">
        <v>39</v>
      </c>
      <c r="N87" s="4" t="s">
        <v>39</v>
      </c>
      <c r="O87" s="4" t="s">
        <v>39</v>
      </c>
      <c r="P87" s="4" t="s">
        <v>902</v>
      </c>
      <c r="Q87" s="4" t="s">
        <v>38</v>
      </c>
      <c r="R87" s="4" t="s">
        <v>343</v>
      </c>
    </row>
    <row r="88" spans="2:18">
      <c r="B88" s="3" t="s">
        <v>138</v>
      </c>
      <c r="C88" s="3" t="s">
        <v>132</v>
      </c>
      <c r="D88" s="3" t="s">
        <v>39</v>
      </c>
      <c r="E88" s="3" t="s">
        <v>39</v>
      </c>
      <c r="F88" s="3" t="s">
        <v>39</v>
      </c>
      <c r="G88" s="3" t="s">
        <v>427</v>
      </c>
      <c r="H88" s="3" t="s">
        <v>38</v>
      </c>
      <c r="I88" s="3" t="s">
        <v>343</v>
      </c>
      <c r="K88" s="4" t="s">
        <v>142</v>
      </c>
      <c r="L88" s="4" t="s">
        <v>146</v>
      </c>
      <c r="M88" s="4" t="s">
        <v>39</v>
      </c>
      <c r="N88" s="4" t="s">
        <v>39</v>
      </c>
      <c r="O88" s="4" t="s">
        <v>39</v>
      </c>
      <c r="P88" s="4" t="s">
        <v>903</v>
      </c>
      <c r="Q88" s="4" t="s">
        <v>38</v>
      </c>
      <c r="R88" s="4" t="s">
        <v>343</v>
      </c>
    </row>
    <row r="89" spans="2:18">
      <c r="B89" s="3" t="s">
        <v>149</v>
      </c>
      <c r="C89" s="3" t="s">
        <v>132</v>
      </c>
      <c r="D89" s="3" t="s">
        <v>39</v>
      </c>
      <c r="E89" s="3" t="s">
        <v>39</v>
      </c>
      <c r="F89" s="3" t="s">
        <v>39</v>
      </c>
      <c r="G89" s="3" t="s">
        <v>428</v>
      </c>
      <c r="H89" s="3" t="s">
        <v>38</v>
      </c>
      <c r="I89" s="3" t="s">
        <v>343</v>
      </c>
      <c r="K89" s="4" t="s">
        <v>143</v>
      </c>
      <c r="L89" s="4" t="s">
        <v>146</v>
      </c>
      <c r="M89" s="4" t="s">
        <v>39</v>
      </c>
      <c r="N89" s="4" t="s">
        <v>39</v>
      </c>
      <c r="O89" s="4" t="s">
        <v>39</v>
      </c>
      <c r="P89" s="4" t="s">
        <v>904</v>
      </c>
      <c r="Q89" s="4" t="s">
        <v>38</v>
      </c>
      <c r="R89" s="4" t="s">
        <v>343</v>
      </c>
    </row>
    <row r="90" spans="2:18">
      <c r="B90" s="3" t="s">
        <v>133</v>
      </c>
      <c r="C90" s="3" t="s">
        <v>132</v>
      </c>
      <c r="D90" s="3" t="s">
        <v>39</v>
      </c>
      <c r="E90" s="3" t="s">
        <v>39</v>
      </c>
      <c r="F90" s="3" t="s">
        <v>39</v>
      </c>
      <c r="G90" s="3" t="s">
        <v>429</v>
      </c>
      <c r="H90" s="3" t="s">
        <v>38</v>
      </c>
      <c r="I90" s="3" t="s">
        <v>343</v>
      </c>
      <c r="K90" s="4" t="s">
        <v>145</v>
      </c>
      <c r="L90" s="4" t="s">
        <v>146</v>
      </c>
      <c r="M90" s="4" t="s">
        <v>39</v>
      </c>
      <c r="N90" s="4" t="s">
        <v>39</v>
      </c>
      <c r="O90" s="4" t="s">
        <v>39</v>
      </c>
      <c r="P90" s="4" t="s">
        <v>905</v>
      </c>
      <c r="Q90" s="4" t="s">
        <v>38</v>
      </c>
      <c r="R90" s="4" t="s">
        <v>343</v>
      </c>
    </row>
    <row r="91" spans="2:18">
      <c r="B91" s="3" t="s">
        <v>28</v>
      </c>
      <c r="C91" s="3" t="s">
        <v>132</v>
      </c>
      <c r="D91" s="3" t="s">
        <v>39</v>
      </c>
      <c r="E91" s="3" t="s">
        <v>39</v>
      </c>
      <c r="F91" s="3" t="s">
        <v>39</v>
      </c>
      <c r="G91" s="3" t="s">
        <v>430</v>
      </c>
      <c r="H91" s="3" t="s">
        <v>38</v>
      </c>
      <c r="I91" s="3" t="s">
        <v>343</v>
      </c>
      <c r="K91" s="4" t="s">
        <v>141</v>
      </c>
      <c r="L91" s="4" t="s">
        <v>146</v>
      </c>
      <c r="M91" s="4" t="s">
        <v>39</v>
      </c>
      <c r="N91" s="4" t="s">
        <v>39</v>
      </c>
      <c r="O91" s="4" t="s">
        <v>39</v>
      </c>
      <c r="P91" s="4" t="s">
        <v>906</v>
      </c>
      <c r="Q91" s="4" t="s">
        <v>38</v>
      </c>
      <c r="R91" s="4" t="s">
        <v>343</v>
      </c>
    </row>
    <row r="92" spans="2:18">
      <c r="B92" s="3" t="s">
        <v>150</v>
      </c>
      <c r="C92" s="3" t="s">
        <v>132</v>
      </c>
      <c r="D92" s="3" t="s">
        <v>39</v>
      </c>
      <c r="E92" s="3" t="s">
        <v>39</v>
      </c>
      <c r="F92" s="3" t="s">
        <v>39</v>
      </c>
      <c r="G92" s="3" t="s">
        <v>431</v>
      </c>
      <c r="H92" s="3" t="s">
        <v>38</v>
      </c>
      <c r="I92" s="3" t="s">
        <v>343</v>
      </c>
      <c r="K92" s="4" t="s">
        <v>116</v>
      </c>
      <c r="L92" s="4" t="s">
        <v>146</v>
      </c>
      <c r="M92" s="4" t="s">
        <v>39</v>
      </c>
      <c r="N92" s="4" t="s">
        <v>39</v>
      </c>
      <c r="O92" s="4" t="s">
        <v>39</v>
      </c>
      <c r="P92" s="4" t="s">
        <v>907</v>
      </c>
      <c r="Q92" s="4" t="s">
        <v>38</v>
      </c>
      <c r="R92" s="4" t="s">
        <v>343</v>
      </c>
    </row>
    <row r="93" spans="2:18">
      <c r="B93" s="3" t="s">
        <v>151</v>
      </c>
      <c r="C93" s="3" t="s">
        <v>132</v>
      </c>
      <c r="D93" s="3" t="s">
        <v>39</v>
      </c>
      <c r="E93" s="3" t="s">
        <v>39</v>
      </c>
      <c r="F93" s="3" t="s">
        <v>39</v>
      </c>
      <c r="G93" s="3" t="s">
        <v>432</v>
      </c>
      <c r="H93" s="3" t="s">
        <v>38</v>
      </c>
      <c r="I93" s="3" t="s">
        <v>343</v>
      </c>
      <c r="K93" s="4" t="s">
        <v>152</v>
      </c>
      <c r="L93" s="4" t="s">
        <v>146</v>
      </c>
      <c r="M93" s="4" t="s">
        <v>39</v>
      </c>
      <c r="N93" s="4" t="s">
        <v>39</v>
      </c>
      <c r="O93" s="4" t="s">
        <v>39</v>
      </c>
      <c r="P93" s="4" t="s">
        <v>908</v>
      </c>
      <c r="Q93" s="4" t="s">
        <v>38</v>
      </c>
      <c r="R93" s="4" t="s">
        <v>343</v>
      </c>
    </row>
    <row r="94" spans="2:18">
      <c r="B94" s="3" t="s">
        <v>153</v>
      </c>
      <c r="C94" s="3" t="s">
        <v>132</v>
      </c>
      <c r="D94" s="3" t="s">
        <v>39</v>
      </c>
      <c r="E94" s="3" t="s">
        <v>39</v>
      </c>
      <c r="F94" s="3" t="s">
        <v>39</v>
      </c>
      <c r="G94" s="3" t="s">
        <v>433</v>
      </c>
      <c r="H94" s="3" t="s">
        <v>38</v>
      </c>
      <c r="I94" s="3" t="s">
        <v>343</v>
      </c>
      <c r="K94" s="4" t="s">
        <v>155</v>
      </c>
      <c r="L94" s="4" t="s">
        <v>146</v>
      </c>
      <c r="M94" s="4" t="s">
        <v>39</v>
      </c>
      <c r="N94" s="4" t="s">
        <v>39</v>
      </c>
      <c r="O94" s="4" t="s">
        <v>39</v>
      </c>
      <c r="P94" s="4" t="s">
        <v>909</v>
      </c>
      <c r="Q94" s="4" t="s">
        <v>38</v>
      </c>
      <c r="R94" s="4" t="s">
        <v>343</v>
      </c>
    </row>
    <row r="95" spans="2:18">
      <c r="B95" s="3" t="s">
        <v>154</v>
      </c>
      <c r="C95" s="3" t="s">
        <v>132</v>
      </c>
      <c r="D95" s="3" t="s">
        <v>39</v>
      </c>
      <c r="E95" s="3" t="s">
        <v>39</v>
      </c>
      <c r="F95" s="3" t="s">
        <v>39</v>
      </c>
      <c r="G95" s="3" t="s">
        <v>434</v>
      </c>
      <c r="H95" s="3" t="s">
        <v>38</v>
      </c>
      <c r="I95" s="3" t="s">
        <v>343</v>
      </c>
      <c r="K95" s="4" t="s">
        <v>148</v>
      </c>
      <c r="L95" s="4" t="s">
        <v>146</v>
      </c>
      <c r="M95" s="4" t="s">
        <v>39</v>
      </c>
      <c r="N95" s="4" t="s">
        <v>39</v>
      </c>
      <c r="O95" s="4" t="s">
        <v>39</v>
      </c>
      <c r="P95" s="4" t="s">
        <v>910</v>
      </c>
      <c r="Q95" s="4" t="s">
        <v>38</v>
      </c>
      <c r="R95" s="4" t="s">
        <v>343</v>
      </c>
    </row>
    <row r="96" spans="2:18">
      <c r="B96" s="3" t="s">
        <v>146</v>
      </c>
      <c r="C96" s="3" t="s">
        <v>132</v>
      </c>
      <c r="D96" s="3" t="s">
        <v>39</v>
      </c>
      <c r="E96" s="3" t="s">
        <v>39</v>
      </c>
      <c r="F96" s="3" t="s">
        <v>39</v>
      </c>
      <c r="G96" s="3" t="s">
        <v>435</v>
      </c>
      <c r="H96" s="3" t="s">
        <v>38</v>
      </c>
      <c r="I96" s="3" t="s">
        <v>343</v>
      </c>
      <c r="K96" s="4" t="s">
        <v>27</v>
      </c>
      <c r="L96" s="4" t="s">
        <v>146</v>
      </c>
      <c r="M96" s="4" t="s">
        <v>39</v>
      </c>
      <c r="N96" s="4" t="s">
        <v>39</v>
      </c>
      <c r="O96" s="4" t="s">
        <v>39</v>
      </c>
      <c r="P96" s="4" t="s">
        <v>911</v>
      </c>
      <c r="Q96" s="4" t="s">
        <v>38</v>
      </c>
      <c r="R96" s="4" t="s">
        <v>343</v>
      </c>
    </row>
    <row r="97" spans="2:18">
      <c r="B97" s="3" t="s">
        <v>156</v>
      </c>
      <c r="C97" s="3" t="s">
        <v>132</v>
      </c>
      <c r="D97" s="3" t="s">
        <v>39</v>
      </c>
      <c r="E97" s="3" t="s">
        <v>39</v>
      </c>
      <c r="F97" s="3" t="s">
        <v>39</v>
      </c>
      <c r="G97" s="3" t="s">
        <v>436</v>
      </c>
      <c r="H97" s="3" t="s">
        <v>38</v>
      </c>
      <c r="I97" s="3" t="s">
        <v>343</v>
      </c>
      <c r="K97" s="4" t="s">
        <v>151</v>
      </c>
      <c r="L97" s="4" t="s">
        <v>155</v>
      </c>
      <c r="M97" s="4" t="s">
        <v>39</v>
      </c>
      <c r="N97" s="4" t="s">
        <v>39</v>
      </c>
      <c r="O97" s="4" t="s">
        <v>39</v>
      </c>
      <c r="P97" s="4" t="s">
        <v>912</v>
      </c>
      <c r="Q97" s="4" t="s">
        <v>38</v>
      </c>
      <c r="R97" s="4" t="s">
        <v>343</v>
      </c>
    </row>
    <row r="98" spans="2:18">
      <c r="B98" s="3" t="s">
        <v>27</v>
      </c>
      <c r="C98" s="3" t="s">
        <v>132</v>
      </c>
      <c r="D98" s="3" t="s">
        <v>39</v>
      </c>
      <c r="E98" s="3" t="s">
        <v>39</v>
      </c>
      <c r="F98" s="3" t="s">
        <v>39</v>
      </c>
      <c r="G98" s="3" t="s">
        <v>437</v>
      </c>
      <c r="H98" s="3" t="s">
        <v>38</v>
      </c>
      <c r="I98" s="3" t="s">
        <v>343</v>
      </c>
      <c r="K98" s="4" t="s">
        <v>135</v>
      </c>
      <c r="L98" s="4" t="s">
        <v>155</v>
      </c>
      <c r="M98" s="4" t="s">
        <v>39</v>
      </c>
      <c r="N98" s="4" t="s">
        <v>39</v>
      </c>
      <c r="O98" s="4" t="s">
        <v>39</v>
      </c>
      <c r="P98" s="4" t="s">
        <v>913</v>
      </c>
      <c r="Q98" s="4" t="s">
        <v>38</v>
      </c>
      <c r="R98" s="4" t="s">
        <v>343</v>
      </c>
    </row>
    <row r="99" spans="2:18">
      <c r="B99" s="3" t="s">
        <v>144</v>
      </c>
      <c r="C99" s="3" t="s">
        <v>132</v>
      </c>
      <c r="D99" s="3" t="s">
        <v>39</v>
      </c>
      <c r="E99" s="3" t="s">
        <v>39</v>
      </c>
      <c r="F99" s="3" t="s">
        <v>39</v>
      </c>
      <c r="G99" s="3" t="s">
        <v>438</v>
      </c>
      <c r="H99" s="3" t="s">
        <v>38</v>
      </c>
      <c r="I99" s="3" t="s">
        <v>343</v>
      </c>
      <c r="K99" s="4" t="s">
        <v>29</v>
      </c>
      <c r="L99" s="4" t="s">
        <v>155</v>
      </c>
      <c r="M99" s="4" t="s">
        <v>39</v>
      </c>
      <c r="N99" s="4" t="s">
        <v>39</v>
      </c>
      <c r="O99" s="4" t="s">
        <v>39</v>
      </c>
      <c r="P99" s="4" t="s">
        <v>914</v>
      </c>
      <c r="Q99" s="4" t="s">
        <v>38</v>
      </c>
      <c r="R99" s="4" t="s">
        <v>343</v>
      </c>
    </row>
    <row r="100" spans="2:18">
      <c r="B100" s="3" t="s">
        <v>137</v>
      </c>
      <c r="C100" s="3" t="s">
        <v>132</v>
      </c>
      <c r="D100" s="3" t="s">
        <v>39</v>
      </c>
      <c r="E100" s="3" t="s">
        <v>39</v>
      </c>
      <c r="F100" s="3" t="s">
        <v>39</v>
      </c>
      <c r="G100" s="3" t="s">
        <v>439</v>
      </c>
      <c r="H100" s="3" t="s">
        <v>38</v>
      </c>
      <c r="I100" s="3" t="s">
        <v>343</v>
      </c>
      <c r="K100" s="4" t="s">
        <v>132</v>
      </c>
      <c r="L100" s="4" t="s">
        <v>155</v>
      </c>
      <c r="M100" s="4" t="s">
        <v>39</v>
      </c>
      <c r="N100" s="4" t="s">
        <v>39</v>
      </c>
      <c r="O100" s="4" t="s">
        <v>39</v>
      </c>
      <c r="P100" s="4" t="s">
        <v>915</v>
      </c>
      <c r="Q100" s="4" t="s">
        <v>38</v>
      </c>
      <c r="R100" s="4" t="s">
        <v>343</v>
      </c>
    </row>
    <row r="101" spans="2:18">
      <c r="B101" s="3" t="s">
        <v>147</v>
      </c>
      <c r="C101" s="3" t="s">
        <v>132</v>
      </c>
      <c r="D101" s="3" t="s">
        <v>39</v>
      </c>
      <c r="E101" s="3" t="s">
        <v>39</v>
      </c>
      <c r="F101" s="3" t="s">
        <v>39</v>
      </c>
      <c r="G101" s="3" t="s">
        <v>440</v>
      </c>
      <c r="H101" s="3" t="s">
        <v>38</v>
      </c>
      <c r="I101" s="3" t="s">
        <v>343</v>
      </c>
      <c r="K101" s="4" t="s">
        <v>146</v>
      </c>
      <c r="L101" s="4" t="s">
        <v>155</v>
      </c>
      <c r="M101" s="4" t="s">
        <v>39</v>
      </c>
      <c r="N101" s="4" t="s">
        <v>39</v>
      </c>
      <c r="O101" s="4" t="s">
        <v>39</v>
      </c>
      <c r="P101" s="4" t="s">
        <v>916</v>
      </c>
      <c r="Q101" s="4" t="s">
        <v>38</v>
      </c>
      <c r="R101" s="4" t="s">
        <v>343</v>
      </c>
    </row>
    <row r="102" spans="2:18">
      <c r="B102" s="3" t="s">
        <v>134</v>
      </c>
      <c r="C102" s="3" t="s">
        <v>132</v>
      </c>
      <c r="D102" s="3" t="s">
        <v>39</v>
      </c>
      <c r="E102" s="3" t="s">
        <v>39</v>
      </c>
      <c r="F102" s="3" t="s">
        <v>39</v>
      </c>
      <c r="G102" s="3" t="s">
        <v>441</v>
      </c>
      <c r="H102" s="3" t="s">
        <v>38</v>
      </c>
      <c r="I102" s="3" t="s">
        <v>343</v>
      </c>
      <c r="K102" s="4" t="s">
        <v>144</v>
      </c>
      <c r="L102" s="4" t="s">
        <v>155</v>
      </c>
      <c r="M102" s="4" t="s">
        <v>39</v>
      </c>
      <c r="N102" s="4" t="s">
        <v>39</v>
      </c>
      <c r="O102" s="4" t="s">
        <v>39</v>
      </c>
      <c r="P102" s="4" t="s">
        <v>917</v>
      </c>
      <c r="Q102" s="4" t="s">
        <v>38</v>
      </c>
      <c r="R102" s="4" t="s">
        <v>343</v>
      </c>
    </row>
    <row r="103" spans="2:18">
      <c r="B103" s="3" t="s">
        <v>135</v>
      </c>
      <c r="C103" s="3" t="s">
        <v>132</v>
      </c>
      <c r="D103" s="3" t="s">
        <v>39</v>
      </c>
      <c r="E103" s="3" t="s">
        <v>39</v>
      </c>
      <c r="F103" s="3" t="s">
        <v>39</v>
      </c>
      <c r="G103" s="3" t="s">
        <v>442</v>
      </c>
      <c r="H103" s="3" t="s">
        <v>38</v>
      </c>
      <c r="I103" s="3" t="s">
        <v>343</v>
      </c>
      <c r="K103" s="4" t="s">
        <v>147</v>
      </c>
      <c r="L103" s="4" t="s">
        <v>155</v>
      </c>
      <c r="M103" s="4" t="s">
        <v>39</v>
      </c>
      <c r="N103" s="4" t="s">
        <v>39</v>
      </c>
      <c r="O103" s="4" t="s">
        <v>39</v>
      </c>
      <c r="P103" s="4" t="s">
        <v>918</v>
      </c>
      <c r="Q103" s="4" t="s">
        <v>38</v>
      </c>
      <c r="R103" s="4" t="s">
        <v>343</v>
      </c>
    </row>
    <row r="104" spans="2:18">
      <c r="B104" s="3" t="s">
        <v>142</v>
      </c>
      <c r="C104" s="3" t="s">
        <v>132</v>
      </c>
      <c r="D104" s="3" t="s">
        <v>39</v>
      </c>
      <c r="E104" s="3" t="s">
        <v>39</v>
      </c>
      <c r="F104" s="3" t="s">
        <v>39</v>
      </c>
      <c r="G104" s="3" t="s">
        <v>443</v>
      </c>
      <c r="H104" s="3" t="s">
        <v>38</v>
      </c>
      <c r="I104" s="3" t="s">
        <v>343</v>
      </c>
      <c r="K104" s="4" t="s">
        <v>142</v>
      </c>
      <c r="L104" s="4" t="s">
        <v>155</v>
      </c>
      <c r="M104" s="4" t="s">
        <v>39</v>
      </c>
      <c r="N104" s="4" t="s">
        <v>39</v>
      </c>
      <c r="O104" s="4" t="s">
        <v>39</v>
      </c>
      <c r="P104" s="4" t="s">
        <v>919</v>
      </c>
      <c r="Q104" s="4" t="s">
        <v>38</v>
      </c>
      <c r="R104" s="4" t="s">
        <v>343</v>
      </c>
    </row>
    <row r="105" spans="2:18">
      <c r="B105" s="3" t="s">
        <v>143</v>
      </c>
      <c r="C105" s="3" t="s">
        <v>132</v>
      </c>
      <c r="D105" s="3" t="s">
        <v>39</v>
      </c>
      <c r="E105" s="3" t="s">
        <v>39</v>
      </c>
      <c r="F105" s="3" t="s">
        <v>39</v>
      </c>
      <c r="G105" s="3" t="s">
        <v>444</v>
      </c>
      <c r="H105" s="3" t="s">
        <v>38</v>
      </c>
      <c r="I105" s="3" t="s">
        <v>343</v>
      </c>
      <c r="K105" s="4" t="s">
        <v>143</v>
      </c>
      <c r="L105" s="4" t="s">
        <v>155</v>
      </c>
      <c r="M105" s="4" t="s">
        <v>39</v>
      </c>
      <c r="N105" s="4" t="s">
        <v>39</v>
      </c>
      <c r="O105" s="4" t="s">
        <v>39</v>
      </c>
      <c r="P105" s="4" t="s">
        <v>920</v>
      </c>
      <c r="Q105" s="4" t="s">
        <v>38</v>
      </c>
      <c r="R105" s="4" t="s">
        <v>343</v>
      </c>
    </row>
    <row r="106" spans="2:18">
      <c r="B106" s="3" t="s">
        <v>145</v>
      </c>
      <c r="C106" s="3" t="s">
        <v>132</v>
      </c>
      <c r="D106" s="3" t="s">
        <v>39</v>
      </c>
      <c r="E106" s="3" t="s">
        <v>39</v>
      </c>
      <c r="F106" s="3" t="s">
        <v>39</v>
      </c>
      <c r="G106" s="3" t="s">
        <v>445</v>
      </c>
      <c r="H106" s="3" t="s">
        <v>38</v>
      </c>
      <c r="I106" s="3" t="s">
        <v>343</v>
      </c>
      <c r="K106" s="4" t="s">
        <v>145</v>
      </c>
      <c r="L106" s="4" t="s">
        <v>155</v>
      </c>
      <c r="M106" s="4" t="s">
        <v>39</v>
      </c>
      <c r="N106" s="4" t="s">
        <v>39</v>
      </c>
      <c r="O106" s="4" t="s">
        <v>39</v>
      </c>
      <c r="P106" s="4" t="s">
        <v>921</v>
      </c>
      <c r="Q106" s="4" t="s">
        <v>38</v>
      </c>
      <c r="R106" s="4" t="s">
        <v>343</v>
      </c>
    </row>
    <row r="107" spans="2:18">
      <c r="B107" s="3" t="s">
        <v>140</v>
      </c>
      <c r="C107" s="3" t="s">
        <v>132</v>
      </c>
      <c r="D107" s="3" t="s">
        <v>39</v>
      </c>
      <c r="E107" s="3" t="s">
        <v>39</v>
      </c>
      <c r="F107" s="3" t="s">
        <v>39</v>
      </c>
      <c r="G107" s="3" t="s">
        <v>446</v>
      </c>
      <c r="H107" s="3" t="s">
        <v>38</v>
      </c>
      <c r="I107" s="3" t="s">
        <v>343</v>
      </c>
      <c r="K107" s="4" t="s">
        <v>141</v>
      </c>
      <c r="L107" s="4" t="s">
        <v>155</v>
      </c>
      <c r="M107" s="4" t="s">
        <v>39</v>
      </c>
      <c r="N107" s="4" t="s">
        <v>39</v>
      </c>
      <c r="O107" s="4" t="s">
        <v>39</v>
      </c>
      <c r="P107" s="4" t="s">
        <v>922</v>
      </c>
      <c r="Q107" s="4" t="s">
        <v>38</v>
      </c>
      <c r="R107" s="4" t="s">
        <v>343</v>
      </c>
    </row>
    <row r="108" spans="2:18">
      <c r="B108" s="3" t="s">
        <v>141</v>
      </c>
      <c r="C108" s="3" t="s">
        <v>132</v>
      </c>
      <c r="D108" s="3" t="s">
        <v>39</v>
      </c>
      <c r="E108" s="3" t="s">
        <v>39</v>
      </c>
      <c r="F108" s="3" t="s">
        <v>39</v>
      </c>
      <c r="G108" s="3" t="s">
        <v>447</v>
      </c>
      <c r="H108" s="3" t="s">
        <v>38</v>
      </c>
      <c r="I108" s="3" t="s">
        <v>343</v>
      </c>
      <c r="K108" s="4" t="s">
        <v>116</v>
      </c>
      <c r="L108" s="4" t="s">
        <v>155</v>
      </c>
      <c r="M108" s="4" t="s">
        <v>39</v>
      </c>
      <c r="N108" s="4" t="s">
        <v>39</v>
      </c>
      <c r="O108" s="4" t="s">
        <v>39</v>
      </c>
      <c r="P108" s="4" t="s">
        <v>923</v>
      </c>
      <c r="Q108" s="4" t="s">
        <v>38</v>
      </c>
      <c r="R108" s="4" t="s">
        <v>343</v>
      </c>
    </row>
    <row r="109" spans="2:18">
      <c r="B109" s="3" t="s">
        <v>148</v>
      </c>
      <c r="C109" s="3" t="s">
        <v>132</v>
      </c>
      <c r="D109" s="3" t="s">
        <v>39</v>
      </c>
      <c r="E109" s="3" t="s">
        <v>39</v>
      </c>
      <c r="F109" s="3" t="s">
        <v>39</v>
      </c>
      <c r="G109" s="3" t="s">
        <v>448</v>
      </c>
      <c r="H109" s="3" t="s">
        <v>38</v>
      </c>
      <c r="I109" s="3" t="s">
        <v>343</v>
      </c>
      <c r="K109" s="4" t="s">
        <v>152</v>
      </c>
      <c r="L109" s="4" t="s">
        <v>155</v>
      </c>
      <c r="M109" s="4" t="s">
        <v>39</v>
      </c>
      <c r="N109" s="4" t="s">
        <v>39</v>
      </c>
      <c r="O109" s="4" t="s">
        <v>39</v>
      </c>
      <c r="P109" s="4" t="s">
        <v>924</v>
      </c>
      <c r="Q109" s="4" t="s">
        <v>38</v>
      </c>
      <c r="R109" s="4" t="s">
        <v>343</v>
      </c>
    </row>
    <row r="110" spans="2:18">
      <c r="B110" s="3" t="s">
        <v>116</v>
      </c>
      <c r="C110" s="3" t="s">
        <v>132</v>
      </c>
      <c r="D110" s="3" t="s">
        <v>39</v>
      </c>
      <c r="E110" s="3" t="s">
        <v>39</v>
      </c>
      <c r="F110" s="3" t="s">
        <v>39</v>
      </c>
      <c r="G110" s="3" t="s">
        <v>449</v>
      </c>
      <c r="H110" s="3" t="s">
        <v>38</v>
      </c>
      <c r="I110" s="3" t="s">
        <v>343</v>
      </c>
      <c r="K110" s="4" t="s">
        <v>148</v>
      </c>
      <c r="L110" s="4" t="s">
        <v>155</v>
      </c>
      <c r="M110" s="4" t="s">
        <v>39</v>
      </c>
      <c r="N110" s="4" t="s">
        <v>39</v>
      </c>
      <c r="O110" s="4" t="s">
        <v>39</v>
      </c>
      <c r="P110" s="4" t="s">
        <v>925</v>
      </c>
      <c r="Q110" s="4" t="s">
        <v>38</v>
      </c>
      <c r="R110" s="4" t="s">
        <v>343</v>
      </c>
    </row>
    <row r="111" spans="2:18">
      <c r="B111" s="3" t="s">
        <v>136</v>
      </c>
      <c r="C111" s="3" t="s">
        <v>132</v>
      </c>
      <c r="D111" s="3" t="s">
        <v>39</v>
      </c>
      <c r="E111" s="3" t="s">
        <v>39</v>
      </c>
      <c r="F111" s="3" t="s">
        <v>39</v>
      </c>
      <c r="G111" s="3" t="s">
        <v>450</v>
      </c>
      <c r="H111" s="3" t="s">
        <v>38</v>
      </c>
      <c r="I111" s="3" t="s">
        <v>343</v>
      </c>
      <c r="K111" s="4" t="s">
        <v>27</v>
      </c>
      <c r="L111" s="4" t="s">
        <v>155</v>
      </c>
      <c r="M111" s="4" t="s">
        <v>39</v>
      </c>
      <c r="N111" s="4" t="s">
        <v>39</v>
      </c>
      <c r="O111" s="4" t="s">
        <v>39</v>
      </c>
      <c r="P111" s="4" t="s">
        <v>926</v>
      </c>
      <c r="Q111" s="4" t="s">
        <v>38</v>
      </c>
      <c r="R111" s="4" t="s">
        <v>343</v>
      </c>
    </row>
    <row r="112" spans="2:18">
      <c r="B112" s="3" t="s">
        <v>152</v>
      </c>
      <c r="C112" s="3" t="s">
        <v>132</v>
      </c>
      <c r="D112" s="3" t="s">
        <v>39</v>
      </c>
      <c r="E112" s="3" t="s">
        <v>39</v>
      </c>
      <c r="F112" s="3" t="s">
        <v>39</v>
      </c>
      <c r="G112" s="3" t="s">
        <v>451</v>
      </c>
      <c r="H112" s="3" t="s">
        <v>38</v>
      </c>
      <c r="I112" s="3" t="s">
        <v>343</v>
      </c>
      <c r="K112" s="4" t="s">
        <v>151</v>
      </c>
      <c r="L112" s="4" t="s">
        <v>132</v>
      </c>
      <c r="M112" s="4" t="s">
        <v>39</v>
      </c>
      <c r="N112" s="4" t="s">
        <v>39</v>
      </c>
      <c r="O112" s="4" t="s">
        <v>39</v>
      </c>
      <c r="P112" s="4" t="s">
        <v>927</v>
      </c>
      <c r="Q112" s="4" t="s">
        <v>38</v>
      </c>
      <c r="R112" s="4" t="s">
        <v>343</v>
      </c>
    </row>
    <row r="113" spans="2:18">
      <c r="B113" s="3" t="s">
        <v>29</v>
      </c>
      <c r="C113" s="3" t="s">
        <v>132</v>
      </c>
      <c r="D113" s="3" t="s">
        <v>39</v>
      </c>
      <c r="E113" s="3" t="s">
        <v>39</v>
      </c>
      <c r="F113" s="3" t="s">
        <v>39</v>
      </c>
      <c r="G113" s="3" t="s">
        <v>452</v>
      </c>
      <c r="H113" s="3" t="s">
        <v>38</v>
      </c>
      <c r="I113" s="3" t="s">
        <v>343</v>
      </c>
      <c r="K113" s="4" t="s">
        <v>137</v>
      </c>
      <c r="L113" s="4" t="s">
        <v>28</v>
      </c>
      <c r="M113" s="4" t="s">
        <v>39</v>
      </c>
      <c r="N113" s="4" t="s">
        <v>39</v>
      </c>
      <c r="O113" s="4" t="s">
        <v>39</v>
      </c>
      <c r="P113" s="4" t="s">
        <v>928</v>
      </c>
      <c r="Q113" s="4" t="s">
        <v>38</v>
      </c>
      <c r="R113" s="4" t="s">
        <v>343</v>
      </c>
    </row>
    <row r="114" spans="2:18">
      <c r="B114" s="3" t="s">
        <v>155</v>
      </c>
      <c r="C114" s="3" t="s">
        <v>132</v>
      </c>
      <c r="D114" s="3" t="s">
        <v>39</v>
      </c>
      <c r="E114" s="3" t="s">
        <v>39</v>
      </c>
      <c r="F114" s="3" t="s">
        <v>39</v>
      </c>
      <c r="G114" s="3" t="s">
        <v>453</v>
      </c>
      <c r="H114" s="3" t="s">
        <v>38</v>
      </c>
      <c r="I114" s="3" t="s">
        <v>343</v>
      </c>
      <c r="K114" s="4" t="s">
        <v>133</v>
      </c>
      <c r="L114" s="4" t="s">
        <v>154</v>
      </c>
      <c r="M114" s="4" t="s">
        <v>39</v>
      </c>
      <c r="N114" s="4" t="s">
        <v>39</v>
      </c>
      <c r="O114" s="4" t="s">
        <v>39</v>
      </c>
      <c r="P114" s="4" t="s">
        <v>929</v>
      </c>
      <c r="Q114" s="4" t="s">
        <v>38</v>
      </c>
      <c r="R114" s="4" t="s">
        <v>343</v>
      </c>
    </row>
    <row r="115" spans="2:18">
      <c r="B115" s="3" t="s">
        <v>139</v>
      </c>
      <c r="C115" s="3" t="s">
        <v>132</v>
      </c>
      <c r="D115" s="3" t="s">
        <v>39</v>
      </c>
      <c r="E115" s="3" t="s">
        <v>39</v>
      </c>
      <c r="F115" s="3" t="s">
        <v>39</v>
      </c>
      <c r="G115" s="3" t="s">
        <v>454</v>
      </c>
      <c r="H115" s="3" t="s">
        <v>38</v>
      </c>
      <c r="I115" s="3" t="s">
        <v>343</v>
      </c>
      <c r="K115" s="4" t="s">
        <v>150</v>
      </c>
      <c r="L115" s="4" t="s">
        <v>156</v>
      </c>
      <c r="M115" s="4" t="s">
        <v>39</v>
      </c>
      <c r="N115" s="4" t="s">
        <v>39</v>
      </c>
      <c r="O115" s="4" t="s">
        <v>39</v>
      </c>
      <c r="P115" s="4" t="s">
        <v>930</v>
      </c>
      <c r="Q115" s="4" t="s">
        <v>38</v>
      </c>
      <c r="R115" s="4" t="s">
        <v>343</v>
      </c>
    </row>
    <row r="116" spans="2:18">
      <c r="B116" s="3" t="s">
        <v>138</v>
      </c>
      <c r="C116" s="3" t="s">
        <v>148</v>
      </c>
      <c r="D116" s="3" t="s">
        <v>39</v>
      </c>
      <c r="E116" s="3" t="s">
        <v>39</v>
      </c>
      <c r="F116" s="3" t="s">
        <v>39</v>
      </c>
      <c r="G116" s="3" t="s">
        <v>455</v>
      </c>
      <c r="H116" s="3" t="s">
        <v>38</v>
      </c>
      <c r="I116" s="3" t="s">
        <v>343</v>
      </c>
      <c r="K116" s="4" t="s">
        <v>140</v>
      </c>
      <c r="L116" s="4" t="s">
        <v>156</v>
      </c>
      <c r="M116" s="4" t="s">
        <v>39</v>
      </c>
      <c r="N116" s="4" t="s">
        <v>39</v>
      </c>
      <c r="O116" s="4" t="s">
        <v>39</v>
      </c>
      <c r="P116" s="4" t="s">
        <v>931</v>
      </c>
      <c r="Q116" s="4" t="s">
        <v>38</v>
      </c>
      <c r="R116" s="4" t="s">
        <v>343</v>
      </c>
    </row>
    <row r="117" spans="2:18">
      <c r="B117" s="3" t="s">
        <v>149</v>
      </c>
      <c r="C117" s="3" t="s">
        <v>148</v>
      </c>
      <c r="D117" s="3" t="s">
        <v>39</v>
      </c>
      <c r="E117" s="3" t="s">
        <v>39</v>
      </c>
      <c r="F117" s="3" t="s">
        <v>39</v>
      </c>
      <c r="G117" s="3" t="s">
        <v>456</v>
      </c>
      <c r="H117" s="3" t="s">
        <v>38</v>
      </c>
      <c r="I117" s="3" t="s">
        <v>343</v>
      </c>
    </row>
    <row r="118" spans="2:18">
      <c r="B118" s="3" t="s">
        <v>132</v>
      </c>
      <c r="C118" s="3" t="s">
        <v>148</v>
      </c>
      <c r="D118" s="3" t="s">
        <v>39</v>
      </c>
      <c r="E118" s="3" t="s">
        <v>39</v>
      </c>
      <c r="F118" s="3" t="s">
        <v>39</v>
      </c>
      <c r="G118" s="3" t="s">
        <v>457</v>
      </c>
      <c r="H118" s="3" t="s">
        <v>38</v>
      </c>
      <c r="I118" s="3" t="s">
        <v>343</v>
      </c>
    </row>
    <row r="119" spans="2:18">
      <c r="B119" s="3" t="s">
        <v>133</v>
      </c>
      <c r="C119" s="3" t="s">
        <v>148</v>
      </c>
      <c r="D119" s="3" t="s">
        <v>39</v>
      </c>
      <c r="E119" s="3" t="s">
        <v>39</v>
      </c>
      <c r="F119" s="3" t="s">
        <v>39</v>
      </c>
      <c r="G119" s="3" t="s">
        <v>458</v>
      </c>
      <c r="H119" s="3" t="s">
        <v>38</v>
      </c>
      <c r="I119" s="3" t="s">
        <v>343</v>
      </c>
    </row>
    <row r="120" spans="2:18">
      <c r="B120" s="3" t="s">
        <v>28</v>
      </c>
      <c r="C120" s="3" t="s">
        <v>148</v>
      </c>
      <c r="D120" s="3" t="s">
        <v>39</v>
      </c>
      <c r="E120" s="3" t="s">
        <v>39</v>
      </c>
      <c r="F120" s="3" t="s">
        <v>39</v>
      </c>
      <c r="G120" s="3" t="s">
        <v>459</v>
      </c>
      <c r="H120" s="3" t="s">
        <v>38</v>
      </c>
      <c r="I120" s="3" t="s">
        <v>343</v>
      </c>
    </row>
    <row r="121" spans="2:18">
      <c r="B121" s="3" t="s">
        <v>150</v>
      </c>
      <c r="C121" s="3" t="s">
        <v>148</v>
      </c>
      <c r="D121" s="3" t="s">
        <v>39</v>
      </c>
      <c r="E121" s="3" t="s">
        <v>39</v>
      </c>
      <c r="F121" s="3" t="s">
        <v>39</v>
      </c>
      <c r="G121" s="3" t="s">
        <v>460</v>
      </c>
      <c r="H121" s="3" t="s">
        <v>38</v>
      </c>
      <c r="I121" s="3" t="s">
        <v>343</v>
      </c>
    </row>
    <row r="122" spans="2:18">
      <c r="B122" s="3" t="s">
        <v>151</v>
      </c>
      <c r="C122" s="3" t="s">
        <v>148</v>
      </c>
      <c r="D122" s="3" t="s">
        <v>39</v>
      </c>
      <c r="E122" s="3" t="s">
        <v>39</v>
      </c>
      <c r="F122" s="3" t="s">
        <v>39</v>
      </c>
      <c r="G122" s="3" t="s">
        <v>461</v>
      </c>
      <c r="H122" s="3" t="s">
        <v>38</v>
      </c>
      <c r="I122" s="3" t="s">
        <v>343</v>
      </c>
    </row>
    <row r="123" spans="2:18">
      <c r="B123" s="3" t="s">
        <v>153</v>
      </c>
      <c r="C123" s="3" t="s">
        <v>148</v>
      </c>
      <c r="D123" s="3" t="s">
        <v>39</v>
      </c>
      <c r="E123" s="3" t="s">
        <v>39</v>
      </c>
      <c r="F123" s="3" t="s">
        <v>39</v>
      </c>
      <c r="G123" s="3" t="s">
        <v>462</v>
      </c>
      <c r="H123" s="3" t="s">
        <v>38</v>
      </c>
      <c r="I123" s="3" t="s">
        <v>343</v>
      </c>
    </row>
    <row r="124" spans="2:18">
      <c r="B124" s="3" t="s">
        <v>154</v>
      </c>
      <c r="C124" s="3" t="s">
        <v>148</v>
      </c>
      <c r="D124" s="3" t="s">
        <v>39</v>
      </c>
      <c r="E124" s="3" t="s">
        <v>39</v>
      </c>
      <c r="F124" s="3" t="s">
        <v>39</v>
      </c>
      <c r="G124" s="3" t="s">
        <v>463</v>
      </c>
      <c r="H124" s="3" t="s">
        <v>38</v>
      </c>
      <c r="I124" s="3" t="s">
        <v>343</v>
      </c>
    </row>
    <row r="125" spans="2:18">
      <c r="B125" s="3" t="s">
        <v>146</v>
      </c>
      <c r="C125" s="3" t="s">
        <v>148</v>
      </c>
      <c r="D125" s="3" t="s">
        <v>39</v>
      </c>
      <c r="E125" s="3" t="s">
        <v>39</v>
      </c>
      <c r="F125" s="3" t="s">
        <v>39</v>
      </c>
      <c r="G125" s="3" t="s">
        <v>464</v>
      </c>
      <c r="H125" s="3" t="s">
        <v>38</v>
      </c>
      <c r="I125" s="3" t="s">
        <v>343</v>
      </c>
    </row>
    <row r="126" spans="2:18">
      <c r="B126" s="3" t="s">
        <v>156</v>
      </c>
      <c r="C126" s="3" t="s">
        <v>148</v>
      </c>
      <c r="D126" s="3" t="s">
        <v>39</v>
      </c>
      <c r="E126" s="3" t="s">
        <v>39</v>
      </c>
      <c r="F126" s="3" t="s">
        <v>39</v>
      </c>
      <c r="G126" s="3" t="s">
        <v>465</v>
      </c>
      <c r="H126" s="3" t="s">
        <v>38</v>
      </c>
      <c r="I126" s="3" t="s">
        <v>343</v>
      </c>
    </row>
    <row r="127" spans="2:18">
      <c r="B127" s="3" t="s">
        <v>27</v>
      </c>
      <c r="C127" s="3" t="s">
        <v>148</v>
      </c>
      <c r="D127" s="3" t="s">
        <v>39</v>
      </c>
      <c r="E127" s="3" t="s">
        <v>39</v>
      </c>
      <c r="F127" s="3" t="s">
        <v>39</v>
      </c>
      <c r="G127" s="3" t="s">
        <v>466</v>
      </c>
      <c r="H127" s="3" t="s">
        <v>38</v>
      </c>
      <c r="I127" s="3" t="s">
        <v>343</v>
      </c>
    </row>
    <row r="128" spans="2:18">
      <c r="B128" s="3" t="s">
        <v>144</v>
      </c>
      <c r="C128" s="3" t="s">
        <v>148</v>
      </c>
      <c r="D128" s="3" t="s">
        <v>39</v>
      </c>
      <c r="E128" s="3" t="s">
        <v>39</v>
      </c>
      <c r="F128" s="3" t="s">
        <v>39</v>
      </c>
      <c r="G128" s="3" t="s">
        <v>467</v>
      </c>
      <c r="H128" s="3" t="s">
        <v>38</v>
      </c>
      <c r="I128" s="3" t="s">
        <v>343</v>
      </c>
    </row>
    <row r="129" spans="2:9">
      <c r="B129" s="3" t="s">
        <v>137</v>
      </c>
      <c r="C129" s="3" t="s">
        <v>148</v>
      </c>
      <c r="D129" s="3" t="s">
        <v>39</v>
      </c>
      <c r="E129" s="3" t="s">
        <v>39</v>
      </c>
      <c r="F129" s="3" t="s">
        <v>39</v>
      </c>
      <c r="G129" s="3" t="s">
        <v>468</v>
      </c>
      <c r="H129" s="3" t="s">
        <v>38</v>
      </c>
      <c r="I129" s="3" t="s">
        <v>343</v>
      </c>
    </row>
    <row r="130" spans="2:9">
      <c r="B130" s="3" t="s">
        <v>147</v>
      </c>
      <c r="C130" s="3" t="s">
        <v>148</v>
      </c>
      <c r="D130" s="3" t="s">
        <v>39</v>
      </c>
      <c r="E130" s="3" t="s">
        <v>39</v>
      </c>
      <c r="F130" s="3" t="s">
        <v>39</v>
      </c>
      <c r="G130" s="3" t="s">
        <v>469</v>
      </c>
      <c r="H130" s="3" t="s">
        <v>38</v>
      </c>
      <c r="I130" s="3" t="s">
        <v>343</v>
      </c>
    </row>
    <row r="131" spans="2:9">
      <c r="B131" s="3" t="s">
        <v>134</v>
      </c>
      <c r="C131" s="3" t="s">
        <v>148</v>
      </c>
      <c r="D131" s="3" t="s">
        <v>39</v>
      </c>
      <c r="E131" s="3" t="s">
        <v>39</v>
      </c>
      <c r="F131" s="3" t="s">
        <v>39</v>
      </c>
      <c r="G131" s="3" t="s">
        <v>470</v>
      </c>
      <c r="H131" s="3" t="s">
        <v>38</v>
      </c>
      <c r="I131" s="3" t="s">
        <v>343</v>
      </c>
    </row>
    <row r="132" spans="2:9">
      <c r="B132" s="3" t="s">
        <v>135</v>
      </c>
      <c r="C132" s="3" t="s">
        <v>148</v>
      </c>
      <c r="D132" s="3" t="s">
        <v>39</v>
      </c>
      <c r="E132" s="3" t="s">
        <v>39</v>
      </c>
      <c r="F132" s="3" t="s">
        <v>39</v>
      </c>
      <c r="G132" s="3" t="s">
        <v>471</v>
      </c>
      <c r="H132" s="3" t="s">
        <v>38</v>
      </c>
      <c r="I132" s="3" t="s">
        <v>343</v>
      </c>
    </row>
    <row r="133" spans="2:9">
      <c r="B133" s="3" t="s">
        <v>142</v>
      </c>
      <c r="C133" s="3" t="s">
        <v>148</v>
      </c>
      <c r="D133" s="3" t="s">
        <v>39</v>
      </c>
      <c r="E133" s="3" t="s">
        <v>39</v>
      </c>
      <c r="F133" s="3" t="s">
        <v>39</v>
      </c>
      <c r="G133" s="3" t="s">
        <v>472</v>
      </c>
      <c r="H133" s="3" t="s">
        <v>38</v>
      </c>
      <c r="I133" s="3" t="s">
        <v>343</v>
      </c>
    </row>
    <row r="134" spans="2:9">
      <c r="B134" s="3" t="s">
        <v>143</v>
      </c>
      <c r="C134" s="3" t="s">
        <v>148</v>
      </c>
      <c r="D134" s="3" t="s">
        <v>39</v>
      </c>
      <c r="E134" s="3" t="s">
        <v>39</v>
      </c>
      <c r="F134" s="3" t="s">
        <v>39</v>
      </c>
      <c r="G134" s="3" t="s">
        <v>473</v>
      </c>
      <c r="H134" s="3" t="s">
        <v>38</v>
      </c>
      <c r="I134" s="3" t="s">
        <v>343</v>
      </c>
    </row>
    <row r="135" spans="2:9">
      <c r="B135" s="3" t="s">
        <v>145</v>
      </c>
      <c r="C135" s="3" t="s">
        <v>148</v>
      </c>
      <c r="D135" s="3" t="s">
        <v>39</v>
      </c>
      <c r="E135" s="3" t="s">
        <v>39</v>
      </c>
      <c r="F135" s="3" t="s">
        <v>39</v>
      </c>
      <c r="G135" s="3" t="s">
        <v>474</v>
      </c>
      <c r="H135" s="3" t="s">
        <v>38</v>
      </c>
      <c r="I135" s="3" t="s">
        <v>343</v>
      </c>
    </row>
    <row r="136" spans="2:9">
      <c r="B136" s="3" t="s">
        <v>140</v>
      </c>
      <c r="C136" s="3" t="s">
        <v>148</v>
      </c>
      <c r="D136" s="3" t="s">
        <v>39</v>
      </c>
      <c r="E136" s="3" t="s">
        <v>39</v>
      </c>
      <c r="F136" s="3" t="s">
        <v>39</v>
      </c>
      <c r="G136" s="3" t="s">
        <v>475</v>
      </c>
      <c r="H136" s="3" t="s">
        <v>38</v>
      </c>
      <c r="I136" s="3" t="s">
        <v>343</v>
      </c>
    </row>
    <row r="137" spans="2:9">
      <c r="B137" s="3" t="s">
        <v>141</v>
      </c>
      <c r="C137" s="3" t="s">
        <v>148</v>
      </c>
      <c r="D137" s="3" t="s">
        <v>39</v>
      </c>
      <c r="E137" s="3" t="s">
        <v>39</v>
      </c>
      <c r="F137" s="3" t="s">
        <v>39</v>
      </c>
      <c r="G137" s="3" t="s">
        <v>476</v>
      </c>
      <c r="H137" s="3" t="s">
        <v>38</v>
      </c>
      <c r="I137" s="3" t="s">
        <v>343</v>
      </c>
    </row>
    <row r="138" spans="2:9">
      <c r="B138" s="3" t="s">
        <v>116</v>
      </c>
      <c r="C138" s="3" t="s">
        <v>148</v>
      </c>
      <c r="D138" s="3" t="s">
        <v>39</v>
      </c>
      <c r="E138" s="3" t="s">
        <v>39</v>
      </c>
      <c r="F138" s="3" t="s">
        <v>39</v>
      </c>
      <c r="G138" s="3" t="s">
        <v>477</v>
      </c>
      <c r="H138" s="3" t="s">
        <v>38</v>
      </c>
      <c r="I138" s="3" t="s">
        <v>343</v>
      </c>
    </row>
    <row r="139" spans="2:9">
      <c r="B139" s="3" t="s">
        <v>136</v>
      </c>
      <c r="C139" s="3" t="s">
        <v>148</v>
      </c>
      <c r="D139" s="3" t="s">
        <v>39</v>
      </c>
      <c r="E139" s="3" t="s">
        <v>39</v>
      </c>
      <c r="F139" s="3" t="s">
        <v>39</v>
      </c>
      <c r="G139" s="3" t="s">
        <v>478</v>
      </c>
      <c r="H139" s="3" t="s">
        <v>38</v>
      </c>
      <c r="I139" s="3" t="s">
        <v>343</v>
      </c>
    </row>
    <row r="140" spans="2:9">
      <c r="B140" s="3" t="s">
        <v>152</v>
      </c>
      <c r="C140" s="3" t="s">
        <v>148</v>
      </c>
      <c r="D140" s="3" t="s">
        <v>39</v>
      </c>
      <c r="E140" s="3" t="s">
        <v>39</v>
      </c>
      <c r="F140" s="3" t="s">
        <v>39</v>
      </c>
      <c r="G140" s="3" t="s">
        <v>479</v>
      </c>
      <c r="H140" s="3" t="s">
        <v>38</v>
      </c>
      <c r="I140" s="3" t="s">
        <v>343</v>
      </c>
    </row>
    <row r="141" spans="2:9">
      <c r="B141" s="3" t="s">
        <v>29</v>
      </c>
      <c r="C141" s="3" t="s">
        <v>148</v>
      </c>
      <c r="D141" s="3" t="s">
        <v>39</v>
      </c>
      <c r="E141" s="3" t="s">
        <v>39</v>
      </c>
      <c r="F141" s="3" t="s">
        <v>39</v>
      </c>
      <c r="G141" s="3" t="s">
        <v>480</v>
      </c>
      <c r="H141" s="3" t="s">
        <v>38</v>
      </c>
      <c r="I141" s="3" t="s">
        <v>343</v>
      </c>
    </row>
    <row r="142" spans="2:9">
      <c r="B142" s="3" t="s">
        <v>155</v>
      </c>
      <c r="C142" s="3" t="s">
        <v>148</v>
      </c>
      <c r="D142" s="3" t="s">
        <v>39</v>
      </c>
      <c r="E142" s="3" t="s">
        <v>39</v>
      </c>
      <c r="F142" s="3" t="s">
        <v>39</v>
      </c>
      <c r="G142" s="3" t="s">
        <v>481</v>
      </c>
      <c r="H142" s="3" t="s">
        <v>38</v>
      </c>
      <c r="I142" s="3" t="s">
        <v>343</v>
      </c>
    </row>
    <row r="143" spans="2:9">
      <c r="B143" s="3" t="s">
        <v>139</v>
      </c>
      <c r="C143" s="3" t="s">
        <v>148</v>
      </c>
      <c r="D143" s="3" t="s">
        <v>39</v>
      </c>
      <c r="E143" s="3" t="s">
        <v>39</v>
      </c>
      <c r="F143" s="3" t="s">
        <v>39</v>
      </c>
      <c r="G143" s="3" t="s">
        <v>482</v>
      </c>
      <c r="H143" s="3" t="s">
        <v>38</v>
      </c>
      <c r="I143" s="3" t="s">
        <v>343</v>
      </c>
    </row>
    <row r="144" spans="2:9">
      <c r="B144" s="3" t="s">
        <v>138</v>
      </c>
      <c r="C144" s="3" t="s">
        <v>116</v>
      </c>
      <c r="D144" s="3" t="s">
        <v>39</v>
      </c>
      <c r="E144" s="3" t="s">
        <v>39</v>
      </c>
      <c r="F144" s="3" t="s">
        <v>39</v>
      </c>
      <c r="G144" s="3" t="s">
        <v>483</v>
      </c>
      <c r="H144" s="3" t="s">
        <v>38</v>
      </c>
      <c r="I144" s="3" t="s">
        <v>343</v>
      </c>
    </row>
    <row r="145" spans="2:9">
      <c r="B145" s="3" t="s">
        <v>149</v>
      </c>
      <c r="C145" s="3" t="s">
        <v>116</v>
      </c>
      <c r="D145" s="3" t="s">
        <v>39</v>
      </c>
      <c r="E145" s="3" t="s">
        <v>39</v>
      </c>
      <c r="F145" s="3" t="s">
        <v>39</v>
      </c>
      <c r="G145" s="3" t="s">
        <v>484</v>
      </c>
      <c r="H145" s="3" t="s">
        <v>38</v>
      </c>
      <c r="I145" s="3" t="s">
        <v>343</v>
      </c>
    </row>
    <row r="146" spans="2:9">
      <c r="B146" s="3" t="s">
        <v>132</v>
      </c>
      <c r="C146" s="3" t="s">
        <v>116</v>
      </c>
      <c r="D146" s="3" t="s">
        <v>39</v>
      </c>
      <c r="E146" s="3" t="s">
        <v>39</v>
      </c>
      <c r="F146" s="3" t="s">
        <v>39</v>
      </c>
      <c r="G146" s="3" t="s">
        <v>485</v>
      </c>
      <c r="H146" s="3" t="s">
        <v>38</v>
      </c>
      <c r="I146" s="3" t="s">
        <v>343</v>
      </c>
    </row>
    <row r="147" spans="2:9">
      <c r="B147" s="3" t="s">
        <v>133</v>
      </c>
      <c r="C147" s="3" t="s">
        <v>116</v>
      </c>
      <c r="D147" s="3" t="s">
        <v>39</v>
      </c>
      <c r="E147" s="3" t="s">
        <v>39</v>
      </c>
      <c r="F147" s="3" t="s">
        <v>39</v>
      </c>
      <c r="G147" s="3" t="s">
        <v>486</v>
      </c>
      <c r="H147" s="3" t="s">
        <v>38</v>
      </c>
      <c r="I147" s="3" t="s">
        <v>343</v>
      </c>
    </row>
    <row r="148" spans="2:9">
      <c r="B148" s="3" t="s">
        <v>28</v>
      </c>
      <c r="C148" s="3" t="s">
        <v>116</v>
      </c>
      <c r="D148" s="3" t="s">
        <v>39</v>
      </c>
      <c r="E148" s="3" t="s">
        <v>39</v>
      </c>
      <c r="F148" s="3" t="s">
        <v>39</v>
      </c>
      <c r="G148" s="3" t="s">
        <v>487</v>
      </c>
      <c r="H148" s="3" t="s">
        <v>38</v>
      </c>
      <c r="I148" s="3" t="s">
        <v>343</v>
      </c>
    </row>
    <row r="149" spans="2:9">
      <c r="B149" s="3" t="s">
        <v>150</v>
      </c>
      <c r="C149" s="3" t="s">
        <v>116</v>
      </c>
      <c r="D149" s="3" t="s">
        <v>39</v>
      </c>
      <c r="E149" s="3" t="s">
        <v>39</v>
      </c>
      <c r="F149" s="3" t="s">
        <v>39</v>
      </c>
      <c r="G149" s="3" t="s">
        <v>488</v>
      </c>
      <c r="H149" s="3" t="s">
        <v>38</v>
      </c>
      <c r="I149" s="3" t="s">
        <v>343</v>
      </c>
    </row>
    <row r="150" spans="2:9">
      <c r="B150" s="3" t="s">
        <v>151</v>
      </c>
      <c r="C150" s="3" t="s">
        <v>116</v>
      </c>
      <c r="D150" s="3" t="s">
        <v>39</v>
      </c>
      <c r="E150" s="3" t="s">
        <v>39</v>
      </c>
      <c r="F150" s="3" t="s">
        <v>39</v>
      </c>
      <c r="G150" s="3" t="s">
        <v>489</v>
      </c>
      <c r="H150" s="3" t="s">
        <v>38</v>
      </c>
      <c r="I150" s="3" t="s">
        <v>343</v>
      </c>
    </row>
    <row r="151" spans="2:9">
      <c r="B151" s="3" t="s">
        <v>153</v>
      </c>
      <c r="C151" s="3" t="s">
        <v>116</v>
      </c>
      <c r="D151" s="3" t="s">
        <v>39</v>
      </c>
      <c r="E151" s="3" t="s">
        <v>39</v>
      </c>
      <c r="F151" s="3" t="s">
        <v>39</v>
      </c>
      <c r="G151" s="3" t="s">
        <v>490</v>
      </c>
      <c r="H151" s="3" t="s">
        <v>38</v>
      </c>
      <c r="I151" s="3" t="s">
        <v>343</v>
      </c>
    </row>
    <row r="152" spans="2:9">
      <c r="B152" s="3" t="s">
        <v>154</v>
      </c>
      <c r="C152" s="3" t="s">
        <v>116</v>
      </c>
      <c r="D152" s="3" t="s">
        <v>39</v>
      </c>
      <c r="E152" s="3" t="s">
        <v>39</v>
      </c>
      <c r="F152" s="3" t="s">
        <v>39</v>
      </c>
      <c r="G152" s="3" t="s">
        <v>491</v>
      </c>
      <c r="H152" s="3" t="s">
        <v>38</v>
      </c>
      <c r="I152" s="3" t="s">
        <v>343</v>
      </c>
    </row>
    <row r="153" spans="2:9">
      <c r="B153" s="3" t="s">
        <v>146</v>
      </c>
      <c r="C153" s="3" t="s">
        <v>116</v>
      </c>
      <c r="D153" s="3" t="s">
        <v>39</v>
      </c>
      <c r="E153" s="3" t="s">
        <v>39</v>
      </c>
      <c r="F153" s="3" t="s">
        <v>39</v>
      </c>
      <c r="G153" s="3" t="s">
        <v>492</v>
      </c>
      <c r="H153" s="3" t="s">
        <v>38</v>
      </c>
      <c r="I153" s="3" t="s">
        <v>343</v>
      </c>
    </row>
    <row r="154" spans="2:9">
      <c r="B154" s="3" t="s">
        <v>156</v>
      </c>
      <c r="C154" s="3" t="s">
        <v>116</v>
      </c>
      <c r="D154" s="3" t="s">
        <v>39</v>
      </c>
      <c r="E154" s="3" t="s">
        <v>39</v>
      </c>
      <c r="F154" s="3" t="s">
        <v>39</v>
      </c>
      <c r="G154" s="3" t="s">
        <v>493</v>
      </c>
      <c r="H154" s="3" t="s">
        <v>38</v>
      </c>
      <c r="I154" s="3" t="s">
        <v>343</v>
      </c>
    </row>
    <row r="155" spans="2:9">
      <c r="B155" s="3" t="s">
        <v>27</v>
      </c>
      <c r="C155" s="3" t="s">
        <v>116</v>
      </c>
      <c r="D155" s="3" t="s">
        <v>39</v>
      </c>
      <c r="E155" s="3" t="s">
        <v>39</v>
      </c>
      <c r="F155" s="3" t="s">
        <v>39</v>
      </c>
      <c r="G155" s="3" t="s">
        <v>494</v>
      </c>
      <c r="H155" s="3" t="s">
        <v>38</v>
      </c>
      <c r="I155" s="3" t="s">
        <v>343</v>
      </c>
    </row>
    <row r="156" spans="2:9">
      <c r="B156" s="3" t="s">
        <v>144</v>
      </c>
      <c r="C156" s="3" t="s">
        <v>116</v>
      </c>
      <c r="D156" s="3" t="s">
        <v>39</v>
      </c>
      <c r="E156" s="3" t="s">
        <v>39</v>
      </c>
      <c r="F156" s="3" t="s">
        <v>39</v>
      </c>
      <c r="G156" s="3" t="s">
        <v>495</v>
      </c>
      <c r="H156" s="3" t="s">
        <v>38</v>
      </c>
      <c r="I156" s="3" t="s">
        <v>343</v>
      </c>
    </row>
    <row r="157" spans="2:9">
      <c r="B157" s="3" t="s">
        <v>137</v>
      </c>
      <c r="C157" s="3" t="s">
        <v>116</v>
      </c>
      <c r="D157" s="3" t="s">
        <v>39</v>
      </c>
      <c r="E157" s="3" t="s">
        <v>39</v>
      </c>
      <c r="F157" s="3" t="s">
        <v>39</v>
      </c>
      <c r="G157" s="3" t="s">
        <v>496</v>
      </c>
      <c r="H157" s="3" t="s">
        <v>38</v>
      </c>
      <c r="I157" s="3" t="s">
        <v>343</v>
      </c>
    </row>
    <row r="158" spans="2:9">
      <c r="B158" s="3" t="s">
        <v>147</v>
      </c>
      <c r="C158" s="3" t="s">
        <v>116</v>
      </c>
      <c r="D158" s="3" t="s">
        <v>39</v>
      </c>
      <c r="E158" s="3" t="s">
        <v>39</v>
      </c>
      <c r="F158" s="3" t="s">
        <v>39</v>
      </c>
      <c r="G158" s="3" t="s">
        <v>497</v>
      </c>
      <c r="H158" s="3" t="s">
        <v>38</v>
      </c>
      <c r="I158" s="3" t="s">
        <v>343</v>
      </c>
    </row>
    <row r="159" spans="2:9">
      <c r="B159" s="3" t="s">
        <v>134</v>
      </c>
      <c r="C159" s="3" t="s">
        <v>116</v>
      </c>
      <c r="D159" s="3" t="s">
        <v>39</v>
      </c>
      <c r="E159" s="3" t="s">
        <v>39</v>
      </c>
      <c r="F159" s="3" t="s">
        <v>39</v>
      </c>
      <c r="G159" s="3" t="s">
        <v>498</v>
      </c>
      <c r="H159" s="3" t="s">
        <v>38</v>
      </c>
      <c r="I159" s="3" t="s">
        <v>343</v>
      </c>
    </row>
    <row r="160" spans="2:9">
      <c r="B160" s="3" t="s">
        <v>135</v>
      </c>
      <c r="C160" s="3" t="s">
        <v>116</v>
      </c>
      <c r="D160" s="3" t="s">
        <v>39</v>
      </c>
      <c r="E160" s="3" t="s">
        <v>39</v>
      </c>
      <c r="F160" s="3" t="s">
        <v>39</v>
      </c>
      <c r="G160" s="3" t="s">
        <v>499</v>
      </c>
      <c r="H160" s="3" t="s">
        <v>38</v>
      </c>
      <c r="I160" s="3" t="s">
        <v>343</v>
      </c>
    </row>
    <row r="161" spans="2:9">
      <c r="B161" s="3" t="s">
        <v>142</v>
      </c>
      <c r="C161" s="3" t="s">
        <v>116</v>
      </c>
      <c r="D161" s="3" t="s">
        <v>39</v>
      </c>
      <c r="E161" s="3" t="s">
        <v>39</v>
      </c>
      <c r="F161" s="3" t="s">
        <v>39</v>
      </c>
      <c r="G161" s="3" t="s">
        <v>500</v>
      </c>
      <c r="H161" s="3" t="s">
        <v>38</v>
      </c>
      <c r="I161" s="3" t="s">
        <v>343</v>
      </c>
    </row>
    <row r="162" spans="2:9">
      <c r="B162" s="3" t="s">
        <v>143</v>
      </c>
      <c r="C162" s="3" t="s">
        <v>116</v>
      </c>
      <c r="D162" s="3" t="s">
        <v>39</v>
      </c>
      <c r="E162" s="3" t="s">
        <v>39</v>
      </c>
      <c r="F162" s="3" t="s">
        <v>39</v>
      </c>
      <c r="G162" s="3" t="s">
        <v>501</v>
      </c>
      <c r="H162" s="3" t="s">
        <v>38</v>
      </c>
      <c r="I162" s="3" t="s">
        <v>343</v>
      </c>
    </row>
    <row r="163" spans="2:9">
      <c r="B163" s="3" t="s">
        <v>145</v>
      </c>
      <c r="C163" s="3" t="s">
        <v>116</v>
      </c>
      <c r="D163" s="3" t="s">
        <v>39</v>
      </c>
      <c r="E163" s="3" t="s">
        <v>39</v>
      </c>
      <c r="F163" s="3" t="s">
        <v>39</v>
      </c>
      <c r="G163" s="3" t="s">
        <v>502</v>
      </c>
      <c r="H163" s="3" t="s">
        <v>38</v>
      </c>
      <c r="I163" s="3" t="s">
        <v>343</v>
      </c>
    </row>
    <row r="164" spans="2:9">
      <c r="B164" s="3" t="s">
        <v>140</v>
      </c>
      <c r="C164" s="3" t="s">
        <v>116</v>
      </c>
      <c r="D164" s="3" t="s">
        <v>39</v>
      </c>
      <c r="E164" s="3" t="s">
        <v>39</v>
      </c>
      <c r="F164" s="3" t="s">
        <v>39</v>
      </c>
      <c r="G164" s="3" t="s">
        <v>503</v>
      </c>
      <c r="H164" s="3" t="s">
        <v>38</v>
      </c>
      <c r="I164" s="3" t="s">
        <v>343</v>
      </c>
    </row>
    <row r="165" spans="2:9">
      <c r="B165" s="3" t="s">
        <v>141</v>
      </c>
      <c r="C165" s="3" t="s">
        <v>116</v>
      </c>
      <c r="D165" s="3" t="s">
        <v>39</v>
      </c>
      <c r="E165" s="3" t="s">
        <v>39</v>
      </c>
      <c r="F165" s="3" t="s">
        <v>39</v>
      </c>
      <c r="G165" s="3" t="s">
        <v>504</v>
      </c>
      <c r="H165" s="3" t="s">
        <v>38</v>
      </c>
      <c r="I165" s="3" t="s">
        <v>343</v>
      </c>
    </row>
    <row r="166" spans="2:9">
      <c r="B166" s="3" t="s">
        <v>148</v>
      </c>
      <c r="C166" s="3" t="s">
        <v>116</v>
      </c>
      <c r="D166" s="3" t="s">
        <v>39</v>
      </c>
      <c r="E166" s="3" t="s">
        <v>39</v>
      </c>
      <c r="F166" s="3" t="s">
        <v>39</v>
      </c>
      <c r="G166" s="3" t="s">
        <v>505</v>
      </c>
      <c r="H166" s="3" t="s">
        <v>38</v>
      </c>
      <c r="I166" s="3" t="s">
        <v>343</v>
      </c>
    </row>
    <row r="167" spans="2:9">
      <c r="B167" s="3" t="s">
        <v>136</v>
      </c>
      <c r="C167" s="3" t="s">
        <v>116</v>
      </c>
      <c r="D167" s="3" t="s">
        <v>39</v>
      </c>
      <c r="E167" s="3" t="s">
        <v>39</v>
      </c>
      <c r="F167" s="3" t="s">
        <v>39</v>
      </c>
      <c r="G167" s="3" t="s">
        <v>506</v>
      </c>
      <c r="H167" s="3" t="s">
        <v>38</v>
      </c>
      <c r="I167" s="3" t="s">
        <v>343</v>
      </c>
    </row>
    <row r="168" spans="2:9">
      <c r="B168" s="3" t="s">
        <v>152</v>
      </c>
      <c r="C168" s="3" t="s">
        <v>116</v>
      </c>
      <c r="D168" s="3" t="s">
        <v>39</v>
      </c>
      <c r="E168" s="3" t="s">
        <v>39</v>
      </c>
      <c r="F168" s="3" t="s">
        <v>39</v>
      </c>
      <c r="G168" s="3" t="s">
        <v>507</v>
      </c>
      <c r="H168" s="3" t="s">
        <v>38</v>
      </c>
      <c r="I168" s="3" t="s">
        <v>343</v>
      </c>
    </row>
    <row r="169" spans="2:9">
      <c r="B169" s="3" t="s">
        <v>29</v>
      </c>
      <c r="C169" s="3" t="s">
        <v>116</v>
      </c>
      <c r="D169" s="3" t="s">
        <v>39</v>
      </c>
      <c r="E169" s="3" t="s">
        <v>39</v>
      </c>
      <c r="F169" s="3" t="s">
        <v>39</v>
      </c>
      <c r="G169" s="3" t="s">
        <v>508</v>
      </c>
      <c r="H169" s="3" t="s">
        <v>38</v>
      </c>
      <c r="I169" s="3" t="s">
        <v>343</v>
      </c>
    </row>
    <row r="170" spans="2:9">
      <c r="B170" s="3" t="s">
        <v>155</v>
      </c>
      <c r="C170" s="3" t="s">
        <v>116</v>
      </c>
      <c r="D170" s="3" t="s">
        <v>39</v>
      </c>
      <c r="E170" s="3" t="s">
        <v>39</v>
      </c>
      <c r="F170" s="3" t="s">
        <v>39</v>
      </c>
      <c r="G170" s="3" t="s">
        <v>509</v>
      </c>
      <c r="H170" s="3" t="s">
        <v>38</v>
      </c>
      <c r="I170" s="3" t="s">
        <v>343</v>
      </c>
    </row>
    <row r="171" spans="2:9">
      <c r="B171" s="3" t="s">
        <v>139</v>
      </c>
      <c r="C171" s="3" t="s">
        <v>116</v>
      </c>
      <c r="D171" s="3" t="s">
        <v>39</v>
      </c>
      <c r="E171" s="3" t="s">
        <v>39</v>
      </c>
      <c r="F171" s="3" t="s">
        <v>39</v>
      </c>
      <c r="G171" s="3" t="s">
        <v>510</v>
      </c>
      <c r="H171" s="3" t="s">
        <v>38</v>
      </c>
      <c r="I171" s="3" t="s">
        <v>343</v>
      </c>
    </row>
    <row r="172" spans="2:9">
      <c r="B172" s="3" t="s">
        <v>138</v>
      </c>
      <c r="C172" s="3" t="s">
        <v>28</v>
      </c>
      <c r="D172" s="3" t="s">
        <v>39</v>
      </c>
      <c r="E172" s="3" t="s">
        <v>39</v>
      </c>
      <c r="F172" s="3" t="s">
        <v>39</v>
      </c>
      <c r="G172" s="3" t="s">
        <v>511</v>
      </c>
      <c r="H172" s="3" t="s">
        <v>38</v>
      </c>
      <c r="I172" s="3" t="s">
        <v>343</v>
      </c>
    </row>
    <row r="173" spans="2:9">
      <c r="B173" s="3" t="s">
        <v>149</v>
      </c>
      <c r="C173" s="3" t="s">
        <v>28</v>
      </c>
      <c r="D173" s="3" t="s">
        <v>39</v>
      </c>
      <c r="E173" s="3" t="s">
        <v>39</v>
      </c>
      <c r="F173" s="3" t="s">
        <v>39</v>
      </c>
      <c r="G173" s="3" t="s">
        <v>512</v>
      </c>
      <c r="H173" s="3" t="s">
        <v>38</v>
      </c>
      <c r="I173" s="3" t="s">
        <v>343</v>
      </c>
    </row>
    <row r="174" spans="2:9">
      <c r="B174" s="3" t="s">
        <v>132</v>
      </c>
      <c r="C174" s="3" t="s">
        <v>28</v>
      </c>
      <c r="D174" s="3" t="s">
        <v>39</v>
      </c>
      <c r="E174" s="3" t="s">
        <v>39</v>
      </c>
      <c r="F174" s="3" t="s">
        <v>39</v>
      </c>
      <c r="G174" s="3" t="s">
        <v>513</v>
      </c>
      <c r="H174" s="3" t="s">
        <v>38</v>
      </c>
      <c r="I174" s="3" t="s">
        <v>343</v>
      </c>
    </row>
    <row r="175" spans="2:9">
      <c r="B175" s="3" t="s">
        <v>133</v>
      </c>
      <c r="C175" s="3" t="s">
        <v>28</v>
      </c>
      <c r="D175" s="3" t="s">
        <v>39</v>
      </c>
      <c r="E175" s="3" t="s">
        <v>39</v>
      </c>
      <c r="F175" s="3" t="s">
        <v>39</v>
      </c>
      <c r="G175" s="3" t="s">
        <v>514</v>
      </c>
      <c r="H175" s="3" t="s">
        <v>38</v>
      </c>
      <c r="I175" s="3" t="s">
        <v>343</v>
      </c>
    </row>
    <row r="176" spans="2:9">
      <c r="B176" s="3" t="s">
        <v>150</v>
      </c>
      <c r="C176" s="3" t="s">
        <v>28</v>
      </c>
      <c r="D176" s="3" t="s">
        <v>39</v>
      </c>
      <c r="E176" s="3" t="s">
        <v>39</v>
      </c>
      <c r="F176" s="3" t="s">
        <v>39</v>
      </c>
      <c r="G176" s="3" t="s">
        <v>515</v>
      </c>
      <c r="H176" s="3" t="s">
        <v>38</v>
      </c>
      <c r="I176" s="3" t="s">
        <v>343</v>
      </c>
    </row>
    <row r="177" spans="2:9">
      <c r="B177" s="3" t="s">
        <v>151</v>
      </c>
      <c r="C177" s="3" t="s">
        <v>28</v>
      </c>
      <c r="D177" s="3" t="s">
        <v>39</v>
      </c>
      <c r="E177" s="3" t="s">
        <v>39</v>
      </c>
      <c r="F177" s="3" t="s">
        <v>39</v>
      </c>
      <c r="G177" s="3" t="s">
        <v>516</v>
      </c>
      <c r="H177" s="3" t="s">
        <v>38</v>
      </c>
      <c r="I177" s="3" t="s">
        <v>343</v>
      </c>
    </row>
    <row r="178" spans="2:9">
      <c r="B178" s="3" t="s">
        <v>153</v>
      </c>
      <c r="C178" s="3" t="s">
        <v>28</v>
      </c>
      <c r="D178" s="3" t="s">
        <v>39</v>
      </c>
      <c r="E178" s="3" t="s">
        <v>39</v>
      </c>
      <c r="F178" s="3" t="s">
        <v>39</v>
      </c>
      <c r="G178" s="3" t="s">
        <v>517</v>
      </c>
      <c r="H178" s="3" t="s">
        <v>38</v>
      </c>
      <c r="I178" s="3" t="s">
        <v>343</v>
      </c>
    </row>
    <row r="179" spans="2:9">
      <c r="B179" s="3" t="s">
        <v>154</v>
      </c>
      <c r="C179" s="3" t="s">
        <v>28</v>
      </c>
      <c r="D179" s="3" t="s">
        <v>39</v>
      </c>
      <c r="E179" s="3" t="s">
        <v>39</v>
      </c>
      <c r="F179" s="3" t="s">
        <v>39</v>
      </c>
      <c r="G179" s="3" t="s">
        <v>518</v>
      </c>
      <c r="H179" s="3" t="s">
        <v>38</v>
      </c>
      <c r="I179" s="3" t="s">
        <v>343</v>
      </c>
    </row>
    <row r="180" spans="2:9">
      <c r="B180" s="3" t="s">
        <v>146</v>
      </c>
      <c r="C180" s="3" t="s">
        <v>28</v>
      </c>
      <c r="D180" s="3" t="s">
        <v>39</v>
      </c>
      <c r="E180" s="3" t="s">
        <v>39</v>
      </c>
      <c r="F180" s="3" t="s">
        <v>39</v>
      </c>
      <c r="G180" s="3" t="s">
        <v>519</v>
      </c>
      <c r="H180" s="3" t="s">
        <v>38</v>
      </c>
      <c r="I180" s="3" t="s">
        <v>343</v>
      </c>
    </row>
    <row r="181" spans="2:9">
      <c r="B181" s="3" t="s">
        <v>156</v>
      </c>
      <c r="C181" s="3" t="s">
        <v>28</v>
      </c>
      <c r="D181" s="3" t="s">
        <v>39</v>
      </c>
      <c r="E181" s="3" t="s">
        <v>39</v>
      </c>
      <c r="F181" s="3" t="s">
        <v>39</v>
      </c>
      <c r="G181" s="3" t="s">
        <v>520</v>
      </c>
      <c r="H181" s="3" t="s">
        <v>38</v>
      </c>
      <c r="I181" s="3" t="s">
        <v>343</v>
      </c>
    </row>
    <row r="182" spans="2:9">
      <c r="B182" s="3" t="s">
        <v>27</v>
      </c>
      <c r="C182" s="3" t="s">
        <v>28</v>
      </c>
      <c r="D182" s="3" t="s">
        <v>39</v>
      </c>
      <c r="E182" s="3" t="s">
        <v>39</v>
      </c>
      <c r="F182" s="3" t="s">
        <v>39</v>
      </c>
      <c r="G182" s="3" t="s">
        <v>521</v>
      </c>
      <c r="H182" s="3" t="s">
        <v>38</v>
      </c>
      <c r="I182" s="3" t="s">
        <v>343</v>
      </c>
    </row>
    <row r="183" spans="2:9">
      <c r="B183" s="3" t="s">
        <v>144</v>
      </c>
      <c r="C183" s="3" t="s">
        <v>28</v>
      </c>
      <c r="D183" s="3" t="s">
        <v>39</v>
      </c>
      <c r="E183" s="3" t="s">
        <v>39</v>
      </c>
      <c r="F183" s="3" t="s">
        <v>39</v>
      </c>
      <c r="G183" s="3" t="s">
        <v>522</v>
      </c>
      <c r="H183" s="3" t="s">
        <v>38</v>
      </c>
      <c r="I183" s="3" t="s">
        <v>343</v>
      </c>
    </row>
    <row r="184" spans="2:9">
      <c r="B184" s="3" t="s">
        <v>137</v>
      </c>
      <c r="C184" s="3" t="s">
        <v>28</v>
      </c>
      <c r="D184" s="3" t="s">
        <v>39</v>
      </c>
      <c r="E184" s="3" t="s">
        <v>39</v>
      </c>
      <c r="F184" s="3" t="s">
        <v>39</v>
      </c>
      <c r="G184" s="3" t="s">
        <v>523</v>
      </c>
      <c r="H184" s="3" t="s">
        <v>38</v>
      </c>
      <c r="I184" s="3" t="s">
        <v>343</v>
      </c>
    </row>
    <row r="185" spans="2:9">
      <c r="B185" s="3" t="s">
        <v>147</v>
      </c>
      <c r="C185" s="3" t="s">
        <v>28</v>
      </c>
      <c r="D185" s="3" t="s">
        <v>39</v>
      </c>
      <c r="E185" s="3" t="s">
        <v>39</v>
      </c>
      <c r="F185" s="3" t="s">
        <v>39</v>
      </c>
      <c r="G185" s="3" t="s">
        <v>524</v>
      </c>
      <c r="H185" s="3" t="s">
        <v>38</v>
      </c>
      <c r="I185" s="3" t="s">
        <v>343</v>
      </c>
    </row>
    <row r="186" spans="2:9">
      <c r="B186" s="3" t="s">
        <v>134</v>
      </c>
      <c r="C186" s="3" t="s">
        <v>28</v>
      </c>
      <c r="D186" s="3" t="s">
        <v>39</v>
      </c>
      <c r="E186" s="3" t="s">
        <v>39</v>
      </c>
      <c r="F186" s="3" t="s">
        <v>39</v>
      </c>
      <c r="G186" s="3" t="s">
        <v>525</v>
      </c>
      <c r="H186" s="3" t="s">
        <v>38</v>
      </c>
      <c r="I186" s="3" t="s">
        <v>343</v>
      </c>
    </row>
    <row r="187" spans="2:9">
      <c r="B187" s="3" t="s">
        <v>135</v>
      </c>
      <c r="C187" s="3" t="s">
        <v>28</v>
      </c>
      <c r="D187" s="3" t="s">
        <v>39</v>
      </c>
      <c r="E187" s="3" t="s">
        <v>39</v>
      </c>
      <c r="F187" s="3" t="s">
        <v>39</v>
      </c>
      <c r="G187" s="3" t="s">
        <v>526</v>
      </c>
      <c r="H187" s="3" t="s">
        <v>38</v>
      </c>
      <c r="I187" s="3" t="s">
        <v>343</v>
      </c>
    </row>
    <row r="188" spans="2:9">
      <c r="B188" s="3" t="s">
        <v>142</v>
      </c>
      <c r="C188" s="3" t="s">
        <v>28</v>
      </c>
      <c r="D188" s="3" t="s">
        <v>39</v>
      </c>
      <c r="E188" s="3" t="s">
        <v>39</v>
      </c>
      <c r="F188" s="3" t="s">
        <v>39</v>
      </c>
      <c r="G188" s="3" t="s">
        <v>527</v>
      </c>
      <c r="H188" s="3" t="s">
        <v>38</v>
      </c>
      <c r="I188" s="3" t="s">
        <v>343</v>
      </c>
    </row>
    <row r="189" spans="2:9">
      <c r="B189" s="3" t="s">
        <v>143</v>
      </c>
      <c r="C189" s="3" t="s">
        <v>28</v>
      </c>
      <c r="D189" s="3" t="s">
        <v>39</v>
      </c>
      <c r="E189" s="3" t="s">
        <v>39</v>
      </c>
      <c r="F189" s="3" t="s">
        <v>39</v>
      </c>
      <c r="G189" s="3" t="s">
        <v>528</v>
      </c>
      <c r="H189" s="3" t="s">
        <v>38</v>
      </c>
      <c r="I189" s="3" t="s">
        <v>343</v>
      </c>
    </row>
    <row r="190" spans="2:9">
      <c r="B190" s="3" t="s">
        <v>145</v>
      </c>
      <c r="C190" s="3" t="s">
        <v>28</v>
      </c>
      <c r="D190" s="3" t="s">
        <v>39</v>
      </c>
      <c r="E190" s="3" t="s">
        <v>39</v>
      </c>
      <c r="F190" s="3" t="s">
        <v>39</v>
      </c>
      <c r="G190" s="3" t="s">
        <v>529</v>
      </c>
      <c r="H190" s="3" t="s">
        <v>38</v>
      </c>
      <c r="I190" s="3" t="s">
        <v>343</v>
      </c>
    </row>
    <row r="191" spans="2:9">
      <c r="B191" s="3" t="s">
        <v>140</v>
      </c>
      <c r="C191" s="3" t="s">
        <v>28</v>
      </c>
      <c r="D191" s="3" t="s">
        <v>39</v>
      </c>
      <c r="E191" s="3" t="s">
        <v>39</v>
      </c>
      <c r="F191" s="3" t="s">
        <v>39</v>
      </c>
      <c r="G191" s="3" t="s">
        <v>530</v>
      </c>
      <c r="H191" s="3" t="s">
        <v>38</v>
      </c>
      <c r="I191" s="3" t="s">
        <v>343</v>
      </c>
    </row>
    <row r="192" spans="2:9">
      <c r="B192" s="3" t="s">
        <v>141</v>
      </c>
      <c r="C192" s="3" t="s">
        <v>28</v>
      </c>
      <c r="D192" s="3" t="s">
        <v>39</v>
      </c>
      <c r="E192" s="3" t="s">
        <v>39</v>
      </c>
      <c r="F192" s="3" t="s">
        <v>39</v>
      </c>
      <c r="G192" s="3" t="s">
        <v>531</v>
      </c>
      <c r="H192" s="3" t="s">
        <v>38</v>
      </c>
      <c r="I192" s="3" t="s">
        <v>343</v>
      </c>
    </row>
    <row r="193" spans="2:9">
      <c r="B193" s="3" t="s">
        <v>148</v>
      </c>
      <c r="C193" s="3" t="s">
        <v>28</v>
      </c>
      <c r="D193" s="3" t="s">
        <v>39</v>
      </c>
      <c r="E193" s="3" t="s">
        <v>39</v>
      </c>
      <c r="F193" s="3" t="s">
        <v>39</v>
      </c>
      <c r="G193" s="3" t="s">
        <v>532</v>
      </c>
      <c r="H193" s="3" t="s">
        <v>38</v>
      </c>
      <c r="I193" s="3" t="s">
        <v>343</v>
      </c>
    </row>
    <row r="194" spans="2:9">
      <c r="B194" s="3" t="s">
        <v>116</v>
      </c>
      <c r="C194" s="3" t="s">
        <v>28</v>
      </c>
      <c r="D194" s="3" t="s">
        <v>39</v>
      </c>
      <c r="E194" s="3" t="s">
        <v>39</v>
      </c>
      <c r="F194" s="3" t="s">
        <v>39</v>
      </c>
      <c r="G194" s="3" t="s">
        <v>533</v>
      </c>
      <c r="H194" s="3" t="s">
        <v>38</v>
      </c>
      <c r="I194" s="3" t="s">
        <v>343</v>
      </c>
    </row>
    <row r="195" spans="2:9">
      <c r="B195" s="3" t="s">
        <v>136</v>
      </c>
      <c r="C195" s="3" t="s">
        <v>28</v>
      </c>
      <c r="D195" s="3" t="s">
        <v>39</v>
      </c>
      <c r="E195" s="3" t="s">
        <v>39</v>
      </c>
      <c r="F195" s="3" t="s">
        <v>39</v>
      </c>
      <c r="G195" s="3" t="s">
        <v>534</v>
      </c>
      <c r="H195" s="3" t="s">
        <v>38</v>
      </c>
      <c r="I195" s="3" t="s">
        <v>343</v>
      </c>
    </row>
    <row r="196" spans="2:9">
      <c r="B196" s="3" t="s">
        <v>152</v>
      </c>
      <c r="C196" s="3" t="s">
        <v>28</v>
      </c>
      <c r="D196" s="3" t="s">
        <v>39</v>
      </c>
      <c r="E196" s="3" t="s">
        <v>39</v>
      </c>
      <c r="F196" s="3" t="s">
        <v>39</v>
      </c>
      <c r="G196" s="3" t="s">
        <v>535</v>
      </c>
      <c r="H196" s="3" t="s">
        <v>38</v>
      </c>
      <c r="I196" s="3" t="s">
        <v>343</v>
      </c>
    </row>
    <row r="197" spans="2:9">
      <c r="B197" s="3" t="s">
        <v>29</v>
      </c>
      <c r="C197" s="3" t="s">
        <v>28</v>
      </c>
      <c r="D197" s="3" t="s">
        <v>39</v>
      </c>
      <c r="E197" s="3" t="s">
        <v>39</v>
      </c>
      <c r="F197" s="3" t="s">
        <v>39</v>
      </c>
      <c r="G197" s="3" t="s">
        <v>536</v>
      </c>
      <c r="H197" s="3" t="s">
        <v>38</v>
      </c>
      <c r="I197" s="3" t="s">
        <v>343</v>
      </c>
    </row>
    <row r="198" spans="2:9">
      <c r="B198" s="3" t="s">
        <v>155</v>
      </c>
      <c r="C198" s="3" t="s">
        <v>28</v>
      </c>
      <c r="D198" s="3" t="s">
        <v>39</v>
      </c>
      <c r="E198" s="3" t="s">
        <v>39</v>
      </c>
      <c r="F198" s="3" t="s">
        <v>39</v>
      </c>
      <c r="G198" s="3" t="s">
        <v>537</v>
      </c>
      <c r="H198" s="3" t="s">
        <v>38</v>
      </c>
      <c r="I198" s="3" t="s">
        <v>343</v>
      </c>
    </row>
    <row r="199" spans="2:9">
      <c r="B199" s="3" t="s">
        <v>139</v>
      </c>
      <c r="C199" s="3" t="s">
        <v>28</v>
      </c>
      <c r="D199" s="3" t="s">
        <v>39</v>
      </c>
      <c r="E199" s="3" t="s">
        <v>39</v>
      </c>
      <c r="F199" s="3" t="s">
        <v>39</v>
      </c>
      <c r="G199" s="3" t="s">
        <v>538</v>
      </c>
      <c r="H199" s="3" t="s">
        <v>38</v>
      </c>
      <c r="I199" s="3" t="s">
        <v>343</v>
      </c>
    </row>
    <row r="200" spans="2:9">
      <c r="B200" s="3" t="s">
        <v>138</v>
      </c>
      <c r="C200" s="3" t="s">
        <v>137</v>
      </c>
      <c r="D200" s="3" t="s">
        <v>39</v>
      </c>
      <c r="E200" s="3" t="s">
        <v>39</v>
      </c>
      <c r="F200" s="3" t="s">
        <v>39</v>
      </c>
      <c r="G200" s="3" t="s">
        <v>539</v>
      </c>
      <c r="H200" s="3" t="s">
        <v>38</v>
      </c>
      <c r="I200" s="3" t="s">
        <v>343</v>
      </c>
    </row>
    <row r="201" spans="2:9">
      <c r="B201" s="3" t="s">
        <v>149</v>
      </c>
      <c r="C201" s="3" t="s">
        <v>137</v>
      </c>
      <c r="D201" s="3" t="s">
        <v>39</v>
      </c>
      <c r="E201" s="3" t="s">
        <v>39</v>
      </c>
      <c r="F201" s="3" t="s">
        <v>39</v>
      </c>
      <c r="G201" s="3" t="s">
        <v>540</v>
      </c>
      <c r="H201" s="3" t="s">
        <v>38</v>
      </c>
      <c r="I201" s="3" t="s">
        <v>343</v>
      </c>
    </row>
    <row r="202" spans="2:9">
      <c r="B202" s="3" t="s">
        <v>132</v>
      </c>
      <c r="C202" s="3" t="s">
        <v>137</v>
      </c>
      <c r="D202" s="3" t="s">
        <v>39</v>
      </c>
      <c r="E202" s="3" t="s">
        <v>39</v>
      </c>
      <c r="F202" s="3" t="s">
        <v>39</v>
      </c>
      <c r="G202" s="3" t="s">
        <v>541</v>
      </c>
      <c r="H202" s="3" t="s">
        <v>38</v>
      </c>
      <c r="I202" s="3" t="s">
        <v>343</v>
      </c>
    </row>
    <row r="203" spans="2:9">
      <c r="B203" s="3" t="s">
        <v>133</v>
      </c>
      <c r="C203" s="3" t="s">
        <v>137</v>
      </c>
      <c r="D203" s="3" t="s">
        <v>39</v>
      </c>
      <c r="E203" s="3" t="s">
        <v>39</v>
      </c>
      <c r="F203" s="3" t="s">
        <v>39</v>
      </c>
      <c r="G203" s="3" t="s">
        <v>542</v>
      </c>
      <c r="H203" s="3" t="s">
        <v>38</v>
      </c>
      <c r="I203" s="3" t="s">
        <v>343</v>
      </c>
    </row>
    <row r="204" spans="2:9">
      <c r="B204" s="3" t="s">
        <v>28</v>
      </c>
      <c r="C204" s="3" t="s">
        <v>137</v>
      </c>
      <c r="D204" s="3" t="s">
        <v>39</v>
      </c>
      <c r="E204" s="3" t="s">
        <v>39</v>
      </c>
      <c r="F204" s="3" t="s">
        <v>39</v>
      </c>
      <c r="G204" s="3" t="s">
        <v>543</v>
      </c>
      <c r="H204" s="3" t="s">
        <v>38</v>
      </c>
      <c r="I204" s="3" t="s">
        <v>343</v>
      </c>
    </row>
    <row r="205" spans="2:9">
      <c r="B205" s="3" t="s">
        <v>150</v>
      </c>
      <c r="C205" s="3" t="s">
        <v>137</v>
      </c>
      <c r="D205" s="3" t="s">
        <v>39</v>
      </c>
      <c r="E205" s="3" t="s">
        <v>39</v>
      </c>
      <c r="F205" s="3" t="s">
        <v>39</v>
      </c>
      <c r="G205" s="3" t="s">
        <v>544</v>
      </c>
      <c r="H205" s="3" t="s">
        <v>38</v>
      </c>
      <c r="I205" s="3" t="s">
        <v>343</v>
      </c>
    </row>
    <row r="206" spans="2:9">
      <c r="B206" s="3" t="s">
        <v>151</v>
      </c>
      <c r="C206" s="3" t="s">
        <v>137</v>
      </c>
      <c r="D206" s="3" t="s">
        <v>39</v>
      </c>
      <c r="E206" s="3" t="s">
        <v>39</v>
      </c>
      <c r="F206" s="3" t="s">
        <v>39</v>
      </c>
      <c r="G206" s="3" t="s">
        <v>545</v>
      </c>
      <c r="H206" s="3" t="s">
        <v>38</v>
      </c>
      <c r="I206" s="3" t="s">
        <v>343</v>
      </c>
    </row>
    <row r="207" spans="2:9">
      <c r="B207" s="3" t="s">
        <v>153</v>
      </c>
      <c r="C207" s="3" t="s">
        <v>137</v>
      </c>
      <c r="D207" s="3" t="s">
        <v>39</v>
      </c>
      <c r="E207" s="3" t="s">
        <v>39</v>
      </c>
      <c r="F207" s="3" t="s">
        <v>39</v>
      </c>
      <c r="G207" s="3" t="s">
        <v>546</v>
      </c>
      <c r="H207" s="3" t="s">
        <v>38</v>
      </c>
      <c r="I207" s="3" t="s">
        <v>343</v>
      </c>
    </row>
    <row r="208" spans="2:9">
      <c r="B208" s="3" t="s">
        <v>154</v>
      </c>
      <c r="C208" s="3" t="s">
        <v>137</v>
      </c>
      <c r="D208" s="3" t="s">
        <v>39</v>
      </c>
      <c r="E208" s="3" t="s">
        <v>39</v>
      </c>
      <c r="F208" s="3" t="s">
        <v>39</v>
      </c>
      <c r="G208" s="3" t="s">
        <v>547</v>
      </c>
      <c r="H208" s="3" t="s">
        <v>38</v>
      </c>
      <c r="I208" s="3" t="s">
        <v>343</v>
      </c>
    </row>
    <row r="209" spans="2:9">
      <c r="B209" s="3" t="s">
        <v>146</v>
      </c>
      <c r="C209" s="3" t="s">
        <v>137</v>
      </c>
      <c r="D209" s="3" t="s">
        <v>39</v>
      </c>
      <c r="E209" s="3" t="s">
        <v>39</v>
      </c>
      <c r="F209" s="3" t="s">
        <v>39</v>
      </c>
      <c r="G209" s="3" t="s">
        <v>548</v>
      </c>
      <c r="H209" s="3" t="s">
        <v>38</v>
      </c>
      <c r="I209" s="3" t="s">
        <v>343</v>
      </c>
    </row>
    <row r="210" spans="2:9">
      <c r="B210" s="3" t="s">
        <v>156</v>
      </c>
      <c r="C210" s="3" t="s">
        <v>137</v>
      </c>
      <c r="D210" s="3" t="s">
        <v>39</v>
      </c>
      <c r="E210" s="3" t="s">
        <v>39</v>
      </c>
      <c r="F210" s="3" t="s">
        <v>39</v>
      </c>
      <c r="G210" s="3" t="s">
        <v>549</v>
      </c>
      <c r="H210" s="3" t="s">
        <v>38</v>
      </c>
      <c r="I210" s="3" t="s">
        <v>343</v>
      </c>
    </row>
    <row r="211" spans="2:9">
      <c r="B211" s="3" t="s">
        <v>27</v>
      </c>
      <c r="C211" s="3" t="s">
        <v>137</v>
      </c>
      <c r="D211" s="3" t="s">
        <v>39</v>
      </c>
      <c r="E211" s="3" t="s">
        <v>39</v>
      </c>
      <c r="F211" s="3" t="s">
        <v>39</v>
      </c>
      <c r="G211" s="3" t="s">
        <v>550</v>
      </c>
      <c r="H211" s="3" t="s">
        <v>38</v>
      </c>
      <c r="I211" s="3" t="s">
        <v>343</v>
      </c>
    </row>
    <row r="212" spans="2:9">
      <c r="B212" s="3" t="s">
        <v>144</v>
      </c>
      <c r="C212" s="3" t="s">
        <v>137</v>
      </c>
      <c r="D212" s="3" t="s">
        <v>39</v>
      </c>
      <c r="E212" s="3" t="s">
        <v>39</v>
      </c>
      <c r="F212" s="3" t="s">
        <v>39</v>
      </c>
      <c r="G212" s="3" t="s">
        <v>551</v>
      </c>
      <c r="H212" s="3" t="s">
        <v>38</v>
      </c>
      <c r="I212" s="3" t="s">
        <v>343</v>
      </c>
    </row>
    <row r="213" spans="2:9">
      <c r="B213" s="3" t="s">
        <v>147</v>
      </c>
      <c r="C213" s="3" t="s">
        <v>137</v>
      </c>
      <c r="D213" s="3" t="s">
        <v>39</v>
      </c>
      <c r="E213" s="3" t="s">
        <v>39</v>
      </c>
      <c r="F213" s="3" t="s">
        <v>39</v>
      </c>
      <c r="G213" s="3" t="s">
        <v>552</v>
      </c>
      <c r="H213" s="3" t="s">
        <v>38</v>
      </c>
      <c r="I213" s="3" t="s">
        <v>343</v>
      </c>
    </row>
    <row r="214" spans="2:9">
      <c r="B214" s="3" t="s">
        <v>134</v>
      </c>
      <c r="C214" s="3" t="s">
        <v>137</v>
      </c>
      <c r="D214" s="3" t="s">
        <v>39</v>
      </c>
      <c r="E214" s="3" t="s">
        <v>39</v>
      </c>
      <c r="F214" s="3" t="s">
        <v>39</v>
      </c>
      <c r="G214" s="3" t="s">
        <v>553</v>
      </c>
      <c r="H214" s="3" t="s">
        <v>38</v>
      </c>
      <c r="I214" s="3" t="s">
        <v>343</v>
      </c>
    </row>
    <row r="215" spans="2:9">
      <c r="B215" s="3" t="s">
        <v>135</v>
      </c>
      <c r="C215" s="3" t="s">
        <v>137</v>
      </c>
      <c r="D215" s="3" t="s">
        <v>39</v>
      </c>
      <c r="E215" s="3" t="s">
        <v>39</v>
      </c>
      <c r="F215" s="3" t="s">
        <v>39</v>
      </c>
      <c r="G215" s="3" t="s">
        <v>554</v>
      </c>
      <c r="H215" s="3" t="s">
        <v>38</v>
      </c>
      <c r="I215" s="3" t="s">
        <v>343</v>
      </c>
    </row>
    <row r="216" spans="2:9">
      <c r="B216" s="3" t="s">
        <v>142</v>
      </c>
      <c r="C216" s="3" t="s">
        <v>137</v>
      </c>
      <c r="D216" s="3" t="s">
        <v>39</v>
      </c>
      <c r="E216" s="3" t="s">
        <v>39</v>
      </c>
      <c r="F216" s="3" t="s">
        <v>39</v>
      </c>
      <c r="G216" s="3" t="s">
        <v>555</v>
      </c>
      <c r="H216" s="3" t="s">
        <v>38</v>
      </c>
      <c r="I216" s="3" t="s">
        <v>343</v>
      </c>
    </row>
    <row r="217" spans="2:9">
      <c r="B217" s="3" t="s">
        <v>143</v>
      </c>
      <c r="C217" s="3" t="s">
        <v>137</v>
      </c>
      <c r="D217" s="3" t="s">
        <v>39</v>
      </c>
      <c r="E217" s="3" t="s">
        <v>39</v>
      </c>
      <c r="F217" s="3" t="s">
        <v>39</v>
      </c>
      <c r="G217" s="3" t="s">
        <v>556</v>
      </c>
      <c r="H217" s="3" t="s">
        <v>38</v>
      </c>
      <c r="I217" s="3" t="s">
        <v>343</v>
      </c>
    </row>
    <row r="218" spans="2:9">
      <c r="B218" s="3" t="s">
        <v>145</v>
      </c>
      <c r="C218" s="3" t="s">
        <v>137</v>
      </c>
      <c r="D218" s="3" t="s">
        <v>39</v>
      </c>
      <c r="E218" s="3" t="s">
        <v>39</v>
      </c>
      <c r="F218" s="3" t="s">
        <v>39</v>
      </c>
      <c r="G218" s="3" t="s">
        <v>557</v>
      </c>
      <c r="H218" s="3" t="s">
        <v>38</v>
      </c>
      <c r="I218" s="3" t="s">
        <v>343</v>
      </c>
    </row>
    <row r="219" spans="2:9">
      <c r="B219" s="3" t="s">
        <v>140</v>
      </c>
      <c r="C219" s="3" t="s">
        <v>137</v>
      </c>
      <c r="D219" s="3" t="s">
        <v>39</v>
      </c>
      <c r="E219" s="3" t="s">
        <v>39</v>
      </c>
      <c r="F219" s="3" t="s">
        <v>39</v>
      </c>
      <c r="G219" s="3" t="s">
        <v>558</v>
      </c>
      <c r="H219" s="3" t="s">
        <v>38</v>
      </c>
      <c r="I219" s="3" t="s">
        <v>343</v>
      </c>
    </row>
    <row r="220" spans="2:9">
      <c r="B220" s="3" t="s">
        <v>141</v>
      </c>
      <c r="C220" s="3" t="s">
        <v>137</v>
      </c>
      <c r="D220" s="3" t="s">
        <v>39</v>
      </c>
      <c r="E220" s="3" t="s">
        <v>39</v>
      </c>
      <c r="F220" s="3" t="s">
        <v>39</v>
      </c>
      <c r="G220" s="3" t="s">
        <v>559</v>
      </c>
      <c r="H220" s="3" t="s">
        <v>38</v>
      </c>
      <c r="I220" s="3" t="s">
        <v>343</v>
      </c>
    </row>
    <row r="221" spans="2:9">
      <c r="B221" s="3" t="s">
        <v>148</v>
      </c>
      <c r="C221" s="3" t="s">
        <v>137</v>
      </c>
      <c r="D221" s="3" t="s">
        <v>39</v>
      </c>
      <c r="E221" s="3" t="s">
        <v>39</v>
      </c>
      <c r="F221" s="3" t="s">
        <v>39</v>
      </c>
      <c r="G221" s="3" t="s">
        <v>560</v>
      </c>
      <c r="H221" s="3" t="s">
        <v>38</v>
      </c>
      <c r="I221" s="3" t="s">
        <v>343</v>
      </c>
    </row>
    <row r="222" spans="2:9">
      <c r="B222" s="3" t="s">
        <v>116</v>
      </c>
      <c r="C222" s="3" t="s">
        <v>137</v>
      </c>
      <c r="D222" s="3" t="s">
        <v>39</v>
      </c>
      <c r="E222" s="3" t="s">
        <v>39</v>
      </c>
      <c r="F222" s="3" t="s">
        <v>39</v>
      </c>
      <c r="G222" s="3" t="s">
        <v>561</v>
      </c>
      <c r="H222" s="3" t="s">
        <v>38</v>
      </c>
      <c r="I222" s="3" t="s">
        <v>343</v>
      </c>
    </row>
    <row r="223" spans="2:9">
      <c r="B223" s="3" t="s">
        <v>136</v>
      </c>
      <c r="C223" s="3" t="s">
        <v>137</v>
      </c>
      <c r="D223" s="3" t="s">
        <v>39</v>
      </c>
      <c r="E223" s="3" t="s">
        <v>39</v>
      </c>
      <c r="F223" s="3" t="s">
        <v>39</v>
      </c>
      <c r="G223" s="3" t="s">
        <v>562</v>
      </c>
      <c r="H223" s="3" t="s">
        <v>38</v>
      </c>
      <c r="I223" s="3" t="s">
        <v>343</v>
      </c>
    </row>
    <row r="224" spans="2:9">
      <c r="B224" s="3" t="s">
        <v>152</v>
      </c>
      <c r="C224" s="3" t="s">
        <v>137</v>
      </c>
      <c r="D224" s="3" t="s">
        <v>39</v>
      </c>
      <c r="E224" s="3" t="s">
        <v>39</v>
      </c>
      <c r="F224" s="3" t="s">
        <v>39</v>
      </c>
      <c r="G224" s="3" t="s">
        <v>563</v>
      </c>
      <c r="H224" s="3" t="s">
        <v>38</v>
      </c>
      <c r="I224" s="3" t="s">
        <v>343</v>
      </c>
    </row>
    <row r="225" spans="2:9">
      <c r="B225" s="3" t="s">
        <v>29</v>
      </c>
      <c r="C225" s="3" t="s">
        <v>137</v>
      </c>
      <c r="D225" s="3" t="s">
        <v>39</v>
      </c>
      <c r="E225" s="3" t="s">
        <v>39</v>
      </c>
      <c r="F225" s="3" t="s">
        <v>39</v>
      </c>
      <c r="G225" s="3" t="s">
        <v>564</v>
      </c>
      <c r="H225" s="3" t="s">
        <v>38</v>
      </c>
      <c r="I225" s="3" t="s">
        <v>343</v>
      </c>
    </row>
    <row r="226" spans="2:9">
      <c r="B226" s="3" t="s">
        <v>155</v>
      </c>
      <c r="C226" s="3" t="s">
        <v>137</v>
      </c>
      <c r="D226" s="3" t="s">
        <v>39</v>
      </c>
      <c r="E226" s="3" t="s">
        <v>39</v>
      </c>
      <c r="F226" s="3" t="s">
        <v>39</v>
      </c>
      <c r="G226" s="3" t="s">
        <v>565</v>
      </c>
      <c r="H226" s="3" t="s">
        <v>38</v>
      </c>
      <c r="I226" s="3" t="s">
        <v>343</v>
      </c>
    </row>
    <row r="227" spans="2:9">
      <c r="B227" s="3" t="s">
        <v>139</v>
      </c>
      <c r="C227" s="3" t="s">
        <v>137</v>
      </c>
      <c r="D227" s="3" t="s">
        <v>39</v>
      </c>
      <c r="E227" s="3" t="s">
        <v>39</v>
      </c>
      <c r="F227" s="3" t="s">
        <v>39</v>
      </c>
      <c r="G227" s="3" t="s">
        <v>566</v>
      </c>
      <c r="H227" s="3" t="s">
        <v>38</v>
      </c>
      <c r="I227" s="3" t="s">
        <v>343</v>
      </c>
    </row>
    <row r="228" spans="2:9">
      <c r="B228" s="3" t="s">
        <v>138</v>
      </c>
      <c r="C228" s="3" t="s">
        <v>144</v>
      </c>
      <c r="D228" s="3" t="s">
        <v>39</v>
      </c>
      <c r="E228" s="3" t="s">
        <v>39</v>
      </c>
      <c r="F228" s="3" t="s">
        <v>39</v>
      </c>
      <c r="G228" s="3" t="s">
        <v>567</v>
      </c>
      <c r="H228" s="3" t="s">
        <v>38</v>
      </c>
      <c r="I228" s="3" t="s">
        <v>343</v>
      </c>
    </row>
    <row r="229" spans="2:9">
      <c r="B229" s="3" t="s">
        <v>149</v>
      </c>
      <c r="C229" s="3" t="s">
        <v>144</v>
      </c>
      <c r="D229" s="3" t="s">
        <v>39</v>
      </c>
      <c r="E229" s="3" t="s">
        <v>39</v>
      </c>
      <c r="F229" s="3" t="s">
        <v>39</v>
      </c>
      <c r="G229" s="3" t="s">
        <v>568</v>
      </c>
      <c r="H229" s="3" t="s">
        <v>38</v>
      </c>
      <c r="I229" s="3" t="s">
        <v>343</v>
      </c>
    </row>
    <row r="230" spans="2:9">
      <c r="B230" s="3" t="s">
        <v>132</v>
      </c>
      <c r="C230" s="3" t="s">
        <v>144</v>
      </c>
      <c r="D230" s="3" t="s">
        <v>39</v>
      </c>
      <c r="E230" s="3" t="s">
        <v>39</v>
      </c>
      <c r="F230" s="3" t="s">
        <v>39</v>
      </c>
      <c r="G230" s="3" t="s">
        <v>569</v>
      </c>
      <c r="H230" s="3" t="s">
        <v>38</v>
      </c>
      <c r="I230" s="3" t="s">
        <v>343</v>
      </c>
    </row>
    <row r="231" spans="2:9">
      <c r="B231" s="3" t="s">
        <v>133</v>
      </c>
      <c r="C231" s="3" t="s">
        <v>144</v>
      </c>
      <c r="D231" s="3" t="s">
        <v>39</v>
      </c>
      <c r="E231" s="3" t="s">
        <v>39</v>
      </c>
      <c r="F231" s="3" t="s">
        <v>39</v>
      </c>
      <c r="G231" s="3" t="s">
        <v>570</v>
      </c>
      <c r="H231" s="3" t="s">
        <v>38</v>
      </c>
      <c r="I231" s="3" t="s">
        <v>343</v>
      </c>
    </row>
    <row r="232" spans="2:9">
      <c r="B232" s="3" t="s">
        <v>28</v>
      </c>
      <c r="C232" s="3" t="s">
        <v>144</v>
      </c>
      <c r="D232" s="3" t="s">
        <v>39</v>
      </c>
      <c r="E232" s="3" t="s">
        <v>39</v>
      </c>
      <c r="F232" s="3" t="s">
        <v>39</v>
      </c>
      <c r="G232" s="3" t="s">
        <v>571</v>
      </c>
      <c r="H232" s="3" t="s">
        <v>38</v>
      </c>
      <c r="I232" s="3" t="s">
        <v>343</v>
      </c>
    </row>
    <row r="233" spans="2:9">
      <c r="B233" s="3" t="s">
        <v>150</v>
      </c>
      <c r="C233" s="3" t="s">
        <v>144</v>
      </c>
      <c r="D233" s="3" t="s">
        <v>39</v>
      </c>
      <c r="E233" s="3" t="s">
        <v>39</v>
      </c>
      <c r="F233" s="3" t="s">
        <v>39</v>
      </c>
      <c r="G233" s="3" t="s">
        <v>572</v>
      </c>
      <c r="H233" s="3" t="s">
        <v>38</v>
      </c>
      <c r="I233" s="3" t="s">
        <v>343</v>
      </c>
    </row>
    <row r="234" spans="2:9">
      <c r="B234" s="3" t="s">
        <v>151</v>
      </c>
      <c r="C234" s="3" t="s">
        <v>144</v>
      </c>
      <c r="D234" s="3" t="s">
        <v>39</v>
      </c>
      <c r="E234" s="3" t="s">
        <v>39</v>
      </c>
      <c r="F234" s="3" t="s">
        <v>39</v>
      </c>
      <c r="G234" s="3" t="s">
        <v>573</v>
      </c>
      <c r="H234" s="3" t="s">
        <v>38</v>
      </c>
      <c r="I234" s="3" t="s">
        <v>343</v>
      </c>
    </row>
    <row r="235" spans="2:9">
      <c r="B235" s="3" t="s">
        <v>153</v>
      </c>
      <c r="C235" s="3" t="s">
        <v>144</v>
      </c>
      <c r="D235" s="3" t="s">
        <v>39</v>
      </c>
      <c r="E235" s="3" t="s">
        <v>39</v>
      </c>
      <c r="F235" s="3" t="s">
        <v>39</v>
      </c>
      <c r="G235" s="3" t="s">
        <v>574</v>
      </c>
      <c r="H235" s="3" t="s">
        <v>38</v>
      </c>
      <c r="I235" s="3" t="s">
        <v>343</v>
      </c>
    </row>
    <row r="236" spans="2:9">
      <c r="B236" s="3" t="s">
        <v>154</v>
      </c>
      <c r="C236" s="3" t="s">
        <v>144</v>
      </c>
      <c r="D236" s="3" t="s">
        <v>39</v>
      </c>
      <c r="E236" s="3" t="s">
        <v>39</v>
      </c>
      <c r="F236" s="3" t="s">
        <v>39</v>
      </c>
      <c r="G236" s="3" t="s">
        <v>575</v>
      </c>
      <c r="H236" s="3" t="s">
        <v>38</v>
      </c>
      <c r="I236" s="3" t="s">
        <v>343</v>
      </c>
    </row>
    <row r="237" spans="2:9">
      <c r="B237" s="3" t="s">
        <v>146</v>
      </c>
      <c r="C237" s="3" t="s">
        <v>144</v>
      </c>
      <c r="D237" s="3" t="s">
        <v>39</v>
      </c>
      <c r="E237" s="3" t="s">
        <v>39</v>
      </c>
      <c r="F237" s="3" t="s">
        <v>39</v>
      </c>
      <c r="G237" s="3" t="s">
        <v>576</v>
      </c>
      <c r="H237" s="3" t="s">
        <v>38</v>
      </c>
      <c r="I237" s="3" t="s">
        <v>343</v>
      </c>
    </row>
    <row r="238" spans="2:9">
      <c r="B238" s="3" t="s">
        <v>156</v>
      </c>
      <c r="C238" s="3" t="s">
        <v>144</v>
      </c>
      <c r="D238" s="3" t="s">
        <v>39</v>
      </c>
      <c r="E238" s="3" t="s">
        <v>39</v>
      </c>
      <c r="F238" s="3" t="s">
        <v>39</v>
      </c>
      <c r="G238" s="3" t="s">
        <v>577</v>
      </c>
      <c r="H238" s="3" t="s">
        <v>38</v>
      </c>
      <c r="I238" s="3" t="s">
        <v>343</v>
      </c>
    </row>
    <row r="239" spans="2:9">
      <c r="B239" s="3" t="s">
        <v>27</v>
      </c>
      <c r="C239" s="3" t="s">
        <v>144</v>
      </c>
      <c r="D239" s="3" t="s">
        <v>39</v>
      </c>
      <c r="E239" s="3" t="s">
        <v>39</v>
      </c>
      <c r="F239" s="3" t="s">
        <v>39</v>
      </c>
      <c r="G239" s="3" t="s">
        <v>578</v>
      </c>
      <c r="H239" s="3" t="s">
        <v>38</v>
      </c>
      <c r="I239" s="3" t="s">
        <v>343</v>
      </c>
    </row>
    <row r="240" spans="2:9">
      <c r="B240" s="3" t="s">
        <v>137</v>
      </c>
      <c r="C240" s="3" t="s">
        <v>144</v>
      </c>
      <c r="D240" s="3" t="s">
        <v>39</v>
      </c>
      <c r="E240" s="3" t="s">
        <v>39</v>
      </c>
      <c r="F240" s="3" t="s">
        <v>39</v>
      </c>
      <c r="G240" s="3" t="s">
        <v>579</v>
      </c>
      <c r="H240" s="3" t="s">
        <v>38</v>
      </c>
      <c r="I240" s="3" t="s">
        <v>343</v>
      </c>
    </row>
    <row r="241" spans="2:9">
      <c r="B241" s="3" t="s">
        <v>147</v>
      </c>
      <c r="C241" s="3" t="s">
        <v>144</v>
      </c>
      <c r="D241" s="3" t="s">
        <v>39</v>
      </c>
      <c r="E241" s="3" t="s">
        <v>39</v>
      </c>
      <c r="F241" s="3" t="s">
        <v>39</v>
      </c>
      <c r="G241" s="3" t="s">
        <v>580</v>
      </c>
      <c r="H241" s="3" t="s">
        <v>38</v>
      </c>
      <c r="I241" s="3" t="s">
        <v>343</v>
      </c>
    </row>
    <row r="242" spans="2:9">
      <c r="B242" s="3" t="s">
        <v>134</v>
      </c>
      <c r="C242" s="3" t="s">
        <v>144</v>
      </c>
      <c r="D242" s="3" t="s">
        <v>39</v>
      </c>
      <c r="E242" s="3" t="s">
        <v>39</v>
      </c>
      <c r="F242" s="3" t="s">
        <v>39</v>
      </c>
      <c r="G242" s="3" t="s">
        <v>581</v>
      </c>
      <c r="H242" s="3" t="s">
        <v>38</v>
      </c>
      <c r="I242" s="3" t="s">
        <v>343</v>
      </c>
    </row>
    <row r="243" spans="2:9">
      <c r="B243" s="3" t="s">
        <v>135</v>
      </c>
      <c r="C243" s="3" t="s">
        <v>144</v>
      </c>
      <c r="D243" s="3" t="s">
        <v>39</v>
      </c>
      <c r="E243" s="3" t="s">
        <v>39</v>
      </c>
      <c r="F243" s="3" t="s">
        <v>39</v>
      </c>
      <c r="G243" s="3" t="s">
        <v>582</v>
      </c>
      <c r="H243" s="3" t="s">
        <v>38</v>
      </c>
      <c r="I243" s="3" t="s">
        <v>343</v>
      </c>
    </row>
    <row r="244" spans="2:9">
      <c r="B244" s="3" t="s">
        <v>142</v>
      </c>
      <c r="C244" s="3" t="s">
        <v>144</v>
      </c>
      <c r="D244" s="3" t="s">
        <v>39</v>
      </c>
      <c r="E244" s="3" t="s">
        <v>39</v>
      </c>
      <c r="F244" s="3" t="s">
        <v>39</v>
      </c>
      <c r="G244" s="3" t="s">
        <v>583</v>
      </c>
      <c r="H244" s="3" t="s">
        <v>38</v>
      </c>
      <c r="I244" s="3" t="s">
        <v>343</v>
      </c>
    </row>
    <row r="245" spans="2:9">
      <c r="B245" s="3" t="s">
        <v>143</v>
      </c>
      <c r="C245" s="3" t="s">
        <v>144</v>
      </c>
      <c r="D245" s="3" t="s">
        <v>39</v>
      </c>
      <c r="E245" s="3" t="s">
        <v>39</v>
      </c>
      <c r="F245" s="3" t="s">
        <v>39</v>
      </c>
      <c r="G245" s="3" t="s">
        <v>584</v>
      </c>
      <c r="H245" s="3" t="s">
        <v>38</v>
      </c>
      <c r="I245" s="3" t="s">
        <v>343</v>
      </c>
    </row>
    <row r="246" spans="2:9">
      <c r="B246" s="3" t="s">
        <v>145</v>
      </c>
      <c r="C246" s="3" t="s">
        <v>144</v>
      </c>
      <c r="D246" s="3" t="s">
        <v>39</v>
      </c>
      <c r="E246" s="3" t="s">
        <v>39</v>
      </c>
      <c r="F246" s="3" t="s">
        <v>39</v>
      </c>
      <c r="G246" s="3" t="s">
        <v>585</v>
      </c>
      <c r="H246" s="3" t="s">
        <v>38</v>
      </c>
      <c r="I246" s="3" t="s">
        <v>343</v>
      </c>
    </row>
    <row r="247" spans="2:9">
      <c r="B247" s="3" t="s">
        <v>140</v>
      </c>
      <c r="C247" s="3" t="s">
        <v>144</v>
      </c>
      <c r="D247" s="3" t="s">
        <v>39</v>
      </c>
      <c r="E247" s="3" t="s">
        <v>39</v>
      </c>
      <c r="F247" s="3" t="s">
        <v>39</v>
      </c>
      <c r="G247" s="3" t="s">
        <v>586</v>
      </c>
      <c r="H247" s="3" t="s">
        <v>38</v>
      </c>
      <c r="I247" s="3" t="s">
        <v>343</v>
      </c>
    </row>
    <row r="248" spans="2:9">
      <c r="B248" s="3" t="s">
        <v>141</v>
      </c>
      <c r="C248" s="3" t="s">
        <v>144</v>
      </c>
      <c r="D248" s="3" t="s">
        <v>39</v>
      </c>
      <c r="E248" s="3" t="s">
        <v>39</v>
      </c>
      <c r="F248" s="3" t="s">
        <v>39</v>
      </c>
      <c r="G248" s="3" t="s">
        <v>587</v>
      </c>
      <c r="H248" s="3" t="s">
        <v>38</v>
      </c>
      <c r="I248" s="3" t="s">
        <v>343</v>
      </c>
    </row>
    <row r="249" spans="2:9">
      <c r="B249" s="3" t="s">
        <v>148</v>
      </c>
      <c r="C249" s="3" t="s">
        <v>144</v>
      </c>
      <c r="D249" s="3" t="s">
        <v>39</v>
      </c>
      <c r="E249" s="3" t="s">
        <v>39</v>
      </c>
      <c r="F249" s="3" t="s">
        <v>39</v>
      </c>
      <c r="G249" s="3" t="s">
        <v>588</v>
      </c>
      <c r="H249" s="3" t="s">
        <v>38</v>
      </c>
      <c r="I249" s="3" t="s">
        <v>343</v>
      </c>
    </row>
    <row r="250" spans="2:9">
      <c r="B250" s="3" t="s">
        <v>116</v>
      </c>
      <c r="C250" s="3" t="s">
        <v>144</v>
      </c>
      <c r="D250" s="3" t="s">
        <v>39</v>
      </c>
      <c r="E250" s="3" t="s">
        <v>39</v>
      </c>
      <c r="F250" s="3" t="s">
        <v>39</v>
      </c>
      <c r="G250" s="3" t="s">
        <v>589</v>
      </c>
      <c r="H250" s="3" t="s">
        <v>38</v>
      </c>
      <c r="I250" s="3" t="s">
        <v>343</v>
      </c>
    </row>
    <row r="251" spans="2:9">
      <c r="B251" s="3" t="s">
        <v>136</v>
      </c>
      <c r="C251" s="3" t="s">
        <v>144</v>
      </c>
      <c r="D251" s="3" t="s">
        <v>39</v>
      </c>
      <c r="E251" s="3" t="s">
        <v>39</v>
      </c>
      <c r="F251" s="3" t="s">
        <v>39</v>
      </c>
      <c r="G251" s="3" t="s">
        <v>590</v>
      </c>
      <c r="H251" s="3" t="s">
        <v>38</v>
      </c>
      <c r="I251" s="3" t="s">
        <v>343</v>
      </c>
    </row>
    <row r="252" spans="2:9">
      <c r="B252" s="3" t="s">
        <v>152</v>
      </c>
      <c r="C252" s="3" t="s">
        <v>144</v>
      </c>
      <c r="D252" s="3" t="s">
        <v>39</v>
      </c>
      <c r="E252" s="3" t="s">
        <v>39</v>
      </c>
      <c r="F252" s="3" t="s">
        <v>39</v>
      </c>
      <c r="G252" s="3" t="s">
        <v>591</v>
      </c>
      <c r="H252" s="3" t="s">
        <v>38</v>
      </c>
      <c r="I252" s="3" t="s">
        <v>343</v>
      </c>
    </row>
    <row r="253" spans="2:9">
      <c r="B253" s="3" t="s">
        <v>29</v>
      </c>
      <c r="C253" s="3" t="s">
        <v>144</v>
      </c>
      <c r="D253" s="3" t="s">
        <v>39</v>
      </c>
      <c r="E253" s="3" t="s">
        <v>39</v>
      </c>
      <c r="F253" s="3" t="s">
        <v>39</v>
      </c>
      <c r="G253" s="3" t="s">
        <v>592</v>
      </c>
      <c r="H253" s="3" t="s">
        <v>38</v>
      </c>
      <c r="I253" s="3" t="s">
        <v>343</v>
      </c>
    </row>
    <row r="254" spans="2:9">
      <c r="B254" s="3" t="s">
        <v>155</v>
      </c>
      <c r="C254" s="3" t="s">
        <v>144</v>
      </c>
      <c r="D254" s="3" t="s">
        <v>39</v>
      </c>
      <c r="E254" s="3" t="s">
        <v>39</v>
      </c>
      <c r="F254" s="3" t="s">
        <v>39</v>
      </c>
      <c r="G254" s="3" t="s">
        <v>593</v>
      </c>
      <c r="H254" s="3" t="s">
        <v>38</v>
      </c>
      <c r="I254" s="3" t="s">
        <v>343</v>
      </c>
    </row>
    <row r="255" spans="2:9">
      <c r="B255" s="3" t="s">
        <v>139</v>
      </c>
      <c r="C255" s="3" t="s">
        <v>144</v>
      </c>
      <c r="D255" s="3" t="s">
        <v>39</v>
      </c>
      <c r="E255" s="3" t="s">
        <v>39</v>
      </c>
      <c r="F255" s="3" t="s">
        <v>39</v>
      </c>
      <c r="G255" s="3" t="s">
        <v>594</v>
      </c>
      <c r="H255" s="3" t="s">
        <v>38</v>
      </c>
      <c r="I255" s="3" t="s">
        <v>343</v>
      </c>
    </row>
    <row r="256" spans="2:9">
      <c r="B256" s="3" t="s">
        <v>138</v>
      </c>
      <c r="C256" s="3" t="s">
        <v>136</v>
      </c>
      <c r="D256" s="3" t="s">
        <v>39</v>
      </c>
      <c r="E256" s="3" t="s">
        <v>39</v>
      </c>
      <c r="F256" s="3" t="s">
        <v>39</v>
      </c>
      <c r="G256" s="3" t="s">
        <v>595</v>
      </c>
      <c r="H256" s="3" t="s">
        <v>38</v>
      </c>
      <c r="I256" s="3" t="s">
        <v>343</v>
      </c>
    </row>
    <row r="257" spans="2:9">
      <c r="B257" s="3" t="s">
        <v>149</v>
      </c>
      <c r="C257" s="3" t="s">
        <v>136</v>
      </c>
      <c r="D257" s="3" t="s">
        <v>39</v>
      </c>
      <c r="E257" s="3" t="s">
        <v>39</v>
      </c>
      <c r="F257" s="3" t="s">
        <v>39</v>
      </c>
      <c r="G257" s="3" t="s">
        <v>596</v>
      </c>
      <c r="H257" s="3" t="s">
        <v>38</v>
      </c>
      <c r="I257" s="3" t="s">
        <v>343</v>
      </c>
    </row>
    <row r="258" spans="2:9">
      <c r="B258" s="3" t="s">
        <v>132</v>
      </c>
      <c r="C258" s="3" t="s">
        <v>136</v>
      </c>
      <c r="D258" s="3" t="s">
        <v>39</v>
      </c>
      <c r="E258" s="3" t="s">
        <v>39</v>
      </c>
      <c r="F258" s="3" t="s">
        <v>39</v>
      </c>
      <c r="G258" s="3" t="s">
        <v>597</v>
      </c>
      <c r="H258" s="3" t="s">
        <v>38</v>
      </c>
      <c r="I258" s="3" t="s">
        <v>343</v>
      </c>
    </row>
    <row r="259" spans="2:9">
      <c r="B259" s="3" t="s">
        <v>133</v>
      </c>
      <c r="C259" s="3" t="s">
        <v>136</v>
      </c>
      <c r="D259" s="3" t="s">
        <v>39</v>
      </c>
      <c r="E259" s="3" t="s">
        <v>39</v>
      </c>
      <c r="F259" s="3" t="s">
        <v>39</v>
      </c>
      <c r="G259" s="3" t="s">
        <v>598</v>
      </c>
      <c r="H259" s="3" t="s">
        <v>38</v>
      </c>
      <c r="I259" s="3" t="s">
        <v>343</v>
      </c>
    </row>
    <row r="260" spans="2:9">
      <c r="B260" s="3" t="s">
        <v>28</v>
      </c>
      <c r="C260" s="3" t="s">
        <v>136</v>
      </c>
      <c r="D260" s="3" t="s">
        <v>39</v>
      </c>
      <c r="E260" s="3" t="s">
        <v>39</v>
      </c>
      <c r="F260" s="3" t="s">
        <v>39</v>
      </c>
      <c r="G260" s="3" t="s">
        <v>599</v>
      </c>
      <c r="H260" s="3" t="s">
        <v>38</v>
      </c>
      <c r="I260" s="3" t="s">
        <v>343</v>
      </c>
    </row>
    <row r="261" spans="2:9">
      <c r="B261" s="3" t="s">
        <v>150</v>
      </c>
      <c r="C261" s="3" t="s">
        <v>136</v>
      </c>
      <c r="D261" s="3" t="s">
        <v>39</v>
      </c>
      <c r="E261" s="3" t="s">
        <v>39</v>
      </c>
      <c r="F261" s="3" t="s">
        <v>39</v>
      </c>
      <c r="G261" s="3" t="s">
        <v>600</v>
      </c>
      <c r="H261" s="3" t="s">
        <v>38</v>
      </c>
      <c r="I261" s="3" t="s">
        <v>343</v>
      </c>
    </row>
    <row r="262" spans="2:9">
      <c r="B262" s="3" t="s">
        <v>151</v>
      </c>
      <c r="C262" s="3" t="s">
        <v>136</v>
      </c>
      <c r="D262" s="3" t="s">
        <v>39</v>
      </c>
      <c r="E262" s="3" t="s">
        <v>39</v>
      </c>
      <c r="F262" s="3" t="s">
        <v>39</v>
      </c>
      <c r="G262" s="3" t="s">
        <v>601</v>
      </c>
      <c r="H262" s="3" t="s">
        <v>38</v>
      </c>
      <c r="I262" s="3" t="s">
        <v>343</v>
      </c>
    </row>
    <row r="263" spans="2:9">
      <c r="B263" s="3" t="s">
        <v>153</v>
      </c>
      <c r="C263" s="3" t="s">
        <v>136</v>
      </c>
      <c r="D263" s="3" t="s">
        <v>39</v>
      </c>
      <c r="E263" s="3" t="s">
        <v>39</v>
      </c>
      <c r="F263" s="3" t="s">
        <v>39</v>
      </c>
      <c r="G263" s="3" t="s">
        <v>602</v>
      </c>
      <c r="H263" s="3" t="s">
        <v>38</v>
      </c>
      <c r="I263" s="3" t="s">
        <v>343</v>
      </c>
    </row>
    <row r="264" spans="2:9">
      <c r="B264" s="3" t="s">
        <v>154</v>
      </c>
      <c r="C264" s="3" t="s">
        <v>136</v>
      </c>
      <c r="D264" s="3" t="s">
        <v>39</v>
      </c>
      <c r="E264" s="3" t="s">
        <v>39</v>
      </c>
      <c r="F264" s="3" t="s">
        <v>39</v>
      </c>
      <c r="G264" s="3" t="s">
        <v>603</v>
      </c>
      <c r="H264" s="3" t="s">
        <v>38</v>
      </c>
      <c r="I264" s="3" t="s">
        <v>343</v>
      </c>
    </row>
    <row r="265" spans="2:9">
      <c r="B265" s="3" t="s">
        <v>146</v>
      </c>
      <c r="C265" s="3" t="s">
        <v>136</v>
      </c>
      <c r="D265" s="3" t="s">
        <v>39</v>
      </c>
      <c r="E265" s="3" t="s">
        <v>39</v>
      </c>
      <c r="F265" s="3" t="s">
        <v>39</v>
      </c>
      <c r="G265" s="3" t="s">
        <v>604</v>
      </c>
      <c r="H265" s="3" t="s">
        <v>38</v>
      </c>
      <c r="I265" s="3" t="s">
        <v>343</v>
      </c>
    </row>
    <row r="266" spans="2:9">
      <c r="B266" s="3" t="s">
        <v>156</v>
      </c>
      <c r="C266" s="3" t="s">
        <v>136</v>
      </c>
      <c r="D266" s="3" t="s">
        <v>39</v>
      </c>
      <c r="E266" s="3" t="s">
        <v>39</v>
      </c>
      <c r="F266" s="3" t="s">
        <v>39</v>
      </c>
      <c r="G266" s="3" t="s">
        <v>605</v>
      </c>
      <c r="H266" s="3" t="s">
        <v>38</v>
      </c>
      <c r="I266" s="3" t="s">
        <v>343</v>
      </c>
    </row>
    <row r="267" spans="2:9">
      <c r="B267" s="3" t="s">
        <v>27</v>
      </c>
      <c r="C267" s="3" t="s">
        <v>136</v>
      </c>
      <c r="D267" s="3" t="s">
        <v>39</v>
      </c>
      <c r="E267" s="3" t="s">
        <v>39</v>
      </c>
      <c r="F267" s="3" t="s">
        <v>39</v>
      </c>
      <c r="G267" s="3" t="s">
        <v>606</v>
      </c>
      <c r="H267" s="3" t="s">
        <v>38</v>
      </c>
      <c r="I267" s="3" t="s">
        <v>343</v>
      </c>
    </row>
    <row r="268" spans="2:9">
      <c r="B268" s="3" t="s">
        <v>144</v>
      </c>
      <c r="C268" s="3" t="s">
        <v>136</v>
      </c>
      <c r="D268" s="3" t="s">
        <v>39</v>
      </c>
      <c r="E268" s="3" t="s">
        <v>39</v>
      </c>
      <c r="F268" s="3" t="s">
        <v>39</v>
      </c>
      <c r="G268" s="3" t="s">
        <v>607</v>
      </c>
      <c r="H268" s="3" t="s">
        <v>38</v>
      </c>
      <c r="I268" s="3" t="s">
        <v>343</v>
      </c>
    </row>
    <row r="269" spans="2:9">
      <c r="B269" s="3" t="s">
        <v>137</v>
      </c>
      <c r="C269" s="3" t="s">
        <v>136</v>
      </c>
      <c r="D269" s="3" t="s">
        <v>39</v>
      </c>
      <c r="E269" s="3" t="s">
        <v>39</v>
      </c>
      <c r="F269" s="3" t="s">
        <v>39</v>
      </c>
      <c r="G269" s="3" t="s">
        <v>608</v>
      </c>
      <c r="H269" s="3" t="s">
        <v>38</v>
      </c>
      <c r="I269" s="3" t="s">
        <v>343</v>
      </c>
    </row>
    <row r="270" spans="2:9">
      <c r="B270" s="3" t="s">
        <v>147</v>
      </c>
      <c r="C270" s="3" t="s">
        <v>136</v>
      </c>
      <c r="D270" s="3" t="s">
        <v>39</v>
      </c>
      <c r="E270" s="3" t="s">
        <v>39</v>
      </c>
      <c r="F270" s="3" t="s">
        <v>39</v>
      </c>
      <c r="G270" s="3" t="s">
        <v>609</v>
      </c>
      <c r="H270" s="3" t="s">
        <v>38</v>
      </c>
      <c r="I270" s="3" t="s">
        <v>343</v>
      </c>
    </row>
    <row r="271" spans="2:9">
      <c r="B271" s="3" t="s">
        <v>134</v>
      </c>
      <c r="C271" s="3" t="s">
        <v>136</v>
      </c>
      <c r="D271" s="3" t="s">
        <v>39</v>
      </c>
      <c r="E271" s="3" t="s">
        <v>39</v>
      </c>
      <c r="F271" s="3" t="s">
        <v>39</v>
      </c>
      <c r="G271" s="3" t="s">
        <v>610</v>
      </c>
      <c r="H271" s="3" t="s">
        <v>38</v>
      </c>
      <c r="I271" s="3" t="s">
        <v>343</v>
      </c>
    </row>
    <row r="272" spans="2:9">
      <c r="B272" s="3" t="s">
        <v>135</v>
      </c>
      <c r="C272" s="3" t="s">
        <v>136</v>
      </c>
      <c r="D272" s="3" t="s">
        <v>39</v>
      </c>
      <c r="E272" s="3" t="s">
        <v>39</v>
      </c>
      <c r="F272" s="3" t="s">
        <v>39</v>
      </c>
      <c r="G272" s="3" t="s">
        <v>611</v>
      </c>
      <c r="H272" s="3" t="s">
        <v>38</v>
      </c>
      <c r="I272" s="3" t="s">
        <v>343</v>
      </c>
    </row>
    <row r="273" spans="2:9">
      <c r="B273" s="3" t="s">
        <v>142</v>
      </c>
      <c r="C273" s="3" t="s">
        <v>136</v>
      </c>
      <c r="D273" s="3" t="s">
        <v>39</v>
      </c>
      <c r="E273" s="3" t="s">
        <v>39</v>
      </c>
      <c r="F273" s="3" t="s">
        <v>39</v>
      </c>
      <c r="G273" s="3" t="s">
        <v>612</v>
      </c>
      <c r="H273" s="3" t="s">
        <v>38</v>
      </c>
      <c r="I273" s="3" t="s">
        <v>343</v>
      </c>
    </row>
    <row r="274" spans="2:9">
      <c r="B274" s="3" t="s">
        <v>143</v>
      </c>
      <c r="C274" s="3" t="s">
        <v>136</v>
      </c>
      <c r="D274" s="3" t="s">
        <v>39</v>
      </c>
      <c r="E274" s="3" t="s">
        <v>39</v>
      </c>
      <c r="F274" s="3" t="s">
        <v>39</v>
      </c>
      <c r="G274" s="3" t="s">
        <v>613</v>
      </c>
      <c r="H274" s="3" t="s">
        <v>38</v>
      </c>
      <c r="I274" s="3" t="s">
        <v>343</v>
      </c>
    </row>
    <row r="275" spans="2:9">
      <c r="B275" s="3" t="s">
        <v>145</v>
      </c>
      <c r="C275" s="3" t="s">
        <v>136</v>
      </c>
      <c r="D275" s="3" t="s">
        <v>39</v>
      </c>
      <c r="E275" s="3" t="s">
        <v>39</v>
      </c>
      <c r="F275" s="3" t="s">
        <v>39</v>
      </c>
      <c r="G275" s="3" t="s">
        <v>614</v>
      </c>
      <c r="H275" s="3" t="s">
        <v>38</v>
      </c>
      <c r="I275" s="3" t="s">
        <v>343</v>
      </c>
    </row>
    <row r="276" spans="2:9">
      <c r="B276" s="3" t="s">
        <v>140</v>
      </c>
      <c r="C276" s="3" t="s">
        <v>136</v>
      </c>
      <c r="D276" s="3" t="s">
        <v>39</v>
      </c>
      <c r="E276" s="3" t="s">
        <v>39</v>
      </c>
      <c r="F276" s="3" t="s">
        <v>39</v>
      </c>
      <c r="G276" s="3" t="s">
        <v>615</v>
      </c>
      <c r="H276" s="3" t="s">
        <v>38</v>
      </c>
      <c r="I276" s="3" t="s">
        <v>343</v>
      </c>
    </row>
    <row r="277" spans="2:9">
      <c r="B277" s="3" t="s">
        <v>141</v>
      </c>
      <c r="C277" s="3" t="s">
        <v>136</v>
      </c>
      <c r="D277" s="3" t="s">
        <v>39</v>
      </c>
      <c r="E277" s="3" t="s">
        <v>39</v>
      </c>
      <c r="F277" s="3" t="s">
        <v>39</v>
      </c>
      <c r="G277" s="3" t="s">
        <v>616</v>
      </c>
      <c r="H277" s="3" t="s">
        <v>38</v>
      </c>
      <c r="I277" s="3" t="s">
        <v>343</v>
      </c>
    </row>
    <row r="278" spans="2:9">
      <c r="B278" s="3" t="s">
        <v>148</v>
      </c>
      <c r="C278" s="3" t="s">
        <v>136</v>
      </c>
      <c r="D278" s="3" t="s">
        <v>39</v>
      </c>
      <c r="E278" s="3" t="s">
        <v>39</v>
      </c>
      <c r="F278" s="3" t="s">
        <v>39</v>
      </c>
      <c r="G278" s="3" t="s">
        <v>617</v>
      </c>
      <c r="H278" s="3" t="s">
        <v>38</v>
      </c>
      <c r="I278" s="3" t="s">
        <v>343</v>
      </c>
    </row>
    <row r="279" spans="2:9">
      <c r="B279" s="3" t="s">
        <v>116</v>
      </c>
      <c r="C279" s="3" t="s">
        <v>136</v>
      </c>
      <c r="D279" s="3" t="s">
        <v>39</v>
      </c>
      <c r="E279" s="3" t="s">
        <v>39</v>
      </c>
      <c r="F279" s="3" t="s">
        <v>39</v>
      </c>
      <c r="G279" s="3" t="s">
        <v>618</v>
      </c>
      <c r="H279" s="3" t="s">
        <v>38</v>
      </c>
      <c r="I279" s="3" t="s">
        <v>343</v>
      </c>
    </row>
    <row r="280" spans="2:9">
      <c r="B280" s="3" t="s">
        <v>152</v>
      </c>
      <c r="C280" s="3" t="s">
        <v>136</v>
      </c>
      <c r="D280" s="3" t="s">
        <v>39</v>
      </c>
      <c r="E280" s="3" t="s">
        <v>39</v>
      </c>
      <c r="F280" s="3" t="s">
        <v>39</v>
      </c>
      <c r="G280" s="3" t="s">
        <v>619</v>
      </c>
      <c r="H280" s="3" t="s">
        <v>38</v>
      </c>
      <c r="I280" s="3" t="s">
        <v>343</v>
      </c>
    </row>
    <row r="281" spans="2:9">
      <c r="B281" s="3" t="s">
        <v>29</v>
      </c>
      <c r="C281" s="3" t="s">
        <v>136</v>
      </c>
      <c r="D281" s="3" t="s">
        <v>39</v>
      </c>
      <c r="E281" s="3" t="s">
        <v>39</v>
      </c>
      <c r="F281" s="3" t="s">
        <v>39</v>
      </c>
      <c r="G281" s="3" t="s">
        <v>620</v>
      </c>
      <c r="H281" s="3" t="s">
        <v>38</v>
      </c>
      <c r="I281" s="3" t="s">
        <v>343</v>
      </c>
    </row>
    <row r="282" spans="2:9">
      <c r="B282" s="3" t="s">
        <v>155</v>
      </c>
      <c r="C282" s="3" t="s">
        <v>136</v>
      </c>
      <c r="D282" s="3" t="s">
        <v>39</v>
      </c>
      <c r="E282" s="3" t="s">
        <v>39</v>
      </c>
      <c r="F282" s="3" t="s">
        <v>39</v>
      </c>
      <c r="G282" s="3" t="s">
        <v>621</v>
      </c>
      <c r="H282" s="3" t="s">
        <v>38</v>
      </c>
      <c r="I282" s="3" t="s">
        <v>343</v>
      </c>
    </row>
    <row r="283" spans="2:9">
      <c r="B283" s="3" t="s">
        <v>139</v>
      </c>
      <c r="C283" s="3" t="s">
        <v>136</v>
      </c>
      <c r="D283" s="3" t="s">
        <v>39</v>
      </c>
      <c r="E283" s="3" t="s">
        <v>39</v>
      </c>
      <c r="F283" s="3" t="s">
        <v>39</v>
      </c>
      <c r="G283" s="3" t="s">
        <v>622</v>
      </c>
      <c r="H283" s="3" t="s">
        <v>38</v>
      </c>
      <c r="I283" s="3" t="s">
        <v>343</v>
      </c>
    </row>
    <row r="284" spans="2:9">
      <c r="B284" s="3" t="s">
        <v>138</v>
      </c>
      <c r="C284" s="3" t="s">
        <v>143</v>
      </c>
      <c r="D284" s="3" t="s">
        <v>39</v>
      </c>
      <c r="E284" s="3" t="s">
        <v>39</v>
      </c>
      <c r="F284" s="3" t="s">
        <v>39</v>
      </c>
      <c r="G284" s="3" t="s">
        <v>623</v>
      </c>
      <c r="H284" s="3" t="s">
        <v>38</v>
      </c>
      <c r="I284" s="3" t="s">
        <v>343</v>
      </c>
    </row>
    <row r="285" spans="2:9">
      <c r="B285" s="3" t="s">
        <v>149</v>
      </c>
      <c r="C285" s="3" t="s">
        <v>143</v>
      </c>
      <c r="D285" s="3" t="s">
        <v>39</v>
      </c>
      <c r="E285" s="3" t="s">
        <v>39</v>
      </c>
      <c r="F285" s="3" t="s">
        <v>39</v>
      </c>
      <c r="G285" s="3" t="s">
        <v>624</v>
      </c>
      <c r="H285" s="3" t="s">
        <v>38</v>
      </c>
      <c r="I285" s="3" t="s">
        <v>343</v>
      </c>
    </row>
    <row r="286" spans="2:9">
      <c r="B286" s="3" t="s">
        <v>132</v>
      </c>
      <c r="C286" s="3" t="s">
        <v>143</v>
      </c>
      <c r="D286" s="3" t="s">
        <v>39</v>
      </c>
      <c r="E286" s="3" t="s">
        <v>39</v>
      </c>
      <c r="F286" s="3" t="s">
        <v>39</v>
      </c>
      <c r="G286" s="3" t="s">
        <v>625</v>
      </c>
      <c r="H286" s="3" t="s">
        <v>38</v>
      </c>
      <c r="I286" s="3" t="s">
        <v>343</v>
      </c>
    </row>
    <row r="287" spans="2:9">
      <c r="B287" s="3" t="s">
        <v>133</v>
      </c>
      <c r="C287" s="3" t="s">
        <v>143</v>
      </c>
      <c r="D287" s="3" t="s">
        <v>39</v>
      </c>
      <c r="E287" s="3" t="s">
        <v>39</v>
      </c>
      <c r="F287" s="3" t="s">
        <v>39</v>
      </c>
      <c r="G287" s="3" t="s">
        <v>626</v>
      </c>
      <c r="H287" s="3" t="s">
        <v>38</v>
      </c>
      <c r="I287" s="3" t="s">
        <v>343</v>
      </c>
    </row>
    <row r="288" spans="2:9">
      <c r="B288" s="3" t="s">
        <v>28</v>
      </c>
      <c r="C288" s="3" t="s">
        <v>143</v>
      </c>
      <c r="D288" s="3" t="s">
        <v>39</v>
      </c>
      <c r="E288" s="3" t="s">
        <v>39</v>
      </c>
      <c r="F288" s="3" t="s">
        <v>39</v>
      </c>
      <c r="G288" s="3" t="s">
        <v>627</v>
      </c>
      <c r="H288" s="3" t="s">
        <v>38</v>
      </c>
      <c r="I288" s="3" t="s">
        <v>343</v>
      </c>
    </row>
    <row r="289" spans="2:9">
      <c r="B289" s="3" t="s">
        <v>150</v>
      </c>
      <c r="C289" s="3" t="s">
        <v>143</v>
      </c>
      <c r="D289" s="3" t="s">
        <v>39</v>
      </c>
      <c r="E289" s="3" t="s">
        <v>39</v>
      </c>
      <c r="F289" s="3" t="s">
        <v>39</v>
      </c>
      <c r="G289" s="3" t="s">
        <v>628</v>
      </c>
      <c r="H289" s="3" t="s">
        <v>38</v>
      </c>
      <c r="I289" s="3" t="s">
        <v>343</v>
      </c>
    </row>
    <row r="290" spans="2:9">
      <c r="B290" s="3" t="s">
        <v>151</v>
      </c>
      <c r="C290" s="3" t="s">
        <v>143</v>
      </c>
      <c r="D290" s="3" t="s">
        <v>39</v>
      </c>
      <c r="E290" s="3" t="s">
        <v>39</v>
      </c>
      <c r="F290" s="3" t="s">
        <v>39</v>
      </c>
      <c r="G290" s="3" t="s">
        <v>629</v>
      </c>
      <c r="H290" s="3" t="s">
        <v>38</v>
      </c>
      <c r="I290" s="3" t="s">
        <v>343</v>
      </c>
    </row>
    <row r="291" spans="2:9">
      <c r="B291" s="3" t="s">
        <v>153</v>
      </c>
      <c r="C291" s="3" t="s">
        <v>143</v>
      </c>
      <c r="D291" s="3" t="s">
        <v>39</v>
      </c>
      <c r="E291" s="3" t="s">
        <v>39</v>
      </c>
      <c r="F291" s="3" t="s">
        <v>39</v>
      </c>
      <c r="G291" s="3" t="s">
        <v>630</v>
      </c>
      <c r="H291" s="3" t="s">
        <v>38</v>
      </c>
      <c r="I291" s="3" t="s">
        <v>343</v>
      </c>
    </row>
    <row r="292" spans="2:9">
      <c r="B292" s="3" t="s">
        <v>154</v>
      </c>
      <c r="C292" s="3" t="s">
        <v>143</v>
      </c>
      <c r="D292" s="3" t="s">
        <v>39</v>
      </c>
      <c r="E292" s="3" t="s">
        <v>39</v>
      </c>
      <c r="F292" s="3" t="s">
        <v>39</v>
      </c>
      <c r="G292" s="3" t="s">
        <v>631</v>
      </c>
      <c r="H292" s="3" t="s">
        <v>38</v>
      </c>
      <c r="I292" s="3" t="s">
        <v>343</v>
      </c>
    </row>
    <row r="293" spans="2:9">
      <c r="B293" s="3" t="s">
        <v>146</v>
      </c>
      <c r="C293" s="3" t="s">
        <v>143</v>
      </c>
      <c r="D293" s="3" t="s">
        <v>39</v>
      </c>
      <c r="E293" s="3" t="s">
        <v>39</v>
      </c>
      <c r="F293" s="3" t="s">
        <v>39</v>
      </c>
      <c r="G293" s="3" t="s">
        <v>632</v>
      </c>
      <c r="H293" s="3" t="s">
        <v>38</v>
      </c>
      <c r="I293" s="3" t="s">
        <v>343</v>
      </c>
    </row>
    <row r="294" spans="2:9">
      <c r="B294" s="3" t="s">
        <v>156</v>
      </c>
      <c r="C294" s="3" t="s">
        <v>143</v>
      </c>
      <c r="D294" s="3" t="s">
        <v>39</v>
      </c>
      <c r="E294" s="3" t="s">
        <v>39</v>
      </c>
      <c r="F294" s="3" t="s">
        <v>39</v>
      </c>
      <c r="G294" s="3" t="s">
        <v>633</v>
      </c>
      <c r="H294" s="3" t="s">
        <v>38</v>
      </c>
      <c r="I294" s="3" t="s">
        <v>343</v>
      </c>
    </row>
    <row r="295" spans="2:9">
      <c r="B295" s="3" t="s">
        <v>27</v>
      </c>
      <c r="C295" s="3" t="s">
        <v>143</v>
      </c>
      <c r="D295" s="3" t="s">
        <v>39</v>
      </c>
      <c r="E295" s="3" t="s">
        <v>39</v>
      </c>
      <c r="F295" s="3" t="s">
        <v>39</v>
      </c>
      <c r="G295" s="3" t="s">
        <v>634</v>
      </c>
      <c r="H295" s="3" t="s">
        <v>38</v>
      </c>
      <c r="I295" s="3" t="s">
        <v>343</v>
      </c>
    </row>
    <row r="296" spans="2:9">
      <c r="B296" s="3" t="s">
        <v>144</v>
      </c>
      <c r="C296" s="3" t="s">
        <v>143</v>
      </c>
      <c r="D296" s="3" t="s">
        <v>39</v>
      </c>
      <c r="E296" s="3" t="s">
        <v>39</v>
      </c>
      <c r="F296" s="3" t="s">
        <v>39</v>
      </c>
      <c r="G296" s="3" t="s">
        <v>635</v>
      </c>
      <c r="H296" s="3" t="s">
        <v>38</v>
      </c>
      <c r="I296" s="3" t="s">
        <v>343</v>
      </c>
    </row>
    <row r="297" spans="2:9">
      <c r="B297" s="3" t="s">
        <v>137</v>
      </c>
      <c r="C297" s="3" t="s">
        <v>143</v>
      </c>
      <c r="D297" s="3" t="s">
        <v>39</v>
      </c>
      <c r="E297" s="3" t="s">
        <v>39</v>
      </c>
      <c r="F297" s="3" t="s">
        <v>39</v>
      </c>
      <c r="G297" s="3" t="s">
        <v>636</v>
      </c>
      <c r="H297" s="3" t="s">
        <v>38</v>
      </c>
      <c r="I297" s="3" t="s">
        <v>343</v>
      </c>
    </row>
    <row r="298" spans="2:9">
      <c r="B298" s="3" t="s">
        <v>147</v>
      </c>
      <c r="C298" s="3" t="s">
        <v>143</v>
      </c>
      <c r="D298" s="3" t="s">
        <v>39</v>
      </c>
      <c r="E298" s="3" t="s">
        <v>39</v>
      </c>
      <c r="F298" s="3" t="s">
        <v>39</v>
      </c>
      <c r="G298" s="3" t="s">
        <v>637</v>
      </c>
      <c r="H298" s="3" t="s">
        <v>38</v>
      </c>
      <c r="I298" s="3" t="s">
        <v>343</v>
      </c>
    </row>
    <row r="299" spans="2:9">
      <c r="B299" s="3" t="s">
        <v>134</v>
      </c>
      <c r="C299" s="3" t="s">
        <v>143</v>
      </c>
      <c r="D299" s="3" t="s">
        <v>39</v>
      </c>
      <c r="E299" s="3" t="s">
        <v>39</v>
      </c>
      <c r="F299" s="3" t="s">
        <v>39</v>
      </c>
      <c r="G299" s="3" t="s">
        <v>638</v>
      </c>
      <c r="H299" s="3" t="s">
        <v>38</v>
      </c>
      <c r="I299" s="3" t="s">
        <v>343</v>
      </c>
    </row>
    <row r="300" spans="2:9">
      <c r="B300" s="3" t="s">
        <v>135</v>
      </c>
      <c r="C300" s="3" t="s">
        <v>143</v>
      </c>
      <c r="D300" s="3" t="s">
        <v>39</v>
      </c>
      <c r="E300" s="3" t="s">
        <v>39</v>
      </c>
      <c r="F300" s="3" t="s">
        <v>39</v>
      </c>
      <c r="G300" s="3" t="s">
        <v>639</v>
      </c>
      <c r="H300" s="3" t="s">
        <v>38</v>
      </c>
      <c r="I300" s="3" t="s">
        <v>343</v>
      </c>
    </row>
    <row r="301" spans="2:9">
      <c r="B301" s="3" t="s">
        <v>142</v>
      </c>
      <c r="C301" s="3" t="s">
        <v>143</v>
      </c>
      <c r="D301" s="3" t="s">
        <v>39</v>
      </c>
      <c r="E301" s="3" t="s">
        <v>39</v>
      </c>
      <c r="F301" s="3" t="s">
        <v>39</v>
      </c>
      <c r="G301" s="3" t="s">
        <v>640</v>
      </c>
      <c r="H301" s="3" t="s">
        <v>38</v>
      </c>
      <c r="I301" s="3" t="s">
        <v>343</v>
      </c>
    </row>
    <row r="302" spans="2:9">
      <c r="B302" s="3" t="s">
        <v>145</v>
      </c>
      <c r="C302" s="3" t="s">
        <v>143</v>
      </c>
      <c r="D302" s="3" t="s">
        <v>39</v>
      </c>
      <c r="E302" s="3" t="s">
        <v>39</v>
      </c>
      <c r="F302" s="3" t="s">
        <v>39</v>
      </c>
      <c r="G302" s="3" t="s">
        <v>641</v>
      </c>
      <c r="H302" s="3" t="s">
        <v>38</v>
      </c>
      <c r="I302" s="3" t="s">
        <v>343</v>
      </c>
    </row>
    <row r="303" spans="2:9">
      <c r="B303" s="3" t="s">
        <v>140</v>
      </c>
      <c r="C303" s="3" t="s">
        <v>143</v>
      </c>
      <c r="D303" s="3" t="s">
        <v>39</v>
      </c>
      <c r="E303" s="3" t="s">
        <v>39</v>
      </c>
      <c r="F303" s="3" t="s">
        <v>39</v>
      </c>
      <c r="G303" s="3" t="s">
        <v>642</v>
      </c>
      <c r="H303" s="3" t="s">
        <v>38</v>
      </c>
      <c r="I303" s="3" t="s">
        <v>343</v>
      </c>
    </row>
    <row r="304" spans="2:9">
      <c r="B304" s="3" t="s">
        <v>141</v>
      </c>
      <c r="C304" s="3" t="s">
        <v>143</v>
      </c>
      <c r="D304" s="3" t="s">
        <v>39</v>
      </c>
      <c r="E304" s="3" t="s">
        <v>39</v>
      </c>
      <c r="F304" s="3" t="s">
        <v>39</v>
      </c>
      <c r="G304" s="3" t="s">
        <v>643</v>
      </c>
      <c r="H304" s="3" t="s">
        <v>38</v>
      </c>
      <c r="I304" s="3" t="s">
        <v>343</v>
      </c>
    </row>
    <row r="305" spans="2:9">
      <c r="B305" s="3" t="s">
        <v>148</v>
      </c>
      <c r="C305" s="3" t="s">
        <v>143</v>
      </c>
      <c r="D305" s="3" t="s">
        <v>39</v>
      </c>
      <c r="E305" s="3" t="s">
        <v>39</v>
      </c>
      <c r="F305" s="3" t="s">
        <v>39</v>
      </c>
      <c r="G305" s="3" t="s">
        <v>644</v>
      </c>
      <c r="H305" s="3" t="s">
        <v>38</v>
      </c>
      <c r="I305" s="3" t="s">
        <v>343</v>
      </c>
    </row>
    <row r="306" spans="2:9">
      <c r="B306" s="3" t="s">
        <v>116</v>
      </c>
      <c r="C306" s="3" t="s">
        <v>143</v>
      </c>
      <c r="D306" s="3" t="s">
        <v>39</v>
      </c>
      <c r="E306" s="3" t="s">
        <v>39</v>
      </c>
      <c r="F306" s="3" t="s">
        <v>39</v>
      </c>
      <c r="G306" s="3" t="s">
        <v>645</v>
      </c>
      <c r="H306" s="3" t="s">
        <v>38</v>
      </c>
      <c r="I306" s="3" t="s">
        <v>343</v>
      </c>
    </row>
    <row r="307" spans="2:9">
      <c r="B307" s="3" t="s">
        <v>136</v>
      </c>
      <c r="C307" s="3" t="s">
        <v>143</v>
      </c>
      <c r="D307" s="3" t="s">
        <v>39</v>
      </c>
      <c r="E307" s="3" t="s">
        <v>39</v>
      </c>
      <c r="F307" s="3" t="s">
        <v>39</v>
      </c>
      <c r="G307" s="3" t="s">
        <v>646</v>
      </c>
      <c r="H307" s="3" t="s">
        <v>38</v>
      </c>
      <c r="I307" s="3" t="s">
        <v>343</v>
      </c>
    </row>
    <row r="308" spans="2:9">
      <c r="B308" s="3" t="s">
        <v>152</v>
      </c>
      <c r="C308" s="3" t="s">
        <v>143</v>
      </c>
      <c r="D308" s="3" t="s">
        <v>39</v>
      </c>
      <c r="E308" s="3" t="s">
        <v>39</v>
      </c>
      <c r="F308" s="3" t="s">
        <v>39</v>
      </c>
      <c r="G308" s="3" t="s">
        <v>647</v>
      </c>
      <c r="H308" s="3" t="s">
        <v>38</v>
      </c>
      <c r="I308" s="3" t="s">
        <v>343</v>
      </c>
    </row>
    <row r="309" spans="2:9">
      <c r="B309" s="3" t="s">
        <v>29</v>
      </c>
      <c r="C309" s="3" t="s">
        <v>143</v>
      </c>
      <c r="D309" s="3" t="s">
        <v>39</v>
      </c>
      <c r="E309" s="3" t="s">
        <v>39</v>
      </c>
      <c r="F309" s="3" t="s">
        <v>39</v>
      </c>
      <c r="G309" s="3" t="s">
        <v>648</v>
      </c>
      <c r="H309" s="3" t="s">
        <v>38</v>
      </c>
      <c r="I309" s="3" t="s">
        <v>343</v>
      </c>
    </row>
    <row r="310" spans="2:9">
      <c r="B310" s="3" t="s">
        <v>155</v>
      </c>
      <c r="C310" s="3" t="s">
        <v>143</v>
      </c>
      <c r="D310" s="3" t="s">
        <v>39</v>
      </c>
      <c r="E310" s="3" t="s">
        <v>39</v>
      </c>
      <c r="F310" s="3" t="s">
        <v>39</v>
      </c>
      <c r="G310" s="3" t="s">
        <v>649</v>
      </c>
      <c r="H310" s="3" t="s">
        <v>38</v>
      </c>
      <c r="I310" s="3" t="s">
        <v>343</v>
      </c>
    </row>
    <row r="311" spans="2:9">
      <c r="B311" s="3" t="s">
        <v>139</v>
      </c>
      <c r="C311" s="3" t="s">
        <v>143</v>
      </c>
      <c r="D311" s="3" t="s">
        <v>39</v>
      </c>
      <c r="E311" s="3" t="s">
        <v>39</v>
      </c>
      <c r="F311" s="3" t="s">
        <v>39</v>
      </c>
      <c r="G311" s="3" t="s">
        <v>650</v>
      </c>
      <c r="H311" s="3" t="s">
        <v>38</v>
      </c>
      <c r="I311" s="3" t="s">
        <v>343</v>
      </c>
    </row>
    <row r="312" spans="2:9">
      <c r="B312" s="3" t="s">
        <v>138</v>
      </c>
      <c r="C312" s="3" t="s">
        <v>133</v>
      </c>
      <c r="D312" s="3" t="s">
        <v>39</v>
      </c>
      <c r="E312" s="3" t="s">
        <v>39</v>
      </c>
      <c r="F312" s="3" t="s">
        <v>39</v>
      </c>
      <c r="G312" s="3" t="s">
        <v>651</v>
      </c>
      <c r="H312" s="3" t="s">
        <v>38</v>
      </c>
      <c r="I312" s="3" t="s">
        <v>343</v>
      </c>
    </row>
    <row r="313" spans="2:9">
      <c r="B313" s="3" t="s">
        <v>149</v>
      </c>
      <c r="C313" s="3" t="s">
        <v>133</v>
      </c>
      <c r="D313" s="3" t="s">
        <v>39</v>
      </c>
      <c r="E313" s="3" t="s">
        <v>39</v>
      </c>
      <c r="F313" s="3" t="s">
        <v>39</v>
      </c>
      <c r="G313" s="3" t="s">
        <v>652</v>
      </c>
      <c r="H313" s="3" t="s">
        <v>38</v>
      </c>
      <c r="I313" s="3" t="s">
        <v>343</v>
      </c>
    </row>
    <row r="314" spans="2:9">
      <c r="B314" s="3" t="s">
        <v>132</v>
      </c>
      <c r="C314" s="3" t="s">
        <v>133</v>
      </c>
      <c r="D314" s="3" t="s">
        <v>39</v>
      </c>
      <c r="E314" s="3" t="s">
        <v>39</v>
      </c>
      <c r="F314" s="3" t="s">
        <v>39</v>
      </c>
      <c r="G314" s="3" t="s">
        <v>653</v>
      </c>
      <c r="H314" s="3" t="s">
        <v>38</v>
      </c>
      <c r="I314" s="3" t="s">
        <v>343</v>
      </c>
    </row>
    <row r="315" spans="2:9">
      <c r="B315" s="3" t="s">
        <v>28</v>
      </c>
      <c r="C315" s="3" t="s">
        <v>133</v>
      </c>
      <c r="D315" s="3" t="s">
        <v>39</v>
      </c>
      <c r="E315" s="3" t="s">
        <v>39</v>
      </c>
      <c r="F315" s="3" t="s">
        <v>39</v>
      </c>
      <c r="G315" s="3" t="s">
        <v>654</v>
      </c>
      <c r="H315" s="3" t="s">
        <v>38</v>
      </c>
      <c r="I315" s="3" t="s">
        <v>343</v>
      </c>
    </row>
    <row r="316" spans="2:9">
      <c r="B316" s="3" t="s">
        <v>150</v>
      </c>
      <c r="C316" s="3" t="s">
        <v>133</v>
      </c>
      <c r="D316" s="3" t="s">
        <v>39</v>
      </c>
      <c r="E316" s="3" t="s">
        <v>39</v>
      </c>
      <c r="F316" s="3" t="s">
        <v>39</v>
      </c>
      <c r="G316" s="3" t="s">
        <v>655</v>
      </c>
      <c r="H316" s="3" t="s">
        <v>38</v>
      </c>
      <c r="I316" s="3" t="s">
        <v>343</v>
      </c>
    </row>
    <row r="317" spans="2:9">
      <c r="B317" s="3" t="s">
        <v>151</v>
      </c>
      <c r="C317" s="3" t="s">
        <v>133</v>
      </c>
      <c r="D317" s="3" t="s">
        <v>39</v>
      </c>
      <c r="E317" s="3" t="s">
        <v>39</v>
      </c>
      <c r="F317" s="3" t="s">
        <v>39</v>
      </c>
      <c r="G317" s="3" t="s">
        <v>656</v>
      </c>
      <c r="H317" s="3" t="s">
        <v>38</v>
      </c>
      <c r="I317" s="3" t="s">
        <v>343</v>
      </c>
    </row>
    <row r="318" spans="2:9">
      <c r="B318" s="3" t="s">
        <v>153</v>
      </c>
      <c r="C318" s="3" t="s">
        <v>133</v>
      </c>
      <c r="D318" s="3" t="s">
        <v>39</v>
      </c>
      <c r="E318" s="3" t="s">
        <v>39</v>
      </c>
      <c r="F318" s="3" t="s">
        <v>39</v>
      </c>
      <c r="G318" s="3" t="s">
        <v>657</v>
      </c>
      <c r="H318" s="3" t="s">
        <v>38</v>
      </c>
      <c r="I318" s="3" t="s">
        <v>343</v>
      </c>
    </row>
    <row r="319" spans="2:9">
      <c r="B319" s="3" t="s">
        <v>154</v>
      </c>
      <c r="C319" s="3" t="s">
        <v>133</v>
      </c>
      <c r="D319" s="3" t="s">
        <v>39</v>
      </c>
      <c r="E319" s="3" t="s">
        <v>39</v>
      </c>
      <c r="F319" s="3" t="s">
        <v>39</v>
      </c>
      <c r="G319" s="3" t="s">
        <v>658</v>
      </c>
      <c r="H319" s="3" t="s">
        <v>38</v>
      </c>
      <c r="I319" s="3" t="s">
        <v>343</v>
      </c>
    </row>
    <row r="320" spans="2:9">
      <c r="B320" s="3" t="s">
        <v>146</v>
      </c>
      <c r="C320" s="3" t="s">
        <v>133</v>
      </c>
      <c r="D320" s="3" t="s">
        <v>39</v>
      </c>
      <c r="E320" s="3" t="s">
        <v>39</v>
      </c>
      <c r="F320" s="3" t="s">
        <v>39</v>
      </c>
      <c r="G320" s="3" t="s">
        <v>659</v>
      </c>
      <c r="H320" s="3" t="s">
        <v>38</v>
      </c>
      <c r="I320" s="3" t="s">
        <v>343</v>
      </c>
    </row>
    <row r="321" spans="2:9">
      <c r="B321" s="3" t="s">
        <v>156</v>
      </c>
      <c r="C321" s="3" t="s">
        <v>133</v>
      </c>
      <c r="D321" s="3" t="s">
        <v>39</v>
      </c>
      <c r="E321" s="3" t="s">
        <v>39</v>
      </c>
      <c r="F321" s="3" t="s">
        <v>39</v>
      </c>
      <c r="G321" s="3" t="s">
        <v>660</v>
      </c>
      <c r="H321" s="3" t="s">
        <v>38</v>
      </c>
      <c r="I321" s="3" t="s">
        <v>343</v>
      </c>
    </row>
    <row r="322" spans="2:9">
      <c r="B322" s="3" t="s">
        <v>27</v>
      </c>
      <c r="C322" s="3" t="s">
        <v>133</v>
      </c>
      <c r="D322" s="3" t="s">
        <v>39</v>
      </c>
      <c r="E322" s="3" t="s">
        <v>39</v>
      </c>
      <c r="F322" s="3" t="s">
        <v>39</v>
      </c>
      <c r="G322" s="3" t="s">
        <v>661</v>
      </c>
      <c r="H322" s="3" t="s">
        <v>38</v>
      </c>
      <c r="I322" s="3" t="s">
        <v>343</v>
      </c>
    </row>
    <row r="323" spans="2:9">
      <c r="B323" s="3" t="s">
        <v>144</v>
      </c>
      <c r="C323" s="3" t="s">
        <v>133</v>
      </c>
      <c r="D323" s="3" t="s">
        <v>39</v>
      </c>
      <c r="E323" s="3" t="s">
        <v>39</v>
      </c>
      <c r="F323" s="3" t="s">
        <v>39</v>
      </c>
      <c r="G323" s="3" t="s">
        <v>662</v>
      </c>
      <c r="H323" s="3" t="s">
        <v>38</v>
      </c>
      <c r="I323" s="3" t="s">
        <v>343</v>
      </c>
    </row>
    <row r="324" spans="2:9">
      <c r="B324" s="3" t="s">
        <v>137</v>
      </c>
      <c r="C324" s="3" t="s">
        <v>133</v>
      </c>
      <c r="D324" s="3" t="s">
        <v>39</v>
      </c>
      <c r="E324" s="3" t="s">
        <v>39</v>
      </c>
      <c r="F324" s="3" t="s">
        <v>39</v>
      </c>
      <c r="G324" s="3" t="s">
        <v>663</v>
      </c>
      <c r="H324" s="3" t="s">
        <v>38</v>
      </c>
      <c r="I324" s="3" t="s">
        <v>343</v>
      </c>
    </row>
    <row r="325" spans="2:9">
      <c r="B325" s="3" t="s">
        <v>147</v>
      </c>
      <c r="C325" s="3" t="s">
        <v>133</v>
      </c>
      <c r="D325" s="3" t="s">
        <v>39</v>
      </c>
      <c r="E325" s="3" t="s">
        <v>39</v>
      </c>
      <c r="F325" s="3" t="s">
        <v>39</v>
      </c>
      <c r="G325" s="3" t="s">
        <v>664</v>
      </c>
      <c r="H325" s="3" t="s">
        <v>38</v>
      </c>
      <c r="I325" s="3" t="s">
        <v>343</v>
      </c>
    </row>
    <row r="326" spans="2:9">
      <c r="B326" s="3" t="s">
        <v>134</v>
      </c>
      <c r="C326" s="3" t="s">
        <v>133</v>
      </c>
      <c r="D326" s="3" t="s">
        <v>39</v>
      </c>
      <c r="E326" s="3" t="s">
        <v>39</v>
      </c>
      <c r="F326" s="3" t="s">
        <v>39</v>
      </c>
      <c r="G326" s="3" t="s">
        <v>665</v>
      </c>
      <c r="H326" s="3" t="s">
        <v>38</v>
      </c>
      <c r="I326" s="3" t="s">
        <v>343</v>
      </c>
    </row>
    <row r="327" spans="2:9">
      <c r="B327" s="3" t="s">
        <v>135</v>
      </c>
      <c r="C327" s="3" t="s">
        <v>133</v>
      </c>
      <c r="D327" s="3" t="s">
        <v>39</v>
      </c>
      <c r="E327" s="3" t="s">
        <v>39</v>
      </c>
      <c r="F327" s="3" t="s">
        <v>39</v>
      </c>
      <c r="G327" s="3" t="s">
        <v>666</v>
      </c>
      <c r="H327" s="3" t="s">
        <v>38</v>
      </c>
      <c r="I327" s="3" t="s">
        <v>343</v>
      </c>
    </row>
    <row r="328" spans="2:9">
      <c r="B328" s="3" t="s">
        <v>142</v>
      </c>
      <c r="C328" s="3" t="s">
        <v>133</v>
      </c>
      <c r="D328" s="3" t="s">
        <v>39</v>
      </c>
      <c r="E328" s="3" t="s">
        <v>39</v>
      </c>
      <c r="F328" s="3" t="s">
        <v>39</v>
      </c>
      <c r="G328" s="3" t="s">
        <v>667</v>
      </c>
      <c r="H328" s="3" t="s">
        <v>38</v>
      </c>
      <c r="I328" s="3" t="s">
        <v>343</v>
      </c>
    </row>
    <row r="329" spans="2:9">
      <c r="B329" s="3" t="s">
        <v>143</v>
      </c>
      <c r="C329" s="3" t="s">
        <v>133</v>
      </c>
      <c r="D329" s="3" t="s">
        <v>39</v>
      </c>
      <c r="E329" s="3" t="s">
        <v>39</v>
      </c>
      <c r="F329" s="3" t="s">
        <v>39</v>
      </c>
      <c r="G329" s="3" t="s">
        <v>668</v>
      </c>
      <c r="H329" s="3" t="s">
        <v>38</v>
      </c>
      <c r="I329" s="3" t="s">
        <v>343</v>
      </c>
    </row>
    <row r="330" spans="2:9">
      <c r="B330" s="3" t="s">
        <v>145</v>
      </c>
      <c r="C330" s="3" t="s">
        <v>133</v>
      </c>
      <c r="D330" s="3" t="s">
        <v>39</v>
      </c>
      <c r="E330" s="3" t="s">
        <v>39</v>
      </c>
      <c r="F330" s="3" t="s">
        <v>39</v>
      </c>
      <c r="G330" s="3" t="s">
        <v>669</v>
      </c>
      <c r="H330" s="3" t="s">
        <v>38</v>
      </c>
      <c r="I330" s="3" t="s">
        <v>343</v>
      </c>
    </row>
    <row r="331" spans="2:9">
      <c r="B331" s="3" t="s">
        <v>140</v>
      </c>
      <c r="C331" s="3" t="s">
        <v>133</v>
      </c>
      <c r="D331" s="3" t="s">
        <v>39</v>
      </c>
      <c r="E331" s="3" t="s">
        <v>39</v>
      </c>
      <c r="F331" s="3" t="s">
        <v>39</v>
      </c>
      <c r="G331" s="3" t="s">
        <v>670</v>
      </c>
      <c r="H331" s="3" t="s">
        <v>38</v>
      </c>
      <c r="I331" s="3" t="s">
        <v>343</v>
      </c>
    </row>
    <row r="332" spans="2:9">
      <c r="B332" s="3" t="s">
        <v>141</v>
      </c>
      <c r="C332" s="3" t="s">
        <v>133</v>
      </c>
      <c r="D332" s="3" t="s">
        <v>39</v>
      </c>
      <c r="E332" s="3" t="s">
        <v>39</v>
      </c>
      <c r="F332" s="3" t="s">
        <v>39</v>
      </c>
      <c r="G332" s="3" t="s">
        <v>671</v>
      </c>
      <c r="H332" s="3" t="s">
        <v>38</v>
      </c>
      <c r="I332" s="3" t="s">
        <v>343</v>
      </c>
    </row>
    <row r="333" spans="2:9">
      <c r="B333" s="3" t="s">
        <v>148</v>
      </c>
      <c r="C333" s="3" t="s">
        <v>133</v>
      </c>
      <c r="D333" s="3" t="s">
        <v>39</v>
      </c>
      <c r="E333" s="3" t="s">
        <v>39</v>
      </c>
      <c r="F333" s="3" t="s">
        <v>39</v>
      </c>
      <c r="G333" s="3" t="s">
        <v>672</v>
      </c>
      <c r="H333" s="3" t="s">
        <v>38</v>
      </c>
      <c r="I333" s="3" t="s">
        <v>343</v>
      </c>
    </row>
    <row r="334" spans="2:9">
      <c r="B334" s="3" t="s">
        <v>116</v>
      </c>
      <c r="C334" s="3" t="s">
        <v>133</v>
      </c>
      <c r="D334" s="3" t="s">
        <v>39</v>
      </c>
      <c r="E334" s="3" t="s">
        <v>39</v>
      </c>
      <c r="F334" s="3" t="s">
        <v>39</v>
      </c>
      <c r="G334" s="3" t="s">
        <v>673</v>
      </c>
      <c r="H334" s="3" t="s">
        <v>38</v>
      </c>
      <c r="I334" s="3" t="s">
        <v>343</v>
      </c>
    </row>
    <row r="335" spans="2:9">
      <c r="B335" s="3" t="s">
        <v>136</v>
      </c>
      <c r="C335" s="3" t="s">
        <v>133</v>
      </c>
      <c r="D335" s="3" t="s">
        <v>39</v>
      </c>
      <c r="E335" s="3" t="s">
        <v>39</v>
      </c>
      <c r="F335" s="3" t="s">
        <v>39</v>
      </c>
      <c r="G335" s="3" t="s">
        <v>674</v>
      </c>
      <c r="H335" s="3" t="s">
        <v>38</v>
      </c>
      <c r="I335" s="3" t="s">
        <v>343</v>
      </c>
    </row>
    <row r="336" spans="2:9">
      <c r="B336" s="3" t="s">
        <v>152</v>
      </c>
      <c r="C336" s="3" t="s">
        <v>133</v>
      </c>
      <c r="D336" s="3" t="s">
        <v>39</v>
      </c>
      <c r="E336" s="3" t="s">
        <v>39</v>
      </c>
      <c r="F336" s="3" t="s">
        <v>39</v>
      </c>
      <c r="G336" s="3" t="s">
        <v>675</v>
      </c>
      <c r="H336" s="3" t="s">
        <v>38</v>
      </c>
      <c r="I336" s="3" t="s">
        <v>343</v>
      </c>
    </row>
    <row r="337" spans="2:9">
      <c r="B337" s="3" t="s">
        <v>29</v>
      </c>
      <c r="C337" s="3" t="s">
        <v>133</v>
      </c>
      <c r="D337" s="3" t="s">
        <v>39</v>
      </c>
      <c r="E337" s="3" t="s">
        <v>39</v>
      </c>
      <c r="F337" s="3" t="s">
        <v>39</v>
      </c>
      <c r="G337" s="3" t="s">
        <v>676</v>
      </c>
      <c r="H337" s="3" t="s">
        <v>38</v>
      </c>
      <c r="I337" s="3" t="s">
        <v>343</v>
      </c>
    </row>
    <row r="338" spans="2:9">
      <c r="B338" s="3" t="s">
        <v>155</v>
      </c>
      <c r="C338" s="3" t="s">
        <v>133</v>
      </c>
      <c r="D338" s="3" t="s">
        <v>39</v>
      </c>
      <c r="E338" s="3" t="s">
        <v>39</v>
      </c>
      <c r="F338" s="3" t="s">
        <v>39</v>
      </c>
      <c r="G338" s="3" t="s">
        <v>677</v>
      </c>
      <c r="H338" s="3" t="s">
        <v>38</v>
      </c>
      <c r="I338" s="3" t="s">
        <v>343</v>
      </c>
    </row>
    <row r="339" spans="2:9">
      <c r="B339" s="3" t="s">
        <v>139</v>
      </c>
      <c r="C339" s="3" t="s">
        <v>133</v>
      </c>
      <c r="D339" s="3" t="s">
        <v>39</v>
      </c>
      <c r="E339" s="3" t="s">
        <v>39</v>
      </c>
      <c r="F339" s="3" t="s">
        <v>39</v>
      </c>
      <c r="G339" s="3" t="s">
        <v>678</v>
      </c>
      <c r="H339" s="3" t="s">
        <v>38</v>
      </c>
      <c r="I339" s="3" t="s">
        <v>343</v>
      </c>
    </row>
    <row r="340" spans="2:9">
      <c r="B340" s="3" t="s">
        <v>138</v>
      </c>
      <c r="C340" s="3" t="s">
        <v>142</v>
      </c>
      <c r="D340" s="3" t="s">
        <v>39</v>
      </c>
      <c r="E340" s="3" t="s">
        <v>39</v>
      </c>
      <c r="F340" s="3" t="s">
        <v>39</v>
      </c>
      <c r="G340" s="3" t="s">
        <v>679</v>
      </c>
      <c r="H340" s="3" t="s">
        <v>38</v>
      </c>
      <c r="I340" s="3" t="s">
        <v>343</v>
      </c>
    </row>
    <row r="341" spans="2:9">
      <c r="B341" s="3" t="s">
        <v>149</v>
      </c>
      <c r="C341" s="3" t="s">
        <v>142</v>
      </c>
      <c r="D341" s="3" t="s">
        <v>39</v>
      </c>
      <c r="E341" s="3" t="s">
        <v>39</v>
      </c>
      <c r="F341" s="3" t="s">
        <v>39</v>
      </c>
      <c r="G341" s="3" t="s">
        <v>680</v>
      </c>
      <c r="H341" s="3" t="s">
        <v>38</v>
      </c>
      <c r="I341" s="3" t="s">
        <v>343</v>
      </c>
    </row>
    <row r="342" spans="2:9">
      <c r="B342" s="3" t="s">
        <v>132</v>
      </c>
      <c r="C342" s="3" t="s">
        <v>142</v>
      </c>
      <c r="D342" s="3" t="s">
        <v>39</v>
      </c>
      <c r="E342" s="3" t="s">
        <v>39</v>
      </c>
      <c r="F342" s="3" t="s">
        <v>39</v>
      </c>
      <c r="G342" s="3" t="s">
        <v>681</v>
      </c>
      <c r="H342" s="3" t="s">
        <v>38</v>
      </c>
      <c r="I342" s="3" t="s">
        <v>343</v>
      </c>
    </row>
    <row r="343" spans="2:9">
      <c r="B343" s="3" t="s">
        <v>133</v>
      </c>
      <c r="C343" s="3" t="s">
        <v>142</v>
      </c>
      <c r="D343" s="3" t="s">
        <v>39</v>
      </c>
      <c r="E343" s="3" t="s">
        <v>39</v>
      </c>
      <c r="F343" s="3" t="s">
        <v>39</v>
      </c>
      <c r="G343" s="3" t="s">
        <v>682</v>
      </c>
      <c r="H343" s="3" t="s">
        <v>38</v>
      </c>
      <c r="I343" s="3" t="s">
        <v>343</v>
      </c>
    </row>
    <row r="344" spans="2:9">
      <c r="B344" s="3" t="s">
        <v>28</v>
      </c>
      <c r="C344" s="3" t="s">
        <v>142</v>
      </c>
      <c r="D344" s="3" t="s">
        <v>39</v>
      </c>
      <c r="E344" s="3" t="s">
        <v>39</v>
      </c>
      <c r="F344" s="3" t="s">
        <v>39</v>
      </c>
      <c r="G344" s="3" t="s">
        <v>683</v>
      </c>
      <c r="H344" s="3" t="s">
        <v>38</v>
      </c>
      <c r="I344" s="3" t="s">
        <v>343</v>
      </c>
    </row>
    <row r="345" spans="2:9">
      <c r="B345" s="3" t="s">
        <v>150</v>
      </c>
      <c r="C345" s="3" t="s">
        <v>142</v>
      </c>
      <c r="D345" s="3" t="s">
        <v>39</v>
      </c>
      <c r="E345" s="3" t="s">
        <v>39</v>
      </c>
      <c r="F345" s="3" t="s">
        <v>39</v>
      </c>
      <c r="G345" s="3" t="s">
        <v>684</v>
      </c>
      <c r="H345" s="3" t="s">
        <v>38</v>
      </c>
      <c r="I345" s="3" t="s">
        <v>343</v>
      </c>
    </row>
    <row r="346" spans="2:9">
      <c r="B346" s="3" t="s">
        <v>151</v>
      </c>
      <c r="C346" s="3" t="s">
        <v>142</v>
      </c>
      <c r="D346" s="3" t="s">
        <v>39</v>
      </c>
      <c r="E346" s="3" t="s">
        <v>39</v>
      </c>
      <c r="F346" s="3" t="s">
        <v>39</v>
      </c>
      <c r="G346" s="3" t="s">
        <v>685</v>
      </c>
      <c r="H346" s="3" t="s">
        <v>38</v>
      </c>
      <c r="I346" s="3" t="s">
        <v>343</v>
      </c>
    </row>
    <row r="347" spans="2:9">
      <c r="B347" s="3" t="s">
        <v>153</v>
      </c>
      <c r="C347" s="3" t="s">
        <v>142</v>
      </c>
      <c r="D347" s="3" t="s">
        <v>39</v>
      </c>
      <c r="E347" s="3" t="s">
        <v>39</v>
      </c>
      <c r="F347" s="3" t="s">
        <v>39</v>
      </c>
      <c r="G347" s="3" t="s">
        <v>686</v>
      </c>
      <c r="H347" s="3" t="s">
        <v>38</v>
      </c>
      <c r="I347" s="3" t="s">
        <v>343</v>
      </c>
    </row>
    <row r="348" spans="2:9">
      <c r="B348" s="3" t="s">
        <v>154</v>
      </c>
      <c r="C348" s="3" t="s">
        <v>142</v>
      </c>
      <c r="D348" s="3" t="s">
        <v>39</v>
      </c>
      <c r="E348" s="3" t="s">
        <v>39</v>
      </c>
      <c r="F348" s="3" t="s">
        <v>39</v>
      </c>
      <c r="G348" s="3" t="s">
        <v>687</v>
      </c>
      <c r="H348" s="3" t="s">
        <v>38</v>
      </c>
      <c r="I348" s="3" t="s">
        <v>343</v>
      </c>
    </row>
    <row r="349" spans="2:9">
      <c r="B349" s="3" t="s">
        <v>146</v>
      </c>
      <c r="C349" s="3" t="s">
        <v>142</v>
      </c>
      <c r="D349" s="3" t="s">
        <v>39</v>
      </c>
      <c r="E349" s="3" t="s">
        <v>39</v>
      </c>
      <c r="F349" s="3" t="s">
        <v>39</v>
      </c>
      <c r="G349" s="3" t="s">
        <v>688</v>
      </c>
      <c r="H349" s="3" t="s">
        <v>38</v>
      </c>
      <c r="I349" s="3" t="s">
        <v>343</v>
      </c>
    </row>
    <row r="350" spans="2:9">
      <c r="B350" s="3" t="s">
        <v>156</v>
      </c>
      <c r="C350" s="3" t="s">
        <v>142</v>
      </c>
      <c r="D350" s="3" t="s">
        <v>39</v>
      </c>
      <c r="E350" s="3" t="s">
        <v>39</v>
      </c>
      <c r="F350" s="3" t="s">
        <v>39</v>
      </c>
      <c r="G350" s="3" t="s">
        <v>689</v>
      </c>
      <c r="H350" s="3" t="s">
        <v>38</v>
      </c>
      <c r="I350" s="3" t="s">
        <v>343</v>
      </c>
    </row>
    <row r="351" spans="2:9">
      <c r="B351" s="3" t="s">
        <v>27</v>
      </c>
      <c r="C351" s="3" t="s">
        <v>142</v>
      </c>
      <c r="D351" s="3" t="s">
        <v>39</v>
      </c>
      <c r="E351" s="3" t="s">
        <v>39</v>
      </c>
      <c r="F351" s="3" t="s">
        <v>39</v>
      </c>
      <c r="G351" s="3" t="s">
        <v>690</v>
      </c>
      <c r="H351" s="3" t="s">
        <v>38</v>
      </c>
      <c r="I351" s="3" t="s">
        <v>343</v>
      </c>
    </row>
    <row r="352" spans="2:9">
      <c r="B352" s="3" t="s">
        <v>144</v>
      </c>
      <c r="C352" s="3" t="s">
        <v>142</v>
      </c>
      <c r="D352" s="3" t="s">
        <v>39</v>
      </c>
      <c r="E352" s="3" t="s">
        <v>39</v>
      </c>
      <c r="F352" s="3" t="s">
        <v>39</v>
      </c>
      <c r="G352" s="3" t="s">
        <v>691</v>
      </c>
      <c r="H352" s="3" t="s">
        <v>38</v>
      </c>
      <c r="I352" s="3" t="s">
        <v>343</v>
      </c>
    </row>
    <row r="353" spans="2:9">
      <c r="B353" s="3" t="s">
        <v>137</v>
      </c>
      <c r="C353" s="3" t="s">
        <v>142</v>
      </c>
      <c r="D353" s="3" t="s">
        <v>39</v>
      </c>
      <c r="E353" s="3" t="s">
        <v>39</v>
      </c>
      <c r="F353" s="3" t="s">
        <v>39</v>
      </c>
      <c r="G353" s="3" t="s">
        <v>692</v>
      </c>
      <c r="H353" s="3" t="s">
        <v>38</v>
      </c>
      <c r="I353" s="3" t="s">
        <v>343</v>
      </c>
    </row>
    <row r="354" spans="2:9">
      <c r="B354" s="3" t="s">
        <v>147</v>
      </c>
      <c r="C354" s="3" t="s">
        <v>142</v>
      </c>
      <c r="D354" s="3" t="s">
        <v>39</v>
      </c>
      <c r="E354" s="3" t="s">
        <v>39</v>
      </c>
      <c r="F354" s="3" t="s">
        <v>39</v>
      </c>
      <c r="G354" s="3" t="s">
        <v>693</v>
      </c>
      <c r="H354" s="3" t="s">
        <v>38</v>
      </c>
      <c r="I354" s="3" t="s">
        <v>343</v>
      </c>
    </row>
    <row r="355" spans="2:9">
      <c r="B355" s="3" t="s">
        <v>134</v>
      </c>
      <c r="C355" s="3" t="s">
        <v>142</v>
      </c>
      <c r="D355" s="3" t="s">
        <v>39</v>
      </c>
      <c r="E355" s="3" t="s">
        <v>39</v>
      </c>
      <c r="F355" s="3" t="s">
        <v>39</v>
      </c>
      <c r="G355" s="3" t="s">
        <v>694</v>
      </c>
      <c r="H355" s="3" t="s">
        <v>38</v>
      </c>
      <c r="I355" s="3" t="s">
        <v>343</v>
      </c>
    </row>
    <row r="356" spans="2:9">
      <c r="B356" s="3" t="s">
        <v>135</v>
      </c>
      <c r="C356" s="3" t="s">
        <v>142</v>
      </c>
      <c r="D356" s="3" t="s">
        <v>39</v>
      </c>
      <c r="E356" s="3" t="s">
        <v>39</v>
      </c>
      <c r="F356" s="3" t="s">
        <v>39</v>
      </c>
      <c r="G356" s="3" t="s">
        <v>695</v>
      </c>
      <c r="H356" s="3" t="s">
        <v>38</v>
      </c>
      <c r="I356" s="3" t="s">
        <v>343</v>
      </c>
    </row>
    <row r="357" spans="2:9">
      <c r="B357" s="3" t="s">
        <v>143</v>
      </c>
      <c r="C357" s="3" t="s">
        <v>142</v>
      </c>
      <c r="D357" s="3" t="s">
        <v>39</v>
      </c>
      <c r="E357" s="3" t="s">
        <v>39</v>
      </c>
      <c r="F357" s="3" t="s">
        <v>39</v>
      </c>
      <c r="G357" s="3" t="s">
        <v>696</v>
      </c>
      <c r="H357" s="3" t="s">
        <v>38</v>
      </c>
      <c r="I357" s="3" t="s">
        <v>343</v>
      </c>
    </row>
    <row r="358" spans="2:9">
      <c r="B358" s="3" t="s">
        <v>145</v>
      </c>
      <c r="C358" s="3" t="s">
        <v>142</v>
      </c>
      <c r="D358" s="3" t="s">
        <v>39</v>
      </c>
      <c r="E358" s="3" t="s">
        <v>39</v>
      </c>
      <c r="F358" s="3" t="s">
        <v>39</v>
      </c>
      <c r="G358" s="3" t="s">
        <v>697</v>
      </c>
      <c r="H358" s="3" t="s">
        <v>38</v>
      </c>
      <c r="I358" s="3" t="s">
        <v>343</v>
      </c>
    </row>
    <row r="359" spans="2:9">
      <c r="B359" s="3" t="s">
        <v>140</v>
      </c>
      <c r="C359" s="3" t="s">
        <v>142</v>
      </c>
      <c r="D359" s="3" t="s">
        <v>39</v>
      </c>
      <c r="E359" s="3" t="s">
        <v>39</v>
      </c>
      <c r="F359" s="3" t="s">
        <v>39</v>
      </c>
      <c r="G359" s="3" t="s">
        <v>698</v>
      </c>
      <c r="H359" s="3" t="s">
        <v>38</v>
      </c>
      <c r="I359" s="3" t="s">
        <v>343</v>
      </c>
    </row>
    <row r="360" spans="2:9">
      <c r="B360" s="3" t="s">
        <v>141</v>
      </c>
      <c r="C360" s="3" t="s">
        <v>142</v>
      </c>
      <c r="D360" s="3" t="s">
        <v>39</v>
      </c>
      <c r="E360" s="3" t="s">
        <v>39</v>
      </c>
      <c r="F360" s="3" t="s">
        <v>39</v>
      </c>
      <c r="G360" s="3" t="s">
        <v>699</v>
      </c>
      <c r="H360" s="3" t="s">
        <v>38</v>
      </c>
      <c r="I360" s="3" t="s">
        <v>343</v>
      </c>
    </row>
    <row r="361" spans="2:9">
      <c r="B361" s="3" t="s">
        <v>148</v>
      </c>
      <c r="C361" s="3" t="s">
        <v>142</v>
      </c>
      <c r="D361" s="3" t="s">
        <v>39</v>
      </c>
      <c r="E361" s="3" t="s">
        <v>39</v>
      </c>
      <c r="F361" s="3" t="s">
        <v>39</v>
      </c>
      <c r="G361" s="3" t="s">
        <v>700</v>
      </c>
      <c r="H361" s="3" t="s">
        <v>38</v>
      </c>
      <c r="I361" s="3" t="s">
        <v>343</v>
      </c>
    </row>
    <row r="362" spans="2:9">
      <c r="B362" s="3" t="s">
        <v>116</v>
      </c>
      <c r="C362" s="3" t="s">
        <v>142</v>
      </c>
      <c r="D362" s="3" t="s">
        <v>39</v>
      </c>
      <c r="E362" s="3" t="s">
        <v>39</v>
      </c>
      <c r="F362" s="3" t="s">
        <v>39</v>
      </c>
      <c r="G362" s="3" t="s">
        <v>701</v>
      </c>
      <c r="H362" s="3" t="s">
        <v>38</v>
      </c>
      <c r="I362" s="3" t="s">
        <v>343</v>
      </c>
    </row>
    <row r="363" spans="2:9">
      <c r="B363" s="3" t="s">
        <v>136</v>
      </c>
      <c r="C363" s="3" t="s">
        <v>142</v>
      </c>
      <c r="D363" s="3" t="s">
        <v>39</v>
      </c>
      <c r="E363" s="3" t="s">
        <v>39</v>
      </c>
      <c r="F363" s="3" t="s">
        <v>39</v>
      </c>
      <c r="G363" s="3" t="s">
        <v>702</v>
      </c>
      <c r="H363" s="3" t="s">
        <v>38</v>
      </c>
      <c r="I363" s="3" t="s">
        <v>343</v>
      </c>
    </row>
    <row r="364" spans="2:9">
      <c r="B364" s="3" t="s">
        <v>152</v>
      </c>
      <c r="C364" s="3" t="s">
        <v>142</v>
      </c>
      <c r="D364" s="3" t="s">
        <v>39</v>
      </c>
      <c r="E364" s="3" t="s">
        <v>39</v>
      </c>
      <c r="F364" s="3" t="s">
        <v>39</v>
      </c>
      <c r="G364" s="3" t="s">
        <v>703</v>
      </c>
      <c r="H364" s="3" t="s">
        <v>38</v>
      </c>
      <c r="I364" s="3" t="s">
        <v>343</v>
      </c>
    </row>
    <row r="365" spans="2:9">
      <c r="B365" s="3" t="s">
        <v>29</v>
      </c>
      <c r="C365" s="3" t="s">
        <v>142</v>
      </c>
      <c r="D365" s="3" t="s">
        <v>39</v>
      </c>
      <c r="E365" s="3" t="s">
        <v>39</v>
      </c>
      <c r="F365" s="3" t="s">
        <v>39</v>
      </c>
      <c r="G365" s="3" t="s">
        <v>704</v>
      </c>
      <c r="H365" s="3" t="s">
        <v>38</v>
      </c>
      <c r="I365" s="3" t="s">
        <v>343</v>
      </c>
    </row>
    <row r="366" spans="2:9">
      <c r="B366" s="3" t="s">
        <v>155</v>
      </c>
      <c r="C366" s="3" t="s">
        <v>142</v>
      </c>
      <c r="D366" s="3" t="s">
        <v>39</v>
      </c>
      <c r="E366" s="3" t="s">
        <v>39</v>
      </c>
      <c r="F366" s="3" t="s">
        <v>39</v>
      </c>
      <c r="G366" s="3" t="s">
        <v>705</v>
      </c>
      <c r="H366" s="3" t="s">
        <v>38</v>
      </c>
      <c r="I366" s="3" t="s">
        <v>343</v>
      </c>
    </row>
    <row r="367" spans="2:9">
      <c r="B367" s="3" t="s">
        <v>139</v>
      </c>
      <c r="C367" s="3" t="s">
        <v>142</v>
      </c>
      <c r="D367" s="3" t="s">
        <v>39</v>
      </c>
      <c r="E367" s="3" t="s">
        <v>39</v>
      </c>
      <c r="F367" s="3" t="s">
        <v>39</v>
      </c>
      <c r="G367" s="3" t="s">
        <v>706</v>
      </c>
      <c r="H367" s="3" t="s">
        <v>38</v>
      </c>
      <c r="I367" s="3" t="s">
        <v>343</v>
      </c>
    </row>
    <row r="368" spans="2:9">
      <c r="B368" s="3" t="s">
        <v>138</v>
      </c>
      <c r="C368" s="3" t="s">
        <v>154</v>
      </c>
      <c r="D368" s="3" t="s">
        <v>39</v>
      </c>
      <c r="E368" s="3" t="s">
        <v>39</v>
      </c>
      <c r="F368" s="3" t="s">
        <v>39</v>
      </c>
      <c r="G368" s="3" t="s">
        <v>707</v>
      </c>
      <c r="H368" s="3" t="s">
        <v>38</v>
      </c>
      <c r="I368" s="3" t="s">
        <v>343</v>
      </c>
    </row>
    <row r="369" spans="2:9">
      <c r="B369" s="3" t="s">
        <v>149</v>
      </c>
      <c r="C369" s="3" t="s">
        <v>154</v>
      </c>
      <c r="D369" s="3" t="s">
        <v>39</v>
      </c>
      <c r="E369" s="3" t="s">
        <v>39</v>
      </c>
      <c r="F369" s="3" t="s">
        <v>39</v>
      </c>
      <c r="G369" s="3" t="s">
        <v>708</v>
      </c>
      <c r="H369" s="3" t="s">
        <v>38</v>
      </c>
      <c r="I369" s="3" t="s">
        <v>343</v>
      </c>
    </row>
    <row r="370" spans="2:9">
      <c r="B370" s="3" t="s">
        <v>132</v>
      </c>
      <c r="C370" s="3" t="s">
        <v>154</v>
      </c>
      <c r="D370" s="3" t="s">
        <v>39</v>
      </c>
      <c r="E370" s="3" t="s">
        <v>39</v>
      </c>
      <c r="F370" s="3" t="s">
        <v>39</v>
      </c>
      <c r="G370" s="3" t="s">
        <v>709</v>
      </c>
      <c r="H370" s="3" t="s">
        <v>38</v>
      </c>
      <c r="I370" s="3" t="s">
        <v>343</v>
      </c>
    </row>
    <row r="371" spans="2:9">
      <c r="B371" s="3" t="s">
        <v>133</v>
      </c>
      <c r="C371" s="3" t="s">
        <v>154</v>
      </c>
      <c r="D371" s="3" t="s">
        <v>39</v>
      </c>
      <c r="E371" s="3" t="s">
        <v>39</v>
      </c>
      <c r="F371" s="3" t="s">
        <v>39</v>
      </c>
      <c r="G371" s="3" t="s">
        <v>710</v>
      </c>
      <c r="H371" s="3" t="s">
        <v>38</v>
      </c>
      <c r="I371" s="3" t="s">
        <v>343</v>
      </c>
    </row>
    <row r="372" spans="2:9">
      <c r="B372" s="3" t="s">
        <v>28</v>
      </c>
      <c r="C372" s="3" t="s">
        <v>154</v>
      </c>
      <c r="D372" s="3" t="s">
        <v>39</v>
      </c>
      <c r="E372" s="3" t="s">
        <v>39</v>
      </c>
      <c r="F372" s="3" t="s">
        <v>39</v>
      </c>
      <c r="G372" s="3" t="s">
        <v>711</v>
      </c>
      <c r="H372" s="3" t="s">
        <v>38</v>
      </c>
      <c r="I372" s="3" t="s">
        <v>343</v>
      </c>
    </row>
    <row r="373" spans="2:9">
      <c r="B373" s="3" t="s">
        <v>150</v>
      </c>
      <c r="C373" s="3" t="s">
        <v>154</v>
      </c>
      <c r="D373" s="3" t="s">
        <v>39</v>
      </c>
      <c r="E373" s="3" t="s">
        <v>39</v>
      </c>
      <c r="F373" s="3" t="s">
        <v>39</v>
      </c>
      <c r="G373" s="3" t="s">
        <v>712</v>
      </c>
      <c r="H373" s="3" t="s">
        <v>38</v>
      </c>
      <c r="I373" s="3" t="s">
        <v>343</v>
      </c>
    </row>
    <row r="374" spans="2:9">
      <c r="B374" s="3" t="s">
        <v>151</v>
      </c>
      <c r="C374" s="3" t="s">
        <v>154</v>
      </c>
      <c r="D374" s="3" t="s">
        <v>39</v>
      </c>
      <c r="E374" s="3" t="s">
        <v>39</v>
      </c>
      <c r="F374" s="3" t="s">
        <v>39</v>
      </c>
      <c r="G374" s="3" t="s">
        <v>713</v>
      </c>
      <c r="H374" s="3" t="s">
        <v>38</v>
      </c>
      <c r="I374" s="3" t="s">
        <v>343</v>
      </c>
    </row>
    <row r="375" spans="2:9">
      <c r="B375" s="3" t="s">
        <v>153</v>
      </c>
      <c r="C375" s="3" t="s">
        <v>154</v>
      </c>
      <c r="D375" s="3" t="s">
        <v>39</v>
      </c>
      <c r="E375" s="3" t="s">
        <v>39</v>
      </c>
      <c r="F375" s="3" t="s">
        <v>39</v>
      </c>
      <c r="G375" s="3" t="s">
        <v>714</v>
      </c>
      <c r="H375" s="3" t="s">
        <v>38</v>
      </c>
      <c r="I375" s="3" t="s">
        <v>343</v>
      </c>
    </row>
    <row r="376" spans="2:9">
      <c r="B376" s="3" t="s">
        <v>146</v>
      </c>
      <c r="C376" s="3" t="s">
        <v>154</v>
      </c>
      <c r="D376" s="3" t="s">
        <v>39</v>
      </c>
      <c r="E376" s="3" t="s">
        <v>39</v>
      </c>
      <c r="F376" s="3" t="s">
        <v>39</v>
      </c>
      <c r="G376" s="3" t="s">
        <v>715</v>
      </c>
      <c r="H376" s="3" t="s">
        <v>38</v>
      </c>
      <c r="I376" s="3" t="s">
        <v>343</v>
      </c>
    </row>
    <row r="377" spans="2:9">
      <c r="B377" s="3" t="s">
        <v>156</v>
      </c>
      <c r="C377" s="3" t="s">
        <v>154</v>
      </c>
      <c r="D377" s="3" t="s">
        <v>39</v>
      </c>
      <c r="E377" s="3" t="s">
        <v>39</v>
      </c>
      <c r="F377" s="3" t="s">
        <v>39</v>
      </c>
      <c r="G377" s="3" t="s">
        <v>716</v>
      </c>
      <c r="H377" s="3" t="s">
        <v>38</v>
      </c>
      <c r="I377" s="3" t="s">
        <v>343</v>
      </c>
    </row>
    <row r="378" spans="2:9">
      <c r="B378" s="3" t="s">
        <v>27</v>
      </c>
      <c r="C378" s="3" t="s">
        <v>154</v>
      </c>
      <c r="D378" s="3" t="s">
        <v>39</v>
      </c>
      <c r="E378" s="3" t="s">
        <v>39</v>
      </c>
      <c r="F378" s="3" t="s">
        <v>39</v>
      </c>
      <c r="G378" s="3" t="s">
        <v>717</v>
      </c>
      <c r="H378" s="3" t="s">
        <v>38</v>
      </c>
      <c r="I378" s="3" t="s">
        <v>343</v>
      </c>
    </row>
    <row r="379" spans="2:9">
      <c r="B379" s="3" t="s">
        <v>144</v>
      </c>
      <c r="C379" s="3" t="s">
        <v>154</v>
      </c>
      <c r="D379" s="3" t="s">
        <v>39</v>
      </c>
      <c r="E379" s="3" t="s">
        <v>39</v>
      </c>
      <c r="F379" s="3" t="s">
        <v>39</v>
      </c>
      <c r="G379" s="3" t="s">
        <v>718</v>
      </c>
      <c r="H379" s="3" t="s">
        <v>38</v>
      </c>
      <c r="I379" s="3" t="s">
        <v>343</v>
      </c>
    </row>
    <row r="380" spans="2:9">
      <c r="B380" s="3" t="s">
        <v>137</v>
      </c>
      <c r="C380" s="3" t="s">
        <v>154</v>
      </c>
      <c r="D380" s="3" t="s">
        <v>39</v>
      </c>
      <c r="E380" s="3" t="s">
        <v>39</v>
      </c>
      <c r="F380" s="3" t="s">
        <v>39</v>
      </c>
      <c r="G380" s="3" t="s">
        <v>719</v>
      </c>
      <c r="H380" s="3" t="s">
        <v>38</v>
      </c>
      <c r="I380" s="3" t="s">
        <v>343</v>
      </c>
    </row>
    <row r="381" spans="2:9">
      <c r="B381" s="3" t="s">
        <v>147</v>
      </c>
      <c r="C381" s="3" t="s">
        <v>154</v>
      </c>
      <c r="D381" s="3" t="s">
        <v>39</v>
      </c>
      <c r="E381" s="3" t="s">
        <v>39</v>
      </c>
      <c r="F381" s="3" t="s">
        <v>39</v>
      </c>
      <c r="G381" s="3" t="s">
        <v>720</v>
      </c>
      <c r="H381" s="3" t="s">
        <v>38</v>
      </c>
      <c r="I381" s="3" t="s">
        <v>343</v>
      </c>
    </row>
    <row r="382" spans="2:9">
      <c r="B382" s="3" t="s">
        <v>134</v>
      </c>
      <c r="C382" s="3" t="s">
        <v>154</v>
      </c>
      <c r="D382" s="3" t="s">
        <v>39</v>
      </c>
      <c r="E382" s="3" t="s">
        <v>39</v>
      </c>
      <c r="F382" s="3" t="s">
        <v>39</v>
      </c>
      <c r="G382" s="3" t="s">
        <v>721</v>
      </c>
      <c r="H382" s="3" t="s">
        <v>38</v>
      </c>
      <c r="I382" s="3" t="s">
        <v>343</v>
      </c>
    </row>
    <row r="383" spans="2:9">
      <c r="B383" s="3" t="s">
        <v>135</v>
      </c>
      <c r="C383" s="3" t="s">
        <v>154</v>
      </c>
      <c r="D383" s="3" t="s">
        <v>39</v>
      </c>
      <c r="E383" s="3" t="s">
        <v>39</v>
      </c>
      <c r="F383" s="3" t="s">
        <v>39</v>
      </c>
      <c r="G383" s="3" t="s">
        <v>722</v>
      </c>
      <c r="H383" s="3" t="s">
        <v>38</v>
      </c>
      <c r="I383" s="3" t="s">
        <v>343</v>
      </c>
    </row>
    <row r="384" spans="2:9">
      <c r="B384" s="3" t="s">
        <v>142</v>
      </c>
      <c r="C384" s="3" t="s">
        <v>154</v>
      </c>
      <c r="D384" s="3" t="s">
        <v>39</v>
      </c>
      <c r="E384" s="3" t="s">
        <v>39</v>
      </c>
      <c r="F384" s="3" t="s">
        <v>39</v>
      </c>
      <c r="G384" s="3" t="s">
        <v>723</v>
      </c>
      <c r="H384" s="3" t="s">
        <v>38</v>
      </c>
      <c r="I384" s="3" t="s">
        <v>343</v>
      </c>
    </row>
    <row r="385" spans="2:9">
      <c r="B385" s="3" t="s">
        <v>143</v>
      </c>
      <c r="C385" s="3" t="s">
        <v>154</v>
      </c>
      <c r="D385" s="3" t="s">
        <v>39</v>
      </c>
      <c r="E385" s="3" t="s">
        <v>39</v>
      </c>
      <c r="F385" s="3" t="s">
        <v>39</v>
      </c>
      <c r="G385" s="3" t="s">
        <v>724</v>
      </c>
      <c r="H385" s="3" t="s">
        <v>38</v>
      </c>
      <c r="I385" s="3" t="s">
        <v>343</v>
      </c>
    </row>
    <row r="386" spans="2:9">
      <c r="B386" s="3" t="s">
        <v>145</v>
      </c>
      <c r="C386" s="3" t="s">
        <v>154</v>
      </c>
      <c r="D386" s="3" t="s">
        <v>39</v>
      </c>
      <c r="E386" s="3" t="s">
        <v>39</v>
      </c>
      <c r="F386" s="3" t="s">
        <v>39</v>
      </c>
      <c r="G386" s="3" t="s">
        <v>725</v>
      </c>
      <c r="H386" s="3" t="s">
        <v>38</v>
      </c>
      <c r="I386" s="3" t="s">
        <v>343</v>
      </c>
    </row>
    <row r="387" spans="2:9">
      <c r="B387" s="3" t="s">
        <v>140</v>
      </c>
      <c r="C387" s="3" t="s">
        <v>154</v>
      </c>
      <c r="D387" s="3" t="s">
        <v>39</v>
      </c>
      <c r="E387" s="3" t="s">
        <v>39</v>
      </c>
      <c r="F387" s="3" t="s">
        <v>39</v>
      </c>
      <c r="G387" s="3" t="s">
        <v>726</v>
      </c>
      <c r="H387" s="3" t="s">
        <v>38</v>
      </c>
      <c r="I387" s="3" t="s">
        <v>343</v>
      </c>
    </row>
    <row r="388" spans="2:9">
      <c r="B388" s="3" t="s">
        <v>141</v>
      </c>
      <c r="C388" s="3" t="s">
        <v>154</v>
      </c>
      <c r="D388" s="3" t="s">
        <v>39</v>
      </c>
      <c r="E388" s="3" t="s">
        <v>39</v>
      </c>
      <c r="F388" s="3" t="s">
        <v>39</v>
      </c>
      <c r="G388" s="3" t="s">
        <v>727</v>
      </c>
      <c r="H388" s="3" t="s">
        <v>38</v>
      </c>
      <c r="I388" s="3" t="s">
        <v>343</v>
      </c>
    </row>
    <row r="389" spans="2:9">
      <c r="B389" s="3" t="s">
        <v>148</v>
      </c>
      <c r="C389" s="3" t="s">
        <v>154</v>
      </c>
      <c r="D389" s="3" t="s">
        <v>39</v>
      </c>
      <c r="E389" s="3" t="s">
        <v>39</v>
      </c>
      <c r="F389" s="3" t="s">
        <v>39</v>
      </c>
      <c r="G389" s="3" t="s">
        <v>728</v>
      </c>
      <c r="H389" s="3" t="s">
        <v>38</v>
      </c>
      <c r="I389" s="3" t="s">
        <v>343</v>
      </c>
    </row>
    <row r="390" spans="2:9">
      <c r="B390" s="3" t="s">
        <v>116</v>
      </c>
      <c r="C390" s="3" t="s">
        <v>154</v>
      </c>
      <c r="D390" s="3" t="s">
        <v>39</v>
      </c>
      <c r="E390" s="3" t="s">
        <v>39</v>
      </c>
      <c r="F390" s="3" t="s">
        <v>39</v>
      </c>
      <c r="G390" s="3" t="s">
        <v>729</v>
      </c>
      <c r="H390" s="3" t="s">
        <v>38</v>
      </c>
      <c r="I390" s="3" t="s">
        <v>343</v>
      </c>
    </row>
    <row r="391" spans="2:9">
      <c r="B391" s="3" t="s">
        <v>136</v>
      </c>
      <c r="C391" s="3" t="s">
        <v>154</v>
      </c>
      <c r="D391" s="3" t="s">
        <v>39</v>
      </c>
      <c r="E391" s="3" t="s">
        <v>39</v>
      </c>
      <c r="F391" s="3" t="s">
        <v>39</v>
      </c>
      <c r="G391" s="3" t="s">
        <v>730</v>
      </c>
      <c r="H391" s="3" t="s">
        <v>38</v>
      </c>
      <c r="I391" s="3" t="s">
        <v>343</v>
      </c>
    </row>
    <row r="392" spans="2:9">
      <c r="B392" s="3" t="s">
        <v>152</v>
      </c>
      <c r="C392" s="3" t="s">
        <v>154</v>
      </c>
      <c r="D392" s="3" t="s">
        <v>39</v>
      </c>
      <c r="E392" s="3" t="s">
        <v>39</v>
      </c>
      <c r="F392" s="3" t="s">
        <v>39</v>
      </c>
      <c r="G392" s="3" t="s">
        <v>731</v>
      </c>
      <c r="H392" s="3" t="s">
        <v>38</v>
      </c>
      <c r="I392" s="3" t="s">
        <v>343</v>
      </c>
    </row>
    <row r="393" spans="2:9">
      <c r="B393" s="3" t="s">
        <v>29</v>
      </c>
      <c r="C393" s="3" t="s">
        <v>154</v>
      </c>
      <c r="D393" s="3" t="s">
        <v>39</v>
      </c>
      <c r="E393" s="3" t="s">
        <v>39</v>
      </c>
      <c r="F393" s="3" t="s">
        <v>39</v>
      </c>
      <c r="G393" s="3" t="s">
        <v>732</v>
      </c>
      <c r="H393" s="3" t="s">
        <v>38</v>
      </c>
      <c r="I393" s="3" t="s">
        <v>343</v>
      </c>
    </row>
    <row r="394" spans="2:9">
      <c r="B394" s="3" t="s">
        <v>155</v>
      </c>
      <c r="C394" s="3" t="s">
        <v>154</v>
      </c>
      <c r="D394" s="3" t="s">
        <v>39</v>
      </c>
      <c r="E394" s="3" t="s">
        <v>39</v>
      </c>
      <c r="F394" s="3" t="s">
        <v>39</v>
      </c>
      <c r="G394" s="3" t="s">
        <v>733</v>
      </c>
      <c r="H394" s="3" t="s">
        <v>38</v>
      </c>
      <c r="I394" s="3" t="s">
        <v>343</v>
      </c>
    </row>
    <row r="395" spans="2:9">
      <c r="B395" s="3" t="s">
        <v>139</v>
      </c>
      <c r="C395" s="3" t="s">
        <v>154</v>
      </c>
      <c r="D395" s="3" t="s">
        <v>39</v>
      </c>
      <c r="E395" s="3" t="s">
        <v>39</v>
      </c>
      <c r="F395" s="3" t="s">
        <v>39</v>
      </c>
      <c r="G395" s="3" t="s">
        <v>734</v>
      </c>
      <c r="H395" s="3" t="s">
        <v>38</v>
      </c>
      <c r="I395" s="3" t="s">
        <v>343</v>
      </c>
    </row>
    <row r="396" spans="2:9">
      <c r="B396" s="3" t="s">
        <v>138</v>
      </c>
      <c r="C396" s="3" t="s">
        <v>146</v>
      </c>
      <c r="D396" s="3" t="s">
        <v>39</v>
      </c>
      <c r="E396" s="3" t="s">
        <v>39</v>
      </c>
      <c r="F396" s="3" t="s">
        <v>39</v>
      </c>
      <c r="G396" s="3" t="s">
        <v>735</v>
      </c>
      <c r="H396" s="3" t="s">
        <v>38</v>
      </c>
      <c r="I396" s="3" t="s">
        <v>343</v>
      </c>
    </row>
    <row r="397" spans="2:9">
      <c r="B397" s="3" t="s">
        <v>149</v>
      </c>
      <c r="C397" s="3" t="s">
        <v>146</v>
      </c>
      <c r="D397" s="3" t="s">
        <v>39</v>
      </c>
      <c r="E397" s="3" t="s">
        <v>39</v>
      </c>
      <c r="F397" s="3" t="s">
        <v>39</v>
      </c>
      <c r="G397" s="3" t="s">
        <v>736</v>
      </c>
      <c r="H397" s="3" t="s">
        <v>38</v>
      </c>
      <c r="I397" s="3" t="s">
        <v>343</v>
      </c>
    </row>
    <row r="398" spans="2:9">
      <c r="B398" s="3" t="s">
        <v>132</v>
      </c>
      <c r="C398" s="3" t="s">
        <v>146</v>
      </c>
      <c r="D398" s="3" t="s">
        <v>39</v>
      </c>
      <c r="E398" s="3" t="s">
        <v>39</v>
      </c>
      <c r="F398" s="3" t="s">
        <v>39</v>
      </c>
      <c r="G398" s="3" t="s">
        <v>737</v>
      </c>
      <c r="H398" s="3" t="s">
        <v>38</v>
      </c>
      <c r="I398" s="3" t="s">
        <v>343</v>
      </c>
    </row>
    <row r="399" spans="2:9">
      <c r="B399" s="3" t="s">
        <v>133</v>
      </c>
      <c r="C399" s="3" t="s">
        <v>146</v>
      </c>
      <c r="D399" s="3" t="s">
        <v>39</v>
      </c>
      <c r="E399" s="3" t="s">
        <v>39</v>
      </c>
      <c r="F399" s="3" t="s">
        <v>39</v>
      </c>
      <c r="G399" s="3" t="s">
        <v>738</v>
      </c>
      <c r="H399" s="3" t="s">
        <v>38</v>
      </c>
      <c r="I399" s="3" t="s">
        <v>343</v>
      </c>
    </row>
    <row r="400" spans="2:9">
      <c r="B400" s="3" t="s">
        <v>28</v>
      </c>
      <c r="C400" s="3" t="s">
        <v>146</v>
      </c>
      <c r="D400" s="3" t="s">
        <v>39</v>
      </c>
      <c r="E400" s="3" t="s">
        <v>39</v>
      </c>
      <c r="F400" s="3" t="s">
        <v>39</v>
      </c>
      <c r="G400" s="3" t="s">
        <v>739</v>
      </c>
      <c r="H400" s="3" t="s">
        <v>38</v>
      </c>
      <c r="I400" s="3" t="s">
        <v>343</v>
      </c>
    </row>
    <row r="401" spans="2:9">
      <c r="B401" s="3" t="s">
        <v>150</v>
      </c>
      <c r="C401" s="3" t="s">
        <v>146</v>
      </c>
      <c r="D401" s="3" t="s">
        <v>39</v>
      </c>
      <c r="E401" s="3" t="s">
        <v>39</v>
      </c>
      <c r="F401" s="3" t="s">
        <v>39</v>
      </c>
      <c r="G401" s="3" t="s">
        <v>740</v>
      </c>
      <c r="H401" s="3" t="s">
        <v>38</v>
      </c>
      <c r="I401" s="3" t="s">
        <v>343</v>
      </c>
    </row>
    <row r="402" spans="2:9">
      <c r="B402" s="3" t="s">
        <v>151</v>
      </c>
      <c r="C402" s="3" t="s">
        <v>146</v>
      </c>
      <c r="D402" s="3" t="s">
        <v>39</v>
      </c>
      <c r="E402" s="3" t="s">
        <v>39</v>
      </c>
      <c r="F402" s="3" t="s">
        <v>39</v>
      </c>
      <c r="G402" s="3" t="s">
        <v>741</v>
      </c>
      <c r="H402" s="3" t="s">
        <v>38</v>
      </c>
      <c r="I402" s="3" t="s">
        <v>343</v>
      </c>
    </row>
    <row r="403" spans="2:9">
      <c r="B403" s="3" t="s">
        <v>153</v>
      </c>
      <c r="C403" s="3" t="s">
        <v>146</v>
      </c>
      <c r="D403" s="3" t="s">
        <v>39</v>
      </c>
      <c r="E403" s="3" t="s">
        <v>39</v>
      </c>
      <c r="F403" s="3" t="s">
        <v>39</v>
      </c>
      <c r="G403" s="3" t="s">
        <v>742</v>
      </c>
      <c r="H403" s="3" t="s">
        <v>38</v>
      </c>
      <c r="I403" s="3" t="s">
        <v>343</v>
      </c>
    </row>
    <row r="404" spans="2:9">
      <c r="B404" s="3" t="s">
        <v>154</v>
      </c>
      <c r="C404" s="3" t="s">
        <v>146</v>
      </c>
      <c r="D404" s="3" t="s">
        <v>39</v>
      </c>
      <c r="E404" s="3" t="s">
        <v>39</v>
      </c>
      <c r="F404" s="3" t="s">
        <v>39</v>
      </c>
      <c r="G404" s="3" t="s">
        <v>743</v>
      </c>
      <c r="H404" s="3" t="s">
        <v>38</v>
      </c>
      <c r="I404" s="3" t="s">
        <v>343</v>
      </c>
    </row>
    <row r="405" spans="2:9">
      <c r="B405" s="3" t="s">
        <v>156</v>
      </c>
      <c r="C405" s="3" t="s">
        <v>146</v>
      </c>
      <c r="D405" s="3" t="s">
        <v>39</v>
      </c>
      <c r="E405" s="3" t="s">
        <v>39</v>
      </c>
      <c r="F405" s="3" t="s">
        <v>39</v>
      </c>
      <c r="G405" s="3" t="s">
        <v>744</v>
      </c>
      <c r="H405" s="3" t="s">
        <v>38</v>
      </c>
      <c r="I405" s="3" t="s">
        <v>343</v>
      </c>
    </row>
    <row r="406" spans="2:9">
      <c r="B406" s="3" t="s">
        <v>27</v>
      </c>
      <c r="C406" s="3" t="s">
        <v>146</v>
      </c>
      <c r="D406" s="3" t="s">
        <v>39</v>
      </c>
      <c r="E406" s="3" t="s">
        <v>39</v>
      </c>
      <c r="F406" s="3" t="s">
        <v>39</v>
      </c>
      <c r="G406" s="3" t="s">
        <v>745</v>
      </c>
      <c r="H406" s="3" t="s">
        <v>38</v>
      </c>
      <c r="I406" s="3" t="s">
        <v>343</v>
      </c>
    </row>
    <row r="407" spans="2:9">
      <c r="B407" s="3" t="s">
        <v>144</v>
      </c>
      <c r="C407" s="3" t="s">
        <v>146</v>
      </c>
      <c r="D407" s="3" t="s">
        <v>39</v>
      </c>
      <c r="E407" s="3" t="s">
        <v>39</v>
      </c>
      <c r="F407" s="3" t="s">
        <v>39</v>
      </c>
      <c r="G407" s="3" t="s">
        <v>746</v>
      </c>
      <c r="H407" s="3" t="s">
        <v>38</v>
      </c>
      <c r="I407" s="3" t="s">
        <v>343</v>
      </c>
    </row>
    <row r="408" spans="2:9">
      <c r="B408" s="3" t="s">
        <v>137</v>
      </c>
      <c r="C408" s="3" t="s">
        <v>146</v>
      </c>
      <c r="D408" s="3" t="s">
        <v>39</v>
      </c>
      <c r="E408" s="3" t="s">
        <v>39</v>
      </c>
      <c r="F408" s="3" t="s">
        <v>39</v>
      </c>
      <c r="G408" s="3" t="s">
        <v>747</v>
      </c>
      <c r="H408" s="3" t="s">
        <v>38</v>
      </c>
      <c r="I408" s="3" t="s">
        <v>343</v>
      </c>
    </row>
    <row r="409" spans="2:9">
      <c r="B409" s="3" t="s">
        <v>147</v>
      </c>
      <c r="C409" s="3" t="s">
        <v>146</v>
      </c>
      <c r="D409" s="3" t="s">
        <v>39</v>
      </c>
      <c r="E409" s="3" t="s">
        <v>39</v>
      </c>
      <c r="F409" s="3" t="s">
        <v>39</v>
      </c>
      <c r="G409" s="3" t="s">
        <v>748</v>
      </c>
      <c r="H409" s="3" t="s">
        <v>38</v>
      </c>
      <c r="I409" s="3" t="s">
        <v>343</v>
      </c>
    </row>
    <row r="410" spans="2:9">
      <c r="B410" s="3" t="s">
        <v>134</v>
      </c>
      <c r="C410" s="3" t="s">
        <v>146</v>
      </c>
      <c r="D410" s="3" t="s">
        <v>39</v>
      </c>
      <c r="E410" s="3" t="s">
        <v>39</v>
      </c>
      <c r="F410" s="3" t="s">
        <v>39</v>
      </c>
      <c r="G410" s="3" t="s">
        <v>749</v>
      </c>
      <c r="H410" s="3" t="s">
        <v>38</v>
      </c>
      <c r="I410" s="3" t="s">
        <v>343</v>
      </c>
    </row>
    <row r="411" spans="2:9">
      <c r="B411" s="3" t="s">
        <v>135</v>
      </c>
      <c r="C411" s="3" t="s">
        <v>146</v>
      </c>
      <c r="D411" s="3" t="s">
        <v>39</v>
      </c>
      <c r="E411" s="3" t="s">
        <v>39</v>
      </c>
      <c r="F411" s="3" t="s">
        <v>39</v>
      </c>
      <c r="G411" s="3" t="s">
        <v>750</v>
      </c>
      <c r="H411" s="3" t="s">
        <v>38</v>
      </c>
      <c r="I411" s="3" t="s">
        <v>343</v>
      </c>
    </row>
    <row r="412" spans="2:9">
      <c r="B412" s="3" t="s">
        <v>142</v>
      </c>
      <c r="C412" s="3" t="s">
        <v>146</v>
      </c>
      <c r="D412" s="3" t="s">
        <v>39</v>
      </c>
      <c r="E412" s="3" t="s">
        <v>39</v>
      </c>
      <c r="F412" s="3" t="s">
        <v>39</v>
      </c>
      <c r="G412" s="3" t="s">
        <v>751</v>
      </c>
      <c r="H412" s="3" t="s">
        <v>38</v>
      </c>
      <c r="I412" s="3" t="s">
        <v>343</v>
      </c>
    </row>
    <row r="413" spans="2:9">
      <c r="B413" s="3" t="s">
        <v>143</v>
      </c>
      <c r="C413" s="3" t="s">
        <v>146</v>
      </c>
      <c r="D413" s="3" t="s">
        <v>39</v>
      </c>
      <c r="E413" s="3" t="s">
        <v>39</v>
      </c>
      <c r="F413" s="3" t="s">
        <v>39</v>
      </c>
      <c r="G413" s="3" t="s">
        <v>752</v>
      </c>
      <c r="H413" s="3" t="s">
        <v>38</v>
      </c>
      <c r="I413" s="3" t="s">
        <v>343</v>
      </c>
    </row>
    <row r="414" spans="2:9">
      <c r="B414" s="3" t="s">
        <v>145</v>
      </c>
      <c r="C414" s="3" t="s">
        <v>146</v>
      </c>
      <c r="D414" s="3" t="s">
        <v>39</v>
      </c>
      <c r="E414" s="3" t="s">
        <v>39</v>
      </c>
      <c r="F414" s="3" t="s">
        <v>39</v>
      </c>
      <c r="G414" s="3" t="s">
        <v>753</v>
      </c>
      <c r="H414" s="3" t="s">
        <v>38</v>
      </c>
      <c r="I414" s="3" t="s">
        <v>343</v>
      </c>
    </row>
    <row r="415" spans="2:9">
      <c r="B415" s="3" t="s">
        <v>140</v>
      </c>
      <c r="C415" s="3" t="s">
        <v>146</v>
      </c>
      <c r="D415" s="3" t="s">
        <v>39</v>
      </c>
      <c r="E415" s="3" t="s">
        <v>39</v>
      </c>
      <c r="F415" s="3" t="s">
        <v>39</v>
      </c>
      <c r="G415" s="3" t="s">
        <v>754</v>
      </c>
      <c r="H415" s="3" t="s">
        <v>38</v>
      </c>
      <c r="I415" s="3" t="s">
        <v>343</v>
      </c>
    </row>
    <row r="416" spans="2:9">
      <c r="B416" s="3" t="s">
        <v>141</v>
      </c>
      <c r="C416" s="3" t="s">
        <v>146</v>
      </c>
      <c r="D416" s="3" t="s">
        <v>39</v>
      </c>
      <c r="E416" s="3" t="s">
        <v>39</v>
      </c>
      <c r="F416" s="3" t="s">
        <v>39</v>
      </c>
      <c r="G416" s="3" t="s">
        <v>755</v>
      </c>
      <c r="H416" s="3" t="s">
        <v>38</v>
      </c>
      <c r="I416" s="3" t="s">
        <v>343</v>
      </c>
    </row>
    <row r="417" spans="2:9">
      <c r="B417" s="3" t="s">
        <v>148</v>
      </c>
      <c r="C417" s="3" t="s">
        <v>146</v>
      </c>
      <c r="D417" s="3" t="s">
        <v>39</v>
      </c>
      <c r="E417" s="3" t="s">
        <v>39</v>
      </c>
      <c r="F417" s="3" t="s">
        <v>39</v>
      </c>
      <c r="G417" s="3" t="s">
        <v>756</v>
      </c>
      <c r="H417" s="3" t="s">
        <v>38</v>
      </c>
      <c r="I417" s="3" t="s">
        <v>343</v>
      </c>
    </row>
    <row r="418" spans="2:9">
      <c r="B418" s="3" t="s">
        <v>116</v>
      </c>
      <c r="C418" s="3" t="s">
        <v>146</v>
      </c>
      <c r="D418" s="3" t="s">
        <v>39</v>
      </c>
      <c r="E418" s="3" t="s">
        <v>39</v>
      </c>
      <c r="F418" s="3" t="s">
        <v>39</v>
      </c>
      <c r="G418" s="3" t="s">
        <v>757</v>
      </c>
      <c r="H418" s="3" t="s">
        <v>38</v>
      </c>
      <c r="I418" s="3" t="s">
        <v>343</v>
      </c>
    </row>
    <row r="419" spans="2:9">
      <c r="B419" s="3" t="s">
        <v>136</v>
      </c>
      <c r="C419" s="3" t="s">
        <v>146</v>
      </c>
      <c r="D419" s="3" t="s">
        <v>39</v>
      </c>
      <c r="E419" s="3" t="s">
        <v>39</v>
      </c>
      <c r="F419" s="3" t="s">
        <v>39</v>
      </c>
      <c r="G419" s="3" t="s">
        <v>758</v>
      </c>
      <c r="H419" s="3" t="s">
        <v>38</v>
      </c>
      <c r="I419" s="3" t="s">
        <v>343</v>
      </c>
    </row>
    <row r="420" spans="2:9">
      <c r="B420" s="3" t="s">
        <v>152</v>
      </c>
      <c r="C420" s="3" t="s">
        <v>146</v>
      </c>
      <c r="D420" s="3" t="s">
        <v>39</v>
      </c>
      <c r="E420" s="3" t="s">
        <v>39</v>
      </c>
      <c r="F420" s="3" t="s">
        <v>39</v>
      </c>
      <c r="G420" s="3" t="s">
        <v>759</v>
      </c>
      <c r="H420" s="3" t="s">
        <v>38</v>
      </c>
      <c r="I420" s="3" t="s">
        <v>343</v>
      </c>
    </row>
    <row r="421" spans="2:9">
      <c r="B421" s="3" t="s">
        <v>29</v>
      </c>
      <c r="C421" s="3" t="s">
        <v>146</v>
      </c>
      <c r="D421" s="3" t="s">
        <v>39</v>
      </c>
      <c r="E421" s="3" t="s">
        <v>39</v>
      </c>
      <c r="F421" s="3" t="s">
        <v>39</v>
      </c>
      <c r="G421" s="3" t="s">
        <v>760</v>
      </c>
      <c r="H421" s="3" t="s">
        <v>38</v>
      </c>
      <c r="I421" s="3" t="s">
        <v>343</v>
      </c>
    </row>
    <row r="422" spans="2:9">
      <c r="B422" s="3" t="s">
        <v>155</v>
      </c>
      <c r="C422" s="3" t="s">
        <v>146</v>
      </c>
      <c r="D422" s="3" t="s">
        <v>39</v>
      </c>
      <c r="E422" s="3" t="s">
        <v>39</v>
      </c>
      <c r="F422" s="3" t="s">
        <v>39</v>
      </c>
      <c r="G422" s="3" t="s">
        <v>761</v>
      </c>
      <c r="H422" s="3" t="s">
        <v>38</v>
      </c>
      <c r="I422" s="3" t="s">
        <v>343</v>
      </c>
    </row>
    <row r="423" spans="2:9">
      <c r="B423" s="3" t="s">
        <v>139</v>
      </c>
      <c r="C423" s="3" t="s">
        <v>146</v>
      </c>
      <c r="D423" s="3" t="s">
        <v>39</v>
      </c>
      <c r="E423" s="3" t="s">
        <v>39</v>
      </c>
      <c r="F423" s="3" t="s">
        <v>39</v>
      </c>
      <c r="G423" s="3" t="s">
        <v>762</v>
      </c>
      <c r="H423" s="3" t="s">
        <v>38</v>
      </c>
      <c r="I423" s="3" t="s">
        <v>343</v>
      </c>
    </row>
    <row r="424" spans="2:9">
      <c r="B424" s="3" t="s">
        <v>138</v>
      </c>
      <c r="C424" s="3" t="s">
        <v>155</v>
      </c>
      <c r="D424" s="3" t="s">
        <v>39</v>
      </c>
      <c r="E424" s="3" t="s">
        <v>39</v>
      </c>
      <c r="F424" s="3" t="s">
        <v>39</v>
      </c>
      <c r="G424" s="3" t="s">
        <v>763</v>
      </c>
      <c r="H424" s="3" t="s">
        <v>38</v>
      </c>
      <c r="I424" s="3" t="s">
        <v>343</v>
      </c>
    </row>
    <row r="425" spans="2:9">
      <c r="B425" s="3" t="s">
        <v>149</v>
      </c>
      <c r="C425" s="3" t="s">
        <v>155</v>
      </c>
      <c r="D425" s="3" t="s">
        <v>39</v>
      </c>
      <c r="E425" s="3" t="s">
        <v>39</v>
      </c>
      <c r="F425" s="3" t="s">
        <v>39</v>
      </c>
      <c r="G425" s="3" t="s">
        <v>764</v>
      </c>
      <c r="H425" s="3" t="s">
        <v>38</v>
      </c>
      <c r="I425" s="3" t="s">
        <v>343</v>
      </c>
    </row>
    <row r="426" spans="2:9">
      <c r="B426" s="3" t="s">
        <v>132</v>
      </c>
      <c r="C426" s="3" t="s">
        <v>155</v>
      </c>
      <c r="D426" s="3" t="s">
        <v>39</v>
      </c>
      <c r="E426" s="3" t="s">
        <v>39</v>
      </c>
      <c r="F426" s="3" t="s">
        <v>39</v>
      </c>
      <c r="G426" s="3" t="s">
        <v>765</v>
      </c>
      <c r="H426" s="3" t="s">
        <v>38</v>
      </c>
      <c r="I426" s="3" t="s">
        <v>343</v>
      </c>
    </row>
    <row r="427" spans="2:9">
      <c r="B427" s="3" t="s">
        <v>133</v>
      </c>
      <c r="C427" s="3" t="s">
        <v>155</v>
      </c>
      <c r="D427" s="3" t="s">
        <v>39</v>
      </c>
      <c r="E427" s="3" t="s">
        <v>39</v>
      </c>
      <c r="F427" s="3" t="s">
        <v>39</v>
      </c>
      <c r="G427" s="3" t="s">
        <v>766</v>
      </c>
      <c r="H427" s="3" t="s">
        <v>38</v>
      </c>
      <c r="I427" s="3" t="s">
        <v>343</v>
      </c>
    </row>
    <row r="428" spans="2:9">
      <c r="B428" s="3" t="s">
        <v>28</v>
      </c>
      <c r="C428" s="3" t="s">
        <v>155</v>
      </c>
      <c r="D428" s="3" t="s">
        <v>39</v>
      </c>
      <c r="E428" s="3" t="s">
        <v>39</v>
      </c>
      <c r="F428" s="3" t="s">
        <v>39</v>
      </c>
      <c r="G428" s="3" t="s">
        <v>767</v>
      </c>
      <c r="H428" s="3" t="s">
        <v>38</v>
      </c>
      <c r="I428" s="3" t="s">
        <v>343</v>
      </c>
    </row>
    <row r="429" spans="2:9">
      <c r="B429" s="3" t="s">
        <v>150</v>
      </c>
      <c r="C429" s="3" t="s">
        <v>155</v>
      </c>
      <c r="D429" s="3" t="s">
        <v>39</v>
      </c>
      <c r="E429" s="3" t="s">
        <v>39</v>
      </c>
      <c r="F429" s="3" t="s">
        <v>39</v>
      </c>
      <c r="G429" s="3" t="s">
        <v>768</v>
      </c>
      <c r="H429" s="3" t="s">
        <v>38</v>
      </c>
      <c r="I429" s="3" t="s">
        <v>343</v>
      </c>
    </row>
    <row r="430" spans="2:9">
      <c r="B430" s="3" t="s">
        <v>151</v>
      </c>
      <c r="C430" s="3" t="s">
        <v>155</v>
      </c>
      <c r="D430" s="3" t="s">
        <v>39</v>
      </c>
      <c r="E430" s="3" t="s">
        <v>39</v>
      </c>
      <c r="F430" s="3" t="s">
        <v>39</v>
      </c>
      <c r="G430" s="3" t="s">
        <v>769</v>
      </c>
      <c r="H430" s="3" t="s">
        <v>38</v>
      </c>
      <c r="I430" s="3" t="s">
        <v>343</v>
      </c>
    </row>
    <row r="431" spans="2:9">
      <c r="B431" s="3" t="s">
        <v>153</v>
      </c>
      <c r="C431" s="3" t="s">
        <v>155</v>
      </c>
      <c r="D431" s="3" t="s">
        <v>39</v>
      </c>
      <c r="E431" s="3" t="s">
        <v>39</v>
      </c>
      <c r="F431" s="3" t="s">
        <v>39</v>
      </c>
      <c r="G431" s="3" t="s">
        <v>770</v>
      </c>
      <c r="H431" s="3" t="s">
        <v>38</v>
      </c>
      <c r="I431" s="3" t="s">
        <v>343</v>
      </c>
    </row>
    <row r="432" spans="2:9">
      <c r="B432" s="3" t="s">
        <v>154</v>
      </c>
      <c r="C432" s="3" t="s">
        <v>155</v>
      </c>
      <c r="D432" s="3" t="s">
        <v>39</v>
      </c>
      <c r="E432" s="3" t="s">
        <v>39</v>
      </c>
      <c r="F432" s="3" t="s">
        <v>39</v>
      </c>
      <c r="G432" s="3" t="s">
        <v>771</v>
      </c>
      <c r="H432" s="3" t="s">
        <v>38</v>
      </c>
      <c r="I432" s="3" t="s">
        <v>343</v>
      </c>
    </row>
    <row r="433" spans="2:9">
      <c r="B433" s="3" t="s">
        <v>146</v>
      </c>
      <c r="C433" s="3" t="s">
        <v>155</v>
      </c>
      <c r="D433" s="3" t="s">
        <v>39</v>
      </c>
      <c r="E433" s="3" t="s">
        <v>39</v>
      </c>
      <c r="F433" s="3" t="s">
        <v>39</v>
      </c>
      <c r="G433" s="3" t="s">
        <v>772</v>
      </c>
      <c r="H433" s="3" t="s">
        <v>38</v>
      </c>
      <c r="I433" s="3" t="s">
        <v>343</v>
      </c>
    </row>
    <row r="434" spans="2:9">
      <c r="B434" s="3" t="s">
        <v>156</v>
      </c>
      <c r="C434" s="3" t="s">
        <v>155</v>
      </c>
      <c r="D434" s="3" t="s">
        <v>39</v>
      </c>
      <c r="E434" s="3" t="s">
        <v>39</v>
      </c>
      <c r="F434" s="3" t="s">
        <v>39</v>
      </c>
      <c r="G434" s="3" t="s">
        <v>773</v>
      </c>
      <c r="H434" s="3" t="s">
        <v>38</v>
      </c>
      <c r="I434" s="3" t="s">
        <v>343</v>
      </c>
    </row>
    <row r="435" spans="2:9">
      <c r="B435" s="3" t="s">
        <v>27</v>
      </c>
      <c r="C435" s="3" t="s">
        <v>155</v>
      </c>
      <c r="D435" s="3" t="s">
        <v>39</v>
      </c>
      <c r="E435" s="3" t="s">
        <v>39</v>
      </c>
      <c r="F435" s="3" t="s">
        <v>39</v>
      </c>
      <c r="G435" s="3" t="s">
        <v>774</v>
      </c>
      <c r="H435" s="3" t="s">
        <v>38</v>
      </c>
      <c r="I435" s="3" t="s">
        <v>343</v>
      </c>
    </row>
    <row r="436" spans="2:9">
      <c r="B436" s="3" t="s">
        <v>144</v>
      </c>
      <c r="C436" s="3" t="s">
        <v>155</v>
      </c>
      <c r="D436" s="3" t="s">
        <v>39</v>
      </c>
      <c r="E436" s="3" t="s">
        <v>39</v>
      </c>
      <c r="F436" s="3" t="s">
        <v>39</v>
      </c>
      <c r="G436" s="3" t="s">
        <v>775</v>
      </c>
      <c r="H436" s="3" t="s">
        <v>38</v>
      </c>
      <c r="I436" s="3" t="s">
        <v>343</v>
      </c>
    </row>
    <row r="437" spans="2:9">
      <c r="B437" s="3" t="s">
        <v>137</v>
      </c>
      <c r="C437" s="3" t="s">
        <v>155</v>
      </c>
      <c r="D437" s="3" t="s">
        <v>39</v>
      </c>
      <c r="E437" s="3" t="s">
        <v>39</v>
      </c>
      <c r="F437" s="3" t="s">
        <v>39</v>
      </c>
      <c r="G437" s="3" t="s">
        <v>776</v>
      </c>
      <c r="H437" s="3" t="s">
        <v>38</v>
      </c>
      <c r="I437" s="3" t="s">
        <v>343</v>
      </c>
    </row>
    <row r="438" spans="2:9">
      <c r="B438" s="3" t="s">
        <v>147</v>
      </c>
      <c r="C438" s="3" t="s">
        <v>155</v>
      </c>
      <c r="D438" s="3" t="s">
        <v>39</v>
      </c>
      <c r="E438" s="3" t="s">
        <v>39</v>
      </c>
      <c r="F438" s="3" t="s">
        <v>39</v>
      </c>
      <c r="G438" s="3" t="s">
        <v>777</v>
      </c>
      <c r="H438" s="3" t="s">
        <v>38</v>
      </c>
      <c r="I438" s="3" t="s">
        <v>343</v>
      </c>
    </row>
    <row r="439" spans="2:9">
      <c r="B439" s="3" t="s">
        <v>134</v>
      </c>
      <c r="C439" s="3" t="s">
        <v>155</v>
      </c>
      <c r="D439" s="3" t="s">
        <v>39</v>
      </c>
      <c r="E439" s="3" t="s">
        <v>39</v>
      </c>
      <c r="F439" s="3" t="s">
        <v>39</v>
      </c>
      <c r="G439" s="3" t="s">
        <v>778</v>
      </c>
      <c r="H439" s="3" t="s">
        <v>38</v>
      </c>
      <c r="I439" s="3" t="s">
        <v>343</v>
      </c>
    </row>
    <row r="440" spans="2:9">
      <c r="B440" s="3" t="s">
        <v>135</v>
      </c>
      <c r="C440" s="3" t="s">
        <v>155</v>
      </c>
      <c r="D440" s="3" t="s">
        <v>39</v>
      </c>
      <c r="E440" s="3" t="s">
        <v>39</v>
      </c>
      <c r="F440" s="3" t="s">
        <v>39</v>
      </c>
      <c r="G440" s="3" t="s">
        <v>779</v>
      </c>
      <c r="H440" s="3" t="s">
        <v>38</v>
      </c>
      <c r="I440" s="3" t="s">
        <v>343</v>
      </c>
    </row>
    <row r="441" spans="2:9">
      <c r="B441" s="3" t="s">
        <v>142</v>
      </c>
      <c r="C441" s="3" t="s">
        <v>155</v>
      </c>
      <c r="D441" s="3" t="s">
        <v>39</v>
      </c>
      <c r="E441" s="3" t="s">
        <v>39</v>
      </c>
      <c r="F441" s="3" t="s">
        <v>39</v>
      </c>
      <c r="G441" s="3" t="s">
        <v>780</v>
      </c>
      <c r="H441" s="3" t="s">
        <v>38</v>
      </c>
      <c r="I441" s="3" t="s">
        <v>343</v>
      </c>
    </row>
    <row r="442" spans="2:9">
      <c r="B442" s="3" t="s">
        <v>143</v>
      </c>
      <c r="C442" s="3" t="s">
        <v>155</v>
      </c>
      <c r="D442" s="3" t="s">
        <v>39</v>
      </c>
      <c r="E442" s="3" t="s">
        <v>39</v>
      </c>
      <c r="F442" s="3" t="s">
        <v>39</v>
      </c>
      <c r="G442" s="3" t="s">
        <v>781</v>
      </c>
      <c r="H442" s="3" t="s">
        <v>38</v>
      </c>
      <c r="I442" s="3" t="s">
        <v>343</v>
      </c>
    </row>
    <row r="443" spans="2:9">
      <c r="B443" s="3" t="s">
        <v>145</v>
      </c>
      <c r="C443" s="3" t="s">
        <v>155</v>
      </c>
      <c r="D443" s="3" t="s">
        <v>39</v>
      </c>
      <c r="E443" s="3" t="s">
        <v>39</v>
      </c>
      <c r="F443" s="3" t="s">
        <v>39</v>
      </c>
      <c r="G443" s="3" t="s">
        <v>782</v>
      </c>
      <c r="H443" s="3" t="s">
        <v>38</v>
      </c>
      <c r="I443" s="3" t="s">
        <v>343</v>
      </c>
    </row>
    <row r="444" spans="2:9">
      <c r="B444" s="3" t="s">
        <v>140</v>
      </c>
      <c r="C444" s="3" t="s">
        <v>155</v>
      </c>
      <c r="D444" s="3" t="s">
        <v>39</v>
      </c>
      <c r="E444" s="3" t="s">
        <v>39</v>
      </c>
      <c r="F444" s="3" t="s">
        <v>39</v>
      </c>
      <c r="G444" s="3" t="s">
        <v>783</v>
      </c>
      <c r="H444" s="3" t="s">
        <v>38</v>
      </c>
      <c r="I444" s="3" t="s">
        <v>343</v>
      </c>
    </row>
    <row r="445" spans="2:9">
      <c r="B445" s="3" t="s">
        <v>141</v>
      </c>
      <c r="C445" s="3" t="s">
        <v>155</v>
      </c>
      <c r="D445" s="3" t="s">
        <v>39</v>
      </c>
      <c r="E445" s="3" t="s">
        <v>39</v>
      </c>
      <c r="F445" s="3" t="s">
        <v>39</v>
      </c>
      <c r="G445" s="3" t="s">
        <v>784</v>
      </c>
      <c r="H445" s="3" t="s">
        <v>38</v>
      </c>
      <c r="I445" s="3" t="s">
        <v>343</v>
      </c>
    </row>
    <row r="446" spans="2:9">
      <c r="B446" s="3" t="s">
        <v>148</v>
      </c>
      <c r="C446" s="3" t="s">
        <v>155</v>
      </c>
      <c r="D446" s="3" t="s">
        <v>39</v>
      </c>
      <c r="E446" s="3" t="s">
        <v>39</v>
      </c>
      <c r="F446" s="3" t="s">
        <v>39</v>
      </c>
      <c r="G446" s="3" t="s">
        <v>785</v>
      </c>
      <c r="H446" s="3" t="s">
        <v>38</v>
      </c>
      <c r="I446" s="3" t="s">
        <v>343</v>
      </c>
    </row>
    <row r="447" spans="2:9">
      <c r="B447" s="3" t="s">
        <v>116</v>
      </c>
      <c r="C447" s="3" t="s">
        <v>155</v>
      </c>
      <c r="D447" s="3" t="s">
        <v>39</v>
      </c>
      <c r="E447" s="3" t="s">
        <v>39</v>
      </c>
      <c r="F447" s="3" t="s">
        <v>39</v>
      </c>
      <c r="G447" s="3" t="s">
        <v>786</v>
      </c>
      <c r="H447" s="3" t="s">
        <v>38</v>
      </c>
      <c r="I447" s="3" t="s">
        <v>343</v>
      </c>
    </row>
    <row r="448" spans="2:9">
      <c r="B448" s="3" t="s">
        <v>136</v>
      </c>
      <c r="C448" s="3" t="s">
        <v>155</v>
      </c>
      <c r="D448" s="3" t="s">
        <v>39</v>
      </c>
      <c r="E448" s="3" t="s">
        <v>39</v>
      </c>
      <c r="F448" s="3" t="s">
        <v>39</v>
      </c>
      <c r="G448" s="3" t="s">
        <v>787</v>
      </c>
      <c r="H448" s="3" t="s">
        <v>38</v>
      </c>
      <c r="I448" s="3" t="s">
        <v>343</v>
      </c>
    </row>
    <row r="449" spans="2:9">
      <c r="B449" s="3" t="s">
        <v>152</v>
      </c>
      <c r="C449" s="3" t="s">
        <v>155</v>
      </c>
      <c r="D449" s="3" t="s">
        <v>39</v>
      </c>
      <c r="E449" s="3" t="s">
        <v>39</v>
      </c>
      <c r="F449" s="3" t="s">
        <v>39</v>
      </c>
      <c r="G449" s="3" t="s">
        <v>788</v>
      </c>
      <c r="H449" s="3" t="s">
        <v>38</v>
      </c>
      <c r="I449" s="3" t="s">
        <v>343</v>
      </c>
    </row>
    <row r="450" spans="2:9">
      <c r="B450" s="3" t="s">
        <v>29</v>
      </c>
      <c r="C450" s="3" t="s">
        <v>155</v>
      </c>
      <c r="D450" s="3" t="s">
        <v>39</v>
      </c>
      <c r="E450" s="3" t="s">
        <v>39</v>
      </c>
      <c r="F450" s="3" t="s">
        <v>39</v>
      </c>
      <c r="G450" s="3" t="s">
        <v>789</v>
      </c>
      <c r="H450" s="3" t="s">
        <v>38</v>
      </c>
      <c r="I450" s="3" t="s">
        <v>343</v>
      </c>
    </row>
    <row r="451" spans="2:9">
      <c r="B451" s="3" t="s">
        <v>139</v>
      </c>
      <c r="C451" s="3" t="s">
        <v>155</v>
      </c>
      <c r="D451" s="3" t="s">
        <v>39</v>
      </c>
      <c r="E451" s="3" t="s">
        <v>39</v>
      </c>
      <c r="F451" s="3" t="s">
        <v>39</v>
      </c>
      <c r="G451" s="3" t="s">
        <v>790</v>
      </c>
      <c r="H451" s="3" t="s">
        <v>38</v>
      </c>
      <c r="I451" s="3" t="s">
        <v>343</v>
      </c>
    </row>
    <row r="452" spans="2:9">
      <c r="B452" s="3" t="s">
        <v>138</v>
      </c>
      <c r="C452" s="3" t="s">
        <v>156</v>
      </c>
      <c r="D452" s="3" t="s">
        <v>39</v>
      </c>
      <c r="E452" s="3" t="s">
        <v>39</v>
      </c>
      <c r="F452" s="3" t="s">
        <v>39</v>
      </c>
      <c r="G452" s="3" t="s">
        <v>791</v>
      </c>
      <c r="H452" s="3" t="s">
        <v>38</v>
      </c>
      <c r="I452" s="3" t="s">
        <v>343</v>
      </c>
    </row>
    <row r="453" spans="2:9">
      <c r="B453" s="3" t="s">
        <v>149</v>
      </c>
      <c r="C453" s="3" t="s">
        <v>156</v>
      </c>
      <c r="D453" s="3" t="s">
        <v>39</v>
      </c>
      <c r="E453" s="3" t="s">
        <v>39</v>
      </c>
      <c r="F453" s="3" t="s">
        <v>39</v>
      </c>
      <c r="G453" s="3" t="s">
        <v>792</v>
      </c>
      <c r="H453" s="3" t="s">
        <v>38</v>
      </c>
      <c r="I453" s="3" t="s">
        <v>343</v>
      </c>
    </row>
    <row r="454" spans="2:9">
      <c r="B454" s="3" t="s">
        <v>132</v>
      </c>
      <c r="C454" s="3" t="s">
        <v>156</v>
      </c>
      <c r="D454" s="3" t="s">
        <v>39</v>
      </c>
      <c r="E454" s="3" t="s">
        <v>39</v>
      </c>
      <c r="F454" s="3" t="s">
        <v>39</v>
      </c>
      <c r="G454" s="3" t="s">
        <v>793</v>
      </c>
      <c r="H454" s="3" t="s">
        <v>38</v>
      </c>
      <c r="I454" s="3" t="s">
        <v>343</v>
      </c>
    </row>
    <row r="455" spans="2:9">
      <c r="B455" s="3" t="s">
        <v>133</v>
      </c>
      <c r="C455" s="3" t="s">
        <v>156</v>
      </c>
      <c r="D455" s="3" t="s">
        <v>39</v>
      </c>
      <c r="E455" s="3" t="s">
        <v>39</v>
      </c>
      <c r="F455" s="3" t="s">
        <v>39</v>
      </c>
      <c r="G455" s="3" t="s">
        <v>794</v>
      </c>
      <c r="H455" s="3" t="s">
        <v>38</v>
      </c>
      <c r="I455" s="3" t="s">
        <v>343</v>
      </c>
    </row>
    <row r="456" spans="2:9">
      <c r="B456" s="3" t="s">
        <v>28</v>
      </c>
      <c r="C456" s="3" t="s">
        <v>156</v>
      </c>
      <c r="D456" s="3" t="s">
        <v>39</v>
      </c>
      <c r="E456" s="3" t="s">
        <v>39</v>
      </c>
      <c r="F456" s="3" t="s">
        <v>39</v>
      </c>
      <c r="G456" s="3" t="s">
        <v>795</v>
      </c>
      <c r="H456" s="3" t="s">
        <v>38</v>
      </c>
      <c r="I456" s="3" t="s">
        <v>343</v>
      </c>
    </row>
    <row r="457" spans="2:9">
      <c r="B457" s="3" t="s">
        <v>150</v>
      </c>
      <c r="C457" s="3" t="s">
        <v>156</v>
      </c>
      <c r="D457" s="3" t="s">
        <v>39</v>
      </c>
      <c r="E457" s="3" t="s">
        <v>39</v>
      </c>
      <c r="F457" s="3" t="s">
        <v>39</v>
      </c>
      <c r="G457" s="3" t="s">
        <v>796</v>
      </c>
      <c r="H457" s="3" t="s">
        <v>38</v>
      </c>
      <c r="I457" s="3" t="s">
        <v>343</v>
      </c>
    </row>
    <row r="458" spans="2:9">
      <c r="B458" s="3" t="s">
        <v>151</v>
      </c>
      <c r="C458" s="3" t="s">
        <v>156</v>
      </c>
      <c r="D458" s="3" t="s">
        <v>39</v>
      </c>
      <c r="E458" s="3" t="s">
        <v>39</v>
      </c>
      <c r="F458" s="3" t="s">
        <v>39</v>
      </c>
      <c r="G458" s="3" t="s">
        <v>797</v>
      </c>
      <c r="H458" s="3" t="s">
        <v>38</v>
      </c>
      <c r="I458" s="3" t="s">
        <v>343</v>
      </c>
    </row>
    <row r="459" spans="2:9">
      <c r="B459" s="3" t="s">
        <v>153</v>
      </c>
      <c r="C459" s="3" t="s">
        <v>156</v>
      </c>
      <c r="D459" s="3" t="s">
        <v>39</v>
      </c>
      <c r="E459" s="3" t="s">
        <v>39</v>
      </c>
      <c r="F459" s="3" t="s">
        <v>39</v>
      </c>
      <c r="G459" s="3" t="s">
        <v>798</v>
      </c>
      <c r="H459" s="3" t="s">
        <v>38</v>
      </c>
      <c r="I459" s="3" t="s">
        <v>343</v>
      </c>
    </row>
    <row r="460" spans="2:9">
      <c r="B460" s="3" t="s">
        <v>154</v>
      </c>
      <c r="C460" s="3" t="s">
        <v>156</v>
      </c>
      <c r="D460" s="3" t="s">
        <v>39</v>
      </c>
      <c r="E460" s="3" t="s">
        <v>39</v>
      </c>
      <c r="F460" s="3" t="s">
        <v>39</v>
      </c>
      <c r="G460" s="3" t="s">
        <v>799</v>
      </c>
      <c r="H460" s="3" t="s">
        <v>38</v>
      </c>
      <c r="I460" s="3" t="s">
        <v>343</v>
      </c>
    </row>
    <row r="461" spans="2:9">
      <c r="B461" s="3" t="s">
        <v>146</v>
      </c>
      <c r="C461" s="3" t="s">
        <v>156</v>
      </c>
      <c r="D461" s="3" t="s">
        <v>39</v>
      </c>
      <c r="E461" s="3" t="s">
        <v>39</v>
      </c>
      <c r="F461" s="3" t="s">
        <v>39</v>
      </c>
      <c r="G461" s="3" t="s">
        <v>800</v>
      </c>
      <c r="H461" s="3" t="s">
        <v>38</v>
      </c>
      <c r="I461" s="3" t="s">
        <v>343</v>
      </c>
    </row>
    <row r="462" spans="2:9">
      <c r="B462" s="3" t="s">
        <v>27</v>
      </c>
      <c r="C462" s="3" t="s">
        <v>156</v>
      </c>
      <c r="D462" s="3" t="s">
        <v>39</v>
      </c>
      <c r="E462" s="3" t="s">
        <v>39</v>
      </c>
      <c r="F462" s="3" t="s">
        <v>39</v>
      </c>
      <c r="G462" s="3" t="s">
        <v>801</v>
      </c>
      <c r="H462" s="3" t="s">
        <v>38</v>
      </c>
      <c r="I462" s="3" t="s">
        <v>343</v>
      </c>
    </row>
    <row r="463" spans="2:9">
      <c r="B463" s="3" t="s">
        <v>144</v>
      </c>
      <c r="C463" s="3" t="s">
        <v>156</v>
      </c>
      <c r="D463" s="3" t="s">
        <v>39</v>
      </c>
      <c r="E463" s="3" t="s">
        <v>39</v>
      </c>
      <c r="F463" s="3" t="s">
        <v>39</v>
      </c>
      <c r="G463" s="3" t="s">
        <v>802</v>
      </c>
      <c r="H463" s="3" t="s">
        <v>38</v>
      </c>
      <c r="I463" s="3" t="s">
        <v>343</v>
      </c>
    </row>
    <row r="464" spans="2:9">
      <c r="B464" s="3" t="s">
        <v>137</v>
      </c>
      <c r="C464" s="3" t="s">
        <v>156</v>
      </c>
      <c r="D464" s="3" t="s">
        <v>39</v>
      </c>
      <c r="E464" s="3" t="s">
        <v>39</v>
      </c>
      <c r="F464" s="3" t="s">
        <v>39</v>
      </c>
      <c r="G464" s="3" t="s">
        <v>803</v>
      </c>
      <c r="H464" s="3" t="s">
        <v>38</v>
      </c>
      <c r="I464" s="3" t="s">
        <v>343</v>
      </c>
    </row>
    <row r="465" spans="2:9">
      <c r="B465" s="3" t="s">
        <v>147</v>
      </c>
      <c r="C465" s="3" t="s">
        <v>156</v>
      </c>
      <c r="D465" s="3" t="s">
        <v>39</v>
      </c>
      <c r="E465" s="3" t="s">
        <v>39</v>
      </c>
      <c r="F465" s="3" t="s">
        <v>39</v>
      </c>
      <c r="G465" s="3" t="s">
        <v>804</v>
      </c>
      <c r="H465" s="3" t="s">
        <v>38</v>
      </c>
      <c r="I465" s="3" t="s">
        <v>343</v>
      </c>
    </row>
    <row r="466" spans="2:9">
      <c r="B466" s="3" t="s">
        <v>134</v>
      </c>
      <c r="C466" s="3" t="s">
        <v>156</v>
      </c>
      <c r="D466" s="3" t="s">
        <v>39</v>
      </c>
      <c r="E466" s="3" t="s">
        <v>39</v>
      </c>
      <c r="F466" s="3" t="s">
        <v>39</v>
      </c>
      <c r="G466" s="3" t="s">
        <v>805</v>
      </c>
      <c r="H466" s="3" t="s">
        <v>38</v>
      </c>
      <c r="I466" s="3" t="s">
        <v>343</v>
      </c>
    </row>
    <row r="467" spans="2:9">
      <c r="B467" s="3" t="s">
        <v>135</v>
      </c>
      <c r="C467" s="3" t="s">
        <v>156</v>
      </c>
      <c r="D467" s="3" t="s">
        <v>39</v>
      </c>
      <c r="E467" s="3" t="s">
        <v>39</v>
      </c>
      <c r="F467" s="3" t="s">
        <v>39</v>
      </c>
      <c r="G467" s="3" t="s">
        <v>806</v>
      </c>
      <c r="H467" s="3" t="s">
        <v>38</v>
      </c>
      <c r="I467" s="3" t="s">
        <v>343</v>
      </c>
    </row>
    <row r="468" spans="2:9">
      <c r="B468" s="3" t="s">
        <v>142</v>
      </c>
      <c r="C468" s="3" t="s">
        <v>156</v>
      </c>
      <c r="D468" s="3" t="s">
        <v>39</v>
      </c>
      <c r="E468" s="3" t="s">
        <v>39</v>
      </c>
      <c r="F468" s="3" t="s">
        <v>39</v>
      </c>
      <c r="G468" s="3" t="s">
        <v>807</v>
      </c>
      <c r="H468" s="3" t="s">
        <v>38</v>
      </c>
      <c r="I468" s="3" t="s">
        <v>343</v>
      </c>
    </row>
    <row r="469" spans="2:9">
      <c r="B469" s="3" t="s">
        <v>143</v>
      </c>
      <c r="C469" s="3" t="s">
        <v>156</v>
      </c>
      <c r="D469" s="3" t="s">
        <v>39</v>
      </c>
      <c r="E469" s="3" t="s">
        <v>39</v>
      </c>
      <c r="F469" s="3" t="s">
        <v>39</v>
      </c>
      <c r="G469" s="3" t="s">
        <v>808</v>
      </c>
      <c r="H469" s="3" t="s">
        <v>38</v>
      </c>
      <c r="I469" s="3" t="s">
        <v>343</v>
      </c>
    </row>
    <row r="470" spans="2:9">
      <c r="B470" s="3" t="s">
        <v>145</v>
      </c>
      <c r="C470" s="3" t="s">
        <v>156</v>
      </c>
      <c r="D470" s="3" t="s">
        <v>39</v>
      </c>
      <c r="E470" s="3" t="s">
        <v>39</v>
      </c>
      <c r="F470" s="3" t="s">
        <v>39</v>
      </c>
      <c r="G470" s="3" t="s">
        <v>809</v>
      </c>
      <c r="H470" s="3" t="s">
        <v>38</v>
      </c>
      <c r="I470" s="3" t="s">
        <v>343</v>
      </c>
    </row>
    <row r="471" spans="2:9">
      <c r="B471" s="3" t="s">
        <v>140</v>
      </c>
      <c r="C471" s="3" t="s">
        <v>156</v>
      </c>
      <c r="D471" s="3" t="s">
        <v>39</v>
      </c>
      <c r="E471" s="3" t="s">
        <v>39</v>
      </c>
      <c r="F471" s="3" t="s">
        <v>39</v>
      </c>
      <c r="G471" s="3" t="s">
        <v>810</v>
      </c>
      <c r="H471" s="3" t="s">
        <v>38</v>
      </c>
      <c r="I471" s="3" t="s">
        <v>343</v>
      </c>
    </row>
    <row r="472" spans="2:9">
      <c r="B472" s="3" t="s">
        <v>141</v>
      </c>
      <c r="C472" s="3" t="s">
        <v>156</v>
      </c>
      <c r="D472" s="3" t="s">
        <v>39</v>
      </c>
      <c r="E472" s="3" t="s">
        <v>39</v>
      </c>
      <c r="F472" s="3" t="s">
        <v>39</v>
      </c>
      <c r="G472" s="3" t="s">
        <v>811</v>
      </c>
      <c r="H472" s="3" t="s">
        <v>38</v>
      </c>
      <c r="I472" s="3" t="s">
        <v>343</v>
      </c>
    </row>
    <row r="473" spans="2:9">
      <c r="B473" s="3" t="s">
        <v>148</v>
      </c>
      <c r="C473" s="3" t="s">
        <v>156</v>
      </c>
      <c r="D473" s="3" t="s">
        <v>39</v>
      </c>
      <c r="E473" s="3" t="s">
        <v>39</v>
      </c>
      <c r="F473" s="3" t="s">
        <v>39</v>
      </c>
      <c r="G473" s="3" t="s">
        <v>812</v>
      </c>
      <c r="H473" s="3" t="s">
        <v>38</v>
      </c>
      <c r="I473" s="3" t="s">
        <v>343</v>
      </c>
    </row>
    <row r="474" spans="2:9">
      <c r="B474" s="3" t="s">
        <v>116</v>
      </c>
      <c r="C474" s="3" t="s">
        <v>156</v>
      </c>
      <c r="D474" s="3" t="s">
        <v>39</v>
      </c>
      <c r="E474" s="3" t="s">
        <v>39</v>
      </c>
      <c r="F474" s="3" t="s">
        <v>39</v>
      </c>
      <c r="G474" s="3" t="s">
        <v>813</v>
      </c>
      <c r="H474" s="3" t="s">
        <v>38</v>
      </c>
      <c r="I474" s="3" t="s">
        <v>343</v>
      </c>
    </row>
    <row r="475" spans="2:9">
      <c r="B475" s="3" t="s">
        <v>136</v>
      </c>
      <c r="C475" s="3" t="s">
        <v>156</v>
      </c>
      <c r="D475" s="3" t="s">
        <v>39</v>
      </c>
      <c r="E475" s="3" t="s">
        <v>39</v>
      </c>
      <c r="F475" s="3" t="s">
        <v>39</v>
      </c>
      <c r="G475" s="3" t="s">
        <v>814</v>
      </c>
      <c r="H475" s="3" t="s">
        <v>38</v>
      </c>
      <c r="I475" s="3" t="s">
        <v>343</v>
      </c>
    </row>
    <row r="476" spans="2:9">
      <c r="B476" s="3" t="s">
        <v>152</v>
      </c>
      <c r="C476" s="3" t="s">
        <v>156</v>
      </c>
      <c r="D476" s="3" t="s">
        <v>39</v>
      </c>
      <c r="E476" s="3" t="s">
        <v>39</v>
      </c>
      <c r="F476" s="3" t="s">
        <v>39</v>
      </c>
      <c r="G476" s="3" t="s">
        <v>815</v>
      </c>
      <c r="H476" s="3" t="s">
        <v>38</v>
      </c>
      <c r="I476" s="3" t="s">
        <v>343</v>
      </c>
    </row>
    <row r="477" spans="2:9">
      <c r="B477" s="3" t="s">
        <v>29</v>
      </c>
      <c r="C477" s="3" t="s">
        <v>156</v>
      </c>
      <c r="D477" s="3" t="s">
        <v>39</v>
      </c>
      <c r="E477" s="3" t="s">
        <v>39</v>
      </c>
      <c r="F477" s="3" t="s">
        <v>39</v>
      </c>
      <c r="G477" s="3" t="s">
        <v>816</v>
      </c>
      <c r="H477" s="3" t="s">
        <v>38</v>
      </c>
      <c r="I477" s="3" t="s">
        <v>343</v>
      </c>
    </row>
    <row r="478" spans="2:9">
      <c r="B478" s="3" t="s">
        <v>155</v>
      </c>
      <c r="C478" s="3" t="s">
        <v>156</v>
      </c>
      <c r="D478" s="3" t="s">
        <v>39</v>
      </c>
      <c r="E478" s="3" t="s">
        <v>39</v>
      </c>
      <c r="F478" s="3" t="s">
        <v>39</v>
      </c>
      <c r="G478" s="3" t="s">
        <v>817</v>
      </c>
      <c r="H478" s="3" t="s">
        <v>38</v>
      </c>
      <c r="I478" s="3" t="s">
        <v>343</v>
      </c>
    </row>
    <row r="479" spans="2:9">
      <c r="B479" s="3" t="s">
        <v>139</v>
      </c>
      <c r="C479" s="3" t="s">
        <v>156</v>
      </c>
      <c r="D479" s="3" t="s">
        <v>39</v>
      </c>
      <c r="E479" s="3" t="s">
        <v>39</v>
      </c>
      <c r="F479" s="3" t="s">
        <v>39</v>
      </c>
      <c r="G479" s="3" t="s">
        <v>818</v>
      </c>
      <c r="H479" s="3" t="s">
        <v>38</v>
      </c>
      <c r="I479" s="3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Bi - markets</vt:lpstr>
      <vt:lpstr>InterReg_ELC</vt:lpstr>
      <vt:lpstr>InterReg_Gas</vt:lpstr>
      <vt:lpstr>InterReg_LNG</vt:lpstr>
      <vt:lpstr>InterReg_HH2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D'HERBEMONT Vincent</cp:lastModifiedBy>
  <dcterms:created xsi:type="dcterms:W3CDTF">2008-01-05T10:51:39Z</dcterms:created>
  <dcterms:modified xsi:type="dcterms:W3CDTF">2025-02-28T10:54:50Z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3135323524475</vt:r8>
  </property>
  <property fmtid="{D5CDD505-2E9C-101B-9397-08002B2CF9AE}" pid="3" name="{A44787D4-0540-4523-9961-78E4036D8C6D}">
    <vt:lpwstr>{8AE11F6C-BBAF-418D-A22F-CEC702173182}</vt:lpwstr>
  </property>
</Properties>
</file>