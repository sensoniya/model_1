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VEDA\Veda\Veda_models\KiNESYS_IFP\SuppXLS\Trades\"/>
    </mc:Choice>
  </mc:AlternateContent>
  <xr:revisionPtr revIDLastSave="0" documentId="13_ncr:1_{9644D14B-CE09-446D-ADC6-96AAB03E988E}" xr6:coauthVersionLast="47" xr6:coauthVersionMax="47" xr10:uidLastSave="{00000000-0000-0000-0000-000000000000}"/>
  <bookViews>
    <workbookView xWindow="-108" yWindow="-108" windowWidth="23256" windowHeight="14016" activeTab="4" xr2:uid="{00000000-000D-0000-FFFF-FFFF00000000}"/>
  </bookViews>
  <sheets>
    <sheet name="INS" sheetId="2" r:id="rId1"/>
    <sheet name="InterReg_ELC" sheetId="3" r:id="rId2"/>
    <sheet name="InterReg_Gas" sheetId="5" r:id="rId3"/>
    <sheet name="InterReg_LNG" sheetId="6" r:id="rId4"/>
    <sheet name="InterReg_HH2" sheetId="7" r:id="rId5"/>
  </sheets>
  <definedNames>
    <definedName name="_xlnm._FilterDatabase" localSheetId="1" hidden="1">InterReg_ELC!$B$3:$C$249</definedName>
    <definedName name="_xlnm._FilterDatabase" localSheetId="3" hidden="1">InterReg_HH2!$B$3:$B$116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7" l="1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Rocco De Miglio</author>
  </authors>
  <commentList>
    <comment ref="A36" authorId="0" shapeId="0" xr:uid="{C7503953-BBAF-4D7D-AA22-7470620F665A}">
      <text>
        <r>
          <rPr>
            <b/>
            <sz val="9"/>
            <color indexed="81"/>
            <rFont val="Tahoma"/>
            <family val="2"/>
          </rPr>
          <t>Rocco De Miglio:</t>
        </r>
        <r>
          <rPr>
            <sz val="9"/>
            <color indexed="81"/>
            <rFont val="Tahoma"/>
            <family val="2"/>
          </rPr>
          <t xml:space="preserve">
topology to be checked:
Turkey - &gt; Eur_south -&gt; WestBalk -&gt; Eur_south
</t>
        </r>
      </text>
    </comment>
  </commentList>
</comments>
</file>

<file path=xl/sharedStrings.xml><?xml version="1.0" encoding="utf-8"?>
<sst xmlns="http://schemas.openxmlformats.org/spreadsheetml/2006/main" count="3890" uniqueCount="813">
  <si>
    <t>~TFM_INS</t>
  </si>
  <si>
    <t>Attribute</t>
  </si>
  <si>
    <t>PSET_PN</t>
  </si>
  <si>
    <t>AllRegions</t>
  </si>
  <si>
    <t>PASTI</t>
  </si>
  <si>
    <t>CAP_BND</t>
  </si>
  <si>
    <t>LIFE</t>
  </si>
  <si>
    <t>EFF</t>
  </si>
  <si>
    <t>INVCOST</t>
  </si>
  <si>
    <t>PRC_CAPACT</t>
  </si>
  <si>
    <t>Year</t>
  </si>
  <si>
    <t>Process</t>
  </si>
  <si>
    <t>START</t>
  </si>
  <si>
    <t>*Status</t>
  </si>
  <si>
    <t>Operating</t>
  </si>
  <si>
    <t>Construction</t>
  </si>
  <si>
    <t>~TFM_INS-AT</t>
  </si>
  <si>
    <t>ACT_BND</t>
  </si>
  <si>
    <t>TU_LNGShips_ARE-JPN</t>
  </si>
  <si>
    <t>TU_LNGShips_AUS-CHN</t>
  </si>
  <si>
    <t>TU_LNGShips_AUS-IND</t>
  </si>
  <si>
    <t>TU_LNGShips_AUS-JPN</t>
  </si>
  <si>
    <t>TU_LNGShips_AUS-KOR</t>
  </si>
  <si>
    <t>TU_LNGShips_AUS-SGP</t>
  </si>
  <si>
    <t>TU_LNGShips_AUS-TWN</t>
  </si>
  <si>
    <t>TU_LNGShips_BRN-IDN</t>
  </si>
  <si>
    <t>TU_LNGShips_BRN-JPN</t>
  </si>
  <si>
    <t>TU_LNGShips_DZA-ESP</t>
  </si>
  <si>
    <t>TU_LNGShips_DZA-GRC</t>
  </si>
  <si>
    <t>TU_LNGShips_DZA-ITA</t>
  </si>
  <si>
    <t>TU_LNGShips_DZA-TUR</t>
  </si>
  <si>
    <t>TU_LNGShips_IDN-IDN</t>
  </si>
  <si>
    <t>TU_LNGShips_IDN-JPN</t>
  </si>
  <si>
    <t>TU_LNGShips_IDN-KOR</t>
  </si>
  <si>
    <t>TU_LNGShips_MEX-CHN</t>
  </si>
  <si>
    <t>TU_LNGShips_MYS-CHN</t>
  </si>
  <si>
    <t>TU_LNGShips_MYS-JPN</t>
  </si>
  <si>
    <t>TU_LNGShips_MYS-KOR</t>
  </si>
  <si>
    <t>TU_LNGShips_NGA-ESP</t>
  </si>
  <si>
    <t>TU_LNGShips_NGA-FRA</t>
  </si>
  <si>
    <t>TU_LNGShips_NGA-ITA</t>
  </si>
  <si>
    <t>TU_LNGShips_NGA-PRT</t>
  </si>
  <si>
    <t>TU_LNGShips_NGA-TUR</t>
  </si>
  <si>
    <t>TU_LNGShips_NOR-ESP</t>
  </si>
  <si>
    <t>TU_LNGShips_PNG-CHN</t>
  </si>
  <si>
    <t>TU_LNGShips_PNG-JPN</t>
  </si>
  <si>
    <t>TU_LNGShips_PNG-TWN</t>
  </si>
  <si>
    <t>TU_LNGShips_QAT-BEL</t>
  </si>
  <si>
    <t>TU_LNGShips_QAT-BGD</t>
  </si>
  <si>
    <t>TU_LNGShips_QAT-CHN</t>
  </si>
  <si>
    <t>TU_LNGShips_QAT-ESP</t>
  </si>
  <si>
    <t>TU_LNGShips_QAT-FRA</t>
  </si>
  <si>
    <t>TU_LNGShips_QAT-GBR</t>
  </si>
  <si>
    <t>TU_LNGShips_QAT-IND</t>
  </si>
  <si>
    <t>TU_LNGShips_QAT-ITA</t>
  </si>
  <si>
    <t>TU_LNGShips_QAT-JPN</t>
  </si>
  <si>
    <t>TU_LNGShips_QAT-KOR</t>
  </si>
  <si>
    <t>TU_LNGShips_QAT-KWT</t>
  </si>
  <si>
    <t>TU_LNGShips_QAT-PAK</t>
  </si>
  <si>
    <t>TU_LNGShips_QAT-POL</t>
  </si>
  <si>
    <t>TU_LNGShips_QAT-THA</t>
  </si>
  <si>
    <t>TU_LNGShips_QAT-TWN</t>
  </si>
  <si>
    <t>TU_LNGShips_RUS-CHN</t>
  </si>
  <si>
    <t>TU_LNGShips_RUS-ESP</t>
  </si>
  <si>
    <t>TU_LNGShips_RUS-JPN</t>
  </si>
  <si>
    <t>TU_LNGShips_RUS-TWN</t>
  </si>
  <si>
    <t>TU_LNGShips_USA-CHN</t>
  </si>
  <si>
    <t>TU_LNGShips_USA-DEU</t>
  </si>
  <si>
    <t>TU_LNGShips_USA-FRA</t>
  </si>
  <si>
    <t>TU_LNGShips_USA-GBR</t>
  </si>
  <si>
    <t>TU_LNGShips_USA-JPN</t>
  </si>
  <si>
    <t>TU_LNGShips_USA-KOR</t>
  </si>
  <si>
    <t>TU_LNGShips_USA-POL</t>
  </si>
  <si>
    <t>TU_LNGShips_USA-PRT</t>
  </si>
  <si>
    <t>TU_LNGShips_USA-TWN</t>
  </si>
  <si>
    <t>~TFM_DINS-AT: limtype=LO</t>
  </si>
  <si>
    <t>LimType</t>
  </si>
  <si>
    <t>~TFM_INS: Curr=USD15</t>
  </si>
  <si>
    <t>TU_GasPip--Russia-Germany</t>
  </si>
  <si>
    <t>Mothballed</t>
  </si>
  <si>
    <t>TU_ELC_Africa_other-SouthAfrica</t>
  </si>
  <si>
    <t>TU_ELC_Arg-Chi-Brazil</t>
  </si>
  <si>
    <t>TU_ELC_Asia_central-Asia_other</t>
  </si>
  <si>
    <t>TU_ELC_Asia_other-China</t>
  </si>
  <si>
    <t>TU_ELC_Asia_other-India</t>
  </si>
  <si>
    <t>TU_ELC_Canada-USA</t>
  </si>
  <si>
    <t>TU_ELC_China-Asia_other</t>
  </si>
  <si>
    <t>TU_ELC_India-Asia_other</t>
  </si>
  <si>
    <t>TU_ELC_LatAm_other-Arg-Chi</t>
  </si>
  <si>
    <t>TU_ELC_LatAm_other-Brazil</t>
  </si>
  <si>
    <t>TU_ELC_LatAm_other-Mexico</t>
  </si>
  <si>
    <t>TU_ELC_Mexico-LatAm_other</t>
  </si>
  <si>
    <t>TU_ELC_Mexico-USA</t>
  </si>
  <si>
    <t>TU_ELC_MidEast_other-Asia_other</t>
  </si>
  <si>
    <t>TU_ELC_SouthAfrica-Africa_other</t>
  </si>
  <si>
    <t>TU_ELC_USA-Canada</t>
  </si>
  <si>
    <t>TU_ELC_Africa_north-EU_south</t>
  </si>
  <si>
    <t>TU_ELC_Africa_north-SaudiArabia</t>
  </si>
  <si>
    <t>TU_ELC_Asia_central-EU_southeast</t>
  </si>
  <si>
    <t>TU_ELC_Asia_central-Europe_other</t>
  </si>
  <si>
    <t>TU_ELC_Asia_central-Russia</t>
  </si>
  <si>
    <t>TU_ELC_EU_north-EU_northeast</t>
  </si>
  <si>
    <t>TU_ELC_EU_north-EU_northwest</t>
  </si>
  <si>
    <t>TU_ELC_EU_north-Germany</t>
  </si>
  <si>
    <t>TU_ELC_EU_north-Nor-Ice</t>
  </si>
  <si>
    <t>TU_ELC_EU_north-UK</t>
  </si>
  <si>
    <t>TU_ELC_EU_northeast-EU_north</t>
  </si>
  <si>
    <t>TU_ELC_EU_northeast-EU_south</t>
  </si>
  <si>
    <t>TU_ELC_EU_northeast-EU_southeast</t>
  </si>
  <si>
    <t>TU_ELC_EU_northeast-Europe_other</t>
  </si>
  <si>
    <t>TU_ELC_EU_northeast-Germany</t>
  </si>
  <si>
    <t>TU_ELC_EU_northwest-EU_north</t>
  </si>
  <si>
    <t>TU_ELC_EU_northwest-France</t>
  </si>
  <si>
    <t>TU_ELC_EU_northwest-Germany</t>
  </si>
  <si>
    <t>TU_ELC_EU_northwest-Nor-Ice</t>
  </si>
  <si>
    <t>TU_ELC_EU_northwest-UK</t>
  </si>
  <si>
    <t>TU_ELC_EU_south-Africa_north</t>
  </si>
  <si>
    <t>TU_ELC_EU_south-EU_northeast</t>
  </si>
  <si>
    <t>TU_ELC_EU_south-EU_southeast</t>
  </si>
  <si>
    <t>TU_ELC_EU_south-Europe_other</t>
  </si>
  <si>
    <t>TU_ELC_EU_south-France</t>
  </si>
  <si>
    <t>TU_ELC_EU_southeast-Asia_central</t>
  </si>
  <si>
    <t>TU_ELC_EU_southeast-EU_northeast</t>
  </si>
  <si>
    <t>TU_ELC_EU_southeast-EU_south</t>
  </si>
  <si>
    <t>TU_ELC_EU_southeast-Europe_other</t>
  </si>
  <si>
    <t>TU_ELC_EU_southwest-France</t>
  </si>
  <si>
    <t>TU_ELC_Europe_other-Asia_central</t>
  </si>
  <si>
    <t>TU_ELC_Europe_other-EU_northeast</t>
  </si>
  <si>
    <t>TU_ELC_Europe_other-EU_south</t>
  </si>
  <si>
    <t>TU_ELC_Europe_other-EU_southeast</t>
  </si>
  <si>
    <t>TU_ELC_Europe_other-France</t>
  </si>
  <si>
    <t>TU_ELC_Europe_other-Germany</t>
  </si>
  <si>
    <t>TU_ELC_Europe_other-Russia</t>
  </si>
  <si>
    <t>TU_ELC_France-EU_northwest</t>
  </si>
  <si>
    <t>TU_ELC_France-EU_south</t>
  </si>
  <si>
    <t>TU_ELC_France-EU_southwest</t>
  </si>
  <si>
    <t>TU_ELC_France-Europe_other</t>
  </si>
  <si>
    <t>TU_ELC_France-Germany</t>
  </si>
  <si>
    <t>TU_ELC_France-UK</t>
  </si>
  <si>
    <t>TU_ELC_Germany-EU_north</t>
  </si>
  <si>
    <t>TU_ELC_Germany-EU_northeast</t>
  </si>
  <si>
    <t>TU_ELC_Germany-EU_northwest</t>
  </si>
  <si>
    <t>TU_ELC_Germany-Europe_other</t>
  </si>
  <si>
    <t>TU_ELC_Germany-France</t>
  </si>
  <si>
    <t>TU_ELC_Germany-Nor-Ice</t>
  </si>
  <si>
    <t>TU_ELC_Germany-UK</t>
  </si>
  <si>
    <t>TU_ELC_MidEast_other-SaudiArabia</t>
  </si>
  <si>
    <t>TU_ELC_Nor-Ice-EU_north</t>
  </si>
  <si>
    <t>TU_ELC_Nor-Ice-EU_northwest</t>
  </si>
  <si>
    <t>TU_ELC_Nor-Ice-Germany</t>
  </si>
  <si>
    <t>TU_ELC_Nor-Ice-UK</t>
  </si>
  <si>
    <t>TU_ELC_Russia-Asia_central</t>
  </si>
  <si>
    <t>TU_ELC_Russia-Europe_other</t>
  </si>
  <si>
    <t>TU_ELC_SaudiArabia-Africa_north</t>
  </si>
  <si>
    <t>TU_ELC_SaudiArabia-MidEast_other</t>
  </si>
  <si>
    <t>TU_ELC_UK-EU_north</t>
  </si>
  <si>
    <t>TU_ELC_UK-EU_northwest</t>
  </si>
  <si>
    <t>TU_ELC_UK-France</t>
  </si>
  <si>
    <t>TU_ELC_UK-Germany</t>
  </si>
  <si>
    <t>TU_ELC_UK-Nor-Ice</t>
  </si>
  <si>
    <t>TU_GasPip--EU_northeast-Germany</t>
  </si>
  <si>
    <t>TU_GasPip--Europe_other-EU_northeast</t>
  </si>
  <si>
    <t>TU_GasPip--MidEast_other-Africa_north</t>
  </si>
  <si>
    <t>TU_GasPip--Russia-Europe_other</t>
  </si>
  <si>
    <t>TU_GasPip--Africa_north-EU_south</t>
  </si>
  <si>
    <t>TU_GasPip--Africa_north-EU_southwest</t>
  </si>
  <si>
    <t>TU_GasPip--Africa_north-MidEast_other</t>
  </si>
  <si>
    <t>TU_GasPip--Africa_other-SouthAfrica</t>
  </si>
  <si>
    <t>TU_GasPip--Arg-Chi-Brazil</t>
  </si>
  <si>
    <t>TU_GasPip--Arg-Chi-LatAm_other</t>
  </si>
  <si>
    <t>TU_GasPip--Asia_central-China</t>
  </si>
  <si>
    <t>TU_GasPip--Asia_central-EU_south</t>
  </si>
  <si>
    <t>TU_GasPip--Asia_central-Europe_other</t>
  </si>
  <si>
    <t>TU_GasPip--Asia_central-MidEast_other</t>
  </si>
  <si>
    <t>TU_GasPip--Asia_central-Russia</t>
  </si>
  <si>
    <t>TU_GasPip--Asia_other-China</t>
  </si>
  <si>
    <t>TU_GasPip--Canada-USA</t>
  </si>
  <si>
    <t>TU_GasPip--EU_north-EU_northeast</t>
  </si>
  <si>
    <t>TU_GasPip--EU_north-EU_northwest</t>
  </si>
  <si>
    <t>TU_GasPip--EU_northeast-EU_southeast</t>
  </si>
  <si>
    <t>TU_GasPip--EU_northeast-Europe_other</t>
  </si>
  <si>
    <t>TU_GasPip--EU_northeast-Russia</t>
  </si>
  <si>
    <t>TU_GasPip--EU_northwest-France</t>
  </si>
  <si>
    <t>TU_GasPip--EU_northwest-Germany</t>
  </si>
  <si>
    <t>TU_GasPip--EU_northwest-UK</t>
  </si>
  <si>
    <t>TU_GasPip--EU_south-EU_southeast</t>
  </si>
  <si>
    <t>TU_GasPip--EU_south-Europe_other</t>
  </si>
  <si>
    <t>TU_GasPip--EU_southeast-EU_south</t>
  </si>
  <si>
    <t>TU_GasPip--EU_southeast-Europe_other</t>
  </si>
  <si>
    <t>TU_GasPip--EU_southwest-France</t>
  </si>
  <si>
    <t>TU_GasPip--Europe_other-EU_south</t>
  </si>
  <si>
    <t>TU_GasPip--Europe_other-EU_southeast</t>
  </si>
  <si>
    <t>TU_GasPip--Europe_other-France</t>
  </si>
  <si>
    <t>TU_GasPip--Europe_other-Russia</t>
  </si>
  <si>
    <t>TU_GasPip--France-EU_northwest</t>
  </si>
  <si>
    <t>TU_GasPip--France-EU_southwest</t>
  </si>
  <si>
    <t>TU_GasPip--France-Europe_other</t>
  </si>
  <si>
    <t>TU_GasPip--Germany-EU_northeast</t>
  </si>
  <si>
    <t>TU_GasPip--Germany-EU_northwest</t>
  </si>
  <si>
    <t>TU_GasPip--Germany-Europe_other</t>
  </si>
  <si>
    <t>TU_GasPip--Germany-France</t>
  </si>
  <si>
    <t>TU_GasPip--LatAm_other-Arg-Chi</t>
  </si>
  <si>
    <t>TU_GasPip--LatAm_other-Brazil</t>
  </si>
  <si>
    <t>TU_GasPip--MidEast_other-Asia_central</t>
  </si>
  <si>
    <t>TU_GasPip--MidEast_other-Asia_other</t>
  </si>
  <si>
    <t>TU_GasPip--MidEast_other-Europe_other</t>
  </si>
  <si>
    <t>TU_GasPip--Nor-Ice-EU_north</t>
  </si>
  <si>
    <t>TU_GasPip--Nor-Ice-EU_northwest</t>
  </si>
  <si>
    <t>TU_GasPip--Nor-Ice-France</t>
  </si>
  <si>
    <t>TU_GasPip--Nor-Ice-Germany</t>
  </si>
  <si>
    <t>TU_GasPip--Nor-Ice-UK</t>
  </si>
  <si>
    <t>TU_GasPip--Russia-Asia_central</t>
  </si>
  <si>
    <t>TU_GasPip--Russia-EU_northeast</t>
  </si>
  <si>
    <t>TU_GasPip--Russia-EU_southeast</t>
  </si>
  <si>
    <t>TU_GasPip--UK-EU_northwest</t>
  </si>
  <si>
    <t>TU_GasPip--UK-Nor-Ice</t>
  </si>
  <si>
    <t>TU_GasPip--USA-Canada</t>
  </si>
  <si>
    <t>TU_GasPip--USA-Mexico</t>
  </si>
  <si>
    <t>TU_H2Ships_AU-BR</t>
  </si>
  <si>
    <t>TU_H2Ships_CO-BR</t>
  </si>
  <si>
    <t>TU_H2Ships_EG-BR</t>
  </si>
  <si>
    <t>TU_H2Ships_ET-BR</t>
  </si>
  <si>
    <t>TU_H2Ships_IN-BR</t>
  </si>
  <si>
    <t>TU_H2Ships_MX-BR</t>
  </si>
  <si>
    <t>TU_H2Ships_OM-BR</t>
  </si>
  <si>
    <t>TU_H2Ships_SA-BR</t>
  </si>
  <si>
    <t>TU_H2Ships_ZA-BR</t>
  </si>
  <si>
    <t>TU_H2Ships_ES-BR</t>
  </si>
  <si>
    <t>TU_H2Ships_US-BR</t>
  </si>
  <si>
    <t>TU_H2Ships_CN-BR</t>
  </si>
  <si>
    <t>TU_H2Ships_GR-BR</t>
  </si>
  <si>
    <t>TU_H2Ships_ID-BR</t>
  </si>
  <si>
    <t>TU_H2Ships_TR-BR</t>
  </si>
  <si>
    <t>TU_H2Ships_CL-BR</t>
  </si>
  <si>
    <t>TU_H2Ships_KG-BR</t>
  </si>
  <si>
    <t>TU_H2Ships_AT-BR</t>
  </si>
  <si>
    <t>TU_H2Ships_BE-BR</t>
  </si>
  <si>
    <t>TU_H2Ships_BG-BR</t>
  </si>
  <si>
    <t>TU_H2Ships_CA-BR</t>
  </si>
  <si>
    <t>TU_H2Ships_DK-BR</t>
  </si>
  <si>
    <t>TU_H2Ships_FR-BR</t>
  </si>
  <si>
    <t>TU_H2Ships_DE-BR</t>
  </si>
  <si>
    <t>TU_H2Ships_JP-BR</t>
  </si>
  <si>
    <t>TU_H2Ships_NO-BR</t>
  </si>
  <si>
    <t>TU_H2Ships_RU-BR</t>
  </si>
  <si>
    <t>TU_H2Ships_GB-BR</t>
  </si>
  <si>
    <t>TU_H2Ships_AU-CL</t>
  </si>
  <si>
    <t>TU_H2Ships_CO-CL</t>
  </si>
  <si>
    <t>TU_H2Ships_EG-CL</t>
  </si>
  <si>
    <t>TU_H2Ships_ET-CL</t>
  </si>
  <si>
    <t>TU_H2Ships_IN-CL</t>
  </si>
  <si>
    <t>TU_H2Ships_MX-CL</t>
  </si>
  <si>
    <t>TU_H2Ships_OM-CL</t>
  </si>
  <si>
    <t>TU_H2Ships_SA-CL</t>
  </si>
  <si>
    <t>TU_H2Ships_ZA-CL</t>
  </si>
  <si>
    <t>TU_H2Ships_ES-CL</t>
  </si>
  <si>
    <t>TU_H2Ships_US-CL</t>
  </si>
  <si>
    <t>TU_H2Ships_CN-CL</t>
  </si>
  <si>
    <t>TU_H2Ships_GR-CL</t>
  </si>
  <si>
    <t>TU_H2Ships_ID-CL</t>
  </si>
  <si>
    <t>TU_H2Ships_TR-CL</t>
  </si>
  <si>
    <t>TU_H2Ships_KG-CL</t>
  </si>
  <si>
    <t>TU_H2Ships_AT-CL</t>
  </si>
  <si>
    <t>TU_H2Ships_BE-CL</t>
  </si>
  <si>
    <t>TU_H2Ships_BG-CL</t>
  </si>
  <si>
    <t>TU_H2Ships_CA-CL</t>
  </si>
  <si>
    <t>TU_H2Ships_DK-CL</t>
  </si>
  <si>
    <t>TU_H2Ships_FR-CL</t>
  </si>
  <si>
    <t>TU_H2Ships_DE-CL</t>
  </si>
  <si>
    <t>TU_H2Ships_JP-CL</t>
  </si>
  <si>
    <t>TU_H2Ships_NO-CL</t>
  </si>
  <si>
    <t>TU_H2Ships_RU-CL</t>
  </si>
  <si>
    <t>TU_H2Ships_GB-CL</t>
  </si>
  <si>
    <t>TU_H2Ships_BR-CL</t>
  </si>
  <si>
    <t>TU_H2Ships_AU-CN</t>
  </si>
  <si>
    <t>TU_H2Ships_CO-CN</t>
  </si>
  <si>
    <t>TU_H2Ships_EG-CN</t>
  </si>
  <si>
    <t>TU_H2Ships_ET-CN</t>
  </si>
  <si>
    <t>TU_H2Ships_IN-CN</t>
  </si>
  <si>
    <t>TU_H2Ships_MX-CN</t>
  </si>
  <si>
    <t>TU_H2Ships_OM-CN</t>
  </si>
  <si>
    <t>TU_H2Ships_SA-CN</t>
  </si>
  <si>
    <t>TU_H2Ships_ZA-CN</t>
  </si>
  <si>
    <t>TU_H2Ships_ES-CN</t>
  </si>
  <si>
    <t>TU_H2Ships_US-CN</t>
  </si>
  <si>
    <t>TU_H2Ships_GR-CN</t>
  </si>
  <si>
    <t>TU_H2Ships_ID-CN</t>
  </si>
  <si>
    <t>TU_H2Ships_TR-CN</t>
  </si>
  <si>
    <t>TU_H2Ships_CL-CN</t>
  </si>
  <si>
    <t>TU_H2Ships_KG-CN</t>
  </si>
  <si>
    <t>TU_H2Ships_AT-CN</t>
  </si>
  <si>
    <t>TU_H2Ships_BE-CN</t>
  </si>
  <si>
    <t>TU_H2Ships_BG-CN</t>
  </si>
  <si>
    <t>TU_H2Ships_CA-CN</t>
  </si>
  <si>
    <t>TU_H2Ships_DK-CN</t>
  </si>
  <si>
    <t>TU_H2Ships_FR-CN</t>
  </si>
  <si>
    <t>TU_H2Ships_DE-CN</t>
  </si>
  <si>
    <t>TU_H2Ships_JP-CN</t>
  </si>
  <si>
    <t>TU_H2Ships_NO-CN</t>
  </si>
  <si>
    <t>TU_H2Ships_RU-CN</t>
  </si>
  <si>
    <t>TU_H2Ships_GB-CN</t>
  </si>
  <si>
    <t>TU_H2Ships_BR-CN</t>
  </si>
  <si>
    <t>TU_H2Ships_AU-EG</t>
  </si>
  <si>
    <t>TU_H2Ships_CO-EG</t>
  </si>
  <si>
    <t>TU_H2Ships_ET-EG</t>
  </si>
  <si>
    <t>TU_H2Ships_IN-EG</t>
  </si>
  <si>
    <t>TU_H2Ships_MX-EG</t>
  </si>
  <si>
    <t>TU_H2Ships_OM-EG</t>
  </si>
  <si>
    <t>TU_H2Ships_SA-EG</t>
  </si>
  <si>
    <t>TU_H2Ships_ZA-EG</t>
  </si>
  <si>
    <t>TU_H2Ships_ES-EG</t>
  </si>
  <si>
    <t>TU_H2Ships_US-EG</t>
  </si>
  <si>
    <t>TU_H2Ships_CN-EG</t>
  </si>
  <si>
    <t>TU_H2Ships_GR-EG</t>
  </si>
  <si>
    <t>TU_H2Ships_ID-EG</t>
  </si>
  <si>
    <t>TU_H2Ships_TR-EG</t>
  </si>
  <si>
    <t>TU_H2Ships_CL-EG</t>
  </si>
  <si>
    <t>TU_H2Ships_KG-EG</t>
  </si>
  <si>
    <t>TU_H2Ships_AT-EG</t>
  </si>
  <si>
    <t>TU_H2Ships_BE-EG</t>
  </si>
  <si>
    <t>TU_H2Ships_BG-EG</t>
  </si>
  <si>
    <t>TU_H2Ships_CA-EG</t>
  </si>
  <si>
    <t>TU_H2Ships_DK-EG</t>
  </si>
  <si>
    <t>TU_H2Ships_FR-EG</t>
  </si>
  <si>
    <t>TU_H2Ships_DE-EG</t>
  </si>
  <si>
    <t>TU_H2Ships_JP-EG</t>
  </si>
  <si>
    <t>TU_H2Ships_NO-EG</t>
  </si>
  <si>
    <t>TU_H2Ships_RU-EG</t>
  </si>
  <si>
    <t>TU_H2Ships_GB-EG</t>
  </si>
  <si>
    <t>TU_H2Ships_BR-EG</t>
  </si>
  <si>
    <t>TU_H2Ships_AU-FR</t>
  </si>
  <si>
    <t>TU_H2Ships_CO-FR</t>
  </si>
  <si>
    <t>TU_H2Ships_EG-FR</t>
  </si>
  <si>
    <t>TU_H2Ships_ET-FR</t>
  </si>
  <si>
    <t>TU_H2Ships_IN-FR</t>
  </si>
  <si>
    <t>TU_H2Ships_MX-FR</t>
  </si>
  <si>
    <t>TU_H2Ships_OM-FR</t>
  </si>
  <si>
    <t>TU_H2Ships_SA-FR</t>
  </si>
  <si>
    <t>TU_H2Ships_ZA-FR</t>
  </si>
  <si>
    <t>TU_H2Ships_ES-FR</t>
  </si>
  <si>
    <t>TU_H2Ships_US-FR</t>
  </si>
  <si>
    <t>TU_H2Ships_CN-FR</t>
  </si>
  <si>
    <t>TU_H2Ships_GR-FR</t>
  </si>
  <si>
    <t>TU_H2Ships_ID-FR</t>
  </si>
  <si>
    <t>TU_H2Ships_TR-FR</t>
  </si>
  <si>
    <t>TU_H2Ships_CL-FR</t>
  </si>
  <si>
    <t>TU_H2Ships_KG-FR</t>
  </si>
  <si>
    <t>TU_H2Ships_AT-FR</t>
  </si>
  <si>
    <t>TU_H2Ships_BE-FR</t>
  </si>
  <si>
    <t>TU_H2Ships_BG-FR</t>
  </si>
  <si>
    <t>TU_H2Ships_CA-FR</t>
  </si>
  <si>
    <t>TU_H2Ships_DK-FR</t>
  </si>
  <si>
    <t>TU_H2Ships_DE-FR</t>
  </si>
  <si>
    <t>TU_H2Ships_JP-FR</t>
  </si>
  <si>
    <t>TU_H2Ships_NO-FR</t>
  </si>
  <si>
    <t>TU_H2Ships_RU-FR</t>
  </si>
  <si>
    <t>TU_H2Ships_GB-FR</t>
  </si>
  <si>
    <t>TU_H2Ships_BR-FR</t>
  </si>
  <si>
    <t>TU_H2Ships_AU-DE</t>
  </si>
  <si>
    <t>TU_H2Ships_CO-DE</t>
  </si>
  <si>
    <t>TU_H2Ships_EG-DE</t>
  </si>
  <si>
    <t>TU_H2Ships_ET-DE</t>
  </si>
  <si>
    <t>TU_H2Ships_IN-DE</t>
  </si>
  <si>
    <t>TU_H2Ships_MX-DE</t>
  </si>
  <si>
    <t>TU_H2Ships_OM-DE</t>
  </si>
  <si>
    <t>TU_H2Ships_SA-DE</t>
  </si>
  <si>
    <t>TU_H2Ships_ZA-DE</t>
  </si>
  <si>
    <t>TU_H2Ships_ES-DE</t>
  </si>
  <si>
    <t>TU_H2Ships_US-DE</t>
  </si>
  <si>
    <t>TU_H2Ships_CN-DE</t>
  </si>
  <si>
    <t>TU_H2Ships_GR-DE</t>
  </si>
  <si>
    <t>TU_H2Ships_ID-DE</t>
  </si>
  <si>
    <t>TU_H2Ships_TR-DE</t>
  </si>
  <si>
    <t>TU_H2Ships_CL-DE</t>
  </si>
  <si>
    <t>TU_H2Ships_KG-DE</t>
  </si>
  <si>
    <t>TU_H2Ships_AT-DE</t>
  </si>
  <si>
    <t>TU_H2Ships_BE-DE</t>
  </si>
  <si>
    <t>TU_H2Ships_BG-DE</t>
  </si>
  <si>
    <t>TU_H2Ships_CA-DE</t>
  </si>
  <si>
    <t>TU_H2Ships_DK-DE</t>
  </si>
  <si>
    <t>TU_H2Ships_FR-DE</t>
  </si>
  <si>
    <t>TU_H2Ships_JP-DE</t>
  </si>
  <si>
    <t>TU_H2Ships_NO-DE</t>
  </si>
  <si>
    <t>TU_H2Ships_RU-DE</t>
  </si>
  <si>
    <t>TU_H2Ships_GB-DE</t>
  </si>
  <si>
    <t>TU_H2Ships_BR-DE</t>
  </si>
  <si>
    <t>TU_H2Ships_AU-IN</t>
  </si>
  <si>
    <t>TU_H2Ships_CO-IN</t>
  </si>
  <si>
    <t>TU_H2Ships_EG-IN</t>
  </si>
  <si>
    <t>TU_H2Ships_ET-IN</t>
  </si>
  <si>
    <t>TU_H2Ships_MX-IN</t>
  </si>
  <si>
    <t>TU_H2Ships_OM-IN</t>
  </si>
  <si>
    <t>TU_H2Ships_SA-IN</t>
  </si>
  <si>
    <t>TU_H2Ships_ZA-IN</t>
  </si>
  <si>
    <t>TU_H2Ships_ES-IN</t>
  </si>
  <si>
    <t>TU_H2Ships_US-IN</t>
  </si>
  <si>
    <t>TU_H2Ships_CN-IN</t>
  </si>
  <si>
    <t>TU_H2Ships_GR-IN</t>
  </si>
  <si>
    <t>TU_H2Ships_ID-IN</t>
  </si>
  <si>
    <t>TU_H2Ships_TR-IN</t>
  </si>
  <si>
    <t>TU_H2Ships_CL-IN</t>
  </si>
  <si>
    <t>TU_H2Ships_KG-IN</t>
  </si>
  <si>
    <t>TU_H2Ships_AT-IN</t>
  </si>
  <si>
    <t>TU_H2Ships_BE-IN</t>
  </si>
  <si>
    <t>TU_H2Ships_BG-IN</t>
  </si>
  <si>
    <t>TU_H2Ships_CA-IN</t>
  </si>
  <si>
    <t>TU_H2Ships_DK-IN</t>
  </si>
  <si>
    <t>TU_H2Ships_FR-IN</t>
  </si>
  <si>
    <t>TU_H2Ships_DE-IN</t>
  </si>
  <si>
    <t>TU_H2Ships_JP-IN</t>
  </si>
  <si>
    <t>TU_H2Ships_NO-IN</t>
  </si>
  <si>
    <t>TU_H2Ships_RU-IN</t>
  </si>
  <si>
    <t>TU_H2Ships_GB-IN</t>
  </si>
  <si>
    <t>TU_H2Ships_BR-IN</t>
  </si>
  <si>
    <t>TU_H2Ships_AU-ID</t>
  </si>
  <si>
    <t>TU_H2Ships_CO-ID</t>
  </si>
  <si>
    <t>TU_H2Ships_EG-ID</t>
  </si>
  <si>
    <t>TU_H2Ships_ET-ID</t>
  </si>
  <si>
    <t>TU_H2Ships_IN-ID</t>
  </si>
  <si>
    <t>TU_H2Ships_MX-ID</t>
  </si>
  <si>
    <t>TU_H2Ships_OM-ID</t>
  </si>
  <si>
    <t>TU_H2Ships_SA-ID</t>
  </si>
  <si>
    <t>TU_H2Ships_ZA-ID</t>
  </si>
  <si>
    <t>TU_H2Ships_ES-ID</t>
  </si>
  <si>
    <t>TU_H2Ships_US-ID</t>
  </si>
  <si>
    <t>TU_H2Ships_CN-ID</t>
  </si>
  <si>
    <t>TU_H2Ships_GR-ID</t>
  </si>
  <si>
    <t>TU_H2Ships_TR-ID</t>
  </si>
  <si>
    <t>TU_H2Ships_CL-ID</t>
  </si>
  <si>
    <t>TU_H2Ships_KG-ID</t>
  </si>
  <si>
    <t>TU_H2Ships_AT-ID</t>
  </si>
  <si>
    <t>TU_H2Ships_BE-ID</t>
  </si>
  <si>
    <t>TU_H2Ships_BG-ID</t>
  </si>
  <si>
    <t>TU_H2Ships_CA-ID</t>
  </si>
  <si>
    <t>TU_H2Ships_DK-ID</t>
  </si>
  <si>
    <t>TU_H2Ships_FR-ID</t>
  </si>
  <si>
    <t>TU_H2Ships_DE-ID</t>
  </si>
  <si>
    <t>TU_H2Ships_JP-ID</t>
  </si>
  <si>
    <t>TU_H2Ships_NO-ID</t>
  </si>
  <si>
    <t>TU_H2Ships_RU-ID</t>
  </si>
  <si>
    <t>TU_H2Ships_GB-ID</t>
  </si>
  <si>
    <t>TU_H2Ships_BR-ID</t>
  </si>
  <si>
    <t>TU_H2Ships_AU-IT</t>
  </si>
  <si>
    <t>TU_H2Ships_CO-IT</t>
  </si>
  <si>
    <t>TU_H2Ships_EG-IT</t>
  </si>
  <si>
    <t>TU_H2Ships_ET-IT</t>
  </si>
  <si>
    <t>TU_H2Ships_IN-IT</t>
  </si>
  <si>
    <t>TU_H2Ships_MX-IT</t>
  </si>
  <si>
    <t>TU_H2Ships_OM-IT</t>
  </si>
  <si>
    <t>TU_H2Ships_SA-IT</t>
  </si>
  <si>
    <t>TU_H2Ships_ZA-IT</t>
  </si>
  <si>
    <t>TU_H2Ships_ES-IT</t>
  </si>
  <si>
    <t>TU_H2Ships_US-IT</t>
  </si>
  <si>
    <t>TU_H2Ships_CN-IT</t>
  </si>
  <si>
    <t>TU_H2Ships_ID-IT</t>
  </si>
  <si>
    <t>TU_H2Ships_TR-IT</t>
  </si>
  <si>
    <t>TU_H2Ships_CL-IT</t>
  </si>
  <si>
    <t>TU_H2Ships_KG-IT</t>
  </si>
  <si>
    <t>TU_H2Ships_AT-IT</t>
  </si>
  <si>
    <t>TU_H2Ships_BE-IT</t>
  </si>
  <si>
    <t>TU_H2Ships_BG-IT</t>
  </si>
  <si>
    <t>TU_H2Ships_CA-IT</t>
  </si>
  <si>
    <t>TU_H2Ships_DK-IT</t>
  </si>
  <si>
    <t>TU_H2Ships_FR-IT</t>
  </si>
  <si>
    <t>TU_H2Ships_DE-IT</t>
  </si>
  <si>
    <t>TU_H2Ships_JP-IT</t>
  </si>
  <si>
    <t>TU_H2Ships_NO-IT</t>
  </si>
  <si>
    <t>TU_H2Ships_RU-IT</t>
  </si>
  <si>
    <t>TU_H2Ships_GB-IT</t>
  </si>
  <si>
    <t>TU_H2Ships_BR-IT</t>
  </si>
  <si>
    <t>TU_H2Ships_AU-JP</t>
  </si>
  <si>
    <t>TU_H2Ships_CO-JP</t>
  </si>
  <si>
    <t>TU_H2Ships_EG-JP</t>
  </si>
  <si>
    <t>TU_H2Ships_ET-JP</t>
  </si>
  <si>
    <t>TU_H2Ships_IN-JP</t>
  </si>
  <si>
    <t>TU_H2Ships_MX-JP</t>
  </si>
  <si>
    <t>TU_H2Ships_OM-JP</t>
  </si>
  <si>
    <t>TU_H2Ships_SA-JP</t>
  </si>
  <si>
    <t>TU_H2Ships_ZA-JP</t>
  </si>
  <si>
    <t>TU_H2Ships_ES-JP</t>
  </si>
  <si>
    <t>TU_H2Ships_US-JP</t>
  </si>
  <si>
    <t>TU_H2Ships_CN-JP</t>
  </si>
  <si>
    <t>TU_H2Ships_GR-JP</t>
  </si>
  <si>
    <t>TU_H2Ships_ID-JP</t>
  </si>
  <si>
    <t>TU_H2Ships_TR-JP</t>
  </si>
  <si>
    <t>TU_H2Ships_CL-JP</t>
  </si>
  <si>
    <t>TU_H2Ships_KG-JP</t>
  </si>
  <si>
    <t>TU_H2Ships_AT-JP</t>
  </si>
  <si>
    <t>TU_H2Ships_BE-JP</t>
  </si>
  <si>
    <t>TU_H2Ships_BG-JP</t>
  </si>
  <si>
    <t>TU_H2Ships_CA-JP</t>
  </si>
  <si>
    <t>TU_H2Ships_DK-JP</t>
  </si>
  <si>
    <t>TU_H2Ships_FR-JP</t>
  </si>
  <si>
    <t>TU_H2Ships_DE-JP</t>
  </si>
  <si>
    <t>TU_H2Ships_NO-JP</t>
  </si>
  <si>
    <t>TU_H2Ships_RU-JP</t>
  </si>
  <si>
    <t>TU_H2Ships_GB-JP</t>
  </si>
  <si>
    <t>TU_H2Ships_BR-JP</t>
  </si>
  <si>
    <t>TU_H2Ships_AU-NL</t>
  </si>
  <si>
    <t>TU_H2Ships_CO-NL</t>
  </si>
  <si>
    <t>TU_H2Ships_EG-NL</t>
  </si>
  <si>
    <t>TU_H2Ships_ET-NL</t>
  </si>
  <si>
    <t>TU_H2Ships_IN-NL</t>
  </si>
  <si>
    <t>TU_H2Ships_MX-NL</t>
  </si>
  <si>
    <t>TU_H2Ships_OM-NL</t>
  </si>
  <si>
    <t>TU_H2Ships_SA-NL</t>
  </si>
  <si>
    <t>TU_H2Ships_ZA-NL</t>
  </si>
  <si>
    <t>TU_H2Ships_ES-NL</t>
  </si>
  <si>
    <t>TU_H2Ships_US-NL</t>
  </si>
  <si>
    <t>TU_H2Ships_CN-NL</t>
  </si>
  <si>
    <t>TU_H2Ships_GR-NL</t>
  </si>
  <si>
    <t>TU_H2Ships_ID-NL</t>
  </si>
  <si>
    <t>TU_H2Ships_TR-NL</t>
  </si>
  <si>
    <t>TU_H2Ships_CL-NL</t>
  </si>
  <si>
    <t>TU_H2Ships_KG-NL</t>
  </si>
  <si>
    <t>TU_H2Ships_AT-NL</t>
  </si>
  <si>
    <t>TU_H2Ships_BG-NL</t>
  </si>
  <si>
    <t>TU_H2Ships_CA-NL</t>
  </si>
  <si>
    <t>TU_H2Ships_DK-NL</t>
  </si>
  <si>
    <t>TU_H2Ships_FR-NL</t>
  </si>
  <si>
    <t>TU_H2Ships_DE-NL</t>
  </si>
  <si>
    <t>TU_H2Ships_JP-NL</t>
  </si>
  <si>
    <t>TU_H2Ships_NO-NL</t>
  </si>
  <si>
    <t>TU_H2Ships_RU-NL</t>
  </si>
  <si>
    <t>TU_H2Ships_GB-NL</t>
  </si>
  <si>
    <t>TU_H2Ships_BR-NL</t>
  </si>
  <si>
    <t>TU_H2Ships_AU-NG</t>
  </si>
  <si>
    <t>TU_H2Ships_CO-NG</t>
  </si>
  <si>
    <t>TU_H2Ships_EG-NG</t>
  </si>
  <si>
    <t>TU_H2Ships_IN-NG</t>
  </si>
  <si>
    <t>TU_H2Ships_MX-NG</t>
  </si>
  <si>
    <t>TU_H2Ships_OM-NG</t>
  </si>
  <si>
    <t>TU_H2Ships_SA-NG</t>
  </si>
  <si>
    <t>TU_H2Ships_ZA-NG</t>
  </si>
  <si>
    <t>TU_H2Ships_ES-NG</t>
  </si>
  <si>
    <t>TU_H2Ships_US-NG</t>
  </si>
  <si>
    <t>TU_H2Ships_CN-NG</t>
  </si>
  <si>
    <t>TU_H2Ships_GR-NG</t>
  </si>
  <si>
    <t>TU_H2Ships_ID-NG</t>
  </si>
  <si>
    <t>TU_H2Ships_TR-NG</t>
  </si>
  <si>
    <t>TU_H2Ships_CL-NG</t>
  </si>
  <si>
    <t>TU_H2Ships_KG-NG</t>
  </si>
  <si>
    <t>TU_H2Ships_AT-NG</t>
  </si>
  <si>
    <t>TU_H2Ships_BE-NG</t>
  </si>
  <si>
    <t>TU_H2Ships_BG-NG</t>
  </si>
  <si>
    <t>TU_H2Ships_CA-NG</t>
  </si>
  <si>
    <t>TU_H2Ships_DK-NG</t>
  </si>
  <si>
    <t>TU_H2Ships_FR-NG</t>
  </si>
  <si>
    <t>TU_H2Ships_DE-NG</t>
  </si>
  <si>
    <t>TU_H2Ships_JP-NG</t>
  </si>
  <si>
    <t>TU_H2Ships_NO-NG</t>
  </si>
  <si>
    <t>TU_H2Ships_RU-NG</t>
  </si>
  <si>
    <t>TU_H2Ships_GB-NG</t>
  </si>
  <si>
    <t>TU_H2Ships_BR-NG</t>
  </si>
  <si>
    <t>TU_H2Ships_AU-PL</t>
  </si>
  <si>
    <t>TU_H2Ships_CO-PL</t>
  </si>
  <si>
    <t>TU_H2Ships_EG-PL</t>
  </si>
  <si>
    <t>TU_H2Ships_ET-PL</t>
  </si>
  <si>
    <t>TU_H2Ships_IN-PL</t>
  </si>
  <si>
    <t>TU_H2Ships_MX-PL</t>
  </si>
  <si>
    <t>TU_H2Ships_OM-PL</t>
  </si>
  <si>
    <t>TU_H2Ships_SA-PL</t>
  </si>
  <si>
    <t>TU_H2Ships_ZA-PL</t>
  </si>
  <si>
    <t>TU_H2Ships_ES-PL</t>
  </si>
  <si>
    <t>TU_H2Ships_US-PL</t>
  </si>
  <si>
    <t>TU_H2Ships_CN-PL</t>
  </si>
  <si>
    <t>TU_H2Ships_GR-PL</t>
  </si>
  <si>
    <t>TU_H2Ships_ID-PL</t>
  </si>
  <si>
    <t>TU_H2Ships_TR-PL</t>
  </si>
  <si>
    <t>TU_H2Ships_CL-PL</t>
  </si>
  <si>
    <t>TU_H2Ships_KG-PL</t>
  </si>
  <si>
    <t>TU_H2Ships_BE-PL</t>
  </si>
  <si>
    <t>TU_H2Ships_BG-PL</t>
  </si>
  <si>
    <t>TU_H2Ships_CA-PL</t>
  </si>
  <si>
    <t>TU_H2Ships_DK-PL</t>
  </si>
  <si>
    <t>TU_H2Ships_FR-PL</t>
  </si>
  <si>
    <t>TU_H2Ships_DE-PL</t>
  </si>
  <si>
    <t>TU_H2Ships_JP-PL</t>
  </si>
  <si>
    <t>TU_H2Ships_NO-PL</t>
  </si>
  <si>
    <t>TU_H2Ships_RU-PL</t>
  </si>
  <si>
    <t>TU_H2Ships_GB-PL</t>
  </si>
  <si>
    <t>TU_H2Ships_BR-PL</t>
  </si>
  <si>
    <t>TU_H2Ships_AU-ZA</t>
  </si>
  <si>
    <t>TU_H2Ships_CO-ZA</t>
  </si>
  <si>
    <t>TU_H2Ships_EG-ZA</t>
  </si>
  <si>
    <t>TU_H2Ships_ET-ZA</t>
  </si>
  <si>
    <t>TU_H2Ships_IN-ZA</t>
  </si>
  <si>
    <t>TU_H2Ships_MX-ZA</t>
  </si>
  <si>
    <t>TU_H2Ships_OM-ZA</t>
  </si>
  <si>
    <t>TU_H2Ships_SA-ZA</t>
  </si>
  <si>
    <t>TU_H2Ships_ES-ZA</t>
  </si>
  <si>
    <t>TU_H2Ships_US-ZA</t>
  </si>
  <si>
    <t>TU_H2Ships_CN-ZA</t>
  </si>
  <si>
    <t>TU_H2Ships_GR-ZA</t>
  </si>
  <si>
    <t>TU_H2Ships_ID-ZA</t>
  </si>
  <si>
    <t>TU_H2Ships_TR-ZA</t>
  </si>
  <si>
    <t>TU_H2Ships_CL-ZA</t>
  </si>
  <si>
    <t>TU_H2Ships_KG-ZA</t>
  </si>
  <si>
    <t>TU_H2Ships_AT-ZA</t>
  </si>
  <si>
    <t>TU_H2Ships_BE-ZA</t>
  </si>
  <si>
    <t>TU_H2Ships_BG-ZA</t>
  </si>
  <si>
    <t>TU_H2Ships_CA-ZA</t>
  </si>
  <si>
    <t>TU_H2Ships_DK-ZA</t>
  </si>
  <si>
    <t>TU_H2Ships_FR-ZA</t>
  </si>
  <si>
    <t>TU_H2Ships_DE-ZA</t>
  </si>
  <si>
    <t>TU_H2Ships_JP-ZA</t>
  </si>
  <si>
    <t>TU_H2Ships_NO-ZA</t>
  </si>
  <si>
    <t>TU_H2Ships_RU-ZA</t>
  </si>
  <si>
    <t>TU_H2Ships_GB-ZA</t>
  </si>
  <si>
    <t>TU_H2Ships_BR-ZA</t>
  </si>
  <si>
    <t>TU_H2Ships_AU-ES</t>
  </si>
  <si>
    <t>TU_H2Ships_CO-ES</t>
  </si>
  <si>
    <t>TU_H2Ships_EG-ES</t>
  </si>
  <si>
    <t>TU_H2Ships_ET-ES</t>
  </si>
  <si>
    <t>TU_H2Ships_IN-ES</t>
  </si>
  <si>
    <t>TU_H2Ships_MX-ES</t>
  </si>
  <si>
    <t>TU_H2Ships_OM-ES</t>
  </si>
  <si>
    <t>TU_H2Ships_SA-ES</t>
  </si>
  <si>
    <t>TU_H2Ships_ZA-ES</t>
  </si>
  <si>
    <t>TU_H2Ships_US-ES</t>
  </si>
  <si>
    <t>TU_H2Ships_CN-ES</t>
  </si>
  <si>
    <t>TU_H2Ships_GR-ES</t>
  </si>
  <si>
    <t>TU_H2Ships_ID-ES</t>
  </si>
  <si>
    <t>TU_H2Ships_TR-ES</t>
  </si>
  <si>
    <t>TU_H2Ships_CL-ES</t>
  </si>
  <si>
    <t>TU_H2Ships_KG-ES</t>
  </si>
  <si>
    <t>TU_H2Ships_AT-ES</t>
  </si>
  <si>
    <t>TU_H2Ships_BE-ES</t>
  </si>
  <si>
    <t>TU_H2Ships_BG-ES</t>
  </si>
  <si>
    <t>TU_H2Ships_CA-ES</t>
  </si>
  <si>
    <t>TU_H2Ships_DK-ES</t>
  </si>
  <si>
    <t>TU_H2Ships_FR-ES</t>
  </si>
  <si>
    <t>TU_H2Ships_DE-ES</t>
  </si>
  <si>
    <t>TU_H2Ships_JP-ES</t>
  </si>
  <si>
    <t>TU_H2Ships_NO-ES</t>
  </si>
  <si>
    <t>TU_H2Ships_RU-ES</t>
  </si>
  <si>
    <t>TU_H2Ships_GB-ES</t>
  </si>
  <si>
    <t>TU_H2Ships_BR-ES</t>
  </si>
  <si>
    <t>TU_H2Ships_AU-GB</t>
  </si>
  <si>
    <t>TU_H2Ships_CO-GB</t>
  </si>
  <si>
    <t>TU_H2Ships_EG-GB</t>
  </si>
  <si>
    <t>TU_H2Ships_ET-GB</t>
  </si>
  <si>
    <t>TU_H2Ships_IN-GB</t>
  </si>
  <si>
    <t>TU_H2Ships_MX-GB</t>
  </si>
  <si>
    <t>TU_H2Ships_OM-GB</t>
  </si>
  <si>
    <t>TU_H2Ships_SA-GB</t>
  </si>
  <si>
    <t>TU_H2Ships_ZA-GB</t>
  </si>
  <si>
    <t>TU_H2Ships_ES-GB</t>
  </si>
  <si>
    <t>TU_H2Ships_US-GB</t>
  </si>
  <si>
    <t>TU_H2Ships_CN-GB</t>
  </si>
  <si>
    <t>TU_H2Ships_GR-GB</t>
  </si>
  <si>
    <t>TU_H2Ships_ID-GB</t>
  </si>
  <si>
    <t>TU_H2Ships_TR-GB</t>
  </si>
  <si>
    <t>TU_H2Ships_CL-GB</t>
  </si>
  <si>
    <t>TU_H2Ships_KG-GB</t>
  </si>
  <si>
    <t>TU_H2Ships_AT-GB</t>
  </si>
  <si>
    <t>TU_H2Ships_BE-GB</t>
  </si>
  <si>
    <t>TU_H2Ships_BG-GB</t>
  </si>
  <si>
    <t>TU_H2Ships_CA-GB</t>
  </si>
  <si>
    <t>TU_H2Ships_DK-GB</t>
  </si>
  <si>
    <t>TU_H2Ships_FR-GB</t>
  </si>
  <si>
    <t>TU_H2Ships_DE-GB</t>
  </si>
  <si>
    <t>TU_H2Ships_JP-GB</t>
  </si>
  <si>
    <t>TU_H2Ships_NO-GB</t>
  </si>
  <si>
    <t>TU_H2Ships_RU-GB</t>
  </si>
  <si>
    <t>TU_H2Ships_BR-GB</t>
  </si>
  <si>
    <t>TU_H2Ships_AU-US</t>
  </si>
  <si>
    <t>TU_H2Ships_CO-US</t>
  </si>
  <si>
    <t>TU_H2Ships_EG-US</t>
  </si>
  <si>
    <t>TU_H2Ships_ET-US</t>
  </si>
  <si>
    <t>TU_H2Ships_IN-US</t>
  </si>
  <si>
    <t>TU_H2Ships_MX-US</t>
  </si>
  <si>
    <t>TU_H2Ships_OM-US</t>
  </si>
  <si>
    <t>TU_H2Ships_SA-US</t>
  </si>
  <si>
    <t>TU_H2Ships_ZA-US</t>
  </si>
  <si>
    <t>TU_H2Ships_ES-US</t>
  </si>
  <si>
    <t>TU_H2Ships_CN-US</t>
  </si>
  <si>
    <t>TU_H2Ships_GR-US</t>
  </si>
  <si>
    <t>TU_H2Ships_ID-US</t>
  </si>
  <si>
    <t>TU_H2Ships_TR-US</t>
  </si>
  <si>
    <t>TU_H2Ships_CL-US</t>
  </si>
  <si>
    <t>TU_H2Ships_KG-US</t>
  </si>
  <si>
    <t>TU_H2Ships_AT-US</t>
  </si>
  <si>
    <t>TU_H2Ships_BE-US</t>
  </si>
  <si>
    <t>TU_H2Ships_BG-US</t>
  </si>
  <si>
    <t>TU_H2Ships_CA-US</t>
  </si>
  <si>
    <t>TU_H2Ships_DK-US</t>
  </si>
  <si>
    <t>TU_H2Ships_FR-US</t>
  </si>
  <si>
    <t>TU_H2Ships_DE-US</t>
  </si>
  <si>
    <t>TU_H2Ships_JP-US</t>
  </si>
  <si>
    <t>TU_H2Ships_NO-US</t>
  </si>
  <si>
    <t>TU_H2Ships_RU-US</t>
  </si>
  <si>
    <t>TU_H2Ships_GB-US</t>
  </si>
  <si>
    <t>TU_H2Ships_BR-US</t>
  </si>
  <si>
    <t>TU_H2Pip_BO-BR</t>
  </si>
  <si>
    <t>TU_H2Pip_CL-BR</t>
  </si>
  <si>
    <t>TU_H2Pip_BO-CL</t>
  </si>
  <si>
    <t>TU_H2Pip_BR-CL</t>
  </si>
  <si>
    <t>TU_H2Pip_IR-CN</t>
  </si>
  <si>
    <t>TU_H2Pip_KG-CN</t>
  </si>
  <si>
    <t>TU_H2Pip_MM-CN</t>
  </si>
  <si>
    <t>TU_H2Pip_RU-CN</t>
  </si>
  <si>
    <t>TU_H2Pip_IR-FR</t>
  </si>
  <si>
    <t>TU_H2Pip_KG-FR</t>
  </si>
  <si>
    <t>TU_H2Pip_RU-FR</t>
  </si>
  <si>
    <t>TU_H2Pip_MA-FR</t>
  </si>
  <si>
    <t>TU_H2Pip_ES-FR</t>
  </si>
  <si>
    <t>TU_H2Pip_GR-FR</t>
  </si>
  <si>
    <t>TU_H2Pip_TR-FR</t>
  </si>
  <si>
    <t>TU_H2Pip_AT-FR</t>
  </si>
  <si>
    <t>TU_H2Pip_BE-FR</t>
  </si>
  <si>
    <t>TU_H2Pip_BG-FR</t>
  </si>
  <si>
    <t>TU_H2Pip_DK-FR</t>
  </si>
  <si>
    <t>TU_H2Pip_DE-FR</t>
  </si>
  <si>
    <t>TU_H2Pip_NO-FR</t>
  </si>
  <si>
    <t>TU_H2Pip_GB-FR</t>
  </si>
  <si>
    <t>TU_H2Pip_IR-DE</t>
  </si>
  <si>
    <t>TU_H2Pip_KG-DE</t>
  </si>
  <si>
    <t>TU_H2Pip_RU-DE</t>
  </si>
  <si>
    <t>TU_H2Pip_MA-DE</t>
  </si>
  <si>
    <t>TU_H2Pip_ES-DE</t>
  </si>
  <si>
    <t>TU_H2Pip_GR-DE</t>
  </si>
  <si>
    <t>TU_H2Pip_TR-DE</t>
  </si>
  <si>
    <t>TU_H2Pip_AT-DE</t>
  </si>
  <si>
    <t>TU_H2Pip_BE-DE</t>
  </si>
  <si>
    <t>TU_H2Pip_BG-DE</t>
  </si>
  <si>
    <t>TU_H2Pip_DK-DE</t>
  </si>
  <si>
    <t>TU_H2Pip_NO-DE</t>
  </si>
  <si>
    <t>TU_H2Pip_GB-DE</t>
  </si>
  <si>
    <t>TU_H2Pip_FR-DE</t>
  </si>
  <si>
    <t>TU_H2Pip_IR-IT</t>
  </si>
  <si>
    <t>TU_H2Pip_KG-IT</t>
  </si>
  <si>
    <t>TU_H2Pip_RU-IT</t>
  </si>
  <si>
    <t>TU_H2Pip_MA-IT</t>
  </si>
  <si>
    <t>TU_H2Pip_ES-IT</t>
  </si>
  <si>
    <t>TU_H2Pip_TR-IT</t>
  </si>
  <si>
    <t>TU_H2Pip_AT-IT</t>
  </si>
  <si>
    <t>TU_H2Pip_BE-IT</t>
  </si>
  <si>
    <t>TU_H2Pip_BG-IT</t>
  </si>
  <si>
    <t>TU_H2Pip_DK-IT</t>
  </si>
  <si>
    <t>TU_H2Pip_DE-IT</t>
  </si>
  <si>
    <t>TU_H2Pip_NO-IT</t>
  </si>
  <si>
    <t>TU_H2Pip_GB-IT</t>
  </si>
  <si>
    <t>TU_H2Pip_FR-IT</t>
  </si>
  <si>
    <t>TU_H2Pip_IR-NL</t>
  </si>
  <si>
    <t>TU_H2Pip_KG-NL</t>
  </si>
  <si>
    <t>TU_H2Pip_RU-NL</t>
  </si>
  <si>
    <t>TU_H2Pip_MA-NL</t>
  </si>
  <si>
    <t>TU_H2Pip_ES-NL</t>
  </si>
  <si>
    <t>TU_H2Pip_GR-NL</t>
  </si>
  <si>
    <t>TU_H2Pip_TR-NL</t>
  </si>
  <si>
    <t>TU_H2Pip_AT-NL</t>
  </si>
  <si>
    <t>TU_H2Pip_BG-NL</t>
  </si>
  <si>
    <t>TU_H2Pip_DK-NL</t>
  </si>
  <si>
    <t>TU_H2Pip_DE-NL</t>
  </si>
  <si>
    <t>TU_H2Pip_NO-NL</t>
  </si>
  <si>
    <t>TU_H2Pip_GB-NL</t>
  </si>
  <si>
    <t>TU_H2Pip_FR-NL</t>
  </si>
  <si>
    <t>TU_H2Pip_IR-PL</t>
  </si>
  <si>
    <t>TU_H2Pip_KG-PL</t>
  </si>
  <si>
    <t>TU_H2Pip_RU-PL</t>
  </si>
  <si>
    <t>TU_H2Pip_MA-PL</t>
  </si>
  <si>
    <t>TU_H2Pip_ES-PL</t>
  </si>
  <si>
    <t>TU_H2Pip_GR-PL</t>
  </si>
  <si>
    <t>TU_H2Pip_TR-PL</t>
  </si>
  <si>
    <t>TU_H2Pip_BE-PL</t>
  </si>
  <si>
    <t>TU_H2Pip_BG-PL</t>
  </si>
  <si>
    <t>TU_H2Pip_DK-PL</t>
  </si>
  <si>
    <t>TU_H2Pip_DE-PL</t>
  </si>
  <si>
    <t>TU_H2Pip_NO-PL</t>
  </si>
  <si>
    <t>TU_H2Pip_GB-PL</t>
  </si>
  <si>
    <t>TU_H2Pip_FR-PL</t>
  </si>
  <si>
    <t>TU_H2Pip_IR-ES</t>
  </si>
  <si>
    <t>TU_H2Pip_KG-ES</t>
  </si>
  <si>
    <t>TU_H2Pip_RU-ES</t>
  </si>
  <si>
    <t>TU_H2Pip_MA-ES</t>
  </si>
  <si>
    <t>TU_H2Pip_GR-ES</t>
  </si>
  <si>
    <t>TU_H2Pip_TR-ES</t>
  </si>
  <si>
    <t>TU_H2Pip_AT-ES</t>
  </si>
  <si>
    <t>TU_H2Pip_BE-ES</t>
  </si>
  <si>
    <t>TU_H2Pip_BG-ES</t>
  </si>
  <si>
    <t>TU_H2Pip_DK-ES</t>
  </si>
  <si>
    <t>TU_H2Pip_DE-ES</t>
  </si>
  <si>
    <t>TU_H2Pip_NO-ES</t>
  </si>
  <si>
    <t>TU_H2Pip_GB-ES</t>
  </si>
  <si>
    <t>TU_H2Pip_FR-ES</t>
  </si>
  <si>
    <t>TU_H2Pip_IR-GB</t>
  </si>
  <si>
    <t>TU_H2Pip_KG-GB</t>
  </si>
  <si>
    <t>TU_H2Pip_RU-GB</t>
  </si>
  <si>
    <t>TU_H2Pip_MA-GB</t>
  </si>
  <si>
    <t>TU_H2Pip_ES-GB</t>
  </si>
  <si>
    <t>TU_H2Pip_GR-GB</t>
  </si>
  <si>
    <t>TU_H2Pip_TR-GB</t>
  </si>
  <si>
    <t>TU_H2Pip_AT-GB</t>
  </si>
  <si>
    <t>TU_H2Pip_BE-GB</t>
  </si>
  <si>
    <t>TU_H2Pip_BG-GB</t>
  </si>
  <si>
    <t>TU_H2Pip_DK-GB</t>
  </si>
  <si>
    <t>TU_H2Pip_DE-GB</t>
  </si>
  <si>
    <t>TU_H2Pip_NO-GB</t>
  </si>
  <si>
    <t>TU_H2Pip_FR-GB</t>
  </si>
  <si>
    <t>TU_H2Pip_CN-GB</t>
  </si>
  <si>
    <t>TU_H2Pip_IL-EG</t>
  </si>
  <si>
    <t>TU_H2Pip_PK-IN</t>
  </si>
  <si>
    <t>TU_H2Pip_MZ-ZA</t>
  </si>
  <si>
    <t>TU_H2Pip_MX-US</t>
  </si>
  <si>
    <t>TU_H2Pip_CA-US</t>
  </si>
  <si>
    <t>TU_H2Pip_CN-ES</t>
  </si>
  <si>
    <t>GlbMarket_NH3</t>
  </si>
  <si>
    <t>~TFM_DINS-AT</t>
  </si>
  <si>
    <t>Curr</t>
  </si>
  <si>
    <t>USD21</t>
  </si>
  <si>
    <t>ACT_COST</t>
  </si>
  <si>
    <t>Total costs (divide by 2 to get cost for each region)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</si>
</sst>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1" formatCode="_-* #,##0_-;\-* #,##0_-;_-* &quot;-&quot;_-;_-@_-"/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&quot;$&quot;#,##0_);\(&quot;$&quot;#,##0\)"/>
    <numFmt numFmtId="167" formatCode="_([$€]* #,##0.00_);_([$€]* \(#,##0.00\);_([$€]* &quot;-&quot;??_);_(@_)"/>
    <numFmt numFmtId="168" formatCode="_ &quot;kr&quot;\ * #,##0_ ;_ &quot;kr&quot;\ * \-#,##0_ ;_ &quot;kr&quot;\ * &quot;-&quot;_ ;_ @_ "/>
    <numFmt numFmtId="169" formatCode="_ &quot;kr&quot;\ * #,##0.00_ ;_ &quot;kr&quot;\ * \-#,##0.00_ ;_ &quot;kr&quot;\ * &quot;-&quot;??_ ;_ @_ "/>
    <numFmt numFmtId="170" formatCode="_([$€-2]* #,##0.00_);_([$€-2]* \(#,##0.00\);_([$€-2]* &quot;-&quot;??_)"/>
    <numFmt numFmtId="171" formatCode="_-[$€]* #,##0.00_-;\-[$€]* #,##0.00_-;_-[$€]* &quot;-&quot;??_-;_-@_-"/>
    <numFmt numFmtId="172" formatCode="_-&quot;$&quot;* #,##0.00_-;\-&quot;$&quot;* #,##0.00_-;_-&quot;$&quot;* &quot;-&quot;??_-;_-@_-"/>
    <numFmt numFmtId="173" formatCode="_-* #,##0.00\ _€_-;\-* #,##0.00\ _€_-;_-* &quot;-&quot;??\ _€_-;_-@_-"/>
    <numFmt numFmtId="174" formatCode="0.0%"/>
    <numFmt numFmtId="175" formatCode="\(##\);\(##\)"/>
    <numFmt numFmtId="176" formatCode="#,##0.0"/>
    <numFmt numFmtId="177" formatCode="_-[$€-2]\ * #,##0.00_-;\-[$€-2]\ * #,##0.00_-;_-[$€-2]\ * &quot;-&quot;??_-"/>
    <numFmt numFmtId="178" formatCode="#,##0;\-\ #,##0;_-\ &quot;- &quot;"/>
    <numFmt numFmtId="179" formatCode="_-&quot;€&quot;\ * #,##0.00_-;\-&quot;€&quot;\ * #,##0.00_-;_-&quot;€&quot;\ * &quot;-&quot;??_-;_-@_-"/>
    <numFmt numFmtId="180" formatCode="General_)"/>
    <numFmt numFmtId="181" formatCode="m\o\n\th\ d\,\ yyyy"/>
    <numFmt numFmtId="182" formatCode="#.00"/>
    <numFmt numFmtId="183" formatCode="#."/>
    <numFmt numFmtId="184" formatCode="yyyy"/>
  </numFmts>
  <fonts count="6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rgb="FF9C6500"/>
      <name val="Calibri"/>
      <family val="2"/>
      <scheme val="minor"/>
    </font>
    <font>
      <b/>
      <sz val="10"/>
      <name val="Arial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11"/>
      <color indexed="60"/>
      <name val="Calibri"/>
      <family val="2"/>
      <charset val="161"/>
    </font>
    <font>
      <sz val="10"/>
      <name val="Helvetica"/>
      <family val="2"/>
    </font>
    <font>
      <sz val="8"/>
      <color indexed="9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u/>
      <sz val="10"/>
      <color indexed="12"/>
      <name val="Arial"/>
      <family val="2"/>
    </font>
    <font>
      <b/>
      <sz val="11"/>
      <color indexed="10"/>
      <name val="Calibri"/>
      <family val="2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</fonts>
  <fills count="7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3453">
    <xf numFmtId="0" fontId="0" fillId="0" borderId="0"/>
    <xf numFmtId="0" fontId="2" fillId="0" borderId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9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6" fillId="6" borderId="4" applyNumberFormat="0" applyAlignment="0" applyProtection="0"/>
    <xf numFmtId="0" fontId="17" fillId="0" borderId="6" applyNumberFormat="0" applyFill="0" applyAlignment="0" applyProtection="0"/>
    <xf numFmtId="0" fontId="18" fillId="7" borderId="7" applyNumberFormat="0" applyAlignment="0" applyProtection="0"/>
    <xf numFmtId="0" fontId="19" fillId="0" borderId="0" applyNumberFormat="0" applyFill="0" applyBorder="0" applyAlignment="0" applyProtection="0"/>
    <xf numFmtId="0" fontId="8" fillId="8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22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22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22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22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22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23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40" borderId="0" applyNumberFormat="0" applyBorder="0" applyAlignment="0" applyProtection="0"/>
    <xf numFmtId="0" fontId="24" fillId="33" borderId="0" applyNumberFormat="0" applyBorder="0" applyAlignment="0" applyProtection="0"/>
    <xf numFmtId="0" fontId="25" fillId="41" borderId="10" applyNumberFormat="0" applyAlignment="0" applyProtection="0"/>
    <xf numFmtId="0" fontId="26" fillId="34" borderId="0" applyNumberFormat="0" applyBorder="0" applyAlignment="0" applyProtection="0"/>
    <xf numFmtId="0" fontId="27" fillId="0" borderId="12" applyNumberFormat="0" applyFill="0" applyAlignment="0" applyProtection="0"/>
    <xf numFmtId="0" fontId="28" fillId="0" borderId="13" applyNumberFormat="0" applyFill="0" applyAlignment="0" applyProtection="0"/>
    <xf numFmtId="0" fontId="29" fillId="0" borderId="14" applyNumberFormat="0" applyFill="0" applyAlignment="0" applyProtection="0"/>
    <xf numFmtId="0" fontId="29" fillId="0" borderId="0" applyNumberFormat="0" applyFill="0" applyBorder="0" applyAlignment="0" applyProtection="0"/>
    <xf numFmtId="0" fontId="30" fillId="0" borderId="15" applyNumberFormat="0" applyFill="0" applyAlignment="0" applyProtection="0"/>
    <xf numFmtId="0" fontId="31" fillId="42" borderId="0" applyNumberFormat="0" applyBorder="0" applyAlignment="0" applyProtection="0"/>
    <xf numFmtId="0" fontId="2" fillId="0" borderId="0"/>
    <xf numFmtId="0" fontId="1" fillId="0" borderId="0"/>
    <xf numFmtId="0" fontId="2" fillId="0" borderId="0"/>
    <xf numFmtId="0" fontId="2" fillId="43" borderId="16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11" applyNumberFormat="0" applyFill="0" applyAlignment="0" applyProtection="0"/>
    <xf numFmtId="0" fontId="34" fillId="4" borderId="0" applyNumberFormat="0" applyBorder="0" applyAlignment="0" applyProtection="0"/>
    <xf numFmtId="0" fontId="2" fillId="0" borderId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36" fillId="54" borderId="17" applyNumberFormat="0" applyAlignment="0" applyProtection="0"/>
    <xf numFmtId="0" fontId="36" fillId="54" borderId="17" applyNumberFormat="0" applyAlignment="0" applyProtection="0"/>
    <xf numFmtId="0" fontId="25" fillId="41" borderId="10" applyNumberFormat="0" applyAlignment="0" applyProtection="0"/>
    <xf numFmtId="0" fontId="25" fillId="41" borderId="10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8" fillId="47" borderId="17" applyNumberFormat="0" applyAlignment="0" applyProtection="0"/>
    <xf numFmtId="0" fontId="38" fillId="47" borderId="17" applyNumberFormat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43" fillId="42" borderId="0" applyNumberFormat="0" applyBorder="0" applyAlignment="0" applyProtection="0"/>
    <xf numFmtId="0" fontId="8" fillId="0" borderId="0"/>
    <xf numFmtId="0" fontId="2" fillId="0" borderId="0"/>
    <xf numFmtId="0" fontId="2" fillId="0" borderId="0"/>
    <xf numFmtId="0" fontId="1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1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ont="0" applyFill="0" applyBorder="0" applyAlignment="0" applyProtection="0"/>
    <xf numFmtId="0" fontId="41" fillId="0" borderId="0"/>
    <xf numFmtId="0" fontId="1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39" fillId="54" borderId="18" applyNumberFormat="0" applyAlignment="0" applyProtection="0"/>
    <xf numFmtId="0" fontId="39" fillId="54" borderId="18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0" fontId="2" fillId="0" borderId="0"/>
    <xf numFmtId="0" fontId="2" fillId="0" borderId="19" applyNumberFormat="0" applyFill="0" applyProtection="0">
      <alignment horizontal="right"/>
    </xf>
    <xf numFmtId="0" fontId="2" fillId="0" borderId="19" applyNumberFormat="0" applyFill="0" applyProtection="0">
      <alignment horizontal="right"/>
    </xf>
    <xf numFmtId="0" fontId="35" fillId="55" borderId="19" applyNumberFormat="0" applyProtection="0">
      <alignment horizontal="right"/>
    </xf>
    <xf numFmtId="0" fontId="42" fillId="55" borderId="0" applyNumberFormat="0" applyBorder="0" applyProtection="0">
      <alignment horizontal="left"/>
    </xf>
    <xf numFmtId="0" fontId="35" fillId="55" borderId="19" applyNumberFormat="0" applyProtection="0">
      <alignment horizontal="left"/>
    </xf>
    <xf numFmtId="0" fontId="2" fillId="0" borderId="19" applyNumberFormat="0" applyFill="0" applyProtection="0">
      <alignment horizontal="right"/>
    </xf>
    <xf numFmtId="0" fontId="2" fillId="0" borderId="19" applyNumberFormat="0" applyFill="0" applyProtection="0">
      <alignment horizontal="right"/>
    </xf>
    <xf numFmtId="0" fontId="45" fillId="56" borderId="0" applyNumberFormat="0" applyBorder="0" applyProtection="0">
      <alignment horizontal="left"/>
    </xf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1" applyNumberFormat="0" applyFill="0" applyAlignment="0" applyProtection="0"/>
    <xf numFmtId="169" fontId="44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8" fillId="0" borderId="0"/>
    <xf numFmtId="0" fontId="8" fillId="0" borderId="0"/>
    <xf numFmtId="0" fontId="2" fillId="0" borderId="0"/>
    <xf numFmtId="0" fontId="2" fillId="0" borderId="0" applyNumberFormat="0" applyFont="0" applyFill="0" applyBorder="0" applyProtection="0">
      <alignment horizontal="left" vertical="center" indent="5"/>
    </xf>
    <xf numFmtId="4" fontId="46" fillId="57" borderId="19">
      <alignment horizontal="right" vertical="center"/>
    </xf>
    <xf numFmtId="4" fontId="46" fillId="57" borderId="19">
      <alignment horizontal="right" vertical="center"/>
    </xf>
    <xf numFmtId="0" fontId="47" fillId="0" borderId="21">
      <alignment horizontal="left" vertical="center" wrapText="1" indent="2"/>
    </xf>
    <xf numFmtId="167" fontId="2" fillId="0" borderId="0" applyFont="0" applyFill="0" applyBorder="0" applyAlignment="0" applyProtection="0"/>
    <xf numFmtId="4" fontId="47" fillId="0" borderId="0" applyBorder="0">
      <alignment horizontal="right" vertical="center"/>
    </xf>
    <xf numFmtId="0" fontId="2" fillId="0" borderId="0"/>
    <xf numFmtId="0" fontId="8" fillId="0" borderId="0"/>
    <xf numFmtId="4" fontId="47" fillId="0" borderId="19" applyFill="0" applyBorder="0" applyProtection="0">
      <alignment horizontal="right" vertical="center"/>
    </xf>
    <xf numFmtId="0" fontId="48" fillId="0" borderId="0" applyNumberFormat="0" applyFill="0" applyBorder="0" applyProtection="0">
      <alignment horizontal="left" vertical="center"/>
    </xf>
    <xf numFmtId="0" fontId="2" fillId="58" borderId="0" applyNumberFormat="0" applyFont="0" applyBorder="0" applyAlignment="0" applyProtection="0"/>
    <xf numFmtId="4" fontId="47" fillId="0" borderId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" fillId="0" borderId="0" applyNumberFormat="0" applyFont="0" applyFill="0" applyBorder="0" applyProtection="0">
      <alignment horizontal="left" vertical="center" indent="5"/>
    </xf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59" borderId="0" applyNumberFormat="0" applyBorder="0" applyAlignment="0" applyProtection="0"/>
    <xf numFmtId="0" fontId="23" fillId="59" borderId="0" applyNumberFormat="0" applyBorder="0" applyAlignment="0" applyProtection="0"/>
    <xf numFmtId="0" fontId="23" fillId="59" borderId="0" applyNumberFormat="0" applyBorder="0" applyAlignment="0" applyProtection="0"/>
    <xf numFmtId="0" fontId="23" fillId="59" borderId="0" applyNumberFormat="0" applyBorder="0" applyAlignment="0" applyProtection="0"/>
    <xf numFmtId="0" fontId="23" fillId="59" borderId="0" applyNumberFormat="0" applyBorder="0" applyAlignment="0" applyProtection="0"/>
    <xf numFmtId="0" fontId="23" fillId="59" borderId="0" applyNumberFormat="0" applyBorder="0" applyAlignment="0" applyProtection="0"/>
    <xf numFmtId="0" fontId="23" fillId="59" borderId="0" applyNumberFormat="0" applyBorder="0" applyAlignment="0" applyProtection="0"/>
    <xf numFmtId="0" fontId="23" fillId="59" borderId="0" applyNumberFormat="0" applyBorder="0" applyAlignment="0" applyProtection="0"/>
    <xf numFmtId="0" fontId="23" fillId="59" borderId="0" applyNumberFormat="0" applyBorder="0" applyAlignment="0" applyProtection="0"/>
    <xf numFmtId="0" fontId="23" fillId="59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51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50" fillId="61" borderId="17" applyNumberFormat="0" applyAlignment="0" applyProtection="0"/>
    <xf numFmtId="0" fontId="50" fillId="61" borderId="17" applyNumberFormat="0" applyAlignment="0" applyProtection="0"/>
    <xf numFmtId="0" fontId="50" fillId="61" borderId="17" applyNumberFormat="0" applyAlignment="0" applyProtection="0"/>
    <xf numFmtId="0" fontId="50" fillId="61" borderId="17" applyNumberFormat="0" applyAlignment="0" applyProtection="0"/>
    <xf numFmtId="0" fontId="50" fillId="61" borderId="17" applyNumberFormat="0" applyAlignment="0" applyProtection="0"/>
    <xf numFmtId="0" fontId="50" fillId="61" borderId="17" applyNumberFormat="0" applyAlignment="0" applyProtection="0"/>
    <xf numFmtId="0" fontId="50" fillId="61" borderId="17" applyNumberFormat="0" applyAlignment="0" applyProtection="0"/>
    <xf numFmtId="0" fontId="50" fillId="61" borderId="17" applyNumberFormat="0" applyAlignment="0" applyProtection="0"/>
    <xf numFmtId="0" fontId="50" fillId="61" borderId="17" applyNumberFormat="0" applyAlignment="0" applyProtection="0"/>
    <xf numFmtId="0" fontId="50" fillId="61" borderId="17" applyNumberFormat="0" applyAlignment="0" applyProtection="0"/>
    <xf numFmtId="0" fontId="25" fillId="41" borderId="10" applyNumberFormat="0" applyAlignment="0" applyProtection="0"/>
    <xf numFmtId="0" fontId="25" fillId="41" borderId="10" applyNumberFormat="0" applyAlignment="0" applyProtection="0"/>
    <xf numFmtId="0" fontId="25" fillId="41" borderId="10" applyNumberFormat="0" applyAlignment="0" applyProtection="0"/>
    <xf numFmtId="0" fontId="25" fillId="41" borderId="10" applyNumberFormat="0" applyAlignment="0" applyProtection="0"/>
    <xf numFmtId="0" fontId="25" fillId="41" borderId="10" applyNumberFormat="0" applyAlignment="0" applyProtection="0"/>
    <xf numFmtId="0" fontId="25" fillId="41" borderId="10" applyNumberFormat="0" applyAlignment="0" applyProtection="0"/>
    <xf numFmtId="0" fontId="25" fillId="41" borderId="10" applyNumberFormat="0" applyAlignment="0" applyProtection="0"/>
    <xf numFmtId="0" fontId="25" fillId="41" borderId="10" applyNumberFormat="0" applyAlignment="0" applyProtection="0"/>
    <xf numFmtId="0" fontId="25" fillId="41" borderId="10" applyNumberFormat="0" applyAlignment="0" applyProtection="0"/>
    <xf numFmtId="49" fontId="2" fillId="62" borderId="22">
      <alignment vertical="top" wrapText="1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60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60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2" fillId="0" borderId="0" applyFont="0" applyFill="0" applyBorder="0" applyAlignment="0" applyProtection="0"/>
    <xf numFmtId="181" fontId="67" fillId="0" borderId="0">
      <protection locked="0"/>
    </xf>
    <xf numFmtId="181" fontId="67" fillId="0" borderId="0">
      <protection locked="0"/>
    </xf>
    <xf numFmtId="3" fontId="52" fillId="0" borderId="22">
      <alignment horizontal="right" vertical="top"/>
    </xf>
    <xf numFmtId="0" fontId="35" fillId="63" borderId="19">
      <alignment horizontal="centerContinuous" vertical="top" wrapText="1"/>
    </xf>
    <xf numFmtId="0" fontId="53" fillId="0" borderId="0">
      <alignment vertical="top" wrapText="1"/>
    </xf>
    <xf numFmtId="177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82" fontId="67" fillId="0" borderId="0">
      <protection locked="0"/>
    </xf>
    <xf numFmtId="182" fontId="67" fillId="0" borderId="0">
      <protection locked="0"/>
    </xf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63" fillId="0" borderId="25" applyNumberFormat="0" applyFill="0" applyAlignment="0" applyProtection="0"/>
    <xf numFmtId="0" fontId="63" fillId="0" borderId="25" applyNumberFormat="0" applyFill="0" applyAlignment="0" applyProtection="0"/>
    <xf numFmtId="0" fontId="63" fillId="0" borderId="25" applyNumberFormat="0" applyFill="0" applyAlignment="0" applyProtection="0"/>
    <xf numFmtId="0" fontId="63" fillId="0" borderId="25" applyNumberFormat="0" applyFill="0" applyAlignment="0" applyProtection="0"/>
    <xf numFmtId="0" fontId="63" fillId="0" borderId="25" applyNumberFormat="0" applyFill="0" applyAlignment="0" applyProtection="0"/>
    <xf numFmtId="0" fontId="63" fillId="0" borderId="25" applyNumberFormat="0" applyFill="0" applyAlignment="0" applyProtection="0"/>
    <xf numFmtId="0" fontId="63" fillId="0" borderId="25" applyNumberFormat="0" applyFill="0" applyAlignment="0" applyProtection="0"/>
    <xf numFmtId="0" fontId="63" fillId="0" borderId="25" applyNumberFormat="0" applyFill="0" applyAlignment="0" applyProtection="0"/>
    <xf numFmtId="0" fontId="63" fillId="0" borderId="25" applyNumberFormat="0" applyFill="0" applyAlignment="0" applyProtection="0"/>
    <xf numFmtId="0" fontId="63" fillId="0" borderId="25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183" fontId="68" fillId="0" borderId="0">
      <protection locked="0"/>
    </xf>
    <xf numFmtId="183" fontId="68" fillId="0" borderId="0">
      <protection locked="0"/>
    </xf>
    <xf numFmtId="183" fontId="68" fillId="0" borderId="0">
      <protection locked="0"/>
    </xf>
    <xf numFmtId="183" fontId="68" fillId="0" borderId="0"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38" fillId="42" borderId="17" applyNumberFormat="0" applyAlignment="0" applyProtection="0"/>
    <xf numFmtId="0" fontId="38" fillId="42" borderId="17" applyNumberFormat="0" applyAlignment="0" applyProtection="0"/>
    <xf numFmtId="0" fontId="38" fillId="42" borderId="17" applyNumberFormat="0" applyAlignment="0" applyProtection="0"/>
    <xf numFmtId="0" fontId="38" fillId="42" borderId="17" applyNumberFormat="0" applyAlignment="0" applyProtection="0"/>
    <xf numFmtId="0" fontId="38" fillId="42" borderId="17" applyNumberFormat="0" applyAlignment="0" applyProtection="0"/>
    <xf numFmtId="0" fontId="38" fillId="42" borderId="17" applyNumberFormat="0" applyAlignment="0" applyProtection="0"/>
    <xf numFmtId="0" fontId="38" fillId="42" borderId="17" applyNumberFormat="0" applyAlignment="0" applyProtection="0"/>
    <xf numFmtId="0" fontId="38" fillId="42" borderId="17" applyNumberFormat="0" applyAlignment="0" applyProtection="0"/>
    <xf numFmtId="0" fontId="38" fillId="42" borderId="17" applyNumberFormat="0" applyAlignment="0" applyProtection="0"/>
    <xf numFmtId="0" fontId="38" fillId="42" borderId="17" applyNumberFormat="0" applyAlignment="0" applyProtection="0"/>
    <xf numFmtId="0" fontId="54" fillId="0" borderId="0"/>
    <xf numFmtId="0" fontId="40" fillId="0" borderId="26" applyNumberFormat="0" applyFill="0" applyAlignment="0" applyProtection="0"/>
    <xf numFmtId="0" fontId="40" fillId="0" borderId="26" applyNumberFormat="0" applyFill="0" applyAlignment="0" applyProtection="0"/>
    <xf numFmtId="0" fontId="40" fillId="0" borderId="26" applyNumberFormat="0" applyFill="0" applyAlignment="0" applyProtection="0"/>
    <xf numFmtId="0" fontId="40" fillId="0" borderId="26" applyNumberFormat="0" applyFill="0" applyAlignment="0" applyProtection="0"/>
    <xf numFmtId="0" fontId="40" fillId="0" borderId="26" applyNumberFormat="0" applyFill="0" applyAlignment="0" applyProtection="0"/>
    <xf numFmtId="0" fontId="40" fillId="0" borderId="26" applyNumberFormat="0" applyFill="0" applyAlignment="0" applyProtection="0"/>
    <xf numFmtId="0" fontId="40" fillId="0" borderId="26" applyNumberFormat="0" applyFill="0" applyAlignment="0" applyProtection="0"/>
    <xf numFmtId="0" fontId="40" fillId="0" borderId="26" applyNumberFormat="0" applyFill="0" applyAlignment="0" applyProtection="0"/>
    <xf numFmtId="0" fontId="40" fillId="0" borderId="26" applyNumberFormat="0" applyFill="0" applyAlignment="0" applyProtection="0"/>
    <xf numFmtId="0" fontId="40" fillId="0" borderId="26" applyNumberFormat="0" applyFill="0" applyAlignment="0" applyProtection="0"/>
    <xf numFmtId="173" fontId="2" fillId="0" borderId="0" applyFont="0" applyFill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64" fillId="42" borderId="0" applyNumberFormat="0" applyBorder="0" applyAlignment="0" applyProtection="0"/>
    <xf numFmtId="0" fontId="31" fillId="42" borderId="0" applyNumberFormat="0" applyBorder="0" applyAlignment="0" applyProtection="0"/>
    <xf numFmtId="0" fontId="64" fillId="4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166" fontId="6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166" fontId="65" fillId="0" borderId="0">
      <alignment vertical="center"/>
    </xf>
    <xf numFmtId="166" fontId="65" fillId="0" borderId="0">
      <alignment vertical="center"/>
    </xf>
    <xf numFmtId="166" fontId="65" fillId="0" borderId="0">
      <alignment vertical="center"/>
    </xf>
    <xf numFmtId="166" fontId="6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5" fillId="0" borderId="0">
      <alignment vertical="center"/>
    </xf>
    <xf numFmtId="166" fontId="65" fillId="0" borderId="0">
      <alignment vertical="center"/>
    </xf>
    <xf numFmtId="166" fontId="6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166" fontId="65" fillId="0" borderId="0">
      <alignment vertical="center"/>
    </xf>
    <xf numFmtId="166" fontId="65" fillId="0" borderId="0">
      <alignment vertical="center"/>
    </xf>
    <xf numFmtId="166" fontId="65" fillId="0" borderId="0">
      <alignment vertical="center"/>
    </xf>
    <xf numFmtId="166" fontId="65" fillId="0" borderId="0">
      <alignment vertical="center"/>
    </xf>
    <xf numFmtId="0" fontId="8" fillId="0" borderId="0"/>
    <xf numFmtId="174" fontId="6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4" fontId="6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65" fillId="0" borderId="0">
      <alignment vertical="center"/>
    </xf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8" borderId="0" applyNumberFormat="0" applyFont="0" applyBorder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1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1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175" fontId="55" fillId="0" borderId="0">
      <alignment horizontal="right"/>
    </xf>
    <xf numFmtId="178" fontId="2" fillId="0" borderId="0" applyFont="0" applyFill="0" applyBorder="0" applyAlignment="0" applyProtection="0"/>
    <xf numFmtId="0" fontId="39" fillId="61" borderId="18" applyNumberFormat="0" applyAlignment="0" applyProtection="0"/>
    <xf numFmtId="0" fontId="39" fillId="61" borderId="18" applyNumberFormat="0" applyAlignment="0" applyProtection="0"/>
    <xf numFmtId="0" fontId="39" fillId="61" borderId="18" applyNumberFormat="0" applyAlignment="0" applyProtection="0"/>
    <xf numFmtId="0" fontId="39" fillId="61" borderId="18" applyNumberFormat="0" applyAlignment="0" applyProtection="0"/>
    <xf numFmtId="0" fontId="39" fillId="61" borderId="18" applyNumberFormat="0" applyAlignment="0" applyProtection="0"/>
    <xf numFmtId="0" fontId="39" fillId="61" borderId="18" applyNumberFormat="0" applyAlignment="0" applyProtection="0"/>
    <xf numFmtId="0" fontId="39" fillId="61" borderId="18" applyNumberFormat="0" applyAlignment="0" applyProtection="0"/>
    <xf numFmtId="0" fontId="39" fillId="61" borderId="18" applyNumberFormat="0" applyAlignment="0" applyProtection="0"/>
    <xf numFmtId="0" fontId="39" fillId="61" borderId="18" applyNumberFormat="0" applyAlignment="0" applyProtection="0"/>
    <xf numFmtId="0" fontId="39" fillId="61" borderId="18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3" fillId="0" borderId="0">
      <alignment vertical="top" wrapText="1"/>
    </xf>
    <xf numFmtId="184" fontId="2" fillId="0" borderId="0" applyFill="0" applyBorder="0" applyAlignment="0" applyProtection="0">
      <alignment wrapText="1"/>
    </xf>
    <xf numFmtId="184" fontId="2" fillId="0" borderId="0" applyFill="0" applyBorder="0" applyAlignment="0" applyProtection="0">
      <alignment wrapText="1"/>
    </xf>
    <xf numFmtId="0" fontId="35" fillId="0" borderId="0" applyNumberFormat="0" applyFill="0" applyBorder="0">
      <alignment horizontal="center" wrapText="1"/>
    </xf>
    <xf numFmtId="0" fontId="35" fillId="0" borderId="0" applyNumberFormat="0" applyFill="0" applyBorder="0">
      <alignment horizontal="center" wrapText="1"/>
    </xf>
    <xf numFmtId="0" fontId="35" fillId="0" borderId="0" applyNumberFormat="0" applyFill="0" applyBorder="0">
      <alignment horizontal="center" wrapText="1"/>
    </xf>
    <xf numFmtId="0" fontId="35" fillId="0" borderId="0" applyNumberFormat="0" applyFill="0" applyBorder="0">
      <alignment horizontal="center" wrapText="1"/>
    </xf>
    <xf numFmtId="176" fontId="56" fillId="64" borderId="27">
      <alignment vertical="center"/>
    </xf>
    <xf numFmtId="174" fontId="57" fillId="64" borderId="27">
      <alignment vertical="center"/>
    </xf>
    <xf numFmtId="176" fontId="58" fillId="65" borderId="27">
      <alignment vertical="center"/>
    </xf>
    <xf numFmtId="0" fontId="2" fillId="66" borderId="28" applyBorder="0">
      <alignment horizontal="left" vertical="center"/>
    </xf>
    <xf numFmtId="49" fontId="2" fillId="67" borderId="19">
      <alignment vertical="center" wrapText="1"/>
    </xf>
    <xf numFmtId="0" fontId="2" fillId="68" borderId="20">
      <alignment horizontal="left" vertical="center" wrapText="1"/>
    </xf>
    <xf numFmtId="0" fontId="59" fillId="69" borderId="19">
      <alignment horizontal="left" vertical="center" wrapText="1"/>
    </xf>
    <xf numFmtId="0" fontId="2" fillId="70" borderId="19">
      <alignment horizontal="left" vertical="center" wrapText="1"/>
    </xf>
    <xf numFmtId="0" fontId="2" fillId="71" borderId="19">
      <alignment horizontal="left" vertical="center" wrapText="1"/>
    </xf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Protection="0">
      <alignment horizontal="left" vertical="center" indent="5"/>
    </xf>
    <xf numFmtId="0" fontId="2" fillId="0" borderId="0" applyNumberFormat="0" applyFont="0" applyFill="0" applyBorder="0" applyProtection="0">
      <alignment horizontal="left" vertical="center" indent="5"/>
    </xf>
    <xf numFmtId="49" fontId="2" fillId="62" borderId="22">
      <alignment vertical="top" wrapText="1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8" borderId="0" applyNumberFormat="0" applyFont="0" applyBorder="0" applyAlignment="0" applyProtection="0"/>
    <xf numFmtId="0" fontId="2" fillId="58" borderId="0" applyNumberFormat="0" applyFont="0" applyBorder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0" fontId="2" fillId="43" borderId="16" applyNumberFormat="0" applyFont="0" applyAlignment="0" applyProtection="0"/>
    <xf numFmtId="178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84" fontId="2" fillId="0" borderId="0" applyFill="0" applyBorder="0" applyAlignment="0" applyProtection="0">
      <alignment wrapText="1"/>
    </xf>
    <xf numFmtId="184" fontId="2" fillId="0" borderId="0" applyFill="0" applyBorder="0" applyAlignment="0" applyProtection="0">
      <alignment wrapText="1"/>
    </xf>
    <xf numFmtId="0" fontId="2" fillId="66" borderId="28" applyBorder="0">
      <alignment horizontal="left" vertical="center"/>
    </xf>
    <xf numFmtId="49" fontId="2" fillId="67" borderId="19">
      <alignment vertical="center" wrapText="1"/>
    </xf>
    <xf numFmtId="0" fontId="2" fillId="68" borderId="20">
      <alignment horizontal="left" vertical="center" wrapText="1"/>
    </xf>
    <xf numFmtId="0" fontId="2" fillId="70" borderId="19">
      <alignment horizontal="left" vertical="center" wrapText="1"/>
    </xf>
    <xf numFmtId="0" fontId="2" fillId="71" borderId="19">
      <alignment horizontal="left" vertical="center" wrapText="1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2" fillId="0" borderId="0"/>
    <xf numFmtId="0" fontId="8" fillId="8" borderId="8" applyNumberFormat="0" applyFont="0" applyAlignment="0" applyProtection="0"/>
    <xf numFmtId="0" fontId="22" fillId="9" borderId="0" applyNumberFormat="0" applyBorder="0" applyAlignment="0" applyProtection="0"/>
    <xf numFmtId="0" fontId="22" fillId="13" borderId="0" applyNumberFormat="0" applyBorder="0" applyAlignment="0" applyProtection="0"/>
    <xf numFmtId="0" fontId="22" fillId="17" borderId="0" applyNumberFormat="0" applyBorder="0" applyAlignment="0" applyProtection="0"/>
    <xf numFmtId="0" fontId="22" fillId="21" borderId="0" applyNumberFormat="0" applyBorder="0" applyAlignment="0" applyProtection="0"/>
    <xf numFmtId="0" fontId="22" fillId="25" borderId="0" applyNumberFormat="0" applyBorder="0" applyAlignment="0" applyProtection="0"/>
    <xf numFmtId="0" fontId="22" fillId="29" borderId="0" applyNumberFormat="0" applyBorder="0" applyAlignment="0" applyProtection="0"/>
  </cellStyleXfs>
  <cellXfs count="8">
    <xf numFmtId="0" fontId="0" fillId="0" borderId="0" xfId="0"/>
    <xf numFmtId="0" fontId="6" fillId="0" borderId="1" xfId="2"/>
    <xf numFmtId="0" fontId="7" fillId="0" borderId="2" xfId="3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3453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20% - Accent1 2" xfId="66" xr:uid="{A9240D66-BC47-4E0D-A2BC-14C359244C28}"/>
    <cellStyle name="20% - Accent1 2 10" xfId="253" xr:uid="{35B04AE6-D37F-4A51-A6F0-8A80E069C12E}"/>
    <cellStyle name="20% - Accent1 2 11" xfId="254" xr:uid="{AC9F6F9D-B2C2-41A5-AC63-E246286F4A72}"/>
    <cellStyle name="20% - Accent1 2 12" xfId="255" xr:uid="{8CC713A2-505E-48BD-AF53-7BDEE6DD326A}"/>
    <cellStyle name="20% - Accent1 2 13" xfId="256" xr:uid="{31FAB8DD-75EA-4D33-9DC5-1534841029CB}"/>
    <cellStyle name="20% - Accent1 2 14" xfId="257" xr:uid="{7EF95408-3717-439A-841E-CD41C5487E25}"/>
    <cellStyle name="20% - Accent1 2 15" xfId="258" xr:uid="{2BE3EEF4-2EEF-4BC5-9F3E-7DB6011EBF64}"/>
    <cellStyle name="20% - Accent1 2 2" xfId="259" xr:uid="{071810DA-C07E-4506-B4C8-1BE501E67FD8}"/>
    <cellStyle name="20% - Accent1 2 3" xfId="260" xr:uid="{645340F9-DCB3-45CB-A813-39E04422B6EC}"/>
    <cellStyle name="20% - Accent1 2 4" xfId="261" xr:uid="{901E6224-5F7F-41C4-89C0-676B1ABCB96D}"/>
    <cellStyle name="20% - Accent1 2 5" xfId="262" xr:uid="{DA849D04-F033-4EC4-B9E8-E74A8199768A}"/>
    <cellStyle name="20% - Accent1 2 6" xfId="263" xr:uid="{D01C9ADB-7F0A-4A38-913D-1DB002671FCE}"/>
    <cellStyle name="20% - Accent1 2 7" xfId="264" xr:uid="{25684429-8CCC-47E1-B545-88155D7D21E4}"/>
    <cellStyle name="20% - Accent1 2 8" xfId="265" xr:uid="{CC15A563-A276-4184-8A01-487946F23B64}"/>
    <cellStyle name="20% - Accent1 2 9" xfId="266" xr:uid="{A6A94F21-D558-431E-99EA-39FD0B06490B}"/>
    <cellStyle name="20% - Accent1 3" xfId="67" xr:uid="{17173A33-DD25-4EC4-96CC-B3F54C18B485}"/>
    <cellStyle name="20% - Accent1 3 2" xfId="267" xr:uid="{274DBA0E-061C-4AD7-9D5F-DEAC93ECE5A2}"/>
    <cellStyle name="20% - Accent1 4" xfId="268" xr:uid="{B0D3D116-68D1-4D40-A33E-353C53BDBE4B}"/>
    <cellStyle name="20% - Accent1 5" xfId="269" xr:uid="{15365E93-23F3-4F07-8680-2D18EA7F3C22}"/>
    <cellStyle name="20% - Accent1 6" xfId="270" xr:uid="{51C48819-C563-43DC-93CD-AEACDA41C7C1}"/>
    <cellStyle name="20% - Accent1 7" xfId="271" xr:uid="{80D97729-7BD1-4A93-8D86-E86B3689A4FE}"/>
    <cellStyle name="20% - Accent1 8" xfId="272" xr:uid="{E98CD738-768D-40C0-87A6-EFEB9291B6AF}"/>
    <cellStyle name="20% - Accent2 2" xfId="68" xr:uid="{88CF138B-C913-4A33-882B-CCA1888A8921}"/>
    <cellStyle name="20% - Accent2 2 10" xfId="273" xr:uid="{8BC895A8-5A16-48BC-B3BF-B88F4A402513}"/>
    <cellStyle name="20% - Accent2 2 11" xfId="274" xr:uid="{6D493642-AD62-4D1D-A345-65B72CC48082}"/>
    <cellStyle name="20% - Accent2 2 12" xfId="275" xr:uid="{214D7EF9-7D67-4CCF-BF39-96A6BDD31943}"/>
    <cellStyle name="20% - Accent2 2 13" xfId="276" xr:uid="{D2F9E7D5-6527-42D0-83E1-7C554D9F2F03}"/>
    <cellStyle name="20% - Accent2 2 14" xfId="277" xr:uid="{F4297AC8-BC90-42F9-BF8A-9A4B2B4ADFBC}"/>
    <cellStyle name="20% - Accent2 2 15" xfId="278" xr:uid="{0E5A6AEF-CF54-48CD-A615-E1438674897C}"/>
    <cellStyle name="20% - Accent2 2 2" xfId="279" xr:uid="{A8DC3B5E-55FA-41FB-9B67-9EF3C7F1CA65}"/>
    <cellStyle name="20% - Accent2 2 3" xfId="280" xr:uid="{B2843B09-B197-4BCC-BE75-695ED303E3CA}"/>
    <cellStyle name="20% - Accent2 2 4" xfId="281" xr:uid="{50C2159D-30DA-4005-B522-111BD6BEEBB8}"/>
    <cellStyle name="20% - Accent2 2 5" xfId="282" xr:uid="{0E4D8D13-6570-4E4E-A0A0-BE8FAE939721}"/>
    <cellStyle name="20% - Accent2 2 6" xfId="283" xr:uid="{4EFCC16C-D9E6-48D1-A1FB-5B44E381ECCD}"/>
    <cellStyle name="20% - Accent2 2 7" xfId="284" xr:uid="{92F4A329-EF23-40D9-9536-4D5443FF2D47}"/>
    <cellStyle name="20% - Accent2 2 8" xfId="285" xr:uid="{6A132E8D-14EC-4FBA-9CFC-7CA703CBDE2C}"/>
    <cellStyle name="20% - Accent2 2 9" xfId="286" xr:uid="{502793BD-42BC-46CD-A176-CE596EB312F7}"/>
    <cellStyle name="20% - Accent2 3" xfId="69" xr:uid="{B7C5224A-0BC7-439D-BC5B-0BDC513FD172}"/>
    <cellStyle name="20% - Accent2 3 2" xfId="287" xr:uid="{3D144DBE-CD0F-44FD-B82C-B5C5B98B172E}"/>
    <cellStyle name="20% - Accent2 4" xfId="288" xr:uid="{D0102202-3FD2-4124-BCD1-1ACE88A1A5B8}"/>
    <cellStyle name="20% - Accent2 5" xfId="289" xr:uid="{1019FEA5-BC84-4E96-B9BD-8FD5374A539F}"/>
    <cellStyle name="20% - Accent2 6" xfId="290" xr:uid="{146F265C-DD20-4021-A065-20736F563F09}"/>
    <cellStyle name="20% - Accent2 7" xfId="291" xr:uid="{C3715F0F-E813-4CD9-8951-1E740A94EA3B}"/>
    <cellStyle name="20% - Accent2 8" xfId="292" xr:uid="{A61E9A28-DF8D-41DD-A5F3-07DFC54BFCB8}"/>
    <cellStyle name="20% - Accent3 2" xfId="70" xr:uid="{664509A0-BDE6-4581-9454-0C983A9682D3}"/>
    <cellStyle name="20% - Accent3 2 10" xfId="293" xr:uid="{3A8AF6CE-33A7-4866-837A-D79FA0B73AE3}"/>
    <cellStyle name="20% - Accent3 2 11" xfId="294" xr:uid="{C19A1B43-59C6-423A-8818-3177294ACB36}"/>
    <cellStyle name="20% - Accent3 2 12" xfId="295" xr:uid="{5ECAE53D-2F55-4F79-8ECE-DBE369327521}"/>
    <cellStyle name="20% - Accent3 2 13" xfId="296" xr:uid="{EC1B3F46-6561-4103-9A88-0AB8F88DE0DB}"/>
    <cellStyle name="20% - Accent3 2 14" xfId="297" xr:uid="{411527D8-4EFF-4213-9682-913F23D2B1A4}"/>
    <cellStyle name="20% - Accent3 2 15" xfId="298" xr:uid="{9AEF5C60-C470-4F62-9B72-D4CC15819F86}"/>
    <cellStyle name="20% - Accent3 2 2" xfId="299" xr:uid="{3D3E5B00-AC08-4C04-AA53-0B872EAC02D8}"/>
    <cellStyle name="20% - Accent3 2 3" xfId="300" xr:uid="{D3EE78E8-9741-4A16-8D54-B0B5419EE1F6}"/>
    <cellStyle name="20% - Accent3 2 4" xfId="301" xr:uid="{5C56F56D-780F-44C0-B333-49C011C51431}"/>
    <cellStyle name="20% - Accent3 2 5" xfId="302" xr:uid="{EA527B77-94EA-457F-9733-F23F24124235}"/>
    <cellStyle name="20% - Accent3 2 6" xfId="303" xr:uid="{62231716-09B5-4A14-89D3-FC7F61908D4F}"/>
    <cellStyle name="20% - Accent3 2 7" xfId="304" xr:uid="{904E4569-B58D-4E71-82FE-AAAFDED4D78F}"/>
    <cellStyle name="20% - Accent3 2 8" xfId="305" xr:uid="{B5F293F8-38AA-4A91-89F0-9E8F2F128A21}"/>
    <cellStyle name="20% - Accent3 2 9" xfId="306" xr:uid="{8C12D9E8-738B-4B8C-B20A-70B08A312EE9}"/>
    <cellStyle name="20% - Accent3 3" xfId="71" xr:uid="{4EA2986F-94CE-4B94-9E4F-2C3B68E986A7}"/>
    <cellStyle name="20% - Accent3 3 2" xfId="307" xr:uid="{D375EE46-3276-406B-B3C2-FD3CE1C663FF}"/>
    <cellStyle name="20% - Accent3 4" xfId="308" xr:uid="{B009F36A-FE6E-4AEE-8CFA-0FAFBA77718F}"/>
    <cellStyle name="20% - Accent3 5" xfId="309" xr:uid="{07994F60-2DB5-41C9-BD0E-22D85E136CFE}"/>
    <cellStyle name="20% - Accent3 6" xfId="310" xr:uid="{71E8B312-6772-46C3-9CF7-6FFACCED5D47}"/>
    <cellStyle name="20% - Accent3 7" xfId="311" xr:uid="{8D7B32A9-9BAD-4795-A2A3-01F494504FA6}"/>
    <cellStyle name="20% - Accent3 8" xfId="312" xr:uid="{6FDBF935-C3D4-4C72-B236-6568D0118182}"/>
    <cellStyle name="20% - Accent4 2" xfId="72" xr:uid="{0209455A-FEDD-4AA6-BBD8-41880B04E64A}"/>
    <cellStyle name="20% - Accent4 2 10" xfId="313" xr:uid="{1962E5BB-0E4B-4210-8518-D3448639CA3B}"/>
    <cellStyle name="20% - Accent4 2 11" xfId="314" xr:uid="{FB26B58E-8DA7-4908-B1EB-66626D3A9810}"/>
    <cellStyle name="20% - Accent4 2 12" xfId="315" xr:uid="{0E4D5B2C-C38D-431A-9755-8B378F4FFBC8}"/>
    <cellStyle name="20% - Accent4 2 13" xfId="316" xr:uid="{2FCC94F5-AA30-4BE3-8F20-30307D81BDA1}"/>
    <cellStyle name="20% - Accent4 2 14" xfId="317" xr:uid="{5C08477F-34CC-4A66-BE3F-927285527BC0}"/>
    <cellStyle name="20% - Accent4 2 15" xfId="318" xr:uid="{B3489954-D392-4048-951C-38A621445801}"/>
    <cellStyle name="20% - Accent4 2 2" xfId="319" xr:uid="{0DDE3EC7-9B3E-48A5-8D66-2AAFAE355071}"/>
    <cellStyle name="20% - Accent4 2 3" xfId="320" xr:uid="{987EE624-E684-4BB7-A643-07CAEBAA73B5}"/>
    <cellStyle name="20% - Accent4 2 4" xfId="321" xr:uid="{C2B4688C-87CA-4CEF-A33E-F4651835A0E5}"/>
    <cellStyle name="20% - Accent4 2 5" xfId="322" xr:uid="{3354AD07-5388-4019-A4A6-F7938E8C1E5E}"/>
    <cellStyle name="20% - Accent4 2 6" xfId="323" xr:uid="{50719810-C3B3-4C07-85C3-E017B1810289}"/>
    <cellStyle name="20% - Accent4 2 7" xfId="324" xr:uid="{AE67EE26-988F-49F9-925C-02E942C108CC}"/>
    <cellStyle name="20% - Accent4 2 8" xfId="325" xr:uid="{44249F10-F15A-4CCB-8625-37C4FB6BA9A5}"/>
    <cellStyle name="20% - Accent4 2 9" xfId="326" xr:uid="{DA8A5CD6-224C-4ADC-8E1E-C605CDB5D888}"/>
    <cellStyle name="20% - Accent4 3" xfId="73" xr:uid="{DEAD178E-30DA-4058-A4E5-8BADD354053A}"/>
    <cellStyle name="20% - Accent4 3 2" xfId="327" xr:uid="{27CF9934-F126-4C76-AF9A-17555CB9A240}"/>
    <cellStyle name="20% - Accent4 4" xfId="328" xr:uid="{5EBBC157-730D-4A8F-B872-F558A48CBA0A}"/>
    <cellStyle name="20% - Accent4 5" xfId="329" xr:uid="{C2D787FC-4717-4E54-BEC1-B324E6373E32}"/>
    <cellStyle name="20% - Accent4 6" xfId="330" xr:uid="{CE5A016F-58DE-4714-97B0-AFCB630124D4}"/>
    <cellStyle name="20% - Accent4 7" xfId="331" xr:uid="{1F79776A-E524-4BD8-94B9-68FCD32BE8BC}"/>
    <cellStyle name="20% - Accent4 8" xfId="332" xr:uid="{294FC6AC-4ACF-4DCA-956B-4F035A8FC559}"/>
    <cellStyle name="20% - Accent5 2" xfId="74" xr:uid="{11CB3899-ABF2-4456-AA37-C9C3EFCE0F29}"/>
    <cellStyle name="20% - Accent5 2 10" xfId="333" xr:uid="{2F59B480-5FAC-4FEF-916C-2AE3ECA37E5B}"/>
    <cellStyle name="20% - Accent5 2 11" xfId="334" xr:uid="{D9C91346-A021-4262-9B69-EFB666F28FE8}"/>
    <cellStyle name="20% - Accent5 2 12" xfId="335" xr:uid="{CADD8D47-5DA8-4307-A757-8149263D673F}"/>
    <cellStyle name="20% - Accent5 2 13" xfId="336" xr:uid="{D5E7A666-05BF-4970-9740-C4C7C523731E}"/>
    <cellStyle name="20% - Accent5 2 14" xfId="337" xr:uid="{7338CF79-B644-46F2-A346-D202543B4243}"/>
    <cellStyle name="20% - Accent5 2 15" xfId="338" xr:uid="{FBB58F42-7CBE-448B-814D-68264694DCB9}"/>
    <cellStyle name="20% - Accent5 2 2" xfId="339" xr:uid="{BE63A026-4C61-479E-A184-045EB8FC6286}"/>
    <cellStyle name="20% - Accent5 2 3" xfId="340" xr:uid="{B92E3C12-C78B-478C-A6A1-D641995D5279}"/>
    <cellStyle name="20% - Accent5 2 4" xfId="341" xr:uid="{CA3B4E06-7D22-4328-8D2A-C8AEF754B96D}"/>
    <cellStyle name="20% - Accent5 2 5" xfId="342" xr:uid="{E22C3575-2327-4A4A-8061-136F69CF30F7}"/>
    <cellStyle name="20% - Accent5 2 6" xfId="343" xr:uid="{7B1108F7-630E-4104-8C2B-058FF68D93AC}"/>
    <cellStyle name="20% - Accent5 2 7" xfId="344" xr:uid="{2E8D73A1-AEE7-43D8-9BCB-EEEBD36A118D}"/>
    <cellStyle name="20% - Accent5 2 8" xfId="345" xr:uid="{FEDCDC25-7624-4D7A-A2FD-9171E2380F8C}"/>
    <cellStyle name="20% - Accent5 2 9" xfId="346" xr:uid="{AC10CC82-979C-4DAF-A29E-D4810812F363}"/>
    <cellStyle name="20% - Accent5 3" xfId="75" xr:uid="{186B4BF9-E507-4F81-BEE9-68CEDB045E8E}"/>
    <cellStyle name="20% - Accent5 4" xfId="347" xr:uid="{74416991-525E-4A2E-92D2-FC9695A2A6FD}"/>
    <cellStyle name="20% - Accent5 5" xfId="348" xr:uid="{75CAFD3F-B6A7-45A9-97DE-4ED7FAD942A0}"/>
    <cellStyle name="20% - Accent5 6" xfId="349" xr:uid="{AF78B7D8-7B35-4FF3-BBEA-E8880033E12B}"/>
    <cellStyle name="20% - Accent5 7" xfId="350" xr:uid="{A5595BFA-6FDB-42E8-B0AD-C7544497C040}"/>
    <cellStyle name="20% - Accent5 8" xfId="351" xr:uid="{A1B1ED66-647A-481F-A41A-586C7EE035E1}"/>
    <cellStyle name="20% - Accent6 2" xfId="76" xr:uid="{71D89D8D-5FA8-4FF4-A42A-80C2CF5A1703}"/>
    <cellStyle name="20% - Accent6 2 10" xfId="352" xr:uid="{8801C8F7-C660-46F0-9DE1-DF1D44C06E33}"/>
    <cellStyle name="20% - Accent6 2 11" xfId="353" xr:uid="{49591BD4-AF02-4BE3-8E7C-9910483DD6BD}"/>
    <cellStyle name="20% - Accent6 2 12" xfId="354" xr:uid="{C9B67A2C-4861-4E07-BF93-347D360CCAE4}"/>
    <cellStyle name="20% - Accent6 2 13" xfId="355" xr:uid="{EC6F7965-27C9-4B16-AB48-BB7131789849}"/>
    <cellStyle name="20% - Accent6 2 14" xfId="356" xr:uid="{96D780BB-2453-4D67-B332-72269624B6E2}"/>
    <cellStyle name="20% - Accent6 2 15" xfId="357" xr:uid="{E7E0385D-DDDC-4041-8908-FEF11B5076B6}"/>
    <cellStyle name="20% - Accent6 2 2" xfId="358" xr:uid="{A58ABC5C-9607-40D5-B477-70EA90388931}"/>
    <cellStyle name="20% - Accent6 2 3" xfId="359" xr:uid="{C3E3F237-5FFC-410D-B7A7-BA2F8F57E669}"/>
    <cellStyle name="20% - Accent6 2 4" xfId="360" xr:uid="{2E7681B7-D701-4AE2-88FB-8C5E15B5FF5C}"/>
    <cellStyle name="20% - Accent6 2 5" xfId="361" xr:uid="{FC7C0233-7FC3-4F48-BBC3-C79A80342ECD}"/>
    <cellStyle name="20% - Accent6 2 6" xfId="362" xr:uid="{8E2CB46B-C088-413B-AC1F-4667E129D0DA}"/>
    <cellStyle name="20% - Accent6 2 7" xfId="363" xr:uid="{08082558-EC16-40A1-AA1E-91E3BB17696E}"/>
    <cellStyle name="20% - Accent6 2 8" xfId="364" xr:uid="{F43FB218-E723-42DD-A284-00F3C2B99AC4}"/>
    <cellStyle name="20% - Accent6 2 9" xfId="365" xr:uid="{04B0A405-B39A-4F14-9B6C-7D2137331392}"/>
    <cellStyle name="20% - Accent6 3" xfId="77" xr:uid="{86251CE8-3A97-49ED-BB85-196B88AD4A78}"/>
    <cellStyle name="20% - Accent6 3 2" xfId="366" xr:uid="{4C70CD9A-1B0A-455A-8CDC-2CFB2988D50F}"/>
    <cellStyle name="20% - Accent6 4" xfId="367" xr:uid="{BA379D1E-063F-43DC-BAD6-9084DB2FD96E}"/>
    <cellStyle name="20% - Accent6 5" xfId="368" xr:uid="{80B9CD75-382A-426B-B899-ECB547C1C570}"/>
    <cellStyle name="20% - Accent6 6" xfId="369" xr:uid="{6285177D-40FA-48FD-B82F-D43930FFF5C1}"/>
    <cellStyle name="20% - Accent6 7" xfId="370" xr:uid="{0C954476-6B63-41B7-8E2F-F5796CA05EDE}"/>
    <cellStyle name="20% - Accent6 8" xfId="371" xr:uid="{6D5E2239-F343-4015-AF10-501D6BE4846E}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40% - Accent1 2" xfId="78" xr:uid="{795C2F8D-D8C1-40B2-A8BA-B988B6322CE8}"/>
    <cellStyle name="40% - Accent1 2 10" xfId="372" xr:uid="{5552ABF9-272A-4758-BDD2-3544AC8613AA}"/>
    <cellStyle name="40% - Accent1 2 11" xfId="373" xr:uid="{BCB8FBCE-C328-4251-9F94-ABF84F1AC3A8}"/>
    <cellStyle name="40% - Accent1 2 12" xfId="374" xr:uid="{A66C5324-41FE-447E-993A-77B7E2263B57}"/>
    <cellStyle name="40% - Accent1 2 13" xfId="375" xr:uid="{3C1C956B-556C-41ED-80E4-2F124DA79AD2}"/>
    <cellStyle name="40% - Accent1 2 14" xfId="376" xr:uid="{1C751CCD-9200-400B-A2E8-3817D51E42AA}"/>
    <cellStyle name="40% - Accent1 2 15" xfId="377" xr:uid="{91CC3F96-67C4-4D7D-B2DA-8285130E631E}"/>
    <cellStyle name="40% - Accent1 2 2" xfId="378" xr:uid="{7C21D653-74C7-4B2B-B673-78C7D704B242}"/>
    <cellStyle name="40% - Accent1 2 3" xfId="379" xr:uid="{B149A18B-BFDD-4A51-87C1-28863EB0662A}"/>
    <cellStyle name="40% - Accent1 2 4" xfId="380" xr:uid="{4139DB8D-EA12-46D8-A99D-6EDF329BCD0A}"/>
    <cellStyle name="40% - Accent1 2 5" xfId="381" xr:uid="{88451923-92B5-4948-B3A2-9F2AF1A0778B}"/>
    <cellStyle name="40% - Accent1 2 6" xfId="382" xr:uid="{1F9FEF39-B60D-4426-8444-4CFF1F605203}"/>
    <cellStyle name="40% - Accent1 2 7" xfId="383" xr:uid="{195E720A-DB9C-44C4-A174-374F5EA008C3}"/>
    <cellStyle name="40% - Accent1 2 8" xfId="384" xr:uid="{BCDC8255-E38A-4A84-95CE-20EFE5EDE569}"/>
    <cellStyle name="40% - Accent1 2 9" xfId="385" xr:uid="{10AD7DA2-FD3F-48B6-85A2-EAE04EEF6782}"/>
    <cellStyle name="40% - Accent1 3" xfId="79" xr:uid="{001763D3-08E4-4E85-8A2A-A929E55F1344}"/>
    <cellStyle name="40% - Accent1 3 2" xfId="386" xr:uid="{110E46EF-4D38-4071-9CAE-F25D8BC77CED}"/>
    <cellStyle name="40% - Accent1 4" xfId="387" xr:uid="{1A386A33-834A-45CD-9A1E-5F1E0BA29FD0}"/>
    <cellStyle name="40% - Accent1 5" xfId="388" xr:uid="{DF00AE6E-8D8F-4BE8-81E1-5BC7A9411C28}"/>
    <cellStyle name="40% - Accent1 6" xfId="389" xr:uid="{8ED34FC6-0257-451B-8D43-716A6DEDFB29}"/>
    <cellStyle name="40% - Accent1 7" xfId="390" xr:uid="{C18E51F9-CC99-4C4A-86B3-3621E5FD2B61}"/>
    <cellStyle name="40% - Accent1 8" xfId="391" xr:uid="{0382EA58-F353-4FD6-A0A2-5DBD657E75C0}"/>
    <cellStyle name="40% - Accent2 2" xfId="80" xr:uid="{2B6ECA8D-E4A0-4BE0-8F3B-A7D1CEFCA7DE}"/>
    <cellStyle name="40% - Accent2 2 10" xfId="392" xr:uid="{30FFFBA0-38CC-48FB-A5E1-ECF17B9F175B}"/>
    <cellStyle name="40% - Accent2 2 11" xfId="393" xr:uid="{E35AFA8B-C05E-4056-93D7-195717794330}"/>
    <cellStyle name="40% - Accent2 2 12" xfId="394" xr:uid="{0E5B88D5-1A23-4DE8-98A6-C29F979C4FBE}"/>
    <cellStyle name="40% - Accent2 2 13" xfId="395" xr:uid="{86FBF19A-77FB-4F66-8C1C-4F97E4B452F7}"/>
    <cellStyle name="40% - Accent2 2 14" xfId="396" xr:uid="{4EFFD113-5548-413E-8677-0AC35D63F42C}"/>
    <cellStyle name="40% - Accent2 2 15" xfId="397" xr:uid="{CC964DFA-53BB-434B-BA84-AE32FDD0AD17}"/>
    <cellStyle name="40% - Accent2 2 2" xfId="398" xr:uid="{9A2D6BA0-0785-4851-A31F-2B7B9286B4B9}"/>
    <cellStyle name="40% - Accent2 2 3" xfId="399" xr:uid="{D1ED0E58-161A-4EB2-A8D1-3B58BC7C1D88}"/>
    <cellStyle name="40% - Accent2 2 4" xfId="400" xr:uid="{D754A787-75AB-4A27-809C-B35AB09C22E0}"/>
    <cellStyle name="40% - Accent2 2 5" xfId="401" xr:uid="{3586214C-61C4-44CF-93AB-855979E0D54E}"/>
    <cellStyle name="40% - Accent2 2 6" xfId="402" xr:uid="{B03DFF5E-916D-48BB-97BF-78B8EE05A09E}"/>
    <cellStyle name="40% - Accent2 2 7" xfId="403" xr:uid="{D754D5B8-AD66-4B38-BD27-44F42176B1DA}"/>
    <cellStyle name="40% - Accent2 2 8" xfId="404" xr:uid="{657133C5-FCD1-4D3E-8FAF-5116CB931FD2}"/>
    <cellStyle name="40% - Accent2 2 9" xfId="405" xr:uid="{9ECF7186-7D5A-4D34-940E-9D9F44802D16}"/>
    <cellStyle name="40% - Accent2 3" xfId="81" xr:uid="{F3014D1C-14AD-4080-B72B-98DBC9FB53A4}"/>
    <cellStyle name="40% - Accent2 4" xfId="406" xr:uid="{B989E4CC-97E8-4790-BAE2-8203960BE0C3}"/>
    <cellStyle name="40% - Accent2 5" xfId="407" xr:uid="{3D5019F7-A767-4B41-8DC2-D5BBE3EE50A6}"/>
    <cellStyle name="40% - Accent2 6" xfId="408" xr:uid="{22C238F8-E641-4333-9923-E61FEB14995B}"/>
    <cellStyle name="40% - Accent2 7" xfId="409" xr:uid="{B5FA90B3-F71F-41C8-AE47-253D6C14028E}"/>
    <cellStyle name="40% - Accent2 8" xfId="410" xr:uid="{3141135D-173E-4F0D-8A80-77679365ABB5}"/>
    <cellStyle name="40% - Accent3 2" xfId="82" xr:uid="{3717C8B5-DF29-467E-803B-622F4F9296FC}"/>
    <cellStyle name="40% - Accent3 2 10" xfId="411" xr:uid="{29D823DC-046F-4573-82C7-E6C9565154A9}"/>
    <cellStyle name="40% - Accent3 2 11" xfId="412" xr:uid="{37460753-6BF7-4D40-9BD4-77C0F32FE3E4}"/>
    <cellStyle name="40% - Accent3 2 12" xfId="413" xr:uid="{64EFC4CF-F4DD-45C6-8158-D2853FA30212}"/>
    <cellStyle name="40% - Accent3 2 13" xfId="414" xr:uid="{A4FC5B30-CE13-4E5A-9026-4B9B9D48C848}"/>
    <cellStyle name="40% - Accent3 2 14" xfId="415" xr:uid="{53716D1B-EBD6-4E3D-8DA9-4590B47E2F74}"/>
    <cellStyle name="40% - Accent3 2 15" xfId="416" xr:uid="{A7E64CC5-1118-494C-BE24-D4C482A9B4C1}"/>
    <cellStyle name="40% - Accent3 2 2" xfId="417" xr:uid="{9E4F355C-5919-45A8-8981-F088D397353F}"/>
    <cellStyle name="40% - Accent3 2 3" xfId="418" xr:uid="{2ABA9EFE-3EAD-4158-955F-D08206491047}"/>
    <cellStyle name="40% - Accent3 2 4" xfId="419" xr:uid="{6F998E70-2464-423B-B630-E30A319EF060}"/>
    <cellStyle name="40% - Accent3 2 5" xfId="420" xr:uid="{AB0CE75A-C760-4F0A-9F83-57EEF4EEF031}"/>
    <cellStyle name="40% - Accent3 2 6" xfId="421" xr:uid="{A645625B-B074-4F93-BFFC-808462F57764}"/>
    <cellStyle name="40% - Accent3 2 7" xfId="422" xr:uid="{4FA420B5-3861-4C3B-88B8-BE3EB3FA9E44}"/>
    <cellStyle name="40% - Accent3 2 8" xfId="423" xr:uid="{CB613E60-AC0B-4C36-B30E-3A6EF8D83BD6}"/>
    <cellStyle name="40% - Accent3 2 9" xfId="424" xr:uid="{D9EEB7F3-4BA5-4833-BC83-7BE7CBB94C4C}"/>
    <cellStyle name="40% - Accent3 3" xfId="83" xr:uid="{9D2AAC6B-F2AE-48D0-AECB-6FDAF0A615F5}"/>
    <cellStyle name="40% - Accent3 3 2" xfId="425" xr:uid="{52FAD454-9279-47F4-A2AB-1321E572FECC}"/>
    <cellStyle name="40% - Accent3 4" xfId="426" xr:uid="{E07F0ED2-1001-49DA-8DCC-B57523589EA6}"/>
    <cellStyle name="40% - Accent3 5" xfId="427" xr:uid="{353CA81E-3BBB-4AF1-80F0-BA02117FC42C}"/>
    <cellStyle name="40% - Accent3 6" xfId="428" xr:uid="{D6635EB0-2C78-4B87-B8AB-E8E71C3B4092}"/>
    <cellStyle name="40% - Accent3 7" xfId="429" xr:uid="{FB7A9E73-6077-4E8C-BC83-EE49791B292E}"/>
    <cellStyle name="40% - Accent3 8" xfId="430" xr:uid="{EBBEB9B0-C8CD-4463-9017-6C457F57CCB6}"/>
    <cellStyle name="40% - Accent4 2" xfId="84" xr:uid="{963588D4-3951-4591-8072-CB0F2F9673E7}"/>
    <cellStyle name="40% - Accent4 2 10" xfId="431" xr:uid="{F75B03F1-08CE-4D58-A794-4AB70C1D3CAB}"/>
    <cellStyle name="40% - Accent4 2 11" xfId="432" xr:uid="{B65A7918-2175-46C3-912A-1EE174FAB761}"/>
    <cellStyle name="40% - Accent4 2 12" xfId="433" xr:uid="{AF165634-9D21-453D-81F2-9E18DC98D00C}"/>
    <cellStyle name="40% - Accent4 2 13" xfId="434" xr:uid="{9C33FFBA-4884-4AEF-8337-99240AAFA536}"/>
    <cellStyle name="40% - Accent4 2 14" xfId="435" xr:uid="{2C20B72A-3D56-4C2D-A225-7919257D0F78}"/>
    <cellStyle name="40% - Accent4 2 15" xfId="436" xr:uid="{DEE734C8-9F81-41D2-AA59-6436D19A46B2}"/>
    <cellStyle name="40% - Accent4 2 2" xfId="437" xr:uid="{F4FD4F48-CBA5-4C3D-9B2C-A7151D321468}"/>
    <cellStyle name="40% - Accent4 2 3" xfId="438" xr:uid="{FEC2EECD-90CE-4E04-99B1-E3BF10AAC8E3}"/>
    <cellStyle name="40% - Accent4 2 4" xfId="439" xr:uid="{E915C4BA-2C1A-488B-B2D1-C087062F2CE1}"/>
    <cellStyle name="40% - Accent4 2 5" xfId="440" xr:uid="{4BD24484-1218-473D-8B6B-221AA9FF0306}"/>
    <cellStyle name="40% - Accent4 2 6" xfId="441" xr:uid="{0ABACD81-B09F-4FB4-BF8E-610015E8228B}"/>
    <cellStyle name="40% - Accent4 2 7" xfId="442" xr:uid="{5C13825C-8A4E-44D2-9772-21D18775CC1A}"/>
    <cellStyle name="40% - Accent4 2 8" xfId="443" xr:uid="{A851177D-99B1-411A-BF44-77451BE9BE93}"/>
    <cellStyle name="40% - Accent4 2 9" xfId="444" xr:uid="{28AC5B1C-9FA9-48A3-94D5-A084167F27FF}"/>
    <cellStyle name="40% - Accent4 3" xfId="85" xr:uid="{1D4F80E6-EA4D-40CF-8C23-C254999E56D7}"/>
    <cellStyle name="40% - Accent4 3 2" xfId="445" xr:uid="{AACFFA3A-117E-43C2-83DD-F19D8B910580}"/>
    <cellStyle name="40% - Accent4 4" xfId="446" xr:uid="{DDFFDFDB-6053-4A82-B1C0-5DE02359633F}"/>
    <cellStyle name="40% - Accent4 5" xfId="447" xr:uid="{848CA6B7-2D19-44F2-B4BE-61244999B385}"/>
    <cellStyle name="40% - Accent4 6" xfId="448" xr:uid="{8F9BE472-E430-453E-B694-868863EE17E1}"/>
    <cellStyle name="40% - Accent4 7" xfId="449" xr:uid="{81E6B0C2-27A9-401B-A3BE-5AB67339BDC4}"/>
    <cellStyle name="40% - Accent4 8" xfId="450" xr:uid="{59DE342B-A660-4537-85B7-372175B656F6}"/>
    <cellStyle name="40% - Accent5 2" xfId="86" xr:uid="{BC62EB28-676E-4AFC-A32F-627B519D1BD3}"/>
    <cellStyle name="40% - Accent5 2 10" xfId="451" xr:uid="{650A0429-2FEE-415A-95CC-BF758A9E6314}"/>
    <cellStyle name="40% - Accent5 2 11" xfId="452" xr:uid="{0A64989B-BA86-409C-9ED2-41E8D9043D54}"/>
    <cellStyle name="40% - Accent5 2 12" xfId="453" xr:uid="{F3A87A58-61F2-4FB2-A1A7-B66599FDD4A8}"/>
    <cellStyle name="40% - Accent5 2 13" xfId="454" xr:uid="{8695A8C3-9156-4FF3-A9AE-8FC114E96E2E}"/>
    <cellStyle name="40% - Accent5 2 14" xfId="455" xr:uid="{B945C787-B69F-4890-B093-A9E5DCDBD6CB}"/>
    <cellStyle name="40% - Accent5 2 15" xfId="456" xr:uid="{165AED88-E762-40DD-B3F0-520C28B406B1}"/>
    <cellStyle name="40% - Accent5 2 2" xfId="457" xr:uid="{0FFF0EB8-CB58-4DCF-BEC5-BE9BA3B48C22}"/>
    <cellStyle name="40% - Accent5 2 3" xfId="458" xr:uid="{8820AB25-26EC-4AC6-AAC2-66D69252896D}"/>
    <cellStyle name="40% - Accent5 2 4" xfId="459" xr:uid="{30B6D541-D882-4E81-BB5C-B55F581B9E37}"/>
    <cellStyle name="40% - Accent5 2 5" xfId="460" xr:uid="{CC506A0D-1ABD-4147-9F0D-2C408AA55D7E}"/>
    <cellStyle name="40% - Accent5 2 6" xfId="461" xr:uid="{AE2241CD-7FA5-4199-AF22-4830858B1E02}"/>
    <cellStyle name="40% - Accent5 2 7" xfId="462" xr:uid="{8E4DB3E9-6CB4-48A0-BE97-B2D5CC7DFBCB}"/>
    <cellStyle name="40% - Accent5 2 8" xfId="463" xr:uid="{7CE124D4-262F-49F0-8D1F-F59AB4EC8C05}"/>
    <cellStyle name="40% - Accent5 2 9" xfId="464" xr:uid="{C5C46876-C8A4-4C1A-AE05-B084632E8C40}"/>
    <cellStyle name="40% - Accent5 3" xfId="87" xr:uid="{E8287795-ED08-4186-B907-2291E91379A1}"/>
    <cellStyle name="40% - Accent5 3 2" xfId="465" xr:uid="{A7CF0CFE-A996-4FDE-A952-509A9A73B2B9}"/>
    <cellStyle name="40% - Accent5 4" xfId="466" xr:uid="{7AE13D57-21DD-42D8-8DB1-AB143F12A802}"/>
    <cellStyle name="40% - Accent5 5" xfId="467" xr:uid="{8A17E427-685B-4EA5-B406-1D6628FB7F77}"/>
    <cellStyle name="40% - Accent5 6" xfId="468" xr:uid="{22B372CA-B7FF-4B48-9721-7D72C9C16055}"/>
    <cellStyle name="40% - Accent5 7" xfId="469" xr:uid="{7B0F5B06-E4B2-441F-A726-7E5E0D18E10C}"/>
    <cellStyle name="40% - Accent5 8" xfId="470" xr:uid="{AB9F4D47-4AD7-4209-B072-64D77827FC88}"/>
    <cellStyle name="40% - Accent6 2" xfId="88" xr:uid="{F852037A-00B8-4045-9B78-BA9F840256CE}"/>
    <cellStyle name="40% - Accent6 2 10" xfId="471" xr:uid="{30AAB9EE-90DD-47F7-AF4A-151B057A944D}"/>
    <cellStyle name="40% - Accent6 2 11" xfId="472" xr:uid="{5BEFB0E5-B292-48D1-8E03-382FE4A09510}"/>
    <cellStyle name="40% - Accent6 2 12" xfId="473" xr:uid="{5D62313D-2077-4142-8557-2B03749B9D07}"/>
    <cellStyle name="40% - Accent6 2 13" xfId="474" xr:uid="{A62A9CDA-9D6B-41BB-855F-FFEA198C8E30}"/>
    <cellStyle name="40% - Accent6 2 14" xfId="475" xr:uid="{D1ADD2E8-274D-4ED0-B774-A51117588942}"/>
    <cellStyle name="40% - Accent6 2 15" xfId="476" xr:uid="{D806D5E2-E30C-473D-A1A0-6DEFEE02428E}"/>
    <cellStyle name="40% - Accent6 2 2" xfId="477" xr:uid="{4432425E-DB3C-4DBB-B595-6C5D68B27C1B}"/>
    <cellStyle name="40% - Accent6 2 3" xfId="478" xr:uid="{C914A0E1-E00B-4C55-A714-A5633C266771}"/>
    <cellStyle name="40% - Accent6 2 4" xfId="479" xr:uid="{5853266D-A95D-4395-96CC-AECAD7CE370A}"/>
    <cellStyle name="40% - Accent6 2 5" xfId="480" xr:uid="{36E755F6-E579-4B10-9A15-3ED2E9C8E245}"/>
    <cellStyle name="40% - Accent6 2 6" xfId="481" xr:uid="{4A66B1C0-6663-4B5E-ACAF-D7DB5ED9092F}"/>
    <cellStyle name="40% - Accent6 2 7" xfId="482" xr:uid="{B29E76FF-38DF-4902-967B-7A63434F6990}"/>
    <cellStyle name="40% - Accent6 2 8" xfId="483" xr:uid="{6324BEF8-B119-463A-9ECF-CA7F1324C4D7}"/>
    <cellStyle name="40% - Accent6 2 9" xfId="484" xr:uid="{96CBAC25-91E0-4D64-A3F4-D75BFBFC890C}"/>
    <cellStyle name="40% - Accent6 3" xfId="89" xr:uid="{0CEA1FF0-BE4D-4BF9-9219-3B8969566861}"/>
    <cellStyle name="40% - Accent6 3 2" xfId="485" xr:uid="{F9CA32D3-FD0C-4BB1-B644-5052C9E3DF4B}"/>
    <cellStyle name="40% - Accent6 4" xfId="486" xr:uid="{113F06EA-DAB4-4A13-BD11-6CE31C67EF74}"/>
    <cellStyle name="40% - Accent6 5" xfId="487" xr:uid="{2F2B6211-1E94-4D4F-BB80-D01364CA6136}"/>
    <cellStyle name="40% - Accent6 6" xfId="488" xr:uid="{746A9541-61CF-47B6-ACFC-853FB2BF2E84}"/>
    <cellStyle name="40% - Accent6 7" xfId="489" xr:uid="{A271DB35-E80C-47EF-8F34-DCBF56963A46}"/>
    <cellStyle name="40% - Accent6 8" xfId="490" xr:uid="{B22CCCF6-C4CB-4817-98A6-940E713BEB8B}"/>
    <cellStyle name="5x indented GHG Textfiels" xfId="241" xr:uid="{FB7B2A9F-2028-4A73-8FB1-69BF5F31C7FF}"/>
    <cellStyle name="5x indented GHG Textfiels 2" xfId="491" xr:uid="{55D5F148-C328-4E43-B0D9-E2F2D07BD8BF}"/>
    <cellStyle name="5x indented GHG Textfiels 2 2" xfId="1909" xr:uid="{11B6BF33-BD3B-41AB-9985-618B471C6279}"/>
    <cellStyle name="5x indented GHG Textfiels 3" xfId="1908" xr:uid="{AD8E424C-3314-4276-9205-96FC5179F804}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60% - Accent1 2" xfId="90" xr:uid="{3F086430-5963-4BDA-BDC7-15494A82798F}"/>
    <cellStyle name="60% - Accent1 2 10" xfId="492" xr:uid="{1B1B3171-646F-4372-BA28-0C00E5FB841F}"/>
    <cellStyle name="60% - Accent1 2 2" xfId="493" xr:uid="{F4ADC448-1805-48FE-8198-0E9A47B27C8A}"/>
    <cellStyle name="60% - Accent1 2 3" xfId="494" xr:uid="{DFCFEC5A-EBA0-4509-BD0B-788E59185FC5}"/>
    <cellStyle name="60% - Accent1 2 4" xfId="495" xr:uid="{EFBFA030-F747-4E63-AC42-A2E0F8D8FC91}"/>
    <cellStyle name="60% - Accent1 2 5" xfId="496" xr:uid="{9DDEFB4D-E680-4656-995A-45A5E154EBEB}"/>
    <cellStyle name="60% - Accent1 2 6" xfId="497" xr:uid="{64E76B1B-7D36-4EF1-AEDB-9233AE6CD33D}"/>
    <cellStyle name="60% - Accent1 2 7" xfId="498" xr:uid="{F687B81C-B3F9-43BB-A21B-D807724258D8}"/>
    <cellStyle name="60% - Accent1 2 8" xfId="499" xr:uid="{304D87C4-EC64-4BFB-AAB5-0B3F1E9A4F6F}"/>
    <cellStyle name="60% - Accent1 2 9" xfId="500" xr:uid="{F00B0918-8A1F-4CAD-A05C-FB860587DC84}"/>
    <cellStyle name="60% - Accent1 3" xfId="91" xr:uid="{58D35BCD-2EC2-44A9-AA5B-36F605B59BE7}"/>
    <cellStyle name="60% - Accent1 3 2" xfId="501" xr:uid="{021B64DB-3A24-436C-9EBB-D1FA04E813A5}"/>
    <cellStyle name="60% - Accent2 2" xfId="92" xr:uid="{AA7AE8A8-5C15-4464-83D8-ED317425CB1C}"/>
    <cellStyle name="60% - Accent2 2 10" xfId="502" xr:uid="{16BD18D1-21C1-4E7C-9FDD-83832E46BF32}"/>
    <cellStyle name="60% - Accent2 2 2" xfId="503" xr:uid="{C9A2F78D-2DF1-4BC1-BB92-4A544F861ABE}"/>
    <cellStyle name="60% - Accent2 2 3" xfId="504" xr:uid="{095AFED3-B57D-4EAC-9BD8-0613F011F05E}"/>
    <cellStyle name="60% - Accent2 2 4" xfId="505" xr:uid="{B3DCF472-A241-4865-B916-46E670C3B0A8}"/>
    <cellStyle name="60% - Accent2 2 5" xfId="506" xr:uid="{5647CA04-2FBF-4EF0-9CC5-35EACC400947}"/>
    <cellStyle name="60% - Accent2 2 6" xfId="507" xr:uid="{5F62721F-AF58-4F06-AA30-95EE62D8E420}"/>
    <cellStyle name="60% - Accent2 2 7" xfId="508" xr:uid="{4994005D-6117-4459-90DC-B034A62E1C67}"/>
    <cellStyle name="60% - Accent2 2 8" xfId="509" xr:uid="{ABA530BF-50BB-4804-A701-DEF09CCB15F4}"/>
    <cellStyle name="60% - Accent2 2 9" xfId="510" xr:uid="{1D752234-2733-4A2F-8EA7-C5BADA5B28A2}"/>
    <cellStyle name="60% - Accent2 3" xfId="93" xr:uid="{6B77A342-E804-4D1D-BCA4-2402CCEE2AFC}"/>
    <cellStyle name="60% - Accent2 3 2" xfId="511" xr:uid="{ADCDCCD9-6456-43BA-B471-1A03A170F9FC}"/>
    <cellStyle name="60% - Accent3 2" xfId="94" xr:uid="{CB6D600C-331E-4819-9029-E40414953B51}"/>
    <cellStyle name="60% - Accent3 2 10" xfId="512" xr:uid="{E23F08CD-9793-486F-8EAF-F3EB11260C11}"/>
    <cellStyle name="60% - Accent3 2 2" xfId="513" xr:uid="{00687AAF-059C-4F7E-BCEE-9ED5ACF9736B}"/>
    <cellStyle name="60% - Accent3 2 3" xfId="514" xr:uid="{E336FB16-9A11-449A-B062-9B45546BE57C}"/>
    <cellStyle name="60% - Accent3 2 4" xfId="515" xr:uid="{2BB5A535-E0F3-4057-B9BF-63000547FA47}"/>
    <cellStyle name="60% - Accent3 2 5" xfId="516" xr:uid="{DA5EF2C4-754D-4379-B163-F82F3558F3E2}"/>
    <cellStyle name="60% - Accent3 2 6" xfId="517" xr:uid="{950BACF2-ABE9-4AD9-A967-CF550009662A}"/>
    <cellStyle name="60% - Accent3 2 7" xfId="518" xr:uid="{AAC1D4E0-B539-4537-9E54-C974D95312C2}"/>
    <cellStyle name="60% - Accent3 2 8" xfId="519" xr:uid="{7E163B0A-1BEF-424E-8EA5-2B35924393C7}"/>
    <cellStyle name="60% - Accent3 2 9" xfId="520" xr:uid="{95FFA362-C32E-465D-B99F-8F5393177959}"/>
    <cellStyle name="60% - Accent3 3" xfId="95" xr:uid="{ECDA0031-E619-4CA5-8AB5-01C16F16B584}"/>
    <cellStyle name="60% - Accent3 3 2" xfId="521" xr:uid="{D8FD07E7-3E6E-471C-95E7-DC8A4CC9057B}"/>
    <cellStyle name="60% - Accent4 2" xfId="96" xr:uid="{7EBC23C6-A203-4328-B1BC-124A9C88B7B1}"/>
    <cellStyle name="60% - Accent4 2 10" xfId="522" xr:uid="{9AFAEC93-0407-4ACB-96AB-107725AC2533}"/>
    <cellStyle name="60% - Accent4 2 2" xfId="523" xr:uid="{98766AAA-6DB2-4436-996F-0C2144C59E50}"/>
    <cellStyle name="60% - Accent4 2 3" xfId="524" xr:uid="{69BDE697-BCD1-4B62-9A0C-630CC7DEBA19}"/>
    <cellStyle name="60% - Accent4 2 4" xfId="525" xr:uid="{C6549DF6-F4B2-409B-942F-ABA3670921B3}"/>
    <cellStyle name="60% - Accent4 2 5" xfId="526" xr:uid="{7F45FB8A-0A2E-466F-AAA8-E2D5BF68ABAB}"/>
    <cellStyle name="60% - Accent4 2 6" xfId="527" xr:uid="{4865274D-1479-43A6-9883-6FF1B2E4EEFE}"/>
    <cellStyle name="60% - Accent4 2 7" xfId="528" xr:uid="{AEF2ED43-F3A6-48AB-8743-3F442353929E}"/>
    <cellStyle name="60% - Accent4 2 8" xfId="529" xr:uid="{C6F912AE-551B-46E8-85BD-59D936354F07}"/>
    <cellStyle name="60% - Accent4 2 9" xfId="530" xr:uid="{D8E49185-BDD6-4C34-890F-EDB57325AD3B}"/>
    <cellStyle name="60% - Accent4 3" xfId="97" xr:uid="{D4DBA0CC-4AEE-4707-AA68-F7676D5D9FF9}"/>
    <cellStyle name="60% - Accent4 3 2" xfId="531" xr:uid="{10750DFF-85C3-4C21-A6DF-8E394E32B4FB}"/>
    <cellStyle name="60% - Accent5 2" xfId="98" xr:uid="{42B2157A-66B3-424F-8F63-8FD1A48E8541}"/>
    <cellStyle name="60% - Accent5 2 10" xfId="532" xr:uid="{B0C03A57-9A1A-41AC-B054-7B400134E46E}"/>
    <cellStyle name="60% - Accent5 2 2" xfId="533" xr:uid="{BB748A3A-53FE-4F4E-8BDB-9F51B9CF0938}"/>
    <cellStyle name="60% - Accent5 2 3" xfId="534" xr:uid="{CA975ED5-86BB-457C-BA81-9B828759ADEF}"/>
    <cellStyle name="60% - Accent5 2 4" xfId="535" xr:uid="{2541B80B-E61C-4EA0-88F7-B42CE6690804}"/>
    <cellStyle name="60% - Accent5 2 5" xfId="536" xr:uid="{46831DB1-AD85-4F21-808C-E79B7A6D1404}"/>
    <cellStyle name="60% - Accent5 2 6" xfId="537" xr:uid="{F7200B30-6920-48A6-A1D2-CEA11423E06C}"/>
    <cellStyle name="60% - Accent5 2 7" xfId="538" xr:uid="{4609680C-F7D4-4BC1-BDD4-1B63DDA39E7C}"/>
    <cellStyle name="60% - Accent5 2 8" xfId="539" xr:uid="{285E93A6-EFF2-43F8-B808-9037DC7E226F}"/>
    <cellStyle name="60% - Accent5 2 9" xfId="540" xr:uid="{CE0CCFE2-FD72-46DB-9E68-E24E53F0F818}"/>
    <cellStyle name="60% - Accent5 3" xfId="99" xr:uid="{C8D48428-CFCA-47EE-987B-B72B1EAE7B05}"/>
    <cellStyle name="60% - Accent5 3 2" xfId="541" xr:uid="{DFA2901E-56F9-470D-8312-8217B17BE197}"/>
    <cellStyle name="60% - Accent6 2" xfId="100" xr:uid="{E98A9C83-BB73-403F-ABB1-3F97A49BFC9A}"/>
    <cellStyle name="60% - Accent6 2 10" xfId="542" xr:uid="{2DF43FCB-1D52-4A8B-84C6-4466CA8DD2F3}"/>
    <cellStyle name="60% - Accent6 2 2" xfId="543" xr:uid="{8ABA3E19-49A3-4E1D-9E5A-0154FADFF911}"/>
    <cellStyle name="60% - Accent6 2 3" xfId="544" xr:uid="{218F8BFE-7D2B-4652-AC9F-AD4D2F18677F}"/>
    <cellStyle name="60% - Accent6 2 4" xfId="545" xr:uid="{54DFA2C0-B8C2-4A2E-9AC3-F0AFFAAE5FFF}"/>
    <cellStyle name="60% - Accent6 2 5" xfId="546" xr:uid="{490EFB59-7745-4342-95FE-FFCEE4B9663F}"/>
    <cellStyle name="60% - Accent6 2 6" xfId="547" xr:uid="{CDC924B5-FD94-4D63-90CF-E98DC7B3773B}"/>
    <cellStyle name="60% - Accent6 2 7" xfId="548" xr:uid="{744932C4-D723-41BC-A114-CCA8F88439E9}"/>
    <cellStyle name="60% - Accent6 2 8" xfId="549" xr:uid="{DD084A36-FD09-412C-96F4-7797306D8360}"/>
    <cellStyle name="60% - Accent6 2 9" xfId="550" xr:uid="{037B9CB0-0A0B-4CAB-8BC2-F22CC68C13C1}"/>
    <cellStyle name="60% - Accent6 3" xfId="101" xr:uid="{A417D3EB-7CC0-479A-8B97-C1F85D636DC6}"/>
    <cellStyle name="60% - Accent6 3 2" xfId="551" xr:uid="{4CA0641A-78EA-4180-A5E5-C08C75C15945}"/>
    <cellStyle name="Accent1" xfId="19" builtinId="29" customBuiltin="1"/>
    <cellStyle name="Accent1 2" xfId="102" xr:uid="{7E95A351-D134-4981-91D0-7B44EFB2F34C}"/>
    <cellStyle name="Accent1 2 10" xfId="552" xr:uid="{697BFDB2-E537-429E-A610-42C16C9BA15A}"/>
    <cellStyle name="Accent1 2 2" xfId="553" xr:uid="{80D8F3D5-8625-4225-AA4B-C2CBC6A562C8}"/>
    <cellStyle name="Accent1 2 3" xfId="554" xr:uid="{92E4C50C-C66C-49DC-B7A6-969E4A29719E}"/>
    <cellStyle name="Accent1 2 4" xfId="555" xr:uid="{69911B5C-D143-4B7D-9E39-AF2216E11E1B}"/>
    <cellStyle name="Accent1 2 5" xfId="556" xr:uid="{10F6B7D3-BB4F-4B36-801E-37C6C8F9C79B}"/>
    <cellStyle name="Accent1 2 6" xfId="557" xr:uid="{7F64360A-BABA-4EAF-882C-0F1CAAB1B288}"/>
    <cellStyle name="Accent1 2 7" xfId="558" xr:uid="{8E71CFB9-B035-4B97-B07E-FC71CE0B27FF}"/>
    <cellStyle name="Accent1 2 8" xfId="559" xr:uid="{0C61C46F-0AAD-4647-B91D-D63445A3EC8A}"/>
    <cellStyle name="Accent1 2 9" xfId="560" xr:uid="{05EBE188-C56F-42F4-AAB5-FCD26DCBBEDC}"/>
    <cellStyle name="Accent1 3" xfId="103" xr:uid="{1605E28C-2778-4726-94F9-0DD187A04242}"/>
    <cellStyle name="Accent1 3 2" xfId="561" xr:uid="{49B99B54-3E7E-448A-BA96-628E630566AD}"/>
    <cellStyle name="Accent1 4" xfId="3447" xr:uid="{4CA2BB00-D12B-440C-A7F1-43C39C6A354B}"/>
    <cellStyle name="Accent1 5" xfId="43" xr:uid="{9808F205-9C14-4705-B334-57A9765D4ED0}"/>
    <cellStyle name="Accent2" xfId="23" builtinId="33" customBuiltin="1"/>
    <cellStyle name="Accent2 2" xfId="104" xr:uid="{6681E9E4-91D1-4368-90CF-8DD48B3252BE}"/>
    <cellStyle name="Accent2 2 10" xfId="562" xr:uid="{47484B53-F7D5-4F28-A719-A2030B98AED7}"/>
    <cellStyle name="Accent2 2 2" xfId="563" xr:uid="{750E8495-5ED3-4C0A-B504-915B329417C5}"/>
    <cellStyle name="Accent2 2 3" xfId="564" xr:uid="{D9EBE566-B1DE-4084-8837-ABD91A4A978D}"/>
    <cellStyle name="Accent2 2 4" xfId="565" xr:uid="{4114235C-13AE-4124-B21B-BC0BFD4781EB}"/>
    <cellStyle name="Accent2 2 5" xfId="566" xr:uid="{27386AD8-EFFD-43EF-8FE4-21FEFDB8B8B1}"/>
    <cellStyle name="Accent2 2 6" xfId="567" xr:uid="{E062E8C5-CAB6-4E1A-ABA3-A58C6FAFA851}"/>
    <cellStyle name="Accent2 2 7" xfId="568" xr:uid="{D2C0937C-0B07-4AF4-AFFE-E30E9880F7D4}"/>
    <cellStyle name="Accent2 2 8" xfId="569" xr:uid="{0024FF58-664C-45D0-A90C-94A55536BE2F}"/>
    <cellStyle name="Accent2 2 9" xfId="570" xr:uid="{2C1E574B-DC2C-46EC-BA6F-50CD79ABBCCA}"/>
    <cellStyle name="Accent2 3" xfId="105" xr:uid="{BB147E91-2C4F-455D-B667-332827FC1908}"/>
    <cellStyle name="Accent2 3 2" xfId="571" xr:uid="{8680959D-4142-4E7C-A01B-FE0CC26E6D10}"/>
    <cellStyle name="Accent2 4" xfId="3448" xr:uid="{EFDCD0F8-D053-4869-9A61-FB7D4606A567}"/>
    <cellStyle name="Accent2 5" xfId="44" xr:uid="{D57F0DF8-7D1B-448E-A564-A567938CB723}"/>
    <cellStyle name="Accent3" xfId="27" builtinId="37" customBuiltin="1"/>
    <cellStyle name="Accent3 2" xfId="106" xr:uid="{2671B56F-72FC-4B1F-B303-89D524388855}"/>
    <cellStyle name="Accent3 2 10" xfId="572" xr:uid="{2CC371D4-2102-45B4-86A4-A3888120FD62}"/>
    <cellStyle name="Accent3 2 2" xfId="573" xr:uid="{BC57DDEA-B5CC-4381-89D2-54ADE3797233}"/>
    <cellStyle name="Accent3 2 3" xfId="574" xr:uid="{899DE4D5-CB68-411D-ABCF-CDAEA77C1AC9}"/>
    <cellStyle name="Accent3 2 4" xfId="575" xr:uid="{68E12281-5516-41F2-87D6-B5283213CCCD}"/>
    <cellStyle name="Accent3 2 5" xfId="576" xr:uid="{C19C5FB2-1EBB-421F-91FD-7058386F59E6}"/>
    <cellStyle name="Accent3 2 6" xfId="577" xr:uid="{74BEE8EA-59B8-49AA-8BE8-32C627860880}"/>
    <cellStyle name="Accent3 2 7" xfId="578" xr:uid="{687EAF7A-00E5-4276-9D04-AE5577F2F36C}"/>
    <cellStyle name="Accent3 2 8" xfId="579" xr:uid="{5DC71CAD-CF02-4154-ABD3-6B26E225FAC5}"/>
    <cellStyle name="Accent3 2 9" xfId="580" xr:uid="{3038D310-9295-4F6C-8B75-B42E5F48834F}"/>
    <cellStyle name="Accent3 3" xfId="107" xr:uid="{231CA1C5-214F-4619-A23A-17498BCDE7A8}"/>
    <cellStyle name="Accent3 3 2" xfId="581" xr:uid="{EFFD869D-4F74-4903-99D7-F6373582CFD4}"/>
    <cellStyle name="Accent3 4" xfId="3449" xr:uid="{0A7D08E1-E6BF-40FA-8A89-B2F1DDED6414}"/>
    <cellStyle name="Accent3 5" xfId="45" xr:uid="{BBC340F5-1A7F-4CCF-9513-FE491DC44B5A}"/>
    <cellStyle name="Accent4" xfId="31" builtinId="41" customBuiltin="1"/>
    <cellStyle name="Accent4 2" xfId="108" xr:uid="{854C1955-1546-429C-9998-FAE137DAFE9B}"/>
    <cellStyle name="Accent4 2 10" xfId="582" xr:uid="{C50DB82B-1962-4405-9456-54FC1CFAED1C}"/>
    <cellStyle name="Accent4 2 2" xfId="583" xr:uid="{4536C16E-953A-403C-B12A-10AAEEC555E7}"/>
    <cellStyle name="Accent4 2 3" xfId="584" xr:uid="{DBF1AF21-5E8D-4FA1-9798-74437314ED87}"/>
    <cellStyle name="Accent4 2 4" xfId="585" xr:uid="{5F720E04-6E7B-4710-BF75-BA7ABD6E8595}"/>
    <cellStyle name="Accent4 2 5" xfId="586" xr:uid="{8DBB8EC9-870B-400B-9361-E7374C4CC34C}"/>
    <cellStyle name="Accent4 2 6" xfId="587" xr:uid="{524BCBAB-22A1-4B99-BCEF-60F32C7A5BFD}"/>
    <cellStyle name="Accent4 2 7" xfId="588" xr:uid="{5280E6A5-2E49-4690-AEB2-657FAFB37C63}"/>
    <cellStyle name="Accent4 2 8" xfId="589" xr:uid="{4F5D398C-043C-4693-A268-6FB7B02669C9}"/>
    <cellStyle name="Accent4 2 9" xfId="590" xr:uid="{1DBAC55A-C85C-4488-9363-10394CDFBE0E}"/>
    <cellStyle name="Accent4 3" xfId="109" xr:uid="{BED2B16B-3D4A-47B4-A6EC-083D4B4E1EFD}"/>
    <cellStyle name="Accent4 3 2" xfId="591" xr:uid="{0623AC25-4D51-4DC8-BEE8-0CF2C4822D2E}"/>
    <cellStyle name="Accent4 4" xfId="3450" xr:uid="{25C7396E-2068-4EDA-93E1-ADF14B7E961F}"/>
    <cellStyle name="Accent4 5" xfId="46" xr:uid="{15895B12-0500-490B-AB10-E5D919E1CC70}"/>
    <cellStyle name="Accent5" xfId="35" builtinId="45" customBuiltin="1"/>
    <cellStyle name="Accent5 2" xfId="110" xr:uid="{80F4D5D9-E9CB-483A-AC0C-6AAE73BB4F27}"/>
    <cellStyle name="Accent5 2 10" xfId="592" xr:uid="{F860EA1F-5742-4C35-83D0-D7D495F74657}"/>
    <cellStyle name="Accent5 2 2" xfId="593" xr:uid="{C9456908-9963-4EBC-9276-98C4F3418EF2}"/>
    <cellStyle name="Accent5 2 3" xfId="594" xr:uid="{7B081049-CF44-4715-AB4B-A89874D04ACA}"/>
    <cellStyle name="Accent5 2 4" xfId="595" xr:uid="{A6B3397D-962B-48D7-A230-D9D17E47C7E7}"/>
    <cellStyle name="Accent5 2 5" xfId="596" xr:uid="{B1CB6B00-C33E-4E77-BF66-CBB5991FBA16}"/>
    <cellStyle name="Accent5 2 6" xfId="597" xr:uid="{512E3C7B-92B0-461A-AB02-364D3138C583}"/>
    <cellStyle name="Accent5 2 7" xfId="598" xr:uid="{6F25F13A-3C13-4C3A-BA16-AA7D89AAAB9D}"/>
    <cellStyle name="Accent5 2 8" xfId="599" xr:uid="{2F5E0B8C-E725-4D50-BAF0-F548DECAB5C3}"/>
    <cellStyle name="Accent5 2 9" xfId="600" xr:uid="{57EFBBB2-1BC2-4441-BC62-438CD48EA5D0}"/>
    <cellStyle name="Accent5 3" xfId="111" xr:uid="{C575850E-4E37-4906-8145-E950BD280FAF}"/>
    <cellStyle name="Accent5 4" xfId="3451" xr:uid="{510B6DD6-4361-4DF2-945D-7C568C1A5779}"/>
    <cellStyle name="Accent5 5" xfId="47" xr:uid="{3F269C47-BE54-42F9-9FF2-AE953296BFB1}"/>
    <cellStyle name="Accent6" xfId="39" builtinId="49" customBuiltin="1"/>
    <cellStyle name="Accent6 2" xfId="112" xr:uid="{909818C7-7EE0-4845-B49A-55489F462C74}"/>
    <cellStyle name="Accent6 2 10" xfId="601" xr:uid="{89CB2CC8-E905-44F9-8BD9-2734AA765BE6}"/>
    <cellStyle name="Accent6 2 2" xfId="602" xr:uid="{954AC4E7-9A4E-4210-BAEF-DED32CF41A86}"/>
    <cellStyle name="Accent6 2 3" xfId="603" xr:uid="{25BAEA6A-BF84-47C8-AB15-5E4E00C85F13}"/>
    <cellStyle name="Accent6 2 4" xfId="604" xr:uid="{11D32830-EC22-41FD-82F8-7420C66E3F94}"/>
    <cellStyle name="Accent6 2 5" xfId="605" xr:uid="{A2184981-6613-487F-AF4B-4B146CC4947F}"/>
    <cellStyle name="Accent6 2 6" xfId="606" xr:uid="{BACFF1AE-3E62-47EF-9D34-711D4714A90E}"/>
    <cellStyle name="Accent6 2 7" xfId="607" xr:uid="{A93C83C4-A518-4DAE-A1C9-F31B2A04702C}"/>
    <cellStyle name="Accent6 2 8" xfId="608" xr:uid="{3A7C2AFC-D739-4C5B-956F-32A104D1B8AC}"/>
    <cellStyle name="Accent6 2 9" xfId="609" xr:uid="{BFFA67E8-39E4-4549-ACC7-8DB1786512A5}"/>
    <cellStyle name="Accent6 3" xfId="113" xr:uid="{2C4F1C71-4EED-4DF4-94B9-BAB0EB30651B}"/>
    <cellStyle name="Accent6 3 2" xfId="610" xr:uid="{8FE941A8-3E89-40CA-AB1A-B68365CBE915}"/>
    <cellStyle name="Accent6 4" xfId="3452" xr:uid="{909E137C-9E62-41E8-9727-F90C30E44736}"/>
    <cellStyle name="Accent6 5" xfId="48" xr:uid="{D9D151E8-A73A-4575-BC70-6C55D71AC709}"/>
    <cellStyle name="AggOrange_CRFReport-template" xfId="242" xr:uid="{6E59F3DF-255A-41A3-97FC-4D74078167AE}"/>
    <cellStyle name="AggOrange9_CRFReport-template" xfId="243" xr:uid="{C16D1123-CEBA-4E7C-93E7-01D530A0C693}"/>
    <cellStyle name="Avertissement" xfId="15" builtinId="11" customBuiltin="1"/>
    <cellStyle name="Bad" xfId="49" xr:uid="{4D85E054-0B22-48FA-9321-DBA66C1095E1}"/>
    <cellStyle name="Bad 2" xfId="114" xr:uid="{556D6810-E953-405A-82FD-341FF54818EE}"/>
    <cellStyle name="Bad 2 10" xfId="611" xr:uid="{4D6BC133-39EC-47DC-8362-6530918B8866}"/>
    <cellStyle name="Bad 2 2" xfId="612" xr:uid="{88614504-5129-4A0C-93CB-8CE4FB259AC3}"/>
    <cellStyle name="Bad 2 3" xfId="613" xr:uid="{8370B377-6614-470A-A193-2D7B204782FC}"/>
    <cellStyle name="Bad 2 4" xfId="614" xr:uid="{78B7F886-BC45-49F0-A844-B9CE708BD1AB}"/>
    <cellStyle name="Bad 2 5" xfId="615" xr:uid="{169E12B6-0AE6-48AB-94A3-70824841F2E7}"/>
    <cellStyle name="Bad 2 6" xfId="616" xr:uid="{F8076A20-9C70-41A3-ADDC-F95C5992F902}"/>
    <cellStyle name="Bad 2 7" xfId="617" xr:uid="{65A5AEA2-4D58-4AAA-8E0A-BE694E3473C8}"/>
    <cellStyle name="Bad 2 8" xfId="618" xr:uid="{F75DD6DA-3173-47FA-A044-06D877529795}"/>
    <cellStyle name="Bad 2 9" xfId="619" xr:uid="{F655F67B-7EE5-4EEB-87D8-CEEF233F0E3F}"/>
    <cellStyle name="Bad 3" xfId="115" xr:uid="{C268DF46-5B5D-48B0-84B6-C8F409F49CE3}"/>
    <cellStyle name="Bad 3 2" xfId="620" xr:uid="{96690E6F-C6B1-4681-81D1-C21AE0AFD9F1}"/>
    <cellStyle name="Calcul" xfId="12" builtinId="22" customBuiltin="1"/>
    <cellStyle name="Calculation 2" xfId="116" xr:uid="{E60186D5-089A-4C3B-A379-05B8641667D5}"/>
    <cellStyle name="Calculation 2 10" xfId="621" xr:uid="{CBCC6D93-0166-43FF-92F8-69901387CAE2}"/>
    <cellStyle name="Calculation 2 2" xfId="622" xr:uid="{AB432DC5-3D76-49DB-BA15-CE070C025AAF}"/>
    <cellStyle name="Calculation 2 3" xfId="623" xr:uid="{BE1EAC11-1C71-4D6A-ABB3-5033B20DCDE3}"/>
    <cellStyle name="Calculation 2 4" xfId="624" xr:uid="{4BE69EAF-59FF-4D11-9B55-425D29A57BCE}"/>
    <cellStyle name="Calculation 2 5" xfId="625" xr:uid="{FDD4FC7C-8AA6-42B6-B541-BF6F7CEA47A3}"/>
    <cellStyle name="Calculation 2 6" xfId="626" xr:uid="{0EAAEB4D-5109-4EB2-9241-239B4563256E}"/>
    <cellStyle name="Calculation 2 7" xfId="627" xr:uid="{A7DB29F4-8A4C-4563-8107-06BD2ACF7604}"/>
    <cellStyle name="Calculation 2 8" xfId="628" xr:uid="{169BAF5C-38B6-445C-95B9-DA7E3DA51CEA}"/>
    <cellStyle name="Calculation 2 9" xfId="629" xr:uid="{EB2BD03C-84F5-474F-BDA4-FF05FE3E1334}"/>
    <cellStyle name="Calculation 3" xfId="117" xr:uid="{31765383-8E63-487C-92EC-E6A718CAB8E8}"/>
    <cellStyle name="Calculation 3 2" xfId="630" xr:uid="{E9E7181F-ED37-440A-A61B-D456E5AFDEC3}"/>
    <cellStyle name="Cellule liée" xfId="13" builtinId="24" customBuiltin="1"/>
    <cellStyle name="Check Cell" xfId="50" xr:uid="{EB50B9A8-A448-49B4-9333-9B5836895FC1}"/>
    <cellStyle name="Check Cell 2" xfId="118" xr:uid="{652E59C0-F3D1-47B9-919E-DAFB36CFE07F}"/>
    <cellStyle name="Check Cell 2 10" xfId="631" xr:uid="{2103A93B-0C2F-408A-8167-642801567011}"/>
    <cellStyle name="Check Cell 2 2" xfId="632" xr:uid="{C0850FDD-72D6-4B04-B33A-0E21D8652E66}"/>
    <cellStyle name="Check Cell 2 3" xfId="633" xr:uid="{6B2F422D-A547-4884-8315-AD57CE23458B}"/>
    <cellStyle name="Check Cell 2 4" xfId="634" xr:uid="{0CCF1E80-A950-4878-9717-512B31713618}"/>
    <cellStyle name="Check Cell 2 5" xfId="635" xr:uid="{C3A23689-6DA2-4E3D-891A-8DF35BE80FEF}"/>
    <cellStyle name="Check Cell 2 6" xfId="636" xr:uid="{6E229B5C-4278-4890-8BBE-17FD1E1F7801}"/>
    <cellStyle name="Check Cell 2 7" xfId="637" xr:uid="{F824AC45-D0CF-4F37-A395-291DDCE8E854}"/>
    <cellStyle name="Check Cell 2 8" xfId="638" xr:uid="{1E37E4B3-A54C-4D75-813E-B033E99097E6}"/>
    <cellStyle name="Check Cell 2 9" xfId="639" xr:uid="{A5EF0201-6AB2-4E6A-896A-4717B817ED9B}"/>
    <cellStyle name="Check Cell 3" xfId="119" xr:uid="{6F54AF8F-5540-4E01-8B49-136B536BCA73}"/>
    <cellStyle name="coin" xfId="640" xr:uid="{95B188D5-F6AF-49B5-AD0A-0702EAAC6622}"/>
    <cellStyle name="coin 2" xfId="1910" xr:uid="{0836B1F7-FBCB-43C6-8F3F-EAD6A34141CB}"/>
    <cellStyle name="Comma [0] 2 10" xfId="641" xr:uid="{29196EBF-3111-4CD0-AA91-370CCF513855}"/>
    <cellStyle name="Comma [0] 2 10 2" xfId="1911" xr:uid="{D372CCB0-2ABE-49B2-93CE-9E1194BEA3C3}"/>
    <cellStyle name="Comma [0] 2 2" xfId="642" xr:uid="{47F593C3-7BF3-4FE9-80A3-86CEA07A24FA}"/>
    <cellStyle name="Comma [0] 2 2 2" xfId="1912" xr:uid="{ED927CF7-CFDB-4992-90F6-0A0C20039566}"/>
    <cellStyle name="Comma [0] 2 3" xfId="643" xr:uid="{F38FE70A-B091-46D6-95D7-1AF3D5F6929B}"/>
    <cellStyle name="Comma [0] 2 3 2" xfId="1913" xr:uid="{90A60811-8FBD-477C-B6FD-0AC1902F42AB}"/>
    <cellStyle name="Comma [0] 2 4" xfId="644" xr:uid="{19A640D2-110D-44BE-821F-CBFAC3622F19}"/>
    <cellStyle name="Comma [0] 2 4 2" xfId="1914" xr:uid="{FCDD5636-7414-4B7B-BFAB-47C30283D43E}"/>
    <cellStyle name="Comma [0] 2 5" xfId="645" xr:uid="{DEFD2DBA-F8F8-4E1E-9DDF-36A280DF2151}"/>
    <cellStyle name="Comma [0] 2 5 2" xfId="1915" xr:uid="{694DBE03-905C-490C-8309-2E983599263A}"/>
    <cellStyle name="Comma [0] 2 6" xfId="646" xr:uid="{57BA6305-6D9E-4FAA-9167-30385B668360}"/>
    <cellStyle name="Comma [0] 2 6 2" xfId="1916" xr:uid="{CB0AEC81-C6F2-4750-86E6-6B54792C62B0}"/>
    <cellStyle name="Comma [0] 2 7" xfId="647" xr:uid="{596E4DFC-D62A-40BD-B846-0C9517782182}"/>
    <cellStyle name="Comma [0] 2 7 2" xfId="1917" xr:uid="{326AED26-1715-4B9F-A4AA-B62B5868F66C}"/>
    <cellStyle name="Comma [0] 2 8" xfId="648" xr:uid="{D31EB614-A758-4C80-86E1-205509D5839E}"/>
    <cellStyle name="Comma [0] 2 8 2" xfId="1918" xr:uid="{B67E1EFA-7BF2-4BE0-9998-0E9BF01B0D5F}"/>
    <cellStyle name="Comma [0] 2 9" xfId="649" xr:uid="{EBEEA650-66DD-49C1-9D52-C7B1AE77DC17}"/>
    <cellStyle name="Comma [0] 2 9 2" xfId="1919" xr:uid="{E19C0899-EE7B-4793-99C7-102911C807E6}"/>
    <cellStyle name="Comma 10 2" xfId="650" xr:uid="{102BD008-A49F-4038-9DFF-E3187163125E}"/>
    <cellStyle name="Comma 10 2 10" xfId="651" xr:uid="{D5E61CFB-5FC9-41D0-87A8-3113BFDFF601}"/>
    <cellStyle name="Comma 10 2 10 2" xfId="1921" xr:uid="{9FD3CA6A-1A93-4E5F-9A51-10551F8FB15C}"/>
    <cellStyle name="Comma 10 2 11" xfId="652" xr:uid="{3B86F482-CEE5-48C3-BF03-B877A387B5A3}"/>
    <cellStyle name="Comma 10 2 11 2" xfId="1922" xr:uid="{778FAD0A-F531-4836-9F29-7BE11B7ADE61}"/>
    <cellStyle name="Comma 10 2 12" xfId="653" xr:uid="{23FE9030-5A43-4B1D-897F-61E1F266645D}"/>
    <cellStyle name="Comma 10 2 12 2" xfId="1923" xr:uid="{736528CE-F664-4B74-9148-3183553771F4}"/>
    <cellStyle name="Comma 10 2 13" xfId="654" xr:uid="{CE9A19D3-37A4-415E-8DC1-A4AD1BB421DB}"/>
    <cellStyle name="Comma 10 2 13 2" xfId="1924" xr:uid="{37403EFC-6230-4B35-AD0C-DFB2FFCBEBBB}"/>
    <cellStyle name="Comma 10 2 14" xfId="655" xr:uid="{B1A47CC0-A08C-433B-BF31-A5AE18177D0E}"/>
    <cellStyle name="Comma 10 2 14 2" xfId="1925" xr:uid="{C1E6A5AB-AC8D-43DE-866B-50146A7996DF}"/>
    <cellStyle name="Comma 10 2 15" xfId="656" xr:uid="{8F000938-4A2E-48B2-8FE5-CA7378FD5148}"/>
    <cellStyle name="Comma 10 2 15 2" xfId="1926" xr:uid="{B4E29FA7-870B-43B7-83C0-5417DC88CE1D}"/>
    <cellStyle name="Comma 10 2 16" xfId="657" xr:uid="{06F83F96-7C9F-46EC-B51A-3C4E4BF711EA}"/>
    <cellStyle name="Comma 10 2 16 2" xfId="1927" xr:uid="{42B57A38-CB19-4846-81CA-2F5EEFEA5F39}"/>
    <cellStyle name="Comma 10 2 17" xfId="658" xr:uid="{045E7CEB-8F6B-4FC3-91B5-60A3108C4056}"/>
    <cellStyle name="Comma 10 2 17 2" xfId="1928" xr:uid="{3F69F84B-DF52-4DA9-9988-78EBDA41A627}"/>
    <cellStyle name="Comma 10 2 18" xfId="1920" xr:uid="{E799E54D-4B86-4364-961C-7F0F0732FC40}"/>
    <cellStyle name="Comma 10 2 2" xfId="659" xr:uid="{CC3ADBEA-81E9-44A3-806A-74E8D2BE605E}"/>
    <cellStyle name="Comma 10 2 2 2" xfId="1929" xr:uid="{6D49BBDF-2675-413B-9B5E-A4200CD0CDBE}"/>
    <cellStyle name="Comma 10 2 3" xfId="660" xr:uid="{73B5FCDE-154F-4586-B45C-14065A55C7D8}"/>
    <cellStyle name="Comma 10 2 3 2" xfId="1930" xr:uid="{0DBD5FDD-20FA-4AC0-B901-3640AF6D8A20}"/>
    <cellStyle name="Comma 10 2 4" xfId="661" xr:uid="{E5C87BDC-5FC4-445F-8E2D-4C4C41B97D71}"/>
    <cellStyle name="Comma 10 2 4 2" xfId="1931" xr:uid="{35CDC039-B6B6-4410-9414-85BA4A206002}"/>
    <cellStyle name="Comma 10 2 5" xfId="662" xr:uid="{AA8D4B87-AB9D-41B7-B852-3F3EB30329A6}"/>
    <cellStyle name="Comma 10 2 5 2" xfId="1932" xr:uid="{AEFD0969-FE79-4594-AB59-CE088BF86D71}"/>
    <cellStyle name="Comma 10 2 6" xfId="663" xr:uid="{08D4EF13-5719-48AA-8D6B-D1EAF038241C}"/>
    <cellStyle name="Comma 10 2 6 2" xfId="1933" xr:uid="{75B7BE53-EB40-43DA-8583-F1FF3C9C51F1}"/>
    <cellStyle name="Comma 10 2 7" xfId="664" xr:uid="{C3F6A47F-4A49-4063-8105-A42422F65337}"/>
    <cellStyle name="Comma 10 2 7 2" xfId="1934" xr:uid="{7CE9B83D-6D5E-496B-8428-FEA2F3F3F265}"/>
    <cellStyle name="Comma 10 2 8" xfId="665" xr:uid="{465E7BD9-246C-48C7-9510-07ADAE2AD7DC}"/>
    <cellStyle name="Comma 10 2 8 2" xfId="1935" xr:uid="{95971399-B5F4-4C37-8C8A-0F5D736CA1A8}"/>
    <cellStyle name="Comma 10 2 9" xfId="666" xr:uid="{F12E1F89-6396-4273-81B9-E8839A9FB97F}"/>
    <cellStyle name="Comma 10 2 9 2" xfId="1936" xr:uid="{AB0F3970-25C1-4F75-B4E2-72A97A11D0A4}"/>
    <cellStyle name="Comma 10 3" xfId="667" xr:uid="{677E98CA-A098-436D-9D7C-4C64C06B7FEB}"/>
    <cellStyle name="Comma 10 3 10" xfId="668" xr:uid="{DE21D9FA-F81D-4D5B-BD0B-58709077BDBF}"/>
    <cellStyle name="Comma 10 3 10 2" xfId="1938" xr:uid="{8597086F-D30A-4629-A64B-628F823A601A}"/>
    <cellStyle name="Comma 10 3 11" xfId="669" xr:uid="{852E3E85-3259-46F0-A5C3-04E15E534BA4}"/>
    <cellStyle name="Comma 10 3 11 2" xfId="1939" xr:uid="{6C504358-1F31-4243-982A-4416C0042B83}"/>
    <cellStyle name="Comma 10 3 12" xfId="670" xr:uid="{A9940A21-08E6-4C31-B5A3-168DB6B8553E}"/>
    <cellStyle name="Comma 10 3 12 2" xfId="1940" xr:uid="{152520AA-8C0D-45C2-A0CA-8231D661C21E}"/>
    <cellStyle name="Comma 10 3 13" xfId="671" xr:uid="{B48A331E-B157-455E-87E4-C01BF8C1934C}"/>
    <cellStyle name="Comma 10 3 13 2" xfId="1941" xr:uid="{9A997C92-B946-4E42-8A0D-A11C6FD0A721}"/>
    <cellStyle name="Comma 10 3 14" xfId="672" xr:uid="{9D72279A-D593-4DA1-9F9E-F8E4439E6577}"/>
    <cellStyle name="Comma 10 3 14 2" xfId="1942" xr:uid="{58897178-62FE-4C76-8637-1239181D1C7A}"/>
    <cellStyle name="Comma 10 3 15" xfId="673" xr:uid="{59FD5125-3741-455A-96BE-B90D8A107195}"/>
    <cellStyle name="Comma 10 3 15 2" xfId="1943" xr:uid="{520EF477-F183-4C7A-BD28-ED2164AA836F}"/>
    <cellStyle name="Comma 10 3 16" xfId="674" xr:uid="{29B1F7C2-E443-4CF2-B5EF-B2C5FBF27C19}"/>
    <cellStyle name="Comma 10 3 16 2" xfId="1944" xr:uid="{D3C6EC2A-A852-4094-9DC3-94B98F6B1EA3}"/>
    <cellStyle name="Comma 10 3 17" xfId="675" xr:uid="{7FA7BA2A-9817-4ED6-BCAE-83B3E092A0F6}"/>
    <cellStyle name="Comma 10 3 17 2" xfId="1945" xr:uid="{11C8C5BC-F90B-4616-8F6D-07095BF32A12}"/>
    <cellStyle name="Comma 10 3 18" xfId="1937" xr:uid="{5D7527FE-A1BA-45BC-989F-6EEEDB66A457}"/>
    <cellStyle name="Comma 10 3 2" xfId="676" xr:uid="{BF660C08-FF50-494B-8397-701ACBC709FD}"/>
    <cellStyle name="Comma 10 3 2 2" xfId="1946" xr:uid="{2B12C38F-4E3E-49EB-85C0-9CEAAB9D47AE}"/>
    <cellStyle name="Comma 10 3 3" xfId="677" xr:uid="{29362A98-5367-402B-B268-49431EFB6827}"/>
    <cellStyle name="Comma 10 3 3 2" xfId="1947" xr:uid="{123BA86C-777C-411A-9149-B3C72D0E5F08}"/>
    <cellStyle name="Comma 10 3 4" xfId="678" xr:uid="{DC4D49E0-CAFF-44EA-A63D-53D493B0250E}"/>
    <cellStyle name="Comma 10 3 4 2" xfId="1948" xr:uid="{398CF244-5FF4-4D51-A6F5-B9B8559A0454}"/>
    <cellStyle name="Comma 10 3 5" xfId="679" xr:uid="{CB13B283-395D-4CFA-ABAE-1FAE44478D17}"/>
    <cellStyle name="Comma 10 3 5 2" xfId="1949" xr:uid="{ECFB600F-91AF-43FA-8E77-5212605720EF}"/>
    <cellStyle name="Comma 10 3 6" xfId="680" xr:uid="{1B97CF0B-C8F0-465E-B325-AE6B7E8D0951}"/>
    <cellStyle name="Comma 10 3 6 2" xfId="1950" xr:uid="{E7879A69-FD68-4A65-8BAB-3BCD0298A1C4}"/>
    <cellStyle name="Comma 10 3 7" xfId="681" xr:uid="{21A5E158-4195-4649-83CB-747D6BB37963}"/>
    <cellStyle name="Comma 10 3 7 2" xfId="1951" xr:uid="{D852C1A6-AE36-46D0-BE8B-1619589AACE2}"/>
    <cellStyle name="Comma 10 3 8" xfId="682" xr:uid="{3301C46C-40FB-4C43-8525-B155385AE795}"/>
    <cellStyle name="Comma 10 3 8 2" xfId="1952" xr:uid="{9B7FE3E5-59B5-4BBD-AFD0-8953C7CBE217}"/>
    <cellStyle name="Comma 10 3 9" xfId="683" xr:uid="{DC86254B-A021-44C1-B83E-268CA2FDA929}"/>
    <cellStyle name="Comma 10 3 9 2" xfId="1953" xr:uid="{6DAFA0A5-3746-4882-93DB-8816784ACE5C}"/>
    <cellStyle name="Comma 10 4" xfId="684" xr:uid="{BA5BCF81-6C4D-44D2-B1B2-A696C1E62BFC}"/>
    <cellStyle name="Comma 10 4 10" xfId="685" xr:uid="{105C1F83-ADF9-4970-A52E-612B8D5BAB4B}"/>
    <cellStyle name="Comma 10 4 10 2" xfId="1955" xr:uid="{04EAAA0F-7D45-4B40-A3F5-8048C5BD4585}"/>
    <cellStyle name="Comma 10 4 11" xfId="686" xr:uid="{0680D7D6-B39C-4F84-B3B3-18B267378C87}"/>
    <cellStyle name="Comma 10 4 11 2" xfId="1956" xr:uid="{55477E77-A44C-4B6B-8292-65B3AC224EE1}"/>
    <cellStyle name="Comma 10 4 12" xfId="687" xr:uid="{03E8A443-29C4-45CF-AE1B-A87D494C9F1C}"/>
    <cellStyle name="Comma 10 4 12 2" xfId="1957" xr:uid="{19787F16-9A43-49AB-BF5B-BE009D6FDB64}"/>
    <cellStyle name="Comma 10 4 13" xfId="688" xr:uid="{DEEE6347-F8A4-4001-AB43-6EFC9E1B6519}"/>
    <cellStyle name="Comma 10 4 13 2" xfId="1958" xr:uid="{294D6D3C-0C99-4A08-9C65-48E32D51F01A}"/>
    <cellStyle name="Comma 10 4 14" xfId="689" xr:uid="{0DCF70F5-6685-411A-AFBE-890DC79F902A}"/>
    <cellStyle name="Comma 10 4 14 2" xfId="1959" xr:uid="{6B405F6E-4AD9-465B-9DA0-5C3B98E623DE}"/>
    <cellStyle name="Comma 10 4 15" xfId="690" xr:uid="{90E71A83-E73A-47C9-B629-537320719CCC}"/>
    <cellStyle name="Comma 10 4 15 2" xfId="1960" xr:uid="{3C70E79A-7296-49B4-A15C-D369AB383C05}"/>
    <cellStyle name="Comma 10 4 16" xfId="691" xr:uid="{7EEF6557-9170-4FED-86D2-5A2DDE94EACB}"/>
    <cellStyle name="Comma 10 4 16 2" xfId="1961" xr:uid="{F444E4BD-64F4-40A0-B3C4-D075B7F7A557}"/>
    <cellStyle name="Comma 10 4 17" xfId="692" xr:uid="{8A2F0D6F-5433-4367-80C9-66F140226EA3}"/>
    <cellStyle name="Comma 10 4 17 2" xfId="1962" xr:uid="{5B0426AC-046D-4C3F-9720-C97A7A5C5214}"/>
    <cellStyle name="Comma 10 4 18" xfId="1954" xr:uid="{10852362-005D-43B2-969E-3006062CB3A0}"/>
    <cellStyle name="Comma 10 4 2" xfId="693" xr:uid="{1FA95DC6-E938-495F-9475-4380E845D24F}"/>
    <cellStyle name="Comma 10 4 2 2" xfId="1963" xr:uid="{16BA3971-923D-4B1E-949D-5BB6E5BC5FDB}"/>
    <cellStyle name="Comma 10 4 3" xfId="694" xr:uid="{B54E8865-AFEF-49C5-840F-49D40519E974}"/>
    <cellStyle name="Comma 10 4 3 2" xfId="1964" xr:uid="{0F860DC6-1269-4F4F-BD37-9FF906CE6173}"/>
    <cellStyle name="Comma 10 4 4" xfId="695" xr:uid="{997305DA-A455-449E-B6C3-5D251C505F79}"/>
    <cellStyle name="Comma 10 4 4 2" xfId="1965" xr:uid="{66029DC3-818A-4494-8273-AFC107707633}"/>
    <cellStyle name="Comma 10 4 5" xfId="696" xr:uid="{0253EE08-226D-4F81-B757-A9E3557534B1}"/>
    <cellStyle name="Comma 10 4 5 2" xfId="1966" xr:uid="{6E3832CC-1A63-4249-814B-B1CAA58523CE}"/>
    <cellStyle name="Comma 10 4 6" xfId="697" xr:uid="{F58FCAE2-56F5-4078-B46B-FB12E6AA6E3B}"/>
    <cellStyle name="Comma 10 4 6 2" xfId="1967" xr:uid="{A411ECD6-E660-41B3-9419-87623C31AF03}"/>
    <cellStyle name="Comma 10 4 7" xfId="698" xr:uid="{2649C4D9-1B39-40F7-AD55-1E874359C0EE}"/>
    <cellStyle name="Comma 10 4 7 2" xfId="1968" xr:uid="{A00AC8DF-9241-4372-A5CD-5C515A24052C}"/>
    <cellStyle name="Comma 10 4 8" xfId="699" xr:uid="{E9DEB22D-A15C-42D0-9719-4E6B5E16D600}"/>
    <cellStyle name="Comma 10 4 8 2" xfId="1969" xr:uid="{335D62A8-97C3-42AB-8AB7-AD14A89EEA78}"/>
    <cellStyle name="Comma 10 4 9" xfId="700" xr:uid="{652C660D-67FC-40CB-9258-FB40B5F57838}"/>
    <cellStyle name="Comma 10 4 9 2" xfId="1970" xr:uid="{A0EBCA39-5FD2-4487-A39F-C2049FCFDA98}"/>
    <cellStyle name="Comma 10 5" xfId="701" xr:uid="{BD9E0F32-BB11-46FC-A31E-8C17825E75F5}"/>
    <cellStyle name="Comma 10 5 10" xfId="702" xr:uid="{C3AD51DC-97F0-4762-A851-419665151AEC}"/>
    <cellStyle name="Comma 10 5 10 2" xfId="1972" xr:uid="{985A10B3-6256-4F21-A917-E60787EAC804}"/>
    <cellStyle name="Comma 10 5 11" xfId="703" xr:uid="{3DCB3B3E-B625-4ACB-AA85-37A9F00248BB}"/>
    <cellStyle name="Comma 10 5 11 2" xfId="1973" xr:uid="{F749C723-AE51-4BC5-ADB9-28AB90374002}"/>
    <cellStyle name="Comma 10 5 12" xfId="704" xr:uid="{85F532B7-9BCB-4339-9495-9934691A3C76}"/>
    <cellStyle name="Comma 10 5 12 2" xfId="1974" xr:uid="{6283251F-DCB4-4D5F-A040-4C49F11E75CB}"/>
    <cellStyle name="Comma 10 5 13" xfId="705" xr:uid="{9177D43D-A3DE-44AE-BE21-41EC1E61C418}"/>
    <cellStyle name="Comma 10 5 13 2" xfId="1975" xr:uid="{456252D3-5AF0-414D-80BE-0B0BFD9B5061}"/>
    <cellStyle name="Comma 10 5 14" xfId="706" xr:uid="{5DFEA68D-18F0-431B-9A2B-F95836607D27}"/>
    <cellStyle name="Comma 10 5 14 2" xfId="1976" xr:uid="{4D1DA931-850F-4BD7-A2E2-97810C62EA07}"/>
    <cellStyle name="Comma 10 5 15" xfId="707" xr:uid="{C1AE90ED-1315-43E0-856D-743E0C2FC3A7}"/>
    <cellStyle name="Comma 10 5 15 2" xfId="1977" xr:uid="{951AE49F-DA10-4FBD-A912-72607046314C}"/>
    <cellStyle name="Comma 10 5 16" xfId="708" xr:uid="{BC8973CD-34DF-4875-9C7E-1673ACD03789}"/>
    <cellStyle name="Comma 10 5 16 2" xfId="1978" xr:uid="{BEAB207D-DBA6-401A-9A68-7F2BB1EC3777}"/>
    <cellStyle name="Comma 10 5 17" xfId="709" xr:uid="{7A4B2DDB-5D32-4868-8F8C-2215FA06F72E}"/>
    <cellStyle name="Comma 10 5 17 2" xfId="1979" xr:uid="{1F122B15-4D78-4E8D-ACAD-D50BEEF391AC}"/>
    <cellStyle name="Comma 10 5 18" xfId="1971" xr:uid="{2C5D879B-3AB6-4817-A872-08510B4D936A}"/>
    <cellStyle name="Comma 10 5 2" xfId="710" xr:uid="{CF6E99AD-9BAE-466B-94B6-B587D3BB44B2}"/>
    <cellStyle name="Comma 10 5 2 2" xfId="1980" xr:uid="{EC79D213-4FB8-4A13-A35C-7FC6E07D7786}"/>
    <cellStyle name="Comma 10 5 3" xfId="711" xr:uid="{A8BCA3EF-247B-46DA-82E9-672705A42544}"/>
    <cellStyle name="Comma 10 5 3 2" xfId="1981" xr:uid="{7C941AAE-2126-4171-A337-ABCB8700F769}"/>
    <cellStyle name="Comma 10 5 4" xfId="712" xr:uid="{BD356411-39C1-42D1-B70C-A279C3D254F2}"/>
    <cellStyle name="Comma 10 5 4 2" xfId="1982" xr:uid="{0C6A447D-FB17-48AB-8AA2-7F8BBE3EC006}"/>
    <cellStyle name="Comma 10 5 5" xfId="713" xr:uid="{59F24B8F-0917-4B57-A137-3532020C0E4F}"/>
    <cellStyle name="Comma 10 5 5 2" xfId="1983" xr:uid="{507E44DB-A9E2-42BE-9B15-16611E27A939}"/>
    <cellStyle name="Comma 10 5 6" xfId="714" xr:uid="{9D2AC05A-C068-4A51-868E-184C8C01BA79}"/>
    <cellStyle name="Comma 10 5 6 2" xfId="1984" xr:uid="{DF5EE9B1-5D89-43B5-B534-A9CA9B40D7D8}"/>
    <cellStyle name="Comma 10 5 7" xfId="715" xr:uid="{A9F6CA2E-7E41-494A-AD07-0C429344C7E1}"/>
    <cellStyle name="Comma 10 5 7 2" xfId="1985" xr:uid="{7C903C69-201F-4921-ACB7-82EFF293A1A0}"/>
    <cellStyle name="Comma 10 5 8" xfId="716" xr:uid="{939B0641-767D-4018-99A9-DDC744C7E913}"/>
    <cellStyle name="Comma 10 5 8 2" xfId="1986" xr:uid="{761F032E-27B4-4AF9-AB74-49BB619A5990}"/>
    <cellStyle name="Comma 10 5 9" xfId="717" xr:uid="{1BBA0ACA-632C-415B-BE45-AF09C78042FD}"/>
    <cellStyle name="Comma 10 5 9 2" xfId="1987" xr:uid="{FB38D60C-EE07-40DC-B2ED-B46E4F1F4917}"/>
    <cellStyle name="Comma 10 6" xfId="718" xr:uid="{DE538B8E-F5EC-408E-8664-230AF86B2644}"/>
    <cellStyle name="Comma 10 6 10" xfId="719" xr:uid="{F0EA7D50-ED09-465A-A7CB-D34B3284B891}"/>
    <cellStyle name="Comma 10 6 10 2" xfId="1989" xr:uid="{8734B88B-49BD-4BD5-8D3C-48850EDE7CC5}"/>
    <cellStyle name="Comma 10 6 11" xfId="720" xr:uid="{D1DFBACE-3714-4EA7-BEEE-43D694E51A8E}"/>
    <cellStyle name="Comma 10 6 11 2" xfId="1990" xr:uid="{092A10FF-F62B-4BCD-804E-8C0ED744D22C}"/>
    <cellStyle name="Comma 10 6 12" xfId="721" xr:uid="{89085E08-6101-40E5-99E2-F10B9ACE3C77}"/>
    <cellStyle name="Comma 10 6 12 2" xfId="1991" xr:uid="{B8848251-8DA6-4BBA-930A-A62040848C87}"/>
    <cellStyle name="Comma 10 6 13" xfId="722" xr:uid="{22D22F04-1974-451A-A249-307CA53A25CD}"/>
    <cellStyle name="Comma 10 6 13 2" xfId="1992" xr:uid="{78CC15C1-4F52-45DB-9DAE-CB321B7FE5FD}"/>
    <cellStyle name="Comma 10 6 14" xfId="723" xr:uid="{BF8CB5CA-E3CF-4503-9E11-F4214D9E5D5A}"/>
    <cellStyle name="Comma 10 6 14 2" xfId="1993" xr:uid="{EE244360-7D34-408C-AF61-10480774EEA2}"/>
    <cellStyle name="Comma 10 6 15" xfId="724" xr:uid="{C49E3D21-7EAC-470F-9B61-6706E216AF94}"/>
    <cellStyle name="Comma 10 6 15 2" xfId="1994" xr:uid="{C602DB0D-D919-4135-B4F2-7ACF50DF93E5}"/>
    <cellStyle name="Comma 10 6 16" xfId="725" xr:uid="{BDCC8E9A-FF1C-42D2-948C-939E30410417}"/>
    <cellStyle name="Comma 10 6 16 2" xfId="1995" xr:uid="{50E6BDE4-D2BC-4B7E-87FF-1DD17FEC03BC}"/>
    <cellStyle name="Comma 10 6 17" xfId="726" xr:uid="{CC44FCF5-CCA9-4CA5-A7D2-71199E86A28F}"/>
    <cellStyle name="Comma 10 6 17 2" xfId="1996" xr:uid="{E2725BA8-3AFD-41B4-BD37-BAFCF2BA4B1E}"/>
    <cellStyle name="Comma 10 6 18" xfId="1988" xr:uid="{2A038C57-ECD3-4B35-B12B-75D0946D7329}"/>
    <cellStyle name="Comma 10 6 2" xfId="727" xr:uid="{39DA9CDA-0828-4158-ADA7-F9393CACABAF}"/>
    <cellStyle name="Comma 10 6 2 2" xfId="1997" xr:uid="{A13D680F-5EA3-442A-A690-D6F8F0AC5245}"/>
    <cellStyle name="Comma 10 6 3" xfId="728" xr:uid="{BE667BD5-40E4-4737-BBB3-5724C4A8678A}"/>
    <cellStyle name="Comma 10 6 3 2" xfId="1998" xr:uid="{B5B330A0-295D-4AA0-995D-B3DE63E0C8EB}"/>
    <cellStyle name="Comma 10 6 4" xfId="729" xr:uid="{0D56446E-7323-45F4-B55A-77EDB15324A9}"/>
    <cellStyle name="Comma 10 6 4 2" xfId="1999" xr:uid="{23704C63-792E-4E97-83C2-6591B38232FF}"/>
    <cellStyle name="Comma 10 6 5" xfId="730" xr:uid="{B3721AF7-14D6-4A40-953D-3532F1F09CEE}"/>
    <cellStyle name="Comma 10 6 5 2" xfId="2000" xr:uid="{B015172B-C212-44E1-BC4C-2ACED716E5B0}"/>
    <cellStyle name="Comma 10 6 6" xfId="731" xr:uid="{48510584-C8C7-4C53-A56F-BBEE7A351C4D}"/>
    <cellStyle name="Comma 10 6 6 2" xfId="2001" xr:uid="{C821B2F3-E4DD-4D3D-8D2E-33FA3A0A4349}"/>
    <cellStyle name="Comma 10 6 7" xfId="732" xr:uid="{86940421-0DA2-4CA4-BA01-BDCE3AEF0EF5}"/>
    <cellStyle name="Comma 10 6 7 2" xfId="2002" xr:uid="{8CED471D-3BC0-4B1B-8C44-F764811175D6}"/>
    <cellStyle name="Comma 10 6 8" xfId="733" xr:uid="{30D53AD6-2207-4F89-9F7F-2CE53A240207}"/>
    <cellStyle name="Comma 10 6 8 2" xfId="2003" xr:uid="{DA5827B6-BBB1-4704-B8B4-3FFE725F9252}"/>
    <cellStyle name="Comma 10 6 9" xfId="734" xr:uid="{64E90916-EB5B-488C-A85D-58A54CCA2CDE}"/>
    <cellStyle name="Comma 10 6 9 2" xfId="2004" xr:uid="{16A563E3-C50F-44AB-BB64-1ECA93256D7C}"/>
    <cellStyle name="Comma 10 7" xfId="735" xr:uid="{EEAEE902-2E59-4FB0-AF76-DC609D5C0740}"/>
    <cellStyle name="Comma 10 7 10" xfId="736" xr:uid="{C3505E16-3415-4065-9D0E-EFC3AD4E3F6F}"/>
    <cellStyle name="Comma 10 7 10 2" xfId="2006" xr:uid="{321C2597-FC87-4D96-B57E-C23E2036747E}"/>
    <cellStyle name="Comma 10 7 11" xfId="737" xr:uid="{80F1C5E2-5DCB-4F62-902F-33844599FB1E}"/>
    <cellStyle name="Comma 10 7 11 2" xfId="2007" xr:uid="{9B2F68AB-545D-451B-96B7-FB4B38267EF4}"/>
    <cellStyle name="Comma 10 7 12" xfId="738" xr:uid="{101C29C3-B6E4-4DDE-8D35-1A5D1ADF9328}"/>
    <cellStyle name="Comma 10 7 12 2" xfId="2008" xr:uid="{2C85543A-BCA8-4AC0-A04C-C34960D6815E}"/>
    <cellStyle name="Comma 10 7 13" xfId="739" xr:uid="{7BAA96A0-584F-4450-A076-ADD1982C4030}"/>
    <cellStyle name="Comma 10 7 13 2" xfId="2009" xr:uid="{40B9F9F2-B939-4261-868A-FE9FA8238A13}"/>
    <cellStyle name="Comma 10 7 14" xfId="740" xr:uid="{CE885D15-CF5C-464F-9F7B-E533386032E3}"/>
    <cellStyle name="Comma 10 7 14 2" xfId="2010" xr:uid="{E00F5FA5-7FDD-40CD-A5F1-F23FF409D824}"/>
    <cellStyle name="Comma 10 7 15" xfId="741" xr:uid="{BF5CEDF5-DDAB-4B11-82FF-2C990F9403DE}"/>
    <cellStyle name="Comma 10 7 15 2" xfId="2011" xr:uid="{D7C22CBD-3B2B-453B-856A-7BAF6FEC1C8F}"/>
    <cellStyle name="Comma 10 7 16" xfId="742" xr:uid="{633B976C-C351-4B17-95D8-0B194F615785}"/>
    <cellStyle name="Comma 10 7 16 2" xfId="2012" xr:uid="{919E9FF2-6AE8-4825-9636-DBC51DC0BAA0}"/>
    <cellStyle name="Comma 10 7 17" xfId="743" xr:uid="{DFEC8C37-87ED-491D-8424-A9DCD20BBABB}"/>
    <cellStyle name="Comma 10 7 17 2" xfId="2013" xr:uid="{E5687975-8C1B-4F84-B200-4FD1A25BD1E4}"/>
    <cellStyle name="Comma 10 7 18" xfId="2005" xr:uid="{FDCD1AED-4A5F-456B-AA0A-EBAB635BE100}"/>
    <cellStyle name="Comma 10 7 2" xfId="744" xr:uid="{EA8F65CA-62E2-4DB3-9D1A-7781B3A4C35A}"/>
    <cellStyle name="Comma 10 7 2 2" xfId="2014" xr:uid="{3B6BC020-146A-432C-8C1D-21A73EB9052C}"/>
    <cellStyle name="Comma 10 7 3" xfId="745" xr:uid="{32548B87-5942-4C99-BCA5-C2B9AD2B53FA}"/>
    <cellStyle name="Comma 10 7 3 2" xfId="2015" xr:uid="{1D939569-B4E7-463E-B32D-8C9EAA3F3E5F}"/>
    <cellStyle name="Comma 10 7 4" xfId="746" xr:uid="{E5F81BD9-89C0-41F1-AAB2-B685C565F5A8}"/>
    <cellStyle name="Comma 10 7 4 2" xfId="2016" xr:uid="{355DF8F5-1496-4788-A195-43A6390B1AE8}"/>
    <cellStyle name="Comma 10 7 5" xfId="747" xr:uid="{F03849B9-C777-4592-8C81-1B2EB64C2346}"/>
    <cellStyle name="Comma 10 7 5 2" xfId="2017" xr:uid="{6AA3B386-7F3E-476D-A4E9-7B4AC60EC677}"/>
    <cellStyle name="Comma 10 7 6" xfId="748" xr:uid="{18C9528E-F79D-4A86-B888-75AA1244B6FC}"/>
    <cellStyle name="Comma 10 7 6 2" xfId="2018" xr:uid="{63C05C8C-6055-49D5-945C-3E497AF59F75}"/>
    <cellStyle name="Comma 10 7 7" xfId="749" xr:uid="{A1C1B7FE-666C-4AFC-9BA9-9E6AD72E1565}"/>
    <cellStyle name="Comma 10 7 7 2" xfId="2019" xr:uid="{4D5B2C89-A9A5-4476-AEC3-2DB27E6DA88B}"/>
    <cellStyle name="Comma 10 7 8" xfId="750" xr:uid="{E6CFF999-728A-4D0B-8108-5A7482CAC023}"/>
    <cellStyle name="Comma 10 7 8 2" xfId="2020" xr:uid="{EE1175C8-C291-46B2-ACF1-9DAB44B1EF33}"/>
    <cellStyle name="Comma 10 7 9" xfId="751" xr:uid="{680A80FD-CB6E-46FE-BEC7-4E0243F62BBF}"/>
    <cellStyle name="Comma 10 7 9 2" xfId="2021" xr:uid="{F7EFE0CD-AF00-4035-98D9-E9BDCEC78785}"/>
    <cellStyle name="Comma 10 8" xfId="752" xr:uid="{57AFEA08-296D-4902-8D88-725CF35A515F}"/>
    <cellStyle name="Comma 10 8 10" xfId="753" xr:uid="{D2DABECF-1337-4039-8D69-CBB0B244C08D}"/>
    <cellStyle name="Comma 10 8 10 2" xfId="2023" xr:uid="{2669BD60-36FB-48A0-A73F-749071729EDD}"/>
    <cellStyle name="Comma 10 8 11" xfId="754" xr:uid="{713EBC89-0416-469D-8EA4-4CF6614DE938}"/>
    <cellStyle name="Comma 10 8 11 2" xfId="2024" xr:uid="{FE2C108A-974C-4998-8AFA-FDB01E34FB08}"/>
    <cellStyle name="Comma 10 8 12" xfId="755" xr:uid="{AF5DD53E-BDBC-40BE-8210-81E598665B7E}"/>
    <cellStyle name="Comma 10 8 12 2" xfId="2025" xr:uid="{05B4815D-9804-4ACE-A7A0-1BE23A662D37}"/>
    <cellStyle name="Comma 10 8 13" xfId="756" xr:uid="{97ADFFE3-0E78-4CAF-AC1C-1D8B4405409F}"/>
    <cellStyle name="Comma 10 8 13 2" xfId="2026" xr:uid="{795A0EA1-7248-40AB-B79A-6B3297E05D57}"/>
    <cellStyle name="Comma 10 8 14" xfId="757" xr:uid="{A806F797-893F-4194-88CE-D9AA285125F5}"/>
    <cellStyle name="Comma 10 8 14 2" xfId="2027" xr:uid="{54E558B5-596E-41D1-BF2A-35EE4494014C}"/>
    <cellStyle name="Comma 10 8 15" xfId="758" xr:uid="{C667C281-F4E4-4785-A892-2E37A7C503BA}"/>
    <cellStyle name="Comma 10 8 15 2" xfId="2028" xr:uid="{88DCE00C-B7EE-439A-AD74-9CE89057147D}"/>
    <cellStyle name="Comma 10 8 16" xfId="759" xr:uid="{C4B13C25-A45E-4072-AF36-B199455102D1}"/>
    <cellStyle name="Comma 10 8 16 2" xfId="2029" xr:uid="{26569251-74A0-432D-978C-A7EB03E54603}"/>
    <cellStyle name="Comma 10 8 17" xfId="760" xr:uid="{C4494C01-C6C8-4CB8-A7CB-5370CAA034DC}"/>
    <cellStyle name="Comma 10 8 17 2" xfId="2030" xr:uid="{C2727FB9-2C12-422D-8E9B-C400A02CD64D}"/>
    <cellStyle name="Comma 10 8 18" xfId="2022" xr:uid="{77879CF5-A062-4300-AA06-484F8929197C}"/>
    <cellStyle name="Comma 10 8 2" xfId="761" xr:uid="{99799AC2-2E7B-45E9-A3F6-470D990111D4}"/>
    <cellStyle name="Comma 10 8 2 2" xfId="2031" xr:uid="{B80E4CB2-ED59-468D-B1CF-FF3AA82F8E4B}"/>
    <cellStyle name="Comma 10 8 3" xfId="762" xr:uid="{0E8B1C1C-B57D-4A61-BC05-54640A640167}"/>
    <cellStyle name="Comma 10 8 3 2" xfId="2032" xr:uid="{1C470FF2-9AD0-496E-B757-F25772D9A52C}"/>
    <cellStyle name="Comma 10 8 4" xfId="763" xr:uid="{4B501568-002D-40B7-AB7F-0903BAE6CC85}"/>
    <cellStyle name="Comma 10 8 4 2" xfId="2033" xr:uid="{AF11CDA6-5408-4A61-8AFC-7EFF579FC078}"/>
    <cellStyle name="Comma 10 8 5" xfId="764" xr:uid="{B69EE733-CF1B-4B80-AAAF-3BD04B9CD786}"/>
    <cellStyle name="Comma 10 8 5 2" xfId="2034" xr:uid="{80AFCCC3-1D88-4997-9998-48C267DD20AB}"/>
    <cellStyle name="Comma 10 8 6" xfId="765" xr:uid="{09680A9D-DF61-4CA6-B363-CB2D39A0C6EE}"/>
    <cellStyle name="Comma 10 8 6 2" xfId="2035" xr:uid="{17B97DF3-3D37-4137-8463-FABF8ED7B795}"/>
    <cellStyle name="Comma 10 8 7" xfId="766" xr:uid="{299EBE06-3C02-4D81-BACC-120F73EBB3F4}"/>
    <cellStyle name="Comma 10 8 7 2" xfId="2036" xr:uid="{128CA484-0952-4EC9-B1E5-532C21B6A787}"/>
    <cellStyle name="Comma 10 8 8" xfId="767" xr:uid="{52B82F86-631D-497B-90DD-2A2C448D89B3}"/>
    <cellStyle name="Comma 10 8 8 2" xfId="2037" xr:uid="{A8290406-02D2-4B82-B901-92C3D92A3DB4}"/>
    <cellStyle name="Comma 10 8 9" xfId="768" xr:uid="{C9E0FFBC-75E7-4522-8CAE-E0704E0AB1D8}"/>
    <cellStyle name="Comma 10 8 9 2" xfId="2038" xr:uid="{8A15F5EA-DC8C-42F6-98D2-AF9A13173FAC}"/>
    <cellStyle name="Comma 2" xfId="120" xr:uid="{BD2A2285-BC3B-4AA9-9801-0036F79263A3}"/>
    <cellStyle name="Comma 2 10" xfId="770" xr:uid="{69ACEB13-B32E-4F66-92D7-E09AAA5B07DE}"/>
    <cellStyle name="Comma 2 10 2" xfId="2040" xr:uid="{6B4B00C6-32CE-463A-9FC9-8302E829DFE6}"/>
    <cellStyle name="Comma 2 11" xfId="771" xr:uid="{C88A379A-8E7D-4671-86AA-02E73E8C681F}"/>
    <cellStyle name="Comma 2 11 2" xfId="2041" xr:uid="{57EAB448-3588-4870-AA6E-7B4A4EE8F41D}"/>
    <cellStyle name="Comma 2 12" xfId="772" xr:uid="{1C6BFDE1-859C-49E8-8E38-CA6E316BEDE5}"/>
    <cellStyle name="Comma 2 12 2" xfId="2042" xr:uid="{F0265C8A-A1E9-4C22-B5B1-05A458191911}"/>
    <cellStyle name="Comma 2 13" xfId="773" xr:uid="{7CC51BEA-DD68-4586-98BB-7A64E2E59A6B}"/>
    <cellStyle name="Comma 2 13 2" xfId="2043" xr:uid="{3F703CC4-3D98-4090-95B8-D419CFE2C552}"/>
    <cellStyle name="Comma 2 14" xfId="774" xr:uid="{02DE6B4C-3C83-42DB-9E3A-54B3AB3F397A}"/>
    <cellStyle name="Comma 2 14 2" xfId="2044" xr:uid="{8017AE63-032A-4D4C-8236-D6BCBF90444F}"/>
    <cellStyle name="Comma 2 15" xfId="775" xr:uid="{E2EB5E59-7E2A-419E-8D20-8B6286BDFBA1}"/>
    <cellStyle name="Comma 2 15 2" xfId="2045" xr:uid="{008A171D-0B64-4CC0-8731-9D0EF9255A8C}"/>
    <cellStyle name="Comma 2 16" xfId="776" xr:uid="{81D28D0F-5727-4BBB-8FAC-4AD8904A0EDA}"/>
    <cellStyle name="Comma 2 16 2" xfId="2046" xr:uid="{EB1152A8-47F3-4654-9AA1-3707C1511981}"/>
    <cellStyle name="Comma 2 17" xfId="2039" xr:uid="{91B8F184-EBC0-4041-B3C9-CB92AA38B79A}"/>
    <cellStyle name="Comma 2 17 2" xfId="3094" xr:uid="{F47634B6-82EF-48A4-B368-4E0976A1551C}"/>
    <cellStyle name="Comma 2 17 3" xfId="3320" xr:uid="{2EB3B063-BAFA-4D78-BDCE-85CC77B418BC}"/>
    <cellStyle name="Comma 2 18" xfId="769" xr:uid="{B5060468-B7D2-4955-838F-2FF8ACCC2FA8}"/>
    <cellStyle name="Comma 2 2" xfId="121" xr:uid="{9D7AF549-6499-4C11-A509-51AF0BA670D1}"/>
    <cellStyle name="Comma 2 2 2" xfId="2047" xr:uid="{E1269B77-71F5-47D3-8147-80C431487C10}"/>
    <cellStyle name="Comma 2 2 3" xfId="777" xr:uid="{626C6DCA-0736-4985-9257-5E1211F93DE4}"/>
    <cellStyle name="Comma 2 3" xfId="778" xr:uid="{0D24C764-2492-4E1D-8637-8AAA7D648AAB}"/>
    <cellStyle name="Comma 2 3 2" xfId="2048" xr:uid="{5BED926B-C7E3-4D3A-9A32-B7221B10343E}"/>
    <cellStyle name="Comma 2 4" xfId="779" xr:uid="{EBAACC6D-638C-42F7-B446-A649685D1F52}"/>
    <cellStyle name="Comma 2 4 2" xfId="2049" xr:uid="{8880BE1D-39EA-4174-A480-E683B367FDB3}"/>
    <cellStyle name="Comma 2 5" xfId="780" xr:uid="{610BDEC5-2788-4E7E-AB8C-0DA9EFCDCD66}"/>
    <cellStyle name="Comma 2 5 2" xfId="2050" xr:uid="{6AC05F2B-C256-48AF-9C6F-33338E40165B}"/>
    <cellStyle name="Comma 2 6" xfId="781" xr:uid="{39E142F2-E2B3-4A31-90BB-4AB1B3E2E0A8}"/>
    <cellStyle name="Comma 2 6 2" xfId="2051" xr:uid="{7E1524F8-7D7C-4237-8036-394D94CEB874}"/>
    <cellStyle name="Comma 2 7" xfId="782" xr:uid="{B43DF779-EF49-418B-8CFA-EB672B0E6B5E}"/>
    <cellStyle name="Comma 2 7 2" xfId="2052" xr:uid="{342EB6D5-DB92-4D6D-9FD4-0812B3856DEC}"/>
    <cellStyle name="Comma 2 8" xfId="783" xr:uid="{A9CABB4F-20B4-42DB-B439-BD4BF056B60A}"/>
    <cellStyle name="Comma 2 8 2" xfId="2053" xr:uid="{8EE28EB4-3C81-4967-897B-63EA921F7888}"/>
    <cellStyle name="Comma 2 9" xfId="784" xr:uid="{63BEEE41-B450-4035-B00C-AB2FC150F958}"/>
    <cellStyle name="Comma 2 9 2" xfId="2054" xr:uid="{ABA87C29-EE01-41FC-9089-CD556BE8778E}"/>
    <cellStyle name="Comma 3" xfId="785" xr:uid="{685B17C9-E47F-4F29-8905-36FFED9E914D}"/>
    <cellStyle name="Comma 3 2" xfId="786" xr:uid="{E0A73E0B-E614-44A2-9379-8BF83E281363}"/>
    <cellStyle name="Comma 3 2 2" xfId="2056" xr:uid="{563FE64E-B4E6-4763-AB3F-991113758DAF}"/>
    <cellStyle name="Comma 3 3" xfId="787" xr:uid="{3D0E6929-6522-43AD-9785-A288533F9811}"/>
    <cellStyle name="Comma 3 3 2" xfId="2057" xr:uid="{42DF6649-1B6E-4BDA-B082-BCB60A68C8ED}"/>
    <cellStyle name="Comma 3 4" xfId="788" xr:uid="{E87BBC81-2AC8-4BA0-9DE0-7B5D01B8E703}"/>
    <cellStyle name="Comma 3 4 2" xfId="2058" xr:uid="{664A5C98-F077-41A4-B0B1-A207084F6D0E}"/>
    <cellStyle name="Comma 3 5" xfId="789" xr:uid="{178C4302-17A3-41D3-9958-83A0943825C2}"/>
    <cellStyle name="Comma 3 5 2" xfId="2059" xr:uid="{CB07443F-F75C-4B13-843F-50AE37EE2224}"/>
    <cellStyle name="Comma 3 6" xfId="790" xr:uid="{70AC2EF3-5529-4039-8EB3-B940F4F53DF3}"/>
    <cellStyle name="Comma 3 6 2" xfId="2060" xr:uid="{C7DE25D2-936B-4715-AC5C-95F3148A9126}"/>
    <cellStyle name="Comma 3 7" xfId="791" xr:uid="{37141835-D242-4306-B6A1-118062E5253F}"/>
    <cellStyle name="Comma 3 7 2" xfId="2061" xr:uid="{D50FDE6A-EAA3-4706-8CA5-90586CCE8672}"/>
    <cellStyle name="Comma 3 8" xfId="792" xr:uid="{8A8B8C79-4FAD-48FC-AC95-B17B256C7C62}"/>
    <cellStyle name="Comma 3 8 2" xfId="2062" xr:uid="{248186A5-A6E1-4325-980D-A9ED945138D6}"/>
    <cellStyle name="Comma 3 9" xfId="2055" xr:uid="{FD972D8E-B4A4-4104-B6E2-2D3E75E4562F}"/>
    <cellStyle name="Comma 4" xfId="793" xr:uid="{0D4C36CC-7E79-4EDC-805F-335ADDD7EB5A}"/>
    <cellStyle name="Comma 4 2" xfId="794" xr:uid="{194EAD92-8650-4E0D-97CA-228D2C0508E7}"/>
    <cellStyle name="Comma 4 2 2" xfId="2064" xr:uid="{5526283D-17D1-4CE0-8E41-0FC0FC870CF7}"/>
    <cellStyle name="Comma 4 3" xfId="795" xr:uid="{B3F797AF-ACC1-4FCD-8F41-39F2128C2483}"/>
    <cellStyle name="Comma 4 3 2" xfId="2065" xr:uid="{C49E59EC-18A5-4752-A37E-FECF6FBDCE48}"/>
    <cellStyle name="Comma 4 4" xfId="796" xr:uid="{D33E9B19-02BA-4594-ABCD-9806B969D830}"/>
    <cellStyle name="Comma 4 4 2" xfId="2066" xr:uid="{3820DAA9-8B99-4E01-BA6F-ECD0031C1399}"/>
    <cellStyle name="Comma 4 5" xfId="797" xr:uid="{CAD0774C-B6F8-4171-958F-A6311384CDF7}"/>
    <cellStyle name="Comma 4 5 2" xfId="2067" xr:uid="{8209B3E2-82E2-4BB0-AB99-677B9E3FBF77}"/>
    <cellStyle name="Comma 4 6" xfId="798" xr:uid="{E613EB54-3245-483A-97CE-433E77B6C75C}"/>
    <cellStyle name="Comma 4 6 2" xfId="2068" xr:uid="{B2A3C020-136C-458D-B4C6-AE69DB06B6B2}"/>
    <cellStyle name="Comma 4 7" xfId="799" xr:uid="{F79B9370-7267-4524-BB59-F137375A92CE}"/>
    <cellStyle name="Comma 4 7 2" xfId="2069" xr:uid="{BC583004-4057-4EBD-92C0-38A5BBE7C265}"/>
    <cellStyle name="Comma 4 8" xfId="800" xr:uid="{E96CDD7D-1285-4182-A7DC-E6BFE8DBA8C6}"/>
    <cellStyle name="Comma 4 8 2" xfId="2070" xr:uid="{11D93FCB-1BC6-43FC-B220-C842DB514091}"/>
    <cellStyle name="Comma 4 9" xfId="2063" xr:uid="{CCEFC06F-E088-4DCB-A054-81E46CFC1476}"/>
    <cellStyle name="Comma 5" xfId="801" xr:uid="{709F6D77-773E-4A6A-A6A3-E77255E5E297}"/>
    <cellStyle name="Comma 5 2" xfId="802" xr:uid="{DDAE15F1-C116-421D-B583-E96EB2790659}"/>
    <cellStyle name="Comma 5 2 2" xfId="2072" xr:uid="{299283BE-83BB-4992-BA8E-BCA2DF680C97}"/>
    <cellStyle name="Comma 5 3" xfId="803" xr:uid="{4C0F4E10-5EC2-4CB3-BA0D-D3AABE7AB3D9}"/>
    <cellStyle name="Comma 5 3 2" xfId="2073" xr:uid="{C21DB9C1-DBB8-4C47-BB0F-A9109FA60665}"/>
    <cellStyle name="Comma 5 4" xfId="804" xr:uid="{EEF770C7-0A8C-4D24-9BE1-2F6797BB60BC}"/>
    <cellStyle name="Comma 5 4 2" xfId="2074" xr:uid="{5EEA5A49-FCE7-40CB-A6CC-EF91BBFC71C9}"/>
    <cellStyle name="Comma 5 5" xfId="805" xr:uid="{1D2579AA-B42E-464D-B520-3711FAE0B838}"/>
    <cellStyle name="Comma 5 5 2" xfId="2075" xr:uid="{7E19DE37-983E-401F-951A-1E2A12CCFAE9}"/>
    <cellStyle name="Comma 5 6" xfId="806" xr:uid="{9D5119EE-611A-4340-9C31-9676F84A7DFC}"/>
    <cellStyle name="Comma 5 6 2" xfId="2076" xr:uid="{C89321E8-72A2-47AF-902C-F17C92C084B8}"/>
    <cellStyle name="Comma 5 7" xfId="807" xr:uid="{B0771DA2-9C2E-42AA-ABB7-806CFE09721D}"/>
    <cellStyle name="Comma 5 7 2" xfId="2077" xr:uid="{69A461B7-85C6-4010-91CF-5010FE344FA3}"/>
    <cellStyle name="Comma 5 8" xfId="808" xr:uid="{C684088F-D5FA-4BFA-A0C7-154D8799C129}"/>
    <cellStyle name="Comma 5 8 2" xfId="2078" xr:uid="{8ECD2E9D-9A31-4542-90D6-F1D9581C85A6}"/>
    <cellStyle name="Comma 5 9" xfId="2071" xr:uid="{D2EE6DE2-353D-4FE1-85FE-96E948EBD27E}"/>
    <cellStyle name="Comma 6" xfId="809" xr:uid="{814A355F-E878-417B-910E-F3396986808E}"/>
    <cellStyle name="Comma 6 2" xfId="810" xr:uid="{E9E4C716-2C53-4C31-B46C-90EC1289FEF2}"/>
    <cellStyle name="Comma 6 2 2" xfId="2080" xr:uid="{FAD98A22-C569-4532-9B82-378C9B9889BE}"/>
    <cellStyle name="Comma 6 3" xfId="811" xr:uid="{7B7658FD-00E4-4238-AEDF-07989CFD2828}"/>
    <cellStyle name="Comma 6 3 2" xfId="2081" xr:uid="{4C1784B5-70BB-47BF-9C52-5CA89396B1C4}"/>
    <cellStyle name="Comma 6 4" xfId="812" xr:uid="{5F02D3EC-6774-4EB3-A0F2-6246B78D9A94}"/>
    <cellStyle name="Comma 6 4 2" xfId="2082" xr:uid="{7E8CBAA8-2714-4D74-8B64-72C87E78453A}"/>
    <cellStyle name="Comma 6 5" xfId="813" xr:uid="{B5214413-EA2A-4C03-A9FF-1F73CF329304}"/>
    <cellStyle name="Comma 6 5 2" xfId="2083" xr:uid="{2799AEAF-C872-4616-96B4-CF32B9ECDE22}"/>
    <cellStyle name="Comma 6 6" xfId="814" xr:uid="{97FA9BA4-A804-482A-8717-2E20449FC82A}"/>
    <cellStyle name="Comma 6 6 2" xfId="2084" xr:uid="{789FD516-1509-4FA3-AC78-A0E2AE0C7DD4}"/>
    <cellStyle name="Comma 6 7" xfId="815" xr:uid="{5C79369E-4304-44DF-A4B3-44E45F22CE70}"/>
    <cellStyle name="Comma 6 7 2" xfId="2085" xr:uid="{6E4D58B3-CAE8-4491-ABFF-9BAC7A1B31A3}"/>
    <cellStyle name="Comma 6 8" xfId="816" xr:uid="{EC998F33-67AD-4036-95CC-EE08B86B0965}"/>
    <cellStyle name="Comma 6 8 2" xfId="2086" xr:uid="{D510CC94-18DE-4670-A215-791ACAC33D0D}"/>
    <cellStyle name="Comma 6 9" xfId="2079" xr:uid="{531E8D9F-15E9-4351-8A5E-EBAA882D5326}"/>
    <cellStyle name="Comma 7" xfId="817" xr:uid="{A01F2D1C-14E9-4FD5-B6B0-9B95C27EE1CE}"/>
    <cellStyle name="Comma 7 10" xfId="818" xr:uid="{197CB1A0-C727-489B-89C3-D9884FEE88A2}"/>
    <cellStyle name="Comma 7 10 2" xfId="2087" xr:uid="{F1533BD1-DF20-421B-87AA-CE918B3E388A}"/>
    <cellStyle name="Comma 7 11" xfId="819" xr:uid="{C096ABE3-41C0-4ACE-9667-020C49E018F8}"/>
    <cellStyle name="Comma 7 11 2" xfId="2088" xr:uid="{504269C5-DD96-415E-A6E2-91FD60A1C19B}"/>
    <cellStyle name="Comma 7 11 2 2" xfId="3095" xr:uid="{B4837C77-38C0-4882-AE9A-08AEA58E6E56}"/>
    <cellStyle name="Comma 7 11 2 3" xfId="3321" xr:uid="{C745C4F3-9B09-43EE-9D3E-6B4D6BB9C9D0}"/>
    <cellStyle name="Comma 7 12" xfId="820" xr:uid="{4BAF0A7B-868C-40D4-841E-596A73FBFECC}"/>
    <cellStyle name="Comma 7 12 2" xfId="2089" xr:uid="{42ED2E20-2976-433A-99F6-77905CD7358B}"/>
    <cellStyle name="Comma 7 13" xfId="821" xr:uid="{1A0EEE34-85F1-4479-B50A-D2DAE1E25EE1}"/>
    <cellStyle name="Comma 7 13 2" xfId="2090" xr:uid="{E899B90D-3B3E-49E8-9C6C-22348F0C12AA}"/>
    <cellStyle name="Comma 7 14" xfId="822" xr:uid="{87C9020C-611B-4B5A-890B-24CA7CB32887}"/>
    <cellStyle name="Comma 7 14 2" xfId="2091" xr:uid="{EA2F1078-1000-4EDA-8282-83720D3E6118}"/>
    <cellStyle name="Comma 7 15" xfId="823" xr:uid="{15C8947B-5F8E-4589-BF95-2AC0B1951BD4}"/>
    <cellStyle name="Comma 7 15 2" xfId="2092" xr:uid="{0A133EF6-BF1B-4618-ADC9-7E9DEC62A3A5}"/>
    <cellStyle name="Comma 7 16" xfId="824" xr:uid="{DFB83615-FDBA-4549-99DF-E838BD9398FC}"/>
    <cellStyle name="Comma 7 16 2" xfId="2093" xr:uid="{68E7A324-7997-4333-8581-763AFDC58FCF}"/>
    <cellStyle name="Comma 7 16 2 2" xfId="3096" xr:uid="{4F28BEFA-6244-46D7-B35B-9D5894FB0753}"/>
    <cellStyle name="Comma 7 16 2 3" xfId="3322" xr:uid="{D7F75440-5759-4165-87BB-60AC2973B4F2}"/>
    <cellStyle name="Comma 7 17" xfId="825" xr:uid="{B22CB3A3-9690-4FCC-A7C5-2F4EE5EE63B9}"/>
    <cellStyle name="Comma 7 17 2" xfId="2094" xr:uid="{5B2DD19D-7611-4617-B9D6-FC3B12E97466}"/>
    <cellStyle name="Comma 7 17 2 2" xfId="3097" xr:uid="{ECFAB67E-94FD-4588-B4ED-0CC88A26E5A3}"/>
    <cellStyle name="Comma 7 17 2 3" xfId="3323" xr:uid="{3F9D5F97-7405-4535-908F-EAC1E7FEA46D}"/>
    <cellStyle name="Comma 7 18" xfId="826" xr:uid="{D2E2CCCA-00B8-413A-8D73-B1AA4F820A8A}"/>
    <cellStyle name="Comma 7 18 2" xfId="2095" xr:uid="{59C72179-F769-4EBE-8F50-22E54C8945E9}"/>
    <cellStyle name="Comma 7 18 2 2" xfId="3098" xr:uid="{DF854AF7-A1EE-4704-9B14-124EAE5C8B10}"/>
    <cellStyle name="Comma 7 18 2 3" xfId="3324" xr:uid="{4F6FEF73-B174-4FCE-BEEF-F03D8E3A4BCD}"/>
    <cellStyle name="Comma 7 19" xfId="827" xr:uid="{B98BA54E-69AB-438C-B5C4-D6D9529046E6}"/>
    <cellStyle name="Comma 7 19 2" xfId="2096" xr:uid="{A3B4EC62-A875-452C-A309-0D150F7C4D29}"/>
    <cellStyle name="Comma 7 19 2 2" xfId="3099" xr:uid="{8D8F9B67-3E09-4E08-94CA-DEEC0A427248}"/>
    <cellStyle name="Comma 7 19 2 3" xfId="3325" xr:uid="{1F6E0683-7EAA-4DE9-AEF2-84D21DC9C56F}"/>
    <cellStyle name="Comma 7 2" xfId="828" xr:uid="{5272B8B6-1523-4FFE-A9B8-BC65927AA6F2}"/>
    <cellStyle name="Comma 7 2 2" xfId="2097" xr:uid="{85CBA43A-FBDD-49D0-B956-D629477BE7C8}"/>
    <cellStyle name="Comma 7 20" xfId="829" xr:uid="{1D5CBF69-AA0A-442E-9C0E-FA02C660177C}"/>
    <cellStyle name="Comma 7 20 2" xfId="2098" xr:uid="{3C37EA60-A27F-48C3-AEB4-782D95F4B00E}"/>
    <cellStyle name="Comma 7 20 2 2" xfId="3100" xr:uid="{83A3455B-DABF-4076-A591-B2C7FF0B5356}"/>
    <cellStyle name="Comma 7 20 2 3" xfId="3326" xr:uid="{C53ECEDB-C964-450F-B2D0-44744112B502}"/>
    <cellStyle name="Comma 7 21" xfId="830" xr:uid="{9BBAD7A9-EDB3-426D-8153-36B0C2BF3AC7}"/>
    <cellStyle name="Comma 7 21 2" xfId="2099" xr:uid="{ABA6901A-1380-4EA0-881A-A801128644B1}"/>
    <cellStyle name="Comma 7 21 2 2" xfId="3101" xr:uid="{72D32625-D3EF-4BF0-A3C9-61664CB3AD3D}"/>
    <cellStyle name="Comma 7 21 2 3" xfId="3327" xr:uid="{C6EDE386-6A82-447D-89AC-03DA465E89C1}"/>
    <cellStyle name="Comma 7 3" xfId="831" xr:uid="{ED5E82A6-5703-408D-8464-FF06FA4939F0}"/>
    <cellStyle name="Comma 7 3 10" xfId="832" xr:uid="{08D30CA5-4620-4683-8C49-73D1C3DD8D93}"/>
    <cellStyle name="Comma 7 3 10 2" xfId="2101" xr:uid="{00542438-A120-4209-985C-09C4020205D9}"/>
    <cellStyle name="Comma 7 3 11" xfId="833" xr:uid="{8D363A5B-D5D3-4FAB-A7C4-42CCA54E4846}"/>
    <cellStyle name="Comma 7 3 11 2" xfId="2102" xr:uid="{03BAB592-069D-428A-8199-C34866C854FF}"/>
    <cellStyle name="Comma 7 3 12" xfId="834" xr:uid="{40CC89B2-B11C-4D5C-943F-A3415CD72E1E}"/>
    <cellStyle name="Comma 7 3 12 2" xfId="2103" xr:uid="{7E1769A3-06CA-4312-A6F9-D8BA27FA64C6}"/>
    <cellStyle name="Comma 7 3 13" xfId="835" xr:uid="{3F4A486A-DE7F-4522-AE11-F012819519EE}"/>
    <cellStyle name="Comma 7 3 13 2" xfId="2104" xr:uid="{CAED72BE-7F18-4AC7-9107-5773F70CB515}"/>
    <cellStyle name="Comma 7 3 14" xfId="836" xr:uid="{BDDD8C1B-2E52-4678-B5C0-42FCD2D96960}"/>
    <cellStyle name="Comma 7 3 14 2" xfId="2105" xr:uid="{9564F1D0-56B7-4270-B66D-9C2A7292110D}"/>
    <cellStyle name="Comma 7 3 15" xfId="837" xr:uid="{262FE15D-85F8-405E-B20F-34890F5B77FB}"/>
    <cellStyle name="Comma 7 3 15 2" xfId="2106" xr:uid="{FA681787-8312-4F93-97BD-DD7F854866DD}"/>
    <cellStyle name="Comma 7 3 16" xfId="2100" xr:uid="{58D5DAB6-71C6-4193-8BFB-7CD1491B0227}"/>
    <cellStyle name="Comma 7 3 16 2" xfId="3102" xr:uid="{2334DAA0-677F-4DCC-A831-9E31A0C74C39}"/>
    <cellStyle name="Comma 7 3 16 3" xfId="3328" xr:uid="{8D68C483-7AF9-462B-86CD-343377F854B3}"/>
    <cellStyle name="Comma 7 3 2" xfId="838" xr:uid="{C8F2B220-8253-4953-9AC4-A8DDDCE0D4D3}"/>
    <cellStyle name="Comma 7 3 2 2" xfId="2107" xr:uid="{6492F8FE-5EF5-45AB-8EAB-06E6D3603C03}"/>
    <cellStyle name="Comma 7 3 3" xfId="839" xr:uid="{2928F35D-00FE-4CAC-A819-9C14DF1748C2}"/>
    <cellStyle name="Comma 7 3 3 2" xfId="2108" xr:uid="{84B47DCF-67DF-4D9F-9105-7A862C9800DC}"/>
    <cellStyle name="Comma 7 3 4" xfId="840" xr:uid="{E508BD5C-58CE-4F2A-ADCC-5D34A16E3FAD}"/>
    <cellStyle name="Comma 7 3 4 2" xfId="2109" xr:uid="{5F8311C4-B216-46D9-A8C6-C502E3B13688}"/>
    <cellStyle name="Comma 7 3 5" xfId="841" xr:uid="{E3C4D3C1-1D9E-4296-90EF-640A842E50E4}"/>
    <cellStyle name="Comma 7 3 5 2" xfId="2110" xr:uid="{CBA4F3CE-DFB5-433B-8B13-C8E3C6967D7F}"/>
    <cellStyle name="Comma 7 3 6" xfId="842" xr:uid="{5358933A-7319-460A-8704-0C0281DAFDA0}"/>
    <cellStyle name="Comma 7 3 6 2" xfId="2111" xr:uid="{A72D1AB6-4FB1-4A48-BDDC-CE943FCBFB1D}"/>
    <cellStyle name="Comma 7 3 7" xfId="843" xr:uid="{A30599B8-BACF-49EB-9F89-FD0088E47CF1}"/>
    <cellStyle name="Comma 7 3 7 2" xfId="2112" xr:uid="{BF9FD9F5-692A-41AF-A7EA-04E8B6CBF582}"/>
    <cellStyle name="Comma 7 3 8" xfId="844" xr:uid="{86B1F1E1-2392-47CA-BFDF-2AA928BEEEE5}"/>
    <cellStyle name="Comma 7 3 8 2" xfId="2113" xr:uid="{8B384997-1747-4FD4-9CB3-F2D5360E144E}"/>
    <cellStyle name="Comma 7 3 9" xfId="845" xr:uid="{A4DBDD78-5112-451C-9AAC-29227FC75098}"/>
    <cellStyle name="Comma 7 3 9 2" xfId="2114" xr:uid="{A03E1297-5C3D-4022-A79E-E8A17AEE80F2}"/>
    <cellStyle name="Comma 7 4" xfId="846" xr:uid="{6455E668-E3A1-4DF3-A52E-1D8BD4ADEB0C}"/>
    <cellStyle name="Comma 7 4 2" xfId="2115" xr:uid="{C856E806-0606-46BF-B588-0C549ED814C1}"/>
    <cellStyle name="Comma 7 5" xfId="847" xr:uid="{996C6662-48B5-4161-9E2D-D6039F476418}"/>
    <cellStyle name="Comma 7 5 2" xfId="2116" xr:uid="{42A31C79-082A-47E7-986F-A523C571B3C1}"/>
    <cellStyle name="Comma 7 6" xfId="848" xr:uid="{6F761F67-ABC2-4E9E-BA9E-64364DB7FB21}"/>
    <cellStyle name="Comma 7 6 2" xfId="2117" xr:uid="{EFA94497-5829-4491-89E3-46E721716311}"/>
    <cellStyle name="Comma 7 7" xfId="849" xr:uid="{A64AAC36-B75A-4907-8165-E54C470E6AA6}"/>
    <cellStyle name="Comma 7 7 2" xfId="2118" xr:uid="{2CD50A3D-76DF-42F2-9A04-067FA361088F}"/>
    <cellStyle name="Comma 7 8" xfId="850" xr:uid="{476EED76-D543-4F20-A685-2FECBD80D63E}"/>
    <cellStyle name="Comma 7 8 2" xfId="2119" xr:uid="{6797F1A4-29CD-47AD-B413-F265EF11F935}"/>
    <cellStyle name="Comma 7 9" xfId="851" xr:uid="{DF375057-B574-4255-B04C-BEF649670812}"/>
    <cellStyle name="Comma 7 9 2" xfId="2120" xr:uid="{6993408B-361B-422F-8CB5-7219565041C2}"/>
    <cellStyle name="Comma 8" xfId="852" xr:uid="{8AB029A6-65D9-426B-BBB5-6A800BBFCFB4}"/>
    <cellStyle name="Comma 8 2" xfId="853" xr:uid="{26B9A675-F3CF-4C2B-96DC-C6AEC03981EC}"/>
    <cellStyle name="Comma 8 2 2" xfId="2121" xr:uid="{F93EDAB3-60A4-44DE-B320-627B92F758EE}"/>
    <cellStyle name="Comma 8 2 2 2" xfId="3103" xr:uid="{90A10DB4-CE04-4730-AD03-BF1CDA2D0FD6}"/>
    <cellStyle name="Comma 8 2 2 3" xfId="3329" xr:uid="{A7B2D871-A027-4043-AEB0-3D77593BA91D}"/>
    <cellStyle name="Comma 8 3" xfId="854" xr:uid="{3889F689-CCCA-4839-A526-C3E4DD6A4C58}"/>
    <cellStyle name="Comma 8 3 2" xfId="2122" xr:uid="{951E5980-1601-4762-86B4-C055B1F2E621}"/>
    <cellStyle name="Comma 8 3 2 2" xfId="3104" xr:uid="{C69D8D67-3A64-4492-897C-3D828AFE6FB2}"/>
    <cellStyle name="Comma 8 3 2 3" xfId="3330" xr:uid="{40242912-1D89-4FE5-B3E4-CD5B1A2CB4E6}"/>
    <cellStyle name="Comma 8 4" xfId="855" xr:uid="{F3C78E39-27B2-414D-B49C-53731BC5E062}"/>
    <cellStyle name="Comma 8 4 2" xfId="2123" xr:uid="{4DA3D157-C54C-410E-BBF1-8881752B9F38}"/>
    <cellStyle name="Comma 8 4 2 2" xfId="3105" xr:uid="{6EB5166A-C733-4E94-9EB5-29A3F0C540CF}"/>
    <cellStyle name="Comma 8 4 2 3" xfId="3331" xr:uid="{9E14E8AC-0374-4EC9-9D89-4FB77062F9AB}"/>
    <cellStyle name="Comma 8 5" xfId="856" xr:uid="{C2A50C72-9F7B-4305-AF6D-030769576DC9}"/>
    <cellStyle name="Comma 8 5 2" xfId="2124" xr:uid="{1079C0DE-CC4A-4D87-9C29-86044B09420F}"/>
    <cellStyle name="Comma 8 5 2 2" xfId="3106" xr:uid="{ECA0A228-5D80-440A-BE1C-E5D340823449}"/>
    <cellStyle name="Comma 8 5 2 3" xfId="3332" xr:uid="{479DB61F-175C-43D8-ABBE-5B304128A37A}"/>
    <cellStyle name="Comma 8 6" xfId="857" xr:uid="{09A984ED-5276-4B36-8964-968409624E0C}"/>
    <cellStyle name="Comma 8 6 2" xfId="2125" xr:uid="{8D8A7EDB-4409-40B5-80C4-B227B940CF85}"/>
    <cellStyle name="Comma 8 6 2 2" xfId="3107" xr:uid="{865C2489-B6C0-44E2-87A4-9B6F93FFC8F5}"/>
    <cellStyle name="Comma 8 6 2 3" xfId="3333" xr:uid="{036E8389-2337-4980-859D-CF190FC5631E}"/>
    <cellStyle name="Comma 8 7" xfId="858" xr:uid="{13319723-21E6-4164-AC23-956FA0B402EF}"/>
    <cellStyle name="Comma 8 7 2" xfId="2126" xr:uid="{C89BF057-556A-4AB4-BFFA-AF249E0DAA17}"/>
    <cellStyle name="Comma 8 7 2 2" xfId="3108" xr:uid="{880A8EEA-9E30-4271-97D7-4B48999308FB}"/>
    <cellStyle name="Comma 8 7 2 3" xfId="3334" xr:uid="{04B085C1-0C0B-4D93-AAE5-FF94FF01E397}"/>
    <cellStyle name="Comma 8 8" xfId="859" xr:uid="{A56B776F-76A1-42C0-8EB5-9C4DE1F80290}"/>
    <cellStyle name="Comma 8 8 2" xfId="2127" xr:uid="{AC25E8E6-C89E-4580-B530-8AEC62585ED2}"/>
    <cellStyle name="Comma 8 8 2 2" xfId="3109" xr:uid="{E2CAE3C2-3146-4439-8EBC-E48D33EC8D6C}"/>
    <cellStyle name="Comma 8 8 2 3" xfId="3335" xr:uid="{9C8E22E8-1E11-4026-A65D-282B5E848097}"/>
    <cellStyle name="Comma 9" xfId="3441" xr:uid="{5F5507F5-723E-4195-82B9-E2CA598518F8}"/>
    <cellStyle name="Comma 9 2" xfId="860" xr:uid="{90F638DB-8A91-4D7B-8CB1-7826888DFA83}"/>
    <cellStyle name="Comma 9 2 2" xfId="2128" xr:uid="{9DCF321C-8F97-4495-AD8D-7504B05D098F}"/>
    <cellStyle name="Comma 9 3" xfId="861" xr:uid="{4FD3BBF5-641A-48A5-B92F-341441803D22}"/>
    <cellStyle name="Comma 9 4" xfId="862" xr:uid="{1A64B639-EC65-47F9-BBC9-384488F700A3}"/>
    <cellStyle name="Comma 9 5" xfId="863" xr:uid="{5DEEDFA8-30D9-4228-ADB9-C6CA1AF525A3}"/>
    <cellStyle name="Comma 9 6" xfId="864" xr:uid="{4A7BC39F-A723-44B7-9E05-CF20A0FF6BA4}"/>
    <cellStyle name="Comma 9 7" xfId="865" xr:uid="{E6BBE21A-CE11-4CC7-BFDE-5E1615C706A7}"/>
    <cellStyle name="Comma 9 8" xfId="866" xr:uid="{CF33C2BF-274D-407E-A90C-5B76921829F1}"/>
    <cellStyle name="Comma 9 9" xfId="867" xr:uid="{CDFA0C69-A0DC-499C-9565-90B5D4BA90CC}"/>
    <cellStyle name="Currency 2 2" xfId="868" xr:uid="{715EB480-F383-4C72-BD6C-565A1897FDE0}"/>
    <cellStyle name="Currency 2 2 2" xfId="2129" xr:uid="{1570928E-2CB6-44ED-934E-BA98970A1AE6}"/>
    <cellStyle name="CustomizationCells" xfId="244" xr:uid="{C781C990-3F4D-4C72-9517-41242DE3EE50}"/>
    <cellStyle name="Date" xfId="869" xr:uid="{675DE513-CC56-4D2B-A2F3-FB6929B7942E}"/>
    <cellStyle name="Date 2" xfId="870" xr:uid="{7FCA3F52-3D16-48B3-9FA0-F56ED9FAF4B4}"/>
    <cellStyle name="donn_normal" xfId="871" xr:uid="{8B1489ED-1147-41A0-88AE-5A85512EA8A5}"/>
    <cellStyle name="ent_col_ser" xfId="872" xr:uid="{EE10929E-B987-4712-A51B-1F0AB9961123}"/>
    <cellStyle name="entete_source" xfId="873" xr:uid="{0863731E-66C3-4FD8-B5F7-872A871D80CA}"/>
    <cellStyle name="Entrée" xfId="10" builtinId="20" customBuiltin="1"/>
    <cellStyle name="Euro" xfId="122" xr:uid="{28EAA73A-ED4E-456A-9E81-B96432AA8FCA}"/>
    <cellStyle name="Euro 2" xfId="123" xr:uid="{F3A2BCDB-6B71-4C26-AC4A-26F002D1BBA9}"/>
    <cellStyle name="Euro 2 2" xfId="124" xr:uid="{F543D2F2-37F3-40E2-AFC1-62E75C153814}"/>
    <cellStyle name="Euro 2 2 2" xfId="125" xr:uid="{F3ED1CE7-5F3F-4B53-9E13-543C92799D98}"/>
    <cellStyle name="Euro 2 2 2 2" xfId="2132" xr:uid="{7BC338D3-787A-4202-A2BB-B9F0AE581329}"/>
    <cellStyle name="Euro 2 2 2 3" xfId="876" xr:uid="{BA7775A8-8622-4A48-BED3-A6ED628F2B9A}"/>
    <cellStyle name="Euro 2 2 3" xfId="2131" xr:uid="{BE2B2A23-74E0-4A3C-BAAA-78F7E67CA702}"/>
    <cellStyle name="Euro 2 2 4" xfId="875" xr:uid="{C469ACB5-C24B-45CB-9582-18F0991A9FBE}"/>
    <cellStyle name="Euro 2 3" xfId="877" xr:uid="{47BFAA61-34BF-43AA-8CE5-720A8F3E5ECF}"/>
    <cellStyle name="Euro 2 3 2" xfId="2133" xr:uid="{AC29AA34-8B52-4420-B28D-322A7BF895A9}"/>
    <cellStyle name="Euro 2 4" xfId="2130" xr:uid="{1190CBDE-451F-48E2-87FC-F512AFA5C213}"/>
    <cellStyle name="Euro 2 5" xfId="874" xr:uid="{5AA6266B-1D46-472F-BE53-E5BC074D694C}"/>
    <cellStyle name="Euro 3" xfId="126" xr:uid="{42B6F2DC-2A3A-4BA4-AC8B-FA65C3B1A67F}"/>
    <cellStyle name="Euro 3 2" xfId="2134" xr:uid="{83679830-19FB-42F5-AFB6-40CA37B51345}"/>
    <cellStyle name="Euro 3 3" xfId="878" xr:uid="{DC486CCC-28D1-45F5-8E4B-3B0F23216C11}"/>
    <cellStyle name="Euro 4" xfId="127" xr:uid="{5313C999-363E-4F83-8D62-3D833A7C43E4}"/>
    <cellStyle name="Euro 4 2" xfId="2135" xr:uid="{152C2BA4-47DB-4308-8CED-AB940BEA9A7F}"/>
    <cellStyle name="Euro 4 3" xfId="879" xr:uid="{ABF7B47F-B7AF-4C5A-A9AE-5A587302E768}"/>
    <cellStyle name="Euro 5" xfId="245" xr:uid="{690FC664-30E7-4DCD-AB07-62C9460C8B39}"/>
    <cellStyle name="Explanatory Text 2" xfId="128" xr:uid="{C3A65691-9F47-45F0-A145-E215CC68F551}"/>
    <cellStyle name="Explanatory Text 2 10" xfId="880" xr:uid="{6F897D9B-DA7A-45FD-BE29-869FD51D0A53}"/>
    <cellStyle name="Explanatory Text 2 2" xfId="881" xr:uid="{16E1B205-CEE8-4A5C-BB79-0DB039F388B2}"/>
    <cellStyle name="Explanatory Text 2 3" xfId="882" xr:uid="{2EC73307-FC33-4E18-AC0E-4C66592EB6F0}"/>
    <cellStyle name="Explanatory Text 2 4" xfId="883" xr:uid="{C8F13B26-9865-4243-8DEB-B88ABBB6E299}"/>
    <cellStyle name="Explanatory Text 2 5" xfId="884" xr:uid="{62746FAB-71EA-4B92-BAF0-10774343D320}"/>
    <cellStyle name="Explanatory Text 2 6" xfId="885" xr:uid="{886C7743-822F-45A0-8AF0-04B5AB05AB89}"/>
    <cellStyle name="Explanatory Text 2 7" xfId="886" xr:uid="{5D7AD1DB-5005-46F6-924C-EF1C6C3AC93E}"/>
    <cellStyle name="Explanatory Text 2 8" xfId="887" xr:uid="{3CF1A3E7-9306-407F-99E9-D56B30BEA6F9}"/>
    <cellStyle name="Explanatory Text 2 9" xfId="888" xr:uid="{9EE18BFA-46FF-4180-97A3-CCFBD1A112F2}"/>
    <cellStyle name="Explanatory Text 3" xfId="129" xr:uid="{1400A620-CF6D-426A-8E74-A55FB750A4AA}"/>
    <cellStyle name="Fixed" xfId="889" xr:uid="{C0440075-51B9-44AA-B041-021D1C3553AA}"/>
    <cellStyle name="Fixed 2" xfId="890" xr:uid="{0F11077C-E453-4982-9177-D4D77E753FF3}"/>
    <cellStyle name="Float" xfId="130" xr:uid="{275C42DE-33EC-4E08-A623-BE8FE2C7D6CC}"/>
    <cellStyle name="Float 2" xfId="131" xr:uid="{458B9021-1BD1-4588-912C-EC34D35225ED}"/>
    <cellStyle name="Good" xfId="51" xr:uid="{AB25A142-28E0-450A-B689-01596EFE5DD7}"/>
    <cellStyle name="Good 2" xfId="132" xr:uid="{BA0D89F4-ECC4-419D-A271-DB19FC1CD872}"/>
    <cellStyle name="Good 2 10" xfId="891" xr:uid="{08D03E5E-509A-4884-B709-0F159235D214}"/>
    <cellStyle name="Good 2 2" xfId="892" xr:uid="{6D9D1C16-F60B-4A9C-A10E-9DAE3B957136}"/>
    <cellStyle name="Good 2 3" xfId="893" xr:uid="{2137ECA3-390C-4914-9105-D7D15639D22E}"/>
    <cellStyle name="Good 2 4" xfId="894" xr:uid="{CE543994-EC75-4585-829A-7A55DEF4143B}"/>
    <cellStyle name="Good 2 5" xfId="895" xr:uid="{BC574F14-C97E-48EF-BE29-8A4070C30C19}"/>
    <cellStyle name="Good 2 6" xfId="896" xr:uid="{47761BE4-9D10-4C3D-B3D8-40C6B4FD01E9}"/>
    <cellStyle name="Good 2 7" xfId="897" xr:uid="{CE3E64AD-3E82-427E-ADC0-C44B8BF52226}"/>
    <cellStyle name="Good 2 8" xfId="898" xr:uid="{85FBC22A-63A4-4055-ACC5-F6184983A44F}"/>
    <cellStyle name="Good 2 9" xfId="899" xr:uid="{434ADB56-1198-4C3A-9438-5A61BA51091C}"/>
    <cellStyle name="Good 3" xfId="133" xr:uid="{E3C1E847-FED6-408E-9CB8-3E90C9F0443C}"/>
    <cellStyle name="Good 3 2" xfId="900" xr:uid="{DE4E3ED3-2561-4502-833F-07386233AFFC}"/>
    <cellStyle name="Heading 1" xfId="52" xr:uid="{11B69FD2-5A61-4E9B-AF21-995B397BBC46}"/>
    <cellStyle name="Heading 1 2" xfId="134" xr:uid="{DFF2BEEE-477D-4CF0-BA70-714E93932E7A}"/>
    <cellStyle name="Heading 1 2 10" xfId="901" xr:uid="{8118E24E-4640-4903-80B6-CC2FDFAAE3E0}"/>
    <cellStyle name="Heading 1 2 2" xfId="902" xr:uid="{7AA8F93C-3D1E-447C-914F-DF1BCE8802C0}"/>
    <cellStyle name="Heading 1 2 3" xfId="903" xr:uid="{6DE7E5B3-D04B-4DDD-AD74-B185785D7391}"/>
    <cellStyle name="Heading 1 2 4" xfId="904" xr:uid="{D9C3DA85-BFFC-45F3-B5A1-9A98EC5D71C2}"/>
    <cellStyle name="Heading 1 2 5" xfId="905" xr:uid="{7FB4EC5B-9C7F-47AF-8914-072DB80C4449}"/>
    <cellStyle name="Heading 1 2 6" xfId="906" xr:uid="{9095D627-05DE-4532-A885-E5F2E227F42F}"/>
    <cellStyle name="Heading 1 2 7" xfId="907" xr:uid="{004743C7-0EEA-4566-A80F-33F192D6A46B}"/>
    <cellStyle name="Heading 1 2 8" xfId="908" xr:uid="{2353D46B-6EB1-45D5-A69A-65624874B646}"/>
    <cellStyle name="Heading 1 2 9" xfId="909" xr:uid="{62F58CCE-8E53-4517-B928-E4DA7EC0134A}"/>
    <cellStyle name="Heading 1 3" xfId="135" xr:uid="{181D173E-3557-4B21-81CF-0A5987439E4F}"/>
    <cellStyle name="Heading 1 3 2" xfId="910" xr:uid="{3AC1F075-42B9-4EB5-B2F7-0C1EF933EB4E}"/>
    <cellStyle name="Heading 2" xfId="53" xr:uid="{538B2E13-42E0-46C4-993D-BD7C88D4BD5E}"/>
    <cellStyle name="Heading 2 2" xfId="136" xr:uid="{284CB170-75A5-4CEE-A50A-B56BAE8BDF0B}"/>
    <cellStyle name="Heading 2 2 10" xfId="911" xr:uid="{11E31D23-A17A-4A02-A690-1CADAEC51C75}"/>
    <cellStyle name="Heading 2 2 2" xfId="912" xr:uid="{305B8980-2DB1-4266-AF2A-9970B3CAF95A}"/>
    <cellStyle name="Heading 2 2 3" xfId="913" xr:uid="{B1DDF7C1-C811-4596-B63C-753BBBBA28F4}"/>
    <cellStyle name="Heading 2 2 4" xfId="914" xr:uid="{92D6A970-3C98-4861-A4D3-6889EA2323AB}"/>
    <cellStyle name="Heading 2 2 5" xfId="915" xr:uid="{64E5BB97-83AF-46F0-B5BF-E1A302E39600}"/>
    <cellStyle name="Heading 2 2 6" xfId="916" xr:uid="{64C3D32D-7A03-47B9-8248-FFB8C2AA6F8A}"/>
    <cellStyle name="Heading 2 2 7" xfId="917" xr:uid="{85DE7B05-CFBC-4765-B4A4-789A8292A6B7}"/>
    <cellStyle name="Heading 2 2 8" xfId="918" xr:uid="{9F0A10A1-B0D5-443C-96C6-173112CA49B9}"/>
    <cellStyle name="Heading 2 2 9" xfId="919" xr:uid="{4456415B-5131-47B1-AD63-3609A2882033}"/>
    <cellStyle name="Heading 2 3" xfId="137" xr:uid="{E87BA488-84AE-4273-99C5-ABA8A07E35BC}"/>
    <cellStyle name="Heading 2 3 2" xfId="920" xr:uid="{710B62D0-62CE-4812-9EE5-C63031D7F0BB}"/>
    <cellStyle name="Heading 3" xfId="54" xr:uid="{55F02B09-B4EA-4FF8-BFE9-0705E2999929}"/>
    <cellStyle name="Heading 3 2" xfId="138" xr:uid="{58757B41-D287-4439-B9DB-D5F922A06E31}"/>
    <cellStyle name="Heading 3 2 10" xfId="921" xr:uid="{95C15508-F7EF-4A47-8431-01D89A0A7AB4}"/>
    <cellStyle name="Heading 3 2 2" xfId="922" xr:uid="{ABCF1AF8-1DC8-4A38-B462-5CEF1EAD1ADA}"/>
    <cellStyle name="Heading 3 2 3" xfId="923" xr:uid="{DE3818A9-DB4E-4EF3-B227-C92CA6071A1D}"/>
    <cellStyle name="Heading 3 2 4" xfId="924" xr:uid="{60CFB4B4-58AE-4C50-88FC-728D4E3B5282}"/>
    <cellStyle name="Heading 3 2 5" xfId="925" xr:uid="{07D5981D-C203-4AA9-B836-8D8136452AC7}"/>
    <cellStyle name="Heading 3 2 6" xfId="926" xr:uid="{4CBBD574-80AC-4470-A408-E28ED3774732}"/>
    <cellStyle name="Heading 3 2 7" xfId="927" xr:uid="{5BBAB0EA-4137-49A7-B858-FE41AAB5D8A4}"/>
    <cellStyle name="Heading 3 2 8" xfId="928" xr:uid="{EDB1D0E1-993E-4818-9395-AB30ACAF97D3}"/>
    <cellStyle name="Heading 3 2 9" xfId="929" xr:uid="{D3E91202-3369-4115-93B3-AC8A65709544}"/>
    <cellStyle name="Heading 3 3" xfId="139" xr:uid="{324A4728-2AC8-4148-B323-C3F7A5E586B4}"/>
    <cellStyle name="Heading 3 3 2" xfId="930" xr:uid="{F3A2F1B0-303B-4D28-A894-E5924F9ECEF2}"/>
    <cellStyle name="Heading 4" xfId="55" xr:uid="{FA1D552A-E85A-4069-89E4-912B42B256B5}"/>
    <cellStyle name="Heading 4 2" xfId="140" xr:uid="{9BAE3FAE-3695-4FEE-B1A2-C2C92EAB8B1D}"/>
    <cellStyle name="Heading 4 2 10" xfId="931" xr:uid="{DC8347BD-1B06-4EEE-870F-0F3FC1003301}"/>
    <cellStyle name="Heading 4 2 2" xfId="932" xr:uid="{54FAAB0E-4D69-4A46-9544-24BB44EA0623}"/>
    <cellStyle name="Heading 4 2 3" xfId="933" xr:uid="{38CAB9E8-A698-4610-A2E4-E20F36C214B3}"/>
    <cellStyle name="Heading 4 2 4" xfId="934" xr:uid="{F7767812-A478-4828-8B5E-57B9D310B21C}"/>
    <cellStyle name="Heading 4 2 5" xfId="935" xr:uid="{79620B7E-F8DC-4917-AFAF-77D6D988AAC6}"/>
    <cellStyle name="Heading 4 2 6" xfId="936" xr:uid="{74208053-E6E7-4819-9111-04DF5C336968}"/>
    <cellStyle name="Heading 4 2 7" xfId="937" xr:uid="{F2707B65-ABC3-4F24-AF7A-92823792B1D0}"/>
    <cellStyle name="Heading 4 2 8" xfId="938" xr:uid="{C088C660-0D88-4879-A029-73D69BD2C1F1}"/>
    <cellStyle name="Heading 4 2 9" xfId="939" xr:uid="{AF8FBDEB-5F10-46E5-9FAD-1F67B6082A83}"/>
    <cellStyle name="Heading 4 3" xfId="141" xr:uid="{2C6829B8-122E-4D9D-BD3F-170B1A4A2EC7}"/>
    <cellStyle name="Heading 4 3 2" xfId="940" xr:uid="{8C28B07A-D4CD-4965-BA21-740BD9583173}"/>
    <cellStyle name="Heading1" xfId="941" xr:uid="{A94A38FB-934A-483A-849A-648ACF76320F}"/>
    <cellStyle name="Heading1 2" xfId="942" xr:uid="{21EB3D73-C549-4DA5-AD12-1CFC020F95AA}"/>
    <cellStyle name="Heading2" xfId="943" xr:uid="{1AE56BA1-EA7E-4648-9F2D-20113B52FEF5}"/>
    <cellStyle name="Heading2 2" xfId="944" xr:uid="{FA5FCC52-78D3-4FD3-B2C7-EC2C3AD7A62E}"/>
    <cellStyle name="Hyperlink 2" xfId="945" xr:uid="{AE1AB407-8F36-4959-B799-70DFFF35267B}"/>
    <cellStyle name="Input 2" xfId="142" xr:uid="{0ED42B09-80F2-47E1-96D2-3165D2A76318}"/>
    <cellStyle name="Input 2 10" xfId="946" xr:uid="{6D193CCD-63D1-4198-8105-D5B968474D97}"/>
    <cellStyle name="Input 2 2" xfId="947" xr:uid="{24ECB827-4FB2-4BE2-8E74-A83CD2646E31}"/>
    <cellStyle name="Input 2 3" xfId="948" xr:uid="{4F2D4FD1-8F69-49D6-BF48-0B19B11790BC}"/>
    <cellStyle name="Input 2 4" xfId="949" xr:uid="{60E3C314-39E7-4C0A-81F4-84D21175AF57}"/>
    <cellStyle name="Input 2 5" xfId="950" xr:uid="{34F3BA36-36FF-455F-9388-5BDC38BD175A}"/>
    <cellStyle name="Input 2 6" xfId="951" xr:uid="{CACC5F3B-74BA-4894-BB06-749A63527E20}"/>
    <cellStyle name="Input 2 7" xfId="952" xr:uid="{86B224E0-9FE6-4357-8A21-DF85AEDE4248}"/>
    <cellStyle name="Input 2 8" xfId="953" xr:uid="{0393AC22-4A47-4B87-A5AD-0CEFA972985F}"/>
    <cellStyle name="Input 2 9" xfId="954" xr:uid="{D5EACCE6-8551-4835-8914-7642AEADF4E1}"/>
    <cellStyle name="Input 3" xfId="143" xr:uid="{5B77A8C3-3A02-4BA5-B088-E101071D5F2C}"/>
    <cellStyle name="Input 3 2" xfId="955" xr:uid="{2AB9B787-5475-4E26-AFBB-5079D0680392}"/>
    <cellStyle name="InputCells" xfId="246" xr:uid="{F2E38905-3129-48B9-8638-C810183CEF8A}"/>
    <cellStyle name="Insatisfaisant" xfId="8" builtinId="27" customBuiltin="1"/>
    <cellStyle name="ligne_titre_0" xfId="956" xr:uid="{7A7951C6-9697-4EBF-89ED-39E7A141C506}"/>
    <cellStyle name="Linked Cell" xfId="56" xr:uid="{64F8EDB8-3F73-4F06-8195-B152ED000481}"/>
    <cellStyle name="Linked Cell 2" xfId="144" xr:uid="{DA00CB36-0585-4D84-8CEF-DFB1FC6676F9}"/>
    <cellStyle name="Linked Cell 2 10" xfId="957" xr:uid="{69E7CDC8-E71E-48E6-9B0F-873628AFD81B}"/>
    <cellStyle name="Linked Cell 2 2" xfId="958" xr:uid="{E9F11EB8-3319-4F45-B0F3-76A61A1A2B9B}"/>
    <cellStyle name="Linked Cell 2 3" xfId="959" xr:uid="{6B26ED8F-C3EB-4BD9-9CFB-5E3B99FC29B9}"/>
    <cellStyle name="Linked Cell 2 4" xfId="960" xr:uid="{E40373B3-3E36-4200-9C98-C1FADFD0C122}"/>
    <cellStyle name="Linked Cell 2 5" xfId="961" xr:uid="{327EB7B7-4DD7-4188-BDEE-3323C4FC5D0E}"/>
    <cellStyle name="Linked Cell 2 6" xfId="962" xr:uid="{036415AF-7120-45A2-B871-2FBA8B5E4DF2}"/>
    <cellStyle name="Linked Cell 2 7" xfId="963" xr:uid="{05ED059D-D29D-4763-80A6-62A0EF98AAFF}"/>
    <cellStyle name="Linked Cell 2 8" xfId="964" xr:uid="{E24A1071-4E68-422D-95B5-C8E5A664398D}"/>
    <cellStyle name="Linked Cell 2 9" xfId="965" xr:uid="{DE17922C-568F-4B41-BD65-D0144187F172}"/>
    <cellStyle name="Linked Cell 3" xfId="145" xr:uid="{FB12D115-F4F4-4991-A61D-AEA6B8236C67}"/>
    <cellStyle name="Linked Cell 3 2" xfId="966" xr:uid="{6D00FFE2-E73D-482A-BF0B-164B9FA89395}"/>
    <cellStyle name="Migliaia_Oil&amp;Gas IFE ARC POLITO" xfId="967" xr:uid="{4FBDF074-6723-4FFD-9F0D-41478E18B6B4}"/>
    <cellStyle name="Neutral 2" xfId="57" xr:uid="{541A7A34-7659-4936-9887-0695F508B93F}"/>
    <cellStyle name="Neutral 2 10" xfId="968" xr:uid="{AA62DD46-3538-4088-913F-555CAE3BBA95}"/>
    <cellStyle name="Neutral 2 2" xfId="969" xr:uid="{57ACFEC7-7CE2-4526-B1AB-76A00360ED4D}"/>
    <cellStyle name="Neutral 2 3" xfId="970" xr:uid="{B9A43FCE-80CF-4026-8E16-3FFE8D8CE6BC}"/>
    <cellStyle name="Neutral 2 4" xfId="971" xr:uid="{48BAEC73-6199-4E65-9D24-FBC7BEDAC004}"/>
    <cellStyle name="Neutral 2 5" xfId="972" xr:uid="{E16E9A5C-A858-4F92-87B7-EBFE5806C1BA}"/>
    <cellStyle name="Neutral 2 6" xfId="973" xr:uid="{98386A1B-4CFD-4315-9BD3-12266212129F}"/>
    <cellStyle name="Neutral 2 7" xfId="974" xr:uid="{04550798-2C75-47A0-89FA-A462659F2E26}"/>
    <cellStyle name="Neutral 2 8" xfId="975" xr:uid="{6A5989CF-F598-4F8C-9E29-5406CF9F580A}"/>
    <cellStyle name="Neutral 2 9" xfId="976" xr:uid="{9EC1B737-76EC-4DB6-961C-8DC79A784A5C}"/>
    <cellStyle name="Neutral 3" xfId="64" xr:uid="{12FE9C99-6EF5-4E5D-ADCB-F94AAAC7F19C}"/>
    <cellStyle name="Neutral 3 2" xfId="978" xr:uid="{1B7FB088-569B-4443-BC79-5F240D43FAAF}"/>
    <cellStyle name="Neutral 3 3" xfId="977" xr:uid="{4E906169-2C40-497C-9053-BFBAF3908627}"/>
    <cellStyle name="Neutral 3 4" xfId="146" xr:uid="{0F1FD122-8242-41A7-A95C-6E85D19C9D8E}"/>
    <cellStyle name="Neutre" xfId="9" builtinId="28" customBuiltin="1"/>
    <cellStyle name="Normal" xfId="0" builtinId="0"/>
    <cellStyle name="Normal 10" xfId="1" xr:uid="{00000000-0005-0000-0000-000001000000}"/>
    <cellStyle name="Normal 10 2" xfId="247" xr:uid="{F01040CC-521A-4630-997E-7F82A955E569}"/>
    <cellStyle name="Normal 10 2 2" xfId="2137" xr:uid="{7770F0C6-3755-4F9A-8A2F-6FA435F5C4BD}"/>
    <cellStyle name="Normal 10 3" xfId="979" xr:uid="{678BC417-16AC-481B-8A71-3097A7275972}"/>
    <cellStyle name="Normal 10 3 2" xfId="2138" xr:uid="{86F337AE-A4A2-4534-9E5E-ECFAD7BAEFD4}"/>
    <cellStyle name="Normal 10 4" xfId="980" xr:uid="{2A102460-29E7-46BB-9D6F-4BA53252FB57}"/>
    <cellStyle name="Normal 10 4 2" xfId="2139" xr:uid="{06C247DF-D563-4807-8E92-EC4B699A1366}"/>
    <cellStyle name="Normal 10 5" xfId="981" xr:uid="{AEDE33C4-B533-4757-8CD9-A7E215942E71}"/>
    <cellStyle name="Normal 10 5 2" xfId="2140" xr:uid="{1A830995-F02C-4538-8905-A595589B3082}"/>
    <cellStyle name="Normal 10 6" xfId="982" xr:uid="{81DEFF12-C937-4B29-818A-83AAF75E6267}"/>
    <cellStyle name="Normal 10 6 2" xfId="2141" xr:uid="{BCF6D334-45C4-4E0A-9442-E1E945C21289}"/>
    <cellStyle name="Normal 10 7" xfId="983" xr:uid="{D0218674-97F8-4465-8FA7-64AD8F1F26CF}"/>
    <cellStyle name="Normal 10 7 2" xfId="2142" xr:uid="{ACF0C39E-5EE7-4513-A89B-F30075AFBFE2}"/>
    <cellStyle name="Normal 10 8" xfId="984" xr:uid="{B5CB9030-97E6-491F-8C79-16D651B6252F}"/>
    <cellStyle name="Normal 10 8 2" xfId="2143" xr:uid="{8A14830E-1AA0-4520-9350-7BBA38D0FB69}"/>
    <cellStyle name="Normal 10 9" xfId="2136" xr:uid="{348E87DC-1AF1-4220-8812-9F7EF8965A8C}"/>
    <cellStyle name="Normal 11" xfId="238" xr:uid="{EC089276-6D39-4AE3-8233-D2AAA6259B44}"/>
    <cellStyle name="Normal 11 10" xfId="985" xr:uid="{4F886927-522A-47EB-8B52-49C897A491D6}"/>
    <cellStyle name="Normal 11 2" xfId="986" xr:uid="{DF4C0653-49BC-4C86-9F5F-746989BA27E4}"/>
    <cellStyle name="Normal 11 2 2" xfId="2145" xr:uid="{CD888387-93EE-4E22-94B3-763E0E930C6E}"/>
    <cellStyle name="Normal 11 3" xfId="987" xr:uid="{968549E5-8F71-43FD-85A6-A0758A947BC5}"/>
    <cellStyle name="Normal 11 3 2" xfId="2146" xr:uid="{9AD054D7-07BF-46B9-9060-4C22FD1C2CFB}"/>
    <cellStyle name="Normal 11 4" xfId="988" xr:uid="{7CADB57D-B1D9-463D-A1FE-13FC8ABAA474}"/>
    <cellStyle name="Normal 11 4 2" xfId="2147" xr:uid="{C948C4DB-BC34-4192-9826-E2C25AED19C1}"/>
    <cellStyle name="Normal 11 5" xfId="989" xr:uid="{5042F005-755D-4A72-949F-4B45B585BB41}"/>
    <cellStyle name="Normal 11 5 2" xfId="2148" xr:uid="{8DA5D0F2-4DB9-4695-953F-2A300CAFE7C8}"/>
    <cellStyle name="Normal 11 6" xfId="990" xr:uid="{5ABFBEB6-0C28-407A-A094-152A81175CA4}"/>
    <cellStyle name="Normal 11 6 2" xfId="2149" xr:uid="{BE926F87-DA4F-46B3-A050-A1D357415B7A}"/>
    <cellStyle name="Normal 11 7" xfId="991" xr:uid="{D2AECB61-5979-491B-A3D2-D9C8BAAA542B}"/>
    <cellStyle name="Normal 11 7 2" xfId="2150" xr:uid="{506B9285-B99D-43AC-9FEE-7CB8893864F8}"/>
    <cellStyle name="Normal 11 8" xfId="992" xr:uid="{C386B1A9-084A-49D4-A69E-64D99C3E1E80}"/>
    <cellStyle name="Normal 11 8 2" xfId="2151" xr:uid="{D154FC42-C4E9-4AB0-AD2C-250BEDC5D747}"/>
    <cellStyle name="Normal 11 9" xfId="2144" xr:uid="{D1F850C9-70F6-442E-8044-E108ABD39121}"/>
    <cellStyle name="Normal 12" xfId="239" xr:uid="{AA5F4313-73BD-4E1C-B76A-3F13F8C055B5}"/>
    <cellStyle name="Normal 12 10" xfId="993" xr:uid="{B651880D-0E21-4914-8D90-D49EA534EA1A}"/>
    <cellStyle name="Normal 12 2" xfId="994" xr:uid="{64508A2F-19DF-4A26-A2C1-9428AA2E7DBB}"/>
    <cellStyle name="Normal 12 2 2" xfId="2153" xr:uid="{BAF38D06-2C06-42E5-8F58-265483AF049C}"/>
    <cellStyle name="Normal 12 3" xfId="995" xr:uid="{BF98F9F3-D61F-4A44-B910-7A7A9640369E}"/>
    <cellStyle name="Normal 12 3 2" xfId="2154" xr:uid="{D74A9A60-C059-414E-8787-7ED5E084BC5E}"/>
    <cellStyle name="Normal 12 4" xfId="996" xr:uid="{B6706E38-A60C-4254-931A-1528FD795811}"/>
    <cellStyle name="Normal 12 4 2" xfId="2155" xr:uid="{7D870223-4470-424B-B5FC-7C76917400CE}"/>
    <cellStyle name="Normal 12 5" xfId="997" xr:uid="{409CCCE3-358C-4925-8F81-A8CFADEE2DB4}"/>
    <cellStyle name="Normal 12 5 2" xfId="2156" xr:uid="{AB39D9BC-6327-42BD-87C3-A531CF7AA434}"/>
    <cellStyle name="Normal 12 6" xfId="998" xr:uid="{078540FA-7957-48A0-A0B1-FF6986843618}"/>
    <cellStyle name="Normal 12 6 2" xfId="2157" xr:uid="{BFE5566C-9A1B-4E41-A377-0C2971C5B18E}"/>
    <cellStyle name="Normal 12 7" xfId="999" xr:uid="{02D992CE-6A5C-47CC-B4BC-25682B8B8817}"/>
    <cellStyle name="Normal 12 7 2" xfId="2158" xr:uid="{E6B24121-ACC5-41E0-B9C6-815333A0FDBB}"/>
    <cellStyle name="Normal 12 8" xfId="1000" xr:uid="{A5494B8C-C8AD-43E9-8C97-F2A66A846A0A}"/>
    <cellStyle name="Normal 12 8 2" xfId="2159" xr:uid="{2E6B6029-B2AF-4738-B88C-4D27D1062262}"/>
    <cellStyle name="Normal 12 9" xfId="2152" xr:uid="{9918FC52-FC06-4CAD-A4FC-EF1BBD71C139}"/>
    <cellStyle name="Normal 13" xfId="1001" xr:uid="{3536007B-F201-41D3-8528-3874E7148953}"/>
    <cellStyle name="Normal 13 10" xfId="1002" xr:uid="{AF5EB514-7427-42DD-B076-A5CC18FD2588}"/>
    <cellStyle name="Normal 13 10 2" xfId="2161" xr:uid="{8801520A-FC9F-45AB-B06C-EB21A9CEE8AD}"/>
    <cellStyle name="Normal 13 10 2 2" xfId="3110" xr:uid="{D54C635C-FCEB-4C4C-9526-A2C5065AE9E1}"/>
    <cellStyle name="Normal 13 10 2 3" xfId="3336" xr:uid="{95EAEB67-7782-4239-98D5-8EF739EB0D3A}"/>
    <cellStyle name="Normal 13 10 3" xfId="2989" xr:uid="{4C939D06-4D71-4ACF-AC2E-75FE89FB4EB1}"/>
    <cellStyle name="Normal 13 10 4" xfId="3215" xr:uid="{AEDE3368-EEFB-45C6-8D99-DA003A912122}"/>
    <cellStyle name="Normal 13 11" xfId="1003" xr:uid="{CD03ECEE-F8FC-40B2-AB53-90D23D8D83D5}"/>
    <cellStyle name="Normal 13 11 2" xfId="2162" xr:uid="{00126FD5-B53E-4961-AAFD-E71A82CAED89}"/>
    <cellStyle name="Normal 13 11 2 2" xfId="3111" xr:uid="{42FA20A3-FF37-47BB-A485-EB8DBA02D141}"/>
    <cellStyle name="Normal 13 11 2 3" xfId="3337" xr:uid="{475E8570-467E-40B5-8A77-93D69964426B}"/>
    <cellStyle name="Normal 13 11 3" xfId="2990" xr:uid="{86C007FD-492D-4DA6-9841-02E27A893998}"/>
    <cellStyle name="Normal 13 11 4" xfId="3216" xr:uid="{4995BA5B-EBF0-4696-B88E-6D7EF3C72715}"/>
    <cellStyle name="Normal 13 12" xfId="1004" xr:uid="{C1A3D664-CEE3-4ADC-B981-70C5510636F8}"/>
    <cellStyle name="Normal 13 13" xfId="1005" xr:uid="{34D7012A-A6DA-4762-B9B8-54ACB9B4B0FC}"/>
    <cellStyle name="Normal 13 13 2" xfId="2163" xr:uid="{63FADB70-F853-46BF-9412-7B3DD7BB3642}"/>
    <cellStyle name="Normal 13 13 2 2" xfId="3112" xr:uid="{D00398B6-558D-42C7-B503-9D9319CB7E76}"/>
    <cellStyle name="Normal 13 13 2 3" xfId="3338" xr:uid="{CC6BD38A-7B2D-4A2E-A22F-86A3FE4EEEC8}"/>
    <cellStyle name="Normal 13 13 3" xfId="2991" xr:uid="{0A272888-3F81-45F8-9A6A-8563E24581C2}"/>
    <cellStyle name="Normal 13 13 4" xfId="3217" xr:uid="{299C687D-9A02-443C-B7DD-E437515E6096}"/>
    <cellStyle name="Normal 13 14" xfId="1006" xr:uid="{7DDD538C-2AD6-4529-83E6-9C9C137867AD}"/>
    <cellStyle name="Normal 13 14 2" xfId="2164" xr:uid="{CF897BFF-BEC2-4510-8DB6-C3CF5EE4E5D3}"/>
    <cellStyle name="Normal 13 14 2 2" xfId="3113" xr:uid="{881051AF-CBAD-4D42-A2B6-A217839710A7}"/>
    <cellStyle name="Normal 13 14 2 3" xfId="3339" xr:uid="{A1E561B2-A9A5-4922-9773-55A014F9AE38}"/>
    <cellStyle name="Normal 13 14 3" xfId="2992" xr:uid="{1623C083-D002-4F7E-B6A1-11D11B6FAF99}"/>
    <cellStyle name="Normal 13 14 4" xfId="3218" xr:uid="{4315411D-9E1A-45FD-B4B7-A683EADA8125}"/>
    <cellStyle name="Normal 13 15" xfId="1007" xr:uid="{2942575B-4BCC-4B14-8189-6D15986994F2}"/>
    <cellStyle name="Normal 13 15 2" xfId="2165" xr:uid="{CA050339-2D03-413D-8221-031D537BAD86}"/>
    <cellStyle name="Normal 13 15 2 2" xfId="3114" xr:uid="{6E1E3A0E-F9E6-4DDC-9141-C8DF3042050E}"/>
    <cellStyle name="Normal 13 15 2 3" xfId="3340" xr:uid="{7D59F679-DC97-4C01-B48F-F02363420D13}"/>
    <cellStyle name="Normal 13 15 3" xfId="2993" xr:uid="{3EEF3A2C-14B5-488A-BA0A-15A5FC1CAE2F}"/>
    <cellStyle name="Normal 13 15 4" xfId="3219" xr:uid="{16102B89-CA83-4B9D-925E-D0CE03C17470}"/>
    <cellStyle name="Normal 13 16" xfId="1008" xr:uid="{6B3C08D0-9B5F-4E47-9909-11A29DC14256}"/>
    <cellStyle name="Normal 13 16 2" xfId="2166" xr:uid="{180AF5D3-80BA-466A-942F-738514225D22}"/>
    <cellStyle name="Normal 13 16 2 2" xfId="3115" xr:uid="{74DB8343-A525-42DB-BB71-2F31EAB53DB1}"/>
    <cellStyle name="Normal 13 16 2 3" xfId="3341" xr:uid="{2096EE97-9EE3-42C4-A160-C5A673ED8259}"/>
    <cellStyle name="Normal 13 16 3" xfId="2994" xr:uid="{934ADF70-0E0A-45D5-B524-736D677585F2}"/>
    <cellStyle name="Normal 13 16 4" xfId="3220" xr:uid="{21BAD5A9-2893-41D5-890E-90A8902D3DA7}"/>
    <cellStyle name="Normal 13 17" xfId="1009" xr:uid="{4F61BF74-CA8F-4D68-BA68-18B56D18BB36}"/>
    <cellStyle name="Normal 13 18" xfId="1010" xr:uid="{8153EC28-8291-4852-A02A-F436305E6868}"/>
    <cellStyle name="Normal 13 19" xfId="1011" xr:uid="{8125CA00-7ACC-4F01-8241-69A961D8463A}"/>
    <cellStyle name="Normal 13 2" xfId="1012" xr:uid="{0B89D8C7-A7E2-4211-B9AE-D0F2C2A40CBB}"/>
    <cellStyle name="Normal 13 2 2" xfId="1013" xr:uid="{B3E77F18-707D-4BAF-9C14-0AFDBEB22B9F}"/>
    <cellStyle name="Normal 13 2 2 2" xfId="2167" xr:uid="{C1A16D4D-7587-46E0-B332-2BB5DCA88D44}"/>
    <cellStyle name="Normal 13 2 2 2 2" xfId="3116" xr:uid="{2299C1A0-7BDE-4DE3-896B-87358AA2A8B6}"/>
    <cellStyle name="Normal 13 2 2 2 3" xfId="3342" xr:uid="{DEF5B611-0DF3-4FCE-83DA-AB7A478369CA}"/>
    <cellStyle name="Normal 13 2 2 3" xfId="2995" xr:uid="{E9BA23C8-1E5F-494C-8EE1-20D89247AEF9}"/>
    <cellStyle name="Normal 13 2 2 4" xfId="3221" xr:uid="{7234C8BF-7F2C-4A43-97CA-4E222D20FF5B}"/>
    <cellStyle name="Normal 13 2 3" xfId="1014" xr:uid="{A48AE05D-806F-419C-B2F1-D50C6412A578}"/>
    <cellStyle name="Normal 13 2 3 2" xfId="2168" xr:uid="{14F5D76B-0C84-47C8-A0F0-4D73DA57118A}"/>
    <cellStyle name="Normal 13 2 3 2 2" xfId="3117" xr:uid="{1C86E885-B6CD-4CD6-B3CF-6D1AB2FA4036}"/>
    <cellStyle name="Normal 13 2 3 2 3" xfId="3343" xr:uid="{AF51E93A-E774-4511-B6F7-C75EDBA80BF3}"/>
    <cellStyle name="Normal 13 2 3 3" xfId="2996" xr:uid="{CCF2107A-D7B7-4423-9E3F-22A21BF05A7B}"/>
    <cellStyle name="Normal 13 2 3 4" xfId="3222" xr:uid="{A64F705B-47BA-40E1-8858-9B54C7F8296A}"/>
    <cellStyle name="Normal 13 2 4" xfId="1015" xr:uid="{55E5F8C4-FD75-4CC8-A6D4-677507D5AB2B}"/>
    <cellStyle name="Normal 13 2 4 2" xfId="2169" xr:uid="{E72FA7E9-4D16-4FA4-8FAF-122CB27904E9}"/>
    <cellStyle name="Normal 13 2 4 2 2" xfId="3118" xr:uid="{AE9051A5-8EA5-42C1-9240-9039EC052E3F}"/>
    <cellStyle name="Normal 13 2 4 2 3" xfId="3344" xr:uid="{21F41731-5410-4C8F-91A1-C025640698A7}"/>
    <cellStyle name="Normal 13 2 4 3" xfId="2997" xr:uid="{AC2E92CB-1FE6-46E3-A95A-84EAF54044C5}"/>
    <cellStyle name="Normal 13 2 4 4" xfId="3223" xr:uid="{4138AF05-8F59-4E11-AC1C-30145E97A2FA}"/>
    <cellStyle name="Normal 13 2 5" xfId="1016" xr:uid="{80C698B2-769A-415A-92D6-80301DC50788}"/>
    <cellStyle name="Normal 13 2 5 2" xfId="2170" xr:uid="{3948643D-FA14-49BD-B95D-503773E537C0}"/>
    <cellStyle name="Normal 13 2 5 2 2" xfId="3119" xr:uid="{BC765803-2E12-4761-A1B1-0CB22F07F748}"/>
    <cellStyle name="Normal 13 2 5 2 3" xfId="3345" xr:uid="{0CF4BF10-F863-49C7-A880-4840797E1ACC}"/>
    <cellStyle name="Normal 13 2 5 3" xfId="2998" xr:uid="{104041D2-774B-480B-BAFC-22E7822C4577}"/>
    <cellStyle name="Normal 13 2 5 4" xfId="3224" xr:uid="{AD9E89CD-A432-4038-B99E-7398C5D068AF}"/>
    <cellStyle name="Normal 13 2 6" xfId="1017" xr:uid="{75EA1C54-0DB1-4C60-BE88-D3EC8A67A0AB}"/>
    <cellStyle name="Normal 13 2 6 2" xfId="2171" xr:uid="{EEE53A22-2E73-40BB-8BDB-72A071BC984D}"/>
    <cellStyle name="Normal 13 2 6 2 2" xfId="3120" xr:uid="{6B9B4894-C98E-4E53-AC9A-1B80B1AAF7CF}"/>
    <cellStyle name="Normal 13 2 6 2 3" xfId="3346" xr:uid="{200D86A0-9408-41C6-A099-6587BC6CA255}"/>
    <cellStyle name="Normal 13 2 6 3" xfId="2999" xr:uid="{DC908AD4-DB72-4637-BEAB-A7C7341B626C}"/>
    <cellStyle name="Normal 13 2 6 4" xfId="3225" xr:uid="{63ECF8E0-4B25-4292-BC2E-446C1F298EF5}"/>
    <cellStyle name="Normal 13 2 7" xfId="1018" xr:uid="{9E37BD7A-5C2A-4444-8B7B-EC1B64650C53}"/>
    <cellStyle name="Normal 13 2 7 2" xfId="2172" xr:uid="{5B20AB5C-8E35-4659-93DE-52D408C5D7A8}"/>
    <cellStyle name="Normal 13 2 7 2 2" xfId="3121" xr:uid="{23D045A6-AC6C-401D-8A7E-07FD8826E8C6}"/>
    <cellStyle name="Normal 13 2 7 2 3" xfId="3347" xr:uid="{1B130252-ED43-410F-8099-43365DCBA175}"/>
    <cellStyle name="Normal 13 2 7 3" xfId="3000" xr:uid="{7FB0C82F-C01C-480B-B576-CDD4A9B8BC74}"/>
    <cellStyle name="Normal 13 2 7 4" xfId="3226" xr:uid="{54BDD107-8BFE-46F6-97D2-922CF3FE55B1}"/>
    <cellStyle name="Normal 13 2 8" xfId="1019" xr:uid="{4E80B095-7819-4365-88BC-63E54E5AB197}"/>
    <cellStyle name="Normal 13 2 8 2" xfId="2173" xr:uid="{7EBB99F5-0EEA-47C6-BBBC-43FD102BCAA4}"/>
    <cellStyle name="Normal 13 2 8 2 2" xfId="3122" xr:uid="{67F27D69-23D5-460C-ABC3-61FB734361AC}"/>
    <cellStyle name="Normal 13 2 8 2 3" xfId="3348" xr:uid="{79C38849-3A03-40C6-A02D-E45CFADC2F9D}"/>
    <cellStyle name="Normal 13 2 8 3" xfId="3001" xr:uid="{DA65A046-9DAE-4265-A50C-1572ADD46723}"/>
    <cellStyle name="Normal 13 2 8 4" xfId="3227" xr:uid="{54003544-F43A-472E-A2B2-A71A8A2DCE0F}"/>
    <cellStyle name="Normal 13 20" xfId="1020" xr:uid="{215AC2DD-4537-4D23-B507-FAE610BE5B2C}"/>
    <cellStyle name="Normal 13 21" xfId="1021" xr:uid="{4E3B7F70-C335-414B-A578-8752BC074ABD}"/>
    <cellStyle name="Normal 13 22" xfId="1022" xr:uid="{6CE280ED-53A2-4E02-8C14-5B7F3FE60543}"/>
    <cellStyle name="Normal 13 23" xfId="1023" xr:uid="{7A74322D-7C3E-480A-A677-3DAAF7ADD3BC}"/>
    <cellStyle name="Normal 13 23 2" xfId="2174" xr:uid="{E1474794-537C-4B92-B92D-3978672ECCF3}"/>
    <cellStyle name="Normal 13 24" xfId="1024" xr:uid="{5BB5612F-A5BC-4049-BBEC-8EAE02A57B42}"/>
    <cellStyle name="Normal 13 24 2" xfId="2175" xr:uid="{BEB59BA8-4868-476B-BCA0-AF78912D1AC3}"/>
    <cellStyle name="Normal 13 25" xfId="1025" xr:uid="{C8A8237E-E8AB-4E5A-9037-A67AC40E4125}"/>
    <cellStyle name="Normal 13 25 2" xfId="2176" xr:uid="{EFF95A9E-AA5F-403E-932F-6CFF67C3D76C}"/>
    <cellStyle name="Normal 13 26" xfId="1026" xr:uid="{CEE4BF6F-D055-49ED-910C-45ADD063708D}"/>
    <cellStyle name="Normal 13 26 2" xfId="2177" xr:uid="{689AEC4C-DCAA-4817-9E2A-8D87B1DB447F}"/>
    <cellStyle name="Normal 13 27" xfId="1027" xr:uid="{FEDC986F-FFBF-4137-AF06-E0D10854CDE5}"/>
    <cellStyle name="Normal 13 27 2" xfId="2178" xr:uid="{372A5298-7014-406C-9806-221DB5E2A4D0}"/>
    <cellStyle name="Normal 13 28" xfId="1028" xr:uid="{44DADB16-7987-4487-9441-790DB3E6A4BA}"/>
    <cellStyle name="Normal 13 28 2" xfId="2179" xr:uid="{C7335C68-85B4-44A6-B1A1-99F26DB75684}"/>
    <cellStyle name="Normal 13 29" xfId="1029" xr:uid="{0B12692C-DCAC-4BCE-83F9-0D596E3421E5}"/>
    <cellStyle name="Normal 13 29 2" xfId="2180" xr:uid="{DE5C7CB4-9237-4BDD-A479-6DB12C14E4B0}"/>
    <cellStyle name="Normal 13 3" xfId="1030" xr:uid="{5A8CF988-D491-4FF2-B040-806EA0CE9C73}"/>
    <cellStyle name="Normal 13 3 2" xfId="2181" xr:uid="{C7776C69-0589-48F7-AAFC-0F2F97C1EE21}"/>
    <cellStyle name="Normal 13 3 2 2" xfId="3123" xr:uid="{D1A8198C-E364-4DBF-A2EE-59AD0A13C125}"/>
    <cellStyle name="Normal 13 3 2 3" xfId="3349" xr:uid="{C9A80A6E-B886-47E2-9C69-39C15A941DC8}"/>
    <cellStyle name="Normal 13 3 3" xfId="3002" xr:uid="{FF07B567-8D90-4AD8-B22A-3FC5502B799A}"/>
    <cellStyle name="Normal 13 3 4" xfId="3228" xr:uid="{245A68D5-A7AD-4B5F-BE9E-3B3F4D56B415}"/>
    <cellStyle name="Normal 13 30" xfId="1031" xr:uid="{5AEA3A6E-1860-4CB4-880C-4B89D4B98723}"/>
    <cellStyle name="Normal 13 30 2" xfId="2182" xr:uid="{62400E51-36E1-49F4-AFA7-DB1161D46E39}"/>
    <cellStyle name="Normal 13 31" xfId="1032" xr:uid="{38D855CD-84EA-430E-8C99-46C311337EE3}"/>
    <cellStyle name="Normal 13 31 2" xfId="2183" xr:uid="{9A4E51C1-4BC0-4084-87EE-0F8DF3414D8A}"/>
    <cellStyle name="Normal 13 32" xfId="1033" xr:uid="{6AC18F74-0E13-4CE4-B917-BED293C1EECD}"/>
    <cellStyle name="Normal 13 32 2" xfId="2184" xr:uid="{06CE34B0-7D57-4996-9720-27E79FF8C539}"/>
    <cellStyle name="Normal 13 33" xfId="1034" xr:uid="{A60532C3-B914-4CCE-9187-8542408DDE2E}"/>
    <cellStyle name="Normal 13 33 2" xfId="2185" xr:uid="{624F2245-A7F0-4667-99A4-6FFFF443B165}"/>
    <cellStyle name="Normal 13 34" xfId="1035" xr:uid="{79E317B8-A30C-4DFB-B366-C1F7B0D60251}"/>
    <cellStyle name="Normal 13 34 2" xfId="2186" xr:uid="{D40A4AB3-2929-4B54-986E-79A8BF9BA9BF}"/>
    <cellStyle name="Normal 13 35" xfId="1036" xr:uid="{547814F2-6DA9-49CA-BB4E-C10B446FE137}"/>
    <cellStyle name="Normal 13 35 2" xfId="2187" xr:uid="{803B6B1F-6E1E-4CFC-87FE-53E7FDC75468}"/>
    <cellStyle name="Normal 13 36" xfId="1037" xr:uid="{B71EF320-8471-4821-B3D6-64D3103EB7FF}"/>
    <cellStyle name="Normal 13 36 2" xfId="2188" xr:uid="{C62D31A7-93F4-4876-9D82-7A278CF0EC22}"/>
    <cellStyle name="Normal 13 37" xfId="1038" xr:uid="{35E7570A-1A9B-43F2-9A2C-00799CD4F109}"/>
    <cellStyle name="Normal 13 37 2" xfId="2189" xr:uid="{113E2015-7A62-41C4-8CC8-27343EE68EB2}"/>
    <cellStyle name="Normal 13 38" xfId="1039" xr:uid="{8F8D77B1-277C-4C4D-9350-764CD7BE5266}"/>
    <cellStyle name="Normal 13 38 2" xfId="2190" xr:uid="{7811431B-3CCE-41C4-80DF-799F1FA7E2BA}"/>
    <cellStyle name="Normal 13 39" xfId="2160" xr:uid="{7522ADA1-E388-4FED-9335-356ED00BB2AC}"/>
    <cellStyle name="Normal 13 4" xfId="1040" xr:uid="{A1EE7D49-F608-4417-AD0A-A862020DD419}"/>
    <cellStyle name="Normal 13 4 2" xfId="2191" xr:uid="{F5D11674-5997-4C0A-A61E-CBBEA4814E27}"/>
    <cellStyle name="Normal 13 4 2 2" xfId="3124" xr:uid="{BF414784-EE6E-4D79-AA6F-52C9C5BA7FFE}"/>
    <cellStyle name="Normal 13 4 2 3" xfId="3350" xr:uid="{6D09B607-B28E-4A03-9D0A-96EFD07F9998}"/>
    <cellStyle name="Normal 13 4 3" xfId="3003" xr:uid="{4A3D906D-FD9E-4A2B-A7EE-D59DF78AF97C}"/>
    <cellStyle name="Normal 13 4 4" xfId="3229" xr:uid="{D48B2795-9CA0-4D49-8190-0A3A364EB6CE}"/>
    <cellStyle name="Normal 13 5" xfId="1041" xr:uid="{790DA9A9-5D3A-4612-AFD0-90D0CB9B075C}"/>
    <cellStyle name="Normal 13 6" xfId="1042" xr:uid="{F5FA0B14-80C4-4FBD-AE6E-0AE9C4D9C097}"/>
    <cellStyle name="Normal 13 7" xfId="1043" xr:uid="{6799DF76-3057-493E-8584-19F6C2BCCAEA}"/>
    <cellStyle name="Normal 13 8" xfId="1044" xr:uid="{AFD27E5B-5EB9-46DB-92DC-FB4FE99087CB}"/>
    <cellStyle name="Normal 13 9" xfId="1045" xr:uid="{B023FED6-653D-4113-A53D-1E7CB812BBE4}"/>
    <cellStyle name="Normal 13 9 2" xfId="2192" xr:uid="{D4895845-B1BA-4005-B04E-4C1C108B39E2}"/>
    <cellStyle name="Normal 13 9 2 2" xfId="3125" xr:uid="{12EC3A52-7C82-4156-BD2B-B31B6BB66ED0}"/>
    <cellStyle name="Normal 13 9 2 3" xfId="3351" xr:uid="{E546E06C-B0FA-488F-B12F-3E56DFFB6B90}"/>
    <cellStyle name="Normal 13 9 3" xfId="3004" xr:uid="{D0556509-D2FB-40F3-87FF-5ABA7B82671F}"/>
    <cellStyle name="Normal 13 9 4" xfId="3230" xr:uid="{A3CCC5CB-7B96-443A-82E0-6B00E5CC9B6D}"/>
    <cellStyle name="Normal 14" xfId="1046" xr:uid="{0FDE264D-4EC1-4E71-B345-26BA7A9CE92E}"/>
    <cellStyle name="Normal 14 10" xfId="1047" xr:uid="{AC8BC519-460E-4EC2-85A5-DD09A3444CBD}"/>
    <cellStyle name="Normal 14 10 2" xfId="2193" xr:uid="{C4F714FD-220F-4BF9-AC52-04E686444F38}"/>
    <cellStyle name="Normal 14 10 2 2" xfId="3126" xr:uid="{EFAF52D3-42F0-4215-8468-0F809398DB23}"/>
    <cellStyle name="Normal 14 10 2 3" xfId="3352" xr:uid="{83683204-AD82-460B-A628-88E0140D5A41}"/>
    <cellStyle name="Normal 14 10 3" xfId="3005" xr:uid="{D5033743-E729-46C8-8277-D93029CA2C2D}"/>
    <cellStyle name="Normal 14 10 4" xfId="3231" xr:uid="{A5C87725-FEC9-49B9-8E68-BDBAE2B23CE2}"/>
    <cellStyle name="Normal 14 11" xfId="1048" xr:uid="{81782918-6C6D-4610-A57D-B0DB1ECBFA69}"/>
    <cellStyle name="Normal 14 11 2" xfId="2194" xr:uid="{3F7F517C-B0BE-4015-93AA-95BF6CD4EBB0}"/>
    <cellStyle name="Normal 14 11 2 2" xfId="3127" xr:uid="{1E8B2D32-550A-4E79-B587-80405632131E}"/>
    <cellStyle name="Normal 14 11 2 3" xfId="3353" xr:uid="{E91D2480-E5BB-44EC-B0CC-2635B36AF8F2}"/>
    <cellStyle name="Normal 14 11 3" xfId="3006" xr:uid="{307CF3F7-CA42-43AF-8942-E960A50ABA78}"/>
    <cellStyle name="Normal 14 11 4" xfId="3232" xr:uid="{17A48A36-C4B6-4F15-8CC0-D469DFA5315C}"/>
    <cellStyle name="Normal 14 12" xfId="1049" xr:uid="{F903EC86-AC6B-479F-A42A-079C2BDDDA37}"/>
    <cellStyle name="Normal 14 12 2" xfId="2195" xr:uid="{E0A7BA9B-6315-4010-A0DA-BAD05A14A4F6}"/>
    <cellStyle name="Normal 14 12 2 2" xfId="3128" xr:uid="{6EA49672-0E48-4742-86E8-2CEE35766ED5}"/>
    <cellStyle name="Normal 14 12 2 3" xfId="3354" xr:uid="{888E0A8C-C57C-4DC8-B038-71A7D3CCF523}"/>
    <cellStyle name="Normal 14 12 3" xfId="3007" xr:uid="{853C61C0-EBC7-42BA-A66A-E71D37FAA629}"/>
    <cellStyle name="Normal 14 12 4" xfId="3233" xr:uid="{96D36B6E-4EBA-49EB-A5F1-D262D046CA85}"/>
    <cellStyle name="Normal 14 13" xfId="1050" xr:uid="{813033BA-B5B1-463E-A51D-D171C8B7505B}"/>
    <cellStyle name="Normal 14 13 2" xfId="2196" xr:uid="{49E1F0E6-F967-494C-851C-059ED3835F8B}"/>
    <cellStyle name="Normal 14 13 2 2" xfId="3129" xr:uid="{B2238484-E808-4981-9627-11FFA863EF50}"/>
    <cellStyle name="Normal 14 13 2 3" xfId="3355" xr:uid="{356064AD-EC7F-49D9-97A7-308BF0A9E117}"/>
    <cellStyle name="Normal 14 13 3" xfId="3008" xr:uid="{5F0A7522-CBF7-4294-B2D9-1ADDE5432188}"/>
    <cellStyle name="Normal 14 13 4" xfId="3234" xr:uid="{ED6BD6E3-FB4E-4F88-94B1-8E8A00258CF1}"/>
    <cellStyle name="Normal 14 14" xfId="1051" xr:uid="{2926974E-6717-40C9-82BB-12BCBE356907}"/>
    <cellStyle name="Normal 14 14 2" xfId="2197" xr:uid="{5B12EACC-344C-487E-8D93-BD3C26B94A50}"/>
    <cellStyle name="Normal 14 14 2 2" xfId="3130" xr:uid="{ECAA8C0B-3B52-439D-B1EF-0F334A9A2FA6}"/>
    <cellStyle name="Normal 14 14 2 3" xfId="3356" xr:uid="{D06B6348-5D27-41B1-AB28-416B80CB0FF1}"/>
    <cellStyle name="Normal 14 14 3" xfId="3009" xr:uid="{08F27AD8-4346-4EA9-B650-D49F632FFD03}"/>
    <cellStyle name="Normal 14 14 4" xfId="3235" xr:uid="{6FD0F437-D64B-4786-968C-B2274D6467BF}"/>
    <cellStyle name="Normal 14 15" xfId="1052" xr:uid="{38EA7469-719A-466E-B759-0B0C45A5B47D}"/>
    <cellStyle name="Normal 14 15 2" xfId="2198" xr:uid="{D2079FF7-0D80-4E76-9263-D0C0E2A317D6}"/>
    <cellStyle name="Normal 14 15 2 2" xfId="3131" xr:uid="{FB8E2686-CA19-4283-A01E-FC8AE416235B}"/>
    <cellStyle name="Normal 14 15 2 3" xfId="3357" xr:uid="{A868B634-326B-4D36-9ACC-3257730F4E11}"/>
    <cellStyle name="Normal 14 15 3" xfId="3010" xr:uid="{CBD65AA2-E2F3-49D7-8FCB-B3757C147EEE}"/>
    <cellStyle name="Normal 14 15 4" xfId="3236" xr:uid="{16C58EA0-B419-4AAD-A548-A54D22FD7010}"/>
    <cellStyle name="Normal 14 2" xfId="1053" xr:uid="{5AC16194-9460-4098-97E6-5D11CA2BE84B}"/>
    <cellStyle name="Normal 14 2 10" xfId="3237" xr:uid="{E0A773DC-C72C-401F-B258-BB4382C5DF42}"/>
    <cellStyle name="Normal 14 2 2" xfId="1054" xr:uid="{E9100875-4FF4-440D-980A-B3733C9D8AEF}"/>
    <cellStyle name="Normal 14 2 2 2" xfId="2200" xr:uid="{952A1409-E576-4DC0-B46D-6F89A08E68C5}"/>
    <cellStyle name="Normal 14 2 3" xfId="1055" xr:uid="{18B7E92D-73AC-43CE-9215-C70FA01A20CB}"/>
    <cellStyle name="Normal 14 2 3 2" xfId="2201" xr:uid="{D6697238-7E8D-41E4-80AC-6C59BEB7A937}"/>
    <cellStyle name="Normal 14 2 4" xfId="1056" xr:uid="{86E22820-3A9C-467F-BD3A-3E92017F6295}"/>
    <cellStyle name="Normal 14 2 4 2" xfId="2202" xr:uid="{FB666560-044D-4952-93CF-69698211E47D}"/>
    <cellStyle name="Normal 14 2 5" xfId="1057" xr:uid="{A604D9F0-0353-452F-A519-89A9ACD041A6}"/>
    <cellStyle name="Normal 14 2 5 2" xfId="2203" xr:uid="{66386DEA-5141-4B9F-B14B-F4D526E97E59}"/>
    <cellStyle name="Normal 14 2 6" xfId="1058" xr:uid="{A0A5806B-E505-4F64-B830-A71AFF8E61C8}"/>
    <cellStyle name="Normal 14 2 6 2" xfId="2204" xr:uid="{76C370A7-BC7A-49E2-B982-43670460AD98}"/>
    <cellStyle name="Normal 14 2 7" xfId="1059" xr:uid="{E8E985BF-B24A-4A22-8389-0FD6C016DF44}"/>
    <cellStyle name="Normal 14 2 7 2" xfId="2205" xr:uid="{6C62ECA8-C2BB-4C9F-96D1-4C1AA5F4D9AA}"/>
    <cellStyle name="Normal 14 2 8" xfId="2199" xr:uid="{71DCB7DB-AE38-4BB3-AF66-BF97FC34C061}"/>
    <cellStyle name="Normal 14 2 8 2" xfId="3132" xr:uid="{5FF4F9AA-22BF-4EAC-98BB-B137536FC05A}"/>
    <cellStyle name="Normal 14 2 8 3" xfId="3358" xr:uid="{618B8987-DB5E-41CD-BE80-ACE699400F73}"/>
    <cellStyle name="Normal 14 2 9" xfId="3011" xr:uid="{92835570-9F38-4799-8A5D-7EBDD5AA66A0}"/>
    <cellStyle name="Normal 14 3" xfId="1060" xr:uid="{201A603B-2182-4242-A25A-FA710997991D}"/>
    <cellStyle name="Normal 14 3 2" xfId="2206" xr:uid="{FE03E043-D67B-4C02-B808-DB32E7189029}"/>
    <cellStyle name="Normal 14 4" xfId="1061" xr:uid="{D5133701-9F45-42DC-B6B0-2352558277A7}"/>
    <cellStyle name="Normal 14 4 2" xfId="2207" xr:uid="{AA0D101B-D2F4-4150-8A99-1F5665CBE566}"/>
    <cellStyle name="Normal 14 4 2 2" xfId="3133" xr:uid="{0FAE2ACC-9373-4D7C-B31A-854F7C9D839D}"/>
    <cellStyle name="Normal 14 4 2 3" xfId="3359" xr:uid="{7CF0A4B0-DF51-4C96-B652-6A9BEDBE1D30}"/>
    <cellStyle name="Normal 14 4 3" xfId="3012" xr:uid="{D35123EA-1292-4BBA-98A8-C10F621113A8}"/>
    <cellStyle name="Normal 14 4 4" xfId="3238" xr:uid="{B86A6F30-63BA-49E6-9B2C-B87A34D76A65}"/>
    <cellStyle name="Normal 14 5" xfId="1062" xr:uid="{EFA65256-4503-49C2-B9DA-0C06954C7835}"/>
    <cellStyle name="Normal 14 5 2" xfId="2208" xr:uid="{1B8705E2-6C56-4168-A670-0361E69C474A}"/>
    <cellStyle name="Normal 14 5 2 2" xfId="3134" xr:uid="{F6A2C32F-F647-4805-A1B4-88C1DCB5F685}"/>
    <cellStyle name="Normal 14 5 2 3" xfId="3360" xr:uid="{A3C577D8-3798-4DD8-9695-830EAAB70144}"/>
    <cellStyle name="Normal 14 5 3" xfId="3013" xr:uid="{60161F5B-3B21-460E-8D95-DCB98C07EDE4}"/>
    <cellStyle name="Normal 14 5 4" xfId="3239" xr:uid="{F6168223-D342-4BB0-B851-936D06644C6C}"/>
    <cellStyle name="Normal 14 6" xfId="1063" xr:uid="{F8876CF6-8E29-45A5-B233-88D85F4744EC}"/>
    <cellStyle name="Normal 14 6 2" xfId="2209" xr:uid="{16DB6011-0A42-4C8F-97FE-A4CB8B50E7C1}"/>
    <cellStyle name="Normal 14 7" xfId="1064" xr:uid="{77D83AAE-64CC-4AA5-BB6D-F2CD36C771D5}"/>
    <cellStyle name="Normal 14 7 2" xfId="2210" xr:uid="{E9B9B614-AF26-45AA-B68F-6B3A96C7450C}"/>
    <cellStyle name="Normal 14 8" xfId="1065" xr:uid="{946A5EFD-6F56-4C42-BA98-32FB74C6712F}"/>
    <cellStyle name="Normal 14 8 2" xfId="2211" xr:uid="{E2F09BEB-B906-4B28-B8D0-9C9EEFB878F2}"/>
    <cellStyle name="Normal 14 9" xfId="1066" xr:uid="{2DC12D02-4A3C-4E93-A887-CA0EB8D82E44}"/>
    <cellStyle name="Normal 14 9 2" xfId="2212" xr:uid="{5EA530DD-24E0-4EF1-ABA0-7DBEFEF6CD50}"/>
    <cellStyle name="Normal 15" xfId="1067" xr:uid="{76423F74-4A51-44A0-858F-AC5131779725}"/>
    <cellStyle name="Normal 15 2" xfId="1068" xr:uid="{320F2534-B72F-451B-9F09-8FC6E27AD09F}"/>
    <cellStyle name="Normal 15 2 2" xfId="2213" xr:uid="{C959A1BD-1187-412A-B41D-0BD7AE4BFA34}"/>
    <cellStyle name="Normal 15 3" xfId="1069" xr:uid="{04EC5A2F-0FC0-4A18-9FF1-4CD2B02DFEFF}"/>
    <cellStyle name="Normal 15 3 2" xfId="2214" xr:uid="{81FC9BF7-CF2F-4070-B078-FD72285B38C3}"/>
    <cellStyle name="Normal 15 4" xfId="1070" xr:uid="{DDEE6FD6-DFA6-4D05-9375-4EE26D8B9BFE}"/>
    <cellStyle name="Normal 15 4 2" xfId="2215" xr:uid="{E8123C7E-7E77-4127-AF68-233419919D2E}"/>
    <cellStyle name="Normal 15 5" xfId="1071" xr:uid="{7D4FCBEF-2445-40CA-8ECE-1F0AA324B00C}"/>
    <cellStyle name="Normal 15 5 2" xfId="2216" xr:uid="{F67E2B9D-7E09-4314-B826-7620CB3E0D6D}"/>
    <cellStyle name="Normal 15 6" xfId="1072" xr:uid="{4CC1C5DD-975B-490F-9819-3217E30F50EA}"/>
    <cellStyle name="Normal 15 6 2" xfId="2217" xr:uid="{2B341F87-C302-4E36-B942-9793AB143CCA}"/>
    <cellStyle name="Normal 16" xfId="1073" xr:uid="{7A76B17D-0CEF-4043-A548-FB83E1E4D949}"/>
    <cellStyle name="Normal 16 2" xfId="1074" xr:uid="{2E89D8FE-0FE0-4F26-93D1-77D3301C7714}"/>
    <cellStyle name="Normal 16 2 2" xfId="2219" xr:uid="{39290A32-38F7-4D2C-BCCA-1F7A19E3559E}"/>
    <cellStyle name="Normal 16 3" xfId="1075" xr:uid="{F7F7C1F9-1B97-47D5-A14F-8106E68734EC}"/>
    <cellStyle name="Normal 16 3 2" xfId="2220" xr:uid="{53EE6A11-DC41-49B5-896B-D7305ECCA8FF}"/>
    <cellStyle name="Normal 16 4" xfId="1076" xr:uid="{1EC32A27-D508-4117-9530-8B355F38702E}"/>
    <cellStyle name="Normal 16 4 2" xfId="2221" xr:uid="{A4FFF75B-E00E-4480-8AC1-B5793CF16065}"/>
    <cellStyle name="Normal 16 5" xfId="1077" xr:uid="{21874DF1-ADE1-4D28-AC83-2597EAD7E3C5}"/>
    <cellStyle name="Normal 16 5 2" xfId="2222" xr:uid="{DB3572DC-9CD8-4103-9BC9-BEAC543C6768}"/>
    <cellStyle name="Normal 16 6" xfId="1078" xr:uid="{22FA6812-B362-4ED9-AF54-8B4E329116A4}"/>
    <cellStyle name="Normal 16 6 2" xfId="2223" xr:uid="{2674D82E-C05D-49AC-98D2-40D3E1C6D49E}"/>
    <cellStyle name="Normal 16 7" xfId="2218" xr:uid="{F82B4604-E0B2-43FB-BC89-F2C4BFBCC2C5}"/>
    <cellStyle name="Normal 16 7 2" xfId="3135" xr:uid="{F455C6C1-B803-42A4-AF94-0771DE61ABC3}"/>
    <cellStyle name="Normal 16 7 3" xfId="3361" xr:uid="{347237D5-F3DB-4F87-9423-932D688E9629}"/>
    <cellStyle name="Normal 16 8" xfId="3014" xr:uid="{8EA1930C-8D45-42FC-93F8-26A5F99DDAF2}"/>
    <cellStyle name="Normal 16 9" xfId="3240" xr:uid="{88B413D8-0E6E-4F46-BB9A-BA9239801542}"/>
    <cellStyle name="Normal 17" xfId="1079" xr:uid="{7A956D45-FD44-436E-B0CD-30BC3173F1B2}"/>
    <cellStyle name="Normal 17 10" xfId="1080" xr:uid="{9F47C011-AF83-4C63-94AF-FA4E1B2A3AFB}"/>
    <cellStyle name="Normal 17 10 2" xfId="2225" xr:uid="{DB9D52F8-C77E-4CDD-93D2-FBEFC2A143C6}"/>
    <cellStyle name="Normal 17 11" xfId="1081" xr:uid="{CACD9F08-61EA-4EF7-B2C4-52EF9CC0B565}"/>
    <cellStyle name="Normal 17 11 2" xfId="2226" xr:uid="{93DAA340-DDAC-4F5C-B43D-D7FC2BC35979}"/>
    <cellStyle name="Normal 17 12" xfId="1082" xr:uid="{8E0E1889-2D26-4800-B70F-92762828E094}"/>
    <cellStyle name="Normal 17 12 2" xfId="2227" xr:uid="{3BDEA3EC-9AA0-4C29-97F0-092C0C3C43D9}"/>
    <cellStyle name="Normal 17 13" xfId="1083" xr:uid="{109BDD6A-0793-4BB1-8B81-EEAEB2163110}"/>
    <cellStyle name="Normal 17 13 2" xfId="2228" xr:uid="{3F09A243-1232-493F-9636-AAD0CEAF43D8}"/>
    <cellStyle name="Normal 17 14" xfId="2224" xr:uid="{24D37EA6-A4FE-429C-9213-D05F10660FDC}"/>
    <cellStyle name="Normal 17 14 2" xfId="3136" xr:uid="{15F53E2F-57A7-4F58-9ADF-A1DCA285E860}"/>
    <cellStyle name="Normal 17 14 3" xfId="3362" xr:uid="{CC65188A-2611-45BE-A295-409171267FF8}"/>
    <cellStyle name="Normal 17 15" xfId="3015" xr:uid="{31EB5CEF-4F7E-4904-BA78-BCBBB7A4CFA6}"/>
    <cellStyle name="Normal 17 16" xfId="3241" xr:uid="{DF7D5DF6-9F2D-4858-8519-3D5C414934B2}"/>
    <cellStyle name="Normal 17 2" xfId="1084" xr:uid="{C7310970-644C-4EC7-8C6B-BB58CFFEB457}"/>
    <cellStyle name="Normal 17 2 2" xfId="2229" xr:uid="{D05B833F-C8D5-474A-8308-983B7D9E3030}"/>
    <cellStyle name="Normal 17 3" xfId="1085" xr:uid="{A2E2EF9F-843F-40EB-8A29-E344FE5C64B5}"/>
    <cellStyle name="Normal 17 3 2" xfId="2230" xr:uid="{EC1886CC-CBEE-41F7-B0FC-2C796F715B4F}"/>
    <cellStyle name="Normal 17 4" xfId="1086" xr:uid="{18BEEB21-F65B-4D74-9936-E74CE0AF83C6}"/>
    <cellStyle name="Normal 17 4 2" xfId="2231" xr:uid="{7B2F2B15-F78F-4EA8-B24C-0DB6C927CCF8}"/>
    <cellStyle name="Normal 17 5" xfId="1087" xr:uid="{B15D8B20-A551-40C8-97FC-D20C54266CA8}"/>
    <cellStyle name="Normal 17 5 2" xfId="2232" xr:uid="{618A041C-B1A0-498F-B345-58A804DBA292}"/>
    <cellStyle name="Normal 17 6" xfId="1088" xr:uid="{039B73EC-3FD9-43FA-9A98-CF3DE3121796}"/>
    <cellStyle name="Normal 17 6 2" xfId="2233" xr:uid="{FA438859-5BF3-4E64-B828-5E39B57176D2}"/>
    <cellStyle name="Normal 17 7" xfId="1089" xr:uid="{B9AD7171-7516-4D60-8C59-9404948445CE}"/>
    <cellStyle name="Normal 17 7 2" xfId="2234" xr:uid="{1B14E455-7B98-4045-AC1F-01AD0A39EBA1}"/>
    <cellStyle name="Normal 17 8" xfId="1090" xr:uid="{83A59283-A4A2-4AC5-BF41-0D90176CCA60}"/>
    <cellStyle name="Normal 17 8 2" xfId="2235" xr:uid="{73238E80-05E7-44FD-A10C-52C8F3A98971}"/>
    <cellStyle name="Normal 17 9" xfId="1091" xr:uid="{3E62BE36-F26D-4000-A095-F55E43644501}"/>
    <cellStyle name="Normal 17 9 2" xfId="2236" xr:uid="{E3B0BA16-7EDB-454D-A799-AE7A8FA5FB56}"/>
    <cellStyle name="Normal 18" xfId="1092" xr:uid="{77CBAD56-FBF1-4B5E-821F-2B05CB6C4112}"/>
    <cellStyle name="Normal 18 2" xfId="2237" xr:uid="{42EADCD9-5D21-44E2-AA8C-C6BCCF2B2D63}"/>
    <cellStyle name="Normal 18 2 2" xfId="3137" xr:uid="{52CB3795-6A2E-4476-AAE4-0F41B7A69BBA}"/>
    <cellStyle name="Normal 18 2 3" xfId="3363" xr:uid="{B693139F-1547-4DE5-8797-9E627AB94529}"/>
    <cellStyle name="Normal 18 3" xfId="3016" xr:uid="{133A7975-E022-47E0-AC59-A01BAEB11E74}"/>
    <cellStyle name="Normal 18 4" xfId="3242" xr:uid="{3B127C17-AEB4-4781-9C5D-6853DB379C63}"/>
    <cellStyle name="Normal 19" xfId="65" xr:uid="{32B62FF1-457C-4FCA-B431-CAEF726D8038}"/>
    <cellStyle name="Normal 2" xfId="58" xr:uid="{A99BE9D6-0905-41CF-A276-79F75F815AE1}"/>
    <cellStyle name="Normal 2 10" xfId="1094" xr:uid="{C81F6515-6DC0-4825-B74A-2CC811413816}"/>
    <cellStyle name="Normal 2 10 2" xfId="2239" xr:uid="{0A25D514-08A4-4EB7-B46D-1C92A30F1B3D}"/>
    <cellStyle name="Normal 2 11" xfId="1095" xr:uid="{26DD43FD-EA32-43A5-9C39-09FAFB093CB1}"/>
    <cellStyle name="Normal 2 11 2" xfId="2240" xr:uid="{973476D8-352E-42B6-A35D-2EF4D4E78426}"/>
    <cellStyle name="Normal 2 12" xfId="1096" xr:uid="{91543C07-7077-4EDA-90FE-61F10EA60C0A}"/>
    <cellStyle name="Normal 2 12 2" xfId="2241" xr:uid="{F1837DFE-E1E1-4569-9246-64EFBD466D44}"/>
    <cellStyle name="Normal 2 13" xfId="1097" xr:uid="{A2797890-1491-4CEC-A95A-82351BE48AFA}"/>
    <cellStyle name="Normal 2 13 2" xfId="2242" xr:uid="{53DB8B6B-76AA-40CD-AD78-08284FD0365C}"/>
    <cellStyle name="Normal 2 14" xfId="1098" xr:uid="{9398C223-E34F-48EF-9815-E69F1C8B72A6}"/>
    <cellStyle name="Normal 2 14 2" xfId="2243" xr:uid="{3987444A-899F-453A-9F54-C2C509A9BF5D}"/>
    <cellStyle name="Normal 2 15" xfId="1099" xr:uid="{73B7D0E7-D11E-439D-AD9E-DD27A9A8144B}"/>
    <cellStyle name="Normal 2 15 2" xfId="2244" xr:uid="{8B9F0A0C-4260-4FA6-90C0-C0E0F484A7F3}"/>
    <cellStyle name="Normal 2 16" xfId="1100" xr:uid="{408FC56A-1E04-48C5-AABB-67EED25F6EB0}"/>
    <cellStyle name="Normal 2 16 2" xfId="2245" xr:uid="{B82D0359-93D3-4BB1-B766-31F1CDB66CAA}"/>
    <cellStyle name="Normal 2 17" xfId="1101" xr:uid="{1A03FABE-787B-4823-80F0-86F3AFFEB7A7}"/>
    <cellStyle name="Normal 2 17 2" xfId="2246" xr:uid="{E16DC398-55F5-48CE-B327-32620EDC2612}"/>
    <cellStyle name="Normal 2 18" xfId="2238" xr:uid="{D4AB2950-0C78-40A6-97AF-AC6D2D8DE57D}"/>
    <cellStyle name="Normal 2 18 2" xfId="3138" xr:uid="{5C3B94F7-5605-412D-915C-91C1438E8665}"/>
    <cellStyle name="Normal 2 18 3" xfId="3364" xr:uid="{194CE561-4C82-4C09-A22C-59A34235E774}"/>
    <cellStyle name="Normal 2 19" xfId="1093" xr:uid="{26910692-8D24-431D-BD87-248C30C32D3B}"/>
    <cellStyle name="Normal 2 2" xfId="148" xr:uid="{F94C1DE1-C13E-4B87-8D66-AE6F0DC231FF}"/>
    <cellStyle name="Normal 2 2 10" xfId="1103" xr:uid="{BA345E8B-3247-4E01-BFF8-F621F09A27E4}"/>
    <cellStyle name="Normal 2 2 10 2" xfId="2248" xr:uid="{9268F00D-9C09-48B6-BC83-861946A383F2}"/>
    <cellStyle name="Normal 2 2 10 2 2" xfId="3139" xr:uid="{0E647473-EEC2-4F2A-AD20-29DA55CDBECF}"/>
    <cellStyle name="Normal 2 2 10 2 3" xfId="3365" xr:uid="{5E1F5937-A038-42A3-9BFF-ED16541EA8B8}"/>
    <cellStyle name="Normal 2 2 10 3" xfId="3018" xr:uid="{C019A99A-43A1-4054-A065-62438F0D92DB}"/>
    <cellStyle name="Normal 2 2 10 4" xfId="3244" xr:uid="{5B3810FA-90DF-4E0F-9AE1-A7E13F495DDE}"/>
    <cellStyle name="Normal 2 2 11" xfId="1104" xr:uid="{6CF362E5-7B01-423D-A501-56B138F15105}"/>
    <cellStyle name="Normal 2 2 11 2" xfId="2249" xr:uid="{7BCD878D-4A02-49F1-AF2C-CF75BF06928F}"/>
    <cellStyle name="Normal 2 2 11 2 2" xfId="3140" xr:uid="{B76C4D9E-E41A-409F-B309-817F498C5282}"/>
    <cellStyle name="Normal 2 2 11 2 3" xfId="3366" xr:uid="{863A5152-5C3C-453E-9BE3-5FDBEA459242}"/>
    <cellStyle name="Normal 2 2 11 3" xfId="3019" xr:uid="{C13DA7EE-763E-4A22-954C-5B3BA71611DC}"/>
    <cellStyle name="Normal 2 2 11 4" xfId="3245" xr:uid="{8050AA73-15E5-406B-9DBD-F6A61B3AD534}"/>
    <cellStyle name="Normal 2 2 12" xfId="1105" xr:uid="{4EE05567-D697-49EE-B3C0-15C18E61E3CF}"/>
    <cellStyle name="Normal 2 2 12 2" xfId="2250" xr:uid="{7128C55A-534C-436D-A6C7-06F9050CFE6B}"/>
    <cellStyle name="Normal 2 2 12 2 2" xfId="3141" xr:uid="{76920875-3CCF-4DBA-B6B1-8EC324BDA976}"/>
    <cellStyle name="Normal 2 2 12 2 3" xfId="3367" xr:uid="{B62980A0-7402-46F4-87E8-7FCAF926EADA}"/>
    <cellStyle name="Normal 2 2 12 3" xfId="3020" xr:uid="{20051333-8174-434F-A3C4-03A355527C89}"/>
    <cellStyle name="Normal 2 2 12 4" xfId="3246" xr:uid="{8CACC5A6-9222-4EB2-9611-44CB114B062D}"/>
    <cellStyle name="Normal 2 2 13" xfId="1106" xr:uid="{0444385B-1EAE-4372-9016-68529389905F}"/>
    <cellStyle name="Normal 2 2 13 2" xfId="2251" xr:uid="{099825B0-86E6-48D4-8557-6DE895DC0B36}"/>
    <cellStyle name="Normal 2 2 13 2 2" xfId="3142" xr:uid="{0DC70978-0B93-4765-BDE6-2D6953DE734D}"/>
    <cellStyle name="Normal 2 2 13 2 3" xfId="3368" xr:uid="{7F44CE3F-BFC9-48EC-974B-34581D7304C3}"/>
    <cellStyle name="Normal 2 2 13 3" xfId="3021" xr:uid="{353C9FD5-63D2-4E6E-9669-40EB0D312FAF}"/>
    <cellStyle name="Normal 2 2 13 4" xfId="3247" xr:uid="{30B11922-16D9-48E4-AB11-E43465DFDCD7}"/>
    <cellStyle name="Normal 2 2 14" xfId="1107" xr:uid="{1833601A-6DD5-4959-9BAD-DDC47A979769}"/>
    <cellStyle name="Normal 2 2 14 2" xfId="2252" xr:uid="{099B9D28-D6FD-4E9D-A551-72272BADE77B}"/>
    <cellStyle name="Normal 2 2 15" xfId="2247" xr:uid="{0563C997-C13F-4D9B-B450-677FB78026BC}"/>
    <cellStyle name="Normal 2 2 16" xfId="1102" xr:uid="{E55472D9-0C94-4097-AC27-EA0E5B04E8D0}"/>
    <cellStyle name="Normal 2 2 2" xfId="149" xr:uid="{B4BAAF64-A378-4FB1-BF83-730613A9CF19}"/>
    <cellStyle name="Normal 2 2 2 2" xfId="2253" xr:uid="{5B11EBFA-55AE-4782-AF50-FCD0E2E15ADE}"/>
    <cellStyle name="Normal 2 2 2 2 2" xfId="3143" xr:uid="{C28B0AF6-CB56-4BEA-AAA4-CD094C64B62B}"/>
    <cellStyle name="Normal 2 2 2 2 3" xfId="3369" xr:uid="{9E05754C-5EAB-4620-9440-4498A067C60E}"/>
    <cellStyle name="Normal 2 2 2 3" xfId="1108" xr:uid="{F4797D9D-869B-4AED-ABBD-F7B06ADD88E3}"/>
    <cellStyle name="Normal 2 2 2 4" xfId="3022" xr:uid="{49B0BF66-D4EC-4E3F-93BB-3C149E87315F}"/>
    <cellStyle name="Normal 2 2 2 5" xfId="3248" xr:uid="{E8045598-86FF-4A3A-B67D-13339F75A909}"/>
    <cellStyle name="Normal 2 2 3" xfId="150" xr:uid="{B371F935-051C-4042-99E0-D30BDB9822D0}"/>
    <cellStyle name="Normal 2 2 3 2" xfId="2254" xr:uid="{6E62A0C5-3178-4A63-BC8C-37CA449BAD42}"/>
    <cellStyle name="Normal 2 2 3 2 2" xfId="3144" xr:uid="{3427C05B-3263-42D9-8A30-0B55559466DB}"/>
    <cellStyle name="Normal 2 2 3 2 3" xfId="3370" xr:uid="{AF651E56-734E-4443-B65B-929716E103A0}"/>
    <cellStyle name="Normal 2 2 3 3" xfId="1109" xr:uid="{344426F7-B6E4-4FE5-8A53-4DCBF19E1BDB}"/>
    <cellStyle name="Normal 2 2 3 4" xfId="3023" xr:uid="{B9A332FA-68E2-483C-B289-96B91E94180C}"/>
    <cellStyle name="Normal 2 2 3 5" xfId="3249" xr:uid="{930989C4-3A3A-4D2C-A62C-04976BFD245F}"/>
    <cellStyle name="Normal 2 2 4" xfId="1110" xr:uid="{19F6E960-14E9-4301-906C-3F6DB18602F8}"/>
    <cellStyle name="Normal 2 2 4 2" xfId="2255" xr:uid="{607822AB-242B-4397-B38F-1C11E5D5147E}"/>
    <cellStyle name="Normal 2 2 4 2 2" xfId="3145" xr:uid="{FB1037B0-ACA7-4A0F-BC3A-1320AAB53C22}"/>
    <cellStyle name="Normal 2 2 4 2 3" xfId="3371" xr:uid="{989AC533-349A-4936-BD94-68AA68694459}"/>
    <cellStyle name="Normal 2 2 4 3" xfId="3024" xr:uid="{A41530DE-4C04-42DA-B6F7-BF644967951D}"/>
    <cellStyle name="Normal 2 2 4 4" xfId="3250" xr:uid="{D1A8A59B-BDB9-4509-A52E-D16A0B3E1042}"/>
    <cellStyle name="Normal 2 2 5" xfId="1111" xr:uid="{1C249288-997F-4A7A-9E7A-7FEB96FDEC54}"/>
    <cellStyle name="Normal 2 2 5 2" xfId="2256" xr:uid="{8C9209BD-C09D-44E3-BE8B-BCCE2A884D68}"/>
    <cellStyle name="Normal 2 2 5 2 2" xfId="3146" xr:uid="{3606CAF2-7DB0-40B1-A175-D7D49E07E8CF}"/>
    <cellStyle name="Normal 2 2 5 2 3" xfId="3372" xr:uid="{7A4F6678-C0C3-4291-BF38-466D7A81EB48}"/>
    <cellStyle name="Normal 2 2 5 3" xfId="3025" xr:uid="{8A597546-9C5F-4504-A503-0A3C7A08677B}"/>
    <cellStyle name="Normal 2 2 5 4" xfId="3251" xr:uid="{BE1CC51F-2980-4B10-8AA3-7B2DE81238AE}"/>
    <cellStyle name="Normal 2 2 6" xfId="1112" xr:uid="{19A011EB-70BD-4F4F-8458-2A7A85C3B2A8}"/>
    <cellStyle name="Normal 2 2 6 2" xfId="2257" xr:uid="{A0EBD858-CEAD-4FE2-9DEC-F665FEB6C58B}"/>
    <cellStyle name="Normal 2 2 6 2 2" xfId="3147" xr:uid="{B98086EF-B29B-4E5F-9106-B107994F724F}"/>
    <cellStyle name="Normal 2 2 6 2 3" xfId="3373" xr:uid="{51962652-C837-4899-A17B-C425845D2020}"/>
    <cellStyle name="Normal 2 2 6 3" xfId="3026" xr:uid="{F986CEC1-4691-4600-8F74-D2C0F5BA8F9F}"/>
    <cellStyle name="Normal 2 2 6 4" xfId="3252" xr:uid="{9A8B497A-75C8-4678-BA6C-ACEE13F7CCB6}"/>
    <cellStyle name="Normal 2 2 7" xfId="1113" xr:uid="{83DD3F34-F748-46C3-BADA-A2940D28249E}"/>
    <cellStyle name="Normal 2 2 7 2" xfId="2258" xr:uid="{48A49E13-9C16-4F92-BA01-87086AFE9170}"/>
    <cellStyle name="Normal 2 2 7 2 2" xfId="3148" xr:uid="{09271F88-229A-471F-9874-DF82BEA58611}"/>
    <cellStyle name="Normal 2 2 7 2 3" xfId="3374" xr:uid="{4A5037AD-77A7-419E-A402-A65F42E069A9}"/>
    <cellStyle name="Normal 2 2 7 3" xfId="3027" xr:uid="{59B6C324-FA46-4261-9418-FC1AE159A995}"/>
    <cellStyle name="Normal 2 2 7 4" xfId="3253" xr:uid="{AE6F435C-27D9-451F-BAC7-E8A57EC3AF6F}"/>
    <cellStyle name="Normal 2 2 8" xfId="1114" xr:uid="{410BED7D-07E9-4544-8933-3F787E1FF6E8}"/>
    <cellStyle name="Normal 2 2 8 2" xfId="2259" xr:uid="{C7FB9CA0-885C-44AD-B764-305D758656CA}"/>
    <cellStyle name="Normal 2 2 8 2 2" xfId="3149" xr:uid="{92082C50-ABCB-45AE-BB4E-2C7A5B5F4D27}"/>
    <cellStyle name="Normal 2 2 8 2 3" xfId="3375" xr:uid="{FD0E907D-87A2-4D42-8DB7-94173A6673B6}"/>
    <cellStyle name="Normal 2 2 8 3" xfId="3028" xr:uid="{A2A4F20C-7922-448E-B05B-A954005EFDC8}"/>
    <cellStyle name="Normal 2 2 8 4" xfId="3254" xr:uid="{77485202-272A-4F6B-801D-D246DA32AD36}"/>
    <cellStyle name="Normal 2 2 9" xfId="1115" xr:uid="{F6E90638-9069-499E-B25F-48A9A1BB44EA}"/>
    <cellStyle name="Normal 2 2 9 2" xfId="2260" xr:uid="{A1AB09C5-522C-424B-ADB6-FC0560742D35}"/>
    <cellStyle name="Normal 2 2 9 2 2" xfId="3150" xr:uid="{41366289-AF05-4BE3-9E85-13DD17FF2C63}"/>
    <cellStyle name="Normal 2 2 9 2 3" xfId="3376" xr:uid="{84517F19-4023-41CD-B1BA-F65BAA1984C6}"/>
    <cellStyle name="Normal 2 2 9 3" xfId="3029" xr:uid="{2237296D-EB8C-4E39-85FB-4B7B8D626898}"/>
    <cellStyle name="Normal 2 2 9 4" xfId="3255" xr:uid="{9FFD6F20-4290-47C0-A1C8-94BD2E7477DA}"/>
    <cellStyle name="Normal 2 20" xfId="3017" xr:uid="{0FDF2C94-339F-42C7-9A9F-F38F3CB2EFBA}"/>
    <cellStyle name="Normal 2 21" xfId="3243" xr:uid="{EFE58A75-E66F-4661-8957-9FC17CFDB2BE}"/>
    <cellStyle name="Normal 2 22" xfId="3442" xr:uid="{10DA66AB-7760-4507-A9A4-CB9418854EF6}"/>
    <cellStyle name="Normal 2 23" xfId="147" xr:uid="{709D8DB3-94CC-41C7-BF1D-2D77CA9AA45A}"/>
    <cellStyle name="Normal 2 3" xfId="151" xr:uid="{4EBC14D3-5FEB-44CE-A815-90E352768800}"/>
    <cellStyle name="Normal 2 3 10" xfId="1117" xr:uid="{F9645E7C-DE35-4168-885D-FD68FD0193F3}"/>
    <cellStyle name="Normal 2 3 10 2" xfId="2262" xr:uid="{A16978EB-F405-46E1-AC7C-4ACE303E2363}"/>
    <cellStyle name="Normal 2 3 10 2 2" xfId="3151" xr:uid="{E448C529-5592-4B37-A57C-495A6A2839A1}"/>
    <cellStyle name="Normal 2 3 10 2 3" xfId="3377" xr:uid="{B1A7FE07-0EAC-4511-8FB2-AAA22D8DFDBE}"/>
    <cellStyle name="Normal 2 3 10 3" xfId="3030" xr:uid="{C2B77F0A-D350-4A23-BFB0-4097290F84F7}"/>
    <cellStyle name="Normal 2 3 10 4" xfId="3256" xr:uid="{B33F9A59-883B-41DF-A376-A9B33EE0C96D}"/>
    <cellStyle name="Normal 2 3 11" xfId="1118" xr:uid="{1AAD6407-B3EE-46FB-B224-8304CB2D2B7E}"/>
    <cellStyle name="Normal 2 3 11 2" xfId="2263" xr:uid="{18254774-2829-40A8-98DC-FEF21001D22C}"/>
    <cellStyle name="Normal 2 3 11 2 2" xfId="3152" xr:uid="{D04E153C-88D8-4B51-8046-70A7BC648C3F}"/>
    <cellStyle name="Normal 2 3 11 2 3" xfId="3378" xr:uid="{97C19FC3-1156-41E7-A91E-1F7D731513DE}"/>
    <cellStyle name="Normal 2 3 11 3" xfId="3031" xr:uid="{107BD469-98F5-4186-80D3-98C8F6018D7D}"/>
    <cellStyle name="Normal 2 3 11 4" xfId="3257" xr:uid="{F64F18E6-796C-4D20-AC83-87E6AB8D9B95}"/>
    <cellStyle name="Normal 2 3 12" xfId="1119" xr:uid="{597258ED-8165-46AB-9F27-1B6DA6F2F176}"/>
    <cellStyle name="Normal 2 3 12 2" xfId="2264" xr:uid="{A7C71380-C053-40F2-81D5-29AD62766A18}"/>
    <cellStyle name="Normal 2 3 12 2 2" xfId="3153" xr:uid="{06253F26-08CE-49D9-9DAE-A14F35E6EE9A}"/>
    <cellStyle name="Normal 2 3 12 2 3" xfId="3379" xr:uid="{6B289041-3236-4C64-8C04-6DC2B602D566}"/>
    <cellStyle name="Normal 2 3 12 3" xfId="3032" xr:uid="{A4DECBAC-78EF-49ED-A7CD-93B5B0828E31}"/>
    <cellStyle name="Normal 2 3 12 4" xfId="3258" xr:uid="{A1863588-B671-4D82-AECD-DA660CB55A8A}"/>
    <cellStyle name="Normal 2 3 13" xfId="1120" xr:uid="{16729AB5-EFEE-4AB1-BD6D-B28BCBD46909}"/>
    <cellStyle name="Normal 2 3 13 2" xfId="2265" xr:uid="{B0BB9A04-957C-4BDA-8E9C-30BFEC217C50}"/>
    <cellStyle name="Normal 2 3 13 2 2" xfId="3154" xr:uid="{2627D04A-1A5D-47A8-9A73-9BF8A7D60D60}"/>
    <cellStyle name="Normal 2 3 13 2 3" xfId="3380" xr:uid="{846C71ED-2B8D-4E76-B00D-0C2F00159F53}"/>
    <cellStyle name="Normal 2 3 13 3" xfId="3033" xr:uid="{988C5821-4F6A-40E8-AB52-8BB49FEDFCCE}"/>
    <cellStyle name="Normal 2 3 13 4" xfId="3259" xr:uid="{1034EF80-DDBD-4383-A69B-D15C55F13AC2}"/>
    <cellStyle name="Normal 2 3 14" xfId="2261" xr:uid="{4D0F3C27-EB61-48FB-9698-6D09F90286DA}"/>
    <cellStyle name="Normal 2 3 15" xfId="1116" xr:uid="{708507FA-18C6-4382-9BF0-784621AFE1EB}"/>
    <cellStyle name="Normal 2 3 2" xfId="152" xr:uid="{1291BA2F-92DF-44A6-B6BD-68D70B98C49D}"/>
    <cellStyle name="Normal 2 3 2 2" xfId="2266" xr:uid="{222D7766-FE00-479A-B8E4-DAF3E856B0C6}"/>
    <cellStyle name="Normal 2 3 2 2 2" xfId="3155" xr:uid="{3FD8315C-D868-41D6-8CA1-660ADC571261}"/>
    <cellStyle name="Normal 2 3 2 2 3" xfId="3381" xr:uid="{7A805452-A18D-45EF-8FF6-2BE15F98E610}"/>
    <cellStyle name="Normal 2 3 2 3" xfId="1121" xr:uid="{DF0C2C88-F9B9-4EE3-8675-4E270DB8760C}"/>
    <cellStyle name="Normal 2 3 2 4" xfId="3034" xr:uid="{8ECD7565-2E00-4D20-BE79-C2401214EB41}"/>
    <cellStyle name="Normal 2 3 2 5" xfId="3260" xr:uid="{E7210D69-0504-4F88-8CB9-6FCAA732931A}"/>
    <cellStyle name="Normal 2 3 3" xfId="153" xr:uid="{348DCBA3-1395-4A62-87D9-E280AC346C26}"/>
    <cellStyle name="Normal 2 3 3 2" xfId="2267" xr:uid="{81FAF2FE-F41A-4EEE-88E1-82CA211D7E08}"/>
    <cellStyle name="Normal 2 3 3 2 2" xfId="3156" xr:uid="{A4BDBB5B-4CCE-43F5-98B3-4C48AD3C0D14}"/>
    <cellStyle name="Normal 2 3 3 2 3" xfId="3382" xr:uid="{86073A89-EA51-43FC-8EBE-38FA578F0907}"/>
    <cellStyle name="Normal 2 3 3 3" xfId="1122" xr:uid="{0B5E2A99-9B08-4726-ADF0-5F2C69A36CA2}"/>
    <cellStyle name="Normal 2 3 3 4" xfId="3035" xr:uid="{667908B6-0E88-486F-92B3-86E1C1721750}"/>
    <cellStyle name="Normal 2 3 3 5" xfId="3261" xr:uid="{795D46D5-F096-4120-97BF-AF88A52E69DA}"/>
    <cellStyle name="Normal 2 3 4" xfId="1123" xr:uid="{E9EF459E-272C-4F63-AFBB-CC7F6C62AC7A}"/>
    <cellStyle name="Normal 2 3 4 2" xfId="2268" xr:uid="{2F51F5EB-3EB8-4186-9147-BCAF177F4BEF}"/>
    <cellStyle name="Normal 2 3 4 2 2" xfId="3157" xr:uid="{12A5427F-F19B-42E3-B5C0-830CB9C3DEEB}"/>
    <cellStyle name="Normal 2 3 4 2 3" xfId="3383" xr:uid="{D16E8FA3-F6CA-41B6-A126-3B41E5DC725E}"/>
    <cellStyle name="Normal 2 3 4 3" xfId="3036" xr:uid="{C0E4A009-0203-45AC-8023-06790E21806C}"/>
    <cellStyle name="Normal 2 3 4 4" xfId="3262" xr:uid="{CBB6C91E-7D77-4317-9332-CE37EBC13DE3}"/>
    <cellStyle name="Normal 2 3 5" xfId="1124" xr:uid="{A86C2DA4-3EE4-4AF0-8B57-D5EE1BEABD42}"/>
    <cellStyle name="Normal 2 3 5 2" xfId="2269" xr:uid="{30479F22-E5BA-4925-9D78-3F0AA3B6E152}"/>
    <cellStyle name="Normal 2 3 5 2 2" xfId="3158" xr:uid="{A4D6BF69-4A16-4718-BECD-63F8C162F586}"/>
    <cellStyle name="Normal 2 3 5 2 3" xfId="3384" xr:uid="{AB6B2E35-14D2-406E-9566-6207C9D7410C}"/>
    <cellStyle name="Normal 2 3 5 3" xfId="3037" xr:uid="{1B3D5566-5ECE-420F-BB2E-F7DB12413AD8}"/>
    <cellStyle name="Normal 2 3 5 4" xfId="3263" xr:uid="{F373F921-09D3-4425-8F08-D4468A931564}"/>
    <cellStyle name="Normal 2 3 6" xfId="1125" xr:uid="{D112A0FB-A18D-42C8-B488-EFB77D7B3081}"/>
    <cellStyle name="Normal 2 3 6 2" xfId="2270" xr:uid="{495F1A50-7EAB-4441-A4CD-D6D6F644CCCB}"/>
    <cellStyle name="Normal 2 3 6 2 2" xfId="3159" xr:uid="{2EE6B926-F0AE-4A5A-9B31-4464ABEC99EF}"/>
    <cellStyle name="Normal 2 3 6 2 3" xfId="3385" xr:uid="{383F4ACA-E954-4DDE-BC1F-BDEF2819BE30}"/>
    <cellStyle name="Normal 2 3 6 3" xfId="3038" xr:uid="{8B70C76A-E7C8-4461-AE0F-74F798A98C6D}"/>
    <cellStyle name="Normal 2 3 6 4" xfId="3264" xr:uid="{98860B31-D19C-4C26-A5D7-11297A16AF9D}"/>
    <cellStyle name="Normal 2 3 7" xfId="1126" xr:uid="{A8CDB9FF-13F3-4F9F-B5A6-2947877323F1}"/>
    <cellStyle name="Normal 2 3 7 2" xfId="2271" xr:uid="{DD8011DA-2306-4F7E-870A-1E71E1C976F9}"/>
    <cellStyle name="Normal 2 3 7 2 2" xfId="3160" xr:uid="{40E7ED78-3E4D-41DE-98E8-96BF47E8F85E}"/>
    <cellStyle name="Normal 2 3 7 2 3" xfId="3386" xr:uid="{370698BF-68EB-45E3-A4C9-0422F511E071}"/>
    <cellStyle name="Normal 2 3 7 3" xfId="3039" xr:uid="{A86CEEE0-580D-454C-8FBA-91192D0D0694}"/>
    <cellStyle name="Normal 2 3 7 4" xfId="3265" xr:uid="{431B257E-5985-4CB2-8C8C-7D737D667978}"/>
    <cellStyle name="Normal 2 3 8" xfId="1127" xr:uid="{8514DDE9-D9FF-46D5-946D-FF0D8CBDB6CB}"/>
    <cellStyle name="Normal 2 3 8 2" xfId="2272" xr:uid="{9F0D4A6C-4A45-4947-AC91-DDD51A6017A9}"/>
    <cellStyle name="Normal 2 3 8 2 2" xfId="3161" xr:uid="{A4DB754D-B79C-4610-B6E1-136674469CEC}"/>
    <cellStyle name="Normal 2 3 8 2 3" xfId="3387" xr:uid="{2D3409C2-153A-4A16-804E-8FF8346D3AA5}"/>
    <cellStyle name="Normal 2 3 8 3" xfId="3040" xr:uid="{5FD1C07B-008B-4A1D-8E06-0CF5978AE701}"/>
    <cellStyle name="Normal 2 3 8 4" xfId="3266" xr:uid="{81DAD84D-A5E2-46D2-99B0-918F9B91FF97}"/>
    <cellStyle name="Normal 2 3 9" xfId="1128" xr:uid="{87BD56C7-9E6A-4485-BACD-FBE24DF4EEE0}"/>
    <cellStyle name="Normal 2 3 9 2" xfId="2273" xr:uid="{AAC1AA7E-81CE-49BD-9313-CE7F12CE1BD3}"/>
    <cellStyle name="Normal 2 3 9 2 2" xfId="3162" xr:uid="{CADB5833-F523-4378-ABC8-FAD64C1C0FEB}"/>
    <cellStyle name="Normal 2 3 9 2 3" xfId="3388" xr:uid="{227EE5B3-AA7E-4D49-AE70-A37184C3AA82}"/>
    <cellStyle name="Normal 2 3 9 3" xfId="3041" xr:uid="{9E7EDB49-DE1B-4E3B-89D7-4568F4C7B926}"/>
    <cellStyle name="Normal 2 3 9 4" xfId="3267" xr:uid="{CBB13910-8209-4685-9532-F8105F180B84}"/>
    <cellStyle name="Normal 2 4" xfId="154" xr:uid="{A4581539-359F-43E0-8B72-69F68355B2F8}"/>
    <cellStyle name="Normal 2 4 10" xfId="1130" xr:uid="{1D2A8192-FFCF-456B-A12A-1F9C3AAF1BD0}"/>
    <cellStyle name="Normal 2 4 10 2" xfId="2275" xr:uid="{7C7B137A-7E25-4CC8-9927-4F40FD2E5EC6}"/>
    <cellStyle name="Normal 2 4 10 2 2" xfId="3163" xr:uid="{088CF002-FA37-48AC-8FA8-345F09F36E10}"/>
    <cellStyle name="Normal 2 4 10 2 3" xfId="3389" xr:uid="{65749DF6-0828-4DB3-B810-C031F3D41E05}"/>
    <cellStyle name="Normal 2 4 10 3" xfId="3042" xr:uid="{B6B602A0-E828-43F9-86E8-57B2F916C513}"/>
    <cellStyle name="Normal 2 4 10 4" xfId="3268" xr:uid="{B31AADF7-18A0-4F6B-8336-2D443032F8CA}"/>
    <cellStyle name="Normal 2 4 11" xfId="1131" xr:uid="{87F4C571-FAD8-4612-BA41-BF03DCCBDC96}"/>
    <cellStyle name="Normal 2 4 11 2" xfId="2276" xr:uid="{F3AA6E21-097D-4BC6-BD81-648BAD3F2A75}"/>
    <cellStyle name="Normal 2 4 11 2 2" xfId="3164" xr:uid="{92FFEEC7-B452-4125-A15F-16F26A1CDAE0}"/>
    <cellStyle name="Normal 2 4 11 2 3" xfId="3390" xr:uid="{1A45F379-4C1B-43E1-990C-B1DF9D762033}"/>
    <cellStyle name="Normal 2 4 11 3" xfId="3043" xr:uid="{243222D3-7BFC-4D25-BEBF-C40CF95993A2}"/>
    <cellStyle name="Normal 2 4 11 4" xfId="3269" xr:uid="{4BD0FCF8-B7EB-496C-9C4D-DF9FCF7C424D}"/>
    <cellStyle name="Normal 2 4 12" xfId="1132" xr:uid="{67915536-E0E9-4171-9DD9-B99A7C6BFB2D}"/>
    <cellStyle name="Normal 2 4 12 2" xfId="2277" xr:uid="{B7078675-4502-4B6D-8614-B9A9C7B8BCCE}"/>
    <cellStyle name="Normal 2 4 12 2 2" xfId="3165" xr:uid="{EB99B265-A94E-4692-994F-164725424296}"/>
    <cellStyle name="Normal 2 4 12 2 3" xfId="3391" xr:uid="{0044C2AE-B177-4B4D-AE7E-0A8F07D6EAF1}"/>
    <cellStyle name="Normal 2 4 12 3" xfId="3044" xr:uid="{23A8DE1D-D821-4B8F-81F8-5613490D6245}"/>
    <cellStyle name="Normal 2 4 12 4" xfId="3270" xr:uid="{71F7EA11-A89F-48C6-B842-58DAC67E4082}"/>
    <cellStyle name="Normal 2 4 13" xfId="1133" xr:uid="{C60015D8-2443-42E6-81E8-212BDFB7468E}"/>
    <cellStyle name="Normal 2 4 13 2" xfId="2278" xr:uid="{27A661CC-7FE2-437D-92DB-013728755869}"/>
    <cellStyle name="Normal 2 4 13 2 2" xfId="3166" xr:uid="{C9386512-A51D-482C-9799-3FCA0031D9D7}"/>
    <cellStyle name="Normal 2 4 13 2 3" xfId="3392" xr:uid="{406D9463-FC0D-4213-916B-BA1ABA3DD24E}"/>
    <cellStyle name="Normal 2 4 13 3" xfId="3045" xr:uid="{56D10F73-AE00-4EBD-A1B2-A31342AE0400}"/>
    <cellStyle name="Normal 2 4 13 4" xfId="3271" xr:uid="{D9E211CF-E26D-45EA-BC61-DCE242C7FBC0}"/>
    <cellStyle name="Normal 2 4 14" xfId="2274" xr:uid="{D3BF7317-E400-4D68-B98E-755C8D3CB5C5}"/>
    <cellStyle name="Normal 2 4 15" xfId="1129" xr:uid="{F9D40DB7-AA8D-4874-A0AE-2DBF76A06663}"/>
    <cellStyle name="Normal 2 4 2" xfId="1134" xr:uid="{EDDE6895-56ED-4018-9826-309257807085}"/>
    <cellStyle name="Normal 2 4 2 2" xfId="2279" xr:uid="{AAE09457-D536-436C-8B1A-5290D67C83F3}"/>
    <cellStyle name="Normal 2 4 2 2 2" xfId="3167" xr:uid="{A01ADD26-FC66-49DF-8712-E231EF08EEEA}"/>
    <cellStyle name="Normal 2 4 2 2 3" xfId="3393" xr:uid="{3A862A45-EFB5-49A9-A2B6-838CABA542E2}"/>
    <cellStyle name="Normal 2 4 2 3" xfId="3046" xr:uid="{B6FE11F3-558E-4672-8662-6504FE286EF1}"/>
    <cellStyle name="Normal 2 4 2 4" xfId="3272" xr:uid="{621A8E62-E2C6-4C38-8F71-D7493CB4CBDE}"/>
    <cellStyle name="Normal 2 4 3" xfId="1135" xr:uid="{06E227B7-9E2E-487D-8982-E20D74056D75}"/>
    <cellStyle name="Normal 2 4 3 2" xfId="2280" xr:uid="{355CCBE3-E111-47C3-8623-FA65535CB139}"/>
    <cellStyle name="Normal 2 4 3 2 2" xfId="3168" xr:uid="{2E949A03-F269-46B4-AC4B-E8A89F816F26}"/>
    <cellStyle name="Normal 2 4 3 2 3" xfId="3394" xr:uid="{26E5F680-790E-47B3-B13A-0DA7D5E02EFD}"/>
    <cellStyle name="Normal 2 4 3 3" xfId="3047" xr:uid="{F90FF37A-5AA3-4684-A68D-B710E10A5E4E}"/>
    <cellStyle name="Normal 2 4 3 4" xfId="3273" xr:uid="{1E5BF38B-CAAB-44FC-BA4A-1674934761AC}"/>
    <cellStyle name="Normal 2 4 4" xfId="1136" xr:uid="{BFD6D5F8-F3C7-49BA-90B1-B26EB0371569}"/>
    <cellStyle name="Normal 2 4 4 2" xfId="2281" xr:uid="{873C2C29-ABA5-4D93-BA36-5B4DE8AEF850}"/>
    <cellStyle name="Normal 2 4 4 2 2" xfId="3169" xr:uid="{692F8550-DF7C-4591-AF00-C06FC7C199E8}"/>
    <cellStyle name="Normal 2 4 4 2 3" xfId="3395" xr:uid="{6354CBF1-4419-4017-A564-1393109B500D}"/>
    <cellStyle name="Normal 2 4 4 3" xfId="3048" xr:uid="{6D056C82-FAEA-4371-AAB7-ABE1C76AA0BA}"/>
    <cellStyle name="Normal 2 4 4 4" xfId="3274" xr:uid="{76B0A92F-5A63-4904-A520-5A53313F4FB1}"/>
    <cellStyle name="Normal 2 4 5" xfId="1137" xr:uid="{829EAF6B-9599-445B-A9C1-999D944999B6}"/>
    <cellStyle name="Normal 2 4 5 2" xfId="2282" xr:uid="{384C22B1-9100-4A73-8C1C-3845CAE53CFA}"/>
    <cellStyle name="Normal 2 4 5 2 2" xfId="3170" xr:uid="{22C8A31A-81D4-4D07-8BC2-D3F84CD41B16}"/>
    <cellStyle name="Normal 2 4 5 2 3" xfId="3396" xr:uid="{42D1F3EF-2FA9-4E61-B122-52E97DA1E7B0}"/>
    <cellStyle name="Normal 2 4 5 3" xfId="3049" xr:uid="{279B648A-3B4F-40B8-981E-7E7863576C43}"/>
    <cellStyle name="Normal 2 4 5 4" xfId="3275" xr:uid="{029A08E4-0455-42B5-A405-9646A3567740}"/>
    <cellStyle name="Normal 2 4 6" xfId="1138" xr:uid="{7776A11D-80A9-4325-AEC2-FEDC5E98EE17}"/>
    <cellStyle name="Normal 2 4 6 2" xfId="2283" xr:uid="{005C8C6E-0CF5-4256-A157-8FF4BC73CDD7}"/>
    <cellStyle name="Normal 2 4 6 2 2" xfId="3171" xr:uid="{050D059B-863F-49E4-878C-74594E625EDE}"/>
    <cellStyle name="Normal 2 4 6 2 3" xfId="3397" xr:uid="{AA69B3F6-19BE-4467-BBB4-8FA7830B4753}"/>
    <cellStyle name="Normal 2 4 6 3" xfId="3050" xr:uid="{8C55F33D-1B7D-42B7-8E11-690C911188E6}"/>
    <cellStyle name="Normal 2 4 6 4" xfId="3276" xr:uid="{30049384-367C-498D-BDBD-42C61B1E5DC3}"/>
    <cellStyle name="Normal 2 4 7" xfId="1139" xr:uid="{97FB2E96-D25E-4387-98AA-5869A056D6FA}"/>
    <cellStyle name="Normal 2 4 7 2" xfId="2284" xr:uid="{B2460009-839B-4962-9358-5F89D87B2DBA}"/>
    <cellStyle name="Normal 2 4 7 2 2" xfId="3172" xr:uid="{B3CC8532-ADEC-453B-9047-0BFCB24ACE4B}"/>
    <cellStyle name="Normal 2 4 7 2 3" xfId="3398" xr:uid="{BFA5EC5B-4F90-4765-BC22-87911AE1252A}"/>
    <cellStyle name="Normal 2 4 7 3" xfId="3051" xr:uid="{BE3A04C4-0926-4A07-92B1-97D0A1F86DBB}"/>
    <cellStyle name="Normal 2 4 7 4" xfId="3277" xr:uid="{014E37B8-A1F0-4F39-A762-A3E812AF9B09}"/>
    <cellStyle name="Normal 2 4 8" xfId="1140" xr:uid="{2C2925E6-5A2A-443B-9DFF-3B5513159332}"/>
    <cellStyle name="Normal 2 4 8 2" xfId="2285" xr:uid="{37BE6E23-0142-4247-B392-456ECAB2A518}"/>
    <cellStyle name="Normal 2 4 8 2 2" xfId="3173" xr:uid="{19CA2A73-4848-45FF-BBFE-F155CA900C7B}"/>
    <cellStyle name="Normal 2 4 8 2 3" xfId="3399" xr:uid="{6AF3A925-1E2C-4003-B3E0-925A63951805}"/>
    <cellStyle name="Normal 2 4 8 3" xfId="3052" xr:uid="{81C9E54C-C2D6-45D1-91BA-71EBF2A4A56C}"/>
    <cellStyle name="Normal 2 4 8 4" xfId="3278" xr:uid="{6451DD99-4466-4511-AEBD-1AFB3C0535B7}"/>
    <cellStyle name="Normal 2 4 9" xfId="1141" xr:uid="{77068F2B-9F45-42FF-9669-6E1C04D5F200}"/>
    <cellStyle name="Normal 2 4 9 2" xfId="2286" xr:uid="{DEA5859F-237E-4066-95B2-F528E679257A}"/>
    <cellStyle name="Normal 2 4 9 2 2" xfId="3174" xr:uid="{B99CD20C-2BA1-4C65-B986-CE20E6A07914}"/>
    <cellStyle name="Normal 2 4 9 2 3" xfId="3400" xr:uid="{72450ABA-2A47-46F9-832B-2918A339AE1A}"/>
    <cellStyle name="Normal 2 4 9 3" xfId="3053" xr:uid="{106A4924-9134-4EF3-BADB-AF1D704535DC}"/>
    <cellStyle name="Normal 2 4 9 4" xfId="3279" xr:uid="{6EAED8BF-35D1-433F-B10A-76C8FD8A6902}"/>
    <cellStyle name="Normal 2 5" xfId="155" xr:uid="{BDA9CB3A-B01D-43BA-A436-ACE0F0EC6783}"/>
    <cellStyle name="Normal 2 5 2" xfId="2287" xr:uid="{3D66A00C-42CB-4CD4-A54B-AB300D90C58A}"/>
    <cellStyle name="Normal 2 5 3" xfId="1142" xr:uid="{2C9E1025-317E-445C-B1E8-FBAF9FAF34CE}"/>
    <cellStyle name="Normal 2 6" xfId="156" xr:uid="{8C6F658B-14B2-479F-8731-83E6708CA1DF}"/>
    <cellStyle name="Normal 2 6 2" xfId="2288" xr:uid="{37DD761B-F9AE-4782-ABDC-5B92034D646C}"/>
    <cellStyle name="Normal 2 6 3" xfId="1143" xr:uid="{A068F1ED-9CC2-4582-B369-BF616CEB5303}"/>
    <cellStyle name="Normal 2 7" xfId="157" xr:uid="{C7FDF2DF-12C0-4E14-AE54-0289CFB980B6}"/>
    <cellStyle name="Normal 2 7 2" xfId="2289" xr:uid="{3E5CFA0E-956B-4D94-A531-6B4928290A70}"/>
    <cellStyle name="Normal 2 7 3" xfId="1144" xr:uid="{CDC1DBF4-1C84-4516-9F27-A28567B66CC7}"/>
    <cellStyle name="Normal 2 8" xfId="158" xr:uid="{8033B918-FAF4-4E19-ABC3-D6F3E2385F8F}"/>
    <cellStyle name="Normal 2 8 2" xfId="2290" xr:uid="{71EF22A4-EF5A-48DC-BB19-A5E127E94C81}"/>
    <cellStyle name="Normal 2 8 3" xfId="1145" xr:uid="{234D81CA-7254-4A88-AFC8-B260C7DE61E8}"/>
    <cellStyle name="Normal 2 9" xfId="240" xr:uid="{4EFCF960-F739-480A-BB98-BCCBCA8A44D3}"/>
    <cellStyle name="Normal 2 9 2" xfId="2291" xr:uid="{67DF86CF-E95A-43CA-A5D8-B2128CB3AE92}"/>
    <cellStyle name="Normal 2_OTHsectors" xfId="159" xr:uid="{B114D03D-B649-4DF0-A153-994897DAA39F}"/>
    <cellStyle name="Normal 20" xfId="1146" xr:uid="{B6997DC2-04C2-4D4D-AAA6-BACA5E083A78}"/>
    <cellStyle name="Normal 21" xfId="1147" xr:uid="{7D6CDFEF-36FD-4582-9DF1-14B9DBFE2F1F}"/>
    <cellStyle name="Normal 21 2" xfId="2292" xr:uid="{B73C7164-DED5-409D-9C3C-7087B1B3F0B3}"/>
    <cellStyle name="Normal 26" xfId="1148" xr:uid="{69E50089-5298-49BD-9676-019F4D637765}"/>
    <cellStyle name="Normal 26 2" xfId="2293" xr:uid="{3DB6113B-8B89-45A6-BBBF-DC7AD78F53F4}"/>
    <cellStyle name="Normal 3" xfId="59" xr:uid="{72D33F72-7767-4B27-8E7D-B1A22609CA72}"/>
    <cellStyle name="Normal 3 10" xfId="1150" xr:uid="{1D2E100E-A814-45E2-99AF-4E342EE6C9E6}"/>
    <cellStyle name="Normal 3 10 2" xfId="2295" xr:uid="{40488335-FC36-4D98-A8E7-6E83ADCADD2F}"/>
    <cellStyle name="Normal 3 11" xfId="1151" xr:uid="{9DF8E694-426E-44B8-A69B-C9BF104243EB}"/>
    <cellStyle name="Normal 3 11 2" xfId="2296" xr:uid="{92931436-BA61-4009-8324-6A509DB4F1F6}"/>
    <cellStyle name="Normal 3 12" xfId="1152" xr:uid="{23804172-315C-4C27-823B-7AFE866D35C2}"/>
    <cellStyle name="Normal 3 12 2" xfId="2297" xr:uid="{9E75B78F-6B58-4C2D-AC04-604E0451D28B}"/>
    <cellStyle name="Normal 3 13" xfId="1153" xr:uid="{BE75FDB4-C447-4DA6-B89C-361FB0E0C051}"/>
    <cellStyle name="Normal 3 13 2" xfId="2298" xr:uid="{A1A85EA9-6514-4C8D-807A-4C8A4A44E113}"/>
    <cellStyle name="Normal 3 14" xfId="2294" xr:uid="{6C08F6D6-D676-4D5D-BBE5-9A9274049E14}"/>
    <cellStyle name="Normal 3 14 2" xfId="3175" xr:uid="{25A4F132-B353-4343-A2AE-CAC7057ACABC}"/>
    <cellStyle name="Normal 3 14 3" xfId="3401" xr:uid="{2EF2C54B-5ECD-4DDA-A8C6-2E375896637B}"/>
    <cellStyle name="Normal 3 15" xfId="1149" xr:uid="{F0E38EE1-2F7C-4B21-ACA1-F01E59C5336B}"/>
    <cellStyle name="Normal 3 16" xfId="3054" xr:uid="{DB1422B4-325F-445D-9CA5-D5C5795AA497}"/>
    <cellStyle name="Normal 3 17" xfId="3280" xr:uid="{A748C093-226A-4987-9F1C-4FE8DEA7D670}"/>
    <cellStyle name="Normal 3 18" xfId="160" xr:uid="{37C3BCE3-BA6F-4D5A-9E8F-D96BB7818787}"/>
    <cellStyle name="Normal 3 2" xfId="161" xr:uid="{64FC682B-6EA7-4848-885C-220C37F9BA4D}"/>
    <cellStyle name="Normal 3 2 10" xfId="1154" xr:uid="{B4B71430-FEB1-4A76-8E13-F18EF6AAC6DC}"/>
    <cellStyle name="Normal 3 2 2" xfId="162" xr:uid="{C6AED143-0F7C-4268-9A12-F016D409AB80}"/>
    <cellStyle name="Normal 3 2 2 2" xfId="2300" xr:uid="{3533756D-CAB0-4DEE-8807-06BB6BA851D0}"/>
    <cellStyle name="Normal 3 2 2 3" xfId="1155" xr:uid="{6D020554-49CA-40B3-9119-490CFDC80B4E}"/>
    <cellStyle name="Normal 3 2 3" xfId="1156" xr:uid="{839DFD3A-8FD5-49BE-A53F-CFBD221D7054}"/>
    <cellStyle name="Normal 3 2 3 2" xfId="2301" xr:uid="{378D7E57-C46B-45BA-8679-E7610CC0D6CF}"/>
    <cellStyle name="Normal 3 2 4" xfId="1157" xr:uid="{630E0BCF-A591-4DE5-950C-F86F49B6C11B}"/>
    <cellStyle name="Normal 3 2 4 2" xfId="2302" xr:uid="{9AD44A72-8A78-4E54-B256-272B352A33D3}"/>
    <cellStyle name="Normal 3 2 5" xfId="1158" xr:uid="{A62BDCB9-3F79-4411-8EAB-77380A469D7D}"/>
    <cellStyle name="Normal 3 2 5 2" xfId="2303" xr:uid="{F4BC8BEE-6CD5-4226-A662-5A57B0E5842B}"/>
    <cellStyle name="Normal 3 2 6" xfId="1159" xr:uid="{E9441C06-DE5D-4EE4-B53A-0BDCD5BD4333}"/>
    <cellStyle name="Normal 3 2 6 2" xfId="2304" xr:uid="{350D7F0C-7003-4572-A9A1-7FCBF2DA9183}"/>
    <cellStyle name="Normal 3 2 7" xfId="1160" xr:uid="{2D93F0D3-E125-4E81-9DAE-B36CD562AF89}"/>
    <cellStyle name="Normal 3 2 7 2" xfId="2305" xr:uid="{D40A69F7-48C7-4609-9BA3-EF613047848D}"/>
    <cellStyle name="Normal 3 2 8" xfId="1161" xr:uid="{AEB0B023-BF2F-47A1-B2A7-9125164D57DF}"/>
    <cellStyle name="Normal 3 2 8 2" xfId="2306" xr:uid="{897C03FA-D00B-483B-BEB4-0C1EDB1719B5}"/>
    <cellStyle name="Normal 3 2 9" xfId="2299" xr:uid="{3B07C2DA-AB32-4357-ACC8-50D72943683A}"/>
    <cellStyle name="Normal 3 3" xfId="163" xr:uid="{F0B6A363-290F-48FB-B92F-8F7CF6A4BFDD}"/>
    <cellStyle name="Normal 3 3 10" xfId="1162" xr:uid="{CA1146D2-B727-4009-999C-D5D19AAC6F93}"/>
    <cellStyle name="Normal 3 3 2" xfId="1163" xr:uid="{BAC09313-5F7B-491E-8289-B876DA723138}"/>
    <cellStyle name="Normal 3 3 2 2" xfId="2308" xr:uid="{7D97F7EE-3EE1-416E-8FFE-894F5E0C4FA7}"/>
    <cellStyle name="Normal 3 3 3" xfId="1164" xr:uid="{948C22AD-69E9-4937-B15E-1A818E76C6D9}"/>
    <cellStyle name="Normal 3 3 3 2" xfId="2309" xr:uid="{9820DCF6-8CDD-4E77-A2A6-D83DA05FFC21}"/>
    <cellStyle name="Normal 3 3 4" xfId="1165" xr:uid="{E36187A1-163B-4CED-8208-174C74377FE3}"/>
    <cellStyle name="Normal 3 3 4 2" xfId="2310" xr:uid="{FAB1B1B1-DAFD-4A95-8DC8-63EDF64BF925}"/>
    <cellStyle name="Normal 3 3 5" xfId="1166" xr:uid="{61F9A20F-48F2-45F6-B6DA-7BA7E74793EC}"/>
    <cellStyle name="Normal 3 3 5 2" xfId="2311" xr:uid="{65CAA39F-2BA7-4DDB-A7E0-2E7DEE461841}"/>
    <cellStyle name="Normal 3 3 6" xfId="1167" xr:uid="{48716EE5-1963-4C80-A11D-E776FC442BE5}"/>
    <cellStyle name="Normal 3 3 6 2" xfId="2312" xr:uid="{DB6FE997-25F7-44B9-89D9-A4DA53DACCDD}"/>
    <cellStyle name="Normal 3 3 7" xfId="1168" xr:uid="{7A87A5C5-C46F-441A-A017-21F63CC60ED9}"/>
    <cellStyle name="Normal 3 3 7 2" xfId="2313" xr:uid="{96203362-4D94-4F8A-A41F-0188B0D84614}"/>
    <cellStyle name="Normal 3 3 8" xfId="1169" xr:uid="{4B6C4538-C6D8-4276-8DD9-FC38499E382C}"/>
    <cellStyle name="Normal 3 3 8 2" xfId="2314" xr:uid="{5ED08BBA-A192-41B1-83E2-E09F4E1DD599}"/>
    <cellStyle name="Normal 3 3 9" xfId="2307" xr:uid="{B4A126D3-FEF0-4937-BAE8-41E33FADEF86}"/>
    <cellStyle name="Normal 3 4" xfId="164" xr:uid="{22820E6E-5260-4DF6-8133-1C0C589CA51E}"/>
    <cellStyle name="Normal 3 4 10" xfId="1170" xr:uid="{3D66AA21-7183-4DEF-9664-E0A50D3DE199}"/>
    <cellStyle name="Normal 3 4 2" xfId="165" xr:uid="{CA2EF5DC-2B59-4535-8F5A-D46383B97456}"/>
    <cellStyle name="Normal 3 4 2 2" xfId="2316" xr:uid="{E8F8C40E-029F-49F3-AFAD-4FE7C21A8803}"/>
    <cellStyle name="Normal 3 4 2 3" xfId="1171" xr:uid="{B8A821E9-58F4-4ED5-AB55-80CEF3C89EFB}"/>
    <cellStyle name="Normal 3 4 3" xfId="1172" xr:uid="{DF8ACF85-5F59-4E84-A73B-244448EF182F}"/>
    <cellStyle name="Normal 3 4 3 2" xfId="2317" xr:uid="{922AD3A8-FC93-43F7-AC37-7BEF275C8531}"/>
    <cellStyle name="Normal 3 4 4" xfId="1173" xr:uid="{3C575DFC-6CDC-4D24-BB4D-58B514ED7402}"/>
    <cellStyle name="Normal 3 4 4 2" xfId="2318" xr:uid="{D860822C-B525-4BAF-BF7B-BF1DB95DA3B1}"/>
    <cellStyle name="Normal 3 4 5" xfId="1174" xr:uid="{6E4E8EE4-A680-45CB-8271-44AAFB756841}"/>
    <cellStyle name="Normal 3 4 5 2" xfId="2319" xr:uid="{6BE2A225-49E3-4856-A05A-060F57AB7871}"/>
    <cellStyle name="Normal 3 4 6" xfId="1175" xr:uid="{2AFFC876-633E-4930-A32A-D34DA956B4C3}"/>
    <cellStyle name="Normal 3 4 6 2" xfId="2320" xr:uid="{52408AE2-2A13-4C12-B6E3-33AE1273C3CA}"/>
    <cellStyle name="Normal 3 4 7" xfId="1176" xr:uid="{F94A5A47-51D9-4EC1-AE15-434DDD88C158}"/>
    <cellStyle name="Normal 3 4 7 2" xfId="2321" xr:uid="{7DA4D42C-9263-43C4-9F50-68BB12FAD49C}"/>
    <cellStyle name="Normal 3 4 8" xfId="1177" xr:uid="{5D3654A7-10CA-43D2-BB1C-B4279823EEE7}"/>
    <cellStyle name="Normal 3 4 8 2" xfId="2322" xr:uid="{22EC050D-371E-44B8-8EC1-E2AD30BE8A5D}"/>
    <cellStyle name="Normal 3 4 9" xfId="2315" xr:uid="{096FCA3D-74AC-47DA-8A2E-7DDD2D3D9ACA}"/>
    <cellStyle name="Normal 3 5" xfId="166" xr:uid="{3B741579-22A2-4AF3-8AA5-21BD3B0ABECC}"/>
    <cellStyle name="Normal 3 5 10" xfId="1178" xr:uid="{D0A1428E-4BF4-4271-9282-128BC4DDDFA0}"/>
    <cellStyle name="Normal 3 5 2" xfId="1179" xr:uid="{C5A8C267-3C0F-47A9-AE81-0EEF8F20D149}"/>
    <cellStyle name="Normal 3 5 2 2" xfId="2324" xr:uid="{86BCD850-7038-43BE-957E-C8F736D61007}"/>
    <cellStyle name="Normal 3 5 3" xfId="1180" xr:uid="{4DEFC23E-D3D6-4DC1-8F36-B8C00CBDC38F}"/>
    <cellStyle name="Normal 3 5 3 2" xfId="2325" xr:uid="{6901800D-D117-482D-A27C-CE24876273B1}"/>
    <cellStyle name="Normal 3 5 4" xfId="1181" xr:uid="{E115CA97-C624-4AE9-9F23-37A7B2D354BB}"/>
    <cellStyle name="Normal 3 5 4 2" xfId="2326" xr:uid="{8D2C36D7-9880-4911-8798-EAEA88A1E7A1}"/>
    <cellStyle name="Normal 3 5 5" xfId="1182" xr:uid="{88DAAC3E-2736-4FED-8C7E-FB69486B4476}"/>
    <cellStyle name="Normal 3 5 5 2" xfId="2327" xr:uid="{D3DE7E85-B99D-4F81-B449-369DAA22DFA3}"/>
    <cellStyle name="Normal 3 5 6" xfId="1183" xr:uid="{244EEB6E-9DC8-4A03-B19A-0F3980CDC1C5}"/>
    <cellStyle name="Normal 3 5 6 2" xfId="2328" xr:uid="{192992B1-36F3-455A-B447-B588BB394DCE}"/>
    <cellStyle name="Normal 3 5 7" xfId="1184" xr:uid="{130C8DE4-2EF5-4C02-9D0A-0AB6F610AE88}"/>
    <cellStyle name="Normal 3 5 7 2" xfId="2329" xr:uid="{70573CAC-B9A7-47EA-9084-60BF8E1BFE93}"/>
    <cellStyle name="Normal 3 5 8" xfId="1185" xr:uid="{277380B2-9E47-46F7-AA1D-A297D538DB90}"/>
    <cellStyle name="Normal 3 5 8 2" xfId="2330" xr:uid="{CEC104AD-5540-4B23-A8AB-864DFED80CB7}"/>
    <cellStyle name="Normal 3 5 9" xfId="2323" xr:uid="{E44CE292-001F-4A29-8604-B237A601A19A}"/>
    <cellStyle name="Normal 3 6" xfId="248" xr:uid="{B708B061-BC44-4787-85AB-16C9F97B136B}"/>
    <cellStyle name="Normal 3 6 2" xfId="2331" xr:uid="{F9234DA2-38C2-4852-9209-1553EFC6850B}"/>
    <cellStyle name="Normal 3 6 3" xfId="1186" xr:uid="{EC15E9B5-1312-4377-AF26-65E508EA6FBF}"/>
    <cellStyle name="Normal 3 7" xfId="1187" xr:uid="{549FE272-1892-4AFD-B4CE-48AF6017F75E}"/>
    <cellStyle name="Normal 3 7 2" xfId="2332" xr:uid="{5DA1D020-B748-4145-A680-D16F90919DE8}"/>
    <cellStyle name="Normal 3 8" xfId="1188" xr:uid="{0B12DB37-90AC-4910-9073-BEF033E02735}"/>
    <cellStyle name="Normal 3 8 2" xfId="2333" xr:uid="{7D0687E1-0D7B-4E29-9BB8-C72B86E1FB48}"/>
    <cellStyle name="Normal 3 9" xfId="1189" xr:uid="{0985054E-DDAF-4776-B6D5-606EFA5E68C9}"/>
    <cellStyle name="Normal 3 9 2" xfId="2334" xr:uid="{3AC9CF6E-0773-47C1-8B5C-4D420BF7DE98}"/>
    <cellStyle name="Normal 4" xfId="60" xr:uid="{F854767C-5A0D-4612-88DA-3B5EC1B76D7B}"/>
    <cellStyle name="Normal 4 10" xfId="1191" xr:uid="{DE7C0C68-9E8D-4756-A4D2-C26A1706B52B}"/>
    <cellStyle name="Normal 4 10 2" xfId="2336" xr:uid="{2D64324E-8DDF-43B6-9AAD-93781FD90596}"/>
    <cellStyle name="Normal 4 11" xfId="1192" xr:uid="{61B5CD53-687F-4600-8156-7486AC6618F2}"/>
    <cellStyle name="Normal 4 11 2" xfId="2337" xr:uid="{D6AC3140-2DC2-41D2-89DA-FEDD873294D9}"/>
    <cellStyle name="Normal 4 12" xfId="1193" xr:uid="{D2C3A4CF-CBCA-46B0-8574-ECBC5E86C854}"/>
    <cellStyle name="Normal 4 12 2" xfId="2338" xr:uid="{B507FF45-F4E2-448D-9FC7-5BBC89CE35B8}"/>
    <cellStyle name="Normal 4 13" xfId="2335" xr:uid="{D35BFC17-B559-4487-BA39-ED0C51902A73}"/>
    <cellStyle name="Normal 4 14" xfId="1190" xr:uid="{CB9EFE37-BC6A-478D-9C6D-15CF51E9939F}"/>
    <cellStyle name="Normal 4 15" xfId="3443" xr:uid="{0D7E2C07-B3D2-4AB1-A93F-8231FD5F7FDB}"/>
    <cellStyle name="Normal 4 16" xfId="167" xr:uid="{1D46B487-E3E2-4DD6-AD8B-2FA3952FBCED}"/>
    <cellStyle name="Normal 4 2" xfId="168" xr:uid="{CFB7E33A-8666-445D-AD17-0D4764701260}"/>
    <cellStyle name="Normal 4 2 10" xfId="1194" xr:uid="{3B0C7AA7-45D2-4663-9F84-342E9A87FECB}"/>
    <cellStyle name="Normal 4 2 2" xfId="1195" xr:uid="{37D58521-7866-4605-9EE9-29694C5B5B1A}"/>
    <cellStyle name="Normal 4 2 2 10" xfId="1196" xr:uid="{550F8E39-ECB7-414D-8232-B8977335CAD5}"/>
    <cellStyle name="Normal 4 2 2 10 2" xfId="2341" xr:uid="{C59C03B7-2BEE-44AB-B3DC-565C1A5F6CAE}"/>
    <cellStyle name="Normal 4 2 2 10 2 2" xfId="3176" xr:uid="{F7FCF73A-0CBC-4A9B-B035-1EB66B4368B1}"/>
    <cellStyle name="Normal 4 2 2 10 2 3" xfId="3402" xr:uid="{38D28E4C-F0D5-4CFD-84E9-0E5B25BB98AD}"/>
    <cellStyle name="Normal 4 2 2 10 3" xfId="3055" xr:uid="{B1F7F7F7-1CF9-4F33-98A8-F8186973FF43}"/>
    <cellStyle name="Normal 4 2 2 10 4" xfId="3281" xr:uid="{6B44BA27-FD49-472C-99D7-88EC8DE6BF36}"/>
    <cellStyle name="Normal 4 2 2 11" xfId="1197" xr:uid="{B5E61496-C7CC-47C1-AC18-A441E17199E2}"/>
    <cellStyle name="Normal 4 2 2 11 2" xfId="2342" xr:uid="{DBC92919-7E3B-46B6-BA3D-10AED6ADAF0F}"/>
    <cellStyle name="Normal 4 2 2 11 2 2" xfId="3177" xr:uid="{CE6A4879-992D-4F4E-9C97-A55BDE96F3C4}"/>
    <cellStyle name="Normal 4 2 2 11 2 3" xfId="3403" xr:uid="{F44119D1-5604-409C-8C0A-4B669C1B26ED}"/>
    <cellStyle name="Normal 4 2 2 11 3" xfId="3056" xr:uid="{27758757-2450-49FF-8FFF-E6C2F61B76CF}"/>
    <cellStyle name="Normal 4 2 2 11 4" xfId="3282" xr:uid="{F9352746-AEE6-4135-B1EC-68AA6E13C7F1}"/>
    <cellStyle name="Normal 4 2 2 12" xfId="1198" xr:uid="{A7BA9DA4-522F-4F76-A751-5164D9B969F7}"/>
    <cellStyle name="Normal 4 2 2 12 2" xfId="2343" xr:uid="{D47474E2-BA2C-4F51-8A1F-F0E104110D6A}"/>
    <cellStyle name="Normal 4 2 2 12 2 2" xfId="3178" xr:uid="{2F5A1A53-08F6-4233-A957-AD1CEF13FCEF}"/>
    <cellStyle name="Normal 4 2 2 12 2 3" xfId="3404" xr:uid="{014530DB-DB20-4CF1-8D69-C6CC0E6EF715}"/>
    <cellStyle name="Normal 4 2 2 12 3" xfId="3057" xr:uid="{A2D12F3A-2697-4A92-A344-57AF0EE9977B}"/>
    <cellStyle name="Normal 4 2 2 12 4" xfId="3283" xr:uid="{C9F5109B-F7D7-481F-A8C0-557AA1EBEE03}"/>
    <cellStyle name="Normal 4 2 2 13" xfId="1199" xr:uid="{ECBD3D57-C37B-442B-8E00-321C50766BAD}"/>
    <cellStyle name="Normal 4 2 2 13 2" xfId="2344" xr:uid="{B648D11D-EC1A-4F0F-826D-2011FC1DDBA4}"/>
    <cellStyle name="Normal 4 2 2 13 2 2" xfId="3179" xr:uid="{C7932C29-E2E5-4D4D-B0E3-3AA72F68CBC1}"/>
    <cellStyle name="Normal 4 2 2 13 2 3" xfId="3405" xr:uid="{F1A1340E-C7E9-4132-91E5-BD28F7DDCA47}"/>
    <cellStyle name="Normal 4 2 2 13 3" xfId="3058" xr:uid="{F98F9F01-87D9-40EA-8EA7-7781C7213D1F}"/>
    <cellStyle name="Normal 4 2 2 13 4" xfId="3284" xr:uid="{4D62D875-7E76-42D6-AAF1-9B950927FF1A}"/>
    <cellStyle name="Normal 4 2 2 14" xfId="2340" xr:uid="{C9B4D5C2-6750-45D2-99BC-0A255CE288DD}"/>
    <cellStyle name="Normal 4 2 2 2" xfId="1200" xr:uid="{625FB5EE-80CA-4A56-9953-D49B0AB97B93}"/>
    <cellStyle name="Normal 4 2 2 2 10" xfId="1201" xr:uid="{4AE8D541-609A-4611-9E8A-D3EF1D8CE62B}"/>
    <cellStyle name="Normal 4 2 2 2 10 2" xfId="2346" xr:uid="{67D5104A-B44F-4ED7-B267-6F176C76FA94}"/>
    <cellStyle name="Normal 4 2 2 2 11" xfId="1202" xr:uid="{12C97BFC-EC1E-4978-81FC-1EFFE6096AA6}"/>
    <cellStyle name="Normal 4 2 2 2 11 2" xfId="2347" xr:uid="{4924D066-F390-406D-BB28-521008BF9E1C}"/>
    <cellStyle name="Normal 4 2 2 2 12" xfId="1203" xr:uid="{0EB4F191-BB9A-408F-8657-9A8F0A486BDD}"/>
    <cellStyle name="Normal 4 2 2 2 12 2" xfId="2348" xr:uid="{5ED1A4D1-0CBD-4BA3-9E67-382ED0F5BF7E}"/>
    <cellStyle name="Normal 4 2 2 2 13" xfId="1204" xr:uid="{B43F8FDC-A55C-4C0F-9CD5-BB5154C068E6}"/>
    <cellStyle name="Normal 4 2 2 2 13 2" xfId="2349" xr:uid="{37E1E6F7-FB7D-4682-868A-425589D39FA1}"/>
    <cellStyle name="Normal 4 2 2 2 14" xfId="2345" xr:uid="{ACB3FBFF-E066-4E08-B364-B483155CD823}"/>
    <cellStyle name="Normal 4 2 2 2 14 2" xfId="3180" xr:uid="{CFC00D92-3DF4-4A47-B7CC-AECC64E28E10}"/>
    <cellStyle name="Normal 4 2 2 2 14 3" xfId="3406" xr:uid="{59470A37-C267-48C8-B015-EAF1310EEDCD}"/>
    <cellStyle name="Normal 4 2 2 2 15" xfId="3059" xr:uid="{80E068E7-E809-4F0C-834E-95823FF82510}"/>
    <cellStyle name="Normal 4 2 2 2 16" xfId="3285" xr:uid="{4F26F9A1-D4E5-4B16-A77E-7E714CE88B93}"/>
    <cellStyle name="Normal 4 2 2 2 2" xfId="1205" xr:uid="{5B39F500-18DC-4A1D-A007-4EDC2C443A9D}"/>
    <cellStyle name="Normal 4 2 2 2 2 2" xfId="2350" xr:uid="{AF60814B-987E-4FFC-9A63-545D798B70E3}"/>
    <cellStyle name="Normal 4 2 2 2 3" xfId="1206" xr:uid="{DEEE5EEA-AD91-4A37-BFD5-3458E1661EAF}"/>
    <cellStyle name="Normal 4 2 2 2 3 2" xfId="2351" xr:uid="{1DC071C7-68FF-4FEF-84F6-0037CADCCA86}"/>
    <cellStyle name="Normal 4 2 2 2 4" xfId="1207" xr:uid="{A5F8A611-66C5-4F37-88DC-8CB8A5BA50EA}"/>
    <cellStyle name="Normal 4 2 2 2 4 2" xfId="2352" xr:uid="{8EAF0901-20DE-4900-9B16-6CE683457067}"/>
    <cellStyle name="Normal 4 2 2 2 5" xfId="1208" xr:uid="{9533A3F4-880F-4961-A8ED-737FFB7A56E7}"/>
    <cellStyle name="Normal 4 2 2 2 5 2" xfId="2353" xr:uid="{8334CBCF-637C-42F1-B4DF-3392E63618CF}"/>
    <cellStyle name="Normal 4 2 2 2 6" xfId="1209" xr:uid="{F985737B-4CF2-49E9-B7BE-F59CE053C3AC}"/>
    <cellStyle name="Normal 4 2 2 2 6 2" xfId="2354" xr:uid="{510F8081-4058-426B-A8B4-1DB585FB463B}"/>
    <cellStyle name="Normal 4 2 2 2 7" xfId="1210" xr:uid="{5460F0C1-9455-43A5-AB7A-ED8F652C98BE}"/>
    <cellStyle name="Normal 4 2 2 2 7 2" xfId="2355" xr:uid="{68AA394D-7A65-4FDA-BF00-9227C5D70B1B}"/>
    <cellStyle name="Normal 4 2 2 2 8" xfId="1211" xr:uid="{5021CADD-8FEF-4CC8-A0B7-111E63FD074D}"/>
    <cellStyle name="Normal 4 2 2 2 8 2" xfId="2356" xr:uid="{61BA2123-596D-4590-BED7-96E580FAC2BF}"/>
    <cellStyle name="Normal 4 2 2 2 9" xfId="1212" xr:uid="{C534368B-5BC8-42C5-898C-B2CE0BE3F76E}"/>
    <cellStyle name="Normal 4 2 2 2 9 2" xfId="2357" xr:uid="{E38BF6C9-C7E2-484D-80F7-12E1CA50DB45}"/>
    <cellStyle name="Normal 4 2 2 3" xfId="1213" xr:uid="{6B70BC68-A7B6-41DD-8278-63F630FFC00E}"/>
    <cellStyle name="Normal 4 2 2 3 2" xfId="2358" xr:uid="{891C3106-6DDE-49F8-BB1F-5722B3400F0F}"/>
    <cellStyle name="Normal 4 2 2 3 2 2" xfId="3181" xr:uid="{C655327A-E6B5-45F4-95D2-C97CFE6A8D18}"/>
    <cellStyle name="Normal 4 2 2 3 2 3" xfId="3407" xr:uid="{D63260B5-66DD-4192-810D-4BC2D3415686}"/>
    <cellStyle name="Normal 4 2 2 3 3" xfId="3060" xr:uid="{ED729CD5-D56F-4A71-B479-1693FE60B101}"/>
    <cellStyle name="Normal 4 2 2 3 4" xfId="3286" xr:uid="{891224FD-E1BB-4F02-9FAC-6477CBE60E9D}"/>
    <cellStyle name="Normal 4 2 2 4" xfId="1214" xr:uid="{5631889D-ED74-4094-84A4-86968F57A39B}"/>
    <cellStyle name="Normal 4 2 2 4 2" xfId="2359" xr:uid="{25CFBA85-55C4-4F71-8907-DDB65977111E}"/>
    <cellStyle name="Normal 4 2 2 4 2 2" xfId="3182" xr:uid="{B9A45164-8DD4-45F1-9862-FEED1CC0CBAB}"/>
    <cellStyle name="Normal 4 2 2 4 2 3" xfId="3408" xr:uid="{7D70645C-F806-4A4D-AE08-DAD214896281}"/>
    <cellStyle name="Normal 4 2 2 4 3" xfId="3061" xr:uid="{635E0DE8-80E8-4CE8-8DF9-C4557553345A}"/>
    <cellStyle name="Normal 4 2 2 4 4" xfId="3287" xr:uid="{5EE568BC-BCD8-4FC5-9E1F-FD1922D2A41D}"/>
    <cellStyle name="Normal 4 2 2 5" xfId="1215" xr:uid="{5BDCEE14-F7C6-4F91-8341-5822D3632C75}"/>
    <cellStyle name="Normal 4 2 2 5 2" xfId="2360" xr:uid="{D96384D7-BA28-47C1-ADD5-4460325CC2AA}"/>
    <cellStyle name="Normal 4 2 2 5 2 2" xfId="3183" xr:uid="{D0B60521-8152-4730-B827-3B5B6A23791D}"/>
    <cellStyle name="Normal 4 2 2 5 2 3" xfId="3409" xr:uid="{B7E86BBB-E711-4F0B-9097-0AD192690914}"/>
    <cellStyle name="Normal 4 2 2 5 3" xfId="3062" xr:uid="{60D062E1-8002-4FC7-A864-0664CE39C2DB}"/>
    <cellStyle name="Normal 4 2 2 5 4" xfId="3288" xr:uid="{27A96F94-605C-4A46-A856-E0369D77421B}"/>
    <cellStyle name="Normal 4 2 2 6" xfId="1216" xr:uid="{E95B5DF1-5DE6-48CC-8E25-8400EBCD3AC3}"/>
    <cellStyle name="Normal 4 2 2 6 2" xfId="2361" xr:uid="{A9FB87E8-3606-4BB4-A1EC-750F31344E2B}"/>
    <cellStyle name="Normal 4 2 2 6 2 2" xfId="3184" xr:uid="{AF546366-D62A-47D8-9A61-867B6CE226F8}"/>
    <cellStyle name="Normal 4 2 2 6 2 3" xfId="3410" xr:uid="{B3DA98AA-7958-4896-B96A-086F2ACB18F5}"/>
    <cellStyle name="Normal 4 2 2 6 3" xfId="3063" xr:uid="{43FE94C2-2714-4FC3-8C00-2B01BFEE30F8}"/>
    <cellStyle name="Normal 4 2 2 6 4" xfId="3289" xr:uid="{C3277010-15B7-4750-B55E-7F461D9EB03A}"/>
    <cellStyle name="Normal 4 2 2 7" xfId="1217" xr:uid="{BC2A8D8B-CF6E-48F2-8C12-89AB8B0A78C0}"/>
    <cellStyle name="Normal 4 2 2 7 2" xfId="2362" xr:uid="{8D7737FC-9C3A-48E5-A894-58F2118AB8C8}"/>
    <cellStyle name="Normal 4 2 2 7 2 2" xfId="3185" xr:uid="{96288A5C-EFE2-4E47-93A2-170987DC042D}"/>
    <cellStyle name="Normal 4 2 2 7 2 3" xfId="3411" xr:uid="{4DC55EBC-C852-4AE0-A21A-DAB58DAAF85F}"/>
    <cellStyle name="Normal 4 2 2 7 3" xfId="3064" xr:uid="{AC471B2E-E544-41F5-AB63-00A2C28CFB79}"/>
    <cellStyle name="Normal 4 2 2 7 4" xfId="3290" xr:uid="{3516CE1E-4B82-4773-979E-A762C12D1D22}"/>
    <cellStyle name="Normal 4 2 2 8" xfId="1218" xr:uid="{DEED055D-767D-43BB-8B2C-755F48318C1E}"/>
    <cellStyle name="Normal 4 2 2 8 2" xfId="2363" xr:uid="{8AED3057-36ED-4D13-B4B7-64910F2FCE3D}"/>
    <cellStyle name="Normal 4 2 2 8 2 2" xfId="3186" xr:uid="{E4901622-01AA-48C7-991D-C62542BBBE27}"/>
    <cellStyle name="Normal 4 2 2 8 2 3" xfId="3412" xr:uid="{B7B31459-9BD5-4BE7-96B0-21C23892FC02}"/>
    <cellStyle name="Normal 4 2 2 8 3" xfId="3065" xr:uid="{5D6904EA-9B3B-442E-A9EB-DFB5A08A60BE}"/>
    <cellStyle name="Normal 4 2 2 8 4" xfId="3291" xr:uid="{BA85C2D3-D705-4FBB-A02D-C900E071BA23}"/>
    <cellStyle name="Normal 4 2 2 9" xfId="1219" xr:uid="{A4B9E1DE-393E-425A-8DCB-FE3224B30296}"/>
    <cellStyle name="Normal 4 2 2 9 2" xfId="2364" xr:uid="{5994A176-E435-467D-9CAE-8A454A3DC0B6}"/>
    <cellStyle name="Normal 4 2 2 9 2 2" xfId="3187" xr:uid="{52A4E20D-E903-48C7-810E-0ABB13A2F057}"/>
    <cellStyle name="Normal 4 2 2 9 2 3" xfId="3413" xr:uid="{2F35FD02-F5EA-4D1B-BD0C-83789F78C6A1}"/>
    <cellStyle name="Normal 4 2 2 9 3" xfId="3066" xr:uid="{91134448-F9AB-44E5-A37C-9632775D6F64}"/>
    <cellStyle name="Normal 4 2 2 9 4" xfId="3292" xr:uid="{25015D63-9EF3-4005-B79E-2A9D2B581C77}"/>
    <cellStyle name="Normal 4 2 3" xfId="1220" xr:uid="{D631DC21-1D97-484F-A241-9E6B67D4B408}"/>
    <cellStyle name="Normal 4 2 3 2" xfId="2365" xr:uid="{037F7537-867E-4207-91FD-304515B6F7F5}"/>
    <cellStyle name="Normal 4 2 4" xfId="1221" xr:uid="{45C79BC0-3793-49B0-B622-044A4E635853}"/>
    <cellStyle name="Normal 4 2 4 2" xfId="2366" xr:uid="{2F574FBE-762C-434D-A4B0-A3B5CFA05BA0}"/>
    <cellStyle name="Normal 4 2 5" xfId="1222" xr:uid="{37D3876E-7AED-4F46-A742-A4289E6913FF}"/>
    <cellStyle name="Normal 4 2 5 2" xfId="2367" xr:uid="{40841E31-A27B-44AC-BBC9-1F9094056F95}"/>
    <cellStyle name="Normal 4 2 6" xfId="1223" xr:uid="{0B698A55-37A7-40A8-BC49-6B1CCFC30403}"/>
    <cellStyle name="Normal 4 2 6 2" xfId="2368" xr:uid="{5E76E8FE-A97D-4A57-B4CA-6B0E2B23E47C}"/>
    <cellStyle name="Normal 4 2 7" xfId="1224" xr:uid="{D39A78BD-C2CE-4A3B-B1CC-701E56D7C04F}"/>
    <cellStyle name="Normal 4 2 7 2" xfId="2369" xr:uid="{B20D30DF-9D46-4409-920A-8AE12238E264}"/>
    <cellStyle name="Normal 4 2 8" xfId="1225" xr:uid="{FF18337D-B746-4B5D-BCCA-D18F163920E2}"/>
    <cellStyle name="Normal 4 2 8 2" xfId="2370" xr:uid="{7501EDF7-DBBC-4511-83C5-14E9F66122DC}"/>
    <cellStyle name="Normal 4 2 9" xfId="2339" xr:uid="{A7D7373F-90DC-4DA1-942A-922BE4EB91DB}"/>
    <cellStyle name="Normal 4 3" xfId="169" xr:uid="{E583BCA1-1BCE-4C87-A4A2-1BDD899463CB}"/>
    <cellStyle name="Normal 4 3 10" xfId="1226" xr:uid="{DEE95754-98E2-4860-B0F5-67255973C502}"/>
    <cellStyle name="Normal 4 3 2" xfId="1227" xr:uid="{19D3521C-D0D6-4D0A-8504-E20499930762}"/>
    <cellStyle name="Normal 4 3 2 2" xfId="2372" xr:uid="{545E0DBD-3054-450E-8AA8-41F73760C737}"/>
    <cellStyle name="Normal 4 3 3" xfId="1228" xr:uid="{3F7E2500-3F09-49FB-A9A5-1A6BC0D70CCE}"/>
    <cellStyle name="Normal 4 3 3 2" xfId="2373" xr:uid="{47A92412-CB04-4AE5-90C2-7C3A76546E02}"/>
    <cellStyle name="Normal 4 3 4" xfId="1229" xr:uid="{CD4234DC-0CEE-416A-9C62-4CEB342F4AC7}"/>
    <cellStyle name="Normal 4 3 4 2" xfId="2374" xr:uid="{07E9C8E1-7A9A-4B58-BA9A-C17C1F369B42}"/>
    <cellStyle name="Normal 4 3 5" xfId="1230" xr:uid="{C3DF4FEA-7445-46DD-B994-9FB2189E6266}"/>
    <cellStyle name="Normal 4 3 5 2" xfId="2375" xr:uid="{B2129321-2F5C-40E2-936B-800E2335777D}"/>
    <cellStyle name="Normal 4 3 6" xfId="1231" xr:uid="{A581007E-958C-42FD-ACAA-45809E11E23D}"/>
    <cellStyle name="Normal 4 3 6 2" xfId="2376" xr:uid="{8C17C68B-4CB8-4C32-9245-1322973CC296}"/>
    <cellStyle name="Normal 4 3 7" xfId="1232" xr:uid="{252557A4-4522-4EEB-8C90-015B28ABA97A}"/>
    <cellStyle name="Normal 4 3 7 2" xfId="2377" xr:uid="{A4260685-4FFD-46D2-AC7E-F7689317ACEA}"/>
    <cellStyle name="Normal 4 3 8" xfId="1233" xr:uid="{ECBFC085-79BD-482C-9FF6-729FD700BF4A}"/>
    <cellStyle name="Normal 4 3 8 2" xfId="2378" xr:uid="{52C2415A-67EB-4768-AC9C-785354AB63A8}"/>
    <cellStyle name="Normal 4 3 9" xfId="2371" xr:uid="{DE9D8C83-B180-4B60-8E35-7F3BEB54A70D}"/>
    <cellStyle name="Normal 4 4" xfId="170" xr:uid="{54469737-31B0-41AA-B13B-FD65DD35C0D7}"/>
    <cellStyle name="Normal 4 4 10" xfId="1234" xr:uid="{015F4FCB-00BF-4F70-8AD6-1BA39C00A88F}"/>
    <cellStyle name="Normal 4 4 2" xfId="1235" xr:uid="{8A1A1445-C58F-4971-A181-FD18E3A45D34}"/>
    <cellStyle name="Normal 4 4 2 2" xfId="2380" xr:uid="{86E0FDD2-38D3-4194-BEAC-B699674F6EFD}"/>
    <cellStyle name="Normal 4 4 3" xfId="1236" xr:uid="{756E33FD-B633-4C33-A16A-BC344788FD16}"/>
    <cellStyle name="Normal 4 4 3 2" xfId="2381" xr:uid="{B50ACE1B-3892-40A9-9612-4D2FCA472005}"/>
    <cellStyle name="Normal 4 4 4" xfId="1237" xr:uid="{2FE89DCB-815F-4576-A4B4-DD207ED08B7E}"/>
    <cellStyle name="Normal 4 4 4 2" xfId="2382" xr:uid="{866852C0-2300-4E63-A02D-CFDD72D4BC84}"/>
    <cellStyle name="Normal 4 4 5" xfId="1238" xr:uid="{7C91B205-8A74-428F-9008-F7BB471DE68F}"/>
    <cellStyle name="Normal 4 4 5 2" xfId="2383" xr:uid="{FC95AB5C-52D1-4F72-9178-A93A5E91D576}"/>
    <cellStyle name="Normal 4 4 6" xfId="1239" xr:uid="{0B1FC731-8DD9-4ADE-AFBB-189FC1DA1236}"/>
    <cellStyle name="Normal 4 4 6 2" xfId="2384" xr:uid="{FA8F0936-E4B9-43CD-9E02-7BF957205995}"/>
    <cellStyle name="Normal 4 4 7" xfId="1240" xr:uid="{C0763A39-569E-4B33-B72A-3890F97A29E4}"/>
    <cellStyle name="Normal 4 4 7 2" xfId="2385" xr:uid="{9FFEE390-F329-4EF2-AF4C-CD6A82E4ED57}"/>
    <cellStyle name="Normal 4 4 8" xfId="1241" xr:uid="{E3E93823-31CF-4E22-A9DF-29C65BE48C3E}"/>
    <cellStyle name="Normal 4 4 8 2" xfId="2386" xr:uid="{FC037015-733F-4674-97A9-7F41AE5593B6}"/>
    <cellStyle name="Normal 4 4 9" xfId="2379" xr:uid="{93752E77-658D-4D40-94B7-C882EC55EE64}"/>
    <cellStyle name="Normal 4 5" xfId="1242" xr:uid="{3984D234-87C6-4991-9567-A74249EA1D90}"/>
    <cellStyle name="Normal 4 5 2" xfId="1243" xr:uid="{38658A53-6DF8-4988-8F5B-654BD4489AAA}"/>
    <cellStyle name="Normal 4 5 2 2" xfId="2388" xr:uid="{0360F0A4-96E2-4D67-98C0-8A3B5058D570}"/>
    <cellStyle name="Normal 4 5 3" xfId="1244" xr:uid="{C28DEA9B-AD33-423B-8000-B7B157D502BE}"/>
    <cellStyle name="Normal 4 5 3 2" xfId="2389" xr:uid="{38F76886-3459-4C67-B26A-94888645185B}"/>
    <cellStyle name="Normal 4 5 4" xfId="1245" xr:uid="{5CFB1CBC-C6CC-4A1F-B8A8-F52B93EA6C86}"/>
    <cellStyle name="Normal 4 5 4 2" xfId="2390" xr:uid="{993F23CE-F47C-4306-9E47-3576EB594499}"/>
    <cellStyle name="Normal 4 5 5" xfId="1246" xr:uid="{2A6DD8B4-619F-4023-A3D6-3845BC4A8EDA}"/>
    <cellStyle name="Normal 4 5 5 2" xfId="2391" xr:uid="{4B27C1DD-CB7A-4CA4-92A7-2358C40B9A8C}"/>
    <cellStyle name="Normal 4 5 6" xfId="1247" xr:uid="{169D27E8-DF25-438B-89BC-EF7A2F3D684B}"/>
    <cellStyle name="Normal 4 5 6 2" xfId="2392" xr:uid="{DF29D495-23A5-407B-9074-3CDCBBDC77F8}"/>
    <cellStyle name="Normal 4 5 7" xfId="1248" xr:uid="{D781F029-563A-45A1-9752-3566A276A2F1}"/>
    <cellStyle name="Normal 4 5 7 2" xfId="2393" xr:uid="{24F38D4C-D999-4135-84AC-46E0B5F3363D}"/>
    <cellStyle name="Normal 4 5 8" xfId="1249" xr:uid="{AF7D7B1C-1BFA-4EA5-AAB6-B5DF8DF23A7D}"/>
    <cellStyle name="Normal 4 5 8 2" xfId="2394" xr:uid="{6F9F1F39-D888-4D63-9E18-9EA61E601898}"/>
    <cellStyle name="Normal 4 5 9" xfId="2387" xr:uid="{3E34CD5E-F1D6-4887-BFC4-C29F3927EA7B}"/>
    <cellStyle name="Normal 4 6" xfId="1250" xr:uid="{6329B937-2D31-4E62-9E4B-5081BF440F98}"/>
    <cellStyle name="Normal 4 6 2" xfId="2395" xr:uid="{CB40DFA4-03FD-4943-9C00-C9EA8BBB7CD6}"/>
    <cellStyle name="Normal 4 7" xfId="1251" xr:uid="{1D7D1E66-A592-4B94-B4E1-4D76D79B5AC0}"/>
    <cellStyle name="Normal 4 7 2" xfId="2396" xr:uid="{76230EE3-4521-43A5-ACA6-689C2F903086}"/>
    <cellStyle name="Normal 4 8" xfId="1252" xr:uid="{98E7E863-E941-4189-ADF4-0345FE8F68D9}"/>
    <cellStyle name="Normal 4 8 2" xfId="2397" xr:uid="{90DEDB59-C80C-432C-BDF1-BD94B746A912}"/>
    <cellStyle name="Normal 4 9" xfId="1253" xr:uid="{BCC9E795-CAF5-4566-A4DD-4FE6E6BFADAE}"/>
    <cellStyle name="Normal 4 9 2" xfId="2398" xr:uid="{DC5436F3-7920-4BCF-BB43-671A28CF8641}"/>
    <cellStyle name="Normal 5" xfId="171" xr:uid="{6C1B9A82-55CF-4ADE-B00B-3F8AC72F342F}"/>
    <cellStyle name="Normal 5 10" xfId="1255" xr:uid="{FD67C187-E012-4D1D-A117-09317EC41A20}"/>
    <cellStyle name="Normal 5 10 2" xfId="2400" xr:uid="{DCE8B638-F3F9-46A0-9CD2-5CF6F030C0A8}"/>
    <cellStyle name="Normal 5 11" xfId="1256" xr:uid="{4A67EA2E-6E5B-444C-9897-F8EDC7FD4D5D}"/>
    <cellStyle name="Normal 5 11 2" xfId="2401" xr:uid="{E351F054-4800-4556-AD69-2AEDC8A15EE8}"/>
    <cellStyle name="Normal 5 12" xfId="1257" xr:uid="{C64A9681-9E7F-4EFF-B95E-86CA86C60F0C}"/>
    <cellStyle name="Normal 5 12 2" xfId="2402" xr:uid="{28678EF3-8CDE-428E-81AB-A7E6B86CDDD9}"/>
    <cellStyle name="Normal 5 13" xfId="1258" xr:uid="{EB93462E-5AD7-4A66-BE77-BF70A2ED5E17}"/>
    <cellStyle name="Normal 5 13 2" xfId="2403" xr:uid="{0C4B0B91-02C6-4268-9F99-E13E2BFE1568}"/>
    <cellStyle name="Normal 5 14" xfId="2399" xr:uid="{E7C6EC88-5CA3-4EE0-A9F8-CE22887D754F}"/>
    <cellStyle name="Normal 5 14 2" xfId="3188" xr:uid="{8F76C4E5-CE7C-458A-8F16-CB00DAB0EA3E}"/>
    <cellStyle name="Normal 5 14 3" xfId="3414" xr:uid="{1E05F60B-D72F-44FE-9F88-693C8BADAAF4}"/>
    <cellStyle name="Normal 5 15" xfId="1254" xr:uid="{B37CE635-9CB3-49E7-8722-3F44EA05325D}"/>
    <cellStyle name="Normal 5 16" xfId="3067" xr:uid="{DBD7C356-0FE7-4333-B639-0B60BB1343C5}"/>
    <cellStyle name="Normal 5 17" xfId="3293" xr:uid="{AA542711-0BFA-41D2-BC06-6DD039AA9F8F}"/>
    <cellStyle name="Normal 5 18" xfId="3444" xr:uid="{22BD1268-FF37-48A2-A01F-45AA115E0A7A}"/>
    <cellStyle name="Normal 5 2" xfId="172" xr:uid="{F0F02DD2-2302-4FE2-86F1-FA81BD6E3EA0}"/>
    <cellStyle name="Normal 5 2 10" xfId="2404" xr:uid="{145A0486-62F9-48CA-9F0C-EE4B6444B760}"/>
    <cellStyle name="Normal 5 2 10 2" xfId="3189" xr:uid="{F13CC185-2D1F-404D-B434-12D0E7DB3C5D}"/>
    <cellStyle name="Normal 5 2 10 3" xfId="3415" xr:uid="{55D12F31-B8EF-4901-AC25-AC76C90776AA}"/>
    <cellStyle name="Normal 5 2 11" xfId="1259" xr:uid="{6DCBBD98-43CB-4C8D-961F-FC480DDDD718}"/>
    <cellStyle name="Normal 5 2 12" xfId="3068" xr:uid="{9A2A3142-BE02-4DCE-BD90-C4B2B00338D0}"/>
    <cellStyle name="Normal 5 2 13" xfId="3294" xr:uid="{1AA6A011-1C74-4C88-B1B0-C91BF01B1EE5}"/>
    <cellStyle name="Normal 5 2 14" xfId="3445" xr:uid="{9AA44ED4-2DE0-4EC5-818D-D9F933FA7C54}"/>
    <cellStyle name="Normal 5 2 2" xfId="1260" xr:uid="{FC8B4BF8-9CA6-4FA4-81DA-C6B26F3661CE}"/>
    <cellStyle name="Normal 5 2 2 10" xfId="1261" xr:uid="{A76075F0-8DD0-4835-B09F-D9E5E67476A9}"/>
    <cellStyle name="Normal 5 2 2 10 2" xfId="2406" xr:uid="{A95DC0F1-6B35-4B1D-8AAF-0976EF182200}"/>
    <cellStyle name="Normal 5 2 2 10 2 2" xfId="3190" xr:uid="{024F3D43-68DB-4F15-AC7E-CCE977FF3246}"/>
    <cellStyle name="Normal 5 2 2 10 2 3" xfId="3416" xr:uid="{F293420E-797F-40BC-830A-E18247CC86D6}"/>
    <cellStyle name="Normal 5 2 2 10 3" xfId="3069" xr:uid="{B8DEAFF0-F10A-4E1E-B3CA-63CBA3B86DF1}"/>
    <cellStyle name="Normal 5 2 2 10 4" xfId="3295" xr:uid="{453E8EDA-BF69-4138-B8A2-19FD25F4AB04}"/>
    <cellStyle name="Normal 5 2 2 11" xfId="1262" xr:uid="{6B115F05-F21D-4367-966C-FF676F5631A7}"/>
    <cellStyle name="Normal 5 2 2 11 2" xfId="2407" xr:uid="{6B22857C-80F6-451E-A7AC-4F845B199B0A}"/>
    <cellStyle name="Normal 5 2 2 11 2 2" xfId="3191" xr:uid="{CA52C0F0-CB01-4FBE-BF3D-ADFA6DF2D865}"/>
    <cellStyle name="Normal 5 2 2 11 2 3" xfId="3417" xr:uid="{88FF4407-5DAA-436A-B6C3-7AA79C4DBB53}"/>
    <cellStyle name="Normal 5 2 2 11 3" xfId="3070" xr:uid="{678CF709-E7B2-496F-8A1C-0933E5740289}"/>
    <cellStyle name="Normal 5 2 2 11 4" xfId="3296" xr:uid="{AB151ED0-CBB3-4C36-A7B1-9593D46E0936}"/>
    <cellStyle name="Normal 5 2 2 12" xfId="1263" xr:uid="{1010B834-B61A-4B74-AE5F-EB0BBBE358B7}"/>
    <cellStyle name="Normal 5 2 2 12 2" xfId="2408" xr:uid="{9EF6BCC8-18C0-4A36-9016-64033B1F2ED1}"/>
    <cellStyle name="Normal 5 2 2 12 2 2" xfId="3192" xr:uid="{12982725-1966-41AD-AF87-6F4DC171E33E}"/>
    <cellStyle name="Normal 5 2 2 12 2 3" xfId="3418" xr:uid="{37047011-692F-48FA-92E6-AC9B1CAA134F}"/>
    <cellStyle name="Normal 5 2 2 12 3" xfId="3071" xr:uid="{F160435F-26E3-4DB0-9D82-6B7E5130F901}"/>
    <cellStyle name="Normal 5 2 2 12 4" xfId="3297" xr:uid="{8887B8C4-891A-4D67-8321-1C8D276D065A}"/>
    <cellStyle name="Normal 5 2 2 13" xfId="1264" xr:uid="{1515163D-507A-490A-BAA4-90F0CAB473C7}"/>
    <cellStyle name="Normal 5 2 2 13 2" xfId="2409" xr:uid="{E43AE763-A0E4-4B8C-BCD3-2EB85A545571}"/>
    <cellStyle name="Normal 5 2 2 13 2 2" xfId="3193" xr:uid="{038BA360-3F19-4194-9805-577EE8DF7DB2}"/>
    <cellStyle name="Normal 5 2 2 13 2 3" xfId="3419" xr:uid="{0C63C49D-0FA5-42E8-BE94-D34CD24FA745}"/>
    <cellStyle name="Normal 5 2 2 13 3" xfId="3072" xr:uid="{075CA802-D8A1-4081-976F-2B33B9014D6F}"/>
    <cellStyle name="Normal 5 2 2 13 4" xfId="3298" xr:uid="{DA458215-D89C-4453-B17E-FCA48FD135C4}"/>
    <cellStyle name="Normal 5 2 2 14" xfId="2405" xr:uid="{7D2CCC8C-CD93-4B3D-8D5E-22065D1A5241}"/>
    <cellStyle name="Normal 5 2 2 2" xfId="1265" xr:uid="{DF43109F-BF93-4AEB-B479-4703203D4086}"/>
    <cellStyle name="Normal 5 2 2 2 10" xfId="1266" xr:uid="{C10A15B5-A442-4691-A7CF-0FACABCAAA8E}"/>
    <cellStyle name="Normal 5 2 2 2 10 2" xfId="2411" xr:uid="{692B10D5-D000-4AA5-9446-9E66BBF39ACF}"/>
    <cellStyle name="Normal 5 2 2 2 11" xfId="1267" xr:uid="{CED3C223-160A-4C6F-8397-7729C93E01E6}"/>
    <cellStyle name="Normal 5 2 2 2 11 2" xfId="2412" xr:uid="{0BE364AC-871E-478E-A945-6C3181B08111}"/>
    <cellStyle name="Normal 5 2 2 2 12" xfId="1268" xr:uid="{A7AD860E-5AAB-4AEE-93CA-4D91A93488B7}"/>
    <cellStyle name="Normal 5 2 2 2 12 2" xfId="2413" xr:uid="{8F4FC436-B7AF-4091-AB2A-E25E5948DEF4}"/>
    <cellStyle name="Normal 5 2 2 2 13" xfId="1269" xr:uid="{FE8CDC8B-3D39-4BED-8475-6715EDAB5B58}"/>
    <cellStyle name="Normal 5 2 2 2 13 2" xfId="2414" xr:uid="{7CDE1B63-E651-4772-8FFD-D995234B16DA}"/>
    <cellStyle name="Normal 5 2 2 2 14" xfId="2410" xr:uid="{4DA5CE74-7286-4383-8415-BF9364F9B36D}"/>
    <cellStyle name="Normal 5 2 2 2 14 2" xfId="3194" xr:uid="{451C7E0C-3474-44EE-928D-99C566876388}"/>
    <cellStyle name="Normal 5 2 2 2 14 3" xfId="3420" xr:uid="{A86FA152-214D-43C6-A1BF-FDE836249157}"/>
    <cellStyle name="Normal 5 2 2 2 15" xfId="3073" xr:uid="{B22A23F0-8E31-42A1-B1F0-B2C983629B0B}"/>
    <cellStyle name="Normal 5 2 2 2 16" xfId="3299" xr:uid="{F9E40F98-8407-40E3-843F-CD860C795A0E}"/>
    <cellStyle name="Normal 5 2 2 2 2" xfId="1270" xr:uid="{3E4ACA41-639B-4CE2-88E7-163B58B9B135}"/>
    <cellStyle name="Normal 5 2 2 2 2 2" xfId="2415" xr:uid="{2C127782-B3E0-4F14-8303-EF9F00B0420A}"/>
    <cellStyle name="Normal 5 2 2 2 3" xfId="1271" xr:uid="{32737894-8D24-41A9-87AE-0E3C88587AC8}"/>
    <cellStyle name="Normal 5 2 2 2 3 2" xfId="2416" xr:uid="{E22CC794-1768-46DA-95E1-D52CBDA6438F}"/>
    <cellStyle name="Normal 5 2 2 2 4" xfId="1272" xr:uid="{3A0C0876-84EA-44C9-892E-95412929617B}"/>
    <cellStyle name="Normal 5 2 2 2 4 2" xfId="2417" xr:uid="{1E7C8E09-356B-468D-9695-7C5126D96EDF}"/>
    <cellStyle name="Normal 5 2 2 2 5" xfId="1273" xr:uid="{13EB4671-FF0D-4A1E-8226-43AE81C57FCB}"/>
    <cellStyle name="Normal 5 2 2 2 5 2" xfId="2418" xr:uid="{6297275B-CBFF-4A08-A971-30AB0859B6DE}"/>
    <cellStyle name="Normal 5 2 2 2 6" xfId="1274" xr:uid="{E0964F67-9DAD-4FC2-A1C0-2AD2676907E6}"/>
    <cellStyle name="Normal 5 2 2 2 6 2" xfId="2419" xr:uid="{2E22C306-65EF-410D-B12B-A9A484ED2FFC}"/>
    <cellStyle name="Normal 5 2 2 2 7" xfId="1275" xr:uid="{A7D58EC1-C40E-4719-AED4-A462A78F732C}"/>
    <cellStyle name="Normal 5 2 2 2 7 2" xfId="2420" xr:uid="{ACE6D4C9-A0FC-401B-9370-F146519E4502}"/>
    <cellStyle name="Normal 5 2 2 2 8" xfId="1276" xr:uid="{2416816C-E815-4609-B0E4-CD1BE3BB7C0B}"/>
    <cellStyle name="Normal 5 2 2 2 8 2" xfId="2421" xr:uid="{1F604BFD-8C32-49C5-B924-C63A090F1F69}"/>
    <cellStyle name="Normal 5 2 2 2 9" xfId="1277" xr:uid="{9B52DF88-5338-4385-B7BA-D682AB3E7732}"/>
    <cellStyle name="Normal 5 2 2 2 9 2" xfId="2422" xr:uid="{D95E94A3-0BD4-4BF2-8C6F-48F973A1FD17}"/>
    <cellStyle name="Normal 5 2 2 3" xfId="1278" xr:uid="{752F591F-7CB3-4A16-8E59-B3B3F3677500}"/>
    <cellStyle name="Normal 5 2 2 3 2" xfId="2423" xr:uid="{E573B038-1BCF-4B2B-A46D-841DA386D02F}"/>
    <cellStyle name="Normal 5 2 2 3 2 2" xfId="3195" xr:uid="{2FEEF847-433A-4DE0-97A5-DB620463B01D}"/>
    <cellStyle name="Normal 5 2 2 3 2 3" xfId="3421" xr:uid="{F01A3B80-14C2-48D2-BB06-5FBB78F48DA5}"/>
    <cellStyle name="Normal 5 2 2 3 3" xfId="3074" xr:uid="{D263AD40-A267-4CAB-A2E1-562186F3CD28}"/>
    <cellStyle name="Normal 5 2 2 3 4" xfId="3300" xr:uid="{6CA84461-32DD-4E73-A5CF-05862699C8C8}"/>
    <cellStyle name="Normal 5 2 2 4" xfId="1279" xr:uid="{F1E65915-C270-487D-88CC-166C4FF268B0}"/>
    <cellStyle name="Normal 5 2 2 4 2" xfId="2424" xr:uid="{31A60789-9229-477C-95A9-ADEE5E562310}"/>
    <cellStyle name="Normal 5 2 2 4 2 2" xfId="3196" xr:uid="{31762BE2-B3FC-40D4-9D74-B66590BB72D6}"/>
    <cellStyle name="Normal 5 2 2 4 2 3" xfId="3422" xr:uid="{843B39AE-F68B-420F-B76E-92BF7B795CDA}"/>
    <cellStyle name="Normal 5 2 2 4 3" xfId="3075" xr:uid="{85FA6FD6-8E3F-4C43-B16D-BE73D5E42493}"/>
    <cellStyle name="Normal 5 2 2 4 4" xfId="3301" xr:uid="{EBDA5BBB-AC82-49B2-90F8-D871E11F9072}"/>
    <cellStyle name="Normal 5 2 2 5" xfId="1280" xr:uid="{2EE9884E-236A-4C7A-BCCE-DE3BDC220B3D}"/>
    <cellStyle name="Normal 5 2 2 5 2" xfId="2425" xr:uid="{E033C9CB-BB03-4C07-97B4-9A5833D9BC09}"/>
    <cellStyle name="Normal 5 2 2 5 2 2" xfId="3197" xr:uid="{25B591CC-F09C-40AA-9657-5EE04E33ADC6}"/>
    <cellStyle name="Normal 5 2 2 5 2 3" xfId="3423" xr:uid="{3D2F9C99-F9D5-4B2F-98BC-D9D7AECE6376}"/>
    <cellStyle name="Normal 5 2 2 5 3" xfId="3076" xr:uid="{8B2828C8-EB73-4F09-ADBA-40C532520139}"/>
    <cellStyle name="Normal 5 2 2 5 4" xfId="3302" xr:uid="{83749EE1-7085-4484-9DF8-1EE93ED69991}"/>
    <cellStyle name="Normal 5 2 2 6" xfId="1281" xr:uid="{6E0C22AA-57CE-4285-996D-BDE7CF6D7B22}"/>
    <cellStyle name="Normal 5 2 2 6 2" xfId="2426" xr:uid="{1CA4DC94-E6DA-4256-B5EC-CA6357B63C55}"/>
    <cellStyle name="Normal 5 2 2 6 2 2" xfId="3198" xr:uid="{58B1FFDB-5CC6-4230-A757-CEC87EDA736E}"/>
    <cellStyle name="Normal 5 2 2 6 2 3" xfId="3424" xr:uid="{02870625-A0E1-4A65-A0C2-24442DA3516C}"/>
    <cellStyle name="Normal 5 2 2 6 3" xfId="3077" xr:uid="{94EDC31F-2CCC-440C-A011-DB5FC911F495}"/>
    <cellStyle name="Normal 5 2 2 6 4" xfId="3303" xr:uid="{A02F01A9-0315-44EB-BC85-F67D8F83143A}"/>
    <cellStyle name="Normal 5 2 2 7" xfId="1282" xr:uid="{F24DFFDD-D590-4777-BDED-BC86E8138E90}"/>
    <cellStyle name="Normal 5 2 2 7 2" xfId="2427" xr:uid="{728693C0-67D9-406C-A2F3-6AAF1C5A4D6F}"/>
    <cellStyle name="Normal 5 2 2 7 2 2" xfId="3199" xr:uid="{52F8303F-DE3F-40F4-81E8-B898FF4CC0C3}"/>
    <cellStyle name="Normal 5 2 2 7 2 3" xfId="3425" xr:uid="{931616CE-6EA5-4FF7-BB9B-0532B7EBC6F5}"/>
    <cellStyle name="Normal 5 2 2 7 3" xfId="3078" xr:uid="{D4612885-DE02-4F30-8223-CA64D9AF8906}"/>
    <cellStyle name="Normal 5 2 2 7 4" xfId="3304" xr:uid="{BC9B08C0-874C-4780-A10D-B72CA33E1F07}"/>
    <cellStyle name="Normal 5 2 2 8" xfId="1283" xr:uid="{3F461310-3B8D-4A03-9CCB-882ADC9370CC}"/>
    <cellStyle name="Normal 5 2 2 8 2" xfId="2428" xr:uid="{FA8B16E7-2573-4744-89E8-F46C5975D4A6}"/>
    <cellStyle name="Normal 5 2 2 8 2 2" xfId="3200" xr:uid="{81944258-2193-4A94-B23B-0A024566659E}"/>
    <cellStyle name="Normal 5 2 2 8 2 3" xfId="3426" xr:uid="{06E09C54-2A1C-44A6-96E6-682A6C96D6D8}"/>
    <cellStyle name="Normal 5 2 2 8 3" xfId="3079" xr:uid="{2020A8FE-561B-4D0A-B248-735DBB49710E}"/>
    <cellStyle name="Normal 5 2 2 8 4" xfId="3305" xr:uid="{28D723D5-388B-4378-AEA0-A47AE1E99A2C}"/>
    <cellStyle name="Normal 5 2 2 9" xfId="1284" xr:uid="{77665622-5C8F-42E8-B776-B967A8F671BA}"/>
    <cellStyle name="Normal 5 2 2 9 2" xfId="2429" xr:uid="{BA1ABA94-D4F6-4202-AF54-4EDE16411759}"/>
    <cellStyle name="Normal 5 2 2 9 2 2" xfId="3201" xr:uid="{4BCD84BC-7802-43BE-A4F2-17AE0BF52B08}"/>
    <cellStyle name="Normal 5 2 2 9 2 3" xfId="3427" xr:uid="{81887F43-D0BF-4C50-B9AC-16981DE9D18C}"/>
    <cellStyle name="Normal 5 2 2 9 3" xfId="3080" xr:uid="{AA79D901-5DDC-42B6-B527-401175812523}"/>
    <cellStyle name="Normal 5 2 2 9 4" xfId="3306" xr:uid="{CFEBA57E-2503-404E-B077-222606C9B419}"/>
    <cellStyle name="Normal 5 2 3" xfId="1285" xr:uid="{1147D947-47DD-4584-B7C1-B9204A89D3C9}"/>
    <cellStyle name="Normal 5 2 3 2" xfId="2430" xr:uid="{D0F2D351-69BC-4C46-A899-72C585BDA955}"/>
    <cellStyle name="Normal 5 2 4" xfId="1286" xr:uid="{584F78C4-EEBA-4451-AB40-69E472BD5211}"/>
    <cellStyle name="Normal 5 2 4 2" xfId="2431" xr:uid="{E9DEFA83-61C3-4DD8-BAB5-7B8A251CD11A}"/>
    <cellStyle name="Normal 5 2 5" xfId="1287" xr:uid="{2ECF3789-D570-4603-A13D-D3F6516189D2}"/>
    <cellStyle name="Normal 5 2 5 2" xfId="2432" xr:uid="{525248DD-07E9-4A3E-AB71-9A0BD912219F}"/>
    <cellStyle name="Normal 5 2 6" xfId="1288" xr:uid="{8852DFB8-D5AC-4B48-8F65-7B674870899A}"/>
    <cellStyle name="Normal 5 2 6 2" xfId="2433" xr:uid="{97A78F73-C0B7-46D2-9EC1-18EEEB5028F5}"/>
    <cellStyle name="Normal 5 2 7" xfId="1289" xr:uid="{F885DA30-01B2-4F8A-B7C2-F1311637FDAF}"/>
    <cellStyle name="Normal 5 2 7 2" xfId="2434" xr:uid="{1CEF7975-6328-4BD2-B042-91ED868C81CF}"/>
    <cellStyle name="Normal 5 2 8" xfId="1290" xr:uid="{A48471E0-E145-44BF-B12F-0FAEA04094D2}"/>
    <cellStyle name="Normal 5 2 8 2" xfId="2435" xr:uid="{19B329CC-CD1C-44CF-910C-E7B8F3737383}"/>
    <cellStyle name="Normal 5 2 9" xfId="1291" xr:uid="{3DB3DDBA-8802-4900-8292-53AFD611431B}"/>
    <cellStyle name="Normal 5 2 9 2" xfId="2436" xr:uid="{533C4E8C-E21B-4E38-8E2D-41496B4CF097}"/>
    <cellStyle name="Normal 5 3" xfId="173" xr:uid="{38C750D6-6DF6-41C7-9589-51164223B574}"/>
    <cellStyle name="Normal 5 3 10" xfId="1292" xr:uid="{99C64328-BBB3-483A-AE7B-88581F70AC07}"/>
    <cellStyle name="Normal 5 3 2" xfId="1293" xr:uid="{52EB554C-6F73-410D-B453-D83FE085AEED}"/>
    <cellStyle name="Normal 5 3 2 2" xfId="2438" xr:uid="{1F05EDE9-5F35-4947-9131-2CA9DF31FD4C}"/>
    <cellStyle name="Normal 5 3 3" xfId="1294" xr:uid="{6FB314C5-EE1E-44FB-9A87-166408163EEA}"/>
    <cellStyle name="Normal 5 3 3 2" xfId="2439" xr:uid="{EBA66DC3-FBC0-433A-8980-1E0B19E39A37}"/>
    <cellStyle name="Normal 5 3 4" xfId="1295" xr:uid="{97027B9F-8C50-4483-83A8-21D259E9469D}"/>
    <cellStyle name="Normal 5 3 4 2" xfId="2440" xr:uid="{9EBB297C-CEC3-47D6-BFBE-D24261BFBD20}"/>
    <cellStyle name="Normal 5 3 5" xfId="1296" xr:uid="{B523F4C3-BFCA-45FA-8D40-316702C16AEA}"/>
    <cellStyle name="Normal 5 3 5 2" xfId="2441" xr:uid="{CBBEFC69-E054-492F-A4DA-D7C81A66CB3B}"/>
    <cellStyle name="Normal 5 3 6" xfId="1297" xr:uid="{B1EDE783-F3BF-43DB-987F-052AC7A7D3F2}"/>
    <cellStyle name="Normal 5 3 6 2" xfId="2442" xr:uid="{5049D1E3-1B8A-4376-A32B-7FC98A25772B}"/>
    <cellStyle name="Normal 5 3 7" xfId="1298" xr:uid="{2B1CD59F-99A8-46C4-8D7E-AE6A56AD5BAC}"/>
    <cellStyle name="Normal 5 3 7 2" xfId="2443" xr:uid="{F480D743-32AE-4D22-A1B7-077A99E110A0}"/>
    <cellStyle name="Normal 5 3 8" xfId="1299" xr:uid="{9B6F76EF-4875-4245-8B88-5867FA8903B6}"/>
    <cellStyle name="Normal 5 3 8 2" xfId="2444" xr:uid="{3E812F08-03B8-4439-B2E4-741DDC0F742A}"/>
    <cellStyle name="Normal 5 3 9" xfId="2437" xr:uid="{E56A6357-002A-445B-863F-20FB671D6BC2}"/>
    <cellStyle name="Normal 5 4" xfId="174" xr:uid="{A5168552-B2A1-4DB3-8C49-711B2A0B6771}"/>
    <cellStyle name="Normal 5 4 10" xfId="1300" xr:uid="{96ABB418-F488-4005-B7CF-A2D9FDB0A853}"/>
    <cellStyle name="Normal 5 4 2" xfId="1301" xr:uid="{FC7771D1-C3FC-4E9B-AD97-F419E0FE6538}"/>
    <cellStyle name="Normal 5 4 2 2" xfId="2446" xr:uid="{A96F27A8-8503-46F1-B307-860C3B01BAFF}"/>
    <cellStyle name="Normal 5 4 3" xfId="1302" xr:uid="{3A673113-8A27-4860-B6D2-D15ADABB3D0F}"/>
    <cellStyle name="Normal 5 4 3 2" xfId="2447" xr:uid="{9C54CAC1-BE2A-44B1-91D2-BE4E18F7FE5E}"/>
    <cellStyle name="Normal 5 4 4" xfId="1303" xr:uid="{B07B753F-7869-4035-9F25-0FD2405A5595}"/>
    <cellStyle name="Normal 5 4 4 2" xfId="2448" xr:uid="{CCD17FD7-09AE-48EB-9728-E6E50C754473}"/>
    <cellStyle name="Normal 5 4 5" xfId="1304" xr:uid="{F1833F20-930A-4511-8ED3-4B23509D92B8}"/>
    <cellStyle name="Normal 5 4 5 2" xfId="2449" xr:uid="{2F0E7660-7433-40D3-BB59-5A3D1BA0615E}"/>
    <cellStyle name="Normal 5 4 6" xfId="1305" xr:uid="{4A39A643-F33C-423C-AB49-1974F2C307B0}"/>
    <cellStyle name="Normal 5 4 6 2" xfId="2450" xr:uid="{99DF7AAE-8F2C-48D6-B1FA-83EEDD0B1DE4}"/>
    <cellStyle name="Normal 5 4 7" xfId="1306" xr:uid="{050FC047-5AC6-438E-A622-32BD8E40B4EE}"/>
    <cellStyle name="Normal 5 4 7 2" xfId="2451" xr:uid="{A0EE57E6-4E40-45B0-9F58-AAD3A8850B26}"/>
    <cellStyle name="Normal 5 4 8" xfId="1307" xr:uid="{B559C0E9-7C64-497D-AE6F-4C57FE57A67A}"/>
    <cellStyle name="Normal 5 4 8 2" xfId="2452" xr:uid="{E97451B5-6876-41FC-A70A-28EDCD31226D}"/>
    <cellStyle name="Normal 5 4 9" xfId="2445" xr:uid="{0DD5157F-61B1-446E-949E-3484BB17D223}"/>
    <cellStyle name="Normal 5 5" xfId="1308" xr:uid="{B0ACD8CB-2349-479E-A285-B785B9E3CD2B}"/>
    <cellStyle name="Normal 5 5 2" xfId="1309" xr:uid="{519984B9-5042-4435-B87E-98AAE738E472}"/>
    <cellStyle name="Normal 5 5 2 2" xfId="2454" xr:uid="{79761AF6-CA98-4DEC-B43C-281132B3CDEB}"/>
    <cellStyle name="Normal 5 5 3" xfId="1310" xr:uid="{16940BC7-292C-451F-9232-30385BF77BB2}"/>
    <cellStyle name="Normal 5 5 3 2" xfId="2455" xr:uid="{D040F567-39C8-4BC8-A311-9032824D74E5}"/>
    <cellStyle name="Normal 5 5 4" xfId="1311" xr:uid="{FC89DB5D-A08A-4FA6-864D-F55825AB5FBD}"/>
    <cellStyle name="Normal 5 5 4 2" xfId="2456" xr:uid="{50C82875-EB30-4D74-A412-9A683DAA8092}"/>
    <cellStyle name="Normal 5 5 5" xfId="1312" xr:uid="{76E443E1-D79C-4C89-A3B0-091D05332E64}"/>
    <cellStyle name="Normal 5 5 5 2" xfId="2457" xr:uid="{925BFB37-8BF3-44C5-8CF9-02EFF767D325}"/>
    <cellStyle name="Normal 5 5 6" xfId="1313" xr:uid="{70EE3238-1781-4769-BA70-11FD10F14949}"/>
    <cellStyle name="Normal 5 5 6 2" xfId="2458" xr:uid="{9CB5B12D-72B5-4B99-9556-08678ADF1F7D}"/>
    <cellStyle name="Normal 5 5 7" xfId="1314" xr:uid="{1110A000-B0AC-473C-95FF-19E1818A4A2A}"/>
    <cellStyle name="Normal 5 5 7 2" xfId="2459" xr:uid="{1734B31D-A198-47AE-954E-6D2A6444C3D4}"/>
    <cellStyle name="Normal 5 5 8" xfId="1315" xr:uid="{B08C0B5B-1B99-48AE-9BFB-47F57B908F41}"/>
    <cellStyle name="Normal 5 5 8 2" xfId="2460" xr:uid="{40FDBAF8-3E3C-4D84-B38F-A63D7B4B3D47}"/>
    <cellStyle name="Normal 5 5 9" xfId="2453" xr:uid="{779C0BAB-F2DE-45A0-9CDF-06289D4FCCE7}"/>
    <cellStyle name="Normal 5 6" xfId="1316" xr:uid="{D48E2687-DE94-469B-BAD9-494D5ACB5932}"/>
    <cellStyle name="Normal 5 6 2" xfId="2461" xr:uid="{205A0BE1-82A8-4285-9DB0-682CAD6D558A}"/>
    <cellStyle name="Normal 5 7" xfId="1317" xr:uid="{056E4FCE-7FC6-49B9-87A6-04C151B2FD7E}"/>
    <cellStyle name="Normal 5 7 2" xfId="2462" xr:uid="{CD078568-62C0-4421-B8DC-C3C032D7D516}"/>
    <cellStyle name="Normal 5 8" xfId="1318" xr:uid="{105948FB-ED31-4B2D-8F51-7EAB1B80E527}"/>
    <cellStyle name="Normal 5 8 2" xfId="2463" xr:uid="{E04A0A53-8D4F-4841-B493-224D4879A9B1}"/>
    <cellStyle name="Normal 5 9" xfId="1319" xr:uid="{0F1EDEB9-0FAE-42E7-B417-964CF22D8FC9}"/>
    <cellStyle name="Normal 5 9 2" xfId="2464" xr:uid="{898B07FC-1658-4D62-A795-00F277DA53FE}"/>
    <cellStyle name="Normal 6" xfId="175" xr:uid="{28678E38-9A2B-4742-8B86-B46305F6A7E5}"/>
    <cellStyle name="Normal 6 10" xfId="1321" xr:uid="{FB08DF38-B3D6-4A9F-A2FE-A9CA72EE784F}"/>
    <cellStyle name="Normal 6 10 2" xfId="2466" xr:uid="{4D2DB370-72D6-491F-8717-C11625B11448}"/>
    <cellStyle name="Normal 6 11" xfId="1322" xr:uid="{5B83D9DF-9448-4F5A-A5C8-1A1D77A84424}"/>
    <cellStyle name="Normal 6 11 2" xfId="2467" xr:uid="{75BD01C8-D128-4388-99D0-6778D1B2A1A6}"/>
    <cellStyle name="Normal 6 12" xfId="1323" xr:uid="{20EDBD98-EA70-4166-A48B-74691F602B8B}"/>
    <cellStyle name="Normal 6 12 2" xfId="2468" xr:uid="{24F5A94A-CDD0-41A2-A738-9DD740FFF965}"/>
    <cellStyle name="Normal 6 13" xfId="1324" xr:uid="{F95C8E7E-8268-4223-8DC5-73ACAB69C0BD}"/>
    <cellStyle name="Normal 6 13 2" xfId="2469" xr:uid="{57A70A51-77F9-4BF6-91DA-856C8D139931}"/>
    <cellStyle name="Normal 6 14" xfId="2465" xr:uid="{800383D6-FF81-4C62-992F-18EC84819B86}"/>
    <cellStyle name="Normal 6 15" xfId="1320" xr:uid="{4B7B89D5-10CE-461B-BEBE-BEEB3B95F338}"/>
    <cellStyle name="Normal 6 2" xfId="176" xr:uid="{8E95E9D9-2659-4652-9DEA-40EFB96AE70E}"/>
    <cellStyle name="Normal 6 2 10" xfId="1325" xr:uid="{69B52E5D-8973-484D-A638-35588C62A76C}"/>
    <cellStyle name="Normal 6 2 2" xfId="177" xr:uid="{0D711DE0-77C2-476C-B295-163FB44D77B6}"/>
    <cellStyle name="Normal 6 2 2 10" xfId="1327" xr:uid="{465DF225-AF0D-4D3A-9CCC-4891E17AC2A4}"/>
    <cellStyle name="Normal 6 2 2 10 2" xfId="2472" xr:uid="{B1F2882B-5E0D-4E54-8654-E5E8C763A44D}"/>
    <cellStyle name="Normal 6 2 2 10 2 2" xfId="3202" xr:uid="{EF11E637-F20E-4C53-BB0A-407719AC989D}"/>
    <cellStyle name="Normal 6 2 2 10 2 3" xfId="3428" xr:uid="{27903AF8-033C-4E44-BF6D-12F210743751}"/>
    <cellStyle name="Normal 6 2 2 10 3" xfId="3081" xr:uid="{09CD4D43-9086-4D40-8A99-4CD24D5C0E3E}"/>
    <cellStyle name="Normal 6 2 2 10 4" xfId="3307" xr:uid="{028541A7-9636-4A76-AFFD-4A7347D25B7D}"/>
    <cellStyle name="Normal 6 2 2 11" xfId="1328" xr:uid="{53143982-32AA-4595-97CA-EA999A55B800}"/>
    <cellStyle name="Normal 6 2 2 11 2" xfId="2473" xr:uid="{2A77DCA2-71FC-4C99-8332-6A229EF0078B}"/>
    <cellStyle name="Normal 6 2 2 11 2 2" xfId="3203" xr:uid="{1C0CD0C3-23F3-48C6-BE14-6BB31306BEE8}"/>
    <cellStyle name="Normal 6 2 2 11 2 3" xfId="3429" xr:uid="{B9A25123-1344-4E22-A913-0FEFB32F255D}"/>
    <cellStyle name="Normal 6 2 2 11 3" xfId="3082" xr:uid="{EBBE192D-7540-4458-A6D2-569E9E376406}"/>
    <cellStyle name="Normal 6 2 2 11 4" xfId="3308" xr:uid="{372772BA-79A5-4C1C-8F13-12407CE2A3B2}"/>
    <cellStyle name="Normal 6 2 2 12" xfId="1329" xr:uid="{45226C30-B3E9-4F1D-B13D-86DEC5C331CC}"/>
    <cellStyle name="Normal 6 2 2 12 2" xfId="2474" xr:uid="{86B3B42F-72A9-46D8-9B19-7227465042DE}"/>
    <cellStyle name="Normal 6 2 2 12 2 2" xfId="3204" xr:uid="{678A7315-BE7A-4E13-934B-A6D21DF98503}"/>
    <cellStyle name="Normal 6 2 2 12 2 3" xfId="3430" xr:uid="{6FEDB245-420C-432D-9A1A-FF2133E6C3CB}"/>
    <cellStyle name="Normal 6 2 2 12 3" xfId="3083" xr:uid="{5813AC28-A1C4-4ACC-9E64-206F2B1D8A04}"/>
    <cellStyle name="Normal 6 2 2 12 4" xfId="3309" xr:uid="{CE9810E9-01D5-4A36-B5D6-78E0248D38CF}"/>
    <cellStyle name="Normal 6 2 2 13" xfId="1330" xr:uid="{1FC9D55A-089F-4880-BFCA-A8613A4FC3BA}"/>
    <cellStyle name="Normal 6 2 2 13 2" xfId="2475" xr:uid="{11D72A0E-7CC2-428B-B3BD-7EFDC6C46744}"/>
    <cellStyle name="Normal 6 2 2 13 2 2" xfId="3205" xr:uid="{5D3FC433-188A-497D-BE67-7B5764F10620}"/>
    <cellStyle name="Normal 6 2 2 13 2 3" xfId="3431" xr:uid="{C08D1994-785D-46DD-A74B-0F3AFA1BB051}"/>
    <cellStyle name="Normal 6 2 2 13 3" xfId="3084" xr:uid="{2A24A117-0E8E-4805-8420-5531AA3C83CF}"/>
    <cellStyle name="Normal 6 2 2 13 4" xfId="3310" xr:uid="{0E3AF178-B715-4F36-B4E3-5B00A433D271}"/>
    <cellStyle name="Normal 6 2 2 14" xfId="2471" xr:uid="{F70434B6-97C4-43BB-87B8-A6A907D82A68}"/>
    <cellStyle name="Normal 6 2 2 15" xfId="1326" xr:uid="{FA151E99-0C55-429E-936B-68B5C46D2AF5}"/>
    <cellStyle name="Normal 6 2 2 2" xfId="1331" xr:uid="{953BA60E-CD7C-4229-8150-FE455A128C11}"/>
    <cellStyle name="Normal 6 2 2 2 2" xfId="2476" xr:uid="{FEFA5765-48F5-49B3-AB8D-002EFB3B57C1}"/>
    <cellStyle name="Normal 6 2 2 2 2 2" xfId="3206" xr:uid="{42635B6E-4F80-40AC-A42F-E1B48846859A}"/>
    <cellStyle name="Normal 6 2 2 2 2 3" xfId="3432" xr:uid="{6672EB74-0F25-4DD9-B561-6B36FE989174}"/>
    <cellStyle name="Normal 6 2 2 2 3" xfId="3085" xr:uid="{54258FFF-D324-4646-9985-348E8DABB4DB}"/>
    <cellStyle name="Normal 6 2 2 2 4" xfId="3311" xr:uid="{26241020-1C59-4095-8108-B101D13D34FD}"/>
    <cellStyle name="Normal 6 2 2 3" xfId="1332" xr:uid="{32EB0A25-1E3D-4364-9B3B-5305F024C0E5}"/>
    <cellStyle name="Normal 6 2 2 3 2" xfId="2477" xr:uid="{D3A310BD-3492-491C-A78F-B0AC88089EB4}"/>
    <cellStyle name="Normal 6 2 2 3 2 2" xfId="3207" xr:uid="{FA53913A-8FD4-4805-AB2D-240196F70F29}"/>
    <cellStyle name="Normal 6 2 2 3 2 3" xfId="3433" xr:uid="{65F7D4BA-86CA-4C0C-81B0-4FFD63244C53}"/>
    <cellStyle name="Normal 6 2 2 3 3" xfId="3086" xr:uid="{EAC63EDA-FBF6-4FB5-A974-BF33F0CC90BE}"/>
    <cellStyle name="Normal 6 2 2 3 4" xfId="3312" xr:uid="{83B9ABE4-5A10-4821-9283-BB8B064F98BF}"/>
    <cellStyle name="Normal 6 2 2 4" xfId="1333" xr:uid="{7B05E2CF-6C49-4DC3-87B1-253C3BB69B2D}"/>
    <cellStyle name="Normal 6 2 2 4 2" xfId="2478" xr:uid="{2B81A069-7A5A-427E-A01E-EC1D43FECC96}"/>
    <cellStyle name="Normal 6 2 2 4 2 2" xfId="3208" xr:uid="{4CB28C21-E982-4B2D-84DD-A573DDA97037}"/>
    <cellStyle name="Normal 6 2 2 4 2 3" xfId="3434" xr:uid="{98066BE9-DED9-4590-BA97-6E82FA6EE3C1}"/>
    <cellStyle name="Normal 6 2 2 4 3" xfId="3087" xr:uid="{EB5EEA67-0571-4544-B141-36185831D9A7}"/>
    <cellStyle name="Normal 6 2 2 4 4" xfId="3313" xr:uid="{E20DC5F8-FC1A-4FDC-8B13-B6D56CBDFA9B}"/>
    <cellStyle name="Normal 6 2 2 5" xfId="1334" xr:uid="{F6E16027-88E6-4875-B8CF-ABFE0BE91141}"/>
    <cellStyle name="Normal 6 2 2 5 2" xfId="2479" xr:uid="{129AA137-A5FA-4D36-B83D-B95AA0684D84}"/>
    <cellStyle name="Normal 6 2 2 5 2 2" xfId="3209" xr:uid="{6996FDA4-2019-479A-B42D-29FBA9724DD3}"/>
    <cellStyle name="Normal 6 2 2 5 2 3" xfId="3435" xr:uid="{660A1B13-A902-49C0-BD15-7DCC13348D61}"/>
    <cellStyle name="Normal 6 2 2 5 3" xfId="3088" xr:uid="{24094612-7AF5-43D8-8D27-BA53D0F9B96B}"/>
    <cellStyle name="Normal 6 2 2 5 4" xfId="3314" xr:uid="{0E87609F-C584-4303-A251-606B1C006491}"/>
    <cellStyle name="Normal 6 2 2 6" xfId="1335" xr:uid="{7AD3F8EF-ACB9-4705-B371-9B194D56B0A2}"/>
    <cellStyle name="Normal 6 2 2 6 2" xfId="2480" xr:uid="{46C2F7F3-F97E-4DB1-AD45-57B0E0A15CFF}"/>
    <cellStyle name="Normal 6 2 2 6 2 2" xfId="3210" xr:uid="{BA464111-CE31-422C-B1A3-0242C3DAD457}"/>
    <cellStyle name="Normal 6 2 2 6 2 3" xfId="3436" xr:uid="{E2923E65-20A3-48CE-84C1-8269D16332F7}"/>
    <cellStyle name="Normal 6 2 2 6 3" xfId="3089" xr:uid="{4313D37E-7453-4DEB-AF73-1832CD9A5F8B}"/>
    <cellStyle name="Normal 6 2 2 6 4" xfId="3315" xr:uid="{4E527FF6-8B2B-42A3-85AD-974607921871}"/>
    <cellStyle name="Normal 6 2 2 7" xfId="1336" xr:uid="{09723EDF-BD0E-4547-B7B2-4250FCD1B618}"/>
    <cellStyle name="Normal 6 2 2 7 2" xfId="2481" xr:uid="{9259C4E6-1E18-4FD9-84C8-1EF620E3607A}"/>
    <cellStyle name="Normal 6 2 2 7 2 2" xfId="3211" xr:uid="{14B16730-8D3F-4B65-B27C-E833F41E0D67}"/>
    <cellStyle name="Normal 6 2 2 7 2 3" xfId="3437" xr:uid="{2CC4EB41-C21D-46BC-9464-1D67D70D4692}"/>
    <cellStyle name="Normal 6 2 2 7 3" xfId="3090" xr:uid="{DD0DCADD-64C4-4137-966B-14F6A4D72BAF}"/>
    <cellStyle name="Normal 6 2 2 7 4" xfId="3316" xr:uid="{C584CD74-F3E8-4953-AE59-42AE7E221338}"/>
    <cellStyle name="Normal 6 2 2 8" xfId="1337" xr:uid="{6B4C2B5E-D0C1-4C48-923A-6D8C33853EB6}"/>
    <cellStyle name="Normal 6 2 2 8 2" xfId="2482" xr:uid="{2AEAB27F-9137-4CA8-80A3-E298C1749A24}"/>
    <cellStyle name="Normal 6 2 2 8 2 2" xfId="3212" xr:uid="{890C4BC6-2D3A-4302-A71C-5E106FE24BCF}"/>
    <cellStyle name="Normal 6 2 2 8 2 3" xfId="3438" xr:uid="{91259515-2EFC-4E1C-9F3C-42D11CAB5C45}"/>
    <cellStyle name="Normal 6 2 2 8 3" xfId="3091" xr:uid="{4A257026-4435-47B4-9471-ECA1526FAA28}"/>
    <cellStyle name="Normal 6 2 2 8 4" xfId="3317" xr:uid="{70032BF4-5783-40F2-8492-DE4648AFD5AB}"/>
    <cellStyle name="Normal 6 2 2 9" xfId="1338" xr:uid="{444149D0-B02F-4BD3-97B1-80C31DF15C8A}"/>
    <cellStyle name="Normal 6 2 2 9 2" xfId="2483" xr:uid="{48EFAA41-6C2D-4983-84B8-FACF2CBC27A6}"/>
    <cellStyle name="Normal 6 2 2 9 2 2" xfId="3213" xr:uid="{421C1BBE-0649-4ACE-9BD1-81C79300011E}"/>
    <cellStyle name="Normal 6 2 2 9 2 3" xfId="3439" xr:uid="{62B31919-AA75-4657-B891-AE6295B8760C}"/>
    <cellStyle name="Normal 6 2 2 9 3" xfId="3092" xr:uid="{EECB82BD-594E-4F11-8563-C8DC847DD828}"/>
    <cellStyle name="Normal 6 2 2 9 4" xfId="3318" xr:uid="{A18321CF-1B24-4894-A23B-DF87CB23B0F3}"/>
    <cellStyle name="Normal 6 2 3" xfId="1339" xr:uid="{29F7D55E-48EC-4376-BE44-CA7B0E46C334}"/>
    <cellStyle name="Normal 6 2 3 2" xfId="2484" xr:uid="{188F1FD8-54D8-41E4-B181-7FB2E814666C}"/>
    <cellStyle name="Normal 6 2 4" xfId="1340" xr:uid="{0F674145-8CCC-4F78-9366-DB0D8A61C3C7}"/>
    <cellStyle name="Normal 6 2 4 2" xfId="2485" xr:uid="{91694E6F-37FA-4136-870A-3163557E1335}"/>
    <cellStyle name="Normal 6 2 5" xfId="1341" xr:uid="{F2B6ADC9-4F52-4E14-B811-3DB57FFAF263}"/>
    <cellStyle name="Normal 6 2 5 2" xfId="2486" xr:uid="{28189041-7C66-4421-9CBD-98A1296D7264}"/>
    <cellStyle name="Normal 6 2 6" xfId="1342" xr:uid="{A6FE45F5-F030-477F-A7F2-FCC9BD1B4335}"/>
    <cellStyle name="Normal 6 2 6 2" xfId="2487" xr:uid="{BD4B96D3-932F-42C6-8353-27B21FCDB211}"/>
    <cellStyle name="Normal 6 2 7" xfId="1343" xr:uid="{F417FA5D-3C7A-40D7-87FA-B9597774EEAC}"/>
    <cellStyle name="Normal 6 2 7 2" xfId="2488" xr:uid="{C8F1AAB6-727D-4EFD-B898-711E903E0CD3}"/>
    <cellStyle name="Normal 6 2 8" xfId="1344" xr:uid="{0C86E4DB-7393-48CB-965C-FB1715FAD96C}"/>
    <cellStyle name="Normal 6 2 8 2" xfId="2489" xr:uid="{E71DB831-39A6-4054-9B20-DD7D96A332AB}"/>
    <cellStyle name="Normal 6 2 9" xfId="2470" xr:uid="{41D355D0-7096-4147-A7EB-68E6412F36A4}"/>
    <cellStyle name="Normal 6 3" xfId="178" xr:uid="{BAC7DDF8-3921-4C61-B2BA-AE2BF320D86E}"/>
    <cellStyle name="Normal 6 3 10" xfId="1345" xr:uid="{070A299A-F4D5-433D-9E50-6283A11E9215}"/>
    <cellStyle name="Normal 6 3 2" xfId="1346" xr:uid="{B383279A-FF6E-4522-BAED-8D9C1063B3D3}"/>
    <cellStyle name="Normal 6 3 2 2" xfId="2491" xr:uid="{58636250-2FA7-4376-9A43-5B4592847677}"/>
    <cellStyle name="Normal 6 3 3" xfId="1347" xr:uid="{DF1121E6-3D00-4985-94DA-A5960B6B30D7}"/>
    <cellStyle name="Normal 6 3 3 2" xfId="2492" xr:uid="{39712889-9448-45E3-86B0-70B1830F7DD9}"/>
    <cellStyle name="Normal 6 3 4" xfId="1348" xr:uid="{0B46DC8B-7606-46AD-8D46-A45586C02E20}"/>
    <cellStyle name="Normal 6 3 4 2" xfId="2493" xr:uid="{C8331743-09AC-4A2D-8D98-C884FB45C4F7}"/>
    <cellStyle name="Normal 6 3 5" xfId="1349" xr:uid="{E5CB0963-F3DF-4438-8536-02A8DEA817EB}"/>
    <cellStyle name="Normal 6 3 5 2" xfId="2494" xr:uid="{46B7AC33-8256-42E4-8938-AE620BF7BA1F}"/>
    <cellStyle name="Normal 6 3 6" xfId="1350" xr:uid="{8FE38DF5-3A02-41D4-A4C8-8DD95F36147B}"/>
    <cellStyle name="Normal 6 3 6 2" xfId="2495" xr:uid="{36771F22-E86E-41E9-99F1-895F27E3D93F}"/>
    <cellStyle name="Normal 6 3 7" xfId="1351" xr:uid="{74F3B813-3688-4B37-8F1C-1551DB5314A5}"/>
    <cellStyle name="Normal 6 3 7 2" xfId="2496" xr:uid="{AD61F245-0CFF-482B-A551-95C0F4D47E48}"/>
    <cellStyle name="Normal 6 3 8" xfId="1352" xr:uid="{B11424A5-096E-4CB2-B17F-19AB24F2A6FB}"/>
    <cellStyle name="Normal 6 3 8 2" xfId="2497" xr:uid="{524D8783-1C14-4A94-AB39-AE41068633BB}"/>
    <cellStyle name="Normal 6 3 9" xfId="2490" xr:uid="{5B7DB45D-E386-4794-AE75-FC13D074C746}"/>
    <cellStyle name="Normal 6 4" xfId="179" xr:uid="{41B49234-17D0-49C2-A2F0-5D50B0970F5D}"/>
    <cellStyle name="Normal 6 4 10" xfId="1353" xr:uid="{FE5A7A97-7F65-422A-B4D5-F266B4EDB6AD}"/>
    <cellStyle name="Normal 6 4 2" xfId="1354" xr:uid="{D739DFEA-C94E-4996-A7A4-F35E22550BDF}"/>
    <cellStyle name="Normal 6 4 2 2" xfId="2499" xr:uid="{4608E158-6D34-48A7-8A84-64FD6EC6BA35}"/>
    <cellStyle name="Normal 6 4 3" xfId="1355" xr:uid="{8D40814F-DEFC-437D-BCEC-BF1829BBE6F7}"/>
    <cellStyle name="Normal 6 4 3 2" xfId="2500" xr:uid="{D33962E6-3DF0-47C9-8FCD-4A95476F9D6C}"/>
    <cellStyle name="Normal 6 4 4" xfId="1356" xr:uid="{F04336A4-CD60-4691-A48F-6AD22C89206B}"/>
    <cellStyle name="Normal 6 4 4 2" xfId="2501" xr:uid="{7C91CF0E-35E2-476A-B7FD-3D5A39CD94F4}"/>
    <cellStyle name="Normal 6 4 5" xfId="1357" xr:uid="{732D6BE2-398D-402D-9D1E-8B76D76850BD}"/>
    <cellStyle name="Normal 6 4 5 2" xfId="2502" xr:uid="{4CF192B3-2C5A-4CBA-8373-97A6C08F73EC}"/>
    <cellStyle name="Normal 6 4 6" xfId="1358" xr:uid="{E21A5790-C3B2-4594-B96A-8D395D0C22E6}"/>
    <cellStyle name="Normal 6 4 6 2" xfId="2503" xr:uid="{8A61D377-9429-4BB1-BFE1-B1821EB6C297}"/>
    <cellStyle name="Normal 6 4 7" xfId="1359" xr:uid="{28266EDF-F816-4802-BB15-406836FAF19D}"/>
    <cellStyle name="Normal 6 4 7 2" xfId="2504" xr:uid="{A04CD96F-366F-4EB5-B562-AEC13849A7C5}"/>
    <cellStyle name="Normal 6 4 8" xfId="1360" xr:uid="{47C4D2E0-673D-496C-BF73-FAB659D51CF5}"/>
    <cellStyle name="Normal 6 4 8 2" xfId="2505" xr:uid="{F5A53F44-5FC4-4303-AE28-A7602B17C2CE}"/>
    <cellStyle name="Normal 6 4 9" xfId="2498" xr:uid="{3268F341-21BC-45EC-B466-3E97E501713E}"/>
    <cellStyle name="Normal 6 5" xfId="1361" xr:uid="{8511B27F-C652-4E00-A973-2A988135CF96}"/>
    <cellStyle name="Normal 6 5 2" xfId="1362" xr:uid="{943981A4-5180-4224-A272-A39EA332EDD5}"/>
    <cellStyle name="Normal 6 5 2 2" xfId="2507" xr:uid="{556B5650-82E5-4B42-86F1-60B44EC30F17}"/>
    <cellStyle name="Normal 6 5 3" xfId="1363" xr:uid="{AEE3A26E-077A-4B1B-86B6-36F6E45BB523}"/>
    <cellStyle name="Normal 6 5 3 2" xfId="2508" xr:uid="{F3133982-8651-4DF9-B8D3-FAB21F2E0242}"/>
    <cellStyle name="Normal 6 5 4" xfId="1364" xr:uid="{416D6727-CB24-407A-B580-0B9F93ABAD9E}"/>
    <cellStyle name="Normal 6 5 4 2" xfId="2509" xr:uid="{19C35867-C569-40E5-A155-B7B3E2785189}"/>
    <cellStyle name="Normal 6 5 5" xfId="1365" xr:uid="{13CEEC45-C9AB-431A-9980-65CEE436BF5B}"/>
    <cellStyle name="Normal 6 5 5 2" xfId="2510" xr:uid="{C9599004-5E06-4F6A-BF8C-BC4931C8AEB9}"/>
    <cellStyle name="Normal 6 5 6" xfId="1366" xr:uid="{A483DE10-B680-4BA8-ADF6-E2A43F1B51EA}"/>
    <cellStyle name="Normal 6 5 6 2" xfId="2511" xr:uid="{42C90334-6290-42F2-8DDA-91736B15F71D}"/>
    <cellStyle name="Normal 6 5 7" xfId="1367" xr:uid="{44E46AAA-E0AE-417D-A889-7641E1BBBDFB}"/>
    <cellStyle name="Normal 6 5 7 2" xfId="2512" xr:uid="{2DC983C0-EED8-4FEB-ACCB-D6AFAB0565F9}"/>
    <cellStyle name="Normal 6 5 8" xfId="1368" xr:uid="{CFD99530-BA64-4083-A619-D83F56EAB3AF}"/>
    <cellStyle name="Normal 6 5 8 2" xfId="2513" xr:uid="{E998A69D-069E-4F3C-A0D8-9898DDA81258}"/>
    <cellStyle name="Normal 6 5 9" xfId="2506" xr:uid="{E790743F-C4BD-4296-9101-ACCDC33DAB02}"/>
    <cellStyle name="Normal 6 6" xfId="1369" xr:uid="{57F3BB61-C75D-4541-9F2C-654713F11E3E}"/>
    <cellStyle name="Normal 6 6 2" xfId="2514" xr:uid="{3FE62451-CA9D-4698-9D19-DD454E5389C8}"/>
    <cellStyle name="Normal 6 7" xfId="1370" xr:uid="{0B3CF02B-E472-435B-AAEC-65476AFD366C}"/>
    <cellStyle name="Normal 6 7 2" xfId="2515" xr:uid="{F91E99B1-87E2-409B-840C-10DB19F0A1AE}"/>
    <cellStyle name="Normal 6 8" xfId="1371" xr:uid="{669DDBDC-96B1-4AFF-9248-EBB136D05CC9}"/>
    <cellStyle name="Normal 6 8 2" xfId="2516" xr:uid="{DD017071-6F66-439A-BBCC-BC668ACB5BE6}"/>
    <cellStyle name="Normal 6 9" xfId="1372" xr:uid="{1D32B1BB-B3A3-4FC7-B814-45098067ACC3}"/>
    <cellStyle name="Normal 6 9 2" xfId="2517" xr:uid="{F747BFD2-47C2-4CB6-B8DE-ECB5B9B94D12}"/>
    <cellStyle name="Normal 7" xfId="180" xr:uid="{EBA57EE7-2403-4245-9BED-58218080CF03}"/>
    <cellStyle name="Normal 7 10" xfId="1374" xr:uid="{B91E7939-670A-40BA-8D48-B987F3CF0A4C}"/>
    <cellStyle name="Normal 7 10 2" xfId="2519" xr:uid="{2C77BC14-86B7-453F-A199-169C653F8DD8}"/>
    <cellStyle name="Normal 7 11" xfId="1375" xr:uid="{FC96C1BF-D806-466B-8D96-67BF6968EFD2}"/>
    <cellStyle name="Normal 7 11 2" xfId="2520" xr:uid="{4AF97AF7-4D78-48E7-B9D6-6673F7C19315}"/>
    <cellStyle name="Normal 7 12" xfId="1376" xr:uid="{95F7BFD8-892C-49B3-AC75-3957411E2B82}"/>
    <cellStyle name="Normal 7 12 2" xfId="2521" xr:uid="{29330320-5D98-4D80-9E50-754ED56FC2EE}"/>
    <cellStyle name="Normal 7 13" xfId="2518" xr:uid="{642DEBEE-F3B1-4E60-9BEB-656EB93BAC5F}"/>
    <cellStyle name="Normal 7 14" xfId="1373" xr:uid="{292FB67C-FD1D-42D7-BBAF-A808EB2E4C51}"/>
    <cellStyle name="Normal 7 2" xfId="181" xr:uid="{5AFD732B-5362-4277-B028-CB46F80D5ACA}"/>
    <cellStyle name="Normal 7 2 10" xfId="1377" xr:uid="{C2654657-93D9-4644-989B-A6CAF5FDFA5C}"/>
    <cellStyle name="Normal 7 2 2" xfId="1378" xr:uid="{46B8F6AF-6260-4CAD-844B-E97317BF5FC8}"/>
    <cellStyle name="Normal 7 2 2 2" xfId="2523" xr:uid="{CF57849D-3093-40FD-AD2F-6FB1E2A3E976}"/>
    <cellStyle name="Normal 7 2 3" xfId="1379" xr:uid="{B26D17C4-7E3A-47F4-BCA9-3C09D704722A}"/>
    <cellStyle name="Normal 7 2 3 2" xfId="2524" xr:uid="{9AE91608-8DB2-4457-9BE0-6F384B40719D}"/>
    <cellStyle name="Normal 7 2 4" xfId="1380" xr:uid="{99FD16CE-0FD2-4BB1-942D-EFABC229EAE1}"/>
    <cellStyle name="Normal 7 2 4 2" xfId="2525" xr:uid="{B47EC11A-F4B1-47DC-89DD-2BC1CCB52A75}"/>
    <cellStyle name="Normal 7 2 5" xfId="1381" xr:uid="{9CB393A8-48DC-4783-B7DE-D118250E5174}"/>
    <cellStyle name="Normal 7 2 5 2" xfId="2526" xr:uid="{C5CE32B4-AD0B-44F7-9AAB-60E44D30C066}"/>
    <cellStyle name="Normal 7 2 6" xfId="1382" xr:uid="{51729D93-6564-4DE8-981F-628D0E6F5C50}"/>
    <cellStyle name="Normal 7 2 6 2" xfId="2527" xr:uid="{EB953D8F-8E2F-4702-BB09-D4811AF864CE}"/>
    <cellStyle name="Normal 7 2 7" xfId="1383" xr:uid="{700BFD7F-3C8B-47D8-A5D3-88322CFE4AE6}"/>
    <cellStyle name="Normal 7 2 7 2" xfId="2528" xr:uid="{AD517B5F-8191-407B-82EA-A21BD8F63743}"/>
    <cellStyle name="Normal 7 2 8" xfId="1384" xr:uid="{EE9BF731-E334-4453-8604-8D937DDBDF16}"/>
    <cellStyle name="Normal 7 2 8 2" xfId="2529" xr:uid="{DE6F9FAA-C11D-4EF7-969B-E3A192CB0B43}"/>
    <cellStyle name="Normal 7 2 9" xfId="2522" xr:uid="{CB3A8C5E-9B98-4A49-A39D-AA3D6B2AE8C4}"/>
    <cellStyle name="Normal 7 3" xfId="1385" xr:uid="{DA70083D-E913-40CF-A622-E230A0D676E9}"/>
    <cellStyle name="Normal 7 3 2" xfId="1386" xr:uid="{59CB286F-2DE2-4677-B16D-C7DAC5CA0C5E}"/>
    <cellStyle name="Normal 7 3 2 2" xfId="2531" xr:uid="{026F9603-9326-46F1-AB86-D2EC053F9445}"/>
    <cellStyle name="Normal 7 3 3" xfId="1387" xr:uid="{E7AE7830-78EB-4E74-B9FE-DF5E85AB9CB6}"/>
    <cellStyle name="Normal 7 3 3 2" xfId="2532" xr:uid="{9F01CAE5-3717-41A3-90CF-2083759CC00E}"/>
    <cellStyle name="Normal 7 3 4" xfId="1388" xr:uid="{F4942182-B14D-469F-892F-5743D028C12F}"/>
    <cellStyle name="Normal 7 3 4 2" xfId="2533" xr:uid="{620FA668-91CC-451E-B463-11D82E44F598}"/>
    <cellStyle name="Normal 7 3 5" xfId="1389" xr:uid="{26F8AD7A-7AB5-43DD-8390-05C612A37560}"/>
    <cellStyle name="Normal 7 3 5 2" xfId="2534" xr:uid="{0FEB17A4-B870-48DA-BD4A-971566F587DC}"/>
    <cellStyle name="Normal 7 3 6" xfId="1390" xr:uid="{D45424BD-6213-49B0-B89E-7C1AAB733346}"/>
    <cellStyle name="Normal 7 3 6 2" xfId="2535" xr:uid="{E6FA1893-9496-4443-A06D-654406E1DEDA}"/>
    <cellStyle name="Normal 7 3 7" xfId="1391" xr:uid="{92B1867D-3A8C-4719-B6FF-7DD17A34AA3E}"/>
    <cellStyle name="Normal 7 3 7 2" xfId="2536" xr:uid="{0A73D401-DFA0-439A-B902-A64F196F9385}"/>
    <cellStyle name="Normal 7 3 8" xfId="1392" xr:uid="{6D2326F0-A107-4FEA-BD52-817F569EEFB1}"/>
    <cellStyle name="Normal 7 3 8 2" xfId="2537" xr:uid="{E95E7C29-7E92-430C-BB50-2240071793E8}"/>
    <cellStyle name="Normal 7 3 9" xfId="2530" xr:uid="{EA96318B-486F-4582-A1A0-6C09A3E2B0E4}"/>
    <cellStyle name="Normal 7 4" xfId="1393" xr:uid="{60FB6455-8762-4896-A3AE-193F783C2638}"/>
    <cellStyle name="Normal 7 4 2" xfId="1394" xr:uid="{CE0FDB45-7D83-48B6-B8EC-8513C38E7459}"/>
    <cellStyle name="Normal 7 4 2 2" xfId="2539" xr:uid="{D59445FC-2523-47EA-9D45-D59ED26E2F72}"/>
    <cellStyle name="Normal 7 4 3" xfId="1395" xr:uid="{226352D0-951E-4152-829A-0393AD1E66E2}"/>
    <cellStyle name="Normal 7 4 3 2" xfId="2540" xr:uid="{624409F9-4265-4506-853A-86D9F205E73E}"/>
    <cellStyle name="Normal 7 4 4" xfId="1396" xr:uid="{D02F11E6-A135-4E2F-948F-C6A57342C495}"/>
    <cellStyle name="Normal 7 4 4 2" xfId="2541" xr:uid="{99390F9F-FDA5-4BF2-8BEA-2A703AC944F5}"/>
    <cellStyle name="Normal 7 4 5" xfId="1397" xr:uid="{20D7F563-D3B6-49F7-8A18-521B05012E09}"/>
    <cellStyle name="Normal 7 4 5 2" xfId="2542" xr:uid="{19F0032E-82D3-4292-83FB-EA8B3E806C39}"/>
    <cellStyle name="Normal 7 4 6" xfId="1398" xr:uid="{28053FDE-ABFC-4C95-A5C6-72669C6D51AE}"/>
    <cellStyle name="Normal 7 4 6 2" xfId="2543" xr:uid="{6602D34E-9C50-472C-9AEC-7242D37B901B}"/>
    <cellStyle name="Normal 7 4 7" xfId="1399" xr:uid="{1911AD4D-FB7D-4CAD-8D66-EF24C1586FED}"/>
    <cellStyle name="Normal 7 4 7 2" xfId="2544" xr:uid="{9E864E90-FF14-4C33-8159-57EB1963F6B5}"/>
    <cellStyle name="Normal 7 4 8" xfId="1400" xr:uid="{6289A178-C677-423A-B1C3-38EB92EF3D1D}"/>
    <cellStyle name="Normal 7 4 8 2" xfId="2545" xr:uid="{4EA7E520-5D4B-4372-A605-CA7988EB3CD2}"/>
    <cellStyle name="Normal 7 4 9" xfId="2538" xr:uid="{67C45006-035D-499A-8AB0-AB1C8E8F9F4A}"/>
    <cellStyle name="Normal 7 5" xfId="1401" xr:uid="{6AEB954F-A548-4E87-A34D-746EE1EF1F31}"/>
    <cellStyle name="Normal 7 5 2" xfId="1402" xr:uid="{CB274493-B869-4870-BA0B-E568B0923A80}"/>
    <cellStyle name="Normal 7 5 2 2" xfId="2547" xr:uid="{66D5B160-4E52-40F9-8536-52AD72BF7C5D}"/>
    <cellStyle name="Normal 7 5 3" xfId="1403" xr:uid="{2B4B6FC4-F6C8-49DF-B1D6-72ED2B6ED5DF}"/>
    <cellStyle name="Normal 7 5 3 2" xfId="2548" xr:uid="{591C9B6C-6009-497A-92DE-96909508445F}"/>
    <cellStyle name="Normal 7 5 4" xfId="1404" xr:uid="{16AFA679-1956-4A5D-8D1E-BC2FDD03AD77}"/>
    <cellStyle name="Normal 7 5 4 2" xfId="2549" xr:uid="{F33017FF-AD12-442B-BDF3-AA401731BE36}"/>
    <cellStyle name="Normal 7 5 5" xfId="1405" xr:uid="{0F0D4AD4-AD8C-4A6C-A035-820E1116999A}"/>
    <cellStyle name="Normal 7 5 5 2" xfId="2550" xr:uid="{CD90EC88-9C5C-46CD-82E0-ECD0A867AC58}"/>
    <cellStyle name="Normal 7 5 6" xfId="1406" xr:uid="{890D99F8-09A9-4315-A198-30AA51E558A2}"/>
    <cellStyle name="Normal 7 5 6 2" xfId="2551" xr:uid="{4D1638F8-7B19-41AE-BB9F-AB5024B0E146}"/>
    <cellStyle name="Normal 7 5 7" xfId="1407" xr:uid="{85169669-3FDD-434E-B6F3-B9A04509D6D8}"/>
    <cellStyle name="Normal 7 5 7 2" xfId="2552" xr:uid="{D682E3BC-6E3F-44F5-9E5B-C995DB72969C}"/>
    <cellStyle name="Normal 7 5 8" xfId="1408" xr:uid="{40BBA840-3275-4454-8D0C-84731FF3568C}"/>
    <cellStyle name="Normal 7 5 8 2" xfId="2553" xr:uid="{5E51726F-6A1A-4648-A157-33AAB5C8E4B1}"/>
    <cellStyle name="Normal 7 5 9" xfId="2546" xr:uid="{98A56742-B45D-4E74-8C2D-925E286BA599}"/>
    <cellStyle name="Normal 7 6" xfId="1409" xr:uid="{521E4DF5-B51D-4F1B-9CF6-AD05C439E431}"/>
    <cellStyle name="Normal 7 6 2" xfId="2554" xr:uid="{1801AC05-522C-4F97-9DF1-664B4E832667}"/>
    <cellStyle name="Normal 7 7" xfId="1410" xr:uid="{6A9266BD-3798-411B-AA06-04A020A4F075}"/>
    <cellStyle name="Normal 7 7 2" xfId="2555" xr:uid="{947A0043-7EA4-4DA2-BA5B-DE9EB484A205}"/>
    <cellStyle name="Normal 7 8" xfId="1411" xr:uid="{768633C6-C013-45AA-AEE9-DF70BC3E8861}"/>
    <cellStyle name="Normal 7 8 2" xfId="2556" xr:uid="{EBECD951-3684-4E08-B9CD-CDFAF53A12E2}"/>
    <cellStyle name="Normal 7 9" xfId="1412" xr:uid="{7E3DA9C4-48F8-4FAD-B8C3-413A71B530BF}"/>
    <cellStyle name="Normal 7 9 2" xfId="2557" xr:uid="{2A9F8F97-B539-49B7-80E2-BB5CD8AD81B0}"/>
    <cellStyle name="Normal 8" xfId="182" xr:uid="{78C90F8B-C08E-470A-81EA-E5407BC708D5}"/>
    <cellStyle name="Normal 8 10" xfId="1414" xr:uid="{3680AD9A-059F-4520-AB22-32712C7A1B14}"/>
    <cellStyle name="Normal 8 10 2" xfId="2559" xr:uid="{5AEB6F27-BC22-47C3-B0F6-C5CB32DEB10F}"/>
    <cellStyle name="Normal 8 11" xfId="1415" xr:uid="{B60DD749-9B21-470D-9B0A-9AF6614A18BA}"/>
    <cellStyle name="Normal 8 11 2" xfId="2560" xr:uid="{06D3DC27-F2CB-42A3-9635-7D553221C98D}"/>
    <cellStyle name="Normal 8 12" xfId="1416" xr:uid="{CFE8595C-B4E5-4FD4-976F-3EEA1FC9A0E9}"/>
    <cellStyle name="Normal 8 12 2" xfId="2561" xr:uid="{1F17BDCD-EB26-4E87-B84F-CFE8FA470568}"/>
    <cellStyle name="Normal 8 13" xfId="2558" xr:uid="{7D6B50C0-FFCC-49B7-BD0C-54CF0C1C7027}"/>
    <cellStyle name="Normal 8 14" xfId="1413" xr:uid="{8073B4AD-CD16-403B-AC63-86560D2AB4D2}"/>
    <cellStyle name="Normal 8 2" xfId="183" xr:uid="{2507582E-FA7E-45E5-8F4E-E4D60D119B50}"/>
    <cellStyle name="Normal 8 2 10" xfId="1417" xr:uid="{01AAAD9D-7FF3-49E9-A2BB-0B5BAAD1C019}"/>
    <cellStyle name="Normal 8 2 2" xfId="1418" xr:uid="{3059F364-3C1B-440D-93CD-9BE59F8F9D28}"/>
    <cellStyle name="Normal 8 2 2 2" xfId="2563" xr:uid="{5F21EDC9-BD02-4EAD-8F2A-73A34217C7B7}"/>
    <cellStyle name="Normal 8 2 3" xfId="1419" xr:uid="{020F0CEE-FD9C-4555-A3C0-5CB4DA3B2896}"/>
    <cellStyle name="Normal 8 2 3 2" xfId="2564" xr:uid="{0BCE6C58-1282-43BF-8686-04E92E34FFAA}"/>
    <cellStyle name="Normal 8 2 4" xfId="1420" xr:uid="{73229014-5456-4132-81ED-DF4D4A9E432D}"/>
    <cellStyle name="Normal 8 2 4 2" xfId="2565" xr:uid="{D52774CC-628E-4354-91CC-DEE90C248B42}"/>
    <cellStyle name="Normal 8 2 5" xfId="1421" xr:uid="{274A9023-E15C-4F52-AB76-6A4805BACB26}"/>
    <cellStyle name="Normal 8 2 5 2" xfId="2566" xr:uid="{0E042FC3-2776-4CF8-AA17-80B54BBEDA0E}"/>
    <cellStyle name="Normal 8 2 6" xfId="1422" xr:uid="{10783F7F-4DDC-4AC2-B97C-7B923B344602}"/>
    <cellStyle name="Normal 8 2 6 2" xfId="2567" xr:uid="{C827529D-7502-4846-9139-CE60CE8D275C}"/>
    <cellStyle name="Normal 8 2 7" xfId="1423" xr:uid="{895AB19C-5D4D-4297-B0D5-89AF69A182CF}"/>
    <cellStyle name="Normal 8 2 7 2" xfId="2568" xr:uid="{4E5D9047-EC2C-48C3-B021-3D0C96DCD24C}"/>
    <cellStyle name="Normal 8 2 8" xfId="1424" xr:uid="{B7C1037D-2EF5-4A66-99F3-33C73053344D}"/>
    <cellStyle name="Normal 8 2 8 2" xfId="2569" xr:uid="{3E9343C6-B27E-461E-A348-80B1C8D2C641}"/>
    <cellStyle name="Normal 8 2 9" xfId="2562" xr:uid="{87B2F723-51D9-4368-91CE-F69E5690B83D}"/>
    <cellStyle name="Normal 8 3" xfId="1425" xr:uid="{D19100C7-03BC-4FE3-B9E9-2537AF070848}"/>
    <cellStyle name="Normal 8 3 2" xfId="1426" xr:uid="{ED6D7332-AAA1-4174-B683-5845191A635D}"/>
    <cellStyle name="Normal 8 3 2 2" xfId="2571" xr:uid="{01D85C88-BAFF-4CB8-9451-7E5249E04F89}"/>
    <cellStyle name="Normal 8 3 3" xfId="1427" xr:uid="{A905943C-72F4-45DA-B253-3D81886F3E36}"/>
    <cellStyle name="Normal 8 3 3 2" xfId="2572" xr:uid="{F86C99B4-E918-4909-AFE3-9CA7FA20DBC4}"/>
    <cellStyle name="Normal 8 3 4" xfId="1428" xr:uid="{7C55E3A3-C216-4B13-861E-8857A77E8514}"/>
    <cellStyle name="Normal 8 3 4 2" xfId="2573" xr:uid="{9C95495D-59F7-49F4-8CA3-9D3259CDB9C7}"/>
    <cellStyle name="Normal 8 3 5" xfId="1429" xr:uid="{D857D0D0-279E-46DB-B062-E2F942266108}"/>
    <cellStyle name="Normal 8 3 5 2" xfId="2574" xr:uid="{313C679D-3399-447C-9B53-38C23FBA060B}"/>
    <cellStyle name="Normal 8 3 6" xfId="1430" xr:uid="{34D25DC1-9F57-4DEF-B9B3-84008EC11F81}"/>
    <cellStyle name="Normal 8 3 6 2" xfId="2575" xr:uid="{FD413F59-8D92-45E1-9B3E-6DC82EAFA0FF}"/>
    <cellStyle name="Normal 8 3 7" xfId="1431" xr:uid="{FC6AB7B5-BB51-40B4-86AB-5330FFF563B4}"/>
    <cellStyle name="Normal 8 3 7 2" xfId="2576" xr:uid="{C3DB5C56-961E-44DC-9A04-E85A4E51E8F3}"/>
    <cellStyle name="Normal 8 3 8" xfId="1432" xr:uid="{A86CA1F9-A23B-4C44-8DD0-E360636D58E0}"/>
    <cellStyle name="Normal 8 3 8 2" xfId="2577" xr:uid="{76BBF0E2-02C9-4E5E-88EF-4079171CAD3D}"/>
    <cellStyle name="Normal 8 3 9" xfId="2570" xr:uid="{E938C6C8-DF8E-4C8F-AE1A-3B8B454DF0C0}"/>
    <cellStyle name="Normal 8 4" xfId="1433" xr:uid="{D0F9F906-F570-4B00-BD3F-EB591775027E}"/>
    <cellStyle name="Normal 8 4 2" xfId="1434" xr:uid="{33060509-71EA-454F-8556-1E850B13E5C8}"/>
    <cellStyle name="Normal 8 4 2 2" xfId="2579" xr:uid="{E1CF4E53-5292-4636-93BA-9A7BC473BE30}"/>
    <cellStyle name="Normal 8 4 3" xfId="1435" xr:uid="{537BD49C-E544-481C-92DF-347F4C46DB16}"/>
    <cellStyle name="Normal 8 4 3 2" xfId="2580" xr:uid="{FF5927D9-5FCF-4B56-ACA3-88335BCADB55}"/>
    <cellStyle name="Normal 8 4 4" xfId="1436" xr:uid="{AE9F3EB9-7AE0-439D-8283-F7D620DB6EA0}"/>
    <cellStyle name="Normal 8 4 4 2" xfId="2581" xr:uid="{74157D10-3366-475C-BD66-7F15E814A566}"/>
    <cellStyle name="Normal 8 4 5" xfId="1437" xr:uid="{6D891EFF-BF39-4467-9EBF-033E840828C8}"/>
    <cellStyle name="Normal 8 4 5 2" xfId="2582" xr:uid="{37244BE6-D045-40F3-AEF2-DA3C805DD4D1}"/>
    <cellStyle name="Normal 8 4 6" xfId="1438" xr:uid="{830B8E4A-BE75-491E-9C96-CFC046AF8470}"/>
    <cellStyle name="Normal 8 4 6 2" xfId="2583" xr:uid="{2B90855D-A4EA-4235-9566-D3B88CBC586E}"/>
    <cellStyle name="Normal 8 4 7" xfId="1439" xr:uid="{EAC6D1FD-6EF5-4D60-9E54-CD59F5032C13}"/>
    <cellStyle name="Normal 8 4 7 2" xfId="2584" xr:uid="{6531462C-C157-42DC-B39C-4FD7F1303E83}"/>
    <cellStyle name="Normal 8 4 8" xfId="1440" xr:uid="{493C53AE-9C7F-4FBA-8A41-7EE1678428A6}"/>
    <cellStyle name="Normal 8 4 8 2" xfId="2585" xr:uid="{B6FC5ED7-82E3-4D62-8F77-5076F7D66703}"/>
    <cellStyle name="Normal 8 4 9" xfId="2578" xr:uid="{6F0D575A-279C-4605-904B-D3BE24DE4510}"/>
    <cellStyle name="Normal 8 5" xfId="1441" xr:uid="{8FCCC542-2758-42A5-8193-49227E1628FB}"/>
    <cellStyle name="Normal 8 5 2" xfId="1442" xr:uid="{D32B7F6D-49D2-4B96-87CA-463C9B3DE7CA}"/>
    <cellStyle name="Normal 8 5 2 2" xfId="2587" xr:uid="{A5187866-DF49-4852-B2A2-A3BA1C9D4342}"/>
    <cellStyle name="Normal 8 5 3" xfId="1443" xr:uid="{1AB34C0A-A20E-4CD9-A44B-4F94735B1859}"/>
    <cellStyle name="Normal 8 5 3 2" xfId="2588" xr:uid="{AE282D10-5BAD-4FC6-BAE6-020F3E11E116}"/>
    <cellStyle name="Normal 8 5 4" xfId="1444" xr:uid="{700299B8-96DC-42D9-BAC1-159DD81029D5}"/>
    <cellStyle name="Normal 8 5 4 2" xfId="2589" xr:uid="{05A174F5-1030-4107-AED0-7462C7123DAB}"/>
    <cellStyle name="Normal 8 5 5" xfId="1445" xr:uid="{654F27AB-27DC-4EF9-A5D9-4A3842E61E13}"/>
    <cellStyle name="Normal 8 5 5 2" xfId="2590" xr:uid="{93E2C94D-7F99-424D-8153-E3A5FE63356E}"/>
    <cellStyle name="Normal 8 5 6" xfId="1446" xr:uid="{76E75D3D-20BB-4F45-9340-FA263775F9CB}"/>
    <cellStyle name="Normal 8 5 6 2" xfId="2591" xr:uid="{C26455EB-1C70-4FA0-B4F8-48F25E49D84B}"/>
    <cellStyle name="Normal 8 5 7" xfId="1447" xr:uid="{93211C45-AB61-457C-9B17-5F082D936298}"/>
    <cellStyle name="Normal 8 5 7 2" xfId="2592" xr:uid="{769D43F5-DCE5-41A2-B0B8-43F37A7DBC05}"/>
    <cellStyle name="Normal 8 5 8" xfId="1448" xr:uid="{A21E3A91-A851-4FF4-97B8-A5D1FBFFF257}"/>
    <cellStyle name="Normal 8 5 8 2" xfId="2593" xr:uid="{36115641-6B7F-4B18-AC15-2E3F86DFF703}"/>
    <cellStyle name="Normal 8 5 9" xfId="2586" xr:uid="{1D9249B3-E8DF-48F1-81FD-4C960907E612}"/>
    <cellStyle name="Normal 8 6" xfId="1449" xr:uid="{4F21A242-38B3-4B2B-8465-974233E7850E}"/>
    <cellStyle name="Normal 8 6 2" xfId="2594" xr:uid="{C0EE05E8-C9D5-4F01-BE72-682AE25FBCDC}"/>
    <cellStyle name="Normal 8 7" xfId="1450" xr:uid="{E4E01628-0F41-4252-9E4A-98F37EEAD82D}"/>
    <cellStyle name="Normal 8 7 2" xfId="2595" xr:uid="{074EF03A-BD9B-468C-B291-2D0D79EAD550}"/>
    <cellStyle name="Normal 8 8" xfId="1451" xr:uid="{957E279A-D59A-4D5F-BD44-A0D3CCC54ECB}"/>
    <cellStyle name="Normal 8 8 2" xfId="2596" xr:uid="{48E37555-7716-44E9-A5AB-34F344B77E5C}"/>
    <cellStyle name="Normal 8 9" xfId="1452" xr:uid="{10F4339F-1144-4EB8-8F39-649BDD073FBC}"/>
    <cellStyle name="Normal 8 9 2" xfId="2597" xr:uid="{239C004F-ED9C-434B-A914-FA3DF5E04784}"/>
    <cellStyle name="Normal 9" xfId="184" xr:uid="{4307110A-797E-4437-9A89-2B86C9B930FA}"/>
    <cellStyle name="Normal 9 10" xfId="1453" xr:uid="{B5801CD7-E132-434E-9E6B-368AEE8FFD40}"/>
    <cellStyle name="Normal 9 2" xfId="1454" xr:uid="{0CB6C6B3-57E9-4580-B0D9-C5B397977A2A}"/>
    <cellStyle name="Normal 9 2 2" xfId="2599" xr:uid="{3D949909-B970-4978-B1F6-9D708DD726DE}"/>
    <cellStyle name="Normal 9 3" xfId="1455" xr:uid="{1962CCC9-6458-4AD8-9DA9-A630E6032DFF}"/>
    <cellStyle name="Normal 9 3 2" xfId="2600" xr:uid="{47609B89-0294-4697-B8DF-C39D50BEF0AB}"/>
    <cellStyle name="Normal 9 4" xfId="1456" xr:uid="{48FF3AB1-0BDC-4317-818A-B1A5960488DE}"/>
    <cellStyle name="Normal 9 4 2" xfId="2601" xr:uid="{D4FC115C-E20D-4A2D-9FC7-ABAE6A690CEB}"/>
    <cellStyle name="Normal 9 5" xfId="1457" xr:uid="{A1F08295-63BF-4622-AD78-F5E992AC586F}"/>
    <cellStyle name="Normal 9 5 2" xfId="2602" xr:uid="{D5B6D0E2-4574-4D39-AA13-707B3E8A90B1}"/>
    <cellStyle name="Normal 9 6" xfId="1458" xr:uid="{CCAAA8FE-3391-4E32-B045-8BE6AEDDB0C0}"/>
    <cellStyle name="Normal 9 6 2" xfId="2603" xr:uid="{23A24707-4B5D-493C-BD8B-4370F8A218CA}"/>
    <cellStyle name="Normal 9 7" xfId="1459" xr:uid="{99C5D235-E7B8-4E14-99CB-261EE436B0C0}"/>
    <cellStyle name="Normal 9 7 2" xfId="2604" xr:uid="{19298FBB-721C-4920-8E59-B2C96A9BD322}"/>
    <cellStyle name="Normal 9 8" xfId="1460" xr:uid="{A776C1AD-D2A2-4DBF-90A2-F9E6E83BFCB4}"/>
    <cellStyle name="Normal 9 8 2" xfId="2605" xr:uid="{63300044-32E4-4560-8A8C-33FC82B5DB35}"/>
    <cellStyle name="Normal 9 9" xfId="2598" xr:uid="{75A47CFE-7B65-4A09-85E5-C0E77BA70D78}"/>
    <cellStyle name="Normal GHG Numbers (0.00)" xfId="249" xr:uid="{E21EBFA8-3724-46A5-A246-FB54BD51E65F}"/>
    <cellStyle name="Normal GHG Textfiels Bold" xfId="250" xr:uid="{782A8026-C4A9-43BC-9A74-927C911FA846}"/>
    <cellStyle name="Normal GHG-Shade" xfId="251" xr:uid="{5BAD4485-7312-4FA0-A995-6969D8F0B3CB}"/>
    <cellStyle name="Normal GHG-Shade 2" xfId="1461" xr:uid="{EF2517FF-4CDF-48E4-A10E-9C06FE207EF9}"/>
    <cellStyle name="Normal GHG-Shade 2 2" xfId="2607" xr:uid="{CF2055DE-4BD7-457C-9603-7A0053420E63}"/>
    <cellStyle name="Normal GHG-Shade 3" xfId="2606" xr:uid="{2AAA986F-E614-436A-8720-008E343CC80F}"/>
    <cellStyle name="Normale_B2020" xfId="185" xr:uid="{02490296-49AE-4411-8878-B21018A8515C}"/>
    <cellStyle name="Note" xfId="16" builtinId="10" customBuiltin="1"/>
    <cellStyle name="Note 10" xfId="61" xr:uid="{0EA9C1C6-1A8F-4BCA-97BD-89AB1EE63C00}"/>
    <cellStyle name="Note 2" xfId="186" xr:uid="{69A71122-E9A8-46DA-B04A-6397CF397B7C}"/>
    <cellStyle name="Note 2 10" xfId="1463" xr:uid="{2DC02EFA-0909-4EE1-9A2F-8A69F0921B3D}"/>
    <cellStyle name="Note 2 10 2" xfId="2609" xr:uid="{25AD059B-A7DE-4493-9D8F-E16BB66A0FDA}"/>
    <cellStyle name="Note 2 11" xfId="1464" xr:uid="{BC31C5D6-D592-4B15-9189-A4CCF96139C1}"/>
    <cellStyle name="Note 2 11 2" xfId="2610" xr:uid="{D6E93652-2427-4CF6-A7FA-DFBF7A0765AB}"/>
    <cellStyle name="Note 2 12" xfId="1465" xr:uid="{27DF0122-96ED-490E-9529-BE07013A03DB}"/>
    <cellStyle name="Note 2 12 2" xfId="2611" xr:uid="{710EBE80-BDD6-4EF8-B96B-3ACB29684394}"/>
    <cellStyle name="Note 2 13" xfId="1466" xr:uid="{C52FEB14-89FF-41AA-AA20-430A5EEAD9F6}"/>
    <cellStyle name="Note 2 13 2" xfId="2612" xr:uid="{E2EB4875-F997-4BD3-B8B4-803E95F8C5FF}"/>
    <cellStyle name="Note 2 14" xfId="1467" xr:uid="{3B7DEEF0-FBCC-43E4-95A8-172C6EC1C326}"/>
    <cellStyle name="Note 2 14 2" xfId="2613" xr:uid="{81B62885-5876-4A52-BC77-BDE37114A605}"/>
    <cellStyle name="Note 2 15" xfId="1468" xr:uid="{21DFAE5C-A37E-4BD4-8131-06891887D3CB}"/>
    <cellStyle name="Note 2 15 2" xfId="2614" xr:uid="{59E1494D-1B2B-493A-A8E1-C242E9587804}"/>
    <cellStyle name="Note 2 16" xfId="2608" xr:uid="{A8E377DF-3369-4821-905D-0CC520EB07D3}"/>
    <cellStyle name="Note 2 17" xfId="1462" xr:uid="{CDFBF8C6-B72E-4C3D-830E-88C7099706C2}"/>
    <cellStyle name="Note 2 2" xfId="1469" xr:uid="{9527E70E-BF8F-4B7F-85B1-4223AEC7670C}"/>
    <cellStyle name="Note 2 2 2" xfId="1470" xr:uid="{44D5A0C3-E90E-4DBA-AFF3-D58C289CFA78}"/>
    <cellStyle name="Note 2 2 2 2" xfId="2615" xr:uid="{5EFF8DF2-2E67-4570-856D-E4D446EC56DE}"/>
    <cellStyle name="Note 2 3" xfId="1471" xr:uid="{790DE4A3-12F0-43F5-9AF1-2E8361A939E2}"/>
    <cellStyle name="Note 2 3 2" xfId="2616" xr:uid="{68E1AEAC-5E44-407C-B7E4-0E908B7F0AE2}"/>
    <cellStyle name="Note 2 4" xfId="1472" xr:uid="{AB339FA9-5566-40E1-913C-C4CA75EBE2CA}"/>
    <cellStyle name="Note 2 4 2" xfId="2617" xr:uid="{6868953E-C396-4DCB-A0CD-270272D417FE}"/>
    <cellStyle name="Note 2 5" xfId="1473" xr:uid="{9E895680-3A5F-4FFE-9594-9C80BCFC59E2}"/>
    <cellStyle name="Note 2 5 2" xfId="2618" xr:uid="{2EE99034-6AB4-4852-B324-45B42D56C687}"/>
    <cellStyle name="Note 2 6" xfId="1474" xr:uid="{F911D4DE-3053-408F-B989-23EAD9376B54}"/>
    <cellStyle name="Note 2 6 2" xfId="2619" xr:uid="{253C3D16-F142-42B2-B16F-295177EE2EB5}"/>
    <cellStyle name="Note 2 7" xfId="1475" xr:uid="{9357DECC-E164-4D1D-B97E-841B66030007}"/>
    <cellStyle name="Note 2 7 2" xfId="2620" xr:uid="{B481C1D8-2FAD-420A-9D37-42B7DD8A4E2D}"/>
    <cellStyle name="Note 2 8" xfId="1476" xr:uid="{085E9B61-287D-4CF0-A35A-247C043D7FA0}"/>
    <cellStyle name="Note 2 8 2" xfId="2621" xr:uid="{FB4FE82F-AD50-4D9A-B070-EFD74BC8D002}"/>
    <cellStyle name="Note 2 9" xfId="1477" xr:uid="{27B47E38-1600-4B93-BE45-3A437677EC7C}"/>
    <cellStyle name="Note 2 9 2" xfId="2622" xr:uid="{7F3E4862-7EDB-4E53-A7AE-F84CD2A67F9D}"/>
    <cellStyle name="Note 3" xfId="187" xr:uid="{153FA8C8-CFB6-41EB-B72C-941D2E01C698}"/>
    <cellStyle name="Note 3 2" xfId="188" xr:uid="{0E10EC78-079D-4A20-B698-760ED8495FB3}"/>
    <cellStyle name="Note 3 2 2" xfId="2623" xr:uid="{3B2E2047-A3D0-49DA-919B-E0B9189716D9}"/>
    <cellStyle name="Note 3 2 3" xfId="1479" xr:uid="{5EF13CE8-FC08-4A77-8686-0CE3C9752440}"/>
    <cellStyle name="Note 3 3" xfId="1478" xr:uid="{5B048D5A-EBEE-47FC-81D4-19D0CC2A349B}"/>
    <cellStyle name="Note 4" xfId="1480" xr:uid="{4689D272-F7A7-4B97-9499-0F3CBCDB5DB0}"/>
    <cellStyle name="Note 4 2" xfId="2624" xr:uid="{B7A6FCB6-AC16-4454-AB6B-C85A2860EADD}"/>
    <cellStyle name="Note 5" xfId="1481" xr:uid="{482C7DC5-FA5C-4870-B3FB-5A923803F99B}"/>
    <cellStyle name="Note 5 2" xfId="2625" xr:uid="{B321966B-1811-4FF4-8E62-45E1A1AC261B}"/>
    <cellStyle name="Note 6" xfId="1482" xr:uid="{56440466-E104-4941-A649-6420B6C6F14C}"/>
    <cellStyle name="Note 6 2" xfId="2626" xr:uid="{23FEAF44-A0A0-49D1-9ECC-2CFD002F8487}"/>
    <cellStyle name="Note 7" xfId="1483" xr:uid="{01FBCCDF-D316-4EC3-AED9-55AC19DD7014}"/>
    <cellStyle name="Note 7 2" xfId="2627" xr:uid="{CBE82885-8679-4162-9E5C-8E57CECB8D05}"/>
    <cellStyle name="Note 8" xfId="1484" xr:uid="{A8197606-B412-468B-B8C0-58383626D7D8}"/>
    <cellStyle name="Note 8 2" xfId="2628" xr:uid="{D7E16B89-1C55-4AC0-9912-260709BE844F}"/>
    <cellStyle name="Note 9" xfId="3446" xr:uid="{321DEAC4-CBD2-410D-8FA3-D0ED5D8B4F6C}"/>
    <cellStyle name="num_note" xfId="1485" xr:uid="{3D6D6758-409D-40F2-B539-E4E25AF03281}"/>
    <cellStyle name="Nuovo" xfId="1486" xr:uid="{FA7BD5C6-6624-4BAA-818A-897B390CFC1D}"/>
    <cellStyle name="Nuovo 2" xfId="2629" xr:uid="{B7973AA5-FEEB-4192-8AD5-36F4E6F35611}"/>
    <cellStyle name="Output 2" xfId="189" xr:uid="{B7B593B7-67E0-4B85-8320-45AF8C5BD0A2}"/>
    <cellStyle name="Output 2 10" xfId="1487" xr:uid="{C283FF9B-83F5-4195-BDE5-1B3A0661E4D4}"/>
    <cellStyle name="Output 2 2" xfId="1488" xr:uid="{2F4D78D4-4BD7-4122-B731-1CD69AE32102}"/>
    <cellStyle name="Output 2 3" xfId="1489" xr:uid="{C3805E6C-8F43-4251-89BF-3383418ECFBE}"/>
    <cellStyle name="Output 2 4" xfId="1490" xr:uid="{87C85E29-2328-4ABB-92B6-439E8961F19A}"/>
    <cellStyle name="Output 2 5" xfId="1491" xr:uid="{C39F805D-9ED7-4224-A9CA-1864289D4645}"/>
    <cellStyle name="Output 2 6" xfId="1492" xr:uid="{79C5B4A2-879C-4132-9292-8167BB3CC99F}"/>
    <cellStyle name="Output 2 7" xfId="1493" xr:uid="{A7B063F6-81AE-431A-8B53-B224D9CC9566}"/>
    <cellStyle name="Output 2 8" xfId="1494" xr:uid="{368FF01E-3A6E-4D4B-8802-FFDDB2EF4760}"/>
    <cellStyle name="Output 2 9" xfId="1495" xr:uid="{E9457E78-6447-4941-82DB-1BBE8DB115B9}"/>
    <cellStyle name="Output 3" xfId="190" xr:uid="{D1F7A45B-49E2-48BE-B63F-3CEB00A4E809}"/>
    <cellStyle name="Output 3 2" xfId="1496" xr:uid="{894567D3-4FD7-4270-9FE8-AB43032A9983}"/>
    <cellStyle name="Percent 10" xfId="1497" xr:uid="{49DB746A-D92B-43D3-953F-21A6D3636786}"/>
    <cellStyle name="Percent 10 2" xfId="1498" xr:uid="{8E3B3F11-34E5-4ACC-893A-115ECCCE9628}"/>
    <cellStyle name="Percent 10 2 2" xfId="2631" xr:uid="{2405D1E7-063F-4EED-81F1-EBEFA9ECA47F}"/>
    <cellStyle name="Percent 10 3" xfId="1499" xr:uid="{0226B08B-79BE-4AE5-AF82-75B61511FD1B}"/>
    <cellStyle name="Percent 10 3 2" xfId="2632" xr:uid="{EE76C91E-3A5E-427E-B7E7-EFC3D28BD50D}"/>
    <cellStyle name="Percent 10 4" xfId="1500" xr:uid="{5DC2C452-BA9C-445A-AA57-3871E0FA7CA1}"/>
    <cellStyle name="Percent 10 4 2" xfId="2633" xr:uid="{33681509-F28A-442E-802E-A91355D32FBE}"/>
    <cellStyle name="Percent 10 5" xfId="1501" xr:uid="{AB172C61-594B-4156-999F-693F7BD27AD7}"/>
    <cellStyle name="Percent 10 5 2" xfId="2634" xr:uid="{714EF25B-B235-4CDF-9014-874FC2891610}"/>
    <cellStyle name="Percent 10 6" xfId="1502" xr:uid="{762258DF-C32F-49B6-96AE-7C85E2B82421}"/>
    <cellStyle name="Percent 10 6 2" xfId="2635" xr:uid="{C917A7E9-C9A6-4CDB-925D-6432B493C828}"/>
    <cellStyle name="Percent 10 7" xfId="1503" xr:uid="{CA0EE5BE-D373-4EFE-9AD2-EBD1FDB90BEC}"/>
    <cellStyle name="Percent 10 7 2" xfId="2636" xr:uid="{DC78B17E-2FD8-4462-800D-02B3AE34CAE2}"/>
    <cellStyle name="Percent 10 8" xfId="1504" xr:uid="{6C20EBF7-F934-4E0A-A6C1-BEADCF2495B2}"/>
    <cellStyle name="Percent 10 8 2" xfId="2637" xr:uid="{253C23BF-8008-49AA-82EB-F11BFB674057}"/>
    <cellStyle name="Percent 10 9" xfId="2630" xr:uid="{BC8C47C1-2A74-45BC-A8C7-058CAF565A25}"/>
    <cellStyle name="Percent 11" xfId="1505" xr:uid="{8D713659-F68F-488F-8653-F50243A5E9FC}"/>
    <cellStyle name="Percent 11 2" xfId="1506" xr:uid="{E58A4103-9D97-45D0-BB8A-AB4DD5399930}"/>
    <cellStyle name="Percent 11 2 2" xfId="2639" xr:uid="{8E8BEF9E-DF8D-4595-8095-25882E4813A9}"/>
    <cellStyle name="Percent 11 3" xfId="1507" xr:uid="{9514A62B-FFCC-427F-A04D-0BF56D19B376}"/>
    <cellStyle name="Percent 11 3 2" xfId="2640" xr:uid="{9EE13FB9-2DA8-4C0F-B727-D17F4C22FDA3}"/>
    <cellStyle name="Percent 11 4" xfId="1508" xr:uid="{B50246F6-C678-42F1-99E5-9933D7A3BEC4}"/>
    <cellStyle name="Percent 11 4 2" xfId="2641" xr:uid="{F89542E7-49E7-4F9F-A5A0-60D25F3ADB7C}"/>
    <cellStyle name="Percent 11 5" xfId="1509" xr:uid="{9EB85CC8-4ECC-478D-AB56-F809716AC000}"/>
    <cellStyle name="Percent 11 5 2" xfId="2642" xr:uid="{50DC9EC5-8424-47D3-9A73-72FB8A25FD90}"/>
    <cellStyle name="Percent 11 6" xfId="1510" xr:uid="{7FE4B6D0-F626-4245-BD6F-89DE4EFDB975}"/>
    <cellStyle name="Percent 11 6 2" xfId="2643" xr:uid="{63750228-508D-4F18-8B2B-2311B25E256E}"/>
    <cellStyle name="Percent 11 7" xfId="1511" xr:uid="{C6EF701F-FD07-4D0D-AE27-D8C3F64CE5C1}"/>
    <cellStyle name="Percent 11 7 2" xfId="2644" xr:uid="{22E0DBCC-C01F-4403-92DB-499E2D17D09B}"/>
    <cellStyle name="Percent 11 8" xfId="1512" xr:uid="{EB14CA06-3B06-4B77-8F64-465B58552044}"/>
    <cellStyle name="Percent 11 8 2" xfId="2645" xr:uid="{4095CE38-9D2B-4A9D-B2F7-C117FB9BF81C}"/>
    <cellStyle name="Percent 11 9" xfId="2638" xr:uid="{0D6A7F15-18DF-4E9A-B563-606F53A37BF0}"/>
    <cellStyle name="Percent 12" xfId="1513" xr:uid="{58FAF7F4-4D4B-4256-8BA2-D767D3D739FE}"/>
    <cellStyle name="Percent 12 2" xfId="1514" xr:uid="{A230E547-733C-4866-855D-7A35FEBADBC9}"/>
    <cellStyle name="Percent 12 2 2" xfId="2647" xr:uid="{E35B1FA4-C58B-4EFB-8B04-C3FD498F4B59}"/>
    <cellStyle name="Percent 12 3" xfId="1515" xr:uid="{422B8EE3-A4D6-4FCB-AC06-9BECF68E8B6C}"/>
    <cellStyle name="Percent 12 3 2" xfId="2648" xr:uid="{3CC32313-08E6-4E09-871D-528370D74550}"/>
    <cellStyle name="Percent 12 4" xfId="1516" xr:uid="{396E62AA-52BE-4C72-87FF-564E3161C43C}"/>
    <cellStyle name="Percent 12 4 2" xfId="2649" xr:uid="{0BA3FFEB-6072-4AA1-942A-8DFD395E6F9C}"/>
    <cellStyle name="Percent 12 5" xfId="1517" xr:uid="{0EC2C8C8-5506-416A-8606-411A84C9779A}"/>
    <cellStyle name="Percent 12 5 2" xfId="2650" xr:uid="{47DE3385-B6E2-45B7-BE30-DEBF2E4705B1}"/>
    <cellStyle name="Percent 12 6" xfId="1518" xr:uid="{2F4B1B41-383D-4EEE-B9C5-321D08BB928B}"/>
    <cellStyle name="Percent 12 6 2" xfId="2651" xr:uid="{AA9CD145-133D-4402-AF91-354A2F03E43E}"/>
    <cellStyle name="Percent 12 7" xfId="1519" xr:uid="{1A649DF2-3BB2-40FE-981B-4C61413EC595}"/>
    <cellStyle name="Percent 12 7 2" xfId="2652" xr:uid="{AC00179E-2ED7-4032-801F-7441AEE5CAC7}"/>
    <cellStyle name="Percent 12 8" xfId="1520" xr:uid="{5478F217-FE8E-4691-9365-102CEF45CFE8}"/>
    <cellStyle name="Percent 12 8 2" xfId="2653" xr:uid="{C1C2702F-3259-4370-A964-BFD0B4014E67}"/>
    <cellStyle name="Percent 12 9" xfId="2646" xr:uid="{58825A63-F0D0-4FE1-A2BE-9DCD4826208B}"/>
    <cellStyle name="Percent 13" xfId="1521" xr:uid="{5FA9CD19-AC44-43F5-A657-BA5B4B641315}"/>
    <cellStyle name="Percent 13 2" xfId="1522" xr:uid="{01BC3CB8-8DD1-4E7B-B746-993C4A2FBB60}"/>
    <cellStyle name="Percent 13 2 2" xfId="2655" xr:uid="{80A611FE-6423-41C9-A052-CD1E57417DF6}"/>
    <cellStyle name="Percent 13 3" xfId="1523" xr:uid="{7D04FCBB-FC55-4D7F-9920-38CA285993DE}"/>
    <cellStyle name="Percent 13 3 2" xfId="2656" xr:uid="{B0220AC1-DD44-4E23-AEBF-87BF21DD3F52}"/>
    <cellStyle name="Percent 13 4" xfId="1524" xr:uid="{470E5955-9D07-40FA-9ED1-65EB29D82639}"/>
    <cellStyle name="Percent 13 4 2" xfId="2657" xr:uid="{9254EAFD-8E4E-4C31-8FD3-24025332E86A}"/>
    <cellStyle name="Percent 13 5" xfId="1525" xr:uid="{2F0F328A-8D91-414C-958C-398E4493D8FF}"/>
    <cellStyle name="Percent 13 5 2" xfId="2658" xr:uid="{7A94DDAD-6E50-4DCF-9FD0-CCE94E87F977}"/>
    <cellStyle name="Percent 13 6" xfId="1526" xr:uid="{6920CC07-3202-445B-93CE-8C2EF1C665DA}"/>
    <cellStyle name="Percent 13 6 2" xfId="2659" xr:uid="{8ACE6153-2A6E-447B-93F2-CB50FB4D7F26}"/>
    <cellStyle name="Percent 13 7" xfId="1527" xr:uid="{EF78D938-7912-4816-AA35-A3DBB21A88E0}"/>
    <cellStyle name="Percent 13 7 2" xfId="2660" xr:uid="{1CFC4FAF-9338-4771-AE52-DC6101680B33}"/>
    <cellStyle name="Percent 13 8" xfId="1528" xr:uid="{8B0FFD90-E41C-4BE7-AFD8-E88F79644940}"/>
    <cellStyle name="Percent 13 8 2" xfId="2661" xr:uid="{DB08535F-45D9-4D0C-9C98-EC0745F72FAB}"/>
    <cellStyle name="Percent 13 9" xfId="2654" xr:uid="{D7B189AE-71E4-4570-8FDD-BB0EFBB57FBF}"/>
    <cellStyle name="Percent 14" xfId="1529" xr:uid="{9244A78C-A76A-49BA-9B02-367244C5885C}"/>
    <cellStyle name="Percent 14 2" xfId="1530" xr:uid="{607C391E-193D-46A7-88C2-A22A572050C0}"/>
    <cellStyle name="Percent 14 2 2" xfId="2663" xr:uid="{4B2409A1-5EE4-4919-9CDB-D3CF9A59D898}"/>
    <cellStyle name="Percent 14 3" xfId="1531" xr:uid="{DC175DEC-FE22-48F3-A568-85905CD579F0}"/>
    <cellStyle name="Percent 14 3 2" xfId="2664" xr:uid="{842D138A-795A-4A10-B4BD-AE1F0CCB946D}"/>
    <cellStyle name="Percent 14 4" xfId="1532" xr:uid="{065806D3-DECC-4A39-AA51-B95AFA4783D7}"/>
    <cellStyle name="Percent 14 4 2" xfId="2665" xr:uid="{AE1FF960-1F66-4437-A662-A345F9C7910C}"/>
    <cellStyle name="Percent 14 5" xfId="1533" xr:uid="{80A0E432-6750-4210-928A-35BEC87684B7}"/>
    <cellStyle name="Percent 14 5 2" xfId="2666" xr:uid="{6F09913B-C765-4080-8019-0090BEF33264}"/>
    <cellStyle name="Percent 14 6" xfId="1534" xr:uid="{3E2DB1FF-BEAF-43EE-BF17-2FE634AEE54F}"/>
    <cellStyle name="Percent 14 6 2" xfId="2667" xr:uid="{6157B5E6-525A-463D-9559-CDEC7B434E3A}"/>
    <cellStyle name="Percent 14 7" xfId="1535" xr:uid="{B06383F3-E4E6-4E53-8925-04F9AB9D5B8D}"/>
    <cellStyle name="Percent 14 7 2" xfId="2668" xr:uid="{B549E8D0-C08C-4B36-9382-D0897B2E5A1A}"/>
    <cellStyle name="Percent 14 8" xfId="1536" xr:uid="{AF338257-9748-4B3E-8050-80718E2D8623}"/>
    <cellStyle name="Percent 14 8 2" xfId="2669" xr:uid="{FB0021F4-6F9E-42F0-840F-FC3C345E88E8}"/>
    <cellStyle name="Percent 14 9" xfId="2662" xr:uid="{C7A3FB6B-FBFE-4C48-8F30-94CC8329F5C9}"/>
    <cellStyle name="Percent 15" xfId="1537" xr:uid="{57428561-6111-4ED2-9A55-8789C118FEC1}"/>
    <cellStyle name="Percent 15 10" xfId="1538" xr:uid="{8BDA0484-9EE3-434A-A39D-E7092E83B45B}"/>
    <cellStyle name="Percent 15 10 2" xfId="2670" xr:uid="{FFF8B148-7993-4EE5-A7EE-9AF7BCFCF9E7}"/>
    <cellStyle name="Percent 15 11" xfId="1539" xr:uid="{AB4CB89C-B48D-43FE-8687-A2E76E500B1A}"/>
    <cellStyle name="Percent 15 11 2" xfId="2671" xr:uid="{3ABDAE41-02A7-4BE3-AA1E-5A22FD1D5BFC}"/>
    <cellStyle name="Percent 15 12" xfId="1540" xr:uid="{CE8B3B08-979A-4F71-B242-85DB4293C95C}"/>
    <cellStyle name="Percent 15 12 2" xfId="2672" xr:uid="{7BC1FFF3-8AEC-402B-8D1F-2D7D0C61AC6D}"/>
    <cellStyle name="Percent 15 13" xfId="1541" xr:uid="{855E6DE7-720C-465D-B68A-26A8542778E6}"/>
    <cellStyle name="Percent 15 13 2" xfId="2673" xr:uid="{9AD89DF4-D5E3-42F7-8E89-AE33550104C2}"/>
    <cellStyle name="Percent 15 14" xfId="1542" xr:uid="{259A08E6-1E40-4CAD-959E-209408160198}"/>
    <cellStyle name="Percent 15 14 2" xfId="2674" xr:uid="{0C79FC5C-E93D-400A-9C98-D72423C80768}"/>
    <cellStyle name="Percent 15 2" xfId="1543" xr:uid="{509BB70C-ADAC-4583-8A48-E975355E503D}"/>
    <cellStyle name="Percent 15 2 2" xfId="1544" xr:uid="{E5DF0A67-90C4-45AE-9310-E959A68B8F78}"/>
    <cellStyle name="Percent 15 2 3" xfId="1545" xr:uid="{0DF25A08-008C-4F74-9DDC-3817EAECB9A6}"/>
    <cellStyle name="Percent 15 2 4" xfId="1546" xr:uid="{7C8D7E06-10C9-442F-99E9-84DE4D33CD07}"/>
    <cellStyle name="Percent 15 2 5" xfId="1547" xr:uid="{88B293C9-DAE7-4428-8356-4C5FD2BB39B4}"/>
    <cellStyle name="Percent 15 2 6" xfId="1548" xr:uid="{FE4A372A-E839-41DD-97F6-73B0A90EC2C1}"/>
    <cellStyle name="Percent 15 2 7" xfId="1549" xr:uid="{13895B08-FF68-4083-A422-559776885D54}"/>
    <cellStyle name="Percent 15 2 8" xfId="2675" xr:uid="{073F9C57-C3BA-48C4-BE1D-CB52EA89C23A}"/>
    <cellStyle name="Percent 15 3" xfId="1550" xr:uid="{2E5BC66A-5C11-4641-84F6-965A425C60ED}"/>
    <cellStyle name="Percent 15 4" xfId="1551" xr:uid="{4C63A6E4-AED9-4858-9E6E-AE6E4A909C61}"/>
    <cellStyle name="Percent 15 4 2" xfId="2676" xr:uid="{31E17C6B-B598-43F2-B82E-5918462B591A}"/>
    <cellStyle name="Percent 15 5" xfId="1552" xr:uid="{248B02B2-D160-4A34-8BB7-2E774FDDD935}"/>
    <cellStyle name="Percent 15 6" xfId="1553" xr:uid="{7092AC59-EDF3-4C2D-B997-9BCA83F95882}"/>
    <cellStyle name="Percent 15 7" xfId="1554" xr:uid="{2C0908C6-A324-459F-937C-7905346B7B75}"/>
    <cellStyle name="Percent 15 8" xfId="1555" xr:uid="{4FD43ED8-A104-4D76-B0B5-4BB4ADF554B8}"/>
    <cellStyle name="Percent 15 9" xfId="1556" xr:uid="{A91EECF4-FB14-489A-9AE2-0B0602D64778}"/>
    <cellStyle name="Percent 15 9 2" xfId="2677" xr:uid="{236C204A-A5D8-4ECB-8B83-13BAAA11EE4E}"/>
    <cellStyle name="Percent 16 2" xfId="1557" xr:uid="{1723AECD-170B-4A92-9C68-26B01A2512A2}"/>
    <cellStyle name="Percent 16 3" xfId="1558" xr:uid="{F663AAB0-DCA9-4186-B858-EAD1FA3E2004}"/>
    <cellStyle name="Percent 16 3 10" xfId="1559" xr:uid="{BB1C63F9-4AFE-41F0-BA9A-5AAE24EF489B}"/>
    <cellStyle name="Percent 16 3 10 2" xfId="2679" xr:uid="{84F8FD39-55AC-4972-B088-4A15E069D403}"/>
    <cellStyle name="Percent 16 3 11" xfId="1560" xr:uid="{32021DFA-1187-432B-9E27-F27D953CE83E}"/>
    <cellStyle name="Percent 16 3 11 2" xfId="2680" xr:uid="{CCC14B8D-526D-4803-8912-25030388C8EB}"/>
    <cellStyle name="Percent 16 3 12" xfId="1561" xr:uid="{2D538E5A-A159-44FB-BD27-16ABE6742EED}"/>
    <cellStyle name="Percent 16 3 12 2" xfId="2681" xr:uid="{DB0D4CFA-69CB-4438-B240-D5D6AF8A2E7B}"/>
    <cellStyle name="Percent 16 3 13" xfId="1562" xr:uid="{1DD068E2-EC8E-4C2B-90C5-03246A96D9BA}"/>
    <cellStyle name="Percent 16 3 13 2" xfId="2682" xr:uid="{FA0B395C-8263-4111-9FD7-96028793E73E}"/>
    <cellStyle name="Percent 16 3 14" xfId="1563" xr:uid="{37AD5A8E-3D3F-4FBF-9CAB-4E59D7717284}"/>
    <cellStyle name="Percent 16 3 14 2" xfId="2683" xr:uid="{C4FC584D-8D45-4098-9C1F-9B86C6A8EB33}"/>
    <cellStyle name="Percent 16 3 15" xfId="1564" xr:uid="{75811824-6D13-4E4E-B269-5466FC3B24BF}"/>
    <cellStyle name="Percent 16 3 15 2" xfId="2684" xr:uid="{27166568-69B9-4680-A8EC-20F1A9781882}"/>
    <cellStyle name="Percent 16 3 16" xfId="1565" xr:uid="{3A016C5A-47A2-4EC6-9206-594F5A593FBD}"/>
    <cellStyle name="Percent 16 3 16 2" xfId="2685" xr:uid="{09B71358-5195-45B4-953F-7D7E4490F220}"/>
    <cellStyle name="Percent 16 3 17" xfId="1566" xr:uid="{26FA6E6B-85F2-46E7-B3BD-B2C38E866BC2}"/>
    <cellStyle name="Percent 16 3 17 2" xfId="2686" xr:uid="{5D75DB32-C922-4069-8271-E7B231FF8B4F}"/>
    <cellStyle name="Percent 16 3 18" xfId="2678" xr:uid="{81BD4DCF-C622-40DA-BE6F-C00AC915AC8B}"/>
    <cellStyle name="Percent 16 3 2" xfId="1567" xr:uid="{B1931078-2045-4CF7-A140-75C099B8E780}"/>
    <cellStyle name="Percent 16 3 2 2" xfId="2687" xr:uid="{B46B9087-A4CB-4CFE-865C-D256B8A25C58}"/>
    <cellStyle name="Percent 16 3 3" xfId="1568" xr:uid="{019F2147-5D9E-4CB8-81E2-C5B6EC00CD3D}"/>
    <cellStyle name="Percent 16 3 3 2" xfId="2688" xr:uid="{B7358299-9D2F-488E-B021-EA616863E5A8}"/>
    <cellStyle name="Percent 16 3 4" xfId="1569" xr:uid="{D9CA0438-927F-4A75-8FB0-C5A7AC80E542}"/>
    <cellStyle name="Percent 16 3 4 2" xfId="2689" xr:uid="{62DA1E91-B875-49A7-AC31-734451699922}"/>
    <cellStyle name="Percent 16 3 5" xfId="1570" xr:uid="{81BE8F9A-D9C2-4A90-A748-46F360681D3D}"/>
    <cellStyle name="Percent 16 3 5 2" xfId="2690" xr:uid="{326CDFFC-9B29-4E67-8D4A-174918ED99BB}"/>
    <cellStyle name="Percent 16 3 6" xfId="1571" xr:uid="{3753A82D-D61D-480A-BFCC-64118967BFAC}"/>
    <cellStyle name="Percent 16 3 6 2" xfId="2691" xr:uid="{738E8898-57C4-4113-B0BD-662EBFB91101}"/>
    <cellStyle name="Percent 16 3 7" xfId="1572" xr:uid="{7D7B11DB-5805-402E-85DB-69A40503548D}"/>
    <cellStyle name="Percent 16 3 7 2" xfId="2692" xr:uid="{8F3EBB45-62C7-44AF-B216-8CA6182FCFEF}"/>
    <cellStyle name="Percent 16 3 8" xfId="1573" xr:uid="{5294C402-0F9E-4ED7-A771-4FE716A4078E}"/>
    <cellStyle name="Percent 16 3 8 2" xfId="2693" xr:uid="{E9E9DBEB-0F5A-49FE-8AC4-26E0740B0BE5}"/>
    <cellStyle name="Percent 16 3 9" xfId="1574" xr:uid="{F59A6640-5210-4AB0-9F0C-C148FCCCD23F}"/>
    <cellStyle name="Percent 16 3 9 2" xfId="2694" xr:uid="{6CE2F893-D605-436B-8FC4-541048696AAB}"/>
    <cellStyle name="Percent 16 4" xfId="1575" xr:uid="{BAC45BA3-CF50-4E59-BF02-C9CDE1C0584F}"/>
    <cellStyle name="Percent 16 4 10" xfId="1576" xr:uid="{6298071C-285A-43DB-868F-505FBB6FA067}"/>
    <cellStyle name="Percent 16 4 10 2" xfId="2696" xr:uid="{74FD88DC-DDCB-4692-A3DE-ED3868994333}"/>
    <cellStyle name="Percent 16 4 11" xfId="1577" xr:uid="{584F1034-5C40-4D9A-A84B-BCC881B34871}"/>
    <cellStyle name="Percent 16 4 11 2" xfId="2697" xr:uid="{9914E5E2-4901-4F3D-8D2F-A8E0D86476BD}"/>
    <cellStyle name="Percent 16 4 12" xfId="1578" xr:uid="{A3F47AFB-C030-46C4-A8A1-00D8284B47E9}"/>
    <cellStyle name="Percent 16 4 12 2" xfId="2698" xr:uid="{2FB9ED03-EA05-4412-83C3-B263F29D5516}"/>
    <cellStyle name="Percent 16 4 13" xfId="1579" xr:uid="{4DB53476-44C4-45A9-ADD4-5709391EF3C3}"/>
    <cellStyle name="Percent 16 4 13 2" xfId="2699" xr:uid="{CFF02632-BE04-4B9A-8ECC-5B4936A439F0}"/>
    <cellStyle name="Percent 16 4 14" xfId="1580" xr:uid="{2FD5C318-8D73-41F1-A10B-0D33AE340C80}"/>
    <cellStyle name="Percent 16 4 14 2" xfId="2700" xr:uid="{0D16AAF1-8EBB-439B-9309-B6907426AB3C}"/>
    <cellStyle name="Percent 16 4 15" xfId="1581" xr:uid="{B9E0748E-33EE-49B4-9F5C-151E64B93D10}"/>
    <cellStyle name="Percent 16 4 15 2" xfId="2701" xr:uid="{5DA95D2C-3BF6-4C15-A94D-0C4BC4728036}"/>
    <cellStyle name="Percent 16 4 16" xfId="1582" xr:uid="{612FD4BB-B426-4C1F-9994-349660290301}"/>
    <cellStyle name="Percent 16 4 16 2" xfId="2702" xr:uid="{00B5301A-39BA-4004-BEC8-E956B12BD44A}"/>
    <cellStyle name="Percent 16 4 17" xfId="1583" xr:uid="{ED5A0D3C-0C93-4171-BF4B-B9D5B59BF85E}"/>
    <cellStyle name="Percent 16 4 17 2" xfId="2703" xr:uid="{F31D71B0-A6EF-4406-87DD-4D6E7AC4DFE4}"/>
    <cellStyle name="Percent 16 4 18" xfId="2695" xr:uid="{599C4D9A-705F-4870-AC07-23BD6EB0FB2F}"/>
    <cellStyle name="Percent 16 4 2" xfId="1584" xr:uid="{380F04CB-E4BC-4F7D-8EEC-C5A39A416C80}"/>
    <cellStyle name="Percent 16 4 2 2" xfId="2704" xr:uid="{C3776456-125B-461A-B3F0-61714CD42D34}"/>
    <cellStyle name="Percent 16 4 3" xfId="1585" xr:uid="{69D100ED-7A80-4491-ABA9-5C83B5A44FF0}"/>
    <cellStyle name="Percent 16 4 3 2" xfId="2705" xr:uid="{39687BE4-1E13-4DAC-A5E6-994B08DDAB82}"/>
    <cellStyle name="Percent 16 4 4" xfId="1586" xr:uid="{0C528B49-4E20-4CE0-A262-557C7015666C}"/>
    <cellStyle name="Percent 16 4 4 2" xfId="2706" xr:uid="{A6AE7CA1-CE30-43FF-AF09-947F7D1EA624}"/>
    <cellStyle name="Percent 16 4 5" xfId="1587" xr:uid="{C47387D4-6DF1-4FDF-BA7A-FE980E93559E}"/>
    <cellStyle name="Percent 16 4 5 2" xfId="2707" xr:uid="{6FF5FF6B-B460-49C2-9B9E-34477BD51D99}"/>
    <cellStyle name="Percent 16 4 6" xfId="1588" xr:uid="{D439FA1B-C74C-4014-9DCE-131DA8061F97}"/>
    <cellStyle name="Percent 16 4 6 2" xfId="2708" xr:uid="{6917356D-C5AF-4C02-9BA2-61881FA6C08B}"/>
    <cellStyle name="Percent 16 4 7" xfId="1589" xr:uid="{BA4C2C60-873B-4151-867B-08CE706D53E3}"/>
    <cellStyle name="Percent 16 4 7 2" xfId="2709" xr:uid="{7A57F342-AFA0-43A6-BF74-5C0B381E2259}"/>
    <cellStyle name="Percent 16 4 8" xfId="1590" xr:uid="{4E083581-4DAD-42AA-8586-D60AF5DDF0D4}"/>
    <cellStyle name="Percent 16 4 8 2" xfId="2710" xr:uid="{C707DAE8-8B77-4DC2-B4A1-34606B331B92}"/>
    <cellStyle name="Percent 16 4 9" xfId="1591" xr:uid="{0FFC893E-3702-495D-BA0A-BD541FD226A3}"/>
    <cellStyle name="Percent 16 4 9 2" xfId="2711" xr:uid="{E9D5EDB5-655B-4B83-A83A-A65CBCCAF176}"/>
    <cellStyle name="Percent 16 5" xfId="1592" xr:uid="{7199FB79-F57E-4860-B07C-6F7BB9D0D6E5}"/>
    <cellStyle name="Percent 16 5 10" xfId="1593" xr:uid="{D44C50F3-74D2-4682-B27D-7A90C8EAAEFE}"/>
    <cellStyle name="Percent 16 5 10 2" xfId="2713" xr:uid="{F3BC38E9-1205-4B36-A7E0-ABB214CBD128}"/>
    <cellStyle name="Percent 16 5 11" xfId="1594" xr:uid="{1241260E-5CA8-4741-BF58-EF7511B27205}"/>
    <cellStyle name="Percent 16 5 11 2" xfId="2714" xr:uid="{D99465AD-4238-432E-BCD4-02E62658D4F1}"/>
    <cellStyle name="Percent 16 5 12" xfId="1595" xr:uid="{C0F84AB1-19EF-4DA3-BA00-B8A1FBC8D452}"/>
    <cellStyle name="Percent 16 5 12 2" xfId="2715" xr:uid="{D15B4C01-C6F9-49CB-8361-BBCC76E62DE7}"/>
    <cellStyle name="Percent 16 5 13" xfId="1596" xr:uid="{9799C39A-F6F6-4B24-9062-7007BC2EFDC0}"/>
    <cellStyle name="Percent 16 5 13 2" xfId="2716" xr:uid="{8B6E7759-89EA-4AAE-BF4C-7D944AECA4D9}"/>
    <cellStyle name="Percent 16 5 14" xfId="1597" xr:uid="{7664972C-4323-4AB6-980E-69382905F3BF}"/>
    <cellStyle name="Percent 16 5 14 2" xfId="2717" xr:uid="{087BC278-3B2B-4E50-A3FB-4C0493F00B10}"/>
    <cellStyle name="Percent 16 5 15" xfId="1598" xr:uid="{481D9B98-7496-4C2F-BFC9-8C9AC18D42A6}"/>
    <cellStyle name="Percent 16 5 15 2" xfId="2718" xr:uid="{A87C0CB6-1845-4DA1-BA99-D369AB6AFC04}"/>
    <cellStyle name="Percent 16 5 16" xfId="1599" xr:uid="{46F4718C-60C6-43FF-9353-CB941C63C0BF}"/>
    <cellStyle name="Percent 16 5 16 2" xfId="2719" xr:uid="{9727BF71-2497-4BEF-81EC-BAD43848613C}"/>
    <cellStyle name="Percent 16 5 17" xfId="1600" xr:uid="{41373E6A-476A-4C08-BED2-D3F3DE242969}"/>
    <cellStyle name="Percent 16 5 17 2" xfId="2720" xr:uid="{1CB718D5-B7B1-45D7-94E1-F32850A19F83}"/>
    <cellStyle name="Percent 16 5 18" xfId="2712" xr:uid="{3C2255A4-116F-4314-98D4-8B08552EB877}"/>
    <cellStyle name="Percent 16 5 2" xfId="1601" xr:uid="{C7550342-CF88-4A58-B799-705DD8D4F4DA}"/>
    <cellStyle name="Percent 16 5 2 2" xfId="2721" xr:uid="{FE1FEE34-057E-43AC-BD0A-4298103C45B8}"/>
    <cellStyle name="Percent 16 5 3" xfId="1602" xr:uid="{7EA7FB16-28C0-4543-906A-E17A40B6A3AD}"/>
    <cellStyle name="Percent 16 5 3 2" xfId="2722" xr:uid="{319C99B6-D022-4372-9982-9538442B4B58}"/>
    <cellStyle name="Percent 16 5 4" xfId="1603" xr:uid="{1D42FA42-7D29-4472-B8B0-DC4AEDC304F4}"/>
    <cellStyle name="Percent 16 5 4 2" xfId="2723" xr:uid="{829F0B72-9272-499F-8F33-8649CB358F0C}"/>
    <cellStyle name="Percent 16 5 5" xfId="1604" xr:uid="{B20EA5D5-297B-40F9-AD54-95E8154B3B6F}"/>
    <cellStyle name="Percent 16 5 5 2" xfId="2724" xr:uid="{B37B931E-03C3-4D42-920B-823265630217}"/>
    <cellStyle name="Percent 16 5 6" xfId="1605" xr:uid="{5128E21F-94FD-43ED-9BBD-CEA51F7445DF}"/>
    <cellStyle name="Percent 16 5 6 2" xfId="2725" xr:uid="{C5D9CDAA-EACD-40C6-ABED-AE02C6544CBE}"/>
    <cellStyle name="Percent 16 5 7" xfId="1606" xr:uid="{496E7090-9B22-4BD2-838A-35D23D915104}"/>
    <cellStyle name="Percent 16 5 7 2" xfId="2726" xr:uid="{405412FE-BEAA-45E0-801A-DE1ACB3B4851}"/>
    <cellStyle name="Percent 16 5 8" xfId="1607" xr:uid="{92334594-2A0B-4C3E-A787-2CAF8CC2AFD4}"/>
    <cellStyle name="Percent 16 5 8 2" xfId="2727" xr:uid="{AAD6761A-7E97-4358-A68E-000D12A473A5}"/>
    <cellStyle name="Percent 16 5 9" xfId="1608" xr:uid="{5E2AB577-4429-468F-B8CC-DC9D22F9908F}"/>
    <cellStyle name="Percent 16 5 9 2" xfId="2728" xr:uid="{853091CB-A7A5-4F85-A974-1A9DFACF67F7}"/>
    <cellStyle name="Percent 16 6" xfId="1609" xr:uid="{445716EB-AE2C-4D20-A796-4E126FC0C5C3}"/>
    <cellStyle name="Percent 16 6 10" xfId="1610" xr:uid="{31A6F82B-4D5D-4CF6-980E-DAC9FB3C1E81}"/>
    <cellStyle name="Percent 16 6 10 2" xfId="2730" xr:uid="{5F5B4521-906E-4190-B3AA-3CA87BE74C3C}"/>
    <cellStyle name="Percent 16 6 11" xfId="1611" xr:uid="{157C06A3-3EDF-49F8-B71B-2F96FF3DB63D}"/>
    <cellStyle name="Percent 16 6 11 2" xfId="2731" xr:uid="{8407F18D-7D2E-488A-AF7C-A13AC3404388}"/>
    <cellStyle name="Percent 16 6 12" xfId="1612" xr:uid="{52D18BF4-A7C8-4183-9403-660276B1EAD2}"/>
    <cellStyle name="Percent 16 6 12 2" xfId="2732" xr:uid="{DF234F02-74FA-4F50-A70D-07365953CB58}"/>
    <cellStyle name="Percent 16 6 13" xfId="1613" xr:uid="{12ACCBA5-A408-464E-8595-AE65887B878F}"/>
    <cellStyle name="Percent 16 6 13 2" xfId="2733" xr:uid="{D0D01806-AF01-440A-BFAF-D518AD4D62DF}"/>
    <cellStyle name="Percent 16 6 14" xfId="1614" xr:uid="{24CCC4DC-6AEE-4FE5-AD53-57AD5F14EEBF}"/>
    <cellStyle name="Percent 16 6 14 2" xfId="2734" xr:uid="{AFF89B21-7A22-42FA-B800-73048226E294}"/>
    <cellStyle name="Percent 16 6 15" xfId="1615" xr:uid="{8603AFF2-B5E7-4B6B-8AD8-01503755C02D}"/>
    <cellStyle name="Percent 16 6 15 2" xfId="2735" xr:uid="{E84D6446-19FD-4AB8-BB57-CF65949F9D1F}"/>
    <cellStyle name="Percent 16 6 16" xfId="1616" xr:uid="{6C9FC7DD-7CF6-4BEE-B8E8-70DC91746E2F}"/>
    <cellStyle name="Percent 16 6 16 2" xfId="2736" xr:uid="{42045698-0E27-4DD0-84AB-F6DEBB5414CC}"/>
    <cellStyle name="Percent 16 6 17" xfId="1617" xr:uid="{8F406F36-BF86-4DF9-9EF0-565E2F685263}"/>
    <cellStyle name="Percent 16 6 17 2" xfId="2737" xr:uid="{9FA116D0-F2EE-4B30-A16D-FDF2AB518830}"/>
    <cellStyle name="Percent 16 6 18" xfId="2729" xr:uid="{90F388E4-93EC-49EE-B7C0-F0033912E3A3}"/>
    <cellStyle name="Percent 16 6 2" xfId="1618" xr:uid="{2807660A-1078-4EB9-A695-301B3F1B9E98}"/>
    <cellStyle name="Percent 16 6 2 2" xfId="2738" xr:uid="{BFF54474-27A6-410E-8A1D-754E7E84CDB2}"/>
    <cellStyle name="Percent 16 6 3" xfId="1619" xr:uid="{29982374-4FF1-4130-A346-DE247D8A956F}"/>
    <cellStyle name="Percent 16 6 3 2" xfId="2739" xr:uid="{4CD447AF-6660-4C51-BCB5-ACF16800480C}"/>
    <cellStyle name="Percent 16 6 4" xfId="1620" xr:uid="{85AA69F8-90B3-4EB8-B39F-B0F5CD849652}"/>
    <cellStyle name="Percent 16 6 4 2" xfId="2740" xr:uid="{EDCE1885-B954-4680-999C-45528E765F0A}"/>
    <cellStyle name="Percent 16 6 5" xfId="1621" xr:uid="{A8A4DB98-5804-4628-B973-7778C70F00A6}"/>
    <cellStyle name="Percent 16 6 5 2" xfId="2741" xr:uid="{8ED416DF-73EB-4321-8CB4-FF6A75611B37}"/>
    <cellStyle name="Percent 16 6 6" xfId="1622" xr:uid="{A62CEBFF-9E8C-4CF6-BB03-FED458F1E086}"/>
    <cellStyle name="Percent 16 6 6 2" xfId="2742" xr:uid="{5B80AC90-0B54-42B7-910D-7C6D805A8656}"/>
    <cellStyle name="Percent 16 6 7" xfId="1623" xr:uid="{DECD8E1F-35EF-4D05-9356-B80572E856A9}"/>
    <cellStyle name="Percent 16 6 7 2" xfId="2743" xr:uid="{85ADED44-907E-4D87-971E-1AEC280B9CE3}"/>
    <cellStyle name="Percent 16 6 8" xfId="1624" xr:uid="{2888E277-9307-4C35-AE51-784215BD05A1}"/>
    <cellStyle name="Percent 16 6 8 2" xfId="2744" xr:uid="{01AAACED-AD78-4E22-BB55-5C2C723DB9E7}"/>
    <cellStyle name="Percent 16 6 9" xfId="1625" xr:uid="{4BD7725E-1BA1-48B2-BF0F-1B76592E3561}"/>
    <cellStyle name="Percent 16 6 9 2" xfId="2745" xr:uid="{FDD64A98-6BBE-4A91-BC5A-139EEFF6A08F}"/>
    <cellStyle name="Percent 16 7" xfId="1626" xr:uid="{E872B850-7539-44B4-91B0-0F4F7D6271A9}"/>
    <cellStyle name="Percent 16 7 10" xfId="1627" xr:uid="{0D5B7949-96D8-4DAC-8841-8B51E0AE8CB8}"/>
    <cellStyle name="Percent 16 7 10 2" xfId="2747" xr:uid="{3D603DD5-4490-43E2-BF10-C671FAB88CF2}"/>
    <cellStyle name="Percent 16 7 11" xfId="1628" xr:uid="{DC09CE8F-72AF-45C5-A9F4-41D782370FE1}"/>
    <cellStyle name="Percent 16 7 11 2" xfId="2748" xr:uid="{C5887818-59BE-445A-B3F3-AAA4C01E49E3}"/>
    <cellStyle name="Percent 16 7 12" xfId="1629" xr:uid="{9852D0DE-FAF9-4BA0-A3F0-C8E431B89571}"/>
    <cellStyle name="Percent 16 7 12 2" xfId="2749" xr:uid="{9E9687D7-EA37-472E-A982-8A1883AF8335}"/>
    <cellStyle name="Percent 16 7 13" xfId="1630" xr:uid="{609E907B-04E4-4752-81CC-8834297F08E1}"/>
    <cellStyle name="Percent 16 7 13 2" xfId="2750" xr:uid="{5E002D6B-9468-42C1-A5AB-A867247EAE1F}"/>
    <cellStyle name="Percent 16 7 14" xfId="1631" xr:uid="{96952273-9301-415C-880C-8DBD06E62AFF}"/>
    <cellStyle name="Percent 16 7 14 2" xfId="2751" xr:uid="{80231DBB-06F7-4DE3-A540-719AA1A951AD}"/>
    <cellStyle name="Percent 16 7 15" xfId="1632" xr:uid="{4104C1D7-7BC9-4DAD-82FF-38940A9C067E}"/>
    <cellStyle name="Percent 16 7 15 2" xfId="2752" xr:uid="{F47113A2-DA6F-4A71-A308-74E7662036D0}"/>
    <cellStyle name="Percent 16 7 16" xfId="1633" xr:uid="{2EC31BE9-68CF-477D-9BEB-94889948632C}"/>
    <cellStyle name="Percent 16 7 16 2" xfId="2753" xr:uid="{63361772-F101-4EE6-896D-91A43E74C18B}"/>
    <cellStyle name="Percent 16 7 17" xfId="1634" xr:uid="{8A6DF4E7-E93B-4C68-B18A-54F6C6C2EC8D}"/>
    <cellStyle name="Percent 16 7 17 2" xfId="2754" xr:uid="{75CD5EF0-CC92-4044-BE11-D4DEA3AE8A6A}"/>
    <cellStyle name="Percent 16 7 18" xfId="2746" xr:uid="{46AC7E08-EA10-414A-8F90-F71B36C18C07}"/>
    <cellStyle name="Percent 16 7 2" xfId="1635" xr:uid="{5B70B675-B1E8-468B-AB95-F69E9DADE040}"/>
    <cellStyle name="Percent 16 7 2 2" xfId="2755" xr:uid="{98346167-57F7-4B02-BF61-11AE05D61B17}"/>
    <cellStyle name="Percent 16 7 3" xfId="1636" xr:uid="{E2D8AAFE-A61C-458F-90E0-268C2AB535BD}"/>
    <cellStyle name="Percent 16 7 3 2" xfId="2756" xr:uid="{937C04CA-59EB-403D-A37E-1C3D61D3C62C}"/>
    <cellStyle name="Percent 16 7 4" xfId="1637" xr:uid="{99F0FA61-8A12-4C9F-A966-882CB2833719}"/>
    <cellStyle name="Percent 16 7 4 2" xfId="2757" xr:uid="{B4205992-C9EA-40B5-A28F-6F61EC5B37F1}"/>
    <cellStyle name="Percent 16 7 5" xfId="1638" xr:uid="{4527EE2A-F187-4D25-81E8-2F5597C25808}"/>
    <cellStyle name="Percent 16 7 5 2" xfId="2758" xr:uid="{3A4D2D94-1A8F-4172-880D-49880D6B23C0}"/>
    <cellStyle name="Percent 16 7 6" xfId="1639" xr:uid="{5644F3FA-EE6F-4B8B-8764-192B283C0D52}"/>
    <cellStyle name="Percent 16 7 6 2" xfId="2759" xr:uid="{4E8E0A96-77F1-49AE-8AAB-659DDF537B7F}"/>
    <cellStyle name="Percent 16 7 7" xfId="1640" xr:uid="{56D4580C-10A4-47AC-8DC7-4EE43C3EDFA4}"/>
    <cellStyle name="Percent 16 7 7 2" xfId="2760" xr:uid="{3B5A8CAF-0D74-4B18-B3AB-A512B262F7B2}"/>
    <cellStyle name="Percent 16 7 8" xfId="1641" xr:uid="{CBDD4277-5D90-4322-8FE3-903C6FEA49C0}"/>
    <cellStyle name="Percent 16 7 8 2" xfId="2761" xr:uid="{B07F4032-2C09-47FB-B441-E307FDF743CF}"/>
    <cellStyle name="Percent 16 7 9" xfId="1642" xr:uid="{74AE84D9-0743-439B-A6C2-7C164F874F3B}"/>
    <cellStyle name="Percent 16 7 9 2" xfId="2762" xr:uid="{A7CE8A37-68D8-4D49-B7E3-8D0E2C40FBEB}"/>
    <cellStyle name="Percent 16 8" xfId="1643" xr:uid="{DF8CDC2E-3B17-4830-AE10-D74490A3939E}"/>
    <cellStyle name="Percent 16 8 10" xfId="1644" xr:uid="{D813ADF6-8045-4345-A8E5-F55FD0E91956}"/>
    <cellStyle name="Percent 16 8 10 2" xfId="2764" xr:uid="{8CCB9B4D-0BD7-464D-9DF5-1CAD8C62F180}"/>
    <cellStyle name="Percent 16 8 11" xfId="1645" xr:uid="{6CF47000-BAE2-4D7F-B4B8-F0F692F91534}"/>
    <cellStyle name="Percent 16 8 11 2" xfId="2765" xr:uid="{B0A7AB82-444E-417C-9281-F6BE564197A9}"/>
    <cellStyle name="Percent 16 8 12" xfId="1646" xr:uid="{B272A0B7-0850-4AA6-80F7-B413046B0C5D}"/>
    <cellStyle name="Percent 16 8 12 2" xfId="2766" xr:uid="{83EF7BFB-5448-4163-AE47-4CFE0A6A0691}"/>
    <cellStyle name="Percent 16 8 13" xfId="1647" xr:uid="{45EF1F8D-DB5A-40F5-8043-ABBB724BD919}"/>
    <cellStyle name="Percent 16 8 13 2" xfId="2767" xr:uid="{C8C7ADB5-8990-4524-80E1-8743053395E4}"/>
    <cellStyle name="Percent 16 8 14" xfId="1648" xr:uid="{616ED155-3B9C-41EF-90F0-6D7CBC0E8B1E}"/>
    <cellStyle name="Percent 16 8 14 2" xfId="2768" xr:uid="{EE339515-B61D-4CA5-B29D-0AB010021744}"/>
    <cellStyle name="Percent 16 8 15" xfId="1649" xr:uid="{ADDED55E-E27D-4363-81DC-19DC4A4744F9}"/>
    <cellStyle name="Percent 16 8 15 2" xfId="2769" xr:uid="{654DC7B4-7183-4E65-BFA9-976700BD8CF8}"/>
    <cellStyle name="Percent 16 8 16" xfId="1650" xr:uid="{A979EF92-707D-4EAA-9F44-9097D47288E6}"/>
    <cellStyle name="Percent 16 8 16 2" xfId="2770" xr:uid="{43E3E6AD-C1F2-47A9-BD2C-96B20927088E}"/>
    <cellStyle name="Percent 16 8 17" xfId="1651" xr:uid="{93D76EC8-E296-4ACA-A742-20361166C1F0}"/>
    <cellStyle name="Percent 16 8 17 2" xfId="2771" xr:uid="{0A4E1710-89AA-49B9-A108-FF12767B1554}"/>
    <cellStyle name="Percent 16 8 18" xfId="2763" xr:uid="{45C38D39-8A9D-44CE-A647-6DA895EB3AEF}"/>
    <cellStyle name="Percent 16 8 2" xfId="1652" xr:uid="{C5559AD2-BE09-4AF3-946A-21728B04D569}"/>
    <cellStyle name="Percent 16 8 2 2" xfId="2772" xr:uid="{C4E13784-45ED-4FDF-B41C-A583001E86EE}"/>
    <cellStyle name="Percent 16 8 3" xfId="1653" xr:uid="{3DB280C5-623C-458C-8BD2-DAE6C9F92880}"/>
    <cellStyle name="Percent 16 8 3 2" xfId="2773" xr:uid="{4581AF52-DBF0-417F-BFB4-B774EC3E5021}"/>
    <cellStyle name="Percent 16 8 4" xfId="1654" xr:uid="{42DD42BC-CC22-4707-8232-49F2471D4A55}"/>
    <cellStyle name="Percent 16 8 4 2" xfId="2774" xr:uid="{8E516605-3E17-4CA6-8F72-A551EE65A635}"/>
    <cellStyle name="Percent 16 8 5" xfId="1655" xr:uid="{4349E745-EF77-43B4-B407-C460498DDCDF}"/>
    <cellStyle name="Percent 16 8 5 2" xfId="2775" xr:uid="{37AF5EF4-F00A-4FFB-9961-FC31AE3BE8C0}"/>
    <cellStyle name="Percent 16 8 6" xfId="1656" xr:uid="{452B2293-9AB4-4C21-A4D4-1C2A790CDF25}"/>
    <cellStyle name="Percent 16 8 6 2" xfId="2776" xr:uid="{29B8CECD-8331-4D9C-923A-4DE1D4CADE6D}"/>
    <cellStyle name="Percent 16 8 7" xfId="1657" xr:uid="{AD51A7C2-3A1F-4DB5-BA0B-3EEC0BEE732D}"/>
    <cellStyle name="Percent 16 8 7 2" xfId="2777" xr:uid="{F7070E61-B10C-414F-8918-CE70A58F18F9}"/>
    <cellStyle name="Percent 16 8 8" xfId="1658" xr:uid="{A3E32BE3-EB46-487C-A49C-9E42F3793857}"/>
    <cellStyle name="Percent 16 8 8 2" xfId="2778" xr:uid="{E2E382FE-5316-4664-89BB-B94E026A6B3E}"/>
    <cellStyle name="Percent 16 8 9" xfId="1659" xr:uid="{B1601014-EA09-48AB-A02B-4C6F65031F85}"/>
    <cellStyle name="Percent 16 8 9 2" xfId="2779" xr:uid="{6261D08A-7026-4F98-93B3-0D873CE35479}"/>
    <cellStyle name="Percent 16 9" xfId="1660" xr:uid="{3A8378CA-7FD1-415C-B9F4-AFE6F5EC794D}"/>
    <cellStyle name="Percent 16 9 10" xfId="1661" xr:uid="{C21A59C0-9F4C-46B9-A1DE-BAF46EA918A1}"/>
    <cellStyle name="Percent 16 9 10 2" xfId="2781" xr:uid="{5D33DF69-271B-467B-B6FC-B9BC8BB7D395}"/>
    <cellStyle name="Percent 16 9 11" xfId="1662" xr:uid="{A0CE5EA0-C2F0-47F6-9977-0897135AE7C9}"/>
    <cellStyle name="Percent 16 9 11 2" xfId="2782" xr:uid="{BDDE1DCC-3DCF-4DCC-B2F4-8F307C360866}"/>
    <cellStyle name="Percent 16 9 12" xfId="1663" xr:uid="{663CAE94-1A90-499B-86F5-518A303392AD}"/>
    <cellStyle name="Percent 16 9 12 2" xfId="2783" xr:uid="{8C19DBD1-B3C8-4910-9FF1-F622DCD62080}"/>
    <cellStyle name="Percent 16 9 13" xfId="1664" xr:uid="{57F47138-E201-4421-9C9D-869E586F615C}"/>
    <cellStyle name="Percent 16 9 13 2" xfId="2784" xr:uid="{C011BBCF-04E7-4194-9A62-7F0571F99761}"/>
    <cellStyle name="Percent 16 9 14" xfId="1665" xr:uid="{22AC6798-3337-43C9-957D-F1A86C8E6FF2}"/>
    <cellStyle name="Percent 16 9 14 2" xfId="2785" xr:uid="{BF3E8DF3-313F-4F95-946C-975B7F097253}"/>
    <cellStyle name="Percent 16 9 15" xfId="1666" xr:uid="{DF5D8B6C-156D-401E-9C4F-2701456A1F41}"/>
    <cellStyle name="Percent 16 9 15 2" xfId="2786" xr:uid="{EEFE98C1-38E1-42D5-856A-F4F6A12DA278}"/>
    <cellStyle name="Percent 16 9 16" xfId="1667" xr:uid="{E565AC5A-878D-4860-B870-CAC65083BEB4}"/>
    <cellStyle name="Percent 16 9 16 2" xfId="2787" xr:uid="{DB33188E-407F-433F-96C2-B4FC7CF15FA5}"/>
    <cellStyle name="Percent 16 9 17" xfId="1668" xr:uid="{BBFEAFBB-E7A5-4BDC-9853-814839EB6011}"/>
    <cellStyle name="Percent 16 9 17 2" xfId="2788" xr:uid="{E79199EB-F80E-41BE-820C-B392ED16A5EF}"/>
    <cellStyle name="Percent 16 9 18" xfId="2780" xr:uid="{091A1F3F-6DD8-4B9B-B76E-89A4C26E4DDB}"/>
    <cellStyle name="Percent 16 9 2" xfId="1669" xr:uid="{2C9D4E65-0362-4F01-A9BF-A42BB3457999}"/>
    <cellStyle name="Percent 16 9 2 2" xfId="2789" xr:uid="{7B810163-D667-4E37-AFD8-EFA476AA8E7D}"/>
    <cellStyle name="Percent 16 9 3" xfId="1670" xr:uid="{6205FC09-D3BB-4604-A168-0152CB6C1F3C}"/>
    <cellStyle name="Percent 16 9 3 2" xfId="2790" xr:uid="{9823083B-99EE-4EE9-87AD-07DCC7502DAB}"/>
    <cellStyle name="Percent 16 9 4" xfId="1671" xr:uid="{EC4DD093-2D9D-4949-BFFA-78F6B80517F4}"/>
    <cellStyle name="Percent 16 9 4 2" xfId="2791" xr:uid="{4C2F40BB-5A38-44C0-91FF-F3850D6F2417}"/>
    <cellStyle name="Percent 16 9 5" xfId="1672" xr:uid="{2EAF7D7B-A878-4C44-AF52-A47514E1F07D}"/>
    <cellStyle name="Percent 16 9 5 2" xfId="2792" xr:uid="{D1E54FB2-DAB9-4139-87B3-B3A188D99F78}"/>
    <cellStyle name="Percent 16 9 6" xfId="1673" xr:uid="{C7569600-DF8A-4E6B-B5EF-F325C3495C01}"/>
    <cellStyle name="Percent 16 9 6 2" xfId="2793" xr:uid="{F2F18152-9ED3-40B9-B6A6-6EB1DFE76FE0}"/>
    <cellStyle name="Percent 16 9 7" xfId="1674" xr:uid="{2C59816D-DD2A-4476-AF2B-BB02D0E1CE73}"/>
    <cellStyle name="Percent 16 9 7 2" xfId="2794" xr:uid="{319725BB-26C2-4967-8236-29437E441965}"/>
    <cellStyle name="Percent 16 9 8" xfId="1675" xr:uid="{A9B2DF43-2A28-4A25-8A8F-21569BEAB1F4}"/>
    <cellStyle name="Percent 16 9 8 2" xfId="2795" xr:uid="{2DC5BF3D-9D0A-463D-BDE3-FFB9AB6CD846}"/>
    <cellStyle name="Percent 16 9 9" xfId="1676" xr:uid="{7A8C98DA-F25C-4B70-8D79-AAF1869AAF16}"/>
    <cellStyle name="Percent 16 9 9 2" xfId="2796" xr:uid="{060AA761-7C70-412D-B7BB-A859D0EEF291}"/>
    <cellStyle name="Percent 17" xfId="1677" xr:uid="{8177006D-DA60-4A81-8A8B-3105B3FE40D3}"/>
    <cellStyle name="Percent 17 2" xfId="2797" xr:uid="{23B15673-47A2-470A-A134-B6617E2B99B8}"/>
    <cellStyle name="Percent 2" xfId="191" xr:uid="{1309F03D-0357-4221-8C61-BE3112496116}"/>
    <cellStyle name="Percent 2 10" xfId="1679" xr:uid="{95093CEF-A49E-4760-8DBF-456599A3E5E3}"/>
    <cellStyle name="Percent 2 10 2" xfId="1680" xr:uid="{089022EA-E174-4C98-A2CE-5CED54CA72E6}"/>
    <cellStyle name="Percent 2 10 2 2" xfId="2800" xr:uid="{5626F6F2-3F4F-4C9D-8378-104BE25F4E8C}"/>
    <cellStyle name="Percent 2 10 3" xfId="1681" xr:uid="{8BDDD361-DFD2-4658-80E0-5DF62BC11553}"/>
    <cellStyle name="Percent 2 10 3 2" xfId="2801" xr:uid="{3792EE7D-E43D-4B8B-A535-31DEA95628AF}"/>
    <cellStyle name="Percent 2 10 4" xfId="1682" xr:uid="{3FC47111-838B-431C-B0D6-D57AC058C389}"/>
    <cellStyle name="Percent 2 10 4 2" xfId="2802" xr:uid="{1795C3D5-C177-4AB1-ACA1-F8C35AC227FE}"/>
    <cellStyle name="Percent 2 10 5" xfId="1683" xr:uid="{CFD56B9D-6F2C-44B7-96DC-4CA936849DB5}"/>
    <cellStyle name="Percent 2 10 5 2" xfId="2803" xr:uid="{956EEB13-ECC8-431E-AFBC-89D46134842F}"/>
    <cellStyle name="Percent 2 10 6" xfId="1684" xr:uid="{7471AE92-26F7-46D3-9F97-E08E0A102B2D}"/>
    <cellStyle name="Percent 2 10 6 2" xfId="2804" xr:uid="{66F3682E-4A46-4B2A-8FF8-CCE037F63FA0}"/>
    <cellStyle name="Percent 2 10 7" xfId="1685" xr:uid="{75A1DC9A-4B25-4EB2-AC67-B43704FA6A99}"/>
    <cellStyle name="Percent 2 10 7 2" xfId="2805" xr:uid="{F9D04B5E-E01C-4C16-B90D-19DFBBDB2E22}"/>
    <cellStyle name="Percent 2 10 8" xfId="1686" xr:uid="{5AF0C217-8FFC-4FEA-BFA0-84A5DE8CB94C}"/>
    <cellStyle name="Percent 2 10 8 2" xfId="2806" xr:uid="{23F93C67-F735-490C-B6C2-3F5758764906}"/>
    <cellStyle name="Percent 2 10 9" xfId="2799" xr:uid="{27A2D5B6-2F73-4F8A-A116-BBFB79D29C20}"/>
    <cellStyle name="Percent 2 11" xfId="1687" xr:uid="{B124A1DF-BA4D-4122-88DB-5BB2B8CC4403}"/>
    <cellStyle name="Percent 2 11 2" xfId="1688" xr:uid="{4180D348-4693-4726-B5A3-346A72086E68}"/>
    <cellStyle name="Percent 2 11 2 2" xfId="2808" xr:uid="{494B0A10-C7ED-4F01-8687-3523FF459A69}"/>
    <cellStyle name="Percent 2 11 3" xfId="1689" xr:uid="{0F6418A2-67F4-4EA7-AF80-B27FF0C2AF68}"/>
    <cellStyle name="Percent 2 11 3 2" xfId="2809" xr:uid="{2E3AC960-9F92-449F-83C7-25EC00F8A3E8}"/>
    <cellStyle name="Percent 2 11 4" xfId="1690" xr:uid="{7F17D693-4141-4C02-A00C-EF9E6180A425}"/>
    <cellStyle name="Percent 2 11 4 2" xfId="2810" xr:uid="{565366EE-A05E-4DCF-81BB-30189CBA6AEE}"/>
    <cellStyle name="Percent 2 11 5" xfId="1691" xr:uid="{66A78303-368A-49A9-9B87-3BDB43086A25}"/>
    <cellStyle name="Percent 2 11 5 2" xfId="2811" xr:uid="{9B7738E4-2CA3-4250-AB1E-45AEE6225B33}"/>
    <cellStyle name="Percent 2 11 6" xfId="1692" xr:uid="{27A4DCFA-9603-4752-B12E-64AF458166CC}"/>
    <cellStyle name="Percent 2 11 6 2" xfId="2812" xr:uid="{AD7655B1-EE5C-44C0-97B5-F1C9E209622B}"/>
    <cellStyle name="Percent 2 11 7" xfId="1693" xr:uid="{ACFEC00F-E136-402F-B43A-52955FC8F6B5}"/>
    <cellStyle name="Percent 2 11 7 2" xfId="2813" xr:uid="{A0BE678E-B516-438B-BFAB-9B492F6AAAD1}"/>
    <cellStyle name="Percent 2 11 8" xfId="1694" xr:uid="{656EA575-7248-495E-99E0-E75AE42E9077}"/>
    <cellStyle name="Percent 2 11 8 2" xfId="2814" xr:uid="{F40C3B3A-8769-49C5-AF40-92C4AB07897C}"/>
    <cellStyle name="Percent 2 11 9" xfId="2807" xr:uid="{0FA674D5-80C2-4EFA-B349-DEBBC5DC7333}"/>
    <cellStyle name="Percent 2 12" xfId="1695" xr:uid="{7670DB8F-15E1-4594-A07C-02D3796FA180}"/>
    <cellStyle name="Percent 2 12 2" xfId="2815" xr:uid="{B4226DFF-C098-4DD8-A53F-FE4AE858C050}"/>
    <cellStyle name="Percent 2 13" xfId="1696" xr:uid="{065F7EBF-B95C-4B30-8364-54B3EE8121FF}"/>
    <cellStyle name="Percent 2 13 2" xfId="2816" xr:uid="{509F2EEA-5D83-47A4-A13E-5098CBEBD4C6}"/>
    <cellStyle name="Percent 2 14" xfId="1697" xr:uid="{2B0DD2D0-F6E5-4C52-B5C2-26A445D8F1E7}"/>
    <cellStyle name="Percent 2 14 2" xfId="2817" xr:uid="{8C67F048-9269-4C1D-84FB-9727DF0E9713}"/>
    <cellStyle name="Percent 2 15" xfId="1698" xr:uid="{A1A20303-2870-45E0-BD34-3CE7E9B2FDCA}"/>
    <cellStyle name="Percent 2 15 2" xfId="2818" xr:uid="{130032CA-B98E-49F6-848B-788A576BF0A8}"/>
    <cellStyle name="Percent 2 16" xfId="1699" xr:uid="{4F0285D4-08EE-43BB-9086-CAE8741AEA97}"/>
    <cellStyle name="Percent 2 16 2" xfId="2819" xr:uid="{F8AA6ACC-25F6-4E2D-9D35-6EFE99023220}"/>
    <cellStyle name="Percent 2 17" xfId="1700" xr:uid="{8D993B32-3057-4EFA-873E-B717A237C036}"/>
    <cellStyle name="Percent 2 17 2" xfId="2820" xr:uid="{43EAF660-0191-4A30-8567-1F89D7C1DC3D}"/>
    <cellStyle name="Percent 2 18" xfId="1701" xr:uid="{4F667A8F-45AC-4876-A0F5-B39F887776CF}"/>
    <cellStyle name="Percent 2 18 2" xfId="2821" xr:uid="{D3CE0FEE-4BA7-45BF-BADB-F2E278F7C781}"/>
    <cellStyle name="Percent 2 19" xfId="2798" xr:uid="{9EDBA88E-42E4-4BD1-9962-F5BF96B4A2D1}"/>
    <cellStyle name="Percent 2 2" xfId="192" xr:uid="{E81004C2-C397-44E5-B3A5-D624D4E455E8}"/>
    <cellStyle name="Percent 2 2 10" xfId="1702" xr:uid="{1196B649-363D-403F-B92C-DDE785C5FB68}"/>
    <cellStyle name="Percent 2 2 2" xfId="193" xr:uid="{9CBF9519-79D2-4455-94A7-C09EC4A5F954}"/>
    <cellStyle name="Percent 2 2 2 2" xfId="2823" xr:uid="{BCFF1675-6B02-4025-B227-B66A917A7C88}"/>
    <cellStyle name="Percent 2 2 2 3" xfId="1703" xr:uid="{CB0415C5-153D-43CD-A488-15F25139AF64}"/>
    <cellStyle name="Percent 2 2 3" xfId="194" xr:uid="{8F47A4DF-97A3-4C5B-8CE5-6113E6069FD3}"/>
    <cellStyle name="Percent 2 2 3 2" xfId="195" xr:uid="{C9EE66E8-33EE-434F-B766-A98C24DCF154}"/>
    <cellStyle name="Percent 2 2 3 2 2" xfId="2824" xr:uid="{2F5B1FD4-0D1C-49E6-9594-8E32ACF0EE9C}"/>
    <cellStyle name="Percent 2 2 3 3" xfId="1704" xr:uid="{A9950BCE-91BF-4102-95D6-815C9F1AC067}"/>
    <cellStyle name="Percent 2 2 4" xfId="1705" xr:uid="{0DA5FDD1-DE3C-4753-9EAA-C74FDAD6C6E5}"/>
    <cellStyle name="Percent 2 2 4 2" xfId="2825" xr:uid="{6B7DD38E-2A9E-433E-81AC-31B7FEAF53DF}"/>
    <cellStyle name="Percent 2 2 5" xfId="1706" xr:uid="{C018BB79-C819-4A44-A13B-A4ABF5CF6F0D}"/>
    <cellStyle name="Percent 2 2 5 2" xfId="2826" xr:uid="{39DA1830-F277-49B3-8FAE-E6C6B3ECE9AC}"/>
    <cellStyle name="Percent 2 2 6" xfId="1707" xr:uid="{A20C9AF4-6213-413C-94CA-B1E55CBE5BD0}"/>
    <cellStyle name="Percent 2 2 6 2" xfId="2827" xr:uid="{C9141C7F-C2E9-41EB-810A-037094B19437}"/>
    <cellStyle name="Percent 2 2 7" xfId="1708" xr:uid="{3D923570-16D0-4826-AD3D-2C478FAF5FD8}"/>
    <cellStyle name="Percent 2 2 7 2" xfId="2828" xr:uid="{EE5E6F60-63F0-4E23-B911-1F2B8D3028C2}"/>
    <cellStyle name="Percent 2 2 8" xfId="1709" xr:uid="{6F17B143-E79A-4974-A5B4-B4EA9F53D380}"/>
    <cellStyle name="Percent 2 2 8 2" xfId="2829" xr:uid="{92ACC668-9393-4497-8F01-E9CE6C0BF5D1}"/>
    <cellStyle name="Percent 2 2 9" xfId="2822" xr:uid="{E269AE43-5BAE-4F94-BA55-1B592AACB539}"/>
    <cellStyle name="Percent 2 20" xfId="1678" xr:uid="{BD223C9A-E2BC-44C6-8640-065951FF5C73}"/>
    <cellStyle name="Percent 2 3" xfId="196" xr:uid="{C5F01B76-BA1D-4FF7-87BA-2C12D3F75BB2}"/>
    <cellStyle name="Percent 2 3 10" xfId="1710" xr:uid="{07A7768C-A0D1-429D-9B84-3900BB24303C}"/>
    <cellStyle name="Percent 2 3 2" xfId="197" xr:uid="{ADA3E905-4B94-4EFA-9829-A3104CF2B3C0}"/>
    <cellStyle name="Percent 2 3 2 2" xfId="2831" xr:uid="{8B4C7965-9B35-44C8-9403-843A53C4869E}"/>
    <cellStyle name="Percent 2 3 2 3" xfId="1711" xr:uid="{471A694F-C9B5-4C8E-8E07-44A8EB0A41B5}"/>
    <cellStyle name="Percent 2 3 3" xfId="198" xr:uid="{5EE910EE-A370-472A-A2A6-255D8DCCBC6E}"/>
    <cellStyle name="Percent 2 3 3 2" xfId="199" xr:uid="{7D201140-A71D-42DB-932C-CECCA955E18B}"/>
    <cellStyle name="Percent 2 3 3 2 2" xfId="2832" xr:uid="{DDD1FF0A-F4BF-4989-B0C9-C78A3D4EBF00}"/>
    <cellStyle name="Percent 2 3 3 3" xfId="1712" xr:uid="{81849770-9A35-49D1-90A4-2D32C413B0F4}"/>
    <cellStyle name="Percent 2 3 4" xfId="1713" xr:uid="{93D3E482-5BA5-428F-98B2-71B88783482E}"/>
    <cellStyle name="Percent 2 3 4 2" xfId="2833" xr:uid="{A1D3A891-6293-4883-B223-2EF19FE15F5A}"/>
    <cellStyle name="Percent 2 3 5" xfId="1714" xr:uid="{40F0919B-A87F-4202-8638-2E421EF52CA7}"/>
    <cellStyle name="Percent 2 3 5 2" xfId="2834" xr:uid="{3DB207D2-12DB-4FEA-AC76-FDEDE7D6B81E}"/>
    <cellStyle name="Percent 2 3 6" xfId="1715" xr:uid="{E534231D-40FD-4194-94C4-11F1C9FE56C8}"/>
    <cellStyle name="Percent 2 3 6 2" xfId="2835" xr:uid="{EFF41909-1F30-4246-AFCE-FA5047652650}"/>
    <cellStyle name="Percent 2 3 7" xfId="1716" xr:uid="{CD5CD07C-5BF2-4A65-86A9-C03D0B3496AE}"/>
    <cellStyle name="Percent 2 3 7 2" xfId="2836" xr:uid="{0BFAC31F-C1B8-4F09-B594-C7159D232AB1}"/>
    <cellStyle name="Percent 2 3 8" xfId="1717" xr:uid="{D6C38842-F4FA-4CD8-AC3C-2BC033B84903}"/>
    <cellStyle name="Percent 2 3 8 2" xfId="2837" xr:uid="{5BC52442-2062-4B1D-9AB6-2A2503457896}"/>
    <cellStyle name="Percent 2 3 9" xfId="2830" xr:uid="{D73FA197-AB5F-4D4C-97FF-07CFB0126121}"/>
    <cellStyle name="Percent 2 4" xfId="200" xr:uid="{0E8D6223-07EA-408A-BD77-1DEE5ADD0EB8}"/>
    <cellStyle name="Percent 2 4 10" xfId="1718" xr:uid="{391AA063-54AB-4CEB-8E1D-74FEC2715679}"/>
    <cellStyle name="Percent 2 4 2" xfId="1719" xr:uid="{7DAD6AAB-F80A-4FDB-A863-30FF0D56FC60}"/>
    <cellStyle name="Percent 2 4 2 2" xfId="2839" xr:uid="{C3A11A42-5958-421A-8354-B246C93D1A88}"/>
    <cellStyle name="Percent 2 4 3" xfId="1720" xr:uid="{C6922181-ED11-4318-931B-4BB2C0A1B7B9}"/>
    <cellStyle name="Percent 2 4 3 2" xfId="2840" xr:uid="{54A04F86-20F5-4FFE-BA0D-C2AFF6D78F10}"/>
    <cellStyle name="Percent 2 4 4" xfId="1721" xr:uid="{CA589D0B-E38C-456E-A0F9-48E640CACAC1}"/>
    <cellStyle name="Percent 2 4 4 2" xfId="2841" xr:uid="{126B00C1-BA36-48F5-9C97-7A2E8A256EDA}"/>
    <cellStyle name="Percent 2 4 5" xfId="1722" xr:uid="{02008956-FDBF-4389-B61E-EB17A3CCD734}"/>
    <cellStyle name="Percent 2 4 5 2" xfId="2842" xr:uid="{46A68892-A37C-4818-859B-8ED86934ED27}"/>
    <cellStyle name="Percent 2 4 6" xfId="1723" xr:uid="{021CEB26-CDCB-4A42-84D3-F2061E3471CB}"/>
    <cellStyle name="Percent 2 4 6 2" xfId="2843" xr:uid="{55D17899-5633-4091-8F06-DB9F382D0552}"/>
    <cellStyle name="Percent 2 4 7" xfId="1724" xr:uid="{EA992E0A-B5FC-4917-82E6-C4073E0573DC}"/>
    <cellStyle name="Percent 2 4 7 2" xfId="2844" xr:uid="{F1D11650-EE7C-46FC-88B2-6F99243D7BCD}"/>
    <cellStyle name="Percent 2 4 8" xfId="1725" xr:uid="{5CE23804-B4BD-47CA-996D-08F60C8CDEBF}"/>
    <cellStyle name="Percent 2 4 8 2" xfId="2845" xr:uid="{3BA0F2A7-3FAC-4C45-86CD-3D9357AB15B7}"/>
    <cellStyle name="Percent 2 4 9" xfId="2838" xr:uid="{2E70129F-6B1A-40D4-99B9-D3AC0E256086}"/>
    <cellStyle name="Percent 2 5" xfId="1726" xr:uid="{62F7B3E9-D9EC-464F-9D57-C3BED35013DA}"/>
    <cellStyle name="Percent 2 5 2" xfId="1727" xr:uid="{90734722-9B0A-4F50-BB3C-E744E6D39D34}"/>
    <cellStyle name="Percent 2 5 2 2" xfId="2847" xr:uid="{990ECE0D-0125-44BB-BDCE-DF01B22C4D33}"/>
    <cellStyle name="Percent 2 5 3" xfId="1728" xr:uid="{CCCECE09-B8C7-479C-80C7-A666C05C92F7}"/>
    <cellStyle name="Percent 2 5 3 2" xfId="2848" xr:uid="{589FC466-CB31-4B43-B9A1-28844A5EEB30}"/>
    <cellStyle name="Percent 2 5 4" xfId="1729" xr:uid="{7DDDAA64-FD5E-45EF-9916-41CD982CA01A}"/>
    <cellStyle name="Percent 2 5 4 2" xfId="2849" xr:uid="{7B83DD73-A855-4CD1-9A83-8F53C3D540AD}"/>
    <cellStyle name="Percent 2 5 5" xfId="1730" xr:uid="{96781E97-E3F7-4544-BEA0-2657BB8F81CB}"/>
    <cellStyle name="Percent 2 5 5 2" xfId="2850" xr:uid="{A6A8DB40-7F1F-48A1-B118-5B2C3D8CAB95}"/>
    <cellStyle name="Percent 2 5 6" xfId="1731" xr:uid="{E1848309-B39B-4F4C-982B-D1DF556FF36F}"/>
    <cellStyle name="Percent 2 5 6 2" xfId="2851" xr:uid="{F7B56A68-1D93-4B84-B354-98283CD889DA}"/>
    <cellStyle name="Percent 2 5 7" xfId="1732" xr:uid="{7BE8688F-4113-4438-8574-7D044821C64F}"/>
    <cellStyle name="Percent 2 5 7 2" xfId="2852" xr:uid="{F68A35BB-8FFF-4B7E-93F3-27B857F188C5}"/>
    <cellStyle name="Percent 2 5 8" xfId="1733" xr:uid="{D96D9E1C-C5CB-4F6B-AFF1-A75241C24B00}"/>
    <cellStyle name="Percent 2 5 8 2" xfId="2853" xr:uid="{F55BC084-D2BC-42D0-883E-CB396515FF70}"/>
    <cellStyle name="Percent 2 5 9" xfId="2846" xr:uid="{C818080E-463C-4A69-AA5F-EFA45E364146}"/>
    <cellStyle name="Percent 2 6" xfId="1734" xr:uid="{969F125E-3EC5-436D-8F0C-7BE759C1E13A}"/>
    <cellStyle name="Percent 2 6 2" xfId="1735" xr:uid="{E22C658D-CEA1-41EF-BD4A-C51BA1D0A0F5}"/>
    <cellStyle name="Percent 2 6 2 2" xfId="2855" xr:uid="{02B62F04-D8CB-4128-9C15-55F1B2F7F542}"/>
    <cellStyle name="Percent 2 6 3" xfId="1736" xr:uid="{C3BF84F3-FAE2-44C9-800F-F5C6B0EF05E5}"/>
    <cellStyle name="Percent 2 6 3 2" xfId="2856" xr:uid="{D7F80443-EEB5-4946-BE77-1737024798B8}"/>
    <cellStyle name="Percent 2 6 4" xfId="1737" xr:uid="{00EF1F74-6FF7-4A83-B2A6-86E068D48ADF}"/>
    <cellStyle name="Percent 2 6 4 2" xfId="2857" xr:uid="{56579E9A-8526-4B60-84BE-8303CC6B57B4}"/>
    <cellStyle name="Percent 2 6 5" xfId="1738" xr:uid="{4AC0BA0B-458F-47FA-90F1-E3D3905398E7}"/>
    <cellStyle name="Percent 2 6 5 2" xfId="2858" xr:uid="{AA00A9FB-6A58-433C-B140-D4FBEF767A37}"/>
    <cellStyle name="Percent 2 6 6" xfId="1739" xr:uid="{E9F9BA1E-8B07-47C1-BCBA-20032E1B2877}"/>
    <cellStyle name="Percent 2 6 6 2" xfId="2859" xr:uid="{E1C3883B-4BD5-44C0-9B81-FE7C405C50CD}"/>
    <cellStyle name="Percent 2 6 7" xfId="1740" xr:uid="{04E5A476-11E3-4FC9-975B-3DD7A3D5A981}"/>
    <cellStyle name="Percent 2 6 7 2" xfId="2860" xr:uid="{695395B4-10C4-45D4-B032-F468CCDCFD48}"/>
    <cellStyle name="Percent 2 6 8" xfId="1741" xr:uid="{0740BF50-94FA-44A4-86C7-6D545EC01933}"/>
    <cellStyle name="Percent 2 6 8 2" xfId="2861" xr:uid="{95504516-0268-4E91-A5C8-D10D22924F48}"/>
    <cellStyle name="Percent 2 6 9" xfId="2854" xr:uid="{0F49570B-2C6A-41B7-A393-9DFC00A9D314}"/>
    <cellStyle name="Percent 2 7" xfId="1742" xr:uid="{2FF01B87-3973-4FBD-B671-D0EDF6A71108}"/>
    <cellStyle name="Percent 2 7 2" xfId="1743" xr:uid="{8DFB4B89-659C-417B-ACFD-207DD3DFFE21}"/>
    <cellStyle name="Percent 2 7 2 2" xfId="2863" xr:uid="{C3A5B776-8A53-4CB3-AEB8-28185588ADF3}"/>
    <cellStyle name="Percent 2 7 3" xfId="1744" xr:uid="{CCF70A55-0F29-4FA5-8A69-96D4AA7376E0}"/>
    <cellStyle name="Percent 2 7 3 2" xfId="2864" xr:uid="{4CCD3E34-692A-4A96-BB06-61BD5009BBAB}"/>
    <cellStyle name="Percent 2 7 4" xfId="1745" xr:uid="{1162BBBA-DD8C-46C4-9494-7A880D635140}"/>
    <cellStyle name="Percent 2 7 4 2" xfId="2865" xr:uid="{EA83C9D6-34B8-475E-90B4-E8FB093017FD}"/>
    <cellStyle name="Percent 2 7 5" xfId="1746" xr:uid="{EE9683BE-E8F6-442E-A588-12E00EB3BB89}"/>
    <cellStyle name="Percent 2 7 5 2" xfId="2866" xr:uid="{DB2C62D6-7E89-492F-B422-CD70EAC8CD5B}"/>
    <cellStyle name="Percent 2 7 6" xfId="1747" xr:uid="{B0157C24-FF20-44A2-B7F3-120002A0443A}"/>
    <cellStyle name="Percent 2 7 6 2" xfId="2867" xr:uid="{8E814FF7-708A-4FDC-AEB4-EF3BBBC6CEEA}"/>
    <cellStyle name="Percent 2 7 7" xfId="1748" xr:uid="{B713784F-0ADB-4302-863A-E8A3C39A1240}"/>
    <cellStyle name="Percent 2 7 7 2" xfId="2868" xr:uid="{2D3ECE5B-2998-4F34-A760-503F82CCC262}"/>
    <cellStyle name="Percent 2 7 8" xfId="1749" xr:uid="{30637079-021B-415D-8826-814A8C95732E}"/>
    <cellStyle name="Percent 2 7 8 2" xfId="2869" xr:uid="{AB0F09F6-1B5C-457D-A244-74F5229EAEBB}"/>
    <cellStyle name="Percent 2 7 9" xfId="2862" xr:uid="{1FE564EE-CA52-4514-B029-56C63D116AFF}"/>
    <cellStyle name="Percent 2 8" xfId="1750" xr:uid="{25099D31-75A7-4B2C-9471-AF0F233BA8D7}"/>
    <cellStyle name="Percent 2 8 2" xfId="1751" xr:uid="{2D179A64-A3FC-4E5C-93FF-FAA1C4B26E07}"/>
    <cellStyle name="Percent 2 8 2 2" xfId="2871" xr:uid="{60786157-FAD2-4702-9472-585499BD7658}"/>
    <cellStyle name="Percent 2 8 3" xfId="1752" xr:uid="{3D5E2146-F31B-4B79-BEDA-FC11086056E8}"/>
    <cellStyle name="Percent 2 8 3 2" xfId="2872" xr:uid="{614783CB-B2EE-497B-89DF-D8E4C6540CEB}"/>
    <cellStyle name="Percent 2 8 4" xfId="1753" xr:uid="{C6241E2A-ABE3-472F-A361-149D28037435}"/>
    <cellStyle name="Percent 2 8 4 2" xfId="2873" xr:uid="{6A0F3956-F165-4F34-BDA2-DE55A7FE5C9E}"/>
    <cellStyle name="Percent 2 8 5" xfId="1754" xr:uid="{B729DA44-6AFD-4886-AD04-3528DA00CCC1}"/>
    <cellStyle name="Percent 2 8 5 2" xfId="2874" xr:uid="{22C69D06-6607-4CAA-9374-938265AD7D85}"/>
    <cellStyle name="Percent 2 8 6" xfId="1755" xr:uid="{13F407DF-ABE8-47E5-952C-511B4FE27ACF}"/>
    <cellStyle name="Percent 2 8 6 2" xfId="2875" xr:uid="{04D30A78-A9A3-4490-80D2-C333F1ABBE50}"/>
    <cellStyle name="Percent 2 8 7" xfId="1756" xr:uid="{CF449F59-EE85-48AC-9A70-B6A2C2D12BD4}"/>
    <cellStyle name="Percent 2 8 7 2" xfId="2876" xr:uid="{549D022D-7D77-4159-811D-7894859B8033}"/>
    <cellStyle name="Percent 2 8 8" xfId="1757" xr:uid="{D81473E3-F879-4E41-B9D9-F925CD5C7513}"/>
    <cellStyle name="Percent 2 8 8 2" xfId="2877" xr:uid="{905D6156-8E5A-4DDE-9938-38B4C5E2E511}"/>
    <cellStyle name="Percent 2 8 9" xfId="2870" xr:uid="{F0A9EFE3-EA1A-4B62-A7C3-8119E138905D}"/>
    <cellStyle name="Percent 2 9" xfId="1758" xr:uid="{BA3FBB89-B14A-4F27-9C49-23EF07D1D7D7}"/>
    <cellStyle name="Percent 2 9 2" xfId="1759" xr:uid="{43498594-EE46-4151-981B-6A21F92A2F42}"/>
    <cellStyle name="Percent 2 9 2 2" xfId="2879" xr:uid="{5A4FCD25-BE52-4245-9C47-C0AB64D8D922}"/>
    <cellStyle name="Percent 2 9 3" xfId="1760" xr:uid="{87EF42A5-55DD-41E1-98F2-2E28DCA1795E}"/>
    <cellStyle name="Percent 2 9 3 2" xfId="2880" xr:uid="{9A42148E-B49C-4689-B7B6-FDBFF758E85A}"/>
    <cellStyle name="Percent 2 9 4" xfId="1761" xr:uid="{5CFAA25E-D7E0-40FB-B40F-181838F9CCB1}"/>
    <cellStyle name="Percent 2 9 4 2" xfId="2881" xr:uid="{BC3CFBB7-CDAB-4366-85BE-F6A85A468F2A}"/>
    <cellStyle name="Percent 2 9 5" xfId="1762" xr:uid="{E7AA182E-69E9-4D56-B7FC-7467FC5DD5D9}"/>
    <cellStyle name="Percent 2 9 5 2" xfId="2882" xr:uid="{D0C76D71-A300-47B6-9D59-7FED47C45D7C}"/>
    <cellStyle name="Percent 2 9 6" xfId="1763" xr:uid="{3A2A82A6-21F3-473E-B87B-15DA296E5C47}"/>
    <cellStyle name="Percent 2 9 6 2" xfId="2883" xr:uid="{D345F04A-98C8-47F0-9869-8015A89FB6F0}"/>
    <cellStyle name="Percent 2 9 7" xfId="1764" xr:uid="{E0DCA04D-51E3-4F27-88D3-259B41E9792C}"/>
    <cellStyle name="Percent 2 9 7 2" xfId="2884" xr:uid="{C2CB4587-AE32-4BAF-AD2D-F7CFC8A0FF5B}"/>
    <cellStyle name="Percent 2 9 8" xfId="1765" xr:uid="{A003B1DB-2537-4FA6-BEBF-CBD44B9FA82A}"/>
    <cellStyle name="Percent 2 9 8 2" xfId="2885" xr:uid="{AF02BB8D-4ACD-486C-B0C1-35E47DBD37A2}"/>
    <cellStyle name="Percent 2 9 9" xfId="2878" xr:uid="{871AEBBE-04B5-4818-9FBE-F8BC962865EF}"/>
    <cellStyle name="Percent 3" xfId="201" xr:uid="{FADC03F0-8A13-416C-9040-79549344D5E0}"/>
    <cellStyle name="Percent 3 10" xfId="1766" xr:uid="{8C8842DB-C067-4C04-9F6A-182473C27653}"/>
    <cellStyle name="Percent 3 11" xfId="3093" xr:uid="{D465A210-1647-4F84-A8A6-2CB2B4CD5545}"/>
    <cellStyle name="Percent 3 12" xfId="3319" xr:uid="{6DFA83E1-F74B-463B-84BE-4FEA23B8EC70}"/>
    <cellStyle name="Percent 3 2" xfId="202" xr:uid="{B5DFD7DE-6162-4CB8-A5F9-A63DC324CD49}"/>
    <cellStyle name="Percent 3 2 2" xfId="203" xr:uid="{6B26D1EC-FA68-41EB-9D81-5763AD4C9C30}"/>
    <cellStyle name="Percent 3 2 2 2" xfId="2887" xr:uid="{CEF5FA17-25E3-4A17-906A-A8C6FA7BE7B3}"/>
    <cellStyle name="Percent 3 2 3" xfId="204" xr:uid="{D89716CD-C8DB-42A9-9756-2177EE4C94B8}"/>
    <cellStyle name="Percent 3 2 4" xfId="1767" xr:uid="{CA63048A-D645-4BC6-BDBE-215D7EBFFAC3}"/>
    <cellStyle name="Percent 3 3" xfId="205" xr:uid="{FC719F22-3CAB-4EAC-B1CF-F4A6BA666502}"/>
    <cellStyle name="Percent 3 3 2" xfId="206" xr:uid="{602D8869-18E5-4A64-8E55-DBBA47109435}"/>
    <cellStyle name="Percent 3 3 2 2" xfId="2888" xr:uid="{E9FDAF1B-2811-4D29-A1DD-13B53D4CDFF6}"/>
    <cellStyle name="Percent 3 3 3" xfId="207" xr:uid="{FA44EA32-5137-4701-9851-D3C3DD73628D}"/>
    <cellStyle name="Percent 3 3 3 2" xfId="208" xr:uid="{FBC16BAE-4EFD-4A4C-8693-CE09A3DAF398}"/>
    <cellStyle name="Percent 3 3 4" xfId="1768" xr:uid="{EA5E861E-484C-4498-8A1D-7244D7CBEBF7}"/>
    <cellStyle name="Percent 3 4" xfId="209" xr:uid="{51B80EB5-C38B-40DA-B6AC-FA9A5D49C802}"/>
    <cellStyle name="Percent 3 4 2" xfId="210" xr:uid="{F86EBBB0-8398-4F85-8260-CC17395614C7}"/>
    <cellStyle name="Percent 3 4 2 2" xfId="2889" xr:uid="{376FBB08-2021-4F16-AEDF-4EB4A68F1DDA}"/>
    <cellStyle name="Percent 3 4 3" xfId="1769" xr:uid="{3889A2BD-08C5-475C-918D-B4F09FC9FA76}"/>
    <cellStyle name="Percent 3 5" xfId="211" xr:uid="{8371E57D-6011-4E80-A1A5-746C87575860}"/>
    <cellStyle name="Percent 3 5 2" xfId="2890" xr:uid="{728A2A8C-DEBF-47FE-BDB8-FCB157905818}"/>
    <cellStyle name="Percent 3 5 3" xfId="1770" xr:uid="{6C14B101-A863-4389-BDE8-371D2520A882}"/>
    <cellStyle name="Percent 3 6" xfId="1771" xr:uid="{D8B8B19B-0552-4D8C-A44F-6A86CF19E0E0}"/>
    <cellStyle name="Percent 3 6 2" xfId="2891" xr:uid="{3CA2BD05-E21F-4064-9151-F251D0C8C8F1}"/>
    <cellStyle name="Percent 3 7" xfId="1772" xr:uid="{909F7F10-E8D6-4B10-871E-811B0E58EE77}"/>
    <cellStyle name="Percent 3 7 2" xfId="2892" xr:uid="{A40A5C5B-4B05-4F59-9B49-811BB2D377AF}"/>
    <cellStyle name="Percent 3 8" xfId="1773" xr:uid="{6EA9CDB7-B82C-4592-80C8-420FB7D646BA}"/>
    <cellStyle name="Percent 3 8 2" xfId="2893" xr:uid="{8A3B17CD-9749-4032-B8EC-40349F2FBE58}"/>
    <cellStyle name="Percent 3 9" xfId="2886" xr:uid="{D53A98B5-BCF1-41E5-A829-7129274A86BC}"/>
    <cellStyle name="Percent 3 9 2" xfId="3214" xr:uid="{5B878753-499E-4A78-9746-15B771EAA6AC}"/>
    <cellStyle name="Percent 3 9 3" xfId="3440" xr:uid="{9059DEDB-2D27-4C9D-8206-256A65D4A3CD}"/>
    <cellStyle name="Percent 4" xfId="212" xr:uid="{C350F0E6-437B-465A-920C-D827C7982A58}"/>
    <cellStyle name="Percent 4 10" xfId="1775" xr:uid="{A6C48B1D-4480-4FB5-A104-6DC4ABC7F089}"/>
    <cellStyle name="Percent 4 10 2" xfId="2895" xr:uid="{D4C38555-239F-4D6C-B275-B73DAA0310D5}"/>
    <cellStyle name="Percent 4 11" xfId="1776" xr:uid="{25D9BD6B-11DC-453E-8100-00250A597DDC}"/>
    <cellStyle name="Percent 4 11 2" xfId="2896" xr:uid="{A8798854-ED08-497D-B901-263CF7C7B403}"/>
    <cellStyle name="Percent 4 12" xfId="1777" xr:uid="{08F46521-6CA7-4491-B57C-DBAA1189067C}"/>
    <cellStyle name="Percent 4 12 2" xfId="2897" xr:uid="{BB4B3DFB-3F79-41B8-9672-9C42536E6A59}"/>
    <cellStyle name="Percent 4 13" xfId="1778" xr:uid="{02AF0B59-2D33-449A-8C4D-D01CD72964CA}"/>
    <cellStyle name="Percent 4 13 2" xfId="2898" xr:uid="{308F74F2-17C5-4AEB-B149-29C99C73CA0E}"/>
    <cellStyle name="Percent 4 14" xfId="2894" xr:uid="{09449257-ACFA-4494-A344-7FEA9F7BCA8D}"/>
    <cellStyle name="Percent 4 15" xfId="1774" xr:uid="{73FF3B5E-5F13-4CB9-9624-089652E1F8D2}"/>
    <cellStyle name="Percent 4 2" xfId="213" xr:uid="{9A924D64-C378-4D46-B425-A189D9A287CD}"/>
    <cellStyle name="Percent 4 2 10" xfId="1779" xr:uid="{F829F3CB-7DDC-4E06-9132-9FDBB4D5768D}"/>
    <cellStyle name="Percent 4 2 2" xfId="214" xr:uid="{6BADDBFC-C936-4990-9ECC-231D370620C1}"/>
    <cellStyle name="Percent 4 2 2 2" xfId="2900" xr:uid="{4851BA3B-1FE2-4641-A274-E16DBDF6C5DA}"/>
    <cellStyle name="Percent 4 2 2 3" xfId="1780" xr:uid="{E2CC6087-2721-45FB-B556-DAAA64A49228}"/>
    <cellStyle name="Percent 4 2 3" xfId="1781" xr:uid="{1485DBF7-2242-4FC4-BC81-49BAC070F52B}"/>
    <cellStyle name="Percent 4 2 3 2" xfId="2901" xr:uid="{690B78D6-EA04-46F7-8B44-A59706F3D2F4}"/>
    <cellStyle name="Percent 4 2 4" xfId="1782" xr:uid="{E8F59B21-2935-407A-A2E3-7CFB8DDF21CF}"/>
    <cellStyle name="Percent 4 2 4 2" xfId="2902" xr:uid="{761BA292-5C81-48A0-899C-DB2A972DD8CE}"/>
    <cellStyle name="Percent 4 2 5" xfId="1783" xr:uid="{94CAB9F2-B7C1-4CD8-BB90-99E889175468}"/>
    <cellStyle name="Percent 4 2 5 2" xfId="2903" xr:uid="{AFD396B2-402D-4D57-9062-D6FDD1F7DDFE}"/>
    <cellStyle name="Percent 4 2 6" xfId="1784" xr:uid="{D69CD12F-2DEB-42F9-9EB8-97002AB79999}"/>
    <cellStyle name="Percent 4 2 6 2" xfId="2904" xr:uid="{41BAC500-0200-4DC7-80B3-EAC5AF6D932C}"/>
    <cellStyle name="Percent 4 2 7" xfId="1785" xr:uid="{36D6DC88-1A92-4DE8-A8F7-BC7EF51BB74F}"/>
    <cellStyle name="Percent 4 2 7 2" xfId="2905" xr:uid="{83B72550-0971-429C-82EE-F84C4E5D88C0}"/>
    <cellStyle name="Percent 4 2 8" xfId="1786" xr:uid="{F231821C-E792-4AF6-8344-EB36EA9B94E3}"/>
    <cellStyle name="Percent 4 2 8 2" xfId="2906" xr:uid="{78E67120-FB33-4999-AE0F-F585167ADA72}"/>
    <cellStyle name="Percent 4 2 9" xfId="2899" xr:uid="{BADB13D9-8BEC-4A90-8510-7601A1CBE724}"/>
    <cellStyle name="Percent 4 3" xfId="215" xr:uid="{308DF208-1B41-4F5E-8509-CF5234A21EEE}"/>
    <cellStyle name="Percent 4 3 10" xfId="1787" xr:uid="{9028624E-EEED-4683-A399-6B5365ACFDCB}"/>
    <cellStyle name="Percent 4 3 2" xfId="1788" xr:uid="{4BBC05D1-A055-452C-90F9-4265BC8828BA}"/>
    <cellStyle name="Percent 4 3 2 2" xfId="2908" xr:uid="{76D6013E-0E28-48F4-800F-14714F71E5A2}"/>
    <cellStyle name="Percent 4 3 3" xfId="1789" xr:uid="{B2596063-D3AD-441E-B710-0166BDAFB672}"/>
    <cellStyle name="Percent 4 3 3 2" xfId="2909" xr:uid="{B78B20FB-7CC2-4D51-A53D-67A6C56D9CBD}"/>
    <cellStyle name="Percent 4 3 4" xfId="1790" xr:uid="{C49B7761-EFA5-4FF3-A6A1-E5BF8175631B}"/>
    <cellStyle name="Percent 4 3 4 2" xfId="2910" xr:uid="{6F90888E-4DC9-418C-A902-41ABE66A9D33}"/>
    <cellStyle name="Percent 4 3 5" xfId="1791" xr:uid="{C742816F-8A50-4C74-894F-865880ED985F}"/>
    <cellStyle name="Percent 4 3 5 2" xfId="2911" xr:uid="{9E5EBB03-5A78-481C-A983-1242B7396023}"/>
    <cellStyle name="Percent 4 3 6" xfId="1792" xr:uid="{E12E3BBF-97FD-40D9-8742-FB505D3BE398}"/>
    <cellStyle name="Percent 4 3 6 2" xfId="2912" xr:uid="{23D20D32-EA0F-4726-8F66-DE882BD28A38}"/>
    <cellStyle name="Percent 4 3 7" xfId="1793" xr:uid="{B92BF74E-20F5-4C54-9C26-2628D9F71905}"/>
    <cellStyle name="Percent 4 3 7 2" xfId="2913" xr:uid="{F1C6484B-02CE-4ED4-BB78-DB029EA57CE8}"/>
    <cellStyle name="Percent 4 3 8" xfId="1794" xr:uid="{6C4D5E16-88A4-48FA-9AF1-64BBC75AFE1C}"/>
    <cellStyle name="Percent 4 3 8 2" xfId="2914" xr:uid="{633DC9BF-7DBD-4D9D-806E-7591C9BDFA8C}"/>
    <cellStyle name="Percent 4 3 9" xfId="2907" xr:uid="{D89F085F-B70F-43E1-A52B-09F09C7601B7}"/>
    <cellStyle name="Percent 4 4" xfId="216" xr:uid="{38F1987E-A73D-465D-AE20-4D47FC380DCB}"/>
    <cellStyle name="Percent 4 4 10" xfId="1795" xr:uid="{0E20984C-991D-4933-8E21-DBF2D471532F}"/>
    <cellStyle name="Percent 4 4 2" xfId="1796" xr:uid="{99118F70-E9F4-4F0A-AE99-D761992B4036}"/>
    <cellStyle name="Percent 4 4 2 2" xfId="2916" xr:uid="{8D4E630F-BECE-4F06-BA92-2878A505DAA4}"/>
    <cellStyle name="Percent 4 4 3" xfId="1797" xr:uid="{0818F2AF-3DC4-4389-B568-AE47D91C674B}"/>
    <cellStyle name="Percent 4 4 3 2" xfId="2917" xr:uid="{571B5EA3-3A36-465A-95AD-B04F898AFE3E}"/>
    <cellStyle name="Percent 4 4 4" xfId="1798" xr:uid="{5211EC8D-673A-4129-B1F5-C44C0611F7DB}"/>
    <cellStyle name="Percent 4 4 4 2" xfId="2918" xr:uid="{6479F6DA-BEAA-4D40-95FF-10D3564A3E06}"/>
    <cellStyle name="Percent 4 4 5" xfId="1799" xr:uid="{2A724D18-9D6E-468B-944F-886494A0C777}"/>
    <cellStyle name="Percent 4 4 5 2" xfId="2919" xr:uid="{CFAB5760-60ED-4AB9-8573-8DAA0EB1CFC7}"/>
    <cellStyle name="Percent 4 4 6" xfId="1800" xr:uid="{4BA8448B-BDC2-40C1-9994-E5CB45DA6485}"/>
    <cellStyle name="Percent 4 4 6 2" xfId="2920" xr:uid="{2CDE2BDB-FECC-4373-8C96-A4748DE1526D}"/>
    <cellStyle name="Percent 4 4 7" xfId="1801" xr:uid="{B488F8B0-9061-4FB8-B7CC-8D6629771BFE}"/>
    <cellStyle name="Percent 4 4 7 2" xfId="2921" xr:uid="{80A4D815-7A5B-466C-9A01-3484C3C985F7}"/>
    <cellStyle name="Percent 4 4 8" xfId="1802" xr:uid="{40C42EB3-38BA-434B-8F57-410983E0BAA7}"/>
    <cellStyle name="Percent 4 4 8 2" xfId="2922" xr:uid="{4EE3F00C-53F3-4C0E-9693-793402DC3CED}"/>
    <cellStyle name="Percent 4 4 9" xfId="2915" xr:uid="{760F6F0A-83E3-4EAE-98FC-77F2FD140272}"/>
    <cellStyle name="Percent 4 5" xfId="1803" xr:uid="{3F3BD655-0D05-4110-98ED-457373217C65}"/>
    <cellStyle name="Percent 4 5 2" xfId="1804" xr:uid="{570464ED-2E5A-4D2B-9C6E-018DED886511}"/>
    <cellStyle name="Percent 4 5 2 2" xfId="2924" xr:uid="{B8D9F070-DD16-4035-B6B1-5CAFCA2FA4F0}"/>
    <cellStyle name="Percent 4 5 3" xfId="1805" xr:uid="{ED12F0E3-1A3E-497E-86B1-04C5061ECEB7}"/>
    <cellStyle name="Percent 4 5 3 2" xfId="2925" xr:uid="{CCE887E2-F804-4CC7-87D3-C0E7929DD531}"/>
    <cellStyle name="Percent 4 5 4" xfId="1806" xr:uid="{B56301DC-2111-443E-919B-17CE8A52AE20}"/>
    <cellStyle name="Percent 4 5 4 2" xfId="2926" xr:uid="{9232FF1B-D91E-45A5-A597-3768D3E39D79}"/>
    <cellStyle name="Percent 4 5 5" xfId="1807" xr:uid="{70206B0F-4E99-4BAE-8131-DDC661C1DF7A}"/>
    <cellStyle name="Percent 4 5 5 2" xfId="2927" xr:uid="{7767237F-FB87-4696-B415-B85BD66047E1}"/>
    <cellStyle name="Percent 4 5 6" xfId="1808" xr:uid="{7D5BCB65-B891-4782-BEE7-03CB0AB21CC8}"/>
    <cellStyle name="Percent 4 5 6 2" xfId="2928" xr:uid="{A928893C-43D7-40B4-B177-65672BB738AE}"/>
    <cellStyle name="Percent 4 5 7" xfId="1809" xr:uid="{DC12940B-C205-4352-A724-810A660BCD60}"/>
    <cellStyle name="Percent 4 5 7 2" xfId="2929" xr:uid="{EBF471A2-DB0D-47F9-9422-977D775420B8}"/>
    <cellStyle name="Percent 4 5 8" xfId="1810" xr:uid="{CC3B8CB0-EE58-4452-B872-78F25E6B8882}"/>
    <cellStyle name="Percent 4 5 8 2" xfId="2930" xr:uid="{36698147-47AC-4A15-A523-4C2539D722DE}"/>
    <cellStyle name="Percent 4 5 9" xfId="2923" xr:uid="{51541E03-BE67-4848-8091-B15ADDE480EC}"/>
    <cellStyle name="Percent 4 6" xfId="1811" xr:uid="{31DF10EB-7B3A-4BAE-BF06-32784263540A}"/>
    <cellStyle name="Percent 4 6 2" xfId="1812" xr:uid="{6DF5E1CC-A8B4-453D-8A5A-F5909C148EE0}"/>
    <cellStyle name="Percent 4 6 2 2" xfId="2932" xr:uid="{579EA707-DA02-4844-AA94-D004183CA6AF}"/>
    <cellStyle name="Percent 4 6 3" xfId="1813" xr:uid="{E3E51A4B-61A4-4EA9-B93D-47C0ABE9B709}"/>
    <cellStyle name="Percent 4 6 3 2" xfId="2933" xr:uid="{5D1409EA-381D-4AB1-A0D7-37829DD49C18}"/>
    <cellStyle name="Percent 4 6 4" xfId="1814" xr:uid="{BC9C340A-462E-4DA0-9F19-1C86FCD3D410}"/>
    <cellStyle name="Percent 4 6 4 2" xfId="2934" xr:uid="{DC7FC1EC-A9C4-4F7C-AE40-8A56A004CB10}"/>
    <cellStyle name="Percent 4 6 5" xfId="1815" xr:uid="{756C6EEB-61B2-418C-81CA-7FCE92C26656}"/>
    <cellStyle name="Percent 4 6 5 2" xfId="2935" xr:uid="{790CFF7A-1ED5-419C-8894-3BA8563DE4DC}"/>
    <cellStyle name="Percent 4 6 6" xfId="1816" xr:uid="{79762E11-557D-4455-BF1E-B0C9605ACF6E}"/>
    <cellStyle name="Percent 4 6 6 2" xfId="2936" xr:uid="{0BD8C345-84E9-40DE-A62A-C3E40721F51A}"/>
    <cellStyle name="Percent 4 6 7" xfId="1817" xr:uid="{A3889228-F623-42A3-AF72-EDCF8C5F5EAC}"/>
    <cellStyle name="Percent 4 6 7 2" xfId="2937" xr:uid="{FB509EAA-2959-4515-BC0C-E60CF7BDE1FD}"/>
    <cellStyle name="Percent 4 6 8" xfId="1818" xr:uid="{3995C6B8-E993-4965-B5AA-62C74EF72A88}"/>
    <cellStyle name="Percent 4 6 8 2" xfId="2938" xr:uid="{566CF3BD-0614-43BB-AE8B-EF1BB208E564}"/>
    <cellStyle name="Percent 4 6 9" xfId="2931" xr:uid="{D7AD45CF-082A-484A-BFA7-4055D974058E}"/>
    <cellStyle name="Percent 4 7" xfId="1819" xr:uid="{D54F948A-7487-4866-95B2-7896D4857694}"/>
    <cellStyle name="Percent 4 7 2" xfId="2939" xr:uid="{FE7D0A47-59ED-4550-91C3-B0B4C51CBFF4}"/>
    <cellStyle name="Percent 4 8" xfId="1820" xr:uid="{E597E859-2883-4C5F-B9F6-642960CBE12D}"/>
    <cellStyle name="Percent 4 8 2" xfId="2940" xr:uid="{70353C90-28B7-4DF7-8F40-C7D6C14729CF}"/>
    <cellStyle name="Percent 4 9" xfId="1821" xr:uid="{5E675064-29FC-4F85-BF50-AD5F655578ED}"/>
    <cellStyle name="Percent 4 9 2" xfId="2941" xr:uid="{57BE663A-6D70-4646-8511-602C080066EE}"/>
    <cellStyle name="Percent 5" xfId="217" xr:uid="{9833A2E9-1B40-47B7-88BF-FC8C45D59A32}"/>
    <cellStyle name="Percent 5 10" xfId="1822" xr:uid="{2B3F3716-2BF0-42D8-A97C-FF1444CE8C6A}"/>
    <cellStyle name="Percent 5 2" xfId="218" xr:uid="{C993315B-688A-4165-A730-0693E82A1E53}"/>
    <cellStyle name="Percent 5 2 2" xfId="2943" xr:uid="{A1BA4A1F-7213-4F6F-8ABA-416F59AEA673}"/>
    <cellStyle name="Percent 5 2 3" xfId="1823" xr:uid="{7332EAE1-8D73-4D70-8CA8-DED9EB10EFFD}"/>
    <cellStyle name="Percent 5 3" xfId="1824" xr:uid="{0F1B4E69-896C-4539-B5AF-6095F01E2FAC}"/>
    <cellStyle name="Percent 5 3 2" xfId="2944" xr:uid="{86B70204-781C-4E09-8F73-D3C45E19420F}"/>
    <cellStyle name="Percent 5 4" xfId="1825" xr:uid="{2DF3D94B-A5ED-4D3C-B4F2-A52910177FE2}"/>
    <cellStyle name="Percent 5 4 2" xfId="2945" xr:uid="{3764E5FF-752C-4654-9937-D4EF0580F58F}"/>
    <cellStyle name="Percent 5 5" xfId="1826" xr:uid="{AC5B5FA6-B774-4381-A18E-EDC44B11267F}"/>
    <cellStyle name="Percent 5 5 2" xfId="2946" xr:uid="{ED86FB2C-0A44-495D-992D-2171A642009D}"/>
    <cellStyle name="Percent 5 6" xfId="1827" xr:uid="{BE8B0A58-B542-49F3-AEB3-5FA6EBF1DC89}"/>
    <cellStyle name="Percent 5 6 2" xfId="2947" xr:uid="{9C620988-24BA-466F-9459-CE9A861E82FB}"/>
    <cellStyle name="Percent 5 7" xfId="1828" xr:uid="{E5100233-64F8-4099-A8C7-C777F566B36D}"/>
    <cellStyle name="Percent 5 7 2" xfId="2948" xr:uid="{24D0F897-D20E-4F50-96CD-E206AD577792}"/>
    <cellStyle name="Percent 5 8" xfId="1829" xr:uid="{4E5BE8BE-4169-4995-9B79-DAE806FD745D}"/>
    <cellStyle name="Percent 5 8 2" xfId="2949" xr:uid="{F4759162-054B-44CF-ACBD-369C7BC071B7}"/>
    <cellStyle name="Percent 5 9" xfId="2942" xr:uid="{BEEDE0C9-06C5-49CD-966C-F7921D66D099}"/>
    <cellStyle name="Percent 6" xfId="219" xr:uid="{EB14EEDE-53A9-4C92-A1B6-74A2A6457560}"/>
    <cellStyle name="Percent 6 10" xfId="1830" xr:uid="{D981B3C6-C976-4259-A601-50AC2C08C6CB}"/>
    <cellStyle name="Percent 6 2" xfId="1831" xr:uid="{78EE41EB-4903-42DB-9027-A02637E75297}"/>
    <cellStyle name="Percent 6 2 2" xfId="2951" xr:uid="{A1546B93-0814-4EA5-82AE-B346B4A9CEC9}"/>
    <cellStyle name="Percent 6 3" xfId="1832" xr:uid="{E07F18FD-9558-47A0-9D48-660DC5B35DB5}"/>
    <cellStyle name="Percent 6 3 2" xfId="2952" xr:uid="{74A82DF8-19C8-4898-AC5B-4B56C916467B}"/>
    <cellStyle name="Percent 6 4" xfId="1833" xr:uid="{EC7FC290-1801-42C2-A967-65F16FFA130F}"/>
    <cellStyle name="Percent 6 4 2" xfId="2953" xr:uid="{642E05A3-B21F-41DD-94DB-32386E811E67}"/>
    <cellStyle name="Percent 6 5" xfId="1834" xr:uid="{5ECA91E7-E2DA-4458-A9ED-9FB286616139}"/>
    <cellStyle name="Percent 6 5 2" xfId="2954" xr:uid="{0673B8EE-3FCD-4BA7-968E-00801126B4CB}"/>
    <cellStyle name="Percent 6 6" xfId="1835" xr:uid="{447E3CFA-24FB-4A06-A4DE-AC2BD3179890}"/>
    <cellStyle name="Percent 6 6 2" xfId="2955" xr:uid="{60E48776-6950-41D8-A818-510CC1ED7960}"/>
    <cellStyle name="Percent 6 7" xfId="1836" xr:uid="{A747DC7D-D8CE-4D61-82AD-62AECDF821BB}"/>
    <cellStyle name="Percent 6 7 2" xfId="2956" xr:uid="{118301EA-6DA3-4E43-A394-0BC17A92DC07}"/>
    <cellStyle name="Percent 6 8" xfId="1837" xr:uid="{67B6CD1D-CB36-4C16-AB32-382C8520E2FB}"/>
    <cellStyle name="Percent 6 8 2" xfId="2957" xr:uid="{B3E73CB0-8CE6-4655-80F3-EEB4A410C281}"/>
    <cellStyle name="Percent 6 9" xfId="2950" xr:uid="{926DF184-715D-47E1-A466-EDE004722E22}"/>
    <cellStyle name="Percent 7" xfId="1838" xr:uid="{77B53967-73A4-4715-A4D5-64D4B722D36F}"/>
    <cellStyle name="Percent 7 2" xfId="1839" xr:uid="{0FEB2238-67B9-4167-94BF-DFDE03B42586}"/>
    <cellStyle name="Percent 7 2 2" xfId="2959" xr:uid="{20B6337F-DD2E-4A3D-9BA7-7CB4FE73E9C1}"/>
    <cellStyle name="Percent 7 3" xfId="1840" xr:uid="{7517F5C5-C89E-4D3F-A911-AB3AD111A1F7}"/>
    <cellStyle name="Percent 7 3 2" xfId="2960" xr:uid="{CD7DAC62-304D-4618-A5EC-3790A262BEC3}"/>
    <cellStyle name="Percent 7 4" xfId="1841" xr:uid="{EF04337E-6A93-4DE3-B048-41E8936770EE}"/>
    <cellStyle name="Percent 7 4 2" xfId="2961" xr:uid="{66414C81-AA2D-47B7-9F9B-A635C2779239}"/>
    <cellStyle name="Percent 7 5" xfId="1842" xr:uid="{15FB970E-A275-41F1-9E74-EC91961DD71E}"/>
    <cellStyle name="Percent 7 5 2" xfId="2962" xr:uid="{E6FC6EA5-4F16-45EC-BCC5-FEE92D52CC31}"/>
    <cellStyle name="Percent 7 6" xfId="1843" xr:uid="{B83A3A7B-A549-442F-985B-4A47711EA57E}"/>
    <cellStyle name="Percent 7 6 2" xfId="2963" xr:uid="{A4234ECC-8ABF-4D3E-8F9B-3CB1A79D53E8}"/>
    <cellStyle name="Percent 7 7" xfId="1844" xr:uid="{C3E658FE-89ED-4B01-80D1-74FC8171FE1E}"/>
    <cellStyle name="Percent 7 7 2" xfId="2964" xr:uid="{759251F5-AF0E-4A44-974D-059B604CFF9B}"/>
    <cellStyle name="Percent 7 8" xfId="1845" xr:uid="{21C2F873-8C2A-491C-A094-8B0870571979}"/>
    <cellStyle name="Percent 7 8 2" xfId="2965" xr:uid="{A06112CE-44AA-4CAE-81DA-B3F71458AA58}"/>
    <cellStyle name="Percent 7 9" xfId="2958" xr:uid="{CC41DEC0-BC48-4523-9943-C70A9BCB59D0}"/>
    <cellStyle name="Percent 8" xfId="1846" xr:uid="{109D5DED-C133-40D0-9523-2C59FB110103}"/>
    <cellStyle name="Percent 8 2" xfId="1847" xr:uid="{2ABF26FC-A8AF-4AB1-A9EE-1A95577B4FE0}"/>
    <cellStyle name="Percent 8 2 2" xfId="2967" xr:uid="{18272789-1FDC-4AE0-A561-A00742168CD7}"/>
    <cellStyle name="Percent 8 3" xfId="1848" xr:uid="{45A75450-5C8A-45D4-861E-FF7A75FFDE24}"/>
    <cellStyle name="Percent 8 3 2" xfId="2968" xr:uid="{30B9509F-9E41-4E2B-862D-C99483EA0CF1}"/>
    <cellStyle name="Percent 8 4" xfId="1849" xr:uid="{4AFC9474-978A-44AB-BE3B-6656AC8B42C8}"/>
    <cellStyle name="Percent 8 4 2" xfId="2969" xr:uid="{91A6DA6D-F6CB-4F5A-84F4-3D12F487602B}"/>
    <cellStyle name="Percent 8 5" xfId="1850" xr:uid="{080350AB-954E-421B-9E35-CECEB5D78B36}"/>
    <cellStyle name="Percent 8 5 2" xfId="2970" xr:uid="{08CC76FF-7894-45A5-B5F9-176788036595}"/>
    <cellStyle name="Percent 8 6" xfId="1851" xr:uid="{4EA36E2B-4DBE-45D0-964F-D9E45295E7A3}"/>
    <cellStyle name="Percent 8 6 2" xfId="2971" xr:uid="{AA5617BE-9BFD-4102-A9B5-FDAB47CCBC0B}"/>
    <cellStyle name="Percent 8 7" xfId="1852" xr:uid="{AE586BB5-1928-4D0C-AB7A-DCEB3AFCBC30}"/>
    <cellStyle name="Percent 8 7 2" xfId="2972" xr:uid="{5B985959-CC45-4A54-B17B-AC496C7D19A1}"/>
    <cellStyle name="Percent 8 8" xfId="1853" xr:uid="{80257FA2-0D54-412D-9AD6-2FBD35C5693B}"/>
    <cellStyle name="Percent 8 8 2" xfId="2973" xr:uid="{676859B0-85AD-4B2F-BC78-EB188C1A84EB}"/>
    <cellStyle name="Percent 8 9" xfId="2966" xr:uid="{0FBF02C5-81D3-45C2-ACA8-BD55AB18775E}"/>
    <cellStyle name="Percent 9" xfId="1854" xr:uid="{ACEC4614-8554-49AC-AEE4-1AE3B85B4396}"/>
    <cellStyle name="Percent 9 2" xfId="1855" xr:uid="{314211C8-4AF6-40F2-8A9E-E21F0D121377}"/>
    <cellStyle name="Percent 9 2 2" xfId="2975" xr:uid="{84CFF76B-80C0-47C7-B984-BF9504584B94}"/>
    <cellStyle name="Percent 9 3" xfId="1856" xr:uid="{15894D8A-6D93-4822-9DD6-EF92965BB087}"/>
    <cellStyle name="Percent 9 3 2" xfId="2976" xr:uid="{60B76312-418B-4F48-86F2-1F2524D68956}"/>
    <cellStyle name="Percent 9 4" xfId="1857" xr:uid="{F40FCFB3-A023-4F85-BA39-FE6BB7324E49}"/>
    <cellStyle name="Percent 9 4 2" xfId="2977" xr:uid="{8411DC75-787B-4A1C-AE99-175FFD2C4F2E}"/>
    <cellStyle name="Percent 9 5" xfId="1858" xr:uid="{2B074CD2-B202-43E2-B502-F8DCD5AB0A47}"/>
    <cellStyle name="Percent 9 5 2" xfId="2978" xr:uid="{6C794AFC-DA73-4D9B-A810-B2F9E0E9B567}"/>
    <cellStyle name="Percent 9 6" xfId="1859" xr:uid="{205BB5C1-C984-4F0E-848D-1F0BEC296C8E}"/>
    <cellStyle name="Percent 9 6 2" xfId="2979" xr:uid="{377DF4A7-F43C-4DE2-A48A-01DD32B5744B}"/>
    <cellStyle name="Percent 9 7" xfId="1860" xr:uid="{E751FCB0-AE6B-4360-AC6B-BA604DE8C0C6}"/>
    <cellStyle name="Percent 9 7 2" xfId="2980" xr:uid="{573C8816-B182-4030-8343-E8023BEF1813}"/>
    <cellStyle name="Percent 9 8" xfId="1861" xr:uid="{720F75A7-8B1A-4102-AE60-E4C4ABD3BAE5}"/>
    <cellStyle name="Percent 9 8 2" xfId="2981" xr:uid="{429E1DBD-84F8-4ED2-99B2-70A3E4CABA8B}"/>
    <cellStyle name="Percent 9 9" xfId="2974" xr:uid="{7B0E76C9-26A0-4ADB-AAF3-9E6FACF1CA9F}"/>
    <cellStyle name="Pilkku_Layo9704" xfId="220" xr:uid="{1212FD68-5099-4CD5-B8E4-0A6DD468B919}"/>
    <cellStyle name="Pyör. luku_Layo9704" xfId="221" xr:uid="{C50316EC-E88D-4546-95C8-3D5D6D45E5DF}"/>
    <cellStyle name="Pyör. valuutta_Layo9704" xfId="222" xr:uid="{D30A5192-8D6B-4777-9354-5735D1FFC239}"/>
    <cellStyle name="Satisfaisant" xfId="7" builtinId="26" customBuiltin="1"/>
    <cellStyle name="Sortie" xfId="11" builtinId="21" customBuiltin="1"/>
    <cellStyle name="source" xfId="1862" xr:uid="{55675536-0181-439F-ADEA-63B17A7BEAE3}"/>
    <cellStyle name="Standard_Sce_D_Extraction" xfId="223" xr:uid="{72460C4F-C290-4B81-AE6B-4C24F35948BC}"/>
    <cellStyle name="Style 21" xfId="224" xr:uid="{F8239BC0-2FEA-40A0-8092-A202F921DEFD}"/>
    <cellStyle name="Style 21 2" xfId="225" xr:uid="{39DB536B-DF1B-4BA7-803B-BADE666ADDD8}"/>
    <cellStyle name="Style 22" xfId="226" xr:uid="{12A21481-ABD5-4157-9875-1156F1A82A7F}"/>
    <cellStyle name="Style 23" xfId="227" xr:uid="{6F1D95F9-4779-4847-A89B-ECDD79E1C609}"/>
    <cellStyle name="Style 24" xfId="228" xr:uid="{9C4FC8A5-9FC1-4A0C-9B63-53638D302B3E}"/>
    <cellStyle name="Style 25" xfId="229" xr:uid="{B1CED912-6537-48AA-9C2D-1716C45793E2}"/>
    <cellStyle name="Style 25 2" xfId="230" xr:uid="{0A8F755B-AA5D-4987-82DA-4F49FD443BB6}"/>
    <cellStyle name="Style 26" xfId="231" xr:uid="{EAE49FB9-E173-4B9C-9B5E-750C9C348589}"/>
    <cellStyle name="Style 29" xfId="1863" xr:uid="{D20927CC-A10A-49F0-B40F-57B16C6C3D72}"/>
    <cellStyle name="Style 29 2" xfId="1864" xr:uid="{80A58185-6795-4BC1-8AC2-4FBA208FE5ED}"/>
    <cellStyle name="Style 29 2 2" xfId="2983" xr:uid="{CACF34EC-44EA-4D63-A1B8-4FE7E6FC1958}"/>
    <cellStyle name="Style 29 3" xfId="2982" xr:uid="{6D528012-CF6A-4022-9563-A0D647BFBD46}"/>
    <cellStyle name="Style 35" xfId="1865" xr:uid="{7E9FFCB2-CDAA-434E-807E-5CEC9AC10771}"/>
    <cellStyle name="Style 35 2" xfId="1866" xr:uid="{546D0E62-3850-4700-B786-CADF5522D401}"/>
    <cellStyle name="Style 36" xfId="1867" xr:uid="{0AF775DD-E58E-4293-BEDE-FBE8E7E17748}"/>
    <cellStyle name="Style 36 2" xfId="1868" xr:uid="{B6FB5C3A-3197-4AE2-ACF4-133FDBF0E2AD}"/>
    <cellStyle name="tableau | cellule | normal | decimal 1" xfId="1869" xr:uid="{54EEB676-88F4-49CE-B251-77A0AE47540A}"/>
    <cellStyle name="tableau | cellule | normal | pourcentage | decimal 1" xfId="1870" xr:uid="{FCE09BAF-89BC-425B-96D6-1500EBA84CEA}"/>
    <cellStyle name="tableau | cellule | total | decimal 1" xfId="1871" xr:uid="{0F67E283-451A-430E-B38D-861B67BF66DF}"/>
    <cellStyle name="tableau | coin superieur gauche" xfId="1872" xr:uid="{7C54D093-E9D4-4355-8549-0D584E6A1FEA}"/>
    <cellStyle name="tableau | coin superieur gauche 2" xfId="2984" xr:uid="{6A8C882A-DB3C-4430-A8D4-461BF7BC67DC}"/>
    <cellStyle name="tableau | entete-colonne | series" xfId="1873" xr:uid="{5AB73A0F-4E55-4506-B07D-E9F9014E4B41}"/>
    <cellStyle name="tableau | entete-colonne | series 2" xfId="2985" xr:uid="{E2AEE173-6420-4F33-B9DF-E8778EB13DCC}"/>
    <cellStyle name="tableau | entete-ligne | normal" xfId="1874" xr:uid="{A3794E11-B810-4462-9819-465DFCDF0B4C}"/>
    <cellStyle name="tableau | entete-ligne | normal 2" xfId="2986" xr:uid="{2FD5759E-E4F4-4A00-9424-6E1142424095}"/>
    <cellStyle name="tableau | entete-ligne | total" xfId="1875" xr:uid="{162A4CB3-0E31-4053-A119-C9BB2C7E8971}"/>
    <cellStyle name="tableau | ligne-titre | niveau1" xfId="1876" xr:uid="{E7787875-A0AD-4C33-BEA6-86F0CEE16FF8}"/>
    <cellStyle name="tableau | ligne-titre | niveau1 2" xfId="2987" xr:uid="{B142CF06-740B-48A6-804D-108DE0550432}"/>
    <cellStyle name="tableau | ligne-titre | niveau2" xfId="1877" xr:uid="{0F6FFF48-DCA6-4DFB-8B2F-8C522A126C0A}"/>
    <cellStyle name="tableau | ligne-titre | niveau2 2" xfId="2988" xr:uid="{807DE9B5-C44D-4B14-B637-5185CA0A9DCB}"/>
    <cellStyle name="Texte explicatif" xfId="17" builtinId="53" customBuiltin="1"/>
    <cellStyle name="Title" xfId="62" xr:uid="{915B9674-3816-47E2-BC2D-C3782DB8A28F}"/>
    <cellStyle name="Title 2" xfId="232" xr:uid="{B5EBC230-2ABF-42B6-93D2-B37B52E4C5D5}"/>
    <cellStyle name="Title 2 10" xfId="1878" xr:uid="{8596F2A0-1992-4560-A946-6A0AB4D059F8}"/>
    <cellStyle name="Title 2 2" xfId="1879" xr:uid="{CB662E06-49C5-40BE-8E43-584AA1E08EF6}"/>
    <cellStyle name="Title 2 3" xfId="1880" xr:uid="{644CB62A-C868-44E2-A1E5-0127CFD964CA}"/>
    <cellStyle name="Title 2 4" xfId="1881" xr:uid="{0D714AE1-3909-4A80-897F-97E23FB3806B}"/>
    <cellStyle name="Title 2 5" xfId="1882" xr:uid="{8ECF72A6-B8E9-42D6-B040-E9A90469E637}"/>
    <cellStyle name="Title 2 6" xfId="1883" xr:uid="{EA721D28-4B2C-45B6-9676-27C1A921C8AF}"/>
    <cellStyle name="Title 2 7" xfId="1884" xr:uid="{3E23FD52-89B8-403F-AFBD-951D21A5AC08}"/>
    <cellStyle name="Title 2 8" xfId="1885" xr:uid="{DFC0F471-8985-43FA-876B-44A63FF0754C}"/>
    <cellStyle name="Title 2 9" xfId="1886" xr:uid="{4C93323F-5E5E-49D8-8C04-FF1B799DA468}"/>
    <cellStyle name="Title 3" xfId="233" xr:uid="{DFFE3FA9-A3C3-4C0C-B29F-6885879ED137}"/>
    <cellStyle name="Title 3 2" xfId="1887" xr:uid="{5100DAB8-CAEF-4B3C-9F53-FE016778C280}"/>
    <cellStyle name="Titre" xfId="4" builtinId="15" customBuiltin="1"/>
    <cellStyle name="Titre 1" xfId="5" builtinId="16" customBuiltin="1"/>
    <cellStyle name="Titre 2" xfId="2" builtinId="17" customBuiltin="1"/>
    <cellStyle name="Titre 3" xfId="3" builtinId="18" customBuiltin="1"/>
    <cellStyle name="Titre 4" xfId="6" builtinId="19" customBuiltin="1"/>
    <cellStyle name="Total" xfId="18" builtinId="25" customBuiltin="1"/>
    <cellStyle name="Total 2" xfId="63" xr:uid="{DBBDBAA6-17B1-49DD-9DA6-6E326CE82484}"/>
    <cellStyle name="Total 2 10" xfId="1888" xr:uid="{AF2720AD-7930-4857-AB90-1BECA796B827}"/>
    <cellStyle name="Total 2 2" xfId="1889" xr:uid="{A297E0B5-9838-4D9A-979F-378ACECC05AE}"/>
    <cellStyle name="Total 2 3" xfId="1890" xr:uid="{5F20CDD4-2C03-4703-B429-8E6231D7B7EB}"/>
    <cellStyle name="Total 2 4" xfId="1891" xr:uid="{92FE657B-594F-4E33-B1F2-64DA07DE80B2}"/>
    <cellStyle name="Total 2 5" xfId="1892" xr:uid="{9B7498BD-B026-4626-9522-44281064A563}"/>
    <cellStyle name="Total 2 6" xfId="1893" xr:uid="{326F9E25-91AF-404A-84A9-80CFD7E93C3D}"/>
    <cellStyle name="Total 2 7" xfId="1894" xr:uid="{4FA1733E-FD21-4EE9-BAC2-905E6E013C9B}"/>
    <cellStyle name="Total 2 8" xfId="1895" xr:uid="{D80FD2BE-D77C-4AA6-AFE2-35322CFF252B}"/>
    <cellStyle name="Total 2 9" xfId="1896" xr:uid="{14AF612A-FBD4-4D71-91B2-1C15AA90BCB2}"/>
    <cellStyle name="Total 3" xfId="234" xr:uid="{CACC015C-6EE4-4E0E-9FCE-E5E4D46D43E5}"/>
    <cellStyle name="Total 3 2" xfId="1897" xr:uid="{B1B88A69-1FF7-47DC-B892-A8A96EF0419A}"/>
    <cellStyle name="Valuutta_Layo9704" xfId="235" xr:uid="{934FCC24-A148-4D6E-B7AB-826D81B49717}"/>
    <cellStyle name="Vérification" xfId="14" builtinId="23" customBuiltin="1"/>
    <cellStyle name="Warning Text 2" xfId="236" xr:uid="{5CEDE398-BB72-4C96-A0BF-BA82EE539FFB}"/>
    <cellStyle name="Warning Text 2 10" xfId="1898" xr:uid="{CCF3F383-417D-49E2-9DA5-BD15F5E73B49}"/>
    <cellStyle name="Warning Text 2 2" xfId="1899" xr:uid="{0FE93382-A0B3-44AF-AB42-095C787BEA22}"/>
    <cellStyle name="Warning Text 2 3" xfId="1900" xr:uid="{E520E5EB-599C-46C2-AA57-5A1F131D7224}"/>
    <cellStyle name="Warning Text 2 4" xfId="1901" xr:uid="{AA3290BB-3DF8-462D-93EA-BAD3BF6E648A}"/>
    <cellStyle name="Warning Text 2 5" xfId="1902" xr:uid="{0A52811E-4CA3-4D74-8DC3-AD07AEE8A481}"/>
    <cellStyle name="Warning Text 2 6" xfId="1903" xr:uid="{CF2A80AD-91E7-4351-9A68-2F6DDCC7B4BA}"/>
    <cellStyle name="Warning Text 2 7" xfId="1904" xr:uid="{22F9C8A6-DF86-46A1-A398-386C0E56BBFE}"/>
    <cellStyle name="Warning Text 2 8" xfId="1905" xr:uid="{B276603E-840C-4B97-B700-D4E7F3973DB5}"/>
    <cellStyle name="Warning Text 2 9" xfId="1906" xr:uid="{10198325-695F-4F94-9CEF-9401C425D4EE}"/>
    <cellStyle name="Warning Text 3" xfId="237" xr:uid="{971FEB86-E9D7-4F48-9ECD-A50974E3AD7B}"/>
    <cellStyle name="Обычный_CRF2002 (1)" xfId="252" xr:uid="{A60752CF-BB64-44EA-9A3B-186E1439E657}"/>
    <cellStyle name="已访问的超链接" xfId="1907" xr:uid="{1DDF8E3C-AD16-4233-BEDF-602D4B2DFE8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B2:D4"/>
  <sheetViews>
    <sheetView workbookViewId="0">
      <selection activeCell="C5" sqref="C5"/>
    </sheetView>
  </sheetViews>
  <sheetFormatPr baseColWidth="10" defaultColWidth="8.88671875" defaultRowHeight="14.4"/>
  <cols>
    <col min="1" max="1" width="8.88671875" customWidth="1"/>
    <col min="2" max="2" width="10.109375" bestFit="1" customWidth="1"/>
    <col min="3" max="3" width="30.88671875" bestFit="1" customWidth="1"/>
    <col min="4" max="4" width="12" bestFit="1" customWidth="1"/>
    <col min="5" max="5" width="10.77734375" bestFit="1" customWidth="1"/>
    <col min="6" max="6" width="19.21875" bestFit="1" customWidth="1"/>
  </cols>
  <sheetData>
    <row r="2" spans="2:4" ht="18" thickBot="1">
      <c r="B2" s="1" t="s">
        <v>0</v>
      </c>
    </row>
    <row r="3" spans="2:4" ht="15.6" thickTop="1" thickBot="1">
      <c r="B3" s="2" t="s">
        <v>1</v>
      </c>
      <c r="C3" s="2" t="s">
        <v>2</v>
      </c>
      <c r="D3" s="2" t="s">
        <v>3</v>
      </c>
    </row>
    <row r="4" spans="2:4">
      <c r="B4" t="s">
        <v>12</v>
      </c>
      <c r="C4" t="s">
        <v>807</v>
      </c>
      <c r="D4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2:E528"/>
  <sheetViews>
    <sheetView topLeftCell="A109" workbookViewId="0">
      <selection activeCell="E6" sqref="E6"/>
    </sheetView>
  </sheetViews>
  <sheetFormatPr baseColWidth="10" defaultColWidth="8.88671875" defaultRowHeight="14.4"/>
  <cols>
    <col min="1" max="1" width="8.88671875" customWidth="1"/>
    <col min="2" max="2" width="10.109375" customWidth="1"/>
    <col min="3" max="3" width="10.88671875" bestFit="1" customWidth="1"/>
    <col min="4" max="4" width="30" bestFit="1" customWidth="1"/>
    <col min="5" max="5" width="8.88671875" bestFit="1" customWidth="1"/>
  </cols>
  <sheetData>
    <row r="2" spans="2:5" ht="18" thickBot="1">
      <c r="B2" s="1" t="s">
        <v>77</v>
      </c>
    </row>
    <row r="3" spans="2:5" ht="15.6" thickTop="1" thickBot="1">
      <c r="B3" s="2" t="s">
        <v>10</v>
      </c>
      <c r="C3" s="2" t="s">
        <v>1</v>
      </c>
      <c r="D3" s="2" t="s">
        <v>2</v>
      </c>
      <c r="E3" s="2" t="s">
        <v>3</v>
      </c>
    </row>
    <row r="4" spans="2:5">
      <c r="C4" t="s">
        <v>4</v>
      </c>
      <c r="D4" t="s">
        <v>80</v>
      </c>
      <c r="E4">
        <v>3.5070000000000001</v>
      </c>
    </row>
    <row r="5" spans="2:5">
      <c r="C5" t="s">
        <v>4</v>
      </c>
      <c r="D5" t="s">
        <v>81</v>
      </c>
      <c r="E5">
        <v>0.122</v>
      </c>
    </row>
    <row r="6" spans="2:5">
      <c r="C6" t="s">
        <v>4</v>
      </c>
      <c r="D6" t="s">
        <v>82</v>
      </c>
      <c r="E6">
        <v>1.528</v>
      </c>
    </row>
    <row r="7" spans="2:5">
      <c r="C7" t="s">
        <v>4</v>
      </c>
      <c r="D7" t="s">
        <v>83</v>
      </c>
      <c r="E7">
        <v>0.68600000000000005</v>
      </c>
    </row>
    <row r="8" spans="2:5">
      <c r="C8" t="s">
        <v>4</v>
      </c>
      <c r="D8" t="s">
        <v>84</v>
      </c>
      <c r="E8">
        <v>0.38100000000000001</v>
      </c>
    </row>
    <row r="9" spans="2:5">
      <c r="C9" t="s">
        <v>4</v>
      </c>
      <c r="D9" t="s">
        <v>85</v>
      </c>
      <c r="E9">
        <v>28.027999999999999</v>
      </c>
    </row>
    <row r="10" spans="2:5">
      <c r="C10" t="s">
        <v>4</v>
      </c>
      <c r="D10" t="s">
        <v>86</v>
      </c>
      <c r="E10">
        <v>1.488</v>
      </c>
    </row>
    <row r="11" spans="2:5">
      <c r="C11" t="s">
        <v>4</v>
      </c>
      <c r="D11" t="s">
        <v>87</v>
      </c>
      <c r="E11">
        <v>1.1950000000000001</v>
      </c>
    </row>
    <row r="12" spans="2:5">
      <c r="C12" t="s">
        <v>4</v>
      </c>
      <c r="D12" t="s">
        <v>88</v>
      </c>
      <c r="E12">
        <v>4.3330000000000002</v>
      </c>
    </row>
    <row r="13" spans="2:5">
      <c r="C13" t="s">
        <v>4</v>
      </c>
      <c r="D13" t="s">
        <v>89</v>
      </c>
      <c r="E13">
        <v>0.40100000000000002</v>
      </c>
    </row>
    <row r="14" spans="2:5">
      <c r="C14" t="s">
        <v>4</v>
      </c>
      <c r="D14" t="s">
        <v>90</v>
      </c>
      <c r="E14">
        <v>0.19700000000000001</v>
      </c>
    </row>
    <row r="15" spans="2:5">
      <c r="C15" t="s">
        <v>4</v>
      </c>
      <c r="D15" t="s">
        <v>91</v>
      </c>
      <c r="E15">
        <v>0.72499999999999998</v>
      </c>
    </row>
    <row r="16" spans="2:5">
      <c r="C16" t="s">
        <v>4</v>
      </c>
      <c r="D16" t="s">
        <v>92</v>
      </c>
      <c r="E16">
        <v>1.0860000000000001</v>
      </c>
    </row>
    <row r="17" spans="2:5">
      <c r="C17" t="s">
        <v>4</v>
      </c>
      <c r="D17" t="s">
        <v>93</v>
      </c>
      <c r="E17">
        <v>0.19700000000000001</v>
      </c>
    </row>
    <row r="18" spans="2:5">
      <c r="C18" t="s">
        <v>4</v>
      </c>
      <c r="D18" t="s">
        <v>94</v>
      </c>
      <c r="E18">
        <v>5.3339999999999996</v>
      </c>
    </row>
    <row r="19" spans="2:5">
      <c r="C19" t="s">
        <v>4</v>
      </c>
      <c r="D19" t="s">
        <v>95</v>
      </c>
      <c r="E19">
        <v>6.0220000000000002</v>
      </c>
    </row>
    <row r="20" spans="2:5">
      <c r="B20">
        <v>2019</v>
      </c>
      <c r="C20" t="s">
        <v>4</v>
      </c>
      <c r="D20" t="s">
        <v>96</v>
      </c>
      <c r="E20">
        <v>0</v>
      </c>
    </row>
    <row r="21" spans="2:5">
      <c r="B21">
        <v>2019</v>
      </c>
      <c r="C21" t="s">
        <v>4</v>
      </c>
      <c r="D21" t="s">
        <v>97</v>
      </c>
      <c r="E21">
        <v>0</v>
      </c>
    </row>
    <row r="22" spans="2:5">
      <c r="B22">
        <v>2019</v>
      </c>
      <c r="C22" t="s">
        <v>4</v>
      </c>
      <c r="D22" t="s">
        <v>98</v>
      </c>
      <c r="E22">
        <v>0</v>
      </c>
    </row>
    <row r="23" spans="2:5">
      <c r="B23">
        <v>2019</v>
      </c>
      <c r="C23" t="s">
        <v>4</v>
      </c>
      <c r="D23" t="s">
        <v>99</v>
      </c>
      <c r="E23">
        <v>0.7</v>
      </c>
    </row>
    <row r="24" spans="2:5">
      <c r="B24">
        <v>2019</v>
      </c>
      <c r="C24" t="s">
        <v>4</v>
      </c>
      <c r="D24" t="s">
        <v>100</v>
      </c>
      <c r="E24">
        <v>0.56999999999999995</v>
      </c>
    </row>
    <row r="25" spans="2:5">
      <c r="B25">
        <v>2019</v>
      </c>
      <c r="C25" t="s">
        <v>4</v>
      </c>
      <c r="D25" t="s">
        <v>101</v>
      </c>
      <c r="E25">
        <v>2.2999999999999998</v>
      </c>
    </row>
    <row r="26" spans="2:5">
      <c r="B26">
        <v>2019</v>
      </c>
      <c r="C26" t="s">
        <v>4</v>
      </c>
      <c r="D26" t="s">
        <v>102</v>
      </c>
      <c r="E26">
        <v>0.7</v>
      </c>
    </row>
    <row r="27" spans="2:5">
      <c r="B27">
        <v>2019</v>
      </c>
      <c r="C27" t="s">
        <v>4</v>
      </c>
      <c r="D27" t="s">
        <v>103</v>
      </c>
      <c r="E27">
        <v>3.38</v>
      </c>
    </row>
    <row r="28" spans="2:5">
      <c r="B28">
        <v>2019</v>
      </c>
      <c r="C28" t="s">
        <v>4</v>
      </c>
      <c r="D28" t="s">
        <v>104</v>
      </c>
      <c r="E28">
        <v>5.6349999999999998</v>
      </c>
    </row>
    <row r="29" spans="2:5">
      <c r="B29">
        <v>2019</v>
      </c>
      <c r="C29" t="s">
        <v>4</v>
      </c>
      <c r="D29" t="s">
        <v>105</v>
      </c>
      <c r="E29">
        <v>0</v>
      </c>
    </row>
    <row r="30" spans="2:5">
      <c r="B30">
        <v>2019</v>
      </c>
      <c r="C30" t="s">
        <v>4</v>
      </c>
      <c r="D30" t="s">
        <v>106</v>
      </c>
      <c r="E30">
        <v>2.016</v>
      </c>
    </row>
    <row r="31" spans="2:5">
      <c r="B31">
        <v>2019</v>
      </c>
      <c r="C31" t="s">
        <v>4</v>
      </c>
      <c r="D31" t="s">
        <v>107</v>
      </c>
      <c r="E31">
        <v>0.38</v>
      </c>
    </row>
    <row r="32" spans="2:5">
      <c r="B32">
        <v>2019</v>
      </c>
      <c r="C32" t="s">
        <v>4</v>
      </c>
      <c r="D32" t="s">
        <v>108</v>
      </c>
      <c r="E32">
        <v>3.75</v>
      </c>
    </row>
    <row r="33" spans="2:5">
      <c r="B33">
        <v>2019</v>
      </c>
      <c r="C33" t="s">
        <v>4</v>
      </c>
      <c r="D33" t="s">
        <v>109</v>
      </c>
      <c r="E33">
        <v>2.0350000000000001</v>
      </c>
    </row>
    <row r="34" spans="2:5">
      <c r="B34">
        <v>2019</v>
      </c>
      <c r="C34" t="s">
        <v>4</v>
      </c>
      <c r="D34" t="s">
        <v>110</v>
      </c>
      <c r="E34">
        <v>10.1</v>
      </c>
    </row>
    <row r="35" spans="2:5">
      <c r="B35">
        <v>2019</v>
      </c>
      <c r="C35" t="s">
        <v>4</v>
      </c>
      <c r="D35" t="s">
        <v>111</v>
      </c>
      <c r="E35">
        <v>0.7</v>
      </c>
    </row>
    <row r="36" spans="2:5">
      <c r="B36">
        <v>2019</v>
      </c>
      <c r="C36" t="s">
        <v>4</v>
      </c>
      <c r="D36" t="s">
        <v>112</v>
      </c>
      <c r="E36">
        <v>1.8</v>
      </c>
    </row>
    <row r="37" spans="2:5">
      <c r="B37">
        <v>2019</v>
      </c>
      <c r="C37" t="s">
        <v>4</v>
      </c>
      <c r="D37" t="s">
        <v>113</v>
      </c>
      <c r="E37">
        <v>7.55</v>
      </c>
    </row>
    <row r="38" spans="2:5">
      <c r="B38">
        <v>2019</v>
      </c>
      <c r="C38" t="s">
        <v>4</v>
      </c>
      <c r="D38" t="s">
        <v>114</v>
      </c>
      <c r="E38">
        <v>0.7</v>
      </c>
    </row>
    <row r="39" spans="2:5">
      <c r="B39">
        <v>2019</v>
      </c>
      <c r="C39" t="s">
        <v>4</v>
      </c>
      <c r="D39" t="s">
        <v>115</v>
      </c>
      <c r="E39">
        <v>2.58</v>
      </c>
    </row>
    <row r="40" spans="2:5">
      <c r="B40">
        <v>2019</v>
      </c>
      <c r="C40" t="s">
        <v>4</v>
      </c>
      <c r="D40" t="s">
        <v>116</v>
      </c>
      <c r="E40">
        <v>0</v>
      </c>
    </row>
    <row r="41" spans="2:5">
      <c r="B41">
        <v>2019</v>
      </c>
      <c r="C41" t="s">
        <v>4</v>
      </c>
      <c r="D41" t="s">
        <v>117</v>
      </c>
      <c r="E41">
        <v>0.19</v>
      </c>
    </row>
    <row r="42" spans="2:5">
      <c r="B42">
        <v>2019</v>
      </c>
      <c r="C42" t="s">
        <v>4</v>
      </c>
      <c r="D42" t="s">
        <v>118</v>
      </c>
      <c r="E42">
        <v>1.05</v>
      </c>
    </row>
    <row r="43" spans="2:5">
      <c r="B43">
        <v>2019</v>
      </c>
      <c r="C43" t="s">
        <v>4</v>
      </c>
      <c r="D43" t="s">
        <v>119</v>
      </c>
      <c r="E43">
        <v>3.71</v>
      </c>
    </row>
    <row r="44" spans="2:5">
      <c r="B44">
        <v>2019</v>
      </c>
      <c r="C44" t="s">
        <v>4</v>
      </c>
      <c r="D44" t="s">
        <v>120</v>
      </c>
      <c r="E44">
        <v>2.15</v>
      </c>
    </row>
    <row r="45" spans="2:5">
      <c r="B45">
        <v>2019</v>
      </c>
      <c r="C45" t="s">
        <v>4</v>
      </c>
      <c r="D45" t="s">
        <v>121</v>
      </c>
      <c r="E45">
        <v>0</v>
      </c>
    </row>
    <row r="46" spans="2:5">
      <c r="B46">
        <v>2019</v>
      </c>
      <c r="C46" t="s">
        <v>4</v>
      </c>
      <c r="D46" t="s">
        <v>122</v>
      </c>
      <c r="E46">
        <v>3.75</v>
      </c>
    </row>
    <row r="47" spans="2:5">
      <c r="B47">
        <v>2019</v>
      </c>
      <c r="C47" t="s">
        <v>4</v>
      </c>
      <c r="D47" t="s">
        <v>123</v>
      </c>
      <c r="E47">
        <v>1.2</v>
      </c>
    </row>
    <row r="48" spans="2:5">
      <c r="B48">
        <v>2019</v>
      </c>
      <c r="C48" t="s">
        <v>4</v>
      </c>
      <c r="D48" t="s">
        <v>124</v>
      </c>
      <c r="E48">
        <v>5.0750000000000011</v>
      </c>
    </row>
    <row r="49" spans="2:5">
      <c r="B49">
        <v>2019</v>
      </c>
      <c r="C49" t="s">
        <v>4</v>
      </c>
      <c r="D49" t="s">
        <v>125</v>
      </c>
      <c r="E49">
        <v>2.6</v>
      </c>
    </row>
    <row r="50" spans="2:5">
      <c r="B50">
        <v>2019</v>
      </c>
      <c r="C50" t="s">
        <v>4</v>
      </c>
      <c r="D50" t="s">
        <v>126</v>
      </c>
      <c r="E50">
        <v>0.7</v>
      </c>
    </row>
    <row r="51" spans="2:5">
      <c r="B51">
        <v>2019</v>
      </c>
      <c r="C51" t="s">
        <v>4</v>
      </c>
      <c r="D51" t="s">
        <v>127</v>
      </c>
      <c r="E51">
        <v>2.0350000000000001</v>
      </c>
    </row>
    <row r="52" spans="2:5">
      <c r="B52">
        <v>2019</v>
      </c>
      <c r="C52" t="s">
        <v>4</v>
      </c>
      <c r="D52" t="s">
        <v>128</v>
      </c>
      <c r="E52">
        <v>5.68</v>
      </c>
    </row>
    <row r="53" spans="2:5">
      <c r="B53">
        <v>2019</v>
      </c>
      <c r="C53" t="s">
        <v>4</v>
      </c>
      <c r="D53" t="s">
        <v>129</v>
      </c>
      <c r="E53">
        <v>4.6750000000000007</v>
      </c>
    </row>
    <row r="54" spans="2:5">
      <c r="B54">
        <v>2019</v>
      </c>
      <c r="C54" t="s">
        <v>4</v>
      </c>
      <c r="D54" t="s">
        <v>130</v>
      </c>
      <c r="E54">
        <v>1.3</v>
      </c>
    </row>
    <row r="55" spans="2:5">
      <c r="B55">
        <v>2019</v>
      </c>
      <c r="C55" t="s">
        <v>4</v>
      </c>
      <c r="D55" t="s">
        <v>131</v>
      </c>
      <c r="E55">
        <v>4.5999999999999996</v>
      </c>
    </row>
    <row r="56" spans="2:5">
      <c r="B56">
        <v>2019</v>
      </c>
      <c r="C56" t="s">
        <v>4</v>
      </c>
      <c r="D56" t="s">
        <v>132</v>
      </c>
      <c r="E56">
        <v>0</v>
      </c>
    </row>
    <row r="57" spans="2:5">
      <c r="B57">
        <v>2019</v>
      </c>
      <c r="C57" t="s">
        <v>4</v>
      </c>
      <c r="D57" t="s">
        <v>133</v>
      </c>
      <c r="E57">
        <v>3.6799999999999997</v>
      </c>
    </row>
    <row r="58" spans="2:5">
      <c r="B58">
        <v>2019</v>
      </c>
      <c r="C58" t="s">
        <v>4</v>
      </c>
      <c r="D58" t="s">
        <v>134</v>
      </c>
      <c r="E58">
        <v>4.1500000000000004</v>
      </c>
    </row>
    <row r="59" spans="2:5">
      <c r="B59">
        <v>2019</v>
      </c>
      <c r="C59" t="s">
        <v>4</v>
      </c>
      <c r="D59" t="s">
        <v>135</v>
      </c>
      <c r="E59">
        <v>2.8</v>
      </c>
    </row>
    <row r="60" spans="2:5">
      <c r="B60">
        <v>2019</v>
      </c>
      <c r="C60" t="s">
        <v>4</v>
      </c>
      <c r="D60" t="s">
        <v>136</v>
      </c>
      <c r="E60">
        <v>3.15</v>
      </c>
    </row>
    <row r="61" spans="2:5">
      <c r="B61">
        <v>2019</v>
      </c>
      <c r="C61" t="s">
        <v>4</v>
      </c>
      <c r="D61" t="s">
        <v>137</v>
      </c>
      <c r="E61">
        <v>1.8</v>
      </c>
    </row>
    <row r="62" spans="2:5">
      <c r="B62">
        <v>2019</v>
      </c>
      <c r="C62" t="s">
        <v>4</v>
      </c>
      <c r="D62" t="s">
        <v>138</v>
      </c>
      <c r="E62">
        <v>2</v>
      </c>
    </row>
    <row r="63" spans="2:5">
      <c r="B63">
        <v>2019</v>
      </c>
      <c r="C63" t="s">
        <v>4</v>
      </c>
      <c r="D63" t="s">
        <v>139</v>
      </c>
      <c r="E63">
        <v>3.1150000000000002</v>
      </c>
    </row>
    <row r="64" spans="2:5">
      <c r="B64">
        <v>2019</v>
      </c>
      <c r="C64" t="s">
        <v>4</v>
      </c>
      <c r="D64" t="s">
        <v>140</v>
      </c>
      <c r="E64">
        <v>7</v>
      </c>
    </row>
    <row r="65" spans="2:5">
      <c r="B65">
        <v>2019</v>
      </c>
      <c r="C65" t="s">
        <v>4</v>
      </c>
      <c r="D65" t="s">
        <v>141</v>
      </c>
      <c r="E65">
        <v>7.55</v>
      </c>
    </row>
    <row r="66" spans="2:5">
      <c r="B66">
        <v>2019</v>
      </c>
      <c r="C66" t="s">
        <v>4</v>
      </c>
      <c r="D66" t="s">
        <v>142</v>
      </c>
      <c r="E66">
        <v>2.7</v>
      </c>
    </row>
    <row r="67" spans="2:5">
      <c r="B67">
        <v>2019</v>
      </c>
      <c r="C67" t="s">
        <v>4</v>
      </c>
      <c r="D67" t="s">
        <v>143</v>
      </c>
      <c r="E67">
        <v>2.2999999999999998</v>
      </c>
    </row>
    <row r="68" spans="2:5">
      <c r="B68">
        <v>2019</v>
      </c>
      <c r="C68" t="s">
        <v>4</v>
      </c>
      <c r="D68" t="s">
        <v>144</v>
      </c>
      <c r="E68">
        <v>0</v>
      </c>
    </row>
    <row r="69" spans="2:5">
      <c r="B69">
        <v>2019</v>
      </c>
      <c r="C69" t="s">
        <v>4</v>
      </c>
      <c r="D69" t="s">
        <v>145</v>
      </c>
      <c r="E69">
        <v>0</v>
      </c>
    </row>
    <row r="70" spans="2:5">
      <c r="B70">
        <v>2019</v>
      </c>
      <c r="C70" t="s">
        <v>4</v>
      </c>
      <c r="D70" t="s">
        <v>146</v>
      </c>
      <c r="E70">
        <v>1.2</v>
      </c>
    </row>
    <row r="71" spans="2:5">
      <c r="B71">
        <v>2019</v>
      </c>
      <c r="C71" t="s">
        <v>4</v>
      </c>
      <c r="D71" t="s">
        <v>147</v>
      </c>
      <c r="E71">
        <v>5.335</v>
      </c>
    </row>
    <row r="72" spans="2:5">
      <c r="B72">
        <v>2019</v>
      </c>
      <c r="C72" t="s">
        <v>4</v>
      </c>
      <c r="D72" t="s">
        <v>148</v>
      </c>
      <c r="E72">
        <v>0.7</v>
      </c>
    </row>
    <row r="73" spans="2:5">
      <c r="B73">
        <v>2019</v>
      </c>
      <c r="C73" t="s">
        <v>4</v>
      </c>
      <c r="D73" t="s">
        <v>149</v>
      </c>
      <c r="E73">
        <v>0</v>
      </c>
    </row>
    <row r="74" spans="2:5">
      <c r="B74">
        <v>2019</v>
      </c>
      <c r="C74" t="s">
        <v>4</v>
      </c>
      <c r="D74" t="s">
        <v>150</v>
      </c>
      <c r="E74">
        <v>0</v>
      </c>
    </row>
    <row r="75" spans="2:5">
      <c r="B75">
        <v>2019</v>
      </c>
      <c r="C75" t="s">
        <v>4</v>
      </c>
      <c r="D75" t="s">
        <v>151</v>
      </c>
      <c r="E75">
        <v>0.56999999999999995</v>
      </c>
    </row>
    <row r="76" spans="2:5">
      <c r="B76">
        <v>2019</v>
      </c>
      <c r="C76" t="s">
        <v>4</v>
      </c>
      <c r="D76" t="s">
        <v>152</v>
      </c>
      <c r="E76">
        <v>0</v>
      </c>
    </row>
    <row r="77" spans="2:5">
      <c r="B77">
        <v>2019</v>
      </c>
      <c r="C77" t="s">
        <v>4</v>
      </c>
      <c r="D77" t="s">
        <v>153</v>
      </c>
      <c r="E77">
        <v>0</v>
      </c>
    </row>
    <row r="78" spans="2:5">
      <c r="B78">
        <v>2019</v>
      </c>
      <c r="C78" t="s">
        <v>4</v>
      </c>
      <c r="D78" t="s">
        <v>154</v>
      </c>
      <c r="E78">
        <v>1.2</v>
      </c>
    </row>
    <row r="79" spans="2:5">
      <c r="B79">
        <v>2019</v>
      </c>
      <c r="C79" t="s">
        <v>4</v>
      </c>
      <c r="D79" t="s">
        <v>155</v>
      </c>
      <c r="E79">
        <v>0</v>
      </c>
    </row>
    <row r="80" spans="2:5">
      <c r="B80">
        <v>2019</v>
      </c>
      <c r="C80" t="s">
        <v>4</v>
      </c>
      <c r="D80" t="s">
        <v>156</v>
      </c>
      <c r="E80">
        <v>2.95</v>
      </c>
    </row>
    <row r="81" spans="2:5">
      <c r="B81">
        <v>2019</v>
      </c>
      <c r="C81" t="s">
        <v>4</v>
      </c>
      <c r="D81" t="s">
        <v>157</v>
      </c>
      <c r="E81">
        <v>2</v>
      </c>
    </row>
    <row r="82" spans="2:5">
      <c r="B82">
        <v>2019</v>
      </c>
      <c r="C82" t="s">
        <v>4</v>
      </c>
      <c r="D82" t="s">
        <v>158</v>
      </c>
      <c r="E82">
        <v>0</v>
      </c>
    </row>
    <row r="83" spans="2:5">
      <c r="B83">
        <v>2019</v>
      </c>
      <c r="C83" t="s">
        <v>4</v>
      </c>
      <c r="D83" t="s">
        <v>159</v>
      </c>
      <c r="E83">
        <v>0</v>
      </c>
    </row>
    <row r="84" spans="2:5">
      <c r="B84">
        <v>2025</v>
      </c>
      <c r="C84" t="s">
        <v>4</v>
      </c>
      <c r="D84" t="s">
        <v>96</v>
      </c>
      <c r="E84">
        <v>0.6</v>
      </c>
    </row>
    <row r="85" spans="2:5">
      <c r="B85">
        <v>2025</v>
      </c>
      <c r="C85" t="s">
        <v>4</v>
      </c>
      <c r="D85" t="s">
        <v>97</v>
      </c>
      <c r="E85">
        <v>3</v>
      </c>
    </row>
    <row r="86" spans="2:5">
      <c r="B86">
        <v>2025</v>
      </c>
      <c r="C86" t="s">
        <v>4</v>
      </c>
      <c r="D86" t="s">
        <v>99</v>
      </c>
      <c r="E86">
        <v>0.35000000000000009</v>
      </c>
    </row>
    <row r="87" spans="2:5">
      <c r="B87">
        <v>2025</v>
      </c>
      <c r="C87" t="s">
        <v>4</v>
      </c>
      <c r="D87" t="s">
        <v>103</v>
      </c>
      <c r="E87">
        <v>1.2199999999999998</v>
      </c>
    </row>
    <row r="88" spans="2:5">
      <c r="B88">
        <v>2025</v>
      </c>
      <c r="C88" t="s">
        <v>4</v>
      </c>
      <c r="D88" t="s">
        <v>105</v>
      </c>
      <c r="E88">
        <v>1.4</v>
      </c>
    </row>
    <row r="89" spans="2:5">
      <c r="B89">
        <v>2025</v>
      </c>
      <c r="C89" t="s">
        <v>4</v>
      </c>
      <c r="D89" t="s">
        <v>106</v>
      </c>
      <c r="E89">
        <v>0.3</v>
      </c>
    </row>
    <row r="90" spans="2:5">
      <c r="B90">
        <v>2025</v>
      </c>
      <c r="C90" t="s">
        <v>4</v>
      </c>
      <c r="D90" t="s">
        <v>107</v>
      </c>
      <c r="E90">
        <v>0.32999999999999996</v>
      </c>
    </row>
    <row r="91" spans="2:5">
      <c r="B91">
        <v>2025</v>
      </c>
      <c r="C91" t="s">
        <v>4</v>
      </c>
      <c r="D91" t="s">
        <v>109</v>
      </c>
      <c r="E91">
        <v>0.71599999999999997</v>
      </c>
    </row>
    <row r="92" spans="2:5">
      <c r="B92">
        <v>2025</v>
      </c>
      <c r="C92" t="s">
        <v>4</v>
      </c>
      <c r="D92" t="s">
        <v>110</v>
      </c>
      <c r="E92">
        <v>2.5</v>
      </c>
    </row>
    <row r="93" spans="2:5">
      <c r="B93">
        <v>2025</v>
      </c>
      <c r="C93" t="s">
        <v>4</v>
      </c>
      <c r="D93" t="s">
        <v>112</v>
      </c>
      <c r="E93">
        <v>0.99999999999999978</v>
      </c>
    </row>
    <row r="94" spans="2:5">
      <c r="B94">
        <v>2025</v>
      </c>
      <c r="C94" t="s">
        <v>4</v>
      </c>
      <c r="D94" t="s">
        <v>113</v>
      </c>
      <c r="E94">
        <v>0.75</v>
      </c>
    </row>
    <row r="95" spans="2:5">
      <c r="B95">
        <v>2025</v>
      </c>
      <c r="C95" t="s">
        <v>4</v>
      </c>
      <c r="D95" t="s">
        <v>116</v>
      </c>
      <c r="E95">
        <v>0.6</v>
      </c>
    </row>
    <row r="96" spans="2:5">
      <c r="B96">
        <v>2025</v>
      </c>
      <c r="C96" t="s">
        <v>4</v>
      </c>
      <c r="D96" t="s">
        <v>117</v>
      </c>
      <c r="E96">
        <v>0.3</v>
      </c>
    </row>
    <row r="97" spans="2:5">
      <c r="B97">
        <v>2025</v>
      </c>
      <c r="C97" t="s">
        <v>4</v>
      </c>
      <c r="D97" t="s">
        <v>118</v>
      </c>
      <c r="E97">
        <v>1.4</v>
      </c>
    </row>
    <row r="98" spans="2:5">
      <c r="B98">
        <v>2025</v>
      </c>
      <c r="C98" t="s">
        <v>4</v>
      </c>
      <c r="D98" t="s">
        <v>119</v>
      </c>
      <c r="E98">
        <v>0.73399999999999987</v>
      </c>
    </row>
    <row r="99" spans="2:5">
      <c r="B99">
        <v>2025</v>
      </c>
      <c r="C99" t="s">
        <v>4</v>
      </c>
      <c r="D99" t="s">
        <v>123</v>
      </c>
      <c r="E99">
        <v>1.75</v>
      </c>
    </row>
    <row r="100" spans="2:5">
      <c r="B100">
        <v>2025</v>
      </c>
      <c r="C100" t="s">
        <v>4</v>
      </c>
      <c r="D100" t="s">
        <v>124</v>
      </c>
      <c r="E100">
        <v>2.1030000000000002</v>
      </c>
    </row>
    <row r="101" spans="2:5">
      <c r="B101">
        <v>2025</v>
      </c>
      <c r="C101" t="s">
        <v>4</v>
      </c>
      <c r="D101" t="s">
        <v>125</v>
      </c>
      <c r="E101">
        <v>2.4</v>
      </c>
    </row>
    <row r="102" spans="2:5">
      <c r="B102">
        <v>2025</v>
      </c>
      <c r="C102" t="s">
        <v>4</v>
      </c>
      <c r="D102" t="s">
        <v>126</v>
      </c>
      <c r="E102">
        <v>0.35000000000000009</v>
      </c>
    </row>
    <row r="103" spans="2:5">
      <c r="B103">
        <v>2025</v>
      </c>
      <c r="C103" t="s">
        <v>4</v>
      </c>
      <c r="D103" t="s">
        <v>127</v>
      </c>
      <c r="E103">
        <v>0.71599999999999997</v>
      </c>
    </row>
    <row r="104" spans="2:5">
      <c r="B104">
        <v>2025</v>
      </c>
      <c r="C104" t="s">
        <v>4</v>
      </c>
      <c r="D104" t="s">
        <v>128</v>
      </c>
      <c r="E104">
        <v>0.88400000000000001</v>
      </c>
    </row>
    <row r="105" spans="2:5">
      <c r="B105">
        <v>2025</v>
      </c>
      <c r="C105" t="s">
        <v>4</v>
      </c>
      <c r="D105" t="s">
        <v>129</v>
      </c>
      <c r="E105">
        <v>1.8030000000000002</v>
      </c>
    </row>
    <row r="106" spans="2:5">
      <c r="B106">
        <v>2025</v>
      </c>
      <c r="C106" t="s">
        <v>4</v>
      </c>
      <c r="D106" t="s">
        <v>131</v>
      </c>
      <c r="E106">
        <v>1</v>
      </c>
    </row>
    <row r="107" spans="2:5">
      <c r="B107">
        <v>2025</v>
      </c>
      <c r="C107" t="s">
        <v>4</v>
      </c>
      <c r="D107" t="s">
        <v>133</v>
      </c>
      <c r="E107">
        <v>1</v>
      </c>
    </row>
    <row r="108" spans="2:5">
      <c r="B108">
        <v>2025</v>
      </c>
      <c r="C108" t="s">
        <v>4</v>
      </c>
      <c r="D108" t="s">
        <v>134</v>
      </c>
      <c r="E108">
        <v>9.9999999999999645E-2</v>
      </c>
    </row>
    <row r="109" spans="2:5">
      <c r="B109">
        <v>2025</v>
      </c>
      <c r="C109" t="s">
        <v>4</v>
      </c>
      <c r="D109" t="s">
        <v>135</v>
      </c>
      <c r="E109">
        <v>2.2000000000000002</v>
      </c>
    </row>
    <row r="110" spans="2:5">
      <c r="B110">
        <v>2025</v>
      </c>
      <c r="C110" t="s">
        <v>4</v>
      </c>
      <c r="D110" t="s">
        <v>136</v>
      </c>
      <c r="E110">
        <v>0.55000000000000027</v>
      </c>
    </row>
    <row r="111" spans="2:5">
      <c r="B111">
        <v>2025</v>
      </c>
      <c r="C111" t="s">
        <v>4</v>
      </c>
      <c r="D111" t="s">
        <v>137</v>
      </c>
      <c r="E111">
        <v>1.2</v>
      </c>
    </row>
    <row r="112" spans="2:5">
      <c r="B112">
        <v>2025</v>
      </c>
      <c r="C112" t="s">
        <v>4</v>
      </c>
      <c r="D112" t="s">
        <v>138</v>
      </c>
      <c r="E112">
        <v>2</v>
      </c>
    </row>
    <row r="113" spans="2:5">
      <c r="B113">
        <v>2025</v>
      </c>
      <c r="C113" t="s">
        <v>4</v>
      </c>
      <c r="D113" t="s">
        <v>139</v>
      </c>
      <c r="E113">
        <v>1.5</v>
      </c>
    </row>
    <row r="114" spans="2:5">
      <c r="B114">
        <v>2025</v>
      </c>
      <c r="C114" t="s">
        <v>4</v>
      </c>
      <c r="D114" t="s">
        <v>140</v>
      </c>
      <c r="E114">
        <v>4.5</v>
      </c>
    </row>
    <row r="115" spans="2:5">
      <c r="B115">
        <v>2025</v>
      </c>
      <c r="C115" t="s">
        <v>4</v>
      </c>
      <c r="D115" t="s">
        <v>141</v>
      </c>
      <c r="E115">
        <v>0.75</v>
      </c>
    </row>
    <row r="116" spans="2:5">
      <c r="B116">
        <v>2025</v>
      </c>
      <c r="C116" t="s">
        <v>4</v>
      </c>
      <c r="D116" t="s">
        <v>142</v>
      </c>
      <c r="E116">
        <v>0.59999999999999964</v>
      </c>
    </row>
    <row r="117" spans="2:5">
      <c r="B117">
        <v>2025</v>
      </c>
      <c r="C117" t="s">
        <v>4</v>
      </c>
      <c r="D117" t="s">
        <v>143</v>
      </c>
      <c r="E117">
        <v>0.70000000000000018</v>
      </c>
    </row>
    <row r="118" spans="2:5">
      <c r="B118">
        <v>2025</v>
      </c>
      <c r="C118" t="s">
        <v>4</v>
      </c>
      <c r="D118" t="s">
        <v>144</v>
      </c>
      <c r="E118">
        <v>1.4</v>
      </c>
    </row>
    <row r="119" spans="2:5">
      <c r="B119">
        <v>2025</v>
      </c>
      <c r="C119" t="s">
        <v>4</v>
      </c>
      <c r="D119" t="s">
        <v>145</v>
      </c>
      <c r="E119">
        <v>1.4</v>
      </c>
    </row>
    <row r="120" spans="2:5">
      <c r="B120">
        <v>2025</v>
      </c>
      <c r="C120" t="s">
        <v>4</v>
      </c>
      <c r="D120" t="s">
        <v>146</v>
      </c>
      <c r="E120">
        <v>1</v>
      </c>
    </row>
    <row r="121" spans="2:5">
      <c r="B121">
        <v>2025</v>
      </c>
      <c r="C121" t="s">
        <v>4</v>
      </c>
      <c r="D121" t="s">
        <v>149</v>
      </c>
      <c r="E121">
        <v>1.4</v>
      </c>
    </row>
    <row r="122" spans="2:5">
      <c r="B122">
        <v>2025</v>
      </c>
      <c r="C122" t="s">
        <v>4</v>
      </c>
      <c r="D122" t="s">
        <v>150</v>
      </c>
      <c r="E122">
        <v>1.4</v>
      </c>
    </row>
    <row r="123" spans="2:5">
      <c r="B123">
        <v>2025</v>
      </c>
      <c r="C123" t="s">
        <v>4</v>
      </c>
      <c r="D123" t="s">
        <v>153</v>
      </c>
      <c r="E123">
        <v>3</v>
      </c>
    </row>
    <row r="124" spans="2:5">
      <c r="B124">
        <v>2025</v>
      </c>
      <c r="C124" t="s">
        <v>4</v>
      </c>
      <c r="D124" t="s">
        <v>154</v>
      </c>
      <c r="E124">
        <v>1</v>
      </c>
    </row>
    <row r="125" spans="2:5">
      <c r="B125">
        <v>2025</v>
      </c>
      <c r="C125" t="s">
        <v>4</v>
      </c>
      <c r="D125" t="s">
        <v>155</v>
      </c>
      <c r="E125">
        <v>1.4</v>
      </c>
    </row>
    <row r="126" spans="2:5">
      <c r="B126">
        <v>2025</v>
      </c>
      <c r="C126" t="s">
        <v>4</v>
      </c>
      <c r="D126" t="s">
        <v>157</v>
      </c>
      <c r="E126">
        <v>2</v>
      </c>
    </row>
    <row r="127" spans="2:5">
      <c r="B127">
        <v>2025</v>
      </c>
      <c r="C127" t="s">
        <v>4</v>
      </c>
      <c r="D127" t="s">
        <v>158</v>
      </c>
      <c r="E127">
        <v>1.4</v>
      </c>
    </row>
    <row r="128" spans="2:5">
      <c r="B128">
        <v>2025</v>
      </c>
      <c r="C128" t="s">
        <v>4</v>
      </c>
      <c r="D128" t="s">
        <v>159</v>
      </c>
      <c r="E128">
        <v>1.4</v>
      </c>
    </row>
    <row r="129" spans="3:5">
      <c r="C129" t="s">
        <v>5</v>
      </c>
      <c r="D129" t="s">
        <v>96</v>
      </c>
      <c r="E129">
        <v>3</v>
      </c>
    </row>
    <row r="130" spans="3:5">
      <c r="C130" t="s">
        <v>5</v>
      </c>
      <c r="D130" t="s">
        <v>97</v>
      </c>
      <c r="E130">
        <v>15</v>
      </c>
    </row>
    <row r="131" spans="3:5">
      <c r="C131" t="s">
        <v>5</v>
      </c>
      <c r="D131" t="s">
        <v>80</v>
      </c>
      <c r="E131">
        <v>17.535</v>
      </c>
    </row>
    <row r="132" spans="3:5">
      <c r="C132" t="s">
        <v>5</v>
      </c>
      <c r="D132" t="s">
        <v>81</v>
      </c>
      <c r="E132">
        <v>0.61</v>
      </c>
    </row>
    <row r="133" spans="3:5">
      <c r="C133" t="s">
        <v>5</v>
      </c>
      <c r="D133" t="s">
        <v>82</v>
      </c>
      <c r="E133">
        <v>7.6400000000000006</v>
      </c>
    </row>
    <row r="134" spans="3:5">
      <c r="C134" t="s">
        <v>5</v>
      </c>
      <c r="D134" t="s">
        <v>98</v>
      </c>
      <c r="E134">
        <v>0</v>
      </c>
    </row>
    <row r="135" spans="3:5">
      <c r="C135" t="s">
        <v>5</v>
      </c>
      <c r="D135" t="s">
        <v>99</v>
      </c>
      <c r="E135">
        <v>5.25</v>
      </c>
    </row>
    <row r="136" spans="3:5">
      <c r="C136" t="s">
        <v>5</v>
      </c>
      <c r="D136" t="s">
        <v>100</v>
      </c>
      <c r="E136">
        <v>2.8499999999999996</v>
      </c>
    </row>
    <row r="137" spans="3:5">
      <c r="C137" t="s">
        <v>5</v>
      </c>
      <c r="D137" t="s">
        <v>83</v>
      </c>
      <c r="E137">
        <v>3.43</v>
      </c>
    </row>
    <row r="138" spans="3:5">
      <c r="C138" t="s">
        <v>5</v>
      </c>
      <c r="D138" t="s">
        <v>84</v>
      </c>
      <c r="E138">
        <v>1.905</v>
      </c>
    </row>
    <row r="139" spans="3:5">
      <c r="C139" t="s">
        <v>5</v>
      </c>
      <c r="D139" t="s">
        <v>85</v>
      </c>
      <c r="E139">
        <v>140.13999999999999</v>
      </c>
    </row>
    <row r="140" spans="3:5">
      <c r="C140" t="s">
        <v>5</v>
      </c>
      <c r="D140" t="s">
        <v>86</v>
      </c>
      <c r="E140">
        <v>7.4399999999999995</v>
      </c>
    </row>
    <row r="141" spans="3:5">
      <c r="C141" t="s">
        <v>5</v>
      </c>
      <c r="D141" t="s">
        <v>101</v>
      </c>
      <c r="E141">
        <v>11.5</v>
      </c>
    </row>
    <row r="142" spans="3:5">
      <c r="C142" t="s">
        <v>5</v>
      </c>
      <c r="D142" t="s">
        <v>102</v>
      </c>
      <c r="E142">
        <v>3.5</v>
      </c>
    </row>
    <row r="143" spans="3:5">
      <c r="C143" t="s">
        <v>5</v>
      </c>
      <c r="D143" t="s">
        <v>103</v>
      </c>
      <c r="E143">
        <v>23</v>
      </c>
    </row>
    <row r="144" spans="3:5">
      <c r="C144" t="s">
        <v>5</v>
      </c>
      <c r="D144" t="s">
        <v>104</v>
      </c>
      <c r="E144">
        <v>28.174999999999997</v>
      </c>
    </row>
    <row r="145" spans="3:5">
      <c r="C145" t="s">
        <v>5</v>
      </c>
      <c r="D145" t="s">
        <v>105</v>
      </c>
      <c r="E145">
        <v>7</v>
      </c>
    </row>
    <row r="146" spans="3:5">
      <c r="C146" t="s">
        <v>5</v>
      </c>
      <c r="D146" t="s">
        <v>106</v>
      </c>
      <c r="E146">
        <v>11.579999999999998</v>
      </c>
    </row>
    <row r="147" spans="3:5">
      <c r="C147" t="s">
        <v>5</v>
      </c>
      <c r="D147" t="s">
        <v>107</v>
      </c>
      <c r="E147">
        <v>3.55</v>
      </c>
    </row>
    <row r="148" spans="3:5">
      <c r="C148" t="s">
        <v>5</v>
      </c>
      <c r="D148" t="s">
        <v>108</v>
      </c>
      <c r="E148">
        <v>18.75</v>
      </c>
    </row>
    <row r="149" spans="3:5">
      <c r="C149" t="s">
        <v>5</v>
      </c>
      <c r="D149" t="s">
        <v>109</v>
      </c>
      <c r="E149">
        <v>13.755000000000003</v>
      </c>
    </row>
    <row r="150" spans="3:5">
      <c r="C150" t="s">
        <v>5</v>
      </c>
      <c r="D150" t="s">
        <v>110</v>
      </c>
      <c r="E150">
        <v>63</v>
      </c>
    </row>
    <row r="151" spans="3:5">
      <c r="C151" t="s">
        <v>5</v>
      </c>
      <c r="D151" t="s">
        <v>111</v>
      </c>
      <c r="E151">
        <v>3.5</v>
      </c>
    </row>
    <row r="152" spans="3:5">
      <c r="C152" t="s">
        <v>5</v>
      </c>
      <c r="D152" t="s">
        <v>112</v>
      </c>
      <c r="E152">
        <v>14</v>
      </c>
    </row>
    <row r="153" spans="3:5">
      <c r="C153" t="s">
        <v>5</v>
      </c>
      <c r="D153" t="s">
        <v>113</v>
      </c>
      <c r="E153">
        <v>41.5</v>
      </c>
    </row>
    <row r="154" spans="3:5">
      <c r="C154" t="s">
        <v>5</v>
      </c>
      <c r="D154" t="s">
        <v>114</v>
      </c>
      <c r="E154">
        <v>3.5</v>
      </c>
    </row>
    <row r="155" spans="3:5">
      <c r="C155" t="s">
        <v>5</v>
      </c>
      <c r="D155" t="s">
        <v>115</v>
      </c>
      <c r="E155">
        <v>12.9</v>
      </c>
    </row>
    <row r="156" spans="3:5">
      <c r="C156" t="s">
        <v>5</v>
      </c>
      <c r="D156" t="s">
        <v>116</v>
      </c>
      <c r="E156">
        <v>3</v>
      </c>
    </row>
    <row r="157" spans="3:5">
      <c r="C157" t="s">
        <v>5</v>
      </c>
      <c r="D157" t="s">
        <v>117</v>
      </c>
      <c r="E157">
        <v>2.4500000000000002</v>
      </c>
    </row>
    <row r="158" spans="3:5">
      <c r="C158" t="s">
        <v>5</v>
      </c>
      <c r="D158" t="s">
        <v>118</v>
      </c>
      <c r="E158">
        <v>12.25</v>
      </c>
    </row>
    <row r="159" spans="3:5">
      <c r="C159" t="s">
        <v>5</v>
      </c>
      <c r="D159" t="s">
        <v>119</v>
      </c>
      <c r="E159">
        <v>22.22</v>
      </c>
    </row>
    <row r="160" spans="3:5">
      <c r="C160" t="s">
        <v>5</v>
      </c>
      <c r="D160" t="s">
        <v>120</v>
      </c>
      <c r="E160">
        <v>10.75</v>
      </c>
    </row>
    <row r="161" spans="3:5">
      <c r="C161" t="s">
        <v>5</v>
      </c>
      <c r="D161" t="s">
        <v>121</v>
      </c>
      <c r="E161">
        <v>0</v>
      </c>
    </row>
    <row r="162" spans="3:5">
      <c r="C162" t="s">
        <v>5</v>
      </c>
      <c r="D162" t="s">
        <v>122</v>
      </c>
      <c r="E162">
        <v>18.75</v>
      </c>
    </row>
    <row r="163" spans="3:5">
      <c r="C163" t="s">
        <v>5</v>
      </c>
      <c r="D163" t="s">
        <v>123</v>
      </c>
      <c r="E163">
        <v>14.75</v>
      </c>
    </row>
    <row r="164" spans="3:5">
      <c r="C164" t="s">
        <v>5</v>
      </c>
      <c r="D164" t="s">
        <v>124</v>
      </c>
      <c r="E164">
        <v>35.89</v>
      </c>
    </row>
    <row r="165" spans="3:5">
      <c r="C165" t="s">
        <v>5</v>
      </c>
      <c r="D165" t="s">
        <v>125</v>
      </c>
      <c r="E165">
        <v>25</v>
      </c>
    </row>
    <row r="166" spans="3:5">
      <c r="C166" t="s">
        <v>5</v>
      </c>
      <c r="D166" t="s">
        <v>126</v>
      </c>
      <c r="E166">
        <v>5.25</v>
      </c>
    </row>
    <row r="167" spans="3:5">
      <c r="C167" t="s">
        <v>5</v>
      </c>
      <c r="D167" t="s">
        <v>127</v>
      </c>
      <c r="E167">
        <v>13.755000000000003</v>
      </c>
    </row>
    <row r="168" spans="3:5">
      <c r="C168" t="s">
        <v>5</v>
      </c>
      <c r="D168" t="s">
        <v>128</v>
      </c>
      <c r="E168">
        <v>32.82</v>
      </c>
    </row>
    <row r="169" spans="3:5">
      <c r="C169" t="s">
        <v>5</v>
      </c>
      <c r="D169" t="s">
        <v>129</v>
      </c>
      <c r="E169">
        <v>32.39</v>
      </c>
    </row>
    <row r="170" spans="3:5">
      <c r="C170" t="s">
        <v>5</v>
      </c>
      <c r="D170" t="s">
        <v>130</v>
      </c>
      <c r="E170">
        <v>6.5</v>
      </c>
    </row>
    <row r="171" spans="3:5">
      <c r="C171" t="s">
        <v>5</v>
      </c>
      <c r="D171" t="s">
        <v>131</v>
      </c>
      <c r="E171">
        <v>28</v>
      </c>
    </row>
    <row r="172" spans="3:5">
      <c r="C172" t="s">
        <v>5</v>
      </c>
      <c r="D172" t="s">
        <v>132</v>
      </c>
      <c r="E172">
        <v>0</v>
      </c>
    </row>
    <row r="173" spans="3:5">
      <c r="C173" t="s">
        <v>5</v>
      </c>
      <c r="D173" t="s">
        <v>133</v>
      </c>
      <c r="E173">
        <v>23.4</v>
      </c>
    </row>
    <row r="174" spans="3:5">
      <c r="C174" t="s">
        <v>5</v>
      </c>
      <c r="D174" t="s">
        <v>134</v>
      </c>
      <c r="E174">
        <v>21.25</v>
      </c>
    </row>
    <row r="175" spans="3:5">
      <c r="C175" t="s">
        <v>5</v>
      </c>
      <c r="D175" t="s">
        <v>135</v>
      </c>
      <c r="E175">
        <v>25</v>
      </c>
    </row>
    <row r="176" spans="3:5">
      <c r="C176" t="s">
        <v>5</v>
      </c>
      <c r="D176" t="s">
        <v>136</v>
      </c>
      <c r="E176">
        <v>18.5</v>
      </c>
    </row>
    <row r="177" spans="3:5">
      <c r="C177" t="s">
        <v>5</v>
      </c>
      <c r="D177" t="s">
        <v>137</v>
      </c>
      <c r="E177">
        <v>15</v>
      </c>
    </row>
    <row r="178" spans="3:5">
      <c r="C178" t="s">
        <v>5</v>
      </c>
      <c r="D178" t="s">
        <v>138</v>
      </c>
      <c r="E178">
        <v>20</v>
      </c>
    </row>
    <row r="179" spans="3:5">
      <c r="C179" t="s">
        <v>5</v>
      </c>
      <c r="D179" t="s">
        <v>139</v>
      </c>
      <c r="E179">
        <v>23.075000000000003</v>
      </c>
    </row>
    <row r="180" spans="3:5">
      <c r="C180" t="s">
        <v>5</v>
      </c>
      <c r="D180" t="s">
        <v>140</v>
      </c>
      <c r="E180">
        <v>57.5</v>
      </c>
    </row>
    <row r="181" spans="3:5">
      <c r="C181" t="s">
        <v>5</v>
      </c>
      <c r="D181" t="s">
        <v>141</v>
      </c>
      <c r="E181">
        <v>41.5</v>
      </c>
    </row>
    <row r="182" spans="3:5">
      <c r="C182" t="s">
        <v>5</v>
      </c>
      <c r="D182" t="s">
        <v>142</v>
      </c>
      <c r="E182">
        <v>16.5</v>
      </c>
    </row>
    <row r="183" spans="3:5">
      <c r="C183" t="s">
        <v>5</v>
      </c>
      <c r="D183" t="s">
        <v>143</v>
      </c>
      <c r="E183">
        <v>15</v>
      </c>
    </row>
    <row r="184" spans="3:5">
      <c r="C184" t="s">
        <v>5</v>
      </c>
      <c r="D184" t="s">
        <v>144</v>
      </c>
      <c r="E184">
        <v>7</v>
      </c>
    </row>
    <row r="185" spans="3:5">
      <c r="C185" t="s">
        <v>5</v>
      </c>
      <c r="D185" t="s">
        <v>145</v>
      </c>
      <c r="E185">
        <v>7</v>
      </c>
    </row>
    <row r="186" spans="3:5">
      <c r="C186" t="s">
        <v>5</v>
      </c>
      <c r="D186" t="s">
        <v>87</v>
      </c>
      <c r="E186">
        <v>5.9750000000000005</v>
      </c>
    </row>
    <row r="187" spans="3:5">
      <c r="C187" t="s">
        <v>5</v>
      </c>
      <c r="D187" t="s">
        <v>88</v>
      </c>
      <c r="E187">
        <v>21.664999999999999</v>
      </c>
    </row>
    <row r="188" spans="3:5">
      <c r="C188" t="s">
        <v>5</v>
      </c>
      <c r="D188" t="s">
        <v>89</v>
      </c>
      <c r="E188">
        <v>2.0049999999999999</v>
      </c>
    </row>
    <row r="189" spans="3:5">
      <c r="C189" t="s">
        <v>5</v>
      </c>
      <c r="D189" t="s">
        <v>90</v>
      </c>
      <c r="E189">
        <v>0.9850000000000001</v>
      </c>
    </row>
    <row r="190" spans="3:5">
      <c r="C190" t="s">
        <v>5</v>
      </c>
      <c r="D190" t="s">
        <v>91</v>
      </c>
      <c r="E190">
        <v>3.625</v>
      </c>
    </row>
    <row r="191" spans="3:5">
      <c r="C191" t="s">
        <v>5</v>
      </c>
      <c r="D191" t="s">
        <v>92</v>
      </c>
      <c r="E191">
        <v>5.4300000000000006</v>
      </c>
    </row>
    <row r="192" spans="3:5">
      <c r="C192" t="s">
        <v>5</v>
      </c>
      <c r="D192" t="s">
        <v>93</v>
      </c>
      <c r="E192">
        <v>0.9850000000000001</v>
      </c>
    </row>
    <row r="193" spans="3:5">
      <c r="C193" t="s">
        <v>5</v>
      </c>
      <c r="D193" t="s">
        <v>146</v>
      </c>
      <c r="E193">
        <v>11</v>
      </c>
    </row>
    <row r="194" spans="3:5">
      <c r="C194" t="s">
        <v>5</v>
      </c>
      <c r="D194" t="s">
        <v>147</v>
      </c>
      <c r="E194">
        <v>26.675000000000001</v>
      </c>
    </row>
    <row r="195" spans="3:5">
      <c r="C195" t="s">
        <v>5</v>
      </c>
      <c r="D195" t="s">
        <v>148</v>
      </c>
      <c r="E195">
        <v>3.5</v>
      </c>
    </row>
    <row r="196" spans="3:5">
      <c r="C196" t="s">
        <v>5</v>
      </c>
      <c r="D196" t="s">
        <v>149</v>
      </c>
      <c r="E196">
        <v>7</v>
      </c>
    </row>
    <row r="197" spans="3:5">
      <c r="C197" t="s">
        <v>5</v>
      </c>
      <c r="D197" t="s">
        <v>150</v>
      </c>
      <c r="E197">
        <v>7</v>
      </c>
    </row>
    <row r="198" spans="3:5">
      <c r="C198" t="s">
        <v>5</v>
      </c>
      <c r="D198" t="s">
        <v>151</v>
      </c>
      <c r="E198">
        <v>2.8499999999999996</v>
      </c>
    </row>
    <row r="199" spans="3:5">
      <c r="C199" t="s">
        <v>5</v>
      </c>
      <c r="D199" t="s">
        <v>152</v>
      </c>
      <c r="E199">
        <v>0</v>
      </c>
    </row>
    <row r="200" spans="3:5">
      <c r="C200" t="s">
        <v>5</v>
      </c>
      <c r="D200" t="s">
        <v>153</v>
      </c>
      <c r="E200">
        <v>15</v>
      </c>
    </row>
    <row r="201" spans="3:5">
      <c r="C201" t="s">
        <v>5</v>
      </c>
      <c r="D201" t="s">
        <v>154</v>
      </c>
      <c r="E201">
        <v>11</v>
      </c>
    </row>
    <row r="202" spans="3:5">
      <c r="C202" t="s">
        <v>5</v>
      </c>
      <c r="D202" t="s">
        <v>94</v>
      </c>
      <c r="E202">
        <v>26.669999999999998</v>
      </c>
    </row>
    <row r="203" spans="3:5">
      <c r="C203" t="s">
        <v>5</v>
      </c>
      <c r="D203" t="s">
        <v>155</v>
      </c>
      <c r="E203">
        <v>7</v>
      </c>
    </row>
    <row r="204" spans="3:5">
      <c r="C204" t="s">
        <v>5</v>
      </c>
      <c r="D204" t="s">
        <v>156</v>
      </c>
      <c r="E204">
        <v>14.75</v>
      </c>
    </row>
    <row r="205" spans="3:5">
      <c r="C205" t="s">
        <v>5</v>
      </c>
      <c r="D205" t="s">
        <v>157</v>
      </c>
      <c r="E205">
        <v>20</v>
      </c>
    </row>
    <row r="206" spans="3:5">
      <c r="C206" t="s">
        <v>5</v>
      </c>
      <c r="D206" t="s">
        <v>158</v>
      </c>
      <c r="E206">
        <v>7</v>
      </c>
    </row>
    <row r="207" spans="3:5">
      <c r="C207" t="s">
        <v>5</v>
      </c>
      <c r="D207" t="s">
        <v>159</v>
      </c>
      <c r="E207">
        <v>7</v>
      </c>
    </row>
    <row r="208" spans="3:5">
      <c r="C208" t="s">
        <v>5</v>
      </c>
      <c r="D208" t="s">
        <v>95</v>
      </c>
      <c r="E208">
        <v>30.11</v>
      </c>
    </row>
    <row r="209" spans="3:5">
      <c r="C209" t="s">
        <v>6</v>
      </c>
      <c r="D209" t="s">
        <v>96</v>
      </c>
      <c r="E209">
        <v>100</v>
      </c>
    </row>
    <row r="210" spans="3:5">
      <c r="C210" t="s">
        <v>6</v>
      </c>
      <c r="D210" t="s">
        <v>97</v>
      </c>
      <c r="E210">
        <v>100</v>
      </c>
    </row>
    <row r="211" spans="3:5">
      <c r="C211" t="s">
        <v>6</v>
      </c>
      <c r="D211" t="s">
        <v>80</v>
      </c>
      <c r="E211">
        <v>100</v>
      </c>
    </row>
    <row r="212" spans="3:5">
      <c r="C212" t="s">
        <v>6</v>
      </c>
      <c r="D212" t="s">
        <v>81</v>
      </c>
      <c r="E212">
        <v>100</v>
      </c>
    </row>
    <row r="213" spans="3:5">
      <c r="C213" t="s">
        <v>6</v>
      </c>
      <c r="D213" t="s">
        <v>82</v>
      </c>
      <c r="E213">
        <v>100</v>
      </c>
    </row>
    <row r="214" spans="3:5">
      <c r="C214" t="s">
        <v>6</v>
      </c>
      <c r="D214" t="s">
        <v>98</v>
      </c>
      <c r="E214">
        <v>100</v>
      </c>
    </row>
    <row r="215" spans="3:5">
      <c r="C215" t="s">
        <v>6</v>
      </c>
      <c r="D215" t="s">
        <v>99</v>
      </c>
      <c r="E215">
        <v>100</v>
      </c>
    </row>
    <row r="216" spans="3:5">
      <c r="C216" t="s">
        <v>6</v>
      </c>
      <c r="D216" t="s">
        <v>100</v>
      </c>
      <c r="E216">
        <v>100</v>
      </c>
    </row>
    <row r="217" spans="3:5">
      <c r="C217" t="s">
        <v>6</v>
      </c>
      <c r="D217" t="s">
        <v>83</v>
      </c>
      <c r="E217">
        <v>100</v>
      </c>
    </row>
    <row r="218" spans="3:5">
      <c r="C218" t="s">
        <v>6</v>
      </c>
      <c r="D218" t="s">
        <v>84</v>
      </c>
      <c r="E218">
        <v>100</v>
      </c>
    </row>
    <row r="219" spans="3:5">
      <c r="C219" t="s">
        <v>6</v>
      </c>
      <c r="D219" t="s">
        <v>85</v>
      </c>
      <c r="E219">
        <v>100</v>
      </c>
    </row>
    <row r="220" spans="3:5">
      <c r="C220" t="s">
        <v>6</v>
      </c>
      <c r="D220" t="s">
        <v>86</v>
      </c>
      <c r="E220">
        <v>100</v>
      </c>
    </row>
    <row r="221" spans="3:5">
      <c r="C221" t="s">
        <v>6</v>
      </c>
      <c r="D221" t="s">
        <v>101</v>
      </c>
      <c r="E221">
        <v>100</v>
      </c>
    </row>
    <row r="222" spans="3:5">
      <c r="C222" t="s">
        <v>6</v>
      </c>
      <c r="D222" t="s">
        <v>102</v>
      </c>
      <c r="E222">
        <v>100</v>
      </c>
    </row>
    <row r="223" spans="3:5">
      <c r="C223" t="s">
        <v>6</v>
      </c>
      <c r="D223" t="s">
        <v>103</v>
      </c>
      <c r="E223">
        <v>100</v>
      </c>
    </row>
    <row r="224" spans="3:5">
      <c r="C224" t="s">
        <v>6</v>
      </c>
      <c r="D224" t="s">
        <v>104</v>
      </c>
      <c r="E224">
        <v>100</v>
      </c>
    </row>
    <row r="225" spans="3:5">
      <c r="C225" t="s">
        <v>6</v>
      </c>
      <c r="D225" t="s">
        <v>105</v>
      </c>
      <c r="E225">
        <v>100</v>
      </c>
    </row>
    <row r="226" spans="3:5">
      <c r="C226" t="s">
        <v>6</v>
      </c>
      <c r="D226" t="s">
        <v>106</v>
      </c>
      <c r="E226">
        <v>100</v>
      </c>
    </row>
    <row r="227" spans="3:5">
      <c r="C227" t="s">
        <v>6</v>
      </c>
      <c r="D227" t="s">
        <v>107</v>
      </c>
      <c r="E227">
        <v>100</v>
      </c>
    </row>
    <row r="228" spans="3:5">
      <c r="C228" t="s">
        <v>6</v>
      </c>
      <c r="D228" t="s">
        <v>108</v>
      </c>
      <c r="E228">
        <v>100</v>
      </c>
    </row>
    <row r="229" spans="3:5">
      <c r="C229" t="s">
        <v>6</v>
      </c>
      <c r="D229" t="s">
        <v>109</v>
      </c>
      <c r="E229">
        <v>100</v>
      </c>
    </row>
    <row r="230" spans="3:5">
      <c r="C230" t="s">
        <v>6</v>
      </c>
      <c r="D230" t="s">
        <v>110</v>
      </c>
      <c r="E230">
        <v>100</v>
      </c>
    </row>
    <row r="231" spans="3:5">
      <c r="C231" t="s">
        <v>6</v>
      </c>
      <c r="D231" t="s">
        <v>111</v>
      </c>
      <c r="E231">
        <v>100</v>
      </c>
    </row>
    <row r="232" spans="3:5">
      <c r="C232" t="s">
        <v>6</v>
      </c>
      <c r="D232" t="s">
        <v>112</v>
      </c>
      <c r="E232">
        <v>100</v>
      </c>
    </row>
    <row r="233" spans="3:5">
      <c r="C233" t="s">
        <v>6</v>
      </c>
      <c r="D233" t="s">
        <v>113</v>
      </c>
      <c r="E233">
        <v>100</v>
      </c>
    </row>
    <row r="234" spans="3:5">
      <c r="C234" t="s">
        <v>6</v>
      </c>
      <c r="D234" t="s">
        <v>114</v>
      </c>
      <c r="E234">
        <v>100</v>
      </c>
    </row>
    <row r="235" spans="3:5">
      <c r="C235" t="s">
        <v>6</v>
      </c>
      <c r="D235" t="s">
        <v>115</v>
      </c>
      <c r="E235">
        <v>100</v>
      </c>
    </row>
    <row r="236" spans="3:5">
      <c r="C236" t="s">
        <v>6</v>
      </c>
      <c r="D236" t="s">
        <v>116</v>
      </c>
      <c r="E236">
        <v>100</v>
      </c>
    </row>
    <row r="237" spans="3:5">
      <c r="C237" t="s">
        <v>6</v>
      </c>
      <c r="D237" t="s">
        <v>117</v>
      </c>
      <c r="E237">
        <v>100</v>
      </c>
    </row>
    <row r="238" spans="3:5">
      <c r="C238" t="s">
        <v>6</v>
      </c>
      <c r="D238" t="s">
        <v>118</v>
      </c>
      <c r="E238">
        <v>100</v>
      </c>
    </row>
    <row r="239" spans="3:5">
      <c r="C239" t="s">
        <v>6</v>
      </c>
      <c r="D239" t="s">
        <v>119</v>
      </c>
      <c r="E239">
        <v>100</v>
      </c>
    </row>
    <row r="240" spans="3:5">
      <c r="C240" t="s">
        <v>6</v>
      </c>
      <c r="D240" t="s">
        <v>120</v>
      </c>
      <c r="E240">
        <v>100</v>
      </c>
    </row>
    <row r="241" spans="3:5">
      <c r="C241" t="s">
        <v>6</v>
      </c>
      <c r="D241" t="s">
        <v>121</v>
      </c>
      <c r="E241">
        <v>100</v>
      </c>
    </row>
    <row r="242" spans="3:5">
      <c r="C242" t="s">
        <v>6</v>
      </c>
      <c r="D242" t="s">
        <v>122</v>
      </c>
      <c r="E242">
        <v>100</v>
      </c>
    </row>
    <row r="243" spans="3:5">
      <c r="C243" t="s">
        <v>6</v>
      </c>
      <c r="D243" t="s">
        <v>123</v>
      </c>
      <c r="E243">
        <v>100</v>
      </c>
    </row>
    <row r="244" spans="3:5">
      <c r="C244" t="s">
        <v>6</v>
      </c>
      <c r="D244" t="s">
        <v>124</v>
      </c>
      <c r="E244">
        <v>100</v>
      </c>
    </row>
    <row r="245" spans="3:5">
      <c r="C245" t="s">
        <v>6</v>
      </c>
      <c r="D245" t="s">
        <v>125</v>
      </c>
      <c r="E245">
        <v>100</v>
      </c>
    </row>
    <row r="246" spans="3:5">
      <c r="C246" t="s">
        <v>6</v>
      </c>
      <c r="D246" t="s">
        <v>126</v>
      </c>
      <c r="E246">
        <v>100</v>
      </c>
    </row>
    <row r="247" spans="3:5">
      <c r="C247" t="s">
        <v>6</v>
      </c>
      <c r="D247" t="s">
        <v>127</v>
      </c>
      <c r="E247">
        <v>100</v>
      </c>
    </row>
    <row r="248" spans="3:5">
      <c r="C248" t="s">
        <v>6</v>
      </c>
      <c r="D248" t="s">
        <v>128</v>
      </c>
      <c r="E248">
        <v>100</v>
      </c>
    </row>
    <row r="249" spans="3:5">
      <c r="C249" t="s">
        <v>6</v>
      </c>
      <c r="D249" t="s">
        <v>129</v>
      </c>
      <c r="E249">
        <v>100</v>
      </c>
    </row>
    <row r="250" spans="3:5">
      <c r="C250" t="s">
        <v>6</v>
      </c>
      <c r="D250" t="s">
        <v>130</v>
      </c>
      <c r="E250">
        <v>100</v>
      </c>
    </row>
    <row r="251" spans="3:5">
      <c r="C251" t="s">
        <v>6</v>
      </c>
      <c r="D251" t="s">
        <v>131</v>
      </c>
      <c r="E251">
        <v>100</v>
      </c>
    </row>
    <row r="252" spans="3:5">
      <c r="C252" t="s">
        <v>6</v>
      </c>
      <c r="D252" t="s">
        <v>132</v>
      </c>
      <c r="E252">
        <v>100</v>
      </c>
    </row>
    <row r="253" spans="3:5">
      <c r="C253" t="s">
        <v>6</v>
      </c>
      <c r="D253" t="s">
        <v>133</v>
      </c>
      <c r="E253">
        <v>100</v>
      </c>
    </row>
    <row r="254" spans="3:5">
      <c r="C254" t="s">
        <v>6</v>
      </c>
      <c r="D254" t="s">
        <v>134</v>
      </c>
      <c r="E254">
        <v>100</v>
      </c>
    </row>
    <row r="255" spans="3:5">
      <c r="C255" t="s">
        <v>6</v>
      </c>
      <c r="D255" t="s">
        <v>135</v>
      </c>
      <c r="E255">
        <v>100</v>
      </c>
    </row>
    <row r="256" spans="3:5">
      <c r="C256" t="s">
        <v>6</v>
      </c>
      <c r="D256" t="s">
        <v>136</v>
      </c>
      <c r="E256">
        <v>100</v>
      </c>
    </row>
    <row r="257" spans="3:5">
      <c r="C257" t="s">
        <v>6</v>
      </c>
      <c r="D257" t="s">
        <v>137</v>
      </c>
      <c r="E257">
        <v>100</v>
      </c>
    </row>
    <row r="258" spans="3:5">
      <c r="C258" t="s">
        <v>6</v>
      </c>
      <c r="D258" t="s">
        <v>138</v>
      </c>
      <c r="E258">
        <v>100</v>
      </c>
    </row>
    <row r="259" spans="3:5">
      <c r="C259" t="s">
        <v>6</v>
      </c>
      <c r="D259" t="s">
        <v>139</v>
      </c>
      <c r="E259">
        <v>100</v>
      </c>
    </row>
    <row r="260" spans="3:5">
      <c r="C260" t="s">
        <v>6</v>
      </c>
      <c r="D260" t="s">
        <v>140</v>
      </c>
      <c r="E260">
        <v>100</v>
      </c>
    </row>
    <row r="261" spans="3:5">
      <c r="C261" t="s">
        <v>6</v>
      </c>
      <c r="D261" t="s">
        <v>141</v>
      </c>
      <c r="E261">
        <v>100</v>
      </c>
    </row>
    <row r="262" spans="3:5">
      <c r="C262" t="s">
        <v>6</v>
      </c>
      <c r="D262" t="s">
        <v>142</v>
      </c>
      <c r="E262">
        <v>100</v>
      </c>
    </row>
    <row r="263" spans="3:5">
      <c r="C263" t="s">
        <v>6</v>
      </c>
      <c r="D263" t="s">
        <v>143</v>
      </c>
      <c r="E263">
        <v>100</v>
      </c>
    </row>
    <row r="264" spans="3:5">
      <c r="C264" t="s">
        <v>6</v>
      </c>
      <c r="D264" t="s">
        <v>144</v>
      </c>
      <c r="E264">
        <v>100</v>
      </c>
    </row>
    <row r="265" spans="3:5">
      <c r="C265" t="s">
        <v>6</v>
      </c>
      <c r="D265" t="s">
        <v>145</v>
      </c>
      <c r="E265">
        <v>100</v>
      </c>
    </row>
    <row r="266" spans="3:5">
      <c r="C266" t="s">
        <v>6</v>
      </c>
      <c r="D266" t="s">
        <v>87</v>
      </c>
      <c r="E266">
        <v>100</v>
      </c>
    </row>
    <row r="267" spans="3:5">
      <c r="C267" t="s">
        <v>6</v>
      </c>
      <c r="D267" t="s">
        <v>88</v>
      </c>
      <c r="E267">
        <v>100</v>
      </c>
    </row>
    <row r="268" spans="3:5">
      <c r="C268" t="s">
        <v>6</v>
      </c>
      <c r="D268" t="s">
        <v>89</v>
      </c>
      <c r="E268">
        <v>100</v>
      </c>
    </row>
    <row r="269" spans="3:5">
      <c r="C269" t="s">
        <v>6</v>
      </c>
      <c r="D269" t="s">
        <v>90</v>
      </c>
      <c r="E269">
        <v>100</v>
      </c>
    </row>
    <row r="270" spans="3:5">
      <c r="C270" t="s">
        <v>6</v>
      </c>
      <c r="D270" t="s">
        <v>91</v>
      </c>
      <c r="E270">
        <v>100</v>
      </c>
    </row>
    <row r="271" spans="3:5">
      <c r="C271" t="s">
        <v>6</v>
      </c>
      <c r="D271" t="s">
        <v>92</v>
      </c>
      <c r="E271">
        <v>100</v>
      </c>
    </row>
    <row r="272" spans="3:5">
      <c r="C272" t="s">
        <v>6</v>
      </c>
      <c r="D272" t="s">
        <v>93</v>
      </c>
      <c r="E272">
        <v>100</v>
      </c>
    </row>
    <row r="273" spans="3:5">
      <c r="C273" t="s">
        <v>6</v>
      </c>
      <c r="D273" t="s">
        <v>146</v>
      </c>
      <c r="E273">
        <v>100</v>
      </c>
    </row>
    <row r="274" spans="3:5">
      <c r="C274" t="s">
        <v>6</v>
      </c>
      <c r="D274" t="s">
        <v>147</v>
      </c>
      <c r="E274">
        <v>100</v>
      </c>
    </row>
    <row r="275" spans="3:5">
      <c r="C275" t="s">
        <v>6</v>
      </c>
      <c r="D275" t="s">
        <v>148</v>
      </c>
      <c r="E275">
        <v>100</v>
      </c>
    </row>
    <row r="276" spans="3:5">
      <c r="C276" t="s">
        <v>6</v>
      </c>
      <c r="D276" t="s">
        <v>149</v>
      </c>
      <c r="E276">
        <v>100</v>
      </c>
    </row>
    <row r="277" spans="3:5">
      <c r="C277" t="s">
        <v>6</v>
      </c>
      <c r="D277" t="s">
        <v>150</v>
      </c>
      <c r="E277">
        <v>100</v>
      </c>
    </row>
    <row r="278" spans="3:5">
      <c r="C278" t="s">
        <v>6</v>
      </c>
      <c r="D278" t="s">
        <v>151</v>
      </c>
      <c r="E278">
        <v>100</v>
      </c>
    </row>
    <row r="279" spans="3:5">
      <c r="C279" t="s">
        <v>6</v>
      </c>
      <c r="D279" t="s">
        <v>152</v>
      </c>
      <c r="E279">
        <v>100</v>
      </c>
    </row>
    <row r="280" spans="3:5">
      <c r="C280" t="s">
        <v>6</v>
      </c>
      <c r="D280" t="s">
        <v>153</v>
      </c>
      <c r="E280">
        <v>100</v>
      </c>
    </row>
    <row r="281" spans="3:5">
      <c r="C281" t="s">
        <v>6</v>
      </c>
      <c r="D281" t="s">
        <v>154</v>
      </c>
      <c r="E281">
        <v>100</v>
      </c>
    </row>
    <row r="282" spans="3:5">
      <c r="C282" t="s">
        <v>6</v>
      </c>
      <c r="D282" t="s">
        <v>94</v>
      </c>
      <c r="E282">
        <v>100</v>
      </c>
    </row>
    <row r="283" spans="3:5">
      <c r="C283" t="s">
        <v>6</v>
      </c>
      <c r="D283" t="s">
        <v>155</v>
      </c>
      <c r="E283">
        <v>100</v>
      </c>
    </row>
    <row r="284" spans="3:5">
      <c r="C284" t="s">
        <v>6</v>
      </c>
      <c r="D284" t="s">
        <v>156</v>
      </c>
      <c r="E284">
        <v>100</v>
      </c>
    </row>
    <row r="285" spans="3:5">
      <c r="C285" t="s">
        <v>6</v>
      </c>
      <c r="D285" t="s">
        <v>157</v>
      </c>
      <c r="E285">
        <v>100</v>
      </c>
    </row>
    <row r="286" spans="3:5">
      <c r="C286" t="s">
        <v>6</v>
      </c>
      <c r="D286" t="s">
        <v>158</v>
      </c>
      <c r="E286">
        <v>100</v>
      </c>
    </row>
    <row r="287" spans="3:5">
      <c r="C287" t="s">
        <v>6</v>
      </c>
      <c r="D287" t="s">
        <v>159</v>
      </c>
      <c r="E287">
        <v>100</v>
      </c>
    </row>
    <row r="288" spans="3:5">
      <c r="C288" t="s">
        <v>6</v>
      </c>
      <c r="D288" t="s">
        <v>95</v>
      </c>
      <c r="E288">
        <v>100</v>
      </c>
    </row>
    <row r="289" spans="3:5">
      <c r="C289" t="s">
        <v>7</v>
      </c>
      <c r="D289" t="s">
        <v>96</v>
      </c>
      <c r="E289">
        <v>0.9</v>
      </c>
    </row>
    <row r="290" spans="3:5">
      <c r="C290" t="s">
        <v>7</v>
      </c>
      <c r="D290" t="s">
        <v>97</v>
      </c>
      <c r="E290">
        <v>0.9</v>
      </c>
    </row>
    <row r="291" spans="3:5">
      <c r="C291" t="s">
        <v>7</v>
      </c>
      <c r="D291" t="s">
        <v>80</v>
      </c>
      <c r="E291">
        <v>0.9</v>
      </c>
    </row>
    <row r="292" spans="3:5">
      <c r="C292" t="s">
        <v>7</v>
      </c>
      <c r="D292" t="s">
        <v>81</v>
      </c>
      <c r="E292">
        <v>0.9</v>
      </c>
    </row>
    <row r="293" spans="3:5">
      <c r="C293" t="s">
        <v>7</v>
      </c>
      <c r="D293" t="s">
        <v>82</v>
      </c>
      <c r="E293">
        <v>0.9</v>
      </c>
    </row>
    <row r="294" spans="3:5">
      <c r="C294" t="s">
        <v>7</v>
      </c>
      <c r="D294" t="s">
        <v>98</v>
      </c>
      <c r="E294">
        <v>0.9</v>
      </c>
    </row>
    <row r="295" spans="3:5">
      <c r="C295" t="s">
        <v>7</v>
      </c>
      <c r="D295" t="s">
        <v>99</v>
      </c>
      <c r="E295">
        <v>0.9</v>
      </c>
    </row>
    <row r="296" spans="3:5">
      <c r="C296" t="s">
        <v>7</v>
      </c>
      <c r="D296" t="s">
        <v>100</v>
      </c>
      <c r="E296">
        <v>0.9</v>
      </c>
    </row>
    <row r="297" spans="3:5">
      <c r="C297" t="s">
        <v>7</v>
      </c>
      <c r="D297" t="s">
        <v>83</v>
      </c>
      <c r="E297">
        <v>0.9</v>
      </c>
    </row>
    <row r="298" spans="3:5">
      <c r="C298" t="s">
        <v>7</v>
      </c>
      <c r="D298" t="s">
        <v>84</v>
      </c>
      <c r="E298">
        <v>0.9</v>
      </c>
    </row>
    <row r="299" spans="3:5">
      <c r="C299" t="s">
        <v>7</v>
      </c>
      <c r="D299" t="s">
        <v>85</v>
      </c>
      <c r="E299">
        <v>0.9</v>
      </c>
    </row>
    <row r="300" spans="3:5">
      <c r="C300" t="s">
        <v>7</v>
      </c>
      <c r="D300" t="s">
        <v>86</v>
      </c>
      <c r="E300">
        <v>0.9</v>
      </c>
    </row>
    <row r="301" spans="3:5">
      <c r="C301" t="s">
        <v>7</v>
      </c>
      <c r="D301" t="s">
        <v>101</v>
      </c>
      <c r="E301">
        <v>0.9</v>
      </c>
    </row>
    <row r="302" spans="3:5">
      <c r="C302" t="s">
        <v>7</v>
      </c>
      <c r="D302" t="s">
        <v>102</v>
      </c>
      <c r="E302">
        <v>0.9</v>
      </c>
    </row>
    <row r="303" spans="3:5">
      <c r="C303" t="s">
        <v>7</v>
      </c>
      <c r="D303" t="s">
        <v>103</v>
      </c>
      <c r="E303">
        <v>0.9</v>
      </c>
    </row>
    <row r="304" spans="3:5">
      <c r="C304" t="s">
        <v>7</v>
      </c>
      <c r="D304" t="s">
        <v>104</v>
      </c>
      <c r="E304">
        <v>0.9</v>
      </c>
    </row>
    <row r="305" spans="3:5">
      <c r="C305" t="s">
        <v>7</v>
      </c>
      <c r="D305" t="s">
        <v>105</v>
      </c>
      <c r="E305">
        <v>0.9</v>
      </c>
    </row>
    <row r="306" spans="3:5">
      <c r="C306" t="s">
        <v>7</v>
      </c>
      <c r="D306" t="s">
        <v>106</v>
      </c>
      <c r="E306">
        <v>0.9</v>
      </c>
    </row>
    <row r="307" spans="3:5">
      <c r="C307" t="s">
        <v>7</v>
      </c>
      <c r="D307" t="s">
        <v>107</v>
      </c>
      <c r="E307">
        <v>0.9</v>
      </c>
    </row>
    <row r="308" spans="3:5">
      <c r="C308" t="s">
        <v>7</v>
      </c>
      <c r="D308" t="s">
        <v>108</v>
      </c>
      <c r="E308">
        <v>0.9</v>
      </c>
    </row>
    <row r="309" spans="3:5">
      <c r="C309" t="s">
        <v>7</v>
      </c>
      <c r="D309" t="s">
        <v>109</v>
      </c>
      <c r="E309">
        <v>0.9</v>
      </c>
    </row>
    <row r="310" spans="3:5">
      <c r="C310" t="s">
        <v>7</v>
      </c>
      <c r="D310" t="s">
        <v>110</v>
      </c>
      <c r="E310">
        <v>0.9</v>
      </c>
    </row>
    <row r="311" spans="3:5">
      <c r="C311" t="s">
        <v>7</v>
      </c>
      <c r="D311" t="s">
        <v>111</v>
      </c>
      <c r="E311">
        <v>0.9</v>
      </c>
    </row>
    <row r="312" spans="3:5">
      <c r="C312" t="s">
        <v>7</v>
      </c>
      <c r="D312" t="s">
        <v>112</v>
      </c>
      <c r="E312">
        <v>0.9</v>
      </c>
    </row>
    <row r="313" spans="3:5">
      <c r="C313" t="s">
        <v>7</v>
      </c>
      <c r="D313" t="s">
        <v>113</v>
      </c>
      <c r="E313">
        <v>0.9</v>
      </c>
    </row>
    <row r="314" spans="3:5">
      <c r="C314" t="s">
        <v>7</v>
      </c>
      <c r="D314" t="s">
        <v>114</v>
      </c>
      <c r="E314">
        <v>0.9</v>
      </c>
    </row>
    <row r="315" spans="3:5">
      <c r="C315" t="s">
        <v>7</v>
      </c>
      <c r="D315" t="s">
        <v>115</v>
      </c>
      <c r="E315">
        <v>0.9</v>
      </c>
    </row>
    <row r="316" spans="3:5">
      <c r="C316" t="s">
        <v>7</v>
      </c>
      <c r="D316" t="s">
        <v>116</v>
      </c>
      <c r="E316">
        <v>0.9</v>
      </c>
    </row>
    <row r="317" spans="3:5">
      <c r="C317" t="s">
        <v>7</v>
      </c>
      <c r="D317" t="s">
        <v>117</v>
      </c>
      <c r="E317">
        <v>0.9</v>
      </c>
    </row>
    <row r="318" spans="3:5">
      <c r="C318" t="s">
        <v>7</v>
      </c>
      <c r="D318" t="s">
        <v>118</v>
      </c>
      <c r="E318">
        <v>0.9</v>
      </c>
    </row>
    <row r="319" spans="3:5">
      <c r="C319" t="s">
        <v>7</v>
      </c>
      <c r="D319" t="s">
        <v>119</v>
      </c>
      <c r="E319">
        <v>0.9</v>
      </c>
    </row>
    <row r="320" spans="3:5">
      <c r="C320" t="s">
        <v>7</v>
      </c>
      <c r="D320" t="s">
        <v>120</v>
      </c>
      <c r="E320">
        <v>0.9</v>
      </c>
    </row>
    <row r="321" spans="3:5">
      <c r="C321" t="s">
        <v>7</v>
      </c>
      <c r="D321" t="s">
        <v>121</v>
      </c>
      <c r="E321">
        <v>0.9</v>
      </c>
    </row>
    <row r="322" spans="3:5">
      <c r="C322" t="s">
        <v>7</v>
      </c>
      <c r="D322" t="s">
        <v>122</v>
      </c>
      <c r="E322">
        <v>0.9</v>
      </c>
    </row>
    <row r="323" spans="3:5">
      <c r="C323" t="s">
        <v>7</v>
      </c>
      <c r="D323" t="s">
        <v>123</v>
      </c>
      <c r="E323">
        <v>0.9</v>
      </c>
    </row>
    <row r="324" spans="3:5">
      <c r="C324" t="s">
        <v>7</v>
      </c>
      <c r="D324" t="s">
        <v>124</v>
      </c>
      <c r="E324">
        <v>0.9</v>
      </c>
    </row>
    <row r="325" spans="3:5">
      <c r="C325" t="s">
        <v>7</v>
      </c>
      <c r="D325" t="s">
        <v>125</v>
      </c>
      <c r="E325">
        <v>0.9</v>
      </c>
    </row>
    <row r="326" spans="3:5">
      <c r="C326" t="s">
        <v>7</v>
      </c>
      <c r="D326" t="s">
        <v>126</v>
      </c>
      <c r="E326">
        <v>0.9</v>
      </c>
    </row>
    <row r="327" spans="3:5">
      <c r="C327" t="s">
        <v>7</v>
      </c>
      <c r="D327" t="s">
        <v>127</v>
      </c>
      <c r="E327">
        <v>0.9</v>
      </c>
    </row>
    <row r="328" spans="3:5">
      <c r="C328" t="s">
        <v>7</v>
      </c>
      <c r="D328" t="s">
        <v>128</v>
      </c>
      <c r="E328">
        <v>0.9</v>
      </c>
    </row>
    <row r="329" spans="3:5">
      <c r="C329" t="s">
        <v>7</v>
      </c>
      <c r="D329" t="s">
        <v>129</v>
      </c>
      <c r="E329">
        <v>0.9</v>
      </c>
    </row>
    <row r="330" spans="3:5">
      <c r="C330" t="s">
        <v>7</v>
      </c>
      <c r="D330" t="s">
        <v>130</v>
      </c>
      <c r="E330">
        <v>0.9</v>
      </c>
    </row>
    <row r="331" spans="3:5">
      <c r="C331" t="s">
        <v>7</v>
      </c>
      <c r="D331" t="s">
        <v>131</v>
      </c>
      <c r="E331">
        <v>0.9</v>
      </c>
    </row>
    <row r="332" spans="3:5">
      <c r="C332" t="s">
        <v>7</v>
      </c>
      <c r="D332" t="s">
        <v>132</v>
      </c>
      <c r="E332">
        <v>0.9</v>
      </c>
    </row>
    <row r="333" spans="3:5">
      <c r="C333" t="s">
        <v>7</v>
      </c>
      <c r="D333" t="s">
        <v>133</v>
      </c>
      <c r="E333">
        <v>0.9</v>
      </c>
    </row>
    <row r="334" spans="3:5">
      <c r="C334" t="s">
        <v>7</v>
      </c>
      <c r="D334" t="s">
        <v>134</v>
      </c>
      <c r="E334">
        <v>0.9</v>
      </c>
    </row>
    <row r="335" spans="3:5">
      <c r="C335" t="s">
        <v>7</v>
      </c>
      <c r="D335" t="s">
        <v>135</v>
      </c>
      <c r="E335">
        <v>0.9</v>
      </c>
    </row>
    <row r="336" spans="3:5">
      <c r="C336" t="s">
        <v>7</v>
      </c>
      <c r="D336" t="s">
        <v>136</v>
      </c>
      <c r="E336">
        <v>0.9</v>
      </c>
    </row>
    <row r="337" spans="3:5">
      <c r="C337" t="s">
        <v>7</v>
      </c>
      <c r="D337" t="s">
        <v>137</v>
      </c>
      <c r="E337">
        <v>0.9</v>
      </c>
    </row>
    <row r="338" spans="3:5">
      <c r="C338" t="s">
        <v>7</v>
      </c>
      <c r="D338" t="s">
        <v>138</v>
      </c>
      <c r="E338">
        <v>0.9</v>
      </c>
    </row>
    <row r="339" spans="3:5">
      <c r="C339" t="s">
        <v>7</v>
      </c>
      <c r="D339" t="s">
        <v>139</v>
      </c>
      <c r="E339">
        <v>0.9</v>
      </c>
    </row>
    <row r="340" spans="3:5">
      <c r="C340" t="s">
        <v>7</v>
      </c>
      <c r="D340" t="s">
        <v>140</v>
      </c>
      <c r="E340">
        <v>0.9</v>
      </c>
    </row>
    <row r="341" spans="3:5">
      <c r="C341" t="s">
        <v>7</v>
      </c>
      <c r="D341" t="s">
        <v>141</v>
      </c>
      <c r="E341">
        <v>0.9</v>
      </c>
    </row>
    <row r="342" spans="3:5">
      <c r="C342" t="s">
        <v>7</v>
      </c>
      <c r="D342" t="s">
        <v>142</v>
      </c>
      <c r="E342">
        <v>0.9</v>
      </c>
    </row>
    <row r="343" spans="3:5">
      <c r="C343" t="s">
        <v>7</v>
      </c>
      <c r="D343" t="s">
        <v>143</v>
      </c>
      <c r="E343">
        <v>0.9</v>
      </c>
    </row>
    <row r="344" spans="3:5">
      <c r="C344" t="s">
        <v>7</v>
      </c>
      <c r="D344" t="s">
        <v>144</v>
      </c>
      <c r="E344">
        <v>0.9</v>
      </c>
    </row>
    <row r="345" spans="3:5">
      <c r="C345" t="s">
        <v>7</v>
      </c>
      <c r="D345" t="s">
        <v>145</v>
      </c>
      <c r="E345">
        <v>0.9</v>
      </c>
    </row>
    <row r="346" spans="3:5">
      <c r="C346" t="s">
        <v>7</v>
      </c>
      <c r="D346" t="s">
        <v>87</v>
      </c>
      <c r="E346">
        <v>0.9</v>
      </c>
    </row>
    <row r="347" spans="3:5">
      <c r="C347" t="s">
        <v>7</v>
      </c>
      <c r="D347" t="s">
        <v>88</v>
      </c>
      <c r="E347">
        <v>0.9</v>
      </c>
    </row>
    <row r="348" spans="3:5">
      <c r="C348" t="s">
        <v>7</v>
      </c>
      <c r="D348" t="s">
        <v>89</v>
      </c>
      <c r="E348">
        <v>0.9</v>
      </c>
    </row>
    <row r="349" spans="3:5">
      <c r="C349" t="s">
        <v>7</v>
      </c>
      <c r="D349" t="s">
        <v>90</v>
      </c>
      <c r="E349">
        <v>0.9</v>
      </c>
    </row>
    <row r="350" spans="3:5">
      <c r="C350" t="s">
        <v>7</v>
      </c>
      <c r="D350" t="s">
        <v>91</v>
      </c>
      <c r="E350">
        <v>0.9</v>
      </c>
    </row>
    <row r="351" spans="3:5">
      <c r="C351" t="s">
        <v>7</v>
      </c>
      <c r="D351" t="s">
        <v>92</v>
      </c>
      <c r="E351">
        <v>0.9</v>
      </c>
    </row>
    <row r="352" spans="3:5">
      <c r="C352" t="s">
        <v>7</v>
      </c>
      <c r="D352" t="s">
        <v>93</v>
      </c>
      <c r="E352">
        <v>0.9</v>
      </c>
    </row>
    <row r="353" spans="3:5">
      <c r="C353" t="s">
        <v>7</v>
      </c>
      <c r="D353" t="s">
        <v>146</v>
      </c>
      <c r="E353">
        <v>0.9</v>
      </c>
    </row>
    <row r="354" spans="3:5">
      <c r="C354" t="s">
        <v>7</v>
      </c>
      <c r="D354" t="s">
        <v>147</v>
      </c>
      <c r="E354">
        <v>0.9</v>
      </c>
    </row>
    <row r="355" spans="3:5">
      <c r="C355" t="s">
        <v>7</v>
      </c>
      <c r="D355" t="s">
        <v>148</v>
      </c>
      <c r="E355">
        <v>0.9</v>
      </c>
    </row>
    <row r="356" spans="3:5">
      <c r="C356" t="s">
        <v>7</v>
      </c>
      <c r="D356" t="s">
        <v>149</v>
      </c>
      <c r="E356">
        <v>0.9</v>
      </c>
    </row>
    <row r="357" spans="3:5">
      <c r="C357" t="s">
        <v>7</v>
      </c>
      <c r="D357" t="s">
        <v>150</v>
      </c>
      <c r="E357">
        <v>0.9</v>
      </c>
    </row>
    <row r="358" spans="3:5">
      <c r="C358" t="s">
        <v>7</v>
      </c>
      <c r="D358" t="s">
        <v>151</v>
      </c>
      <c r="E358">
        <v>0.9</v>
      </c>
    </row>
    <row r="359" spans="3:5">
      <c r="C359" t="s">
        <v>7</v>
      </c>
      <c r="D359" t="s">
        <v>152</v>
      </c>
      <c r="E359">
        <v>0.9</v>
      </c>
    </row>
    <row r="360" spans="3:5">
      <c r="C360" t="s">
        <v>7</v>
      </c>
      <c r="D360" t="s">
        <v>153</v>
      </c>
      <c r="E360">
        <v>0.9</v>
      </c>
    </row>
    <row r="361" spans="3:5">
      <c r="C361" t="s">
        <v>7</v>
      </c>
      <c r="D361" t="s">
        <v>154</v>
      </c>
      <c r="E361">
        <v>0.9</v>
      </c>
    </row>
    <row r="362" spans="3:5">
      <c r="C362" t="s">
        <v>7</v>
      </c>
      <c r="D362" t="s">
        <v>94</v>
      </c>
      <c r="E362">
        <v>0.9</v>
      </c>
    </row>
    <row r="363" spans="3:5">
      <c r="C363" t="s">
        <v>7</v>
      </c>
      <c r="D363" t="s">
        <v>155</v>
      </c>
      <c r="E363">
        <v>0.9</v>
      </c>
    </row>
    <row r="364" spans="3:5">
      <c r="C364" t="s">
        <v>7</v>
      </c>
      <c r="D364" t="s">
        <v>156</v>
      </c>
      <c r="E364">
        <v>0.9</v>
      </c>
    </row>
    <row r="365" spans="3:5">
      <c r="C365" t="s">
        <v>7</v>
      </c>
      <c r="D365" t="s">
        <v>157</v>
      </c>
      <c r="E365">
        <v>0.9</v>
      </c>
    </row>
    <row r="366" spans="3:5">
      <c r="C366" t="s">
        <v>7</v>
      </c>
      <c r="D366" t="s">
        <v>158</v>
      </c>
      <c r="E366">
        <v>0.9</v>
      </c>
    </row>
    <row r="367" spans="3:5">
      <c r="C367" t="s">
        <v>7</v>
      </c>
      <c r="D367" t="s">
        <v>159</v>
      </c>
      <c r="E367">
        <v>0.9</v>
      </c>
    </row>
    <row r="368" spans="3:5">
      <c r="C368" t="s">
        <v>7</v>
      </c>
      <c r="D368" t="s">
        <v>95</v>
      </c>
      <c r="E368">
        <v>0.9</v>
      </c>
    </row>
    <row r="369" spans="3:5">
      <c r="C369" t="s">
        <v>8</v>
      </c>
      <c r="D369" t="s">
        <v>96</v>
      </c>
      <c r="E369">
        <v>1000</v>
      </c>
    </row>
    <row r="370" spans="3:5">
      <c r="C370" t="s">
        <v>8</v>
      </c>
      <c r="D370" t="s">
        <v>97</v>
      </c>
      <c r="E370">
        <v>1000</v>
      </c>
    </row>
    <row r="371" spans="3:5">
      <c r="C371" t="s">
        <v>8</v>
      </c>
      <c r="D371" t="s">
        <v>80</v>
      </c>
      <c r="E371">
        <v>1000</v>
      </c>
    </row>
    <row r="372" spans="3:5">
      <c r="C372" t="s">
        <v>8</v>
      </c>
      <c r="D372" t="s">
        <v>81</v>
      </c>
      <c r="E372">
        <v>1000</v>
      </c>
    </row>
    <row r="373" spans="3:5">
      <c r="C373" t="s">
        <v>8</v>
      </c>
      <c r="D373" t="s">
        <v>82</v>
      </c>
      <c r="E373">
        <v>1000</v>
      </c>
    </row>
    <row r="374" spans="3:5">
      <c r="C374" t="s">
        <v>8</v>
      </c>
      <c r="D374" t="s">
        <v>98</v>
      </c>
      <c r="E374">
        <v>1000</v>
      </c>
    </row>
    <row r="375" spans="3:5">
      <c r="C375" t="s">
        <v>8</v>
      </c>
      <c r="D375" t="s">
        <v>99</v>
      </c>
      <c r="E375">
        <v>1000</v>
      </c>
    </row>
    <row r="376" spans="3:5">
      <c r="C376" t="s">
        <v>8</v>
      </c>
      <c r="D376" t="s">
        <v>100</v>
      </c>
      <c r="E376">
        <v>1000</v>
      </c>
    </row>
    <row r="377" spans="3:5">
      <c r="C377" t="s">
        <v>8</v>
      </c>
      <c r="D377" t="s">
        <v>83</v>
      </c>
      <c r="E377">
        <v>1000</v>
      </c>
    </row>
    <row r="378" spans="3:5">
      <c r="C378" t="s">
        <v>8</v>
      </c>
      <c r="D378" t="s">
        <v>84</v>
      </c>
      <c r="E378">
        <v>1000</v>
      </c>
    </row>
    <row r="379" spans="3:5">
      <c r="C379" t="s">
        <v>8</v>
      </c>
      <c r="D379" t="s">
        <v>85</v>
      </c>
      <c r="E379">
        <v>1000</v>
      </c>
    </row>
    <row r="380" spans="3:5">
      <c r="C380" t="s">
        <v>8</v>
      </c>
      <c r="D380" t="s">
        <v>86</v>
      </c>
      <c r="E380">
        <v>1000</v>
      </c>
    </row>
    <row r="381" spans="3:5">
      <c r="C381" t="s">
        <v>8</v>
      </c>
      <c r="D381" t="s">
        <v>101</v>
      </c>
      <c r="E381">
        <v>1000</v>
      </c>
    </row>
    <row r="382" spans="3:5">
      <c r="C382" t="s">
        <v>8</v>
      </c>
      <c r="D382" t="s">
        <v>102</v>
      </c>
      <c r="E382">
        <v>1000</v>
      </c>
    </row>
    <row r="383" spans="3:5">
      <c r="C383" t="s">
        <v>8</v>
      </c>
      <c r="D383" t="s">
        <v>103</v>
      </c>
      <c r="E383">
        <v>1000</v>
      </c>
    </row>
    <row r="384" spans="3:5">
      <c r="C384" t="s">
        <v>8</v>
      </c>
      <c r="D384" t="s">
        <v>104</v>
      </c>
      <c r="E384">
        <v>1000</v>
      </c>
    </row>
    <row r="385" spans="3:5">
      <c r="C385" t="s">
        <v>8</v>
      </c>
      <c r="D385" t="s">
        <v>105</v>
      </c>
      <c r="E385">
        <v>1000</v>
      </c>
    </row>
    <row r="386" spans="3:5">
      <c r="C386" t="s">
        <v>8</v>
      </c>
      <c r="D386" t="s">
        <v>106</v>
      </c>
      <c r="E386">
        <v>1000</v>
      </c>
    </row>
    <row r="387" spans="3:5">
      <c r="C387" t="s">
        <v>8</v>
      </c>
      <c r="D387" t="s">
        <v>107</v>
      </c>
      <c r="E387">
        <v>1000</v>
      </c>
    </row>
    <row r="388" spans="3:5">
      <c r="C388" t="s">
        <v>8</v>
      </c>
      <c r="D388" t="s">
        <v>108</v>
      </c>
      <c r="E388">
        <v>1000</v>
      </c>
    </row>
    <row r="389" spans="3:5">
      <c r="C389" t="s">
        <v>8</v>
      </c>
      <c r="D389" t="s">
        <v>109</v>
      </c>
      <c r="E389">
        <v>1000</v>
      </c>
    </row>
    <row r="390" spans="3:5">
      <c r="C390" t="s">
        <v>8</v>
      </c>
      <c r="D390" t="s">
        <v>110</v>
      </c>
      <c r="E390">
        <v>1000</v>
      </c>
    </row>
    <row r="391" spans="3:5">
      <c r="C391" t="s">
        <v>8</v>
      </c>
      <c r="D391" t="s">
        <v>111</v>
      </c>
      <c r="E391">
        <v>1000</v>
      </c>
    </row>
    <row r="392" spans="3:5">
      <c r="C392" t="s">
        <v>8</v>
      </c>
      <c r="D392" t="s">
        <v>112</v>
      </c>
      <c r="E392">
        <v>1000</v>
      </c>
    </row>
    <row r="393" spans="3:5">
      <c r="C393" t="s">
        <v>8</v>
      </c>
      <c r="D393" t="s">
        <v>113</v>
      </c>
      <c r="E393">
        <v>1000</v>
      </c>
    </row>
    <row r="394" spans="3:5">
      <c r="C394" t="s">
        <v>8</v>
      </c>
      <c r="D394" t="s">
        <v>114</v>
      </c>
      <c r="E394">
        <v>1000</v>
      </c>
    </row>
    <row r="395" spans="3:5">
      <c r="C395" t="s">
        <v>8</v>
      </c>
      <c r="D395" t="s">
        <v>115</v>
      </c>
      <c r="E395">
        <v>1000</v>
      </c>
    </row>
    <row r="396" spans="3:5">
      <c r="C396" t="s">
        <v>8</v>
      </c>
      <c r="D396" t="s">
        <v>116</v>
      </c>
      <c r="E396">
        <v>1000</v>
      </c>
    </row>
    <row r="397" spans="3:5">
      <c r="C397" t="s">
        <v>8</v>
      </c>
      <c r="D397" t="s">
        <v>117</v>
      </c>
      <c r="E397">
        <v>1000</v>
      </c>
    </row>
    <row r="398" spans="3:5">
      <c r="C398" t="s">
        <v>8</v>
      </c>
      <c r="D398" t="s">
        <v>118</v>
      </c>
      <c r="E398">
        <v>1000</v>
      </c>
    </row>
    <row r="399" spans="3:5">
      <c r="C399" t="s">
        <v>8</v>
      </c>
      <c r="D399" t="s">
        <v>119</v>
      </c>
      <c r="E399">
        <v>1000</v>
      </c>
    </row>
    <row r="400" spans="3:5">
      <c r="C400" t="s">
        <v>8</v>
      </c>
      <c r="D400" t="s">
        <v>120</v>
      </c>
      <c r="E400">
        <v>1000</v>
      </c>
    </row>
    <row r="401" spans="3:5">
      <c r="C401" t="s">
        <v>8</v>
      </c>
      <c r="D401" t="s">
        <v>121</v>
      </c>
      <c r="E401">
        <v>1000</v>
      </c>
    </row>
    <row r="402" spans="3:5">
      <c r="C402" t="s">
        <v>8</v>
      </c>
      <c r="D402" t="s">
        <v>122</v>
      </c>
      <c r="E402">
        <v>1000</v>
      </c>
    </row>
    <row r="403" spans="3:5">
      <c r="C403" t="s">
        <v>8</v>
      </c>
      <c r="D403" t="s">
        <v>123</v>
      </c>
      <c r="E403">
        <v>1000</v>
      </c>
    </row>
    <row r="404" spans="3:5">
      <c r="C404" t="s">
        <v>8</v>
      </c>
      <c r="D404" t="s">
        <v>124</v>
      </c>
      <c r="E404">
        <v>1000</v>
      </c>
    </row>
    <row r="405" spans="3:5">
      <c r="C405" t="s">
        <v>8</v>
      </c>
      <c r="D405" t="s">
        <v>125</v>
      </c>
      <c r="E405">
        <v>1000</v>
      </c>
    </row>
    <row r="406" spans="3:5">
      <c r="C406" t="s">
        <v>8</v>
      </c>
      <c r="D406" t="s">
        <v>126</v>
      </c>
      <c r="E406">
        <v>1000</v>
      </c>
    </row>
    <row r="407" spans="3:5">
      <c r="C407" t="s">
        <v>8</v>
      </c>
      <c r="D407" t="s">
        <v>127</v>
      </c>
      <c r="E407">
        <v>1000</v>
      </c>
    </row>
    <row r="408" spans="3:5">
      <c r="C408" t="s">
        <v>8</v>
      </c>
      <c r="D408" t="s">
        <v>128</v>
      </c>
      <c r="E408">
        <v>1000</v>
      </c>
    </row>
    <row r="409" spans="3:5">
      <c r="C409" t="s">
        <v>8</v>
      </c>
      <c r="D409" t="s">
        <v>129</v>
      </c>
      <c r="E409">
        <v>1000</v>
      </c>
    </row>
    <row r="410" spans="3:5">
      <c r="C410" t="s">
        <v>8</v>
      </c>
      <c r="D410" t="s">
        <v>130</v>
      </c>
      <c r="E410">
        <v>1000</v>
      </c>
    </row>
    <row r="411" spans="3:5">
      <c r="C411" t="s">
        <v>8</v>
      </c>
      <c r="D411" t="s">
        <v>131</v>
      </c>
      <c r="E411">
        <v>1000</v>
      </c>
    </row>
    <row r="412" spans="3:5">
      <c r="C412" t="s">
        <v>8</v>
      </c>
      <c r="D412" t="s">
        <v>132</v>
      </c>
      <c r="E412">
        <v>1000</v>
      </c>
    </row>
    <row r="413" spans="3:5">
      <c r="C413" t="s">
        <v>8</v>
      </c>
      <c r="D413" t="s">
        <v>133</v>
      </c>
      <c r="E413">
        <v>1000</v>
      </c>
    </row>
    <row r="414" spans="3:5">
      <c r="C414" t="s">
        <v>8</v>
      </c>
      <c r="D414" t="s">
        <v>134</v>
      </c>
      <c r="E414">
        <v>1000</v>
      </c>
    </row>
    <row r="415" spans="3:5">
      <c r="C415" t="s">
        <v>8</v>
      </c>
      <c r="D415" t="s">
        <v>135</v>
      </c>
      <c r="E415">
        <v>1000</v>
      </c>
    </row>
    <row r="416" spans="3:5">
      <c r="C416" t="s">
        <v>8</v>
      </c>
      <c r="D416" t="s">
        <v>136</v>
      </c>
      <c r="E416">
        <v>1000</v>
      </c>
    </row>
    <row r="417" spans="3:5">
      <c r="C417" t="s">
        <v>8</v>
      </c>
      <c r="D417" t="s">
        <v>137</v>
      </c>
      <c r="E417">
        <v>1000</v>
      </c>
    </row>
    <row r="418" spans="3:5">
      <c r="C418" t="s">
        <v>8</v>
      </c>
      <c r="D418" t="s">
        <v>138</v>
      </c>
      <c r="E418">
        <v>1000</v>
      </c>
    </row>
    <row r="419" spans="3:5">
      <c r="C419" t="s">
        <v>8</v>
      </c>
      <c r="D419" t="s">
        <v>139</v>
      </c>
      <c r="E419">
        <v>1000</v>
      </c>
    </row>
    <row r="420" spans="3:5">
      <c r="C420" t="s">
        <v>8</v>
      </c>
      <c r="D420" t="s">
        <v>140</v>
      </c>
      <c r="E420">
        <v>1000</v>
      </c>
    </row>
    <row r="421" spans="3:5">
      <c r="C421" t="s">
        <v>8</v>
      </c>
      <c r="D421" t="s">
        <v>141</v>
      </c>
      <c r="E421">
        <v>1000</v>
      </c>
    </row>
    <row r="422" spans="3:5">
      <c r="C422" t="s">
        <v>8</v>
      </c>
      <c r="D422" t="s">
        <v>142</v>
      </c>
      <c r="E422">
        <v>1000</v>
      </c>
    </row>
    <row r="423" spans="3:5">
      <c r="C423" t="s">
        <v>8</v>
      </c>
      <c r="D423" t="s">
        <v>143</v>
      </c>
      <c r="E423">
        <v>1000</v>
      </c>
    </row>
    <row r="424" spans="3:5">
      <c r="C424" t="s">
        <v>8</v>
      </c>
      <c r="D424" t="s">
        <v>144</v>
      </c>
      <c r="E424">
        <v>1000</v>
      </c>
    </row>
    <row r="425" spans="3:5">
      <c r="C425" t="s">
        <v>8</v>
      </c>
      <c r="D425" t="s">
        <v>145</v>
      </c>
      <c r="E425">
        <v>1000</v>
      </c>
    </row>
    <row r="426" spans="3:5">
      <c r="C426" t="s">
        <v>8</v>
      </c>
      <c r="D426" t="s">
        <v>87</v>
      </c>
      <c r="E426">
        <v>1000</v>
      </c>
    </row>
    <row r="427" spans="3:5">
      <c r="C427" t="s">
        <v>8</v>
      </c>
      <c r="D427" t="s">
        <v>88</v>
      </c>
      <c r="E427">
        <v>1000</v>
      </c>
    </row>
    <row r="428" spans="3:5">
      <c r="C428" t="s">
        <v>8</v>
      </c>
      <c r="D428" t="s">
        <v>89</v>
      </c>
      <c r="E428">
        <v>1000</v>
      </c>
    </row>
    <row r="429" spans="3:5">
      <c r="C429" t="s">
        <v>8</v>
      </c>
      <c r="D429" t="s">
        <v>90</v>
      </c>
      <c r="E429">
        <v>1000</v>
      </c>
    </row>
    <row r="430" spans="3:5">
      <c r="C430" t="s">
        <v>8</v>
      </c>
      <c r="D430" t="s">
        <v>91</v>
      </c>
      <c r="E430">
        <v>1000</v>
      </c>
    </row>
    <row r="431" spans="3:5">
      <c r="C431" t="s">
        <v>8</v>
      </c>
      <c r="D431" t="s">
        <v>92</v>
      </c>
      <c r="E431">
        <v>1000</v>
      </c>
    </row>
    <row r="432" spans="3:5">
      <c r="C432" t="s">
        <v>8</v>
      </c>
      <c r="D432" t="s">
        <v>93</v>
      </c>
      <c r="E432">
        <v>1000</v>
      </c>
    </row>
    <row r="433" spans="3:5">
      <c r="C433" t="s">
        <v>8</v>
      </c>
      <c r="D433" t="s">
        <v>146</v>
      </c>
      <c r="E433">
        <v>1000</v>
      </c>
    </row>
    <row r="434" spans="3:5">
      <c r="C434" t="s">
        <v>8</v>
      </c>
      <c r="D434" t="s">
        <v>147</v>
      </c>
      <c r="E434">
        <v>1000</v>
      </c>
    </row>
    <row r="435" spans="3:5">
      <c r="C435" t="s">
        <v>8</v>
      </c>
      <c r="D435" t="s">
        <v>148</v>
      </c>
      <c r="E435">
        <v>1000</v>
      </c>
    </row>
    <row r="436" spans="3:5">
      <c r="C436" t="s">
        <v>8</v>
      </c>
      <c r="D436" t="s">
        <v>149</v>
      </c>
      <c r="E436">
        <v>1000</v>
      </c>
    </row>
    <row r="437" spans="3:5">
      <c r="C437" t="s">
        <v>8</v>
      </c>
      <c r="D437" t="s">
        <v>150</v>
      </c>
      <c r="E437">
        <v>1000</v>
      </c>
    </row>
    <row r="438" spans="3:5">
      <c r="C438" t="s">
        <v>8</v>
      </c>
      <c r="D438" t="s">
        <v>151</v>
      </c>
      <c r="E438">
        <v>1000</v>
      </c>
    </row>
    <row r="439" spans="3:5">
      <c r="C439" t="s">
        <v>8</v>
      </c>
      <c r="D439" t="s">
        <v>152</v>
      </c>
      <c r="E439">
        <v>1000</v>
      </c>
    </row>
    <row r="440" spans="3:5">
      <c r="C440" t="s">
        <v>8</v>
      </c>
      <c r="D440" t="s">
        <v>153</v>
      </c>
      <c r="E440">
        <v>1000</v>
      </c>
    </row>
    <row r="441" spans="3:5">
      <c r="C441" t="s">
        <v>8</v>
      </c>
      <c r="D441" t="s">
        <v>154</v>
      </c>
      <c r="E441">
        <v>1000</v>
      </c>
    </row>
    <row r="442" spans="3:5">
      <c r="C442" t="s">
        <v>8</v>
      </c>
      <c r="D442" t="s">
        <v>94</v>
      </c>
      <c r="E442">
        <v>1000</v>
      </c>
    </row>
    <row r="443" spans="3:5">
      <c r="C443" t="s">
        <v>8</v>
      </c>
      <c r="D443" t="s">
        <v>155</v>
      </c>
      <c r="E443">
        <v>1000</v>
      </c>
    </row>
    <row r="444" spans="3:5">
      <c r="C444" t="s">
        <v>8</v>
      </c>
      <c r="D444" t="s">
        <v>156</v>
      </c>
      <c r="E444">
        <v>1000</v>
      </c>
    </row>
    <row r="445" spans="3:5">
      <c r="C445" t="s">
        <v>8</v>
      </c>
      <c r="D445" t="s">
        <v>157</v>
      </c>
      <c r="E445">
        <v>1000</v>
      </c>
    </row>
    <row r="446" spans="3:5">
      <c r="C446" t="s">
        <v>8</v>
      </c>
      <c r="D446" t="s">
        <v>158</v>
      </c>
      <c r="E446">
        <v>1000</v>
      </c>
    </row>
    <row r="447" spans="3:5">
      <c r="C447" t="s">
        <v>8</v>
      </c>
      <c r="D447" t="s">
        <v>159</v>
      </c>
      <c r="E447">
        <v>1000</v>
      </c>
    </row>
    <row r="448" spans="3:5">
      <c r="C448" t="s">
        <v>8</v>
      </c>
      <c r="D448" t="s">
        <v>95</v>
      </c>
      <c r="E448">
        <v>1000</v>
      </c>
    </row>
    <row r="449" spans="3:5">
      <c r="C449" t="s">
        <v>9</v>
      </c>
      <c r="D449" t="s">
        <v>96</v>
      </c>
      <c r="E449">
        <v>31.536000000000001</v>
      </c>
    </row>
    <row r="450" spans="3:5">
      <c r="C450" t="s">
        <v>9</v>
      </c>
      <c r="D450" t="s">
        <v>97</v>
      </c>
      <c r="E450">
        <v>31.536000000000001</v>
      </c>
    </row>
    <row r="451" spans="3:5">
      <c r="C451" t="s">
        <v>9</v>
      </c>
      <c r="D451" t="s">
        <v>80</v>
      </c>
      <c r="E451">
        <v>31.536000000000001</v>
      </c>
    </row>
    <row r="452" spans="3:5">
      <c r="C452" t="s">
        <v>9</v>
      </c>
      <c r="D452" t="s">
        <v>81</v>
      </c>
      <c r="E452">
        <v>31.536000000000001</v>
      </c>
    </row>
    <row r="453" spans="3:5">
      <c r="C453" t="s">
        <v>9</v>
      </c>
      <c r="D453" t="s">
        <v>82</v>
      </c>
      <c r="E453">
        <v>31.536000000000001</v>
      </c>
    </row>
    <row r="454" spans="3:5">
      <c r="C454" t="s">
        <v>9</v>
      </c>
      <c r="D454" t="s">
        <v>98</v>
      </c>
      <c r="E454">
        <v>31.536000000000001</v>
      </c>
    </row>
    <row r="455" spans="3:5">
      <c r="C455" t="s">
        <v>9</v>
      </c>
      <c r="D455" t="s">
        <v>99</v>
      </c>
      <c r="E455">
        <v>31.536000000000001</v>
      </c>
    </row>
    <row r="456" spans="3:5">
      <c r="C456" t="s">
        <v>9</v>
      </c>
      <c r="D456" t="s">
        <v>100</v>
      </c>
      <c r="E456">
        <v>31.536000000000001</v>
      </c>
    </row>
    <row r="457" spans="3:5">
      <c r="C457" t="s">
        <v>9</v>
      </c>
      <c r="D457" t="s">
        <v>83</v>
      </c>
      <c r="E457">
        <v>31.536000000000001</v>
      </c>
    </row>
    <row r="458" spans="3:5">
      <c r="C458" t="s">
        <v>9</v>
      </c>
      <c r="D458" t="s">
        <v>84</v>
      </c>
      <c r="E458">
        <v>31.536000000000001</v>
      </c>
    </row>
    <row r="459" spans="3:5">
      <c r="C459" t="s">
        <v>9</v>
      </c>
      <c r="D459" t="s">
        <v>85</v>
      </c>
      <c r="E459">
        <v>31.536000000000001</v>
      </c>
    </row>
    <row r="460" spans="3:5">
      <c r="C460" t="s">
        <v>9</v>
      </c>
      <c r="D460" t="s">
        <v>86</v>
      </c>
      <c r="E460">
        <v>31.536000000000001</v>
      </c>
    </row>
    <row r="461" spans="3:5">
      <c r="C461" t="s">
        <v>9</v>
      </c>
      <c r="D461" t="s">
        <v>101</v>
      </c>
      <c r="E461">
        <v>31.536000000000001</v>
      </c>
    </row>
    <row r="462" spans="3:5">
      <c r="C462" t="s">
        <v>9</v>
      </c>
      <c r="D462" t="s">
        <v>102</v>
      </c>
      <c r="E462">
        <v>31.536000000000001</v>
      </c>
    </row>
    <row r="463" spans="3:5">
      <c r="C463" t="s">
        <v>9</v>
      </c>
      <c r="D463" t="s">
        <v>103</v>
      </c>
      <c r="E463">
        <v>31.536000000000001</v>
      </c>
    </row>
    <row r="464" spans="3:5">
      <c r="C464" t="s">
        <v>9</v>
      </c>
      <c r="D464" t="s">
        <v>104</v>
      </c>
      <c r="E464">
        <v>31.536000000000001</v>
      </c>
    </row>
    <row r="465" spans="3:5">
      <c r="C465" t="s">
        <v>9</v>
      </c>
      <c r="D465" t="s">
        <v>105</v>
      </c>
      <c r="E465">
        <v>31.536000000000001</v>
      </c>
    </row>
    <row r="466" spans="3:5">
      <c r="C466" t="s">
        <v>9</v>
      </c>
      <c r="D466" t="s">
        <v>106</v>
      </c>
      <c r="E466">
        <v>31.536000000000001</v>
      </c>
    </row>
    <row r="467" spans="3:5">
      <c r="C467" t="s">
        <v>9</v>
      </c>
      <c r="D467" t="s">
        <v>107</v>
      </c>
      <c r="E467">
        <v>31.536000000000001</v>
      </c>
    </row>
    <row r="468" spans="3:5">
      <c r="C468" t="s">
        <v>9</v>
      </c>
      <c r="D468" t="s">
        <v>108</v>
      </c>
      <c r="E468">
        <v>31.536000000000001</v>
      </c>
    </row>
    <row r="469" spans="3:5">
      <c r="C469" t="s">
        <v>9</v>
      </c>
      <c r="D469" t="s">
        <v>109</v>
      </c>
      <c r="E469">
        <v>31.536000000000001</v>
      </c>
    </row>
    <row r="470" spans="3:5">
      <c r="C470" t="s">
        <v>9</v>
      </c>
      <c r="D470" t="s">
        <v>110</v>
      </c>
      <c r="E470">
        <v>31.536000000000001</v>
      </c>
    </row>
    <row r="471" spans="3:5">
      <c r="C471" t="s">
        <v>9</v>
      </c>
      <c r="D471" t="s">
        <v>111</v>
      </c>
      <c r="E471">
        <v>31.536000000000001</v>
      </c>
    </row>
    <row r="472" spans="3:5">
      <c r="C472" t="s">
        <v>9</v>
      </c>
      <c r="D472" t="s">
        <v>112</v>
      </c>
      <c r="E472">
        <v>31.536000000000001</v>
      </c>
    </row>
    <row r="473" spans="3:5">
      <c r="C473" t="s">
        <v>9</v>
      </c>
      <c r="D473" t="s">
        <v>113</v>
      </c>
      <c r="E473">
        <v>31.536000000000001</v>
      </c>
    </row>
    <row r="474" spans="3:5">
      <c r="C474" t="s">
        <v>9</v>
      </c>
      <c r="D474" t="s">
        <v>114</v>
      </c>
      <c r="E474">
        <v>31.536000000000001</v>
      </c>
    </row>
    <row r="475" spans="3:5">
      <c r="C475" t="s">
        <v>9</v>
      </c>
      <c r="D475" t="s">
        <v>115</v>
      </c>
      <c r="E475">
        <v>31.536000000000001</v>
      </c>
    </row>
    <row r="476" spans="3:5">
      <c r="C476" t="s">
        <v>9</v>
      </c>
      <c r="D476" t="s">
        <v>116</v>
      </c>
      <c r="E476">
        <v>31.536000000000001</v>
      </c>
    </row>
    <row r="477" spans="3:5">
      <c r="C477" t="s">
        <v>9</v>
      </c>
      <c r="D477" t="s">
        <v>117</v>
      </c>
      <c r="E477">
        <v>31.536000000000001</v>
      </c>
    </row>
    <row r="478" spans="3:5">
      <c r="C478" t="s">
        <v>9</v>
      </c>
      <c r="D478" t="s">
        <v>118</v>
      </c>
      <c r="E478">
        <v>31.536000000000001</v>
      </c>
    </row>
    <row r="479" spans="3:5">
      <c r="C479" t="s">
        <v>9</v>
      </c>
      <c r="D479" t="s">
        <v>119</v>
      </c>
      <c r="E479">
        <v>31.536000000000001</v>
      </c>
    </row>
    <row r="480" spans="3:5">
      <c r="C480" t="s">
        <v>9</v>
      </c>
      <c r="D480" t="s">
        <v>120</v>
      </c>
      <c r="E480">
        <v>31.536000000000001</v>
      </c>
    </row>
    <row r="481" spans="3:5">
      <c r="C481" t="s">
        <v>9</v>
      </c>
      <c r="D481" t="s">
        <v>121</v>
      </c>
      <c r="E481">
        <v>31.536000000000001</v>
      </c>
    </row>
    <row r="482" spans="3:5">
      <c r="C482" t="s">
        <v>9</v>
      </c>
      <c r="D482" t="s">
        <v>122</v>
      </c>
      <c r="E482">
        <v>31.536000000000001</v>
      </c>
    </row>
    <row r="483" spans="3:5">
      <c r="C483" t="s">
        <v>9</v>
      </c>
      <c r="D483" t="s">
        <v>123</v>
      </c>
      <c r="E483">
        <v>31.536000000000001</v>
      </c>
    </row>
    <row r="484" spans="3:5">
      <c r="C484" t="s">
        <v>9</v>
      </c>
      <c r="D484" t="s">
        <v>124</v>
      </c>
      <c r="E484">
        <v>31.536000000000001</v>
      </c>
    </row>
    <row r="485" spans="3:5">
      <c r="C485" t="s">
        <v>9</v>
      </c>
      <c r="D485" t="s">
        <v>125</v>
      </c>
      <c r="E485">
        <v>31.536000000000001</v>
      </c>
    </row>
    <row r="486" spans="3:5">
      <c r="C486" t="s">
        <v>9</v>
      </c>
      <c r="D486" t="s">
        <v>126</v>
      </c>
      <c r="E486">
        <v>31.536000000000001</v>
      </c>
    </row>
    <row r="487" spans="3:5">
      <c r="C487" t="s">
        <v>9</v>
      </c>
      <c r="D487" t="s">
        <v>127</v>
      </c>
      <c r="E487">
        <v>31.536000000000001</v>
      </c>
    </row>
    <row r="488" spans="3:5">
      <c r="C488" t="s">
        <v>9</v>
      </c>
      <c r="D488" t="s">
        <v>128</v>
      </c>
      <c r="E488">
        <v>31.536000000000001</v>
      </c>
    </row>
    <row r="489" spans="3:5">
      <c r="C489" t="s">
        <v>9</v>
      </c>
      <c r="D489" t="s">
        <v>129</v>
      </c>
      <c r="E489">
        <v>31.536000000000001</v>
      </c>
    </row>
    <row r="490" spans="3:5">
      <c r="C490" t="s">
        <v>9</v>
      </c>
      <c r="D490" t="s">
        <v>130</v>
      </c>
      <c r="E490">
        <v>31.536000000000001</v>
      </c>
    </row>
    <row r="491" spans="3:5">
      <c r="C491" t="s">
        <v>9</v>
      </c>
      <c r="D491" t="s">
        <v>131</v>
      </c>
      <c r="E491">
        <v>31.536000000000001</v>
      </c>
    </row>
    <row r="492" spans="3:5">
      <c r="C492" t="s">
        <v>9</v>
      </c>
      <c r="D492" t="s">
        <v>132</v>
      </c>
      <c r="E492">
        <v>31.536000000000001</v>
      </c>
    </row>
    <row r="493" spans="3:5">
      <c r="C493" t="s">
        <v>9</v>
      </c>
      <c r="D493" t="s">
        <v>133</v>
      </c>
      <c r="E493">
        <v>31.536000000000001</v>
      </c>
    </row>
    <row r="494" spans="3:5">
      <c r="C494" t="s">
        <v>9</v>
      </c>
      <c r="D494" t="s">
        <v>134</v>
      </c>
      <c r="E494">
        <v>31.536000000000001</v>
      </c>
    </row>
    <row r="495" spans="3:5">
      <c r="C495" t="s">
        <v>9</v>
      </c>
      <c r="D495" t="s">
        <v>135</v>
      </c>
      <c r="E495">
        <v>31.536000000000001</v>
      </c>
    </row>
    <row r="496" spans="3:5">
      <c r="C496" t="s">
        <v>9</v>
      </c>
      <c r="D496" t="s">
        <v>136</v>
      </c>
      <c r="E496">
        <v>31.536000000000001</v>
      </c>
    </row>
    <row r="497" spans="3:5">
      <c r="C497" t="s">
        <v>9</v>
      </c>
      <c r="D497" t="s">
        <v>137</v>
      </c>
      <c r="E497">
        <v>31.536000000000001</v>
      </c>
    </row>
    <row r="498" spans="3:5">
      <c r="C498" t="s">
        <v>9</v>
      </c>
      <c r="D498" t="s">
        <v>138</v>
      </c>
      <c r="E498">
        <v>31.536000000000001</v>
      </c>
    </row>
    <row r="499" spans="3:5">
      <c r="C499" t="s">
        <v>9</v>
      </c>
      <c r="D499" t="s">
        <v>139</v>
      </c>
      <c r="E499">
        <v>31.536000000000001</v>
      </c>
    </row>
    <row r="500" spans="3:5">
      <c r="C500" t="s">
        <v>9</v>
      </c>
      <c r="D500" t="s">
        <v>140</v>
      </c>
      <c r="E500">
        <v>31.536000000000001</v>
      </c>
    </row>
    <row r="501" spans="3:5">
      <c r="C501" t="s">
        <v>9</v>
      </c>
      <c r="D501" t="s">
        <v>141</v>
      </c>
      <c r="E501">
        <v>31.536000000000001</v>
      </c>
    </row>
    <row r="502" spans="3:5">
      <c r="C502" t="s">
        <v>9</v>
      </c>
      <c r="D502" t="s">
        <v>142</v>
      </c>
      <c r="E502">
        <v>31.536000000000001</v>
      </c>
    </row>
    <row r="503" spans="3:5">
      <c r="C503" t="s">
        <v>9</v>
      </c>
      <c r="D503" t="s">
        <v>143</v>
      </c>
      <c r="E503">
        <v>31.536000000000001</v>
      </c>
    </row>
    <row r="504" spans="3:5">
      <c r="C504" t="s">
        <v>9</v>
      </c>
      <c r="D504" t="s">
        <v>144</v>
      </c>
      <c r="E504">
        <v>31.536000000000001</v>
      </c>
    </row>
    <row r="505" spans="3:5">
      <c r="C505" t="s">
        <v>9</v>
      </c>
      <c r="D505" t="s">
        <v>145</v>
      </c>
      <c r="E505">
        <v>31.536000000000001</v>
      </c>
    </row>
    <row r="506" spans="3:5">
      <c r="C506" t="s">
        <v>9</v>
      </c>
      <c r="D506" t="s">
        <v>87</v>
      </c>
      <c r="E506">
        <v>31.536000000000001</v>
      </c>
    </row>
    <row r="507" spans="3:5">
      <c r="C507" t="s">
        <v>9</v>
      </c>
      <c r="D507" t="s">
        <v>88</v>
      </c>
      <c r="E507">
        <v>31.536000000000001</v>
      </c>
    </row>
    <row r="508" spans="3:5">
      <c r="C508" t="s">
        <v>9</v>
      </c>
      <c r="D508" t="s">
        <v>89</v>
      </c>
      <c r="E508">
        <v>31.536000000000001</v>
      </c>
    </row>
    <row r="509" spans="3:5">
      <c r="C509" t="s">
        <v>9</v>
      </c>
      <c r="D509" t="s">
        <v>90</v>
      </c>
      <c r="E509">
        <v>31.536000000000001</v>
      </c>
    </row>
    <row r="510" spans="3:5">
      <c r="C510" t="s">
        <v>9</v>
      </c>
      <c r="D510" t="s">
        <v>91</v>
      </c>
      <c r="E510">
        <v>31.536000000000001</v>
      </c>
    </row>
    <row r="511" spans="3:5">
      <c r="C511" t="s">
        <v>9</v>
      </c>
      <c r="D511" t="s">
        <v>92</v>
      </c>
      <c r="E511">
        <v>31.536000000000001</v>
      </c>
    </row>
    <row r="512" spans="3:5">
      <c r="C512" t="s">
        <v>9</v>
      </c>
      <c r="D512" t="s">
        <v>93</v>
      </c>
      <c r="E512">
        <v>31.536000000000001</v>
      </c>
    </row>
    <row r="513" spans="3:5">
      <c r="C513" t="s">
        <v>9</v>
      </c>
      <c r="D513" t="s">
        <v>146</v>
      </c>
      <c r="E513">
        <v>31.536000000000001</v>
      </c>
    </row>
    <row r="514" spans="3:5">
      <c r="C514" t="s">
        <v>9</v>
      </c>
      <c r="D514" t="s">
        <v>147</v>
      </c>
      <c r="E514">
        <v>31.536000000000001</v>
      </c>
    </row>
    <row r="515" spans="3:5">
      <c r="C515" t="s">
        <v>9</v>
      </c>
      <c r="D515" t="s">
        <v>148</v>
      </c>
      <c r="E515">
        <v>31.536000000000001</v>
      </c>
    </row>
    <row r="516" spans="3:5">
      <c r="C516" t="s">
        <v>9</v>
      </c>
      <c r="D516" t="s">
        <v>149</v>
      </c>
      <c r="E516">
        <v>31.536000000000001</v>
      </c>
    </row>
    <row r="517" spans="3:5">
      <c r="C517" t="s">
        <v>9</v>
      </c>
      <c r="D517" t="s">
        <v>150</v>
      </c>
      <c r="E517">
        <v>31.536000000000001</v>
      </c>
    </row>
    <row r="518" spans="3:5">
      <c r="C518" t="s">
        <v>9</v>
      </c>
      <c r="D518" t="s">
        <v>151</v>
      </c>
      <c r="E518">
        <v>31.536000000000001</v>
      </c>
    </row>
    <row r="519" spans="3:5">
      <c r="C519" t="s">
        <v>9</v>
      </c>
      <c r="D519" t="s">
        <v>152</v>
      </c>
      <c r="E519">
        <v>31.536000000000001</v>
      </c>
    </row>
    <row r="520" spans="3:5">
      <c r="C520" t="s">
        <v>9</v>
      </c>
      <c r="D520" t="s">
        <v>153</v>
      </c>
      <c r="E520">
        <v>31.536000000000001</v>
      </c>
    </row>
    <row r="521" spans="3:5">
      <c r="C521" t="s">
        <v>9</v>
      </c>
      <c r="D521" t="s">
        <v>154</v>
      </c>
      <c r="E521">
        <v>31.536000000000001</v>
      </c>
    </row>
    <row r="522" spans="3:5">
      <c r="C522" t="s">
        <v>9</v>
      </c>
      <c r="D522" t="s">
        <v>94</v>
      </c>
      <c r="E522">
        <v>31.536000000000001</v>
      </c>
    </row>
    <row r="523" spans="3:5">
      <c r="C523" t="s">
        <v>9</v>
      </c>
      <c r="D523" t="s">
        <v>155</v>
      </c>
      <c r="E523">
        <v>31.536000000000001</v>
      </c>
    </row>
    <row r="524" spans="3:5">
      <c r="C524" t="s">
        <v>9</v>
      </c>
      <c r="D524" t="s">
        <v>156</v>
      </c>
      <c r="E524">
        <v>31.536000000000001</v>
      </c>
    </row>
    <row r="525" spans="3:5">
      <c r="C525" t="s">
        <v>9</v>
      </c>
      <c r="D525" t="s">
        <v>157</v>
      </c>
      <c r="E525">
        <v>31.536000000000001</v>
      </c>
    </row>
    <row r="526" spans="3:5">
      <c r="C526" t="s">
        <v>9</v>
      </c>
      <c r="D526" t="s">
        <v>158</v>
      </c>
      <c r="E526">
        <v>31.536000000000001</v>
      </c>
    </row>
    <row r="527" spans="3:5">
      <c r="C527" t="s">
        <v>9</v>
      </c>
      <c r="D527" t="s">
        <v>159</v>
      </c>
      <c r="E527">
        <v>31.536000000000001</v>
      </c>
    </row>
    <row r="528" spans="3:5">
      <c r="C528" t="s">
        <v>9</v>
      </c>
      <c r="D528" t="s">
        <v>95</v>
      </c>
      <c r="E528">
        <v>31.536000000000001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5B5C-64AD-487B-9605-2ABD83A10DE9}">
  <sheetPr codeName="Sheet3"/>
  <dimension ref="A2:H80"/>
  <sheetViews>
    <sheetView topLeftCell="A51" workbookViewId="0">
      <selection activeCell="L65" sqref="L65"/>
    </sheetView>
  </sheetViews>
  <sheetFormatPr baseColWidth="10" defaultColWidth="8.88671875" defaultRowHeight="14.4"/>
  <cols>
    <col min="1" max="1" width="1.77734375" bestFit="1" customWidth="1"/>
    <col min="2" max="2" width="49" bestFit="1" customWidth="1"/>
    <col min="3" max="3" width="6" bestFit="1" customWidth="1"/>
    <col min="4" max="4" width="8.77734375" bestFit="1" customWidth="1"/>
    <col min="5" max="5" width="6.44140625" bestFit="1" customWidth="1"/>
    <col min="6" max="6" width="4.44140625" bestFit="1" customWidth="1"/>
    <col min="7" max="7" width="12.109375" customWidth="1"/>
    <col min="12" max="12" width="28.109375" customWidth="1"/>
    <col min="13" max="13" width="6" customWidth="1"/>
    <col min="14" max="14" width="8.88671875" customWidth="1"/>
  </cols>
  <sheetData>
    <row r="2" spans="2:8" ht="18" thickBot="1">
      <c r="B2" s="1" t="s">
        <v>16</v>
      </c>
    </row>
    <row r="3" spans="2:8" ht="15.6" thickTop="1" thickBot="1">
      <c r="B3" s="2" t="s">
        <v>11</v>
      </c>
      <c r="C3" s="2" t="s">
        <v>4</v>
      </c>
      <c r="D3" s="2" t="s">
        <v>10</v>
      </c>
      <c r="E3" s="2" t="s">
        <v>12</v>
      </c>
      <c r="F3" s="2" t="s">
        <v>6</v>
      </c>
      <c r="G3" s="2" t="s">
        <v>17</v>
      </c>
      <c r="H3" s="2" t="s">
        <v>13</v>
      </c>
    </row>
    <row r="4" spans="2:8">
      <c r="B4" t="s">
        <v>160</v>
      </c>
      <c r="D4">
        <v>2023</v>
      </c>
      <c r="G4">
        <v>0</v>
      </c>
      <c r="H4" t="s">
        <v>14</v>
      </c>
    </row>
    <row r="5" spans="2:8">
      <c r="B5" t="s">
        <v>161</v>
      </c>
      <c r="D5">
        <v>2023</v>
      </c>
      <c r="G5">
        <v>0</v>
      </c>
      <c r="H5" t="s">
        <v>14</v>
      </c>
    </row>
    <row r="6" spans="2:8">
      <c r="B6" t="s">
        <v>162</v>
      </c>
      <c r="D6">
        <v>2012</v>
      </c>
      <c r="G6">
        <v>0</v>
      </c>
      <c r="H6" t="s">
        <v>14</v>
      </c>
    </row>
    <row r="7" spans="2:8">
      <c r="B7" t="s">
        <v>163</v>
      </c>
      <c r="D7">
        <v>2023</v>
      </c>
      <c r="G7">
        <v>0</v>
      </c>
      <c r="H7" t="s">
        <v>14</v>
      </c>
    </row>
    <row r="8" spans="2:8">
      <c r="B8" t="s">
        <v>78</v>
      </c>
      <c r="D8">
        <v>2022</v>
      </c>
      <c r="G8">
        <v>0</v>
      </c>
      <c r="H8" t="s">
        <v>79</v>
      </c>
    </row>
    <row r="9" spans="2:8">
      <c r="B9" t="s">
        <v>160</v>
      </c>
      <c r="D9">
        <v>0</v>
      </c>
      <c r="G9">
        <v>5</v>
      </c>
      <c r="H9" t="s">
        <v>14</v>
      </c>
    </row>
    <row r="10" spans="2:8">
      <c r="B10" t="s">
        <v>161</v>
      </c>
      <c r="D10">
        <v>0</v>
      </c>
      <c r="G10">
        <v>5</v>
      </c>
      <c r="H10" t="s">
        <v>14</v>
      </c>
    </row>
    <row r="11" spans="2:8">
      <c r="B11" t="s">
        <v>162</v>
      </c>
      <c r="D11">
        <v>0</v>
      </c>
      <c r="G11">
        <v>5</v>
      </c>
      <c r="H11" t="s">
        <v>14</v>
      </c>
    </row>
    <row r="12" spans="2:8">
      <c r="B12" t="s">
        <v>163</v>
      </c>
      <c r="D12">
        <v>0</v>
      </c>
      <c r="G12">
        <v>5</v>
      </c>
      <c r="H12" t="s">
        <v>14</v>
      </c>
    </row>
    <row r="13" spans="2:8">
      <c r="B13" t="s">
        <v>78</v>
      </c>
      <c r="D13">
        <v>0</v>
      </c>
      <c r="G13">
        <v>5</v>
      </c>
      <c r="H13" t="s">
        <v>79</v>
      </c>
    </row>
    <row r="14" spans="2:8">
      <c r="B14" t="s">
        <v>164</v>
      </c>
      <c r="C14">
        <v>1213.7019077241259</v>
      </c>
      <c r="D14">
        <v>1983</v>
      </c>
      <c r="E14">
        <v>2150</v>
      </c>
      <c r="F14">
        <v>200</v>
      </c>
      <c r="H14" t="s">
        <v>14</v>
      </c>
    </row>
    <row r="15" spans="2:8">
      <c r="B15" t="s">
        <v>165</v>
      </c>
      <c r="C15">
        <v>385.2</v>
      </c>
      <c r="D15">
        <v>2011</v>
      </c>
      <c r="E15">
        <v>2150</v>
      </c>
      <c r="F15">
        <v>200</v>
      </c>
      <c r="H15" t="s">
        <v>14</v>
      </c>
    </row>
    <row r="16" spans="2:8">
      <c r="B16" t="s">
        <v>166</v>
      </c>
      <c r="C16">
        <v>360</v>
      </c>
      <c r="D16">
        <v>2003</v>
      </c>
      <c r="E16">
        <v>2150</v>
      </c>
      <c r="F16">
        <v>200</v>
      </c>
      <c r="H16" t="s">
        <v>14</v>
      </c>
    </row>
    <row r="17" spans="2:8">
      <c r="B17" t="s">
        <v>167</v>
      </c>
      <c r="C17">
        <v>208.06703716726389</v>
      </c>
      <c r="D17">
        <v>2004</v>
      </c>
      <c r="E17">
        <v>2150</v>
      </c>
      <c r="F17">
        <v>200</v>
      </c>
      <c r="H17" t="s">
        <v>14</v>
      </c>
    </row>
    <row r="18" spans="2:8">
      <c r="B18" t="s">
        <v>168</v>
      </c>
      <c r="C18">
        <v>197.28000000000003</v>
      </c>
      <c r="D18">
        <v>2000</v>
      </c>
      <c r="E18">
        <v>2150</v>
      </c>
      <c r="F18">
        <v>200</v>
      </c>
      <c r="H18" t="s">
        <v>14</v>
      </c>
    </row>
    <row r="19" spans="2:8">
      <c r="B19" t="s">
        <v>169</v>
      </c>
      <c r="C19">
        <v>81.72</v>
      </c>
      <c r="D19">
        <v>1998</v>
      </c>
      <c r="E19">
        <v>2150</v>
      </c>
      <c r="F19">
        <v>200</v>
      </c>
      <c r="H19" t="s">
        <v>14</v>
      </c>
    </row>
    <row r="20" spans="2:8">
      <c r="B20" t="s">
        <v>170</v>
      </c>
      <c r="C20">
        <v>1080</v>
      </c>
      <c r="D20">
        <v>2025</v>
      </c>
      <c r="E20">
        <v>2150</v>
      </c>
      <c r="F20">
        <v>200</v>
      </c>
      <c r="H20" t="s">
        <v>15</v>
      </c>
    </row>
    <row r="21" spans="2:8">
      <c r="B21" t="s">
        <v>170</v>
      </c>
      <c r="C21">
        <v>2340</v>
      </c>
      <c r="D21">
        <v>2009</v>
      </c>
      <c r="E21">
        <v>2150</v>
      </c>
      <c r="F21">
        <v>200</v>
      </c>
      <c r="H21" t="s">
        <v>14</v>
      </c>
    </row>
    <row r="22" spans="2:8">
      <c r="B22" t="s">
        <v>171</v>
      </c>
      <c r="C22">
        <v>288</v>
      </c>
      <c r="D22">
        <v>2023</v>
      </c>
      <c r="E22">
        <v>2150</v>
      </c>
      <c r="F22">
        <v>200</v>
      </c>
      <c r="H22" t="s">
        <v>14</v>
      </c>
    </row>
    <row r="23" spans="2:8">
      <c r="B23" t="s">
        <v>172</v>
      </c>
      <c r="C23">
        <v>1708.1999999999998</v>
      </c>
      <c r="D23">
        <v>2006</v>
      </c>
      <c r="E23">
        <v>2150</v>
      </c>
      <c r="F23">
        <v>200</v>
      </c>
      <c r="H23" t="s">
        <v>14</v>
      </c>
    </row>
    <row r="24" spans="2:8">
      <c r="B24" t="s">
        <v>173</v>
      </c>
      <c r="C24">
        <v>1098</v>
      </c>
      <c r="D24">
        <v>1970</v>
      </c>
      <c r="E24">
        <v>2150</v>
      </c>
      <c r="F24">
        <v>200</v>
      </c>
      <c r="H24" t="s">
        <v>14</v>
      </c>
    </row>
    <row r="25" spans="2:8">
      <c r="B25" t="s">
        <v>174</v>
      </c>
      <c r="C25">
        <v>11358</v>
      </c>
      <c r="D25">
        <v>1963</v>
      </c>
      <c r="E25">
        <v>2150</v>
      </c>
      <c r="F25">
        <v>200</v>
      </c>
      <c r="H25" t="s">
        <v>14</v>
      </c>
    </row>
    <row r="26" spans="2:8">
      <c r="B26" t="s">
        <v>175</v>
      </c>
      <c r="C26">
        <v>468</v>
      </c>
      <c r="D26">
        <v>2013</v>
      </c>
      <c r="E26">
        <v>2150</v>
      </c>
      <c r="F26">
        <v>200</v>
      </c>
      <c r="H26" t="s">
        <v>14</v>
      </c>
    </row>
    <row r="27" spans="2:8">
      <c r="B27" t="s">
        <v>176</v>
      </c>
      <c r="C27">
        <v>5747.1635437428213</v>
      </c>
      <c r="D27">
        <v>1957</v>
      </c>
      <c r="E27">
        <v>2150</v>
      </c>
      <c r="F27">
        <v>200</v>
      </c>
      <c r="H27" t="s">
        <v>14</v>
      </c>
    </row>
    <row r="28" spans="2:8">
      <c r="B28" t="s">
        <v>177</v>
      </c>
      <c r="C28">
        <v>453.6</v>
      </c>
      <c r="D28">
        <v>2020</v>
      </c>
      <c r="E28">
        <v>2150</v>
      </c>
      <c r="F28">
        <v>200</v>
      </c>
      <c r="H28" t="s">
        <v>14</v>
      </c>
    </row>
    <row r="29" spans="2:8">
      <c r="B29" t="s">
        <v>178</v>
      </c>
      <c r="C29">
        <v>396</v>
      </c>
      <c r="D29">
        <v>1975</v>
      </c>
      <c r="E29">
        <v>2150</v>
      </c>
      <c r="F29">
        <v>200</v>
      </c>
      <c r="H29" t="s">
        <v>14</v>
      </c>
    </row>
    <row r="30" spans="2:8">
      <c r="B30" t="s">
        <v>179</v>
      </c>
      <c r="C30">
        <v>27</v>
      </c>
      <c r="D30">
        <v>2010</v>
      </c>
      <c r="E30">
        <v>2150</v>
      </c>
      <c r="F30">
        <v>200</v>
      </c>
      <c r="H30" t="s">
        <v>14</v>
      </c>
    </row>
    <row r="31" spans="2:8">
      <c r="B31" t="s">
        <v>180</v>
      </c>
      <c r="C31">
        <v>360</v>
      </c>
      <c r="D31">
        <v>2010</v>
      </c>
      <c r="E31">
        <v>2150</v>
      </c>
      <c r="F31">
        <v>200</v>
      </c>
      <c r="H31" t="s">
        <v>14</v>
      </c>
    </row>
    <row r="32" spans="2:8">
      <c r="B32" t="s">
        <v>160</v>
      </c>
      <c r="C32">
        <v>1188</v>
      </c>
      <c r="D32">
        <v>2006</v>
      </c>
      <c r="E32">
        <v>2150</v>
      </c>
      <c r="F32">
        <v>200</v>
      </c>
      <c r="H32" t="s">
        <v>14</v>
      </c>
    </row>
    <row r="33" spans="1:8">
      <c r="B33" t="s">
        <v>160</v>
      </c>
      <c r="C33">
        <v>2070</v>
      </c>
      <c r="D33">
        <v>2013</v>
      </c>
      <c r="E33">
        <v>2150</v>
      </c>
      <c r="F33">
        <v>200</v>
      </c>
      <c r="H33" t="s">
        <v>14</v>
      </c>
    </row>
    <row r="34" spans="1:8">
      <c r="B34" t="s">
        <v>181</v>
      </c>
      <c r="C34">
        <v>388.8</v>
      </c>
      <c r="D34">
        <v>1948</v>
      </c>
      <c r="E34">
        <v>2150</v>
      </c>
      <c r="F34">
        <v>200</v>
      </c>
      <c r="H34" t="s">
        <v>14</v>
      </c>
    </row>
    <row r="35" spans="1:8">
      <c r="B35" t="s">
        <v>182</v>
      </c>
      <c r="C35">
        <v>298.07153083140031</v>
      </c>
      <c r="D35">
        <v>1993</v>
      </c>
      <c r="E35">
        <v>2150</v>
      </c>
      <c r="F35">
        <v>200</v>
      </c>
      <c r="H35" t="s">
        <v>14</v>
      </c>
    </row>
    <row r="36" spans="1:8">
      <c r="B36" t="s">
        <v>183</v>
      </c>
      <c r="C36">
        <v>0</v>
      </c>
      <c r="D36">
        <v>2010</v>
      </c>
      <c r="E36">
        <v>2150</v>
      </c>
      <c r="F36">
        <v>200</v>
      </c>
      <c r="H36" t="s">
        <v>14</v>
      </c>
    </row>
    <row r="37" spans="1:8">
      <c r="B37" t="s">
        <v>184</v>
      </c>
      <c r="C37">
        <v>1526.1034858943212</v>
      </c>
      <c r="D37">
        <v>2006</v>
      </c>
      <c r="E37">
        <v>2150</v>
      </c>
      <c r="F37">
        <v>200</v>
      </c>
      <c r="H37" t="s">
        <v>14</v>
      </c>
    </row>
    <row r="38" spans="1:8">
      <c r="B38" t="s">
        <v>185</v>
      </c>
      <c r="C38">
        <v>1314</v>
      </c>
      <c r="D38">
        <v>1983</v>
      </c>
      <c r="E38">
        <v>2150</v>
      </c>
      <c r="F38">
        <v>200</v>
      </c>
      <c r="H38" t="s">
        <v>14</v>
      </c>
    </row>
    <row r="39" spans="1:8">
      <c r="B39" t="s">
        <v>186</v>
      </c>
      <c r="C39">
        <v>666</v>
      </c>
      <c r="D39">
        <v>2020</v>
      </c>
      <c r="E39">
        <v>2150</v>
      </c>
      <c r="F39">
        <v>200</v>
      </c>
      <c r="H39" t="s">
        <v>14</v>
      </c>
    </row>
    <row r="40" spans="1:8">
      <c r="B40" t="s">
        <v>187</v>
      </c>
      <c r="C40">
        <v>98.550000000000011</v>
      </c>
      <c r="D40">
        <v>2010</v>
      </c>
      <c r="E40">
        <v>2150</v>
      </c>
      <c r="F40">
        <v>200</v>
      </c>
      <c r="H40" t="s">
        <v>14</v>
      </c>
    </row>
    <row r="41" spans="1:8">
      <c r="B41" t="s">
        <v>188</v>
      </c>
      <c r="C41">
        <v>86.399999999999991</v>
      </c>
      <c r="D41">
        <v>2022</v>
      </c>
      <c r="E41">
        <v>2150</v>
      </c>
      <c r="F41">
        <v>200</v>
      </c>
      <c r="H41" t="s">
        <v>15</v>
      </c>
    </row>
    <row r="42" spans="1:8">
      <c r="B42" t="s">
        <v>188</v>
      </c>
      <c r="C42">
        <v>559.79999999999995</v>
      </c>
      <c r="D42">
        <v>2010</v>
      </c>
      <c r="E42">
        <v>2150</v>
      </c>
      <c r="F42">
        <v>200</v>
      </c>
      <c r="H42" t="s">
        <v>14</v>
      </c>
    </row>
    <row r="43" spans="1:8">
      <c r="B43" t="s">
        <v>189</v>
      </c>
      <c r="C43">
        <v>409.96800000000002</v>
      </c>
      <c r="D43">
        <v>2010</v>
      </c>
      <c r="E43">
        <v>2150</v>
      </c>
      <c r="F43">
        <v>200</v>
      </c>
      <c r="H43" t="s">
        <v>14</v>
      </c>
    </row>
    <row r="44" spans="1:8">
      <c r="B44" t="s">
        <v>161</v>
      </c>
      <c r="C44">
        <v>1188</v>
      </c>
      <c r="D44">
        <v>2006</v>
      </c>
      <c r="E44">
        <v>2150</v>
      </c>
      <c r="F44">
        <v>200</v>
      </c>
      <c r="H44" t="s">
        <v>14</v>
      </c>
    </row>
    <row r="45" spans="1:8">
      <c r="B45" t="s">
        <v>161</v>
      </c>
      <c r="C45">
        <v>4257.1017560980627</v>
      </c>
      <c r="D45">
        <v>2010</v>
      </c>
      <c r="E45">
        <v>2150</v>
      </c>
      <c r="F45">
        <v>200</v>
      </c>
      <c r="H45" t="s">
        <v>14</v>
      </c>
    </row>
    <row r="46" spans="1:8">
      <c r="B46" t="s">
        <v>190</v>
      </c>
      <c r="C46">
        <v>1134</v>
      </c>
      <c r="D46">
        <v>2010</v>
      </c>
      <c r="E46">
        <v>2150</v>
      </c>
      <c r="F46">
        <v>200</v>
      </c>
      <c r="H46" t="s">
        <v>14</v>
      </c>
    </row>
    <row r="47" spans="1:8">
      <c r="B47" t="s">
        <v>191</v>
      </c>
      <c r="C47">
        <v>2592</v>
      </c>
      <c r="D47">
        <v>2010</v>
      </c>
      <c r="E47">
        <v>2150</v>
      </c>
      <c r="F47">
        <v>200</v>
      </c>
      <c r="H47" t="s">
        <v>14</v>
      </c>
    </row>
    <row r="48" spans="1:8">
      <c r="B48" t="s">
        <v>192</v>
      </c>
      <c r="C48">
        <v>0</v>
      </c>
      <c r="D48">
        <v>2006</v>
      </c>
      <c r="E48">
        <v>2150</v>
      </c>
      <c r="F48">
        <v>200</v>
      </c>
      <c r="H48" t="s">
        <v>14</v>
      </c>
    </row>
    <row r="49" spans="2:8">
      <c r="B49" t="s">
        <v>193</v>
      </c>
      <c r="C49">
        <v>90</v>
      </c>
      <c r="D49">
        <v>1985</v>
      </c>
      <c r="E49">
        <v>2150</v>
      </c>
      <c r="F49">
        <v>200</v>
      </c>
      <c r="H49" t="s">
        <v>14</v>
      </c>
    </row>
    <row r="50" spans="2:8">
      <c r="B50" t="s">
        <v>194</v>
      </c>
      <c r="C50">
        <v>288</v>
      </c>
      <c r="D50">
        <v>2010</v>
      </c>
      <c r="E50">
        <v>2150</v>
      </c>
      <c r="F50">
        <v>200</v>
      </c>
      <c r="H50" t="s">
        <v>14</v>
      </c>
    </row>
    <row r="51" spans="2:8">
      <c r="B51" t="s">
        <v>195</v>
      </c>
      <c r="C51">
        <v>0</v>
      </c>
      <c r="D51">
        <v>2007</v>
      </c>
      <c r="E51">
        <v>2150</v>
      </c>
      <c r="F51">
        <v>200</v>
      </c>
      <c r="H51" t="s">
        <v>14</v>
      </c>
    </row>
    <row r="52" spans="2:8">
      <c r="B52" t="s">
        <v>196</v>
      </c>
      <c r="C52">
        <v>0</v>
      </c>
      <c r="D52">
        <v>1977</v>
      </c>
      <c r="E52">
        <v>2150</v>
      </c>
      <c r="F52">
        <v>200</v>
      </c>
      <c r="H52" t="s">
        <v>14</v>
      </c>
    </row>
    <row r="53" spans="2:8">
      <c r="B53" t="s">
        <v>197</v>
      </c>
      <c r="C53">
        <v>198</v>
      </c>
      <c r="D53">
        <v>2030</v>
      </c>
      <c r="E53">
        <v>2150</v>
      </c>
      <c r="F53">
        <v>200</v>
      </c>
      <c r="H53" t="s">
        <v>14</v>
      </c>
    </row>
    <row r="54" spans="2:8">
      <c r="B54" t="s">
        <v>198</v>
      </c>
      <c r="C54">
        <v>1778.3999999999999</v>
      </c>
      <c r="D54">
        <v>1998</v>
      </c>
      <c r="E54">
        <v>2150</v>
      </c>
      <c r="F54">
        <v>200</v>
      </c>
      <c r="H54" t="s">
        <v>14</v>
      </c>
    </row>
    <row r="55" spans="2:8">
      <c r="B55" t="s">
        <v>199</v>
      </c>
      <c r="C55">
        <v>558</v>
      </c>
      <c r="D55">
        <v>1974</v>
      </c>
      <c r="E55">
        <v>2150</v>
      </c>
      <c r="F55">
        <v>200</v>
      </c>
      <c r="H55" t="s">
        <v>14</v>
      </c>
    </row>
    <row r="56" spans="2:8">
      <c r="B56" t="s">
        <v>200</v>
      </c>
      <c r="C56">
        <v>0</v>
      </c>
      <c r="D56">
        <v>2010</v>
      </c>
      <c r="E56">
        <v>2150</v>
      </c>
      <c r="F56">
        <v>200</v>
      </c>
      <c r="H56" t="s">
        <v>14</v>
      </c>
    </row>
    <row r="57" spans="2:8">
      <c r="B57" t="s">
        <v>201</v>
      </c>
      <c r="C57">
        <v>89.237575427570107</v>
      </c>
      <c r="D57">
        <v>1972</v>
      </c>
      <c r="E57">
        <v>2150</v>
      </c>
      <c r="F57">
        <v>200</v>
      </c>
      <c r="H57" t="s">
        <v>14</v>
      </c>
    </row>
    <row r="58" spans="2:8">
      <c r="B58" t="s">
        <v>202</v>
      </c>
      <c r="C58">
        <v>432.72</v>
      </c>
      <c r="D58">
        <v>1999</v>
      </c>
      <c r="E58">
        <v>2150</v>
      </c>
      <c r="F58">
        <v>200</v>
      </c>
      <c r="H58" t="s">
        <v>14</v>
      </c>
    </row>
    <row r="59" spans="2:8">
      <c r="B59" t="s">
        <v>162</v>
      </c>
      <c r="C59">
        <v>180</v>
      </c>
      <c r="D59">
        <v>2023</v>
      </c>
      <c r="E59">
        <v>2150</v>
      </c>
      <c r="F59">
        <v>200</v>
      </c>
      <c r="H59" t="s">
        <v>15</v>
      </c>
    </row>
    <row r="60" spans="2:8">
      <c r="B60" t="s">
        <v>162</v>
      </c>
      <c r="C60">
        <v>252</v>
      </c>
      <c r="D60">
        <v>2008</v>
      </c>
      <c r="E60">
        <v>2150</v>
      </c>
      <c r="F60">
        <v>200</v>
      </c>
      <c r="H60" t="s">
        <v>14</v>
      </c>
    </row>
    <row r="61" spans="2:8">
      <c r="B61" t="s">
        <v>203</v>
      </c>
      <c r="C61">
        <v>5.7764307930944998</v>
      </c>
      <c r="D61">
        <v>2024</v>
      </c>
      <c r="E61">
        <v>2150</v>
      </c>
      <c r="F61">
        <v>200</v>
      </c>
      <c r="H61" t="s">
        <v>15</v>
      </c>
    </row>
    <row r="62" spans="2:8">
      <c r="B62" t="s">
        <v>203</v>
      </c>
      <c r="C62">
        <v>85.68372343090175</v>
      </c>
      <c r="D62">
        <v>2007</v>
      </c>
      <c r="E62">
        <v>2150</v>
      </c>
      <c r="F62">
        <v>200</v>
      </c>
      <c r="H62" t="s">
        <v>14</v>
      </c>
    </row>
    <row r="63" spans="2:8">
      <c r="B63" t="s">
        <v>204</v>
      </c>
      <c r="C63">
        <v>288.82153965472503</v>
      </c>
      <c r="D63">
        <v>2024</v>
      </c>
      <c r="E63">
        <v>2150</v>
      </c>
      <c r="F63">
        <v>200</v>
      </c>
      <c r="H63" t="s">
        <v>15</v>
      </c>
    </row>
    <row r="64" spans="2:8">
      <c r="B64" t="s">
        <v>205</v>
      </c>
      <c r="C64">
        <v>504</v>
      </c>
      <c r="D64">
        <v>2001</v>
      </c>
      <c r="E64">
        <v>2150</v>
      </c>
      <c r="F64">
        <v>200</v>
      </c>
      <c r="H64" t="s">
        <v>14</v>
      </c>
    </row>
    <row r="65" spans="2:8">
      <c r="B65" t="s">
        <v>206</v>
      </c>
      <c r="C65">
        <v>360</v>
      </c>
      <c r="D65">
        <v>2022</v>
      </c>
      <c r="E65">
        <v>2150</v>
      </c>
      <c r="F65">
        <v>200</v>
      </c>
      <c r="H65" t="s">
        <v>14</v>
      </c>
    </row>
    <row r="66" spans="2:8">
      <c r="B66" t="s">
        <v>207</v>
      </c>
      <c r="C66">
        <v>551.88</v>
      </c>
      <c r="D66">
        <v>1993</v>
      </c>
      <c r="E66">
        <v>2150</v>
      </c>
      <c r="F66">
        <v>200</v>
      </c>
      <c r="H66" t="s">
        <v>14</v>
      </c>
    </row>
    <row r="67" spans="2:8">
      <c r="B67" t="s">
        <v>208</v>
      </c>
      <c r="C67">
        <v>723.6</v>
      </c>
      <c r="D67">
        <v>1998</v>
      </c>
      <c r="E67">
        <v>2150</v>
      </c>
      <c r="F67">
        <v>200</v>
      </c>
      <c r="H67" t="s">
        <v>14</v>
      </c>
    </row>
    <row r="68" spans="2:8">
      <c r="B68" t="s">
        <v>209</v>
      </c>
      <c r="C68">
        <v>1980</v>
      </c>
      <c r="D68">
        <v>1977</v>
      </c>
      <c r="E68">
        <v>2150</v>
      </c>
      <c r="F68">
        <v>200</v>
      </c>
      <c r="H68" t="s">
        <v>14</v>
      </c>
    </row>
    <row r="69" spans="2:8">
      <c r="B69" t="s">
        <v>210</v>
      </c>
      <c r="C69">
        <v>1506.5476931031501</v>
      </c>
      <c r="D69">
        <v>1978</v>
      </c>
      <c r="E69">
        <v>2150</v>
      </c>
      <c r="F69">
        <v>200</v>
      </c>
      <c r="H69" t="s">
        <v>14</v>
      </c>
    </row>
    <row r="70" spans="2:8">
      <c r="B70" t="s">
        <v>211</v>
      </c>
      <c r="C70">
        <v>624.96</v>
      </c>
      <c r="D70">
        <v>1965</v>
      </c>
      <c r="E70">
        <v>2150</v>
      </c>
      <c r="F70">
        <v>200</v>
      </c>
      <c r="H70" t="s">
        <v>14</v>
      </c>
    </row>
    <row r="71" spans="2:8">
      <c r="B71" t="s">
        <v>212</v>
      </c>
      <c r="C71">
        <v>97.2</v>
      </c>
      <c r="D71">
        <v>1972</v>
      </c>
      <c r="E71">
        <v>2150</v>
      </c>
      <c r="F71">
        <v>200</v>
      </c>
      <c r="H71" t="s">
        <v>14</v>
      </c>
    </row>
    <row r="72" spans="2:8">
      <c r="B72" t="s">
        <v>213</v>
      </c>
      <c r="C72">
        <v>478.8</v>
      </c>
      <c r="D72">
        <v>2020</v>
      </c>
      <c r="E72">
        <v>2150</v>
      </c>
      <c r="F72">
        <v>200</v>
      </c>
      <c r="H72" t="s">
        <v>14</v>
      </c>
    </row>
    <row r="73" spans="2:8">
      <c r="B73" t="s">
        <v>163</v>
      </c>
      <c r="C73">
        <v>0</v>
      </c>
      <c r="D73">
        <v>2035</v>
      </c>
      <c r="E73">
        <v>2150</v>
      </c>
      <c r="F73">
        <v>200</v>
      </c>
      <c r="H73" t="s">
        <v>15</v>
      </c>
    </row>
    <row r="74" spans="2:8">
      <c r="B74" t="s">
        <v>163</v>
      </c>
      <c r="C74">
        <v>1188</v>
      </c>
      <c r="D74">
        <v>2006</v>
      </c>
      <c r="E74">
        <v>2150</v>
      </c>
      <c r="F74">
        <v>200</v>
      </c>
      <c r="H74" t="s">
        <v>14</v>
      </c>
    </row>
    <row r="75" spans="2:8">
      <c r="B75" t="s">
        <v>163</v>
      </c>
      <c r="C75">
        <v>10675.8</v>
      </c>
      <c r="D75">
        <v>1952</v>
      </c>
      <c r="E75">
        <v>2150</v>
      </c>
      <c r="F75">
        <v>200</v>
      </c>
      <c r="H75" t="s">
        <v>14</v>
      </c>
    </row>
    <row r="76" spans="2:8">
      <c r="B76" t="s">
        <v>78</v>
      </c>
      <c r="C76">
        <v>1980</v>
      </c>
      <c r="D76">
        <v>2011</v>
      </c>
      <c r="E76">
        <v>2150</v>
      </c>
      <c r="F76">
        <v>200</v>
      </c>
      <c r="H76" t="s">
        <v>79</v>
      </c>
    </row>
    <row r="77" spans="2:8">
      <c r="B77" t="s">
        <v>214</v>
      </c>
      <c r="C77">
        <v>918</v>
      </c>
      <c r="D77">
        <v>2010</v>
      </c>
      <c r="E77">
        <v>2150</v>
      </c>
      <c r="F77">
        <v>200</v>
      </c>
      <c r="H77" t="s">
        <v>14</v>
      </c>
    </row>
    <row r="78" spans="2:8">
      <c r="B78" t="s">
        <v>215</v>
      </c>
      <c r="C78">
        <v>115.52861586189</v>
      </c>
      <c r="D78">
        <v>1985</v>
      </c>
      <c r="E78">
        <v>2150</v>
      </c>
      <c r="F78">
        <v>200</v>
      </c>
      <c r="H78" t="s">
        <v>14</v>
      </c>
    </row>
    <row r="79" spans="2:8">
      <c r="B79" t="s">
        <v>216</v>
      </c>
      <c r="C79">
        <v>856.83723430901762</v>
      </c>
      <c r="D79">
        <v>2000</v>
      </c>
      <c r="E79">
        <v>2150</v>
      </c>
      <c r="F79">
        <v>200</v>
      </c>
      <c r="H79" t="s">
        <v>14</v>
      </c>
    </row>
    <row r="80" spans="2:8">
      <c r="B80" t="s">
        <v>217</v>
      </c>
      <c r="C80">
        <v>1984.3965251210641</v>
      </c>
      <c r="D80">
        <v>2003</v>
      </c>
      <c r="E80">
        <v>2150</v>
      </c>
      <c r="F80">
        <v>200</v>
      </c>
      <c r="H80" t="s">
        <v>14</v>
      </c>
    </row>
  </sheetData>
  <pageMargins left="0.7" right="0.7" top="0.75" bottom="0.75" header="0.3" footer="0.3"/>
  <pageSetup paperSize="9" orientation="portrait" horizontalDpi="4294967293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0AEDA-85F1-4956-9037-2AE000DD113C}">
  <sheetPr codeName="Sheet4"/>
  <dimension ref="A1:D770"/>
  <sheetViews>
    <sheetView workbookViewId="0">
      <selection activeCell="F13" sqref="F13"/>
    </sheetView>
  </sheetViews>
  <sheetFormatPr baseColWidth="10" defaultColWidth="8.88671875" defaultRowHeight="14.4"/>
  <cols>
    <col min="1" max="1" width="22.88671875" bestFit="1" customWidth="1"/>
    <col min="2" max="2" width="5" bestFit="1" customWidth="1"/>
    <col min="3" max="3" width="9.21875" bestFit="1" customWidth="1"/>
    <col min="6" max="6" width="25.5546875" customWidth="1"/>
  </cols>
  <sheetData>
    <row r="1" spans="1:4">
      <c r="A1" t="s">
        <v>75</v>
      </c>
    </row>
    <row r="2" spans="1:4">
      <c r="A2" t="s">
        <v>11</v>
      </c>
      <c r="B2" t="s">
        <v>10</v>
      </c>
      <c r="C2" t="s">
        <v>17</v>
      </c>
      <c r="D2" t="s">
        <v>76</v>
      </c>
    </row>
    <row r="3" spans="1:4">
      <c r="A3" t="s">
        <v>18</v>
      </c>
      <c r="B3">
        <v>0</v>
      </c>
      <c r="C3">
        <v>1</v>
      </c>
    </row>
    <row r="4" spans="1:4">
      <c r="A4" t="s">
        <v>18</v>
      </c>
      <c r="B4">
        <v>2019</v>
      </c>
      <c r="C4">
        <v>27</v>
      </c>
    </row>
    <row r="5" spans="1:4">
      <c r="A5" t="s">
        <v>18</v>
      </c>
      <c r="B5">
        <v>2020</v>
      </c>
      <c r="C5">
        <v>27</v>
      </c>
    </row>
    <row r="6" spans="1:4">
      <c r="A6" t="s">
        <v>18</v>
      </c>
      <c r="B6">
        <v>2021</v>
      </c>
      <c r="C6">
        <v>27</v>
      </c>
    </row>
    <row r="7" spans="1:4">
      <c r="A7" t="s">
        <v>18</v>
      </c>
      <c r="B7">
        <v>2022</v>
      </c>
      <c r="C7">
        <v>27</v>
      </c>
    </row>
    <row r="8" spans="1:4">
      <c r="A8" t="s">
        <v>19</v>
      </c>
      <c r="B8">
        <v>0</v>
      </c>
      <c r="C8">
        <v>1</v>
      </c>
    </row>
    <row r="9" spans="1:4">
      <c r="A9" t="s">
        <v>19</v>
      </c>
      <c r="B9">
        <v>2019</v>
      </c>
      <c r="C9">
        <v>315.89999999999998</v>
      </c>
    </row>
    <row r="10" spans="1:4">
      <c r="A10" t="s">
        <v>19</v>
      </c>
      <c r="B10">
        <v>2020</v>
      </c>
      <c r="C10">
        <v>315.89999999999998</v>
      </c>
    </row>
    <row r="11" spans="1:4">
      <c r="A11" t="s">
        <v>19</v>
      </c>
      <c r="B11">
        <v>2021</v>
      </c>
      <c r="C11">
        <v>315.89999999999998</v>
      </c>
    </row>
    <row r="12" spans="1:4">
      <c r="A12" t="s">
        <v>19</v>
      </c>
      <c r="B12">
        <v>2022</v>
      </c>
      <c r="C12">
        <v>315.89999999999998</v>
      </c>
    </row>
    <row r="13" spans="1:4">
      <c r="A13" t="s">
        <v>19</v>
      </c>
      <c r="B13">
        <v>2023</v>
      </c>
      <c r="C13">
        <v>315.89999999999998</v>
      </c>
    </row>
    <row r="14" spans="1:4">
      <c r="A14" t="s">
        <v>19</v>
      </c>
      <c r="B14">
        <v>2024</v>
      </c>
      <c r="C14">
        <v>315.89999999999998</v>
      </c>
    </row>
    <row r="15" spans="1:4">
      <c r="A15" t="s">
        <v>19</v>
      </c>
      <c r="B15">
        <v>2025</v>
      </c>
      <c r="C15">
        <v>315.89999999999998</v>
      </c>
    </row>
    <row r="16" spans="1:4">
      <c r="A16" t="s">
        <v>19</v>
      </c>
      <c r="B16">
        <v>2026</v>
      </c>
      <c r="C16">
        <v>315.89999999999998</v>
      </c>
    </row>
    <row r="17" spans="1:3">
      <c r="A17" t="s">
        <v>19</v>
      </c>
      <c r="B17">
        <v>2027</v>
      </c>
      <c r="C17">
        <v>315.89999999999998</v>
      </c>
    </row>
    <row r="18" spans="1:3">
      <c r="A18" t="s">
        <v>19</v>
      </c>
      <c r="B18">
        <v>2028</v>
      </c>
      <c r="C18">
        <v>315.89999999999998</v>
      </c>
    </row>
    <row r="19" spans="1:3">
      <c r="A19" t="s">
        <v>19</v>
      </c>
      <c r="B19">
        <v>2029</v>
      </c>
      <c r="C19">
        <v>315.89999999999998</v>
      </c>
    </row>
    <row r="20" spans="1:3">
      <c r="A20" t="s">
        <v>19</v>
      </c>
      <c r="B20">
        <v>2030</v>
      </c>
      <c r="C20">
        <v>315.89999999999998</v>
      </c>
    </row>
    <row r="21" spans="1:3">
      <c r="A21" t="s">
        <v>19</v>
      </c>
      <c r="B21">
        <v>2031</v>
      </c>
      <c r="C21">
        <v>315.89999999999998</v>
      </c>
    </row>
    <row r="22" spans="1:3">
      <c r="A22" t="s">
        <v>19</v>
      </c>
      <c r="B22">
        <v>2032</v>
      </c>
      <c r="C22">
        <v>315.89999999999998</v>
      </c>
    </row>
    <row r="23" spans="1:3">
      <c r="A23" t="s">
        <v>19</v>
      </c>
      <c r="B23">
        <v>2033</v>
      </c>
      <c r="C23">
        <v>315.89999999999998</v>
      </c>
    </row>
    <row r="24" spans="1:3">
      <c r="A24" t="s">
        <v>19</v>
      </c>
      <c r="B24">
        <v>2034</v>
      </c>
      <c r="C24">
        <v>315.89999999999998</v>
      </c>
    </row>
    <row r="25" spans="1:3">
      <c r="A25" t="s">
        <v>19</v>
      </c>
      <c r="B25">
        <v>2035</v>
      </c>
      <c r="C25">
        <v>121.5</v>
      </c>
    </row>
    <row r="26" spans="1:3">
      <c r="A26" t="s">
        <v>19</v>
      </c>
      <c r="B26">
        <v>2036</v>
      </c>
      <c r="C26">
        <v>121.5</v>
      </c>
    </row>
    <row r="27" spans="1:3">
      <c r="A27" t="s">
        <v>20</v>
      </c>
      <c r="B27">
        <v>0</v>
      </c>
      <c r="C27">
        <v>1</v>
      </c>
    </row>
    <row r="28" spans="1:3">
      <c r="A28" t="s">
        <v>20</v>
      </c>
      <c r="B28">
        <v>2019</v>
      </c>
      <c r="C28">
        <v>76.95</v>
      </c>
    </row>
    <row r="29" spans="1:3">
      <c r="A29" t="s">
        <v>20</v>
      </c>
      <c r="B29">
        <v>2020</v>
      </c>
      <c r="C29">
        <v>76.95</v>
      </c>
    </row>
    <row r="30" spans="1:3">
      <c r="A30" t="s">
        <v>20</v>
      </c>
      <c r="B30">
        <v>2021</v>
      </c>
      <c r="C30">
        <v>76.95</v>
      </c>
    </row>
    <row r="31" spans="1:3">
      <c r="A31" t="s">
        <v>20</v>
      </c>
      <c r="B31">
        <v>2022</v>
      </c>
      <c r="C31">
        <v>76.95</v>
      </c>
    </row>
    <row r="32" spans="1:3">
      <c r="A32" t="s">
        <v>20</v>
      </c>
      <c r="B32">
        <v>2023</v>
      </c>
      <c r="C32">
        <v>76.95</v>
      </c>
    </row>
    <row r="33" spans="1:3">
      <c r="A33" t="s">
        <v>20</v>
      </c>
      <c r="B33">
        <v>2024</v>
      </c>
      <c r="C33">
        <v>76.95</v>
      </c>
    </row>
    <row r="34" spans="1:3">
      <c r="A34" t="s">
        <v>20</v>
      </c>
      <c r="B34">
        <v>2025</v>
      </c>
      <c r="C34">
        <v>76.95</v>
      </c>
    </row>
    <row r="35" spans="1:3">
      <c r="A35" t="s">
        <v>20</v>
      </c>
      <c r="B35">
        <v>2026</v>
      </c>
      <c r="C35">
        <v>76.95</v>
      </c>
    </row>
    <row r="36" spans="1:3">
      <c r="A36" t="s">
        <v>20</v>
      </c>
      <c r="B36">
        <v>2027</v>
      </c>
      <c r="C36">
        <v>76.95</v>
      </c>
    </row>
    <row r="37" spans="1:3">
      <c r="A37" t="s">
        <v>20</v>
      </c>
      <c r="B37">
        <v>2028</v>
      </c>
      <c r="C37">
        <v>76.95</v>
      </c>
    </row>
    <row r="38" spans="1:3">
      <c r="A38" t="s">
        <v>20</v>
      </c>
      <c r="B38">
        <v>2029</v>
      </c>
      <c r="C38">
        <v>76.95</v>
      </c>
    </row>
    <row r="39" spans="1:3">
      <c r="A39" t="s">
        <v>20</v>
      </c>
      <c r="B39">
        <v>2030</v>
      </c>
      <c r="C39">
        <v>76.95</v>
      </c>
    </row>
    <row r="40" spans="1:3">
      <c r="A40" t="s">
        <v>20</v>
      </c>
      <c r="B40">
        <v>2031</v>
      </c>
      <c r="C40">
        <v>76.95</v>
      </c>
    </row>
    <row r="41" spans="1:3">
      <c r="A41" t="s">
        <v>20</v>
      </c>
      <c r="B41">
        <v>2032</v>
      </c>
      <c r="C41">
        <v>76.95</v>
      </c>
    </row>
    <row r="42" spans="1:3">
      <c r="A42" t="s">
        <v>20</v>
      </c>
      <c r="B42">
        <v>2033</v>
      </c>
      <c r="C42">
        <v>76.95</v>
      </c>
    </row>
    <row r="43" spans="1:3">
      <c r="A43" t="s">
        <v>20</v>
      </c>
      <c r="B43">
        <v>2034</v>
      </c>
      <c r="C43">
        <v>76.95</v>
      </c>
    </row>
    <row r="44" spans="1:3">
      <c r="A44" t="s">
        <v>20</v>
      </c>
      <c r="B44">
        <v>2035</v>
      </c>
      <c r="C44">
        <v>76.95</v>
      </c>
    </row>
    <row r="45" spans="1:3">
      <c r="A45" t="s">
        <v>20</v>
      </c>
      <c r="B45">
        <v>2036</v>
      </c>
      <c r="C45">
        <v>76.95</v>
      </c>
    </row>
    <row r="46" spans="1:3">
      <c r="A46" t="s">
        <v>21</v>
      </c>
      <c r="B46">
        <v>0</v>
      </c>
      <c r="C46">
        <v>1</v>
      </c>
    </row>
    <row r="47" spans="1:3">
      <c r="A47" t="s">
        <v>21</v>
      </c>
      <c r="B47">
        <v>2019</v>
      </c>
      <c r="C47">
        <v>639.9</v>
      </c>
    </row>
    <row r="48" spans="1:3">
      <c r="A48" t="s">
        <v>21</v>
      </c>
      <c r="B48">
        <v>2020</v>
      </c>
      <c r="C48">
        <v>639.9</v>
      </c>
    </row>
    <row r="49" spans="1:3">
      <c r="A49" t="s">
        <v>21</v>
      </c>
      <c r="B49">
        <v>2021</v>
      </c>
      <c r="C49">
        <v>639.9</v>
      </c>
    </row>
    <row r="50" spans="1:3">
      <c r="A50" t="s">
        <v>21</v>
      </c>
      <c r="B50">
        <v>2022</v>
      </c>
      <c r="C50">
        <v>535.67999999999995</v>
      </c>
    </row>
    <row r="51" spans="1:3">
      <c r="A51" t="s">
        <v>21</v>
      </c>
      <c r="B51">
        <v>2023</v>
      </c>
      <c r="C51">
        <v>535.67999999999995</v>
      </c>
    </row>
    <row r="52" spans="1:3">
      <c r="A52" t="s">
        <v>21</v>
      </c>
      <c r="B52">
        <v>2024</v>
      </c>
      <c r="C52">
        <v>535.67999999999995</v>
      </c>
    </row>
    <row r="53" spans="1:3">
      <c r="A53" t="s">
        <v>21</v>
      </c>
      <c r="B53">
        <v>2025</v>
      </c>
      <c r="C53">
        <v>416.88</v>
      </c>
    </row>
    <row r="54" spans="1:3">
      <c r="A54" t="s">
        <v>21</v>
      </c>
      <c r="B54">
        <v>2026</v>
      </c>
      <c r="C54">
        <v>416.88</v>
      </c>
    </row>
    <row r="55" spans="1:3">
      <c r="A55" t="s">
        <v>21</v>
      </c>
      <c r="B55">
        <v>2027</v>
      </c>
      <c r="C55">
        <v>416.88</v>
      </c>
    </row>
    <row r="56" spans="1:3">
      <c r="A56" t="s">
        <v>21</v>
      </c>
      <c r="B56">
        <v>2028</v>
      </c>
      <c r="C56">
        <v>416.88</v>
      </c>
    </row>
    <row r="57" spans="1:3">
      <c r="A57" t="s">
        <v>21</v>
      </c>
      <c r="B57">
        <v>2029</v>
      </c>
      <c r="C57">
        <v>416.88</v>
      </c>
    </row>
    <row r="58" spans="1:3">
      <c r="A58" t="s">
        <v>21</v>
      </c>
      <c r="B58">
        <v>2030</v>
      </c>
      <c r="C58">
        <v>368.28</v>
      </c>
    </row>
    <row r="59" spans="1:3">
      <c r="A59" t="s">
        <v>21</v>
      </c>
      <c r="B59">
        <v>2031</v>
      </c>
      <c r="C59">
        <v>352.08</v>
      </c>
    </row>
    <row r="60" spans="1:3">
      <c r="A60" t="s">
        <v>21</v>
      </c>
      <c r="B60">
        <v>2032</v>
      </c>
      <c r="C60">
        <v>352.08</v>
      </c>
    </row>
    <row r="61" spans="1:3">
      <c r="A61" t="s">
        <v>21</v>
      </c>
      <c r="B61">
        <v>2033</v>
      </c>
      <c r="C61">
        <v>352.08</v>
      </c>
    </row>
    <row r="62" spans="1:3">
      <c r="A62" t="s">
        <v>21</v>
      </c>
      <c r="B62">
        <v>2034</v>
      </c>
      <c r="C62">
        <v>352.08</v>
      </c>
    </row>
    <row r="63" spans="1:3">
      <c r="A63" t="s">
        <v>21</v>
      </c>
      <c r="B63">
        <v>2035</v>
      </c>
      <c r="C63">
        <v>352.08</v>
      </c>
    </row>
    <row r="64" spans="1:3">
      <c r="A64" t="s">
        <v>21</v>
      </c>
      <c r="B64">
        <v>2036</v>
      </c>
      <c r="C64">
        <v>287.27999999999997</v>
      </c>
    </row>
    <row r="65" spans="1:3">
      <c r="A65" t="s">
        <v>22</v>
      </c>
      <c r="B65">
        <v>0</v>
      </c>
      <c r="C65">
        <v>1</v>
      </c>
    </row>
    <row r="66" spans="1:3">
      <c r="A66" t="s">
        <v>22</v>
      </c>
      <c r="B66">
        <v>2019</v>
      </c>
      <c r="C66">
        <v>27</v>
      </c>
    </row>
    <row r="67" spans="1:3">
      <c r="A67" t="s">
        <v>22</v>
      </c>
      <c r="B67">
        <v>2020</v>
      </c>
      <c r="C67">
        <v>27</v>
      </c>
    </row>
    <row r="68" spans="1:3">
      <c r="A68" t="s">
        <v>22</v>
      </c>
      <c r="B68">
        <v>2021</v>
      </c>
      <c r="C68">
        <v>27</v>
      </c>
    </row>
    <row r="69" spans="1:3">
      <c r="A69" t="s">
        <v>22</v>
      </c>
      <c r="B69">
        <v>2022</v>
      </c>
      <c r="C69">
        <v>27</v>
      </c>
    </row>
    <row r="70" spans="1:3">
      <c r="A70" t="s">
        <v>22</v>
      </c>
      <c r="B70">
        <v>2023</v>
      </c>
      <c r="C70">
        <v>27</v>
      </c>
    </row>
    <row r="71" spans="1:3">
      <c r="A71" t="s">
        <v>22</v>
      </c>
      <c r="B71">
        <v>2024</v>
      </c>
      <c r="C71">
        <v>27</v>
      </c>
    </row>
    <row r="72" spans="1:3">
      <c r="A72" t="s">
        <v>22</v>
      </c>
      <c r="B72">
        <v>2025</v>
      </c>
      <c r="C72">
        <v>27</v>
      </c>
    </row>
    <row r="73" spans="1:3">
      <c r="A73" t="s">
        <v>22</v>
      </c>
      <c r="B73">
        <v>2026</v>
      </c>
      <c r="C73">
        <v>27</v>
      </c>
    </row>
    <row r="74" spans="1:3">
      <c r="A74" t="s">
        <v>22</v>
      </c>
      <c r="B74">
        <v>2027</v>
      </c>
      <c r="C74">
        <v>27</v>
      </c>
    </row>
    <row r="75" spans="1:3">
      <c r="A75" t="s">
        <v>22</v>
      </c>
      <c r="B75">
        <v>2028</v>
      </c>
      <c r="C75">
        <v>27</v>
      </c>
    </row>
    <row r="76" spans="1:3">
      <c r="A76" t="s">
        <v>22</v>
      </c>
      <c r="B76">
        <v>2029</v>
      </c>
      <c r="C76">
        <v>27</v>
      </c>
    </row>
    <row r="77" spans="1:3">
      <c r="A77" t="s">
        <v>22</v>
      </c>
      <c r="B77">
        <v>2030</v>
      </c>
      <c r="C77">
        <v>27</v>
      </c>
    </row>
    <row r="78" spans="1:3">
      <c r="A78" t="s">
        <v>22</v>
      </c>
      <c r="B78">
        <v>2031</v>
      </c>
      <c r="C78">
        <v>27</v>
      </c>
    </row>
    <row r="79" spans="1:3">
      <c r="A79" t="s">
        <v>22</v>
      </c>
      <c r="B79">
        <v>2032</v>
      </c>
      <c r="C79">
        <v>27</v>
      </c>
    </row>
    <row r="80" spans="1:3">
      <c r="A80" t="s">
        <v>22</v>
      </c>
      <c r="B80">
        <v>2033</v>
      </c>
      <c r="C80">
        <v>27</v>
      </c>
    </row>
    <row r="81" spans="1:3">
      <c r="A81" t="s">
        <v>22</v>
      </c>
      <c r="B81">
        <v>2034</v>
      </c>
      <c r="C81">
        <v>27</v>
      </c>
    </row>
    <row r="82" spans="1:3">
      <c r="A82" t="s">
        <v>22</v>
      </c>
      <c r="B82">
        <v>2035</v>
      </c>
      <c r="C82">
        <v>27</v>
      </c>
    </row>
    <row r="83" spans="1:3">
      <c r="A83" t="s">
        <v>22</v>
      </c>
      <c r="B83">
        <v>2036</v>
      </c>
      <c r="C83">
        <v>27</v>
      </c>
    </row>
    <row r="84" spans="1:3">
      <c r="A84" t="s">
        <v>23</v>
      </c>
      <c r="B84">
        <v>0</v>
      </c>
      <c r="C84">
        <v>1</v>
      </c>
    </row>
    <row r="85" spans="1:3">
      <c r="A85" t="s">
        <v>23</v>
      </c>
      <c r="B85">
        <v>2023</v>
      </c>
      <c r="C85">
        <v>202.5</v>
      </c>
    </row>
    <row r="86" spans="1:3">
      <c r="A86" t="s">
        <v>23</v>
      </c>
      <c r="B86">
        <v>2024</v>
      </c>
      <c r="C86">
        <v>202.5</v>
      </c>
    </row>
    <row r="87" spans="1:3">
      <c r="A87" t="s">
        <v>23</v>
      </c>
      <c r="B87">
        <v>2025</v>
      </c>
      <c r="C87">
        <v>202.5</v>
      </c>
    </row>
    <row r="88" spans="1:3">
      <c r="A88" t="s">
        <v>23</v>
      </c>
      <c r="B88">
        <v>2026</v>
      </c>
      <c r="C88">
        <v>202.5</v>
      </c>
    </row>
    <row r="89" spans="1:3">
      <c r="A89" t="s">
        <v>23</v>
      </c>
      <c r="B89">
        <v>2027</v>
      </c>
      <c r="C89">
        <v>202.5</v>
      </c>
    </row>
    <row r="90" spans="1:3">
      <c r="A90" t="s">
        <v>23</v>
      </c>
      <c r="B90">
        <v>2028</v>
      </c>
      <c r="C90">
        <v>202.5</v>
      </c>
    </row>
    <row r="91" spans="1:3">
      <c r="A91" t="s">
        <v>24</v>
      </c>
      <c r="B91">
        <v>0</v>
      </c>
      <c r="C91">
        <v>1</v>
      </c>
    </row>
    <row r="92" spans="1:3">
      <c r="A92" t="s">
        <v>24</v>
      </c>
      <c r="B92">
        <v>2019</v>
      </c>
      <c r="C92">
        <v>94.5</v>
      </c>
    </row>
    <row r="93" spans="1:3">
      <c r="A93" t="s">
        <v>24</v>
      </c>
      <c r="B93">
        <v>2020</v>
      </c>
      <c r="C93">
        <v>94.5</v>
      </c>
    </row>
    <row r="94" spans="1:3">
      <c r="A94" t="s">
        <v>24</v>
      </c>
      <c r="B94">
        <v>2021</v>
      </c>
      <c r="C94">
        <v>94.5</v>
      </c>
    </row>
    <row r="95" spans="1:3">
      <c r="A95" t="s">
        <v>24</v>
      </c>
      <c r="B95">
        <v>2022</v>
      </c>
      <c r="C95">
        <v>94.5</v>
      </c>
    </row>
    <row r="96" spans="1:3">
      <c r="A96" t="s">
        <v>24</v>
      </c>
      <c r="B96">
        <v>2023</v>
      </c>
      <c r="C96">
        <v>94.5</v>
      </c>
    </row>
    <row r="97" spans="1:3">
      <c r="A97" t="s">
        <v>24</v>
      </c>
      <c r="B97">
        <v>2024</v>
      </c>
      <c r="C97">
        <v>94.5</v>
      </c>
    </row>
    <row r="98" spans="1:3">
      <c r="A98" t="s">
        <v>24</v>
      </c>
      <c r="B98">
        <v>2025</v>
      </c>
      <c r="C98">
        <v>94.5</v>
      </c>
    </row>
    <row r="99" spans="1:3">
      <c r="A99" t="s">
        <v>24</v>
      </c>
      <c r="B99">
        <v>2026</v>
      </c>
      <c r="C99">
        <v>94.5</v>
      </c>
    </row>
    <row r="100" spans="1:3">
      <c r="A100" t="s">
        <v>24</v>
      </c>
      <c r="B100">
        <v>2027</v>
      </c>
      <c r="C100">
        <v>94.5</v>
      </c>
    </row>
    <row r="101" spans="1:3">
      <c r="A101" t="s">
        <v>24</v>
      </c>
      <c r="B101">
        <v>2028</v>
      </c>
      <c r="C101">
        <v>94.5</v>
      </c>
    </row>
    <row r="102" spans="1:3">
      <c r="A102" t="s">
        <v>24</v>
      </c>
      <c r="B102">
        <v>2029</v>
      </c>
      <c r="C102">
        <v>94.5</v>
      </c>
    </row>
    <row r="103" spans="1:3">
      <c r="A103" t="s">
        <v>24</v>
      </c>
      <c r="B103">
        <v>2030</v>
      </c>
      <c r="C103">
        <v>94.5</v>
      </c>
    </row>
    <row r="104" spans="1:3">
      <c r="A104" t="s">
        <v>24</v>
      </c>
      <c r="B104">
        <v>2031</v>
      </c>
      <c r="C104">
        <v>94.5</v>
      </c>
    </row>
    <row r="105" spans="1:3">
      <c r="A105" t="s">
        <v>24</v>
      </c>
      <c r="B105">
        <v>2032</v>
      </c>
      <c r="C105">
        <v>94.5</v>
      </c>
    </row>
    <row r="106" spans="1:3">
      <c r="A106" t="s">
        <v>25</v>
      </c>
      <c r="B106">
        <v>0</v>
      </c>
      <c r="C106">
        <v>1</v>
      </c>
    </row>
    <row r="107" spans="1:3">
      <c r="A107" t="s">
        <v>25</v>
      </c>
      <c r="B107">
        <v>2019</v>
      </c>
      <c r="C107">
        <v>48.6</v>
      </c>
    </row>
    <row r="108" spans="1:3">
      <c r="A108" t="s">
        <v>25</v>
      </c>
      <c r="B108">
        <v>2020</v>
      </c>
      <c r="C108">
        <v>48.6</v>
      </c>
    </row>
    <row r="109" spans="1:3">
      <c r="A109" t="s">
        <v>25</v>
      </c>
      <c r="B109">
        <v>2021</v>
      </c>
      <c r="C109">
        <v>48.6</v>
      </c>
    </row>
    <row r="110" spans="1:3">
      <c r="A110" t="s">
        <v>25</v>
      </c>
      <c r="B110">
        <v>2022</v>
      </c>
      <c r="C110">
        <v>48.6</v>
      </c>
    </row>
    <row r="111" spans="1:3">
      <c r="A111" t="s">
        <v>25</v>
      </c>
      <c r="B111">
        <v>2023</v>
      </c>
      <c r="C111">
        <v>48.6</v>
      </c>
    </row>
    <row r="112" spans="1:3">
      <c r="A112" t="s">
        <v>26</v>
      </c>
      <c r="B112">
        <v>0</v>
      </c>
      <c r="C112">
        <v>1</v>
      </c>
    </row>
    <row r="113" spans="1:3">
      <c r="A113" t="s">
        <v>26</v>
      </c>
      <c r="B113">
        <v>2019</v>
      </c>
      <c r="C113">
        <v>183.6</v>
      </c>
    </row>
    <row r="114" spans="1:3">
      <c r="A114" t="s">
        <v>26</v>
      </c>
      <c r="B114">
        <v>2020</v>
      </c>
      <c r="C114">
        <v>183.6</v>
      </c>
    </row>
    <row r="115" spans="1:3">
      <c r="A115" t="s">
        <v>26</v>
      </c>
      <c r="B115">
        <v>2021</v>
      </c>
      <c r="C115">
        <v>183.6</v>
      </c>
    </row>
    <row r="116" spans="1:3">
      <c r="A116" t="s">
        <v>26</v>
      </c>
      <c r="B116">
        <v>2022</v>
      </c>
      <c r="C116">
        <v>183.6</v>
      </c>
    </row>
    <row r="117" spans="1:3">
      <c r="A117" t="s">
        <v>26</v>
      </c>
      <c r="B117">
        <v>2023</v>
      </c>
      <c r="C117">
        <v>183.6</v>
      </c>
    </row>
    <row r="118" spans="1:3">
      <c r="A118" t="s">
        <v>27</v>
      </c>
      <c r="B118">
        <v>0</v>
      </c>
      <c r="C118">
        <v>1</v>
      </c>
    </row>
    <row r="119" spans="1:3">
      <c r="A119" t="s">
        <v>27</v>
      </c>
      <c r="B119">
        <v>2019</v>
      </c>
      <c r="C119">
        <v>41.58</v>
      </c>
    </row>
    <row r="120" spans="1:3">
      <c r="A120" t="s">
        <v>27</v>
      </c>
      <c r="B120">
        <v>2020</v>
      </c>
      <c r="C120">
        <v>41.58</v>
      </c>
    </row>
    <row r="121" spans="1:3">
      <c r="A121" t="s">
        <v>27</v>
      </c>
      <c r="B121">
        <v>2021</v>
      </c>
      <c r="C121">
        <v>41.58</v>
      </c>
    </row>
    <row r="122" spans="1:3">
      <c r="A122" t="s">
        <v>27</v>
      </c>
      <c r="B122">
        <v>2022</v>
      </c>
      <c r="C122">
        <v>41.58</v>
      </c>
    </row>
    <row r="123" spans="1:3">
      <c r="A123" t="s">
        <v>28</v>
      </c>
      <c r="B123">
        <v>0</v>
      </c>
      <c r="C123">
        <v>1</v>
      </c>
    </row>
    <row r="124" spans="1:3">
      <c r="A124" t="s">
        <v>28</v>
      </c>
      <c r="B124">
        <v>2019</v>
      </c>
      <c r="C124">
        <v>38.880000000000003</v>
      </c>
    </row>
    <row r="125" spans="1:3">
      <c r="A125" t="s">
        <v>28</v>
      </c>
      <c r="B125">
        <v>2020</v>
      </c>
      <c r="C125">
        <v>38.880000000000003</v>
      </c>
    </row>
    <row r="126" spans="1:3">
      <c r="A126" t="s">
        <v>28</v>
      </c>
      <c r="B126">
        <v>2021</v>
      </c>
      <c r="C126">
        <v>38.880000000000003</v>
      </c>
    </row>
    <row r="127" spans="1:3">
      <c r="A127" t="s">
        <v>29</v>
      </c>
      <c r="B127">
        <v>0</v>
      </c>
      <c r="C127">
        <v>1</v>
      </c>
    </row>
    <row r="128" spans="1:3">
      <c r="A128" t="s">
        <v>29</v>
      </c>
      <c r="B128">
        <v>2019</v>
      </c>
      <c r="C128">
        <v>61.02</v>
      </c>
    </row>
    <row r="129" spans="1:3">
      <c r="A129" t="s">
        <v>29</v>
      </c>
      <c r="B129">
        <v>2020</v>
      </c>
      <c r="C129">
        <v>61.02</v>
      </c>
    </row>
    <row r="130" spans="1:3">
      <c r="A130" t="s">
        <v>29</v>
      </c>
      <c r="B130">
        <v>2021</v>
      </c>
      <c r="C130">
        <v>61.02</v>
      </c>
    </row>
    <row r="131" spans="1:3">
      <c r="A131" t="s">
        <v>30</v>
      </c>
      <c r="B131">
        <v>0</v>
      </c>
      <c r="C131">
        <v>1</v>
      </c>
    </row>
    <row r="132" spans="1:3">
      <c r="A132" t="s">
        <v>30</v>
      </c>
      <c r="B132">
        <v>2019</v>
      </c>
      <c r="C132">
        <v>216</v>
      </c>
    </row>
    <row r="133" spans="1:3">
      <c r="A133" t="s">
        <v>30</v>
      </c>
      <c r="B133">
        <v>2020</v>
      </c>
      <c r="C133">
        <v>216</v>
      </c>
    </row>
    <row r="134" spans="1:3">
      <c r="A134" t="s">
        <v>30</v>
      </c>
      <c r="B134">
        <v>2021</v>
      </c>
      <c r="C134">
        <v>216</v>
      </c>
    </row>
    <row r="135" spans="1:3">
      <c r="A135" t="s">
        <v>30</v>
      </c>
      <c r="B135">
        <v>2022</v>
      </c>
      <c r="C135">
        <v>216</v>
      </c>
    </row>
    <row r="136" spans="1:3">
      <c r="A136" t="s">
        <v>30</v>
      </c>
      <c r="B136">
        <v>2023</v>
      </c>
      <c r="C136">
        <v>216</v>
      </c>
    </row>
    <row r="137" spans="1:3">
      <c r="A137" t="s">
        <v>30</v>
      </c>
      <c r="B137">
        <v>2024</v>
      </c>
      <c r="C137">
        <v>216</v>
      </c>
    </row>
    <row r="138" spans="1:3">
      <c r="A138" t="s">
        <v>31</v>
      </c>
      <c r="B138">
        <v>0</v>
      </c>
      <c r="C138">
        <v>1</v>
      </c>
    </row>
    <row r="139" spans="1:3">
      <c r="A139" t="s">
        <v>31</v>
      </c>
      <c r="B139">
        <v>2019</v>
      </c>
      <c r="C139">
        <v>134.46</v>
      </c>
    </row>
    <row r="140" spans="1:3">
      <c r="A140" t="s">
        <v>31</v>
      </c>
      <c r="B140">
        <v>2020</v>
      </c>
      <c r="C140">
        <v>134.46</v>
      </c>
    </row>
    <row r="141" spans="1:3">
      <c r="A141" t="s">
        <v>31</v>
      </c>
      <c r="B141">
        <v>2021</v>
      </c>
      <c r="C141">
        <v>134.46</v>
      </c>
    </row>
    <row r="142" spans="1:3">
      <c r="A142" t="s">
        <v>31</v>
      </c>
      <c r="B142">
        <v>2022</v>
      </c>
      <c r="C142">
        <v>134.46</v>
      </c>
    </row>
    <row r="143" spans="1:3">
      <c r="A143" t="s">
        <v>31</v>
      </c>
      <c r="B143">
        <v>2023</v>
      </c>
      <c r="C143">
        <v>134.46</v>
      </c>
    </row>
    <row r="144" spans="1:3">
      <c r="A144" t="s">
        <v>31</v>
      </c>
      <c r="B144">
        <v>2024</v>
      </c>
      <c r="C144">
        <v>134.46</v>
      </c>
    </row>
    <row r="145" spans="1:3">
      <c r="A145" t="s">
        <v>31</v>
      </c>
      <c r="B145">
        <v>2025</v>
      </c>
      <c r="C145">
        <v>134.46</v>
      </c>
    </row>
    <row r="146" spans="1:3">
      <c r="A146" t="s">
        <v>31</v>
      </c>
      <c r="B146">
        <v>2026</v>
      </c>
      <c r="C146">
        <v>134.46</v>
      </c>
    </row>
    <row r="147" spans="1:3">
      <c r="A147" t="s">
        <v>31</v>
      </c>
      <c r="B147">
        <v>2027</v>
      </c>
      <c r="C147">
        <v>134.46</v>
      </c>
    </row>
    <row r="148" spans="1:3">
      <c r="A148" t="s">
        <v>31</v>
      </c>
      <c r="B148">
        <v>2028</v>
      </c>
      <c r="C148">
        <v>134.46</v>
      </c>
    </row>
    <row r="149" spans="1:3">
      <c r="A149" t="s">
        <v>31</v>
      </c>
      <c r="B149">
        <v>2029</v>
      </c>
      <c r="C149">
        <v>134.46</v>
      </c>
    </row>
    <row r="150" spans="1:3">
      <c r="A150" t="s">
        <v>31</v>
      </c>
      <c r="B150">
        <v>2030</v>
      </c>
      <c r="C150">
        <v>134.46</v>
      </c>
    </row>
    <row r="151" spans="1:3">
      <c r="A151" t="s">
        <v>31</v>
      </c>
      <c r="B151">
        <v>2031</v>
      </c>
      <c r="C151">
        <v>134.46</v>
      </c>
    </row>
    <row r="152" spans="1:3">
      <c r="A152" t="s">
        <v>31</v>
      </c>
      <c r="B152">
        <v>2032</v>
      </c>
      <c r="C152">
        <v>134.46</v>
      </c>
    </row>
    <row r="153" spans="1:3">
      <c r="A153" t="s">
        <v>31</v>
      </c>
      <c r="B153">
        <v>2033</v>
      </c>
      <c r="C153">
        <v>134.46</v>
      </c>
    </row>
    <row r="154" spans="1:3">
      <c r="A154" t="s">
        <v>32</v>
      </c>
      <c r="B154">
        <v>0</v>
      </c>
      <c r="C154">
        <v>1</v>
      </c>
    </row>
    <row r="155" spans="1:3">
      <c r="A155" t="s">
        <v>32</v>
      </c>
      <c r="B155">
        <v>2019</v>
      </c>
      <c r="C155">
        <v>238.68</v>
      </c>
    </row>
    <row r="156" spans="1:3">
      <c r="A156" t="s">
        <v>32</v>
      </c>
      <c r="B156">
        <v>2020</v>
      </c>
      <c r="C156">
        <v>238.68</v>
      </c>
    </row>
    <row r="157" spans="1:3">
      <c r="A157" t="s">
        <v>32</v>
      </c>
      <c r="B157">
        <v>2021</v>
      </c>
      <c r="C157">
        <v>130.68</v>
      </c>
    </row>
    <row r="158" spans="1:3">
      <c r="A158" t="s">
        <v>32</v>
      </c>
      <c r="B158">
        <v>2022</v>
      </c>
      <c r="C158">
        <v>130.68</v>
      </c>
    </row>
    <row r="159" spans="1:3">
      <c r="A159" t="s">
        <v>32</v>
      </c>
      <c r="B159">
        <v>2023</v>
      </c>
      <c r="C159">
        <v>130.68</v>
      </c>
    </row>
    <row r="160" spans="1:3">
      <c r="A160" t="s">
        <v>32</v>
      </c>
      <c r="B160">
        <v>2024</v>
      </c>
      <c r="C160">
        <v>130.68</v>
      </c>
    </row>
    <row r="161" spans="1:3">
      <c r="A161" t="s">
        <v>32</v>
      </c>
      <c r="B161">
        <v>2025</v>
      </c>
      <c r="C161">
        <v>124.2</v>
      </c>
    </row>
    <row r="162" spans="1:3">
      <c r="A162" t="s">
        <v>32</v>
      </c>
      <c r="B162">
        <v>2026</v>
      </c>
      <c r="C162">
        <v>124.2</v>
      </c>
    </row>
    <row r="163" spans="1:3">
      <c r="A163" t="s">
        <v>32</v>
      </c>
      <c r="B163">
        <v>2027</v>
      </c>
      <c r="C163">
        <v>124.2</v>
      </c>
    </row>
    <row r="164" spans="1:3">
      <c r="A164" t="s">
        <v>32</v>
      </c>
      <c r="B164">
        <v>2028</v>
      </c>
      <c r="C164">
        <v>54</v>
      </c>
    </row>
    <row r="165" spans="1:3">
      <c r="A165" t="s">
        <v>32</v>
      </c>
      <c r="B165">
        <v>2029</v>
      </c>
      <c r="C165">
        <v>54</v>
      </c>
    </row>
    <row r="166" spans="1:3">
      <c r="A166" t="s">
        <v>32</v>
      </c>
      <c r="B166">
        <v>2030</v>
      </c>
      <c r="C166">
        <v>54</v>
      </c>
    </row>
    <row r="167" spans="1:3">
      <c r="A167" t="s">
        <v>32</v>
      </c>
      <c r="B167">
        <v>2031</v>
      </c>
      <c r="C167">
        <v>54</v>
      </c>
    </row>
    <row r="168" spans="1:3">
      <c r="A168" t="s">
        <v>32</v>
      </c>
      <c r="B168">
        <v>2032</v>
      </c>
      <c r="C168">
        <v>54</v>
      </c>
    </row>
    <row r="169" spans="1:3">
      <c r="A169" t="s">
        <v>32</v>
      </c>
      <c r="B169">
        <v>2033</v>
      </c>
      <c r="C169">
        <v>54</v>
      </c>
    </row>
    <row r="170" spans="1:3">
      <c r="A170" t="s">
        <v>32</v>
      </c>
      <c r="B170">
        <v>2034</v>
      </c>
      <c r="C170">
        <v>54</v>
      </c>
    </row>
    <row r="171" spans="1:3">
      <c r="A171" t="s">
        <v>32</v>
      </c>
      <c r="B171">
        <v>2035</v>
      </c>
      <c r="C171">
        <v>54</v>
      </c>
    </row>
    <row r="172" spans="1:3">
      <c r="A172" t="s">
        <v>33</v>
      </c>
      <c r="B172">
        <v>0</v>
      </c>
      <c r="C172">
        <v>1</v>
      </c>
    </row>
    <row r="173" spans="1:3">
      <c r="A173" t="s">
        <v>33</v>
      </c>
      <c r="B173">
        <v>2019</v>
      </c>
      <c r="C173">
        <v>62.1</v>
      </c>
    </row>
    <row r="174" spans="1:3">
      <c r="A174" t="s">
        <v>33</v>
      </c>
      <c r="B174">
        <v>2020</v>
      </c>
      <c r="C174">
        <v>62.1</v>
      </c>
    </row>
    <row r="175" spans="1:3">
      <c r="A175" t="s">
        <v>33</v>
      </c>
      <c r="B175">
        <v>2021</v>
      </c>
      <c r="C175">
        <v>62.1</v>
      </c>
    </row>
    <row r="176" spans="1:3">
      <c r="A176" t="s">
        <v>33</v>
      </c>
      <c r="B176">
        <v>2022</v>
      </c>
      <c r="C176">
        <v>62.1</v>
      </c>
    </row>
    <row r="177" spans="1:3">
      <c r="A177" t="s">
        <v>33</v>
      </c>
      <c r="B177">
        <v>2023</v>
      </c>
      <c r="C177">
        <v>62.1</v>
      </c>
    </row>
    <row r="178" spans="1:3">
      <c r="A178" t="s">
        <v>33</v>
      </c>
      <c r="B178">
        <v>2024</v>
      </c>
      <c r="C178">
        <v>62.1</v>
      </c>
    </row>
    <row r="179" spans="1:3">
      <c r="A179" t="s">
        <v>33</v>
      </c>
      <c r="B179">
        <v>2025</v>
      </c>
      <c r="C179">
        <v>32.4</v>
      </c>
    </row>
    <row r="180" spans="1:3">
      <c r="A180" t="s">
        <v>33</v>
      </c>
      <c r="B180">
        <v>2026</v>
      </c>
      <c r="C180">
        <v>32.4</v>
      </c>
    </row>
    <row r="181" spans="1:3">
      <c r="A181" t="s">
        <v>34</v>
      </c>
      <c r="B181">
        <v>0</v>
      </c>
      <c r="C181">
        <v>1</v>
      </c>
    </row>
    <row r="182" spans="1:3">
      <c r="A182" t="s">
        <v>34</v>
      </c>
      <c r="B182">
        <v>2019</v>
      </c>
      <c r="C182">
        <v>108</v>
      </c>
    </row>
    <row r="183" spans="1:3">
      <c r="A183" t="s">
        <v>34</v>
      </c>
      <c r="B183">
        <v>2020</v>
      </c>
      <c r="C183">
        <v>108</v>
      </c>
    </row>
    <row r="184" spans="1:3">
      <c r="A184" t="s">
        <v>34</v>
      </c>
      <c r="B184">
        <v>2021</v>
      </c>
      <c r="C184">
        <v>108</v>
      </c>
    </row>
    <row r="185" spans="1:3">
      <c r="A185" t="s">
        <v>34</v>
      </c>
      <c r="B185">
        <v>2022</v>
      </c>
      <c r="C185">
        <v>108</v>
      </c>
    </row>
    <row r="186" spans="1:3">
      <c r="A186" t="s">
        <v>34</v>
      </c>
      <c r="B186">
        <v>2023</v>
      </c>
      <c r="C186">
        <v>108</v>
      </c>
    </row>
    <row r="187" spans="1:3">
      <c r="A187" t="s">
        <v>34</v>
      </c>
      <c r="B187">
        <v>2024</v>
      </c>
      <c r="C187">
        <v>108</v>
      </c>
    </row>
    <row r="188" spans="1:3">
      <c r="A188" t="s">
        <v>34</v>
      </c>
      <c r="B188">
        <v>2025</v>
      </c>
      <c r="C188">
        <v>108</v>
      </c>
    </row>
    <row r="189" spans="1:3">
      <c r="A189" t="s">
        <v>34</v>
      </c>
      <c r="B189">
        <v>2026</v>
      </c>
      <c r="C189">
        <v>108</v>
      </c>
    </row>
    <row r="190" spans="1:3">
      <c r="A190" t="s">
        <v>34</v>
      </c>
      <c r="B190">
        <v>2027</v>
      </c>
      <c r="C190">
        <v>108</v>
      </c>
    </row>
    <row r="191" spans="1:3">
      <c r="A191" t="s">
        <v>34</v>
      </c>
      <c r="B191">
        <v>2028</v>
      </c>
      <c r="C191">
        <v>108</v>
      </c>
    </row>
    <row r="192" spans="1:3">
      <c r="A192" t="s">
        <v>34</v>
      </c>
      <c r="B192">
        <v>2029</v>
      </c>
      <c r="C192">
        <v>108</v>
      </c>
    </row>
    <row r="193" spans="1:3">
      <c r="A193" t="s">
        <v>34</v>
      </c>
      <c r="B193">
        <v>2030</v>
      </c>
      <c r="C193">
        <v>108</v>
      </c>
    </row>
    <row r="194" spans="1:3">
      <c r="A194" t="s">
        <v>35</v>
      </c>
      <c r="B194">
        <v>0</v>
      </c>
      <c r="C194">
        <v>1</v>
      </c>
    </row>
    <row r="195" spans="1:3">
      <c r="A195" t="s">
        <v>35</v>
      </c>
      <c r="B195">
        <v>2019</v>
      </c>
      <c r="C195">
        <v>162</v>
      </c>
    </row>
    <row r="196" spans="1:3">
      <c r="A196" t="s">
        <v>35</v>
      </c>
      <c r="B196">
        <v>2020</v>
      </c>
      <c r="C196">
        <v>162</v>
      </c>
    </row>
    <row r="197" spans="1:3">
      <c r="A197" t="s">
        <v>35</v>
      </c>
      <c r="B197">
        <v>2021</v>
      </c>
      <c r="C197">
        <v>162</v>
      </c>
    </row>
    <row r="198" spans="1:3">
      <c r="A198" t="s">
        <v>35</v>
      </c>
      <c r="B198">
        <v>2022</v>
      </c>
      <c r="C198">
        <v>162</v>
      </c>
    </row>
    <row r="199" spans="1:3">
      <c r="A199" t="s">
        <v>35</v>
      </c>
      <c r="B199">
        <v>2023</v>
      </c>
      <c r="C199">
        <v>162</v>
      </c>
    </row>
    <row r="200" spans="1:3">
      <c r="A200" t="s">
        <v>35</v>
      </c>
      <c r="B200">
        <v>2024</v>
      </c>
      <c r="C200">
        <v>162</v>
      </c>
    </row>
    <row r="201" spans="1:3">
      <c r="A201" t="s">
        <v>35</v>
      </c>
      <c r="B201">
        <v>2025</v>
      </c>
      <c r="C201">
        <v>162</v>
      </c>
    </row>
    <row r="202" spans="1:3">
      <c r="A202" t="s">
        <v>35</v>
      </c>
      <c r="B202">
        <v>2026</v>
      </c>
      <c r="C202">
        <v>162</v>
      </c>
    </row>
    <row r="203" spans="1:3">
      <c r="A203" t="s">
        <v>35</v>
      </c>
      <c r="B203">
        <v>2027</v>
      </c>
      <c r="C203">
        <v>162</v>
      </c>
    </row>
    <row r="204" spans="1:3">
      <c r="A204" t="s">
        <v>35</v>
      </c>
      <c r="B204">
        <v>2028</v>
      </c>
      <c r="C204">
        <v>162</v>
      </c>
    </row>
    <row r="205" spans="1:3">
      <c r="A205" t="s">
        <v>35</v>
      </c>
      <c r="B205">
        <v>2029</v>
      </c>
      <c r="C205">
        <v>162</v>
      </c>
    </row>
    <row r="206" spans="1:3">
      <c r="A206" t="s">
        <v>36</v>
      </c>
      <c r="B206">
        <v>0</v>
      </c>
      <c r="C206">
        <v>1</v>
      </c>
    </row>
    <row r="207" spans="1:3">
      <c r="A207" t="s">
        <v>36</v>
      </c>
      <c r="B207">
        <v>2019</v>
      </c>
      <c r="C207">
        <v>403.92</v>
      </c>
    </row>
    <row r="208" spans="1:3">
      <c r="A208" t="s">
        <v>36</v>
      </c>
      <c r="B208">
        <v>2020</v>
      </c>
      <c r="C208">
        <v>403.92</v>
      </c>
    </row>
    <row r="209" spans="1:3">
      <c r="A209" t="s">
        <v>36</v>
      </c>
      <c r="B209">
        <v>2021</v>
      </c>
      <c r="C209">
        <v>403.92</v>
      </c>
    </row>
    <row r="210" spans="1:3">
      <c r="A210" t="s">
        <v>36</v>
      </c>
      <c r="B210">
        <v>2022</v>
      </c>
      <c r="C210">
        <v>378</v>
      </c>
    </row>
    <row r="211" spans="1:3">
      <c r="A211" t="s">
        <v>36</v>
      </c>
      <c r="B211">
        <v>2023</v>
      </c>
      <c r="C211">
        <v>378</v>
      </c>
    </row>
    <row r="212" spans="1:3">
      <c r="A212" t="s">
        <v>36</v>
      </c>
      <c r="B212">
        <v>2024</v>
      </c>
      <c r="C212">
        <v>334.8</v>
      </c>
    </row>
    <row r="213" spans="1:3">
      <c r="A213" t="s">
        <v>36</v>
      </c>
      <c r="B213">
        <v>2025</v>
      </c>
      <c r="C213">
        <v>291.60000000000002</v>
      </c>
    </row>
    <row r="214" spans="1:3">
      <c r="A214" t="s">
        <v>36</v>
      </c>
      <c r="B214">
        <v>2026</v>
      </c>
      <c r="C214">
        <v>158.22</v>
      </c>
    </row>
    <row r="215" spans="1:3">
      <c r="A215" t="s">
        <v>36</v>
      </c>
      <c r="B215">
        <v>2027</v>
      </c>
      <c r="C215">
        <v>138.24</v>
      </c>
    </row>
    <row r="216" spans="1:3">
      <c r="A216" t="s">
        <v>36</v>
      </c>
      <c r="B216">
        <v>2028</v>
      </c>
      <c r="C216">
        <v>101.52</v>
      </c>
    </row>
    <row r="217" spans="1:3">
      <c r="A217" t="s">
        <v>36</v>
      </c>
      <c r="B217">
        <v>2029</v>
      </c>
      <c r="C217">
        <v>48.6</v>
      </c>
    </row>
    <row r="218" spans="1:3">
      <c r="A218" t="s">
        <v>36</v>
      </c>
      <c r="B218">
        <v>2030</v>
      </c>
      <c r="C218">
        <v>48.6</v>
      </c>
    </row>
    <row r="219" spans="1:3">
      <c r="A219" t="s">
        <v>36</v>
      </c>
      <c r="B219">
        <v>2031</v>
      </c>
      <c r="C219">
        <v>48.6</v>
      </c>
    </row>
    <row r="220" spans="1:3">
      <c r="A220" t="s">
        <v>37</v>
      </c>
      <c r="B220">
        <v>0</v>
      </c>
      <c r="C220">
        <v>1</v>
      </c>
    </row>
    <row r="221" spans="1:3">
      <c r="A221" t="s">
        <v>37</v>
      </c>
      <c r="B221">
        <v>2019</v>
      </c>
      <c r="C221">
        <v>108</v>
      </c>
    </row>
    <row r="222" spans="1:3">
      <c r="A222" t="s">
        <v>37</v>
      </c>
      <c r="B222">
        <v>2020</v>
      </c>
      <c r="C222">
        <v>108</v>
      </c>
    </row>
    <row r="223" spans="1:3">
      <c r="A223" t="s">
        <v>37</v>
      </c>
      <c r="B223">
        <v>2021</v>
      </c>
      <c r="C223">
        <v>108</v>
      </c>
    </row>
    <row r="224" spans="1:3">
      <c r="A224" t="s">
        <v>37</v>
      </c>
      <c r="B224">
        <v>2022</v>
      </c>
      <c r="C224">
        <v>108</v>
      </c>
    </row>
    <row r="225" spans="1:3">
      <c r="A225" t="s">
        <v>37</v>
      </c>
      <c r="B225">
        <v>2023</v>
      </c>
      <c r="C225">
        <v>108</v>
      </c>
    </row>
    <row r="226" spans="1:3">
      <c r="A226" t="s">
        <v>37</v>
      </c>
      <c r="B226">
        <v>2024</v>
      </c>
      <c r="C226">
        <v>108</v>
      </c>
    </row>
    <row r="227" spans="1:3">
      <c r="A227" t="s">
        <v>37</v>
      </c>
      <c r="B227">
        <v>2025</v>
      </c>
      <c r="C227">
        <v>108</v>
      </c>
    </row>
    <row r="228" spans="1:3">
      <c r="A228" t="s">
        <v>37</v>
      </c>
      <c r="B228">
        <v>2026</v>
      </c>
      <c r="C228">
        <v>108</v>
      </c>
    </row>
    <row r="229" spans="1:3">
      <c r="A229" t="s">
        <v>37</v>
      </c>
      <c r="B229">
        <v>2027</v>
      </c>
      <c r="C229">
        <v>108</v>
      </c>
    </row>
    <row r="230" spans="1:3">
      <c r="A230" t="s">
        <v>37</v>
      </c>
      <c r="B230">
        <v>2028</v>
      </c>
      <c r="C230">
        <v>108</v>
      </c>
    </row>
    <row r="231" spans="1:3">
      <c r="A231" t="s">
        <v>38</v>
      </c>
      <c r="B231">
        <v>0</v>
      </c>
      <c r="C231">
        <v>1</v>
      </c>
    </row>
    <row r="232" spans="1:3">
      <c r="A232" t="s">
        <v>38</v>
      </c>
      <c r="B232">
        <v>2019</v>
      </c>
      <c r="C232">
        <v>191.16</v>
      </c>
    </row>
    <row r="233" spans="1:3">
      <c r="A233" t="s">
        <v>38</v>
      </c>
      <c r="B233">
        <v>2020</v>
      </c>
      <c r="C233">
        <v>191.16</v>
      </c>
    </row>
    <row r="234" spans="1:3">
      <c r="A234" t="s">
        <v>38</v>
      </c>
      <c r="B234">
        <v>2021</v>
      </c>
      <c r="C234">
        <v>191.16</v>
      </c>
    </row>
    <row r="235" spans="1:3">
      <c r="A235" t="s">
        <v>38</v>
      </c>
      <c r="B235">
        <v>2022</v>
      </c>
      <c r="C235">
        <v>127.98</v>
      </c>
    </row>
    <row r="236" spans="1:3">
      <c r="A236" t="s">
        <v>38</v>
      </c>
      <c r="B236">
        <v>2023</v>
      </c>
      <c r="C236">
        <v>127.98</v>
      </c>
    </row>
    <row r="237" spans="1:3">
      <c r="A237" t="s">
        <v>38</v>
      </c>
      <c r="B237">
        <v>2024</v>
      </c>
      <c r="C237">
        <v>127.98</v>
      </c>
    </row>
    <row r="238" spans="1:3">
      <c r="A238" t="s">
        <v>38</v>
      </c>
      <c r="B238">
        <v>2025</v>
      </c>
      <c r="C238">
        <v>20.52</v>
      </c>
    </row>
    <row r="239" spans="1:3">
      <c r="A239" t="s">
        <v>38</v>
      </c>
      <c r="B239">
        <v>2026</v>
      </c>
      <c r="C239">
        <v>20.52</v>
      </c>
    </row>
    <row r="240" spans="1:3">
      <c r="A240" t="s">
        <v>39</v>
      </c>
      <c r="B240">
        <v>0</v>
      </c>
      <c r="C240">
        <v>1</v>
      </c>
    </row>
    <row r="241" spans="1:3">
      <c r="A241" t="s">
        <v>39</v>
      </c>
      <c r="B241">
        <v>2019</v>
      </c>
      <c r="C241">
        <v>17.82</v>
      </c>
    </row>
    <row r="242" spans="1:3">
      <c r="A242" t="s">
        <v>39</v>
      </c>
      <c r="B242">
        <v>2020</v>
      </c>
      <c r="C242">
        <v>17.82</v>
      </c>
    </row>
    <row r="243" spans="1:3">
      <c r="A243" t="s">
        <v>39</v>
      </c>
      <c r="B243">
        <v>2021</v>
      </c>
      <c r="C243">
        <v>17.82</v>
      </c>
    </row>
    <row r="244" spans="1:3">
      <c r="A244" t="s">
        <v>40</v>
      </c>
      <c r="B244">
        <v>0</v>
      </c>
      <c r="C244">
        <v>1</v>
      </c>
    </row>
    <row r="245" spans="1:3">
      <c r="A245" t="s">
        <v>40</v>
      </c>
      <c r="B245">
        <v>2019</v>
      </c>
      <c r="C245">
        <v>132.30000000000001</v>
      </c>
    </row>
    <row r="246" spans="1:3">
      <c r="A246" t="s">
        <v>40</v>
      </c>
      <c r="B246">
        <v>2020</v>
      </c>
      <c r="C246">
        <v>132.30000000000001</v>
      </c>
    </row>
    <row r="247" spans="1:3">
      <c r="A247" t="s">
        <v>40</v>
      </c>
      <c r="B247">
        <v>2021</v>
      </c>
      <c r="C247">
        <v>132.30000000000001</v>
      </c>
    </row>
    <row r="248" spans="1:3">
      <c r="A248" t="s">
        <v>41</v>
      </c>
      <c r="B248">
        <v>0</v>
      </c>
      <c r="C248">
        <v>1</v>
      </c>
    </row>
    <row r="249" spans="1:3">
      <c r="A249" t="s">
        <v>41</v>
      </c>
      <c r="B249">
        <v>2019</v>
      </c>
      <c r="C249">
        <v>130.13999999999999</v>
      </c>
    </row>
    <row r="250" spans="1:3">
      <c r="A250" t="s">
        <v>41</v>
      </c>
      <c r="B250">
        <v>2020</v>
      </c>
      <c r="C250">
        <v>130.13999999999999</v>
      </c>
    </row>
    <row r="251" spans="1:3">
      <c r="A251" t="s">
        <v>41</v>
      </c>
      <c r="B251">
        <v>2021</v>
      </c>
      <c r="C251">
        <v>170.1</v>
      </c>
    </row>
    <row r="252" spans="1:3">
      <c r="A252" t="s">
        <v>41</v>
      </c>
      <c r="B252">
        <v>2022</v>
      </c>
      <c r="C252">
        <v>170.1</v>
      </c>
    </row>
    <row r="253" spans="1:3">
      <c r="A253" t="s">
        <v>41</v>
      </c>
      <c r="B253">
        <v>2023</v>
      </c>
      <c r="C253">
        <v>170.1</v>
      </c>
    </row>
    <row r="254" spans="1:3">
      <c r="A254" t="s">
        <v>41</v>
      </c>
      <c r="B254">
        <v>2024</v>
      </c>
      <c r="C254">
        <v>130.68</v>
      </c>
    </row>
    <row r="255" spans="1:3">
      <c r="A255" t="s">
        <v>41</v>
      </c>
      <c r="B255">
        <v>2025</v>
      </c>
      <c r="C255">
        <v>130.68</v>
      </c>
    </row>
    <row r="256" spans="1:3">
      <c r="A256" t="s">
        <v>41</v>
      </c>
      <c r="B256">
        <v>2026</v>
      </c>
      <c r="C256">
        <v>130.68</v>
      </c>
    </row>
    <row r="257" spans="1:3">
      <c r="A257" t="s">
        <v>41</v>
      </c>
      <c r="B257">
        <v>2027</v>
      </c>
      <c r="C257">
        <v>54</v>
      </c>
    </row>
    <row r="258" spans="1:3">
      <c r="A258" t="s">
        <v>41</v>
      </c>
      <c r="B258">
        <v>2028</v>
      </c>
      <c r="C258">
        <v>54</v>
      </c>
    </row>
    <row r="259" spans="1:3">
      <c r="A259" t="s">
        <v>41</v>
      </c>
      <c r="B259">
        <v>2029</v>
      </c>
      <c r="C259">
        <v>54</v>
      </c>
    </row>
    <row r="260" spans="1:3">
      <c r="A260" t="s">
        <v>41</v>
      </c>
      <c r="B260">
        <v>2030</v>
      </c>
      <c r="C260">
        <v>54</v>
      </c>
    </row>
    <row r="261" spans="1:3">
      <c r="A261" t="s">
        <v>41</v>
      </c>
      <c r="B261">
        <v>2031</v>
      </c>
      <c r="C261">
        <v>54</v>
      </c>
    </row>
    <row r="262" spans="1:3">
      <c r="A262" t="s">
        <v>42</v>
      </c>
      <c r="B262">
        <v>0</v>
      </c>
      <c r="C262">
        <v>1</v>
      </c>
    </row>
    <row r="263" spans="1:3">
      <c r="A263" t="s">
        <v>42</v>
      </c>
      <c r="B263">
        <v>2019</v>
      </c>
      <c r="C263">
        <v>49.14</v>
      </c>
    </row>
    <row r="264" spans="1:3">
      <c r="A264" t="s">
        <v>42</v>
      </c>
      <c r="B264">
        <v>2020</v>
      </c>
      <c r="C264">
        <v>49.14</v>
      </c>
    </row>
    <row r="265" spans="1:3">
      <c r="A265" t="s">
        <v>42</v>
      </c>
      <c r="B265">
        <v>2021</v>
      </c>
      <c r="C265">
        <v>49.14</v>
      </c>
    </row>
    <row r="266" spans="1:3">
      <c r="A266" t="s">
        <v>43</v>
      </c>
      <c r="B266">
        <v>0</v>
      </c>
      <c r="C266">
        <v>1</v>
      </c>
    </row>
    <row r="267" spans="1:3">
      <c r="A267" t="s">
        <v>43</v>
      </c>
      <c r="B267">
        <v>2019</v>
      </c>
      <c r="C267">
        <v>61.02</v>
      </c>
    </row>
    <row r="268" spans="1:3">
      <c r="A268" t="s">
        <v>43</v>
      </c>
      <c r="B268">
        <v>2020</v>
      </c>
      <c r="C268">
        <v>61.02</v>
      </c>
    </row>
    <row r="269" spans="1:3">
      <c r="A269" t="s">
        <v>43</v>
      </c>
      <c r="B269">
        <v>2021</v>
      </c>
      <c r="C269">
        <v>61.02</v>
      </c>
    </row>
    <row r="270" spans="1:3">
      <c r="A270" t="s">
        <v>43</v>
      </c>
      <c r="B270">
        <v>2022</v>
      </c>
      <c r="C270">
        <v>61.02</v>
      </c>
    </row>
    <row r="271" spans="1:3">
      <c r="A271" t="s">
        <v>43</v>
      </c>
      <c r="B271">
        <v>2023</v>
      </c>
      <c r="C271">
        <v>61.02</v>
      </c>
    </row>
    <row r="272" spans="1:3">
      <c r="A272" t="s">
        <v>43</v>
      </c>
      <c r="B272">
        <v>2024</v>
      </c>
      <c r="C272">
        <v>61.02</v>
      </c>
    </row>
    <row r="273" spans="1:3">
      <c r="A273" t="s">
        <v>43</v>
      </c>
      <c r="B273">
        <v>2025</v>
      </c>
      <c r="C273">
        <v>61.02</v>
      </c>
    </row>
    <row r="274" spans="1:3">
      <c r="A274" t="s">
        <v>44</v>
      </c>
      <c r="B274">
        <v>0</v>
      </c>
      <c r="C274">
        <v>1</v>
      </c>
    </row>
    <row r="275" spans="1:3">
      <c r="A275" t="s">
        <v>44</v>
      </c>
      <c r="B275">
        <v>2019</v>
      </c>
      <c r="C275">
        <v>108</v>
      </c>
    </row>
    <row r="276" spans="1:3">
      <c r="A276" t="s">
        <v>44</v>
      </c>
      <c r="B276">
        <v>2020</v>
      </c>
      <c r="C276">
        <v>108</v>
      </c>
    </row>
    <row r="277" spans="1:3">
      <c r="A277" t="s">
        <v>44</v>
      </c>
      <c r="B277">
        <v>2021</v>
      </c>
      <c r="C277">
        <v>108</v>
      </c>
    </row>
    <row r="278" spans="1:3">
      <c r="A278" t="s">
        <v>44</v>
      </c>
      <c r="B278">
        <v>2022</v>
      </c>
      <c r="C278">
        <v>108</v>
      </c>
    </row>
    <row r="279" spans="1:3">
      <c r="A279" t="s">
        <v>44</v>
      </c>
      <c r="B279">
        <v>2023</v>
      </c>
      <c r="C279">
        <v>108</v>
      </c>
    </row>
    <row r="280" spans="1:3">
      <c r="A280" t="s">
        <v>44</v>
      </c>
      <c r="B280">
        <v>2024</v>
      </c>
      <c r="C280">
        <v>108</v>
      </c>
    </row>
    <row r="281" spans="1:3">
      <c r="A281" t="s">
        <v>44</v>
      </c>
      <c r="B281">
        <v>2025</v>
      </c>
      <c r="C281">
        <v>108</v>
      </c>
    </row>
    <row r="282" spans="1:3">
      <c r="A282" t="s">
        <v>44</v>
      </c>
      <c r="B282">
        <v>2026</v>
      </c>
      <c r="C282">
        <v>108</v>
      </c>
    </row>
    <row r="283" spans="1:3">
      <c r="A283" t="s">
        <v>44</v>
      </c>
      <c r="B283">
        <v>2027</v>
      </c>
      <c r="C283">
        <v>108</v>
      </c>
    </row>
    <row r="284" spans="1:3">
      <c r="A284" t="s">
        <v>44</v>
      </c>
      <c r="B284">
        <v>2028</v>
      </c>
      <c r="C284">
        <v>108</v>
      </c>
    </row>
    <row r="285" spans="1:3">
      <c r="A285" t="s">
        <v>44</v>
      </c>
      <c r="B285">
        <v>2029</v>
      </c>
      <c r="C285">
        <v>108</v>
      </c>
    </row>
    <row r="286" spans="1:3">
      <c r="A286" t="s">
        <v>44</v>
      </c>
      <c r="B286">
        <v>2030</v>
      </c>
      <c r="C286">
        <v>108</v>
      </c>
    </row>
    <row r="287" spans="1:3">
      <c r="A287" t="s">
        <v>44</v>
      </c>
      <c r="B287">
        <v>2031</v>
      </c>
      <c r="C287">
        <v>108</v>
      </c>
    </row>
    <row r="288" spans="1:3">
      <c r="A288" t="s">
        <v>44</v>
      </c>
      <c r="B288">
        <v>2032</v>
      </c>
      <c r="C288">
        <v>108</v>
      </c>
    </row>
    <row r="289" spans="1:3">
      <c r="A289" t="s">
        <v>44</v>
      </c>
      <c r="B289">
        <v>2033</v>
      </c>
      <c r="C289">
        <v>108</v>
      </c>
    </row>
    <row r="290" spans="1:3">
      <c r="A290" t="s">
        <v>44</v>
      </c>
      <c r="B290">
        <v>2034</v>
      </c>
      <c r="C290">
        <v>108</v>
      </c>
    </row>
    <row r="291" spans="1:3">
      <c r="A291" t="s">
        <v>45</v>
      </c>
      <c r="B291">
        <v>0</v>
      </c>
      <c r="C291">
        <v>1</v>
      </c>
    </row>
    <row r="292" spans="1:3">
      <c r="A292" t="s">
        <v>45</v>
      </c>
      <c r="B292">
        <v>2019</v>
      </c>
      <c r="C292">
        <v>178.2</v>
      </c>
    </row>
    <row r="293" spans="1:3">
      <c r="A293" t="s">
        <v>45</v>
      </c>
      <c r="B293">
        <v>2020</v>
      </c>
      <c r="C293">
        <v>178.2</v>
      </c>
    </row>
    <row r="294" spans="1:3">
      <c r="A294" t="s">
        <v>45</v>
      </c>
      <c r="B294">
        <v>2021</v>
      </c>
      <c r="C294">
        <v>178.2</v>
      </c>
    </row>
    <row r="295" spans="1:3">
      <c r="A295" t="s">
        <v>45</v>
      </c>
      <c r="B295">
        <v>2022</v>
      </c>
      <c r="C295">
        <v>178.2</v>
      </c>
    </row>
    <row r="296" spans="1:3">
      <c r="A296" t="s">
        <v>45</v>
      </c>
      <c r="B296">
        <v>2023</v>
      </c>
      <c r="C296">
        <v>178.2</v>
      </c>
    </row>
    <row r="297" spans="1:3">
      <c r="A297" t="s">
        <v>45</v>
      </c>
      <c r="B297">
        <v>2024</v>
      </c>
      <c r="C297">
        <v>178.2</v>
      </c>
    </row>
    <row r="298" spans="1:3">
      <c r="A298" t="s">
        <v>45</v>
      </c>
      <c r="B298">
        <v>2025</v>
      </c>
      <c r="C298">
        <v>178.2</v>
      </c>
    </row>
    <row r="299" spans="1:3">
      <c r="A299" t="s">
        <v>45</v>
      </c>
      <c r="B299">
        <v>2026</v>
      </c>
      <c r="C299">
        <v>178.2</v>
      </c>
    </row>
    <row r="300" spans="1:3">
      <c r="A300" t="s">
        <v>45</v>
      </c>
      <c r="B300">
        <v>2027</v>
      </c>
      <c r="C300">
        <v>178.2</v>
      </c>
    </row>
    <row r="301" spans="1:3">
      <c r="A301" t="s">
        <v>45</v>
      </c>
      <c r="B301">
        <v>2028</v>
      </c>
      <c r="C301">
        <v>178.2</v>
      </c>
    </row>
    <row r="302" spans="1:3">
      <c r="A302" t="s">
        <v>45</v>
      </c>
      <c r="B302">
        <v>2029</v>
      </c>
      <c r="C302">
        <v>178.2</v>
      </c>
    </row>
    <row r="303" spans="1:3">
      <c r="A303" t="s">
        <v>45</v>
      </c>
      <c r="B303">
        <v>2030</v>
      </c>
      <c r="C303">
        <v>178.2</v>
      </c>
    </row>
    <row r="304" spans="1:3">
      <c r="A304" t="s">
        <v>45</v>
      </c>
      <c r="B304">
        <v>2031</v>
      </c>
      <c r="C304">
        <v>178.2</v>
      </c>
    </row>
    <row r="305" spans="1:3">
      <c r="A305" t="s">
        <v>45</v>
      </c>
      <c r="B305">
        <v>2032</v>
      </c>
      <c r="C305">
        <v>178.2</v>
      </c>
    </row>
    <row r="306" spans="1:3">
      <c r="A306" t="s">
        <v>45</v>
      </c>
      <c r="B306">
        <v>2033</v>
      </c>
      <c r="C306">
        <v>178.2</v>
      </c>
    </row>
    <row r="307" spans="1:3">
      <c r="A307" t="s">
        <v>45</v>
      </c>
      <c r="B307">
        <v>2034</v>
      </c>
      <c r="C307">
        <v>178.2</v>
      </c>
    </row>
    <row r="308" spans="1:3">
      <c r="A308" t="s">
        <v>46</v>
      </c>
      <c r="B308">
        <v>0</v>
      </c>
      <c r="C308">
        <v>1</v>
      </c>
    </row>
    <row r="309" spans="1:3">
      <c r="A309" t="s">
        <v>46</v>
      </c>
      <c r="B309">
        <v>2019</v>
      </c>
      <c r="C309">
        <v>64.8</v>
      </c>
    </row>
    <row r="310" spans="1:3">
      <c r="A310" t="s">
        <v>46</v>
      </c>
      <c r="B310">
        <v>2020</v>
      </c>
      <c r="C310">
        <v>64.8</v>
      </c>
    </row>
    <row r="311" spans="1:3">
      <c r="A311" t="s">
        <v>46</v>
      </c>
      <c r="B311">
        <v>2021</v>
      </c>
      <c r="C311">
        <v>64.8</v>
      </c>
    </row>
    <row r="312" spans="1:3">
      <c r="A312" t="s">
        <v>46</v>
      </c>
      <c r="B312">
        <v>2022</v>
      </c>
      <c r="C312">
        <v>64.8</v>
      </c>
    </row>
    <row r="313" spans="1:3">
      <c r="A313" t="s">
        <v>46</v>
      </c>
      <c r="B313">
        <v>2023</v>
      </c>
      <c r="C313">
        <v>64.8</v>
      </c>
    </row>
    <row r="314" spans="1:3">
      <c r="A314" t="s">
        <v>46</v>
      </c>
      <c r="B314">
        <v>2024</v>
      </c>
      <c r="C314">
        <v>64.8</v>
      </c>
    </row>
    <row r="315" spans="1:3">
      <c r="A315" t="s">
        <v>46</v>
      </c>
      <c r="B315">
        <v>2025</v>
      </c>
      <c r="C315">
        <v>64.8</v>
      </c>
    </row>
    <row r="316" spans="1:3">
      <c r="A316" t="s">
        <v>46</v>
      </c>
      <c r="B316">
        <v>2026</v>
      </c>
      <c r="C316">
        <v>64.8</v>
      </c>
    </row>
    <row r="317" spans="1:3">
      <c r="A317" t="s">
        <v>46</v>
      </c>
      <c r="B317">
        <v>2027</v>
      </c>
      <c r="C317">
        <v>64.8</v>
      </c>
    </row>
    <row r="318" spans="1:3">
      <c r="A318" t="s">
        <v>46</v>
      </c>
      <c r="B318">
        <v>2028</v>
      </c>
      <c r="C318">
        <v>64.8</v>
      </c>
    </row>
    <row r="319" spans="1:3">
      <c r="A319" t="s">
        <v>46</v>
      </c>
      <c r="B319">
        <v>2029</v>
      </c>
      <c r="C319">
        <v>64.8</v>
      </c>
    </row>
    <row r="320" spans="1:3">
      <c r="A320" t="s">
        <v>46</v>
      </c>
      <c r="B320">
        <v>2030</v>
      </c>
      <c r="C320">
        <v>64.8</v>
      </c>
    </row>
    <row r="321" spans="1:3">
      <c r="A321" t="s">
        <v>46</v>
      </c>
      <c r="B321">
        <v>2031</v>
      </c>
      <c r="C321">
        <v>64.8</v>
      </c>
    </row>
    <row r="322" spans="1:3">
      <c r="A322" t="s">
        <v>46</v>
      </c>
      <c r="B322">
        <v>2032</v>
      </c>
      <c r="C322">
        <v>64.8</v>
      </c>
    </row>
    <row r="323" spans="1:3">
      <c r="A323" t="s">
        <v>46</v>
      </c>
      <c r="B323">
        <v>2033</v>
      </c>
      <c r="C323">
        <v>64.8</v>
      </c>
    </row>
    <row r="324" spans="1:3">
      <c r="A324" t="s">
        <v>47</v>
      </c>
      <c r="B324">
        <v>0</v>
      </c>
      <c r="C324">
        <v>1</v>
      </c>
    </row>
    <row r="325" spans="1:3">
      <c r="A325" t="s">
        <v>47</v>
      </c>
      <c r="B325">
        <v>2019</v>
      </c>
      <c r="C325">
        <v>183.6</v>
      </c>
    </row>
    <row r="326" spans="1:3">
      <c r="A326" t="s">
        <v>47</v>
      </c>
      <c r="B326">
        <v>2020</v>
      </c>
      <c r="C326">
        <v>183.6</v>
      </c>
    </row>
    <row r="327" spans="1:3">
      <c r="A327" t="s">
        <v>47</v>
      </c>
      <c r="B327">
        <v>2021</v>
      </c>
      <c r="C327">
        <v>183.6</v>
      </c>
    </row>
    <row r="328" spans="1:3">
      <c r="A328" t="s">
        <v>47</v>
      </c>
      <c r="B328">
        <v>2022</v>
      </c>
      <c r="C328">
        <v>183.6</v>
      </c>
    </row>
    <row r="329" spans="1:3">
      <c r="A329" t="s">
        <v>47</v>
      </c>
      <c r="B329">
        <v>2023</v>
      </c>
      <c r="C329">
        <v>183.6</v>
      </c>
    </row>
    <row r="330" spans="1:3">
      <c r="A330" t="s">
        <v>47</v>
      </c>
      <c r="B330">
        <v>2024</v>
      </c>
      <c r="C330">
        <v>183.6</v>
      </c>
    </row>
    <row r="331" spans="1:3">
      <c r="A331" t="s">
        <v>47</v>
      </c>
      <c r="B331">
        <v>2025</v>
      </c>
      <c r="C331">
        <v>183.6</v>
      </c>
    </row>
    <row r="332" spans="1:3">
      <c r="A332" t="s">
        <v>47</v>
      </c>
      <c r="B332">
        <v>2026</v>
      </c>
      <c r="C332">
        <v>183.6</v>
      </c>
    </row>
    <row r="333" spans="1:3">
      <c r="A333" t="s">
        <v>47</v>
      </c>
      <c r="B333">
        <v>2027</v>
      </c>
      <c r="C333">
        <v>183.6</v>
      </c>
    </row>
    <row r="334" spans="1:3">
      <c r="A334" t="s">
        <v>48</v>
      </c>
      <c r="B334">
        <v>0</v>
      </c>
      <c r="C334">
        <v>1</v>
      </c>
    </row>
    <row r="335" spans="1:3">
      <c r="A335" t="s">
        <v>48</v>
      </c>
      <c r="B335">
        <v>2019</v>
      </c>
      <c r="C335">
        <v>135</v>
      </c>
    </row>
    <row r="336" spans="1:3">
      <c r="A336" t="s">
        <v>48</v>
      </c>
      <c r="B336">
        <v>2020</v>
      </c>
      <c r="C336">
        <v>135</v>
      </c>
    </row>
    <row r="337" spans="1:3">
      <c r="A337" t="s">
        <v>48</v>
      </c>
      <c r="B337">
        <v>2021</v>
      </c>
      <c r="C337">
        <v>135</v>
      </c>
    </row>
    <row r="338" spans="1:3">
      <c r="A338" t="s">
        <v>48</v>
      </c>
      <c r="B338">
        <v>2022</v>
      </c>
      <c r="C338">
        <v>135</v>
      </c>
    </row>
    <row r="339" spans="1:3">
      <c r="A339" t="s">
        <v>48</v>
      </c>
      <c r="B339">
        <v>2023</v>
      </c>
      <c r="C339">
        <v>135</v>
      </c>
    </row>
    <row r="340" spans="1:3">
      <c r="A340" t="s">
        <v>48</v>
      </c>
      <c r="B340">
        <v>2024</v>
      </c>
      <c r="C340">
        <v>135</v>
      </c>
    </row>
    <row r="341" spans="1:3">
      <c r="A341" t="s">
        <v>48</v>
      </c>
      <c r="B341">
        <v>2025</v>
      </c>
      <c r="C341">
        <v>135</v>
      </c>
    </row>
    <row r="342" spans="1:3">
      <c r="A342" t="s">
        <v>48</v>
      </c>
      <c r="B342">
        <v>2026</v>
      </c>
      <c r="C342">
        <v>135</v>
      </c>
    </row>
    <row r="343" spans="1:3">
      <c r="A343" t="s">
        <v>48</v>
      </c>
      <c r="B343">
        <v>2027</v>
      </c>
      <c r="C343">
        <v>135</v>
      </c>
    </row>
    <row r="344" spans="1:3">
      <c r="A344" t="s">
        <v>48</v>
      </c>
      <c r="B344">
        <v>2028</v>
      </c>
      <c r="C344">
        <v>135</v>
      </c>
    </row>
    <row r="345" spans="1:3">
      <c r="A345" t="s">
        <v>48</v>
      </c>
      <c r="B345">
        <v>2029</v>
      </c>
      <c r="C345">
        <v>135</v>
      </c>
    </row>
    <row r="346" spans="1:3">
      <c r="A346" t="s">
        <v>48</v>
      </c>
      <c r="B346">
        <v>2030</v>
      </c>
      <c r="C346">
        <v>135</v>
      </c>
    </row>
    <row r="347" spans="1:3">
      <c r="A347" t="s">
        <v>48</v>
      </c>
      <c r="B347">
        <v>2031</v>
      </c>
      <c r="C347">
        <v>135</v>
      </c>
    </row>
    <row r="348" spans="1:3">
      <c r="A348" t="s">
        <v>48</v>
      </c>
      <c r="B348">
        <v>2032</v>
      </c>
      <c r="C348">
        <v>135</v>
      </c>
    </row>
    <row r="349" spans="1:3">
      <c r="A349" t="s">
        <v>48</v>
      </c>
      <c r="B349">
        <v>2033</v>
      </c>
      <c r="C349">
        <v>135</v>
      </c>
    </row>
    <row r="350" spans="1:3">
      <c r="A350" t="s">
        <v>49</v>
      </c>
      <c r="B350">
        <v>0</v>
      </c>
      <c r="C350">
        <v>1</v>
      </c>
    </row>
    <row r="351" spans="1:3">
      <c r="A351" t="s">
        <v>49</v>
      </c>
      <c r="B351">
        <v>2019</v>
      </c>
      <c r="C351">
        <v>453.6</v>
      </c>
    </row>
    <row r="352" spans="1:3">
      <c r="A352" t="s">
        <v>49</v>
      </c>
      <c r="B352">
        <v>2020</v>
      </c>
      <c r="C352">
        <v>453.6</v>
      </c>
    </row>
    <row r="353" spans="1:3">
      <c r="A353" t="s">
        <v>49</v>
      </c>
      <c r="B353">
        <v>2021</v>
      </c>
      <c r="C353">
        <v>453.6</v>
      </c>
    </row>
    <row r="354" spans="1:3">
      <c r="A354" t="s">
        <v>49</v>
      </c>
      <c r="B354">
        <v>2022</v>
      </c>
      <c r="C354">
        <v>507.6</v>
      </c>
    </row>
    <row r="355" spans="1:3">
      <c r="A355" t="s">
        <v>49</v>
      </c>
      <c r="B355">
        <v>2023</v>
      </c>
      <c r="C355">
        <v>507.6</v>
      </c>
    </row>
    <row r="356" spans="1:3">
      <c r="A356" t="s">
        <v>49</v>
      </c>
      <c r="B356">
        <v>2024</v>
      </c>
      <c r="C356">
        <v>507.6</v>
      </c>
    </row>
    <row r="357" spans="1:3">
      <c r="A357" t="s">
        <v>49</v>
      </c>
      <c r="B357">
        <v>2025</v>
      </c>
      <c r="C357">
        <v>507.6</v>
      </c>
    </row>
    <row r="358" spans="1:3">
      <c r="A358" t="s">
        <v>49</v>
      </c>
      <c r="B358">
        <v>2026</v>
      </c>
      <c r="C358">
        <v>507.6</v>
      </c>
    </row>
    <row r="359" spans="1:3">
      <c r="A359" t="s">
        <v>49</v>
      </c>
      <c r="B359">
        <v>2027</v>
      </c>
      <c r="C359">
        <v>507.6</v>
      </c>
    </row>
    <row r="360" spans="1:3">
      <c r="A360" t="s">
        <v>49</v>
      </c>
      <c r="B360">
        <v>2028</v>
      </c>
      <c r="C360">
        <v>507.6</v>
      </c>
    </row>
    <row r="361" spans="1:3">
      <c r="A361" t="s">
        <v>49</v>
      </c>
      <c r="B361">
        <v>2029</v>
      </c>
      <c r="C361">
        <v>507.6</v>
      </c>
    </row>
    <row r="362" spans="1:3">
      <c r="A362" t="s">
        <v>49</v>
      </c>
      <c r="B362">
        <v>2030</v>
      </c>
      <c r="C362">
        <v>507.6</v>
      </c>
    </row>
    <row r="363" spans="1:3">
      <c r="A363" t="s">
        <v>49</v>
      </c>
      <c r="B363">
        <v>2031</v>
      </c>
      <c r="C363">
        <v>507.6</v>
      </c>
    </row>
    <row r="364" spans="1:3">
      <c r="A364" t="s">
        <v>49</v>
      </c>
      <c r="B364">
        <v>2032</v>
      </c>
      <c r="C364">
        <v>507.6</v>
      </c>
    </row>
    <row r="365" spans="1:3">
      <c r="A365" t="s">
        <v>49</v>
      </c>
      <c r="B365">
        <v>2033</v>
      </c>
      <c r="C365">
        <v>453.6</v>
      </c>
    </row>
    <row r="366" spans="1:3">
      <c r="A366" t="s">
        <v>49</v>
      </c>
      <c r="B366">
        <v>2034</v>
      </c>
      <c r="C366">
        <v>453.6</v>
      </c>
    </row>
    <row r="367" spans="1:3">
      <c r="A367" t="s">
        <v>49</v>
      </c>
      <c r="B367">
        <v>2035</v>
      </c>
      <c r="C367">
        <v>453.6</v>
      </c>
    </row>
    <row r="368" spans="1:3">
      <c r="A368" t="s">
        <v>49</v>
      </c>
      <c r="B368">
        <v>2036</v>
      </c>
      <c r="C368">
        <v>345.6</v>
      </c>
    </row>
    <row r="369" spans="1:3">
      <c r="A369" t="s">
        <v>49</v>
      </c>
      <c r="B369">
        <v>2037</v>
      </c>
      <c r="C369">
        <v>183.6</v>
      </c>
    </row>
    <row r="370" spans="1:3">
      <c r="A370" t="s">
        <v>49</v>
      </c>
      <c r="B370">
        <v>2038</v>
      </c>
      <c r="C370">
        <v>183.6</v>
      </c>
    </row>
    <row r="371" spans="1:3">
      <c r="A371" t="s">
        <v>49</v>
      </c>
      <c r="B371">
        <v>2039</v>
      </c>
      <c r="C371">
        <v>183.6</v>
      </c>
    </row>
    <row r="372" spans="1:3">
      <c r="A372" t="s">
        <v>49</v>
      </c>
      <c r="B372">
        <v>2040</v>
      </c>
      <c r="C372">
        <v>183.6</v>
      </c>
    </row>
    <row r="373" spans="1:3">
      <c r="A373" t="s">
        <v>50</v>
      </c>
      <c r="B373">
        <v>0</v>
      </c>
      <c r="C373">
        <v>1</v>
      </c>
    </row>
    <row r="374" spans="1:3">
      <c r="A374" t="s">
        <v>50</v>
      </c>
      <c r="B374">
        <v>2019</v>
      </c>
      <c r="C374">
        <v>81</v>
      </c>
    </row>
    <row r="375" spans="1:3">
      <c r="A375" t="s">
        <v>50</v>
      </c>
      <c r="B375">
        <v>2020</v>
      </c>
      <c r="C375">
        <v>81</v>
      </c>
    </row>
    <row r="376" spans="1:3">
      <c r="A376" t="s">
        <v>50</v>
      </c>
      <c r="B376">
        <v>2021</v>
      </c>
      <c r="C376">
        <v>81</v>
      </c>
    </row>
    <row r="377" spans="1:3">
      <c r="A377" t="s">
        <v>50</v>
      </c>
      <c r="B377">
        <v>2022</v>
      </c>
      <c r="C377">
        <v>81</v>
      </c>
    </row>
    <row r="378" spans="1:3">
      <c r="A378" t="s">
        <v>50</v>
      </c>
      <c r="B378">
        <v>2023</v>
      </c>
      <c r="C378">
        <v>81</v>
      </c>
    </row>
    <row r="379" spans="1:3">
      <c r="A379" t="s">
        <v>50</v>
      </c>
      <c r="B379">
        <v>2024</v>
      </c>
      <c r="C379">
        <v>81</v>
      </c>
    </row>
    <row r="380" spans="1:3">
      <c r="A380" t="s">
        <v>50</v>
      </c>
      <c r="B380">
        <v>2025</v>
      </c>
      <c r="C380">
        <v>40.5</v>
      </c>
    </row>
    <row r="381" spans="1:3">
      <c r="A381" t="s">
        <v>51</v>
      </c>
      <c r="B381">
        <v>0</v>
      </c>
      <c r="C381">
        <v>1</v>
      </c>
    </row>
    <row r="382" spans="1:3">
      <c r="A382" t="s">
        <v>51</v>
      </c>
      <c r="B382">
        <v>2019</v>
      </c>
      <c r="C382">
        <v>108</v>
      </c>
    </row>
    <row r="383" spans="1:3">
      <c r="A383" t="s">
        <v>51</v>
      </c>
      <c r="B383">
        <v>2020</v>
      </c>
      <c r="C383">
        <v>108</v>
      </c>
    </row>
    <row r="384" spans="1:3">
      <c r="A384" t="s">
        <v>51</v>
      </c>
      <c r="B384">
        <v>2021</v>
      </c>
      <c r="C384">
        <v>108</v>
      </c>
    </row>
    <row r="385" spans="1:3">
      <c r="A385" t="s">
        <v>52</v>
      </c>
      <c r="B385">
        <v>0</v>
      </c>
      <c r="C385">
        <v>1</v>
      </c>
    </row>
    <row r="386" spans="1:3">
      <c r="A386" t="s">
        <v>52</v>
      </c>
      <c r="B386">
        <v>2019</v>
      </c>
      <c r="C386">
        <v>223.56</v>
      </c>
    </row>
    <row r="387" spans="1:3">
      <c r="A387" t="s">
        <v>52</v>
      </c>
      <c r="B387">
        <v>2020</v>
      </c>
      <c r="C387">
        <v>223.56</v>
      </c>
    </row>
    <row r="388" spans="1:3">
      <c r="A388" t="s">
        <v>52</v>
      </c>
      <c r="B388">
        <v>2021</v>
      </c>
      <c r="C388">
        <v>223.56</v>
      </c>
    </row>
    <row r="389" spans="1:3">
      <c r="A389" t="s">
        <v>52</v>
      </c>
      <c r="B389">
        <v>2022</v>
      </c>
      <c r="C389">
        <v>223.56</v>
      </c>
    </row>
    <row r="390" spans="1:3">
      <c r="A390" t="s">
        <v>52</v>
      </c>
      <c r="B390">
        <v>2023</v>
      </c>
      <c r="C390">
        <v>223.56</v>
      </c>
    </row>
    <row r="391" spans="1:3">
      <c r="A391" t="s">
        <v>53</v>
      </c>
      <c r="B391">
        <v>0</v>
      </c>
      <c r="C391">
        <v>1</v>
      </c>
    </row>
    <row r="392" spans="1:3">
      <c r="A392" t="s">
        <v>53</v>
      </c>
      <c r="B392">
        <v>2019</v>
      </c>
      <c r="C392">
        <v>459</v>
      </c>
    </row>
    <row r="393" spans="1:3">
      <c r="A393" t="s">
        <v>53</v>
      </c>
      <c r="B393">
        <v>2020</v>
      </c>
      <c r="C393">
        <v>459</v>
      </c>
    </row>
    <row r="394" spans="1:3">
      <c r="A394" t="s">
        <v>53</v>
      </c>
      <c r="B394">
        <v>2021</v>
      </c>
      <c r="C394">
        <v>459</v>
      </c>
    </row>
    <row r="395" spans="1:3">
      <c r="A395" t="s">
        <v>53</v>
      </c>
      <c r="B395">
        <v>2022</v>
      </c>
      <c r="C395">
        <v>459</v>
      </c>
    </row>
    <row r="396" spans="1:3">
      <c r="A396" t="s">
        <v>53</v>
      </c>
      <c r="B396">
        <v>2023</v>
      </c>
      <c r="C396">
        <v>459</v>
      </c>
    </row>
    <row r="397" spans="1:3">
      <c r="A397" t="s">
        <v>53</v>
      </c>
      <c r="B397">
        <v>2024</v>
      </c>
      <c r="C397">
        <v>459</v>
      </c>
    </row>
    <row r="398" spans="1:3">
      <c r="A398" t="s">
        <v>53</v>
      </c>
      <c r="B398">
        <v>2025</v>
      </c>
      <c r="C398">
        <v>459</v>
      </c>
    </row>
    <row r="399" spans="1:3">
      <c r="A399" t="s">
        <v>53</v>
      </c>
      <c r="B399">
        <v>2026</v>
      </c>
      <c r="C399">
        <v>459</v>
      </c>
    </row>
    <row r="400" spans="1:3">
      <c r="A400" t="s">
        <v>53</v>
      </c>
      <c r="B400">
        <v>2027</v>
      </c>
      <c r="C400">
        <v>459</v>
      </c>
    </row>
    <row r="401" spans="1:3">
      <c r="A401" t="s">
        <v>53</v>
      </c>
      <c r="B401">
        <v>2028</v>
      </c>
      <c r="C401">
        <v>459</v>
      </c>
    </row>
    <row r="402" spans="1:3">
      <c r="A402" t="s">
        <v>54</v>
      </c>
      <c r="B402">
        <v>0</v>
      </c>
      <c r="C402">
        <v>1</v>
      </c>
    </row>
    <row r="403" spans="1:3">
      <c r="A403" t="s">
        <v>54</v>
      </c>
      <c r="B403">
        <v>2019</v>
      </c>
      <c r="C403">
        <v>359.1</v>
      </c>
    </row>
    <row r="404" spans="1:3">
      <c r="A404" t="s">
        <v>54</v>
      </c>
      <c r="B404">
        <v>2020</v>
      </c>
      <c r="C404">
        <v>359.1</v>
      </c>
    </row>
    <row r="405" spans="1:3">
      <c r="A405" t="s">
        <v>54</v>
      </c>
      <c r="B405">
        <v>2021</v>
      </c>
      <c r="C405">
        <v>359.1</v>
      </c>
    </row>
    <row r="406" spans="1:3">
      <c r="A406" t="s">
        <v>54</v>
      </c>
      <c r="B406">
        <v>2022</v>
      </c>
      <c r="C406">
        <v>359.1</v>
      </c>
    </row>
    <row r="407" spans="1:3">
      <c r="A407" t="s">
        <v>54</v>
      </c>
      <c r="B407">
        <v>2023</v>
      </c>
      <c r="C407">
        <v>359.1</v>
      </c>
    </row>
    <row r="408" spans="1:3">
      <c r="A408" t="s">
        <v>54</v>
      </c>
      <c r="B408">
        <v>2024</v>
      </c>
      <c r="C408">
        <v>359.1</v>
      </c>
    </row>
    <row r="409" spans="1:3">
      <c r="A409" t="s">
        <v>54</v>
      </c>
      <c r="B409">
        <v>2025</v>
      </c>
      <c r="C409">
        <v>359.1</v>
      </c>
    </row>
    <row r="410" spans="1:3">
      <c r="A410" t="s">
        <v>54</v>
      </c>
      <c r="B410">
        <v>2026</v>
      </c>
      <c r="C410">
        <v>359.1</v>
      </c>
    </row>
    <row r="411" spans="1:3">
      <c r="A411" t="s">
        <v>54</v>
      </c>
      <c r="B411">
        <v>2027</v>
      </c>
      <c r="C411">
        <v>359.1</v>
      </c>
    </row>
    <row r="412" spans="1:3">
      <c r="A412" t="s">
        <v>54</v>
      </c>
      <c r="B412">
        <v>2028</v>
      </c>
      <c r="C412">
        <v>248.4</v>
      </c>
    </row>
    <row r="413" spans="1:3">
      <c r="A413" t="s">
        <v>54</v>
      </c>
      <c r="B413">
        <v>2029</v>
      </c>
      <c r="C413">
        <v>248.4</v>
      </c>
    </row>
    <row r="414" spans="1:3">
      <c r="A414" t="s">
        <v>54</v>
      </c>
      <c r="B414">
        <v>2030</v>
      </c>
      <c r="C414">
        <v>248.4</v>
      </c>
    </row>
    <row r="415" spans="1:3">
      <c r="A415" t="s">
        <v>54</v>
      </c>
      <c r="B415">
        <v>2031</v>
      </c>
      <c r="C415">
        <v>248.4</v>
      </c>
    </row>
    <row r="416" spans="1:3">
      <c r="A416" t="s">
        <v>54</v>
      </c>
      <c r="B416">
        <v>2032</v>
      </c>
      <c r="C416">
        <v>248.4</v>
      </c>
    </row>
    <row r="417" spans="1:3">
      <c r="A417" t="s">
        <v>54</v>
      </c>
      <c r="B417">
        <v>2033</v>
      </c>
      <c r="C417">
        <v>248.4</v>
      </c>
    </row>
    <row r="418" spans="1:3">
      <c r="A418" t="s">
        <v>54</v>
      </c>
      <c r="B418">
        <v>2034</v>
      </c>
      <c r="C418">
        <v>248.4</v>
      </c>
    </row>
    <row r="419" spans="1:3">
      <c r="A419" t="s">
        <v>55</v>
      </c>
      <c r="B419">
        <v>0</v>
      </c>
      <c r="C419">
        <v>1</v>
      </c>
    </row>
    <row r="420" spans="1:3">
      <c r="A420" t="s">
        <v>55</v>
      </c>
      <c r="B420">
        <v>2019</v>
      </c>
      <c r="C420">
        <v>522.72</v>
      </c>
    </row>
    <row r="421" spans="1:3">
      <c r="A421" t="s">
        <v>55</v>
      </c>
      <c r="B421">
        <v>2020</v>
      </c>
      <c r="C421">
        <v>522.72</v>
      </c>
    </row>
    <row r="422" spans="1:3">
      <c r="A422" t="s">
        <v>55</v>
      </c>
      <c r="B422">
        <v>2021</v>
      </c>
      <c r="C422">
        <v>522.72</v>
      </c>
    </row>
    <row r="423" spans="1:3">
      <c r="A423" t="s">
        <v>55</v>
      </c>
      <c r="B423">
        <v>2022</v>
      </c>
      <c r="C423">
        <v>133.91999999999999</v>
      </c>
    </row>
    <row r="424" spans="1:3">
      <c r="A424" t="s">
        <v>55</v>
      </c>
      <c r="B424">
        <v>2023</v>
      </c>
      <c r="C424">
        <v>133.91999999999999</v>
      </c>
    </row>
    <row r="425" spans="1:3">
      <c r="A425" t="s">
        <v>55</v>
      </c>
      <c r="B425">
        <v>2024</v>
      </c>
      <c r="C425">
        <v>133.91999999999999</v>
      </c>
    </row>
    <row r="426" spans="1:3">
      <c r="A426" t="s">
        <v>55</v>
      </c>
      <c r="B426">
        <v>2025</v>
      </c>
      <c r="C426">
        <v>74.52</v>
      </c>
    </row>
    <row r="427" spans="1:3">
      <c r="A427" t="s">
        <v>55</v>
      </c>
      <c r="B427">
        <v>2026</v>
      </c>
      <c r="C427">
        <v>74.52</v>
      </c>
    </row>
    <row r="428" spans="1:3">
      <c r="A428" t="s">
        <v>55</v>
      </c>
      <c r="B428">
        <v>2027</v>
      </c>
      <c r="C428">
        <v>74.52</v>
      </c>
    </row>
    <row r="429" spans="1:3">
      <c r="A429" t="s">
        <v>55</v>
      </c>
      <c r="B429">
        <v>2028</v>
      </c>
      <c r="C429">
        <v>47.52</v>
      </c>
    </row>
    <row r="430" spans="1:3">
      <c r="A430" t="s">
        <v>55</v>
      </c>
      <c r="B430">
        <v>2029</v>
      </c>
      <c r="C430">
        <v>9.7200000000000006</v>
      </c>
    </row>
    <row r="431" spans="1:3">
      <c r="A431" t="s">
        <v>55</v>
      </c>
      <c r="B431">
        <v>2030</v>
      </c>
      <c r="C431">
        <v>9.7200000000000006</v>
      </c>
    </row>
    <row r="432" spans="1:3">
      <c r="A432" t="s">
        <v>56</v>
      </c>
      <c r="B432">
        <v>0</v>
      </c>
      <c r="C432">
        <v>1</v>
      </c>
    </row>
    <row r="433" spans="1:3">
      <c r="A433" t="s">
        <v>56</v>
      </c>
      <c r="B433">
        <v>2019</v>
      </c>
      <c r="C433">
        <v>487.08</v>
      </c>
    </row>
    <row r="434" spans="1:3">
      <c r="A434" t="s">
        <v>56</v>
      </c>
      <c r="B434">
        <v>2020</v>
      </c>
      <c r="C434">
        <v>487.08</v>
      </c>
    </row>
    <row r="435" spans="1:3">
      <c r="A435" t="s">
        <v>56</v>
      </c>
      <c r="B435">
        <v>2021</v>
      </c>
      <c r="C435">
        <v>487.08</v>
      </c>
    </row>
    <row r="436" spans="1:3">
      <c r="A436" t="s">
        <v>56</v>
      </c>
      <c r="B436">
        <v>2022</v>
      </c>
      <c r="C436">
        <v>487.08</v>
      </c>
    </row>
    <row r="437" spans="1:3">
      <c r="A437" t="s">
        <v>56</v>
      </c>
      <c r="B437">
        <v>2023</v>
      </c>
      <c r="C437">
        <v>487.08</v>
      </c>
    </row>
    <row r="438" spans="1:3">
      <c r="A438" t="s">
        <v>56</v>
      </c>
      <c r="B438">
        <v>2024</v>
      </c>
      <c r="C438">
        <v>487.08</v>
      </c>
    </row>
    <row r="439" spans="1:3">
      <c r="A439" t="s">
        <v>56</v>
      </c>
      <c r="B439">
        <v>2025</v>
      </c>
      <c r="C439">
        <v>329.4</v>
      </c>
    </row>
    <row r="440" spans="1:3">
      <c r="A440" t="s">
        <v>56</v>
      </c>
      <c r="B440">
        <v>2026</v>
      </c>
      <c r="C440">
        <v>329.4</v>
      </c>
    </row>
    <row r="441" spans="1:3">
      <c r="A441" t="s">
        <v>56</v>
      </c>
      <c r="B441">
        <v>2027</v>
      </c>
      <c r="C441">
        <v>216</v>
      </c>
    </row>
    <row r="442" spans="1:3">
      <c r="A442" t="s">
        <v>56</v>
      </c>
      <c r="B442">
        <v>2028</v>
      </c>
      <c r="C442">
        <v>216</v>
      </c>
    </row>
    <row r="443" spans="1:3">
      <c r="A443" t="s">
        <v>56</v>
      </c>
      <c r="B443">
        <v>2029</v>
      </c>
      <c r="C443">
        <v>216</v>
      </c>
    </row>
    <row r="444" spans="1:3">
      <c r="A444" t="s">
        <v>56</v>
      </c>
      <c r="B444">
        <v>2030</v>
      </c>
      <c r="C444">
        <v>216</v>
      </c>
    </row>
    <row r="445" spans="1:3">
      <c r="A445" t="s">
        <v>56</v>
      </c>
      <c r="B445">
        <v>2031</v>
      </c>
      <c r="C445">
        <v>216</v>
      </c>
    </row>
    <row r="446" spans="1:3">
      <c r="A446" t="s">
        <v>56</v>
      </c>
      <c r="B446">
        <v>2032</v>
      </c>
      <c r="C446">
        <v>216</v>
      </c>
    </row>
    <row r="447" spans="1:3">
      <c r="A447" t="s">
        <v>56</v>
      </c>
      <c r="B447">
        <v>2033</v>
      </c>
      <c r="C447">
        <v>108</v>
      </c>
    </row>
    <row r="448" spans="1:3">
      <c r="A448" t="s">
        <v>56</v>
      </c>
      <c r="B448">
        <v>2034</v>
      </c>
      <c r="C448">
        <v>108</v>
      </c>
    </row>
    <row r="449" spans="1:3">
      <c r="A449" t="s">
        <v>56</v>
      </c>
      <c r="B449">
        <v>2035</v>
      </c>
      <c r="C449">
        <v>108</v>
      </c>
    </row>
    <row r="450" spans="1:3">
      <c r="A450" t="s">
        <v>56</v>
      </c>
      <c r="B450">
        <v>2036</v>
      </c>
      <c r="C450">
        <v>108</v>
      </c>
    </row>
    <row r="451" spans="1:3">
      <c r="A451" t="s">
        <v>56</v>
      </c>
      <c r="B451">
        <v>2037</v>
      </c>
      <c r="C451">
        <v>108</v>
      </c>
    </row>
    <row r="452" spans="1:3">
      <c r="A452" t="s">
        <v>56</v>
      </c>
      <c r="B452">
        <v>2038</v>
      </c>
      <c r="C452">
        <v>108</v>
      </c>
    </row>
    <row r="453" spans="1:3">
      <c r="A453" t="s">
        <v>56</v>
      </c>
      <c r="B453">
        <v>2039</v>
      </c>
      <c r="C453">
        <v>108</v>
      </c>
    </row>
    <row r="454" spans="1:3">
      <c r="A454" t="s">
        <v>56</v>
      </c>
      <c r="B454">
        <v>2040</v>
      </c>
      <c r="C454">
        <v>108</v>
      </c>
    </row>
    <row r="455" spans="1:3">
      <c r="A455" t="s">
        <v>56</v>
      </c>
      <c r="B455">
        <v>2043</v>
      </c>
      <c r="C455">
        <v>108</v>
      </c>
    </row>
    <row r="456" spans="1:3">
      <c r="A456" t="s">
        <v>56</v>
      </c>
      <c r="B456">
        <v>2046</v>
      </c>
      <c r="C456">
        <v>108</v>
      </c>
    </row>
    <row r="457" spans="1:3">
      <c r="A457" t="s">
        <v>56</v>
      </c>
      <c r="B457">
        <v>2047</v>
      </c>
      <c r="C457">
        <v>108</v>
      </c>
    </row>
    <row r="458" spans="1:3">
      <c r="A458" t="s">
        <v>56</v>
      </c>
      <c r="B458">
        <v>2050</v>
      </c>
      <c r="C458">
        <v>108</v>
      </c>
    </row>
    <row r="459" spans="1:3">
      <c r="A459" t="s">
        <v>57</v>
      </c>
      <c r="B459">
        <v>0</v>
      </c>
      <c r="C459">
        <v>1</v>
      </c>
    </row>
    <row r="460" spans="1:3">
      <c r="A460" t="s">
        <v>57</v>
      </c>
      <c r="B460">
        <v>2020</v>
      </c>
      <c r="C460">
        <v>54</v>
      </c>
    </row>
    <row r="461" spans="1:3">
      <c r="A461" t="s">
        <v>57</v>
      </c>
      <c r="B461">
        <v>2021</v>
      </c>
      <c r="C461">
        <v>54</v>
      </c>
    </row>
    <row r="462" spans="1:3">
      <c r="A462" t="s">
        <v>57</v>
      </c>
      <c r="B462">
        <v>2022</v>
      </c>
      <c r="C462">
        <v>54</v>
      </c>
    </row>
    <row r="463" spans="1:3">
      <c r="A463" t="s">
        <v>57</v>
      </c>
      <c r="B463">
        <v>2023</v>
      </c>
      <c r="C463">
        <v>54</v>
      </c>
    </row>
    <row r="464" spans="1:3">
      <c r="A464" t="s">
        <v>57</v>
      </c>
      <c r="B464">
        <v>2024</v>
      </c>
      <c r="C464">
        <v>54</v>
      </c>
    </row>
    <row r="465" spans="1:3">
      <c r="A465" t="s">
        <v>57</v>
      </c>
      <c r="B465">
        <v>2025</v>
      </c>
      <c r="C465">
        <v>54</v>
      </c>
    </row>
    <row r="466" spans="1:3">
      <c r="A466" t="s">
        <v>57</v>
      </c>
      <c r="B466">
        <v>2026</v>
      </c>
      <c r="C466">
        <v>54</v>
      </c>
    </row>
    <row r="467" spans="1:3">
      <c r="A467" t="s">
        <v>57</v>
      </c>
      <c r="B467">
        <v>2027</v>
      </c>
      <c r="C467">
        <v>54</v>
      </c>
    </row>
    <row r="468" spans="1:3">
      <c r="A468" t="s">
        <v>57</v>
      </c>
      <c r="B468">
        <v>2028</v>
      </c>
      <c r="C468">
        <v>54</v>
      </c>
    </row>
    <row r="469" spans="1:3">
      <c r="A469" t="s">
        <v>57</v>
      </c>
      <c r="B469">
        <v>2029</v>
      </c>
      <c r="C469">
        <v>54</v>
      </c>
    </row>
    <row r="470" spans="1:3">
      <c r="A470" t="s">
        <v>57</v>
      </c>
      <c r="B470">
        <v>2030</v>
      </c>
      <c r="C470">
        <v>54</v>
      </c>
    </row>
    <row r="471" spans="1:3">
      <c r="A471" t="s">
        <v>58</v>
      </c>
      <c r="B471">
        <v>0</v>
      </c>
      <c r="C471">
        <v>1</v>
      </c>
    </row>
    <row r="472" spans="1:3">
      <c r="A472" t="s">
        <v>58</v>
      </c>
      <c r="B472">
        <v>2019</v>
      </c>
      <c r="C472">
        <v>202.5</v>
      </c>
    </row>
    <row r="473" spans="1:3">
      <c r="A473" t="s">
        <v>58</v>
      </c>
      <c r="B473">
        <v>2020</v>
      </c>
      <c r="C473">
        <v>202.5</v>
      </c>
    </row>
    <row r="474" spans="1:3">
      <c r="A474" t="s">
        <v>58</v>
      </c>
      <c r="B474">
        <v>2021</v>
      </c>
      <c r="C474">
        <v>202.5</v>
      </c>
    </row>
    <row r="475" spans="1:3">
      <c r="A475" t="s">
        <v>58</v>
      </c>
      <c r="B475">
        <v>2022</v>
      </c>
      <c r="C475">
        <v>202.5</v>
      </c>
    </row>
    <row r="476" spans="1:3">
      <c r="A476" t="s">
        <v>58</v>
      </c>
      <c r="B476">
        <v>2023</v>
      </c>
      <c r="C476">
        <v>202.5</v>
      </c>
    </row>
    <row r="477" spans="1:3">
      <c r="A477" t="s">
        <v>58</v>
      </c>
      <c r="B477">
        <v>2024</v>
      </c>
      <c r="C477">
        <v>202.5</v>
      </c>
    </row>
    <row r="478" spans="1:3">
      <c r="A478" t="s">
        <v>58</v>
      </c>
      <c r="B478">
        <v>2025</v>
      </c>
      <c r="C478">
        <v>202.5</v>
      </c>
    </row>
    <row r="479" spans="1:3">
      <c r="A479" t="s">
        <v>58</v>
      </c>
      <c r="B479">
        <v>2026</v>
      </c>
      <c r="C479">
        <v>202.5</v>
      </c>
    </row>
    <row r="480" spans="1:3">
      <c r="A480" t="s">
        <v>58</v>
      </c>
      <c r="B480">
        <v>2027</v>
      </c>
      <c r="C480">
        <v>202.5</v>
      </c>
    </row>
    <row r="481" spans="1:3">
      <c r="A481" t="s">
        <v>58</v>
      </c>
      <c r="B481">
        <v>2028</v>
      </c>
      <c r="C481">
        <v>202.5</v>
      </c>
    </row>
    <row r="482" spans="1:3">
      <c r="A482" t="s">
        <v>58</v>
      </c>
      <c r="B482">
        <v>2029</v>
      </c>
      <c r="C482">
        <v>202.5</v>
      </c>
    </row>
    <row r="483" spans="1:3">
      <c r="A483" t="s">
        <v>58</v>
      </c>
      <c r="B483">
        <v>2030</v>
      </c>
      <c r="C483">
        <v>202.5</v>
      </c>
    </row>
    <row r="484" spans="1:3">
      <c r="A484" t="s">
        <v>58</v>
      </c>
      <c r="B484">
        <v>2031</v>
      </c>
      <c r="C484">
        <v>202.5</v>
      </c>
    </row>
    <row r="485" spans="1:3">
      <c r="A485" t="s">
        <v>59</v>
      </c>
      <c r="B485">
        <v>0</v>
      </c>
      <c r="C485">
        <v>1</v>
      </c>
    </row>
    <row r="486" spans="1:3">
      <c r="A486" t="s">
        <v>59</v>
      </c>
      <c r="B486">
        <v>2019</v>
      </c>
      <c r="C486">
        <v>108</v>
      </c>
    </row>
    <row r="487" spans="1:3">
      <c r="A487" t="s">
        <v>59</v>
      </c>
      <c r="B487">
        <v>2020</v>
      </c>
      <c r="C487">
        <v>108</v>
      </c>
    </row>
    <row r="488" spans="1:3">
      <c r="A488" t="s">
        <v>59</v>
      </c>
      <c r="B488">
        <v>2021</v>
      </c>
      <c r="C488">
        <v>108</v>
      </c>
    </row>
    <row r="489" spans="1:3">
      <c r="A489" t="s">
        <v>59</v>
      </c>
      <c r="B489">
        <v>2022</v>
      </c>
      <c r="C489">
        <v>108</v>
      </c>
    </row>
    <row r="490" spans="1:3">
      <c r="A490" t="s">
        <v>59</v>
      </c>
      <c r="B490">
        <v>2023</v>
      </c>
      <c r="C490">
        <v>108</v>
      </c>
    </row>
    <row r="491" spans="1:3">
      <c r="A491" t="s">
        <v>59</v>
      </c>
      <c r="B491">
        <v>2024</v>
      </c>
      <c r="C491">
        <v>108</v>
      </c>
    </row>
    <row r="492" spans="1:3">
      <c r="A492" t="s">
        <v>59</v>
      </c>
      <c r="B492">
        <v>2025</v>
      </c>
      <c r="C492">
        <v>108</v>
      </c>
    </row>
    <row r="493" spans="1:3">
      <c r="A493" t="s">
        <v>59</v>
      </c>
      <c r="B493">
        <v>2026</v>
      </c>
      <c r="C493">
        <v>108</v>
      </c>
    </row>
    <row r="494" spans="1:3">
      <c r="A494" t="s">
        <v>59</v>
      </c>
      <c r="B494">
        <v>2027</v>
      </c>
      <c r="C494">
        <v>108</v>
      </c>
    </row>
    <row r="495" spans="1:3">
      <c r="A495" t="s">
        <v>59</v>
      </c>
      <c r="B495">
        <v>2028</v>
      </c>
      <c r="C495">
        <v>108</v>
      </c>
    </row>
    <row r="496" spans="1:3">
      <c r="A496" t="s">
        <v>59</v>
      </c>
      <c r="B496">
        <v>2029</v>
      </c>
      <c r="C496">
        <v>108</v>
      </c>
    </row>
    <row r="497" spans="1:3">
      <c r="A497" t="s">
        <v>59</v>
      </c>
      <c r="B497">
        <v>2030</v>
      </c>
      <c r="C497">
        <v>108</v>
      </c>
    </row>
    <row r="498" spans="1:3">
      <c r="A498" t="s">
        <v>59</v>
      </c>
      <c r="B498">
        <v>2031</v>
      </c>
      <c r="C498">
        <v>108</v>
      </c>
    </row>
    <row r="499" spans="1:3">
      <c r="A499" t="s">
        <v>59</v>
      </c>
      <c r="B499">
        <v>2032</v>
      </c>
      <c r="C499">
        <v>108</v>
      </c>
    </row>
    <row r="500" spans="1:3">
      <c r="A500" t="s">
        <v>59</v>
      </c>
      <c r="B500">
        <v>2033</v>
      </c>
      <c r="C500">
        <v>108</v>
      </c>
    </row>
    <row r="501" spans="1:3">
      <c r="A501" t="s">
        <v>59</v>
      </c>
      <c r="B501">
        <v>2034</v>
      </c>
      <c r="C501">
        <v>108</v>
      </c>
    </row>
    <row r="502" spans="1:3">
      <c r="A502" t="s">
        <v>60</v>
      </c>
      <c r="B502">
        <v>0</v>
      </c>
      <c r="C502">
        <v>1</v>
      </c>
    </row>
    <row r="503" spans="1:3">
      <c r="A503" t="s">
        <v>60</v>
      </c>
      <c r="B503">
        <v>2019</v>
      </c>
      <c r="C503">
        <v>108</v>
      </c>
    </row>
    <row r="504" spans="1:3">
      <c r="A504" t="s">
        <v>60</v>
      </c>
      <c r="B504">
        <v>2020</v>
      </c>
      <c r="C504">
        <v>108</v>
      </c>
    </row>
    <row r="505" spans="1:3">
      <c r="A505" t="s">
        <v>60</v>
      </c>
      <c r="B505">
        <v>2021</v>
      </c>
      <c r="C505">
        <v>108</v>
      </c>
    </row>
    <row r="506" spans="1:3">
      <c r="A506" t="s">
        <v>60</v>
      </c>
      <c r="B506">
        <v>2022</v>
      </c>
      <c r="C506">
        <v>108</v>
      </c>
    </row>
    <row r="507" spans="1:3">
      <c r="A507" t="s">
        <v>60</v>
      </c>
      <c r="B507">
        <v>2023</v>
      </c>
      <c r="C507">
        <v>108</v>
      </c>
    </row>
    <row r="508" spans="1:3">
      <c r="A508" t="s">
        <v>60</v>
      </c>
      <c r="B508">
        <v>2024</v>
      </c>
      <c r="C508">
        <v>108</v>
      </c>
    </row>
    <row r="509" spans="1:3">
      <c r="A509" t="s">
        <v>60</v>
      </c>
      <c r="B509">
        <v>2025</v>
      </c>
      <c r="C509">
        <v>108</v>
      </c>
    </row>
    <row r="510" spans="1:3">
      <c r="A510" t="s">
        <v>60</v>
      </c>
      <c r="B510">
        <v>2026</v>
      </c>
      <c r="C510">
        <v>108</v>
      </c>
    </row>
    <row r="511" spans="1:3">
      <c r="A511" t="s">
        <v>60</v>
      </c>
      <c r="B511">
        <v>2027</v>
      </c>
      <c r="C511">
        <v>108</v>
      </c>
    </row>
    <row r="512" spans="1:3">
      <c r="A512" t="s">
        <v>60</v>
      </c>
      <c r="B512">
        <v>2028</v>
      </c>
      <c r="C512">
        <v>108</v>
      </c>
    </row>
    <row r="513" spans="1:3">
      <c r="A513" t="s">
        <v>60</v>
      </c>
      <c r="B513">
        <v>2029</v>
      </c>
      <c r="C513">
        <v>108</v>
      </c>
    </row>
    <row r="514" spans="1:3">
      <c r="A514" t="s">
        <v>61</v>
      </c>
      <c r="B514">
        <v>0</v>
      </c>
      <c r="C514">
        <v>1</v>
      </c>
    </row>
    <row r="515" spans="1:3">
      <c r="A515" t="s">
        <v>61</v>
      </c>
      <c r="B515">
        <v>2019</v>
      </c>
      <c r="C515">
        <v>243</v>
      </c>
    </row>
    <row r="516" spans="1:3">
      <c r="A516" t="s">
        <v>61</v>
      </c>
      <c r="B516">
        <v>2020</v>
      </c>
      <c r="C516">
        <v>243</v>
      </c>
    </row>
    <row r="517" spans="1:3">
      <c r="A517" t="s">
        <v>61</v>
      </c>
      <c r="B517">
        <v>2021</v>
      </c>
      <c r="C517">
        <v>243</v>
      </c>
    </row>
    <row r="518" spans="1:3">
      <c r="A518" t="s">
        <v>61</v>
      </c>
      <c r="B518">
        <v>2022</v>
      </c>
      <c r="C518">
        <v>310.5</v>
      </c>
    </row>
    <row r="519" spans="1:3">
      <c r="A519" t="s">
        <v>61</v>
      </c>
      <c r="B519">
        <v>2023</v>
      </c>
      <c r="C519">
        <v>310.5</v>
      </c>
    </row>
    <row r="520" spans="1:3">
      <c r="A520" t="s">
        <v>61</v>
      </c>
      <c r="B520">
        <v>2024</v>
      </c>
      <c r="C520">
        <v>310.5</v>
      </c>
    </row>
    <row r="521" spans="1:3">
      <c r="A521" t="s">
        <v>61</v>
      </c>
      <c r="B521">
        <v>2025</v>
      </c>
      <c r="C521">
        <v>310.5</v>
      </c>
    </row>
    <row r="522" spans="1:3">
      <c r="A522" t="s">
        <v>61</v>
      </c>
      <c r="B522">
        <v>2026</v>
      </c>
      <c r="C522">
        <v>310.5</v>
      </c>
    </row>
    <row r="523" spans="1:3">
      <c r="A523" t="s">
        <v>61</v>
      </c>
      <c r="B523">
        <v>2027</v>
      </c>
      <c r="C523">
        <v>310.5</v>
      </c>
    </row>
    <row r="524" spans="1:3">
      <c r="A524" t="s">
        <v>61</v>
      </c>
      <c r="B524">
        <v>2028</v>
      </c>
      <c r="C524">
        <v>310.5</v>
      </c>
    </row>
    <row r="525" spans="1:3">
      <c r="A525" t="s">
        <v>61</v>
      </c>
      <c r="B525">
        <v>2029</v>
      </c>
      <c r="C525">
        <v>310.5</v>
      </c>
    </row>
    <row r="526" spans="1:3">
      <c r="A526" t="s">
        <v>61</v>
      </c>
      <c r="B526">
        <v>2030</v>
      </c>
      <c r="C526">
        <v>310.5</v>
      </c>
    </row>
    <row r="527" spans="1:3">
      <c r="A527" t="s">
        <v>61</v>
      </c>
      <c r="B527">
        <v>2031</v>
      </c>
      <c r="C527">
        <v>310.5</v>
      </c>
    </row>
    <row r="528" spans="1:3">
      <c r="A528" t="s">
        <v>61</v>
      </c>
      <c r="B528">
        <v>2032</v>
      </c>
      <c r="C528">
        <v>310.5</v>
      </c>
    </row>
    <row r="529" spans="1:3">
      <c r="A529" t="s">
        <v>61</v>
      </c>
      <c r="B529">
        <v>2033</v>
      </c>
      <c r="C529">
        <v>67.5</v>
      </c>
    </row>
    <row r="530" spans="1:3">
      <c r="A530" t="s">
        <v>61</v>
      </c>
      <c r="B530">
        <v>2034</v>
      </c>
      <c r="C530">
        <v>67.5</v>
      </c>
    </row>
    <row r="531" spans="1:3">
      <c r="A531" t="s">
        <v>61</v>
      </c>
      <c r="B531">
        <v>2035</v>
      </c>
      <c r="C531">
        <v>67.5</v>
      </c>
    </row>
    <row r="532" spans="1:3">
      <c r="A532" t="s">
        <v>61</v>
      </c>
      <c r="B532">
        <v>2036</v>
      </c>
      <c r="C532">
        <v>67.5</v>
      </c>
    </row>
    <row r="533" spans="1:3">
      <c r="A533" t="s">
        <v>61</v>
      </c>
      <c r="B533">
        <v>2037</v>
      </c>
      <c r="C533">
        <v>67.5</v>
      </c>
    </row>
    <row r="534" spans="1:3">
      <c r="A534" t="s">
        <v>62</v>
      </c>
      <c r="B534">
        <v>0</v>
      </c>
      <c r="C534">
        <v>1</v>
      </c>
    </row>
    <row r="535" spans="1:3">
      <c r="A535" t="s">
        <v>62</v>
      </c>
      <c r="B535">
        <v>2019</v>
      </c>
      <c r="C535">
        <v>410.4</v>
      </c>
    </row>
    <row r="536" spans="1:3">
      <c r="A536" t="s">
        <v>62</v>
      </c>
      <c r="B536">
        <v>2020</v>
      </c>
      <c r="C536">
        <v>410.4</v>
      </c>
    </row>
    <row r="537" spans="1:3">
      <c r="A537" t="s">
        <v>62</v>
      </c>
      <c r="B537">
        <v>2021</v>
      </c>
      <c r="C537">
        <v>410.4</v>
      </c>
    </row>
    <row r="538" spans="1:3">
      <c r="A538" t="s">
        <v>62</v>
      </c>
      <c r="B538">
        <v>2022</v>
      </c>
      <c r="C538">
        <v>410.4</v>
      </c>
    </row>
    <row r="539" spans="1:3">
      <c r="A539" t="s">
        <v>62</v>
      </c>
      <c r="B539">
        <v>2023</v>
      </c>
      <c r="C539">
        <v>410.4</v>
      </c>
    </row>
    <row r="540" spans="1:3">
      <c r="A540" t="s">
        <v>62</v>
      </c>
      <c r="B540">
        <v>2024</v>
      </c>
      <c r="C540">
        <v>410.4</v>
      </c>
    </row>
    <row r="541" spans="1:3">
      <c r="A541" t="s">
        <v>62</v>
      </c>
      <c r="B541">
        <v>2025</v>
      </c>
      <c r="C541">
        <v>410.4</v>
      </c>
    </row>
    <row r="542" spans="1:3">
      <c r="A542" t="s">
        <v>62</v>
      </c>
      <c r="B542">
        <v>2026</v>
      </c>
      <c r="C542">
        <v>410.4</v>
      </c>
    </row>
    <row r="543" spans="1:3">
      <c r="A543" t="s">
        <v>62</v>
      </c>
      <c r="B543">
        <v>2027</v>
      </c>
      <c r="C543">
        <v>410.4</v>
      </c>
    </row>
    <row r="544" spans="1:3">
      <c r="A544" t="s">
        <v>62</v>
      </c>
      <c r="B544">
        <v>2028</v>
      </c>
      <c r="C544">
        <v>410.4</v>
      </c>
    </row>
    <row r="545" spans="1:3">
      <c r="A545" t="s">
        <v>62</v>
      </c>
      <c r="B545">
        <v>2029</v>
      </c>
      <c r="C545">
        <v>410.4</v>
      </c>
    </row>
    <row r="546" spans="1:3">
      <c r="A546" t="s">
        <v>62</v>
      </c>
      <c r="B546">
        <v>2030</v>
      </c>
      <c r="C546">
        <v>410.4</v>
      </c>
    </row>
    <row r="547" spans="1:3">
      <c r="A547" t="s">
        <v>62</v>
      </c>
      <c r="B547">
        <v>2031</v>
      </c>
      <c r="C547">
        <v>162</v>
      </c>
    </row>
    <row r="548" spans="1:3">
      <c r="A548" t="s">
        <v>62</v>
      </c>
      <c r="B548">
        <v>2032</v>
      </c>
      <c r="C548">
        <v>162</v>
      </c>
    </row>
    <row r="549" spans="1:3">
      <c r="A549" t="s">
        <v>62</v>
      </c>
      <c r="B549">
        <v>2033</v>
      </c>
      <c r="C549">
        <v>162</v>
      </c>
    </row>
    <row r="550" spans="1:3">
      <c r="A550" t="s">
        <v>62</v>
      </c>
      <c r="B550">
        <v>2034</v>
      </c>
      <c r="C550">
        <v>162</v>
      </c>
    </row>
    <row r="551" spans="1:3">
      <c r="A551" t="s">
        <v>62</v>
      </c>
      <c r="B551">
        <v>2035</v>
      </c>
      <c r="C551">
        <v>162</v>
      </c>
    </row>
    <row r="552" spans="1:3">
      <c r="A552" t="s">
        <v>62</v>
      </c>
      <c r="B552">
        <v>2036</v>
      </c>
      <c r="C552">
        <v>162</v>
      </c>
    </row>
    <row r="553" spans="1:3">
      <c r="A553" t="s">
        <v>62</v>
      </c>
      <c r="B553">
        <v>2037</v>
      </c>
      <c r="C553">
        <v>162</v>
      </c>
    </row>
    <row r="554" spans="1:3">
      <c r="A554" t="s">
        <v>62</v>
      </c>
      <c r="B554">
        <v>2038</v>
      </c>
      <c r="C554">
        <v>162</v>
      </c>
    </row>
    <row r="555" spans="1:3">
      <c r="A555" t="s">
        <v>63</v>
      </c>
      <c r="B555">
        <v>0</v>
      </c>
      <c r="C555">
        <v>1</v>
      </c>
    </row>
    <row r="556" spans="1:3">
      <c r="A556" t="s">
        <v>63</v>
      </c>
      <c r="B556">
        <v>2019</v>
      </c>
      <c r="C556">
        <v>135</v>
      </c>
    </row>
    <row r="557" spans="1:3">
      <c r="A557" t="s">
        <v>63</v>
      </c>
      <c r="B557">
        <v>2020</v>
      </c>
      <c r="C557">
        <v>135</v>
      </c>
    </row>
    <row r="558" spans="1:3">
      <c r="A558" t="s">
        <v>63</v>
      </c>
      <c r="B558">
        <v>2021</v>
      </c>
      <c r="C558">
        <v>135</v>
      </c>
    </row>
    <row r="559" spans="1:3">
      <c r="A559" t="s">
        <v>63</v>
      </c>
      <c r="B559">
        <v>2022</v>
      </c>
      <c r="C559">
        <v>135</v>
      </c>
    </row>
    <row r="560" spans="1:3">
      <c r="A560" t="s">
        <v>63</v>
      </c>
      <c r="B560">
        <v>2023</v>
      </c>
      <c r="C560">
        <v>135</v>
      </c>
    </row>
    <row r="561" spans="1:3">
      <c r="A561" t="s">
        <v>63</v>
      </c>
      <c r="B561">
        <v>2024</v>
      </c>
      <c r="C561">
        <v>135</v>
      </c>
    </row>
    <row r="562" spans="1:3">
      <c r="A562" t="s">
        <v>63</v>
      </c>
      <c r="B562">
        <v>2025</v>
      </c>
      <c r="C562">
        <v>135</v>
      </c>
    </row>
    <row r="563" spans="1:3">
      <c r="A563" t="s">
        <v>63</v>
      </c>
      <c r="B563">
        <v>2026</v>
      </c>
      <c r="C563">
        <v>135</v>
      </c>
    </row>
    <row r="564" spans="1:3">
      <c r="A564" t="s">
        <v>63</v>
      </c>
      <c r="B564">
        <v>2027</v>
      </c>
      <c r="C564">
        <v>135</v>
      </c>
    </row>
    <row r="565" spans="1:3">
      <c r="A565" t="s">
        <v>63</v>
      </c>
      <c r="B565">
        <v>2028</v>
      </c>
      <c r="C565">
        <v>135</v>
      </c>
    </row>
    <row r="566" spans="1:3">
      <c r="A566" t="s">
        <v>63</v>
      </c>
      <c r="B566">
        <v>2029</v>
      </c>
      <c r="C566">
        <v>135</v>
      </c>
    </row>
    <row r="567" spans="1:3">
      <c r="A567" t="s">
        <v>63</v>
      </c>
      <c r="B567">
        <v>2030</v>
      </c>
      <c r="C567">
        <v>135</v>
      </c>
    </row>
    <row r="568" spans="1:3">
      <c r="A568" t="s">
        <v>63</v>
      </c>
      <c r="B568">
        <v>2031</v>
      </c>
      <c r="C568">
        <v>135</v>
      </c>
    </row>
    <row r="569" spans="1:3">
      <c r="A569" t="s">
        <v>63</v>
      </c>
      <c r="B569">
        <v>2032</v>
      </c>
      <c r="C569">
        <v>135</v>
      </c>
    </row>
    <row r="570" spans="1:3">
      <c r="A570" t="s">
        <v>63</v>
      </c>
      <c r="B570">
        <v>2033</v>
      </c>
      <c r="C570">
        <v>135</v>
      </c>
    </row>
    <row r="571" spans="1:3">
      <c r="A571" t="s">
        <v>63</v>
      </c>
      <c r="B571">
        <v>2034</v>
      </c>
      <c r="C571">
        <v>135</v>
      </c>
    </row>
    <row r="572" spans="1:3">
      <c r="A572" t="s">
        <v>63</v>
      </c>
      <c r="B572">
        <v>2035</v>
      </c>
      <c r="C572">
        <v>135</v>
      </c>
    </row>
    <row r="573" spans="1:3">
      <c r="A573" t="s">
        <v>63</v>
      </c>
      <c r="B573">
        <v>2036</v>
      </c>
      <c r="C573">
        <v>135</v>
      </c>
    </row>
    <row r="574" spans="1:3">
      <c r="A574" t="s">
        <v>63</v>
      </c>
      <c r="B574">
        <v>2037</v>
      </c>
      <c r="C574">
        <v>135</v>
      </c>
    </row>
    <row r="575" spans="1:3">
      <c r="A575" t="s">
        <v>63</v>
      </c>
      <c r="B575">
        <v>2038</v>
      </c>
      <c r="C575">
        <v>135</v>
      </c>
    </row>
    <row r="576" spans="1:3">
      <c r="A576" t="s">
        <v>64</v>
      </c>
      <c r="B576">
        <v>0</v>
      </c>
      <c r="C576">
        <v>1</v>
      </c>
    </row>
    <row r="577" spans="1:3">
      <c r="A577" t="s">
        <v>64</v>
      </c>
      <c r="B577">
        <v>2019</v>
      </c>
      <c r="C577">
        <v>84.51</v>
      </c>
    </row>
    <row r="578" spans="1:3">
      <c r="A578" t="s">
        <v>64</v>
      </c>
      <c r="B578">
        <v>2020</v>
      </c>
      <c r="C578">
        <v>84.51</v>
      </c>
    </row>
    <row r="579" spans="1:3">
      <c r="A579" t="s">
        <v>64</v>
      </c>
      <c r="B579">
        <v>2021</v>
      </c>
      <c r="C579">
        <v>84.51</v>
      </c>
    </row>
    <row r="580" spans="1:3">
      <c r="A580" t="s">
        <v>64</v>
      </c>
      <c r="B580">
        <v>2022</v>
      </c>
      <c r="C580">
        <v>84.51</v>
      </c>
    </row>
    <row r="581" spans="1:3">
      <c r="A581" t="s">
        <v>64</v>
      </c>
      <c r="B581">
        <v>2023</v>
      </c>
      <c r="C581">
        <v>84.51</v>
      </c>
    </row>
    <row r="582" spans="1:3">
      <c r="A582" t="s">
        <v>64</v>
      </c>
      <c r="B582">
        <v>2024</v>
      </c>
      <c r="C582">
        <v>84.51</v>
      </c>
    </row>
    <row r="583" spans="1:3">
      <c r="A583" t="s">
        <v>64</v>
      </c>
      <c r="B583">
        <v>2025</v>
      </c>
      <c r="C583">
        <v>84.51</v>
      </c>
    </row>
    <row r="584" spans="1:3">
      <c r="A584" t="s">
        <v>64</v>
      </c>
      <c r="B584">
        <v>2026</v>
      </c>
      <c r="C584">
        <v>84.51</v>
      </c>
    </row>
    <row r="585" spans="1:3">
      <c r="A585" t="s">
        <v>64</v>
      </c>
      <c r="B585">
        <v>2027</v>
      </c>
      <c r="C585">
        <v>57.51</v>
      </c>
    </row>
    <row r="586" spans="1:3">
      <c r="A586" t="s">
        <v>64</v>
      </c>
      <c r="B586">
        <v>2028</v>
      </c>
      <c r="C586">
        <v>54</v>
      </c>
    </row>
    <row r="587" spans="1:3">
      <c r="A587" t="s">
        <v>64</v>
      </c>
      <c r="B587">
        <v>2029</v>
      </c>
      <c r="C587">
        <v>54</v>
      </c>
    </row>
    <row r="588" spans="1:3">
      <c r="A588" t="s">
        <v>64</v>
      </c>
      <c r="B588">
        <v>2030</v>
      </c>
      <c r="C588">
        <v>54</v>
      </c>
    </row>
    <row r="589" spans="1:3">
      <c r="A589" t="s">
        <v>64</v>
      </c>
      <c r="B589">
        <v>2031</v>
      </c>
      <c r="C589">
        <v>54</v>
      </c>
    </row>
    <row r="590" spans="1:3">
      <c r="A590" t="s">
        <v>64</v>
      </c>
      <c r="B590">
        <v>2032</v>
      </c>
      <c r="C590">
        <v>27</v>
      </c>
    </row>
    <row r="591" spans="1:3">
      <c r="A591" t="s">
        <v>64</v>
      </c>
      <c r="B591">
        <v>2033</v>
      </c>
      <c r="C591">
        <v>27</v>
      </c>
    </row>
    <row r="592" spans="1:3">
      <c r="A592" t="s">
        <v>65</v>
      </c>
      <c r="B592">
        <v>0</v>
      </c>
      <c r="C592">
        <v>1</v>
      </c>
    </row>
    <row r="593" spans="1:3">
      <c r="A593" t="s">
        <v>65</v>
      </c>
      <c r="B593">
        <v>2019</v>
      </c>
      <c r="C593">
        <v>40.5</v>
      </c>
    </row>
    <row r="594" spans="1:3">
      <c r="A594" t="s">
        <v>65</v>
      </c>
      <c r="B594">
        <v>2020</v>
      </c>
      <c r="C594">
        <v>40.5</v>
      </c>
    </row>
    <row r="595" spans="1:3">
      <c r="A595" t="s">
        <v>65</v>
      </c>
      <c r="B595">
        <v>2021</v>
      </c>
      <c r="C595">
        <v>40.5</v>
      </c>
    </row>
    <row r="596" spans="1:3">
      <c r="A596" t="s">
        <v>65</v>
      </c>
      <c r="B596">
        <v>2022</v>
      </c>
      <c r="C596">
        <v>40.5</v>
      </c>
    </row>
    <row r="597" spans="1:3">
      <c r="A597" t="s">
        <v>66</v>
      </c>
      <c r="B597">
        <v>0</v>
      </c>
      <c r="C597">
        <v>1</v>
      </c>
    </row>
    <row r="598" spans="1:3">
      <c r="A598" t="s">
        <v>66</v>
      </c>
      <c r="B598">
        <v>2019</v>
      </c>
      <c r="C598">
        <v>550.79999999999995</v>
      </c>
    </row>
    <row r="599" spans="1:3">
      <c r="A599" t="s">
        <v>66</v>
      </c>
      <c r="B599">
        <v>2020</v>
      </c>
      <c r="C599">
        <v>550.79999999999995</v>
      </c>
    </row>
    <row r="600" spans="1:3">
      <c r="A600" t="s">
        <v>66</v>
      </c>
      <c r="B600">
        <v>2021</v>
      </c>
      <c r="C600">
        <v>550.79999999999995</v>
      </c>
    </row>
    <row r="601" spans="1:3">
      <c r="A601" t="s">
        <v>66</v>
      </c>
      <c r="B601">
        <v>2022</v>
      </c>
      <c r="C601">
        <v>599.4</v>
      </c>
    </row>
    <row r="602" spans="1:3">
      <c r="A602" t="s">
        <v>66</v>
      </c>
      <c r="B602">
        <v>2023</v>
      </c>
      <c r="C602">
        <v>788.4</v>
      </c>
    </row>
    <row r="603" spans="1:3">
      <c r="A603" t="s">
        <v>66</v>
      </c>
      <c r="B603">
        <v>2024</v>
      </c>
      <c r="C603">
        <v>788.4</v>
      </c>
    </row>
    <row r="604" spans="1:3">
      <c r="A604" t="s">
        <v>66</v>
      </c>
      <c r="B604">
        <v>2025</v>
      </c>
      <c r="C604">
        <v>788.4</v>
      </c>
    </row>
    <row r="605" spans="1:3">
      <c r="A605" t="s">
        <v>66</v>
      </c>
      <c r="B605">
        <v>2026</v>
      </c>
      <c r="C605">
        <v>1015.2</v>
      </c>
    </row>
    <row r="606" spans="1:3">
      <c r="A606" t="s">
        <v>66</v>
      </c>
      <c r="B606">
        <v>2027</v>
      </c>
      <c r="C606">
        <v>880.2</v>
      </c>
    </row>
    <row r="607" spans="1:3">
      <c r="A607" t="s">
        <v>66</v>
      </c>
      <c r="B607">
        <v>2028</v>
      </c>
      <c r="C607">
        <v>880.2</v>
      </c>
    </row>
    <row r="608" spans="1:3">
      <c r="A608" t="s">
        <v>66</v>
      </c>
      <c r="B608">
        <v>2029</v>
      </c>
      <c r="C608">
        <v>880.2</v>
      </c>
    </row>
    <row r="609" spans="1:3">
      <c r="A609" t="s">
        <v>66</v>
      </c>
      <c r="B609">
        <v>2030</v>
      </c>
      <c r="C609">
        <v>880.2</v>
      </c>
    </row>
    <row r="610" spans="1:3">
      <c r="A610" t="s">
        <v>66</v>
      </c>
      <c r="B610">
        <v>2031</v>
      </c>
      <c r="C610">
        <v>86.4</v>
      </c>
    </row>
    <row r="611" spans="1:3">
      <c r="A611" t="s">
        <v>66</v>
      </c>
      <c r="B611">
        <v>2032</v>
      </c>
      <c r="C611">
        <v>86.4</v>
      </c>
    </row>
    <row r="612" spans="1:3">
      <c r="A612" t="s">
        <v>66</v>
      </c>
      <c r="B612">
        <v>2033</v>
      </c>
      <c r="C612">
        <v>86.4</v>
      </c>
    </row>
    <row r="613" spans="1:3">
      <c r="A613" t="s">
        <v>66</v>
      </c>
      <c r="B613">
        <v>2034</v>
      </c>
      <c r="C613">
        <v>86.4</v>
      </c>
    </row>
    <row r="614" spans="1:3">
      <c r="A614" t="s">
        <v>66</v>
      </c>
      <c r="B614">
        <v>2035</v>
      </c>
      <c r="C614">
        <v>86.4</v>
      </c>
    </row>
    <row r="615" spans="1:3">
      <c r="A615" t="s">
        <v>66</v>
      </c>
      <c r="B615">
        <v>2036</v>
      </c>
      <c r="C615">
        <v>37.799999999999997</v>
      </c>
    </row>
    <row r="616" spans="1:3">
      <c r="A616" t="s">
        <v>66</v>
      </c>
      <c r="B616">
        <v>2037</v>
      </c>
      <c r="C616">
        <v>37.799999999999997</v>
      </c>
    </row>
    <row r="617" spans="1:3">
      <c r="A617" t="s">
        <v>66</v>
      </c>
      <c r="B617">
        <v>2038</v>
      </c>
      <c r="C617">
        <v>37.799999999999997</v>
      </c>
    </row>
    <row r="618" spans="1:3">
      <c r="A618" t="s">
        <v>66</v>
      </c>
      <c r="B618">
        <v>2039</v>
      </c>
      <c r="C618">
        <v>37.799999999999997</v>
      </c>
    </row>
    <row r="619" spans="1:3">
      <c r="A619" t="s">
        <v>66</v>
      </c>
      <c r="B619">
        <v>2040</v>
      </c>
      <c r="C619">
        <v>37.799999999999997</v>
      </c>
    </row>
    <row r="620" spans="1:3">
      <c r="A620" t="s">
        <v>66</v>
      </c>
      <c r="B620">
        <v>2043</v>
      </c>
      <c r="C620">
        <v>37.799999999999997</v>
      </c>
    </row>
    <row r="621" spans="1:3">
      <c r="A621" t="s">
        <v>66</v>
      </c>
      <c r="B621">
        <v>2046</v>
      </c>
      <c r="C621">
        <v>37.799999999999997</v>
      </c>
    </row>
    <row r="622" spans="1:3">
      <c r="A622" t="s">
        <v>66</v>
      </c>
      <c r="B622">
        <v>2047</v>
      </c>
      <c r="C622">
        <v>37.799999999999997</v>
      </c>
    </row>
    <row r="623" spans="1:3">
      <c r="A623" t="s">
        <v>66</v>
      </c>
      <c r="B623">
        <v>2050</v>
      </c>
      <c r="C623">
        <v>37.799999999999997</v>
      </c>
    </row>
    <row r="624" spans="1:3">
      <c r="A624" t="s">
        <v>66</v>
      </c>
      <c r="B624">
        <v>2051</v>
      </c>
      <c r="C624">
        <v>37.799999999999997</v>
      </c>
    </row>
    <row r="625" spans="1:3">
      <c r="A625" t="s">
        <v>67</v>
      </c>
      <c r="B625">
        <v>0</v>
      </c>
      <c r="C625">
        <v>1</v>
      </c>
    </row>
    <row r="626" spans="1:3">
      <c r="A626" t="s">
        <v>67</v>
      </c>
      <c r="B626">
        <v>2019</v>
      </c>
      <c r="C626">
        <v>40.5</v>
      </c>
    </row>
    <row r="627" spans="1:3">
      <c r="A627" t="s">
        <v>67</v>
      </c>
      <c r="B627">
        <v>2020</v>
      </c>
      <c r="C627">
        <v>40.5</v>
      </c>
    </row>
    <row r="628" spans="1:3">
      <c r="A628" t="s">
        <v>67</v>
      </c>
      <c r="B628">
        <v>2021</v>
      </c>
      <c r="C628">
        <v>40.5</v>
      </c>
    </row>
    <row r="629" spans="1:3">
      <c r="A629" t="s">
        <v>67</v>
      </c>
      <c r="B629">
        <v>2022</v>
      </c>
      <c r="C629">
        <v>40.5</v>
      </c>
    </row>
    <row r="630" spans="1:3">
      <c r="A630" t="s">
        <v>67</v>
      </c>
      <c r="B630">
        <v>2023</v>
      </c>
      <c r="C630">
        <v>40.5</v>
      </c>
    </row>
    <row r="631" spans="1:3">
      <c r="A631" t="s">
        <v>67</v>
      </c>
      <c r="B631">
        <v>2024</v>
      </c>
      <c r="C631">
        <v>40.5</v>
      </c>
    </row>
    <row r="632" spans="1:3">
      <c r="A632" t="s">
        <v>67</v>
      </c>
      <c r="B632">
        <v>2025</v>
      </c>
      <c r="C632">
        <v>40.5</v>
      </c>
    </row>
    <row r="633" spans="1:3">
      <c r="A633" t="s">
        <v>67</v>
      </c>
      <c r="B633">
        <v>2026</v>
      </c>
      <c r="C633">
        <v>81</v>
      </c>
    </row>
    <row r="634" spans="1:3">
      <c r="A634" t="s">
        <v>67</v>
      </c>
      <c r="B634">
        <v>2027</v>
      </c>
      <c r="C634">
        <v>81</v>
      </c>
    </row>
    <row r="635" spans="1:3">
      <c r="A635" t="s">
        <v>67</v>
      </c>
      <c r="B635">
        <v>2028</v>
      </c>
      <c r="C635">
        <v>81</v>
      </c>
    </row>
    <row r="636" spans="1:3">
      <c r="A636" t="s">
        <v>67</v>
      </c>
      <c r="B636">
        <v>2029</v>
      </c>
      <c r="C636">
        <v>81</v>
      </c>
    </row>
    <row r="637" spans="1:3">
      <c r="A637" t="s">
        <v>67</v>
      </c>
      <c r="B637">
        <v>2030</v>
      </c>
      <c r="C637">
        <v>81</v>
      </c>
    </row>
    <row r="638" spans="1:3">
      <c r="A638" t="s">
        <v>68</v>
      </c>
      <c r="B638">
        <v>0</v>
      </c>
      <c r="C638">
        <v>1</v>
      </c>
    </row>
    <row r="639" spans="1:3">
      <c r="A639" t="s">
        <v>68</v>
      </c>
      <c r="B639">
        <v>2026</v>
      </c>
      <c r="C639">
        <v>94.5</v>
      </c>
    </row>
    <row r="640" spans="1:3">
      <c r="A640" t="s">
        <v>68</v>
      </c>
      <c r="B640">
        <v>2027</v>
      </c>
      <c r="C640">
        <v>94.5</v>
      </c>
    </row>
    <row r="641" spans="1:3">
      <c r="A641" t="s">
        <v>68</v>
      </c>
      <c r="B641">
        <v>2028</v>
      </c>
      <c r="C641">
        <v>94.5</v>
      </c>
    </row>
    <row r="642" spans="1:3">
      <c r="A642" t="s">
        <v>68</v>
      </c>
      <c r="B642">
        <v>2029</v>
      </c>
      <c r="C642">
        <v>94.5</v>
      </c>
    </row>
    <row r="643" spans="1:3">
      <c r="A643" t="s">
        <v>68</v>
      </c>
      <c r="B643">
        <v>2030</v>
      </c>
      <c r="C643">
        <v>94.5</v>
      </c>
    </row>
    <row r="644" spans="1:3">
      <c r="A644" t="s">
        <v>69</v>
      </c>
      <c r="B644">
        <v>0</v>
      </c>
      <c r="C644">
        <v>1</v>
      </c>
    </row>
    <row r="645" spans="1:3">
      <c r="A645" t="s">
        <v>69</v>
      </c>
      <c r="B645">
        <v>2019</v>
      </c>
      <c r="C645">
        <v>94.5</v>
      </c>
    </row>
    <row r="646" spans="1:3">
      <c r="A646" t="s">
        <v>69</v>
      </c>
      <c r="B646">
        <v>2020</v>
      </c>
      <c r="C646">
        <v>94.5</v>
      </c>
    </row>
    <row r="647" spans="1:3">
      <c r="A647" t="s">
        <v>69</v>
      </c>
      <c r="B647">
        <v>2021</v>
      </c>
      <c r="C647">
        <v>94.5</v>
      </c>
    </row>
    <row r="648" spans="1:3">
      <c r="A648" t="s">
        <v>69</v>
      </c>
      <c r="B648">
        <v>2022</v>
      </c>
      <c r="C648">
        <v>94.5</v>
      </c>
    </row>
    <row r="649" spans="1:3">
      <c r="A649" t="s">
        <v>69</v>
      </c>
      <c r="B649">
        <v>2023</v>
      </c>
      <c r="C649">
        <v>94.5</v>
      </c>
    </row>
    <row r="650" spans="1:3">
      <c r="A650" t="s">
        <v>69</v>
      </c>
      <c r="B650">
        <v>2024</v>
      </c>
      <c r="C650">
        <v>94.5</v>
      </c>
    </row>
    <row r="651" spans="1:3">
      <c r="A651" t="s">
        <v>69</v>
      </c>
      <c r="B651">
        <v>2025</v>
      </c>
      <c r="C651">
        <v>94.5</v>
      </c>
    </row>
    <row r="652" spans="1:3">
      <c r="A652" t="s">
        <v>69</v>
      </c>
      <c r="B652">
        <v>2026</v>
      </c>
      <c r="C652">
        <v>94.5</v>
      </c>
    </row>
    <row r="653" spans="1:3">
      <c r="A653" t="s">
        <v>69</v>
      </c>
      <c r="B653">
        <v>2027</v>
      </c>
      <c r="C653">
        <v>94.5</v>
      </c>
    </row>
    <row r="654" spans="1:3">
      <c r="A654" t="s">
        <v>69</v>
      </c>
      <c r="B654">
        <v>2028</v>
      </c>
      <c r="C654">
        <v>94.5</v>
      </c>
    </row>
    <row r="655" spans="1:3">
      <c r="A655" t="s">
        <v>69</v>
      </c>
      <c r="B655">
        <v>2029</v>
      </c>
      <c r="C655">
        <v>94.5</v>
      </c>
    </row>
    <row r="656" spans="1:3">
      <c r="A656" t="s">
        <v>69</v>
      </c>
      <c r="B656">
        <v>2030</v>
      </c>
      <c r="C656">
        <v>94.5</v>
      </c>
    </row>
    <row r="657" spans="1:3">
      <c r="A657" t="s">
        <v>69</v>
      </c>
      <c r="B657">
        <v>2031</v>
      </c>
      <c r="C657">
        <v>94.5</v>
      </c>
    </row>
    <row r="658" spans="1:3">
      <c r="A658" t="s">
        <v>69</v>
      </c>
      <c r="B658">
        <v>2032</v>
      </c>
      <c r="C658">
        <v>94.5</v>
      </c>
    </row>
    <row r="659" spans="1:3">
      <c r="A659" t="s">
        <v>69</v>
      </c>
      <c r="B659">
        <v>2033</v>
      </c>
      <c r="C659">
        <v>94.5</v>
      </c>
    </row>
    <row r="660" spans="1:3">
      <c r="A660" t="s">
        <v>69</v>
      </c>
      <c r="B660">
        <v>2034</v>
      </c>
      <c r="C660">
        <v>94.5</v>
      </c>
    </row>
    <row r="661" spans="1:3">
      <c r="A661" t="s">
        <v>69</v>
      </c>
      <c r="B661">
        <v>2035</v>
      </c>
      <c r="C661">
        <v>94.5</v>
      </c>
    </row>
    <row r="662" spans="1:3">
      <c r="A662" t="s">
        <v>69</v>
      </c>
      <c r="B662">
        <v>2036</v>
      </c>
      <c r="C662">
        <v>94.5</v>
      </c>
    </row>
    <row r="663" spans="1:3">
      <c r="A663" t="s">
        <v>69</v>
      </c>
      <c r="B663">
        <v>2037</v>
      </c>
      <c r="C663">
        <v>94.5</v>
      </c>
    </row>
    <row r="664" spans="1:3">
      <c r="A664" t="s">
        <v>69</v>
      </c>
      <c r="B664">
        <v>2038</v>
      </c>
      <c r="C664">
        <v>94.5</v>
      </c>
    </row>
    <row r="665" spans="1:3">
      <c r="A665" t="s">
        <v>69</v>
      </c>
      <c r="B665">
        <v>2039</v>
      </c>
      <c r="C665">
        <v>94.5</v>
      </c>
    </row>
    <row r="666" spans="1:3">
      <c r="A666" t="s">
        <v>69</v>
      </c>
      <c r="B666">
        <v>2040</v>
      </c>
      <c r="C666">
        <v>94.5</v>
      </c>
    </row>
    <row r="667" spans="1:3">
      <c r="A667" t="s">
        <v>70</v>
      </c>
      <c r="B667">
        <v>0</v>
      </c>
      <c r="C667">
        <v>1</v>
      </c>
    </row>
    <row r="668" spans="1:3">
      <c r="A668" t="s">
        <v>70</v>
      </c>
      <c r="B668">
        <v>2019</v>
      </c>
      <c r="C668">
        <v>41.58</v>
      </c>
    </row>
    <row r="669" spans="1:3">
      <c r="A669" t="s">
        <v>70</v>
      </c>
      <c r="B669">
        <v>2020</v>
      </c>
      <c r="C669">
        <v>57.78</v>
      </c>
    </row>
    <row r="670" spans="1:3">
      <c r="A670" t="s">
        <v>70</v>
      </c>
      <c r="B670">
        <v>2021</v>
      </c>
      <c r="C670">
        <v>57.78</v>
      </c>
    </row>
    <row r="671" spans="1:3">
      <c r="A671" t="s">
        <v>70</v>
      </c>
      <c r="B671">
        <v>2022</v>
      </c>
      <c r="C671">
        <v>57.78</v>
      </c>
    </row>
    <row r="672" spans="1:3">
      <c r="A672" t="s">
        <v>70</v>
      </c>
      <c r="B672">
        <v>2023</v>
      </c>
      <c r="C672">
        <v>57.78</v>
      </c>
    </row>
    <row r="673" spans="1:3">
      <c r="A673" t="s">
        <v>70</v>
      </c>
      <c r="B673">
        <v>2024</v>
      </c>
      <c r="C673">
        <v>57.78</v>
      </c>
    </row>
    <row r="674" spans="1:3">
      <c r="A674" t="s">
        <v>70</v>
      </c>
      <c r="B674">
        <v>2025</v>
      </c>
      <c r="C674">
        <v>57.78</v>
      </c>
    </row>
    <row r="675" spans="1:3">
      <c r="A675" t="s">
        <v>70</v>
      </c>
      <c r="B675">
        <v>2026</v>
      </c>
      <c r="C675">
        <v>165.78</v>
      </c>
    </row>
    <row r="676" spans="1:3">
      <c r="A676" t="s">
        <v>70</v>
      </c>
      <c r="B676">
        <v>2027</v>
      </c>
      <c r="C676">
        <v>165.78</v>
      </c>
    </row>
    <row r="677" spans="1:3">
      <c r="A677" t="s">
        <v>70</v>
      </c>
      <c r="B677">
        <v>2028</v>
      </c>
      <c r="C677">
        <v>165.78</v>
      </c>
    </row>
    <row r="678" spans="1:3">
      <c r="A678" t="s">
        <v>70</v>
      </c>
      <c r="B678">
        <v>2029</v>
      </c>
      <c r="C678">
        <v>165.78</v>
      </c>
    </row>
    <row r="679" spans="1:3">
      <c r="A679" t="s">
        <v>70</v>
      </c>
      <c r="B679">
        <v>2030</v>
      </c>
      <c r="C679">
        <v>165.78</v>
      </c>
    </row>
    <row r="680" spans="1:3">
      <c r="A680" t="s">
        <v>70</v>
      </c>
      <c r="B680">
        <v>2031</v>
      </c>
      <c r="C680">
        <v>111.78</v>
      </c>
    </row>
    <row r="681" spans="1:3">
      <c r="A681" t="s">
        <v>70</v>
      </c>
      <c r="B681">
        <v>2032</v>
      </c>
      <c r="C681">
        <v>111.78</v>
      </c>
    </row>
    <row r="682" spans="1:3">
      <c r="A682" t="s">
        <v>70</v>
      </c>
      <c r="B682">
        <v>2033</v>
      </c>
      <c r="C682">
        <v>111.78</v>
      </c>
    </row>
    <row r="683" spans="1:3">
      <c r="A683" t="s">
        <v>70</v>
      </c>
      <c r="B683">
        <v>2034</v>
      </c>
      <c r="C683">
        <v>111.78</v>
      </c>
    </row>
    <row r="684" spans="1:3">
      <c r="A684" t="s">
        <v>70</v>
      </c>
      <c r="B684">
        <v>2035</v>
      </c>
      <c r="C684">
        <v>111.78</v>
      </c>
    </row>
    <row r="685" spans="1:3">
      <c r="A685" t="s">
        <v>70</v>
      </c>
      <c r="B685">
        <v>2036</v>
      </c>
      <c r="C685">
        <v>111.78</v>
      </c>
    </row>
    <row r="686" spans="1:3">
      <c r="A686" t="s">
        <v>70</v>
      </c>
      <c r="B686">
        <v>2037</v>
      </c>
      <c r="C686">
        <v>111.78</v>
      </c>
    </row>
    <row r="687" spans="1:3">
      <c r="A687" t="s">
        <v>70</v>
      </c>
      <c r="B687">
        <v>2038</v>
      </c>
      <c r="C687">
        <v>111.78</v>
      </c>
    </row>
    <row r="688" spans="1:3">
      <c r="A688" t="s">
        <v>70</v>
      </c>
      <c r="B688">
        <v>2039</v>
      </c>
      <c r="C688">
        <v>111.78</v>
      </c>
    </row>
    <row r="689" spans="1:3">
      <c r="A689" t="s">
        <v>70</v>
      </c>
      <c r="B689">
        <v>2040</v>
      </c>
      <c r="C689">
        <v>54</v>
      </c>
    </row>
    <row r="690" spans="1:3">
      <c r="A690" t="s">
        <v>70</v>
      </c>
      <c r="B690">
        <v>2043</v>
      </c>
      <c r="C690">
        <v>54</v>
      </c>
    </row>
    <row r="691" spans="1:3">
      <c r="A691" t="s">
        <v>70</v>
      </c>
      <c r="B691">
        <v>2046</v>
      </c>
      <c r="C691">
        <v>54</v>
      </c>
    </row>
    <row r="692" spans="1:3">
      <c r="A692" t="s">
        <v>71</v>
      </c>
      <c r="B692">
        <v>0</v>
      </c>
      <c r="C692">
        <v>1</v>
      </c>
    </row>
    <row r="693" spans="1:3">
      <c r="A693" t="s">
        <v>71</v>
      </c>
      <c r="B693">
        <v>2019</v>
      </c>
      <c r="C693">
        <v>21.6</v>
      </c>
    </row>
    <row r="694" spans="1:3">
      <c r="A694" t="s">
        <v>71</v>
      </c>
      <c r="B694">
        <v>2020</v>
      </c>
      <c r="C694">
        <v>21.6</v>
      </c>
    </row>
    <row r="695" spans="1:3">
      <c r="A695" t="s">
        <v>71</v>
      </c>
      <c r="B695">
        <v>2021</v>
      </c>
      <c r="C695">
        <v>21.6</v>
      </c>
    </row>
    <row r="696" spans="1:3">
      <c r="A696" t="s">
        <v>71</v>
      </c>
      <c r="B696">
        <v>2022</v>
      </c>
      <c r="C696">
        <v>21.6</v>
      </c>
    </row>
    <row r="697" spans="1:3">
      <c r="A697" t="s">
        <v>71</v>
      </c>
      <c r="B697">
        <v>2023</v>
      </c>
      <c r="C697">
        <v>21.6</v>
      </c>
    </row>
    <row r="698" spans="1:3">
      <c r="A698" t="s">
        <v>71</v>
      </c>
      <c r="B698">
        <v>2024</v>
      </c>
      <c r="C698">
        <v>21.6</v>
      </c>
    </row>
    <row r="699" spans="1:3">
      <c r="A699" t="s">
        <v>71</v>
      </c>
      <c r="B699">
        <v>2025</v>
      </c>
      <c r="C699">
        <v>21.6</v>
      </c>
    </row>
    <row r="700" spans="1:3">
      <c r="A700" t="s">
        <v>71</v>
      </c>
      <c r="B700">
        <v>2026</v>
      </c>
      <c r="C700">
        <v>43.2</v>
      </c>
    </row>
    <row r="701" spans="1:3">
      <c r="A701" t="s">
        <v>71</v>
      </c>
      <c r="B701">
        <v>2027</v>
      </c>
      <c r="C701">
        <v>43.2</v>
      </c>
    </row>
    <row r="702" spans="1:3">
      <c r="A702" t="s">
        <v>71</v>
      </c>
      <c r="B702">
        <v>2028</v>
      </c>
      <c r="C702">
        <v>43.2</v>
      </c>
    </row>
    <row r="703" spans="1:3">
      <c r="A703" t="s">
        <v>71</v>
      </c>
      <c r="B703">
        <v>2029</v>
      </c>
      <c r="C703">
        <v>43.2</v>
      </c>
    </row>
    <row r="704" spans="1:3">
      <c r="A704" t="s">
        <v>71</v>
      </c>
      <c r="B704">
        <v>2030</v>
      </c>
      <c r="C704">
        <v>43.2</v>
      </c>
    </row>
    <row r="705" spans="1:3">
      <c r="A705" t="s">
        <v>71</v>
      </c>
      <c r="B705">
        <v>2031</v>
      </c>
      <c r="C705">
        <v>21.6</v>
      </c>
    </row>
    <row r="706" spans="1:3">
      <c r="A706" t="s">
        <v>71</v>
      </c>
      <c r="B706">
        <v>2032</v>
      </c>
      <c r="C706">
        <v>21.6</v>
      </c>
    </row>
    <row r="707" spans="1:3">
      <c r="A707" t="s">
        <v>71</v>
      </c>
      <c r="B707">
        <v>2033</v>
      </c>
      <c r="C707">
        <v>21.6</v>
      </c>
    </row>
    <row r="708" spans="1:3">
      <c r="A708" t="s">
        <v>71</v>
      </c>
      <c r="B708">
        <v>2034</v>
      </c>
      <c r="C708">
        <v>21.6</v>
      </c>
    </row>
    <row r="709" spans="1:3">
      <c r="A709" t="s">
        <v>71</v>
      </c>
      <c r="B709">
        <v>2035</v>
      </c>
      <c r="C709">
        <v>21.6</v>
      </c>
    </row>
    <row r="710" spans="1:3">
      <c r="A710" t="s">
        <v>71</v>
      </c>
      <c r="B710">
        <v>2036</v>
      </c>
      <c r="C710">
        <v>21.6</v>
      </c>
    </row>
    <row r="711" spans="1:3">
      <c r="A711" t="s">
        <v>71</v>
      </c>
      <c r="B711">
        <v>2037</v>
      </c>
      <c r="C711">
        <v>21.6</v>
      </c>
    </row>
    <row r="712" spans="1:3">
      <c r="A712" t="s">
        <v>71</v>
      </c>
      <c r="B712">
        <v>2038</v>
      </c>
      <c r="C712">
        <v>21.6</v>
      </c>
    </row>
    <row r="713" spans="1:3">
      <c r="A713" t="s">
        <v>71</v>
      </c>
      <c r="B713">
        <v>2039</v>
      </c>
      <c r="C713">
        <v>21.6</v>
      </c>
    </row>
    <row r="714" spans="1:3">
      <c r="A714" t="s">
        <v>71</v>
      </c>
      <c r="B714">
        <v>2040</v>
      </c>
      <c r="C714">
        <v>21.6</v>
      </c>
    </row>
    <row r="715" spans="1:3">
      <c r="A715" t="s">
        <v>71</v>
      </c>
      <c r="B715">
        <v>2043</v>
      </c>
      <c r="C715">
        <v>21.6</v>
      </c>
    </row>
    <row r="716" spans="1:3">
      <c r="A716" t="s">
        <v>71</v>
      </c>
      <c r="B716">
        <v>2046</v>
      </c>
      <c r="C716">
        <v>21.6</v>
      </c>
    </row>
    <row r="717" spans="1:3">
      <c r="A717" t="s">
        <v>72</v>
      </c>
      <c r="B717">
        <v>0</v>
      </c>
      <c r="C717">
        <v>1</v>
      </c>
    </row>
    <row r="718" spans="1:3">
      <c r="A718" t="s">
        <v>72</v>
      </c>
      <c r="B718">
        <v>2019</v>
      </c>
      <c r="C718">
        <v>216</v>
      </c>
    </row>
    <row r="719" spans="1:3">
      <c r="A719" t="s">
        <v>72</v>
      </c>
      <c r="B719">
        <v>2020</v>
      </c>
      <c r="C719">
        <v>216</v>
      </c>
    </row>
    <row r="720" spans="1:3">
      <c r="A720" t="s">
        <v>72</v>
      </c>
      <c r="B720">
        <v>2021</v>
      </c>
      <c r="C720">
        <v>216</v>
      </c>
    </row>
    <row r="721" spans="1:3">
      <c r="A721" t="s">
        <v>72</v>
      </c>
      <c r="B721">
        <v>2022</v>
      </c>
      <c r="C721">
        <v>216</v>
      </c>
    </row>
    <row r="722" spans="1:3">
      <c r="A722" t="s">
        <v>72</v>
      </c>
      <c r="B722">
        <v>2023</v>
      </c>
      <c r="C722">
        <v>297</v>
      </c>
    </row>
    <row r="723" spans="1:3">
      <c r="A723" t="s">
        <v>72</v>
      </c>
      <c r="B723">
        <v>2024</v>
      </c>
      <c r="C723">
        <v>297</v>
      </c>
    </row>
    <row r="724" spans="1:3">
      <c r="A724" t="s">
        <v>72</v>
      </c>
      <c r="B724">
        <v>2025</v>
      </c>
      <c r="C724">
        <v>297</v>
      </c>
    </row>
    <row r="725" spans="1:3">
      <c r="A725" t="s">
        <v>72</v>
      </c>
      <c r="B725">
        <v>2026</v>
      </c>
      <c r="C725">
        <v>297</v>
      </c>
    </row>
    <row r="726" spans="1:3">
      <c r="A726" t="s">
        <v>72</v>
      </c>
      <c r="B726">
        <v>2027</v>
      </c>
      <c r="C726">
        <v>351</v>
      </c>
    </row>
    <row r="727" spans="1:3">
      <c r="A727" t="s">
        <v>72</v>
      </c>
      <c r="B727">
        <v>2028</v>
      </c>
      <c r="C727">
        <v>351</v>
      </c>
    </row>
    <row r="728" spans="1:3">
      <c r="A728" t="s">
        <v>72</v>
      </c>
      <c r="B728">
        <v>2029</v>
      </c>
      <c r="C728">
        <v>351</v>
      </c>
    </row>
    <row r="729" spans="1:3">
      <c r="A729" t="s">
        <v>72</v>
      </c>
      <c r="B729">
        <v>2030</v>
      </c>
      <c r="C729">
        <v>351</v>
      </c>
    </row>
    <row r="730" spans="1:3">
      <c r="A730" t="s">
        <v>72</v>
      </c>
      <c r="B730">
        <v>2031</v>
      </c>
      <c r="C730">
        <v>135</v>
      </c>
    </row>
    <row r="731" spans="1:3">
      <c r="A731" t="s">
        <v>72</v>
      </c>
      <c r="B731">
        <v>2032</v>
      </c>
      <c r="C731">
        <v>135</v>
      </c>
    </row>
    <row r="732" spans="1:3">
      <c r="A732" t="s">
        <v>72</v>
      </c>
      <c r="B732">
        <v>2033</v>
      </c>
      <c r="C732">
        <v>135</v>
      </c>
    </row>
    <row r="733" spans="1:3">
      <c r="A733" t="s">
        <v>72</v>
      </c>
      <c r="B733">
        <v>2034</v>
      </c>
      <c r="C733">
        <v>135</v>
      </c>
    </row>
    <row r="734" spans="1:3">
      <c r="A734" t="s">
        <v>72</v>
      </c>
      <c r="B734">
        <v>2035</v>
      </c>
      <c r="C734">
        <v>135</v>
      </c>
    </row>
    <row r="735" spans="1:3">
      <c r="A735" t="s">
        <v>72</v>
      </c>
      <c r="B735">
        <v>2036</v>
      </c>
      <c r="C735">
        <v>135</v>
      </c>
    </row>
    <row r="736" spans="1:3">
      <c r="A736" t="s">
        <v>72</v>
      </c>
      <c r="B736">
        <v>2037</v>
      </c>
      <c r="C736">
        <v>135</v>
      </c>
    </row>
    <row r="737" spans="1:3">
      <c r="A737" t="s">
        <v>72</v>
      </c>
      <c r="B737">
        <v>2038</v>
      </c>
      <c r="C737">
        <v>135</v>
      </c>
    </row>
    <row r="738" spans="1:3">
      <c r="A738" t="s">
        <v>72</v>
      </c>
      <c r="B738">
        <v>2039</v>
      </c>
      <c r="C738">
        <v>135</v>
      </c>
    </row>
    <row r="739" spans="1:3">
      <c r="A739" t="s">
        <v>72</v>
      </c>
      <c r="B739">
        <v>2040</v>
      </c>
      <c r="C739">
        <v>135</v>
      </c>
    </row>
    <row r="740" spans="1:3">
      <c r="A740" t="s">
        <v>72</v>
      </c>
      <c r="B740">
        <v>2043</v>
      </c>
      <c r="C740">
        <v>135</v>
      </c>
    </row>
    <row r="741" spans="1:3">
      <c r="A741" t="s">
        <v>72</v>
      </c>
      <c r="B741">
        <v>2046</v>
      </c>
      <c r="C741">
        <v>54</v>
      </c>
    </row>
    <row r="742" spans="1:3">
      <c r="A742" t="s">
        <v>72</v>
      </c>
      <c r="B742">
        <v>2047</v>
      </c>
      <c r="C742">
        <v>54</v>
      </c>
    </row>
    <row r="743" spans="1:3">
      <c r="A743" t="s">
        <v>73</v>
      </c>
      <c r="B743">
        <v>0</v>
      </c>
      <c r="C743">
        <v>1</v>
      </c>
    </row>
    <row r="744" spans="1:3">
      <c r="A744" t="s">
        <v>73</v>
      </c>
      <c r="B744">
        <v>2026</v>
      </c>
      <c r="C744">
        <v>54</v>
      </c>
    </row>
    <row r="745" spans="1:3">
      <c r="A745" t="s">
        <v>73</v>
      </c>
      <c r="B745">
        <v>2027</v>
      </c>
      <c r="C745">
        <v>54</v>
      </c>
    </row>
    <row r="746" spans="1:3">
      <c r="A746" t="s">
        <v>73</v>
      </c>
      <c r="B746">
        <v>2028</v>
      </c>
      <c r="C746">
        <v>54</v>
      </c>
    </row>
    <row r="747" spans="1:3">
      <c r="A747" t="s">
        <v>73</v>
      </c>
      <c r="B747">
        <v>2029</v>
      </c>
      <c r="C747">
        <v>54</v>
      </c>
    </row>
    <row r="748" spans="1:3">
      <c r="A748" t="s">
        <v>73</v>
      </c>
      <c r="B748">
        <v>2030</v>
      </c>
      <c r="C748">
        <v>54</v>
      </c>
    </row>
    <row r="749" spans="1:3">
      <c r="A749" t="s">
        <v>74</v>
      </c>
      <c r="B749">
        <v>0</v>
      </c>
      <c r="C749">
        <v>1</v>
      </c>
    </row>
    <row r="750" spans="1:3">
      <c r="A750" t="s">
        <v>74</v>
      </c>
      <c r="B750">
        <v>2019</v>
      </c>
      <c r="C750">
        <v>43.2</v>
      </c>
    </row>
    <row r="751" spans="1:3">
      <c r="A751" t="s">
        <v>74</v>
      </c>
      <c r="B751">
        <v>2020</v>
      </c>
      <c r="C751">
        <v>43.2</v>
      </c>
    </row>
    <row r="752" spans="1:3">
      <c r="A752" t="s">
        <v>74</v>
      </c>
      <c r="B752">
        <v>2021</v>
      </c>
      <c r="C752">
        <v>43.2</v>
      </c>
    </row>
    <row r="753" spans="1:3">
      <c r="A753" t="s">
        <v>74</v>
      </c>
      <c r="B753">
        <v>2022</v>
      </c>
      <c r="C753">
        <v>43.2</v>
      </c>
    </row>
    <row r="754" spans="1:3">
      <c r="A754" t="s">
        <v>74</v>
      </c>
      <c r="B754">
        <v>2023</v>
      </c>
      <c r="C754">
        <v>43.2</v>
      </c>
    </row>
    <row r="755" spans="1:3">
      <c r="A755" t="s">
        <v>74</v>
      </c>
      <c r="B755">
        <v>2024</v>
      </c>
      <c r="C755">
        <v>43.2</v>
      </c>
    </row>
    <row r="756" spans="1:3">
      <c r="A756" t="s">
        <v>74</v>
      </c>
      <c r="B756">
        <v>2025</v>
      </c>
      <c r="C756">
        <v>43.2</v>
      </c>
    </row>
    <row r="757" spans="1:3">
      <c r="A757" t="s">
        <v>74</v>
      </c>
      <c r="B757">
        <v>2026</v>
      </c>
      <c r="C757">
        <v>43.2</v>
      </c>
    </row>
    <row r="758" spans="1:3">
      <c r="A758" t="s">
        <v>74</v>
      </c>
      <c r="B758">
        <v>2027</v>
      </c>
      <c r="C758">
        <v>43.2</v>
      </c>
    </row>
    <row r="759" spans="1:3">
      <c r="A759" t="s">
        <v>74</v>
      </c>
      <c r="B759">
        <v>2028</v>
      </c>
      <c r="C759">
        <v>43.2</v>
      </c>
    </row>
    <row r="760" spans="1:3">
      <c r="A760" t="s">
        <v>74</v>
      </c>
      <c r="B760">
        <v>2029</v>
      </c>
      <c r="C760">
        <v>43.2</v>
      </c>
    </row>
    <row r="761" spans="1:3">
      <c r="A761" t="s">
        <v>74</v>
      </c>
      <c r="B761">
        <v>2030</v>
      </c>
      <c r="C761">
        <v>43.2</v>
      </c>
    </row>
    <row r="762" spans="1:3">
      <c r="A762" t="s">
        <v>74</v>
      </c>
      <c r="B762">
        <v>2031</v>
      </c>
      <c r="C762">
        <v>43.2</v>
      </c>
    </row>
    <row r="763" spans="1:3">
      <c r="A763" t="s">
        <v>74</v>
      </c>
      <c r="B763">
        <v>2032</v>
      </c>
      <c r="C763">
        <v>43.2</v>
      </c>
    </row>
    <row r="764" spans="1:3">
      <c r="A764" t="s">
        <v>74</v>
      </c>
      <c r="B764">
        <v>2033</v>
      </c>
      <c r="C764">
        <v>43.2</v>
      </c>
    </row>
    <row r="765" spans="1:3">
      <c r="A765" t="s">
        <v>74</v>
      </c>
      <c r="B765">
        <v>2034</v>
      </c>
      <c r="C765">
        <v>43.2</v>
      </c>
    </row>
    <row r="766" spans="1:3">
      <c r="A766" t="s">
        <v>74</v>
      </c>
      <c r="B766">
        <v>2035</v>
      </c>
      <c r="C766">
        <v>43.2</v>
      </c>
    </row>
    <row r="767" spans="1:3">
      <c r="A767" t="s">
        <v>74</v>
      </c>
      <c r="B767">
        <v>2036</v>
      </c>
      <c r="C767">
        <v>43.2</v>
      </c>
    </row>
    <row r="768" spans="1:3">
      <c r="A768" t="s">
        <v>74</v>
      </c>
      <c r="B768">
        <v>2037</v>
      </c>
      <c r="C768">
        <v>43.2</v>
      </c>
    </row>
    <row r="769" spans="1:3">
      <c r="A769" t="s">
        <v>74</v>
      </c>
      <c r="B769">
        <v>2038</v>
      </c>
      <c r="C769">
        <v>43.2</v>
      </c>
    </row>
    <row r="770" spans="1:3">
      <c r="A770" t="s">
        <v>74</v>
      </c>
      <c r="B770">
        <v>2039</v>
      </c>
      <c r="C770">
        <v>43.2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046E1-0D86-44E0-AE13-687505B0E542}">
  <dimension ref="B2:V479"/>
  <sheetViews>
    <sheetView tabSelected="1" topLeftCell="I1" workbookViewId="0">
      <selection activeCell="T15" sqref="T15"/>
    </sheetView>
  </sheetViews>
  <sheetFormatPr baseColWidth="10" defaultRowHeight="14.4"/>
  <cols>
    <col min="2" max="2" width="24.88671875" bestFit="1" customWidth="1"/>
    <col min="6" max="6" width="18.44140625" bestFit="1" customWidth="1"/>
    <col min="11" max="11" width="11.5546875" style="7"/>
    <col min="13" max="13" width="16.77734375" bestFit="1" customWidth="1"/>
    <col min="17" max="17" width="16.77734375" bestFit="1" customWidth="1"/>
  </cols>
  <sheetData>
    <row r="2" spans="2:22">
      <c r="B2" t="s">
        <v>808</v>
      </c>
      <c r="F2" s="6" t="s">
        <v>808</v>
      </c>
      <c r="G2" s="6"/>
      <c r="H2" s="6"/>
      <c r="I2" s="6"/>
      <c r="M2" s="6" t="s">
        <v>808</v>
      </c>
      <c r="Q2" s="7" t="s">
        <v>808</v>
      </c>
      <c r="R2" s="7"/>
      <c r="S2" s="7"/>
      <c r="T2" s="7"/>
    </row>
    <row r="3" spans="2:22">
      <c r="B3" t="s">
        <v>11</v>
      </c>
      <c r="C3" t="s">
        <v>12</v>
      </c>
      <c r="F3" s="6" t="s">
        <v>11</v>
      </c>
      <c r="G3" s="6" t="s">
        <v>10</v>
      </c>
      <c r="H3" s="6" t="s">
        <v>811</v>
      </c>
      <c r="I3" s="6" t="s">
        <v>809</v>
      </c>
      <c r="K3" s="7" t="s">
        <v>812</v>
      </c>
      <c r="M3" s="6" t="s">
        <v>11</v>
      </c>
      <c r="N3" s="6" t="s">
        <v>12</v>
      </c>
      <c r="Q3" s="7" t="s">
        <v>11</v>
      </c>
      <c r="R3" s="7" t="s">
        <v>10</v>
      </c>
      <c r="S3" s="7" t="s">
        <v>811</v>
      </c>
      <c r="T3" s="7" t="s">
        <v>809</v>
      </c>
      <c r="V3" t="s">
        <v>812</v>
      </c>
    </row>
    <row r="4" spans="2:22">
      <c r="B4" s="3" t="s">
        <v>218</v>
      </c>
      <c r="C4">
        <v>2025</v>
      </c>
      <c r="F4" s="6" t="s">
        <v>218</v>
      </c>
      <c r="G4" s="6">
        <v>2023</v>
      </c>
      <c r="H4" s="6">
        <f>K4/2</f>
        <v>15.144350227529049</v>
      </c>
      <c r="I4" s="6" t="s">
        <v>810</v>
      </c>
      <c r="K4" s="7">
        <v>30.288700455058098</v>
      </c>
      <c r="M4" s="4" t="s">
        <v>694</v>
      </c>
      <c r="N4" s="4">
        <v>2025</v>
      </c>
      <c r="Q4" s="7" t="s">
        <v>694</v>
      </c>
      <c r="R4" s="7">
        <v>2023</v>
      </c>
      <c r="S4" s="7">
        <f>V4/2</f>
        <v>2.9455112338880101</v>
      </c>
      <c r="T4" s="7" t="s">
        <v>810</v>
      </c>
      <c r="V4" s="7">
        <v>5.8910224677760201</v>
      </c>
    </row>
    <row r="5" spans="2:22">
      <c r="B5" s="3" t="s">
        <v>219</v>
      </c>
      <c r="C5" s="5">
        <v>2025</v>
      </c>
      <c r="F5" s="6" t="s">
        <v>219</v>
      </c>
      <c r="G5" s="6">
        <v>2023</v>
      </c>
      <c r="H5" s="7">
        <f t="shared" ref="H5:H68" si="0">K5/2</f>
        <v>9.5650012127630006</v>
      </c>
      <c r="I5" s="6" t="s">
        <v>810</v>
      </c>
      <c r="K5" s="7">
        <v>19.130002425526001</v>
      </c>
      <c r="M5" s="4" t="s">
        <v>695</v>
      </c>
      <c r="N5" s="4">
        <v>2025</v>
      </c>
      <c r="Q5" s="7" t="s">
        <v>695</v>
      </c>
      <c r="R5" s="7">
        <v>2023</v>
      </c>
      <c r="S5" s="7">
        <f t="shared" ref="S5:S68" si="1">V5/2</f>
        <v>5.4167037629263</v>
      </c>
      <c r="T5" s="7" t="s">
        <v>810</v>
      </c>
      <c r="V5" s="7">
        <v>10.8334075258526</v>
      </c>
    </row>
    <row r="6" spans="2:22">
      <c r="B6" s="3" t="s">
        <v>220</v>
      </c>
      <c r="C6" s="5">
        <v>2025</v>
      </c>
      <c r="F6" s="6" t="s">
        <v>220</v>
      </c>
      <c r="G6" s="6">
        <v>2023</v>
      </c>
      <c r="H6" s="7">
        <f t="shared" si="0"/>
        <v>10.858599521148101</v>
      </c>
      <c r="I6" s="6" t="s">
        <v>810</v>
      </c>
      <c r="K6" s="7">
        <v>21.717199042296201</v>
      </c>
      <c r="M6" s="4" t="s">
        <v>696</v>
      </c>
      <c r="N6" s="4">
        <v>2025</v>
      </c>
      <c r="Q6" s="7" t="s">
        <v>696</v>
      </c>
      <c r="R6" s="7">
        <v>2023</v>
      </c>
      <c r="S6" s="7">
        <f t="shared" si="1"/>
        <v>2.5499164275481001</v>
      </c>
      <c r="T6" s="7" t="s">
        <v>810</v>
      </c>
      <c r="V6" s="7">
        <v>5.0998328550962002</v>
      </c>
    </row>
    <row r="7" spans="2:22">
      <c r="B7" s="3" t="s">
        <v>221</v>
      </c>
      <c r="C7" s="5">
        <v>2025</v>
      </c>
      <c r="F7" s="6" t="s">
        <v>221</v>
      </c>
      <c r="G7" s="6">
        <v>2023</v>
      </c>
      <c r="H7" s="7">
        <f t="shared" si="0"/>
        <v>10.394480144070149</v>
      </c>
      <c r="I7" s="6" t="s">
        <v>810</v>
      </c>
      <c r="K7" s="7">
        <v>20.788960288140299</v>
      </c>
      <c r="M7" s="4" t="s">
        <v>697</v>
      </c>
      <c r="N7" s="4">
        <v>2025</v>
      </c>
      <c r="Q7" s="7" t="s">
        <v>697</v>
      </c>
      <c r="R7" s="7">
        <v>2023</v>
      </c>
      <c r="S7" s="7">
        <f t="shared" si="1"/>
        <v>6.7779188869192497</v>
      </c>
      <c r="T7" s="7" t="s">
        <v>810</v>
      </c>
      <c r="V7" s="7">
        <v>13.555837773838499</v>
      </c>
    </row>
    <row r="8" spans="2:22">
      <c r="B8" s="3" t="s">
        <v>222</v>
      </c>
      <c r="C8" s="5">
        <v>2025</v>
      </c>
      <c r="F8" s="6" t="s">
        <v>222</v>
      </c>
      <c r="G8" s="6">
        <v>2023</v>
      </c>
      <c r="H8" s="7">
        <f t="shared" si="0"/>
        <v>15.18638778736025</v>
      </c>
      <c r="I8" s="6" t="s">
        <v>810</v>
      </c>
      <c r="K8" s="7">
        <v>30.372775574720499</v>
      </c>
      <c r="M8" s="4" t="s">
        <v>698</v>
      </c>
      <c r="N8" s="4">
        <v>2025</v>
      </c>
      <c r="Q8" s="7" t="s">
        <v>698</v>
      </c>
      <c r="R8" s="7">
        <v>2023</v>
      </c>
      <c r="S8" s="7">
        <f t="shared" si="1"/>
        <v>11.17986208223325</v>
      </c>
      <c r="T8" s="7" t="s">
        <v>810</v>
      </c>
      <c r="V8" s="7">
        <v>22.359724164466499</v>
      </c>
    </row>
    <row r="9" spans="2:22">
      <c r="B9" s="3" t="s">
        <v>223</v>
      </c>
      <c r="C9" s="5">
        <v>2025</v>
      </c>
      <c r="F9" s="6" t="s">
        <v>223</v>
      </c>
      <c r="G9" s="6">
        <v>2023</v>
      </c>
      <c r="H9" s="7">
        <f t="shared" si="0"/>
        <v>12.270180230783</v>
      </c>
      <c r="I9" s="6" t="s">
        <v>810</v>
      </c>
      <c r="K9" s="7">
        <v>24.540360461565999</v>
      </c>
      <c r="M9" s="4" t="s">
        <v>699</v>
      </c>
      <c r="N9" s="4">
        <v>2025</v>
      </c>
      <c r="Q9" s="7" t="s">
        <v>699</v>
      </c>
      <c r="R9" s="7">
        <v>2023</v>
      </c>
      <c r="S9" s="7">
        <f t="shared" si="1"/>
        <v>6.1882700416683996</v>
      </c>
      <c r="T9" s="7" t="s">
        <v>810</v>
      </c>
      <c r="V9" s="7">
        <v>12.376540083336799</v>
      </c>
    </row>
    <row r="10" spans="2:22">
      <c r="B10" s="3" t="s">
        <v>224</v>
      </c>
      <c r="C10" s="5">
        <v>2025</v>
      </c>
      <c r="F10" s="6" t="s">
        <v>224</v>
      </c>
      <c r="G10" s="6">
        <v>2023</v>
      </c>
      <c r="H10" s="7">
        <f t="shared" si="0"/>
        <v>13.67507098147475</v>
      </c>
      <c r="I10" s="6" t="s">
        <v>810</v>
      </c>
      <c r="K10" s="7">
        <v>27.3501419629495</v>
      </c>
      <c r="M10" s="4" t="s">
        <v>700</v>
      </c>
      <c r="N10" s="4">
        <v>2025</v>
      </c>
      <c r="Q10" s="7" t="s">
        <v>700</v>
      </c>
      <c r="R10" s="7">
        <v>2023</v>
      </c>
      <c r="S10" s="7">
        <f t="shared" si="1"/>
        <v>5.9675714888802496</v>
      </c>
      <c r="T10" s="7" t="s">
        <v>810</v>
      </c>
      <c r="V10" s="7">
        <v>11.935142977760499</v>
      </c>
    </row>
    <row r="11" spans="2:22">
      <c r="B11" s="3" t="s">
        <v>225</v>
      </c>
      <c r="C11" s="5">
        <v>2025</v>
      </c>
      <c r="F11" s="6" t="s">
        <v>225</v>
      </c>
      <c r="G11" s="6">
        <v>2023</v>
      </c>
      <c r="H11" s="7">
        <f t="shared" si="0"/>
        <v>14.07125305377855</v>
      </c>
      <c r="I11" s="6" t="s">
        <v>810</v>
      </c>
      <c r="K11" s="7">
        <v>28.1425061075571</v>
      </c>
      <c r="M11" s="4" t="s">
        <v>701</v>
      </c>
      <c r="N11" s="4">
        <v>2025</v>
      </c>
      <c r="Q11" s="7" t="s">
        <v>701</v>
      </c>
      <c r="R11" s="7">
        <v>2023</v>
      </c>
      <c r="S11" s="7">
        <f t="shared" si="1"/>
        <v>11.45337851789645</v>
      </c>
      <c r="T11" s="7" t="s">
        <v>810</v>
      </c>
      <c r="V11" s="7">
        <v>22.9067570357929</v>
      </c>
    </row>
    <row r="12" spans="2:22">
      <c r="B12" s="3" t="s">
        <v>226</v>
      </c>
      <c r="C12" s="5">
        <v>2025</v>
      </c>
      <c r="F12" s="6" t="s">
        <v>226</v>
      </c>
      <c r="G12" s="6">
        <v>2023</v>
      </c>
      <c r="H12" s="7">
        <f t="shared" si="0"/>
        <v>12.40452911321</v>
      </c>
      <c r="I12" s="6" t="s">
        <v>810</v>
      </c>
      <c r="K12" s="7">
        <v>24.809058226419999</v>
      </c>
      <c r="M12" s="4" t="s">
        <v>702</v>
      </c>
      <c r="N12" s="4">
        <v>2025</v>
      </c>
      <c r="Q12" s="7" t="s">
        <v>702</v>
      </c>
      <c r="R12" s="7">
        <v>2023</v>
      </c>
      <c r="S12" s="7">
        <f t="shared" si="1"/>
        <v>7.5892521978287997</v>
      </c>
      <c r="T12" s="7" t="s">
        <v>810</v>
      </c>
      <c r="V12" s="7">
        <v>15.178504395657599</v>
      </c>
    </row>
    <row r="13" spans="2:22">
      <c r="B13" s="3" t="s">
        <v>227</v>
      </c>
      <c r="C13" s="5">
        <v>2025</v>
      </c>
      <c r="F13" s="6" t="s">
        <v>227</v>
      </c>
      <c r="G13" s="6">
        <v>2023</v>
      </c>
      <c r="H13" s="7">
        <f t="shared" si="0"/>
        <v>13.5492750369735</v>
      </c>
      <c r="I13" s="6" t="s">
        <v>810</v>
      </c>
      <c r="K13" s="7">
        <v>27.098550073946999</v>
      </c>
      <c r="M13" s="4" t="s">
        <v>703</v>
      </c>
      <c r="N13" s="4">
        <v>2025</v>
      </c>
      <c r="Q13" s="7" t="s">
        <v>703</v>
      </c>
      <c r="R13" s="7">
        <v>2023</v>
      </c>
      <c r="S13" s="7">
        <f t="shared" si="1"/>
        <v>6.3946226812582498</v>
      </c>
      <c r="T13" s="7" t="s">
        <v>810</v>
      </c>
      <c r="V13" s="7">
        <v>12.7892453625165</v>
      </c>
    </row>
    <row r="14" spans="2:22">
      <c r="B14" s="3" t="s">
        <v>228</v>
      </c>
      <c r="C14" s="5">
        <v>2025</v>
      </c>
      <c r="F14" s="6" t="s">
        <v>228</v>
      </c>
      <c r="G14" s="6">
        <v>2023</v>
      </c>
      <c r="H14" s="7">
        <f t="shared" si="0"/>
        <v>12.94061184706255</v>
      </c>
      <c r="I14" s="6" t="s">
        <v>810</v>
      </c>
      <c r="K14" s="7">
        <v>25.881223694125101</v>
      </c>
      <c r="M14" s="4" t="s">
        <v>704</v>
      </c>
      <c r="N14" s="4">
        <v>2025</v>
      </c>
      <c r="Q14" s="7" t="s">
        <v>704</v>
      </c>
      <c r="R14" s="7">
        <v>2023</v>
      </c>
      <c r="S14" s="7">
        <f t="shared" si="1"/>
        <v>2.7555558244045448</v>
      </c>
      <c r="T14" s="7" t="s">
        <v>810</v>
      </c>
      <c r="V14" s="7">
        <v>5.5111116488090897</v>
      </c>
    </row>
    <row r="15" spans="2:22">
      <c r="B15" s="3" t="s">
        <v>229</v>
      </c>
      <c r="C15" s="5">
        <v>2025</v>
      </c>
      <c r="F15" s="6" t="s">
        <v>229</v>
      </c>
      <c r="G15" s="6">
        <v>2023</v>
      </c>
      <c r="H15" s="7">
        <f t="shared" si="0"/>
        <v>16.777677852889699</v>
      </c>
      <c r="I15" s="6" t="s">
        <v>810</v>
      </c>
      <c r="K15" s="7">
        <v>33.555355705779398</v>
      </c>
      <c r="M15" s="4" t="s">
        <v>705</v>
      </c>
      <c r="N15" s="4">
        <v>2025</v>
      </c>
      <c r="Q15" s="7" t="s">
        <v>705</v>
      </c>
      <c r="R15" s="7">
        <v>2023</v>
      </c>
      <c r="S15" s="7">
        <f t="shared" si="1"/>
        <v>2.69147461616644</v>
      </c>
      <c r="T15" s="7" t="s">
        <v>810</v>
      </c>
      <c r="V15" s="7">
        <v>5.38294923233288</v>
      </c>
    </row>
    <row r="16" spans="2:22">
      <c r="B16" s="3" t="s">
        <v>230</v>
      </c>
      <c r="C16" s="5">
        <v>2025</v>
      </c>
      <c r="F16" s="6" t="s">
        <v>230</v>
      </c>
      <c r="G16" s="6">
        <v>2023</v>
      </c>
      <c r="H16" s="7">
        <f t="shared" si="0"/>
        <v>15.264362933892301</v>
      </c>
      <c r="I16" s="6" t="s">
        <v>810</v>
      </c>
      <c r="K16" s="7">
        <v>30.528725867784601</v>
      </c>
      <c r="M16" s="4" t="s">
        <v>706</v>
      </c>
      <c r="N16" s="4">
        <v>2025</v>
      </c>
      <c r="Q16" s="7" t="s">
        <v>706</v>
      </c>
      <c r="R16" s="7">
        <v>2023</v>
      </c>
      <c r="S16" s="7">
        <f t="shared" si="1"/>
        <v>1.5492367086423851</v>
      </c>
      <c r="T16" s="7" t="s">
        <v>810</v>
      </c>
      <c r="V16" s="7">
        <v>3.0984734172847701</v>
      </c>
    </row>
    <row r="17" spans="2:22">
      <c r="B17" s="3" t="s">
        <v>231</v>
      </c>
      <c r="C17" s="5">
        <v>2025</v>
      </c>
      <c r="F17" s="6" t="s">
        <v>231</v>
      </c>
      <c r="G17" s="6">
        <v>2023</v>
      </c>
      <c r="H17" s="7">
        <f t="shared" si="0"/>
        <v>15.097081097264249</v>
      </c>
      <c r="I17" s="6" t="s">
        <v>810</v>
      </c>
      <c r="K17" s="7">
        <v>30.194162194528499</v>
      </c>
      <c r="M17" s="4" t="s">
        <v>707</v>
      </c>
      <c r="N17" s="4">
        <v>2025</v>
      </c>
      <c r="Q17" s="7" t="s">
        <v>707</v>
      </c>
      <c r="R17" s="7">
        <v>2023</v>
      </c>
      <c r="S17" s="7">
        <f t="shared" si="1"/>
        <v>1.7841240161386951</v>
      </c>
      <c r="T17" s="7" t="s">
        <v>810</v>
      </c>
      <c r="V17" s="7">
        <v>3.5682480322773902</v>
      </c>
    </row>
    <row r="18" spans="2:22">
      <c r="B18" s="3" t="s">
        <v>232</v>
      </c>
      <c r="C18" s="5">
        <v>2025</v>
      </c>
      <c r="F18" s="6" t="s">
        <v>232</v>
      </c>
      <c r="G18" s="6">
        <v>2023</v>
      </c>
      <c r="H18" s="7">
        <f t="shared" si="0"/>
        <v>15.5760052722002</v>
      </c>
      <c r="I18" s="6" t="s">
        <v>810</v>
      </c>
      <c r="K18" s="7">
        <v>31.152010544400401</v>
      </c>
      <c r="M18" s="4" t="s">
        <v>708</v>
      </c>
      <c r="N18" s="4">
        <v>2025</v>
      </c>
      <c r="Q18" s="7" t="s">
        <v>708</v>
      </c>
      <c r="R18" s="7">
        <v>2023</v>
      </c>
      <c r="S18" s="7">
        <f t="shared" si="1"/>
        <v>0.91389006940126005</v>
      </c>
      <c r="T18" s="7" t="s">
        <v>810</v>
      </c>
      <c r="V18" s="7">
        <v>1.8277801388025201</v>
      </c>
    </row>
    <row r="19" spans="2:22">
      <c r="B19" s="3" t="s">
        <v>233</v>
      </c>
      <c r="C19" s="5">
        <v>2025</v>
      </c>
      <c r="F19" s="6" t="s">
        <v>233</v>
      </c>
      <c r="G19" s="6">
        <v>2023</v>
      </c>
      <c r="H19" s="7">
        <f t="shared" si="0"/>
        <v>10.69493456260675</v>
      </c>
      <c r="I19" s="6" t="s">
        <v>810</v>
      </c>
      <c r="K19" s="7">
        <v>21.389869125213501</v>
      </c>
      <c r="M19" s="4" t="s">
        <v>709</v>
      </c>
      <c r="N19" s="4">
        <v>2025</v>
      </c>
      <c r="Q19" s="7" t="s">
        <v>709</v>
      </c>
      <c r="R19" s="7">
        <v>2023</v>
      </c>
      <c r="S19" s="7">
        <f t="shared" si="1"/>
        <v>1.564987159511305</v>
      </c>
      <c r="T19" s="7" t="s">
        <v>810</v>
      </c>
      <c r="V19" s="7">
        <v>3.1299743190226099</v>
      </c>
    </row>
    <row r="20" spans="2:22">
      <c r="B20" s="3" t="s">
        <v>234</v>
      </c>
      <c r="C20" s="5">
        <v>2025</v>
      </c>
      <c r="F20" s="6" t="s">
        <v>234</v>
      </c>
      <c r="G20" s="6">
        <v>2023</v>
      </c>
      <c r="H20" s="7">
        <f t="shared" si="0"/>
        <v>17.80560681300215</v>
      </c>
      <c r="I20" s="6" t="s">
        <v>810</v>
      </c>
      <c r="K20" s="7">
        <v>35.6112136260043</v>
      </c>
      <c r="M20" s="4" t="s">
        <v>710</v>
      </c>
      <c r="N20" s="4">
        <v>2025</v>
      </c>
      <c r="Q20" s="7" t="s">
        <v>710</v>
      </c>
      <c r="R20" s="7">
        <v>2023</v>
      </c>
      <c r="S20" s="7">
        <f t="shared" si="1"/>
        <v>0.39979331703937648</v>
      </c>
      <c r="T20" s="7" t="s">
        <v>810</v>
      </c>
      <c r="V20" s="7">
        <v>0.79958663407875297</v>
      </c>
    </row>
    <row r="21" spans="2:22">
      <c r="B21" s="3" t="s">
        <v>235</v>
      </c>
      <c r="C21" s="5">
        <v>2025</v>
      </c>
      <c r="F21" s="6" t="s">
        <v>235</v>
      </c>
      <c r="G21" s="6">
        <v>2023</v>
      </c>
      <c r="H21" s="7">
        <f t="shared" si="0"/>
        <v>13.69962044797745</v>
      </c>
      <c r="I21" s="6" t="s">
        <v>810</v>
      </c>
      <c r="K21" s="7">
        <v>27.3992408959549</v>
      </c>
      <c r="M21" s="4" t="s">
        <v>711</v>
      </c>
      <c r="N21" s="4">
        <v>2025</v>
      </c>
      <c r="Q21" s="7" t="s">
        <v>711</v>
      </c>
      <c r="R21" s="7">
        <v>2023</v>
      </c>
      <c r="S21" s="7">
        <f t="shared" si="1"/>
        <v>1.9641278258974151</v>
      </c>
      <c r="T21" s="7" t="s">
        <v>810</v>
      </c>
      <c r="V21" s="7">
        <v>3.9282556517948302</v>
      </c>
    </row>
    <row r="22" spans="2:22">
      <c r="B22" s="3" t="s">
        <v>236</v>
      </c>
      <c r="C22" s="5">
        <v>2025</v>
      </c>
      <c r="F22" s="6" t="s">
        <v>236</v>
      </c>
      <c r="G22" s="6">
        <v>2023</v>
      </c>
      <c r="H22" s="7">
        <f t="shared" si="0"/>
        <v>12.7255650645785</v>
      </c>
      <c r="I22" s="6" t="s">
        <v>810</v>
      </c>
      <c r="K22" s="7">
        <v>25.451130129157001</v>
      </c>
      <c r="M22" s="4" t="s">
        <v>712</v>
      </c>
      <c r="N22" s="4">
        <v>2025</v>
      </c>
      <c r="Q22" s="7" t="s">
        <v>712</v>
      </c>
      <c r="R22" s="7">
        <v>2023</v>
      </c>
      <c r="S22" s="7">
        <f t="shared" si="1"/>
        <v>1.8894802011944101</v>
      </c>
      <c r="T22" s="7" t="s">
        <v>810</v>
      </c>
      <c r="V22" s="7">
        <v>3.7789604023888201</v>
      </c>
    </row>
    <row r="23" spans="2:22">
      <c r="B23" s="3" t="s">
        <v>237</v>
      </c>
      <c r="C23" s="5">
        <v>2025</v>
      </c>
      <c r="F23" s="6" t="s">
        <v>237</v>
      </c>
      <c r="G23" s="6">
        <v>2023</v>
      </c>
      <c r="H23" s="7">
        <f t="shared" si="0"/>
        <v>16.448439217829598</v>
      </c>
      <c r="I23" s="6" t="s">
        <v>810</v>
      </c>
      <c r="K23" s="7">
        <v>32.896878435659197</v>
      </c>
      <c r="M23" s="4" t="s">
        <v>713</v>
      </c>
      <c r="N23" s="4">
        <v>2025</v>
      </c>
      <c r="Q23" s="7" t="s">
        <v>713</v>
      </c>
      <c r="R23" s="7">
        <v>2023</v>
      </c>
      <c r="S23" s="7">
        <f t="shared" si="1"/>
        <v>1.291376060556455</v>
      </c>
      <c r="T23" s="7" t="s">
        <v>810</v>
      </c>
      <c r="V23" s="7">
        <v>2.5827521211129101</v>
      </c>
    </row>
    <row r="24" spans="2:22">
      <c r="B24" s="3" t="s">
        <v>238</v>
      </c>
      <c r="C24" s="5">
        <v>2025</v>
      </c>
      <c r="F24" s="6" t="s">
        <v>238</v>
      </c>
      <c r="G24" s="6">
        <v>2023</v>
      </c>
      <c r="H24" s="7">
        <f t="shared" si="0"/>
        <v>14.024271852014451</v>
      </c>
      <c r="I24" s="6" t="s">
        <v>810</v>
      </c>
      <c r="K24" s="7">
        <v>28.048543704028901</v>
      </c>
      <c r="M24" s="4" t="s">
        <v>714</v>
      </c>
      <c r="N24" s="4">
        <v>2025</v>
      </c>
      <c r="Q24" s="7" t="s">
        <v>714</v>
      </c>
      <c r="R24" s="7">
        <v>2023</v>
      </c>
      <c r="S24" s="7">
        <f t="shared" si="1"/>
        <v>3.1690534099611698</v>
      </c>
      <c r="T24" s="7" t="s">
        <v>810</v>
      </c>
      <c r="V24" s="7">
        <v>6.3381068199223396</v>
      </c>
    </row>
    <row r="25" spans="2:22">
      <c r="B25" s="3" t="s">
        <v>239</v>
      </c>
      <c r="C25" s="5">
        <v>2025</v>
      </c>
      <c r="F25" s="6" t="s">
        <v>239</v>
      </c>
      <c r="G25" s="6">
        <v>2023</v>
      </c>
      <c r="H25" s="7">
        <f t="shared" si="0"/>
        <v>14.07986406507665</v>
      </c>
      <c r="I25" s="6" t="s">
        <v>810</v>
      </c>
      <c r="K25" s="7">
        <v>28.159728130153301</v>
      </c>
      <c r="M25" s="4" t="s">
        <v>715</v>
      </c>
      <c r="N25" s="4">
        <v>2025</v>
      </c>
      <c r="Q25" s="7" t="s">
        <v>715</v>
      </c>
      <c r="R25" s="7">
        <v>2023</v>
      </c>
      <c r="S25" s="7">
        <f t="shared" si="1"/>
        <v>0.96403199044642995</v>
      </c>
      <c r="T25" s="7" t="s">
        <v>810</v>
      </c>
      <c r="V25" s="7">
        <v>1.9280639808928599</v>
      </c>
    </row>
    <row r="26" spans="2:22">
      <c r="B26" s="3" t="s">
        <v>240</v>
      </c>
      <c r="C26" s="5">
        <v>2025</v>
      </c>
      <c r="F26" s="6" t="s">
        <v>240</v>
      </c>
      <c r="G26" s="6">
        <v>2023</v>
      </c>
      <c r="H26" s="7">
        <f t="shared" si="0"/>
        <v>14.213772331055051</v>
      </c>
      <c r="I26" s="6" t="s">
        <v>810</v>
      </c>
      <c r="K26" s="7">
        <v>28.427544662110101</v>
      </c>
      <c r="M26" s="4" t="s">
        <v>716</v>
      </c>
      <c r="N26" s="4">
        <v>2025</v>
      </c>
      <c r="Q26" s="7" t="s">
        <v>716</v>
      </c>
      <c r="R26" s="7">
        <v>2023</v>
      </c>
      <c r="S26" s="7">
        <f t="shared" si="1"/>
        <v>5.9736924222225003</v>
      </c>
      <c r="T26" s="7" t="s">
        <v>810</v>
      </c>
      <c r="V26" s="7">
        <v>11.947384844445001</v>
      </c>
    </row>
    <row r="27" spans="2:22">
      <c r="B27" s="3" t="s">
        <v>241</v>
      </c>
      <c r="C27" s="5">
        <v>2025</v>
      </c>
      <c r="F27" s="6" t="s">
        <v>241</v>
      </c>
      <c r="G27" s="6">
        <v>2023</v>
      </c>
      <c r="H27" s="7">
        <f t="shared" si="0"/>
        <v>14.49114242340865</v>
      </c>
      <c r="I27" s="6" t="s">
        <v>810</v>
      </c>
      <c r="K27" s="7">
        <v>28.982284846817301</v>
      </c>
      <c r="M27" s="4" t="s">
        <v>717</v>
      </c>
      <c r="N27" s="4">
        <v>2025</v>
      </c>
      <c r="Q27" s="7" t="s">
        <v>717</v>
      </c>
      <c r="R27" s="7">
        <v>2023</v>
      </c>
      <c r="S27" s="7">
        <f t="shared" si="1"/>
        <v>4.8632198778865403</v>
      </c>
      <c r="T27" s="7" t="s">
        <v>810</v>
      </c>
      <c r="V27" s="7">
        <v>9.7264397557730806</v>
      </c>
    </row>
    <row r="28" spans="2:22">
      <c r="B28" s="3" t="s">
        <v>242</v>
      </c>
      <c r="C28" s="5">
        <v>2025</v>
      </c>
      <c r="F28" s="6" t="s">
        <v>242</v>
      </c>
      <c r="G28" s="6">
        <v>2023</v>
      </c>
      <c r="H28" s="7">
        <f t="shared" si="0"/>
        <v>19.642385451962401</v>
      </c>
      <c r="I28" s="6" t="s">
        <v>810</v>
      </c>
      <c r="K28" s="7">
        <v>39.284770903924802</v>
      </c>
      <c r="M28" s="4" t="s">
        <v>718</v>
      </c>
      <c r="N28" s="4">
        <v>2025</v>
      </c>
      <c r="Q28" s="7" t="s">
        <v>718</v>
      </c>
      <c r="R28" s="7">
        <v>2023</v>
      </c>
      <c r="S28" s="7">
        <f t="shared" si="1"/>
        <v>2.4613339264191598</v>
      </c>
      <c r="T28" s="7" t="s">
        <v>810</v>
      </c>
      <c r="V28" s="7">
        <v>4.9226678528383196</v>
      </c>
    </row>
    <row r="29" spans="2:22">
      <c r="B29" s="3" t="s">
        <v>243</v>
      </c>
      <c r="C29" s="5">
        <v>2025</v>
      </c>
      <c r="F29" s="6" t="s">
        <v>243</v>
      </c>
      <c r="G29" s="6">
        <v>2023</v>
      </c>
      <c r="H29" s="7">
        <f t="shared" si="0"/>
        <v>12.88918759352255</v>
      </c>
      <c r="I29" s="6" t="s">
        <v>810</v>
      </c>
      <c r="K29" s="7">
        <v>25.7783751870451</v>
      </c>
      <c r="M29" s="4" t="s">
        <v>719</v>
      </c>
      <c r="N29" s="4">
        <v>2025</v>
      </c>
      <c r="Q29" s="7" t="s">
        <v>719</v>
      </c>
      <c r="R29" s="7">
        <v>2023</v>
      </c>
      <c r="S29" s="7">
        <f t="shared" si="1"/>
        <v>4.1470226719415546</v>
      </c>
      <c r="T29" s="7" t="s">
        <v>810</v>
      </c>
      <c r="V29" s="7">
        <v>8.2940453438831092</v>
      </c>
    </row>
    <row r="30" spans="2:22">
      <c r="B30" s="3" t="s">
        <v>244</v>
      </c>
      <c r="C30" s="5">
        <v>2025</v>
      </c>
      <c r="F30" s="6" t="s">
        <v>244</v>
      </c>
      <c r="G30" s="6">
        <v>2023</v>
      </c>
      <c r="H30" s="7">
        <f t="shared" si="0"/>
        <v>17.329383749026402</v>
      </c>
      <c r="I30" s="6" t="s">
        <v>810</v>
      </c>
      <c r="K30" s="7">
        <v>34.658767498052804</v>
      </c>
      <c r="M30" s="4" t="s">
        <v>720</v>
      </c>
      <c r="N30" s="4">
        <v>2025</v>
      </c>
      <c r="Q30" s="7" t="s">
        <v>720</v>
      </c>
      <c r="R30" s="7">
        <v>2023</v>
      </c>
      <c r="S30" s="7">
        <f t="shared" si="1"/>
        <v>3.2011229007462201</v>
      </c>
      <c r="T30" s="7" t="s">
        <v>810</v>
      </c>
      <c r="V30" s="7">
        <v>6.4022458014924402</v>
      </c>
    </row>
    <row r="31" spans="2:22">
      <c r="B31" s="3" t="s">
        <v>245</v>
      </c>
      <c r="C31" s="5">
        <v>2025</v>
      </c>
      <c r="F31" s="6" t="s">
        <v>245</v>
      </c>
      <c r="G31" s="6">
        <v>2023</v>
      </c>
      <c r="H31" s="7">
        <f t="shared" si="0"/>
        <v>12.347583028831799</v>
      </c>
      <c r="I31" s="6" t="s">
        <v>810</v>
      </c>
      <c r="K31" s="7">
        <v>24.695166057663599</v>
      </c>
      <c r="M31" s="4" t="s">
        <v>721</v>
      </c>
      <c r="N31" s="4">
        <v>2025</v>
      </c>
      <c r="Q31" s="7" t="s">
        <v>721</v>
      </c>
      <c r="R31" s="7">
        <v>2023</v>
      </c>
      <c r="S31" s="7">
        <f t="shared" si="1"/>
        <v>2.5377339871019799</v>
      </c>
      <c r="T31" s="7" t="s">
        <v>810</v>
      </c>
      <c r="V31" s="7">
        <v>5.0754679742039599</v>
      </c>
    </row>
    <row r="32" spans="2:22">
      <c r="B32" s="3" t="s">
        <v>246</v>
      </c>
      <c r="C32" s="5">
        <v>2025</v>
      </c>
      <c r="F32" s="6" t="s">
        <v>246</v>
      </c>
      <c r="G32" s="6">
        <v>2023</v>
      </c>
      <c r="H32" s="7">
        <f t="shared" si="0"/>
        <v>12.50277634220525</v>
      </c>
      <c r="I32" s="6" t="s">
        <v>810</v>
      </c>
      <c r="K32" s="7">
        <v>25.0055526844105</v>
      </c>
      <c r="M32" s="4" t="s">
        <v>722</v>
      </c>
      <c r="N32" s="4">
        <v>2025</v>
      </c>
      <c r="Q32" s="7" t="s">
        <v>722</v>
      </c>
      <c r="R32" s="7">
        <v>2023</v>
      </c>
      <c r="S32" s="7">
        <f t="shared" si="1"/>
        <v>1.74068564796043</v>
      </c>
      <c r="T32" s="7" t="s">
        <v>810</v>
      </c>
      <c r="V32" s="7">
        <v>3.48137129592086</v>
      </c>
    </row>
    <row r="33" spans="2:22">
      <c r="B33" s="3" t="s">
        <v>247</v>
      </c>
      <c r="C33" s="5">
        <v>2025</v>
      </c>
      <c r="F33" s="6" t="s">
        <v>247</v>
      </c>
      <c r="G33" s="6">
        <v>2023</v>
      </c>
      <c r="H33" s="7">
        <f t="shared" si="0"/>
        <v>7.3543200236964497</v>
      </c>
      <c r="I33" s="6" t="s">
        <v>810</v>
      </c>
      <c r="K33" s="7">
        <v>14.708640047392899</v>
      </c>
      <c r="M33" s="4" t="s">
        <v>723</v>
      </c>
      <c r="N33" s="4">
        <v>2025</v>
      </c>
      <c r="Q33" s="7" t="s">
        <v>723</v>
      </c>
      <c r="R33" s="7">
        <v>2023</v>
      </c>
      <c r="S33" s="7">
        <f t="shared" si="1"/>
        <v>0.62319670079344502</v>
      </c>
      <c r="T33" s="7" t="s">
        <v>810</v>
      </c>
      <c r="V33" s="7">
        <v>1.24639340158689</v>
      </c>
    </row>
    <row r="34" spans="2:22">
      <c r="B34" s="3" t="s">
        <v>248</v>
      </c>
      <c r="C34" s="5">
        <v>2025</v>
      </c>
      <c r="F34" s="6" t="s">
        <v>248</v>
      </c>
      <c r="G34" s="6">
        <v>2023</v>
      </c>
      <c r="H34" s="7">
        <f t="shared" si="0"/>
        <v>11.3284520037879</v>
      </c>
      <c r="I34" s="6" t="s">
        <v>810</v>
      </c>
      <c r="K34" s="7">
        <v>22.6569040075758</v>
      </c>
      <c r="M34" s="4" t="s">
        <v>724</v>
      </c>
      <c r="N34" s="4">
        <v>2025</v>
      </c>
      <c r="Q34" s="7" t="s">
        <v>724</v>
      </c>
      <c r="R34" s="7">
        <v>2023</v>
      </c>
      <c r="S34" s="7">
        <f t="shared" si="1"/>
        <v>0.87644215591310504</v>
      </c>
      <c r="T34" s="7" t="s">
        <v>810</v>
      </c>
      <c r="V34" s="7">
        <v>1.7528843118262101</v>
      </c>
    </row>
    <row r="35" spans="2:22">
      <c r="B35" s="3" t="s">
        <v>249</v>
      </c>
      <c r="C35" s="5">
        <v>2025</v>
      </c>
      <c r="F35" s="6" t="s">
        <v>249</v>
      </c>
      <c r="G35" s="6">
        <v>2023</v>
      </c>
      <c r="H35" s="7">
        <f t="shared" si="0"/>
        <v>11.112374129282349</v>
      </c>
      <c r="I35" s="6" t="s">
        <v>810</v>
      </c>
      <c r="K35" s="7">
        <v>22.224748258564698</v>
      </c>
      <c r="M35" s="4" t="s">
        <v>725</v>
      </c>
      <c r="N35" s="4">
        <v>2025</v>
      </c>
      <c r="Q35" s="7" t="s">
        <v>725</v>
      </c>
      <c r="R35" s="7">
        <v>2023</v>
      </c>
      <c r="S35" s="7">
        <f t="shared" si="1"/>
        <v>1.4894371557360351</v>
      </c>
      <c r="T35" s="7" t="s">
        <v>810</v>
      </c>
      <c r="V35" s="7">
        <v>2.9788743114720702</v>
      </c>
    </row>
    <row r="36" spans="2:22">
      <c r="B36" s="3" t="s">
        <v>250</v>
      </c>
      <c r="C36" s="5">
        <v>2025</v>
      </c>
      <c r="F36" s="6" t="s">
        <v>250</v>
      </c>
      <c r="G36" s="6">
        <v>2023</v>
      </c>
      <c r="H36" s="7">
        <f t="shared" si="0"/>
        <v>15.854326718323</v>
      </c>
      <c r="I36" s="6" t="s">
        <v>810</v>
      </c>
      <c r="K36" s="7">
        <v>31.708653436645999</v>
      </c>
      <c r="M36" s="4" t="s">
        <v>726</v>
      </c>
      <c r="N36" s="4">
        <v>2025</v>
      </c>
      <c r="Q36" s="7" t="s">
        <v>726</v>
      </c>
      <c r="R36" s="7">
        <v>2023</v>
      </c>
      <c r="S36" s="7">
        <f t="shared" si="1"/>
        <v>1.4714613511254599</v>
      </c>
      <c r="T36" s="7" t="s">
        <v>810</v>
      </c>
      <c r="V36" s="7">
        <v>2.9429227022509199</v>
      </c>
    </row>
    <row r="37" spans="2:22">
      <c r="B37" s="3" t="s">
        <v>251</v>
      </c>
      <c r="C37" s="5">
        <v>2025</v>
      </c>
      <c r="F37" s="6" t="s">
        <v>251</v>
      </c>
      <c r="G37" s="6">
        <v>2023</v>
      </c>
      <c r="H37" s="7">
        <f t="shared" si="0"/>
        <v>10.020497576360651</v>
      </c>
      <c r="I37" s="6" t="s">
        <v>810</v>
      </c>
      <c r="K37" s="7">
        <v>20.040995152721301</v>
      </c>
      <c r="M37" s="4" t="s">
        <v>727</v>
      </c>
      <c r="N37" s="4">
        <v>2025</v>
      </c>
      <c r="Q37" s="7" t="s">
        <v>727</v>
      </c>
      <c r="R37" s="7">
        <v>2023</v>
      </c>
      <c r="S37" s="7">
        <f t="shared" si="1"/>
        <v>2.6311881651027149</v>
      </c>
      <c r="T37" s="7" t="s">
        <v>810</v>
      </c>
      <c r="V37" s="7">
        <v>5.2623763302054298</v>
      </c>
    </row>
    <row r="38" spans="2:22">
      <c r="B38" s="3" t="s">
        <v>252</v>
      </c>
      <c r="C38" s="5">
        <v>2025</v>
      </c>
      <c r="F38" s="6" t="s">
        <v>252</v>
      </c>
      <c r="G38" s="6">
        <v>2023</v>
      </c>
      <c r="H38" s="7">
        <f t="shared" si="0"/>
        <v>14.1520226972857</v>
      </c>
      <c r="I38" s="6" t="s">
        <v>810</v>
      </c>
      <c r="K38" s="7">
        <v>28.3040453945714</v>
      </c>
      <c r="M38" s="4" t="s">
        <v>728</v>
      </c>
      <c r="N38" s="4">
        <v>2025</v>
      </c>
      <c r="Q38" s="7" t="s">
        <v>728</v>
      </c>
      <c r="R38" s="7">
        <v>2023</v>
      </c>
      <c r="S38" s="7">
        <f t="shared" si="1"/>
        <v>1.6998191252993</v>
      </c>
      <c r="T38" s="7" t="s">
        <v>810</v>
      </c>
      <c r="V38" s="7">
        <v>3.3996382505986</v>
      </c>
    </row>
    <row r="39" spans="2:22">
      <c r="B39" s="3" t="s">
        <v>253</v>
      </c>
      <c r="C39" s="5">
        <v>2025</v>
      </c>
      <c r="F39" s="6" t="s">
        <v>253</v>
      </c>
      <c r="G39" s="6">
        <v>2023</v>
      </c>
      <c r="H39" s="7">
        <f t="shared" si="0"/>
        <v>15.192319466096849</v>
      </c>
      <c r="I39" s="6" t="s">
        <v>810</v>
      </c>
      <c r="K39" s="7">
        <v>30.384638932193699</v>
      </c>
      <c r="M39" s="4" t="s">
        <v>729</v>
      </c>
      <c r="N39" s="4">
        <v>2025</v>
      </c>
      <c r="Q39" s="7" t="s">
        <v>729</v>
      </c>
      <c r="R39" s="7">
        <v>2023</v>
      </c>
      <c r="S39" s="7">
        <f t="shared" si="1"/>
        <v>1.4924809200056</v>
      </c>
      <c r="T39" s="7" t="s">
        <v>810</v>
      </c>
      <c r="V39" s="7">
        <v>2.9849618400111999</v>
      </c>
    </row>
    <row r="40" spans="2:22">
      <c r="B40" s="3" t="s">
        <v>254</v>
      </c>
      <c r="C40" s="5">
        <v>2025</v>
      </c>
      <c r="F40" s="6" t="s">
        <v>254</v>
      </c>
      <c r="G40" s="6">
        <v>2023</v>
      </c>
      <c r="H40" s="7">
        <f t="shared" si="0"/>
        <v>13.123168829409799</v>
      </c>
      <c r="I40" s="6" t="s">
        <v>810</v>
      </c>
      <c r="K40" s="7">
        <v>26.246337658819598</v>
      </c>
      <c r="M40" s="4" t="s">
        <v>730</v>
      </c>
      <c r="N40" s="4">
        <v>2025</v>
      </c>
      <c r="Q40" s="7" t="s">
        <v>730</v>
      </c>
      <c r="R40" s="7">
        <v>2023</v>
      </c>
      <c r="S40" s="7">
        <f t="shared" si="1"/>
        <v>6.3474952865691501</v>
      </c>
      <c r="T40" s="7" t="s">
        <v>810</v>
      </c>
      <c r="V40" s="7">
        <v>12.6949905731383</v>
      </c>
    </row>
    <row r="41" spans="2:22">
      <c r="B41" s="3" t="s">
        <v>255</v>
      </c>
      <c r="C41" s="5">
        <v>2025</v>
      </c>
      <c r="F41" s="6" t="s">
        <v>255</v>
      </c>
      <c r="G41" s="6">
        <v>2023</v>
      </c>
      <c r="H41" s="7">
        <f t="shared" si="0"/>
        <v>14.03446453601175</v>
      </c>
      <c r="I41" s="6" t="s">
        <v>810</v>
      </c>
      <c r="K41" s="7">
        <v>28.068929072023501</v>
      </c>
      <c r="M41" s="4" t="s">
        <v>731</v>
      </c>
      <c r="N41" s="4">
        <v>2025</v>
      </c>
      <c r="Q41" s="7" t="s">
        <v>731</v>
      </c>
      <c r="R41" s="7">
        <v>2023</v>
      </c>
      <c r="S41" s="7">
        <f t="shared" si="1"/>
        <v>5.1892607711922496</v>
      </c>
      <c r="T41" s="7" t="s">
        <v>810</v>
      </c>
      <c r="V41" s="7">
        <v>10.378521542384499</v>
      </c>
    </row>
    <row r="42" spans="2:22">
      <c r="B42" s="3" t="s">
        <v>256</v>
      </c>
      <c r="C42" s="5">
        <v>2025</v>
      </c>
      <c r="F42" s="6" t="s">
        <v>256</v>
      </c>
      <c r="G42" s="6">
        <v>2023</v>
      </c>
      <c r="H42" s="7">
        <f t="shared" si="0"/>
        <v>11.1114648342637</v>
      </c>
      <c r="I42" s="6" t="s">
        <v>810</v>
      </c>
      <c r="K42" s="7">
        <v>22.222929668527399</v>
      </c>
      <c r="M42" s="4" t="s">
        <v>732</v>
      </c>
      <c r="N42" s="4">
        <v>2025</v>
      </c>
      <c r="Q42" s="7" t="s">
        <v>732</v>
      </c>
      <c r="R42" s="7">
        <v>2023</v>
      </c>
      <c r="S42" s="7">
        <f t="shared" si="1"/>
        <v>4.5410622522714146</v>
      </c>
      <c r="T42" s="7" t="s">
        <v>810</v>
      </c>
      <c r="V42" s="7">
        <v>9.0821245045428292</v>
      </c>
    </row>
    <row r="43" spans="2:22">
      <c r="B43" s="3" t="s">
        <v>257</v>
      </c>
      <c r="C43" s="5">
        <v>2025</v>
      </c>
      <c r="F43" s="6" t="s">
        <v>257</v>
      </c>
      <c r="G43" s="6">
        <v>2023</v>
      </c>
      <c r="H43" s="7">
        <f t="shared" si="0"/>
        <v>14.5393463154735</v>
      </c>
      <c r="I43" s="6" t="s">
        <v>810</v>
      </c>
      <c r="K43" s="7">
        <v>29.078692630947</v>
      </c>
      <c r="M43" s="4" t="s">
        <v>733</v>
      </c>
      <c r="N43" s="4">
        <v>2025</v>
      </c>
      <c r="Q43" s="7" t="s">
        <v>733</v>
      </c>
      <c r="R43" s="7">
        <v>2023</v>
      </c>
      <c r="S43" s="7">
        <f t="shared" si="1"/>
        <v>1.65006437235243</v>
      </c>
      <c r="T43" s="7" t="s">
        <v>810</v>
      </c>
      <c r="V43" s="7">
        <v>3.30012874470486</v>
      </c>
    </row>
    <row r="44" spans="2:22">
      <c r="B44" s="3" t="s">
        <v>258</v>
      </c>
      <c r="C44" s="5">
        <v>2025</v>
      </c>
      <c r="F44" s="6" t="s">
        <v>258</v>
      </c>
      <c r="G44" s="6">
        <v>2023</v>
      </c>
      <c r="H44" s="7">
        <f t="shared" si="0"/>
        <v>15.92345436547355</v>
      </c>
      <c r="I44" s="6" t="s">
        <v>810</v>
      </c>
      <c r="K44" s="7">
        <v>31.846908730947099</v>
      </c>
      <c r="M44" s="4" t="s">
        <v>734</v>
      </c>
      <c r="N44" s="4">
        <v>2025</v>
      </c>
      <c r="Q44" s="7" t="s">
        <v>734</v>
      </c>
      <c r="R44" s="7">
        <v>2023</v>
      </c>
      <c r="S44" s="7">
        <f t="shared" si="1"/>
        <v>4.1382442161689852</v>
      </c>
      <c r="T44" s="7" t="s">
        <v>810</v>
      </c>
      <c r="V44" s="7">
        <v>8.2764884323379704</v>
      </c>
    </row>
    <row r="45" spans="2:22">
      <c r="B45" s="3" t="s">
        <v>259</v>
      </c>
      <c r="C45" s="5">
        <v>2025</v>
      </c>
      <c r="F45" s="6" t="s">
        <v>259</v>
      </c>
      <c r="G45" s="6">
        <v>2023</v>
      </c>
      <c r="H45" s="7">
        <f t="shared" si="0"/>
        <v>14.08117285475355</v>
      </c>
      <c r="I45" s="6" t="s">
        <v>810</v>
      </c>
      <c r="K45" s="7">
        <v>28.1623457095071</v>
      </c>
      <c r="M45" s="4" t="s">
        <v>735</v>
      </c>
      <c r="N45" s="4">
        <v>2025</v>
      </c>
      <c r="Q45" s="7" t="s">
        <v>735</v>
      </c>
      <c r="R45" s="7">
        <v>2023</v>
      </c>
      <c r="S45" s="7">
        <f t="shared" si="1"/>
        <v>1.74068564796043</v>
      </c>
      <c r="T45" s="7" t="s">
        <v>810</v>
      </c>
      <c r="V45" s="7">
        <v>3.48137129592086</v>
      </c>
    </row>
    <row r="46" spans="2:22">
      <c r="B46" s="3" t="s">
        <v>260</v>
      </c>
      <c r="C46" s="5">
        <v>2025</v>
      </c>
      <c r="F46" s="6" t="s">
        <v>260</v>
      </c>
      <c r="G46" s="6">
        <v>2023</v>
      </c>
      <c r="H46" s="7">
        <f t="shared" si="0"/>
        <v>16.282755007814298</v>
      </c>
      <c r="I46" s="6" t="s">
        <v>810</v>
      </c>
      <c r="K46" s="7">
        <v>32.565510015628597</v>
      </c>
      <c r="M46" s="4" t="s">
        <v>736</v>
      </c>
      <c r="N46" s="4">
        <v>2025</v>
      </c>
      <c r="Q46" s="7" t="s">
        <v>736</v>
      </c>
      <c r="R46" s="7">
        <v>2023</v>
      </c>
      <c r="S46" s="7">
        <f t="shared" si="1"/>
        <v>1.6062371773747199</v>
      </c>
      <c r="T46" s="7" t="s">
        <v>810</v>
      </c>
      <c r="V46" s="7">
        <v>3.2124743547494399</v>
      </c>
    </row>
    <row r="47" spans="2:22">
      <c r="B47" s="3" t="s">
        <v>261</v>
      </c>
      <c r="C47" s="5">
        <v>2025</v>
      </c>
      <c r="F47" s="6" t="s">
        <v>261</v>
      </c>
      <c r="G47" s="6">
        <v>2023</v>
      </c>
      <c r="H47" s="7">
        <f t="shared" si="0"/>
        <v>17.81471412923085</v>
      </c>
      <c r="I47" s="6" t="s">
        <v>810</v>
      </c>
      <c r="K47" s="7">
        <v>35.629428258461701</v>
      </c>
      <c r="M47" s="4" t="s">
        <v>737</v>
      </c>
      <c r="N47" s="4">
        <v>2025</v>
      </c>
      <c r="Q47" s="7" t="s">
        <v>737</v>
      </c>
      <c r="R47" s="7">
        <v>2023</v>
      </c>
      <c r="S47" s="7">
        <f t="shared" si="1"/>
        <v>2.1644423638053301</v>
      </c>
      <c r="T47" s="7" t="s">
        <v>810</v>
      </c>
      <c r="V47" s="7">
        <v>4.3288847276106601</v>
      </c>
    </row>
    <row r="48" spans="2:22">
      <c r="B48" s="3" t="s">
        <v>262</v>
      </c>
      <c r="C48" s="5">
        <v>2025</v>
      </c>
      <c r="F48" s="6" t="s">
        <v>262</v>
      </c>
      <c r="G48" s="6">
        <v>2023</v>
      </c>
      <c r="H48" s="7">
        <f t="shared" si="0"/>
        <v>13.66001725621415</v>
      </c>
      <c r="I48" s="6" t="s">
        <v>810</v>
      </c>
      <c r="K48" s="7">
        <v>27.3200345124283</v>
      </c>
      <c r="M48" s="4" t="s">
        <v>738</v>
      </c>
      <c r="N48" s="4">
        <v>2025</v>
      </c>
      <c r="Q48" s="7" t="s">
        <v>738</v>
      </c>
      <c r="R48" s="7">
        <v>2023</v>
      </c>
      <c r="S48" s="7">
        <f t="shared" si="1"/>
        <v>1.320904089385915</v>
      </c>
      <c r="T48" s="7" t="s">
        <v>810</v>
      </c>
      <c r="V48" s="7">
        <v>2.6418081787718299</v>
      </c>
    </row>
    <row r="49" spans="2:22">
      <c r="B49" s="3" t="s">
        <v>263</v>
      </c>
      <c r="C49" s="5">
        <v>2025</v>
      </c>
      <c r="F49" s="6" t="s">
        <v>263</v>
      </c>
      <c r="G49" s="6">
        <v>2023</v>
      </c>
      <c r="H49" s="7">
        <f t="shared" si="0"/>
        <v>12.74750086214125</v>
      </c>
      <c r="I49" s="6" t="s">
        <v>810</v>
      </c>
      <c r="K49" s="7">
        <v>25.495001724282499</v>
      </c>
      <c r="M49" s="4" t="s">
        <v>739</v>
      </c>
      <c r="N49" s="4">
        <v>2025</v>
      </c>
      <c r="Q49" s="7" t="s">
        <v>739</v>
      </c>
      <c r="R49" s="7">
        <v>2023</v>
      </c>
      <c r="S49" s="7">
        <f t="shared" si="1"/>
        <v>3.1956237084714352</v>
      </c>
      <c r="T49" s="7" t="s">
        <v>810</v>
      </c>
      <c r="V49" s="7">
        <v>6.3912474169428704</v>
      </c>
    </row>
    <row r="50" spans="2:22">
      <c r="B50" s="3" t="s">
        <v>264</v>
      </c>
      <c r="C50" s="5">
        <v>2025</v>
      </c>
      <c r="F50" s="6" t="s">
        <v>264</v>
      </c>
      <c r="G50" s="6">
        <v>2023</v>
      </c>
      <c r="H50" s="7">
        <f t="shared" si="0"/>
        <v>17.305740204232251</v>
      </c>
      <c r="I50" s="6" t="s">
        <v>810</v>
      </c>
      <c r="K50" s="7">
        <v>34.611480408464502</v>
      </c>
      <c r="M50" s="4" t="s">
        <v>740</v>
      </c>
      <c r="N50" s="4">
        <v>2025</v>
      </c>
      <c r="Q50" s="7" t="s">
        <v>740</v>
      </c>
      <c r="R50" s="7">
        <v>2023</v>
      </c>
      <c r="S50" s="7">
        <f t="shared" si="1"/>
        <v>2.257695949698225</v>
      </c>
      <c r="T50" s="7" t="s">
        <v>810</v>
      </c>
      <c r="V50" s="7">
        <v>4.5153918993964499</v>
      </c>
    </row>
    <row r="51" spans="2:22">
      <c r="B51" s="3" t="s">
        <v>265</v>
      </c>
      <c r="C51" s="5">
        <v>2025</v>
      </c>
      <c r="F51" s="6" t="s">
        <v>265</v>
      </c>
      <c r="G51" s="6">
        <v>2023</v>
      </c>
      <c r="H51" s="7">
        <f t="shared" si="0"/>
        <v>12.42260971566655</v>
      </c>
      <c r="I51" s="6" t="s">
        <v>810</v>
      </c>
      <c r="K51" s="7">
        <v>24.845219431333099</v>
      </c>
      <c r="M51" s="4" t="s">
        <v>741</v>
      </c>
      <c r="N51" s="4">
        <v>2025</v>
      </c>
      <c r="Q51" s="7" t="s">
        <v>741</v>
      </c>
      <c r="R51" s="7">
        <v>2023</v>
      </c>
      <c r="S51" s="7">
        <f t="shared" si="1"/>
        <v>5.2121112835242496</v>
      </c>
      <c r="T51" s="7" t="s">
        <v>810</v>
      </c>
      <c r="V51" s="7">
        <v>10.424222567048499</v>
      </c>
    </row>
    <row r="52" spans="2:22">
      <c r="B52" s="3" t="s">
        <v>266</v>
      </c>
      <c r="C52" s="5">
        <v>2025</v>
      </c>
      <c r="F52" s="6" t="s">
        <v>266</v>
      </c>
      <c r="G52" s="6">
        <v>2023</v>
      </c>
      <c r="H52" s="7">
        <f t="shared" si="0"/>
        <v>13.96588177565345</v>
      </c>
      <c r="I52" s="6" t="s">
        <v>810</v>
      </c>
      <c r="K52" s="7">
        <v>27.931763551306901</v>
      </c>
      <c r="M52" s="4" t="s">
        <v>742</v>
      </c>
      <c r="N52" s="4">
        <v>2025</v>
      </c>
      <c r="Q52" s="7" t="s">
        <v>742</v>
      </c>
      <c r="R52" s="7">
        <v>2023</v>
      </c>
      <c r="S52" s="7">
        <f t="shared" si="1"/>
        <v>2.9270553343099799</v>
      </c>
      <c r="T52" s="7" t="s">
        <v>810</v>
      </c>
      <c r="V52" s="7">
        <v>5.8541106686199598</v>
      </c>
    </row>
    <row r="53" spans="2:22">
      <c r="B53" s="3" t="s">
        <v>267</v>
      </c>
      <c r="C53" s="5">
        <v>2025</v>
      </c>
      <c r="F53" s="6" t="s">
        <v>267</v>
      </c>
      <c r="G53" s="6">
        <v>2023</v>
      </c>
      <c r="H53" s="7">
        <f t="shared" si="0"/>
        <v>14.283034913204601</v>
      </c>
      <c r="I53" s="6" t="s">
        <v>810</v>
      </c>
      <c r="K53" s="7">
        <v>28.566069826409201</v>
      </c>
      <c r="M53" s="4" t="s">
        <v>743</v>
      </c>
      <c r="N53" s="4">
        <v>2025</v>
      </c>
      <c r="Q53" s="7" t="s">
        <v>743</v>
      </c>
      <c r="R53" s="7">
        <v>2023</v>
      </c>
      <c r="S53" s="7">
        <f t="shared" si="1"/>
        <v>2.11198254211252</v>
      </c>
      <c r="T53" s="7" t="s">
        <v>810</v>
      </c>
      <c r="V53" s="7">
        <v>4.22396508422504</v>
      </c>
    </row>
    <row r="54" spans="2:22">
      <c r="B54" s="3" t="s">
        <v>268</v>
      </c>
      <c r="C54" s="5">
        <v>2025</v>
      </c>
      <c r="F54" s="6" t="s">
        <v>268</v>
      </c>
      <c r="G54" s="6">
        <v>2023</v>
      </c>
      <c r="H54" s="7">
        <f t="shared" si="0"/>
        <v>14.38418494969495</v>
      </c>
      <c r="I54" s="6" t="s">
        <v>810</v>
      </c>
      <c r="K54" s="7">
        <v>28.768369899389899</v>
      </c>
      <c r="M54" s="4" t="s">
        <v>744</v>
      </c>
      <c r="N54" s="4">
        <v>2025</v>
      </c>
      <c r="Q54" s="7" t="s">
        <v>744</v>
      </c>
      <c r="R54" s="7">
        <v>2023</v>
      </c>
      <c r="S54" s="7">
        <f t="shared" si="1"/>
        <v>7.0073244726364496</v>
      </c>
      <c r="T54" s="7" t="s">
        <v>810</v>
      </c>
      <c r="V54" s="7">
        <v>14.014648945272899</v>
      </c>
    </row>
    <row r="55" spans="2:22">
      <c r="B55" s="3" t="s">
        <v>269</v>
      </c>
      <c r="C55" s="5">
        <v>2025</v>
      </c>
      <c r="F55" s="6" t="s">
        <v>269</v>
      </c>
      <c r="G55" s="6">
        <v>2023</v>
      </c>
      <c r="H55" s="7">
        <f t="shared" si="0"/>
        <v>16.221633376899199</v>
      </c>
      <c r="I55" s="6" t="s">
        <v>810</v>
      </c>
      <c r="K55" s="7">
        <v>32.443266753798397</v>
      </c>
      <c r="M55" s="4" t="s">
        <v>745</v>
      </c>
      <c r="N55" s="4">
        <v>2025</v>
      </c>
      <c r="Q55" s="7" t="s">
        <v>745</v>
      </c>
      <c r="R55" s="7">
        <v>2023</v>
      </c>
      <c r="S55" s="7">
        <f t="shared" si="1"/>
        <v>6.2817269681152998</v>
      </c>
      <c r="T55" s="7" t="s">
        <v>810</v>
      </c>
      <c r="V55" s="7">
        <v>12.5634539362306</v>
      </c>
    </row>
    <row r="56" spans="2:22">
      <c r="B56" s="3" t="s">
        <v>270</v>
      </c>
      <c r="C56" s="5">
        <v>2025</v>
      </c>
      <c r="F56" s="6" t="s">
        <v>270</v>
      </c>
      <c r="G56" s="6">
        <v>2023</v>
      </c>
      <c r="H56" s="7">
        <f t="shared" si="0"/>
        <v>12.707151962013249</v>
      </c>
      <c r="I56" s="6" t="s">
        <v>810</v>
      </c>
      <c r="K56" s="7">
        <v>25.414303924026498</v>
      </c>
      <c r="M56" s="4" t="s">
        <v>746</v>
      </c>
      <c r="N56" s="4">
        <v>2025</v>
      </c>
      <c r="Q56" s="7" t="s">
        <v>746</v>
      </c>
      <c r="R56" s="7">
        <v>2023</v>
      </c>
      <c r="S56" s="7">
        <f t="shared" si="1"/>
        <v>3.4953321959800649</v>
      </c>
      <c r="T56" s="7" t="s">
        <v>810</v>
      </c>
      <c r="V56" s="7">
        <v>6.9906643919601299</v>
      </c>
    </row>
    <row r="57" spans="2:22">
      <c r="B57" s="3" t="s">
        <v>271</v>
      </c>
      <c r="C57" s="5">
        <v>2025</v>
      </c>
      <c r="F57" s="6" t="s">
        <v>271</v>
      </c>
      <c r="G57" s="6">
        <v>2023</v>
      </c>
      <c r="H57" s="7">
        <f t="shared" si="0"/>
        <v>17.344617271724299</v>
      </c>
      <c r="I57" s="6" t="s">
        <v>810</v>
      </c>
      <c r="K57" s="7">
        <v>34.689234543448599</v>
      </c>
      <c r="M57" s="4" t="s">
        <v>747</v>
      </c>
      <c r="N57" s="4">
        <v>2025</v>
      </c>
      <c r="Q57" s="7" t="s">
        <v>747</v>
      </c>
      <c r="R57" s="7">
        <v>2023</v>
      </c>
      <c r="S57" s="7">
        <f t="shared" si="1"/>
        <v>3.4475917882963851</v>
      </c>
      <c r="T57" s="7" t="s">
        <v>810</v>
      </c>
      <c r="V57" s="7">
        <v>6.8951835765927703</v>
      </c>
    </row>
    <row r="58" spans="2:22">
      <c r="B58" s="3" t="s">
        <v>272</v>
      </c>
      <c r="C58" s="5">
        <v>2025</v>
      </c>
      <c r="F58" s="6" t="s">
        <v>272</v>
      </c>
      <c r="G58" s="6">
        <v>2023</v>
      </c>
      <c r="H58" s="7">
        <f t="shared" si="0"/>
        <v>12.35515148790145</v>
      </c>
      <c r="I58" s="6" t="s">
        <v>810</v>
      </c>
      <c r="K58" s="7">
        <v>24.7103029758029</v>
      </c>
      <c r="M58" s="4" t="s">
        <v>748</v>
      </c>
      <c r="N58" s="4">
        <v>2025</v>
      </c>
      <c r="Q58" s="7" t="s">
        <v>748</v>
      </c>
      <c r="R58" s="7">
        <v>2023</v>
      </c>
      <c r="S58" s="7">
        <f t="shared" si="1"/>
        <v>1.7862581137148299</v>
      </c>
      <c r="T58" s="7" t="s">
        <v>810</v>
      </c>
      <c r="V58" s="7">
        <v>3.5725162274296598</v>
      </c>
    </row>
    <row r="59" spans="2:22">
      <c r="B59" s="3" t="s">
        <v>273</v>
      </c>
      <c r="C59" s="5">
        <v>2025</v>
      </c>
      <c r="F59" s="6" t="s">
        <v>273</v>
      </c>
      <c r="G59" s="6">
        <v>2023</v>
      </c>
      <c r="H59" s="7">
        <f t="shared" si="0"/>
        <v>11.239656084579</v>
      </c>
      <c r="I59" s="6" t="s">
        <v>810</v>
      </c>
      <c r="K59" s="7">
        <v>22.479312169158</v>
      </c>
      <c r="M59" s="4" t="s">
        <v>749</v>
      </c>
      <c r="N59" s="4">
        <v>2025</v>
      </c>
      <c r="Q59" s="7" t="s">
        <v>749</v>
      </c>
      <c r="R59" s="7">
        <v>2023</v>
      </c>
      <c r="S59" s="7">
        <f t="shared" si="1"/>
        <v>2.2355750648876849</v>
      </c>
      <c r="T59" s="7" t="s">
        <v>810</v>
      </c>
      <c r="V59" s="7">
        <v>4.4711501297753697</v>
      </c>
    </row>
    <row r="60" spans="2:22">
      <c r="B60" s="3" t="s">
        <v>274</v>
      </c>
      <c r="C60" s="5">
        <v>2025</v>
      </c>
      <c r="F60" s="6" t="s">
        <v>274</v>
      </c>
      <c r="G60" s="6">
        <v>2023</v>
      </c>
      <c r="H60" s="7">
        <f t="shared" si="0"/>
        <v>11.888957293738001</v>
      </c>
      <c r="I60" s="6" t="s">
        <v>810</v>
      </c>
      <c r="K60" s="7">
        <v>23.777914587476001</v>
      </c>
      <c r="M60" s="4" t="s">
        <v>750</v>
      </c>
      <c r="N60" s="4">
        <v>2025</v>
      </c>
      <c r="Q60" s="7" t="s">
        <v>750</v>
      </c>
      <c r="R60" s="7">
        <v>2023</v>
      </c>
      <c r="S60" s="7">
        <f t="shared" si="1"/>
        <v>1.5566037267171999</v>
      </c>
      <c r="T60" s="7" t="s">
        <v>810</v>
      </c>
      <c r="V60" s="7">
        <v>3.1132074534343999</v>
      </c>
    </row>
    <row r="61" spans="2:22">
      <c r="B61" s="3" t="s">
        <v>275</v>
      </c>
      <c r="C61" s="5">
        <v>2025</v>
      </c>
      <c r="F61" s="6" t="s">
        <v>275</v>
      </c>
      <c r="G61" s="6">
        <v>2023</v>
      </c>
      <c r="H61" s="7">
        <f t="shared" si="0"/>
        <v>13.3346036908271</v>
      </c>
      <c r="I61" s="6" t="s">
        <v>810</v>
      </c>
      <c r="K61" s="7">
        <v>26.6692073816542</v>
      </c>
      <c r="M61" s="4" t="s">
        <v>751</v>
      </c>
      <c r="N61" s="4">
        <v>2025</v>
      </c>
      <c r="Q61" s="7" t="s">
        <v>751</v>
      </c>
      <c r="R61" s="7">
        <v>2023</v>
      </c>
      <c r="S61" s="7">
        <f t="shared" si="1"/>
        <v>1.4074424888700949</v>
      </c>
      <c r="T61" s="7" t="s">
        <v>810</v>
      </c>
      <c r="V61" s="7">
        <v>2.8148849777401899</v>
      </c>
    </row>
    <row r="62" spans="2:22">
      <c r="B62" s="3" t="s">
        <v>276</v>
      </c>
      <c r="C62" s="5">
        <v>2025</v>
      </c>
      <c r="F62" s="6" t="s">
        <v>276</v>
      </c>
      <c r="G62" s="6">
        <v>2023</v>
      </c>
      <c r="H62" s="7">
        <f t="shared" si="0"/>
        <v>13.5665372579855</v>
      </c>
      <c r="I62" s="6" t="s">
        <v>810</v>
      </c>
      <c r="K62" s="7">
        <v>27.133074515971</v>
      </c>
      <c r="M62" s="4" t="s">
        <v>752</v>
      </c>
      <c r="N62" s="4">
        <v>2025</v>
      </c>
      <c r="Q62" s="7" t="s">
        <v>752</v>
      </c>
      <c r="R62" s="7">
        <v>2023</v>
      </c>
      <c r="S62" s="7">
        <f t="shared" si="1"/>
        <v>1.9641278258974151</v>
      </c>
      <c r="T62" s="7" t="s">
        <v>810</v>
      </c>
      <c r="V62" s="7">
        <v>3.9282556517948302</v>
      </c>
    </row>
    <row r="63" spans="2:22">
      <c r="B63" s="3" t="s">
        <v>277</v>
      </c>
      <c r="C63" s="5">
        <v>2025</v>
      </c>
      <c r="F63" s="6" t="s">
        <v>277</v>
      </c>
      <c r="G63" s="6">
        <v>2023</v>
      </c>
      <c r="H63" s="7">
        <f t="shared" si="0"/>
        <v>8.3044699635987005</v>
      </c>
      <c r="I63" s="6" t="s">
        <v>810</v>
      </c>
      <c r="K63" s="7">
        <v>16.608939927197401</v>
      </c>
      <c r="M63" s="4" t="s">
        <v>753</v>
      </c>
      <c r="N63" s="4">
        <v>2025</v>
      </c>
      <c r="Q63" s="7" t="s">
        <v>753</v>
      </c>
      <c r="R63" s="7">
        <v>2023</v>
      </c>
      <c r="S63" s="7">
        <f t="shared" si="1"/>
        <v>1.3119930833885951</v>
      </c>
      <c r="T63" s="7" t="s">
        <v>810</v>
      </c>
      <c r="V63" s="7">
        <v>2.6239861667771902</v>
      </c>
    </row>
    <row r="64" spans="2:22">
      <c r="B64" s="3" t="s">
        <v>278</v>
      </c>
      <c r="C64" s="5">
        <v>2025</v>
      </c>
      <c r="F64" s="6" t="s">
        <v>278</v>
      </c>
      <c r="G64" s="6">
        <v>2023</v>
      </c>
      <c r="H64" s="7">
        <f t="shared" si="0"/>
        <v>11.92884050941775</v>
      </c>
      <c r="I64" s="6" t="s">
        <v>810</v>
      </c>
      <c r="K64" s="7">
        <v>23.8576810188355</v>
      </c>
      <c r="M64" s="4" t="s">
        <v>754</v>
      </c>
      <c r="N64" s="4">
        <v>2025</v>
      </c>
      <c r="Q64" s="7" t="s">
        <v>754</v>
      </c>
      <c r="R64" s="7">
        <v>2023</v>
      </c>
      <c r="S64" s="7">
        <f t="shared" si="1"/>
        <v>0.88106238484180999</v>
      </c>
      <c r="T64" s="7" t="s">
        <v>810</v>
      </c>
      <c r="V64" s="7">
        <v>1.76212476968362</v>
      </c>
    </row>
    <row r="65" spans="2:22">
      <c r="B65" s="3" t="s">
        <v>279</v>
      </c>
      <c r="C65" s="5">
        <v>2025</v>
      </c>
      <c r="F65" s="6" t="s">
        <v>279</v>
      </c>
      <c r="G65" s="6">
        <v>2023</v>
      </c>
      <c r="H65" s="7">
        <f t="shared" si="0"/>
        <v>14.7107311944487</v>
      </c>
      <c r="I65" s="6" t="s">
        <v>810</v>
      </c>
      <c r="K65" s="7">
        <v>29.4214623888974</v>
      </c>
      <c r="M65" s="4" t="s">
        <v>755</v>
      </c>
      <c r="N65" s="4">
        <v>2025</v>
      </c>
      <c r="Q65" s="7" t="s">
        <v>755</v>
      </c>
      <c r="R65" s="7">
        <v>2023</v>
      </c>
      <c r="S65" s="7">
        <f t="shared" si="1"/>
        <v>2.4150396886935401</v>
      </c>
      <c r="T65" s="7" t="s">
        <v>810</v>
      </c>
      <c r="V65" s="7">
        <v>4.8300793773870803</v>
      </c>
    </row>
    <row r="66" spans="2:22">
      <c r="B66" s="3" t="s">
        <v>280</v>
      </c>
      <c r="C66" s="5">
        <v>2025</v>
      </c>
      <c r="F66" s="6" t="s">
        <v>280</v>
      </c>
      <c r="G66" s="6">
        <v>2023</v>
      </c>
      <c r="H66" s="7">
        <f t="shared" si="0"/>
        <v>11.208780712706851</v>
      </c>
      <c r="I66" s="6" t="s">
        <v>810</v>
      </c>
      <c r="K66" s="7">
        <v>22.417561425413702</v>
      </c>
      <c r="M66" s="4" t="s">
        <v>756</v>
      </c>
      <c r="N66" s="4">
        <v>2025</v>
      </c>
      <c r="Q66" s="7" t="s">
        <v>756</v>
      </c>
      <c r="R66" s="7">
        <v>2023</v>
      </c>
      <c r="S66" s="7">
        <f t="shared" si="1"/>
        <v>0.82902464393083497</v>
      </c>
      <c r="T66" s="7" t="s">
        <v>810</v>
      </c>
      <c r="V66" s="7">
        <v>1.6580492878616699</v>
      </c>
    </row>
    <row r="67" spans="2:22">
      <c r="B67" s="3" t="s">
        <v>281</v>
      </c>
      <c r="C67" s="5">
        <v>2025</v>
      </c>
      <c r="F67" s="6" t="s">
        <v>281</v>
      </c>
      <c r="G67" s="6">
        <v>2023</v>
      </c>
      <c r="H67" s="7">
        <f t="shared" si="0"/>
        <v>11.931858463615001</v>
      </c>
      <c r="I67" s="6" t="s">
        <v>810</v>
      </c>
      <c r="K67" s="7">
        <v>23.863716927230001</v>
      </c>
      <c r="M67" s="4" t="s">
        <v>757</v>
      </c>
      <c r="N67" s="4">
        <v>2025</v>
      </c>
      <c r="Q67" s="7" t="s">
        <v>757</v>
      </c>
      <c r="R67" s="7">
        <v>2023</v>
      </c>
      <c r="S67" s="7">
        <f t="shared" si="1"/>
        <v>0.67452972538911005</v>
      </c>
      <c r="T67" s="7" t="s">
        <v>810</v>
      </c>
      <c r="V67" s="7">
        <v>1.3490594507782201</v>
      </c>
    </row>
    <row r="68" spans="2:22">
      <c r="B68" s="3" t="s">
        <v>282</v>
      </c>
      <c r="C68" s="5">
        <v>2025</v>
      </c>
      <c r="F68" s="6" t="s">
        <v>282</v>
      </c>
      <c r="G68" s="6">
        <v>2023</v>
      </c>
      <c r="H68" s="7">
        <f t="shared" si="0"/>
        <v>15.0473999691462</v>
      </c>
      <c r="I68" s="6" t="s">
        <v>810</v>
      </c>
      <c r="K68" s="7">
        <v>30.0947999382924</v>
      </c>
      <c r="M68" s="4" t="s">
        <v>758</v>
      </c>
      <c r="N68" s="4">
        <v>2025</v>
      </c>
      <c r="Q68" s="7" t="s">
        <v>758</v>
      </c>
      <c r="R68" s="7">
        <v>2023</v>
      </c>
      <c r="S68" s="7">
        <f t="shared" si="1"/>
        <v>6.87762210386225</v>
      </c>
      <c r="T68" s="7" t="s">
        <v>810</v>
      </c>
      <c r="V68" s="7">
        <v>13.7552442077245</v>
      </c>
    </row>
    <row r="69" spans="2:22">
      <c r="B69" s="3" t="s">
        <v>283</v>
      </c>
      <c r="C69" s="5">
        <v>2025</v>
      </c>
      <c r="F69" s="6" t="s">
        <v>283</v>
      </c>
      <c r="G69" s="6">
        <v>2023</v>
      </c>
      <c r="H69" s="7">
        <f t="shared" ref="H69:H132" si="2">K69/2</f>
        <v>16.967901605532649</v>
      </c>
      <c r="I69" s="6" t="s">
        <v>810</v>
      </c>
      <c r="K69" s="7">
        <v>33.935803211065299</v>
      </c>
      <c r="M69" s="4" t="s">
        <v>759</v>
      </c>
      <c r="N69" s="4">
        <v>2025</v>
      </c>
      <c r="Q69" s="7" t="s">
        <v>759</v>
      </c>
      <c r="R69" s="7">
        <v>2023</v>
      </c>
      <c r="S69" s="7">
        <f t="shared" ref="S69:S114" si="3">V69/2</f>
        <v>5.7624443591147996</v>
      </c>
      <c r="T69" s="7" t="s">
        <v>810</v>
      </c>
      <c r="V69" s="7">
        <v>11.524888718229599</v>
      </c>
    </row>
    <row r="70" spans="2:22">
      <c r="B70" s="3" t="s">
        <v>284</v>
      </c>
      <c r="C70" s="5">
        <v>2025</v>
      </c>
      <c r="F70" s="6" t="s">
        <v>284</v>
      </c>
      <c r="G70" s="6">
        <v>2023</v>
      </c>
      <c r="H70" s="7">
        <f t="shared" si="2"/>
        <v>16.062665084159949</v>
      </c>
      <c r="I70" s="6" t="s">
        <v>810</v>
      </c>
      <c r="K70" s="7">
        <v>32.125330168319898</v>
      </c>
      <c r="M70" s="4" t="s">
        <v>760</v>
      </c>
      <c r="N70" s="4">
        <v>2025</v>
      </c>
      <c r="Q70" s="7" t="s">
        <v>760</v>
      </c>
      <c r="R70" s="7">
        <v>2023</v>
      </c>
      <c r="S70" s="7">
        <f t="shared" si="3"/>
        <v>2.1680824421199349</v>
      </c>
      <c r="T70" s="7" t="s">
        <v>810</v>
      </c>
      <c r="V70" s="7">
        <v>4.3361648842398699</v>
      </c>
    </row>
    <row r="71" spans="2:22">
      <c r="B71" s="3" t="s">
        <v>285</v>
      </c>
      <c r="C71" s="5">
        <v>2025</v>
      </c>
      <c r="F71" s="6" t="s">
        <v>285</v>
      </c>
      <c r="G71" s="6">
        <v>2023</v>
      </c>
      <c r="H71" s="7">
        <f t="shared" si="2"/>
        <v>16.060736915948251</v>
      </c>
      <c r="I71" s="6" t="s">
        <v>810</v>
      </c>
      <c r="K71" s="7">
        <v>32.121473831896502</v>
      </c>
      <c r="M71" s="4" t="s">
        <v>761</v>
      </c>
      <c r="N71" s="4">
        <v>2025</v>
      </c>
      <c r="Q71" s="7" t="s">
        <v>761</v>
      </c>
      <c r="R71" s="7">
        <v>2023</v>
      </c>
      <c r="S71" s="7">
        <f t="shared" si="3"/>
        <v>4.8418023249482198</v>
      </c>
      <c r="T71" s="7" t="s">
        <v>810</v>
      </c>
      <c r="V71" s="7">
        <v>9.6836046498964397</v>
      </c>
    </row>
    <row r="72" spans="2:22">
      <c r="B72" s="3" t="s">
        <v>286</v>
      </c>
      <c r="C72" s="5">
        <v>2025</v>
      </c>
      <c r="F72" s="6" t="s">
        <v>286</v>
      </c>
      <c r="G72" s="6">
        <v>2023</v>
      </c>
      <c r="H72" s="7">
        <f t="shared" si="2"/>
        <v>8.3433117339001495</v>
      </c>
      <c r="I72" s="6" t="s">
        <v>810</v>
      </c>
      <c r="K72" s="7">
        <v>16.686623467800299</v>
      </c>
      <c r="M72" s="4" t="s">
        <v>762</v>
      </c>
      <c r="N72" s="4">
        <v>2025</v>
      </c>
      <c r="Q72" s="7" t="s">
        <v>762</v>
      </c>
      <c r="R72" s="7">
        <v>2023</v>
      </c>
      <c r="S72" s="7">
        <f t="shared" si="3"/>
        <v>2.9838154759435849</v>
      </c>
      <c r="T72" s="7" t="s">
        <v>810</v>
      </c>
      <c r="V72" s="7">
        <v>5.9676309518871697</v>
      </c>
    </row>
    <row r="73" spans="2:22">
      <c r="B73" s="3" t="s">
        <v>287</v>
      </c>
      <c r="C73" s="5">
        <v>2025</v>
      </c>
      <c r="F73" s="6" t="s">
        <v>287</v>
      </c>
      <c r="G73" s="6">
        <v>2023</v>
      </c>
      <c r="H73" s="7">
        <f t="shared" si="2"/>
        <v>16.2830572954568</v>
      </c>
      <c r="I73" s="6" t="s">
        <v>810</v>
      </c>
      <c r="K73" s="7">
        <v>32.5661145909136</v>
      </c>
      <c r="M73" s="4" t="s">
        <v>763</v>
      </c>
      <c r="N73" s="4">
        <v>2025</v>
      </c>
      <c r="Q73" s="7" t="s">
        <v>763</v>
      </c>
      <c r="R73" s="7">
        <v>2023</v>
      </c>
      <c r="S73" s="7">
        <f t="shared" si="3"/>
        <v>3.0687935368677448</v>
      </c>
      <c r="T73" s="7" t="s">
        <v>810</v>
      </c>
      <c r="V73" s="7">
        <v>6.1375870737354896</v>
      </c>
    </row>
    <row r="74" spans="2:22">
      <c r="B74" s="3" t="s">
        <v>288</v>
      </c>
      <c r="C74" s="5">
        <v>2025</v>
      </c>
      <c r="F74" s="6" t="s">
        <v>288</v>
      </c>
      <c r="G74" s="6">
        <v>2023</v>
      </c>
      <c r="H74" s="7">
        <f t="shared" si="2"/>
        <v>14.423710423614301</v>
      </c>
      <c r="I74" s="6" t="s">
        <v>810</v>
      </c>
      <c r="K74" s="7">
        <v>28.847420847228602</v>
      </c>
      <c r="M74" s="4" t="s">
        <v>764</v>
      </c>
      <c r="N74" s="4">
        <v>2025</v>
      </c>
      <c r="Q74" s="7" t="s">
        <v>764</v>
      </c>
      <c r="R74" s="7">
        <v>2023</v>
      </c>
      <c r="S74" s="7">
        <f t="shared" si="3"/>
        <v>1.4287957914844951</v>
      </c>
      <c r="T74" s="7" t="s">
        <v>810</v>
      </c>
      <c r="V74" s="7">
        <v>2.8575915829689902</v>
      </c>
    </row>
    <row r="75" spans="2:22">
      <c r="B75" s="3" t="s">
        <v>289</v>
      </c>
      <c r="C75" s="5">
        <v>2025</v>
      </c>
      <c r="F75" s="6" t="s">
        <v>289</v>
      </c>
      <c r="G75" s="6">
        <v>2023</v>
      </c>
      <c r="H75" s="7">
        <f t="shared" si="2"/>
        <v>9.8782797139600493</v>
      </c>
      <c r="I75" s="6" t="s">
        <v>810</v>
      </c>
      <c r="K75" s="7">
        <v>19.756559427920099</v>
      </c>
      <c r="M75" s="4" t="s">
        <v>765</v>
      </c>
      <c r="N75" s="4">
        <v>2025</v>
      </c>
      <c r="Q75" s="7" t="s">
        <v>765</v>
      </c>
      <c r="R75" s="7">
        <v>2023</v>
      </c>
      <c r="S75" s="7">
        <f t="shared" si="3"/>
        <v>1.6265598398581349</v>
      </c>
      <c r="T75" s="7" t="s">
        <v>810</v>
      </c>
      <c r="V75" s="7">
        <v>3.2531196797162698</v>
      </c>
    </row>
    <row r="76" spans="2:22">
      <c r="B76" s="3" t="s">
        <v>290</v>
      </c>
      <c r="C76" s="5">
        <v>2025</v>
      </c>
      <c r="F76" s="6" t="s">
        <v>290</v>
      </c>
      <c r="G76" s="6">
        <v>2023</v>
      </c>
      <c r="H76" s="7">
        <f t="shared" si="2"/>
        <v>17.07363479622915</v>
      </c>
      <c r="I76" s="6" t="s">
        <v>810</v>
      </c>
      <c r="K76" s="7">
        <v>34.147269592458301</v>
      </c>
      <c r="M76" s="4" t="s">
        <v>766</v>
      </c>
      <c r="N76" s="4">
        <v>2025</v>
      </c>
      <c r="Q76" s="7" t="s">
        <v>766</v>
      </c>
      <c r="R76" s="7">
        <v>2023</v>
      </c>
      <c r="S76" s="7">
        <f t="shared" si="3"/>
        <v>1.5684084587998151</v>
      </c>
      <c r="T76" s="7" t="s">
        <v>810</v>
      </c>
      <c r="V76" s="7">
        <v>3.1368169175996301</v>
      </c>
    </row>
    <row r="77" spans="2:22">
      <c r="B77" s="3" t="s">
        <v>291</v>
      </c>
      <c r="C77" s="5">
        <v>2025</v>
      </c>
      <c r="F77" s="6" t="s">
        <v>291</v>
      </c>
      <c r="G77" s="6">
        <v>2023</v>
      </c>
      <c r="H77" s="7">
        <f t="shared" si="2"/>
        <v>15.64700036040885</v>
      </c>
      <c r="I77" s="6" t="s">
        <v>810</v>
      </c>
      <c r="K77" s="7">
        <v>31.294000720817699</v>
      </c>
      <c r="M77" s="4" t="s">
        <v>767</v>
      </c>
      <c r="N77" s="4">
        <v>2025</v>
      </c>
      <c r="Q77" s="7" t="s">
        <v>767</v>
      </c>
      <c r="R77" s="7">
        <v>2023</v>
      </c>
      <c r="S77" s="7">
        <f t="shared" si="3"/>
        <v>2.1726748762609902</v>
      </c>
      <c r="T77" s="7" t="s">
        <v>810</v>
      </c>
      <c r="V77" s="7">
        <v>4.3453497525219804</v>
      </c>
    </row>
    <row r="78" spans="2:22">
      <c r="B78" s="3" t="s">
        <v>292</v>
      </c>
      <c r="C78" s="5">
        <v>2025</v>
      </c>
      <c r="F78" s="6" t="s">
        <v>292</v>
      </c>
      <c r="G78" s="6">
        <v>2023</v>
      </c>
      <c r="H78" s="7">
        <f t="shared" si="2"/>
        <v>17.322550675704498</v>
      </c>
      <c r="I78" s="6" t="s">
        <v>810</v>
      </c>
      <c r="K78" s="7">
        <v>34.645101351408996</v>
      </c>
      <c r="M78" s="4" t="s">
        <v>768</v>
      </c>
      <c r="N78" s="4">
        <v>2025</v>
      </c>
      <c r="Q78" s="7" t="s">
        <v>768</v>
      </c>
      <c r="R78" s="7">
        <v>2023</v>
      </c>
      <c r="S78" s="7">
        <f t="shared" si="3"/>
        <v>0.74480442642191502</v>
      </c>
      <c r="T78" s="7" t="s">
        <v>810</v>
      </c>
      <c r="V78" s="7">
        <v>1.48960885284383</v>
      </c>
    </row>
    <row r="79" spans="2:22">
      <c r="B79" s="3" t="s">
        <v>293</v>
      </c>
      <c r="C79" s="5">
        <v>2025</v>
      </c>
      <c r="F79" s="6" t="s">
        <v>293</v>
      </c>
      <c r="G79" s="6">
        <v>2023</v>
      </c>
      <c r="H79" s="7">
        <f t="shared" si="2"/>
        <v>17.52813219166795</v>
      </c>
      <c r="I79" s="6" t="s">
        <v>810</v>
      </c>
      <c r="K79" s="7">
        <v>35.0562643833359</v>
      </c>
      <c r="M79" s="4" t="s">
        <v>769</v>
      </c>
      <c r="N79" s="4">
        <v>2025</v>
      </c>
      <c r="Q79" s="7" t="s">
        <v>769</v>
      </c>
      <c r="R79" s="7">
        <v>2023</v>
      </c>
      <c r="S79" s="7">
        <f t="shared" si="3"/>
        <v>3.5718684091542752</v>
      </c>
      <c r="T79" s="7" t="s">
        <v>810</v>
      </c>
      <c r="V79" s="7">
        <v>7.1437368183085503</v>
      </c>
    </row>
    <row r="80" spans="2:22">
      <c r="B80" s="3" t="s">
        <v>294</v>
      </c>
      <c r="C80" s="5">
        <v>2025</v>
      </c>
      <c r="F80" s="6" t="s">
        <v>294</v>
      </c>
      <c r="G80" s="6">
        <v>2023</v>
      </c>
      <c r="H80" s="7">
        <f t="shared" si="2"/>
        <v>17.098525869942549</v>
      </c>
      <c r="I80" s="6" t="s">
        <v>810</v>
      </c>
      <c r="K80" s="7">
        <v>34.197051739885097</v>
      </c>
      <c r="M80" s="4" t="s">
        <v>770</v>
      </c>
      <c r="N80" s="4">
        <v>2025</v>
      </c>
      <c r="Q80" s="7" t="s">
        <v>770</v>
      </c>
      <c r="R80" s="7">
        <v>2023</v>
      </c>
      <c r="S80" s="7">
        <f t="shared" si="3"/>
        <v>2.9893577410169501</v>
      </c>
      <c r="T80" s="7" t="s">
        <v>810</v>
      </c>
      <c r="V80" s="7">
        <v>5.9787154820339001</v>
      </c>
    </row>
    <row r="81" spans="2:22">
      <c r="B81" s="3" t="s">
        <v>295</v>
      </c>
      <c r="C81" s="5">
        <v>2025</v>
      </c>
      <c r="F81" s="6" t="s">
        <v>295</v>
      </c>
      <c r="G81" s="6">
        <v>2023</v>
      </c>
      <c r="H81" s="7">
        <f t="shared" si="2"/>
        <v>17.260696726836301</v>
      </c>
      <c r="I81" s="6" t="s">
        <v>810</v>
      </c>
      <c r="K81" s="7">
        <v>34.521393453672601</v>
      </c>
      <c r="M81" s="4" t="s">
        <v>771</v>
      </c>
      <c r="N81" s="4">
        <v>2025</v>
      </c>
      <c r="Q81" s="7" t="s">
        <v>771</v>
      </c>
      <c r="R81" s="7">
        <v>2023</v>
      </c>
      <c r="S81" s="7">
        <f t="shared" si="3"/>
        <v>2.0428950196350248</v>
      </c>
      <c r="T81" s="7" t="s">
        <v>810</v>
      </c>
      <c r="V81" s="7">
        <v>4.0857900392700497</v>
      </c>
    </row>
    <row r="82" spans="2:22">
      <c r="B82" s="3" t="s">
        <v>296</v>
      </c>
      <c r="C82" s="5">
        <v>2025</v>
      </c>
      <c r="F82" s="6" t="s">
        <v>296</v>
      </c>
      <c r="G82" s="6">
        <v>2023</v>
      </c>
      <c r="H82" s="7">
        <f t="shared" si="2"/>
        <v>17.545088270912249</v>
      </c>
      <c r="I82" s="6" t="s">
        <v>810</v>
      </c>
      <c r="K82" s="7">
        <v>35.090176541824498</v>
      </c>
      <c r="M82" s="4" t="s">
        <v>772</v>
      </c>
      <c r="N82" s="4">
        <v>2025</v>
      </c>
      <c r="Q82" s="7" t="s">
        <v>772</v>
      </c>
      <c r="R82" s="7">
        <v>2023</v>
      </c>
      <c r="S82" s="7">
        <f t="shared" si="3"/>
        <v>9.3582082675875</v>
      </c>
      <c r="T82" s="7" t="s">
        <v>810</v>
      </c>
      <c r="V82" s="7">
        <v>18.716416535175</v>
      </c>
    </row>
    <row r="83" spans="2:22">
      <c r="B83" s="3" t="s">
        <v>297</v>
      </c>
      <c r="C83" s="5">
        <v>2025</v>
      </c>
      <c r="F83" s="6" t="s">
        <v>297</v>
      </c>
      <c r="G83" s="6">
        <v>2023</v>
      </c>
      <c r="H83" s="7">
        <f t="shared" si="2"/>
        <v>9.1303172010796505</v>
      </c>
      <c r="I83" s="6" t="s">
        <v>810</v>
      </c>
      <c r="K83" s="7">
        <v>18.260634402159301</v>
      </c>
      <c r="M83" s="4" t="s">
        <v>773</v>
      </c>
      <c r="N83" s="4">
        <v>2025</v>
      </c>
      <c r="Q83" s="7" t="s">
        <v>773</v>
      </c>
      <c r="R83" s="7">
        <v>2023</v>
      </c>
      <c r="S83" s="7">
        <f t="shared" si="3"/>
        <v>7.4712462976973502</v>
      </c>
      <c r="T83" s="7" t="s">
        <v>810</v>
      </c>
      <c r="V83" s="7">
        <v>14.9424925953947</v>
      </c>
    </row>
    <row r="84" spans="2:22">
      <c r="B84" s="3" t="s">
        <v>298</v>
      </c>
      <c r="C84" s="5">
        <v>2025</v>
      </c>
      <c r="F84" s="6" t="s">
        <v>298</v>
      </c>
      <c r="G84" s="6">
        <v>2023</v>
      </c>
      <c r="H84" s="7">
        <f t="shared" si="2"/>
        <v>15.706983732617999</v>
      </c>
      <c r="I84" s="6" t="s">
        <v>810</v>
      </c>
      <c r="K84" s="7">
        <v>31.413967465235999</v>
      </c>
      <c r="M84" s="4" t="s">
        <v>774</v>
      </c>
      <c r="N84" s="4">
        <v>2025</v>
      </c>
      <c r="Q84" s="7" t="s">
        <v>774</v>
      </c>
      <c r="R84" s="7">
        <v>2023</v>
      </c>
      <c r="S84" s="7">
        <f t="shared" si="3"/>
        <v>5.5983699549213997</v>
      </c>
      <c r="T84" s="7" t="s">
        <v>810</v>
      </c>
      <c r="V84" s="7">
        <v>11.196739909842799</v>
      </c>
    </row>
    <row r="85" spans="2:22">
      <c r="B85" s="3" t="s">
        <v>299</v>
      </c>
      <c r="C85" s="5">
        <v>2025</v>
      </c>
      <c r="F85" s="6" t="s">
        <v>299</v>
      </c>
      <c r="G85" s="6">
        <v>2023</v>
      </c>
      <c r="H85" s="7">
        <f t="shared" si="2"/>
        <v>20.97624228650135</v>
      </c>
      <c r="I85" s="6" t="s">
        <v>810</v>
      </c>
      <c r="K85" s="7">
        <v>41.9524845730027</v>
      </c>
      <c r="M85" s="4" t="s">
        <v>775</v>
      </c>
      <c r="N85" s="4">
        <v>2025</v>
      </c>
      <c r="Q85" s="7" t="s">
        <v>775</v>
      </c>
      <c r="R85" s="7">
        <v>2023</v>
      </c>
      <c r="S85" s="7">
        <f t="shared" si="3"/>
        <v>1.068570150649095</v>
      </c>
      <c r="T85" s="7" t="s">
        <v>810</v>
      </c>
      <c r="V85" s="7">
        <v>2.13714030129819</v>
      </c>
    </row>
    <row r="86" spans="2:22">
      <c r="B86" s="3" t="s">
        <v>300</v>
      </c>
      <c r="C86" s="5">
        <v>2025</v>
      </c>
      <c r="F86" s="6" t="s">
        <v>300</v>
      </c>
      <c r="G86" s="6">
        <v>2023</v>
      </c>
      <c r="H86" s="7">
        <f t="shared" si="2"/>
        <v>15.213086601490749</v>
      </c>
      <c r="I86" s="6" t="s">
        <v>810</v>
      </c>
      <c r="K86" s="7">
        <v>30.426173202981499</v>
      </c>
      <c r="M86" s="4" t="s">
        <v>776</v>
      </c>
      <c r="N86" s="4">
        <v>2025</v>
      </c>
      <c r="Q86" s="7" t="s">
        <v>776</v>
      </c>
      <c r="R86" s="7">
        <v>2023</v>
      </c>
      <c r="S86" s="7">
        <f t="shared" si="3"/>
        <v>2.91676679033539</v>
      </c>
      <c r="T86" s="7" t="s">
        <v>810</v>
      </c>
      <c r="V86" s="7">
        <v>5.83353358067078</v>
      </c>
    </row>
    <row r="87" spans="2:22">
      <c r="B87" s="3" t="s">
        <v>301</v>
      </c>
      <c r="C87" s="5">
        <v>2025</v>
      </c>
      <c r="F87" s="6" t="s">
        <v>301</v>
      </c>
      <c r="G87" s="6">
        <v>2023</v>
      </c>
      <c r="H87" s="7">
        <f t="shared" si="2"/>
        <v>17.9256540393711</v>
      </c>
      <c r="I87" s="6" t="s">
        <v>810</v>
      </c>
      <c r="K87" s="7">
        <v>35.8513080787422</v>
      </c>
      <c r="M87" s="4" t="s">
        <v>777</v>
      </c>
      <c r="N87" s="4">
        <v>2025</v>
      </c>
      <c r="Q87" s="7" t="s">
        <v>777</v>
      </c>
      <c r="R87" s="7">
        <v>2023</v>
      </c>
      <c r="S87" s="7">
        <f t="shared" si="3"/>
        <v>2.2017602244155152</v>
      </c>
      <c r="T87" s="7" t="s">
        <v>810</v>
      </c>
      <c r="V87" s="7">
        <v>4.4035204488310304</v>
      </c>
    </row>
    <row r="88" spans="2:22">
      <c r="B88" s="3" t="s">
        <v>302</v>
      </c>
      <c r="C88" s="5">
        <v>2025</v>
      </c>
      <c r="F88" s="6" t="s">
        <v>302</v>
      </c>
      <c r="G88" s="6">
        <v>2023</v>
      </c>
      <c r="H88" s="7">
        <f t="shared" si="2"/>
        <v>14.415456610199151</v>
      </c>
      <c r="I88" s="6" t="s">
        <v>810</v>
      </c>
      <c r="K88" s="7">
        <v>28.830913220398301</v>
      </c>
      <c r="M88" s="4" t="s">
        <v>778</v>
      </c>
      <c r="N88" s="4">
        <v>2025</v>
      </c>
      <c r="Q88" s="7" t="s">
        <v>778</v>
      </c>
      <c r="R88" s="7">
        <v>2023</v>
      </c>
      <c r="S88" s="7">
        <f t="shared" si="3"/>
        <v>2.9133906383387549</v>
      </c>
      <c r="T88" s="7" t="s">
        <v>810</v>
      </c>
      <c r="V88" s="7">
        <v>5.8267812766775098</v>
      </c>
    </row>
    <row r="89" spans="2:22">
      <c r="B89" s="3" t="s">
        <v>303</v>
      </c>
      <c r="C89" s="5">
        <v>2025</v>
      </c>
      <c r="F89" s="6" t="s">
        <v>303</v>
      </c>
      <c r="G89" s="6">
        <v>2023</v>
      </c>
      <c r="H89" s="7">
        <f t="shared" si="2"/>
        <v>10.61851018574945</v>
      </c>
      <c r="I89" s="6" t="s">
        <v>810</v>
      </c>
      <c r="K89" s="7">
        <v>21.2370203714989</v>
      </c>
      <c r="M89" s="4" t="s">
        <v>779</v>
      </c>
      <c r="N89" s="4">
        <v>2025</v>
      </c>
      <c r="Q89" s="7" t="s">
        <v>779</v>
      </c>
      <c r="R89" s="7">
        <v>2023</v>
      </c>
      <c r="S89" s="7">
        <f t="shared" si="3"/>
        <v>1.8726465173867799</v>
      </c>
      <c r="T89" s="7" t="s">
        <v>810</v>
      </c>
      <c r="V89" s="7">
        <v>3.7452930347735598</v>
      </c>
    </row>
    <row r="90" spans="2:22">
      <c r="B90" s="3" t="s">
        <v>304</v>
      </c>
      <c r="C90" s="5">
        <v>2025</v>
      </c>
      <c r="F90" s="6" t="s">
        <v>304</v>
      </c>
      <c r="G90" s="6">
        <v>2023</v>
      </c>
      <c r="H90" s="7">
        <f t="shared" si="2"/>
        <v>4.5025713399456846</v>
      </c>
      <c r="I90" s="6" t="s">
        <v>810</v>
      </c>
      <c r="K90" s="7">
        <v>9.0051426798913692</v>
      </c>
      <c r="M90" s="4" t="s">
        <v>780</v>
      </c>
      <c r="N90" s="4">
        <v>2025</v>
      </c>
      <c r="Q90" s="7" t="s">
        <v>780</v>
      </c>
      <c r="R90" s="7">
        <v>2023</v>
      </c>
      <c r="S90" s="7">
        <f t="shared" si="3"/>
        <v>3.4005335259387448</v>
      </c>
      <c r="T90" s="7" t="s">
        <v>810</v>
      </c>
      <c r="V90" s="7">
        <v>6.8010670518774896</v>
      </c>
    </row>
    <row r="91" spans="2:22">
      <c r="B91" s="3" t="s">
        <v>305</v>
      </c>
      <c r="C91" s="5">
        <v>2025</v>
      </c>
      <c r="F91" s="6" t="s">
        <v>305</v>
      </c>
      <c r="G91" s="6">
        <v>2023</v>
      </c>
      <c r="H91" s="7">
        <f t="shared" si="2"/>
        <v>10.695619827774401</v>
      </c>
      <c r="I91" s="6" t="s">
        <v>810</v>
      </c>
      <c r="K91" s="7">
        <v>21.391239655548802</v>
      </c>
      <c r="M91" s="4" t="s">
        <v>781</v>
      </c>
      <c r="N91" s="4">
        <v>2025</v>
      </c>
      <c r="Q91" s="7" t="s">
        <v>781</v>
      </c>
      <c r="R91" s="7">
        <v>2023</v>
      </c>
      <c r="S91" s="7">
        <f t="shared" si="3"/>
        <v>3.7313815687194252</v>
      </c>
      <c r="T91" s="7" t="s">
        <v>810</v>
      </c>
      <c r="V91" s="7">
        <v>7.4627631374388503</v>
      </c>
    </row>
    <row r="92" spans="2:22">
      <c r="B92" s="3" t="s">
        <v>306</v>
      </c>
      <c r="C92" s="5">
        <v>2025</v>
      </c>
      <c r="F92" s="6" t="s">
        <v>306</v>
      </c>
      <c r="G92" s="6">
        <v>2023</v>
      </c>
      <c r="H92" s="7">
        <f t="shared" si="2"/>
        <v>12.15168235967845</v>
      </c>
      <c r="I92" s="6" t="s">
        <v>810</v>
      </c>
      <c r="K92" s="7">
        <v>24.3033647193569</v>
      </c>
      <c r="M92" s="4" t="s">
        <v>782</v>
      </c>
      <c r="N92" s="4">
        <v>2025</v>
      </c>
      <c r="Q92" s="7" t="s">
        <v>782</v>
      </c>
      <c r="R92" s="7">
        <v>2023</v>
      </c>
      <c r="S92" s="7">
        <f t="shared" si="3"/>
        <v>2.8154380358944748</v>
      </c>
      <c r="T92" s="7" t="s">
        <v>810</v>
      </c>
      <c r="V92" s="7">
        <v>5.6308760717889497</v>
      </c>
    </row>
    <row r="93" spans="2:22">
      <c r="B93" s="3" t="s">
        <v>307</v>
      </c>
      <c r="C93" s="5">
        <v>2025</v>
      </c>
      <c r="F93" s="6" t="s">
        <v>307</v>
      </c>
      <c r="G93" s="6">
        <v>2023</v>
      </c>
      <c r="H93" s="7">
        <f t="shared" si="2"/>
        <v>8.0222374944952008</v>
      </c>
      <c r="I93" s="6" t="s">
        <v>810</v>
      </c>
      <c r="K93" s="7">
        <v>16.044474988990402</v>
      </c>
      <c r="M93" s="4" t="s">
        <v>783</v>
      </c>
      <c r="N93" s="4">
        <v>2025</v>
      </c>
      <c r="Q93" s="7" t="s">
        <v>783</v>
      </c>
      <c r="R93" s="7">
        <v>2023</v>
      </c>
      <c r="S93" s="7">
        <f t="shared" si="3"/>
        <v>4.9110998132522603</v>
      </c>
      <c r="T93" s="7" t="s">
        <v>810</v>
      </c>
      <c r="V93" s="7">
        <v>9.8221996265045206</v>
      </c>
    </row>
    <row r="94" spans="2:22">
      <c r="B94" s="3" t="s">
        <v>308</v>
      </c>
      <c r="C94" s="5">
        <v>2025</v>
      </c>
      <c r="F94" s="6" t="s">
        <v>308</v>
      </c>
      <c r="G94" s="6">
        <v>2023</v>
      </c>
      <c r="H94" s="7">
        <f t="shared" si="2"/>
        <v>8.5862265515531995</v>
      </c>
      <c r="I94" s="6" t="s">
        <v>810</v>
      </c>
      <c r="K94" s="7">
        <v>17.172453103106399</v>
      </c>
      <c r="M94" s="4" t="s">
        <v>784</v>
      </c>
      <c r="N94" s="4">
        <v>2025</v>
      </c>
      <c r="Q94" s="7" t="s">
        <v>784</v>
      </c>
      <c r="R94" s="7">
        <v>2023</v>
      </c>
      <c r="S94" s="7">
        <f t="shared" si="3"/>
        <v>2.54681093958677</v>
      </c>
      <c r="T94" s="7" t="s">
        <v>810</v>
      </c>
      <c r="V94" s="7">
        <v>5.0936218791735399</v>
      </c>
    </row>
    <row r="95" spans="2:22">
      <c r="B95" s="3" t="s">
        <v>309</v>
      </c>
      <c r="C95" s="5">
        <v>2025</v>
      </c>
      <c r="F95" s="6" t="s">
        <v>309</v>
      </c>
      <c r="G95" s="6">
        <v>2023</v>
      </c>
      <c r="H95" s="7">
        <f t="shared" si="2"/>
        <v>12.993057571427199</v>
      </c>
      <c r="I95" s="6" t="s">
        <v>810</v>
      </c>
      <c r="K95" s="7">
        <v>25.986115142854398</v>
      </c>
      <c r="M95" s="4" t="s">
        <v>785</v>
      </c>
      <c r="N95" s="4">
        <v>2025</v>
      </c>
      <c r="Q95" s="7" t="s">
        <v>785</v>
      </c>
      <c r="R95" s="7">
        <v>2023</v>
      </c>
      <c r="S95" s="7">
        <f t="shared" si="3"/>
        <v>1.355514581865205</v>
      </c>
      <c r="T95" s="7" t="s">
        <v>810</v>
      </c>
      <c r="V95" s="7">
        <v>2.71102916373041</v>
      </c>
    </row>
    <row r="96" spans="2:22">
      <c r="B96" s="3" t="s">
        <v>310</v>
      </c>
      <c r="C96" s="5">
        <v>2025</v>
      </c>
      <c r="F96" s="6" t="s">
        <v>310</v>
      </c>
      <c r="G96" s="6">
        <v>2023</v>
      </c>
      <c r="H96" s="7">
        <f t="shared" si="2"/>
        <v>10.435657754117999</v>
      </c>
      <c r="I96" s="6" t="s">
        <v>810</v>
      </c>
      <c r="K96" s="7">
        <v>20.871315508235998</v>
      </c>
      <c r="M96" s="4" t="s">
        <v>806</v>
      </c>
      <c r="N96" s="4">
        <v>2025</v>
      </c>
      <c r="Q96" s="7" t="s">
        <v>786</v>
      </c>
      <c r="R96" s="7">
        <v>2023</v>
      </c>
      <c r="S96" s="7">
        <f t="shared" si="3"/>
        <v>8.7789022867313502</v>
      </c>
      <c r="T96" s="7" t="s">
        <v>810</v>
      </c>
      <c r="V96" s="7">
        <v>17.5578045734627</v>
      </c>
    </row>
    <row r="97" spans="2:22">
      <c r="B97" s="3" t="s">
        <v>311</v>
      </c>
      <c r="C97" s="5">
        <v>2025</v>
      </c>
      <c r="F97" s="6" t="s">
        <v>311</v>
      </c>
      <c r="G97" s="6">
        <v>2023</v>
      </c>
      <c r="H97" s="7">
        <f t="shared" si="2"/>
        <v>12.050420134073351</v>
      </c>
      <c r="I97" s="6" t="s">
        <v>810</v>
      </c>
      <c r="K97" s="7">
        <v>24.100840268146701</v>
      </c>
      <c r="M97" s="4" t="s">
        <v>786</v>
      </c>
      <c r="N97" s="4">
        <v>2025</v>
      </c>
      <c r="Q97" s="7" t="s">
        <v>787</v>
      </c>
      <c r="R97" s="7">
        <v>2023</v>
      </c>
      <c r="S97" s="7">
        <f t="shared" si="3"/>
        <v>6.8918273549327003</v>
      </c>
      <c r="T97" s="7" t="s">
        <v>810</v>
      </c>
      <c r="V97" s="7">
        <v>13.783654709865401</v>
      </c>
    </row>
    <row r="98" spans="2:22">
      <c r="B98" s="3" t="s">
        <v>312</v>
      </c>
      <c r="C98" s="5">
        <v>2025</v>
      </c>
      <c r="F98" s="6" t="s">
        <v>312</v>
      </c>
      <c r="G98" s="6">
        <v>2023</v>
      </c>
      <c r="H98" s="7">
        <f t="shared" si="2"/>
        <v>13.090154627812799</v>
      </c>
      <c r="I98" s="6" t="s">
        <v>810</v>
      </c>
      <c r="K98" s="7">
        <v>26.180309255625598</v>
      </c>
      <c r="M98" s="4" t="s">
        <v>787</v>
      </c>
      <c r="N98" s="4">
        <v>2025</v>
      </c>
      <c r="Q98" s="7" t="s">
        <v>788</v>
      </c>
      <c r="R98" s="7">
        <v>2023</v>
      </c>
      <c r="S98" s="7">
        <f t="shared" si="3"/>
        <v>6.3593495255458503</v>
      </c>
      <c r="T98" s="7" t="s">
        <v>810</v>
      </c>
      <c r="V98" s="7">
        <v>12.718699051091701</v>
      </c>
    </row>
    <row r="99" spans="2:22">
      <c r="B99" s="3" t="s">
        <v>313</v>
      </c>
      <c r="C99" s="5">
        <v>2025</v>
      </c>
      <c r="F99" s="6" t="s">
        <v>313</v>
      </c>
      <c r="G99" s="6">
        <v>2023</v>
      </c>
      <c r="H99" s="7">
        <f t="shared" si="2"/>
        <v>9.5417230336151508</v>
      </c>
      <c r="I99" s="6" t="s">
        <v>810</v>
      </c>
      <c r="K99" s="7">
        <v>19.083446067230302</v>
      </c>
      <c r="M99" s="4" t="s">
        <v>788</v>
      </c>
      <c r="N99" s="4">
        <v>2025</v>
      </c>
      <c r="Q99" s="7" t="s">
        <v>789</v>
      </c>
      <c r="R99" s="7">
        <v>2023</v>
      </c>
      <c r="S99" s="7">
        <f t="shared" si="3"/>
        <v>4.402172325646295</v>
      </c>
      <c r="T99" s="7" t="s">
        <v>810</v>
      </c>
      <c r="V99" s="7">
        <v>8.80434465129259</v>
      </c>
    </row>
    <row r="100" spans="2:22">
      <c r="B100" s="3" t="s">
        <v>314</v>
      </c>
      <c r="C100" s="5">
        <v>2025</v>
      </c>
      <c r="F100" s="6" t="s">
        <v>314</v>
      </c>
      <c r="G100" s="6">
        <v>2023</v>
      </c>
      <c r="H100" s="7">
        <f t="shared" si="2"/>
        <v>11.33548908765145</v>
      </c>
      <c r="I100" s="6" t="s">
        <v>810</v>
      </c>
      <c r="K100" s="7">
        <v>22.670978175302899</v>
      </c>
      <c r="M100" s="4" t="s">
        <v>789</v>
      </c>
      <c r="N100" s="4">
        <v>2025</v>
      </c>
      <c r="Q100" s="7" t="s">
        <v>790</v>
      </c>
      <c r="R100" s="7">
        <v>2023</v>
      </c>
      <c r="S100" s="7">
        <f t="shared" si="3"/>
        <v>3.3177577075465852</v>
      </c>
      <c r="T100" s="7" t="s">
        <v>810</v>
      </c>
      <c r="V100" s="7">
        <v>6.6355154150931703</v>
      </c>
    </row>
    <row r="101" spans="2:22">
      <c r="B101" s="3" t="s">
        <v>315</v>
      </c>
      <c r="C101" s="5">
        <v>2025</v>
      </c>
      <c r="F101" s="6" t="s">
        <v>315</v>
      </c>
      <c r="G101" s="6">
        <v>2023</v>
      </c>
      <c r="H101" s="7">
        <f t="shared" si="2"/>
        <v>9.5553011770584</v>
      </c>
      <c r="I101" s="6" t="s">
        <v>810</v>
      </c>
      <c r="K101" s="7">
        <v>19.1106023541168</v>
      </c>
      <c r="M101" s="4" t="s">
        <v>790</v>
      </c>
      <c r="N101" s="4">
        <v>2025</v>
      </c>
      <c r="Q101" s="7" t="s">
        <v>791</v>
      </c>
      <c r="R101" s="7">
        <v>2023</v>
      </c>
      <c r="S101" s="7">
        <f t="shared" si="3"/>
        <v>3.1926583700088149</v>
      </c>
      <c r="T101" s="7" t="s">
        <v>810</v>
      </c>
      <c r="V101" s="7">
        <v>6.3853167400176298</v>
      </c>
    </row>
    <row r="102" spans="2:22">
      <c r="B102" s="3" t="s">
        <v>316</v>
      </c>
      <c r="C102" s="5">
        <v>2025</v>
      </c>
      <c r="F102" s="6" t="s">
        <v>316</v>
      </c>
      <c r="G102" s="6">
        <v>2023</v>
      </c>
      <c r="H102" s="7">
        <f t="shared" si="2"/>
        <v>13.32340802212105</v>
      </c>
      <c r="I102" s="6" t="s">
        <v>810</v>
      </c>
      <c r="K102" s="7">
        <v>26.646816044242101</v>
      </c>
      <c r="M102" s="4" t="s">
        <v>791</v>
      </c>
      <c r="N102" s="4">
        <v>2025</v>
      </c>
      <c r="Q102" s="7" t="s">
        <v>792</v>
      </c>
      <c r="R102" s="7">
        <v>2023</v>
      </c>
      <c r="S102" s="7">
        <f t="shared" si="3"/>
        <v>2.382793034077805</v>
      </c>
      <c r="T102" s="7" t="s">
        <v>810</v>
      </c>
      <c r="V102" s="7">
        <v>4.7655860681556099</v>
      </c>
    </row>
    <row r="103" spans="2:22">
      <c r="B103" s="3" t="s">
        <v>317</v>
      </c>
      <c r="C103" s="5">
        <v>2025</v>
      </c>
      <c r="F103" s="6" t="s">
        <v>317</v>
      </c>
      <c r="G103" s="6">
        <v>2023</v>
      </c>
      <c r="H103" s="7">
        <f t="shared" si="2"/>
        <v>11.15829412784985</v>
      </c>
      <c r="I103" s="6" t="s">
        <v>810</v>
      </c>
      <c r="K103" s="7">
        <v>22.316588255699699</v>
      </c>
      <c r="M103" s="4" t="s">
        <v>792</v>
      </c>
      <c r="N103" s="4">
        <v>2025</v>
      </c>
      <c r="Q103" s="7" t="s">
        <v>793</v>
      </c>
      <c r="R103" s="7">
        <v>2023</v>
      </c>
      <c r="S103" s="7">
        <f t="shared" si="3"/>
        <v>1.71405751481206</v>
      </c>
      <c r="T103" s="7" t="s">
        <v>810</v>
      </c>
      <c r="V103" s="7">
        <v>3.4281150296241201</v>
      </c>
    </row>
    <row r="104" spans="2:22">
      <c r="B104" s="3" t="s">
        <v>318</v>
      </c>
      <c r="C104" s="5">
        <v>2025</v>
      </c>
      <c r="F104" s="6" t="s">
        <v>318</v>
      </c>
      <c r="G104" s="6">
        <v>2023</v>
      </c>
      <c r="H104" s="7">
        <f t="shared" si="2"/>
        <v>10.650106698759201</v>
      </c>
      <c r="I104" s="6" t="s">
        <v>810</v>
      </c>
      <c r="K104" s="7">
        <v>21.300213397518402</v>
      </c>
      <c r="M104" s="4" t="s">
        <v>793</v>
      </c>
      <c r="N104" s="4">
        <v>2025</v>
      </c>
      <c r="Q104" s="7" t="s">
        <v>794</v>
      </c>
      <c r="R104" s="7">
        <v>2023</v>
      </c>
      <c r="S104" s="7">
        <f t="shared" si="3"/>
        <v>0.92187092292294004</v>
      </c>
      <c r="T104" s="7" t="s">
        <v>810</v>
      </c>
      <c r="V104" s="7">
        <v>1.8437418458458801</v>
      </c>
    </row>
    <row r="105" spans="2:22">
      <c r="B105" s="3" t="s">
        <v>319</v>
      </c>
      <c r="C105" s="5">
        <v>2025</v>
      </c>
      <c r="F105" s="6" t="s">
        <v>319</v>
      </c>
      <c r="G105" s="6">
        <v>2023</v>
      </c>
      <c r="H105" s="7">
        <f t="shared" si="2"/>
        <v>9.9708411406019994</v>
      </c>
      <c r="I105" s="6" t="s">
        <v>810</v>
      </c>
      <c r="K105" s="7">
        <v>19.941682281203999</v>
      </c>
      <c r="M105" s="4" t="s">
        <v>794</v>
      </c>
      <c r="N105" s="4">
        <v>2025</v>
      </c>
      <c r="Q105" s="7" t="s">
        <v>795</v>
      </c>
      <c r="R105" s="7">
        <v>2023</v>
      </c>
      <c r="S105" s="7">
        <f t="shared" si="3"/>
        <v>3.0351164187406749</v>
      </c>
      <c r="T105" s="7" t="s">
        <v>810</v>
      </c>
      <c r="V105" s="7">
        <v>6.0702328374813499</v>
      </c>
    </row>
    <row r="106" spans="2:22">
      <c r="B106" s="3" t="s">
        <v>320</v>
      </c>
      <c r="C106" s="5">
        <v>2025</v>
      </c>
      <c r="F106" s="6" t="s">
        <v>320</v>
      </c>
      <c r="G106" s="6">
        <v>2023</v>
      </c>
      <c r="H106" s="7">
        <f t="shared" si="2"/>
        <v>9.8949935695702003</v>
      </c>
      <c r="I106" s="6" t="s">
        <v>810</v>
      </c>
      <c r="K106" s="7">
        <v>19.789987139140401</v>
      </c>
      <c r="M106" s="4" t="s">
        <v>795</v>
      </c>
      <c r="N106" s="4">
        <v>2025</v>
      </c>
      <c r="Q106" s="7" t="s">
        <v>796</v>
      </c>
      <c r="R106" s="7">
        <v>2023</v>
      </c>
      <c r="S106" s="7">
        <f t="shared" si="3"/>
        <v>2.1123840986073801</v>
      </c>
      <c r="T106" s="7" t="s">
        <v>810</v>
      </c>
      <c r="V106" s="7">
        <v>4.2247681972147602</v>
      </c>
    </row>
    <row r="107" spans="2:22">
      <c r="B107" s="3" t="s">
        <v>321</v>
      </c>
      <c r="C107" s="5">
        <v>2025</v>
      </c>
      <c r="F107" s="6" t="s">
        <v>321</v>
      </c>
      <c r="G107" s="6">
        <v>2023</v>
      </c>
      <c r="H107" s="7">
        <f t="shared" si="2"/>
        <v>12.8528403772752</v>
      </c>
      <c r="I107" s="6" t="s">
        <v>810</v>
      </c>
      <c r="K107" s="7">
        <v>25.7056807545504</v>
      </c>
      <c r="M107" s="4" t="s">
        <v>796</v>
      </c>
      <c r="N107" s="4">
        <v>2025</v>
      </c>
      <c r="Q107" s="7" t="s">
        <v>797</v>
      </c>
      <c r="R107" s="7">
        <v>2023</v>
      </c>
      <c r="S107" s="7">
        <f t="shared" si="3"/>
        <v>1.3921851183471901</v>
      </c>
      <c r="T107" s="7" t="s">
        <v>810</v>
      </c>
      <c r="V107" s="7">
        <v>2.7843702366943801</v>
      </c>
    </row>
    <row r="108" spans="2:22">
      <c r="B108" s="3" t="s">
        <v>322</v>
      </c>
      <c r="C108" s="5">
        <v>2025</v>
      </c>
      <c r="F108" s="6" t="s">
        <v>322</v>
      </c>
      <c r="G108" s="6">
        <v>2023</v>
      </c>
      <c r="H108" s="7">
        <f t="shared" si="2"/>
        <v>11.258862421088599</v>
      </c>
      <c r="I108" s="6" t="s">
        <v>810</v>
      </c>
      <c r="K108" s="7">
        <v>22.517724842177198</v>
      </c>
      <c r="M108" s="4" t="s">
        <v>797</v>
      </c>
      <c r="N108" s="4">
        <v>2025</v>
      </c>
      <c r="Q108" s="7" t="s">
        <v>798</v>
      </c>
      <c r="R108" s="7">
        <v>2023</v>
      </c>
      <c r="S108" s="7">
        <f t="shared" si="3"/>
        <v>3.2258560133483551</v>
      </c>
      <c r="T108" s="7" t="s">
        <v>810</v>
      </c>
      <c r="V108" s="7">
        <v>6.4517120266967103</v>
      </c>
    </row>
    <row r="109" spans="2:22">
      <c r="B109" s="3" t="s">
        <v>323</v>
      </c>
      <c r="C109" s="5">
        <v>2025</v>
      </c>
      <c r="F109" s="6" t="s">
        <v>323</v>
      </c>
      <c r="G109" s="6">
        <v>2023</v>
      </c>
      <c r="H109" s="7">
        <f t="shared" si="2"/>
        <v>11.38189369450185</v>
      </c>
      <c r="I109" s="6" t="s">
        <v>810</v>
      </c>
      <c r="K109" s="7">
        <v>22.763787389003699</v>
      </c>
      <c r="M109" s="4" t="s">
        <v>798</v>
      </c>
      <c r="N109" s="4">
        <v>2025</v>
      </c>
      <c r="Q109" s="7" t="s">
        <v>799</v>
      </c>
      <c r="R109" s="7">
        <v>2023</v>
      </c>
      <c r="S109" s="7">
        <f t="shared" si="3"/>
        <v>1.342964679072</v>
      </c>
      <c r="T109" s="7" t="s">
        <v>810</v>
      </c>
      <c r="V109" s="7">
        <v>2.685929358144</v>
      </c>
    </row>
    <row r="110" spans="2:22">
      <c r="B110" s="3" t="s">
        <v>324</v>
      </c>
      <c r="C110" s="5">
        <v>2025</v>
      </c>
      <c r="F110" s="6" t="s">
        <v>324</v>
      </c>
      <c r="G110" s="6">
        <v>2023</v>
      </c>
      <c r="H110" s="7">
        <f t="shared" si="2"/>
        <v>11.646736179973949</v>
      </c>
      <c r="I110" s="6" t="s">
        <v>810</v>
      </c>
      <c r="K110" s="7">
        <v>23.293472359947899</v>
      </c>
      <c r="M110" s="4" t="s">
        <v>799</v>
      </c>
      <c r="N110" s="4">
        <v>2025</v>
      </c>
      <c r="Q110" s="7" t="s">
        <v>801</v>
      </c>
      <c r="R110" s="7">
        <v>2023</v>
      </c>
      <c r="S110" s="7">
        <f t="shared" si="3"/>
        <v>0.98383344035905496</v>
      </c>
      <c r="T110" s="7" t="s">
        <v>810</v>
      </c>
      <c r="V110" s="7">
        <v>1.9676668807181099</v>
      </c>
    </row>
    <row r="111" spans="2:22">
      <c r="B111" s="3" t="s">
        <v>325</v>
      </c>
      <c r="C111" s="5">
        <v>2025</v>
      </c>
      <c r="F111" s="6" t="s">
        <v>325</v>
      </c>
      <c r="G111" s="6">
        <v>2023</v>
      </c>
      <c r="H111" s="7">
        <f t="shared" si="2"/>
        <v>15.580700502625</v>
      </c>
      <c r="I111" s="6" t="s">
        <v>810</v>
      </c>
      <c r="K111" s="7">
        <v>31.161401005249999</v>
      </c>
      <c r="M111" s="4" t="s">
        <v>800</v>
      </c>
      <c r="N111" s="4">
        <v>2025</v>
      </c>
      <c r="Q111" s="7" t="s">
        <v>802</v>
      </c>
      <c r="R111" s="7">
        <v>2023</v>
      </c>
      <c r="S111" s="7">
        <f t="shared" si="3"/>
        <v>1.474706282608095</v>
      </c>
      <c r="T111" s="7" t="s">
        <v>810</v>
      </c>
      <c r="V111" s="7">
        <v>2.94941256521619</v>
      </c>
    </row>
    <row r="112" spans="2:22">
      <c r="B112" s="3" t="s">
        <v>326</v>
      </c>
      <c r="C112" s="5">
        <v>2025</v>
      </c>
      <c r="F112" s="6" t="s">
        <v>326</v>
      </c>
      <c r="G112" s="6">
        <v>2023</v>
      </c>
      <c r="H112" s="7">
        <f t="shared" si="2"/>
        <v>10.19591976740095</v>
      </c>
      <c r="I112" s="6" t="s">
        <v>810</v>
      </c>
      <c r="K112" s="7">
        <v>20.3918395348019</v>
      </c>
      <c r="M112" s="4" t="s">
        <v>801</v>
      </c>
      <c r="N112" s="4">
        <v>2025</v>
      </c>
      <c r="Q112" s="7" t="s">
        <v>803</v>
      </c>
      <c r="R112" s="7">
        <v>2023</v>
      </c>
      <c r="S112" s="7">
        <f t="shared" si="3"/>
        <v>0.92476428765096497</v>
      </c>
      <c r="T112" s="7" t="s">
        <v>810</v>
      </c>
      <c r="V112" s="7">
        <v>1.8495285753019299</v>
      </c>
    </row>
    <row r="113" spans="2:22">
      <c r="B113" s="3" t="s">
        <v>327</v>
      </c>
      <c r="C113" s="5">
        <v>2025</v>
      </c>
      <c r="F113" s="6" t="s">
        <v>327</v>
      </c>
      <c r="G113" s="6">
        <v>2023</v>
      </c>
      <c r="H113" s="7">
        <f t="shared" si="2"/>
        <v>14.100333154536999</v>
      </c>
      <c r="I113" s="6" t="s">
        <v>810</v>
      </c>
      <c r="K113" s="7">
        <v>28.200666309073998</v>
      </c>
      <c r="M113" s="4" t="s">
        <v>802</v>
      </c>
      <c r="N113" s="4">
        <v>2025</v>
      </c>
      <c r="Q113" s="7" t="s">
        <v>804</v>
      </c>
      <c r="R113" s="7">
        <v>2023</v>
      </c>
      <c r="S113" s="7">
        <f t="shared" si="3"/>
        <v>4.878952592364195</v>
      </c>
      <c r="T113" s="7" t="s">
        <v>810</v>
      </c>
      <c r="V113" s="7">
        <v>9.75790518472839</v>
      </c>
    </row>
    <row r="114" spans="2:22">
      <c r="B114" s="3" t="s">
        <v>328</v>
      </c>
      <c r="C114" s="5">
        <v>2025</v>
      </c>
      <c r="F114" s="6" t="s">
        <v>328</v>
      </c>
      <c r="G114" s="6">
        <v>2023</v>
      </c>
      <c r="H114" s="7">
        <f t="shared" si="2"/>
        <v>9.6284243730715495</v>
      </c>
      <c r="I114" s="6" t="s">
        <v>810</v>
      </c>
      <c r="K114" s="7">
        <v>19.256848746143099</v>
      </c>
      <c r="M114" s="4" t="s">
        <v>803</v>
      </c>
      <c r="N114" s="4">
        <v>2025</v>
      </c>
      <c r="Q114" s="7" t="s">
        <v>805</v>
      </c>
      <c r="R114" s="7">
        <v>2023</v>
      </c>
      <c r="S114" s="7">
        <f t="shared" si="3"/>
        <v>1.37585206153449</v>
      </c>
      <c r="T114" s="7" t="s">
        <v>810</v>
      </c>
      <c r="V114" s="7">
        <v>2.75170412306898</v>
      </c>
    </row>
    <row r="115" spans="2:22">
      <c r="B115" s="3" t="s">
        <v>329</v>
      </c>
      <c r="C115" s="5">
        <v>2025</v>
      </c>
      <c r="F115" s="6" t="s">
        <v>329</v>
      </c>
      <c r="G115" s="6">
        <v>2023</v>
      </c>
      <c r="H115" s="7">
        <f t="shared" si="2"/>
        <v>13.7770000531122</v>
      </c>
      <c r="I115" s="6" t="s">
        <v>810</v>
      </c>
      <c r="K115" s="7">
        <v>27.5540001062244</v>
      </c>
      <c r="M115" s="4" t="s">
        <v>804</v>
      </c>
      <c r="N115" s="4">
        <v>2025</v>
      </c>
      <c r="V115" s="7"/>
    </row>
    <row r="116" spans="2:22">
      <c r="B116" s="3" t="s">
        <v>330</v>
      </c>
      <c r="C116" s="5">
        <v>2025</v>
      </c>
      <c r="F116" s="6" t="s">
        <v>330</v>
      </c>
      <c r="G116" s="6">
        <v>2023</v>
      </c>
      <c r="H116" s="7">
        <f t="shared" si="2"/>
        <v>16.394176045691349</v>
      </c>
      <c r="I116" s="6" t="s">
        <v>810</v>
      </c>
      <c r="K116" s="7">
        <v>32.788352091382698</v>
      </c>
      <c r="M116" s="4" t="s">
        <v>805</v>
      </c>
      <c r="N116" s="4">
        <v>2025</v>
      </c>
    </row>
    <row r="117" spans="2:22">
      <c r="B117" s="3" t="s">
        <v>331</v>
      </c>
      <c r="C117" s="5">
        <v>2025</v>
      </c>
      <c r="F117" s="6" t="s">
        <v>331</v>
      </c>
      <c r="G117" s="6">
        <v>2023</v>
      </c>
      <c r="H117" s="7">
        <f t="shared" si="2"/>
        <v>9.7949913683143492</v>
      </c>
      <c r="I117" s="6" t="s">
        <v>810</v>
      </c>
      <c r="K117" s="7">
        <v>19.589982736628698</v>
      </c>
      <c r="M117" s="4" t="s">
        <v>694</v>
      </c>
      <c r="N117" s="4">
        <v>2025</v>
      </c>
    </row>
    <row r="118" spans="2:22">
      <c r="B118" s="3" t="s">
        <v>332</v>
      </c>
      <c r="C118" s="5">
        <v>2025</v>
      </c>
      <c r="F118" s="6" t="s">
        <v>332</v>
      </c>
      <c r="G118" s="6">
        <v>2023</v>
      </c>
      <c r="H118" s="7">
        <f t="shared" si="2"/>
        <v>7.5980191115347502</v>
      </c>
      <c r="I118" s="6" t="s">
        <v>810</v>
      </c>
      <c r="K118" s="7">
        <v>15.1960382230695</v>
      </c>
      <c r="M118" s="4" t="s">
        <v>695</v>
      </c>
      <c r="N118" s="4">
        <v>2025</v>
      </c>
    </row>
    <row r="119" spans="2:22">
      <c r="B119" s="3" t="s">
        <v>333</v>
      </c>
      <c r="C119" s="5">
        <v>2025</v>
      </c>
      <c r="F119" s="6" t="s">
        <v>333</v>
      </c>
      <c r="G119" s="6">
        <v>2023</v>
      </c>
      <c r="H119" s="7">
        <f t="shared" si="2"/>
        <v>6.6868512732032501</v>
      </c>
      <c r="I119" s="6" t="s">
        <v>810</v>
      </c>
      <c r="K119" s="7">
        <v>13.3737025464065</v>
      </c>
      <c r="M119" s="4" t="s">
        <v>696</v>
      </c>
      <c r="N119" s="4">
        <v>2025</v>
      </c>
    </row>
    <row r="120" spans="2:22">
      <c r="B120" s="3" t="s">
        <v>334</v>
      </c>
      <c r="C120" s="5">
        <v>2025</v>
      </c>
      <c r="F120" s="6" t="s">
        <v>334</v>
      </c>
      <c r="G120" s="6">
        <v>2023</v>
      </c>
      <c r="H120" s="7">
        <f t="shared" si="2"/>
        <v>12.626021570680299</v>
      </c>
      <c r="I120" s="6" t="s">
        <v>810</v>
      </c>
      <c r="K120" s="7">
        <v>25.252043141360598</v>
      </c>
      <c r="M120" s="4" t="s">
        <v>697</v>
      </c>
      <c r="N120" s="4">
        <v>2025</v>
      </c>
    </row>
    <row r="121" spans="2:22">
      <c r="B121" s="3" t="s">
        <v>335</v>
      </c>
      <c r="C121" s="5">
        <v>2025</v>
      </c>
      <c r="F121" s="6" t="s">
        <v>335</v>
      </c>
      <c r="G121" s="6">
        <v>2023</v>
      </c>
      <c r="H121" s="7">
        <f t="shared" si="2"/>
        <v>10.8582813605185</v>
      </c>
      <c r="I121" s="6" t="s">
        <v>810</v>
      </c>
      <c r="K121" s="7">
        <v>21.716562721037</v>
      </c>
      <c r="M121" s="4" t="s">
        <v>698</v>
      </c>
      <c r="N121" s="4">
        <v>2025</v>
      </c>
    </row>
    <row r="122" spans="2:22">
      <c r="B122" s="3" t="s">
        <v>336</v>
      </c>
      <c r="C122" s="5">
        <v>2025</v>
      </c>
      <c r="F122" s="6" t="s">
        <v>336</v>
      </c>
      <c r="G122" s="6">
        <v>2023</v>
      </c>
      <c r="H122" s="7">
        <f t="shared" si="2"/>
        <v>10.016574882618199</v>
      </c>
      <c r="I122" s="6" t="s">
        <v>810</v>
      </c>
      <c r="K122" s="7">
        <v>20.033149765236399</v>
      </c>
      <c r="M122" s="4" t="s">
        <v>699</v>
      </c>
      <c r="N122" s="4">
        <v>2025</v>
      </c>
    </row>
    <row r="123" spans="2:22">
      <c r="B123" s="3" t="s">
        <v>337</v>
      </c>
      <c r="C123" s="5">
        <v>2025</v>
      </c>
      <c r="F123" s="6" t="s">
        <v>337</v>
      </c>
      <c r="G123" s="6">
        <v>2023</v>
      </c>
      <c r="H123" s="7">
        <f t="shared" si="2"/>
        <v>10.513445148598951</v>
      </c>
      <c r="I123" s="6" t="s">
        <v>810</v>
      </c>
      <c r="K123" s="7">
        <v>21.026890297197902</v>
      </c>
      <c r="M123" s="4" t="s">
        <v>700</v>
      </c>
      <c r="N123" s="4">
        <v>2025</v>
      </c>
    </row>
    <row r="124" spans="2:22">
      <c r="B124" s="3" t="s">
        <v>338</v>
      </c>
      <c r="C124" s="5">
        <v>2025</v>
      </c>
      <c r="F124" s="6" t="s">
        <v>338</v>
      </c>
      <c r="G124" s="6">
        <v>2023</v>
      </c>
      <c r="H124" s="7">
        <f t="shared" si="2"/>
        <v>13.21661593690045</v>
      </c>
      <c r="I124" s="6" t="s">
        <v>810</v>
      </c>
      <c r="K124" s="7">
        <v>26.433231873800899</v>
      </c>
      <c r="M124" s="4" t="s">
        <v>701</v>
      </c>
      <c r="N124" s="4">
        <v>2025</v>
      </c>
    </row>
    <row r="125" spans="2:22">
      <c r="B125" s="3" t="s">
        <v>339</v>
      </c>
      <c r="C125" s="5">
        <v>2025</v>
      </c>
      <c r="F125" s="6" t="s">
        <v>339</v>
      </c>
      <c r="G125" s="6">
        <v>2023</v>
      </c>
      <c r="H125" s="7">
        <f t="shared" si="2"/>
        <v>9.2630159509203001</v>
      </c>
      <c r="I125" s="6" t="s">
        <v>810</v>
      </c>
      <c r="K125" s="7">
        <v>18.5260319018406</v>
      </c>
      <c r="M125" s="4" t="s">
        <v>702</v>
      </c>
      <c r="N125" s="4">
        <v>2025</v>
      </c>
    </row>
    <row r="126" spans="2:22">
      <c r="B126" s="3" t="s">
        <v>340</v>
      </c>
      <c r="C126" s="5">
        <v>2025</v>
      </c>
      <c r="F126" s="6" t="s">
        <v>340</v>
      </c>
      <c r="G126" s="6">
        <v>2023</v>
      </c>
      <c r="H126" s="7">
        <f t="shared" si="2"/>
        <v>10.538320140017101</v>
      </c>
      <c r="I126" s="6" t="s">
        <v>810</v>
      </c>
      <c r="K126" s="7">
        <v>21.076640280034201</v>
      </c>
      <c r="M126" s="4" t="s">
        <v>703</v>
      </c>
      <c r="N126" s="4">
        <v>2025</v>
      </c>
    </row>
    <row r="127" spans="2:22">
      <c r="B127" s="3" t="s">
        <v>341</v>
      </c>
      <c r="C127" s="5">
        <v>2025</v>
      </c>
      <c r="F127" s="6" t="s">
        <v>341</v>
      </c>
      <c r="G127" s="6">
        <v>2023</v>
      </c>
      <c r="H127" s="7">
        <f t="shared" si="2"/>
        <v>15.00896788909635</v>
      </c>
      <c r="I127" s="6" t="s">
        <v>810</v>
      </c>
      <c r="K127" s="7">
        <v>30.017935778192701</v>
      </c>
      <c r="M127" s="4" t="s">
        <v>704</v>
      </c>
      <c r="N127" s="4">
        <v>2025</v>
      </c>
    </row>
    <row r="128" spans="2:22">
      <c r="B128" s="3" t="s">
        <v>342</v>
      </c>
      <c r="C128" s="5">
        <v>2025</v>
      </c>
      <c r="F128" s="6" t="s">
        <v>342</v>
      </c>
      <c r="G128" s="6">
        <v>2023</v>
      </c>
      <c r="H128" s="7">
        <f t="shared" si="2"/>
        <v>11.1939402933205</v>
      </c>
      <c r="I128" s="6" t="s">
        <v>810</v>
      </c>
      <c r="K128" s="7">
        <v>22.387880586641</v>
      </c>
      <c r="M128" s="4" t="s">
        <v>705</v>
      </c>
      <c r="N128" s="4">
        <v>2025</v>
      </c>
    </row>
    <row r="129" spans="2:14">
      <c r="B129" s="3" t="s">
        <v>343</v>
      </c>
      <c r="C129" s="5">
        <v>2025</v>
      </c>
      <c r="F129" s="6" t="s">
        <v>343</v>
      </c>
      <c r="G129" s="6">
        <v>2023</v>
      </c>
      <c r="H129" s="7">
        <f t="shared" si="2"/>
        <v>13.297368100392649</v>
      </c>
      <c r="I129" s="6" t="s">
        <v>810</v>
      </c>
      <c r="K129" s="7">
        <v>26.594736200785299</v>
      </c>
      <c r="M129" s="4" t="s">
        <v>706</v>
      </c>
      <c r="N129" s="4">
        <v>2025</v>
      </c>
    </row>
    <row r="130" spans="2:14">
      <c r="B130" s="3" t="s">
        <v>344</v>
      </c>
      <c r="C130" s="5">
        <v>2025</v>
      </c>
      <c r="F130" s="6" t="s">
        <v>344</v>
      </c>
      <c r="G130" s="6">
        <v>2023</v>
      </c>
      <c r="H130" s="7">
        <f t="shared" si="2"/>
        <v>11.390017302312049</v>
      </c>
      <c r="I130" s="6" t="s">
        <v>810</v>
      </c>
      <c r="K130" s="7">
        <v>22.780034604624099</v>
      </c>
      <c r="M130" s="4" t="s">
        <v>707</v>
      </c>
      <c r="N130" s="4">
        <v>2025</v>
      </c>
    </row>
    <row r="131" spans="2:14">
      <c r="B131" s="3" t="s">
        <v>345</v>
      </c>
      <c r="C131" s="5">
        <v>2025</v>
      </c>
      <c r="F131" s="6" t="s">
        <v>345</v>
      </c>
      <c r="G131" s="6">
        <v>2023</v>
      </c>
      <c r="H131" s="7">
        <f t="shared" si="2"/>
        <v>12.083035134153651</v>
      </c>
      <c r="I131" s="6" t="s">
        <v>810</v>
      </c>
      <c r="K131" s="7">
        <v>24.166070268307301</v>
      </c>
      <c r="M131" s="4" t="s">
        <v>708</v>
      </c>
      <c r="N131" s="4">
        <v>2025</v>
      </c>
    </row>
    <row r="132" spans="2:14">
      <c r="B132" s="3" t="s">
        <v>346</v>
      </c>
      <c r="C132" s="5">
        <v>2025</v>
      </c>
      <c r="F132" s="6" t="s">
        <v>346</v>
      </c>
      <c r="G132" s="6">
        <v>2023</v>
      </c>
      <c r="H132" s="7">
        <f t="shared" si="2"/>
        <v>13.20083641281815</v>
      </c>
      <c r="I132" s="6" t="s">
        <v>810</v>
      </c>
      <c r="K132" s="7">
        <v>26.4016728256363</v>
      </c>
      <c r="M132" s="4" t="s">
        <v>709</v>
      </c>
      <c r="N132" s="4">
        <v>2025</v>
      </c>
    </row>
    <row r="133" spans="2:14">
      <c r="B133" s="3" t="s">
        <v>347</v>
      </c>
      <c r="C133" s="5">
        <v>2025</v>
      </c>
      <c r="F133" s="6" t="s">
        <v>347</v>
      </c>
      <c r="G133" s="6">
        <v>2023</v>
      </c>
      <c r="H133" s="7">
        <f t="shared" ref="H133:H196" si="4">K133/2</f>
        <v>8.0968285939954008</v>
      </c>
      <c r="I133" s="6" t="s">
        <v>810</v>
      </c>
      <c r="K133" s="7">
        <v>16.193657187990802</v>
      </c>
      <c r="M133" s="4" t="s">
        <v>710</v>
      </c>
      <c r="N133" s="4">
        <v>2025</v>
      </c>
    </row>
    <row r="134" spans="2:14">
      <c r="B134" s="3" t="s">
        <v>348</v>
      </c>
      <c r="C134" s="5">
        <v>2025</v>
      </c>
      <c r="F134" s="6" t="s">
        <v>348</v>
      </c>
      <c r="G134" s="6">
        <v>2023</v>
      </c>
      <c r="H134" s="7">
        <f t="shared" si="4"/>
        <v>7.7388433348445496</v>
      </c>
      <c r="I134" s="6" t="s">
        <v>810</v>
      </c>
      <c r="K134" s="7">
        <v>15.477686669689099</v>
      </c>
      <c r="M134" s="4" t="s">
        <v>711</v>
      </c>
      <c r="N134" s="4">
        <v>2025</v>
      </c>
    </row>
    <row r="135" spans="2:14">
      <c r="B135" s="3" t="s">
        <v>349</v>
      </c>
      <c r="C135" s="5">
        <v>2025</v>
      </c>
      <c r="F135" s="6" t="s">
        <v>349</v>
      </c>
      <c r="G135" s="6">
        <v>2023</v>
      </c>
      <c r="H135" s="7">
        <f t="shared" si="4"/>
        <v>11.7607229249033</v>
      </c>
      <c r="I135" s="6" t="s">
        <v>810</v>
      </c>
      <c r="K135" s="7">
        <v>23.5214458498066</v>
      </c>
      <c r="M135" s="4" t="s">
        <v>712</v>
      </c>
      <c r="N135" s="4">
        <v>2025</v>
      </c>
    </row>
    <row r="136" spans="2:14">
      <c r="B136" s="3" t="s">
        <v>350</v>
      </c>
      <c r="C136" s="5">
        <v>2025</v>
      </c>
      <c r="F136" s="6" t="s">
        <v>350</v>
      </c>
      <c r="G136" s="6">
        <v>2023</v>
      </c>
      <c r="H136" s="7">
        <f t="shared" si="4"/>
        <v>11.28490813324925</v>
      </c>
      <c r="I136" s="6" t="s">
        <v>810</v>
      </c>
      <c r="K136" s="7">
        <v>22.569816266498499</v>
      </c>
      <c r="M136" s="4" t="s">
        <v>713</v>
      </c>
      <c r="N136" s="4">
        <v>2025</v>
      </c>
    </row>
    <row r="137" spans="2:14">
      <c r="B137" s="3" t="s">
        <v>351</v>
      </c>
      <c r="C137" s="5">
        <v>2025</v>
      </c>
      <c r="F137" s="6" t="s">
        <v>351</v>
      </c>
      <c r="G137" s="6">
        <v>2023</v>
      </c>
      <c r="H137" s="7">
        <f t="shared" si="4"/>
        <v>8.95559317416045</v>
      </c>
      <c r="I137" s="6" t="s">
        <v>810</v>
      </c>
      <c r="K137" s="7">
        <v>17.9111863483209</v>
      </c>
      <c r="M137" s="4" t="s">
        <v>714</v>
      </c>
      <c r="N137" s="4">
        <v>2025</v>
      </c>
    </row>
    <row r="138" spans="2:14">
      <c r="B138" s="3" t="s">
        <v>352</v>
      </c>
      <c r="C138" s="5">
        <v>2025</v>
      </c>
      <c r="F138" s="6" t="s">
        <v>352</v>
      </c>
      <c r="G138" s="6">
        <v>2023</v>
      </c>
      <c r="H138" s="7">
        <f t="shared" si="4"/>
        <v>9.3181041436217509</v>
      </c>
      <c r="I138" s="6" t="s">
        <v>810</v>
      </c>
      <c r="K138" s="7">
        <v>18.636208287243502</v>
      </c>
      <c r="M138" s="4" t="s">
        <v>715</v>
      </c>
      <c r="N138" s="4">
        <v>2025</v>
      </c>
    </row>
    <row r="139" spans="2:14">
      <c r="B139" s="3" t="s">
        <v>353</v>
      </c>
      <c r="C139" s="5">
        <v>2025</v>
      </c>
      <c r="F139" s="6" t="s">
        <v>353</v>
      </c>
      <c r="G139" s="6">
        <v>2023</v>
      </c>
      <c r="H139" s="7">
        <f t="shared" si="4"/>
        <v>17.931123253599399</v>
      </c>
      <c r="I139" s="6" t="s">
        <v>810</v>
      </c>
      <c r="K139" s="7">
        <v>35.862246507198797</v>
      </c>
      <c r="M139" s="4" t="s">
        <v>716</v>
      </c>
      <c r="N139" s="4">
        <v>2025</v>
      </c>
    </row>
    <row r="140" spans="2:14">
      <c r="B140" s="3" t="s">
        <v>354</v>
      </c>
      <c r="C140" s="5">
        <v>2025</v>
      </c>
      <c r="F140" s="6" t="s">
        <v>354</v>
      </c>
      <c r="G140" s="6">
        <v>2023</v>
      </c>
      <c r="H140" s="7">
        <f t="shared" si="4"/>
        <v>8.0329881047147502</v>
      </c>
      <c r="I140" s="6" t="s">
        <v>810</v>
      </c>
      <c r="K140" s="7">
        <v>16.0659762094295</v>
      </c>
      <c r="M140" s="4" t="s">
        <v>717</v>
      </c>
      <c r="N140" s="4">
        <v>2025</v>
      </c>
    </row>
    <row r="141" spans="2:14">
      <c r="B141" s="3" t="s">
        <v>355</v>
      </c>
      <c r="C141" s="5">
        <v>2025</v>
      </c>
      <c r="F141" s="6" t="s">
        <v>355</v>
      </c>
      <c r="G141" s="6">
        <v>2023</v>
      </c>
      <c r="H141" s="7">
        <f t="shared" si="4"/>
        <v>11.3524334956714</v>
      </c>
      <c r="I141" s="6" t="s">
        <v>810</v>
      </c>
      <c r="K141" s="7">
        <v>22.704866991342801</v>
      </c>
      <c r="M141" s="4" t="s">
        <v>718</v>
      </c>
      <c r="N141" s="4">
        <v>2025</v>
      </c>
    </row>
    <row r="142" spans="2:14">
      <c r="B142" s="3" t="s">
        <v>356</v>
      </c>
      <c r="C142" s="5">
        <v>2025</v>
      </c>
      <c r="F142" s="6" t="s">
        <v>356</v>
      </c>
      <c r="G142" s="6">
        <v>2023</v>
      </c>
      <c r="H142" s="7">
        <f t="shared" si="4"/>
        <v>7.4355472263641502</v>
      </c>
      <c r="I142" s="6" t="s">
        <v>810</v>
      </c>
      <c r="K142" s="7">
        <v>14.8710944527283</v>
      </c>
      <c r="M142" s="4" t="s">
        <v>719</v>
      </c>
      <c r="N142" s="4">
        <v>2025</v>
      </c>
    </row>
    <row r="143" spans="2:14">
      <c r="B143" s="3" t="s">
        <v>357</v>
      </c>
      <c r="C143" s="5">
        <v>2025</v>
      </c>
      <c r="F143" s="6" t="s">
        <v>357</v>
      </c>
      <c r="G143" s="6">
        <v>2023</v>
      </c>
      <c r="H143" s="7">
        <f t="shared" si="4"/>
        <v>12.874879987022601</v>
      </c>
      <c r="I143" s="6" t="s">
        <v>810</v>
      </c>
      <c r="K143" s="7">
        <v>25.749759974045201</v>
      </c>
      <c r="M143" s="4" t="s">
        <v>720</v>
      </c>
      <c r="N143" s="4">
        <v>2025</v>
      </c>
    </row>
    <row r="144" spans="2:14">
      <c r="B144" s="3" t="s">
        <v>358</v>
      </c>
      <c r="C144" s="5">
        <v>2025</v>
      </c>
      <c r="F144" s="6" t="s">
        <v>358</v>
      </c>
      <c r="G144" s="6">
        <v>2023</v>
      </c>
      <c r="H144" s="7">
        <f t="shared" si="4"/>
        <v>17.124789583894351</v>
      </c>
      <c r="I144" s="6" t="s">
        <v>810</v>
      </c>
      <c r="K144" s="7">
        <v>34.249579167788703</v>
      </c>
      <c r="M144" s="4" t="s">
        <v>721</v>
      </c>
      <c r="N144" s="4">
        <v>2025</v>
      </c>
    </row>
    <row r="145" spans="2:14">
      <c r="B145" s="3" t="s">
        <v>359</v>
      </c>
      <c r="C145" s="5">
        <v>2025</v>
      </c>
      <c r="F145" s="6" t="s">
        <v>359</v>
      </c>
      <c r="G145" s="6">
        <v>2023</v>
      </c>
      <c r="H145" s="7">
        <f t="shared" si="4"/>
        <v>10.530081854837549</v>
      </c>
      <c r="I145" s="6" t="s">
        <v>810</v>
      </c>
      <c r="K145" s="7">
        <v>21.060163709675098</v>
      </c>
      <c r="M145" s="4" t="s">
        <v>722</v>
      </c>
      <c r="N145" s="4">
        <v>2025</v>
      </c>
    </row>
    <row r="146" spans="2:14">
      <c r="B146" s="3" t="s">
        <v>360</v>
      </c>
      <c r="C146" s="5">
        <v>2025</v>
      </c>
      <c r="F146" s="6" t="s">
        <v>360</v>
      </c>
      <c r="G146" s="6">
        <v>2023</v>
      </c>
      <c r="H146" s="7">
        <f t="shared" si="4"/>
        <v>8.26526870984525</v>
      </c>
      <c r="I146" s="6" t="s">
        <v>810</v>
      </c>
      <c r="K146" s="7">
        <v>16.5305374196905</v>
      </c>
      <c r="M146" s="4" t="s">
        <v>723</v>
      </c>
      <c r="N146" s="4">
        <v>2025</v>
      </c>
    </row>
    <row r="147" spans="2:14">
      <c r="B147" s="3" t="s">
        <v>361</v>
      </c>
      <c r="C147" s="5">
        <v>2025</v>
      </c>
      <c r="F147" s="6" t="s">
        <v>361</v>
      </c>
      <c r="G147" s="6">
        <v>2023</v>
      </c>
      <c r="H147" s="7">
        <f t="shared" si="4"/>
        <v>7.4796828205450998</v>
      </c>
      <c r="I147" s="6" t="s">
        <v>810</v>
      </c>
      <c r="K147" s="7">
        <v>14.9593656410902</v>
      </c>
      <c r="M147" s="4" t="s">
        <v>724</v>
      </c>
      <c r="N147" s="4">
        <v>2025</v>
      </c>
    </row>
    <row r="148" spans="2:14">
      <c r="B148" s="3" t="s">
        <v>362</v>
      </c>
      <c r="C148" s="5">
        <v>2025</v>
      </c>
      <c r="F148" s="6" t="s">
        <v>362</v>
      </c>
      <c r="G148" s="6">
        <v>2023</v>
      </c>
      <c r="H148" s="7">
        <f t="shared" si="4"/>
        <v>13.33818184410635</v>
      </c>
      <c r="I148" s="6" t="s">
        <v>810</v>
      </c>
      <c r="K148" s="7">
        <v>26.6763636882127</v>
      </c>
      <c r="M148" s="4" t="s">
        <v>725</v>
      </c>
      <c r="N148" s="4">
        <v>2025</v>
      </c>
    </row>
    <row r="149" spans="2:14">
      <c r="B149" s="3" t="s">
        <v>363</v>
      </c>
      <c r="C149" s="5">
        <v>2025</v>
      </c>
      <c r="F149" s="6" t="s">
        <v>363</v>
      </c>
      <c r="G149" s="6">
        <v>2023</v>
      </c>
      <c r="H149" s="7">
        <f t="shared" si="4"/>
        <v>11.403701062230949</v>
      </c>
      <c r="I149" s="6" t="s">
        <v>810</v>
      </c>
      <c r="K149" s="7">
        <v>22.807402124461898</v>
      </c>
      <c r="M149" s="4" t="s">
        <v>726</v>
      </c>
      <c r="N149" s="4">
        <v>2025</v>
      </c>
    </row>
    <row r="150" spans="2:14">
      <c r="B150" s="3" t="s">
        <v>364</v>
      </c>
      <c r="C150" s="5">
        <v>2025</v>
      </c>
      <c r="F150" s="6" t="s">
        <v>364</v>
      </c>
      <c r="G150" s="6">
        <v>2023</v>
      </c>
      <c r="H150" s="7">
        <f t="shared" si="4"/>
        <v>10.7509857714329</v>
      </c>
      <c r="I150" s="6" t="s">
        <v>810</v>
      </c>
      <c r="K150" s="7">
        <v>21.5019715428658</v>
      </c>
      <c r="M150" s="4" t="s">
        <v>727</v>
      </c>
      <c r="N150" s="4">
        <v>2025</v>
      </c>
    </row>
    <row r="151" spans="2:14">
      <c r="B151" s="3" t="s">
        <v>365</v>
      </c>
      <c r="C151" s="5">
        <v>2025</v>
      </c>
      <c r="F151" s="6" t="s">
        <v>365</v>
      </c>
      <c r="G151" s="6">
        <v>2023</v>
      </c>
      <c r="H151" s="7">
        <f t="shared" si="4"/>
        <v>11.2233776334634</v>
      </c>
      <c r="I151" s="6" t="s">
        <v>810</v>
      </c>
      <c r="K151" s="7">
        <v>22.4467552669268</v>
      </c>
      <c r="M151" s="4" t="s">
        <v>728</v>
      </c>
      <c r="N151" s="4">
        <v>2025</v>
      </c>
    </row>
    <row r="152" spans="2:14">
      <c r="B152" s="3" t="s">
        <v>366</v>
      </c>
      <c r="C152" s="5">
        <v>2025</v>
      </c>
      <c r="F152" s="6" t="s">
        <v>366</v>
      </c>
      <c r="G152" s="6">
        <v>2023</v>
      </c>
      <c r="H152" s="7">
        <f t="shared" si="4"/>
        <v>14.027243913847601</v>
      </c>
      <c r="I152" s="6" t="s">
        <v>810</v>
      </c>
      <c r="K152" s="7">
        <v>28.054487827695201</v>
      </c>
      <c r="M152" s="4" t="s">
        <v>729</v>
      </c>
      <c r="N152" s="4">
        <v>2025</v>
      </c>
    </row>
    <row r="153" spans="2:14">
      <c r="B153" s="3" t="s">
        <v>367</v>
      </c>
      <c r="C153" s="5">
        <v>2025</v>
      </c>
      <c r="F153" s="6" t="s">
        <v>367</v>
      </c>
      <c r="G153" s="6">
        <v>2023</v>
      </c>
      <c r="H153" s="7">
        <f t="shared" si="4"/>
        <v>10.087217042087699</v>
      </c>
      <c r="I153" s="6" t="s">
        <v>810</v>
      </c>
      <c r="K153" s="7">
        <v>20.174434084175399</v>
      </c>
      <c r="M153" s="4" t="s">
        <v>730</v>
      </c>
      <c r="N153" s="4">
        <v>2025</v>
      </c>
    </row>
    <row r="154" spans="2:14">
      <c r="B154" s="3" t="s">
        <v>368</v>
      </c>
      <c r="C154" s="5">
        <v>2025</v>
      </c>
      <c r="F154" s="6" t="s">
        <v>368</v>
      </c>
      <c r="G154" s="6">
        <v>2023</v>
      </c>
      <c r="H154" s="7">
        <f t="shared" si="4"/>
        <v>11.0768228272042</v>
      </c>
      <c r="I154" s="6" t="s">
        <v>810</v>
      </c>
      <c r="K154" s="7">
        <v>22.1536456544084</v>
      </c>
      <c r="M154" s="4" t="s">
        <v>731</v>
      </c>
      <c r="N154" s="4">
        <v>2025</v>
      </c>
    </row>
    <row r="155" spans="2:14">
      <c r="B155" s="3" t="s">
        <v>369</v>
      </c>
      <c r="C155" s="5">
        <v>2025</v>
      </c>
      <c r="F155" s="6" t="s">
        <v>369</v>
      </c>
      <c r="G155" s="6">
        <v>2023</v>
      </c>
      <c r="H155" s="7">
        <f t="shared" si="4"/>
        <v>15.7195969513119</v>
      </c>
      <c r="I155" s="6" t="s">
        <v>810</v>
      </c>
      <c r="K155" s="7">
        <v>31.439193902623799</v>
      </c>
      <c r="M155" s="4" t="s">
        <v>732</v>
      </c>
      <c r="N155" s="4">
        <v>2025</v>
      </c>
    </row>
    <row r="156" spans="2:14">
      <c r="B156" s="3" t="s">
        <v>370</v>
      </c>
      <c r="C156" s="5">
        <v>2025</v>
      </c>
      <c r="F156" s="6" t="s">
        <v>370</v>
      </c>
      <c r="G156" s="6">
        <v>2023</v>
      </c>
      <c r="H156" s="7">
        <f t="shared" si="4"/>
        <v>12.0279578764265</v>
      </c>
      <c r="I156" s="6" t="s">
        <v>810</v>
      </c>
      <c r="K156" s="7">
        <v>24.055915752853</v>
      </c>
      <c r="M156" s="4" t="s">
        <v>733</v>
      </c>
      <c r="N156" s="4">
        <v>2025</v>
      </c>
    </row>
    <row r="157" spans="2:14">
      <c r="B157" s="3" t="s">
        <v>371</v>
      </c>
      <c r="C157" s="5">
        <v>2025</v>
      </c>
      <c r="F157" s="6" t="s">
        <v>371</v>
      </c>
      <c r="G157" s="6">
        <v>2023</v>
      </c>
      <c r="H157" s="7">
        <f t="shared" si="4"/>
        <v>14.0206609761519</v>
      </c>
      <c r="I157" s="6" t="s">
        <v>810</v>
      </c>
      <c r="K157" s="7">
        <v>28.0413219523038</v>
      </c>
      <c r="M157" s="4" t="s">
        <v>734</v>
      </c>
      <c r="N157" s="4">
        <v>2025</v>
      </c>
    </row>
    <row r="158" spans="2:14">
      <c r="B158" s="3" t="s">
        <v>372</v>
      </c>
      <c r="C158" s="5">
        <v>2025</v>
      </c>
      <c r="F158" s="6" t="s">
        <v>372</v>
      </c>
      <c r="G158" s="6">
        <v>2023</v>
      </c>
      <c r="H158" s="7">
        <f t="shared" si="4"/>
        <v>11.02537972493035</v>
      </c>
      <c r="I158" s="6" t="s">
        <v>810</v>
      </c>
      <c r="K158" s="7">
        <v>22.050759449860699</v>
      </c>
      <c r="M158" s="4" t="s">
        <v>735</v>
      </c>
      <c r="N158" s="4">
        <v>2025</v>
      </c>
    </row>
    <row r="159" spans="2:14">
      <c r="B159" s="3" t="s">
        <v>373</v>
      </c>
      <c r="C159" s="5">
        <v>2025</v>
      </c>
      <c r="F159" s="6" t="s">
        <v>373</v>
      </c>
      <c r="G159" s="6">
        <v>2023</v>
      </c>
      <c r="H159" s="7">
        <f t="shared" si="4"/>
        <v>12.639253057734649</v>
      </c>
      <c r="I159" s="6" t="s">
        <v>810</v>
      </c>
      <c r="K159" s="7">
        <v>25.278506115469298</v>
      </c>
      <c r="M159" s="4" t="s">
        <v>736</v>
      </c>
      <c r="N159" s="4">
        <v>2025</v>
      </c>
    </row>
    <row r="160" spans="2:14">
      <c r="B160" s="3" t="s">
        <v>374</v>
      </c>
      <c r="C160" s="5">
        <v>2025</v>
      </c>
      <c r="F160" s="6" t="s">
        <v>374</v>
      </c>
      <c r="G160" s="6">
        <v>2023</v>
      </c>
      <c r="H160" s="7">
        <f t="shared" si="4"/>
        <v>14.1623734366789</v>
      </c>
      <c r="I160" s="6" t="s">
        <v>810</v>
      </c>
      <c r="K160" s="7">
        <v>28.3247468733578</v>
      </c>
      <c r="M160" s="4" t="s">
        <v>737</v>
      </c>
      <c r="N160" s="4">
        <v>2025</v>
      </c>
    </row>
    <row r="161" spans="2:14">
      <c r="B161" s="3" t="s">
        <v>375</v>
      </c>
      <c r="C161" s="5">
        <v>2025</v>
      </c>
      <c r="F161" s="6" t="s">
        <v>375</v>
      </c>
      <c r="G161" s="6">
        <v>2023</v>
      </c>
      <c r="H161" s="7">
        <f t="shared" si="4"/>
        <v>7.5456724213442996</v>
      </c>
      <c r="I161" s="6" t="s">
        <v>810</v>
      </c>
      <c r="K161" s="7">
        <v>15.091344842688599</v>
      </c>
      <c r="M161" s="4" t="s">
        <v>738</v>
      </c>
      <c r="N161" s="4">
        <v>2025</v>
      </c>
    </row>
    <row r="162" spans="2:14">
      <c r="B162" s="3" t="s">
        <v>376</v>
      </c>
      <c r="C162" s="5">
        <v>2025</v>
      </c>
      <c r="F162" s="6" t="s">
        <v>376</v>
      </c>
      <c r="G162" s="6">
        <v>2023</v>
      </c>
      <c r="H162" s="7">
        <f t="shared" si="4"/>
        <v>8.1626060087574501</v>
      </c>
      <c r="I162" s="6" t="s">
        <v>810</v>
      </c>
      <c r="K162" s="7">
        <v>16.3252120175149</v>
      </c>
      <c r="M162" s="4" t="s">
        <v>739</v>
      </c>
      <c r="N162" s="4">
        <v>2025</v>
      </c>
    </row>
    <row r="163" spans="2:14">
      <c r="B163" s="3" t="s">
        <v>377</v>
      </c>
      <c r="C163" s="5">
        <v>2025</v>
      </c>
      <c r="F163" s="6" t="s">
        <v>377</v>
      </c>
      <c r="G163" s="6">
        <v>2023</v>
      </c>
      <c r="H163" s="7">
        <f t="shared" si="4"/>
        <v>12.755658639543849</v>
      </c>
      <c r="I163" s="6" t="s">
        <v>810</v>
      </c>
      <c r="K163" s="7">
        <v>25.511317279087699</v>
      </c>
      <c r="M163" s="4" t="s">
        <v>740</v>
      </c>
      <c r="N163" s="4">
        <v>2025</v>
      </c>
    </row>
    <row r="164" spans="2:14">
      <c r="B164" s="3" t="s">
        <v>378</v>
      </c>
      <c r="C164" s="5">
        <v>2025</v>
      </c>
      <c r="F164" s="6" t="s">
        <v>378</v>
      </c>
      <c r="G164" s="6">
        <v>2023</v>
      </c>
      <c r="H164" s="7">
        <f t="shared" si="4"/>
        <v>11.838995506731001</v>
      </c>
      <c r="I164" s="6" t="s">
        <v>810</v>
      </c>
      <c r="K164" s="7">
        <v>23.677991013462002</v>
      </c>
      <c r="M164" s="4" t="s">
        <v>741</v>
      </c>
      <c r="N164" s="4">
        <v>2025</v>
      </c>
    </row>
    <row r="165" spans="2:14">
      <c r="B165" s="3" t="s">
        <v>379</v>
      </c>
      <c r="C165" s="5">
        <v>2025</v>
      </c>
      <c r="F165" s="6" t="s">
        <v>379</v>
      </c>
      <c r="G165" s="6">
        <v>2023</v>
      </c>
      <c r="H165" s="7">
        <f t="shared" si="4"/>
        <v>8.5378864472969003</v>
      </c>
      <c r="I165" s="6" t="s">
        <v>810</v>
      </c>
      <c r="K165" s="7">
        <v>17.075772894593801</v>
      </c>
      <c r="M165" s="4" t="s">
        <v>742</v>
      </c>
      <c r="N165" s="4">
        <v>2025</v>
      </c>
    </row>
    <row r="166" spans="2:14">
      <c r="B166" s="3" t="s">
        <v>380</v>
      </c>
      <c r="C166" s="5">
        <v>2025</v>
      </c>
      <c r="F166" s="6" t="s">
        <v>380</v>
      </c>
      <c r="G166" s="6">
        <v>2023</v>
      </c>
      <c r="H166" s="7">
        <f t="shared" si="4"/>
        <v>9.7974266781810506</v>
      </c>
      <c r="I166" s="6" t="s">
        <v>810</v>
      </c>
      <c r="K166" s="7">
        <v>19.594853356362101</v>
      </c>
      <c r="M166" s="4" t="s">
        <v>743</v>
      </c>
      <c r="N166" s="4">
        <v>2025</v>
      </c>
    </row>
    <row r="167" spans="2:14">
      <c r="B167" s="3" t="s">
        <v>381</v>
      </c>
      <c r="C167" s="5">
        <v>2025</v>
      </c>
      <c r="F167" s="6" t="s">
        <v>381</v>
      </c>
      <c r="G167" s="6">
        <v>2023</v>
      </c>
      <c r="H167" s="7">
        <f t="shared" si="4"/>
        <v>18.784019386347399</v>
      </c>
      <c r="I167" s="6" t="s">
        <v>810</v>
      </c>
      <c r="K167" s="7">
        <v>37.568038772694798</v>
      </c>
      <c r="M167" s="4" t="s">
        <v>744</v>
      </c>
      <c r="N167" s="4">
        <v>2025</v>
      </c>
    </row>
    <row r="168" spans="2:14">
      <c r="B168" s="3" t="s">
        <v>382</v>
      </c>
      <c r="C168" s="5">
        <v>2025</v>
      </c>
      <c r="F168" s="6" t="s">
        <v>382</v>
      </c>
      <c r="G168" s="6">
        <v>2023</v>
      </c>
      <c r="H168" s="7">
        <f t="shared" si="4"/>
        <v>7.8673697696687004</v>
      </c>
      <c r="I168" s="6" t="s">
        <v>810</v>
      </c>
      <c r="K168" s="7">
        <v>15.734739539337401</v>
      </c>
      <c r="M168" s="4" t="s">
        <v>745</v>
      </c>
      <c r="N168" s="4">
        <v>2025</v>
      </c>
    </row>
    <row r="169" spans="2:14">
      <c r="B169" s="3" t="s">
        <v>383</v>
      </c>
      <c r="C169" s="5">
        <v>2025</v>
      </c>
      <c r="F169" s="6" t="s">
        <v>383</v>
      </c>
      <c r="G169" s="6">
        <v>2023</v>
      </c>
      <c r="H169" s="7">
        <f t="shared" si="4"/>
        <v>10.769963687415901</v>
      </c>
      <c r="I169" s="6" t="s">
        <v>810</v>
      </c>
      <c r="K169" s="7">
        <v>21.539927374831802</v>
      </c>
      <c r="M169" s="4" t="s">
        <v>746</v>
      </c>
      <c r="N169" s="4">
        <v>2025</v>
      </c>
    </row>
    <row r="170" spans="2:14">
      <c r="B170" s="3" t="s">
        <v>384</v>
      </c>
      <c r="C170" s="5">
        <v>2025</v>
      </c>
      <c r="F170" s="6" t="s">
        <v>384</v>
      </c>
      <c r="G170" s="6">
        <v>2023</v>
      </c>
      <c r="H170" s="7">
        <f t="shared" si="4"/>
        <v>7.9492294860681998</v>
      </c>
      <c r="I170" s="6" t="s">
        <v>810</v>
      </c>
      <c r="K170" s="7">
        <v>15.8984589721364</v>
      </c>
      <c r="M170" s="4" t="s">
        <v>747</v>
      </c>
      <c r="N170" s="4">
        <v>2025</v>
      </c>
    </row>
    <row r="171" spans="2:14">
      <c r="B171" s="3" t="s">
        <v>385</v>
      </c>
      <c r="C171" s="5">
        <v>2025</v>
      </c>
      <c r="F171" s="6" t="s">
        <v>385</v>
      </c>
      <c r="G171" s="6">
        <v>2023</v>
      </c>
      <c r="H171" s="7">
        <f t="shared" si="4"/>
        <v>13.657360568878101</v>
      </c>
      <c r="I171" s="6" t="s">
        <v>810</v>
      </c>
      <c r="K171" s="7">
        <v>27.314721137756202</v>
      </c>
      <c r="M171" s="4" t="s">
        <v>748</v>
      </c>
      <c r="N171" s="4">
        <v>2025</v>
      </c>
    </row>
    <row r="172" spans="2:14">
      <c r="B172" s="3" t="s">
        <v>386</v>
      </c>
      <c r="C172" s="5">
        <v>2025</v>
      </c>
      <c r="F172" s="6" t="s">
        <v>386</v>
      </c>
      <c r="G172" s="6">
        <v>2023</v>
      </c>
      <c r="H172" s="7">
        <f t="shared" si="4"/>
        <v>13.67537382262875</v>
      </c>
      <c r="I172" s="6" t="s">
        <v>810</v>
      </c>
      <c r="K172" s="7">
        <v>27.350747645257499</v>
      </c>
      <c r="M172" s="4" t="s">
        <v>749</v>
      </c>
      <c r="N172" s="4">
        <v>2025</v>
      </c>
    </row>
    <row r="173" spans="2:14">
      <c r="B173" s="3" t="s">
        <v>387</v>
      </c>
      <c r="C173" s="5">
        <v>2025</v>
      </c>
      <c r="F173" s="6" t="s">
        <v>387</v>
      </c>
      <c r="G173" s="6">
        <v>2023</v>
      </c>
      <c r="H173" s="7">
        <f t="shared" si="4"/>
        <v>13.398537450612251</v>
      </c>
      <c r="I173" s="6" t="s">
        <v>810</v>
      </c>
      <c r="K173" s="7">
        <v>26.797074901224502</v>
      </c>
      <c r="M173" s="4" t="s">
        <v>750</v>
      </c>
      <c r="N173" s="4">
        <v>2025</v>
      </c>
    </row>
    <row r="174" spans="2:14">
      <c r="B174" s="3" t="s">
        <v>388</v>
      </c>
      <c r="C174" s="5">
        <v>2025</v>
      </c>
      <c r="F174" s="6" t="s">
        <v>388</v>
      </c>
      <c r="G174" s="6">
        <v>2023</v>
      </c>
      <c r="H174" s="7">
        <f t="shared" si="4"/>
        <v>11.421362780111449</v>
      </c>
      <c r="I174" s="6" t="s">
        <v>810</v>
      </c>
      <c r="K174" s="7">
        <v>22.842725560222899</v>
      </c>
      <c r="M174" s="4" t="s">
        <v>751</v>
      </c>
      <c r="N174" s="4">
        <v>2025</v>
      </c>
    </row>
    <row r="175" spans="2:14">
      <c r="B175" s="3" t="s">
        <v>389</v>
      </c>
      <c r="C175" s="5">
        <v>2025</v>
      </c>
      <c r="F175" s="6" t="s">
        <v>389</v>
      </c>
      <c r="G175" s="6">
        <v>2023</v>
      </c>
      <c r="H175" s="7">
        <f t="shared" si="4"/>
        <v>5.7365802177873997</v>
      </c>
      <c r="I175" s="6" t="s">
        <v>810</v>
      </c>
      <c r="K175" s="7">
        <v>11.473160435574799</v>
      </c>
      <c r="M175" s="4" t="s">
        <v>752</v>
      </c>
      <c r="N175" s="4">
        <v>2025</v>
      </c>
    </row>
    <row r="176" spans="2:14">
      <c r="B176" s="3" t="s">
        <v>390</v>
      </c>
      <c r="C176" s="5">
        <v>2025</v>
      </c>
      <c r="F176" s="6" t="s">
        <v>390</v>
      </c>
      <c r="G176" s="6">
        <v>2023</v>
      </c>
      <c r="H176" s="7">
        <f t="shared" si="4"/>
        <v>15.5115379755782</v>
      </c>
      <c r="I176" s="6" t="s">
        <v>810</v>
      </c>
      <c r="K176" s="7">
        <v>31.0230759511564</v>
      </c>
      <c r="M176" s="4" t="s">
        <v>753</v>
      </c>
      <c r="N176" s="4">
        <v>2025</v>
      </c>
    </row>
    <row r="177" spans="2:14">
      <c r="B177" s="3" t="s">
        <v>391</v>
      </c>
      <c r="C177" s="5">
        <v>2025</v>
      </c>
      <c r="F177" s="6" t="s">
        <v>391</v>
      </c>
      <c r="G177" s="6">
        <v>2023</v>
      </c>
      <c r="H177" s="7">
        <f t="shared" si="4"/>
        <v>8.7913843366763</v>
      </c>
      <c r="I177" s="6" t="s">
        <v>810</v>
      </c>
      <c r="K177" s="7">
        <v>17.5827686733526</v>
      </c>
      <c r="M177" s="4" t="s">
        <v>754</v>
      </c>
      <c r="N177" s="4">
        <v>2025</v>
      </c>
    </row>
    <row r="178" spans="2:14">
      <c r="B178" s="3" t="s">
        <v>392</v>
      </c>
      <c r="C178" s="5">
        <v>2025</v>
      </c>
      <c r="F178" s="6" t="s">
        <v>392</v>
      </c>
      <c r="G178" s="6">
        <v>2023</v>
      </c>
      <c r="H178" s="7">
        <f t="shared" si="4"/>
        <v>9.5074694794036994</v>
      </c>
      <c r="I178" s="6" t="s">
        <v>810</v>
      </c>
      <c r="K178" s="7">
        <v>19.014938958807399</v>
      </c>
      <c r="M178" s="4" t="s">
        <v>755</v>
      </c>
      <c r="N178" s="4">
        <v>2025</v>
      </c>
    </row>
    <row r="179" spans="2:14">
      <c r="B179" s="3" t="s">
        <v>393</v>
      </c>
      <c r="C179" s="5">
        <v>2025</v>
      </c>
      <c r="F179" s="6" t="s">
        <v>393</v>
      </c>
      <c r="G179" s="6">
        <v>2023</v>
      </c>
      <c r="H179" s="7">
        <f t="shared" si="4"/>
        <v>13.3168631360576</v>
      </c>
      <c r="I179" s="6" t="s">
        <v>810</v>
      </c>
      <c r="K179" s="7">
        <v>26.633726272115201</v>
      </c>
      <c r="M179" s="4" t="s">
        <v>756</v>
      </c>
      <c r="N179" s="4">
        <v>2025</v>
      </c>
    </row>
    <row r="180" spans="2:14">
      <c r="B180" s="3" t="s">
        <v>394</v>
      </c>
      <c r="C180" s="5">
        <v>2025</v>
      </c>
      <c r="F180" s="6" t="s">
        <v>394</v>
      </c>
      <c r="G180" s="6">
        <v>2023</v>
      </c>
      <c r="H180" s="7">
        <f t="shared" si="4"/>
        <v>14.203435145037099</v>
      </c>
      <c r="I180" s="6" t="s">
        <v>810</v>
      </c>
      <c r="K180" s="7">
        <v>28.406870290074199</v>
      </c>
      <c r="M180" s="4" t="s">
        <v>757</v>
      </c>
      <c r="N180" s="4">
        <v>2025</v>
      </c>
    </row>
    <row r="181" spans="2:14">
      <c r="B181" s="3" t="s">
        <v>395</v>
      </c>
      <c r="C181" s="5">
        <v>2025</v>
      </c>
      <c r="F181" s="6" t="s">
        <v>395</v>
      </c>
      <c r="G181" s="6">
        <v>2023</v>
      </c>
      <c r="H181" s="7">
        <f t="shared" si="4"/>
        <v>15.54263786983195</v>
      </c>
      <c r="I181" s="6" t="s">
        <v>810</v>
      </c>
      <c r="K181" s="7">
        <v>31.085275739663899</v>
      </c>
      <c r="M181" s="4" t="s">
        <v>758</v>
      </c>
      <c r="N181" s="4">
        <v>2025</v>
      </c>
    </row>
    <row r="182" spans="2:14">
      <c r="B182" s="3" t="s">
        <v>396</v>
      </c>
      <c r="C182" s="5">
        <v>2025</v>
      </c>
      <c r="F182" s="6" t="s">
        <v>396</v>
      </c>
      <c r="G182" s="6">
        <v>2023</v>
      </c>
      <c r="H182" s="7">
        <f t="shared" si="4"/>
        <v>12.181965942812599</v>
      </c>
      <c r="I182" s="6" t="s">
        <v>810</v>
      </c>
      <c r="K182" s="7">
        <v>24.363931885625199</v>
      </c>
      <c r="M182" s="4" t="s">
        <v>759</v>
      </c>
      <c r="N182" s="4">
        <v>2025</v>
      </c>
    </row>
    <row r="183" spans="2:14">
      <c r="B183" s="3" t="s">
        <v>397</v>
      </c>
      <c r="C183" s="5">
        <v>2025</v>
      </c>
      <c r="F183" s="6" t="s">
        <v>397</v>
      </c>
      <c r="G183" s="6">
        <v>2023</v>
      </c>
      <c r="H183" s="7">
        <f t="shared" si="4"/>
        <v>13.2763406771105</v>
      </c>
      <c r="I183" s="6" t="s">
        <v>810</v>
      </c>
      <c r="K183" s="7">
        <v>26.552681354221001</v>
      </c>
      <c r="M183" s="4" t="s">
        <v>760</v>
      </c>
      <c r="N183" s="4">
        <v>2025</v>
      </c>
    </row>
    <row r="184" spans="2:14">
      <c r="B184" s="3" t="s">
        <v>398</v>
      </c>
      <c r="C184" s="5">
        <v>2025</v>
      </c>
      <c r="F184" s="6" t="s">
        <v>398</v>
      </c>
      <c r="G184" s="6">
        <v>2023</v>
      </c>
      <c r="H184" s="7">
        <f t="shared" si="4"/>
        <v>10.38572049128755</v>
      </c>
      <c r="I184" s="6" t="s">
        <v>810</v>
      </c>
      <c r="K184" s="7">
        <v>20.771440982575101</v>
      </c>
      <c r="M184" s="4" t="s">
        <v>761</v>
      </c>
      <c r="N184" s="4">
        <v>2025</v>
      </c>
    </row>
    <row r="185" spans="2:14">
      <c r="B185" s="3" t="s">
        <v>399</v>
      </c>
      <c r="C185" s="5">
        <v>2025</v>
      </c>
      <c r="F185" s="6" t="s">
        <v>399</v>
      </c>
      <c r="G185" s="6">
        <v>2023</v>
      </c>
      <c r="H185" s="7">
        <f t="shared" si="4"/>
        <v>13.38493333337655</v>
      </c>
      <c r="I185" s="6" t="s">
        <v>810</v>
      </c>
      <c r="K185" s="7">
        <v>26.769866666753099</v>
      </c>
      <c r="M185" s="4" t="s">
        <v>762</v>
      </c>
      <c r="N185" s="4">
        <v>2025</v>
      </c>
    </row>
    <row r="186" spans="2:14">
      <c r="B186" s="3" t="s">
        <v>400</v>
      </c>
      <c r="C186" s="5">
        <v>2025</v>
      </c>
      <c r="F186" s="6" t="s">
        <v>400</v>
      </c>
      <c r="G186" s="6">
        <v>2023</v>
      </c>
      <c r="H186" s="7">
        <f t="shared" si="4"/>
        <v>16.983770344435701</v>
      </c>
      <c r="I186" s="6" t="s">
        <v>810</v>
      </c>
      <c r="K186" s="7">
        <v>33.967540688871402</v>
      </c>
      <c r="M186" s="4" t="s">
        <v>763</v>
      </c>
      <c r="N186" s="4">
        <v>2025</v>
      </c>
    </row>
    <row r="187" spans="2:14">
      <c r="B187" s="3" t="s">
        <v>401</v>
      </c>
      <c r="C187" s="5">
        <v>2025</v>
      </c>
      <c r="F187" s="6" t="s">
        <v>401</v>
      </c>
      <c r="G187" s="6">
        <v>2023</v>
      </c>
      <c r="H187" s="7">
        <f t="shared" si="4"/>
        <v>12.251339429941851</v>
      </c>
      <c r="I187" s="6" t="s">
        <v>810</v>
      </c>
      <c r="K187" s="7">
        <v>24.502678859883702</v>
      </c>
      <c r="M187" s="4" t="s">
        <v>764</v>
      </c>
      <c r="N187" s="4">
        <v>2025</v>
      </c>
    </row>
    <row r="188" spans="2:14">
      <c r="B188" s="3" t="s">
        <v>402</v>
      </c>
      <c r="C188" s="5">
        <v>2025</v>
      </c>
      <c r="F188" s="6" t="s">
        <v>402</v>
      </c>
      <c r="G188" s="6">
        <v>2023</v>
      </c>
      <c r="H188" s="7">
        <f t="shared" si="4"/>
        <v>14.37723831793855</v>
      </c>
      <c r="I188" s="6" t="s">
        <v>810</v>
      </c>
      <c r="K188" s="7">
        <v>28.754476635877101</v>
      </c>
      <c r="M188" s="4" t="s">
        <v>765</v>
      </c>
      <c r="N188" s="4">
        <v>2025</v>
      </c>
    </row>
    <row r="189" spans="2:14">
      <c r="B189" s="3" t="s">
        <v>403</v>
      </c>
      <c r="C189" s="5">
        <v>2025</v>
      </c>
      <c r="F189" s="6" t="s">
        <v>403</v>
      </c>
      <c r="G189" s="6">
        <v>2023</v>
      </c>
      <c r="H189" s="7">
        <f t="shared" si="4"/>
        <v>13.3177708772503</v>
      </c>
      <c r="I189" s="6" t="s">
        <v>810</v>
      </c>
      <c r="K189" s="7">
        <v>26.635541754500601</v>
      </c>
      <c r="M189" s="4" t="s">
        <v>766</v>
      </c>
      <c r="N189" s="4">
        <v>2025</v>
      </c>
    </row>
    <row r="190" spans="2:14">
      <c r="B190" s="3" t="s">
        <v>404</v>
      </c>
      <c r="C190" s="5">
        <v>2025</v>
      </c>
      <c r="F190" s="6" t="s">
        <v>404</v>
      </c>
      <c r="G190" s="6">
        <v>2023</v>
      </c>
      <c r="H190" s="7">
        <f t="shared" si="4"/>
        <v>14.06947648188255</v>
      </c>
      <c r="I190" s="6" t="s">
        <v>810</v>
      </c>
      <c r="K190" s="7">
        <v>28.138952963765099</v>
      </c>
      <c r="M190" s="4" t="s">
        <v>767</v>
      </c>
      <c r="N190" s="4">
        <v>2025</v>
      </c>
    </row>
    <row r="191" spans="2:14">
      <c r="B191" s="3" t="s">
        <v>405</v>
      </c>
      <c r="C191" s="5">
        <v>2025</v>
      </c>
      <c r="F191" s="6" t="s">
        <v>405</v>
      </c>
      <c r="G191" s="6">
        <v>2023</v>
      </c>
      <c r="H191" s="7">
        <f t="shared" si="4"/>
        <v>16.4304166954586</v>
      </c>
      <c r="I191" s="6" t="s">
        <v>810</v>
      </c>
      <c r="K191" s="7">
        <v>32.8608333909172</v>
      </c>
      <c r="M191" s="4" t="s">
        <v>768</v>
      </c>
      <c r="N191" s="4">
        <v>2025</v>
      </c>
    </row>
    <row r="192" spans="2:14">
      <c r="B192" s="3" t="s">
        <v>406</v>
      </c>
      <c r="C192" s="5">
        <v>2025</v>
      </c>
      <c r="F192" s="6" t="s">
        <v>406</v>
      </c>
      <c r="G192" s="6">
        <v>2023</v>
      </c>
      <c r="H192" s="7">
        <f t="shared" si="4"/>
        <v>14.690755991843901</v>
      </c>
      <c r="I192" s="6" t="s">
        <v>810</v>
      </c>
      <c r="K192" s="7">
        <v>29.381511983687801</v>
      </c>
      <c r="M192" s="4" t="s">
        <v>769</v>
      </c>
      <c r="N192" s="4">
        <v>2025</v>
      </c>
    </row>
    <row r="193" spans="2:14">
      <c r="B193" s="3" t="s">
        <v>407</v>
      </c>
      <c r="C193" s="5">
        <v>2025</v>
      </c>
      <c r="F193" s="6" t="s">
        <v>407</v>
      </c>
      <c r="G193" s="6">
        <v>2023</v>
      </c>
      <c r="H193" s="7">
        <f t="shared" si="4"/>
        <v>14.82915394353385</v>
      </c>
      <c r="I193" s="6" t="s">
        <v>810</v>
      </c>
      <c r="K193" s="7">
        <v>29.6583078870677</v>
      </c>
      <c r="M193" s="4" t="s">
        <v>770</v>
      </c>
      <c r="N193" s="4">
        <v>2025</v>
      </c>
    </row>
    <row r="194" spans="2:14">
      <c r="B194" s="3" t="s">
        <v>408</v>
      </c>
      <c r="C194" s="5">
        <v>2025</v>
      </c>
      <c r="F194" s="6" t="s">
        <v>408</v>
      </c>
      <c r="G194" s="6">
        <v>2023</v>
      </c>
      <c r="H194" s="7">
        <f t="shared" si="4"/>
        <v>15.1087411022471</v>
      </c>
      <c r="I194" s="6" t="s">
        <v>810</v>
      </c>
      <c r="K194" s="7">
        <v>30.2174822044942</v>
      </c>
      <c r="M194" s="4" t="s">
        <v>771</v>
      </c>
      <c r="N194" s="4">
        <v>2025</v>
      </c>
    </row>
    <row r="195" spans="2:14">
      <c r="B195" s="3" t="s">
        <v>409</v>
      </c>
      <c r="C195" s="5">
        <v>2025</v>
      </c>
      <c r="F195" s="6" t="s">
        <v>409</v>
      </c>
      <c r="G195" s="6">
        <v>2023</v>
      </c>
      <c r="H195" s="7">
        <f t="shared" si="4"/>
        <v>14.322511726741199</v>
      </c>
      <c r="I195" s="6" t="s">
        <v>810</v>
      </c>
      <c r="K195" s="7">
        <v>28.645023453482398</v>
      </c>
      <c r="M195" s="4" t="s">
        <v>772</v>
      </c>
      <c r="N195" s="4">
        <v>2025</v>
      </c>
    </row>
    <row r="196" spans="2:14">
      <c r="B196" s="3" t="s">
        <v>410</v>
      </c>
      <c r="C196" s="5">
        <v>2025</v>
      </c>
      <c r="F196" s="6" t="s">
        <v>410</v>
      </c>
      <c r="G196" s="6">
        <v>2023</v>
      </c>
      <c r="H196" s="7">
        <f t="shared" si="4"/>
        <v>13.462517621193451</v>
      </c>
      <c r="I196" s="6" t="s">
        <v>810</v>
      </c>
      <c r="K196" s="7">
        <v>26.925035242386901</v>
      </c>
      <c r="M196" s="4" t="s">
        <v>773</v>
      </c>
      <c r="N196" s="4">
        <v>2025</v>
      </c>
    </row>
    <row r="197" spans="2:14">
      <c r="B197" s="3" t="s">
        <v>411</v>
      </c>
      <c r="C197" s="5">
        <v>2025</v>
      </c>
      <c r="F197" s="6" t="s">
        <v>411</v>
      </c>
      <c r="G197" s="6">
        <v>2023</v>
      </c>
      <c r="H197" s="7">
        <f t="shared" ref="H197:H260" si="5">K197/2</f>
        <v>18.058666511458799</v>
      </c>
      <c r="I197" s="6" t="s">
        <v>810</v>
      </c>
      <c r="K197" s="7">
        <v>36.117333022917599</v>
      </c>
      <c r="M197" s="4" t="s">
        <v>774</v>
      </c>
      <c r="N197" s="4">
        <v>2025</v>
      </c>
    </row>
    <row r="198" spans="2:14">
      <c r="B198" s="3" t="s">
        <v>412</v>
      </c>
      <c r="C198" s="5">
        <v>2025</v>
      </c>
      <c r="F198" s="6" t="s">
        <v>412</v>
      </c>
      <c r="G198" s="6">
        <v>2023</v>
      </c>
      <c r="H198" s="7">
        <f t="shared" si="5"/>
        <v>12.9293263911793</v>
      </c>
      <c r="I198" s="6" t="s">
        <v>810</v>
      </c>
      <c r="K198" s="7">
        <v>25.8586527823586</v>
      </c>
      <c r="M198" s="4" t="s">
        <v>775</v>
      </c>
      <c r="N198" s="4">
        <v>2025</v>
      </c>
    </row>
    <row r="199" spans="2:14">
      <c r="B199" s="3" t="s">
        <v>413</v>
      </c>
      <c r="C199" s="5">
        <v>2025</v>
      </c>
      <c r="F199" s="6" t="s">
        <v>413</v>
      </c>
      <c r="G199" s="6">
        <v>2023</v>
      </c>
      <c r="H199" s="7">
        <f t="shared" si="5"/>
        <v>16.271312077347851</v>
      </c>
      <c r="I199" s="6" t="s">
        <v>810</v>
      </c>
      <c r="K199" s="7">
        <v>32.542624154695702</v>
      </c>
      <c r="M199" s="4" t="s">
        <v>776</v>
      </c>
      <c r="N199" s="4">
        <v>2025</v>
      </c>
    </row>
    <row r="200" spans="2:14">
      <c r="B200" s="3" t="s">
        <v>414</v>
      </c>
      <c r="C200" s="5">
        <v>2025</v>
      </c>
      <c r="F200" s="6" t="s">
        <v>414</v>
      </c>
      <c r="G200" s="6">
        <v>2023</v>
      </c>
      <c r="H200" s="7">
        <f t="shared" si="5"/>
        <v>10.632593757196901</v>
      </c>
      <c r="I200" s="6" t="s">
        <v>810</v>
      </c>
      <c r="K200" s="7">
        <v>21.265187514393801</v>
      </c>
      <c r="M200" s="4" t="s">
        <v>777</v>
      </c>
      <c r="N200" s="4">
        <v>2025</v>
      </c>
    </row>
    <row r="201" spans="2:14">
      <c r="B201" s="3" t="s">
        <v>415</v>
      </c>
      <c r="C201" s="5">
        <v>2025</v>
      </c>
      <c r="F201" s="6" t="s">
        <v>415</v>
      </c>
      <c r="G201" s="6">
        <v>2023</v>
      </c>
      <c r="H201" s="7">
        <f t="shared" si="5"/>
        <v>12.28579308188035</v>
      </c>
      <c r="I201" s="6" t="s">
        <v>810</v>
      </c>
      <c r="K201" s="7">
        <v>24.571586163760699</v>
      </c>
      <c r="M201" s="4" t="s">
        <v>778</v>
      </c>
      <c r="N201" s="4">
        <v>2025</v>
      </c>
    </row>
    <row r="202" spans="2:14">
      <c r="B202" s="3" t="s">
        <v>416</v>
      </c>
      <c r="C202" s="5">
        <v>2025</v>
      </c>
      <c r="F202" s="6" t="s">
        <v>416</v>
      </c>
      <c r="G202" s="6">
        <v>2023</v>
      </c>
      <c r="H202" s="7">
        <f t="shared" si="5"/>
        <v>11.480279438081549</v>
      </c>
      <c r="I202" s="6" t="s">
        <v>810</v>
      </c>
      <c r="K202" s="7">
        <v>22.960558876163098</v>
      </c>
      <c r="M202" s="4" t="s">
        <v>779</v>
      </c>
      <c r="N202" s="4">
        <v>2025</v>
      </c>
    </row>
    <row r="203" spans="2:14">
      <c r="B203" s="3" t="s">
        <v>417</v>
      </c>
      <c r="C203" s="5">
        <v>2025</v>
      </c>
      <c r="F203" s="6" t="s">
        <v>417</v>
      </c>
      <c r="G203" s="6">
        <v>2023</v>
      </c>
      <c r="H203" s="7">
        <f t="shared" si="5"/>
        <v>5.9532471578572004</v>
      </c>
      <c r="I203" s="6" t="s">
        <v>810</v>
      </c>
      <c r="K203" s="7">
        <v>11.906494315714401</v>
      </c>
      <c r="M203" s="4" t="s">
        <v>780</v>
      </c>
      <c r="N203" s="4">
        <v>2025</v>
      </c>
    </row>
    <row r="204" spans="2:14">
      <c r="B204" s="3" t="s">
        <v>418</v>
      </c>
      <c r="C204" s="5">
        <v>2025</v>
      </c>
      <c r="F204" s="6" t="s">
        <v>418</v>
      </c>
      <c r="G204" s="6">
        <v>2023</v>
      </c>
      <c r="H204" s="7">
        <f t="shared" si="5"/>
        <v>9.8567087313909507</v>
      </c>
      <c r="I204" s="6" t="s">
        <v>810</v>
      </c>
      <c r="K204" s="7">
        <v>19.713417462781901</v>
      </c>
      <c r="M204" s="4" t="s">
        <v>781</v>
      </c>
      <c r="N204" s="4">
        <v>2025</v>
      </c>
    </row>
    <row r="205" spans="2:14">
      <c r="B205" s="3" t="s">
        <v>419</v>
      </c>
      <c r="C205" s="5">
        <v>2025</v>
      </c>
      <c r="F205" s="6" t="s">
        <v>419</v>
      </c>
      <c r="G205" s="6">
        <v>2023</v>
      </c>
      <c r="H205" s="7">
        <f t="shared" si="5"/>
        <v>15.613142283333101</v>
      </c>
      <c r="I205" s="6" t="s">
        <v>810</v>
      </c>
      <c r="K205" s="7">
        <v>31.226284566666202</v>
      </c>
      <c r="M205" s="4" t="s">
        <v>782</v>
      </c>
      <c r="N205" s="4">
        <v>2025</v>
      </c>
    </row>
    <row r="206" spans="2:14">
      <c r="B206" s="3" t="s">
        <v>420</v>
      </c>
      <c r="C206" s="5">
        <v>2025</v>
      </c>
      <c r="F206" s="6" t="s">
        <v>420</v>
      </c>
      <c r="G206" s="6">
        <v>2023</v>
      </c>
      <c r="H206" s="7">
        <f t="shared" si="5"/>
        <v>9.1148274589089997</v>
      </c>
      <c r="I206" s="6" t="s">
        <v>810</v>
      </c>
      <c r="K206" s="7">
        <v>18.229654917817999</v>
      </c>
      <c r="M206" s="4" t="s">
        <v>783</v>
      </c>
      <c r="N206" s="4">
        <v>2025</v>
      </c>
    </row>
    <row r="207" spans="2:14">
      <c r="B207" s="3" t="s">
        <v>421</v>
      </c>
      <c r="C207" s="5">
        <v>2025</v>
      </c>
      <c r="F207" s="6" t="s">
        <v>421</v>
      </c>
      <c r="G207" s="6">
        <v>2023</v>
      </c>
      <c r="H207" s="7">
        <f t="shared" si="5"/>
        <v>9.8398706934020499</v>
      </c>
      <c r="I207" s="6" t="s">
        <v>810</v>
      </c>
      <c r="K207" s="7">
        <v>19.6797413868041</v>
      </c>
      <c r="M207" s="4" t="s">
        <v>784</v>
      </c>
      <c r="N207" s="4">
        <v>2025</v>
      </c>
    </row>
    <row r="208" spans="2:14">
      <c r="B208" s="3" t="s">
        <v>422</v>
      </c>
      <c r="C208" s="5">
        <v>2025</v>
      </c>
      <c r="F208" s="6" t="s">
        <v>422</v>
      </c>
      <c r="G208" s="6">
        <v>2023</v>
      </c>
      <c r="H208" s="7">
        <f t="shared" si="5"/>
        <v>12.2033691499754</v>
      </c>
      <c r="I208" s="6" t="s">
        <v>810</v>
      </c>
      <c r="K208" s="7">
        <v>24.406738299950799</v>
      </c>
      <c r="M208" s="4" t="s">
        <v>785</v>
      </c>
      <c r="N208" s="4">
        <v>2025</v>
      </c>
    </row>
    <row r="209" spans="2:14">
      <c r="B209" s="3" t="s">
        <v>423</v>
      </c>
      <c r="C209" s="5">
        <v>2025</v>
      </c>
      <c r="F209" s="6" t="s">
        <v>423</v>
      </c>
      <c r="G209" s="6">
        <v>2023</v>
      </c>
      <c r="H209" s="7">
        <f t="shared" si="5"/>
        <v>14.475451669645549</v>
      </c>
      <c r="I209" s="6" t="s">
        <v>810</v>
      </c>
      <c r="K209" s="7">
        <v>28.950903339291099</v>
      </c>
      <c r="M209" s="4" t="s">
        <v>806</v>
      </c>
      <c r="N209" s="4">
        <v>2025</v>
      </c>
    </row>
    <row r="210" spans="2:14">
      <c r="B210" s="3" t="s">
        <v>424</v>
      </c>
      <c r="C210" s="5">
        <v>2025</v>
      </c>
      <c r="F210" s="6" t="s">
        <v>424</v>
      </c>
      <c r="G210" s="6">
        <v>2023</v>
      </c>
      <c r="H210" s="7">
        <f t="shared" si="5"/>
        <v>15.690312447694049</v>
      </c>
      <c r="I210" s="6" t="s">
        <v>810</v>
      </c>
      <c r="K210" s="7">
        <v>31.380624895388099</v>
      </c>
      <c r="M210" s="4" t="s">
        <v>786</v>
      </c>
      <c r="N210" s="4">
        <v>2025</v>
      </c>
    </row>
    <row r="211" spans="2:14">
      <c r="B211" s="3" t="s">
        <v>425</v>
      </c>
      <c r="C211" s="5">
        <v>2025</v>
      </c>
      <c r="F211" s="6" t="s">
        <v>425</v>
      </c>
      <c r="G211" s="6">
        <v>2023</v>
      </c>
      <c r="H211" s="7">
        <f t="shared" si="5"/>
        <v>9.2701708047334002</v>
      </c>
      <c r="I211" s="6" t="s">
        <v>810</v>
      </c>
      <c r="K211" s="7">
        <v>18.5403416094668</v>
      </c>
      <c r="M211" s="4" t="s">
        <v>787</v>
      </c>
      <c r="N211" s="4">
        <v>2025</v>
      </c>
    </row>
    <row r="212" spans="2:14">
      <c r="B212" s="3" t="s">
        <v>426</v>
      </c>
      <c r="C212" s="5">
        <v>2025</v>
      </c>
      <c r="F212" s="6" t="s">
        <v>426</v>
      </c>
      <c r="G212" s="6">
        <v>2023</v>
      </c>
      <c r="H212" s="7">
        <f t="shared" si="5"/>
        <v>13.5657642507233</v>
      </c>
      <c r="I212" s="6" t="s">
        <v>810</v>
      </c>
      <c r="K212" s="7">
        <v>27.131528501446599</v>
      </c>
      <c r="M212" s="4" t="s">
        <v>788</v>
      </c>
      <c r="N212" s="4">
        <v>2025</v>
      </c>
    </row>
    <row r="213" spans="2:14">
      <c r="B213" s="3" t="s">
        <v>427</v>
      </c>
      <c r="C213" s="5">
        <v>2025</v>
      </c>
      <c r="F213" s="6" t="s">
        <v>427</v>
      </c>
      <c r="G213" s="6">
        <v>2023</v>
      </c>
      <c r="H213" s="7">
        <f t="shared" si="5"/>
        <v>13.71447825707715</v>
      </c>
      <c r="I213" s="6" t="s">
        <v>810</v>
      </c>
      <c r="K213" s="7">
        <v>27.428956514154301</v>
      </c>
      <c r="M213" s="4" t="s">
        <v>789</v>
      </c>
      <c r="N213" s="4">
        <v>2025</v>
      </c>
    </row>
    <row r="214" spans="2:14">
      <c r="B214" s="3" t="s">
        <v>428</v>
      </c>
      <c r="C214" s="5">
        <v>2025</v>
      </c>
      <c r="F214" s="6" t="s">
        <v>428</v>
      </c>
      <c r="G214" s="6">
        <v>2023</v>
      </c>
      <c r="H214" s="7">
        <f t="shared" si="5"/>
        <v>13.36415802746885</v>
      </c>
      <c r="I214" s="6" t="s">
        <v>810</v>
      </c>
      <c r="K214" s="7">
        <v>26.7283160549377</v>
      </c>
      <c r="M214" s="4" t="s">
        <v>790</v>
      </c>
      <c r="N214" s="4">
        <v>2025</v>
      </c>
    </row>
    <row r="215" spans="2:14">
      <c r="B215" s="3" t="s">
        <v>429</v>
      </c>
      <c r="C215" s="5">
        <v>2025</v>
      </c>
      <c r="F215" s="6" t="s">
        <v>429</v>
      </c>
      <c r="G215" s="6">
        <v>2023</v>
      </c>
      <c r="H215" s="7">
        <f t="shared" si="5"/>
        <v>11.192929757127949</v>
      </c>
      <c r="I215" s="6" t="s">
        <v>810</v>
      </c>
      <c r="K215" s="7">
        <v>22.385859514255898</v>
      </c>
      <c r="M215" s="4" t="s">
        <v>791</v>
      </c>
      <c r="N215" s="4">
        <v>2025</v>
      </c>
    </row>
    <row r="216" spans="2:14">
      <c r="B216" s="3" t="s">
        <v>430</v>
      </c>
      <c r="C216" s="5">
        <v>2025</v>
      </c>
      <c r="F216" s="6" t="s">
        <v>430</v>
      </c>
      <c r="G216" s="6">
        <v>2023</v>
      </c>
      <c r="H216" s="7">
        <f t="shared" si="5"/>
        <v>14.614090833383999</v>
      </c>
      <c r="I216" s="6" t="s">
        <v>810</v>
      </c>
      <c r="K216" s="7">
        <v>29.228181666767998</v>
      </c>
      <c r="M216" s="4" t="s">
        <v>792</v>
      </c>
      <c r="N216" s="4">
        <v>2025</v>
      </c>
    </row>
    <row r="217" spans="2:14">
      <c r="B217" s="3" t="s">
        <v>431</v>
      </c>
      <c r="C217" s="5">
        <v>2025</v>
      </c>
      <c r="F217" s="6" t="s">
        <v>431</v>
      </c>
      <c r="G217" s="6">
        <v>2023</v>
      </c>
      <c r="H217" s="7">
        <f t="shared" si="5"/>
        <v>13.435310395820901</v>
      </c>
      <c r="I217" s="6" t="s">
        <v>810</v>
      </c>
      <c r="K217" s="7">
        <v>26.870620791641802</v>
      </c>
      <c r="M217" s="4" t="s">
        <v>793</v>
      </c>
      <c r="N217" s="4">
        <v>2025</v>
      </c>
    </row>
    <row r="218" spans="2:14">
      <c r="B218" s="3" t="s">
        <v>432</v>
      </c>
      <c r="C218" s="5">
        <v>2025</v>
      </c>
      <c r="F218" s="6" t="s">
        <v>432</v>
      </c>
      <c r="G218" s="6">
        <v>2023</v>
      </c>
      <c r="H218" s="7">
        <f t="shared" si="5"/>
        <v>14.522688794630749</v>
      </c>
      <c r="I218" s="6" t="s">
        <v>810</v>
      </c>
      <c r="K218" s="7">
        <v>29.045377589261498</v>
      </c>
      <c r="M218" s="4" t="s">
        <v>794</v>
      </c>
      <c r="N218" s="4">
        <v>2025</v>
      </c>
    </row>
    <row r="219" spans="2:14">
      <c r="B219" s="3" t="s">
        <v>433</v>
      </c>
      <c r="C219" s="5">
        <v>2025</v>
      </c>
      <c r="F219" s="6" t="s">
        <v>433</v>
      </c>
      <c r="G219" s="6">
        <v>2023</v>
      </c>
      <c r="H219" s="7">
        <f t="shared" si="5"/>
        <v>16.60950018063615</v>
      </c>
      <c r="I219" s="6" t="s">
        <v>810</v>
      </c>
      <c r="K219" s="7">
        <v>33.2190003612723</v>
      </c>
      <c r="M219" s="4" t="s">
        <v>795</v>
      </c>
      <c r="N219" s="4">
        <v>2025</v>
      </c>
    </row>
    <row r="220" spans="2:14">
      <c r="B220" s="3" t="s">
        <v>434</v>
      </c>
      <c r="C220" s="5">
        <v>2025</v>
      </c>
      <c r="F220" s="6" t="s">
        <v>434</v>
      </c>
      <c r="G220" s="6">
        <v>2023</v>
      </c>
      <c r="H220" s="7">
        <f t="shared" si="5"/>
        <v>14.832340442925149</v>
      </c>
      <c r="I220" s="6" t="s">
        <v>810</v>
      </c>
      <c r="K220" s="7">
        <v>29.664680885850299</v>
      </c>
      <c r="M220" s="4" t="s">
        <v>796</v>
      </c>
      <c r="N220" s="4">
        <v>2025</v>
      </c>
    </row>
    <row r="221" spans="2:14">
      <c r="B221" s="3" t="s">
        <v>435</v>
      </c>
      <c r="C221" s="5">
        <v>2025</v>
      </c>
      <c r="F221" s="6" t="s">
        <v>435</v>
      </c>
      <c r="G221" s="6">
        <v>2023</v>
      </c>
      <c r="H221" s="7">
        <f t="shared" si="5"/>
        <v>14.982352126179149</v>
      </c>
      <c r="I221" s="6" t="s">
        <v>810</v>
      </c>
      <c r="K221" s="7">
        <v>29.964704252358299</v>
      </c>
      <c r="M221" s="4" t="s">
        <v>797</v>
      </c>
      <c r="N221" s="4">
        <v>2025</v>
      </c>
    </row>
    <row r="222" spans="2:14">
      <c r="B222" s="3" t="s">
        <v>436</v>
      </c>
      <c r="C222" s="5">
        <v>2025</v>
      </c>
      <c r="F222" s="6" t="s">
        <v>436</v>
      </c>
      <c r="G222" s="6">
        <v>2023</v>
      </c>
      <c r="H222" s="7">
        <f t="shared" si="5"/>
        <v>15.259396987975499</v>
      </c>
      <c r="I222" s="6" t="s">
        <v>810</v>
      </c>
      <c r="K222" s="7">
        <v>30.518793975950999</v>
      </c>
      <c r="M222" s="4" t="s">
        <v>798</v>
      </c>
      <c r="N222" s="4">
        <v>2025</v>
      </c>
    </row>
    <row r="223" spans="2:14">
      <c r="B223" s="3" t="s">
        <v>437</v>
      </c>
      <c r="C223" s="5">
        <v>2025</v>
      </c>
      <c r="F223" s="6" t="s">
        <v>437</v>
      </c>
      <c r="G223" s="6">
        <v>2023</v>
      </c>
      <c r="H223" s="7">
        <f t="shared" si="5"/>
        <v>10.9037582904307</v>
      </c>
      <c r="I223" s="6" t="s">
        <v>810</v>
      </c>
      <c r="K223" s="7">
        <v>21.8075165808614</v>
      </c>
      <c r="M223" s="4" t="s">
        <v>799</v>
      </c>
      <c r="N223" s="4">
        <v>2025</v>
      </c>
    </row>
    <row r="224" spans="2:14">
      <c r="B224" s="3" t="s">
        <v>438</v>
      </c>
      <c r="C224" s="5">
        <v>2025</v>
      </c>
      <c r="F224" s="6" t="s">
        <v>438</v>
      </c>
      <c r="G224" s="6">
        <v>2023</v>
      </c>
      <c r="H224" s="7">
        <f t="shared" si="5"/>
        <v>13.549424296095349</v>
      </c>
      <c r="I224" s="6" t="s">
        <v>810</v>
      </c>
      <c r="K224" s="7">
        <v>27.098848592190699</v>
      </c>
      <c r="M224" s="4" t="s">
        <v>800</v>
      </c>
      <c r="N224" s="4">
        <v>2025</v>
      </c>
    </row>
    <row r="225" spans="2:14">
      <c r="B225" s="3" t="s">
        <v>439</v>
      </c>
      <c r="C225" s="5">
        <v>2025</v>
      </c>
      <c r="F225" s="6" t="s">
        <v>439</v>
      </c>
      <c r="G225" s="6">
        <v>2023</v>
      </c>
      <c r="H225" s="7">
        <f t="shared" si="5"/>
        <v>18.366248657214999</v>
      </c>
      <c r="I225" s="6" t="s">
        <v>810</v>
      </c>
      <c r="K225" s="7">
        <v>36.732497314429999</v>
      </c>
      <c r="M225" s="4" t="s">
        <v>801</v>
      </c>
      <c r="N225" s="4">
        <v>2025</v>
      </c>
    </row>
    <row r="226" spans="2:14">
      <c r="B226" s="3" t="s">
        <v>440</v>
      </c>
      <c r="C226" s="5">
        <v>2025</v>
      </c>
      <c r="F226" s="6" t="s">
        <v>440</v>
      </c>
      <c r="G226" s="6">
        <v>2023</v>
      </c>
      <c r="H226" s="7">
        <f t="shared" si="5"/>
        <v>13.031613248606201</v>
      </c>
      <c r="I226" s="6" t="s">
        <v>810</v>
      </c>
      <c r="K226" s="7">
        <v>26.063226497212401</v>
      </c>
      <c r="M226" s="4" t="s">
        <v>802</v>
      </c>
      <c r="N226" s="4">
        <v>2025</v>
      </c>
    </row>
    <row r="227" spans="2:14">
      <c r="B227" s="3" t="s">
        <v>441</v>
      </c>
      <c r="C227" s="5">
        <v>2025</v>
      </c>
      <c r="F227" s="6" t="s">
        <v>441</v>
      </c>
      <c r="G227" s="6">
        <v>2023</v>
      </c>
      <c r="H227" s="7">
        <f t="shared" si="5"/>
        <v>15.13673092657225</v>
      </c>
      <c r="I227" s="6" t="s">
        <v>810</v>
      </c>
      <c r="K227" s="7">
        <v>30.2734618531445</v>
      </c>
      <c r="M227" s="4" t="s">
        <v>803</v>
      </c>
      <c r="N227" s="4">
        <v>2025</v>
      </c>
    </row>
    <row r="228" spans="2:14">
      <c r="B228" s="3" t="s">
        <v>442</v>
      </c>
      <c r="C228" s="5">
        <v>2025</v>
      </c>
      <c r="F228" s="6" t="s">
        <v>442</v>
      </c>
      <c r="G228" s="6">
        <v>2023</v>
      </c>
      <c r="H228" s="7">
        <f t="shared" si="5"/>
        <v>14.91172165166665</v>
      </c>
      <c r="I228" s="6" t="s">
        <v>810</v>
      </c>
      <c r="K228" s="7">
        <v>29.823443303333299</v>
      </c>
      <c r="M228" s="4" t="s">
        <v>804</v>
      </c>
      <c r="N228" s="4">
        <v>2025</v>
      </c>
    </row>
    <row r="229" spans="2:14">
      <c r="B229" s="3" t="s">
        <v>443</v>
      </c>
      <c r="C229" s="5">
        <v>2025</v>
      </c>
      <c r="F229" s="6" t="s">
        <v>443</v>
      </c>
      <c r="G229" s="6">
        <v>2023</v>
      </c>
      <c r="H229" s="7">
        <f t="shared" si="5"/>
        <v>9.6561337166198502</v>
      </c>
      <c r="I229" s="6" t="s">
        <v>810</v>
      </c>
      <c r="K229" s="7">
        <v>19.3122674332397</v>
      </c>
      <c r="M229" s="4" t="s">
        <v>805</v>
      </c>
      <c r="N229" s="4">
        <v>2025</v>
      </c>
    </row>
    <row r="230" spans="2:14">
      <c r="B230" s="3" t="s">
        <v>444</v>
      </c>
      <c r="C230" s="5">
        <v>2025</v>
      </c>
      <c r="F230" s="6" t="s">
        <v>444</v>
      </c>
      <c r="G230" s="6">
        <v>2023</v>
      </c>
      <c r="H230" s="7">
        <f t="shared" si="5"/>
        <v>7.1815276868956497</v>
      </c>
      <c r="I230" s="6" t="s">
        <v>810</v>
      </c>
      <c r="K230" s="7">
        <v>14.363055373791299</v>
      </c>
    </row>
    <row r="231" spans="2:14">
      <c r="B231" s="3" t="s">
        <v>445</v>
      </c>
      <c r="C231" s="5">
        <v>2025</v>
      </c>
      <c r="F231" s="6" t="s">
        <v>445</v>
      </c>
      <c r="G231" s="6">
        <v>2023</v>
      </c>
      <c r="H231" s="7">
        <f t="shared" si="5"/>
        <v>5.0722033140710003</v>
      </c>
      <c r="I231" s="6" t="s">
        <v>810</v>
      </c>
      <c r="K231" s="7">
        <v>10.144406628142001</v>
      </c>
    </row>
    <row r="232" spans="2:14">
      <c r="B232" s="3" t="s">
        <v>446</v>
      </c>
      <c r="C232" s="5">
        <v>2025</v>
      </c>
      <c r="F232" s="6" t="s">
        <v>446</v>
      </c>
      <c r="G232" s="6">
        <v>2023</v>
      </c>
      <c r="H232" s="7">
        <f t="shared" si="5"/>
        <v>11.1819316085603</v>
      </c>
      <c r="I232" s="6" t="s">
        <v>810</v>
      </c>
      <c r="K232" s="7">
        <v>22.363863217120599</v>
      </c>
    </row>
    <row r="233" spans="2:14">
      <c r="B233" s="3" t="s">
        <v>447</v>
      </c>
      <c r="C233" s="5">
        <v>2025</v>
      </c>
      <c r="F233" s="6" t="s">
        <v>447</v>
      </c>
      <c r="G233" s="6">
        <v>2023</v>
      </c>
      <c r="H233" s="7">
        <f t="shared" si="5"/>
        <v>11.208132883782101</v>
      </c>
      <c r="I233" s="6" t="s">
        <v>810</v>
      </c>
      <c r="K233" s="7">
        <v>22.416265767564202</v>
      </c>
    </row>
    <row r="234" spans="2:14">
      <c r="B234" s="3" t="s">
        <v>448</v>
      </c>
      <c r="C234" s="5">
        <v>2025</v>
      </c>
      <c r="F234" s="6" t="s">
        <v>448</v>
      </c>
      <c r="G234" s="6">
        <v>2023</v>
      </c>
      <c r="H234" s="7">
        <f t="shared" si="5"/>
        <v>8.5186284927783493</v>
      </c>
      <c r="I234" s="6" t="s">
        <v>810</v>
      </c>
      <c r="K234" s="7">
        <v>17.037256985556699</v>
      </c>
    </row>
    <row r="235" spans="2:14">
      <c r="B235" s="3" t="s">
        <v>449</v>
      </c>
      <c r="C235" s="5">
        <v>2025</v>
      </c>
      <c r="F235" s="6" t="s">
        <v>449</v>
      </c>
      <c r="G235" s="6">
        <v>2023</v>
      </c>
      <c r="H235" s="7">
        <f t="shared" si="5"/>
        <v>9.0738922353364995</v>
      </c>
      <c r="I235" s="6" t="s">
        <v>810</v>
      </c>
      <c r="K235" s="7">
        <v>18.147784470672999</v>
      </c>
    </row>
    <row r="236" spans="2:14">
      <c r="B236" s="3" t="s">
        <v>450</v>
      </c>
      <c r="C236" s="5">
        <v>2025</v>
      </c>
      <c r="F236" s="6" t="s">
        <v>450</v>
      </c>
      <c r="G236" s="6">
        <v>2023</v>
      </c>
      <c r="H236" s="7">
        <f t="shared" si="5"/>
        <v>13.078712902357751</v>
      </c>
      <c r="I236" s="6" t="s">
        <v>810</v>
      </c>
      <c r="K236" s="7">
        <v>26.157425804715501</v>
      </c>
    </row>
    <row r="237" spans="2:14">
      <c r="B237" s="3" t="s">
        <v>451</v>
      </c>
      <c r="C237" s="5">
        <v>2025</v>
      </c>
      <c r="F237" s="6" t="s">
        <v>451</v>
      </c>
      <c r="G237" s="6">
        <v>2023</v>
      </c>
      <c r="H237" s="7">
        <f t="shared" si="5"/>
        <v>9.3685341499550496</v>
      </c>
      <c r="I237" s="6" t="s">
        <v>810</v>
      </c>
      <c r="K237" s="7">
        <v>18.737068299910099</v>
      </c>
    </row>
    <row r="238" spans="2:14">
      <c r="B238" s="3" t="s">
        <v>452</v>
      </c>
      <c r="C238" s="5">
        <v>2025</v>
      </c>
      <c r="F238" s="6" t="s">
        <v>452</v>
      </c>
      <c r="G238" s="6">
        <v>2023</v>
      </c>
      <c r="H238" s="7">
        <f t="shared" si="5"/>
        <v>11.0663624962186</v>
      </c>
      <c r="I238" s="6" t="s">
        <v>810</v>
      </c>
      <c r="K238" s="7">
        <v>22.1327249924372</v>
      </c>
    </row>
    <row r="239" spans="2:14">
      <c r="B239" s="3" t="s">
        <v>453</v>
      </c>
      <c r="C239" s="5">
        <v>2025</v>
      </c>
      <c r="F239" s="6" t="s">
        <v>453</v>
      </c>
      <c r="G239" s="6">
        <v>2023</v>
      </c>
      <c r="H239" s="7">
        <f t="shared" si="5"/>
        <v>13.5684373167025</v>
      </c>
      <c r="I239" s="6" t="s">
        <v>810</v>
      </c>
      <c r="K239" s="7">
        <v>27.136874633405</v>
      </c>
    </row>
    <row r="240" spans="2:14">
      <c r="B240" s="3" t="s">
        <v>454</v>
      </c>
      <c r="C240" s="5">
        <v>2025</v>
      </c>
      <c r="F240" s="6" t="s">
        <v>454</v>
      </c>
      <c r="G240" s="6">
        <v>2023</v>
      </c>
      <c r="H240" s="7">
        <f t="shared" si="5"/>
        <v>11.829962485425851</v>
      </c>
      <c r="I240" s="6" t="s">
        <v>810</v>
      </c>
      <c r="K240" s="7">
        <v>23.659924970851701</v>
      </c>
    </row>
    <row r="241" spans="2:11">
      <c r="B241" s="3" t="s">
        <v>455</v>
      </c>
      <c r="C241" s="5">
        <v>2025</v>
      </c>
      <c r="F241" s="6" t="s">
        <v>455</v>
      </c>
      <c r="G241" s="6">
        <v>2023</v>
      </c>
      <c r="H241" s="7">
        <f t="shared" si="5"/>
        <v>9.6162244204720508</v>
      </c>
      <c r="I241" s="6" t="s">
        <v>810</v>
      </c>
      <c r="K241" s="7">
        <v>19.232448840944102</v>
      </c>
    </row>
    <row r="242" spans="2:11">
      <c r="B242" s="3" t="s">
        <v>456</v>
      </c>
      <c r="C242" s="5">
        <v>2025</v>
      </c>
      <c r="F242" s="6" t="s">
        <v>456</v>
      </c>
      <c r="G242" s="6">
        <v>2023</v>
      </c>
      <c r="H242" s="7">
        <f t="shared" si="5"/>
        <v>12.371752744986599</v>
      </c>
      <c r="I242" s="6" t="s">
        <v>810</v>
      </c>
      <c r="K242" s="7">
        <v>24.743505489973199</v>
      </c>
    </row>
    <row r="243" spans="2:11">
      <c r="B243" s="3" t="s">
        <v>457</v>
      </c>
      <c r="C243" s="5">
        <v>2025</v>
      </c>
      <c r="F243" s="6" t="s">
        <v>457</v>
      </c>
      <c r="G243" s="6">
        <v>2023</v>
      </c>
      <c r="H243" s="7">
        <f t="shared" si="5"/>
        <v>11.20851483446075</v>
      </c>
      <c r="I243" s="6" t="s">
        <v>810</v>
      </c>
      <c r="K243" s="7">
        <v>22.417029668921501</v>
      </c>
    </row>
    <row r="244" spans="2:11">
      <c r="B244" s="3" t="s">
        <v>458</v>
      </c>
      <c r="C244" s="5">
        <v>2025</v>
      </c>
      <c r="F244" s="6" t="s">
        <v>458</v>
      </c>
      <c r="G244" s="6">
        <v>2023</v>
      </c>
      <c r="H244" s="7">
        <f t="shared" si="5"/>
        <v>9.5944627924841495</v>
      </c>
      <c r="I244" s="6" t="s">
        <v>810</v>
      </c>
      <c r="K244" s="7">
        <v>19.188925584968299</v>
      </c>
    </row>
    <row r="245" spans="2:11">
      <c r="B245" s="3" t="s">
        <v>459</v>
      </c>
      <c r="C245" s="5">
        <v>2025</v>
      </c>
      <c r="F245" s="6" t="s">
        <v>459</v>
      </c>
      <c r="G245" s="6">
        <v>2023</v>
      </c>
      <c r="H245" s="7">
        <f t="shared" si="5"/>
        <v>9.0323481427121006</v>
      </c>
      <c r="I245" s="6" t="s">
        <v>810</v>
      </c>
      <c r="K245" s="7">
        <v>18.064696285424201</v>
      </c>
    </row>
    <row r="246" spans="2:11">
      <c r="B246" s="3" t="s">
        <v>460</v>
      </c>
      <c r="C246" s="5">
        <v>2025</v>
      </c>
      <c r="F246" s="6" t="s">
        <v>460</v>
      </c>
      <c r="G246" s="6">
        <v>2023</v>
      </c>
      <c r="H246" s="7">
        <f t="shared" si="5"/>
        <v>9.6740424183567004</v>
      </c>
      <c r="I246" s="6" t="s">
        <v>810</v>
      </c>
      <c r="K246" s="7">
        <v>19.348084836713401</v>
      </c>
    </row>
    <row r="247" spans="2:11">
      <c r="B247" s="3" t="s">
        <v>461</v>
      </c>
      <c r="C247" s="5">
        <v>2025</v>
      </c>
      <c r="F247" s="6" t="s">
        <v>461</v>
      </c>
      <c r="G247" s="6">
        <v>2023</v>
      </c>
      <c r="H247" s="7">
        <f t="shared" si="5"/>
        <v>11.84273659491965</v>
      </c>
      <c r="I247" s="6" t="s">
        <v>810</v>
      </c>
      <c r="K247" s="7">
        <v>23.6854731898393</v>
      </c>
    </row>
    <row r="248" spans="2:11">
      <c r="B248" s="3" t="s">
        <v>462</v>
      </c>
      <c r="C248" s="5">
        <v>2025</v>
      </c>
      <c r="F248" s="6" t="s">
        <v>462</v>
      </c>
      <c r="G248" s="6">
        <v>2023</v>
      </c>
      <c r="H248" s="7">
        <f t="shared" si="5"/>
        <v>10.29404337845455</v>
      </c>
      <c r="I248" s="6" t="s">
        <v>810</v>
      </c>
      <c r="K248" s="7">
        <v>20.5880867569091</v>
      </c>
    </row>
    <row r="249" spans="2:11">
      <c r="B249" s="3" t="s">
        <v>463</v>
      </c>
      <c r="C249" s="5">
        <v>2025</v>
      </c>
      <c r="F249" s="6" t="s">
        <v>463</v>
      </c>
      <c r="G249" s="6">
        <v>2023</v>
      </c>
      <c r="H249" s="7">
        <f t="shared" si="5"/>
        <v>10.4126896307052</v>
      </c>
      <c r="I249" s="6" t="s">
        <v>810</v>
      </c>
      <c r="K249" s="7">
        <v>20.825379261410401</v>
      </c>
    </row>
    <row r="250" spans="2:11">
      <c r="B250" s="3" t="s">
        <v>464</v>
      </c>
      <c r="C250" s="5">
        <v>2025</v>
      </c>
      <c r="F250" s="6" t="s">
        <v>464</v>
      </c>
      <c r="G250" s="6">
        <v>2023</v>
      </c>
      <c r="H250" s="7">
        <f t="shared" si="5"/>
        <v>10.6726195452328</v>
      </c>
      <c r="I250" s="6" t="s">
        <v>810</v>
      </c>
      <c r="K250" s="7">
        <v>21.345239090465601</v>
      </c>
    </row>
    <row r="251" spans="2:11">
      <c r="B251" s="3" t="s">
        <v>465</v>
      </c>
      <c r="C251" s="5">
        <v>2025</v>
      </c>
      <c r="F251" s="6" t="s">
        <v>465</v>
      </c>
      <c r="G251" s="6">
        <v>2023</v>
      </c>
      <c r="H251" s="7">
        <f t="shared" si="5"/>
        <v>16.191814832889001</v>
      </c>
      <c r="I251" s="6" t="s">
        <v>810</v>
      </c>
      <c r="K251" s="7">
        <v>32.383629665778003</v>
      </c>
    </row>
    <row r="252" spans="2:11">
      <c r="B252" s="3" t="s">
        <v>466</v>
      </c>
      <c r="C252" s="5">
        <v>2025</v>
      </c>
      <c r="F252" s="6" t="s">
        <v>466</v>
      </c>
      <c r="G252" s="6">
        <v>2023</v>
      </c>
      <c r="H252" s="7">
        <f t="shared" si="5"/>
        <v>9.2818916501981494</v>
      </c>
      <c r="I252" s="6" t="s">
        <v>810</v>
      </c>
      <c r="K252" s="7">
        <v>18.563783300396299</v>
      </c>
    </row>
    <row r="253" spans="2:11">
      <c r="B253" s="3" t="s">
        <v>467</v>
      </c>
      <c r="C253" s="5">
        <v>2025</v>
      </c>
      <c r="F253" s="6" t="s">
        <v>467</v>
      </c>
      <c r="G253" s="6">
        <v>2023</v>
      </c>
      <c r="H253" s="7">
        <f t="shared" si="5"/>
        <v>12.973406855446051</v>
      </c>
      <c r="I253" s="6" t="s">
        <v>810</v>
      </c>
      <c r="K253" s="7">
        <v>25.946813710892101</v>
      </c>
    </row>
    <row r="254" spans="2:11">
      <c r="B254" s="3" t="s">
        <v>468</v>
      </c>
      <c r="C254" s="5">
        <v>2025</v>
      </c>
      <c r="F254" s="6" t="s">
        <v>468</v>
      </c>
      <c r="G254" s="6">
        <v>2023</v>
      </c>
      <c r="H254" s="7">
        <f t="shared" si="5"/>
        <v>8.7040749793669505</v>
      </c>
      <c r="I254" s="6" t="s">
        <v>810</v>
      </c>
      <c r="K254" s="7">
        <v>17.408149958733901</v>
      </c>
    </row>
    <row r="255" spans="2:11">
      <c r="B255" s="3" t="s">
        <v>469</v>
      </c>
      <c r="C255" s="5">
        <v>2025</v>
      </c>
      <c r="F255" s="6" t="s">
        <v>469</v>
      </c>
      <c r="G255" s="6">
        <v>2023</v>
      </c>
      <c r="H255" s="7">
        <f t="shared" si="5"/>
        <v>12.755799789140349</v>
      </c>
      <c r="I255" s="6" t="s">
        <v>810</v>
      </c>
      <c r="K255" s="7">
        <v>25.511599578280698</v>
      </c>
    </row>
    <row r="256" spans="2:11">
      <c r="B256" s="3" t="s">
        <v>470</v>
      </c>
      <c r="C256" s="5">
        <v>2025</v>
      </c>
      <c r="F256" s="6" t="s">
        <v>470</v>
      </c>
      <c r="G256" s="6">
        <v>2023</v>
      </c>
      <c r="H256" s="7">
        <f t="shared" si="5"/>
        <v>11.10606115302545</v>
      </c>
      <c r="I256" s="6" t="s">
        <v>810</v>
      </c>
      <c r="K256" s="7">
        <v>22.212122306050901</v>
      </c>
    </row>
    <row r="257" spans="2:11">
      <c r="B257" s="3" t="s">
        <v>471</v>
      </c>
      <c r="C257" s="5">
        <v>2025</v>
      </c>
      <c r="F257" s="6" t="s">
        <v>471</v>
      </c>
      <c r="G257" s="6">
        <v>2023</v>
      </c>
      <c r="H257" s="7">
        <f t="shared" si="5"/>
        <v>12.2994982820333</v>
      </c>
      <c r="I257" s="6" t="s">
        <v>810</v>
      </c>
      <c r="K257" s="7">
        <v>24.598996564066599</v>
      </c>
    </row>
    <row r="258" spans="2:11">
      <c r="B258" s="3" t="s">
        <v>472</v>
      </c>
      <c r="C258" s="5">
        <v>2025</v>
      </c>
      <c r="F258" s="6" t="s">
        <v>472</v>
      </c>
      <c r="G258" s="6">
        <v>2023</v>
      </c>
      <c r="H258" s="7">
        <f t="shared" si="5"/>
        <v>13.219148045665801</v>
      </c>
      <c r="I258" s="6" t="s">
        <v>810</v>
      </c>
      <c r="K258" s="7">
        <v>26.438296091331601</v>
      </c>
    </row>
    <row r="259" spans="2:11">
      <c r="B259" s="3" t="s">
        <v>473</v>
      </c>
      <c r="C259" s="5">
        <v>2025</v>
      </c>
      <c r="F259" s="6" t="s">
        <v>473</v>
      </c>
      <c r="G259" s="6">
        <v>2023</v>
      </c>
      <c r="H259" s="7">
        <f t="shared" si="5"/>
        <v>7.9235167888857001</v>
      </c>
      <c r="I259" s="6" t="s">
        <v>810</v>
      </c>
      <c r="K259" s="7">
        <v>15.8470335777714</v>
      </c>
    </row>
    <row r="260" spans="2:11">
      <c r="B260" s="3" t="s">
        <v>474</v>
      </c>
      <c r="C260" s="5">
        <v>2025</v>
      </c>
      <c r="F260" s="6" t="s">
        <v>474</v>
      </c>
      <c r="G260" s="6">
        <v>2023</v>
      </c>
      <c r="H260" s="7">
        <f t="shared" si="5"/>
        <v>11.5856176634022</v>
      </c>
      <c r="I260" s="6" t="s">
        <v>810</v>
      </c>
      <c r="K260" s="7">
        <v>23.1712353268044</v>
      </c>
    </row>
    <row r="261" spans="2:11">
      <c r="B261" s="3" t="s">
        <v>475</v>
      </c>
      <c r="C261" s="5">
        <v>2025</v>
      </c>
      <c r="F261" s="6" t="s">
        <v>475</v>
      </c>
      <c r="G261" s="6">
        <v>2023</v>
      </c>
      <c r="H261" s="7">
        <f t="shared" ref="H261:H324" si="6">K261/2</f>
        <v>13.65663086038235</v>
      </c>
      <c r="I261" s="6" t="s">
        <v>810</v>
      </c>
      <c r="K261" s="7">
        <v>27.3132617207647</v>
      </c>
    </row>
    <row r="262" spans="2:11">
      <c r="B262" s="3" t="s">
        <v>476</v>
      </c>
      <c r="C262" s="5">
        <v>2025</v>
      </c>
      <c r="F262" s="6" t="s">
        <v>476</v>
      </c>
      <c r="G262" s="6">
        <v>2023</v>
      </c>
      <c r="H262" s="7">
        <f t="shared" si="6"/>
        <v>10.86206277223285</v>
      </c>
      <c r="I262" s="6" t="s">
        <v>810</v>
      </c>
      <c r="K262" s="7">
        <v>21.7241255444657</v>
      </c>
    </row>
    <row r="263" spans="2:11">
      <c r="B263" s="3" t="s">
        <v>477</v>
      </c>
      <c r="C263" s="5">
        <v>2025</v>
      </c>
      <c r="F263" s="6" t="s">
        <v>477</v>
      </c>
      <c r="G263" s="6">
        <v>2023</v>
      </c>
      <c r="H263" s="7">
        <f t="shared" si="6"/>
        <v>11.584970013723501</v>
      </c>
      <c r="I263" s="6" t="s">
        <v>810</v>
      </c>
      <c r="K263" s="7">
        <v>23.169940027447002</v>
      </c>
    </row>
    <row r="264" spans="2:11">
      <c r="B264" s="3" t="s">
        <v>478</v>
      </c>
      <c r="C264" s="5">
        <v>2025</v>
      </c>
      <c r="F264" s="6" t="s">
        <v>478</v>
      </c>
      <c r="G264" s="6">
        <v>2023</v>
      </c>
      <c r="H264" s="7">
        <f t="shared" si="6"/>
        <v>14.66125898304025</v>
      </c>
      <c r="I264" s="6" t="s">
        <v>810</v>
      </c>
      <c r="K264" s="7">
        <v>29.3225179660805</v>
      </c>
    </row>
    <row r="265" spans="2:11">
      <c r="B265" s="3" t="s">
        <v>479</v>
      </c>
      <c r="C265" s="5">
        <v>2025</v>
      </c>
      <c r="F265" s="6" t="s">
        <v>479</v>
      </c>
      <c r="G265" s="6">
        <v>2023</v>
      </c>
      <c r="H265" s="7">
        <f t="shared" si="6"/>
        <v>16.562781959972899</v>
      </c>
      <c r="I265" s="6" t="s">
        <v>810</v>
      </c>
      <c r="K265" s="7">
        <v>33.125563919945797</v>
      </c>
    </row>
    <row r="266" spans="2:11">
      <c r="B266" s="3" t="s">
        <v>480</v>
      </c>
      <c r="C266" s="5">
        <v>2025</v>
      </c>
      <c r="F266" s="6" t="s">
        <v>480</v>
      </c>
      <c r="G266" s="6">
        <v>2023</v>
      </c>
      <c r="H266" s="7">
        <f t="shared" si="6"/>
        <v>14.956307639726649</v>
      </c>
      <c r="I266" s="6" t="s">
        <v>810</v>
      </c>
      <c r="K266" s="7">
        <v>29.912615279453298</v>
      </c>
    </row>
    <row r="267" spans="2:11">
      <c r="B267" s="3" t="s">
        <v>481</v>
      </c>
      <c r="C267" s="5">
        <v>2025</v>
      </c>
      <c r="F267" s="6" t="s">
        <v>481</v>
      </c>
      <c r="G267" s="6">
        <v>2023</v>
      </c>
      <c r="H267" s="7">
        <f t="shared" si="6"/>
        <v>7.6196234120286501</v>
      </c>
      <c r="I267" s="6" t="s">
        <v>810</v>
      </c>
      <c r="K267" s="7">
        <v>15.2392468240573</v>
      </c>
    </row>
    <row r="268" spans="2:11">
      <c r="B268" s="3" t="s">
        <v>482</v>
      </c>
      <c r="C268" s="5">
        <v>2025</v>
      </c>
      <c r="F268" s="6" t="s">
        <v>482</v>
      </c>
      <c r="G268" s="6">
        <v>2023</v>
      </c>
      <c r="H268" s="7">
        <f t="shared" si="6"/>
        <v>15.65755904308285</v>
      </c>
      <c r="I268" s="6" t="s">
        <v>810</v>
      </c>
      <c r="K268" s="7">
        <v>31.3151180861657</v>
      </c>
    </row>
    <row r="269" spans="2:11">
      <c r="B269" s="3" t="s">
        <v>483</v>
      </c>
      <c r="C269" s="5">
        <v>2025</v>
      </c>
      <c r="F269" s="6" t="s">
        <v>483</v>
      </c>
      <c r="G269" s="6">
        <v>2023</v>
      </c>
      <c r="H269" s="7">
        <f t="shared" si="6"/>
        <v>7.99000901902295</v>
      </c>
      <c r="I269" s="6" t="s">
        <v>810</v>
      </c>
      <c r="K269" s="7">
        <v>15.9800180380459</v>
      </c>
    </row>
    <row r="270" spans="2:11">
      <c r="B270" s="3" t="s">
        <v>484</v>
      </c>
      <c r="C270" s="5">
        <v>2025</v>
      </c>
      <c r="F270" s="6" t="s">
        <v>484</v>
      </c>
      <c r="G270" s="6">
        <v>2023</v>
      </c>
      <c r="H270" s="7">
        <f t="shared" si="6"/>
        <v>15.8696256110953</v>
      </c>
      <c r="I270" s="6" t="s">
        <v>810</v>
      </c>
      <c r="K270" s="7">
        <v>31.7392512221906</v>
      </c>
    </row>
    <row r="271" spans="2:11">
      <c r="B271" s="3" t="s">
        <v>485</v>
      </c>
      <c r="C271" s="5">
        <v>2025</v>
      </c>
      <c r="F271" s="6" t="s">
        <v>485</v>
      </c>
      <c r="G271" s="6">
        <v>2023</v>
      </c>
      <c r="H271" s="7">
        <f t="shared" si="6"/>
        <v>13.25723217810285</v>
      </c>
      <c r="I271" s="6" t="s">
        <v>810</v>
      </c>
      <c r="K271" s="7">
        <v>26.5144643562057</v>
      </c>
    </row>
    <row r="272" spans="2:11">
      <c r="B272" s="3" t="s">
        <v>486</v>
      </c>
      <c r="C272" s="5">
        <v>2025</v>
      </c>
      <c r="F272" s="6" t="s">
        <v>486</v>
      </c>
      <c r="G272" s="6">
        <v>2023</v>
      </c>
      <c r="H272" s="7">
        <f t="shared" si="6"/>
        <v>9.4651938040949499</v>
      </c>
      <c r="I272" s="6" t="s">
        <v>810</v>
      </c>
      <c r="K272" s="7">
        <v>18.9303876081899</v>
      </c>
    </row>
    <row r="273" spans="2:11">
      <c r="B273" s="3" t="s">
        <v>487</v>
      </c>
      <c r="C273" s="5">
        <v>2025</v>
      </c>
      <c r="F273" s="6" t="s">
        <v>487</v>
      </c>
      <c r="G273" s="6">
        <v>2023</v>
      </c>
      <c r="H273" s="7">
        <f t="shared" si="6"/>
        <v>16.670625605645998</v>
      </c>
      <c r="I273" s="6" t="s">
        <v>810</v>
      </c>
      <c r="K273" s="7">
        <v>33.341251211291997</v>
      </c>
    </row>
    <row r="274" spans="2:11">
      <c r="B274" s="3" t="s">
        <v>488</v>
      </c>
      <c r="C274" s="5">
        <v>2025</v>
      </c>
      <c r="F274" s="6" t="s">
        <v>488</v>
      </c>
      <c r="G274" s="6">
        <v>2023</v>
      </c>
      <c r="H274" s="7">
        <f t="shared" si="6"/>
        <v>15.2807385265279</v>
      </c>
      <c r="I274" s="6" t="s">
        <v>810</v>
      </c>
      <c r="K274" s="7">
        <v>30.5614770530558</v>
      </c>
    </row>
    <row r="275" spans="2:11">
      <c r="B275" s="3" t="s">
        <v>489</v>
      </c>
      <c r="C275" s="5">
        <v>2025</v>
      </c>
      <c r="F275" s="6" t="s">
        <v>489</v>
      </c>
      <c r="G275" s="6">
        <v>2023</v>
      </c>
      <c r="H275" s="7">
        <f t="shared" si="6"/>
        <v>16.876554063105001</v>
      </c>
      <c r="I275" s="6" t="s">
        <v>810</v>
      </c>
      <c r="K275" s="7">
        <v>33.753108126210002</v>
      </c>
    </row>
    <row r="276" spans="2:11">
      <c r="B276" s="3" t="s">
        <v>490</v>
      </c>
      <c r="C276" s="5">
        <v>2025</v>
      </c>
      <c r="F276" s="6" t="s">
        <v>490</v>
      </c>
      <c r="G276" s="6">
        <v>2023</v>
      </c>
      <c r="H276" s="7">
        <f t="shared" si="6"/>
        <v>16.39118182831335</v>
      </c>
      <c r="I276" s="6" t="s">
        <v>810</v>
      </c>
      <c r="K276" s="7">
        <v>32.7823636566267</v>
      </c>
    </row>
    <row r="277" spans="2:11">
      <c r="B277" s="3" t="s">
        <v>491</v>
      </c>
      <c r="C277" s="5">
        <v>2025</v>
      </c>
      <c r="F277" s="6" t="s">
        <v>491</v>
      </c>
      <c r="G277" s="6">
        <v>2023</v>
      </c>
      <c r="H277" s="7">
        <f t="shared" si="6"/>
        <v>16.723861974004951</v>
      </c>
      <c r="I277" s="6" t="s">
        <v>810</v>
      </c>
      <c r="K277" s="7">
        <v>33.447723948009902</v>
      </c>
    </row>
    <row r="278" spans="2:11">
      <c r="B278" s="3" t="s">
        <v>492</v>
      </c>
      <c r="C278" s="5">
        <v>2025</v>
      </c>
      <c r="F278" s="6" t="s">
        <v>492</v>
      </c>
      <c r="G278" s="6">
        <v>2023</v>
      </c>
      <c r="H278" s="7">
        <f t="shared" si="6"/>
        <v>16.88506691305335</v>
      </c>
      <c r="I278" s="6" t="s">
        <v>810</v>
      </c>
      <c r="K278" s="7">
        <v>33.770133826106701</v>
      </c>
    </row>
    <row r="279" spans="2:11">
      <c r="B279" s="3" t="s">
        <v>493</v>
      </c>
      <c r="C279" s="5">
        <v>2025</v>
      </c>
      <c r="F279" s="6" t="s">
        <v>493</v>
      </c>
      <c r="G279" s="6">
        <v>2023</v>
      </c>
      <c r="H279" s="7">
        <f t="shared" si="6"/>
        <v>17.167489900979749</v>
      </c>
      <c r="I279" s="6" t="s">
        <v>810</v>
      </c>
      <c r="K279" s="7">
        <v>34.334979801959499</v>
      </c>
    </row>
    <row r="280" spans="2:11">
      <c r="B280" s="3" t="s">
        <v>494</v>
      </c>
      <c r="C280" s="5">
        <v>2025</v>
      </c>
      <c r="F280" s="6" t="s">
        <v>494</v>
      </c>
      <c r="G280" s="6">
        <v>2023</v>
      </c>
      <c r="H280" s="7">
        <f t="shared" si="6"/>
        <v>15.3480822886174</v>
      </c>
      <c r="I280" s="6" t="s">
        <v>810</v>
      </c>
      <c r="K280" s="7">
        <v>30.6961645772348</v>
      </c>
    </row>
    <row r="281" spans="2:11">
      <c r="B281" s="3" t="s">
        <v>495</v>
      </c>
      <c r="C281" s="5">
        <v>2025</v>
      </c>
      <c r="F281" s="6" t="s">
        <v>495</v>
      </c>
      <c r="G281" s="6">
        <v>2023</v>
      </c>
      <c r="H281" s="7">
        <f t="shared" si="6"/>
        <v>20.5506990883793</v>
      </c>
      <c r="I281" s="6" t="s">
        <v>810</v>
      </c>
      <c r="K281" s="7">
        <v>41.1013981767586</v>
      </c>
    </row>
    <row r="282" spans="2:11">
      <c r="B282" s="3" t="s">
        <v>496</v>
      </c>
      <c r="C282" s="5">
        <v>2025</v>
      </c>
      <c r="F282" s="6" t="s">
        <v>496</v>
      </c>
      <c r="G282" s="6">
        <v>2023</v>
      </c>
      <c r="H282" s="7">
        <f t="shared" si="6"/>
        <v>14.8512053879563</v>
      </c>
      <c r="I282" s="6" t="s">
        <v>810</v>
      </c>
      <c r="K282" s="7">
        <v>29.7024107759126</v>
      </c>
    </row>
    <row r="283" spans="2:11">
      <c r="B283" s="3" t="s">
        <v>497</v>
      </c>
      <c r="C283" s="5">
        <v>2025</v>
      </c>
      <c r="F283" s="6" t="s">
        <v>497</v>
      </c>
      <c r="G283" s="6">
        <v>2023</v>
      </c>
      <c r="H283" s="7">
        <f t="shared" si="6"/>
        <v>17.480272387642501</v>
      </c>
      <c r="I283" s="6" t="s">
        <v>810</v>
      </c>
      <c r="K283" s="7">
        <v>34.960544775285001</v>
      </c>
    </row>
    <row r="284" spans="2:11">
      <c r="B284" s="3" t="s">
        <v>498</v>
      </c>
      <c r="C284" s="5">
        <v>2025</v>
      </c>
      <c r="F284" s="6" t="s">
        <v>498</v>
      </c>
      <c r="G284" s="6">
        <v>2023</v>
      </c>
      <c r="H284" s="7">
        <f t="shared" si="6"/>
        <v>16.340784298408199</v>
      </c>
      <c r="I284" s="6" t="s">
        <v>810</v>
      </c>
      <c r="K284" s="7">
        <v>32.681568596816398</v>
      </c>
    </row>
    <row r="285" spans="2:11">
      <c r="B285" s="3" t="s">
        <v>499</v>
      </c>
      <c r="C285" s="5">
        <v>2025</v>
      </c>
      <c r="F285" s="6" t="s">
        <v>499</v>
      </c>
      <c r="G285" s="6">
        <v>2023</v>
      </c>
      <c r="H285" s="7">
        <f t="shared" si="6"/>
        <v>9.7459380914887497</v>
      </c>
      <c r="I285" s="6" t="s">
        <v>810</v>
      </c>
      <c r="K285" s="7">
        <v>19.491876182977499</v>
      </c>
    </row>
    <row r="286" spans="2:11">
      <c r="B286" s="3" t="s">
        <v>500</v>
      </c>
      <c r="C286" s="5">
        <v>2025</v>
      </c>
      <c r="F286" s="6" t="s">
        <v>500</v>
      </c>
      <c r="G286" s="6">
        <v>2023</v>
      </c>
      <c r="H286" s="7">
        <f t="shared" si="6"/>
        <v>7.5390313545443997</v>
      </c>
      <c r="I286" s="6" t="s">
        <v>810</v>
      </c>
      <c r="K286" s="7">
        <v>15.078062709088799</v>
      </c>
    </row>
    <row r="287" spans="2:11">
      <c r="B287" s="3" t="s">
        <v>501</v>
      </c>
      <c r="C287" s="5">
        <v>2025</v>
      </c>
      <c r="F287" s="6" t="s">
        <v>501</v>
      </c>
      <c r="G287" s="6">
        <v>2023</v>
      </c>
      <c r="H287" s="7">
        <f t="shared" si="6"/>
        <v>6.6465404542086004</v>
      </c>
      <c r="I287" s="6" t="s">
        <v>810</v>
      </c>
      <c r="K287" s="7">
        <v>13.293080908417201</v>
      </c>
    </row>
    <row r="288" spans="2:11">
      <c r="B288" s="3" t="s">
        <v>502</v>
      </c>
      <c r="C288" s="5">
        <v>2025</v>
      </c>
      <c r="F288" s="6" t="s">
        <v>502</v>
      </c>
      <c r="G288" s="6">
        <v>2023</v>
      </c>
      <c r="H288" s="7">
        <f t="shared" si="6"/>
        <v>12.572260205633951</v>
      </c>
      <c r="I288" s="6" t="s">
        <v>810</v>
      </c>
      <c r="K288" s="7">
        <v>25.144520411267901</v>
      </c>
    </row>
    <row r="289" spans="2:11">
      <c r="B289" s="3" t="s">
        <v>503</v>
      </c>
      <c r="C289" s="5">
        <v>2025</v>
      </c>
      <c r="F289" s="6" t="s">
        <v>503</v>
      </c>
      <c r="G289" s="6">
        <v>2023</v>
      </c>
      <c r="H289" s="7">
        <f t="shared" si="6"/>
        <v>10.7929364418712</v>
      </c>
      <c r="I289" s="6" t="s">
        <v>810</v>
      </c>
      <c r="K289" s="7">
        <v>21.5858728837424</v>
      </c>
    </row>
    <row r="290" spans="2:11">
      <c r="B290" s="3" t="s">
        <v>504</v>
      </c>
      <c r="C290" s="5">
        <v>2025</v>
      </c>
      <c r="F290" s="6" t="s">
        <v>504</v>
      </c>
      <c r="G290" s="6">
        <v>2023</v>
      </c>
      <c r="H290" s="7">
        <f t="shared" si="6"/>
        <v>9.9677029007617008</v>
      </c>
      <c r="I290" s="6" t="s">
        <v>810</v>
      </c>
      <c r="K290" s="7">
        <v>19.935405801523402</v>
      </c>
    </row>
    <row r="291" spans="2:11">
      <c r="B291" s="3" t="s">
        <v>505</v>
      </c>
      <c r="C291" s="5">
        <v>2025</v>
      </c>
      <c r="F291" s="6" t="s">
        <v>505</v>
      </c>
      <c r="G291" s="6">
        <v>2023</v>
      </c>
      <c r="H291" s="7">
        <f t="shared" si="6"/>
        <v>10.46043353631115</v>
      </c>
      <c r="I291" s="6" t="s">
        <v>810</v>
      </c>
      <c r="K291" s="7">
        <v>20.9208670726223</v>
      </c>
    </row>
    <row r="292" spans="2:11">
      <c r="B292" s="3" t="s">
        <v>506</v>
      </c>
      <c r="C292" s="5">
        <v>2025</v>
      </c>
      <c r="F292" s="6" t="s">
        <v>506</v>
      </c>
      <c r="G292" s="6">
        <v>2023</v>
      </c>
      <c r="H292" s="7">
        <f t="shared" si="6"/>
        <v>13.178063536864601</v>
      </c>
      <c r="I292" s="6" t="s">
        <v>810</v>
      </c>
      <c r="K292" s="7">
        <v>26.356127073729201</v>
      </c>
    </row>
    <row r="293" spans="2:11">
      <c r="B293" s="3" t="s">
        <v>507</v>
      </c>
      <c r="C293" s="5">
        <v>2025</v>
      </c>
      <c r="F293" s="6" t="s">
        <v>507</v>
      </c>
      <c r="G293" s="6">
        <v>2023</v>
      </c>
      <c r="H293" s="7">
        <f t="shared" si="6"/>
        <v>9.2302553668287004</v>
      </c>
      <c r="I293" s="6" t="s">
        <v>810</v>
      </c>
      <c r="K293" s="7">
        <v>18.460510733657401</v>
      </c>
    </row>
    <row r="294" spans="2:11">
      <c r="B294" s="3" t="s">
        <v>508</v>
      </c>
      <c r="C294" s="5">
        <v>2025</v>
      </c>
      <c r="F294" s="6" t="s">
        <v>508</v>
      </c>
      <c r="G294" s="6">
        <v>2023</v>
      </c>
      <c r="H294" s="7">
        <f t="shared" si="6"/>
        <v>10.47801211558105</v>
      </c>
      <c r="I294" s="6" t="s">
        <v>810</v>
      </c>
      <c r="K294" s="7">
        <v>20.9560242311621</v>
      </c>
    </row>
    <row r="295" spans="2:11">
      <c r="B295" s="3" t="s">
        <v>509</v>
      </c>
      <c r="C295" s="5">
        <v>2025</v>
      </c>
      <c r="F295" s="6" t="s">
        <v>509</v>
      </c>
      <c r="G295" s="6">
        <v>2023</v>
      </c>
      <c r="H295" s="7">
        <f t="shared" si="6"/>
        <v>14.95298318639415</v>
      </c>
      <c r="I295" s="6" t="s">
        <v>810</v>
      </c>
      <c r="K295" s="7">
        <v>29.905966372788299</v>
      </c>
    </row>
    <row r="296" spans="2:11">
      <c r="B296" s="3" t="s">
        <v>510</v>
      </c>
      <c r="C296" s="5">
        <v>2025</v>
      </c>
      <c r="F296" s="6" t="s">
        <v>510</v>
      </c>
      <c r="G296" s="6">
        <v>2023</v>
      </c>
      <c r="H296" s="7">
        <f t="shared" si="6"/>
        <v>11.161485238514301</v>
      </c>
      <c r="I296" s="6" t="s">
        <v>810</v>
      </c>
      <c r="K296" s="7">
        <v>22.322970477028601</v>
      </c>
    </row>
    <row r="297" spans="2:11">
      <c r="B297" s="3" t="s">
        <v>511</v>
      </c>
      <c r="C297" s="5">
        <v>2025</v>
      </c>
      <c r="F297" s="6" t="s">
        <v>511</v>
      </c>
      <c r="G297" s="6">
        <v>2023</v>
      </c>
      <c r="H297" s="7">
        <f t="shared" si="6"/>
        <v>13.244464447045351</v>
      </c>
      <c r="I297" s="6" t="s">
        <v>810</v>
      </c>
      <c r="K297" s="7">
        <v>26.488928894090702</v>
      </c>
    </row>
    <row r="298" spans="2:11">
      <c r="B298" s="3" t="s">
        <v>512</v>
      </c>
      <c r="C298" s="5">
        <v>2025</v>
      </c>
      <c r="F298" s="6" t="s">
        <v>512</v>
      </c>
      <c r="G298" s="6">
        <v>2023</v>
      </c>
      <c r="H298" s="7">
        <f t="shared" si="6"/>
        <v>11.361915694641</v>
      </c>
      <c r="I298" s="6" t="s">
        <v>810</v>
      </c>
      <c r="K298" s="7">
        <v>22.723831389282001</v>
      </c>
    </row>
    <row r="299" spans="2:11">
      <c r="B299" s="3" t="s">
        <v>513</v>
      </c>
      <c r="C299" s="5">
        <v>2025</v>
      </c>
      <c r="F299" s="6" t="s">
        <v>513</v>
      </c>
      <c r="G299" s="6">
        <v>2023</v>
      </c>
      <c r="H299" s="7">
        <f t="shared" si="6"/>
        <v>12.017027623816199</v>
      </c>
      <c r="I299" s="6" t="s">
        <v>810</v>
      </c>
      <c r="K299" s="7">
        <v>24.034055247632399</v>
      </c>
    </row>
    <row r="300" spans="2:11">
      <c r="B300" s="3" t="s">
        <v>514</v>
      </c>
      <c r="C300" s="5">
        <v>2025</v>
      </c>
      <c r="F300" s="6" t="s">
        <v>514</v>
      </c>
      <c r="G300" s="6">
        <v>2023</v>
      </c>
      <c r="H300" s="7">
        <f t="shared" si="6"/>
        <v>13.18819053105895</v>
      </c>
      <c r="I300" s="6" t="s">
        <v>810</v>
      </c>
      <c r="K300" s="7">
        <v>26.3763810621179</v>
      </c>
    </row>
    <row r="301" spans="2:11">
      <c r="B301" s="3" t="s">
        <v>515</v>
      </c>
      <c r="C301" s="5">
        <v>2025</v>
      </c>
      <c r="F301" s="6" t="s">
        <v>515</v>
      </c>
      <c r="G301" s="6">
        <v>2023</v>
      </c>
      <c r="H301" s="7">
        <f t="shared" si="6"/>
        <v>7.7369787255634996</v>
      </c>
      <c r="I301" s="6" t="s">
        <v>810</v>
      </c>
      <c r="K301" s="7">
        <v>15.473957451126999</v>
      </c>
    </row>
    <row r="302" spans="2:11">
      <c r="B302" s="3" t="s">
        <v>516</v>
      </c>
      <c r="C302" s="5">
        <v>2025</v>
      </c>
      <c r="F302" s="6" t="s">
        <v>516</v>
      </c>
      <c r="G302" s="6">
        <v>2023</v>
      </c>
      <c r="H302" s="7">
        <f t="shared" si="6"/>
        <v>11.754213553000501</v>
      </c>
      <c r="I302" s="6" t="s">
        <v>810</v>
      </c>
      <c r="K302" s="7">
        <v>23.508427106001001</v>
      </c>
    </row>
    <row r="303" spans="2:11">
      <c r="B303" s="3" t="s">
        <v>517</v>
      </c>
      <c r="C303" s="5">
        <v>2025</v>
      </c>
      <c r="F303" s="6" t="s">
        <v>517</v>
      </c>
      <c r="G303" s="6">
        <v>2023</v>
      </c>
      <c r="H303" s="7">
        <f t="shared" si="6"/>
        <v>11.227998599917051</v>
      </c>
      <c r="I303" s="6" t="s">
        <v>810</v>
      </c>
      <c r="K303" s="7">
        <v>22.455997199834101</v>
      </c>
    </row>
    <row r="304" spans="2:11">
      <c r="B304" s="3" t="s">
        <v>518</v>
      </c>
      <c r="C304" s="5">
        <v>2025</v>
      </c>
      <c r="F304" s="6" t="s">
        <v>518</v>
      </c>
      <c r="G304" s="6">
        <v>2023</v>
      </c>
      <c r="H304" s="7">
        <f t="shared" si="6"/>
        <v>8.6164320889420996</v>
      </c>
      <c r="I304" s="6" t="s">
        <v>810</v>
      </c>
      <c r="K304" s="7">
        <v>17.232864177884199</v>
      </c>
    </row>
    <row r="305" spans="2:11">
      <c r="B305" s="3" t="s">
        <v>519</v>
      </c>
      <c r="C305" s="5">
        <v>2025</v>
      </c>
      <c r="F305" s="6" t="s">
        <v>519</v>
      </c>
      <c r="G305" s="6">
        <v>2023</v>
      </c>
      <c r="H305" s="7">
        <f t="shared" si="6"/>
        <v>9.0166387489799007</v>
      </c>
      <c r="I305" s="6" t="s">
        <v>810</v>
      </c>
      <c r="K305" s="7">
        <v>18.033277497959801</v>
      </c>
    </row>
    <row r="306" spans="2:11">
      <c r="B306" s="3" t="s">
        <v>520</v>
      </c>
      <c r="C306" s="5">
        <v>2025</v>
      </c>
      <c r="F306" s="6" t="s">
        <v>520</v>
      </c>
      <c r="G306" s="6">
        <v>2023</v>
      </c>
      <c r="H306" s="7">
        <f t="shared" si="6"/>
        <v>8.9768139978299999</v>
      </c>
      <c r="I306" s="6" t="s">
        <v>810</v>
      </c>
      <c r="K306" s="7">
        <v>17.95362799566</v>
      </c>
    </row>
    <row r="307" spans="2:11">
      <c r="B307" s="3" t="s">
        <v>521</v>
      </c>
      <c r="C307" s="5">
        <v>2025</v>
      </c>
      <c r="F307" s="6" t="s">
        <v>521</v>
      </c>
      <c r="G307" s="6">
        <v>2023</v>
      </c>
      <c r="H307" s="7">
        <f t="shared" si="6"/>
        <v>17.895044908633452</v>
      </c>
      <c r="I307" s="6" t="s">
        <v>810</v>
      </c>
      <c r="K307" s="7">
        <v>35.790089817266903</v>
      </c>
    </row>
    <row r="308" spans="2:11">
      <c r="B308" s="3" t="s">
        <v>522</v>
      </c>
      <c r="C308" s="5">
        <v>2025</v>
      </c>
      <c r="F308" s="6" t="s">
        <v>522</v>
      </c>
      <c r="G308" s="6">
        <v>2023</v>
      </c>
      <c r="H308" s="7">
        <f t="shared" si="6"/>
        <v>7.7005689728182496</v>
      </c>
      <c r="I308" s="6" t="s">
        <v>810</v>
      </c>
      <c r="K308" s="7">
        <v>15.401137945636499</v>
      </c>
    </row>
    <row r="309" spans="2:11">
      <c r="B309" s="3" t="s">
        <v>523</v>
      </c>
      <c r="C309" s="5">
        <v>2025</v>
      </c>
      <c r="F309" s="6" t="s">
        <v>523</v>
      </c>
      <c r="G309" s="6">
        <v>2023</v>
      </c>
      <c r="H309" s="7">
        <f t="shared" si="6"/>
        <v>10.976291284619601</v>
      </c>
      <c r="I309" s="6" t="s">
        <v>810</v>
      </c>
      <c r="K309" s="7">
        <v>21.952582569239201</v>
      </c>
    </row>
    <row r="310" spans="2:11">
      <c r="B310" s="3" t="s">
        <v>524</v>
      </c>
      <c r="C310" s="5">
        <v>2025</v>
      </c>
      <c r="F310" s="6" t="s">
        <v>524</v>
      </c>
      <c r="G310" s="6">
        <v>2023</v>
      </c>
      <c r="H310" s="7">
        <f t="shared" si="6"/>
        <v>7.2249648268610498</v>
      </c>
      <c r="I310" s="6" t="s">
        <v>810</v>
      </c>
      <c r="K310" s="7">
        <v>14.4499296537221</v>
      </c>
    </row>
    <row r="311" spans="2:11">
      <c r="B311" s="3" t="s">
        <v>525</v>
      </c>
      <c r="C311" s="5">
        <v>2025</v>
      </c>
      <c r="F311" s="6" t="s">
        <v>525</v>
      </c>
      <c r="G311" s="6">
        <v>2023</v>
      </c>
      <c r="H311" s="7">
        <f t="shared" si="6"/>
        <v>12.832453554177549</v>
      </c>
      <c r="I311" s="6" t="s">
        <v>810</v>
      </c>
      <c r="K311" s="7">
        <v>25.664907108355099</v>
      </c>
    </row>
    <row r="312" spans="2:11">
      <c r="B312" s="3" t="s">
        <v>526</v>
      </c>
      <c r="C312" s="5">
        <v>2025</v>
      </c>
      <c r="F312" s="6" t="s">
        <v>526</v>
      </c>
      <c r="G312" s="6">
        <v>2023</v>
      </c>
      <c r="H312" s="7">
        <f t="shared" si="6"/>
        <v>15.47075825305695</v>
      </c>
      <c r="I312" s="6" t="s">
        <v>810</v>
      </c>
      <c r="K312" s="7">
        <v>30.941516506113899</v>
      </c>
    </row>
    <row r="313" spans="2:11">
      <c r="B313" s="3" t="s">
        <v>527</v>
      </c>
      <c r="C313" s="5">
        <v>2025</v>
      </c>
      <c r="F313" s="6" t="s">
        <v>527</v>
      </c>
      <c r="G313" s="6">
        <v>2023</v>
      </c>
      <c r="H313" s="7">
        <f t="shared" si="6"/>
        <v>8.7523799188998002</v>
      </c>
      <c r="I313" s="6" t="s">
        <v>810</v>
      </c>
      <c r="K313" s="7">
        <v>17.5047598377996</v>
      </c>
    </row>
    <row r="314" spans="2:11">
      <c r="B314" s="3" t="s">
        <v>528</v>
      </c>
      <c r="C314" s="5">
        <v>2025</v>
      </c>
      <c r="F314" s="6" t="s">
        <v>528</v>
      </c>
      <c r="G314" s="6">
        <v>2023</v>
      </c>
      <c r="H314" s="7">
        <f t="shared" si="6"/>
        <v>9.4493771326395493</v>
      </c>
      <c r="I314" s="6" t="s">
        <v>810</v>
      </c>
      <c r="K314" s="7">
        <v>18.898754265279099</v>
      </c>
    </row>
    <row r="315" spans="2:11">
      <c r="B315" s="3" t="s">
        <v>529</v>
      </c>
      <c r="C315" s="5">
        <v>2025</v>
      </c>
      <c r="F315" s="6" t="s">
        <v>529</v>
      </c>
      <c r="G315" s="6">
        <v>2023</v>
      </c>
      <c r="H315" s="7">
        <f t="shared" si="6"/>
        <v>14.07999394230305</v>
      </c>
      <c r="I315" s="6" t="s">
        <v>810</v>
      </c>
      <c r="K315" s="7">
        <v>28.1599878846061</v>
      </c>
    </row>
    <row r="316" spans="2:11">
      <c r="B316" s="3" t="s">
        <v>530</v>
      </c>
      <c r="C316" s="5">
        <v>2025</v>
      </c>
      <c r="F316" s="6" t="s">
        <v>530</v>
      </c>
      <c r="G316" s="6">
        <v>2023</v>
      </c>
      <c r="H316" s="7">
        <f t="shared" si="6"/>
        <v>12.116826743584699</v>
      </c>
      <c r="I316" s="6" t="s">
        <v>810</v>
      </c>
      <c r="K316" s="7">
        <v>24.233653487169398</v>
      </c>
    </row>
    <row r="317" spans="2:11">
      <c r="B317" s="3" t="s">
        <v>531</v>
      </c>
      <c r="C317" s="5">
        <v>2025</v>
      </c>
      <c r="F317" s="6" t="s">
        <v>531</v>
      </c>
      <c r="G317" s="6">
        <v>2023</v>
      </c>
      <c r="H317" s="7">
        <f t="shared" si="6"/>
        <v>12.17425080723485</v>
      </c>
      <c r="I317" s="6" t="s">
        <v>810</v>
      </c>
      <c r="K317" s="7">
        <v>24.348501614469701</v>
      </c>
    </row>
    <row r="318" spans="2:11">
      <c r="B318" s="3" t="s">
        <v>532</v>
      </c>
      <c r="C318" s="5">
        <v>2025</v>
      </c>
      <c r="F318" s="6" t="s">
        <v>532</v>
      </c>
      <c r="G318" s="6">
        <v>2023</v>
      </c>
      <c r="H318" s="7">
        <f t="shared" si="6"/>
        <v>12.611495701510099</v>
      </c>
      <c r="I318" s="6" t="s">
        <v>810</v>
      </c>
      <c r="K318" s="7">
        <v>25.222991403020199</v>
      </c>
    </row>
    <row r="319" spans="2:11">
      <c r="B319" s="3" t="s">
        <v>533</v>
      </c>
      <c r="C319" s="5">
        <v>2025</v>
      </c>
      <c r="F319" s="6" t="s">
        <v>533</v>
      </c>
      <c r="G319" s="6">
        <v>2023</v>
      </c>
      <c r="H319" s="7">
        <f t="shared" si="6"/>
        <v>11.17298010384355</v>
      </c>
      <c r="I319" s="6" t="s">
        <v>810</v>
      </c>
      <c r="K319" s="7">
        <v>22.345960207687099</v>
      </c>
    </row>
    <row r="320" spans="2:11">
      <c r="B320" s="3" t="s">
        <v>534</v>
      </c>
      <c r="C320" s="5">
        <v>2025</v>
      </c>
      <c r="F320" s="6" t="s">
        <v>534</v>
      </c>
      <c r="G320" s="6">
        <v>2023</v>
      </c>
      <c r="H320" s="7">
        <f t="shared" si="6"/>
        <v>11.9035460220573</v>
      </c>
      <c r="I320" s="6" t="s">
        <v>810</v>
      </c>
      <c r="K320" s="7">
        <v>23.807092044114601</v>
      </c>
    </row>
    <row r="321" spans="2:11">
      <c r="B321" s="3" t="s">
        <v>535</v>
      </c>
      <c r="C321" s="5">
        <v>2025</v>
      </c>
      <c r="F321" s="6" t="s">
        <v>535</v>
      </c>
      <c r="G321" s="6">
        <v>2023</v>
      </c>
      <c r="H321" s="7">
        <f t="shared" si="6"/>
        <v>12.447089117812849</v>
      </c>
      <c r="I321" s="6" t="s">
        <v>810</v>
      </c>
      <c r="K321" s="7">
        <v>24.894178235625699</v>
      </c>
    </row>
    <row r="322" spans="2:11">
      <c r="B322" s="3" t="s">
        <v>536</v>
      </c>
      <c r="C322" s="5">
        <v>2025</v>
      </c>
      <c r="F322" s="6" t="s">
        <v>536</v>
      </c>
      <c r="G322" s="6">
        <v>2023</v>
      </c>
      <c r="H322" s="7">
        <f t="shared" si="6"/>
        <v>15.673562849934401</v>
      </c>
      <c r="I322" s="6" t="s">
        <v>810</v>
      </c>
      <c r="K322" s="7">
        <v>31.347125699868801</v>
      </c>
    </row>
    <row r="323" spans="2:11">
      <c r="B323" s="3" t="s">
        <v>537</v>
      </c>
      <c r="C323" s="5">
        <v>2025</v>
      </c>
      <c r="F323" s="6" t="s">
        <v>537</v>
      </c>
      <c r="G323" s="6">
        <v>2023</v>
      </c>
      <c r="H323" s="7">
        <f t="shared" si="6"/>
        <v>13.595405534084099</v>
      </c>
      <c r="I323" s="6" t="s">
        <v>810</v>
      </c>
      <c r="K323" s="7">
        <v>27.190811068168198</v>
      </c>
    </row>
    <row r="324" spans="2:11">
      <c r="B324" s="3" t="s">
        <v>538</v>
      </c>
      <c r="C324" s="5">
        <v>2025</v>
      </c>
      <c r="F324" s="6" t="s">
        <v>538</v>
      </c>
      <c r="G324" s="6">
        <v>2023</v>
      </c>
      <c r="H324" s="7">
        <f t="shared" si="6"/>
        <v>13.958566781095151</v>
      </c>
      <c r="I324" s="6" t="s">
        <v>810</v>
      </c>
      <c r="K324" s="7">
        <v>27.917133562190301</v>
      </c>
    </row>
    <row r="325" spans="2:11">
      <c r="B325" s="3" t="s">
        <v>539</v>
      </c>
      <c r="C325" s="5">
        <v>2025</v>
      </c>
      <c r="F325" s="6" t="s">
        <v>539</v>
      </c>
      <c r="G325" s="6">
        <v>2023</v>
      </c>
      <c r="H325" s="7">
        <f t="shared" ref="H325:H388" si="7">K325/2</f>
        <v>13.85977198869565</v>
      </c>
      <c r="I325" s="6" t="s">
        <v>810</v>
      </c>
      <c r="K325" s="7">
        <v>27.7195439773913</v>
      </c>
    </row>
    <row r="326" spans="2:11">
      <c r="B326" s="3" t="s">
        <v>540</v>
      </c>
      <c r="C326" s="5">
        <v>2025</v>
      </c>
      <c r="F326" s="6" t="s">
        <v>540</v>
      </c>
      <c r="G326" s="6">
        <v>2023</v>
      </c>
      <c r="H326" s="7">
        <f t="shared" si="7"/>
        <v>13.017555774592999</v>
      </c>
      <c r="I326" s="6" t="s">
        <v>810</v>
      </c>
      <c r="K326" s="7">
        <v>26.035111549185999</v>
      </c>
    </row>
    <row r="327" spans="2:11">
      <c r="B327" s="3" t="s">
        <v>541</v>
      </c>
      <c r="C327" s="5">
        <v>2025</v>
      </c>
      <c r="F327" s="6" t="s">
        <v>541</v>
      </c>
      <c r="G327" s="6">
        <v>2023</v>
      </c>
      <c r="H327" s="7">
        <f t="shared" si="7"/>
        <v>15.917886338368101</v>
      </c>
      <c r="I327" s="6" t="s">
        <v>810</v>
      </c>
      <c r="K327" s="7">
        <v>31.835772676736202</v>
      </c>
    </row>
    <row r="328" spans="2:11">
      <c r="B328" s="3" t="s">
        <v>542</v>
      </c>
      <c r="C328" s="5">
        <v>2025</v>
      </c>
      <c r="F328" s="6" t="s">
        <v>542</v>
      </c>
      <c r="G328" s="6">
        <v>2023</v>
      </c>
      <c r="H328" s="7">
        <f t="shared" si="7"/>
        <v>12.085045189797951</v>
      </c>
      <c r="I328" s="6" t="s">
        <v>810</v>
      </c>
      <c r="K328" s="7">
        <v>24.170090379595901</v>
      </c>
    </row>
    <row r="329" spans="2:11">
      <c r="B329" s="3" t="s">
        <v>543</v>
      </c>
      <c r="C329" s="5">
        <v>2025</v>
      </c>
      <c r="F329" s="6" t="s">
        <v>543</v>
      </c>
      <c r="G329" s="6">
        <v>2023</v>
      </c>
      <c r="H329" s="7">
        <f t="shared" si="7"/>
        <v>11.27461781679605</v>
      </c>
      <c r="I329" s="6" t="s">
        <v>810</v>
      </c>
      <c r="K329" s="7">
        <v>22.549235633592101</v>
      </c>
    </row>
    <row r="330" spans="2:11">
      <c r="B330" s="3" t="s">
        <v>544</v>
      </c>
      <c r="C330" s="5">
        <v>2025</v>
      </c>
      <c r="F330" s="6" t="s">
        <v>544</v>
      </c>
      <c r="G330" s="6">
        <v>2023</v>
      </c>
      <c r="H330" s="7">
        <f t="shared" si="7"/>
        <v>14.55766909477475</v>
      </c>
      <c r="I330" s="6" t="s">
        <v>810</v>
      </c>
      <c r="K330" s="7">
        <v>29.115338189549501</v>
      </c>
    </row>
    <row r="331" spans="2:11">
      <c r="B331" s="3" t="s">
        <v>545</v>
      </c>
      <c r="C331" s="5">
        <v>2025</v>
      </c>
      <c r="F331" s="6" t="s">
        <v>545</v>
      </c>
      <c r="G331" s="6">
        <v>2023</v>
      </c>
      <c r="H331" s="7">
        <f t="shared" si="7"/>
        <v>13.374113715975</v>
      </c>
      <c r="I331" s="6" t="s">
        <v>810</v>
      </c>
      <c r="K331" s="7">
        <v>26.748227431949999</v>
      </c>
    </row>
    <row r="332" spans="2:11">
      <c r="B332" s="3" t="s">
        <v>546</v>
      </c>
      <c r="C332" s="5">
        <v>2025</v>
      </c>
      <c r="F332" s="6" t="s">
        <v>546</v>
      </c>
      <c r="G332" s="6">
        <v>2023</v>
      </c>
      <c r="H332" s="7">
        <f t="shared" si="7"/>
        <v>12.59213183573155</v>
      </c>
      <c r="I332" s="6" t="s">
        <v>810</v>
      </c>
      <c r="K332" s="7">
        <v>25.1842636714631</v>
      </c>
    </row>
    <row r="333" spans="2:11">
      <c r="B333" s="3" t="s">
        <v>547</v>
      </c>
      <c r="C333" s="5">
        <v>2025</v>
      </c>
      <c r="F333" s="6" t="s">
        <v>547</v>
      </c>
      <c r="G333" s="6">
        <v>2023</v>
      </c>
      <c r="H333" s="7">
        <f t="shared" si="7"/>
        <v>12.7200024102524</v>
      </c>
      <c r="I333" s="6" t="s">
        <v>810</v>
      </c>
      <c r="K333" s="7">
        <v>25.4400048205048</v>
      </c>
    </row>
    <row r="334" spans="2:11">
      <c r="B334" s="3" t="s">
        <v>548</v>
      </c>
      <c r="C334" s="5">
        <v>2025</v>
      </c>
      <c r="F334" s="6" t="s">
        <v>548</v>
      </c>
      <c r="G334" s="6">
        <v>2023</v>
      </c>
      <c r="H334" s="7">
        <f t="shared" si="7"/>
        <v>12.9904187120564</v>
      </c>
      <c r="I334" s="6" t="s">
        <v>810</v>
      </c>
      <c r="K334" s="7">
        <v>25.980837424112799</v>
      </c>
    </row>
    <row r="335" spans="2:11">
      <c r="B335" s="3" t="s">
        <v>549</v>
      </c>
      <c r="C335" s="5">
        <v>2025</v>
      </c>
      <c r="F335" s="6" t="s">
        <v>549</v>
      </c>
      <c r="G335" s="6">
        <v>2023</v>
      </c>
      <c r="H335" s="7">
        <f t="shared" si="7"/>
        <v>18.653890810573149</v>
      </c>
      <c r="I335" s="6" t="s">
        <v>810</v>
      </c>
      <c r="K335" s="7">
        <v>37.307781621146297</v>
      </c>
    </row>
    <row r="336" spans="2:11">
      <c r="B336" s="3" t="s">
        <v>550</v>
      </c>
      <c r="C336" s="5">
        <v>2025</v>
      </c>
      <c r="F336" s="6" t="s">
        <v>550</v>
      </c>
      <c r="G336" s="6">
        <v>2023</v>
      </c>
      <c r="H336" s="7">
        <f t="shared" si="7"/>
        <v>11.47235685883745</v>
      </c>
      <c r="I336" s="6" t="s">
        <v>810</v>
      </c>
      <c r="K336" s="7">
        <v>22.944713717674901</v>
      </c>
    </row>
    <row r="337" spans="2:11">
      <c r="B337" s="3" t="s">
        <v>551</v>
      </c>
      <c r="C337" s="5">
        <v>2025</v>
      </c>
      <c r="F337" s="6" t="s">
        <v>551</v>
      </c>
      <c r="G337" s="6">
        <v>2023</v>
      </c>
      <c r="H337" s="7">
        <f t="shared" si="7"/>
        <v>15.6151306446943</v>
      </c>
      <c r="I337" s="6" t="s">
        <v>810</v>
      </c>
      <c r="K337" s="7">
        <v>31.230261289388601</v>
      </c>
    </row>
    <row r="338" spans="2:11">
      <c r="B338" s="3" t="s">
        <v>552</v>
      </c>
      <c r="C338" s="5">
        <v>2025</v>
      </c>
      <c r="F338" s="6" t="s">
        <v>552</v>
      </c>
      <c r="G338" s="6">
        <v>2023</v>
      </c>
      <c r="H338" s="7">
        <f t="shared" si="7"/>
        <v>10.916374857938949</v>
      </c>
      <c r="I338" s="6" t="s">
        <v>810</v>
      </c>
      <c r="K338" s="7">
        <v>21.832749715877899</v>
      </c>
    </row>
    <row r="339" spans="2:11">
      <c r="B339" s="3" t="s">
        <v>553</v>
      </c>
      <c r="C339" s="5">
        <v>2025</v>
      </c>
      <c r="F339" s="6" t="s">
        <v>553</v>
      </c>
      <c r="G339" s="6">
        <v>2023</v>
      </c>
      <c r="H339" s="7">
        <f t="shared" si="7"/>
        <v>12.20012337638715</v>
      </c>
      <c r="I339" s="6" t="s">
        <v>810</v>
      </c>
      <c r="K339" s="7">
        <v>24.400246752774301</v>
      </c>
    </row>
    <row r="340" spans="2:11">
      <c r="B340" s="3" t="s">
        <v>554</v>
      </c>
      <c r="C340" s="5">
        <v>2025</v>
      </c>
      <c r="F340" s="6" t="s">
        <v>554</v>
      </c>
      <c r="G340" s="6">
        <v>2023</v>
      </c>
      <c r="H340" s="7">
        <f t="shared" si="7"/>
        <v>17.278099111152098</v>
      </c>
      <c r="I340" s="6" t="s">
        <v>810</v>
      </c>
      <c r="K340" s="7">
        <v>34.556198222304197</v>
      </c>
    </row>
    <row r="341" spans="2:11">
      <c r="B341" s="3" t="s">
        <v>555</v>
      </c>
      <c r="C341" s="5">
        <v>2025</v>
      </c>
      <c r="F341" s="6" t="s">
        <v>555</v>
      </c>
      <c r="G341" s="6">
        <v>2023</v>
      </c>
      <c r="H341" s="7">
        <f t="shared" si="7"/>
        <v>10.6806908968749</v>
      </c>
      <c r="I341" s="6" t="s">
        <v>810</v>
      </c>
      <c r="K341" s="7">
        <v>21.3613817937498</v>
      </c>
    </row>
    <row r="342" spans="2:11">
      <c r="B342" s="3" t="s">
        <v>556</v>
      </c>
      <c r="C342" s="5">
        <v>2025</v>
      </c>
      <c r="F342" s="6" t="s">
        <v>556</v>
      </c>
      <c r="G342" s="6">
        <v>2023</v>
      </c>
      <c r="H342" s="7">
        <f t="shared" si="7"/>
        <v>8.3968979024416992</v>
      </c>
      <c r="I342" s="6" t="s">
        <v>810</v>
      </c>
      <c r="K342" s="7">
        <v>16.793795804883398</v>
      </c>
    </row>
    <row r="343" spans="2:11">
      <c r="B343" s="3" t="s">
        <v>557</v>
      </c>
      <c r="C343" s="5">
        <v>2025</v>
      </c>
      <c r="F343" s="6" t="s">
        <v>557</v>
      </c>
      <c r="G343" s="6">
        <v>2023</v>
      </c>
      <c r="H343" s="7">
        <f t="shared" si="7"/>
        <v>7.6461462005022502</v>
      </c>
      <c r="I343" s="6" t="s">
        <v>810</v>
      </c>
      <c r="K343" s="7">
        <v>15.2922924010045</v>
      </c>
    </row>
    <row r="344" spans="2:11">
      <c r="B344" s="3" t="s">
        <v>558</v>
      </c>
      <c r="C344" s="5">
        <v>2025</v>
      </c>
      <c r="F344" s="6" t="s">
        <v>558</v>
      </c>
      <c r="G344" s="6">
        <v>2023</v>
      </c>
      <c r="H344" s="7">
        <f t="shared" si="7"/>
        <v>13.4838234219987</v>
      </c>
      <c r="I344" s="6" t="s">
        <v>810</v>
      </c>
      <c r="K344" s="7">
        <v>26.9676468439974</v>
      </c>
    </row>
    <row r="345" spans="2:11">
      <c r="B345" s="3" t="s">
        <v>559</v>
      </c>
      <c r="C345" s="5">
        <v>2025</v>
      </c>
      <c r="F345" s="6" t="s">
        <v>559</v>
      </c>
      <c r="G345" s="6">
        <v>2023</v>
      </c>
      <c r="H345" s="7">
        <f t="shared" si="7"/>
        <v>11.54896847345875</v>
      </c>
      <c r="I345" s="6" t="s">
        <v>810</v>
      </c>
      <c r="K345" s="7">
        <v>23.0979369469175</v>
      </c>
    </row>
    <row r="346" spans="2:11">
      <c r="B346" s="3" t="s">
        <v>560</v>
      </c>
      <c r="C346" s="5">
        <v>2025</v>
      </c>
      <c r="F346" s="6" t="s">
        <v>560</v>
      </c>
      <c r="G346" s="6">
        <v>2023</v>
      </c>
      <c r="H346" s="7">
        <f t="shared" si="7"/>
        <v>10.901107248224349</v>
      </c>
      <c r="I346" s="6" t="s">
        <v>810</v>
      </c>
      <c r="K346" s="7">
        <v>21.802214496448698</v>
      </c>
    </row>
    <row r="347" spans="2:11">
      <c r="B347" s="3" t="s">
        <v>561</v>
      </c>
      <c r="C347" s="5">
        <v>2025</v>
      </c>
      <c r="F347" s="6" t="s">
        <v>561</v>
      </c>
      <c r="G347" s="6">
        <v>2023</v>
      </c>
      <c r="H347" s="7">
        <f t="shared" si="7"/>
        <v>11.367244914456</v>
      </c>
      <c r="I347" s="6" t="s">
        <v>810</v>
      </c>
      <c r="K347" s="7">
        <v>22.734489828912</v>
      </c>
    </row>
    <row r="348" spans="2:11">
      <c r="B348" s="3" t="s">
        <v>562</v>
      </c>
      <c r="C348" s="5">
        <v>2025</v>
      </c>
      <c r="F348" s="6" t="s">
        <v>562</v>
      </c>
      <c r="G348" s="6">
        <v>2023</v>
      </c>
      <c r="H348" s="7">
        <f t="shared" si="7"/>
        <v>14.199593314282151</v>
      </c>
      <c r="I348" s="6" t="s">
        <v>810</v>
      </c>
      <c r="K348" s="7">
        <v>28.399186628564301</v>
      </c>
    </row>
    <row r="349" spans="2:11">
      <c r="B349" s="3" t="s">
        <v>563</v>
      </c>
      <c r="C349" s="5">
        <v>2025</v>
      </c>
      <c r="F349" s="6" t="s">
        <v>563</v>
      </c>
      <c r="G349" s="6">
        <v>2023</v>
      </c>
      <c r="H349" s="7">
        <f t="shared" si="7"/>
        <v>10.259284273845751</v>
      </c>
      <c r="I349" s="6" t="s">
        <v>810</v>
      </c>
      <c r="K349" s="7">
        <v>20.518568547691501</v>
      </c>
    </row>
    <row r="350" spans="2:11">
      <c r="B350" s="3" t="s">
        <v>564</v>
      </c>
      <c r="C350" s="5">
        <v>2025</v>
      </c>
      <c r="F350" s="6" t="s">
        <v>564</v>
      </c>
      <c r="G350" s="6">
        <v>2023</v>
      </c>
      <c r="H350" s="7">
        <f t="shared" si="7"/>
        <v>11.230559006254699</v>
      </c>
      <c r="I350" s="6" t="s">
        <v>810</v>
      </c>
      <c r="K350" s="7">
        <v>22.461118012509399</v>
      </c>
    </row>
    <row r="351" spans="2:11">
      <c r="B351" s="3" t="s">
        <v>565</v>
      </c>
      <c r="C351" s="5">
        <v>2025</v>
      </c>
      <c r="F351" s="6" t="s">
        <v>565</v>
      </c>
      <c r="G351" s="6">
        <v>2023</v>
      </c>
      <c r="H351" s="7">
        <f t="shared" si="7"/>
        <v>15.8669594729322</v>
      </c>
      <c r="I351" s="6" t="s">
        <v>810</v>
      </c>
      <c r="K351" s="7">
        <v>31.733918945864399</v>
      </c>
    </row>
    <row r="352" spans="2:11">
      <c r="B352" s="3" t="s">
        <v>566</v>
      </c>
      <c r="C352" s="5">
        <v>2025</v>
      </c>
      <c r="F352" s="6" t="s">
        <v>566</v>
      </c>
      <c r="G352" s="6">
        <v>2023</v>
      </c>
      <c r="H352" s="7">
        <f t="shared" si="7"/>
        <v>12.203987690812649</v>
      </c>
      <c r="I352" s="6" t="s">
        <v>810</v>
      </c>
      <c r="K352" s="7">
        <v>24.407975381625299</v>
      </c>
    </row>
    <row r="353" spans="2:11">
      <c r="B353" s="3" t="s">
        <v>567</v>
      </c>
      <c r="C353" s="5">
        <v>2025</v>
      </c>
      <c r="F353" s="6" t="s">
        <v>567</v>
      </c>
      <c r="G353" s="6">
        <v>2023</v>
      </c>
      <c r="H353" s="7">
        <f t="shared" si="7"/>
        <v>14.170247112891451</v>
      </c>
      <c r="I353" s="6" t="s">
        <v>810</v>
      </c>
      <c r="K353" s="7">
        <v>28.340494225782901</v>
      </c>
    </row>
    <row r="354" spans="2:11">
      <c r="B354" s="3" t="s">
        <v>568</v>
      </c>
      <c r="C354" s="5">
        <v>2025</v>
      </c>
      <c r="F354" s="6" t="s">
        <v>568</v>
      </c>
      <c r="G354" s="6">
        <v>2023</v>
      </c>
      <c r="H354" s="7">
        <f t="shared" si="7"/>
        <v>10.7579636859183</v>
      </c>
      <c r="I354" s="6" t="s">
        <v>810</v>
      </c>
      <c r="K354" s="7">
        <v>21.5159273718366</v>
      </c>
    </row>
    <row r="355" spans="2:11">
      <c r="B355" s="3" t="s">
        <v>569</v>
      </c>
      <c r="C355" s="5">
        <v>2025</v>
      </c>
      <c r="F355" s="6" t="s">
        <v>569</v>
      </c>
      <c r="G355" s="6">
        <v>2023</v>
      </c>
      <c r="H355" s="7">
        <f t="shared" si="7"/>
        <v>12.7874411281881</v>
      </c>
      <c r="I355" s="6" t="s">
        <v>810</v>
      </c>
      <c r="K355" s="7">
        <v>25.574882256376199</v>
      </c>
    </row>
    <row r="356" spans="2:11">
      <c r="B356" s="3" t="s">
        <v>570</v>
      </c>
      <c r="C356" s="5">
        <v>2025</v>
      </c>
      <c r="F356" s="6" t="s">
        <v>570</v>
      </c>
      <c r="G356" s="6">
        <v>2023</v>
      </c>
      <c r="H356" s="7">
        <f t="shared" si="7"/>
        <v>14.372869462268699</v>
      </c>
      <c r="I356" s="6" t="s">
        <v>810</v>
      </c>
      <c r="K356" s="7">
        <v>28.745738924537399</v>
      </c>
    </row>
    <row r="357" spans="2:11">
      <c r="B357" s="3" t="s">
        <v>571</v>
      </c>
      <c r="C357" s="5">
        <v>2025</v>
      </c>
      <c r="F357" s="6" t="s">
        <v>571</v>
      </c>
      <c r="G357" s="6">
        <v>2023</v>
      </c>
      <c r="H357" s="7">
        <f t="shared" si="7"/>
        <v>8.3032947168521503</v>
      </c>
      <c r="I357" s="6" t="s">
        <v>810</v>
      </c>
      <c r="K357" s="7">
        <v>16.606589433704301</v>
      </c>
    </row>
    <row r="358" spans="2:11">
      <c r="B358" s="3" t="s">
        <v>572</v>
      </c>
      <c r="C358" s="5">
        <v>2025</v>
      </c>
      <c r="F358" s="6" t="s">
        <v>572</v>
      </c>
      <c r="G358" s="6">
        <v>2023</v>
      </c>
      <c r="H358" s="7">
        <f t="shared" si="7"/>
        <v>12.974157613572901</v>
      </c>
      <c r="I358" s="6" t="s">
        <v>810</v>
      </c>
      <c r="K358" s="7">
        <v>25.948315227145802</v>
      </c>
    </row>
    <row r="359" spans="2:11">
      <c r="B359" s="3" t="s">
        <v>573</v>
      </c>
      <c r="C359" s="5">
        <v>2025</v>
      </c>
      <c r="F359" s="6" t="s">
        <v>573</v>
      </c>
      <c r="G359" s="6">
        <v>2023</v>
      </c>
      <c r="H359" s="7">
        <f t="shared" si="7"/>
        <v>11.9983527877488</v>
      </c>
      <c r="I359" s="6" t="s">
        <v>810</v>
      </c>
      <c r="K359" s="7">
        <v>23.9967055754976</v>
      </c>
    </row>
    <row r="360" spans="2:11">
      <c r="B360" s="3" t="s">
        <v>574</v>
      </c>
      <c r="C360" s="5">
        <v>2025</v>
      </c>
      <c r="F360" s="6" t="s">
        <v>574</v>
      </c>
      <c r="G360" s="6">
        <v>2023</v>
      </c>
      <c r="H360" s="7">
        <f t="shared" si="7"/>
        <v>8.6892345172327001</v>
      </c>
      <c r="I360" s="6" t="s">
        <v>810</v>
      </c>
      <c r="K360" s="7">
        <v>17.3784690344654</v>
      </c>
    </row>
    <row r="361" spans="2:11">
      <c r="B361" s="3" t="s">
        <v>575</v>
      </c>
      <c r="C361" s="5">
        <v>2025</v>
      </c>
      <c r="F361" s="6" t="s">
        <v>575</v>
      </c>
      <c r="G361" s="6">
        <v>2023</v>
      </c>
      <c r="H361" s="7">
        <f t="shared" si="7"/>
        <v>9.9455516444566996</v>
      </c>
      <c r="I361" s="6" t="s">
        <v>810</v>
      </c>
      <c r="K361" s="7">
        <v>19.891103288913399</v>
      </c>
    </row>
    <row r="362" spans="2:11">
      <c r="B362" s="3" t="s">
        <v>576</v>
      </c>
      <c r="C362" s="5">
        <v>2025</v>
      </c>
      <c r="F362" s="6" t="s">
        <v>576</v>
      </c>
      <c r="G362" s="6">
        <v>2023</v>
      </c>
      <c r="H362" s="7">
        <f t="shared" si="7"/>
        <v>8.9696449947923007</v>
      </c>
      <c r="I362" s="6" t="s">
        <v>810</v>
      </c>
      <c r="K362" s="7">
        <v>17.939289989584601</v>
      </c>
    </row>
    <row r="363" spans="2:11">
      <c r="B363" s="3" t="s">
        <v>577</v>
      </c>
      <c r="C363" s="5">
        <v>2025</v>
      </c>
      <c r="F363" s="6" t="s">
        <v>577</v>
      </c>
      <c r="G363" s="6">
        <v>2023</v>
      </c>
      <c r="H363" s="7">
        <f t="shared" si="7"/>
        <v>18.972192612330499</v>
      </c>
      <c r="I363" s="6" t="s">
        <v>810</v>
      </c>
      <c r="K363" s="7">
        <v>37.944385224660998</v>
      </c>
    </row>
    <row r="364" spans="2:11">
      <c r="B364" s="3" t="s">
        <v>578</v>
      </c>
      <c r="C364" s="5">
        <v>2025</v>
      </c>
      <c r="F364" s="6" t="s">
        <v>578</v>
      </c>
      <c r="G364" s="6">
        <v>2023</v>
      </c>
      <c r="H364" s="7">
        <f t="shared" si="7"/>
        <v>7.9984975034317998</v>
      </c>
      <c r="I364" s="6" t="s">
        <v>810</v>
      </c>
      <c r="K364" s="7">
        <v>15.9969950068636</v>
      </c>
    </row>
    <row r="365" spans="2:11">
      <c r="B365" s="3" t="s">
        <v>579</v>
      </c>
      <c r="C365" s="5">
        <v>2025</v>
      </c>
      <c r="F365" s="6" t="s">
        <v>579</v>
      </c>
      <c r="G365" s="6">
        <v>2023</v>
      </c>
      <c r="H365" s="7">
        <f t="shared" si="7"/>
        <v>10.673460194899651</v>
      </c>
      <c r="I365" s="6" t="s">
        <v>810</v>
      </c>
      <c r="K365" s="7">
        <v>21.346920389799301</v>
      </c>
    </row>
    <row r="366" spans="2:11">
      <c r="B366" s="3" t="s">
        <v>580</v>
      </c>
      <c r="C366" s="5">
        <v>2025</v>
      </c>
      <c r="F366" s="6" t="s">
        <v>580</v>
      </c>
      <c r="G366" s="6">
        <v>2023</v>
      </c>
      <c r="H366" s="7">
        <f t="shared" si="7"/>
        <v>8.0870017962960006</v>
      </c>
      <c r="I366" s="6" t="s">
        <v>810</v>
      </c>
      <c r="K366" s="7">
        <v>16.174003592592001</v>
      </c>
    </row>
    <row r="367" spans="2:11">
      <c r="B367" s="3" t="s">
        <v>581</v>
      </c>
      <c r="C367" s="5">
        <v>2025</v>
      </c>
      <c r="F367" s="6" t="s">
        <v>581</v>
      </c>
      <c r="G367" s="6">
        <v>2023</v>
      </c>
      <c r="H367" s="7">
        <f t="shared" si="7"/>
        <v>13.82156702525325</v>
      </c>
      <c r="I367" s="6" t="s">
        <v>810</v>
      </c>
      <c r="K367" s="7">
        <v>27.6431340505065</v>
      </c>
    </row>
    <row r="368" spans="2:11">
      <c r="B368" s="3" t="s">
        <v>582</v>
      </c>
      <c r="C368" s="5">
        <v>2025</v>
      </c>
      <c r="F368" s="6" t="s">
        <v>582</v>
      </c>
      <c r="G368" s="6">
        <v>2023</v>
      </c>
      <c r="H368" s="7">
        <f t="shared" si="7"/>
        <v>12.6035310998568</v>
      </c>
      <c r="I368" s="6" t="s">
        <v>810</v>
      </c>
      <c r="K368" s="7">
        <v>25.207062199713601</v>
      </c>
    </row>
    <row r="369" spans="2:11">
      <c r="B369" s="3" t="s">
        <v>583</v>
      </c>
      <c r="C369" s="5">
        <v>2025</v>
      </c>
      <c r="F369" s="6" t="s">
        <v>583</v>
      </c>
      <c r="G369" s="6">
        <v>2023</v>
      </c>
      <c r="H369" s="7">
        <f t="shared" si="7"/>
        <v>8.4939307342721495</v>
      </c>
      <c r="I369" s="6" t="s">
        <v>810</v>
      </c>
      <c r="K369" s="7">
        <v>16.987861468544299</v>
      </c>
    </row>
    <row r="370" spans="2:11">
      <c r="B370" s="3" t="s">
        <v>584</v>
      </c>
      <c r="C370" s="5">
        <v>2025</v>
      </c>
      <c r="F370" s="6" t="s">
        <v>584</v>
      </c>
      <c r="G370" s="6">
        <v>2023</v>
      </c>
      <c r="H370" s="7">
        <f t="shared" si="7"/>
        <v>9.8234926173235504</v>
      </c>
      <c r="I370" s="6" t="s">
        <v>810</v>
      </c>
      <c r="K370" s="7">
        <v>19.646985234647101</v>
      </c>
    </row>
    <row r="371" spans="2:11">
      <c r="B371" s="3" t="s">
        <v>585</v>
      </c>
      <c r="C371" s="5">
        <v>2025</v>
      </c>
      <c r="F371" s="6" t="s">
        <v>585</v>
      </c>
      <c r="G371" s="6">
        <v>2023</v>
      </c>
      <c r="H371" s="7">
        <f t="shared" si="7"/>
        <v>6.0599829671673504</v>
      </c>
      <c r="I371" s="6" t="s">
        <v>810</v>
      </c>
      <c r="K371" s="7">
        <v>12.119965934334701</v>
      </c>
    </row>
    <row r="372" spans="2:11">
      <c r="B372" s="3" t="s">
        <v>586</v>
      </c>
      <c r="C372" s="5">
        <v>2025</v>
      </c>
      <c r="F372" s="6" t="s">
        <v>586</v>
      </c>
      <c r="G372" s="6">
        <v>2023</v>
      </c>
      <c r="H372" s="7">
        <f t="shared" si="7"/>
        <v>11.235022992610951</v>
      </c>
      <c r="I372" s="6" t="s">
        <v>810</v>
      </c>
      <c r="K372" s="7">
        <v>22.470045985221901</v>
      </c>
    </row>
    <row r="373" spans="2:11">
      <c r="B373" s="3" t="s">
        <v>587</v>
      </c>
      <c r="C373" s="5">
        <v>2025</v>
      </c>
      <c r="F373" s="6" t="s">
        <v>587</v>
      </c>
      <c r="G373" s="6">
        <v>2023</v>
      </c>
      <c r="H373" s="7">
        <f t="shared" si="7"/>
        <v>12.181025123702449</v>
      </c>
      <c r="I373" s="6" t="s">
        <v>810</v>
      </c>
      <c r="K373" s="7">
        <v>24.362050247404898</v>
      </c>
    </row>
    <row r="374" spans="2:11">
      <c r="B374" s="3" t="s">
        <v>588</v>
      </c>
      <c r="C374" s="5">
        <v>2025</v>
      </c>
      <c r="F374" s="6" t="s">
        <v>588</v>
      </c>
      <c r="G374" s="6">
        <v>2023</v>
      </c>
      <c r="H374" s="7">
        <f t="shared" si="7"/>
        <v>9.9011856853374507</v>
      </c>
      <c r="I374" s="6" t="s">
        <v>810</v>
      </c>
      <c r="K374" s="7">
        <v>19.802371370674901</v>
      </c>
    </row>
    <row r="375" spans="2:11">
      <c r="B375" s="3" t="s">
        <v>589</v>
      </c>
      <c r="C375" s="5">
        <v>2025</v>
      </c>
      <c r="F375" s="6" t="s">
        <v>589</v>
      </c>
      <c r="G375" s="6">
        <v>2023</v>
      </c>
      <c r="H375" s="7">
        <f t="shared" si="7"/>
        <v>10.6330598603012</v>
      </c>
      <c r="I375" s="6" t="s">
        <v>810</v>
      </c>
      <c r="K375" s="7">
        <v>21.266119720602401</v>
      </c>
    </row>
    <row r="376" spans="2:11">
      <c r="B376" s="3" t="s">
        <v>590</v>
      </c>
      <c r="C376" s="5">
        <v>2025</v>
      </c>
      <c r="F376" s="6" t="s">
        <v>590</v>
      </c>
      <c r="G376" s="6">
        <v>2023</v>
      </c>
      <c r="H376" s="7">
        <f t="shared" si="7"/>
        <v>12.522111945349501</v>
      </c>
      <c r="I376" s="6" t="s">
        <v>810</v>
      </c>
      <c r="K376" s="7">
        <v>25.044223890699001</v>
      </c>
    </row>
    <row r="377" spans="2:11">
      <c r="B377" s="3" t="s">
        <v>591</v>
      </c>
      <c r="C377" s="5">
        <v>2025</v>
      </c>
      <c r="F377" s="6" t="s">
        <v>591</v>
      </c>
      <c r="G377" s="6">
        <v>2023</v>
      </c>
      <c r="H377" s="7">
        <f t="shared" si="7"/>
        <v>12.83573636899205</v>
      </c>
      <c r="I377" s="6" t="s">
        <v>810</v>
      </c>
      <c r="K377" s="7">
        <v>25.6714727379841</v>
      </c>
    </row>
    <row r="378" spans="2:11">
      <c r="B378" s="3" t="s">
        <v>592</v>
      </c>
      <c r="C378" s="5">
        <v>2025</v>
      </c>
      <c r="F378" s="6" t="s">
        <v>592</v>
      </c>
      <c r="G378" s="6">
        <v>2023</v>
      </c>
      <c r="H378" s="7">
        <f t="shared" si="7"/>
        <v>12.8421993739424</v>
      </c>
      <c r="I378" s="6" t="s">
        <v>810</v>
      </c>
      <c r="K378" s="7">
        <v>25.684398747884799</v>
      </c>
    </row>
    <row r="379" spans="2:11">
      <c r="B379" s="3" t="s">
        <v>593</v>
      </c>
      <c r="C379" s="5">
        <v>2025</v>
      </c>
      <c r="F379" s="6" t="s">
        <v>593</v>
      </c>
      <c r="G379" s="6">
        <v>2023</v>
      </c>
      <c r="H379" s="7">
        <f t="shared" si="7"/>
        <v>13.67634385134105</v>
      </c>
      <c r="I379" s="6" t="s">
        <v>810</v>
      </c>
      <c r="K379" s="7">
        <v>27.3526877026821</v>
      </c>
    </row>
    <row r="380" spans="2:11">
      <c r="B380" s="3" t="s">
        <v>594</v>
      </c>
      <c r="C380" s="5">
        <v>2025</v>
      </c>
      <c r="F380" s="6" t="s">
        <v>594</v>
      </c>
      <c r="G380" s="6">
        <v>2023</v>
      </c>
      <c r="H380" s="7">
        <f t="shared" si="7"/>
        <v>11.028374857014651</v>
      </c>
      <c r="I380" s="6" t="s">
        <v>810</v>
      </c>
      <c r="K380" s="7">
        <v>22.056749714029301</v>
      </c>
    </row>
    <row r="381" spans="2:11">
      <c r="B381" s="3" t="s">
        <v>595</v>
      </c>
      <c r="C381" s="5">
        <v>2025</v>
      </c>
      <c r="F381" s="6" t="s">
        <v>595</v>
      </c>
      <c r="G381" s="6">
        <v>2023</v>
      </c>
      <c r="H381" s="7">
        <f t="shared" si="7"/>
        <v>13.827062070434801</v>
      </c>
      <c r="I381" s="6" t="s">
        <v>810</v>
      </c>
      <c r="K381" s="7">
        <v>27.654124140869602</v>
      </c>
    </row>
    <row r="382" spans="2:11">
      <c r="B382" s="3" t="s">
        <v>596</v>
      </c>
      <c r="C382" s="5">
        <v>2025</v>
      </c>
      <c r="F382" s="6" t="s">
        <v>596</v>
      </c>
      <c r="G382" s="6">
        <v>2023</v>
      </c>
      <c r="H382" s="7">
        <f t="shared" si="7"/>
        <v>11.42323846068715</v>
      </c>
      <c r="I382" s="6" t="s">
        <v>810</v>
      </c>
      <c r="K382" s="7">
        <v>22.8464769213743</v>
      </c>
    </row>
    <row r="383" spans="2:11">
      <c r="B383" s="3" t="s">
        <v>597</v>
      </c>
      <c r="C383" s="5">
        <v>2025</v>
      </c>
      <c r="F383" s="6" t="s">
        <v>597</v>
      </c>
      <c r="G383" s="6">
        <v>2023</v>
      </c>
      <c r="H383" s="7">
        <f t="shared" si="7"/>
        <v>13.910978749201551</v>
      </c>
      <c r="I383" s="6" t="s">
        <v>810</v>
      </c>
      <c r="K383" s="7">
        <v>27.821957498403101</v>
      </c>
    </row>
    <row r="384" spans="2:11">
      <c r="B384" s="3" t="s">
        <v>598</v>
      </c>
      <c r="C384" s="5">
        <v>2025</v>
      </c>
      <c r="F384" s="6" t="s">
        <v>598</v>
      </c>
      <c r="G384" s="6">
        <v>2023</v>
      </c>
      <c r="H384" s="7">
        <f t="shared" si="7"/>
        <v>12.668754485408</v>
      </c>
      <c r="I384" s="6" t="s">
        <v>810</v>
      </c>
      <c r="K384" s="7">
        <v>25.337508970816</v>
      </c>
    </row>
    <row r="385" spans="2:11">
      <c r="B385" s="3" t="s">
        <v>599</v>
      </c>
      <c r="C385" s="5">
        <v>2025</v>
      </c>
      <c r="F385" s="6" t="s">
        <v>599</v>
      </c>
      <c r="G385" s="6">
        <v>2023</v>
      </c>
      <c r="H385" s="7">
        <f t="shared" si="7"/>
        <v>11.71621887847815</v>
      </c>
      <c r="I385" s="6" t="s">
        <v>810</v>
      </c>
      <c r="K385" s="7">
        <v>23.4324377569563</v>
      </c>
    </row>
    <row r="386" spans="2:11">
      <c r="B386" s="3" t="s">
        <v>600</v>
      </c>
      <c r="C386" s="5">
        <v>2025</v>
      </c>
      <c r="F386" s="6" t="s">
        <v>600</v>
      </c>
      <c r="G386" s="6">
        <v>2023</v>
      </c>
      <c r="H386" s="7">
        <f t="shared" si="7"/>
        <v>14.641553090918499</v>
      </c>
      <c r="I386" s="6" t="s">
        <v>810</v>
      </c>
      <c r="K386" s="7">
        <v>29.283106181836999</v>
      </c>
    </row>
    <row r="387" spans="2:11">
      <c r="B387" s="3" t="s">
        <v>601</v>
      </c>
      <c r="C387" s="5">
        <v>2025</v>
      </c>
      <c r="F387" s="6" t="s">
        <v>601</v>
      </c>
      <c r="G387" s="6">
        <v>2023</v>
      </c>
      <c r="H387" s="7">
        <f t="shared" si="7"/>
        <v>13.85692262029675</v>
      </c>
      <c r="I387" s="6" t="s">
        <v>810</v>
      </c>
      <c r="K387" s="7">
        <v>27.7138452405935</v>
      </c>
    </row>
    <row r="388" spans="2:11">
      <c r="B388" s="3" t="s">
        <v>602</v>
      </c>
      <c r="C388" s="5">
        <v>2025</v>
      </c>
      <c r="F388" s="6" t="s">
        <v>602</v>
      </c>
      <c r="G388" s="6">
        <v>2023</v>
      </c>
      <c r="H388" s="7">
        <f t="shared" si="7"/>
        <v>13.063727736278651</v>
      </c>
      <c r="I388" s="6" t="s">
        <v>810</v>
      </c>
      <c r="K388" s="7">
        <v>26.127455472557301</v>
      </c>
    </row>
    <row r="389" spans="2:11">
      <c r="B389" s="3" t="s">
        <v>603</v>
      </c>
      <c r="C389" s="5">
        <v>2025</v>
      </c>
      <c r="F389" s="6" t="s">
        <v>603</v>
      </c>
      <c r="G389" s="6">
        <v>2023</v>
      </c>
      <c r="H389" s="7">
        <f t="shared" ref="H389:H452" si="8">K389/2</f>
        <v>13.201970987178401</v>
      </c>
      <c r="I389" s="6" t="s">
        <v>810</v>
      </c>
      <c r="K389" s="7">
        <v>26.403941974356801</v>
      </c>
    </row>
    <row r="390" spans="2:11">
      <c r="B390" s="3" t="s">
        <v>604</v>
      </c>
      <c r="C390" s="5">
        <v>2025</v>
      </c>
      <c r="F390" s="6" t="s">
        <v>604</v>
      </c>
      <c r="G390" s="6">
        <v>2023</v>
      </c>
      <c r="H390" s="7">
        <f t="shared" si="8"/>
        <v>13.473012034005549</v>
      </c>
      <c r="I390" s="6" t="s">
        <v>810</v>
      </c>
      <c r="K390" s="7">
        <v>26.946024068011099</v>
      </c>
    </row>
    <row r="391" spans="2:11">
      <c r="B391" s="3" t="s">
        <v>605</v>
      </c>
      <c r="C391" s="5">
        <v>2025</v>
      </c>
      <c r="F391" s="6" t="s">
        <v>605</v>
      </c>
      <c r="G391" s="6">
        <v>2023</v>
      </c>
      <c r="H391" s="7">
        <f t="shared" si="8"/>
        <v>15.332373881860899</v>
      </c>
      <c r="I391" s="6" t="s">
        <v>810</v>
      </c>
      <c r="K391" s="7">
        <v>30.664747763721799</v>
      </c>
    </row>
    <row r="392" spans="2:11">
      <c r="B392" s="3" t="s">
        <v>606</v>
      </c>
      <c r="C392" s="5">
        <v>2025</v>
      </c>
      <c r="F392" s="6" t="s">
        <v>606</v>
      </c>
      <c r="G392" s="6">
        <v>2023</v>
      </c>
      <c r="H392" s="7">
        <f t="shared" si="8"/>
        <v>11.88025002394985</v>
      </c>
      <c r="I392" s="6" t="s">
        <v>810</v>
      </c>
      <c r="K392" s="7">
        <v>23.760500047899701</v>
      </c>
    </row>
    <row r="393" spans="2:11">
      <c r="B393" s="3" t="s">
        <v>607</v>
      </c>
      <c r="C393" s="5">
        <v>2025</v>
      </c>
      <c r="F393" s="6" t="s">
        <v>607</v>
      </c>
      <c r="G393" s="6">
        <v>2023</v>
      </c>
      <c r="H393" s="7">
        <f t="shared" si="8"/>
        <v>16.28391946624015</v>
      </c>
      <c r="I393" s="6" t="s">
        <v>810</v>
      </c>
      <c r="K393" s="7">
        <v>32.567838932480299</v>
      </c>
    </row>
    <row r="394" spans="2:11">
      <c r="B394" s="3" t="s">
        <v>608</v>
      </c>
      <c r="C394" s="5">
        <v>2025</v>
      </c>
      <c r="F394" s="6" t="s">
        <v>608</v>
      </c>
      <c r="G394" s="6">
        <v>2023</v>
      </c>
      <c r="H394" s="7">
        <f t="shared" si="8"/>
        <v>11.3402073608372</v>
      </c>
      <c r="I394" s="6" t="s">
        <v>810</v>
      </c>
      <c r="K394" s="7">
        <v>22.680414721674399</v>
      </c>
    </row>
    <row r="395" spans="2:11">
      <c r="B395" s="3" t="s">
        <v>609</v>
      </c>
      <c r="C395" s="5">
        <v>2025</v>
      </c>
      <c r="F395" s="6" t="s">
        <v>609</v>
      </c>
      <c r="G395" s="6">
        <v>2023</v>
      </c>
      <c r="H395" s="7">
        <f t="shared" si="8"/>
        <v>11.119253975775949</v>
      </c>
      <c r="I395" s="6" t="s">
        <v>810</v>
      </c>
      <c r="K395" s="7">
        <v>22.238507951551899</v>
      </c>
    </row>
    <row r="396" spans="2:11">
      <c r="B396" s="3" t="s">
        <v>610</v>
      </c>
      <c r="C396" s="5">
        <v>2025</v>
      </c>
      <c r="F396" s="6" t="s">
        <v>610</v>
      </c>
      <c r="G396" s="6">
        <v>2023</v>
      </c>
      <c r="H396" s="7">
        <f t="shared" si="8"/>
        <v>15.82608504756365</v>
      </c>
      <c r="I396" s="6" t="s">
        <v>810</v>
      </c>
      <c r="K396" s="7">
        <v>31.6521700951273</v>
      </c>
    </row>
    <row r="397" spans="2:11">
      <c r="B397" s="3" t="s">
        <v>611</v>
      </c>
      <c r="C397" s="5">
        <v>2025</v>
      </c>
      <c r="F397" s="6" t="s">
        <v>611</v>
      </c>
      <c r="G397" s="6">
        <v>2023</v>
      </c>
      <c r="H397" s="7">
        <f t="shared" si="8"/>
        <v>9.8765283310263001</v>
      </c>
      <c r="I397" s="6" t="s">
        <v>810</v>
      </c>
      <c r="K397" s="7">
        <v>19.7530566620526</v>
      </c>
    </row>
    <row r="398" spans="2:11">
      <c r="B398" s="3" t="s">
        <v>612</v>
      </c>
      <c r="C398" s="5">
        <v>2025</v>
      </c>
      <c r="F398" s="6" t="s">
        <v>612</v>
      </c>
      <c r="G398" s="6">
        <v>2023</v>
      </c>
      <c r="H398" s="7">
        <f t="shared" si="8"/>
        <v>7.5397314957616004</v>
      </c>
      <c r="I398" s="6" t="s">
        <v>810</v>
      </c>
      <c r="K398" s="7">
        <v>15.079462991523201</v>
      </c>
    </row>
    <row r="399" spans="2:11">
      <c r="B399" s="3" t="s">
        <v>613</v>
      </c>
      <c r="C399" s="5">
        <v>2025</v>
      </c>
      <c r="F399" s="6" t="s">
        <v>613</v>
      </c>
      <c r="G399" s="6">
        <v>2023</v>
      </c>
      <c r="H399" s="7">
        <f t="shared" si="8"/>
        <v>6.0245655215241998</v>
      </c>
      <c r="I399" s="6" t="s">
        <v>810</v>
      </c>
      <c r="K399" s="7">
        <v>12.0491310430484</v>
      </c>
    </row>
    <row r="400" spans="2:11">
      <c r="B400" s="3" t="s">
        <v>614</v>
      </c>
      <c r="C400" s="5">
        <v>2025</v>
      </c>
      <c r="F400" s="6" t="s">
        <v>614</v>
      </c>
      <c r="G400" s="6">
        <v>2023</v>
      </c>
      <c r="H400" s="7">
        <f t="shared" si="8"/>
        <v>12.070397944065149</v>
      </c>
      <c r="I400" s="6" t="s">
        <v>810</v>
      </c>
      <c r="K400" s="7">
        <v>24.140795888130299</v>
      </c>
    </row>
    <row r="401" spans="2:11">
      <c r="B401" s="3" t="s">
        <v>615</v>
      </c>
      <c r="C401" s="5">
        <v>2025</v>
      </c>
      <c r="F401" s="6" t="s">
        <v>615</v>
      </c>
      <c r="G401" s="6">
        <v>2023</v>
      </c>
      <c r="H401" s="7">
        <f t="shared" si="8"/>
        <v>11.4343666752497</v>
      </c>
      <c r="I401" s="6" t="s">
        <v>810</v>
      </c>
      <c r="K401" s="7">
        <v>22.868733350499401</v>
      </c>
    </row>
    <row r="402" spans="2:11">
      <c r="B402" s="3" t="s">
        <v>616</v>
      </c>
      <c r="C402" s="5">
        <v>2025</v>
      </c>
      <c r="F402" s="6" t="s">
        <v>616</v>
      </c>
      <c r="G402" s="6">
        <v>2023</v>
      </c>
      <c r="H402" s="7">
        <f t="shared" si="8"/>
        <v>9.4248907808478997</v>
      </c>
      <c r="I402" s="6" t="s">
        <v>810</v>
      </c>
      <c r="K402" s="7">
        <v>18.849781561695799</v>
      </c>
    </row>
    <row r="403" spans="2:11">
      <c r="B403" s="3" t="s">
        <v>617</v>
      </c>
      <c r="C403" s="5">
        <v>2025</v>
      </c>
      <c r="F403" s="6" t="s">
        <v>617</v>
      </c>
      <c r="G403" s="6">
        <v>2023</v>
      </c>
      <c r="H403" s="7">
        <f t="shared" si="8"/>
        <v>9.9558761497071995</v>
      </c>
      <c r="I403" s="6" t="s">
        <v>810</v>
      </c>
      <c r="K403" s="7">
        <v>19.911752299414399</v>
      </c>
    </row>
    <row r="404" spans="2:11">
      <c r="B404" s="3" t="s">
        <v>618</v>
      </c>
      <c r="C404" s="5">
        <v>2025</v>
      </c>
      <c r="F404" s="6" t="s">
        <v>618</v>
      </c>
      <c r="G404" s="6">
        <v>2023</v>
      </c>
      <c r="H404" s="7">
        <f t="shared" si="8"/>
        <v>13.2919779875513</v>
      </c>
      <c r="I404" s="6" t="s">
        <v>810</v>
      </c>
      <c r="K404" s="7">
        <v>26.583955975102601</v>
      </c>
    </row>
    <row r="405" spans="2:11">
      <c r="B405" s="3" t="s">
        <v>619</v>
      </c>
      <c r="C405" s="5">
        <v>2025</v>
      </c>
      <c r="F405" s="6" t="s">
        <v>619</v>
      </c>
      <c r="G405" s="6">
        <v>2023</v>
      </c>
      <c r="H405" s="7">
        <f t="shared" si="8"/>
        <v>11.285041797966249</v>
      </c>
      <c r="I405" s="6" t="s">
        <v>810</v>
      </c>
      <c r="K405" s="7">
        <v>22.570083595932498</v>
      </c>
    </row>
    <row r="406" spans="2:11">
      <c r="B406" s="3" t="s">
        <v>620</v>
      </c>
      <c r="C406" s="5">
        <v>2025</v>
      </c>
      <c r="F406" s="6" t="s">
        <v>620</v>
      </c>
      <c r="G406" s="6">
        <v>2023</v>
      </c>
      <c r="H406" s="7">
        <f t="shared" si="8"/>
        <v>14.46396344403845</v>
      </c>
      <c r="I406" s="6" t="s">
        <v>810</v>
      </c>
      <c r="K406" s="7">
        <v>28.9279268880769</v>
      </c>
    </row>
    <row r="407" spans="2:11">
      <c r="B407" s="3" t="s">
        <v>621</v>
      </c>
      <c r="C407" s="5">
        <v>2025</v>
      </c>
      <c r="F407" s="6" t="s">
        <v>621</v>
      </c>
      <c r="G407" s="6">
        <v>2023</v>
      </c>
      <c r="H407" s="7">
        <f t="shared" si="8"/>
        <v>10.472721989816851</v>
      </c>
      <c r="I407" s="6" t="s">
        <v>810</v>
      </c>
      <c r="K407" s="7">
        <v>20.945443979633701</v>
      </c>
    </row>
    <row r="408" spans="2:11">
      <c r="B408" s="3" t="s">
        <v>622</v>
      </c>
      <c r="C408" s="5">
        <v>2025</v>
      </c>
      <c r="F408" s="6" t="s">
        <v>622</v>
      </c>
      <c r="G408" s="6">
        <v>2023</v>
      </c>
      <c r="H408" s="7">
        <f t="shared" si="8"/>
        <v>12.731415937005799</v>
      </c>
      <c r="I408" s="6" t="s">
        <v>810</v>
      </c>
      <c r="K408" s="7">
        <v>25.462831874011599</v>
      </c>
    </row>
    <row r="409" spans="2:11">
      <c r="B409" s="3" t="s">
        <v>623</v>
      </c>
      <c r="C409" s="5">
        <v>2025</v>
      </c>
      <c r="F409" s="6" t="s">
        <v>623</v>
      </c>
      <c r="G409" s="6">
        <v>2023</v>
      </c>
      <c r="H409" s="7">
        <f t="shared" si="8"/>
        <v>10.63333407350885</v>
      </c>
      <c r="I409" s="6" t="s">
        <v>810</v>
      </c>
      <c r="K409" s="7">
        <v>21.2666681470177</v>
      </c>
    </row>
    <row r="410" spans="2:11">
      <c r="B410" s="3" t="s">
        <v>624</v>
      </c>
      <c r="C410" s="5">
        <v>2025</v>
      </c>
      <c r="F410" s="6" t="s">
        <v>624</v>
      </c>
      <c r="G410" s="6">
        <v>2023</v>
      </c>
      <c r="H410" s="7">
        <f t="shared" si="8"/>
        <v>12.603902325485301</v>
      </c>
      <c r="I410" s="6" t="s">
        <v>810</v>
      </c>
      <c r="K410" s="7">
        <v>25.207804650970601</v>
      </c>
    </row>
    <row r="411" spans="2:11">
      <c r="B411" s="3" t="s">
        <v>625</v>
      </c>
      <c r="C411" s="5">
        <v>2025</v>
      </c>
      <c r="F411" s="6" t="s">
        <v>625</v>
      </c>
      <c r="G411" s="6">
        <v>2023</v>
      </c>
      <c r="H411" s="7">
        <f t="shared" si="8"/>
        <v>12.3113839985183</v>
      </c>
      <c r="I411" s="6" t="s">
        <v>810</v>
      </c>
      <c r="K411" s="7">
        <v>24.6227679970366</v>
      </c>
    </row>
    <row r="412" spans="2:11">
      <c r="B412" s="3" t="s">
        <v>626</v>
      </c>
      <c r="C412" s="5">
        <v>2025</v>
      </c>
      <c r="F412" s="6" t="s">
        <v>626</v>
      </c>
      <c r="G412" s="6">
        <v>2023</v>
      </c>
      <c r="H412" s="7">
        <f t="shared" si="8"/>
        <v>9.7972484330063505</v>
      </c>
      <c r="I412" s="6" t="s">
        <v>810</v>
      </c>
      <c r="K412" s="7">
        <v>19.594496866012701</v>
      </c>
    </row>
    <row r="413" spans="2:11">
      <c r="B413" s="3" t="s">
        <v>627</v>
      </c>
      <c r="C413" s="5">
        <v>2025</v>
      </c>
      <c r="F413" s="6" t="s">
        <v>627</v>
      </c>
      <c r="G413" s="6">
        <v>2023</v>
      </c>
      <c r="H413" s="7">
        <f t="shared" si="8"/>
        <v>9.25302051221135</v>
      </c>
      <c r="I413" s="6" t="s">
        <v>810</v>
      </c>
      <c r="K413" s="7">
        <v>18.5060410244227</v>
      </c>
    </row>
    <row r="414" spans="2:11">
      <c r="B414" s="3" t="s">
        <v>628</v>
      </c>
      <c r="C414" s="5">
        <v>2025</v>
      </c>
      <c r="F414" s="6" t="s">
        <v>628</v>
      </c>
      <c r="G414" s="6">
        <v>2023</v>
      </c>
      <c r="H414" s="7">
        <f t="shared" si="8"/>
        <v>10.8139474798881</v>
      </c>
      <c r="I414" s="6" t="s">
        <v>810</v>
      </c>
      <c r="K414" s="7">
        <v>21.627894959776199</v>
      </c>
    </row>
    <row r="415" spans="2:11">
      <c r="B415" s="3" t="s">
        <v>629</v>
      </c>
      <c r="C415" s="5">
        <v>2025</v>
      </c>
      <c r="F415" s="6" t="s">
        <v>629</v>
      </c>
      <c r="G415" s="6">
        <v>2023</v>
      </c>
      <c r="H415" s="7">
        <f t="shared" si="8"/>
        <v>12.0559812695011</v>
      </c>
      <c r="I415" s="6" t="s">
        <v>810</v>
      </c>
      <c r="K415" s="7">
        <v>24.111962539002199</v>
      </c>
    </row>
    <row r="416" spans="2:11">
      <c r="B416" s="3" t="s">
        <v>630</v>
      </c>
      <c r="C416" s="5">
        <v>2025</v>
      </c>
      <c r="F416" s="6" t="s">
        <v>630</v>
      </c>
      <c r="G416" s="6">
        <v>2023</v>
      </c>
      <c r="H416" s="7">
        <f t="shared" si="8"/>
        <v>10.51151524566945</v>
      </c>
      <c r="I416" s="6" t="s">
        <v>810</v>
      </c>
      <c r="K416" s="7">
        <v>21.023030491338901</v>
      </c>
    </row>
    <row r="417" spans="2:11">
      <c r="B417" s="3" t="s">
        <v>631</v>
      </c>
      <c r="C417" s="5">
        <v>2025</v>
      </c>
      <c r="F417" s="6" t="s">
        <v>631</v>
      </c>
      <c r="G417" s="6">
        <v>2023</v>
      </c>
      <c r="H417" s="7">
        <f t="shared" si="8"/>
        <v>10.627313281339999</v>
      </c>
      <c r="I417" s="6" t="s">
        <v>810</v>
      </c>
      <c r="K417" s="7">
        <v>21.254626562679999</v>
      </c>
    </row>
    <row r="418" spans="2:11">
      <c r="B418" s="3" t="s">
        <v>632</v>
      </c>
      <c r="C418" s="5">
        <v>2025</v>
      </c>
      <c r="F418" s="6" t="s">
        <v>632</v>
      </c>
      <c r="G418" s="6">
        <v>2023</v>
      </c>
      <c r="H418" s="7">
        <f t="shared" si="8"/>
        <v>10.8887931585249</v>
      </c>
      <c r="I418" s="6" t="s">
        <v>810</v>
      </c>
      <c r="K418" s="7">
        <v>21.777586317049799</v>
      </c>
    </row>
    <row r="419" spans="2:11">
      <c r="B419" s="3" t="s">
        <v>633</v>
      </c>
      <c r="C419" s="5">
        <v>2025</v>
      </c>
      <c r="F419" s="6" t="s">
        <v>633</v>
      </c>
      <c r="G419" s="6">
        <v>2023</v>
      </c>
      <c r="H419" s="7">
        <f t="shared" si="8"/>
        <v>17.215399899258252</v>
      </c>
      <c r="I419" s="6" t="s">
        <v>810</v>
      </c>
      <c r="K419" s="7">
        <v>34.430799798516503</v>
      </c>
    </row>
    <row r="420" spans="2:11">
      <c r="B420" s="3" t="s">
        <v>634</v>
      </c>
      <c r="C420" s="5">
        <v>2025</v>
      </c>
      <c r="F420" s="6" t="s">
        <v>634</v>
      </c>
      <c r="G420" s="6">
        <v>2023</v>
      </c>
      <c r="H420" s="7">
        <f t="shared" si="8"/>
        <v>9.5080241892912003</v>
      </c>
      <c r="I420" s="6" t="s">
        <v>810</v>
      </c>
      <c r="K420" s="7">
        <v>19.016048378582401</v>
      </c>
    </row>
    <row r="421" spans="2:11">
      <c r="B421" s="3" t="s">
        <v>635</v>
      </c>
      <c r="C421" s="5">
        <v>2025</v>
      </c>
      <c r="F421" s="6" t="s">
        <v>635</v>
      </c>
      <c r="G421" s="6">
        <v>2023</v>
      </c>
      <c r="H421" s="7">
        <f t="shared" si="8"/>
        <v>13.1659883563434</v>
      </c>
      <c r="I421" s="6" t="s">
        <v>810</v>
      </c>
      <c r="K421" s="7">
        <v>26.331976712686799</v>
      </c>
    </row>
    <row r="422" spans="2:11">
      <c r="B422" s="3" t="s">
        <v>636</v>
      </c>
      <c r="C422" s="5">
        <v>2025</v>
      </c>
      <c r="F422" s="6" t="s">
        <v>636</v>
      </c>
      <c r="G422" s="6">
        <v>2023</v>
      </c>
      <c r="H422" s="7">
        <f t="shared" si="8"/>
        <v>8.9271772404916501</v>
      </c>
      <c r="I422" s="6" t="s">
        <v>810</v>
      </c>
      <c r="K422" s="7">
        <v>17.8543544809833</v>
      </c>
    </row>
    <row r="423" spans="2:11">
      <c r="B423" s="3" t="s">
        <v>637</v>
      </c>
      <c r="C423" s="5">
        <v>2025</v>
      </c>
      <c r="F423" s="6" t="s">
        <v>637</v>
      </c>
      <c r="G423" s="6">
        <v>2023</v>
      </c>
      <c r="H423" s="7">
        <f t="shared" si="8"/>
        <v>12.9715870800002</v>
      </c>
      <c r="I423" s="6" t="s">
        <v>810</v>
      </c>
      <c r="K423" s="7">
        <v>25.9431741600004</v>
      </c>
    </row>
    <row r="424" spans="2:11">
      <c r="B424" s="3" t="s">
        <v>638</v>
      </c>
      <c r="C424" s="5">
        <v>2025</v>
      </c>
      <c r="F424" s="6" t="s">
        <v>638</v>
      </c>
      <c r="G424" s="6">
        <v>2023</v>
      </c>
      <c r="H424" s="7">
        <f t="shared" si="8"/>
        <v>16.144541872945851</v>
      </c>
      <c r="I424" s="6" t="s">
        <v>810</v>
      </c>
      <c r="K424" s="7">
        <v>32.289083745891702</v>
      </c>
    </row>
    <row r="425" spans="2:11">
      <c r="B425" s="3" t="s">
        <v>639</v>
      </c>
      <c r="C425" s="5">
        <v>2025</v>
      </c>
      <c r="F425" s="6" t="s">
        <v>639</v>
      </c>
      <c r="G425" s="6">
        <v>2023</v>
      </c>
      <c r="H425" s="7">
        <f t="shared" si="8"/>
        <v>9.5528412767754993</v>
      </c>
      <c r="I425" s="6" t="s">
        <v>810</v>
      </c>
      <c r="K425" s="7">
        <v>19.105682553550999</v>
      </c>
    </row>
    <row r="426" spans="2:11">
      <c r="B426" s="3" t="s">
        <v>640</v>
      </c>
      <c r="C426" s="5">
        <v>2025</v>
      </c>
      <c r="F426" s="6" t="s">
        <v>640</v>
      </c>
      <c r="G426" s="6">
        <v>2023</v>
      </c>
      <c r="H426" s="7">
        <f t="shared" si="8"/>
        <v>7.3554614066425996</v>
      </c>
      <c r="I426" s="6" t="s">
        <v>810</v>
      </c>
      <c r="K426" s="7">
        <v>14.710922813285199</v>
      </c>
    </row>
    <row r="427" spans="2:11">
      <c r="B427" s="3" t="s">
        <v>641</v>
      </c>
      <c r="C427" s="5">
        <v>2025</v>
      </c>
      <c r="F427" s="6" t="s">
        <v>641</v>
      </c>
      <c r="G427" s="6">
        <v>2023</v>
      </c>
      <c r="H427" s="7">
        <f t="shared" si="8"/>
        <v>6.4456369371511499</v>
      </c>
      <c r="I427" s="6" t="s">
        <v>810</v>
      </c>
      <c r="K427" s="7">
        <v>12.8912738743023</v>
      </c>
    </row>
    <row r="428" spans="2:11">
      <c r="B428" s="3" t="s">
        <v>642</v>
      </c>
      <c r="C428" s="5">
        <v>2025</v>
      </c>
      <c r="F428" s="6" t="s">
        <v>642</v>
      </c>
      <c r="G428" s="6">
        <v>2023</v>
      </c>
      <c r="H428" s="7">
        <f t="shared" si="8"/>
        <v>12.38099519899675</v>
      </c>
      <c r="I428" s="6" t="s">
        <v>810</v>
      </c>
      <c r="K428" s="7">
        <v>24.7619903979935</v>
      </c>
    </row>
    <row r="429" spans="2:11">
      <c r="B429" s="3" t="s">
        <v>643</v>
      </c>
      <c r="C429" s="5">
        <v>2025</v>
      </c>
      <c r="F429" s="6" t="s">
        <v>643</v>
      </c>
      <c r="G429" s="6">
        <v>2023</v>
      </c>
      <c r="H429" s="7">
        <f t="shared" si="8"/>
        <v>10.602105031030449</v>
      </c>
      <c r="I429" s="6" t="s">
        <v>810</v>
      </c>
      <c r="K429" s="7">
        <v>21.204210062060898</v>
      </c>
    </row>
    <row r="430" spans="2:11">
      <c r="B430" s="3" t="s">
        <v>644</v>
      </c>
      <c r="C430" s="5">
        <v>2025</v>
      </c>
      <c r="F430" s="6" t="s">
        <v>644</v>
      </c>
      <c r="G430" s="6">
        <v>2023</v>
      </c>
      <c r="H430" s="7">
        <f t="shared" si="8"/>
        <v>9.7749892842644002</v>
      </c>
      <c r="I430" s="6" t="s">
        <v>810</v>
      </c>
      <c r="K430" s="7">
        <v>19.5499785685288</v>
      </c>
    </row>
    <row r="431" spans="2:11">
      <c r="B431" s="3" t="s">
        <v>645</v>
      </c>
      <c r="C431" s="5">
        <v>2025</v>
      </c>
      <c r="F431" s="6" t="s">
        <v>645</v>
      </c>
      <c r="G431" s="6">
        <v>2023</v>
      </c>
      <c r="H431" s="7">
        <f t="shared" si="8"/>
        <v>10.270586056839051</v>
      </c>
      <c r="I431" s="6" t="s">
        <v>810</v>
      </c>
      <c r="K431" s="7">
        <v>20.541172113678101</v>
      </c>
    </row>
    <row r="432" spans="2:11">
      <c r="B432" s="3" t="s">
        <v>646</v>
      </c>
      <c r="C432" s="5">
        <v>2025</v>
      </c>
      <c r="F432" s="6" t="s">
        <v>646</v>
      </c>
      <c r="G432" s="6">
        <v>2023</v>
      </c>
      <c r="H432" s="7">
        <f t="shared" si="8"/>
        <v>12.9737949249465</v>
      </c>
      <c r="I432" s="6" t="s">
        <v>810</v>
      </c>
      <c r="K432" s="7">
        <v>25.947589849892999</v>
      </c>
    </row>
    <row r="433" spans="2:11">
      <c r="B433" s="3" t="s">
        <v>647</v>
      </c>
      <c r="C433" s="5">
        <v>2025</v>
      </c>
      <c r="F433" s="6" t="s">
        <v>647</v>
      </c>
      <c r="G433" s="6">
        <v>2023</v>
      </c>
      <c r="H433" s="7">
        <f t="shared" si="8"/>
        <v>9.0279686731635493</v>
      </c>
      <c r="I433" s="6" t="s">
        <v>810</v>
      </c>
      <c r="K433" s="7">
        <v>18.055937346327099</v>
      </c>
    </row>
    <row r="434" spans="2:11">
      <c r="B434" s="3" t="s">
        <v>648</v>
      </c>
      <c r="C434" s="5">
        <v>2025</v>
      </c>
      <c r="F434" s="6" t="s">
        <v>648</v>
      </c>
      <c r="G434" s="6">
        <v>2023</v>
      </c>
      <c r="H434" s="7">
        <f t="shared" si="8"/>
        <v>10.28329340181725</v>
      </c>
      <c r="I434" s="6" t="s">
        <v>810</v>
      </c>
      <c r="K434" s="7">
        <v>20.5665868036345</v>
      </c>
    </row>
    <row r="435" spans="2:11">
      <c r="B435" s="3" t="s">
        <v>649</v>
      </c>
      <c r="C435" s="5">
        <v>2025</v>
      </c>
      <c r="F435" s="6" t="s">
        <v>649</v>
      </c>
      <c r="G435" s="6">
        <v>2023</v>
      </c>
      <c r="H435" s="7">
        <f t="shared" si="8"/>
        <v>14.759880738456999</v>
      </c>
      <c r="I435" s="6" t="s">
        <v>810</v>
      </c>
      <c r="K435" s="7">
        <v>29.519761476913999</v>
      </c>
    </row>
    <row r="436" spans="2:11">
      <c r="B436" s="3" t="s">
        <v>650</v>
      </c>
      <c r="C436" s="5">
        <v>2025</v>
      </c>
      <c r="F436" s="6" t="s">
        <v>650</v>
      </c>
      <c r="G436" s="6">
        <v>2023</v>
      </c>
      <c r="H436" s="7">
        <f t="shared" si="8"/>
        <v>10.956666317260201</v>
      </c>
      <c r="I436" s="6" t="s">
        <v>810</v>
      </c>
      <c r="K436" s="7">
        <v>21.913332634520401</v>
      </c>
    </row>
    <row r="437" spans="2:11">
      <c r="B437" s="3" t="s">
        <v>651</v>
      </c>
      <c r="C437" s="5">
        <v>2025</v>
      </c>
      <c r="F437" s="6" t="s">
        <v>651</v>
      </c>
      <c r="G437" s="6">
        <v>2023</v>
      </c>
      <c r="H437" s="7">
        <f t="shared" si="8"/>
        <v>13.0508461328258</v>
      </c>
      <c r="I437" s="6" t="s">
        <v>810</v>
      </c>
      <c r="K437" s="7">
        <v>26.1016922656516</v>
      </c>
    </row>
    <row r="438" spans="2:11">
      <c r="B438" s="3" t="s">
        <v>652</v>
      </c>
      <c r="C438" s="5">
        <v>2025</v>
      </c>
      <c r="F438" s="6" t="s">
        <v>652</v>
      </c>
      <c r="G438" s="6">
        <v>2023</v>
      </c>
      <c r="H438" s="7">
        <f t="shared" si="8"/>
        <v>11.153525042550401</v>
      </c>
      <c r="I438" s="6" t="s">
        <v>810</v>
      </c>
      <c r="K438" s="7">
        <v>22.307050085100801</v>
      </c>
    </row>
    <row r="439" spans="2:11">
      <c r="B439" s="3" t="s">
        <v>653</v>
      </c>
      <c r="C439" s="5">
        <v>2025</v>
      </c>
      <c r="F439" s="6" t="s">
        <v>653</v>
      </c>
      <c r="G439" s="6">
        <v>2023</v>
      </c>
      <c r="H439" s="7">
        <f t="shared" si="8"/>
        <v>11.8240941657071</v>
      </c>
      <c r="I439" s="6" t="s">
        <v>810</v>
      </c>
      <c r="K439" s="7">
        <v>23.6481883314142</v>
      </c>
    </row>
    <row r="440" spans="2:11">
      <c r="B440" s="3" t="s">
        <v>654</v>
      </c>
      <c r="C440" s="5">
        <v>2025</v>
      </c>
      <c r="F440" s="6" t="s">
        <v>654</v>
      </c>
      <c r="G440" s="6">
        <v>2023</v>
      </c>
      <c r="H440" s="7">
        <f t="shared" si="8"/>
        <v>12.966642904267699</v>
      </c>
      <c r="I440" s="6" t="s">
        <v>810</v>
      </c>
      <c r="K440" s="7">
        <v>25.933285808535398</v>
      </c>
    </row>
    <row r="441" spans="2:11">
      <c r="B441" s="3" t="s">
        <v>655</v>
      </c>
      <c r="C441" s="5">
        <v>2025</v>
      </c>
      <c r="F441" s="6" t="s">
        <v>655</v>
      </c>
      <c r="G441" s="6">
        <v>2023</v>
      </c>
      <c r="H441" s="7">
        <f t="shared" si="8"/>
        <v>7.6500766217152503</v>
      </c>
      <c r="I441" s="6" t="s">
        <v>810</v>
      </c>
      <c r="K441" s="7">
        <v>15.300153243430501</v>
      </c>
    </row>
    <row r="442" spans="2:11">
      <c r="B442" s="3" t="s">
        <v>656</v>
      </c>
      <c r="C442" s="5">
        <v>2025</v>
      </c>
      <c r="F442" s="6" t="s">
        <v>656</v>
      </c>
      <c r="G442" s="6">
        <v>2023</v>
      </c>
      <c r="H442" s="7">
        <f t="shared" si="8"/>
        <v>7.3396658255379998</v>
      </c>
      <c r="I442" s="6" t="s">
        <v>810</v>
      </c>
      <c r="K442" s="7">
        <v>14.679331651076</v>
      </c>
    </row>
    <row r="443" spans="2:11">
      <c r="B443" s="3" t="s">
        <v>657</v>
      </c>
      <c r="C443" s="5">
        <v>2025</v>
      </c>
      <c r="F443" s="6" t="s">
        <v>657</v>
      </c>
      <c r="G443" s="6">
        <v>2023</v>
      </c>
      <c r="H443" s="7">
        <f t="shared" si="8"/>
        <v>11.5292485123445</v>
      </c>
      <c r="I443" s="6" t="s">
        <v>810</v>
      </c>
      <c r="K443" s="7">
        <v>23.058497024689</v>
      </c>
    </row>
    <row r="444" spans="2:11">
      <c r="B444" s="3" t="s">
        <v>658</v>
      </c>
      <c r="C444" s="5">
        <v>2025</v>
      </c>
      <c r="F444" s="6" t="s">
        <v>658</v>
      </c>
      <c r="G444" s="6">
        <v>2023</v>
      </c>
      <c r="H444" s="7">
        <f t="shared" si="8"/>
        <v>11.03074445523535</v>
      </c>
      <c r="I444" s="6" t="s">
        <v>810</v>
      </c>
      <c r="K444" s="7">
        <v>22.0614889104707</v>
      </c>
    </row>
    <row r="445" spans="2:11">
      <c r="B445" s="3" t="s">
        <v>659</v>
      </c>
      <c r="C445" s="5">
        <v>2025</v>
      </c>
      <c r="F445" s="6" t="s">
        <v>659</v>
      </c>
      <c r="G445" s="6">
        <v>2023</v>
      </c>
      <c r="H445" s="7">
        <f t="shared" si="8"/>
        <v>8.52732220725205</v>
      </c>
      <c r="I445" s="6" t="s">
        <v>810</v>
      </c>
      <c r="K445" s="7">
        <v>17.0546444145041</v>
      </c>
    </row>
    <row r="446" spans="2:11">
      <c r="B446" s="3" t="s">
        <v>660</v>
      </c>
      <c r="C446" s="5">
        <v>2025</v>
      </c>
      <c r="F446" s="6" t="s">
        <v>660</v>
      </c>
      <c r="G446" s="6">
        <v>2023</v>
      </c>
      <c r="H446" s="7">
        <f t="shared" si="8"/>
        <v>8.8256963847979506</v>
      </c>
      <c r="I446" s="6" t="s">
        <v>810</v>
      </c>
      <c r="K446" s="7">
        <v>17.651392769595901</v>
      </c>
    </row>
    <row r="447" spans="2:11">
      <c r="B447" s="3" t="s">
        <v>661</v>
      </c>
      <c r="C447" s="5">
        <v>2025</v>
      </c>
      <c r="F447" s="6" t="s">
        <v>661</v>
      </c>
      <c r="G447" s="6">
        <v>2023</v>
      </c>
      <c r="H447" s="7">
        <f t="shared" si="8"/>
        <v>8.8878883328853995</v>
      </c>
      <c r="I447" s="6" t="s">
        <v>810</v>
      </c>
      <c r="K447" s="7">
        <v>17.775776665770799</v>
      </c>
    </row>
    <row r="448" spans="2:11">
      <c r="B448" s="3" t="s">
        <v>662</v>
      </c>
      <c r="C448" s="5">
        <v>2025</v>
      </c>
      <c r="F448" s="6" t="s">
        <v>662</v>
      </c>
      <c r="G448" s="6">
        <v>2023</v>
      </c>
      <c r="H448" s="7">
        <f t="shared" si="8"/>
        <v>17.681072421565549</v>
      </c>
      <c r="I448" s="6" t="s">
        <v>810</v>
      </c>
      <c r="K448" s="7">
        <v>35.362144843131098</v>
      </c>
    </row>
    <row r="449" spans="2:11">
      <c r="B449" s="3" t="s">
        <v>663</v>
      </c>
      <c r="C449" s="5">
        <v>2025</v>
      </c>
      <c r="F449" s="6" t="s">
        <v>663</v>
      </c>
      <c r="G449" s="6">
        <v>2023</v>
      </c>
      <c r="H449" s="7">
        <f t="shared" si="8"/>
        <v>7.6197394572416002</v>
      </c>
      <c r="I449" s="6" t="s">
        <v>810</v>
      </c>
      <c r="K449" s="7">
        <v>15.2394789144832</v>
      </c>
    </row>
    <row r="450" spans="2:11">
      <c r="B450" s="3" t="s">
        <v>664</v>
      </c>
      <c r="C450" s="5">
        <v>2025</v>
      </c>
      <c r="F450" s="6" t="s">
        <v>664</v>
      </c>
      <c r="G450" s="6">
        <v>2023</v>
      </c>
      <c r="H450" s="7">
        <f t="shared" si="8"/>
        <v>10.8908206008084</v>
      </c>
      <c r="I450" s="6" t="s">
        <v>810</v>
      </c>
      <c r="K450" s="7">
        <v>21.7816412016168</v>
      </c>
    </row>
    <row r="451" spans="2:11">
      <c r="B451" s="3" t="s">
        <v>665</v>
      </c>
      <c r="C451" s="5">
        <v>2025</v>
      </c>
      <c r="F451" s="6" t="s">
        <v>665</v>
      </c>
      <c r="G451" s="6">
        <v>2023</v>
      </c>
      <c r="H451" s="7">
        <f t="shared" si="8"/>
        <v>12.632389036981049</v>
      </c>
      <c r="I451" s="6" t="s">
        <v>810</v>
      </c>
      <c r="K451" s="7">
        <v>25.264778073962098</v>
      </c>
    </row>
    <row r="452" spans="2:11">
      <c r="B452" s="3" t="s">
        <v>666</v>
      </c>
      <c r="C452" s="5">
        <v>2025</v>
      </c>
      <c r="F452" s="6" t="s">
        <v>666</v>
      </c>
      <c r="G452" s="6">
        <v>2023</v>
      </c>
      <c r="H452" s="7">
        <f t="shared" si="8"/>
        <v>14.905607376420299</v>
      </c>
      <c r="I452" s="6" t="s">
        <v>810</v>
      </c>
      <c r="K452" s="7">
        <v>29.811214752840598</v>
      </c>
    </row>
    <row r="453" spans="2:11">
      <c r="B453" s="3" t="s">
        <v>667</v>
      </c>
      <c r="C453" s="5">
        <v>2025</v>
      </c>
      <c r="F453" s="6" t="s">
        <v>667</v>
      </c>
      <c r="G453" s="6">
        <v>2023</v>
      </c>
      <c r="H453" s="7">
        <f t="shared" ref="H453:H479" si="9">K453/2</f>
        <v>8.0201064768933499</v>
      </c>
      <c r="I453" s="6" t="s">
        <v>810</v>
      </c>
      <c r="K453" s="7">
        <v>16.0402129537867</v>
      </c>
    </row>
    <row r="454" spans="2:11">
      <c r="B454" s="3" t="s">
        <v>668</v>
      </c>
      <c r="C454" s="5">
        <v>2025</v>
      </c>
      <c r="F454" s="6" t="s">
        <v>668</v>
      </c>
      <c r="G454" s="6">
        <v>2023</v>
      </c>
      <c r="H454" s="7">
        <f t="shared" si="9"/>
        <v>8.9147695320507996</v>
      </c>
      <c r="I454" s="6" t="s">
        <v>810</v>
      </c>
      <c r="K454" s="7">
        <v>17.829539064101599</v>
      </c>
    </row>
    <row r="455" spans="2:11">
      <c r="B455" s="3" t="s">
        <v>669</v>
      </c>
      <c r="C455" s="5">
        <v>2025</v>
      </c>
      <c r="F455" s="6" t="s">
        <v>669</v>
      </c>
      <c r="G455" s="6">
        <v>2023</v>
      </c>
      <c r="H455" s="7">
        <f t="shared" si="9"/>
        <v>8.3487380773248496</v>
      </c>
      <c r="I455" s="6" t="s">
        <v>810</v>
      </c>
      <c r="K455" s="7">
        <v>16.697476154649699</v>
      </c>
    </row>
    <row r="456" spans="2:11">
      <c r="B456" s="3" t="s">
        <v>670</v>
      </c>
      <c r="C456" s="5">
        <v>2025</v>
      </c>
      <c r="F456" s="6" t="s">
        <v>670</v>
      </c>
      <c r="G456" s="6">
        <v>2023</v>
      </c>
      <c r="H456" s="7">
        <f t="shared" si="9"/>
        <v>14.09296646413355</v>
      </c>
      <c r="I456" s="6" t="s">
        <v>810</v>
      </c>
      <c r="K456" s="7">
        <v>28.1859329282671</v>
      </c>
    </row>
    <row r="457" spans="2:11">
      <c r="B457" s="3" t="s">
        <v>671</v>
      </c>
      <c r="C457" s="5">
        <v>2025</v>
      </c>
      <c r="F457" s="6" t="s">
        <v>671</v>
      </c>
      <c r="G457" s="6">
        <v>2023</v>
      </c>
      <c r="H457" s="7">
        <f t="shared" si="9"/>
        <v>8.7085176071010508</v>
      </c>
      <c r="I457" s="6" t="s">
        <v>810</v>
      </c>
      <c r="K457" s="7">
        <v>17.417035214202102</v>
      </c>
    </row>
    <row r="458" spans="2:11">
      <c r="B458" s="3" t="s">
        <v>672</v>
      </c>
      <c r="C458" s="5">
        <v>2025</v>
      </c>
      <c r="F458" s="6" t="s">
        <v>672</v>
      </c>
      <c r="G458" s="6">
        <v>2023</v>
      </c>
      <c r="H458" s="7">
        <f t="shared" si="9"/>
        <v>11.54170946708475</v>
      </c>
      <c r="I458" s="6" t="s">
        <v>810</v>
      </c>
      <c r="K458" s="7">
        <v>23.083418934169501</v>
      </c>
    </row>
    <row r="459" spans="2:11">
      <c r="B459" s="3" t="s">
        <v>673</v>
      </c>
      <c r="C459" s="5">
        <v>2025</v>
      </c>
      <c r="F459" s="6" t="s">
        <v>673</v>
      </c>
      <c r="G459" s="6">
        <v>2023</v>
      </c>
      <c r="H459" s="7">
        <f t="shared" si="9"/>
        <v>11.9792397109207</v>
      </c>
      <c r="I459" s="6" t="s">
        <v>810</v>
      </c>
      <c r="K459" s="7">
        <v>23.9584794218414</v>
      </c>
    </row>
    <row r="460" spans="2:11">
      <c r="B460" s="3" t="s">
        <v>674</v>
      </c>
      <c r="C460" s="5">
        <v>2025</v>
      </c>
      <c r="F460" s="6" t="s">
        <v>674</v>
      </c>
      <c r="G460" s="6">
        <v>2023</v>
      </c>
      <c r="H460" s="7">
        <f t="shared" si="9"/>
        <v>13.78669877496095</v>
      </c>
      <c r="I460" s="6" t="s">
        <v>810</v>
      </c>
      <c r="K460" s="7">
        <v>27.5733975499219</v>
      </c>
    </row>
    <row r="461" spans="2:11">
      <c r="B461" s="3" t="s">
        <v>675</v>
      </c>
      <c r="C461" s="5">
        <v>2025</v>
      </c>
      <c r="F461" s="6" t="s">
        <v>675</v>
      </c>
      <c r="G461" s="6">
        <v>2023</v>
      </c>
      <c r="H461" s="7">
        <f t="shared" si="9"/>
        <v>11.04452009463175</v>
      </c>
      <c r="I461" s="6" t="s">
        <v>810</v>
      </c>
      <c r="K461" s="7">
        <v>22.0890401892635</v>
      </c>
    </row>
    <row r="462" spans="2:11">
      <c r="B462" s="3" t="s">
        <v>676</v>
      </c>
      <c r="C462" s="5">
        <v>2025</v>
      </c>
      <c r="F462" s="6" t="s">
        <v>676</v>
      </c>
      <c r="G462" s="6">
        <v>2023</v>
      </c>
      <c r="H462" s="7">
        <f t="shared" si="9"/>
        <v>14.703974863837949</v>
      </c>
      <c r="I462" s="6" t="s">
        <v>810</v>
      </c>
      <c r="K462" s="7">
        <v>29.407949727675899</v>
      </c>
    </row>
    <row r="463" spans="2:11">
      <c r="B463" s="3" t="s">
        <v>677</v>
      </c>
      <c r="C463" s="5">
        <v>2025</v>
      </c>
      <c r="F463" s="6" t="s">
        <v>677</v>
      </c>
      <c r="G463" s="6">
        <v>2023</v>
      </c>
      <c r="H463" s="7">
        <f t="shared" si="9"/>
        <v>12.95884937401755</v>
      </c>
      <c r="I463" s="6" t="s">
        <v>810</v>
      </c>
      <c r="K463" s="7">
        <v>25.9176987480351</v>
      </c>
    </row>
    <row r="464" spans="2:11">
      <c r="B464" s="3" t="s">
        <v>678</v>
      </c>
      <c r="C464" s="5">
        <v>2025</v>
      </c>
      <c r="F464" s="6" t="s">
        <v>678</v>
      </c>
      <c r="G464" s="6">
        <v>2023</v>
      </c>
      <c r="H464" s="7">
        <f t="shared" si="9"/>
        <v>14.787496046663501</v>
      </c>
      <c r="I464" s="6" t="s">
        <v>810</v>
      </c>
      <c r="K464" s="7">
        <v>29.574992093327001</v>
      </c>
    </row>
    <row r="465" spans="2:11">
      <c r="B465" s="3" t="s">
        <v>679</v>
      </c>
      <c r="C465" s="5">
        <v>2025</v>
      </c>
      <c r="F465" s="6" t="s">
        <v>679</v>
      </c>
      <c r="G465" s="6">
        <v>2023</v>
      </c>
      <c r="H465" s="7">
        <f t="shared" si="9"/>
        <v>13.22076567663925</v>
      </c>
      <c r="I465" s="6" t="s">
        <v>810</v>
      </c>
      <c r="K465" s="7">
        <v>26.441531353278499</v>
      </c>
    </row>
    <row r="466" spans="2:11">
      <c r="B466" s="3" t="s">
        <v>680</v>
      </c>
      <c r="C466" s="5">
        <v>2025</v>
      </c>
      <c r="F466" s="6" t="s">
        <v>680</v>
      </c>
      <c r="G466" s="6">
        <v>2023</v>
      </c>
      <c r="H466" s="7">
        <f t="shared" si="9"/>
        <v>9.9269553575960003</v>
      </c>
      <c r="I466" s="6" t="s">
        <v>810</v>
      </c>
      <c r="K466" s="7">
        <v>19.853910715192001</v>
      </c>
    </row>
    <row r="467" spans="2:11">
      <c r="B467" s="3" t="s">
        <v>681</v>
      </c>
      <c r="C467" s="5">
        <v>2025</v>
      </c>
      <c r="F467" s="6" t="s">
        <v>681</v>
      </c>
      <c r="G467" s="6">
        <v>2023</v>
      </c>
      <c r="H467" s="7">
        <f t="shared" si="9"/>
        <v>15.26838148177505</v>
      </c>
      <c r="I467" s="6" t="s">
        <v>810</v>
      </c>
      <c r="K467" s="7">
        <v>30.5367629635501</v>
      </c>
    </row>
    <row r="468" spans="2:11">
      <c r="B468" s="3" t="s">
        <v>682</v>
      </c>
      <c r="C468" s="5">
        <v>2025</v>
      </c>
      <c r="F468" s="6" t="s">
        <v>682</v>
      </c>
      <c r="G468" s="6">
        <v>2023</v>
      </c>
      <c r="H468" s="7">
        <f t="shared" si="9"/>
        <v>10.492381482135301</v>
      </c>
      <c r="I468" s="6" t="s">
        <v>810</v>
      </c>
      <c r="K468" s="7">
        <v>20.984762964270601</v>
      </c>
    </row>
    <row r="469" spans="2:11">
      <c r="B469" s="3" t="s">
        <v>683</v>
      </c>
      <c r="C469" s="5">
        <v>2025</v>
      </c>
      <c r="F469" s="6" t="s">
        <v>683</v>
      </c>
      <c r="G469" s="6">
        <v>2023</v>
      </c>
      <c r="H469" s="7">
        <f t="shared" si="9"/>
        <v>9.9955994434775999</v>
      </c>
      <c r="I469" s="6" t="s">
        <v>810</v>
      </c>
      <c r="K469" s="7">
        <v>19.9911988869552</v>
      </c>
    </row>
    <row r="470" spans="2:11">
      <c r="B470" s="3" t="s">
        <v>684</v>
      </c>
      <c r="C470" s="5">
        <v>2025</v>
      </c>
      <c r="F470" s="6" t="s">
        <v>684</v>
      </c>
      <c r="G470" s="6">
        <v>2023</v>
      </c>
      <c r="H470" s="7">
        <f t="shared" si="9"/>
        <v>13.91087687644985</v>
      </c>
      <c r="I470" s="6" t="s">
        <v>810</v>
      </c>
      <c r="K470" s="7">
        <v>27.821753752899699</v>
      </c>
    </row>
    <row r="471" spans="2:11">
      <c r="B471" s="3" t="s">
        <v>685</v>
      </c>
      <c r="C471" s="5">
        <v>2025</v>
      </c>
      <c r="F471" s="6" t="s">
        <v>685</v>
      </c>
      <c r="G471" s="6">
        <v>2023</v>
      </c>
      <c r="H471" s="7">
        <f t="shared" si="9"/>
        <v>9.2517599476179999</v>
      </c>
      <c r="I471" s="6" t="s">
        <v>810</v>
      </c>
      <c r="K471" s="7">
        <v>18.503519895236</v>
      </c>
    </row>
    <row r="472" spans="2:11">
      <c r="B472" s="3" t="s">
        <v>686</v>
      </c>
      <c r="C472" s="5">
        <v>2025</v>
      </c>
      <c r="F472" s="6" t="s">
        <v>686</v>
      </c>
      <c r="G472" s="6">
        <v>2023</v>
      </c>
      <c r="H472" s="7">
        <f t="shared" si="9"/>
        <v>11.096206706247649</v>
      </c>
      <c r="I472" s="6" t="s">
        <v>810</v>
      </c>
      <c r="K472" s="7">
        <v>22.192413412495299</v>
      </c>
    </row>
    <row r="473" spans="2:11">
      <c r="B473" s="3" t="s">
        <v>687</v>
      </c>
      <c r="C473" s="5">
        <v>2025</v>
      </c>
      <c r="F473" s="6" t="s">
        <v>687</v>
      </c>
      <c r="G473" s="6">
        <v>2023</v>
      </c>
      <c r="H473" s="7">
        <f t="shared" si="9"/>
        <v>11.42964665037835</v>
      </c>
      <c r="I473" s="6" t="s">
        <v>810</v>
      </c>
      <c r="K473" s="7">
        <v>22.859293300756701</v>
      </c>
    </row>
    <row r="474" spans="2:11">
      <c r="B474" s="3" t="s">
        <v>688</v>
      </c>
      <c r="C474" s="5">
        <v>2025</v>
      </c>
      <c r="F474" s="6" t="s">
        <v>688</v>
      </c>
      <c r="G474" s="6">
        <v>2023</v>
      </c>
      <c r="H474" s="7">
        <f t="shared" si="9"/>
        <v>11.4844682321281</v>
      </c>
      <c r="I474" s="6" t="s">
        <v>810</v>
      </c>
      <c r="K474" s="7">
        <v>22.968936464256199</v>
      </c>
    </row>
    <row r="475" spans="2:11">
      <c r="B475" s="3" t="s">
        <v>689</v>
      </c>
      <c r="C475" s="5">
        <v>2025</v>
      </c>
      <c r="F475" s="6" t="s">
        <v>689</v>
      </c>
      <c r="G475" s="6">
        <v>2023</v>
      </c>
      <c r="H475" s="7">
        <f t="shared" si="9"/>
        <v>16.547651807959351</v>
      </c>
      <c r="I475" s="6" t="s">
        <v>810</v>
      </c>
      <c r="K475" s="7">
        <v>33.095303615918702</v>
      </c>
    </row>
    <row r="476" spans="2:11">
      <c r="B476" s="3" t="s">
        <v>690</v>
      </c>
      <c r="C476" s="5">
        <v>2025</v>
      </c>
      <c r="F476" s="6" t="s">
        <v>690</v>
      </c>
      <c r="G476" s="6">
        <v>2023</v>
      </c>
      <c r="H476" s="7">
        <f t="shared" si="9"/>
        <v>10.005624427460351</v>
      </c>
      <c r="I476" s="6" t="s">
        <v>810</v>
      </c>
      <c r="K476" s="7">
        <v>20.011248854920701</v>
      </c>
    </row>
    <row r="477" spans="2:11">
      <c r="B477" s="3" t="s">
        <v>691</v>
      </c>
      <c r="C477" s="5">
        <v>2025</v>
      </c>
      <c r="F477" s="6" t="s">
        <v>691</v>
      </c>
      <c r="G477" s="6">
        <v>2023</v>
      </c>
      <c r="H477" s="7">
        <f t="shared" si="9"/>
        <v>13.9457348691604</v>
      </c>
      <c r="I477" s="6" t="s">
        <v>810</v>
      </c>
      <c r="K477" s="7">
        <v>27.891469738320801</v>
      </c>
    </row>
    <row r="478" spans="2:11">
      <c r="B478" s="3" t="s">
        <v>692</v>
      </c>
      <c r="C478" s="5">
        <v>2025</v>
      </c>
      <c r="F478" s="6" t="s">
        <v>692</v>
      </c>
      <c r="G478" s="6">
        <v>2023</v>
      </c>
      <c r="H478" s="7">
        <f t="shared" si="9"/>
        <v>9.6491021347819501</v>
      </c>
      <c r="I478" s="6" t="s">
        <v>810</v>
      </c>
      <c r="K478" s="7">
        <v>19.2982042695639</v>
      </c>
    </row>
    <row r="479" spans="2:11">
      <c r="B479" s="3" t="s">
        <v>693</v>
      </c>
      <c r="C479" s="5">
        <v>2025</v>
      </c>
      <c r="F479" s="6" t="s">
        <v>693</v>
      </c>
      <c r="G479" s="6">
        <v>2023</v>
      </c>
      <c r="H479" s="7">
        <f t="shared" si="9"/>
        <v>12.4824220977642</v>
      </c>
      <c r="I479" s="6" t="s">
        <v>810</v>
      </c>
      <c r="K479" s="7">
        <v>24.9648441955284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51ED68-0FDF-4CAD-B3B4-9C6565F428CC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INS</vt:lpstr>
      <vt:lpstr>InterReg_ELC</vt:lpstr>
      <vt:lpstr>InterReg_Gas</vt:lpstr>
      <vt:lpstr>InterReg_LNG</vt:lpstr>
      <vt:lpstr>InterReg_HH2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D'HERBEMONT Vincent</cp:lastModifiedBy>
  <dcterms:created xsi:type="dcterms:W3CDTF">2009-05-27T15:40:55Z</dcterms:created>
  <dcterms:modified xsi:type="dcterms:W3CDTF">2025-02-28T14:26:10Z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277676105499267</vt:r8>
  </property>
  <property fmtid="{D5CDD505-2E9C-101B-9397-08002B2CF9AE}" pid="3" name="{A44787D4-0540-4523-9961-78E4036D8C6D}">
    <vt:lpwstr>{7016BF42-3B1F-4EDA-8126-8E0ED5CA957B}</vt:lpwstr>
  </property>
</Properties>
</file>