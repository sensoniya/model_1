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da\Veda_models\KiNESYS_IFP-main - Copie - Copie\SuppXLS\"/>
    </mc:Choice>
  </mc:AlternateContent>
  <xr:revisionPtr revIDLastSave="0" documentId="13_ncr:1_{DB1C99FD-8DD4-4FA7-AC1F-F57D50206343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Transport" sheetId="2" r:id="rId1"/>
    <sheet name="Solar" sheetId="15" r:id="rId2"/>
    <sheet name="Wind" sheetId="16" r:id="rId3"/>
    <sheet name="H2" sheetId="6" r:id="rId4"/>
    <sheet name="Sheet7" sheetId="7" r:id="rId5"/>
    <sheet name="Sheet8" sheetId="8" r:id="rId6"/>
    <sheet name="Sheet9" sheetId="9" r:id="rId7"/>
  </sheets>
  <definedNames>
    <definedName name="_xlnm._FilterDatabase" localSheetId="1" hidden="1">Solar!$N$6:$O$170</definedName>
    <definedName name="_xlnm._FilterDatabase" localSheetId="2" hidden="1">Wind!$N$6:$O$170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8" i="16" l="1"/>
  <c r="D177" i="16"/>
  <c r="D176" i="16"/>
  <c r="D175" i="16"/>
  <c r="D174" i="16"/>
  <c r="D173" i="16"/>
  <c r="D172" i="16"/>
  <c r="D171" i="16"/>
  <c r="O171" i="16"/>
  <c r="B171" i="16" s="1"/>
  <c r="O172" i="16"/>
  <c r="B172" i="16" s="1"/>
  <c r="O173" i="16"/>
  <c r="B173" i="16" s="1"/>
  <c r="O174" i="16"/>
  <c r="B174" i="16" s="1"/>
  <c r="O175" i="16"/>
  <c r="B175" i="16" s="1"/>
  <c r="O176" i="16"/>
  <c r="B176" i="16" s="1"/>
  <c r="O177" i="16"/>
  <c r="B177" i="16" s="1"/>
  <c r="O178" i="16"/>
  <c r="B178" i="16" s="1"/>
  <c r="O170" i="16" l="1"/>
  <c r="B170" i="16" s="1"/>
  <c r="D170" i="16"/>
  <c r="O169" i="16"/>
  <c r="B169" i="16" s="1"/>
  <c r="D169" i="16"/>
  <c r="O168" i="16"/>
  <c r="B168" i="16" s="1"/>
  <c r="D168" i="16"/>
  <c r="O167" i="16"/>
  <c r="B167" i="16" s="1"/>
  <c r="D167" i="16"/>
  <c r="O166" i="16"/>
  <c r="B166" i="16" s="1"/>
  <c r="D166" i="16"/>
  <c r="O165" i="16"/>
  <c r="B165" i="16" s="1"/>
  <c r="D165" i="16"/>
  <c r="O164" i="16"/>
  <c r="B164" i="16" s="1"/>
  <c r="D164" i="16"/>
  <c r="O163" i="16"/>
  <c r="B163" i="16" s="1"/>
  <c r="D163" i="16"/>
  <c r="O162" i="16"/>
  <c r="B162" i="16" s="1"/>
  <c r="D162" i="16"/>
  <c r="O161" i="16"/>
  <c r="B161" i="16" s="1"/>
  <c r="D161" i="16"/>
  <c r="O160" i="16"/>
  <c r="B160" i="16" s="1"/>
  <c r="D160" i="16"/>
  <c r="O159" i="16"/>
  <c r="B159" i="16" s="1"/>
  <c r="D159" i="16"/>
  <c r="O158" i="16"/>
  <c r="B158" i="16" s="1"/>
  <c r="D158" i="16"/>
  <c r="O157" i="16"/>
  <c r="B157" i="16" s="1"/>
  <c r="D157" i="16"/>
  <c r="O156" i="16"/>
  <c r="B156" i="16" s="1"/>
  <c r="D156" i="16"/>
  <c r="O155" i="16"/>
  <c r="B155" i="16" s="1"/>
  <c r="D155" i="16"/>
  <c r="O154" i="16"/>
  <c r="B154" i="16" s="1"/>
  <c r="D154" i="16"/>
  <c r="O153" i="16"/>
  <c r="B153" i="16" s="1"/>
  <c r="D153" i="16"/>
  <c r="O152" i="16"/>
  <c r="B152" i="16" s="1"/>
  <c r="D152" i="16"/>
  <c r="O151" i="16"/>
  <c r="B151" i="16" s="1"/>
  <c r="D151" i="16"/>
  <c r="O150" i="16"/>
  <c r="B150" i="16" s="1"/>
  <c r="D150" i="16"/>
  <c r="O149" i="16"/>
  <c r="B149" i="16" s="1"/>
  <c r="D149" i="16"/>
  <c r="O148" i="16"/>
  <c r="B148" i="16" s="1"/>
  <c r="D148" i="16"/>
  <c r="O147" i="16"/>
  <c r="B147" i="16" s="1"/>
  <c r="D147" i="16"/>
  <c r="O146" i="16"/>
  <c r="B146" i="16" s="1"/>
  <c r="D146" i="16"/>
  <c r="O145" i="16"/>
  <c r="B145" i="16" s="1"/>
  <c r="D145" i="16"/>
  <c r="O144" i="16"/>
  <c r="B144" i="16" s="1"/>
  <c r="D144" i="16"/>
  <c r="O143" i="16"/>
  <c r="B143" i="16" s="1"/>
  <c r="D143" i="16"/>
  <c r="O142" i="16"/>
  <c r="B142" i="16" s="1"/>
  <c r="D142" i="16"/>
  <c r="O141" i="16"/>
  <c r="B141" i="16" s="1"/>
  <c r="D141" i="16"/>
  <c r="O140" i="16"/>
  <c r="B140" i="16" s="1"/>
  <c r="D140" i="16"/>
  <c r="O139" i="16"/>
  <c r="B139" i="16" s="1"/>
  <c r="D139" i="16"/>
  <c r="O138" i="16"/>
  <c r="B138" i="16" s="1"/>
  <c r="D138" i="16"/>
  <c r="O137" i="16"/>
  <c r="B137" i="16" s="1"/>
  <c r="D137" i="16"/>
  <c r="O136" i="16"/>
  <c r="B136" i="16" s="1"/>
  <c r="D136" i="16"/>
  <c r="O135" i="16"/>
  <c r="B135" i="16" s="1"/>
  <c r="D135" i="16"/>
  <c r="O134" i="16"/>
  <c r="B134" i="16" s="1"/>
  <c r="D134" i="16"/>
  <c r="O133" i="16"/>
  <c r="B133" i="16" s="1"/>
  <c r="D133" i="16"/>
  <c r="O132" i="16"/>
  <c r="B132" i="16" s="1"/>
  <c r="D132" i="16"/>
  <c r="O131" i="16"/>
  <c r="B131" i="16" s="1"/>
  <c r="D131" i="16"/>
  <c r="O130" i="16"/>
  <c r="B130" i="16" s="1"/>
  <c r="D130" i="16"/>
  <c r="O129" i="16"/>
  <c r="B129" i="16" s="1"/>
  <c r="D129" i="16"/>
  <c r="O128" i="16"/>
  <c r="B128" i="16" s="1"/>
  <c r="D128" i="16"/>
  <c r="O127" i="16"/>
  <c r="B127" i="16" s="1"/>
  <c r="D127" i="16"/>
  <c r="O126" i="16"/>
  <c r="B126" i="16" s="1"/>
  <c r="D126" i="16"/>
  <c r="O125" i="16"/>
  <c r="B125" i="16" s="1"/>
  <c r="D125" i="16"/>
  <c r="O124" i="16"/>
  <c r="B124" i="16" s="1"/>
  <c r="D124" i="16"/>
  <c r="O123" i="16"/>
  <c r="B123" i="16" s="1"/>
  <c r="D123" i="16"/>
  <c r="O122" i="16"/>
  <c r="B122" i="16" s="1"/>
  <c r="D122" i="16"/>
  <c r="O121" i="16"/>
  <c r="B121" i="16" s="1"/>
  <c r="D121" i="16"/>
  <c r="O120" i="16"/>
  <c r="B120" i="16" s="1"/>
  <c r="D120" i="16"/>
  <c r="O119" i="16"/>
  <c r="B119" i="16" s="1"/>
  <c r="D119" i="16"/>
  <c r="O118" i="16"/>
  <c r="B118" i="16" s="1"/>
  <c r="D118" i="16"/>
  <c r="O117" i="16"/>
  <c r="B117" i="16" s="1"/>
  <c r="D117" i="16"/>
  <c r="O116" i="16"/>
  <c r="B116" i="16" s="1"/>
  <c r="D116" i="16"/>
  <c r="O115" i="16"/>
  <c r="B115" i="16" s="1"/>
  <c r="D115" i="16"/>
  <c r="O114" i="16"/>
  <c r="B114" i="16" s="1"/>
  <c r="D114" i="16"/>
  <c r="O113" i="16"/>
  <c r="B113" i="16" s="1"/>
  <c r="D113" i="16"/>
  <c r="O112" i="16"/>
  <c r="B112" i="16" s="1"/>
  <c r="D112" i="16"/>
  <c r="O111" i="16"/>
  <c r="B111" i="16" s="1"/>
  <c r="D111" i="16"/>
  <c r="O110" i="16"/>
  <c r="B110" i="16" s="1"/>
  <c r="D110" i="16"/>
  <c r="O109" i="16"/>
  <c r="B109" i="16" s="1"/>
  <c r="D109" i="16"/>
  <c r="O108" i="16"/>
  <c r="B108" i="16" s="1"/>
  <c r="D108" i="16"/>
  <c r="O107" i="16"/>
  <c r="B107" i="16" s="1"/>
  <c r="D107" i="16"/>
  <c r="O106" i="16"/>
  <c r="B106" i="16" s="1"/>
  <c r="D106" i="16"/>
  <c r="O105" i="16"/>
  <c r="B105" i="16" s="1"/>
  <c r="D105" i="16"/>
  <c r="O104" i="16"/>
  <c r="B104" i="16" s="1"/>
  <c r="D104" i="16"/>
  <c r="O103" i="16"/>
  <c r="B103" i="16" s="1"/>
  <c r="D103" i="16"/>
  <c r="O102" i="16"/>
  <c r="B102" i="16" s="1"/>
  <c r="D102" i="16"/>
  <c r="O101" i="16"/>
  <c r="B101" i="16" s="1"/>
  <c r="D101" i="16"/>
  <c r="O100" i="16"/>
  <c r="B100" i="16" s="1"/>
  <c r="D100" i="16"/>
  <c r="O99" i="16"/>
  <c r="B99" i="16" s="1"/>
  <c r="D99" i="16"/>
  <c r="O98" i="16"/>
  <c r="B98" i="16" s="1"/>
  <c r="D98" i="16"/>
  <c r="O97" i="16"/>
  <c r="B97" i="16" s="1"/>
  <c r="D97" i="16"/>
  <c r="O96" i="16"/>
  <c r="B96" i="16" s="1"/>
  <c r="D96" i="16"/>
  <c r="O95" i="16"/>
  <c r="B95" i="16" s="1"/>
  <c r="D95" i="16"/>
  <c r="O94" i="16"/>
  <c r="B94" i="16" s="1"/>
  <c r="D94" i="16"/>
  <c r="O93" i="16"/>
  <c r="B93" i="16" s="1"/>
  <c r="D93" i="16"/>
  <c r="O92" i="16"/>
  <c r="B92" i="16" s="1"/>
  <c r="D92" i="16"/>
  <c r="O91" i="16"/>
  <c r="B91" i="16" s="1"/>
  <c r="D91" i="16"/>
  <c r="O90" i="16"/>
  <c r="B90" i="16" s="1"/>
  <c r="D90" i="16"/>
  <c r="O89" i="16"/>
  <c r="B89" i="16" s="1"/>
  <c r="D89" i="16"/>
  <c r="O88" i="16"/>
  <c r="B88" i="16" s="1"/>
  <c r="D88" i="16"/>
  <c r="O87" i="16"/>
  <c r="B87" i="16" s="1"/>
  <c r="D87" i="16"/>
  <c r="O86" i="16"/>
  <c r="B86" i="16" s="1"/>
  <c r="D86" i="16"/>
  <c r="O85" i="16"/>
  <c r="B85" i="16" s="1"/>
  <c r="D85" i="16"/>
  <c r="O84" i="16"/>
  <c r="B84" i="16" s="1"/>
  <c r="D84" i="16"/>
  <c r="O83" i="16"/>
  <c r="B83" i="16" s="1"/>
  <c r="D83" i="16"/>
  <c r="O82" i="16"/>
  <c r="B82" i="16" s="1"/>
  <c r="D82" i="16"/>
  <c r="O81" i="16"/>
  <c r="B81" i="16" s="1"/>
  <c r="D81" i="16"/>
  <c r="O80" i="16"/>
  <c r="B80" i="16" s="1"/>
  <c r="D80" i="16"/>
  <c r="O79" i="16"/>
  <c r="B79" i="16" s="1"/>
  <c r="D79" i="16"/>
  <c r="O78" i="16"/>
  <c r="B78" i="16" s="1"/>
  <c r="D78" i="16"/>
  <c r="O77" i="16"/>
  <c r="B77" i="16" s="1"/>
  <c r="D77" i="16"/>
  <c r="O76" i="16"/>
  <c r="B76" i="16" s="1"/>
  <c r="D76" i="16"/>
  <c r="O75" i="16"/>
  <c r="B75" i="16" s="1"/>
  <c r="D75" i="16"/>
  <c r="O74" i="16"/>
  <c r="B74" i="16" s="1"/>
  <c r="D74" i="16"/>
  <c r="O73" i="16"/>
  <c r="B73" i="16" s="1"/>
  <c r="D73" i="16"/>
  <c r="O72" i="16"/>
  <c r="B72" i="16" s="1"/>
  <c r="D72" i="16"/>
  <c r="O71" i="16"/>
  <c r="B71" i="16" s="1"/>
  <c r="D71" i="16"/>
  <c r="O70" i="16"/>
  <c r="B70" i="16" s="1"/>
  <c r="D70" i="16"/>
  <c r="O69" i="16"/>
  <c r="B69" i="16" s="1"/>
  <c r="D69" i="16"/>
  <c r="O68" i="16"/>
  <c r="B68" i="16" s="1"/>
  <c r="D68" i="16"/>
  <c r="O67" i="16"/>
  <c r="B67" i="16" s="1"/>
  <c r="D67" i="16"/>
  <c r="O66" i="16"/>
  <c r="B66" i="16" s="1"/>
  <c r="D66" i="16"/>
  <c r="O65" i="16"/>
  <c r="B65" i="16" s="1"/>
  <c r="D65" i="16"/>
  <c r="O64" i="16"/>
  <c r="B64" i="16" s="1"/>
  <c r="D64" i="16"/>
  <c r="O63" i="16"/>
  <c r="B63" i="16" s="1"/>
  <c r="D63" i="16"/>
  <c r="O62" i="16"/>
  <c r="B62" i="16" s="1"/>
  <c r="D62" i="16"/>
  <c r="O61" i="16"/>
  <c r="B61" i="16" s="1"/>
  <c r="D61" i="16"/>
  <c r="O60" i="16"/>
  <c r="B60" i="16" s="1"/>
  <c r="D60" i="16"/>
  <c r="O59" i="16"/>
  <c r="B59" i="16" s="1"/>
  <c r="D59" i="16"/>
  <c r="O58" i="16"/>
  <c r="B58" i="16" s="1"/>
  <c r="D58" i="16"/>
  <c r="O57" i="16"/>
  <c r="B57" i="16" s="1"/>
  <c r="D57" i="16"/>
  <c r="O56" i="16"/>
  <c r="B56" i="16" s="1"/>
  <c r="D56" i="16"/>
  <c r="O55" i="16"/>
  <c r="B55" i="16" s="1"/>
  <c r="D55" i="16"/>
  <c r="O54" i="16"/>
  <c r="B54" i="16" s="1"/>
  <c r="D54" i="16"/>
  <c r="O53" i="16"/>
  <c r="B53" i="16" s="1"/>
  <c r="D53" i="16"/>
  <c r="O52" i="16"/>
  <c r="B52" i="16" s="1"/>
  <c r="D52" i="16"/>
  <c r="O51" i="16"/>
  <c r="B51" i="16" s="1"/>
  <c r="D51" i="16"/>
  <c r="O50" i="16"/>
  <c r="B50" i="16" s="1"/>
  <c r="D50" i="16"/>
  <c r="O49" i="16"/>
  <c r="B49" i="16" s="1"/>
  <c r="D49" i="16"/>
  <c r="O48" i="16"/>
  <c r="B48" i="16" s="1"/>
  <c r="D48" i="16"/>
  <c r="O47" i="16"/>
  <c r="B47" i="16" s="1"/>
  <c r="D47" i="16"/>
  <c r="O46" i="16"/>
  <c r="B46" i="16" s="1"/>
  <c r="D46" i="16"/>
  <c r="O45" i="16"/>
  <c r="B45" i="16" s="1"/>
  <c r="D45" i="16"/>
  <c r="O44" i="16"/>
  <c r="B44" i="16" s="1"/>
  <c r="D44" i="16"/>
  <c r="O43" i="16"/>
  <c r="B43" i="16" s="1"/>
  <c r="D43" i="16"/>
  <c r="O42" i="16"/>
  <c r="B42" i="16" s="1"/>
  <c r="D42" i="16"/>
  <c r="O41" i="16"/>
  <c r="B41" i="16" s="1"/>
  <c r="D41" i="16"/>
  <c r="O40" i="16"/>
  <c r="B40" i="16" s="1"/>
  <c r="D40" i="16"/>
  <c r="O39" i="16"/>
  <c r="B39" i="16" s="1"/>
  <c r="D39" i="16"/>
  <c r="O38" i="16"/>
  <c r="B38" i="16" s="1"/>
  <c r="D38" i="16"/>
  <c r="O37" i="16"/>
  <c r="B37" i="16" s="1"/>
  <c r="D37" i="16"/>
  <c r="O36" i="16"/>
  <c r="B36" i="16" s="1"/>
  <c r="D36" i="16"/>
  <c r="O35" i="16"/>
  <c r="B35" i="16" s="1"/>
  <c r="D35" i="16"/>
  <c r="O34" i="16"/>
  <c r="B34" i="16" s="1"/>
  <c r="D34" i="16"/>
  <c r="O33" i="16"/>
  <c r="B33" i="16" s="1"/>
  <c r="D33" i="16"/>
  <c r="O32" i="16"/>
  <c r="B32" i="16" s="1"/>
  <c r="D32" i="16"/>
  <c r="O31" i="16"/>
  <c r="B31" i="16" s="1"/>
  <c r="D31" i="16"/>
  <c r="O30" i="16"/>
  <c r="B30" i="16" s="1"/>
  <c r="D30" i="16"/>
  <c r="O29" i="16"/>
  <c r="B29" i="16" s="1"/>
  <c r="D29" i="16"/>
  <c r="O28" i="16"/>
  <c r="B28" i="16" s="1"/>
  <c r="D28" i="16"/>
  <c r="O27" i="16"/>
  <c r="B27" i="16" s="1"/>
  <c r="D27" i="16"/>
  <c r="O26" i="16"/>
  <c r="B26" i="16" s="1"/>
  <c r="D26" i="16"/>
  <c r="O25" i="16"/>
  <c r="B25" i="16" s="1"/>
  <c r="D25" i="16"/>
  <c r="O24" i="16"/>
  <c r="B24" i="16" s="1"/>
  <c r="D24" i="16"/>
  <c r="O23" i="16"/>
  <c r="B23" i="16" s="1"/>
  <c r="D23" i="16"/>
  <c r="O22" i="16"/>
  <c r="B22" i="16" s="1"/>
  <c r="D22" i="16"/>
  <c r="O21" i="16"/>
  <c r="B21" i="16" s="1"/>
  <c r="D21" i="16"/>
  <c r="O20" i="16"/>
  <c r="B20" i="16" s="1"/>
  <c r="D20" i="16"/>
  <c r="O19" i="16"/>
  <c r="B19" i="16" s="1"/>
  <c r="D19" i="16"/>
  <c r="O18" i="16"/>
  <c r="B18" i="16" s="1"/>
  <c r="D18" i="16"/>
  <c r="O17" i="16"/>
  <c r="B17" i="16" s="1"/>
  <c r="D17" i="16"/>
  <c r="O16" i="16"/>
  <c r="B16" i="16" s="1"/>
  <c r="D16" i="16"/>
  <c r="O15" i="16"/>
  <c r="B15" i="16" s="1"/>
  <c r="D15" i="16"/>
  <c r="O14" i="16"/>
  <c r="B14" i="16" s="1"/>
  <c r="D14" i="16"/>
  <c r="O13" i="16"/>
  <c r="B13" i="16" s="1"/>
  <c r="D13" i="16"/>
  <c r="O12" i="16"/>
  <c r="B12" i="16" s="1"/>
  <c r="D12" i="16"/>
  <c r="O11" i="16"/>
  <c r="B11" i="16" s="1"/>
  <c r="D11" i="16"/>
  <c r="O10" i="16"/>
  <c r="B10" i="16" s="1"/>
  <c r="D10" i="16"/>
  <c r="O9" i="16"/>
  <c r="B9" i="16" s="1"/>
  <c r="D9" i="16"/>
  <c r="O8" i="16"/>
  <c r="B8" i="16" s="1"/>
  <c r="D8" i="16"/>
  <c r="O7" i="16"/>
  <c r="B7" i="16" s="1"/>
  <c r="D7" i="16"/>
  <c r="B71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7" i="15"/>
  <c r="O8" i="15"/>
  <c r="B8" i="15" s="1"/>
  <c r="O9" i="15"/>
  <c r="B9" i="15" s="1"/>
  <c r="O10" i="15"/>
  <c r="B10" i="15" s="1"/>
  <c r="O11" i="15"/>
  <c r="B11" i="15" s="1"/>
  <c r="O12" i="15"/>
  <c r="B12" i="15" s="1"/>
  <c r="O13" i="15"/>
  <c r="B13" i="15" s="1"/>
  <c r="O14" i="15"/>
  <c r="B14" i="15" s="1"/>
  <c r="O15" i="15"/>
  <c r="B15" i="15" s="1"/>
  <c r="O16" i="15"/>
  <c r="B16" i="15" s="1"/>
  <c r="O17" i="15"/>
  <c r="B17" i="15" s="1"/>
  <c r="O18" i="15"/>
  <c r="B18" i="15" s="1"/>
  <c r="O19" i="15"/>
  <c r="B19" i="15" s="1"/>
  <c r="O20" i="15"/>
  <c r="B20" i="15" s="1"/>
  <c r="O21" i="15"/>
  <c r="B21" i="15" s="1"/>
  <c r="O22" i="15"/>
  <c r="B22" i="15" s="1"/>
  <c r="O23" i="15"/>
  <c r="B23" i="15" s="1"/>
  <c r="O24" i="15"/>
  <c r="B24" i="15" s="1"/>
  <c r="O25" i="15"/>
  <c r="B25" i="15" s="1"/>
  <c r="O26" i="15"/>
  <c r="B26" i="15" s="1"/>
  <c r="O27" i="15"/>
  <c r="B27" i="15" s="1"/>
  <c r="O28" i="15"/>
  <c r="B28" i="15" s="1"/>
  <c r="O29" i="15"/>
  <c r="B29" i="15" s="1"/>
  <c r="O30" i="15"/>
  <c r="B30" i="15" s="1"/>
  <c r="O31" i="15"/>
  <c r="B31" i="15" s="1"/>
  <c r="O32" i="15"/>
  <c r="B32" i="15" s="1"/>
  <c r="O33" i="15"/>
  <c r="B33" i="15" s="1"/>
  <c r="O34" i="15"/>
  <c r="B34" i="15" s="1"/>
  <c r="O35" i="15"/>
  <c r="B35" i="15" s="1"/>
  <c r="O36" i="15"/>
  <c r="B36" i="15" s="1"/>
  <c r="O37" i="15"/>
  <c r="B37" i="15" s="1"/>
  <c r="O38" i="15"/>
  <c r="B38" i="15" s="1"/>
  <c r="O39" i="15"/>
  <c r="B39" i="15" s="1"/>
  <c r="O40" i="15"/>
  <c r="B40" i="15" s="1"/>
  <c r="O41" i="15"/>
  <c r="B41" i="15" s="1"/>
  <c r="O42" i="15"/>
  <c r="B42" i="15" s="1"/>
  <c r="O43" i="15"/>
  <c r="B43" i="15" s="1"/>
  <c r="O44" i="15"/>
  <c r="B44" i="15" s="1"/>
  <c r="O45" i="15"/>
  <c r="B45" i="15" s="1"/>
  <c r="O46" i="15"/>
  <c r="B46" i="15" s="1"/>
  <c r="O47" i="15"/>
  <c r="B47" i="15" s="1"/>
  <c r="O48" i="15"/>
  <c r="B48" i="15" s="1"/>
  <c r="O49" i="15"/>
  <c r="B49" i="15" s="1"/>
  <c r="O50" i="15"/>
  <c r="B50" i="15" s="1"/>
  <c r="O51" i="15"/>
  <c r="B51" i="15" s="1"/>
  <c r="O52" i="15"/>
  <c r="B52" i="15" s="1"/>
  <c r="O53" i="15"/>
  <c r="B53" i="15" s="1"/>
  <c r="O54" i="15"/>
  <c r="B54" i="15" s="1"/>
  <c r="O55" i="15"/>
  <c r="B55" i="15" s="1"/>
  <c r="O56" i="15"/>
  <c r="B56" i="15" s="1"/>
  <c r="O57" i="15"/>
  <c r="B57" i="15" s="1"/>
  <c r="O58" i="15"/>
  <c r="B58" i="15" s="1"/>
  <c r="O59" i="15"/>
  <c r="B59" i="15" s="1"/>
  <c r="O60" i="15"/>
  <c r="B60" i="15" s="1"/>
  <c r="O61" i="15"/>
  <c r="B61" i="15" s="1"/>
  <c r="O62" i="15"/>
  <c r="B62" i="15" s="1"/>
  <c r="O63" i="15"/>
  <c r="B63" i="15" s="1"/>
  <c r="O64" i="15"/>
  <c r="B64" i="15" s="1"/>
  <c r="O65" i="15"/>
  <c r="B65" i="15" s="1"/>
  <c r="O66" i="15"/>
  <c r="B66" i="15" s="1"/>
  <c r="O67" i="15"/>
  <c r="B67" i="15" s="1"/>
  <c r="O68" i="15"/>
  <c r="B68" i="15" s="1"/>
  <c r="O69" i="15"/>
  <c r="B69" i="15" s="1"/>
  <c r="O70" i="15"/>
  <c r="B70" i="15" s="1"/>
  <c r="O71" i="15"/>
  <c r="O72" i="15"/>
  <c r="B72" i="15" s="1"/>
  <c r="O73" i="15"/>
  <c r="B73" i="15" s="1"/>
  <c r="O74" i="15"/>
  <c r="B74" i="15" s="1"/>
  <c r="O75" i="15"/>
  <c r="B75" i="15" s="1"/>
  <c r="O76" i="15"/>
  <c r="B76" i="15" s="1"/>
  <c r="O77" i="15"/>
  <c r="B77" i="15" s="1"/>
  <c r="O78" i="15"/>
  <c r="B78" i="15" s="1"/>
  <c r="O79" i="15"/>
  <c r="B79" i="15" s="1"/>
  <c r="O80" i="15"/>
  <c r="B80" i="15" s="1"/>
  <c r="O81" i="15"/>
  <c r="B81" i="15" s="1"/>
  <c r="O82" i="15"/>
  <c r="B82" i="15" s="1"/>
  <c r="O83" i="15"/>
  <c r="B83" i="15" s="1"/>
  <c r="O84" i="15"/>
  <c r="B84" i="15" s="1"/>
  <c r="O85" i="15"/>
  <c r="B85" i="15" s="1"/>
  <c r="O86" i="15"/>
  <c r="B86" i="15" s="1"/>
  <c r="O87" i="15"/>
  <c r="B87" i="15" s="1"/>
  <c r="O88" i="15"/>
  <c r="B88" i="15" s="1"/>
  <c r="O89" i="15"/>
  <c r="B89" i="15" s="1"/>
  <c r="O90" i="15"/>
  <c r="B90" i="15" s="1"/>
  <c r="O91" i="15"/>
  <c r="B91" i="15" s="1"/>
  <c r="O92" i="15"/>
  <c r="B92" i="15" s="1"/>
  <c r="O93" i="15"/>
  <c r="B93" i="15" s="1"/>
  <c r="O94" i="15"/>
  <c r="B94" i="15" s="1"/>
  <c r="O95" i="15"/>
  <c r="B95" i="15" s="1"/>
  <c r="O96" i="15"/>
  <c r="B96" i="15" s="1"/>
  <c r="O97" i="15"/>
  <c r="B97" i="15" s="1"/>
  <c r="O98" i="15"/>
  <c r="B98" i="15" s="1"/>
  <c r="O99" i="15"/>
  <c r="B99" i="15" s="1"/>
  <c r="O100" i="15"/>
  <c r="B100" i="15" s="1"/>
  <c r="O101" i="15"/>
  <c r="B101" i="15" s="1"/>
  <c r="O102" i="15"/>
  <c r="B102" i="15" s="1"/>
  <c r="O103" i="15"/>
  <c r="B103" i="15" s="1"/>
  <c r="O104" i="15"/>
  <c r="B104" i="15" s="1"/>
  <c r="O105" i="15"/>
  <c r="B105" i="15" s="1"/>
  <c r="O106" i="15"/>
  <c r="B106" i="15" s="1"/>
  <c r="O107" i="15"/>
  <c r="B107" i="15" s="1"/>
  <c r="O108" i="15"/>
  <c r="B108" i="15" s="1"/>
  <c r="O109" i="15"/>
  <c r="B109" i="15" s="1"/>
  <c r="O110" i="15"/>
  <c r="B110" i="15" s="1"/>
  <c r="O111" i="15"/>
  <c r="B111" i="15" s="1"/>
  <c r="O112" i="15"/>
  <c r="B112" i="15" s="1"/>
  <c r="O113" i="15"/>
  <c r="B113" i="15" s="1"/>
  <c r="O114" i="15"/>
  <c r="B114" i="15" s="1"/>
  <c r="O115" i="15"/>
  <c r="B115" i="15" s="1"/>
  <c r="O116" i="15"/>
  <c r="B116" i="15" s="1"/>
  <c r="O117" i="15"/>
  <c r="B117" i="15" s="1"/>
  <c r="O118" i="15"/>
  <c r="B118" i="15" s="1"/>
  <c r="O119" i="15"/>
  <c r="B119" i="15" s="1"/>
  <c r="O120" i="15"/>
  <c r="B120" i="15" s="1"/>
  <c r="O121" i="15"/>
  <c r="B121" i="15" s="1"/>
  <c r="O122" i="15"/>
  <c r="B122" i="15" s="1"/>
  <c r="O123" i="15"/>
  <c r="B123" i="15" s="1"/>
  <c r="O124" i="15"/>
  <c r="B124" i="15" s="1"/>
  <c r="O125" i="15"/>
  <c r="B125" i="15" s="1"/>
  <c r="O126" i="15"/>
  <c r="B126" i="15" s="1"/>
  <c r="O127" i="15"/>
  <c r="B127" i="15" s="1"/>
  <c r="O128" i="15"/>
  <c r="B128" i="15" s="1"/>
  <c r="O129" i="15"/>
  <c r="B129" i="15" s="1"/>
  <c r="O130" i="15"/>
  <c r="B130" i="15" s="1"/>
  <c r="O131" i="15"/>
  <c r="B131" i="15" s="1"/>
  <c r="O132" i="15"/>
  <c r="B132" i="15" s="1"/>
  <c r="O133" i="15"/>
  <c r="B133" i="15" s="1"/>
  <c r="O134" i="15"/>
  <c r="B134" i="15" s="1"/>
  <c r="O135" i="15"/>
  <c r="B135" i="15" s="1"/>
  <c r="O136" i="15"/>
  <c r="B136" i="15" s="1"/>
  <c r="O137" i="15"/>
  <c r="B137" i="15" s="1"/>
  <c r="O138" i="15"/>
  <c r="B138" i="15" s="1"/>
  <c r="O139" i="15"/>
  <c r="B139" i="15" s="1"/>
  <c r="O140" i="15"/>
  <c r="B140" i="15" s="1"/>
  <c r="O141" i="15"/>
  <c r="B141" i="15" s="1"/>
  <c r="O142" i="15"/>
  <c r="B142" i="15" s="1"/>
  <c r="O143" i="15"/>
  <c r="B143" i="15" s="1"/>
  <c r="O144" i="15"/>
  <c r="B144" i="15" s="1"/>
  <c r="O145" i="15"/>
  <c r="B145" i="15" s="1"/>
  <c r="O146" i="15"/>
  <c r="B146" i="15" s="1"/>
  <c r="O147" i="15"/>
  <c r="B147" i="15" s="1"/>
  <c r="O148" i="15"/>
  <c r="B148" i="15" s="1"/>
  <c r="O149" i="15"/>
  <c r="B149" i="15" s="1"/>
  <c r="O150" i="15"/>
  <c r="B150" i="15" s="1"/>
  <c r="O151" i="15"/>
  <c r="B151" i="15" s="1"/>
  <c r="O152" i="15"/>
  <c r="B152" i="15" s="1"/>
  <c r="O153" i="15"/>
  <c r="B153" i="15" s="1"/>
  <c r="O154" i="15"/>
  <c r="B154" i="15" s="1"/>
  <c r="O155" i="15"/>
  <c r="B155" i="15" s="1"/>
  <c r="O156" i="15"/>
  <c r="B156" i="15" s="1"/>
  <c r="O157" i="15"/>
  <c r="B157" i="15" s="1"/>
  <c r="O158" i="15"/>
  <c r="B158" i="15" s="1"/>
  <c r="O159" i="15"/>
  <c r="B159" i="15" s="1"/>
  <c r="O160" i="15"/>
  <c r="B160" i="15" s="1"/>
  <c r="O161" i="15"/>
  <c r="B161" i="15" s="1"/>
  <c r="O162" i="15"/>
  <c r="B162" i="15" s="1"/>
  <c r="O163" i="15"/>
  <c r="B163" i="15" s="1"/>
  <c r="O164" i="15"/>
  <c r="B164" i="15" s="1"/>
  <c r="O165" i="15"/>
  <c r="B165" i="15" s="1"/>
  <c r="O166" i="15"/>
  <c r="B166" i="15" s="1"/>
  <c r="O167" i="15"/>
  <c r="B167" i="15" s="1"/>
  <c r="O168" i="15"/>
  <c r="B168" i="15" s="1"/>
  <c r="O169" i="15"/>
  <c r="B169" i="15" s="1"/>
  <c r="O7" i="15"/>
  <c r="B7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<sst xmlns="http://schemas.openxmlformats.org/spreadsheetml/2006/main" count="2384" uniqueCount="693">
  <si>
    <t>UC_N</t>
  </si>
  <si>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</si>
  <si>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</si>
  <si>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</si>
  <si>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</si>
  <si>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</si>
  <si>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</si>
  <si>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</si>
  <si>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</si>
  <si>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~UC_Sets: T_E:</t>
  </si>
  <si>
    <t>UC_Desc</t>
  </si>
  <si>
    <t>~UC_Sets: R_S: AllRegions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</si>
  <si>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</si>
  <si>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</si>
  <si>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</si>
  <si>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</si>
  <si>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</si>
  <si>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</si>
  <si>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</si>
  <si>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</si>
  <si>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UC - Each Region/Period</t>
  </si>
  <si>
    <t>LO</t>
  </si>
  <si>
    <t>DMD</t>
  </si>
  <si>
    <t>-PASTI</t>
  </si>
  <si>
    <t>AFG</t>
  </si>
  <si>
    <t>Afghanistan</t>
  </si>
  <si>
    <t>AGO</t>
  </si>
  <si>
    <t>Angola</t>
  </si>
  <si>
    <t>ALB</t>
  </si>
  <si>
    <t>Albania</t>
  </si>
  <si>
    <t>ARE</t>
  </si>
  <si>
    <t>United Arab Emirates</t>
  </si>
  <si>
    <t>ARG</t>
  </si>
  <si>
    <t>Argentina</t>
  </si>
  <si>
    <t>ARM</t>
  </si>
  <si>
    <t>Armenia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</si>
  <si>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</si>
  <si>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</si>
  <si>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</si>
  <si>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</si>
  <si>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</si>
  <si>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</si>
  <si>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</si>
  <si>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</si>
  <si>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</si>
  <si>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</si>
  <si>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</si>
  <si>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</si>
  <si>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</si>
  <si>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</si>
  <si>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</si>
  <si>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</si>
  <si>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</si>
  <si>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</si>
  <si>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</si>
  <si>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</si>
  <si>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</si>
  <si>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The Bahamas</t>
  </si>
  <si>
    <t>BIH</t>
  </si>
  <si>
    <t>Bosnia and Herzegovina</t>
  </si>
  <si>
    <t>BLR</t>
  </si>
  <si>
    <t>Belarus</t>
  </si>
  <si>
    <t>BLZ</t>
  </si>
  <si>
    <t>Belize</t>
  </si>
  <si>
    <t>BOL</t>
  </si>
  <si>
    <t>Bolivia</t>
  </si>
  <si>
    <t>BRA</t>
  </si>
  <si>
    <t>Brazil</t>
  </si>
  <si>
    <t>BRB</t>
  </si>
  <si>
    <t>Barbados</t>
  </si>
  <si>
    <t>BRN</t>
  </si>
  <si>
    <t>Brunei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</si>
  <si>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</si>
  <si>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</si>
  <si>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</si>
  <si>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</si>
  <si>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</si>
  <si>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</si>
  <si>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</si>
  <si>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</si>
  <si>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</si>
  <si>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</si>
  <si>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</si>
  <si>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</si>
  <si>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</si>
  <si>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</si>
  <si>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</si>
  <si>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Ivory Coast</t>
  </si>
  <si>
    <t>CMR</t>
  </si>
  <si>
    <t>Cameroon</t>
  </si>
  <si>
    <t>COG</t>
  </si>
  <si>
    <t>Republic of Congo</t>
  </si>
  <si>
    <t>COL</t>
  </si>
  <si>
    <t>Colombia</t>
  </si>
  <si>
    <t>COM</t>
  </si>
  <si>
    <t>Comoros</t>
  </si>
  <si>
    <t>CPV</t>
  </si>
  <si>
    <t>Cape Verde</t>
  </si>
  <si>
    <t>CRI</t>
  </si>
  <si>
    <t>Costa Rica</t>
  </si>
  <si>
    <t>CUB</t>
  </si>
  <si>
    <t>Cuba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</si>
  <si>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</si>
  <si>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</si>
  <si>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</si>
  <si>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</si>
  <si>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</si>
  <si>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</si>
  <si>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</si>
  <si>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</si>
  <si>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</si>
  <si>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</si>
  <si>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</si>
  <si>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</si>
  <si>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</si>
  <si>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</si>
  <si>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</si>
  <si>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</si>
  <si>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</si>
  <si>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</si>
  <si>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</si>
  <si>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</si>
  <si>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ESH</t>
  </si>
  <si>
    <t>Western Sahara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</si>
  <si>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</si>
  <si>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</si>
  <si>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</si>
  <si>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</si>
  <si>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</si>
  <si>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</si>
  <si>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</si>
  <si>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</si>
  <si>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</si>
  <si>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</si>
  <si>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</si>
  <si>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</si>
  <si>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</si>
  <si>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</si>
  <si>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</si>
  <si>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</si>
  <si>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</si>
  <si>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</si>
  <si>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</si>
  <si>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</si>
  <si>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</si>
  <si>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</si>
  <si>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GLP</t>
  </si>
  <si>
    <t>Guadeloupe</t>
  </si>
  <si>
    <t>GMB</t>
  </si>
  <si>
    <t>The Gambia</t>
  </si>
  <si>
    <t>GNB</t>
  </si>
  <si>
    <t>Guinea-Bissau</t>
  </si>
  <si>
    <t>GNQ</t>
  </si>
  <si>
    <t>Equatorial Guinea</t>
  </si>
  <si>
    <t>GRC</t>
  </si>
  <si>
    <t>Greece</t>
  </si>
  <si>
    <t>GTM</t>
  </si>
  <si>
    <t>Guatemala</t>
  </si>
  <si>
    <t>GUM</t>
  </si>
  <si>
    <t>Guam</t>
  </si>
  <si>
    <t>GUY</t>
  </si>
  <si>
    <t>Guyana</t>
  </si>
  <si>
    <t>HKG</t>
  </si>
  <si>
    <t>Hong Kong SAR, China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</si>
  <si>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</si>
  <si>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</si>
  <si>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</si>
  <si>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</si>
  <si>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</si>
  <si>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</si>
  <si>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</si>
  <si>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</si>
  <si>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</si>
  <si>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</si>
  <si>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</si>
  <si>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</si>
  <si>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</si>
  <si>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</si>
  <si>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</si>
  <si>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</si>
  <si>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</si>
  <si>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</si>
  <si>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</si>
  <si>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</si>
  <si>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</si>
  <si>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</si>
  <si>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</si>
  <si>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</si>
  <si>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</si>
  <si>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</si>
  <si>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</si>
  <si>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</si>
  <si>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</si>
  <si>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</si>
  <si>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</si>
  <si>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</si>
  <si>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</si>
  <si>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</si>
  <si>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</si>
  <si>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</si>
  <si>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</si>
  <si>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</si>
  <si>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KOR</t>
  </si>
  <si>
    <t>South Korea</t>
  </si>
  <si>
    <t>KWT</t>
  </si>
  <si>
    <t>Kuwait</t>
  </si>
  <si>
    <t>LAO</t>
  </si>
  <si>
    <t>Laos</t>
  </si>
  <si>
    <t>LBN</t>
  </si>
  <si>
    <t>Lebanon</t>
  </si>
  <si>
    <t>LBR</t>
  </si>
  <si>
    <t>Liberia</t>
  </si>
  <si>
    <t>LBY</t>
  </si>
  <si>
    <t>Libya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</si>
  <si>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</si>
  <si>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</si>
  <si>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</si>
  <si>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</si>
  <si>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</si>
  <si>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</si>
  <si>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</si>
  <si>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</si>
  <si>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</si>
  <si>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</si>
  <si>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</si>
  <si>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</si>
  <si>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</si>
  <si>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</si>
  <si>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</si>
  <si>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</si>
  <si>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</si>
  <si>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</si>
  <si>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</si>
  <si>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</si>
  <si>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MKD</t>
  </si>
  <si>
    <t>Macedonia</t>
  </si>
  <si>
    <t>MLI</t>
  </si>
  <si>
    <t>Mali</t>
  </si>
  <si>
    <t>MLT</t>
  </si>
  <si>
    <t>Malta</t>
  </si>
  <si>
    <t>MMR</t>
  </si>
  <si>
    <t>Myanmar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</si>
  <si>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</si>
  <si>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</si>
  <si>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</si>
  <si>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</si>
  <si>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</si>
  <si>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</si>
  <si>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</si>
  <si>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</si>
  <si>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</si>
  <si>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</si>
  <si>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</si>
  <si>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</si>
  <si>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</si>
  <si>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</si>
  <si>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</si>
  <si>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</si>
  <si>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</si>
  <si>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</si>
  <si>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</si>
  <si>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</si>
  <si>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</si>
  <si>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</si>
  <si>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</si>
  <si>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</si>
  <si>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</si>
  <si>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</si>
  <si>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</si>
  <si>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</si>
  <si>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</si>
  <si>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</si>
  <si>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</si>
  <si>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</si>
  <si>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</si>
  <si>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</si>
  <si>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</si>
  <si>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</si>
  <si>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</si>
  <si>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</si>
  <si>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PNG</t>
  </si>
  <si>
    <t>Papua New Guinea</t>
  </si>
  <si>
    <t>POL</t>
  </si>
  <si>
    <t>Poland</t>
  </si>
  <si>
    <t>PRI</t>
  </si>
  <si>
    <t>Puerto Rico</t>
  </si>
  <si>
    <t>PRK</t>
  </si>
  <si>
    <t>Dem. People^s Rep. Korea</t>
  </si>
  <si>
    <t>PRT</t>
  </si>
  <si>
    <t>Portugal</t>
  </si>
  <si>
    <t>PRY</t>
  </si>
  <si>
    <t>Paraguay</t>
  </si>
  <si>
    <t>PSE</t>
  </si>
  <si>
    <t>Palestine</t>
  </si>
  <si>
    <t>PYF</t>
  </si>
  <si>
    <t>French Polynesia</t>
  </si>
  <si>
    <t>QAT</t>
  </si>
  <si>
    <t>Qatar</t>
  </si>
  <si>
    <t>REU</t>
  </si>
  <si>
    <t>REUNION</t>
  </si>
  <si>
    <t>ROM</t>
  </si>
  <si>
    <t>Romania</t>
  </si>
  <si>
    <t>RUS</t>
  </si>
  <si>
    <t>Russia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</si>
  <si>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</si>
  <si>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</si>
  <si>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</si>
  <si>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</si>
  <si>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</si>
  <si>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</si>
  <si>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</si>
  <si>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</si>
  <si>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</si>
  <si>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</si>
  <si>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</si>
  <si>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</si>
  <si>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</si>
  <si>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</si>
  <si>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</si>
  <si>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</si>
  <si>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SOM</t>
  </si>
  <si>
    <t>Somalia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</si>
  <si>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</si>
  <si>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</si>
  <si>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</si>
  <si>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</si>
  <si>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</si>
  <si>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</si>
  <si>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</si>
  <si>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</si>
  <si>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</si>
  <si>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Swaziland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</si>
  <si>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</si>
  <si>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</si>
  <si>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</si>
  <si>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</si>
  <si>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</si>
  <si>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</si>
  <si>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</si>
  <si>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</si>
  <si>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</si>
  <si>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</si>
  <si>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</si>
  <si>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</si>
  <si>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TMP</t>
  </si>
  <si>
    <t>Timor-Leste</t>
  </si>
  <si>
    <t>TTO</t>
  </si>
  <si>
    <t>Trinidad and Tobago</t>
  </si>
  <si>
    <t>TUN</t>
  </si>
  <si>
    <t>Tunisia</t>
  </si>
  <si>
    <t>TUR</t>
  </si>
  <si>
    <t>Turkey</t>
  </si>
  <si>
    <t>TWN</t>
  </si>
  <si>
    <t>Taiwan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</si>
  <si>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</si>
  <si>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</si>
  <si>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</si>
  <si>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</si>
  <si>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</si>
  <si>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</si>
  <si>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</si>
  <si>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</si>
  <si>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</si>
  <si>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</si>
  <si>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</si>
  <si>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</si>
  <si>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VEN</t>
  </si>
  <si>
    <t>Venezuela</t>
  </si>
  <si>
    <t>VNM</t>
  </si>
  <si>
    <t>Vietnam</t>
  </si>
  <si>
    <t>VUT</t>
  </si>
  <si>
    <t>Vanuatu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</si>
  <si>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</si>
  <si>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</si>
  <si>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</si>
  <si>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</si>
  <si>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</si>
  <si>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</si>
  <si>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</si>
  <si>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</si>
  <si>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</si>
  <si>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</si>
  <si>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E_Wind</t>
  </si>
  <si>
    <t>UC_ACT</t>
  </si>
  <si>
    <t>~UC_T: UC_RHST</t>
  </si>
  <si>
    <t>E_Solar</t>
  </si>
  <si>
    <t>NAM</t>
  </si>
  <si>
    <t>GUF</t>
  </si>
  <si>
    <t>ATG</t>
  </si>
  <si>
    <t>ABW</t>
  </si>
  <si>
    <t>LIE</t>
  </si>
  <si>
    <t>MNE</t>
  </si>
  <si>
    <t>SRB</t>
  </si>
  <si>
    <t>BMU</t>
  </si>
  <si>
    <t>MCO</t>
  </si>
  <si>
    <t>ADO</t>
  </si>
  <si>
    <t>countries with solar</t>
  </si>
  <si>
    <t>ZAR</t>
  </si>
  <si>
    <t>Democratic Republic of Congo</t>
  </si>
  <si>
    <t>Serbia</t>
  </si>
  <si>
    <t>MYT</t>
  </si>
  <si>
    <t>Mayotte</t>
  </si>
  <si>
    <t>Namibia</t>
  </si>
  <si>
    <t>STP</t>
  </si>
  <si>
    <t>Sao Tome and Principe</t>
  </si>
  <si>
    <t>MAC</t>
  </si>
  <si>
    <t>Macao SAR, China</t>
  </si>
  <si>
    <t>SYC</t>
  </si>
  <si>
    <t>Seychelles</t>
  </si>
  <si>
    <t>SSD</t>
  </si>
  <si>
    <t>South Sudan</t>
  </si>
  <si>
    <t>Montenegro</t>
  </si>
  <si>
    <t>LCA</t>
  </si>
  <si>
    <t>St. Lucia</t>
  </si>
  <si>
    <t>VCT</t>
  </si>
  <si>
    <t>St. Vincent and the Grenadines</t>
  </si>
  <si>
    <t>Aruba</t>
  </si>
  <si>
    <t>TON</t>
  </si>
  <si>
    <t>Tonga</t>
  </si>
  <si>
    <t>AL</t>
  </si>
  <si>
    <t>Alabama-us</t>
  </si>
  <si>
    <t>ASM</t>
  </si>
  <si>
    <t>American Samoa</t>
  </si>
  <si>
    <t>Andorra</t>
  </si>
  <si>
    <t>AIA</t>
  </si>
  <si>
    <t>Anguilla</t>
  </si>
  <si>
    <t>ATA</t>
  </si>
  <si>
    <t>ANTARCTICA</t>
  </si>
  <si>
    <t>Antigua and Barbuda</t>
  </si>
  <si>
    <t>NULL</t>
  </si>
  <si>
    <t>ANZAC</t>
  </si>
  <si>
    <t>ARB</t>
  </si>
  <si>
    <t>Arab World</t>
  </si>
  <si>
    <t>AZ</t>
  </si>
  <si>
    <t>Arizona-us</t>
  </si>
  <si>
    <t>AR</t>
  </si>
  <si>
    <t>Arkansas-us</t>
  </si>
  <si>
    <t>SH-AC</t>
  </si>
  <si>
    <t>Ascension Island</t>
  </si>
  <si>
    <t>Bermuda</t>
  </si>
  <si>
    <t>BVT</t>
  </si>
  <si>
    <t>Bouvet Island</t>
  </si>
  <si>
    <t>VGB</t>
  </si>
  <si>
    <t>british virgin islands</t>
  </si>
  <si>
    <t>CA</t>
  </si>
  <si>
    <t>California-us</t>
  </si>
  <si>
    <t>CSS</t>
  </si>
  <si>
    <t>Caribbean small states</t>
  </si>
  <si>
    <t>CYM</t>
  </si>
  <si>
    <t>Cayman Islands</t>
  </si>
  <si>
    <t>CEB</t>
  </si>
  <si>
    <t>Central Europe and the Baltics</t>
  </si>
  <si>
    <t>CHI</t>
  </si>
  <si>
    <t>Channel Islands</t>
  </si>
  <si>
    <t>CCK</t>
  </si>
  <si>
    <t>Cocos (Keeling) Islands</t>
  </si>
  <si>
    <t>CO</t>
  </si>
  <si>
    <t>Colorado-us</t>
  </si>
  <si>
    <t>CT</t>
  </si>
  <si>
    <t>Connecticut-us</t>
  </si>
  <si>
    <t>COK</t>
  </si>
  <si>
    <t>Cook Islands</t>
  </si>
  <si>
    <t>CUW</t>
  </si>
  <si>
    <t>Curacao</t>
  </si>
  <si>
    <t>DE</t>
  </si>
  <si>
    <t>Delaware-us</t>
  </si>
  <si>
    <t>IO-DGA</t>
  </si>
  <si>
    <t>Diego Garcia</t>
  </si>
  <si>
    <t>DMA</t>
  </si>
  <si>
    <t>Dominica</t>
  </si>
  <si>
    <t>EAS</t>
  </si>
  <si>
    <t>East Asia &amp; Pacific (all income levels)</t>
  </si>
  <si>
    <t>EAP</t>
  </si>
  <si>
    <t>East Asia &amp; Pacific (developing only)</t>
  </si>
  <si>
    <t>GB-ENG</t>
  </si>
  <si>
    <t>England</t>
  </si>
  <si>
    <t>EMU</t>
  </si>
  <si>
    <t>Euro area</t>
  </si>
  <si>
    <t>ECS</t>
  </si>
  <si>
    <t>Europe &amp; Central Asia (all income levels)</t>
  </si>
  <si>
    <t>ECA</t>
  </si>
  <si>
    <t>Europe &amp; Central Asia (developing only)</t>
  </si>
  <si>
    <t>EUU</t>
  </si>
  <si>
    <t>European Union</t>
  </si>
  <si>
    <t>FLK</t>
  </si>
  <si>
    <t>Falkland Islands</t>
  </si>
  <si>
    <t>FRO</t>
  </si>
  <si>
    <t>Faroe Islands</t>
  </si>
  <si>
    <t>FL</t>
  </si>
  <si>
    <t>Florida-us</t>
  </si>
  <si>
    <t>French Guiana</t>
  </si>
  <si>
    <t>GA</t>
  </si>
  <si>
    <t>Georgia-us</t>
  </si>
  <si>
    <t>GIB</t>
  </si>
  <si>
    <t>Gibraltar</t>
  </si>
  <si>
    <t>GRL</t>
  </si>
  <si>
    <t>Greenland</t>
  </si>
  <si>
    <t>GRD</t>
  </si>
  <si>
    <t>Grenada</t>
  </si>
  <si>
    <t>GGY</t>
  </si>
  <si>
    <t>Guernsey</t>
  </si>
  <si>
    <t>HIC</t>
  </si>
  <si>
    <t>High income</t>
  </si>
  <si>
    <t>NOC</t>
  </si>
  <si>
    <t>High income: nonOECD</t>
  </si>
  <si>
    <t>OEC</t>
  </si>
  <si>
    <t>High income: OECD</t>
  </si>
  <si>
    <t>ID</t>
  </si>
  <si>
    <t>Idaho-us</t>
  </si>
  <si>
    <t>IL</t>
  </si>
  <si>
    <t>Illinois-us</t>
  </si>
  <si>
    <t>IN</t>
  </si>
  <si>
    <t>Indiana-us</t>
  </si>
  <si>
    <t>IA</t>
  </si>
  <si>
    <t>Iowa-us</t>
  </si>
  <si>
    <t>IMY</t>
  </si>
  <si>
    <t>Isle of Man</t>
  </si>
  <si>
    <t>KS</t>
  </si>
  <si>
    <t>Kansas-us</t>
  </si>
  <si>
    <t>KY</t>
  </si>
  <si>
    <t>Kentucky-us</t>
  </si>
  <si>
    <t>KIR</t>
  </si>
  <si>
    <t>Kiribati</t>
  </si>
  <si>
    <t>KSV</t>
  </si>
  <si>
    <t>Kosovo</t>
  </si>
  <si>
    <t>LCN</t>
  </si>
  <si>
    <t>Latin America &amp; Caribbean (all income levels)</t>
  </si>
  <si>
    <t>Liechtenstein</t>
  </si>
  <si>
    <t>KI-L</t>
  </si>
  <si>
    <t>Line Islands</t>
  </si>
  <si>
    <t>LA</t>
  </si>
  <si>
    <t>Louisiana-us</t>
  </si>
  <si>
    <t>ME</t>
  </si>
  <si>
    <t>Maine-us</t>
  </si>
  <si>
    <t>MHL</t>
  </si>
  <si>
    <t>Marshall Islands</t>
  </si>
  <si>
    <t>MTQ</t>
  </si>
  <si>
    <t>MARTINIQUE</t>
  </si>
  <si>
    <t>MD</t>
  </si>
  <si>
    <t>Maryland-us</t>
  </si>
  <si>
    <t>MA</t>
  </si>
  <si>
    <t>Massachusetts-us</t>
  </si>
  <si>
    <t>MI</t>
  </si>
  <si>
    <t>Michigan-us</t>
  </si>
  <si>
    <t>FSM</t>
  </si>
  <si>
    <t>Micronesia</t>
  </si>
  <si>
    <t>MEA</t>
  </si>
  <si>
    <t>Middle East &amp; North Africa (all income levels)</t>
  </si>
  <si>
    <t>MN</t>
  </si>
  <si>
    <t>Minnesota-us</t>
  </si>
  <si>
    <t>MS</t>
  </si>
  <si>
    <t>Mississippi-us</t>
  </si>
  <si>
    <t>MO</t>
  </si>
  <si>
    <t>Missouri-us</t>
  </si>
  <si>
    <t>Monaco</t>
  </si>
  <si>
    <t>MT</t>
  </si>
  <si>
    <t>Montana-us</t>
  </si>
  <si>
    <t>MSR</t>
  </si>
  <si>
    <t>Montserrat</t>
  </si>
  <si>
    <t>NRU</t>
  </si>
  <si>
    <t>Nauru</t>
  </si>
  <si>
    <t>NE</t>
  </si>
  <si>
    <t>Nebraska-us</t>
  </si>
  <si>
    <t>ANT</t>
  </si>
  <si>
    <t>Netherlands Antilles</t>
  </si>
  <si>
    <t>NV</t>
  </si>
  <si>
    <t>Nevada-us</t>
  </si>
  <si>
    <t>NH</t>
  </si>
  <si>
    <t>New Hampshire-us</t>
  </si>
  <si>
    <t>NJ</t>
  </si>
  <si>
    <t>New Jersey-us</t>
  </si>
  <si>
    <t>NM</t>
  </si>
  <si>
    <t>New Mexico-us</t>
  </si>
  <si>
    <t>NY</t>
  </si>
  <si>
    <t>New York-us</t>
  </si>
  <si>
    <t>NIU</t>
  </si>
  <si>
    <t>Niue</t>
  </si>
  <si>
    <t>NAC</t>
  </si>
  <si>
    <t>North America</t>
  </si>
  <si>
    <t>NC</t>
  </si>
  <si>
    <t>North Carolina-us</t>
  </si>
  <si>
    <t>ND</t>
  </si>
  <si>
    <t>North Dakota-us</t>
  </si>
  <si>
    <t>GB-NIR</t>
  </si>
  <si>
    <t>Northern Ireland</t>
  </si>
  <si>
    <t>MNP</t>
  </si>
  <si>
    <t>Northern Mariana Islands</t>
  </si>
  <si>
    <t>OED</t>
  </si>
  <si>
    <t>OECD members</t>
  </si>
  <si>
    <t>OH</t>
  </si>
  <si>
    <t>Ohio-us</t>
  </si>
  <si>
    <t>OK</t>
  </si>
  <si>
    <t>Oklahoma-us</t>
  </si>
  <si>
    <t>OR</t>
  </si>
  <si>
    <t>Oregon-us</t>
  </si>
  <si>
    <t>Other Africa</t>
  </si>
  <si>
    <t>OSS</t>
  </si>
  <si>
    <t>Other small states</t>
  </si>
  <si>
    <t>PSS</t>
  </si>
  <si>
    <t>Pacific island small states</t>
  </si>
  <si>
    <t>PLW</t>
  </si>
  <si>
    <t>Palau</t>
  </si>
  <si>
    <t>PA</t>
  </si>
  <si>
    <t>Pennsylvania-us</t>
  </si>
  <si>
    <t>PCN</t>
  </si>
  <si>
    <t>Pitcairn</t>
  </si>
  <si>
    <t>RI</t>
  </si>
  <si>
    <t>Rhode Island-us</t>
  </si>
  <si>
    <t>SMR</t>
  </si>
  <si>
    <t>San Marino</t>
  </si>
  <si>
    <t>GB-SCT</t>
  </si>
  <si>
    <t>Scotland</t>
  </si>
  <si>
    <t>SXM</t>
  </si>
  <si>
    <t>Sint Maarten (Dutch part)</t>
  </si>
  <si>
    <t>SST</t>
  </si>
  <si>
    <t>Small states</t>
  </si>
  <si>
    <t>SAS</t>
  </si>
  <si>
    <t>South Asia</t>
  </si>
  <si>
    <t>SC</t>
  </si>
  <si>
    <t>South Carolina-us</t>
  </si>
  <si>
    <t>SD</t>
  </si>
  <si>
    <t>South Dakota-us</t>
  </si>
  <si>
    <t>SGS</t>
  </si>
  <si>
    <t>South Georgia and the South Sandwich Islands</t>
  </si>
  <si>
    <t>SH-HL</t>
  </si>
  <si>
    <t>St. Helena</t>
  </si>
  <si>
    <t>KNA</t>
  </si>
  <si>
    <t>St. Kitts and Nevis</t>
  </si>
  <si>
    <t>MAF</t>
  </si>
  <si>
    <t>St. Martin (French part)</t>
  </si>
  <si>
    <t>SPM</t>
  </si>
  <si>
    <t>St. Pierre &amp; Miquelon</t>
  </si>
  <si>
    <t>SSF</t>
  </si>
  <si>
    <t>Sub-Saharan Africa (all income levels)</t>
  </si>
  <si>
    <t>SJM</t>
  </si>
  <si>
    <t>Svalbard &amp; Jan Mayen Islands</t>
  </si>
  <si>
    <t>TN</t>
  </si>
  <si>
    <t>Tennessee-us</t>
  </si>
  <si>
    <t>TX</t>
  </si>
  <si>
    <t>Texas-us</t>
  </si>
  <si>
    <t>TKL</t>
  </si>
  <si>
    <t>Tokelau</t>
  </si>
  <si>
    <t>SH-TA</t>
  </si>
  <si>
    <t>Tristan da Cunha</t>
  </si>
  <si>
    <t>TCA</t>
  </si>
  <si>
    <t>Turks and Caicos Islands</t>
  </si>
  <si>
    <t>TUV</t>
  </si>
  <si>
    <t>Tuvalu</t>
  </si>
  <si>
    <t>UT</t>
  </si>
  <si>
    <t>Utah-us</t>
  </si>
  <si>
    <t>VAT</t>
  </si>
  <si>
    <t>Vatican</t>
  </si>
  <si>
    <t>VT</t>
  </si>
  <si>
    <t>Vermont-us</t>
  </si>
  <si>
    <t>VIR</t>
  </si>
  <si>
    <t>Virgin Islands</t>
  </si>
  <si>
    <t>VA</t>
  </si>
  <si>
    <t>Virginia-us</t>
  </si>
  <si>
    <t>GB-WLS</t>
  </si>
  <si>
    <t>Wales</t>
  </si>
  <si>
    <t>WLF</t>
  </si>
  <si>
    <t>Wallis and Futuna</t>
  </si>
  <si>
    <t>WA</t>
  </si>
  <si>
    <t>Washington-us</t>
  </si>
  <si>
    <t>WBG</t>
  </si>
  <si>
    <t>West Bank and Gaza</t>
  </si>
  <si>
    <t>WV</t>
  </si>
  <si>
    <t>West Virginia-us</t>
  </si>
  <si>
    <t>WI</t>
  </si>
  <si>
    <t>Wisconsin-us</t>
  </si>
  <si>
    <t>WLD</t>
  </si>
  <si>
    <t>World</t>
  </si>
  <si>
    <t>WY</t>
  </si>
  <si>
    <t>Wyoming-us</t>
  </si>
  <si>
    <t>countries with wind</t>
  </si>
  <si>
    <t>~UC_T: UC_RHST~UP</t>
  </si>
  <si>
    <t>~TFM_UPD</t>
  </si>
  <si>
    <t>UP</t>
  </si>
  <si>
    <t>PRC_MARK</t>
  </si>
  <si>
    <t>Trd[_]*</t>
  </si>
  <si>
    <t>NCAP_BND</t>
  </si>
  <si>
    <t>H2conv*,H2Reconv*</t>
  </si>
  <si>
    <t>attribute</t>
  </si>
  <si>
    <t>ACT_BND</t>
  </si>
  <si>
    <t>pset_co</t>
  </si>
  <si>
    <t>HH2</t>
  </si>
  <si>
    <t>pset_set</t>
  </si>
  <si>
    <t>PRE</t>
  </si>
  <si>
    <t>limtype</t>
  </si>
  <si>
    <t>*</t>
  </si>
  <si>
    <t>pset_ci</t>
  </si>
  <si>
    <t>-*BIO*</t>
  </si>
  <si>
    <t>TFM_INS-TS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</si>
</sst>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2" fillId="0" borderId="0"/>
  </cellStyleXfs>
  <cellXfs count="16">
    <xf numFmtId="0" fontId="0" fillId="0" borderId="0" xfId="0"/>
    <xf numFmtId="0" fontId="3" fillId="2" borderId="0" xfId="0" applyFont="1" applyFill="1"/>
    <xf numFmtId="0" fontId="3" fillId="0" borderId="0" xfId="0" applyFont="1" applyAlignment="1">
      <alignment horizontal="right"/>
    </xf>
    <xf numFmtId="0" fontId="3" fillId="5" borderId="0" xfId="0" applyFont="1" applyFill="1"/>
    <xf numFmtId="0" fontId="3" fillId="6" borderId="0" xfId="0" applyFont="1" applyFill="1"/>
    <xf numFmtId="0" fontId="3" fillId="0" borderId="0" xfId="0" applyFont="1"/>
    <xf numFmtId="0" fontId="1" fillId="0" borderId="0" xfId="2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3" borderId="1" xfId="0" applyFont="1" applyFill="1" applyBorder="1"/>
    <xf numFmtId="0" fontId="3" fillId="4" borderId="1" xfId="0" applyFont="1" applyFill="1" applyBorder="1"/>
    <xf numFmtId="0" fontId="4" fillId="3" borderId="1" xfId="0" applyFont="1" applyFill="1" applyBorder="1"/>
    <xf numFmtId="0" fontId="0" fillId="0" borderId="0" xfId="0" quotePrefix="1"/>
    <xf numFmtId="0" fontId="8" fillId="0" borderId="0" xfId="0" applyFont="1"/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2"/>
  <sheetViews>
    <sheetView workbookViewId="0">
      <selection activeCell="D8" sqref="D8"/>
    </sheetView>
  </sheetViews>
  <sheetFormatPr baseColWidth="10" defaultColWidth="8.88671875" defaultRowHeight="14.4" x14ac:dyDescent="0.3"/>
  <cols>
    <col min="2" max="2" width="10.109375" bestFit="1" customWidth="1"/>
    <col min="3" max="3" width="8.88671875" bestFit="1" customWidth="1"/>
    <col min="4" max="4" width="10.88671875" bestFit="1" customWidth="1"/>
    <col min="5" max="5" width="5.109375" bestFit="1" customWidth="1"/>
    <col min="6" max="6" width="11.5546875" bestFit="1" customWidth="1"/>
    <col min="7" max="7" width="9.6640625" bestFit="1" customWidth="1"/>
    <col min="8" max="8" width="10.6640625" bestFit="1" customWidth="1"/>
    <col min="9" max="9" width="8.6640625" bestFit="1" customWidth="1"/>
    <col min="10" max="11" width="8.44140625" bestFit="1" customWidth="1"/>
    <col min="12" max="12" width="7.5546875" bestFit="1" customWidth="1"/>
    <col min="13" max="13" width="8.5546875" bestFit="1" customWidth="1"/>
    <col min="14" max="14" width="8.6640625" bestFit="1" customWidth="1"/>
    <col min="15" max="16" width="8.44140625" bestFit="1" customWidth="1"/>
  </cols>
  <sheetData>
    <row r="2" spans="2:16" x14ac:dyDescent="0.3">
      <c r="B2" s="8" t="s">
        <v>12</v>
      </c>
      <c r="I2" s="9"/>
      <c r="J2" s="10"/>
      <c r="K2" s="10"/>
      <c r="L2" s="10"/>
      <c r="M2" s="10"/>
      <c r="N2" s="10"/>
      <c r="O2" s="10"/>
      <c r="P2" s="10"/>
    </row>
    <row r="3" spans="2:16" ht="15" thickBot="1" x14ac:dyDescent="0.35">
      <c r="B3" s="11" t="s">
        <v>13</v>
      </c>
      <c r="C3" s="11" t="s">
        <v>8</v>
      </c>
      <c r="D3" s="11" t="s">
        <v>7</v>
      </c>
      <c r="E3" s="11" t="s">
        <v>2</v>
      </c>
      <c r="F3" s="11" t="s">
        <v>18</v>
      </c>
      <c r="G3" s="11" t="s">
        <v>19</v>
      </c>
      <c r="H3" s="12" t="s">
        <v>14</v>
      </c>
      <c r="I3" s="13" t="s">
        <v>4</v>
      </c>
      <c r="J3" s="13" t="s">
        <v>3</v>
      </c>
      <c r="K3" s="13" t="s">
        <v>15</v>
      </c>
      <c r="L3" s="13" t="s">
        <v>1</v>
      </c>
      <c r="M3" s="13" t="s">
        <v>6</v>
      </c>
      <c r="N3" s="13" t="s">
        <v>16</v>
      </c>
      <c r="O3" s="13" t="s">
        <v>5</v>
      </c>
      <c r="P3" s="13" t="s">
        <v>17</v>
      </c>
    </row>
    <row r="4" spans="2:16" x14ac:dyDescent="0.3">
      <c r="C4" t="s">
        <v>21</v>
      </c>
      <c r="D4" t="s">
        <v>680</v>
      </c>
      <c r="E4">
        <v>2025</v>
      </c>
      <c r="F4" s="14" t="s">
        <v>23</v>
      </c>
      <c r="H4">
        <v>1E-3</v>
      </c>
      <c r="I4" t="s">
        <v>22</v>
      </c>
      <c r="M4" t="s">
        <v>679</v>
      </c>
    </row>
    <row r="5" spans="2:16" x14ac:dyDescent="0.3">
      <c r="C5" t="s">
        <v>21</v>
      </c>
      <c r="D5" t="s">
        <v>680</v>
      </c>
      <c r="E5">
        <v>0</v>
      </c>
      <c r="F5" s="14" t="s">
        <v>23</v>
      </c>
      <c r="H5">
        <v>5</v>
      </c>
      <c r="I5" t="s">
        <v>22</v>
      </c>
      <c r="M5" t="s">
        <v>679</v>
      </c>
    </row>
    <row r="6" spans="2:16" x14ac:dyDescent="0.3">
      <c r="C6" t="s">
        <v>21</v>
      </c>
      <c r="D6" t="s">
        <v>689</v>
      </c>
      <c r="E6">
        <v>2040</v>
      </c>
      <c r="F6" s="14" t="s">
        <v>23</v>
      </c>
      <c r="H6">
        <v>1E-3</v>
      </c>
      <c r="J6" t="s">
        <v>681</v>
      </c>
    </row>
    <row r="7" spans="2:16" x14ac:dyDescent="0.3">
      <c r="C7" t="s">
        <v>21</v>
      </c>
      <c r="D7" t="s">
        <v>689</v>
      </c>
      <c r="E7">
        <v>0</v>
      </c>
      <c r="F7" s="14" t="s">
        <v>23</v>
      </c>
      <c r="H7">
        <v>5</v>
      </c>
      <c r="J7" t="s">
        <v>681</v>
      </c>
    </row>
    <row r="10" spans="2:16" x14ac:dyDescent="0.3">
      <c r="B10" t="s">
        <v>676</v>
      </c>
    </row>
    <row r="11" spans="2:16" x14ac:dyDescent="0.3">
      <c r="B11" t="s">
        <v>13</v>
      </c>
      <c r="C11" t="s">
        <v>8</v>
      </c>
      <c r="D11" t="s">
        <v>7</v>
      </c>
      <c r="E11" t="s">
        <v>2</v>
      </c>
      <c r="F11" t="s">
        <v>18</v>
      </c>
      <c r="G11" t="s">
        <v>19</v>
      </c>
      <c r="H11" t="s">
        <v>14</v>
      </c>
      <c r="I11" t="s">
        <v>4</v>
      </c>
      <c r="J11" t="s">
        <v>3</v>
      </c>
      <c r="K11" t="s">
        <v>15</v>
      </c>
      <c r="L11" t="s">
        <v>1</v>
      </c>
      <c r="M11" t="s">
        <v>6</v>
      </c>
      <c r="N11" t="s">
        <v>16</v>
      </c>
      <c r="O11" t="s">
        <v>5</v>
      </c>
      <c r="P11" t="s">
        <v>17</v>
      </c>
    </row>
    <row r="12" spans="2:16" x14ac:dyDescent="0.3">
      <c r="C12" t="s">
        <v>677</v>
      </c>
      <c r="D12" t="s">
        <v>678</v>
      </c>
      <c r="H12">
        <v>0.3</v>
      </c>
      <c r="I12" t="s">
        <v>22</v>
      </c>
      <c r="M12" t="s">
        <v>679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909A5-C22B-44B3-AA13-490C593038EF}">
  <dimension ref="A1:S329"/>
  <sheetViews>
    <sheetView workbookViewId="0">
      <selection activeCell="A5" sqref="A5"/>
    </sheetView>
  </sheetViews>
  <sheetFormatPr baseColWidth="10" defaultColWidth="8.88671875" defaultRowHeight="14.4" x14ac:dyDescent="0.3"/>
  <cols>
    <col min="1" max="1" width="14.109375" customWidth="1"/>
    <col min="2" max="2" width="24.33203125" bestFit="1" customWidth="1"/>
    <col min="7" max="8" width="5" bestFit="1" customWidth="1"/>
    <col min="9" max="9" width="2" bestFit="1" customWidth="1"/>
  </cols>
  <sheetData>
    <row r="1" spans="1:19" x14ac:dyDescent="0.3">
      <c r="A1" t="s">
        <v>20</v>
      </c>
    </row>
    <row r="2" spans="1:19" x14ac:dyDescent="0.3">
      <c r="B2" s="6" t="s">
        <v>11</v>
      </c>
    </row>
    <row r="3" spans="1:19" x14ac:dyDescent="0.3">
      <c r="B3" s="6" t="s">
        <v>9</v>
      </c>
    </row>
    <row r="4" spans="1:19" x14ac:dyDescent="0.3">
      <c r="B4" s="6"/>
    </row>
    <row r="5" spans="1:19" x14ac:dyDescent="0.3">
      <c r="E5" t="s">
        <v>675</v>
      </c>
    </row>
    <row r="6" spans="1:19" x14ac:dyDescent="0.3">
      <c r="B6" s="4" t="s">
        <v>0</v>
      </c>
      <c r="C6" s="1" t="s">
        <v>4</v>
      </c>
      <c r="D6" s="1" t="s">
        <v>3</v>
      </c>
      <c r="E6" s="3" t="s">
        <v>8</v>
      </c>
      <c r="F6" s="2" t="s">
        <v>383</v>
      </c>
      <c r="G6" s="5">
        <v>2020</v>
      </c>
      <c r="H6" s="7">
        <v>2100</v>
      </c>
      <c r="I6" s="7">
        <v>0</v>
      </c>
      <c r="J6" s="4" t="s">
        <v>10</v>
      </c>
      <c r="N6" s="15" t="s">
        <v>396</v>
      </c>
    </row>
    <row r="7" spans="1:19" x14ac:dyDescent="0.3">
      <c r="B7" t="str">
        <f>"LCOE_solar_"&amp;O7</f>
        <v>LCOE_solar_Aruba</v>
      </c>
      <c r="C7" t="s">
        <v>385</v>
      </c>
      <c r="D7" t="str">
        <f>"*"&amp;N7</f>
        <v>*ABW</v>
      </c>
      <c r="E7" t="s">
        <v>21</v>
      </c>
      <c r="F7">
        <v>1</v>
      </c>
      <c r="G7">
        <v>0</v>
      </c>
      <c r="H7">
        <v>1</v>
      </c>
      <c r="I7">
        <v>5</v>
      </c>
      <c r="N7" t="s">
        <v>389</v>
      </c>
      <c r="O7" t="str">
        <f>VLOOKUP(N7,$R$7:$S$999,2,FALSE)</f>
        <v>Aruba</v>
      </c>
      <c r="R7" t="s">
        <v>84</v>
      </c>
      <c r="S7" t="s">
        <v>85</v>
      </c>
    </row>
    <row r="8" spans="1:19" x14ac:dyDescent="0.3">
      <c r="B8" t="str">
        <f t="shared" ref="B8:B71" si="0">"LCOE_solar_"&amp;O8</f>
        <v>LCOE_solar_Andorra</v>
      </c>
      <c r="C8" t="s">
        <v>385</v>
      </c>
      <c r="D8" t="str">
        <f t="shared" ref="D8:D71" si="1">"*"&amp;N8</f>
        <v>*ADO</v>
      </c>
      <c r="E8" t="s">
        <v>21</v>
      </c>
      <c r="F8">
        <v>1</v>
      </c>
      <c r="G8">
        <v>0</v>
      </c>
      <c r="H8">
        <v>1</v>
      </c>
      <c r="I8">
        <v>5</v>
      </c>
      <c r="N8" t="s">
        <v>395</v>
      </c>
      <c r="O8" t="str">
        <f t="shared" ref="O8:O71" si="2">VLOOKUP(N8,$R$7:$S$999,2,FALSE)</f>
        <v>Andorra</v>
      </c>
      <c r="R8" t="s">
        <v>174</v>
      </c>
      <c r="S8" t="s">
        <v>175</v>
      </c>
    </row>
    <row r="9" spans="1:19" x14ac:dyDescent="0.3">
      <c r="B9" t="str">
        <f t="shared" si="0"/>
        <v>LCOE_solar_Afghanistan</v>
      </c>
      <c r="C9" t="s">
        <v>385</v>
      </c>
      <c r="D9" t="str">
        <f t="shared" si="1"/>
        <v>*AFG</v>
      </c>
      <c r="E9" t="s">
        <v>21</v>
      </c>
      <c r="F9">
        <v>1</v>
      </c>
      <c r="G9">
        <v>0</v>
      </c>
      <c r="H9">
        <v>1</v>
      </c>
      <c r="I9">
        <v>5</v>
      </c>
      <c r="N9" t="s">
        <v>24</v>
      </c>
      <c r="O9" t="str">
        <f t="shared" si="2"/>
        <v>Afghanistan</v>
      </c>
      <c r="R9" t="s">
        <v>362</v>
      </c>
      <c r="S9" t="s">
        <v>363</v>
      </c>
    </row>
    <row r="10" spans="1:19" x14ac:dyDescent="0.3">
      <c r="B10" t="str">
        <f t="shared" si="0"/>
        <v>LCOE_solar_Angola</v>
      </c>
      <c r="C10" t="s">
        <v>385</v>
      </c>
      <c r="D10" t="str">
        <f t="shared" si="1"/>
        <v>*AGO</v>
      </c>
      <c r="E10" t="s">
        <v>21</v>
      </c>
      <c r="F10">
        <v>1</v>
      </c>
      <c r="G10">
        <v>0</v>
      </c>
      <c r="H10">
        <v>1</v>
      </c>
      <c r="I10">
        <v>5</v>
      </c>
      <c r="N10" t="s">
        <v>26</v>
      </c>
      <c r="O10" t="str">
        <f t="shared" si="2"/>
        <v>Angola</v>
      </c>
      <c r="R10" t="s">
        <v>172</v>
      </c>
      <c r="S10" t="s">
        <v>173</v>
      </c>
    </row>
    <row r="11" spans="1:19" x14ac:dyDescent="0.3">
      <c r="B11" t="str">
        <f t="shared" si="0"/>
        <v>LCOE_solar_Albania</v>
      </c>
      <c r="C11" t="s">
        <v>385</v>
      </c>
      <c r="D11" t="str">
        <f t="shared" si="1"/>
        <v>*ALB</v>
      </c>
      <c r="E11" t="s">
        <v>21</v>
      </c>
      <c r="F11">
        <v>1</v>
      </c>
      <c r="G11">
        <v>0</v>
      </c>
      <c r="H11">
        <v>1</v>
      </c>
      <c r="I11">
        <v>5</v>
      </c>
      <c r="N11" t="s">
        <v>28</v>
      </c>
      <c r="O11" t="str">
        <f t="shared" si="2"/>
        <v>Albania</v>
      </c>
      <c r="R11" t="s">
        <v>66</v>
      </c>
      <c r="S11" t="s">
        <v>67</v>
      </c>
    </row>
    <row r="12" spans="1:19" x14ac:dyDescent="0.3">
      <c r="B12" t="str">
        <f t="shared" si="0"/>
        <v>LCOE_solar_United Arab Emirates</v>
      </c>
      <c r="C12" t="s">
        <v>385</v>
      </c>
      <c r="D12" t="str">
        <f t="shared" si="1"/>
        <v>*ARE</v>
      </c>
      <c r="E12" t="s">
        <v>21</v>
      </c>
      <c r="F12">
        <v>1</v>
      </c>
      <c r="G12">
        <v>0</v>
      </c>
      <c r="H12">
        <v>1</v>
      </c>
      <c r="I12">
        <v>5</v>
      </c>
      <c r="N12" t="s">
        <v>30</v>
      </c>
      <c r="O12" t="str">
        <f t="shared" si="2"/>
        <v>United Arab Emirates</v>
      </c>
      <c r="R12" t="s">
        <v>302</v>
      </c>
      <c r="S12" t="s">
        <v>303</v>
      </c>
    </row>
    <row r="13" spans="1:19" x14ac:dyDescent="0.3">
      <c r="B13" t="str">
        <f t="shared" si="0"/>
        <v>LCOE_solar_Argentina</v>
      </c>
      <c r="C13" t="s">
        <v>385</v>
      </c>
      <c r="D13" t="str">
        <f t="shared" si="1"/>
        <v>*ARG</v>
      </c>
      <c r="E13" t="s">
        <v>21</v>
      </c>
      <c r="F13">
        <v>1</v>
      </c>
      <c r="G13">
        <v>0</v>
      </c>
      <c r="H13">
        <v>1</v>
      </c>
      <c r="I13">
        <v>5</v>
      </c>
      <c r="N13" t="s">
        <v>32</v>
      </c>
      <c r="O13" t="str">
        <f t="shared" si="2"/>
        <v>Argentina</v>
      </c>
      <c r="R13" t="s">
        <v>192</v>
      </c>
      <c r="S13" t="s">
        <v>193</v>
      </c>
    </row>
    <row r="14" spans="1:19" x14ac:dyDescent="0.3">
      <c r="B14" t="str">
        <f t="shared" si="0"/>
        <v>LCOE_solar_Armenia</v>
      </c>
      <c r="C14" t="s">
        <v>385</v>
      </c>
      <c r="D14" t="str">
        <f t="shared" si="1"/>
        <v>*ARM</v>
      </c>
      <c r="E14" t="s">
        <v>21</v>
      </c>
      <c r="F14">
        <v>1</v>
      </c>
      <c r="G14">
        <v>0</v>
      </c>
      <c r="H14">
        <v>1</v>
      </c>
      <c r="I14">
        <v>5</v>
      </c>
      <c r="N14" t="s">
        <v>34</v>
      </c>
      <c r="O14" t="str">
        <f t="shared" si="2"/>
        <v>Armenia</v>
      </c>
      <c r="R14" t="s">
        <v>114</v>
      </c>
      <c r="S14" t="s">
        <v>115</v>
      </c>
    </row>
    <row r="15" spans="1:19" x14ac:dyDescent="0.3">
      <c r="B15" t="str">
        <f t="shared" si="0"/>
        <v>LCOE_solar_Antigua and Barbuda</v>
      </c>
      <c r="C15" t="s">
        <v>385</v>
      </c>
      <c r="D15" t="str">
        <f t="shared" si="1"/>
        <v>*ATG</v>
      </c>
      <c r="E15" t="s">
        <v>21</v>
      </c>
      <c r="F15">
        <v>1</v>
      </c>
      <c r="G15">
        <v>0</v>
      </c>
      <c r="H15">
        <v>1</v>
      </c>
      <c r="I15">
        <v>5</v>
      </c>
      <c r="N15" t="s">
        <v>388</v>
      </c>
      <c r="O15" t="str">
        <f t="shared" si="2"/>
        <v>Antigua and Barbuda</v>
      </c>
      <c r="R15" t="s">
        <v>232</v>
      </c>
      <c r="S15" t="s">
        <v>233</v>
      </c>
    </row>
    <row r="16" spans="1:19" x14ac:dyDescent="0.3">
      <c r="B16" t="str">
        <f t="shared" si="0"/>
        <v>LCOE_solar_Australia</v>
      </c>
      <c r="C16" t="s">
        <v>385</v>
      </c>
      <c r="D16" t="str">
        <f t="shared" si="1"/>
        <v>*AUS</v>
      </c>
      <c r="E16" t="s">
        <v>21</v>
      </c>
      <c r="F16">
        <v>1</v>
      </c>
      <c r="G16">
        <v>0</v>
      </c>
      <c r="H16">
        <v>1</v>
      </c>
      <c r="I16">
        <v>5</v>
      </c>
      <c r="N16" t="s">
        <v>36</v>
      </c>
      <c r="O16" t="str">
        <f t="shared" si="2"/>
        <v>Australia</v>
      </c>
      <c r="R16" t="s">
        <v>106</v>
      </c>
      <c r="S16" t="s">
        <v>107</v>
      </c>
    </row>
    <row r="17" spans="2:19" x14ac:dyDescent="0.3">
      <c r="B17" t="str">
        <f t="shared" si="0"/>
        <v>LCOE_solar_Austria</v>
      </c>
      <c r="C17" t="s">
        <v>385</v>
      </c>
      <c r="D17" t="str">
        <f t="shared" si="1"/>
        <v>*AUT</v>
      </c>
      <c r="E17" t="s">
        <v>21</v>
      </c>
      <c r="F17">
        <v>1</v>
      </c>
      <c r="G17">
        <v>0</v>
      </c>
      <c r="H17">
        <v>1</v>
      </c>
      <c r="I17">
        <v>5</v>
      </c>
      <c r="N17" t="s">
        <v>38</v>
      </c>
      <c r="O17" t="str">
        <f t="shared" si="2"/>
        <v>Austria</v>
      </c>
      <c r="R17" t="s">
        <v>138</v>
      </c>
      <c r="S17" t="s">
        <v>139</v>
      </c>
    </row>
    <row r="18" spans="2:19" x14ac:dyDescent="0.3">
      <c r="B18" t="str">
        <f t="shared" si="0"/>
        <v>LCOE_solar_Azerbaijan</v>
      </c>
      <c r="C18" t="s">
        <v>385</v>
      </c>
      <c r="D18" t="str">
        <f t="shared" si="1"/>
        <v>*AZE</v>
      </c>
      <c r="E18" t="s">
        <v>21</v>
      </c>
      <c r="F18">
        <v>1</v>
      </c>
      <c r="G18">
        <v>0</v>
      </c>
      <c r="H18">
        <v>1</v>
      </c>
      <c r="I18">
        <v>5</v>
      </c>
      <c r="N18" t="s">
        <v>40</v>
      </c>
      <c r="O18" t="str">
        <f t="shared" si="2"/>
        <v>Azerbaijan</v>
      </c>
      <c r="R18" t="s">
        <v>134</v>
      </c>
      <c r="S18" t="s">
        <v>135</v>
      </c>
    </row>
    <row r="19" spans="2:19" x14ac:dyDescent="0.3">
      <c r="B19" t="str">
        <f t="shared" si="0"/>
        <v>LCOE_solar_Burundi</v>
      </c>
      <c r="C19" t="s">
        <v>385</v>
      </c>
      <c r="D19" t="str">
        <f t="shared" si="1"/>
        <v>*BDI</v>
      </c>
      <c r="E19" t="s">
        <v>21</v>
      </c>
      <c r="F19">
        <v>1</v>
      </c>
      <c r="G19">
        <v>0</v>
      </c>
      <c r="H19">
        <v>1</v>
      </c>
      <c r="I19">
        <v>5</v>
      </c>
      <c r="N19" t="s">
        <v>42</v>
      </c>
      <c r="O19" t="str">
        <f t="shared" si="2"/>
        <v>Burundi</v>
      </c>
      <c r="R19" t="s">
        <v>202</v>
      </c>
      <c r="S19" t="s">
        <v>203</v>
      </c>
    </row>
    <row r="20" spans="2:19" x14ac:dyDescent="0.3">
      <c r="B20" t="str">
        <f t="shared" si="0"/>
        <v>LCOE_solar_Belgium</v>
      </c>
      <c r="C20" t="s">
        <v>385</v>
      </c>
      <c r="D20" t="str">
        <f t="shared" si="1"/>
        <v>*BEL</v>
      </c>
      <c r="E20" t="s">
        <v>21</v>
      </c>
      <c r="F20">
        <v>1</v>
      </c>
      <c r="G20">
        <v>0</v>
      </c>
      <c r="H20">
        <v>1</v>
      </c>
      <c r="I20">
        <v>5</v>
      </c>
      <c r="N20" t="s">
        <v>44</v>
      </c>
      <c r="O20" t="str">
        <f t="shared" si="2"/>
        <v>Belgium</v>
      </c>
      <c r="R20" t="s">
        <v>350</v>
      </c>
      <c r="S20" t="s">
        <v>351</v>
      </c>
    </row>
    <row r="21" spans="2:19" x14ac:dyDescent="0.3">
      <c r="B21" t="str">
        <f t="shared" si="0"/>
        <v>LCOE_solar_Benin</v>
      </c>
      <c r="C21" t="s">
        <v>385</v>
      </c>
      <c r="D21" t="str">
        <f t="shared" si="1"/>
        <v>*BEN</v>
      </c>
      <c r="E21" t="s">
        <v>21</v>
      </c>
      <c r="F21">
        <v>1</v>
      </c>
      <c r="G21">
        <v>0</v>
      </c>
      <c r="H21">
        <v>1</v>
      </c>
      <c r="I21">
        <v>5</v>
      </c>
      <c r="N21" t="s">
        <v>46</v>
      </c>
      <c r="O21" t="str">
        <f t="shared" si="2"/>
        <v>Benin</v>
      </c>
      <c r="R21" t="s">
        <v>26</v>
      </c>
      <c r="S21" t="s">
        <v>27</v>
      </c>
    </row>
    <row r="22" spans="2:19" x14ac:dyDescent="0.3">
      <c r="B22" t="str">
        <f t="shared" si="0"/>
        <v>LCOE_solar_Burkina Faso</v>
      </c>
      <c r="C22" t="s">
        <v>385</v>
      </c>
      <c r="D22" t="str">
        <f t="shared" si="1"/>
        <v>*BFA</v>
      </c>
      <c r="E22" t="s">
        <v>21</v>
      </c>
      <c r="F22">
        <v>1</v>
      </c>
      <c r="G22">
        <v>0</v>
      </c>
      <c r="H22">
        <v>1</v>
      </c>
      <c r="I22">
        <v>5</v>
      </c>
      <c r="N22" t="s">
        <v>48</v>
      </c>
      <c r="O22" t="str">
        <f t="shared" si="2"/>
        <v>Burkina Faso</v>
      </c>
      <c r="R22" t="s">
        <v>272</v>
      </c>
      <c r="S22" t="s">
        <v>273</v>
      </c>
    </row>
    <row r="23" spans="2:19" x14ac:dyDescent="0.3">
      <c r="B23" t="str">
        <f t="shared" si="0"/>
        <v>LCOE_solar_Bangladesh</v>
      </c>
      <c r="C23" t="s">
        <v>385</v>
      </c>
      <c r="D23" t="str">
        <f t="shared" si="1"/>
        <v>*BGD</v>
      </c>
      <c r="E23" t="s">
        <v>21</v>
      </c>
      <c r="F23">
        <v>1</v>
      </c>
      <c r="G23">
        <v>0</v>
      </c>
      <c r="H23">
        <v>1</v>
      </c>
      <c r="I23">
        <v>5</v>
      </c>
      <c r="N23" t="s">
        <v>50</v>
      </c>
      <c r="O23" t="str">
        <f t="shared" si="2"/>
        <v>Bangladesh</v>
      </c>
      <c r="R23" t="s">
        <v>186</v>
      </c>
      <c r="S23" t="s">
        <v>187</v>
      </c>
    </row>
    <row r="24" spans="2:19" x14ac:dyDescent="0.3">
      <c r="B24" t="str">
        <f t="shared" si="0"/>
        <v>LCOE_solar_Bulgaria</v>
      </c>
      <c r="C24" t="s">
        <v>385</v>
      </c>
      <c r="D24" t="str">
        <f t="shared" si="1"/>
        <v>*BGR</v>
      </c>
      <c r="E24" t="s">
        <v>21</v>
      </c>
      <c r="F24">
        <v>1</v>
      </c>
      <c r="G24">
        <v>0</v>
      </c>
      <c r="H24">
        <v>1</v>
      </c>
      <c r="I24">
        <v>5</v>
      </c>
      <c r="N24" t="s">
        <v>52</v>
      </c>
      <c r="O24" t="str">
        <f t="shared" si="2"/>
        <v>Bulgaria</v>
      </c>
      <c r="R24" t="s">
        <v>338</v>
      </c>
      <c r="S24" t="s">
        <v>339</v>
      </c>
    </row>
    <row r="25" spans="2:19" x14ac:dyDescent="0.3">
      <c r="B25" t="str">
        <f t="shared" si="0"/>
        <v>LCOE_solar_Bahrain</v>
      </c>
      <c r="C25" t="s">
        <v>385</v>
      </c>
      <c r="D25" t="str">
        <f t="shared" si="1"/>
        <v>*BHR</v>
      </c>
      <c r="E25" t="s">
        <v>21</v>
      </c>
      <c r="F25">
        <v>1</v>
      </c>
      <c r="G25">
        <v>0</v>
      </c>
      <c r="H25">
        <v>1</v>
      </c>
      <c r="I25">
        <v>5</v>
      </c>
      <c r="N25" t="s">
        <v>54</v>
      </c>
      <c r="O25" t="str">
        <f t="shared" si="2"/>
        <v>Bahrain</v>
      </c>
      <c r="R25" t="s">
        <v>78</v>
      </c>
      <c r="S25" t="s">
        <v>79</v>
      </c>
    </row>
    <row r="26" spans="2:19" x14ac:dyDescent="0.3">
      <c r="B26" t="str">
        <f t="shared" si="0"/>
        <v>LCOE_solar_Bosnia and Herzegovina</v>
      </c>
      <c r="C26" t="s">
        <v>385</v>
      </c>
      <c r="D26" t="str">
        <f t="shared" si="1"/>
        <v>*BIH</v>
      </c>
      <c r="E26" t="s">
        <v>21</v>
      </c>
      <c r="F26">
        <v>1</v>
      </c>
      <c r="G26">
        <v>0</v>
      </c>
      <c r="H26">
        <v>1</v>
      </c>
      <c r="I26">
        <v>5</v>
      </c>
      <c r="N26" t="s">
        <v>58</v>
      </c>
      <c r="O26" t="str">
        <f t="shared" si="2"/>
        <v>Bosnia and Herzegovina</v>
      </c>
      <c r="R26" t="s">
        <v>50</v>
      </c>
      <c r="S26" t="s">
        <v>51</v>
      </c>
    </row>
    <row r="27" spans="2:19" x14ac:dyDescent="0.3">
      <c r="B27" t="str">
        <f t="shared" si="0"/>
        <v>LCOE_solar_Belarus</v>
      </c>
      <c r="C27" t="s">
        <v>385</v>
      </c>
      <c r="D27" t="str">
        <f t="shared" si="1"/>
        <v>*BLR</v>
      </c>
      <c r="E27" t="s">
        <v>21</v>
      </c>
      <c r="F27">
        <v>1</v>
      </c>
      <c r="G27">
        <v>0</v>
      </c>
      <c r="H27">
        <v>1</v>
      </c>
      <c r="I27">
        <v>5</v>
      </c>
      <c r="N27" t="s">
        <v>60</v>
      </c>
      <c r="O27" t="str">
        <f t="shared" si="2"/>
        <v>Belarus</v>
      </c>
      <c r="R27" t="s">
        <v>36</v>
      </c>
      <c r="S27" t="s">
        <v>37</v>
      </c>
    </row>
    <row r="28" spans="2:19" x14ac:dyDescent="0.3">
      <c r="B28" t="str">
        <f t="shared" si="0"/>
        <v>LCOE_solar_Belize</v>
      </c>
      <c r="C28" t="s">
        <v>385</v>
      </c>
      <c r="D28" t="str">
        <f t="shared" si="1"/>
        <v>*BLZ</v>
      </c>
      <c r="E28" t="s">
        <v>21</v>
      </c>
      <c r="F28">
        <v>1</v>
      </c>
      <c r="G28">
        <v>0</v>
      </c>
      <c r="H28">
        <v>1</v>
      </c>
      <c r="I28">
        <v>5</v>
      </c>
      <c r="N28" t="s">
        <v>62</v>
      </c>
      <c r="O28" t="str">
        <f t="shared" si="2"/>
        <v>Belize</v>
      </c>
      <c r="R28" t="s">
        <v>178</v>
      </c>
      <c r="S28" t="s">
        <v>179</v>
      </c>
    </row>
    <row r="29" spans="2:19" x14ac:dyDescent="0.3">
      <c r="B29" t="str">
        <f t="shared" si="0"/>
        <v>LCOE_solar_Bermuda</v>
      </c>
      <c r="C29" t="s">
        <v>385</v>
      </c>
      <c r="D29" t="str">
        <f t="shared" si="1"/>
        <v>*BMU</v>
      </c>
      <c r="E29" t="s">
        <v>21</v>
      </c>
      <c r="F29">
        <v>1</v>
      </c>
      <c r="G29">
        <v>0</v>
      </c>
      <c r="H29">
        <v>1</v>
      </c>
      <c r="I29">
        <v>5</v>
      </c>
      <c r="N29" t="s">
        <v>393</v>
      </c>
      <c r="O29" t="str">
        <f t="shared" si="2"/>
        <v>Bermuda</v>
      </c>
      <c r="R29" t="s">
        <v>278</v>
      </c>
      <c r="S29" t="s">
        <v>279</v>
      </c>
    </row>
    <row r="30" spans="2:19" x14ac:dyDescent="0.3">
      <c r="B30" t="str">
        <f t="shared" si="0"/>
        <v>LCOE_solar_Bolivia</v>
      </c>
      <c r="C30" t="s">
        <v>385</v>
      </c>
      <c r="D30" t="str">
        <f t="shared" si="1"/>
        <v>*BOL</v>
      </c>
      <c r="E30" t="s">
        <v>21</v>
      </c>
      <c r="F30">
        <v>1</v>
      </c>
      <c r="G30">
        <v>0</v>
      </c>
      <c r="H30">
        <v>1</v>
      </c>
      <c r="I30">
        <v>5</v>
      </c>
      <c r="N30" t="s">
        <v>64</v>
      </c>
      <c r="O30" t="str">
        <f t="shared" si="2"/>
        <v>Bolivia</v>
      </c>
      <c r="R30" t="s">
        <v>124</v>
      </c>
      <c r="S30" t="s">
        <v>125</v>
      </c>
    </row>
    <row r="31" spans="2:19" x14ac:dyDescent="0.3">
      <c r="B31" t="str">
        <f t="shared" si="0"/>
        <v>LCOE_solar_Brazil</v>
      </c>
      <c r="C31" t="s">
        <v>385</v>
      </c>
      <c r="D31" t="str">
        <f t="shared" si="1"/>
        <v>*BRA</v>
      </c>
      <c r="E31" t="s">
        <v>21</v>
      </c>
      <c r="F31">
        <v>1</v>
      </c>
      <c r="G31">
        <v>0</v>
      </c>
      <c r="H31">
        <v>1</v>
      </c>
      <c r="I31">
        <v>5</v>
      </c>
      <c r="N31" t="s">
        <v>66</v>
      </c>
      <c r="O31" t="str">
        <f t="shared" si="2"/>
        <v>Brazil</v>
      </c>
      <c r="R31" t="s">
        <v>306</v>
      </c>
      <c r="S31" t="s">
        <v>307</v>
      </c>
    </row>
    <row r="32" spans="2:19" x14ac:dyDescent="0.3">
      <c r="B32" t="str">
        <f t="shared" si="0"/>
        <v>LCOE_solar_Barbados</v>
      </c>
      <c r="C32" t="s">
        <v>385</v>
      </c>
      <c r="D32" t="str">
        <f t="shared" si="1"/>
        <v>*BRB</v>
      </c>
      <c r="E32" t="s">
        <v>21</v>
      </c>
      <c r="F32">
        <v>1</v>
      </c>
      <c r="G32">
        <v>0</v>
      </c>
      <c r="H32">
        <v>1</v>
      </c>
      <c r="I32">
        <v>5</v>
      </c>
      <c r="N32" t="s">
        <v>68</v>
      </c>
      <c r="O32" t="str">
        <f t="shared" si="2"/>
        <v>Barbados</v>
      </c>
      <c r="R32" t="s">
        <v>32</v>
      </c>
      <c r="S32" t="s">
        <v>33</v>
      </c>
    </row>
    <row r="33" spans="2:19" x14ac:dyDescent="0.3">
      <c r="B33" t="str">
        <f t="shared" si="0"/>
        <v>LCOE_solar_Brunei</v>
      </c>
      <c r="C33" t="s">
        <v>385</v>
      </c>
      <c r="D33" t="str">
        <f t="shared" si="1"/>
        <v>*BRN</v>
      </c>
      <c r="E33" t="s">
        <v>21</v>
      </c>
      <c r="F33">
        <v>1</v>
      </c>
      <c r="G33">
        <v>0</v>
      </c>
      <c r="H33">
        <v>1</v>
      </c>
      <c r="I33">
        <v>5</v>
      </c>
      <c r="N33" t="s">
        <v>70</v>
      </c>
      <c r="O33" t="str">
        <f t="shared" si="2"/>
        <v>Brunei</v>
      </c>
      <c r="R33" t="s">
        <v>368</v>
      </c>
      <c r="S33" t="s">
        <v>369</v>
      </c>
    </row>
    <row r="34" spans="2:19" x14ac:dyDescent="0.3">
      <c r="B34" t="str">
        <f t="shared" si="0"/>
        <v>LCOE_solar_Bhutan</v>
      </c>
      <c r="C34" t="s">
        <v>385</v>
      </c>
      <c r="D34" t="str">
        <f t="shared" si="1"/>
        <v>*BTN</v>
      </c>
      <c r="E34" t="s">
        <v>21</v>
      </c>
      <c r="F34">
        <v>1</v>
      </c>
      <c r="G34">
        <v>0</v>
      </c>
      <c r="H34">
        <v>1</v>
      </c>
      <c r="I34">
        <v>5</v>
      </c>
      <c r="N34" t="s">
        <v>72</v>
      </c>
      <c r="O34" t="str">
        <f t="shared" si="2"/>
        <v>Bhutan</v>
      </c>
      <c r="R34" t="s">
        <v>46</v>
      </c>
      <c r="S34" t="s">
        <v>47</v>
      </c>
    </row>
    <row r="35" spans="2:19" x14ac:dyDescent="0.3">
      <c r="B35" t="str">
        <f t="shared" si="0"/>
        <v>LCOE_solar_Botswana</v>
      </c>
      <c r="C35" t="s">
        <v>385</v>
      </c>
      <c r="D35" t="str">
        <f t="shared" si="1"/>
        <v>*BWA</v>
      </c>
      <c r="E35" t="s">
        <v>21</v>
      </c>
      <c r="F35">
        <v>1</v>
      </c>
      <c r="G35">
        <v>0</v>
      </c>
      <c r="H35">
        <v>1</v>
      </c>
      <c r="I35">
        <v>5</v>
      </c>
      <c r="N35" t="s">
        <v>74</v>
      </c>
      <c r="O35" t="str">
        <f t="shared" si="2"/>
        <v>Botswana</v>
      </c>
      <c r="R35" t="s">
        <v>252</v>
      </c>
      <c r="S35" t="s">
        <v>253</v>
      </c>
    </row>
    <row r="36" spans="2:19" x14ac:dyDescent="0.3">
      <c r="B36" t="str">
        <f t="shared" si="0"/>
        <v>LCOE_solar_Central African Republic</v>
      </c>
      <c r="C36" t="s">
        <v>385</v>
      </c>
      <c r="D36" t="str">
        <f t="shared" si="1"/>
        <v>*CAF</v>
      </c>
      <c r="E36" t="s">
        <v>21</v>
      </c>
      <c r="F36">
        <v>1</v>
      </c>
      <c r="G36">
        <v>0</v>
      </c>
      <c r="H36">
        <v>1</v>
      </c>
      <c r="I36">
        <v>5</v>
      </c>
      <c r="N36" t="s">
        <v>76</v>
      </c>
      <c r="O36" t="str">
        <f t="shared" si="2"/>
        <v>Central African Republic</v>
      </c>
      <c r="R36" t="s">
        <v>92</v>
      </c>
      <c r="S36" t="s">
        <v>93</v>
      </c>
    </row>
    <row r="37" spans="2:19" x14ac:dyDescent="0.3">
      <c r="B37" t="str">
        <f t="shared" si="0"/>
        <v>LCOE_solar_Canada</v>
      </c>
      <c r="C37" t="s">
        <v>385</v>
      </c>
      <c r="D37" t="str">
        <f t="shared" si="1"/>
        <v>*CAN</v>
      </c>
      <c r="E37" t="s">
        <v>21</v>
      </c>
      <c r="F37">
        <v>1</v>
      </c>
      <c r="G37">
        <v>0</v>
      </c>
      <c r="H37">
        <v>1</v>
      </c>
      <c r="I37">
        <v>5</v>
      </c>
      <c r="N37" t="s">
        <v>78</v>
      </c>
      <c r="O37" t="str">
        <f t="shared" si="2"/>
        <v>Canada</v>
      </c>
      <c r="R37" t="s">
        <v>282</v>
      </c>
      <c r="S37" t="s">
        <v>283</v>
      </c>
    </row>
    <row r="38" spans="2:19" x14ac:dyDescent="0.3">
      <c r="B38" t="str">
        <f t="shared" si="0"/>
        <v>LCOE_solar_Switzerland</v>
      </c>
      <c r="C38" t="s">
        <v>385</v>
      </c>
      <c r="D38" t="str">
        <f t="shared" si="1"/>
        <v>*CHE</v>
      </c>
      <c r="E38" t="s">
        <v>21</v>
      </c>
      <c r="F38">
        <v>1</v>
      </c>
      <c r="G38">
        <v>0</v>
      </c>
      <c r="H38">
        <v>1</v>
      </c>
      <c r="I38">
        <v>5</v>
      </c>
      <c r="N38" t="s">
        <v>80</v>
      </c>
      <c r="O38" t="str">
        <f t="shared" si="2"/>
        <v>Switzerland</v>
      </c>
      <c r="R38" t="s">
        <v>352</v>
      </c>
      <c r="S38" t="s">
        <v>353</v>
      </c>
    </row>
    <row r="39" spans="2:19" x14ac:dyDescent="0.3">
      <c r="B39" t="str">
        <f t="shared" si="0"/>
        <v>LCOE_solar_Chile</v>
      </c>
      <c r="C39" t="s">
        <v>385</v>
      </c>
      <c r="D39" t="str">
        <f t="shared" si="1"/>
        <v>*CHL</v>
      </c>
      <c r="E39" t="s">
        <v>21</v>
      </c>
      <c r="F39">
        <v>1</v>
      </c>
      <c r="G39">
        <v>0</v>
      </c>
      <c r="H39">
        <v>1</v>
      </c>
      <c r="I39">
        <v>5</v>
      </c>
      <c r="N39" t="s">
        <v>82</v>
      </c>
      <c r="O39" t="str">
        <f t="shared" si="2"/>
        <v>Chile</v>
      </c>
      <c r="R39" t="s">
        <v>74</v>
      </c>
      <c r="S39" t="s">
        <v>75</v>
      </c>
    </row>
    <row r="40" spans="2:19" x14ac:dyDescent="0.3">
      <c r="B40" t="str">
        <f t="shared" si="0"/>
        <v>LCOE_solar_China</v>
      </c>
      <c r="C40" t="s">
        <v>385</v>
      </c>
      <c r="D40" t="str">
        <f t="shared" si="1"/>
        <v>*CHN</v>
      </c>
      <c r="E40" t="s">
        <v>21</v>
      </c>
      <c r="F40">
        <v>1</v>
      </c>
      <c r="G40">
        <v>0</v>
      </c>
      <c r="H40">
        <v>1</v>
      </c>
      <c r="I40">
        <v>5</v>
      </c>
      <c r="N40" t="s">
        <v>84</v>
      </c>
      <c r="O40" t="str">
        <f t="shared" si="2"/>
        <v>China</v>
      </c>
      <c r="R40" t="s">
        <v>276</v>
      </c>
      <c r="S40" t="s">
        <v>277</v>
      </c>
    </row>
    <row r="41" spans="2:19" x14ac:dyDescent="0.3">
      <c r="B41" t="str">
        <f t="shared" si="0"/>
        <v>LCOE_solar_Ivory Coast</v>
      </c>
      <c r="C41" t="s">
        <v>385</v>
      </c>
      <c r="D41" t="str">
        <f t="shared" si="1"/>
        <v>*CIV</v>
      </c>
      <c r="E41" t="s">
        <v>21</v>
      </c>
      <c r="F41">
        <v>1</v>
      </c>
      <c r="G41">
        <v>0</v>
      </c>
      <c r="H41">
        <v>1</v>
      </c>
      <c r="I41">
        <v>5</v>
      </c>
      <c r="N41" t="s">
        <v>86</v>
      </c>
      <c r="O41" t="str">
        <f t="shared" si="2"/>
        <v>Ivory Coast</v>
      </c>
      <c r="R41" t="s">
        <v>30</v>
      </c>
      <c r="S41" t="s">
        <v>31</v>
      </c>
    </row>
    <row r="42" spans="2:19" x14ac:dyDescent="0.3">
      <c r="B42" t="str">
        <f t="shared" si="0"/>
        <v>LCOE_solar_Cameroon</v>
      </c>
      <c r="C42" t="s">
        <v>385</v>
      </c>
      <c r="D42" t="str">
        <f t="shared" si="1"/>
        <v>*CMR</v>
      </c>
      <c r="E42" t="s">
        <v>21</v>
      </c>
      <c r="F42">
        <v>1</v>
      </c>
      <c r="G42">
        <v>0</v>
      </c>
      <c r="H42">
        <v>1</v>
      </c>
      <c r="I42">
        <v>5</v>
      </c>
      <c r="N42" t="s">
        <v>88</v>
      </c>
      <c r="O42" t="str">
        <f t="shared" si="2"/>
        <v>Cameroon</v>
      </c>
      <c r="R42" t="s">
        <v>358</v>
      </c>
      <c r="S42" t="s">
        <v>359</v>
      </c>
    </row>
    <row r="43" spans="2:19" x14ac:dyDescent="0.3">
      <c r="B43" t="str">
        <f t="shared" si="0"/>
        <v>LCOE_solar_Republic of Congo</v>
      </c>
      <c r="C43" t="s">
        <v>385</v>
      </c>
      <c r="D43" t="str">
        <f t="shared" si="1"/>
        <v>*COG</v>
      </c>
      <c r="E43" t="s">
        <v>21</v>
      </c>
      <c r="F43">
        <v>1</v>
      </c>
      <c r="G43">
        <v>0</v>
      </c>
      <c r="H43">
        <v>1</v>
      </c>
      <c r="I43">
        <v>5</v>
      </c>
      <c r="N43" t="s">
        <v>90</v>
      </c>
      <c r="O43" t="str">
        <f t="shared" si="2"/>
        <v>Republic of Congo</v>
      </c>
      <c r="R43" t="s">
        <v>262</v>
      </c>
      <c r="S43" t="s">
        <v>263</v>
      </c>
    </row>
    <row r="44" spans="2:19" x14ac:dyDescent="0.3">
      <c r="B44" t="str">
        <f t="shared" si="0"/>
        <v>LCOE_solar_Colombia</v>
      </c>
      <c r="C44" t="s">
        <v>385</v>
      </c>
      <c r="D44" t="str">
        <f t="shared" si="1"/>
        <v>*COL</v>
      </c>
      <c r="E44" t="s">
        <v>21</v>
      </c>
      <c r="F44">
        <v>1</v>
      </c>
      <c r="G44">
        <v>0</v>
      </c>
      <c r="H44">
        <v>1</v>
      </c>
      <c r="I44">
        <v>5</v>
      </c>
      <c r="N44" t="s">
        <v>92</v>
      </c>
      <c r="O44" t="str">
        <f t="shared" si="2"/>
        <v>Colombia</v>
      </c>
      <c r="R44" t="s">
        <v>366</v>
      </c>
      <c r="S44" t="s">
        <v>367</v>
      </c>
    </row>
    <row r="45" spans="2:19" x14ac:dyDescent="0.3">
      <c r="B45" t="str">
        <f t="shared" si="0"/>
        <v>LCOE_solar_Costa Rica</v>
      </c>
      <c r="C45" t="s">
        <v>385</v>
      </c>
      <c r="D45" t="str">
        <f t="shared" si="1"/>
        <v>*CRI</v>
      </c>
      <c r="E45" t="s">
        <v>21</v>
      </c>
      <c r="F45">
        <v>1</v>
      </c>
      <c r="G45">
        <v>0</v>
      </c>
      <c r="H45">
        <v>1</v>
      </c>
      <c r="I45">
        <v>5</v>
      </c>
      <c r="N45" t="s">
        <v>98</v>
      </c>
      <c r="O45" t="str">
        <f t="shared" si="2"/>
        <v>Costa Rica</v>
      </c>
      <c r="R45" t="s">
        <v>48</v>
      </c>
      <c r="S45" t="s">
        <v>49</v>
      </c>
    </row>
    <row r="46" spans="2:19" x14ac:dyDescent="0.3">
      <c r="B46" t="str">
        <f t="shared" si="0"/>
        <v>LCOE_solar_Cuba</v>
      </c>
      <c r="C46" t="s">
        <v>385</v>
      </c>
      <c r="D46" t="str">
        <f t="shared" si="1"/>
        <v>*CUB</v>
      </c>
      <c r="E46" t="s">
        <v>21</v>
      </c>
      <c r="F46">
        <v>1</v>
      </c>
      <c r="G46">
        <v>0</v>
      </c>
      <c r="H46">
        <v>1</v>
      </c>
      <c r="I46">
        <v>5</v>
      </c>
      <c r="N46" t="s">
        <v>100</v>
      </c>
      <c r="O46" t="str">
        <f t="shared" si="2"/>
        <v>Cuba</v>
      </c>
      <c r="R46" t="s">
        <v>42</v>
      </c>
      <c r="S46" t="s">
        <v>43</v>
      </c>
    </row>
    <row r="47" spans="2:19" x14ac:dyDescent="0.3">
      <c r="B47" t="str">
        <f t="shared" si="0"/>
        <v>LCOE_solar_Czech Republic</v>
      </c>
      <c r="C47" t="s">
        <v>385</v>
      </c>
      <c r="D47" t="str">
        <f t="shared" si="1"/>
        <v>*CZE</v>
      </c>
      <c r="E47" t="s">
        <v>21</v>
      </c>
      <c r="F47">
        <v>1</v>
      </c>
      <c r="G47">
        <v>0</v>
      </c>
      <c r="H47">
        <v>1</v>
      </c>
      <c r="I47">
        <v>5</v>
      </c>
      <c r="N47" t="s">
        <v>104</v>
      </c>
      <c r="O47" t="str">
        <f t="shared" si="2"/>
        <v>Czech Republic</v>
      </c>
      <c r="R47" t="s">
        <v>88</v>
      </c>
      <c r="S47" t="s">
        <v>89</v>
      </c>
    </row>
    <row r="48" spans="2:19" x14ac:dyDescent="0.3">
      <c r="B48" t="str">
        <f t="shared" si="0"/>
        <v>LCOE_solar_Germany</v>
      </c>
      <c r="C48" t="s">
        <v>385</v>
      </c>
      <c r="D48" t="str">
        <f t="shared" si="1"/>
        <v>*DEU</v>
      </c>
      <c r="E48" t="s">
        <v>21</v>
      </c>
      <c r="F48">
        <v>1</v>
      </c>
      <c r="G48">
        <v>0</v>
      </c>
      <c r="H48">
        <v>1</v>
      </c>
      <c r="I48">
        <v>5</v>
      </c>
      <c r="N48" t="s">
        <v>106</v>
      </c>
      <c r="O48" t="str">
        <f t="shared" si="2"/>
        <v>Germany</v>
      </c>
      <c r="R48" t="s">
        <v>96</v>
      </c>
      <c r="S48" t="s">
        <v>97</v>
      </c>
    </row>
    <row r="49" spans="2:19" x14ac:dyDescent="0.3">
      <c r="B49" t="str">
        <f t="shared" si="0"/>
        <v>LCOE_solar_Djibouti</v>
      </c>
      <c r="C49" t="s">
        <v>385</v>
      </c>
      <c r="D49" t="str">
        <f t="shared" si="1"/>
        <v>*DJI</v>
      </c>
      <c r="E49" t="s">
        <v>21</v>
      </c>
      <c r="F49">
        <v>1</v>
      </c>
      <c r="G49">
        <v>0</v>
      </c>
      <c r="H49">
        <v>1</v>
      </c>
      <c r="I49">
        <v>5</v>
      </c>
      <c r="N49" t="s">
        <v>108</v>
      </c>
      <c r="O49" t="str">
        <f t="shared" si="2"/>
        <v>Djibouti</v>
      </c>
      <c r="R49" t="s">
        <v>82</v>
      </c>
      <c r="S49" t="s">
        <v>83</v>
      </c>
    </row>
    <row r="50" spans="2:19" x14ac:dyDescent="0.3">
      <c r="B50" t="str">
        <f t="shared" si="0"/>
        <v>LCOE_solar_Denmark</v>
      </c>
      <c r="C50" t="s">
        <v>385</v>
      </c>
      <c r="D50" t="str">
        <f t="shared" si="1"/>
        <v>*DNK</v>
      </c>
      <c r="E50" t="s">
        <v>21</v>
      </c>
      <c r="F50">
        <v>1</v>
      </c>
      <c r="G50">
        <v>0</v>
      </c>
      <c r="H50">
        <v>1</v>
      </c>
      <c r="I50">
        <v>5</v>
      </c>
      <c r="N50" t="s">
        <v>110</v>
      </c>
      <c r="O50" t="str">
        <f t="shared" si="2"/>
        <v>Denmark</v>
      </c>
      <c r="R50" t="s">
        <v>194</v>
      </c>
      <c r="S50" t="s">
        <v>195</v>
      </c>
    </row>
    <row r="51" spans="2:19" x14ac:dyDescent="0.3">
      <c r="B51" t="str">
        <f t="shared" si="0"/>
        <v>LCOE_solar_Dominican Republic</v>
      </c>
      <c r="C51" t="s">
        <v>385</v>
      </c>
      <c r="D51" t="str">
        <f t="shared" si="1"/>
        <v>*DOM</v>
      </c>
      <c r="E51" t="s">
        <v>21</v>
      </c>
      <c r="F51">
        <v>1</v>
      </c>
      <c r="G51">
        <v>0</v>
      </c>
      <c r="H51">
        <v>1</v>
      </c>
      <c r="I51">
        <v>5</v>
      </c>
      <c r="N51" t="s">
        <v>112</v>
      </c>
      <c r="O51" t="str">
        <f t="shared" si="2"/>
        <v>Dominican Republic</v>
      </c>
      <c r="R51" t="s">
        <v>180</v>
      </c>
      <c r="S51" t="s">
        <v>181</v>
      </c>
    </row>
    <row r="52" spans="2:19" x14ac:dyDescent="0.3">
      <c r="B52" t="str">
        <f t="shared" si="0"/>
        <v>LCOE_solar_Algeria</v>
      </c>
      <c r="C52" t="s">
        <v>385</v>
      </c>
      <c r="D52" t="str">
        <f t="shared" si="1"/>
        <v>*DZA</v>
      </c>
      <c r="E52" t="s">
        <v>21</v>
      </c>
      <c r="F52">
        <v>1</v>
      </c>
      <c r="G52">
        <v>0</v>
      </c>
      <c r="H52">
        <v>1</v>
      </c>
      <c r="I52">
        <v>5</v>
      </c>
      <c r="N52" t="s">
        <v>114</v>
      </c>
      <c r="O52" t="str">
        <f t="shared" si="2"/>
        <v>Algeria</v>
      </c>
      <c r="R52" t="s">
        <v>184</v>
      </c>
      <c r="S52" t="s">
        <v>185</v>
      </c>
    </row>
    <row r="53" spans="2:19" x14ac:dyDescent="0.3">
      <c r="B53" t="str">
        <f t="shared" si="0"/>
        <v>LCOE_solar_Ecuador</v>
      </c>
      <c r="C53" t="s">
        <v>385</v>
      </c>
      <c r="D53" t="str">
        <f t="shared" si="1"/>
        <v>*ECU</v>
      </c>
      <c r="E53" t="s">
        <v>21</v>
      </c>
      <c r="F53">
        <v>1</v>
      </c>
      <c r="G53">
        <v>0</v>
      </c>
      <c r="H53">
        <v>1</v>
      </c>
      <c r="I53">
        <v>5</v>
      </c>
      <c r="N53" t="s">
        <v>116</v>
      </c>
      <c r="O53" t="str">
        <f t="shared" si="2"/>
        <v>Ecuador</v>
      </c>
      <c r="R53" t="s">
        <v>332</v>
      </c>
      <c r="S53" t="s">
        <v>333</v>
      </c>
    </row>
    <row r="54" spans="2:19" x14ac:dyDescent="0.3">
      <c r="B54" t="str">
        <f t="shared" si="0"/>
        <v>LCOE_solar_Egypt</v>
      </c>
      <c r="C54" t="s">
        <v>385</v>
      </c>
      <c r="D54" t="str">
        <f t="shared" si="1"/>
        <v>*EGY</v>
      </c>
      <c r="E54" t="s">
        <v>21</v>
      </c>
      <c r="F54">
        <v>1</v>
      </c>
      <c r="G54">
        <v>0</v>
      </c>
      <c r="H54">
        <v>1</v>
      </c>
      <c r="I54">
        <v>5</v>
      </c>
      <c r="N54" t="s">
        <v>118</v>
      </c>
      <c r="O54" t="str">
        <f t="shared" si="2"/>
        <v>Egypt</v>
      </c>
      <c r="R54" t="s">
        <v>328</v>
      </c>
      <c r="S54" t="s">
        <v>329</v>
      </c>
    </row>
    <row r="55" spans="2:19" x14ac:dyDescent="0.3">
      <c r="B55" t="str">
        <f t="shared" si="0"/>
        <v>LCOE_solar_Eritrea</v>
      </c>
      <c r="C55" t="s">
        <v>385</v>
      </c>
      <c r="D55" t="str">
        <f t="shared" si="1"/>
        <v>*ERI</v>
      </c>
      <c r="E55" t="s">
        <v>21</v>
      </c>
      <c r="F55">
        <v>1</v>
      </c>
      <c r="G55">
        <v>0</v>
      </c>
      <c r="H55">
        <v>1</v>
      </c>
      <c r="I55">
        <v>5</v>
      </c>
      <c r="N55" t="s">
        <v>120</v>
      </c>
      <c r="O55" t="str">
        <f t="shared" si="2"/>
        <v>Eritrea</v>
      </c>
      <c r="R55" t="s">
        <v>76</v>
      </c>
      <c r="S55" t="s">
        <v>77</v>
      </c>
    </row>
    <row r="56" spans="2:19" x14ac:dyDescent="0.3">
      <c r="B56" t="str">
        <f t="shared" si="0"/>
        <v>LCOE_solar_Spain</v>
      </c>
      <c r="C56" t="s">
        <v>385</v>
      </c>
      <c r="D56" t="str">
        <f t="shared" si="1"/>
        <v>*ESP</v>
      </c>
      <c r="E56" t="s">
        <v>21</v>
      </c>
      <c r="F56">
        <v>1</v>
      </c>
      <c r="G56">
        <v>0</v>
      </c>
      <c r="H56">
        <v>1</v>
      </c>
      <c r="I56">
        <v>5</v>
      </c>
      <c r="N56" t="s">
        <v>124</v>
      </c>
      <c r="O56" t="str">
        <f t="shared" si="2"/>
        <v>Spain</v>
      </c>
      <c r="R56" t="s">
        <v>104</v>
      </c>
      <c r="S56" t="s">
        <v>105</v>
      </c>
    </row>
    <row r="57" spans="2:19" x14ac:dyDescent="0.3">
      <c r="B57" t="str">
        <f t="shared" si="0"/>
        <v>LCOE_solar_Estonia</v>
      </c>
      <c r="C57" t="s">
        <v>385</v>
      </c>
      <c r="D57" t="str">
        <f t="shared" si="1"/>
        <v>*EST</v>
      </c>
      <c r="E57" t="s">
        <v>21</v>
      </c>
      <c r="F57">
        <v>1</v>
      </c>
      <c r="G57">
        <v>0</v>
      </c>
      <c r="H57">
        <v>1</v>
      </c>
      <c r="I57">
        <v>5</v>
      </c>
      <c r="N57" t="s">
        <v>126</v>
      </c>
      <c r="O57" t="str">
        <f t="shared" si="2"/>
        <v>Estonia</v>
      </c>
      <c r="R57" t="s">
        <v>334</v>
      </c>
      <c r="S57" t="s">
        <v>335</v>
      </c>
    </row>
    <row r="58" spans="2:19" x14ac:dyDescent="0.3">
      <c r="B58" t="str">
        <f t="shared" si="0"/>
        <v>LCOE_solar_Ethiopia</v>
      </c>
      <c r="C58" t="s">
        <v>385</v>
      </c>
      <c r="D58" t="str">
        <f t="shared" si="1"/>
        <v>*ETH</v>
      </c>
      <c r="E58" t="s">
        <v>21</v>
      </c>
      <c r="F58">
        <v>1</v>
      </c>
      <c r="G58">
        <v>0</v>
      </c>
      <c r="H58">
        <v>1</v>
      </c>
      <c r="I58">
        <v>5</v>
      </c>
      <c r="N58" t="s">
        <v>128</v>
      </c>
      <c r="O58" t="str">
        <f t="shared" si="2"/>
        <v>Ethiopia</v>
      </c>
      <c r="R58" t="s">
        <v>44</v>
      </c>
      <c r="S58" t="s">
        <v>45</v>
      </c>
    </row>
    <row r="59" spans="2:19" x14ac:dyDescent="0.3">
      <c r="B59" t="str">
        <f t="shared" si="0"/>
        <v>LCOE_solar_Finland</v>
      </c>
      <c r="C59" t="s">
        <v>385</v>
      </c>
      <c r="D59" t="str">
        <f t="shared" si="1"/>
        <v>*FIN</v>
      </c>
      <c r="E59" t="s">
        <v>21</v>
      </c>
      <c r="F59">
        <v>1</v>
      </c>
      <c r="G59">
        <v>0</v>
      </c>
      <c r="H59">
        <v>1</v>
      </c>
      <c r="I59">
        <v>5</v>
      </c>
      <c r="N59" t="s">
        <v>130</v>
      </c>
      <c r="O59" t="str">
        <f t="shared" si="2"/>
        <v>Finland</v>
      </c>
      <c r="R59" t="s">
        <v>162</v>
      </c>
      <c r="S59" t="s">
        <v>163</v>
      </c>
    </row>
    <row r="60" spans="2:19" x14ac:dyDescent="0.3">
      <c r="B60" t="str">
        <f t="shared" si="0"/>
        <v>LCOE_solar_France</v>
      </c>
      <c r="C60" t="s">
        <v>385</v>
      </c>
      <c r="D60" t="str">
        <f t="shared" si="1"/>
        <v>*FRA</v>
      </c>
      <c r="E60" t="s">
        <v>21</v>
      </c>
      <c r="F60">
        <v>1</v>
      </c>
      <c r="G60">
        <v>0</v>
      </c>
      <c r="H60">
        <v>1</v>
      </c>
      <c r="I60">
        <v>5</v>
      </c>
      <c r="N60" t="s">
        <v>134</v>
      </c>
      <c r="O60" t="str">
        <f t="shared" si="2"/>
        <v>France</v>
      </c>
      <c r="R60" t="s">
        <v>214</v>
      </c>
      <c r="S60" t="s">
        <v>215</v>
      </c>
    </row>
    <row r="61" spans="2:19" x14ac:dyDescent="0.3">
      <c r="B61" t="str">
        <f t="shared" si="0"/>
        <v>LCOE_solar_Gabon</v>
      </c>
      <c r="C61" t="s">
        <v>385</v>
      </c>
      <c r="D61" t="str">
        <f t="shared" si="1"/>
        <v>*GAB</v>
      </c>
      <c r="E61" t="s">
        <v>21</v>
      </c>
      <c r="F61">
        <v>1</v>
      </c>
      <c r="G61">
        <v>0</v>
      </c>
      <c r="H61">
        <v>1</v>
      </c>
      <c r="I61">
        <v>5</v>
      </c>
      <c r="N61" t="s">
        <v>136</v>
      </c>
      <c r="O61" t="str">
        <f t="shared" si="2"/>
        <v>Gabon</v>
      </c>
      <c r="R61" t="s">
        <v>364</v>
      </c>
      <c r="S61" t="s">
        <v>365</v>
      </c>
    </row>
    <row r="62" spans="2:19" x14ac:dyDescent="0.3">
      <c r="B62" t="str">
        <f t="shared" si="0"/>
        <v>LCOE_solar_United Kingdom</v>
      </c>
      <c r="C62" t="s">
        <v>385</v>
      </c>
      <c r="D62" t="str">
        <f t="shared" si="1"/>
        <v>*GBR</v>
      </c>
      <c r="E62" t="s">
        <v>21</v>
      </c>
      <c r="F62">
        <v>1</v>
      </c>
      <c r="G62">
        <v>0</v>
      </c>
      <c r="H62">
        <v>1</v>
      </c>
      <c r="I62">
        <v>5</v>
      </c>
      <c r="N62" t="s">
        <v>138</v>
      </c>
      <c r="O62" t="str">
        <f t="shared" si="2"/>
        <v>United Kingdom</v>
      </c>
      <c r="R62" t="s">
        <v>80</v>
      </c>
      <c r="S62" t="s">
        <v>81</v>
      </c>
    </row>
    <row r="63" spans="2:19" x14ac:dyDescent="0.3">
      <c r="B63" t="str">
        <f t="shared" si="0"/>
        <v>LCOE_solar_Georgia</v>
      </c>
      <c r="C63" t="s">
        <v>385</v>
      </c>
      <c r="D63" t="str">
        <f t="shared" si="1"/>
        <v>*GEO</v>
      </c>
      <c r="E63" t="s">
        <v>21</v>
      </c>
      <c r="F63">
        <v>1</v>
      </c>
      <c r="G63">
        <v>0</v>
      </c>
      <c r="H63">
        <v>1</v>
      </c>
      <c r="I63">
        <v>5</v>
      </c>
      <c r="N63" t="s">
        <v>140</v>
      </c>
      <c r="O63" t="str">
        <f t="shared" si="2"/>
        <v>Georgia</v>
      </c>
      <c r="R63" t="s">
        <v>94</v>
      </c>
      <c r="S63" t="s">
        <v>95</v>
      </c>
    </row>
    <row r="64" spans="2:19" x14ac:dyDescent="0.3">
      <c r="B64" t="str">
        <f t="shared" si="0"/>
        <v>LCOE_solar_Ghana</v>
      </c>
      <c r="C64" t="s">
        <v>385</v>
      </c>
      <c r="D64" t="str">
        <f t="shared" si="1"/>
        <v>*GHA</v>
      </c>
      <c r="E64" t="s">
        <v>21</v>
      </c>
      <c r="F64">
        <v>1</v>
      </c>
      <c r="G64">
        <v>0</v>
      </c>
      <c r="H64">
        <v>1</v>
      </c>
      <c r="I64">
        <v>5</v>
      </c>
      <c r="N64" t="s">
        <v>142</v>
      </c>
      <c r="O64" t="str">
        <f t="shared" si="2"/>
        <v>Ghana</v>
      </c>
      <c r="R64" t="s">
        <v>38</v>
      </c>
      <c r="S64" t="s">
        <v>39</v>
      </c>
    </row>
    <row r="65" spans="2:19" x14ac:dyDescent="0.3">
      <c r="B65" t="str">
        <f t="shared" si="0"/>
        <v>LCOE_solar_Guinea</v>
      </c>
      <c r="C65" t="s">
        <v>385</v>
      </c>
      <c r="D65" t="str">
        <f t="shared" si="1"/>
        <v>*GIN</v>
      </c>
      <c r="E65" t="s">
        <v>21</v>
      </c>
      <c r="F65">
        <v>1</v>
      </c>
      <c r="G65">
        <v>0</v>
      </c>
      <c r="H65">
        <v>1</v>
      </c>
      <c r="I65">
        <v>5</v>
      </c>
      <c r="N65" t="s">
        <v>144</v>
      </c>
      <c r="O65" t="str">
        <f t="shared" si="2"/>
        <v>Guinea</v>
      </c>
      <c r="R65" t="s">
        <v>397</v>
      </c>
      <c r="S65" t="s">
        <v>398</v>
      </c>
    </row>
    <row r="66" spans="2:19" x14ac:dyDescent="0.3">
      <c r="B66" t="str">
        <f t="shared" si="0"/>
        <v>LCOE_solar_The Gambia</v>
      </c>
      <c r="C66" t="s">
        <v>385</v>
      </c>
      <c r="D66" t="str">
        <f t="shared" si="1"/>
        <v>*GMB</v>
      </c>
      <c r="E66" t="s">
        <v>21</v>
      </c>
      <c r="F66">
        <v>1</v>
      </c>
      <c r="G66">
        <v>0</v>
      </c>
      <c r="H66">
        <v>1</v>
      </c>
      <c r="I66">
        <v>5</v>
      </c>
      <c r="N66" t="s">
        <v>148</v>
      </c>
      <c r="O66" t="str">
        <f t="shared" si="2"/>
        <v>The Gambia</v>
      </c>
      <c r="R66" t="s">
        <v>312</v>
      </c>
      <c r="S66" t="s">
        <v>313</v>
      </c>
    </row>
    <row r="67" spans="2:19" x14ac:dyDescent="0.3">
      <c r="B67" t="str">
        <f t="shared" si="0"/>
        <v>LCOE_solar_Guinea-Bissau</v>
      </c>
      <c r="C67" t="s">
        <v>385</v>
      </c>
      <c r="D67" t="str">
        <f t="shared" si="1"/>
        <v>*GNB</v>
      </c>
      <c r="E67" t="s">
        <v>21</v>
      </c>
      <c r="F67">
        <v>1</v>
      </c>
      <c r="G67">
        <v>0</v>
      </c>
      <c r="H67">
        <v>1</v>
      </c>
      <c r="I67">
        <v>5</v>
      </c>
      <c r="N67" t="s">
        <v>150</v>
      </c>
      <c r="O67" t="str">
        <f t="shared" si="2"/>
        <v>Guinea-Bissau</v>
      </c>
      <c r="R67" t="s">
        <v>154</v>
      </c>
      <c r="S67" t="s">
        <v>155</v>
      </c>
    </row>
    <row r="68" spans="2:19" x14ac:dyDescent="0.3">
      <c r="B68" t="str">
        <f t="shared" si="0"/>
        <v>LCOE_solar_Equatorial Guinea</v>
      </c>
      <c r="C68" t="s">
        <v>385</v>
      </c>
      <c r="D68" t="str">
        <f t="shared" si="1"/>
        <v>*GNQ</v>
      </c>
      <c r="E68" t="s">
        <v>21</v>
      </c>
      <c r="F68">
        <v>1</v>
      </c>
      <c r="G68">
        <v>0</v>
      </c>
      <c r="H68">
        <v>1</v>
      </c>
      <c r="I68">
        <v>5</v>
      </c>
      <c r="N68" t="s">
        <v>152</v>
      </c>
      <c r="O68" t="str">
        <f t="shared" si="2"/>
        <v>Equatorial Guinea</v>
      </c>
      <c r="R68" t="s">
        <v>204</v>
      </c>
      <c r="S68" t="s">
        <v>205</v>
      </c>
    </row>
    <row r="69" spans="2:19" x14ac:dyDescent="0.3">
      <c r="B69" t="str">
        <f t="shared" si="0"/>
        <v>LCOE_solar_Greece</v>
      </c>
      <c r="C69" t="s">
        <v>385</v>
      </c>
      <c r="D69" t="str">
        <f t="shared" si="1"/>
        <v>*GRC</v>
      </c>
      <c r="E69" t="s">
        <v>21</v>
      </c>
      <c r="F69">
        <v>1</v>
      </c>
      <c r="G69">
        <v>0</v>
      </c>
      <c r="H69">
        <v>1</v>
      </c>
      <c r="I69">
        <v>5</v>
      </c>
      <c r="N69" t="s">
        <v>154</v>
      </c>
      <c r="O69" t="str">
        <f t="shared" si="2"/>
        <v>Greece</v>
      </c>
      <c r="R69" t="s">
        <v>240</v>
      </c>
      <c r="S69" t="s">
        <v>241</v>
      </c>
    </row>
    <row r="70" spans="2:19" x14ac:dyDescent="0.3">
      <c r="B70" t="str">
        <f t="shared" si="0"/>
        <v>LCOE_solar_Guatemala</v>
      </c>
      <c r="C70" t="s">
        <v>385</v>
      </c>
      <c r="D70" t="str">
        <f t="shared" si="1"/>
        <v>*GTM</v>
      </c>
      <c r="E70" t="s">
        <v>21</v>
      </c>
      <c r="F70">
        <v>1</v>
      </c>
      <c r="G70">
        <v>0</v>
      </c>
      <c r="H70">
        <v>1</v>
      </c>
      <c r="I70">
        <v>5</v>
      </c>
      <c r="N70" t="s">
        <v>156</v>
      </c>
      <c r="O70" t="str">
        <f t="shared" si="2"/>
        <v>Guatemala</v>
      </c>
      <c r="R70" t="s">
        <v>264</v>
      </c>
      <c r="S70" t="s">
        <v>265</v>
      </c>
    </row>
    <row r="71" spans="2:19" x14ac:dyDescent="0.3">
      <c r="B71" t="str">
        <f t="shared" si="0"/>
        <v>LCOE_solar_French Guiana</v>
      </c>
      <c r="C71" t="s">
        <v>385</v>
      </c>
      <c r="D71" t="str">
        <f t="shared" si="1"/>
        <v>*GUF</v>
      </c>
      <c r="E71" t="s">
        <v>21</v>
      </c>
      <c r="F71">
        <v>1</v>
      </c>
      <c r="G71">
        <v>0</v>
      </c>
      <c r="H71">
        <v>1</v>
      </c>
      <c r="I71">
        <v>5</v>
      </c>
      <c r="N71" t="s">
        <v>387</v>
      </c>
      <c r="O71" t="str">
        <f t="shared" si="2"/>
        <v>French Guiana</v>
      </c>
      <c r="R71" t="s">
        <v>116</v>
      </c>
      <c r="S71" t="s">
        <v>117</v>
      </c>
    </row>
    <row r="72" spans="2:19" x14ac:dyDescent="0.3">
      <c r="B72" t="str">
        <f t="shared" ref="B72:B135" si="3">"LCOE_solar_"&amp;O72</f>
        <v>LCOE_solar_Guyana</v>
      </c>
      <c r="C72" t="s">
        <v>385</v>
      </c>
      <c r="D72" t="str">
        <f t="shared" ref="D72:D135" si="4">"*"&amp;N72</f>
        <v>*GUY</v>
      </c>
      <c r="E72" t="s">
        <v>21</v>
      </c>
      <c r="F72">
        <v>1</v>
      </c>
      <c r="G72">
        <v>0</v>
      </c>
      <c r="H72">
        <v>1</v>
      </c>
      <c r="I72">
        <v>5</v>
      </c>
      <c r="N72" t="s">
        <v>160</v>
      </c>
      <c r="O72" t="str">
        <f t="shared" ref="O72:O135" si="5">VLOOKUP(N72,$R$7:$S$999,2,FALSE)</f>
        <v>Guyana</v>
      </c>
      <c r="R72" t="s">
        <v>108</v>
      </c>
      <c r="S72" t="s">
        <v>109</v>
      </c>
    </row>
    <row r="73" spans="2:19" x14ac:dyDescent="0.3">
      <c r="B73" t="str">
        <f t="shared" si="3"/>
        <v>LCOE_solar_Honduras</v>
      </c>
      <c r="C73" t="s">
        <v>385</v>
      </c>
      <c r="D73" t="str">
        <f t="shared" si="4"/>
        <v>*HND</v>
      </c>
      <c r="E73" t="s">
        <v>21</v>
      </c>
      <c r="F73">
        <v>1</v>
      </c>
      <c r="G73">
        <v>0</v>
      </c>
      <c r="H73">
        <v>1</v>
      </c>
      <c r="I73">
        <v>5</v>
      </c>
      <c r="N73" t="s">
        <v>164</v>
      </c>
      <c r="O73" t="str">
        <f t="shared" si="5"/>
        <v>Honduras</v>
      </c>
      <c r="R73" t="s">
        <v>118</v>
      </c>
      <c r="S73" t="s">
        <v>119</v>
      </c>
    </row>
    <row r="74" spans="2:19" x14ac:dyDescent="0.3">
      <c r="B74" t="str">
        <f t="shared" si="3"/>
        <v>LCOE_solar_Croatia</v>
      </c>
      <c r="C74" t="s">
        <v>385</v>
      </c>
      <c r="D74" t="str">
        <f t="shared" si="4"/>
        <v>*HRV</v>
      </c>
      <c r="E74" t="s">
        <v>21</v>
      </c>
      <c r="F74">
        <v>1</v>
      </c>
      <c r="G74">
        <v>0</v>
      </c>
      <c r="H74">
        <v>1</v>
      </c>
      <c r="I74">
        <v>5</v>
      </c>
      <c r="N74" t="s">
        <v>166</v>
      </c>
      <c r="O74" t="str">
        <f t="shared" si="5"/>
        <v>Croatia</v>
      </c>
      <c r="R74" t="s">
        <v>288</v>
      </c>
      <c r="S74" t="s">
        <v>289</v>
      </c>
    </row>
    <row r="75" spans="2:19" x14ac:dyDescent="0.3">
      <c r="B75" t="str">
        <f t="shared" si="3"/>
        <v>LCOE_solar_Haiti</v>
      </c>
      <c r="C75" t="s">
        <v>385</v>
      </c>
      <c r="D75" t="str">
        <f t="shared" si="4"/>
        <v>*HTI</v>
      </c>
      <c r="E75" t="s">
        <v>21</v>
      </c>
      <c r="F75">
        <v>1</v>
      </c>
      <c r="G75">
        <v>0</v>
      </c>
      <c r="H75">
        <v>1</v>
      </c>
      <c r="I75">
        <v>5</v>
      </c>
      <c r="N75" t="s">
        <v>168</v>
      </c>
      <c r="O75" t="str">
        <f t="shared" si="5"/>
        <v>Haiti</v>
      </c>
      <c r="R75" t="s">
        <v>24</v>
      </c>
      <c r="S75" t="s">
        <v>25</v>
      </c>
    </row>
    <row r="76" spans="2:19" x14ac:dyDescent="0.3">
      <c r="B76" t="str">
        <f t="shared" si="3"/>
        <v>LCOE_solar_Hungary</v>
      </c>
      <c r="C76" t="s">
        <v>385</v>
      </c>
      <c r="D76" t="str">
        <f t="shared" si="4"/>
        <v>*HUN</v>
      </c>
      <c r="E76" t="s">
        <v>21</v>
      </c>
      <c r="F76">
        <v>1</v>
      </c>
      <c r="G76">
        <v>0</v>
      </c>
      <c r="H76">
        <v>1</v>
      </c>
      <c r="I76">
        <v>5</v>
      </c>
      <c r="N76" t="s">
        <v>170</v>
      </c>
      <c r="O76" t="str">
        <f t="shared" si="5"/>
        <v>Hungary</v>
      </c>
      <c r="R76" t="s">
        <v>152</v>
      </c>
      <c r="S76" t="s">
        <v>153</v>
      </c>
    </row>
    <row r="77" spans="2:19" x14ac:dyDescent="0.3">
      <c r="B77" t="str">
        <f t="shared" si="3"/>
        <v>LCOE_solar_Indonesia</v>
      </c>
      <c r="C77" t="s">
        <v>385</v>
      </c>
      <c r="D77" t="str">
        <f t="shared" si="4"/>
        <v>*IDN</v>
      </c>
      <c r="E77" t="s">
        <v>21</v>
      </c>
      <c r="F77">
        <v>1</v>
      </c>
      <c r="G77">
        <v>0</v>
      </c>
      <c r="H77">
        <v>1</v>
      </c>
      <c r="I77">
        <v>5</v>
      </c>
      <c r="N77" t="s">
        <v>172</v>
      </c>
      <c r="O77" t="str">
        <f t="shared" si="5"/>
        <v>Indonesia</v>
      </c>
      <c r="R77" t="s">
        <v>156</v>
      </c>
      <c r="S77" t="s">
        <v>157</v>
      </c>
    </row>
    <row r="78" spans="2:19" x14ac:dyDescent="0.3">
      <c r="B78" t="str">
        <f t="shared" si="3"/>
        <v>LCOE_solar_India</v>
      </c>
      <c r="C78" t="s">
        <v>385</v>
      </c>
      <c r="D78" t="str">
        <f t="shared" si="4"/>
        <v>*IND</v>
      </c>
      <c r="E78" t="s">
        <v>21</v>
      </c>
      <c r="F78">
        <v>1</v>
      </c>
      <c r="G78">
        <v>0</v>
      </c>
      <c r="H78">
        <v>1</v>
      </c>
      <c r="I78">
        <v>5</v>
      </c>
      <c r="N78" t="s">
        <v>174</v>
      </c>
      <c r="O78" t="str">
        <f t="shared" si="5"/>
        <v>India</v>
      </c>
      <c r="R78" t="s">
        <v>296</v>
      </c>
      <c r="S78" t="s">
        <v>297</v>
      </c>
    </row>
    <row r="79" spans="2:19" x14ac:dyDescent="0.3">
      <c r="B79" t="str">
        <f t="shared" si="3"/>
        <v>LCOE_solar_Ireland</v>
      </c>
      <c r="C79" t="s">
        <v>385</v>
      </c>
      <c r="D79" t="str">
        <f t="shared" si="4"/>
        <v>*IRL</v>
      </c>
      <c r="E79" t="s">
        <v>21</v>
      </c>
      <c r="F79">
        <v>1</v>
      </c>
      <c r="G79">
        <v>0</v>
      </c>
      <c r="H79">
        <v>1</v>
      </c>
      <c r="I79">
        <v>5</v>
      </c>
      <c r="N79" t="s">
        <v>176</v>
      </c>
      <c r="O79" t="str">
        <f t="shared" si="5"/>
        <v>Ireland</v>
      </c>
      <c r="R79" t="s">
        <v>374</v>
      </c>
      <c r="S79" t="s">
        <v>375</v>
      </c>
    </row>
    <row r="80" spans="2:19" x14ac:dyDescent="0.3">
      <c r="B80" t="str">
        <f t="shared" si="3"/>
        <v>LCOE_solar_Iran</v>
      </c>
      <c r="C80" t="s">
        <v>385</v>
      </c>
      <c r="D80" t="str">
        <f t="shared" si="4"/>
        <v>*IRN</v>
      </c>
      <c r="E80" t="s">
        <v>21</v>
      </c>
      <c r="F80">
        <v>1</v>
      </c>
      <c r="G80">
        <v>0</v>
      </c>
      <c r="H80">
        <v>1</v>
      </c>
      <c r="I80">
        <v>5</v>
      </c>
      <c r="N80" t="s">
        <v>178</v>
      </c>
      <c r="O80" t="str">
        <f t="shared" si="5"/>
        <v>Iran</v>
      </c>
      <c r="R80" t="s">
        <v>120</v>
      </c>
      <c r="S80" t="s">
        <v>121</v>
      </c>
    </row>
    <row r="81" spans="2:19" x14ac:dyDescent="0.3">
      <c r="B81" t="str">
        <f t="shared" si="3"/>
        <v>LCOE_solar_Iraq</v>
      </c>
      <c r="C81" t="s">
        <v>385</v>
      </c>
      <c r="D81" t="str">
        <f t="shared" si="4"/>
        <v>*IRQ</v>
      </c>
      <c r="E81" t="s">
        <v>21</v>
      </c>
      <c r="F81">
        <v>1</v>
      </c>
      <c r="G81">
        <v>0</v>
      </c>
      <c r="H81">
        <v>1</v>
      </c>
      <c r="I81">
        <v>5</v>
      </c>
      <c r="N81" t="s">
        <v>180</v>
      </c>
      <c r="O81" t="str">
        <f t="shared" si="5"/>
        <v>Iraq</v>
      </c>
      <c r="R81" t="s">
        <v>128</v>
      </c>
      <c r="S81" t="s">
        <v>129</v>
      </c>
    </row>
    <row r="82" spans="2:19" x14ac:dyDescent="0.3">
      <c r="B82" t="str">
        <f t="shared" si="3"/>
        <v>LCOE_solar_Israel</v>
      </c>
      <c r="C82" t="s">
        <v>385</v>
      </c>
      <c r="D82" t="str">
        <f t="shared" si="4"/>
        <v>*ISR</v>
      </c>
      <c r="E82" t="s">
        <v>21</v>
      </c>
      <c r="F82">
        <v>1</v>
      </c>
      <c r="G82">
        <v>0</v>
      </c>
      <c r="H82">
        <v>1</v>
      </c>
      <c r="I82">
        <v>5</v>
      </c>
      <c r="N82" t="s">
        <v>184</v>
      </c>
      <c r="O82" t="str">
        <f t="shared" si="5"/>
        <v>Israel</v>
      </c>
      <c r="R82" t="s">
        <v>60</v>
      </c>
      <c r="S82" t="s">
        <v>61</v>
      </c>
    </row>
    <row r="83" spans="2:19" x14ac:dyDescent="0.3">
      <c r="B83" t="str">
        <f t="shared" si="3"/>
        <v>LCOE_solar_Italy</v>
      </c>
      <c r="C83" t="s">
        <v>385</v>
      </c>
      <c r="D83" t="str">
        <f t="shared" si="4"/>
        <v>*ITA</v>
      </c>
      <c r="E83" t="s">
        <v>21</v>
      </c>
      <c r="F83">
        <v>1</v>
      </c>
      <c r="G83">
        <v>0</v>
      </c>
      <c r="H83">
        <v>1</v>
      </c>
      <c r="I83">
        <v>5</v>
      </c>
      <c r="N83" t="s">
        <v>186</v>
      </c>
      <c r="O83" t="str">
        <f t="shared" si="5"/>
        <v>Italy</v>
      </c>
      <c r="R83" t="s">
        <v>266</v>
      </c>
      <c r="S83" t="s">
        <v>267</v>
      </c>
    </row>
    <row r="84" spans="2:19" x14ac:dyDescent="0.3">
      <c r="B84" t="str">
        <f t="shared" si="3"/>
        <v>LCOE_solar_Jamaica</v>
      </c>
      <c r="C84" t="s">
        <v>385</v>
      </c>
      <c r="D84" t="str">
        <f t="shared" si="4"/>
        <v>*JAM</v>
      </c>
      <c r="E84" t="s">
        <v>21</v>
      </c>
      <c r="F84">
        <v>1</v>
      </c>
      <c r="G84">
        <v>0</v>
      </c>
      <c r="H84">
        <v>1</v>
      </c>
      <c r="I84">
        <v>5</v>
      </c>
      <c r="N84" t="s">
        <v>188</v>
      </c>
      <c r="O84" t="str">
        <f t="shared" si="5"/>
        <v>Jamaica</v>
      </c>
      <c r="R84" t="s">
        <v>176</v>
      </c>
      <c r="S84" t="s">
        <v>177</v>
      </c>
    </row>
    <row r="85" spans="2:19" x14ac:dyDescent="0.3">
      <c r="B85" t="str">
        <f t="shared" si="3"/>
        <v>LCOE_solar_Jordan</v>
      </c>
      <c r="C85" t="s">
        <v>385</v>
      </c>
      <c r="D85" t="str">
        <f t="shared" si="4"/>
        <v>*JOR</v>
      </c>
      <c r="E85" t="s">
        <v>21</v>
      </c>
      <c r="F85">
        <v>1</v>
      </c>
      <c r="G85">
        <v>0</v>
      </c>
      <c r="H85">
        <v>1</v>
      </c>
      <c r="I85">
        <v>5</v>
      </c>
      <c r="N85" t="s">
        <v>190</v>
      </c>
      <c r="O85" t="str">
        <f t="shared" si="5"/>
        <v>Jordan</v>
      </c>
      <c r="R85" t="s">
        <v>170</v>
      </c>
      <c r="S85" t="s">
        <v>171</v>
      </c>
    </row>
    <row r="86" spans="2:19" x14ac:dyDescent="0.3">
      <c r="B86" t="str">
        <f t="shared" si="3"/>
        <v>LCOE_solar_Japan</v>
      </c>
      <c r="C86" t="s">
        <v>385</v>
      </c>
      <c r="D86" t="str">
        <f t="shared" si="4"/>
        <v>*JPN</v>
      </c>
      <c r="E86" t="s">
        <v>21</v>
      </c>
      <c r="F86">
        <v>1</v>
      </c>
      <c r="G86">
        <v>0</v>
      </c>
      <c r="H86">
        <v>1</v>
      </c>
      <c r="I86">
        <v>5</v>
      </c>
      <c r="N86" t="s">
        <v>192</v>
      </c>
      <c r="O86" t="str">
        <f t="shared" si="5"/>
        <v>Japan</v>
      </c>
      <c r="R86" t="s">
        <v>130</v>
      </c>
      <c r="S86" t="s">
        <v>131</v>
      </c>
    </row>
    <row r="87" spans="2:19" x14ac:dyDescent="0.3">
      <c r="B87" t="str">
        <f t="shared" si="3"/>
        <v>LCOE_solar_Kazakhstan</v>
      </c>
      <c r="C87" t="s">
        <v>385</v>
      </c>
      <c r="D87" t="str">
        <f t="shared" si="4"/>
        <v>*KAZ</v>
      </c>
      <c r="E87" t="s">
        <v>21</v>
      </c>
      <c r="F87">
        <v>1</v>
      </c>
      <c r="G87">
        <v>0</v>
      </c>
      <c r="H87">
        <v>1</v>
      </c>
      <c r="I87">
        <v>5</v>
      </c>
      <c r="N87" t="s">
        <v>194</v>
      </c>
      <c r="O87" t="str">
        <f t="shared" si="5"/>
        <v>Kazakhstan</v>
      </c>
      <c r="R87" t="s">
        <v>110</v>
      </c>
      <c r="S87" t="s">
        <v>111</v>
      </c>
    </row>
    <row r="88" spans="2:19" x14ac:dyDescent="0.3">
      <c r="B88" t="str">
        <f t="shared" si="3"/>
        <v>LCOE_solar_Kenya</v>
      </c>
      <c r="C88" t="s">
        <v>385</v>
      </c>
      <c r="D88" t="str">
        <f t="shared" si="4"/>
        <v>*KEN</v>
      </c>
      <c r="E88" t="s">
        <v>21</v>
      </c>
      <c r="F88">
        <v>1</v>
      </c>
      <c r="G88">
        <v>0</v>
      </c>
      <c r="H88">
        <v>1</v>
      </c>
      <c r="I88">
        <v>5</v>
      </c>
      <c r="N88" t="s">
        <v>196</v>
      </c>
      <c r="O88" t="str">
        <f t="shared" si="5"/>
        <v>Kenya</v>
      </c>
      <c r="R88" t="s">
        <v>112</v>
      </c>
      <c r="S88" t="s">
        <v>113</v>
      </c>
    </row>
    <row r="89" spans="2:19" x14ac:dyDescent="0.3">
      <c r="B89" t="str">
        <f t="shared" si="3"/>
        <v>LCOE_solar_Kyrgyz Republic</v>
      </c>
      <c r="C89" t="s">
        <v>385</v>
      </c>
      <c r="D89" t="str">
        <f t="shared" si="4"/>
        <v>*KGZ</v>
      </c>
      <c r="E89" t="s">
        <v>21</v>
      </c>
      <c r="F89">
        <v>1</v>
      </c>
      <c r="G89">
        <v>0</v>
      </c>
      <c r="H89">
        <v>1</v>
      </c>
      <c r="I89">
        <v>5</v>
      </c>
      <c r="N89" t="s">
        <v>198</v>
      </c>
      <c r="O89" t="str">
        <f t="shared" si="5"/>
        <v>Kyrgyz Republic</v>
      </c>
      <c r="R89" t="s">
        <v>136</v>
      </c>
      <c r="S89" t="s">
        <v>137</v>
      </c>
    </row>
    <row r="90" spans="2:19" x14ac:dyDescent="0.3">
      <c r="B90" t="str">
        <f t="shared" si="3"/>
        <v>LCOE_solar_Cambodia</v>
      </c>
      <c r="C90" t="s">
        <v>385</v>
      </c>
      <c r="D90" t="str">
        <f t="shared" si="4"/>
        <v>*KHM</v>
      </c>
      <c r="E90" t="s">
        <v>21</v>
      </c>
      <c r="F90">
        <v>1</v>
      </c>
      <c r="G90">
        <v>0</v>
      </c>
      <c r="H90">
        <v>1</v>
      </c>
      <c r="I90">
        <v>5</v>
      </c>
      <c r="N90" t="s">
        <v>200</v>
      </c>
      <c r="O90" t="str">
        <f t="shared" si="5"/>
        <v>Cambodia</v>
      </c>
      <c r="R90" t="s">
        <v>142</v>
      </c>
      <c r="S90" t="s">
        <v>143</v>
      </c>
    </row>
    <row r="91" spans="2:19" x14ac:dyDescent="0.3">
      <c r="B91" t="str">
        <f t="shared" si="3"/>
        <v>LCOE_solar_South Korea</v>
      </c>
      <c r="C91" t="s">
        <v>385</v>
      </c>
      <c r="D91" t="str">
        <f t="shared" si="4"/>
        <v>*KOR</v>
      </c>
      <c r="E91" t="s">
        <v>21</v>
      </c>
      <c r="F91">
        <v>1</v>
      </c>
      <c r="G91">
        <v>0</v>
      </c>
      <c r="H91">
        <v>1</v>
      </c>
      <c r="I91">
        <v>5</v>
      </c>
      <c r="N91" t="s">
        <v>202</v>
      </c>
      <c r="O91" t="str">
        <f t="shared" si="5"/>
        <v>South Korea</v>
      </c>
      <c r="R91" t="s">
        <v>64</v>
      </c>
      <c r="S91" t="s">
        <v>65</v>
      </c>
    </row>
    <row r="92" spans="2:19" x14ac:dyDescent="0.3">
      <c r="B92" t="str">
        <f t="shared" si="3"/>
        <v>LCOE_solar_Kuwait</v>
      </c>
      <c r="C92" t="s">
        <v>385</v>
      </c>
      <c r="D92" t="str">
        <f t="shared" si="4"/>
        <v>*KWT</v>
      </c>
      <c r="E92" t="s">
        <v>21</v>
      </c>
      <c r="F92">
        <v>1</v>
      </c>
      <c r="G92">
        <v>0</v>
      </c>
      <c r="H92">
        <v>1</v>
      </c>
      <c r="I92">
        <v>5</v>
      </c>
      <c r="N92" t="s">
        <v>204</v>
      </c>
      <c r="O92" t="str">
        <f t="shared" si="5"/>
        <v>Kuwait</v>
      </c>
      <c r="R92" t="s">
        <v>144</v>
      </c>
      <c r="S92" t="s">
        <v>145</v>
      </c>
    </row>
    <row r="93" spans="2:19" x14ac:dyDescent="0.3">
      <c r="B93" t="str">
        <f t="shared" si="3"/>
        <v>LCOE_solar_Laos</v>
      </c>
      <c r="C93" t="s">
        <v>385</v>
      </c>
      <c r="D93" t="str">
        <f t="shared" si="4"/>
        <v>*LAO</v>
      </c>
      <c r="E93" t="s">
        <v>21</v>
      </c>
      <c r="F93">
        <v>1</v>
      </c>
      <c r="G93">
        <v>0</v>
      </c>
      <c r="H93">
        <v>1</v>
      </c>
      <c r="I93">
        <v>5</v>
      </c>
      <c r="N93" t="s">
        <v>206</v>
      </c>
      <c r="O93" t="str">
        <f t="shared" si="5"/>
        <v>Laos</v>
      </c>
      <c r="R93" t="s">
        <v>190</v>
      </c>
      <c r="S93" t="s">
        <v>191</v>
      </c>
    </row>
    <row r="94" spans="2:19" x14ac:dyDescent="0.3">
      <c r="B94" t="str">
        <f t="shared" si="3"/>
        <v>LCOE_solar_Lebanon</v>
      </c>
      <c r="C94" t="s">
        <v>385</v>
      </c>
      <c r="D94" t="str">
        <f t="shared" si="4"/>
        <v>*LBN</v>
      </c>
      <c r="E94" t="s">
        <v>21</v>
      </c>
      <c r="F94">
        <v>1</v>
      </c>
      <c r="G94">
        <v>0</v>
      </c>
      <c r="H94">
        <v>1</v>
      </c>
      <c r="I94">
        <v>5</v>
      </c>
      <c r="N94" t="s">
        <v>208</v>
      </c>
      <c r="O94" t="str">
        <f t="shared" si="5"/>
        <v>Lebanon</v>
      </c>
      <c r="R94" t="s">
        <v>268</v>
      </c>
      <c r="S94" t="s">
        <v>269</v>
      </c>
    </row>
    <row r="95" spans="2:19" x14ac:dyDescent="0.3">
      <c r="B95" t="str">
        <f t="shared" si="3"/>
        <v>LCOE_solar_Liberia</v>
      </c>
      <c r="C95" t="s">
        <v>385</v>
      </c>
      <c r="D95" t="str">
        <f t="shared" si="4"/>
        <v>*LBR</v>
      </c>
      <c r="E95" t="s">
        <v>21</v>
      </c>
      <c r="F95">
        <v>1</v>
      </c>
      <c r="G95">
        <v>0</v>
      </c>
      <c r="H95">
        <v>1</v>
      </c>
      <c r="I95">
        <v>5</v>
      </c>
      <c r="N95" t="s">
        <v>210</v>
      </c>
      <c r="O95" t="str">
        <f t="shared" si="5"/>
        <v>Liberia</v>
      </c>
      <c r="R95" t="s">
        <v>200</v>
      </c>
      <c r="S95" t="s">
        <v>201</v>
      </c>
    </row>
    <row r="96" spans="2:19" x14ac:dyDescent="0.3">
      <c r="B96" t="str">
        <f t="shared" si="3"/>
        <v>LCOE_solar_Libya</v>
      </c>
      <c r="C96" t="s">
        <v>385</v>
      </c>
      <c r="D96" t="str">
        <f t="shared" si="4"/>
        <v>*LBY</v>
      </c>
      <c r="E96" t="s">
        <v>21</v>
      </c>
      <c r="F96">
        <v>1</v>
      </c>
      <c r="G96">
        <v>0</v>
      </c>
      <c r="H96">
        <v>1</v>
      </c>
      <c r="I96">
        <v>5</v>
      </c>
      <c r="N96" t="s">
        <v>212</v>
      </c>
      <c r="O96" t="str">
        <f t="shared" si="5"/>
        <v>Libya</v>
      </c>
      <c r="R96" t="s">
        <v>324</v>
      </c>
      <c r="S96" t="s">
        <v>325</v>
      </c>
    </row>
    <row r="97" spans="2:19" x14ac:dyDescent="0.3">
      <c r="B97" t="str">
        <f t="shared" si="3"/>
        <v>LCOE_solar_Liechtenstein</v>
      </c>
      <c r="C97" t="s">
        <v>385</v>
      </c>
      <c r="D97" t="str">
        <f t="shared" si="4"/>
        <v>*LIE</v>
      </c>
      <c r="E97" t="s">
        <v>21</v>
      </c>
      <c r="F97">
        <v>1</v>
      </c>
      <c r="G97">
        <v>0</v>
      </c>
      <c r="H97">
        <v>1</v>
      </c>
      <c r="I97">
        <v>5</v>
      </c>
      <c r="N97" t="s">
        <v>390</v>
      </c>
      <c r="O97" t="str">
        <f t="shared" si="5"/>
        <v>Liechtenstein</v>
      </c>
      <c r="R97" t="s">
        <v>52</v>
      </c>
      <c r="S97" t="s">
        <v>53</v>
      </c>
    </row>
    <row r="98" spans="2:19" x14ac:dyDescent="0.3">
      <c r="B98" t="str">
        <f t="shared" si="3"/>
        <v>LCOE_solar_Sri Lanka</v>
      </c>
      <c r="C98" t="s">
        <v>385</v>
      </c>
      <c r="D98" t="str">
        <f t="shared" si="4"/>
        <v>*LKA</v>
      </c>
      <c r="E98" t="s">
        <v>21</v>
      </c>
      <c r="F98">
        <v>1</v>
      </c>
      <c r="G98">
        <v>0</v>
      </c>
      <c r="H98">
        <v>1</v>
      </c>
      <c r="I98">
        <v>5</v>
      </c>
      <c r="N98" t="s">
        <v>214</v>
      </c>
      <c r="O98" t="str">
        <f t="shared" si="5"/>
        <v>Sri Lanka</v>
      </c>
      <c r="R98" t="s">
        <v>270</v>
      </c>
      <c r="S98" t="s">
        <v>271</v>
      </c>
    </row>
    <row r="99" spans="2:19" x14ac:dyDescent="0.3">
      <c r="B99" t="str">
        <f t="shared" si="3"/>
        <v>LCOE_solar_Lesotho</v>
      </c>
      <c r="C99" t="s">
        <v>385</v>
      </c>
      <c r="D99" t="str">
        <f t="shared" si="4"/>
        <v>*LSO</v>
      </c>
      <c r="E99" t="s">
        <v>21</v>
      </c>
      <c r="F99">
        <v>1</v>
      </c>
      <c r="G99">
        <v>0</v>
      </c>
      <c r="H99">
        <v>1</v>
      </c>
      <c r="I99">
        <v>5</v>
      </c>
      <c r="N99" t="s">
        <v>216</v>
      </c>
      <c r="O99" t="str">
        <f t="shared" si="5"/>
        <v>Lesotho</v>
      </c>
      <c r="R99" t="s">
        <v>342</v>
      </c>
      <c r="S99" t="s">
        <v>343</v>
      </c>
    </row>
    <row r="100" spans="2:19" x14ac:dyDescent="0.3">
      <c r="B100" t="str">
        <f t="shared" si="3"/>
        <v>LCOE_solar_Lithuania</v>
      </c>
      <c r="C100" t="s">
        <v>385</v>
      </c>
      <c r="D100" t="str">
        <f t="shared" si="4"/>
        <v>*LTU</v>
      </c>
      <c r="E100" t="s">
        <v>21</v>
      </c>
      <c r="F100">
        <v>1</v>
      </c>
      <c r="G100">
        <v>0</v>
      </c>
      <c r="H100">
        <v>1</v>
      </c>
      <c r="I100">
        <v>5</v>
      </c>
      <c r="N100" t="s">
        <v>218</v>
      </c>
      <c r="O100" t="str">
        <f t="shared" si="5"/>
        <v>Lithuania</v>
      </c>
      <c r="R100" t="s">
        <v>150</v>
      </c>
      <c r="S100" t="s">
        <v>151</v>
      </c>
    </row>
    <row r="101" spans="2:19" x14ac:dyDescent="0.3">
      <c r="B101" t="str">
        <f t="shared" si="3"/>
        <v>LCOE_solar_Latvia</v>
      </c>
      <c r="C101" t="s">
        <v>385</v>
      </c>
      <c r="D101" t="str">
        <f t="shared" si="4"/>
        <v>*LVA</v>
      </c>
      <c r="E101" t="s">
        <v>21</v>
      </c>
      <c r="F101">
        <v>1</v>
      </c>
      <c r="G101">
        <v>0</v>
      </c>
      <c r="H101">
        <v>1</v>
      </c>
      <c r="I101">
        <v>5</v>
      </c>
      <c r="N101" t="s">
        <v>222</v>
      </c>
      <c r="O101" t="str">
        <f t="shared" si="5"/>
        <v>Latvia</v>
      </c>
      <c r="R101" t="s">
        <v>86</v>
      </c>
      <c r="S101" t="s">
        <v>87</v>
      </c>
    </row>
    <row r="102" spans="2:19" x14ac:dyDescent="0.3">
      <c r="B102" t="str">
        <f t="shared" si="3"/>
        <v>LCOE_solar_Morocco</v>
      </c>
      <c r="C102" t="s">
        <v>385</v>
      </c>
      <c r="D102" t="str">
        <f t="shared" si="4"/>
        <v>*MAR</v>
      </c>
      <c r="E102" t="s">
        <v>21</v>
      </c>
      <c r="F102">
        <v>1</v>
      </c>
      <c r="G102">
        <v>0</v>
      </c>
      <c r="H102">
        <v>1</v>
      </c>
      <c r="I102">
        <v>5</v>
      </c>
      <c r="N102" t="s">
        <v>224</v>
      </c>
      <c r="O102" t="str">
        <f t="shared" si="5"/>
        <v>Morocco</v>
      </c>
      <c r="R102" t="s">
        <v>274</v>
      </c>
      <c r="S102" t="s">
        <v>275</v>
      </c>
    </row>
    <row r="103" spans="2:19" x14ac:dyDescent="0.3">
      <c r="B103" t="str">
        <f t="shared" si="3"/>
        <v>LCOE_solar_Monaco</v>
      </c>
      <c r="C103" t="s">
        <v>385</v>
      </c>
      <c r="D103" t="str">
        <f t="shared" si="4"/>
        <v>*MCO</v>
      </c>
      <c r="E103" t="s">
        <v>21</v>
      </c>
      <c r="F103">
        <v>1</v>
      </c>
      <c r="G103">
        <v>0</v>
      </c>
      <c r="H103">
        <v>1</v>
      </c>
      <c r="I103">
        <v>5</v>
      </c>
      <c r="N103" t="s">
        <v>394</v>
      </c>
      <c r="O103" t="str">
        <f t="shared" si="5"/>
        <v>Monaco</v>
      </c>
      <c r="R103" t="s">
        <v>196</v>
      </c>
      <c r="S103" t="s">
        <v>197</v>
      </c>
    </row>
    <row r="104" spans="2:19" x14ac:dyDescent="0.3">
      <c r="B104" t="str">
        <f t="shared" si="3"/>
        <v>LCOE_solar_Madagascar</v>
      </c>
      <c r="C104" t="s">
        <v>385</v>
      </c>
      <c r="D104" t="str">
        <f t="shared" si="4"/>
        <v>*MDG</v>
      </c>
      <c r="E104" t="s">
        <v>21</v>
      </c>
      <c r="F104">
        <v>1</v>
      </c>
      <c r="G104">
        <v>0</v>
      </c>
      <c r="H104">
        <v>1</v>
      </c>
      <c r="I104">
        <v>5</v>
      </c>
      <c r="N104" t="s">
        <v>228</v>
      </c>
      <c r="O104" t="str">
        <f t="shared" si="5"/>
        <v>Madagascar</v>
      </c>
      <c r="R104" t="s">
        <v>216</v>
      </c>
      <c r="S104" t="s">
        <v>217</v>
      </c>
    </row>
    <row r="105" spans="2:19" x14ac:dyDescent="0.3">
      <c r="B105" t="str">
        <f t="shared" si="3"/>
        <v>LCOE_solar_Maldives</v>
      </c>
      <c r="C105" t="s">
        <v>385</v>
      </c>
      <c r="D105" t="str">
        <f t="shared" si="4"/>
        <v>*MDV</v>
      </c>
      <c r="E105" t="s">
        <v>21</v>
      </c>
      <c r="F105">
        <v>1</v>
      </c>
      <c r="G105">
        <v>0</v>
      </c>
      <c r="H105">
        <v>1</v>
      </c>
      <c r="I105">
        <v>5</v>
      </c>
      <c r="N105" t="s">
        <v>230</v>
      </c>
      <c r="O105" t="str">
        <f t="shared" si="5"/>
        <v>Maldives</v>
      </c>
      <c r="R105" t="s">
        <v>210</v>
      </c>
      <c r="S105" t="s">
        <v>211</v>
      </c>
    </row>
    <row r="106" spans="2:19" x14ac:dyDescent="0.3">
      <c r="B106" t="str">
        <f t="shared" si="3"/>
        <v>LCOE_solar_Mexico</v>
      </c>
      <c r="C106" t="s">
        <v>385</v>
      </c>
      <c r="D106" t="str">
        <f t="shared" si="4"/>
        <v>*MEX</v>
      </c>
      <c r="E106" t="s">
        <v>21</v>
      </c>
      <c r="F106">
        <v>1</v>
      </c>
      <c r="G106">
        <v>0</v>
      </c>
      <c r="H106">
        <v>1</v>
      </c>
      <c r="I106">
        <v>5</v>
      </c>
      <c r="N106" t="s">
        <v>232</v>
      </c>
      <c r="O106" t="str">
        <f t="shared" si="5"/>
        <v>Mexico</v>
      </c>
      <c r="R106" t="s">
        <v>290</v>
      </c>
      <c r="S106" t="s">
        <v>291</v>
      </c>
    </row>
    <row r="107" spans="2:19" x14ac:dyDescent="0.3">
      <c r="B107" t="str">
        <f t="shared" si="3"/>
        <v>LCOE_solar_Macedonia</v>
      </c>
      <c r="C107" t="s">
        <v>385</v>
      </c>
      <c r="D107" t="str">
        <f t="shared" si="4"/>
        <v>*MKD</v>
      </c>
      <c r="E107" t="s">
        <v>21</v>
      </c>
      <c r="F107">
        <v>1</v>
      </c>
      <c r="G107">
        <v>0</v>
      </c>
      <c r="H107">
        <v>1</v>
      </c>
      <c r="I107">
        <v>5</v>
      </c>
      <c r="N107" t="s">
        <v>234</v>
      </c>
      <c r="O107" t="str">
        <f t="shared" si="5"/>
        <v>Macedonia</v>
      </c>
      <c r="R107" t="s">
        <v>98</v>
      </c>
      <c r="S107" t="s">
        <v>99</v>
      </c>
    </row>
    <row r="108" spans="2:19" x14ac:dyDescent="0.3">
      <c r="B108" t="str">
        <f t="shared" si="3"/>
        <v>LCOE_solar_Mali</v>
      </c>
      <c r="C108" t="s">
        <v>385</v>
      </c>
      <c r="D108" t="str">
        <f t="shared" si="4"/>
        <v>*MLI</v>
      </c>
      <c r="E108" t="s">
        <v>21</v>
      </c>
      <c r="F108">
        <v>1</v>
      </c>
      <c r="G108">
        <v>0</v>
      </c>
      <c r="H108">
        <v>1</v>
      </c>
      <c r="I108">
        <v>5</v>
      </c>
      <c r="N108" t="s">
        <v>236</v>
      </c>
      <c r="O108" t="str">
        <f t="shared" si="5"/>
        <v>Mali</v>
      </c>
      <c r="R108" t="s">
        <v>212</v>
      </c>
      <c r="S108" t="s">
        <v>213</v>
      </c>
    </row>
    <row r="109" spans="2:19" x14ac:dyDescent="0.3">
      <c r="B109" t="str">
        <f t="shared" si="3"/>
        <v>LCOE_solar_Myanmar</v>
      </c>
      <c r="C109" t="s">
        <v>385</v>
      </c>
      <c r="D109" t="str">
        <f t="shared" si="4"/>
        <v>*MMR</v>
      </c>
      <c r="E109" t="s">
        <v>21</v>
      </c>
      <c r="F109">
        <v>1</v>
      </c>
      <c r="G109">
        <v>0</v>
      </c>
      <c r="H109">
        <v>1</v>
      </c>
      <c r="I109">
        <v>5</v>
      </c>
      <c r="N109" t="s">
        <v>240</v>
      </c>
      <c r="O109" t="str">
        <f t="shared" si="5"/>
        <v>Myanmar</v>
      </c>
      <c r="R109" t="s">
        <v>100</v>
      </c>
      <c r="S109" t="s">
        <v>101</v>
      </c>
    </row>
    <row r="110" spans="2:19" x14ac:dyDescent="0.3">
      <c r="B110" t="str">
        <f t="shared" si="3"/>
        <v>LCOE_solar_Montenegro</v>
      </c>
      <c r="C110" t="s">
        <v>385</v>
      </c>
      <c r="D110" t="str">
        <f t="shared" si="4"/>
        <v>*MNE</v>
      </c>
      <c r="E110" t="s">
        <v>21</v>
      </c>
      <c r="F110">
        <v>1</v>
      </c>
      <c r="G110">
        <v>0</v>
      </c>
      <c r="H110">
        <v>1</v>
      </c>
      <c r="I110">
        <v>5</v>
      </c>
      <c r="N110" t="s">
        <v>391</v>
      </c>
      <c r="O110" t="str">
        <f t="shared" si="5"/>
        <v>Montenegro</v>
      </c>
      <c r="R110" t="s">
        <v>208</v>
      </c>
      <c r="S110" t="s">
        <v>209</v>
      </c>
    </row>
    <row r="111" spans="2:19" x14ac:dyDescent="0.3">
      <c r="B111" t="str">
        <f t="shared" si="3"/>
        <v>LCOE_solar_Mongolia</v>
      </c>
      <c r="C111" t="s">
        <v>385</v>
      </c>
      <c r="D111" t="str">
        <f t="shared" si="4"/>
        <v>*MNG</v>
      </c>
      <c r="E111" t="s">
        <v>21</v>
      </c>
      <c r="F111">
        <v>1</v>
      </c>
      <c r="G111">
        <v>0</v>
      </c>
      <c r="H111">
        <v>1</v>
      </c>
      <c r="I111">
        <v>5</v>
      </c>
      <c r="N111" t="s">
        <v>242</v>
      </c>
      <c r="O111" t="str">
        <f t="shared" si="5"/>
        <v>Mongolia</v>
      </c>
      <c r="R111" t="s">
        <v>228</v>
      </c>
      <c r="S111" t="s">
        <v>229</v>
      </c>
    </row>
    <row r="112" spans="2:19" x14ac:dyDescent="0.3">
      <c r="B112" t="str">
        <f t="shared" si="3"/>
        <v>LCOE_solar_Mozambique</v>
      </c>
      <c r="C112" t="s">
        <v>385</v>
      </c>
      <c r="D112" t="str">
        <f t="shared" si="4"/>
        <v>*MOZ</v>
      </c>
      <c r="E112" t="s">
        <v>21</v>
      </c>
      <c r="F112">
        <v>1</v>
      </c>
      <c r="G112">
        <v>0</v>
      </c>
      <c r="H112">
        <v>1</v>
      </c>
      <c r="I112">
        <v>5</v>
      </c>
      <c r="N112" t="s">
        <v>244</v>
      </c>
      <c r="O112" t="str">
        <f t="shared" si="5"/>
        <v>Mozambique</v>
      </c>
      <c r="R112" t="s">
        <v>392</v>
      </c>
      <c r="S112" t="s">
        <v>399</v>
      </c>
    </row>
    <row r="113" spans="2:19" x14ac:dyDescent="0.3">
      <c r="B113" t="str">
        <f t="shared" si="3"/>
        <v>LCOE_solar_Mauritania</v>
      </c>
      <c r="C113" t="s">
        <v>385</v>
      </c>
      <c r="D113" t="str">
        <f t="shared" si="4"/>
        <v>*MRT</v>
      </c>
      <c r="E113" t="s">
        <v>21</v>
      </c>
      <c r="F113">
        <v>1</v>
      </c>
      <c r="G113">
        <v>0</v>
      </c>
      <c r="H113">
        <v>1</v>
      </c>
      <c r="I113">
        <v>5</v>
      </c>
      <c r="N113" t="s">
        <v>246</v>
      </c>
      <c r="O113" t="str">
        <f t="shared" si="5"/>
        <v>Mauritania</v>
      </c>
      <c r="R113" t="s">
        <v>164</v>
      </c>
      <c r="S113" t="s">
        <v>165</v>
      </c>
    </row>
    <row r="114" spans="2:19" x14ac:dyDescent="0.3">
      <c r="B114" t="str">
        <f t="shared" si="3"/>
        <v>LCOE_solar_Malawi</v>
      </c>
      <c r="C114" t="s">
        <v>385</v>
      </c>
      <c r="D114" t="str">
        <f t="shared" si="4"/>
        <v>*MWI</v>
      </c>
      <c r="E114" t="s">
        <v>21</v>
      </c>
      <c r="F114">
        <v>1</v>
      </c>
      <c r="G114">
        <v>0</v>
      </c>
      <c r="H114">
        <v>1</v>
      </c>
      <c r="I114">
        <v>5</v>
      </c>
      <c r="N114" t="s">
        <v>250</v>
      </c>
      <c r="O114" t="str">
        <f t="shared" si="5"/>
        <v>Malawi</v>
      </c>
      <c r="R114" t="s">
        <v>40</v>
      </c>
      <c r="S114" t="s">
        <v>41</v>
      </c>
    </row>
    <row r="115" spans="2:19" x14ac:dyDescent="0.3">
      <c r="B115" t="str">
        <f t="shared" si="3"/>
        <v>LCOE_solar_Malaysia</v>
      </c>
      <c r="C115" t="s">
        <v>385</v>
      </c>
      <c r="D115" t="str">
        <f t="shared" si="4"/>
        <v>*MYS</v>
      </c>
      <c r="E115" t="s">
        <v>21</v>
      </c>
      <c r="F115">
        <v>1</v>
      </c>
      <c r="G115">
        <v>0</v>
      </c>
      <c r="H115">
        <v>1</v>
      </c>
      <c r="I115">
        <v>5</v>
      </c>
      <c r="N115" t="s">
        <v>252</v>
      </c>
      <c r="O115" t="str">
        <f t="shared" si="5"/>
        <v>Malaysia</v>
      </c>
      <c r="R115" t="s">
        <v>280</v>
      </c>
      <c r="S115" t="s">
        <v>281</v>
      </c>
    </row>
    <row r="116" spans="2:19" x14ac:dyDescent="0.3">
      <c r="B116" t="str">
        <f t="shared" si="3"/>
        <v>LCOE_solar_Niger</v>
      </c>
      <c r="C116" t="s">
        <v>385</v>
      </c>
      <c r="D116" t="str">
        <f t="shared" si="4"/>
        <v>*NER</v>
      </c>
      <c r="E116" t="s">
        <v>21</v>
      </c>
      <c r="F116">
        <v>1</v>
      </c>
      <c r="G116">
        <v>0</v>
      </c>
      <c r="H116">
        <v>1</v>
      </c>
      <c r="I116">
        <v>5</v>
      </c>
      <c r="N116" t="s">
        <v>256</v>
      </c>
      <c r="O116" t="str">
        <f t="shared" si="5"/>
        <v>Niger</v>
      </c>
      <c r="R116" t="s">
        <v>250</v>
      </c>
      <c r="S116" t="s">
        <v>251</v>
      </c>
    </row>
    <row r="117" spans="2:19" x14ac:dyDescent="0.3">
      <c r="B117" t="str">
        <f t="shared" si="3"/>
        <v>LCOE_solar_Nigeria</v>
      </c>
      <c r="C117" t="s">
        <v>385</v>
      </c>
      <c r="D117" t="str">
        <f t="shared" si="4"/>
        <v>*NGA</v>
      </c>
      <c r="E117" t="s">
        <v>21</v>
      </c>
      <c r="F117">
        <v>1</v>
      </c>
      <c r="G117">
        <v>0</v>
      </c>
      <c r="H117">
        <v>1</v>
      </c>
      <c r="I117">
        <v>5</v>
      </c>
      <c r="N117" t="s">
        <v>258</v>
      </c>
      <c r="O117" t="str">
        <f t="shared" si="5"/>
        <v>Nigeria</v>
      </c>
      <c r="R117" t="s">
        <v>236</v>
      </c>
      <c r="S117" t="s">
        <v>237</v>
      </c>
    </row>
    <row r="118" spans="2:19" x14ac:dyDescent="0.3">
      <c r="B118" t="str">
        <f t="shared" si="3"/>
        <v>LCOE_solar_Nicaragua</v>
      </c>
      <c r="C118" t="s">
        <v>385</v>
      </c>
      <c r="D118" t="str">
        <f t="shared" si="4"/>
        <v>*NIC</v>
      </c>
      <c r="E118" t="s">
        <v>21</v>
      </c>
      <c r="F118">
        <v>1</v>
      </c>
      <c r="G118">
        <v>0</v>
      </c>
      <c r="H118">
        <v>1</v>
      </c>
      <c r="I118">
        <v>5</v>
      </c>
      <c r="N118" t="s">
        <v>260</v>
      </c>
      <c r="O118" t="str">
        <f t="shared" si="5"/>
        <v>Nicaragua</v>
      </c>
      <c r="R118" t="s">
        <v>206</v>
      </c>
      <c r="S118" t="s">
        <v>207</v>
      </c>
    </row>
    <row r="119" spans="2:19" x14ac:dyDescent="0.3">
      <c r="B119" t="str">
        <f t="shared" si="3"/>
        <v>LCOE_solar_Netherlands</v>
      </c>
      <c r="C119" t="s">
        <v>385</v>
      </c>
      <c r="D119" t="str">
        <f t="shared" si="4"/>
        <v>*NLD</v>
      </c>
      <c r="E119" t="s">
        <v>21</v>
      </c>
      <c r="F119">
        <v>1</v>
      </c>
      <c r="G119">
        <v>0</v>
      </c>
      <c r="H119">
        <v>1</v>
      </c>
      <c r="I119">
        <v>5</v>
      </c>
      <c r="N119" t="s">
        <v>262</v>
      </c>
      <c r="O119" t="str">
        <f t="shared" si="5"/>
        <v>Netherlands</v>
      </c>
      <c r="R119" t="s">
        <v>242</v>
      </c>
      <c r="S119" t="s">
        <v>243</v>
      </c>
    </row>
    <row r="120" spans="2:19" x14ac:dyDescent="0.3">
      <c r="B120" t="str">
        <f t="shared" si="3"/>
        <v>LCOE_solar_Norway</v>
      </c>
      <c r="C120" t="s">
        <v>385</v>
      </c>
      <c r="D120" t="str">
        <f t="shared" si="4"/>
        <v>*NOR</v>
      </c>
      <c r="E120" t="s">
        <v>21</v>
      </c>
      <c r="F120">
        <v>1</v>
      </c>
      <c r="G120">
        <v>0</v>
      </c>
      <c r="H120">
        <v>1</v>
      </c>
      <c r="I120">
        <v>5</v>
      </c>
      <c r="N120" t="s">
        <v>264</v>
      </c>
      <c r="O120" t="str">
        <f t="shared" si="5"/>
        <v>Norway</v>
      </c>
      <c r="R120" t="s">
        <v>360</v>
      </c>
      <c r="S120" t="s">
        <v>361</v>
      </c>
    </row>
    <row r="121" spans="2:19" x14ac:dyDescent="0.3">
      <c r="B121" t="str">
        <f t="shared" si="3"/>
        <v>LCOE_solar_Nepal</v>
      </c>
      <c r="C121" t="s">
        <v>385</v>
      </c>
      <c r="D121" t="str">
        <f t="shared" si="4"/>
        <v>*NPL</v>
      </c>
      <c r="E121" t="s">
        <v>21</v>
      </c>
      <c r="F121">
        <v>1</v>
      </c>
      <c r="G121">
        <v>0</v>
      </c>
      <c r="H121">
        <v>1</v>
      </c>
      <c r="I121">
        <v>5</v>
      </c>
      <c r="N121" t="s">
        <v>266</v>
      </c>
      <c r="O121" t="str">
        <f t="shared" si="5"/>
        <v>Nepal</v>
      </c>
      <c r="R121" t="s">
        <v>168</v>
      </c>
      <c r="S121" t="s">
        <v>169</v>
      </c>
    </row>
    <row r="122" spans="2:19" x14ac:dyDescent="0.3">
      <c r="B122" t="str">
        <f t="shared" si="3"/>
        <v>LCOE_solar_New Zealand</v>
      </c>
      <c r="C122" t="s">
        <v>385</v>
      </c>
      <c r="D122" t="str">
        <f t="shared" si="4"/>
        <v>*NZL</v>
      </c>
      <c r="E122" t="s">
        <v>21</v>
      </c>
      <c r="F122">
        <v>1</v>
      </c>
      <c r="G122">
        <v>0</v>
      </c>
      <c r="H122">
        <v>1</v>
      </c>
      <c r="I122">
        <v>5</v>
      </c>
      <c r="N122" t="s">
        <v>268</v>
      </c>
      <c r="O122" t="str">
        <f t="shared" si="5"/>
        <v>New Zealand</v>
      </c>
      <c r="R122" t="s">
        <v>54</v>
      </c>
      <c r="S122" t="s">
        <v>55</v>
      </c>
    </row>
    <row r="123" spans="2:19" x14ac:dyDescent="0.3">
      <c r="B123" t="str">
        <f t="shared" si="3"/>
        <v>LCOE_solar_Oman</v>
      </c>
      <c r="C123" t="s">
        <v>385</v>
      </c>
      <c r="D123" t="str">
        <f t="shared" si="4"/>
        <v>*OMN</v>
      </c>
      <c r="E123" t="s">
        <v>21</v>
      </c>
      <c r="F123">
        <v>1</v>
      </c>
      <c r="G123">
        <v>0</v>
      </c>
      <c r="H123">
        <v>1</v>
      </c>
      <c r="I123">
        <v>5</v>
      </c>
      <c r="N123" t="s">
        <v>270</v>
      </c>
      <c r="O123" t="str">
        <f t="shared" si="5"/>
        <v>Oman</v>
      </c>
      <c r="R123" t="s">
        <v>166</v>
      </c>
      <c r="S123" t="s">
        <v>167</v>
      </c>
    </row>
    <row r="124" spans="2:19" x14ac:dyDescent="0.3">
      <c r="B124" t="str">
        <f t="shared" si="3"/>
        <v>LCOE_solar_Pakistan</v>
      </c>
      <c r="C124" t="s">
        <v>385</v>
      </c>
      <c r="D124" t="str">
        <f t="shared" si="4"/>
        <v>*PAK</v>
      </c>
      <c r="E124" t="s">
        <v>21</v>
      </c>
      <c r="F124">
        <v>1</v>
      </c>
      <c r="G124">
        <v>0</v>
      </c>
      <c r="H124">
        <v>1</v>
      </c>
      <c r="I124">
        <v>5</v>
      </c>
      <c r="N124" t="s">
        <v>272</v>
      </c>
      <c r="O124" t="str">
        <f t="shared" si="5"/>
        <v>Pakistan</v>
      </c>
      <c r="R124" t="s">
        <v>340</v>
      </c>
      <c r="S124" t="s">
        <v>341</v>
      </c>
    </row>
    <row r="125" spans="2:19" x14ac:dyDescent="0.3">
      <c r="B125" t="str">
        <f t="shared" si="3"/>
        <v>LCOE_solar_Panama</v>
      </c>
      <c r="C125" t="s">
        <v>385</v>
      </c>
      <c r="D125" t="str">
        <f t="shared" si="4"/>
        <v>*PAN</v>
      </c>
      <c r="E125" t="s">
        <v>21</v>
      </c>
      <c r="F125">
        <v>1</v>
      </c>
      <c r="G125">
        <v>0</v>
      </c>
      <c r="H125">
        <v>1</v>
      </c>
      <c r="I125">
        <v>5</v>
      </c>
      <c r="N125" t="s">
        <v>274</v>
      </c>
      <c r="O125" t="str">
        <f t="shared" si="5"/>
        <v>Panama</v>
      </c>
      <c r="R125" t="s">
        <v>246</v>
      </c>
      <c r="S125" t="s">
        <v>247</v>
      </c>
    </row>
    <row r="126" spans="2:19" x14ac:dyDescent="0.3">
      <c r="B126" t="str">
        <f t="shared" si="3"/>
        <v>LCOE_solar_Peru</v>
      </c>
      <c r="C126" t="s">
        <v>385</v>
      </c>
      <c r="D126" t="str">
        <f t="shared" si="4"/>
        <v>*PER</v>
      </c>
      <c r="E126" t="s">
        <v>21</v>
      </c>
      <c r="F126">
        <v>1</v>
      </c>
      <c r="G126">
        <v>0</v>
      </c>
      <c r="H126">
        <v>1</v>
      </c>
      <c r="I126">
        <v>5</v>
      </c>
      <c r="N126" t="s">
        <v>276</v>
      </c>
      <c r="O126" t="str">
        <f t="shared" si="5"/>
        <v>Peru</v>
      </c>
      <c r="R126" t="s">
        <v>284</v>
      </c>
      <c r="S126" t="s">
        <v>285</v>
      </c>
    </row>
    <row r="127" spans="2:19" x14ac:dyDescent="0.3">
      <c r="B127" t="str">
        <f t="shared" si="3"/>
        <v>LCOE_solar_Philippines</v>
      </c>
      <c r="C127" t="s">
        <v>385</v>
      </c>
      <c r="D127" t="str">
        <f t="shared" si="4"/>
        <v>*PHL</v>
      </c>
      <c r="E127" t="s">
        <v>21</v>
      </c>
      <c r="F127">
        <v>1</v>
      </c>
      <c r="G127">
        <v>0</v>
      </c>
      <c r="H127">
        <v>1</v>
      </c>
      <c r="I127">
        <v>5</v>
      </c>
      <c r="N127" t="s">
        <v>278</v>
      </c>
      <c r="O127" t="str">
        <f t="shared" si="5"/>
        <v>Philippines</v>
      </c>
      <c r="R127" t="s">
        <v>318</v>
      </c>
      <c r="S127" t="s">
        <v>319</v>
      </c>
    </row>
    <row r="128" spans="2:19" x14ac:dyDescent="0.3">
      <c r="B128" t="str">
        <f t="shared" si="3"/>
        <v>LCOE_solar_Papua New Guinea</v>
      </c>
      <c r="C128" t="s">
        <v>385</v>
      </c>
      <c r="D128" t="str">
        <f t="shared" si="4"/>
        <v>*PNG</v>
      </c>
      <c r="E128" t="s">
        <v>21</v>
      </c>
      <c r="F128">
        <v>1</v>
      </c>
      <c r="G128">
        <v>0</v>
      </c>
      <c r="H128">
        <v>1</v>
      </c>
      <c r="I128">
        <v>5</v>
      </c>
      <c r="N128" t="s">
        <v>280</v>
      </c>
      <c r="O128" t="str">
        <f t="shared" si="5"/>
        <v>Papua New Guinea</v>
      </c>
      <c r="R128" t="s">
        <v>218</v>
      </c>
      <c r="S128" t="s">
        <v>219</v>
      </c>
    </row>
    <row r="129" spans="2:19" x14ac:dyDescent="0.3">
      <c r="B129" t="str">
        <f t="shared" si="3"/>
        <v>LCOE_solar_Poland</v>
      </c>
      <c r="C129" t="s">
        <v>385</v>
      </c>
      <c r="D129" t="str">
        <f t="shared" si="4"/>
        <v>*POL</v>
      </c>
      <c r="E129" t="s">
        <v>21</v>
      </c>
      <c r="F129">
        <v>1</v>
      </c>
      <c r="G129">
        <v>0</v>
      </c>
      <c r="H129">
        <v>1</v>
      </c>
      <c r="I129">
        <v>5</v>
      </c>
      <c r="N129" t="s">
        <v>282</v>
      </c>
      <c r="O129" t="str">
        <f t="shared" si="5"/>
        <v>Poland</v>
      </c>
      <c r="R129" t="s">
        <v>326</v>
      </c>
      <c r="S129" t="s">
        <v>327</v>
      </c>
    </row>
    <row r="130" spans="2:19" x14ac:dyDescent="0.3">
      <c r="B130" t="str">
        <f t="shared" si="3"/>
        <v>LCOE_solar_Puerto Rico</v>
      </c>
      <c r="C130" t="s">
        <v>385</v>
      </c>
      <c r="D130" t="str">
        <f t="shared" si="4"/>
        <v>*PRI</v>
      </c>
      <c r="E130" t="s">
        <v>21</v>
      </c>
      <c r="F130">
        <v>1</v>
      </c>
      <c r="G130">
        <v>0</v>
      </c>
      <c r="H130">
        <v>1</v>
      </c>
      <c r="I130">
        <v>5</v>
      </c>
      <c r="N130" t="s">
        <v>284</v>
      </c>
      <c r="O130" t="str">
        <f t="shared" si="5"/>
        <v>Puerto Rico</v>
      </c>
      <c r="R130" t="s">
        <v>260</v>
      </c>
      <c r="S130" t="s">
        <v>261</v>
      </c>
    </row>
    <row r="131" spans="2:19" x14ac:dyDescent="0.3">
      <c r="B131" t="str">
        <f t="shared" si="3"/>
        <v>LCOE_solar_Dem. People^s Rep. Korea</v>
      </c>
      <c r="C131" t="s">
        <v>385</v>
      </c>
      <c r="D131" t="str">
        <f t="shared" si="4"/>
        <v>*PRK</v>
      </c>
      <c r="E131" t="s">
        <v>21</v>
      </c>
      <c r="F131">
        <v>1</v>
      </c>
      <c r="G131">
        <v>0</v>
      </c>
      <c r="H131">
        <v>1</v>
      </c>
      <c r="I131">
        <v>5</v>
      </c>
      <c r="N131" t="s">
        <v>286</v>
      </c>
      <c r="O131" t="str">
        <f t="shared" si="5"/>
        <v>Dem. People^s Rep. Korea</v>
      </c>
      <c r="R131" t="s">
        <v>248</v>
      </c>
      <c r="S131" t="s">
        <v>249</v>
      </c>
    </row>
    <row r="132" spans="2:19" x14ac:dyDescent="0.3">
      <c r="B132" t="str">
        <f t="shared" si="3"/>
        <v>LCOE_solar_Portugal</v>
      </c>
      <c r="C132" t="s">
        <v>385</v>
      </c>
      <c r="D132" t="str">
        <f t="shared" si="4"/>
        <v>*PRT</v>
      </c>
      <c r="E132" t="s">
        <v>21</v>
      </c>
      <c r="F132">
        <v>1</v>
      </c>
      <c r="G132">
        <v>0</v>
      </c>
      <c r="H132">
        <v>1</v>
      </c>
      <c r="I132">
        <v>5</v>
      </c>
      <c r="N132" t="s">
        <v>288</v>
      </c>
      <c r="O132" t="str">
        <f t="shared" si="5"/>
        <v>Portugal</v>
      </c>
      <c r="R132" t="s">
        <v>400</v>
      </c>
      <c r="S132" t="s">
        <v>401</v>
      </c>
    </row>
    <row r="133" spans="2:19" x14ac:dyDescent="0.3">
      <c r="B133" t="str">
        <f t="shared" si="3"/>
        <v>LCOE_solar_Paraguay</v>
      </c>
      <c r="C133" t="s">
        <v>385</v>
      </c>
      <c r="D133" t="str">
        <f t="shared" si="4"/>
        <v>*PRY</v>
      </c>
      <c r="E133" t="s">
        <v>21</v>
      </c>
      <c r="F133">
        <v>1</v>
      </c>
      <c r="G133">
        <v>0</v>
      </c>
      <c r="H133">
        <v>1</v>
      </c>
      <c r="I133">
        <v>5</v>
      </c>
      <c r="N133" t="s">
        <v>290</v>
      </c>
      <c r="O133" t="str">
        <f t="shared" si="5"/>
        <v>Paraguay</v>
      </c>
      <c r="R133" t="s">
        <v>140</v>
      </c>
      <c r="S133" t="s">
        <v>141</v>
      </c>
    </row>
    <row r="134" spans="2:19" x14ac:dyDescent="0.3">
      <c r="B134" t="str">
        <f t="shared" si="3"/>
        <v>LCOE_solar_Qatar</v>
      </c>
      <c r="C134" t="s">
        <v>385</v>
      </c>
      <c r="D134" t="str">
        <f t="shared" si="4"/>
        <v>*QAT</v>
      </c>
      <c r="E134" t="s">
        <v>21</v>
      </c>
      <c r="F134">
        <v>1</v>
      </c>
      <c r="G134">
        <v>0</v>
      </c>
      <c r="H134">
        <v>1</v>
      </c>
      <c r="I134">
        <v>5</v>
      </c>
      <c r="N134" t="s">
        <v>296</v>
      </c>
      <c r="O134" t="str">
        <f t="shared" si="5"/>
        <v>Qatar</v>
      </c>
      <c r="R134" t="s">
        <v>58</v>
      </c>
      <c r="S134" t="s">
        <v>59</v>
      </c>
    </row>
    <row r="135" spans="2:19" x14ac:dyDescent="0.3">
      <c r="B135" t="str">
        <f t="shared" si="3"/>
        <v>LCOE_solar_Romania</v>
      </c>
      <c r="C135" t="s">
        <v>385</v>
      </c>
      <c r="D135" t="str">
        <f t="shared" si="4"/>
        <v>*ROM</v>
      </c>
      <c r="E135" t="s">
        <v>21</v>
      </c>
      <c r="F135">
        <v>1</v>
      </c>
      <c r="G135">
        <v>0</v>
      </c>
      <c r="H135">
        <v>1</v>
      </c>
      <c r="I135">
        <v>5</v>
      </c>
      <c r="N135" t="s">
        <v>300</v>
      </c>
      <c r="O135" t="str">
        <f t="shared" si="5"/>
        <v>Romania</v>
      </c>
      <c r="R135" t="s">
        <v>224</v>
      </c>
      <c r="S135" t="s">
        <v>225</v>
      </c>
    </row>
    <row r="136" spans="2:19" x14ac:dyDescent="0.3">
      <c r="B136" t="str">
        <f t="shared" ref="B136:B169" si="6">"LCOE_solar_"&amp;O136</f>
        <v>LCOE_solar_Russia</v>
      </c>
      <c r="C136" t="s">
        <v>385</v>
      </c>
      <c r="D136" t="str">
        <f t="shared" ref="D136:D169" si="7">"*"&amp;N136</f>
        <v>*RUS</v>
      </c>
      <c r="E136" t="s">
        <v>21</v>
      </c>
      <c r="F136">
        <v>1</v>
      </c>
      <c r="G136">
        <v>0</v>
      </c>
      <c r="H136">
        <v>1</v>
      </c>
      <c r="I136">
        <v>5</v>
      </c>
      <c r="N136" t="s">
        <v>302</v>
      </c>
      <c r="O136" t="str">
        <f t="shared" ref="O136:O169" si="8">VLOOKUP(N136,$R$7:$S$999,2,FALSE)</f>
        <v>Russia</v>
      </c>
      <c r="R136" t="s">
        <v>198</v>
      </c>
      <c r="S136" t="s">
        <v>199</v>
      </c>
    </row>
    <row r="137" spans="2:19" x14ac:dyDescent="0.3">
      <c r="B137" t="str">
        <f t="shared" si="6"/>
        <v>LCOE_solar_Rwanda</v>
      </c>
      <c r="C137" t="s">
        <v>385</v>
      </c>
      <c r="D137" t="str">
        <f t="shared" si="7"/>
        <v>*RWA</v>
      </c>
      <c r="E137" t="s">
        <v>21</v>
      </c>
      <c r="F137">
        <v>1</v>
      </c>
      <c r="G137">
        <v>0</v>
      </c>
      <c r="H137">
        <v>1</v>
      </c>
      <c r="I137">
        <v>5</v>
      </c>
      <c r="N137" t="s">
        <v>304</v>
      </c>
      <c r="O137" t="str">
        <f t="shared" si="8"/>
        <v>Rwanda</v>
      </c>
      <c r="R137" t="s">
        <v>244</v>
      </c>
      <c r="S137" t="s">
        <v>245</v>
      </c>
    </row>
    <row r="138" spans="2:19" x14ac:dyDescent="0.3">
      <c r="B138" t="str">
        <f t="shared" si="6"/>
        <v>LCOE_solar_Saudi Arabia</v>
      </c>
      <c r="C138" t="s">
        <v>385</v>
      </c>
      <c r="D138" t="str">
        <f t="shared" si="7"/>
        <v>*SAU</v>
      </c>
      <c r="E138" t="s">
        <v>21</v>
      </c>
      <c r="F138">
        <v>1</v>
      </c>
      <c r="G138">
        <v>0</v>
      </c>
      <c r="H138">
        <v>1</v>
      </c>
      <c r="I138">
        <v>5</v>
      </c>
      <c r="N138" t="s">
        <v>306</v>
      </c>
      <c r="O138" t="str">
        <f t="shared" si="8"/>
        <v>Saudi Arabia</v>
      </c>
      <c r="R138" t="s">
        <v>386</v>
      </c>
      <c r="S138" t="s">
        <v>402</v>
      </c>
    </row>
    <row r="139" spans="2:19" x14ac:dyDescent="0.3">
      <c r="B139" t="str">
        <f t="shared" si="6"/>
        <v>LCOE_solar_Sudan</v>
      </c>
      <c r="C139" t="s">
        <v>385</v>
      </c>
      <c r="D139" t="str">
        <f t="shared" si="7"/>
        <v>*SDN</v>
      </c>
      <c r="E139" t="s">
        <v>21</v>
      </c>
      <c r="F139">
        <v>1</v>
      </c>
      <c r="G139">
        <v>0</v>
      </c>
      <c r="H139">
        <v>1</v>
      </c>
      <c r="I139">
        <v>5</v>
      </c>
      <c r="N139" t="s">
        <v>308</v>
      </c>
      <c r="O139" t="str">
        <f t="shared" si="8"/>
        <v>Sudan</v>
      </c>
      <c r="R139" t="s">
        <v>222</v>
      </c>
      <c r="S139" t="s">
        <v>223</v>
      </c>
    </row>
    <row r="140" spans="2:19" x14ac:dyDescent="0.3">
      <c r="B140" t="str">
        <f t="shared" si="6"/>
        <v>LCOE_solar_Senegal</v>
      </c>
      <c r="C140" t="s">
        <v>385</v>
      </c>
      <c r="D140" t="str">
        <f t="shared" si="7"/>
        <v>*SEN</v>
      </c>
      <c r="E140" t="s">
        <v>21</v>
      </c>
      <c r="F140">
        <v>1</v>
      </c>
      <c r="G140">
        <v>0</v>
      </c>
      <c r="H140">
        <v>1</v>
      </c>
      <c r="I140">
        <v>5</v>
      </c>
      <c r="N140" t="s">
        <v>310</v>
      </c>
      <c r="O140" t="str">
        <f t="shared" si="8"/>
        <v>Senegal</v>
      </c>
      <c r="R140" t="s">
        <v>256</v>
      </c>
      <c r="S140" t="s">
        <v>257</v>
      </c>
    </row>
    <row r="141" spans="2:19" x14ac:dyDescent="0.3">
      <c r="B141" t="str">
        <f t="shared" si="6"/>
        <v>LCOE_solar_Singapore</v>
      </c>
      <c r="C141" t="s">
        <v>385</v>
      </c>
      <c r="D141" t="str">
        <f t="shared" si="7"/>
        <v>*SGP</v>
      </c>
      <c r="E141" t="s">
        <v>21</v>
      </c>
      <c r="F141">
        <v>1</v>
      </c>
      <c r="G141">
        <v>0</v>
      </c>
      <c r="H141">
        <v>1</v>
      </c>
      <c r="I141">
        <v>5</v>
      </c>
      <c r="N141" t="s">
        <v>312</v>
      </c>
      <c r="O141" t="str">
        <f t="shared" si="8"/>
        <v>Singapore</v>
      </c>
      <c r="R141" t="s">
        <v>258</v>
      </c>
      <c r="S141" t="s">
        <v>259</v>
      </c>
    </row>
    <row r="142" spans="2:19" x14ac:dyDescent="0.3">
      <c r="B142" t="str">
        <f t="shared" si="6"/>
        <v>LCOE_solar_Sierra Leone</v>
      </c>
      <c r="C142" t="s">
        <v>385</v>
      </c>
      <c r="D142" t="str">
        <f t="shared" si="7"/>
        <v>*SLE</v>
      </c>
      <c r="E142" t="s">
        <v>21</v>
      </c>
      <c r="F142">
        <v>1</v>
      </c>
      <c r="G142">
        <v>0</v>
      </c>
      <c r="H142">
        <v>1</v>
      </c>
      <c r="I142">
        <v>5</v>
      </c>
      <c r="N142" t="s">
        <v>316</v>
      </c>
      <c r="O142" t="str">
        <f t="shared" si="8"/>
        <v>Sierra Leone</v>
      </c>
      <c r="R142" t="s">
        <v>234</v>
      </c>
      <c r="S142" t="s">
        <v>235</v>
      </c>
    </row>
    <row r="143" spans="2:19" x14ac:dyDescent="0.3">
      <c r="B143" t="str">
        <f t="shared" si="6"/>
        <v>LCOE_solar_El Salvador</v>
      </c>
      <c r="C143" t="s">
        <v>385</v>
      </c>
      <c r="D143" t="str">
        <f t="shared" si="7"/>
        <v>*SLV</v>
      </c>
      <c r="E143" t="s">
        <v>21</v>
      </c>
      <c r="F143">
        <v>1</v>
      </c>
      <c r="G143">
        <v>0</v>
      </c>
      <c r="H143">
        <v>1</v>
      </c>
      <c r="I143">
        <v>5</v>
      </c>
      <c r="N143" t="s">
        <v>318</v>
      </c>
      <c r="O143" t="str">
        <f t="shared" si="8"/>
        <v>El Salvador</v>
      </c>
      <c r="R143" t="s">
        <v>220</v>
      </c>
      <c r="S143" t="s">
        <v>221</v>
      </c>
    </row>
    <row r="144" spans="2:19" x14ac:dyDescent="0.3">
      <c r="B144" t="str">
        <f t="shared" si="6"/>
        <v>LCOE_solar_Somalia</v>
      </c>
      <c r="C144" t="s">
        <v>385</v>
      </c>
      <c r="D144" t="str">
        <f t="shared" si="7"/>
        <v>*SOM</v>
      </c>
      <c r="E144" t="s">
        <v>21</v>
      </c>
      <c r="F144">
        <v>1</v>
      </c>
      <c r="G144">
        <v>0</v>
      </c>
      <c r="H144">
        <v>1</v>
      </c>
      <c r="I144">
        <v>5</v>
      </c>
      <c r="N144" t="s">
        <v>320</v>
      </c>
      <c r="O144" t="str">
        <f t="shared" si="8"/>
        <v>Somalia</v>
      </c>
      <c r="R144" t="s">
        <v>292</v>
      </c>
      <c r="S144" t="s">
        <v>293</v>
      </c>
    </row>
    <row r="145" spans="2:19" x14ac:dyDescent="0.3">
      <c r="B145" t="str">
        <f t="shared" si="6"/>
        <v>LCOE_solar_Serbia</v>
      </c>
      <c r="C145" t="s">
        <v>385</v>
      </c>
      <c r="D145" t="str">
        <f t="shared" si="7"/>
        <v>*SRB</v>
      </c>
      <c r="E145" t="s">
        <v>21</v>
      </c>
      <c r="F145">
        <v>1</v>
      </c>
      <c r="G145">
        <v>0</v>
      </c>
      <c r="H145">
        <v>1</v>
      </c>
      <c r="I145">
        <v>5</v>
      </c>
      <c r="N145" t="s">
        <v>392</v>
      </c>
      <c r="O145" t="str">
        <f t="shared" si="8"/>
        <v>Serbia</v>
      </c>
      <c r="R145" t="s">
        <v>28</v>
      </c>
      <c r="S145" t="s">
        <v>29</v>
      </c>
    </row>
    <row r="146" spans="2:19" x14ac:dyDescent="0.3">
      <c r="B146" t="str">
        <f t="shared" si="6"/>
        <v>LCOE_solar_Suriname</v>
      </c>
      <c r="C146" t="s">
        <v>385</v>
      </c>
      <c r="D146" t="str">
        <f t="shared" si="7"/>
        <v>*SUR</v>
      </c>
      <c r="E146" t="s">
        <v>21</v>
      </c>
      <c r="F146">
        <v>1</v>
      </c>
      <c r="G146">
        <v>0</v>
      </c>
      <c r="H146">
        <v>1</v>
      </c>
      <c r="I146">
        <v>5</v>
      </c>
      <c r="N146" t="s">
        <v>322</v>
      </c>
      <c r="O146" t="str">
        <f t="shared" si="8"/>
        <v>Suriname</v>
      </c>
      <c r="R146" t="s">
        <v>90</v>
      </c>
      <c r="S146" t="s">
        <v>91</v>
      </c>
    </row>
    <row r="147" spans="2:19" x14ac:dyDescent="0.3">
      <c r="B147" t="str">
        <f t="shared" si="6"/>
        <v>LCOE_solar_Slovak Republic</v>
      </c>
      <c r="C147" t="s">
        <v>385</v>
      </c>
      <c r="D147" t="str">
        <f t="shared" si="7"/>
        <v>*SVK</v>
      </c>
      <c r="E147" t="s">
        <v>21</v>
      </c>
      <c r="F147">
        <v>1</v>
      </c>
      <c r="G147">
        <v>0</v>
      </c>
      <c r="H147">
        <v>1</v>
      </c>
      <c r="I147">
        <v>5</v>
      </c>
      <c r="N147" t="s">
        <v>324</v>
      </c>
      <c r="O147" t="str">
        <f t="shared" si="8"/>
        <v>Slovak Republic</v>
      </c>
      <c r="R147" t="s">
        <v>126</v>
      </c>
      <c r="S147" t="s">
        <v>127</v>
      </c>
    </row>
    <row r="148" spans="2:19" x14ac:dyDescent="0.3">
      <c r="B148" t="str">
        <f t="shared" si="6"/>
        <v>LCOE_solar_Slovenia</v>
      </c>
      <c r="C148" t="s">
        <v>385</v>
      </c>
      <c r="D148" t="str">
        <f t="shared" si="7"/>
        <v>*SVN</v>
      </c>
      <c r="E148" t="s">
        <v>21</v>
      </c>
      <c r="F148">
        <v>1</v>
      </c>
      <c r="G148">
        <v>0</v>
      </c>
      <c r="H148">
        <v>1</v>
      </c>
      <c r="I148">
        <v>5</v>
      </c>
      <c r="N148" t="s">
        <v>326</v>
      </c>
      <c r="O148" t="str">
        <f t="shared" si="8"/>
        <v>Slovenia</v>
      </c>
      <c r="R148" t="s">
        <v>304</v>
      </c>
      <c r="S148" t="s">
        <v>305</v>
      </c>
    </row>
    <row r="149" spans="2:19" x14ac:dyDescent="0.3">
      <c r="B149" t="str">
        <f t="shared" si="6"/>
        <v>LCOE_solar_Sweden</v>
      </c>
      <c r="C149" t="s">
        <v>385</v>
      </c>
      <c r="D149" t="str">
        <f t="shared" si="7"/>
        <v>*SWE</v>
      </c>
      <c r="E149" t="s">
        <v>21</v>
      </c>
      <c r="F149">
        <v>1</v>
      </c>
      <c r="G149">
        <v>0</v>
      </c>
      <c r="H149">
        <v>1</v>
      </c>
      <c r="I149">
        <v>5</v>
      </c>
      <c r="N149" t="s">
        <v>328</v>
      </c>
      <c r="O149" t="str">
        <f t="shared" si="8"/>
        <v>Sweden</v>
      </c>
      <c r="R149" t="s">
        <v>346</v>
      </c>
      <c r="S149" t="s">
        <v>347</v>
      </c>
    </row>
    <row r="150" spans="2:19" x14ac:dyDescent="0.3">
      <c r="B150" t="str">
        <f t="shared" si="6"/>
        <v>LCOE_solar_Swaziland</v>
      </c>
      <c r="C150" t="s">
        <v>385</v>
      </c>
      <c r="D150" t="str">
        <f t="shared" si="7"/>
        <v>*SWZ</v>
      </c>
      <c r="E150" t="s">
        <v>21</v>
      </c>
      <c r="F150">
        <v>1</v>
      </c>
      <c r="G150">
        <v>0</v>
      </c>
      <c r="H150">
        <v>1</v>
      </c>
      <c r="I150">
        <v>5</v>
      </c>
      <c r="N150" t="s">
        <v>330</v>
      </c>
      <c r="O150" t="str">
        <f t="shared" si="8"/>
        <v>Swaziland</v>
      </c>
      <c r="R150" t="s">
        <v>403</v>
      </c>
      <c r="S150" t="s">
        <v>404</v>
      </c>
    </row>
    <row r="151" spans="2:19" x14ac:dyDescent="0.3">
      <c r="B151" t="str">
        <f t="shared" si="6"/>
        <v>LCOE_solar_Syrian Arab Republic</v>
      </c>
      <c r="C151" t="s">
        <v>385</v>
      </c>
      <c r="D151" t="str">
        <f t="shared" si="7"/>
        <v>*SYR</v>
      </c>
      <c r="E151" t="s">
        <v>21</v>
      </c>
      <c r="F151">
        <v>1</v>
      </c>
      <c r="G151">
        <v>0</v>
      </c>
      <c r="H151">
        <v>1</v>
      </c>
      <c r="I151">
        <v>5</v>
      </c>
      <c r="N151" t="s">
        <v>332</v>
      </c>
      <c r="O151" t="str">
        <f t="shared" si="8"/>
        <v>Syrian Arab Republic</v>
      </c>
      <c r="R151" t="s">
        <v>405</v>
      </c>
      <c r="S151" t="s">
        <v>406</v>
      </c>
    </row>
    <row r="152" spans="2:19" x14ac:dyDescent="0.3">
      <c r="B152" t="str">
        <f t="shared" si="6"/>
        <v>LCOE_solar_Chad</v>
      </c>
      <c r="C152" t="s">
        <v>385</v>
      </c>
      <c r="D152" t="str">
        <f t="shared" si="7"/>
        <v>*TCD</v>
      </c>
      <c r="E152" t="s">
        <v>21</v>
      </c>
      <c r="F152">
        <v>1</v>
      </c>
      <c r="G152">
        <v>0</v>
      </c>
      <c r="H152">
        <v>1</v>
      </c>
      <c r="I152">
        <v>5</v>
      </c>
      <c r="N152" t="s">
        <v>334</v>
      </c>
      <c r="O152" t="str">
        <f t="shared" si="8"/>
        <v>Chad</v>
      </c>
      <c r="R152" t="s">
        <v>34</v>
      </c>
      <c r="S152" t="s">
        <v>35</v>
      </c>
    </row>
    <row r="153" spans="2:19" x14ac:dyDescent="0.3">
      <c r="B153" t="str">
        <f t="shared" si="6"/>
        <v>LCOE_solar_Thailand</v>
      </c>
      <c r="C153" t="s">
        <v>385</v>
      </c>
      <c r="D153" t="str">
        <f t="shared" si="7"/>
        <v>*THA</v>
      </c>
      <c r="E153" t="s">
        <v>21</v>
      </c>
      <c r="F153">
        <v>1</v>
      </c>
      <c r="G153">
        <v>0</v>
      </c>
      <c r="H153">
        <v>1</v>
      </c>
      <c r="I153">
        <v>5</v>
      </c>
      <c r="N153" t="s">
        <v>338</v>
      </c>
      <c r="O153" t="str">
        <f t="shared" si="8"/>
        <v>Thailand</v>
      </c>
      <c r="R153" t="s">
        <v>72</v>
      </c>
      <c r="S153" t="s">
        <v>73</v>
      </c>
    </row>
    <row r="154" spans="2:19" x14ac:dyDescent="0.3">
      <c r="B154" t="str">
        <f t="shared" si="6"/>
        <v>LCOE_solar_Tajikistan</v>
      </c>
      <c r="C154" t="s">
        <v>385</v>
      </c>
      <c r="D154" t="str">
        <f t="shared" si="7"/>
        <v>*TJK</v>
      </c>
      <c r="E154" t="s">
        <v>21</v>
      </c>
      <c r="F154">
        <v>1</v>
      </c>
      <c r="G154">
        <v>0</v>
      </c>
      <c r="H154">
        <v>1</v>
      </c>
      <c r="I154">
        <v>5</v>
      </c>
      <c r="N154" t="s">
        <v>340</v>
      </c>
      <c r="O154" t="str">
        <f t="shared" si="8"/>
        <v>Tajikistan</v>
      </c>
      <c r="R154" t="s">
        <v>226</v>
      </c>
      <c r="S154" t="s">
        <v>227</v>
      </c>
    </row>
    <row r="155" spans="2:19" x14ac:dyDescent="0.3">
      <c r="B155" t="str">
        <f t="shared" si="6"/>
        <v>LCOE_solar_Turkmenistan</v>
      </c>
      <c r="C155" t="s">
        <v>385</v>
      </c>
      <c r="D155" t="str">
        <f t="shared" si="7"/>
        <v>*TKM</v>
      </c>
      <c r="E155" t="s">
        <v>21</v>
      </c>
      <c r="F155">
        <v>1</v>
      </c>
      <c r="G155">
        <v>0</v>
      </c>
      <c r="H155">
        <v>1</v>
      </c>
      <c r="I155">
        <v>5</v>
      </c>
      <c r="N155" t="s">
        <v>342</v>
      </c>
      <c r="O155" t="str">
        <f t="shared" si="8"/>
        <v>Turkmenistan</v>
      </c>
      <c r="R155" t="s">
        <v>188</v>
      </c>
      <c r="S155" t="s">
        <v>189</v>
      </c>
    </row>
    <row r="156" spans="2:19" x14ac:dyDescent="0.3">
      <c r="B156" t="str">
        <f t="shared" si="6"/>
        <v>LCOE_solar_Tunisia</v>
      </c>
      <c r="C156" t="s">
        <v>385</v>
      </c>
      <c r="D156" t="str">
        <f t="shared" si="7"/>
        <v>*TUN</v>
      </c>
      <c r="E156" t="s">
        <v>21</v>
      </c>
      <c r="F156">
        <v>1</v>
      </c>
      <c r="G156">
        <v>0</v>
      </c>
      <c r="H156">
        <v>1</v>
      </c>
      <c r="I156">
        <v>5</v>
      </c>
      <c r="N156" t="s">
        <v>348</v>
      </c>
      <c r="O156" t="str">
        <f t="shared" si="8"/>
        <v>Tunisia</v>
      </c>
      <c r="R156" t="s">
        <v>102</v>
      </c>
      <c r="S156" t="s">
        <v>103</v>
      </c>
    </row>
    <row r="157" spans="2:19" x14ac:dyDescent="0.3">
      <c r="B157" t="str">
        <f t="shared" si="6"/>
        <v>LCOE_solar_Turkey</v>
      </c>
      <c r="C157" t="s">
        <v>385</v>
      </c>
      <c r="D157" t="str">
        <f t="shared" si="7"/>
        <v>*TUR</v>
      </c>
      <c r="E157" t="s">
        <v>21</v>
      </c>
      <c r="F157">
        <v>1</v>
      </c>
      <c r="G157">
        <v>0</v>
      </c>
      <c r="H157">
        <v>1</v>
      </c>
      <c r="I157">
        <v>5</v>
      </c>
      <c r="N157" t="s">
        <v>350</v>
      </c>
      <c r="O157" t="str">
        <f t="shared" si="8"/>
        <v>Turkey</v>
      </c>
      <c r="R157" t="s">
        <v>70</v>
      </c>
      <c r="S157" t="s">
        <v>71</v>
      </c>
    </row>
    <row r="158" spans="2:19" x14ac:dyDescent="0.3">
      <c r="B158" t="str">
        <f t="shared" si="6"/>
        <v>LCOE_solar_Tanzania</v>
      </c>
      <c r="C158" t="s">
        <v>385</v>
      </c>
      <c r="D158" t="str">
        <f t="shared" si="7"/>
        <v>*TZA</v>
      </c>
      <c r="E158" t="s">
        <v>21</v>
      </c>
      <c r="F158">
        <v>1</v>
      </c>
      <c r="G158">
        <v>0</v>
      </c>
      <c r="H158">
        <v>1</v>
      </c>
      <c r="I158">
        <v>5</v>
      </c>
      <c r="N158" t="s">
        <v>354</v>
      </c>
      <c r="O158" t="str">
        <f t="shared" si="8"/>
        <v>Tanzania</v>
      </c>
      <c r="R158" t="s">
        <v>310</v>
      </c>
      <c r="S158" t="s">
        <v>311</v>
      </c>
    </row>
    <row r="159" spans="2:19" x14ac:dyDescent="0.3">
      <c r="B159" t="str">
        <f t="shared" si="6"/>
        <v>LCOE_solar_Uganda</v>
      </c>
      <c r="C159" t="s">
        <v>385</v>
      </c>
      <c r="D159" t="str">
        <f t="shared" si="7"/>
        <v>*UGA</v>
      </c>
      <c r="E159" t="s">
        <v>21</v>
      </c>
      <c r="F159">
        <v>1</v>
      </c>
      <c r="G159">
        <v>0</v>
      </c>
      <c r="H159">
        <v>1</v>
      </c>
      <c r="I159">
        <v>5</v>
      </c>
      <c r="N159" t="s">
        <v>356</v>
      </c>
      <c r="O159" t="str">
        <f t="shared" si="8"/>
        <v>Uganda</v>
      </c>
      <c r="R159" t="s">
        <v>407</v>
      </c>
      <c r="S159" t="s">
        <v>408</v>
      </c>
    </row>
    <row r="160" spans="2:19" x14ac:dyDescent="0.3">
      <c r="B160" t="str">
        <f t="shared" si="6"/>
        <v>LCOE_solar_Ukraine</v>
      </c>
      <c r="C160" t="s">
        <v>385</v>
      </c>
      <c r="D160" t="str">
        <f t="shared" si="7"/>
        <v>*UKR</v>
      </c>
      <c r="E160" t="s">
        <v>21</v>
      </c>
      <c r="F160">
        <v>1</v>
      </c>
      <c r="G160">
        <v>0</v>
      </c>
      <c r="H160">
        <v>1</v>
      </c>
      <c r="I160">
        <v>5</v>
      </c>
      <c r="N160" t="s">
        <v>358</v>
      </c>
      <c r="O160" t="str">
        <f t="shared" si="8"/>
        <v>Ukraine</v>
      </c>
      <c r="R160" t="s">
        <v>182</v>
      </c>
      <c r="S160" t="s">
        <v>183</v>
      </c>
    </row>
    <row r="161" spans="2:19" x14ac:dyDescent="0.3">
      <c r="B161" t="str">
        <f t="shared" si="6"/>
        <v>LCOE_solar_Uruguay</v>
      </c>
      <c r="C161" t="s">
        <v>385</v>
      </c>
      <c r="D161" t="str">
        <f t="shared" si="7"/>
        <v>*URY</v>
      </c>
      <c r="E161" t="s">
        <v>21</v>
      </c>
      <c r="F161">
        <v>1</v>
      </c>
      <c r="G161">
        <v>0</v>
      </c>
      <c r="H161">
        <v>1</v>
      </c>
      <c r="I161">
        <v>5</v>
      </c>
      <c r="N161" t="s">
        <v>360</v>
      </c>
      <c r="O161" t="str">
        <f t="shared" si="8"/>
        <v>Uruguay</v>
      </c>
      <c r="R161" t="s">
        <v>316</v>
      </c>
      <c r="S161" t="s">
        <v>317</v>
      </c>
    </row>
    <row r="162" spans="2:19" x14ac:dyDescent="0.3">
      <c r="B162" t="str">
        <f t="shared" si="6"/>
        <v>LCOE_solar_United States</v>
      </c>
      <c r="C162" t="s">
        <v>385</v>
      </c>
      <c r="D162" t="str">
        <f t="shared" si="7"/>
        <v>*USA</v>
      </c>
      <c r="E162" t="s">
        <v>21</v>
      </c>
      <c r="F162">
        <v>1</v>
      </c>
      <c r="G162">
        <v>0</v>
      </c>
      <c r="H162">
        <v>1</v>
      </c>
      <c r="I162">
        <v>5</v>
      </c>
      <c r="N162" t="s">
        <v>362</v>
      </c>
      <c r="O162" t="str">
        <f t="shared" si="8"/>
        <v>United States</v>
      </c>
      <c r="R162" t="s">
        <v>320</v>
      </c>
      <c r="S162" t="s">
        <v>321</v>
      </c>
    </row>
    <row r="163" spans="2:19" x14ac:dyDescent="0.3">
      <c r="B163" t="str">
        <f t="shared" si="6"/>
        <v>LCOE_solar_Uzbekistan</v>
      </c>
      <c r="C163" t="s">
        <v>385</v>
      </c>
      <c r="D163" t="str">
        <f t="shared" si="7"/>
        <v>*UZB</v>
      </c>
      <c r="E163" t="s">
        <v>21</v>
      </c>
      <c r="F163">
        <v>1</v>
      </c>
      <c r="G163">
        <v>0</v>
      </c>
      <c r="H163">
        <v>1</v>
      </c>
      <c r="I163">
        <v>5</v>
      </c>
      <c r="N163" t="s">
        <v>364</v>
      </c>
      <c r="O163" t="str">
        <f t="shared" si="8"/>
        <v>Uzbekistan</v>
      </c>
      <c r="R163" t="s">
        <v>376</v>
      </c>
      <c r="S163" t="s">
        <v>377</v>
      </c>
    </row>
    <row r="164" spans="2:19" x14ac:dyDescent="0.3">
      <c r="B164" t="str">
        <f t="shared" si="6"/>
        <v>LCOE_solar_Venezuela</v>
      </c>
      <c r="C164" t="s">
        <v>385</v>
      </c>
      <c r="D164" t="str">
        <f t="shared" si="7"/>
        <v>*VEN</v>
      </c>
      <c r="E164" t="s">
        <v>21</v>
      </c>
      <c r="F164">
        <v>1</v>
      </c>
      <c r="G164">
        <v>0</v>
      </c>
      <c r="H164">
        <v>1</v>
      </c>
      <c r="I164">
        <v>5</v>
      </c>
      <c r="N164" t="s">
        <v>366</v>
      </c>
      <c r="O164" t="str">
        <f t="shared" si="8"/>
        <v>Venezuela</v>
      </c>
      <c r="R164" t="s">
        <v>409</v>
      </c>
      <c r="S164" t="s">
        <v>410</v>
      </c>
    </row>
    <row r="165" spans="2:19" x14ac:dyDescent="0.3">
      <c r="B165" t="str">
        <f t="shared" si="6"/>
        <v>LCOE_solar_Vietnam</v>
      </c>
      <c r="C165" t="s">
        <v>385</v>
      </c>
      <c r="D165" t="str">
        <f t="shared" si="7"/>
        <v>*VNM</v>
      </c>
      <c r="E165" t="s">
        <v>21</v>
      </c>
      <c r="F165">
        <v>1</v>
      </c>
      <c r="G165">
        <v>0</v>
      </c>
      <c r="H165">
        <v>1</v>
      </c>
      <c r="I165">
        <v>5</v>
      </c>
      <c r="N165" t="s">
        <v>368</v>
      </c>
      <c r="O165" t="str">
        <f t="shared" si="8"/>
        <v>Vietnam</v>
      </c>
      <c r="R165" t="s">
        <v>238</v>
      </c>
      <c r="S165" t="s">
        <v>239</v>
      </c>
    </row>
    <row r="166" spans="2:19" x14ac:dyDescent="0.3">
      <c r="B166" t="str">
        <f t="shared" si="6"/>
        <v>LCOE_solar_Yemen</v>
      </c>
      <c r="C166" t="s">
        <v>385</v>
      </c>
      <c r="D166" t="str">
        <f t="shared" si="7"/>
        <v>*YEM</v>
      </c>
      <c r="E166" t="s">
        <v>21</v>
      </c>
      <c r="F166">
        <v>1</v>
      </c>
      <c r="G166">
        <v>0</v>
      </c>
      <c r="H166">
        <v>1</v>
      </c>
      <c r="I166">
        <v>5</v>
      </c>
      <c r="N166" t="s">
        <v>374</v>
      </c>
      <c r="O166" t="str">
        <f t="shared" si="8"/>
        <v>Yemen</v>
      </c>
      <c r="R166" t="s">
        <v>56</v>
      </c>
      <c r="S166" t="s">
        <v>57</v>
      </c>
    </row>
    <row r="167" spans="2:19" x14ac:dyDescent="0.3">
      <c r="B167" t="str">
        <f t="shared" si="6"/>
        <v>LCOE_solar_South Africa</v>
      </c>
      <c r="C167" t="s">
        <v>385</v>
      </c>
      <c r="D167" t="str">
        <f t="shared" si="7"/>
        <v>*ZAF</v>
      </c>
      <c r="E167" t="s">
        <v>21</v>
      </c>
      <c r="F167">
        <v>1</v>
      </c>
      <c r="G167">
        <v>0</v>
      </c>
      <c r="H167">
        <v>1</v>
      </c>
      <c r="I167">
        <v>5</v>
      </c>
      <c r="N167" t="s">
        <v>376</v>
      </c>
      <c r="O167" t="str">
        <f t="shared" si="8"/>
        <v>South Africa</v>
      </c>
      <c r="R167" t="s">
        <v>322</v>
      </c>
      <c r="S167" t="s">
        <v>323</v>
      </c>
    </row>
    <row r="168" spans="2:19" x14ac:dyDescent="0.3">
      <c r="B168" t="str">
        <f t="shared" si="6"/>
        <v>LCOE_solar_Zambia</v>
      </c>
      <c r="C168" t="s">
        <v>385</v>
      </c>
      <c r="D168" t="str">
        <f t="shared" si="7"/>
        <v>*ZMB</v>
      </c>
      <c r="E168" t="s">
        <v>21</v>
      </c>
      <c r="F168">
        <v>1</v>
      </c>
      <c r="G168">
        <v>0</v>
      </c>
      <c r="H168">
        <v>1</v>
      </c>
      <c r="I168">
        <v>5</v>
      </c>
      <c r="N168" t="s">
        <v>378</v>
      </c>
      <c r="O168" t="str">
        <f t="shared" si="8"/>
        <v>Zambia</v>
      </c>
      <c r="R168" t="s">
        <v>308</v>
      </c>
      <c r="S168" t="s">
        <v>309</v>
      </c>
    </row>
    <row r="169" spans="2:19" x14ac:dyDescent="0.3">
      <c r="B169" t="str">
        <f t="shared" si="6"/>
        <v>LCOE_solar_Zimbabwe</v>
      </c>
      <c r="C169" t="s">
        <v>385</v>
      </c>
      <c r="D169" t="str">
        <f t="shared" si="7"/>
        <v>*ZWE</v>
      </c>
      <c r="E169" t="s">
        <v>21</v>
      </c>
      <c r="F169">
        <v>1</v>
      </c>
      <c r="G169">
        <v>0</v>
      </c>
      <c r="H169">
        <v>1</v>
      </c>
      <c r="I169">
        <v>5</v>
      </c>
      <c r="N169" t="s">
        <v>380</v>
      </c>
      <c r="O169" t="str">
        <f t="shared" si="8"/>
        <v>Zimbabwe</v>
      </c>
      <c r="R169" t="s">
        <v>391</v>
      </c>
      <c r="S169" t="s">
        <v>411</v>
      </c>
    </row>
    <row r="170" spans="2:19" x14ac:dyDescent="0.3">
      <c r="R170" t="s">
        <v>254</v>
      </c>
      <c r="S170" t="s">
        <v>255</v>
      </c>
    </row>
    <row r="171" spans="2:19" x14ac:dyDescent="0.3">
      <c r="R171" t="s">
        <v>132</v>
      </c>
      <c r="S171" t="s">
        <v>133</v>
      </c>
    </row>
    <row r="172" spans="2:19" x14ac:dyDescent="0.3">
      <c r="R172" t="s">
        <v>314</v>
      </c>
      <c r="S172" t="s">
        <v>315</v>
      </c>
    </row>
    <row r="173" spans="2:19" x14ac:dyDescent="0.3">
      <c r="R173" t="s">
        <v>160</v>
      </c>
      <c r="S173" t="s">
        <v>161</v>
      </c>
    </row>
    <row r="174" spans="2:19" x14ac:dyDescent="0.3">
      <c r="R174" t="s">
        <v>330</v>
      </c>
      <c r="S174" t="s">
        <v>331</v>
      </c>
    </row>
    <row r="175" spans="2:19" x14ac:dyDescent="0.3">
      <c r="R175" t="s">
        <v>230</v>
      </c>
      <c r="S175" t="s">
        <v>231</v>
      </c>
    </row>
    <row r="176" spans="2:19" x14ac:dyDescent="0.3">
      <c r="R176" t="s">
        <v>294</v>
      </c>
      <c r="S176" t="s">
        <v>295</v>
      </c>
    </row>
    <row r="177" spans="18:19" x14ac:dyDescent="0.3">
      <c r="R177" t="s">
        <v>68</v>
      </c>
      <c r="S177" t="s">
        <v>69</v>
      </c>
    </row>
    <row r="178" spans="18:19" x14ac:dyDescent="0.3">
      <c r="R178" t="s">
        <v>354</v>
      </c>
      <c r="S178" t="s">
        <v>355</v>
      </c>
    </row>
    <row r="179" spans="18:19" x14ac:dyDescent="0.3">
      <c r="R179" t="s">
        <v>148</v>
      </c>
      <c r="S179" t="s">
        <v>149</v>
      </c>
    </row>
    <row r="180" spans="18:19" x14ac:dyDescent="0.3">
      <c r="R180" t="s">
        <v>62</v>
      </c>
      <c r="S180" t="s">
        <v>63</v>
      </c>
    </row>
    <row r="181" spans="18:19" x14ac:dyDescent="0.3">
      <c r="R181" t="s">
        <v>370</v>
      </c>
      <c r="S181" t="s">
        <v>371</v>
      </c>
    </row>
    <row r="182" spans="18:19" x14ac:dyDescent="0.3">
      <c r="R182" t="s">
        <v>336</v>
      </c>
      <c r="S182" t="s">
        <v>337</v>
      </c>
    </row>
    <row r="183" spans="18:19" x14ac:dyDescent="0.3">
      <c r="R183" t="s">
        <v>412</v>
      </c>
      <c r="S183" t="s">
        <v>413</v>
      </c>
    </row>
    <row r="184" spans="18:19" x14ac:dyDescent="0.3">
      <c r="R184" t="s">
        <v>414</v>
      </c>
      <c r="S184" t="s">
        <v>415</v>
      </c>
    </row>
    <row r="185" spans="18:19" x14ac:dyDescent="0.3">
      <c r="R185" t="s">
        <v>372</v>
      </c>
      <c r="S185" t="s">
        <v>373</v>
      </c>
    </row>
    <row r="186" spans="18:19" x14ac:dyDescent="0.3">
      <c r="R186" t="s">
        <v>389</v>
      </c>
      <c r="S186" t="s">
        <v>416</v>
      </c>
    </row>
    <row r="187" spans="18:19" x14ac:dyDescent="0.3">
      <c r="R187" t="s">
        <v>417</v>
      </c>
      <c r="S187" t="s">
        <v>418</v>
      </c>
    </row>
    <row r="188" spans="18:19" x14ac:dyDescent="0.3">
      <c r="R188" t="s">
        <v>419</v>
      </c>
      <c r="S188" t="s">
        <v>420</v>
      </c>
    </row>
    <row r="189" spans="18:19" x14ac:dyDescent="0.3">
      <c r="R189" t="s">
        <v>421</v>
      </c>
      <c r="S189" t="s">
        <v>422</v>
      </c>
    </row>
    <row r="190" spans="18:19" x14ac:dyDescent="0.3">
      <c r="R190" t="s">
        <v>395</v>
      </c>
      <c r="S190" t="s">
        <v>423</v>
      </c>
    </row>
    <row r="191" spans="18:19" x14ac:dyDescent="0.3">
      <c r="R191" t="s">
        <v>424</v>
      </c>
      <c r="S191" t="s">
        <v>425</v>
      </c>
    </row>
    <row r="192" spans="18:19" x14ac:dyDescent="0.3">
      <c r="R192" t="s">
        <v>426</v>
      </c>
      <c r="S192" t="s">
        <v>427</v>
      </c>
    </row>
    <row r="193" spans="18:19" x14ac:dyDescent="0.3">
      <c r="R193" t="s">
        <v>388</v>
      </c>
      <c r="S193" t="s">
        <v>428</v>
      </c>
    </row>
    <row r="194" spans="18:19" x14ac:dyDescent="0.3">
      <c r="R194" t="s">
        <v>429</v>
      </c>
      <c r="S194" t="s">
        <v>430</v>
      </c>
    </row>
    <row r="195" spans="18:19" x14ac:dyDescent="0.3">
      <c r="R195" t="s">
        <v>431</v>
      </c>
      <c r="S195" t="s">
        <v>432</v>
      </c>
    </row>
    <row r="196" spans="18:19" x14ac:dyDescent="0.3">
      <c r="R196" t="s">
        <v>433</v>
      </c>
      <c r="S196" t="s">
        <v>434</v>
      </c>
    </row>
    <row r="197" spans="18:19" x14ac:dyDescent="0.3">
      <c r="R197" t="s">
        <v>435</v>
      </c>
      <c r="S197" t="s">
        <v>436</v>
      </c>
    </row>
    <row r="198" spans="18:19" x14ac:dyDescent="0.3">
      <c r="R198" t="s">
        <v>437</v>
      </c>
      <c r="S198" t="s">
        <v>438</v>
      </c>
    </row>
    <row r="199" spans="18:19" x14ac:dyDescent="0.3">
      <c r="R199" t="s">
        <v>393</v>
      </c>
      <c r="S199" t="s">
        <v>439</v>
      </c>
    </row>
    <row r="200" spans="18:19" x14ac:dyDescent="0.3">
      <c r="R200" t="s">
        <v>440</v>
      </c>
      <c r="S200" t="s">
        <v>441</v>
      </c>
    </row>
    <row r="201" spans="18:19" x14ac:dyDescent="0.3">
      <c r="R201" t="s">
        <v>442</v>
      </c>
      <c r="S201" t="s">
        <v>443</v>
      </c>
    </row>
    <row r="202" spans="18:19" x14ac:dyDescent="0.3">
      <c r="R202" t="s">
        <v>444</v>
      </c>
      <c r="S202" t="s">
        <v>445</v>
      </c>
    </row>
    <row r="203" spans="18:19" x14ac:dyDescent="0.3">
      <c r="R203" t="s">
        <v>446</v>
      </c>
      <c r="S203" t="s">
        <v>447</v>
      </c>
    </row>
    <row r="204" spans="18:19" x14ac:dyDescent="0.3">
      <c r="R204" t="s">
        <v>448</v>
      </c>
      <c r="S204" t="s">
        <v>449</v>
      </c>
    </row>
    <row r="205" spans="18:19" x14ac:dyDescent="0.3">
      <c r="R205" t="s">
        <v>450</v>
      </c>
      <c r="S205" t="s">
        <v>451</v>
      </c>
    </row>
    <row r="206" spans="18:19" x14ac:dyDescent="0.3">
      <c r="R206" t="s">
        <v>452</v>
      </c>
      <c r="S206" t="s">
        <v>453</v>
      </c>
    </row>
    <row r="207" spans="18:19" x14ac:dyDescent="0.3">
      <c r="R207" t="s">
        <v>454</v>
      </c>
      <c r="S207" t="s">
        <v>455</v>
      </c>
    </row>
    <row r="208" spans="18:19" x14ac:dyDescent="0.3">
      <c r="R208" t="s">
        <v>456</v>
      </c>
      <c r="S208" t="s">
        <v>457</v>
      </c>
    </row>
    <row r="209" spans="18:19" x14ac:dyDescent="0.3">
      <c r="R209" t="s">
        <v>458</v>
      </c>
      <c r="S209" t="s">
        <v>459</v>
      </c>
    </row>
    <row r="210" spans="18:19" x14ac:dyDescent="0.3">
      <c r="R210" t="s">
        <v>460</v>
      </c>
      <c r="S210" t="s">
        <v>461</v>
      </c>
    </row>
    <row r="211" spans="18:19" x14ac:dyDescent="0.3">
      <c r="R211" t="s">
        <v>462</v>
      </c>
      <c r="S211" t="s">
        <v>463</v>
      </c>
    </row>
    <row r="212" spans="18:19" x14ac:dyDescent="0.3">
      <c r="R212" t="s">
        <v>464</v>
      </c>
      <c r="S212" t="s">
        <v>465</v>
      </c>
    </row>
    <row r="213" spans="18:19" x14ac:dyDescent="0.3">
      <c r="R213" t="s">
        <v>286</v>
      </c>
      <c r="S213" t="s">
        <v>287</v>
      </c>
    </row>
    <row r="214" spans="18:19" x14ac:dyDescent="0.3">
      <c r="R214" t="s">
        <v>348</v>
      </c>
      <c r="S214" t="s">
        <v>349</v>
      </c>
    </row>
    <row r="215" spans="18:19" x14ac:dyDescent="0.3">
      <c r="R215" t="s">
        <v>466</v>
      </c>
      <c r="S215" t="s">
        <v>467</v>
      </c>
    </row>
    <row r="216" spans="18:19" x14ac:dyDescent="0.3">
      <c r="R216" t="s">
        <v>468</v>
      </c>
      <c r="S216" t="s">
        <v>469</v>
      </c>
    </row>
    <row r="217" spans="18:19" x14ac:dyDescent="0.3">
      <c r="R217" t="s">
        <v>470</v>
      </c>
      <c r="S217" t="s">
        <v>471</v>
      </c>
    </row>
    <row r="218" spans="18:19" x14ac:dyDescent="0.3">
      <c r="R218" t="s">
        <v>472</v>
      </c>
      <c r="S218" t="s">
        <v>473</v>
      </c>
    </row>
    <row r="219" spans="18:19" x14ac:dyDescent="0.3">
      <c r="R219" t="s">
        <v>474</v>
      </c>
      <c r="S219" t="s">
        <v>475</v>
      </c>
    </row>
    <row r="220" spans="18:19" x14ac:dyDescent="0.3">
      <c r="R220" t="s">
        <v>476</v>
      </c>
      <c r="S220" t="s">
        <v>477</v>
      </c>
    </row>
    <row r="221" spans="18:19" x14ac:dyDescent="0.3">
      <c r="R221" t="s">
        <v>478</v>
      </c>
      <c r="S221" t="s">
        <v>479</v>
      </c>
    </row>
    <row r="222" spans="18:19" x14ac:dyDescent="0.3">
      <c r="R222" t="s">
        <v>480</v>
      </c>
      <c r="S222" t="s">
        <v>481</v>
      </c>
    </row>
    <row r="223" spans="18:19" x14ac:dyDescent="0.3">
      <c r="R223" t="s">
        <v>482</v>
      </c>
      <c r="S223" t="s">
        <v>483</v>
      </c>
    </row>
    <row r="224" spans="18:19" x14ac:dyDescent="0.3">
      <c r="R224" t="s">
        <v>484</v>
      </c>
      <c r="S224" t="s">
        <v>485</v>
      </c>
    </row>
    <row r="225" spans="18:19" x14ac:dyDescent="0.3">
      <c r="R225" t="s">
        <v>486</v>
      </c>
      <c r="S225" t="s">
        <v>487</v>
      </c>
    </row>
    <row r="226" spans="18:19" x14ac:dyDescent="0.3">
      <c r="R226" t="s">
        <v>488</v>
      </c>
      <c r="S226" t="s">
        <v>489</v>
      </c>
    </row>
    <row r="227" spans="18:19" x14ac:dyDescent="0.3">
      <c r="R227" t="s">
        <v>387</v>
      </c>
      <c r="S227" t="s">
        <v>490</v>
      </c>
    </row>
    <row r="228" spans="18:19" x14ac:dyDescent="0.3">
      <c r="R228" t="s">
        <v>491</v>
      </c>
      <c r="S228" t="s">
        <v>492</v>
      </c>
    </row>
    <row r="229" spans="18:19" x14ac:dyDescent="0.3">
      <c r="R229" t="s">
        <v>493</v>
      </c>
      <c r="S229" t="s">
        <v>494</v>
      </c>
    </row>
    <row r="230" spans="18:19" x14ac:dyDescent="0.3">
      <c r="R230" t="s">
        <v>495</v>
      </c>
      <c r="S230" t="s">
        <v>496</v>
      </c>
    </row>
    <row r="231" spans="18:19" x14ac:dyDescent="0.3">
      <c r="R231" t="s">
        <v>497</v>
      </c>
      <c r="S231" t="s">
        <v>498</v>
      </c>
    </row>
    <row r="232" spans="18:19" x14ac:dyDescent="0.3">
      <c r="R232" t="s">
        <v>146</v>
      </c>
      <c r="S232" t="s">
        <v>147</v>
      </c>
    </row>
    <row r="233" spans="18:19" x14ac:dyDescent="0.3">
      <c r="R233" t="s">
        <v>158</v>
      </c>
      <c r="S233" t="s">
        <v>159</v>
      </c>
    </row>
    <row r="234" spans="18:19" x14ac:dyDescent="0.3">
      <c r="R234" t="s">
        <v>499</v>
      </c>
      <c r="S234" t="s">
        <v>500</v>
      </c>
    </row>
    <row r="235" spans="18:19" x14ac:dyDescent="0.3">
      <c r="R235" t="s">
        <v>501</v>
      </c>
      <c r="S235" t="s">
        <v>502</v>
      </c>
    </row>
    <row r="236" spans="18:19" x14ac:dyDescent="0.3">
      <c r="R236" t="s">
        <v>503</v>
      </c>
      <c r="S236" t="s">
        <v>504</v>
      </c>
    </row>
    <row r="237" spans="18:19" x14ac:dyDescent="0.3">
      <c r="R237" t="s">
        <v>505</v>
      </c>
      <c r="S237" t="s">
        <v>506</v>
      </c>
    </row>
    <row r="238" spans="18:19" x14ac:dyDescent="0.3">
      <c r="R238" t="s">
        <v>507</v>
      </c>
      <c r="S238" t="s">
        <v>508</v>
      </c>
    </row>
    <row r="239" spans="18:19" x14ac:dyDescent="0.3">
      <c r="R239" t="s">
        <v>509</v>
      </c>
      <c r="S239" t="s">
        <v>510</v>
      </c>
    </row>
    <row r="240" spans="18:19" x14ac:dyDescent="0.3">
      <c r="R240" t="s">
        <v>511</v>
      </c>
      <c r="S240" t="s">
        <v>512</v>
      </c>
    </row>
    <row r="241" spans="18:19" x14ac:dyDescent="0.3">
      <c r="R241" t="s">
        <v>513</v>
      </c>
      <c r="S241" t="s">
        <v>514</v>
      </c>
    </row>
    <row r="242" spans="18:19" x14ac:dyDescent="0.3">
      <c r="R242" t="s">
        <v>515</v>
      </c>
      <c r="S242" t="s">
        <v>516</v>
      </c>
    </row>
    <row r="243" spans="18:19" x14ac:dyDescent="0.3">
      <c r="R243" t="s">
        <v>517</v>
      </c>
      <c r="S243" t="s">
        <v>518</v>
      </c>
    </row>
    <row r="244" spans="18:19" x14ac:dyDescent="0.3">
      <c r="R244" t="s">
        <v>519</v>
      </c>
      <c r="S244" t="s">
        <v>520</v>
      </c>
    </row>
    <row r="245" spans="18:19" x14ac:dyDescent="0.3">
      <c r="R245" t="s">
        <v>521</v>
      </c>
      <c r="S245" t="s">
        <v>522</v>
      </c>
    </row>
    <row r="246" spans="18:19" x14ac:dyDescent="0.3">
      <c r="R246" t="s">
        <v>523</v>
      </c>
      <c r="S246" t="s">
        <v>524</v>
      </c>
    </row>
    <row r="247" spans="18:19" x14ac:dyDescent="0.3">
      <c r="R247" t="s">
        <v>525</v>
      </c>
      <c r="S247" t="s">
        <v>526</v>
      </c>
    </row>
    <row r="248" spans="18:19" x14ac:dyDescent="0.3">
      <c r="R248" t="s">
        <v>390</v>
      </c>
      <c r="S248" t="s">
        <v>527</v>
      </c>
    </row>
    <row r="249" spans="18:19" x14ac:dyDescent="0.3">
      <c r="R249" t="s">
        <v>528</v>
      </c>
      <c r="S249" t="s">
        <v>529</v>
      </c>
    </row>
    <row r="250" spans="18:19" x14ac:dyDescent="0.3">
      <c r="R250" t="s">
        <v>530</v>
      </c>
      <c r="S250" t="s">
        <v>531</v>
      </c>
    </row>
    <row r="251" spans="18:19" x14ac:dyDescent="0.3">
      <c r="R251" t="s">
        <v>532</v>
      </c>
      <c r="S251" t="s">
        <v>533</v>
      </c>
    </row>
    <row r="252" spans="18:19" x14ac:dyDescent="0.3">
      <c r="R252" t="s">
        <v>534</v>
      </c>
      <c r="S252" t="s">
        <v>535</v>
      </c>
    </row>
    <row r="253" spans="18:19" x14ac:dyDescent="0.3">
      <c r="R253" t="s">
        <v>536</v>
      </c>
      <c r="S253" t="s">
        <v>537</v>
      </c>
    </row>
    <row r="254" spans="18:19" x14ac:dyDescent="0.3">
      <c r="R254" t="s">
        <v>538</v>
      </c>
      <c r="S254" t="s">
        <v>539</v>
      </c>
    </row>
    <row r="255" spans="18:19" x14ac:dyDescent="0.3">
      <c r="R255" t="s">
        <v>540</v>
      </c>
      <c r="S255" t="s">
        <v>541</v>
      </c>
    </row>
    <row r="256" spans="18:19" x14ac:dyDescent="0.3">
      <c r="R256" t="s">
        <v>356</v>
      </c>
      <c r="S256" t="s">
        <v>357</v>
      </c>
    </row>
    <row r="257" spans="18:19" x14ac:dyDescent="0.3">
      <c r="R257" t="s">
        <v>542</v>
      </c>
      <c r="S257" t="s">
        <v>543</v>
      </c>
    </row>
    <row r="258" spans="18:19" x14ac:dyDescent="0.3">
      <c r="R258" t="s">
        <v>544</v>
      </c>
      <c r="S258" t="s">
        <v>545</v>
      </c>
    </row>
    <row r="259" spans="18:19" x14ac:dyDescent="0.3">
      <c r="R259" t="s">
        <v>546</v>
      </c>
      <c r="S259" t="s">
        <v>547</v>
      </c>
    </row>
    <row r="260" spans="18:19" x14ac:dyDescent="0.3">
      <c r="R260" t="s">
        <v>548</v>
      </c>
      <c r="S260" t="s">
        <v>549</v>
      </c>
    </row>
    <row r="261" spans="18:19" x14ac:dyDescent="0.3">
      <c r="R261" t="s">
        <v>550</v>
      </c>
      <c r="S261" t="s">
        <v>551</v>
      </c>
    </row>
    <row r="262" spans="18:19" x14ac:dyDescent="0.3">
      <c r="R262" t="s">
        <v>552</v>
      </c>
      <c r="S262" t="s">
        <v>553</v>
      </c>
    </row>
    <row r="263" spans="18:19" x14ac:dyDescent="0.3">
      <c r="R263" t="s">
        <v>394</v>
      </c>
      <c r="S263" t="s">
        <v>554</v>
      </c>
    </row>
    <row r="264" spans="18:19" x14ac:dyDescent="0.3">
      <c r="R264" t="s">
        <v>555</v>
      </c>
      <c r="S264" t="s">
        <v>556</v>
      </c>
    </row>
    <row r="265" spans="18:19" x14ac:dyDescent="0.3">
      <c r="R265" t="s">
        <v>557</v>
      </c>
      <c r="S265" t="s">
        <v>558</v>
      </c>
    </row>
    <row r="266" spans="18:19" x14ac:dyDescent="0.3">
      <c r="R266" t="s">
        <v>559</v>
      </c>
      <c r="S266" t="s">
        <v>560</v>
      </c>
    </row>
    <row r="267" spans="18:19" x14ac:dyDescent="0.3">
      <c r="R267" t="s">
        <v>561</v>
      </c>
      <c r="S267" t="s">
        <v>562</v>
      </c>
    </row>
    <row r="268" spans="18:19" x14ac:dyDescent="0.3">
      <c r="R268" t="s">
        <v>563</v>
      </c>
      <c r="S268" t="s">
        <v>564</v>
      </c>
    </row>
    <row r="269" spans="18:19" x14ac:dyDescent="0.3">
      <c r="R269" t="s">
        <v>565</v>
      </c>
      <c r="S269" t="s">
        <v>566</v>
      </c>
    </row>
    <row r="270" spans="18:19" x14ac:dyDescent="0.3">
      <c r="R270" t="s">
        <v>567</v>
      </c>
      <c r="S270" t="s">
        <v>568</v>
      </c>
    </row>
    <row r="271" spans="18:19" x14ac:dyDescent="0.3">
      <c r="R271" t="s">
        <v>569</v>
      </c>
      <c r="S271" t="s">
        <v>570</v>
      </c>
    </row>
    <row r="272" spans="18:19" x14ac:dyDescent="0.3">
      <c r="R272" t="s">
        <v>571</v>
      </c>
      <c r="S272" t="s">
        <v>572</v>
      </c>
    </row>
    <row r="273" spans="18:19" x14ac:dyDescent="0.3">
      <c r="R273" t="s">
        <v>573</v>
      </c>
      <c r="S273" t="s">
        <v>574</v>
      </c>
    </row>
    <row r="274" spans="18:19" x14ac:dyDescent="0.3">
      <c r="R274" t="s">
        <v>575</v>
      </c>
      <c r="S274" t="s">
        <v>576</v>
      </c>
    </row>
    <row r="275" spans="18:19" x14ac:dyDescent="0.3">
      <c r="R275" t="s">
        <v>577</v>
      </c>
      <c r="S275" t="s">
        <v>578</v>
      </c>
    </row>
    <row r="276" spans="18:19" x14ac:dyDescent="0.3">
      <c r="R276" t="s">
        <v>579</v>
      </c>
      <c r="S276" t="s">
        <v>580</v>
      </c>
    </row>
    <row r="277" spans="18:19" x14ac:dyDescent="0.3">
      <c r="R277" t="s">
        <v>581</v>
      </c>
      <c r="S277" t="s">
        <v>582</v>
      </c>
    </row>
    <row r="278" spans="18:19" x14ac:dyDescent="0.3">
      <c r="R278" t="s">
        <v>583</v>
      </c>
      <c r="S278" t="s">
        <v>584</v>
      </c>
    </row>
    <row r="279" spans="18:19" x14ac:dyDescent="0.3">
      <c r="R279" t="s">
        <v>585</v>
      </c>
      <c r="S279" t="s">
        <v>586</v>
      </c>
    </row>
    <row r="280" spans="18:19" x14ac:dyDescent="0.3">
      <c r="R280" t="s">
        <v>587</v>
      </c>
      <c r="S280" t="s">
        <v>588</v>
      </c>
    </row>
    <row r="281" spans="18:19" x14ac:dyDescent="0.3">
      <c r="R281" t="s">
        <v>589</v>
      </c>
      <c r="S281" t="s">
        <v>590</v>
      </c>
    </row>
    <row r="282" spans="18:19" x14ac:dyDescent="0.3">
      <c r="R282" t="s">
        <v>591</v>
      </c>
      <c r="S282" t="s">
        <v>592</v>
      </c>
    </row>
    <row r="283" spans="18:19" x14ac:dyDescent="0.3">
      <c r="R283" t="s">
        <v>593</v>
      </c>
      <c r="S283" t="s">
        <v>594</v>
      </c>
    </row>
    <row r="284" spans="18:19" x14ac:dyDescent="0.3">
      <c r="R284" t="s">
        <v>429</v>
      </c>
      <c r="S284" t="s">
        <v>595</v>
      </c>
    </row>
    <row r="285" spans="18:19" x14ac:dyDescent="0.3">
      <c r="R285" t="s">
        <v>596</v>
      </c>
      <c r="S285" t="s">
        <v>597</v>
      </c>
    </row>
    <row r="286" spans="18:19" x14ac:dyDescent="0.3">
      <c r="R286" t="s">
        <v>598</v>
      </c>
      <c r="S286" t="s">
        <v>599</v>
      </c>
    </row>
    <row r="287" spans="18:19" x14ac:dyDescent="0.3">
      <c r="R287" t="s">
        <v>600</v>
      </c>
      <c r="S287" t="s">
        <v>601</v>
      </c>
    </row>
    <row r="288" spans="18:19" x14ac:dyDescent="0.3">
      <c r="R288" t="s">
        <v>602</v>
      </c>
      <c r="S288" t="s">
        <v>603</v>
      </c>
    </row>
    <row r="289" spans="18:19" x14ac:dyDescent="0.3">
      <c r="R289" t="s">
        <v>604</v>
      </c>
      <c r="S289" t="s">
        <v>605</v>
      </c>
    </row>
    <row r="290" spans="18:19" x14ac:dyDescent="0.3">
      <c r="R290" t="s">
        <v>298</v>
      </c>
      <c r="S290" t="s">
        <v>299</v>
      </c>
    </row>
    <row r="291" spans="18:19" x14ac:dyDescent="0.3">
      <c r="R291" t="s">
        <v>606</v>
      </c>
      <c r="S291" t="s">
        <v>607</v>
      </c>
    </row>
    <row r="292" spans="18:19" x14ac:dyDescent="0.3">
      <c r="R292" t="s">
        <v>300</v>
      </c>
      <c r="S292" t="s">
        <v>301</v>
      </c>
    </row>
    <row r="293" spans="18:19" x14ac:dyDescent="0.3">
      <c r="R293" t="s">
        <v>608</v>
      </c>
      <c r="S293" t="s">
        <v>609</v>
      </c>
    </row>
    <row r="294" spans="18:19" x14ac:dyDescent="0.3">
      <c r="R294" t="s">
        <v>610</v>
      </c>
      <c r="S294" t="s">
        <v>611</v>
      </c>
    </row>
    <row r="295" spans="18:19" x14ac:dyDescent="0.3">
      <c r="R295" t="s">
        <v>378</v>
      </c>
      <c r="S295" t="s">
        <v>379</v>
      </c>
    </row>
    <row r="296" spans="18:19" x14ac:dyDescent="0.3">
      <c r="R296" t="s">
        <v>612</v>
      </c>
      <c r="S296" t="s">
        <v>613</v>
      </c>
    </row>
    <row r="297" spans="18:19" x14ac:dyDescent="0.3">
      <c r="R297" t="s">
        <v>614</v>
      </c>
      <c r="S297" t="s">
        <v>615</v>
      </c>
    </row>
    <row r="298" spans="18:19" x14ac:dyDescent="0.3">
      <c r="R298" t="s">
        <v>616</v>
      </c>
      <c r="S298" t="s">
        <v>617</v>
      </c>
    </row>
    <row r="299" spans="18:19" x14ac:dyDescent="0.3">
      <c r="R299" t="s">
        <v>618</v>
      </c>
      <c r="S299" t="s">
        <v>619</v>
      </c>
    </row>
    <row r="300" spans="18:19" x14ac:dyDescent="0.3">
      <c r="R300" t="s">
        <v>620</v>
      </c>
      <c r="S300" t="s">
        <v>621</v>
      </c>
    </row>
    <row r="301" spans="18:19" x14ac:dyDescent="0.3">
      <c r="R301" t="s">
        <v>622</v>
      </c>
      <c r="S301" t="s">
        <v>623</v>
      </c>
    </row>
    <row r="302" spans="18:19" x14ac:dyDescent="0.3">
      <c r="R302" t="s">
        <v>380</v>
      </c>
      <c r="S302" t="s">
        <v>381</v>
      </c>
    </row>
    <row r="303" spans="18:19" x14ac:dyDescent="0.3">
      <c r="R303" t="s">
        <v>624</v>
      </c>
      <c r="S303" t="s">
        <v>625</v>
      </c>
    </row>
    <row r="304" spans="18:19" x14ac:dyDescent="0.3">
      <c r="R304" t="s">
        <v>626</v>
      </c>
      <c r="S304" t="s">
        <v>627</v>
      </c>
    </row>
    <row r="305" spans="18:19" x14ac:dyDescent="0.3">
      <c r="R305" t="s">
        <v>628</v>
      </c>
      <c r="S305" t="s">
        <v>629</v>
      </c>
    </row>
    <row r="306" spans="18:19" x14ac:dyDescent="0.3">
      <c r="R306" t="s">
        <v>630</v>
      </c>
      <c r="S306" t="s">
        <v>631</v>
      </c>
    </row>
    <row r="307" spans="18:19" x14ac:dyDescent="0.3">
      <c r="R307" t="s">
        <v>632</v>
      </c>
      <c r="S307" t="s">
        <v>633</v>
      </c>
    </row>
    <row r="308" spans="18:19" x14ac:dyDescent="0.3">
      <c r="R308" t="s">
        <v>634</v>
      </c>
      <c r="S308" t="s">
        <v>635</v>
      </c>
    </row>
    <row r="309" spans="18:19" x14ac:dyDescent="0.3">
      <c r="R309" t="s">
        <v>636</v>
      </c>
      <c r="S309" t="s">
        <v>637</v>
      </c>
    </row>
    <row r="310" spans="18:19" x14ac:dyDescent="0.3">
      <c r="R310" t="s">
        <v>638</v>
      </c>
      <c r="S310" t="s">
        <v>639</v>
      </c>
    </row>
    <row r="311" spans="18:19" x14ac:dyDescent="0.3">
      <c r="R311" t="s">
        <v>344</v>
      </c>
      <c r="S311" t="s">
        <v>345</v>
      </c>
    </row>
    <row r="312" spans="18:19" x14ac:dyDescent="0.3">
      <c r="R312" t="s">
        <v>640</v>
      </c>
      <c r="S312" t="s">
        <v>641</v>
      </c>
    </row>
    <row r="313" spans="18:19" x14ac:dyDescent="0.3">
      <c r="R313" t="s">
        <v>642</v>
      </c>
      <c r="S313" t="s">
        <v>643</v>
      </c>
    </row>
    <row r="314" spans="18:19" x14ac:dyDescent="0.3">
      <c r="R314" t="s">
        <v>644</v>
      </c>
      <c r="S314" t="s">
        <v>645</v>
      </c>
    </row>
    <row r="315" spans="18:19" x14ac:dyDescent="0.3">
      <c r="R315" t="s">
        <v>646</v>
      </c>
      <c r="S315" t="s">
        <v>647</v>
      </c>
    </row>
    <row r="316" spans="18:19" x14ac:dyDescent="0.3">
      <c r="R316" t="s">
        <v>648</v>
      </c>
      <c r="S316" t="s">
        <v>649</v>
      </c>
    </row>
    <row r="317" spans="18:19" x14ac:dyDescent="0.3">
      <c r="R317" t="s">
        <v>650</v>
      </c>
      <c r="S317" t="s">
        <v>651</v>
      </c>
    </row>
    <row r="318" spans="18:19" x14ac:dyDescent="0.3">
      <c r="R318" t="s">
        <v>652</v>
      </c>
      <c r="S318" t="s">
        <v>653</v>
      </c>
    </row>
    <row r="319" spans="18:19" x14ac:dyDescent="0.3">
      <c r="R319" t="s">
        <v>654</v>
      </c>
      <c r="S319" t="s">
        <v>655</v>
      </c>
    </row>
    <row r="320" spans="18:19" x14ac:dyDescent="0.3">
      <c r="R320" t="s">
        <v>656</v>
      </c>
      <c r="S320" t="s">
        <v>657</v>
      </c>
    </row>
    <row r="321" spans="18:19" x14ac:dyDescent="0.3">
      <c r="R321" t="s">
        <v>658</v>
      </c>
      <c r="S321" t="s">
        <v>659</v>
      </c>
    </row>
    <row r="322" spans="18:19" x14ac:dyDescent="0.3">
      <c r="R322" t="s">
        <v>660</v>
      </c>
      <c r="S322" t="s">
        <v>661</v>
      </c>
    </row>
    <row r="323" spans="18:19" x14ac:dyDescent="0.3">
      <c r="R323" t="s">
        <v>662</v>
      </c>
      <c r="S323" t="s">
        <v>663</v>
      </c>
    </row>
    <row r="324" spans="18:19" x14ac:dyDescent="0.3">
      <c r="R324" t="s">
        <v>664</v>
      </c>
      <c r="S324" t="s">
        <v>665</v>
      </c>
    </row>
    <row r="325" spans="18:19" x14ac:dyDescent="0.3">
      <c r="R325" t="s">
        <v>666</v>
      </c>
      <c r="S325" t="s">
        <v>667</v>
      </c>
    </row>
    <row r="326" spans="18:19" x14ac:dyDescent="0.3">
      <c r="R326" t="s">
        <v>122</v>
      </c>
      <c r="S326" t="s">
        <v>123</v>
      </c>
    </row>
    <row r="327" spans="18:19" x14ac:dyDescent="0.3">
      <c r="R327" t="s">
        <v>668</v>
      </c>
      <c r="S327" t="s">
        <v>669</v>
      </c>
    </row>
    <row r="328" spans="18:19" x14ac:dyDescent="0.3">
      <c r="R328" t="s">
        <v>670</v>
      </c>
      <c r="S328" t="s">
        <v>671</v>
      </c>
    </row>
    <row r="329" spans="18:19" x14ac:dyDescent="0.3">
      <c r="R329" t="s">
        <v>672</v>
      </c>
      <c r="S329" t="s">
        <v>673</v>
      </c>
    </row>
  </sheetData>
  <sortState xmlns:xlrd2="http://schemas.microsoft.com/office/spreadsheetml/2017/richdata2" ref="N7:N794">
    <sortCondition ref="N7:N794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6E905-468E-4A86-9B7A-F3DEC715D8B8}">
  <dimension ref="A1:S329"/>
  <sheetViews>
    <sheetView workbookViewId="0">
      <selection activeCell="B1" sqref="B1"/>
    </sheetView>
  </sheetViews>
  <sheetFormatPr baseColWidth="10" defaultColWidth="8.88671875" defaultRowHeight="14.4" x14ac:dyDescent="0.3"/>
  <cols>
    <col min="2" max="2" width="24.33203125" bestFit="1" customWidth="1"/>
    <col min="7" max="8" width="5" bestFit="1" customWidth="1"/>
    <col min="9" max="9" width="2" bestFit="1" customWidth="1"/>
  </cols>
  <sheetData>
    <row r="1" spans="1:19" x14ac:dyDescent="0.3">
      <c r="A1" t="s">
        <v>20</v>
      </c>
    </row>
    <row r="2" spans="1:19" x14ac:dyDescent="0.3">
      <c r="B2" s="6" t="s">
        <v>11</v>
      </c>
    </row>
    <row r="3" spans="1:19" x14ac:dyDescent="0.3">
      <c r="B3" s="6" t="s">
        <v>9</v>
      </c>
    </row>
    <row r="4" spans="1:19" x14ac:dyDescent="0.3">
      <c r="B4" s="6"/>
    </row>
    <row r="5" spans="1:19" x14ac:dyDescent="0.3">
      <c r="E5" t="s">
        <v>384</v>
      </c>
    </row>
    <row r="6" spans="1:19" x14ac:dyDescent="0.3">
      <c r="B6" s="4" t="s">
        <v>0</v>
      </c>
      <c r="C6" s="1" t="s">
        <v>4</v>
      </c>
      <c r="D6" s="1" t="s">
        <v>3</v>
      </c>
      <c r="E6" s="3" t="s">
        <v>8</v>
      </c>
      <c r="F6" s="2" t="s">
        <v>383</v>
      </c>
      <c r="G6" s="5">
        <v>2020</v>
      </c>
      <c r="H6" s="7">
        <v>2100</v>
      </c>
      <c r="I6" s="7">
        <v>0</v>
      </c>
      <c r="J6" s="4" t="s">
        <v>10</v>
      </c>
      <c r="N6" s="15" t="s">
        <v>674</v>
      </c>
    </row>
    <row r="7" spans="1:19" x14ac:dyDescent="0.3">
      <c r="B7" t="str">
        <f>"LCOE_Wind_"&amp;O7</f>
        <v>LCOE_Wind_Afghanistan</v>
      </c>
      <c r="C7" t="s">
        <v>382</v>
      </c>
      <c r="D7" t="str">
        <f>"*"&amp;N7</f>
        <v>*AFG</v>
      </c>
      <c r="E7" t="s">
        <v>21</v>
      </c>
      <c r="F7">
        <v>1</v>
      </c>
      <c r="G7">
        <v>0</v>
      </c>
      <c r="H7">
        <v>1</v>
      </c>
      <c r="I7">
        <v>5</v>
      </c>
      <c r="N7" t="s">
        <v>24</v>
      </c>
      <c r="O7" t="str">
        <f>VLOOKUP(N7,$R$7:$S$999,2,FALSE)</f>
        <v>Afghanistan</v>
      </c>
      <c r="R7" t="s">
        <v>84</v>
      </c>
      <c r="S7" t="s">
        <v>85</v>
      </c>
    </row>
    <row r="8" spans="1:19" x14ac:dyDescent="0.3">
      <c r="B8" t="str">
        <f t="shared" ref="B8:B71" si="0">"LCOE_Wind_"&amp;O8</f>
        <v>LCOE_Wind_Angola</v>
      </c>
      <c r="C8" t="s">
        <v>382</v>
      </c>
      <c r="D8" t="str">
        <f t="shared" ref="D8:D71" si="1">"*"&amp;N8</f>
        <v>*AGO</v>
      </c>
      <c r="E8" t="s">
        <v>21</v>
      </c>
      <c r="F8">
        <v>1</v>
      </c>
      <c r="G8">
        <v>0</v>
      </c>
      <c r="H8">
        <v>1</v>
      </c>
      <c r="I8">
        <v>5</v>
      </c>
      <c r="N8" t="s">
        <v>26</v>
      </c>
      <c r="O8" t="str">
        <f t="shared" ref="O8:O71" si="2">VLOOKUP(N8,$R$7:$S$999,2,FALSE)</f>
        <v>Angola</v>
      </c>
      <c r="R8" t="s">
        <v>174</v>
      </c>
      <c r="S8" t="s">
        <v>175</v>
      </c>
    </row>
    <row r="9" spans="1:19" x14ac:dyDescent="0.3">
      <c r="B9" t="str">
        <f t="shared" si="0"/>
        <v>LCOE_Wind_Albania</v>
      </c>
      <c r="C9" t="s">
        <v>382</v>
      </c>
      <c r="D9" t="str">
        <f t="shared" si="1"/>
        <v>*ALB</v>
      </c>
      <c r="E9" t="s">
        <v>21</v>
      </c>
      <c r="F9">
        <v>1</v>
      </c>
      <c r="G9">
        <v>0</v>
      </c>
      <c r="H9">
        <v>1</v>
      </c>
      <c r="I9">
        <v>5</v>
      </c>
      <c r="N9" t="s">
        <v>28</v>
      </c>
      <c r="O9" t="str">
        <f t="shared" si="2"/>
        <v>Albania</v>
      </c>
      <c r="R9" t="s">
        <v>362</v>
      </c>
      <c r="S9" t="s">
        <v>363</v>
      </c>
    </row>
    <row r="10" spans="1:19" x14ac:dyDescent="0.3">
      <c r="B10" t="str">
        <f t="shared" si="0"/>
        <v>LCOE_Wind_United Arab Emirates</v>
      </c>
      <c r="C10" t="s">
        <v>382</v>
      </c>
      <c r="D10" t="str">
        <f t="shared" si="1"/>
        <v>*ARE</v>
      </c>
      <c r="E10" t="s">
        <v>21</v>
      </c>
      <c r="F10">
        <v>1</v>
      </c>
      <c r="G10">
        <v>0</v>
      </c>
      <c r="H10">
        <v>1</v>
      </c>
      <c r="I10">
        <v>5</v>
      </c>
      <c r="N10" t="s">
        <v>30</v>
      </c>
      <c r="O10" t="str">
        <f t="shared" si="2"/>
        <v>United Arab Emirates</v>
      </c>
      <c r="R10" t="s">
        <v>172</v>
      </c>
      <c r="S10" t="s">
        <v>173</v>
      </c>
    </row>
    <row r="11" spans="1:19" x14ac:dyDescent="0.3">
      <c r="B11" t="str">
        <f t="shared" si="0"/>
        <v>LCOE_Wind_Argentina</v>
      </c>
      <c r="C11" t="s">
        <v>382</v>
      </c>
      <c r="D11" t="str">
        <f t="shared" si="1"/>
        <v>*ARG</v>
      </c>
      <c r="E11" t="s">
        <v>21</v>
      </c>
      <c r="F11">
        <v>1</v>
      </c>
      <c r="G11">
        <v>0</v>
      </c>
      <c r="H11">
        <v>1</v>
      </c>
      <c r="I11">
        <v>5</v>
      </c>
      <c r="N11" t="s">
        <v>32</v>
      </c>
      <c r="O11" t="str">
        <f t="shared" si="2"/>
        <v>Argentina</v>
      </c>
      <c r="R11" t="s">
        <v>66</v>
      </c>
      <c r="S11" t="s">
        <v>67</v>
      </c>
    </row>
    <row r="12" spans="1:19" x14ac:dyDescent="0.3">
      <c r="B12" t="str">
        <f t="shared" si="0"/>
        <v>LCOE_Wind_Armenia</v>
      </c>
      <c r="C12" t="s">
        <v>382</v>
      </c>
      <c r="D12" t="str">
        <f t="shared" si="1"/>
        <v>*ARM</v>
      </c>
      <c r="E12" t="s">
        <v>21</v>
      </c>
      <c r="F12">
        <v>1</v>
      </c>
      <c r="G12">
        <v>0</v>
      </c>
      <c r="H12">
        <v>1</v>
      </c>
      <c r="I12">
        <v>5</v>
      </c>
      <c r="N12" t="s">
        <v>34</v>
      </c>
      <c r="O12" t="str">
        <f t="shared" si="2"/>
        <v>Armenia</v>
      </c>
      <c r="R12" t="s">
        <v>302</v>
      </c>
      <c r="S12" t="s">
        <v>303</v>
      </c>
    </row>
    <row r="13" spans="1:19" x14ac:dyDescent="0.3">
      <c r="B13" t="str">
        <f t="shared" si="0"/>
        <v>LCOE_Wind_Australia</v>
      </c>
      <c r="C13" t="s">
        <v>382</v>
      </c>
      <c r="D13" t="str">
        <f t="shared" si="1"/>
        <v>*AUS</v>
      </c>
      <c r="E13" t="s">
        <v>21</v>
      </c>
      <c r="F13">
        <v>1</v>
      </c>
      <c r="G13">
        <v>0</v>
      </c>
      <c r="H13">
        <v>1</v>
      </c>
      <c r="I13">
        <v>5</v>
      </c>
      <c r="N13" t="s">
        <v>36</v>
      </c>
      <c r="O13" t="str">
        <f t="shared" si="2"/>
        <v>Australia</v>
      </c>
      <c r="R13" t="s">
        <v>192</v>
      </c>
      <c r="S13" t="s">
        <v>193</v>
      </c>
    </row>
    <row r="14" spans="1:19" x14ac:dyDescent="0.3">
      <c r="B14" t="str">
        <f t="shared" si="0"/>
        <v>LCOE_Wind_Austria</v>
      </c>
      <c r="C14" t="s">
        <v>382</v>
      </c>
      <c r="D14" t="str">
        <f t="shared" si="1"/>
        <v>*AUT</v>
      </c>
      <c r="E14" t="s">
        <v>21</v>
      </c>
      <c r="F14">
        <v>1</v>
      </c>
      <c r="G14">
        <v>0</v>
      </c>
      <c r="H14">
        <v>1</v>
      </c>
      <c r="I14">
        <v>5</v>
      </c>
      <c r="N14" t="s">
        <v>38</v>
      </c>
      <c r="O14" t="str">
        <f t="shared" si="2"/>
        <v>Austria</v>
      </c>
      <c r="R14" t="s">
        <v>114</v>
      </c>
      <c r="S14" t="s">
        <v>115</v>
      </c>
    </row>
    <row r="15" spans="1:19" x14ac:dyDescent="0.3">
      <c r="B15" t="str">
        <f t="shared" si="0"/>
        <v>LCOE_Wind_Azerbaijan</v>
      </c>
      <c r="C15" t="s">
        <v>382</v>
      </c>
      <c r="D15" t="str">
        <f t="shared" si="1"/>
        <v>*AZE</v>
      </c>
      <c r="E15" t="s">
        <v>21</v>
      </c>
      <c r="F15">
        <v>1</v>
      </c>
      <c r="G15">
        <v>0</v>
      </c>
      <c r="H15">
        <v>1</v>
      </c>
      <c r="I15">
        <v>5</v>
      </c>
      <c r="N15" t="s">
        <v>40</v>
      </c>
      <c r="O15" t="str">
        <f t="shared" si="2"/>
        <v>Azerbaijan</v>
      </c>
      <c r="R15" t="s">
        <v>232</v>
      </c>
      <c r="S15" t="s">
        <v>233</v>
      </c>
    </row>
    <row r="16" spans="1:19" x14ac:dyDescent="0.3">
      <c r="B16" t="str">
        <f t="shared" si="0"/>
        <v>LCOE_Wind_Burundi</v>
      </c>
      <c r="C16" t="s">
        <v>382</v>
      </c>
      <c r="D16" t="str">
        <f t="shared" si="1"/>
        <v>*BDI</v>
      </c>
      <c r="E16" t="s">
        <v>21</v>
      </c>
      <c r="F16">
        <v>1</v>
      </c>
      <c r="G16">
        <v>0</v>
      </c>
      <c r="H16">
        <v>1</v>
      </c>
      <c r="I16">
        <v>5</v>
      </c>
      <c r="N16" t="s">
        <v>42</v>
      </c>
      <c r="O16" t="str">
        <f t="shared" si="2"/>
        <v>Burundi</v>
      </c>
      <c r="R16" t="s">
        <v>106</v>
      </c>
      <c r="S16" t="s">
        <v>107</v>
      </c>
    </row>
    <row r="17" spans="2:19" x14ac:dyDescent="0.3">
      <c r="B17" t="str">
        <f t="shared" si="0"/>
        <v>LCOE_Wind_Belgium</v>
      </c>
      <c r="C17" t="s">
        <v>382</v>
      </c>
      <c r="D17" t="str">
        <f t="shared" si="1"/>
        <v>*BEL</v>
      </c>
      <c r="E17" t="s">
        <v>21</v>
      </c>
      <c r="F17">
        <v>1</v>
      </c>
      <c r="G17">
        <v>0</v>
      </c>
      <c r="H17">
        <v>1</v>
      </c>
      <c r="I17">
        <v>5</v>
      </c>
      <c r="N17" t="s">
        <v>44</v>
      </c>
      <c r="O17" t="str">
        <f t="shared" si="2"/>
        <v>Belgium</v>
      </c>
      <c r="R17" t="s">
        <v>138</v>
      </c>
      <c r="S17" t="s">
        <v>139</v>
      </c>
    </row>
    <row r="18" spans="2:19" x14ac:dyDescent="0.3">
      <c r="B18" t="str">
        <f t="shared" si="0"/>
        <v>LCOE_Wind_Benin</v>
      </c>
      <c r="C18" t="s">
        <v>382</v>
      </c>
      <c r="D18" t="str">
        <f t="shared" si="1"/>
        <v>*BEN</v>
      </c>
      <c r="E18" t="s">
        <v>21</v>
      </c>
      <c r="F18">
        <v>1</v>
      </c>
      <c r="G18">
        <v>0</v>
      </c>
      <c r="H18">
        <v>1</v>
      </c>
      <c r="I18">
        <v>5</v>
      </c>
      <c r="N18" t="s">
        <v>46</v>
      </c>
      <c r="O18" t="str">
        <f t="shared" si="2"/>
        <v>Benin</v>
      </c>
      <c r="R18" t="s">
        <v>134</v>
      </c>
      <c r="S18" t="s">
        <v>135</v>
      </c>
    </row>
    <row r="19" spans="2:19" x14ac:dyDescent="0.3">
      <c r="B19" t="str">
        <f t="shared" si="0"/>
        <v>LCOE_Wind_Burkina Faso</v>
      </c>
      <c r="C19" t="s">
        <v>382</v>
      </c>
      <c r="D19" t="str">
        <f t="shared" si="1"/>
        <v>*BFA</v>
      </c>
      <c r="E19" t="s">
        <v>21</v>
      </c>
      <c r="F19">
        <v>1</v>
      </c>
      <c r="G19">
        <v>0</v>
      </c>
      <c r="H19">
        <v>1</v>
      </c>
      <c r="I19">
        <v>5</v>
      </c>
      <c r="N19" t="s">
        <v>48</v>
      </c>
      <c r="O19" t="str">
        <f t="shared" si="2"/>
        <v>Burkina Faso</v>
      </c>
      <c r="R19" t="s">
        <v>202</v>
      </c>
      <c r="S19" t="s">
        <v>203</v>
      </c>
    </row>
    <row r="20" spans="2:19" x14ac:dyDescent="0.3">
      <c r="B20" t="str">
        <f t="shared" si="0"/>
        <v>LCOE_Wind_Bangladesh</v>
      </c>
      <c r="C20" t="s">
        <v>382</v>
      </c>
      <c r="D20" t="str">
        <f t="shared" si="1"/>
        <v>*BGD</v>
      </c>
      <c r="E20" t="s">
        <v>21</v>
      </c>
      <c r="F20">
        <v>1</v>
      </c>
      <c r="G20">
        <v>0</v>
      </c>
      <c r="H20">
        <v>1</v>
      </c>
      <c r="I20">
        <v>5</v>
      </c>
      <c r="N20" t="s">
        <v>50</v>
      </c>
      <c r="O20" t="str">
        <f t="shared" si="2"/>
        <v>Bangladesh</v>
      </c>
      <c r="R20" t="s">
        <v>350</v>
      </c>
      <c r="S20" t="s">
        <v>351</v>
      </c>
    </row>
    <row r="21" spans="2:19" x14ac:dyDescent="0.3">
      <c r="B21" t="str">
        <f t="shared" si="0"/>
        <v>LCOE_Wind_Bulgaria</v>
      </c>
      <c r="C21" t="s">
        <v>382</v>
      </c>
      <c r="D21" t="str">
        <f t="shared" si="1"/>
        <v>*BGR</v>
      </c>
      <c r="E21" t="s">
        <v>21</v>
      </c>
      <c r="F21">
        <v>1</v>
      </c>
      <c r="G21">
        <v>0</v>
      </c>
      <c r="H21">
        <v>1</v>
      </c>
      <c r="I21">
        <v>5</v>
      </c>
      <c r="N21" t="s">
        <v>52</v>
      </c>
      <c r="O21" t="str">
        <f t="shared" si="2"/>
        <v>Bulgaria</v>
      </c>
      <c r="R21" t="s">
        <v>26</v>
      </c>
      <c r="S21" t="s">
        <v>27</v>
      </c>
    </row>
    <row r="22" spans="2:19" x14ac:dyDescent="0.3">
      <c r="B22" t="str">
        <f t="shared" si="0"/>
        <v>LCOE_Wind_Bahrain</v>
      </c>
      <c r="C22" t="s">
        <v>382</v>
      </c>
      <c r="D22" t="str">
        <f t="shared" si="1"/>
        <v>*BHR</v>
      </c>
      <c r="E22" t="s">
        <v>21</v>
      </c>
      <c r="F22">
        <v>1</v>
      </c>
      <c r="G22">
        <v>0</v>
      </c>
      <c r="H22">
        <v>1</v>
      </c>
      <c r="I22">
        <v>5</v>
      </c>
      <c r="N22" t="s">
        <v>54</v>
      </c>
      <c r="O22" t="str">
        <f t="shared" si="2"/>
        <v>Bahrain</v>
      </c>
      <c r="R22" t="s">
        <v>272</v>
      </c>
      <c r="S22" t="s">
        <v>273</v>
      </c>
    </row>
    <row r="23" spans="2:19" x14ac:dyDescent="0.3">
      <c r="B23" t="str">
        <f t="shared" si="0"/>
        <v>LCOE_Wind_The Bahamas</v>
      </c>
      <c r="C23" t="s">
        <v>382</v>
      </c>
      <c r="D23" t="str">
        <f t="shared" si="1"/>
        <v>*BHS</v>
      </c>
      <c r="E23" t="s">
        <v>21</v>
      </c>
      <c r="F23">
        <v>1</v>
      </c>
      <c r="G23">
        <v>0</v>
      </c>
      <c r="H23">
        <v>1</v>
      </c>
      <c r="I23">
        <v>5</v>
      </c>
      <c r="N23" t="s">
        <v>56</v>
      </c>
      <c r="O23" t="str">
        <f t="shared" si="2"/>
        <v>The Bahamas</v>
      </c>
      <c r="R23" t="s">
        <v>186</v>
      </c>
      <c r="S23" t="s">
        <v>187</v>
      </c>
    </row>
    <row r="24" spans="2:19" x14ac:dyDescent="0.3">
      <c r="B24" t="str">
        <f t="shared" si="0"/>
        <v>LCOE_Wind_Bosnia and Herzegovina</v>
      </c>
      <c r="C24" t="s">
        <v>382</v>
      </c>
      <c r="D24" t="str">
        <f t="shared" si="1"/>
        <v>*BIH</v>
      </c>
      <c r="E24" t="s">
        <v>21</v>
      </c>
      <c r="F24">
        <v>1</v>
      </c>
      <c r="G24">
        <v>0</v>
      </c>
      <c r="H24">
        <v>1</v>
      </c>
      <c r="I24">
        <v>5</v>
      </c>
      <c r="N24" t="s">
        <v>58</v>
      </c>
      <c r="O24" t="str">
        <f t="shared" si="2"/>
        <v>Bosnia and Herzegovina</v>
      </c>
      <c r="R24" t="s">
        <v>338</v>
      </c>
      <c r="S24" t="s">
        <v>339</v>
      </c>
    </row>
    <row r="25" spans="2:19" x14ac:dyDescent="0.3">
      <c r="B25" t="str">
        <f t="shared" si="0"/>
        <v>LCOE_Wind_Belarus</v>
      </c>
      <c r="C25" t="s">
        <v>382</v>
      </c>
      <c r="D25" t="str">
        <f t="shared" si="1"/>
        <v>*BLR</v>
      </c>
      <c r="E25" t="s">
        <v>21</v>
      </c>
      <c r="F25">
        <v>1</v>
      </c>
      <c r="G25">
        <v>0</v>
      </c>
      <c r="H25">
        <v>1</v>
      </c>
      <c r="I25">
        <v>5</v>
      </c>
      <c r="N25" t="s">
        <v>60</v>
      </c>
      <c r="O25" t="str">
        <f t="shared" si="2"/>
        <v>Belarus</v>
      </c>
      <c r="R25" t="s">
        <v>78</v>
      </c>
      <c r="S25" t="s">
        <v>79</v>
      </c>
    </row>
    <row r="26" spans="2:19" x14ac:dyDescent="0.3">
      <c r="B26" t="str">
        <f t="shared" si="0"/>
        <v>LCOE_Wind_Belize</v>
      </c>
      <c r="C26" t="s">
        <v>382</v>
      </c>
      <c r="D26" t="str">
        <f t="shared" si="1"/>
        <v>*BLZ</v>
      </c>
      <c r="E26" t="s">
        <v>21</v>
      </c>
      <c r="F26">
        <v>1</v>
      </c>
      <c r="G26">
        <v>0</v>
      </c>
      <c r="H26">
        <v>1</v>
      </c>
      <c r="I26">
        <v>5</v>
      </c>
      <c r="N26" t="s">
        <v>62</v>
      </c>
      <c r="O26" t="str">
        <f t="shared" si="2"/>
        <v>Belize</v>
      </c>
      <c r="R26" t="s">
        <v>50</v>
      </c>
      <c r="S26" t="s">
        <v>51</v>
      </c>
    </row>
    <row r="27" spans="2:19" x14ac:dyDescent="0.3">
      <c r="B27" t="str">
        <f t="shared" si="0"/>
        <v>LCOE_Wind_Bolivia</v>
      </c>
      <c r="C27" t="s">
        <v>382</v>
      </c>
      <c r="D27" t="str">
        <f t="shared" si="1"/>
        <v>*BOL</v>
      </c>
      <c r="E27" t="s">
        <v>21</v>
      </c>
      <c r="F27">
        <v>1</v>
      </c>
      <c r="G27">
        <v>0</v>
      </c>
      <c r="H27">
        <v>1</v>
      </c>
      <c r="I27">
        <v>5</v>
      </c>
      <c r="N27" t="s">
        <v>64</v>
      </c>
      <c r="O27" t="str">
        <f t="shared" si="2"/>
        <v>Bolivia</v>
      </c>
      <c r="R27" t="s">
        <v>36</v>
      </c>
      <c r="S27" t="s">
        <v>37</v>
      </c>
    </row>
    <row r="28" spans="2:19" x14ac:dyDescent="0.3">
      <c r="B28" t="str">
        <f t="shared" si="0"/>
        <v>LCOE_Wind_Brazil</v>
      </c>
      <c r="C28" t="s">
        <v>382</v>
      </c>
      <c r="D28" t="str">
        <f t="shared" si="1"/>
        <v>*BRA</v>
      </c>
      <c r="E28" t="s">
        <v>21</v>
      </c>
      <c r="F28">
        <v>1</v>
      </c>
      <c r="G28">
        <v>0</v>
      </c>
      <c r="H28">
        <v>1</v>
      </c>
      <c r="I28">
        <v>5</v>
      </c>
      <c r="N28" t="s">
        <v>66</v>
      </c>
      <c r="O28" t="str">
        <f t="shared" si="2"/>
        <v>Brazil</v>
      </c>
      <c r="R28" t="s">
        <v>178</v>
      </c>
      <c r="S28" t="s">
        <v>179</v>
      </c>
    </row>
    <row r="29" spans="2:19" x14ac:dyDescent="0.3">
      <c r="B29" t="str">
        <f t="shared" si="0"/>
        <v>LCOE_Wind_Barbados</v>
      </c>
      <c r="C29" t="s">
        <v>382</v>
      </c>
      <c r="D29" t="str">
        <f t="shared" si="1"/>
        <v>*BRB</v>
      </c>
      <c r="E29" t="s">
        <v>21</v>
      </c>
      <c r="F29">
        <v>1</v>
      </c>
      <c r="G29">
        <v>0</v>
      </c>
      <c r="H29">
        <v>1</v>
      </c>
      <c r="I29">
        <v>5</v>
      </c>
      <c r="N29" t="s">
        <v>68</v>
      </c>
      <c r="O29" t="str">
        <f t="shared" si="2"/>
        <v>Barbados</v>
      </c>
      <c r="R29" t="s">
        <v>278</v>
      </c>
      <c r="S29" t="s">
        <v>279</v>
      </c>
    </row>
    <row r="30" spans="2:19" x14ac:dyDescent="0.3">
      <c r="B30" t="str">
        <f t="shared" si="0"/>
        <v>LCOE_Wind_Brunei</v>
      </c>
      <c r="C30" t="s">
        <v>382</v>
      </c>
      <c r="D30" t="str">
        <f t="shared" si="1"/>
        <v>*BRN</v>
      </c>
      <c r="E30" t="s">
        <v>21</v>
      </c>
      <c r="F30">
        <v>1</v>
      </c>
      <c r="G30">
        <v>0</v>
      </c>
      <c r="H30">
        <v>1</v>
      </c>
      <c r="I30">
        <v>5</v>
      </c>
      <c r="N30" t="s">
        <v>70</v>
      </c>
      <c r="O30" t="str">
        <f t="shared" si="2"/>
        <v>Brunei</v>
      </c>
      <c r="R30" t="s">
        <v>124</v>
      </c>
      <c r="S30" t="s">
        <v>125</v>
      </c>
    </row>
    <row r="31" spans="2:19" x14ac:dyDescent="0.3">
      <c r="B31" t="str">
        <f t="shared" si="0"/>
        <v>LCOE_Wind_Bhutan</v>
      </c>
      <c r="C31" t="s">
        <v>382</v>
      </c>
      <c r="D31" t="str">
        <f t="shared" si="1"/>
        <v>*BTN</v>
      </c>
      <c r="E31" t="s">
        <v>21</v>
      </c>
      <c r="F31">
        <v>1</v>
      </c>
      <c r="G31">
        <v>0</v>
      </c>
      <c r="H31">
        <v>1</v>
      </c>
      <c r="I31">
        <v>5</v>
      </c>
      <c r="N31" t="s">
        <v>72</v>
      </c>
      <c r="O31" t="str">
        <f t="shared" si="2"/>
        <v>Bhutan</v>
      </c>
      <c r="R31" t="s">
        <v>306</v>
      </c>
      <c r="S31" t="s">
        <v>307</v>
      </c>
    </row>
    <row r="32" spans="2:19" x14ac:dyDescent="0.3">
      <c r="B32" t="str">
        <f t="shared" si="0"/>
        <v>LCOE_Wind_Botswana</v>
      </c>
      <c r="C32" t="s">
        <v>382</v>
      </c>
      <c r="D32" t="str">
        <f t="shared" si="1"/>
        <v>*BWA</v>
      </c>
      <c r="E32" t="s">
        <v>21</v>
      </c>
      <c r="F32">
        <v>1</v>
      </c>
      <c r="G32">
        <v>0</v>
      </c>
      <c r="H32">
        <v>1</v>
      </c>
      <c r="I32">
        <v>5</v>
      </c>
      <c r="N32" t="s">
        <v>74</v>
      </c>
      <c r="O32" t="str">
        <f t="shared" si="2"/>
        <v>Botswana</v>
      </c>
      <c r="R32" t="s">
        <v>32</v>
      </c>
      <c r="S32" t="s">
        <v>33</v>
      </c>
    </row>
    <row r="33" spans="2:19" x14ac:dyDescent="0.3">
      <c r="B33" t="str">
        <f t="shared" si="0"/>
        <v>LCOE_Wind_Central African Republic</v>
      </c>
      <c r="C33" t="s">
        <v>382</v>
      </c>
      <c r="D33" t="str">
        <f t="shared" si="1"/>
        <v>*CAF</v>
      </c>
      <c r="E33" t="s">
        <v>21</v>
      </c>
      <c r="F33">
        <v>1</v>
      </c>
      <c r="G33">
        <v>0</v>
      </c>
      <c r="H33">
        <v>1</v>
      </c>
      <c r="I33">
        <v>5</v>
      </c>
      <c r="N33" t="s">
        <v>76</v>
      </c>
      <c r="O33" t="str">
        <f t="shared" si="2"/>
        <v>Central African Republic</v>
      </c>
      <c r="R33" t="s">
        <v>368</v>
      </c>
      <c r="S33" t="s">
        <v>369</v>
      </c>
    </row>
    <row r="34" spans="2:19" x14ac:dyDescent="0.3">
      <c r="B34" t="str">
        <f t="shared" si="0"/>
        <v>LCOE_Wind_Canada</v>
      </c>
      <c r="C34" t="s">
        <v>382</v>
      </c>
      <c r="D34" t="str">
        <f t="shared" si="1"/>
        <v>*CAN</v>
      </c>
      <c r="E34" t="s">
        <v>21</v>
      </c>
      <c r="F34">
        <v>1</v>
      </c>
      <c r="G34">
        <v>0</v>
      </c>
      <c r="H34">
        <v>1</v>
      </c>
      <c r="I34">
        <v>5</v>
      </c>
      <c r="N34" t="s">
        <v>78</v>
      </c>
      <c r="O34" t="str">
        <f t="shared" si="2"/>
        <v>Canada</v>
      </c>
      <c r="R34" t="s">
        <v>46</v>
      </c>
      <c r="S34" t="s">
        <v>47</v>
      </c>
    </row>
    <row r="35" spans="2:19" x14ac:dyDescent="0.3">
      <c r="B35" t="str">
        <f t="shared" si="0"/>
        <v>LCOE_Wind_Switzerland</v>
      </c>
      <c r="C35" t="s">
        <v>382</v>
      </c>
      <c r="D35" t="str">
        <f t="shared" si="1"/>
        <v>*CHE</v>
      </c>
      <c r="E35" t="s">
        <v>21</v>
      </c>
      <c r="F35">
        <v>1</v>
      </c>
      <c r="G35">
        <v>0</v>
      </c>
      <c r="H35">
        <v>1</v>
      </c>
      <c r="I35">
        <v>5</v>
      </c>
      <c r="N35" t="s">
        <v>80</v>
      </c>
      <c r="O35" t="str">
        <f t="shared" si="2"/>
        <v>Switzerland</v>
      </c>
      <c r="R35" t="s">
        <v>252</v>
      </c>
      <c r="S35" t="s">
        <v>253</v>
      </c>
    </row>
    <row r="36" spans="2:19" x14ac:dyDescent="0.3">
      <c r="B36" t="str">
        <f t="shared" si="0"/>
        <v>LCOE_Wind_Chile</v>
      </c>
      <c r="C36" t="s">
        <v>382</v>
      </c>
      <c r="D36" t="str">
        <f t="shared" si="1"/>
        <v>*CHL</v>
      </c>
      <c r="E36" t="s">
        <v>21</v>
      </c>
      <c r="F36">
        <v>1</v>
      </c>
      <c r="G36">
        <v>0</v>
      </c>
      <c r="H36">
        <v>1</v>
      </c>
      <c r="I36">
        <v>5</v>
      </c>
      <c r="N36" t="s">
        <v>82</v>
      </c>
      <c r="O36" t="str">
        <f t="shared" si="2"/>
        <v>Chile</v>
      </c>
      <c r="R36" t="s">
        <v>92</v>
      </c>
      <c r="S36" t="s">
        <v>93</v>
      </c>
    </row>
    <row r="37" spans="2:19" x14ac:dyDescent="0.3">
      <c r="B37" t="str">
        <f t="shared" si="0"/>
        <v>LCOE_Wind_China</v>
      </c>
      <c r="C37" t="s">
        <v>382</v>
      </c>
      <c r="D37" t="str">
        <f t="shared" si="1"/>
        <v>*CHN</v>
      </c>
      <c r="E37" t="s">
        <v>21</v>
      </c>
      <c r="F37">
        <v>1</v>
      </c>
      <c r="G37">
        <v>0</v>
      </c>
      <c r="H37">
        <v>1</v>
      </c>
      <c r="I37">
        <v>5</v>
      </c>
      <c r="N37" t="s">
        <v>84</v>
      </c>
      <c r="O37" t="str">
        <f t="shared" si="2"/>
        <v>China</v>
      </c>
      <c r="R37" t="s">
        <v>282</v>
      </c>
      <c r="S37" t="s">
        <v>283</v>
      </c>
    </row>
    <row r="38" spans="2:19" x14ac:dyDescent="0.3">
      <c r="B38" t="str">
        <f t="shared" si="0"/>
        <v>LCOE_Wind_Ivory Coast</v>
      </c>
      <c r="C38" t="s">
        <v>382</v>
      </c>
      <c r="D38" t="str">
        <f t="shared" si="1"/>
        <v>*CIV</v>
      </c>
      <c r="E38" t="s">
        <v>21</v>
      </c>
      <c r="F38">
        <v>1</v>
      </c>
      <c r="G38">
        <v>0</v>
      </c>
      <c r="H38">
        <v>1</v>
      </c>
      <c r="I38">
        <v>5</v>
      </c>
      <c r="N38" t="s">
        <v>86</v>
      </c>
      <c r="O38" t="str">
        <f t="shared" si="2"/>
        <v>Ivory Coast</v>
      </c>
      <c r="R38" t="s">
        <v>352</v>
      </c>
      <c r="S38" t="s">
        <v>353</v>
      </c>
    </row>
    <row r="39" spans="2:19" x14ac:dyDescent="0.3">
      <c r="B39" t="str">
        <f t="shared" si="0"/>
        <v>LCOE_Wind_Cameroon</v>
      </c>
      <c r="C39" t="s">
        <v>382</v>
      </c>
      <c r="D39" t="str">
        <f t="shared" si="1"/>
        <v>*CMR</v>
      </c>
      <c r="E39" t="s">
        <v>21</v>
      </c>
      <c r="F39">
        <v>1</v>
      </c>
      <c r="G39">
        <v>0</v>
      </c>
      <c r="H39">
        <v>1</v>
      </c>
      <c r="I39">
        <v>5</v>
      </c>
      <c r="N39" t="s">
        <v>88</v>
      </c>
      <c r="O39" t="str">
        <f t="shared" si="2"/>
        <v>Cameroon</v>
      </c>
      <c r="R39" t="s">
        <v>74</v>
      </c>
      <c r="S39" t="s">
        <v>75</v>
      </c>
    </row>
    <row r="40" spans="2:19" x14ac:dyDescent="0.3">
      <c r="B40" t="str">
        <f t="shared" si="0"/>
        <v>LCOE_Wind_Republic of Congo</v>
      </c>
      <c r="C40" t="s">
        <v>382</v>
      </c>
      <c r="D40" t="str">
        <f t="shared" si="1"/>
        <v>*COG</v>
      </c>
      <c r="E40" t="s">
        <v>21</v>
      </c>
      <c r="F40">
        <v>1</v>
      </c>
      <c r="G40">
        <v>0</v>
      </c>
      <c r="H40">
        <v>1</v>
      </c>
      <c r="I40">
        <v>5</v>
      </c>
      <c r="N40" t="s">
        <v>90</v>
      </c>
      <c r="O40" t="str">
        <f t="shared" si="2"/>
        <v>Republic of Congo</v>
      </c>
      <c r="R40" t="s">
        <v>276</v>
      </c>
      <c r="S40" t="s">
        <v>277</v>
      </c>
    </row>
    <row r="41" spans="2:19" x14ac:dyDescent="0.3">
      <c r="B41" t="str">
        <f t="shared" si="0"/>
        <v>LCOE_Wind_Colombia</v>
      </c>
      <c r="C41" t="s">
        <v>382</v>
      </c>
      <c r="D41" t="str">
        <f t="shared" si="1"/>
        <v>*COL</v>
      </c>
      <c r="E41" t="s">
        <v>21</v>
      </c>
      <c r="F41">
        <v>1</v>
      </c>
      <c r="G41">
        <v>0</v>
      </c>
      <c r="H41">
        <v>1</v>
      </c>
      <c r="I41">
        <v>5</v>
      </c>
      <c r="N41" t="s">
        <v>92</v>
      </c>
      <c r="O41" t="str">
        <f t="shared" si="2"/>
        <v>Colombia</v>
      </c>
      <c r="R41" t="s">
        <v>30</v>
      </c>
      <c r="S41" t="s">
        <v>31</v>
      </c>
    </row>
    <row r="42" spans="2:19" x14ac:dyDescent="0.3">
      <c r="B42" t="str">
        <f t="shared" si="0"/>
        <v>LCOE_Wind_Comoros</v>
      </c>
      <c r="C42" t="s">
        <v>382</v>
      </c>
      <c r="D42" t="str">
        <f t="shared" si="1"/>
        <v>*COM</v>
      </c>
      <c r="E42" t="s">
        <v>21</v>
      </c>
      <c r="F42">
        <v>1</v>
      </c>
      <c r="G42">
        <v>0</v>
      </c>
      <c r="H42">
        <v>1</v>
      </c>
      <c r="I42">
        <v>5</v>
      </c>
      <c r="N42" t="s">
        <v>94</v>
      </c>
      <c r="O42" t="str">
        <f t="shared" si="2"/>
        <v>Comoros</v>
      </c>
      <c r="R42" t="s">
        <v>358</v>
      </c>
      <c r="S42" t="s">
        <v>359</v>
      </c>
    </row>
    <row r="43" spans="2:19" x14ac:dyDescent="0.3">
      <c r="B43" t="str">
        <f t="shared" si="0"/>
        <v>LCOE_Wind_Cape Verde</v>
      </c>
      <c r="C43" t="s">
        <v>382</v>
      </c>
      <c r="D43" t="str">
        <f t="shared" si="1"/>
        <v>*CPV</v>
      </c>
      <c r="E43" t="s">
        <v>21</v>
      </c>
      <c r="F43">
        <v>1</v>
      </c>
      <c r="G43">
        <v>0</v>
      </c>
      <c r="H43">
        <v>1</v>
      </c>
      <c r="I43">
        <v>5</v>
      </c>
      <c r="N43" t="s">
        <v>96</v>
      </c>
      <c r="O43" t="str">
        <f t="shared" si="2"/>
        <v>Cape Verde</v>
      </c>
      <c r="R43" t="s">
        <v>262</v>
      </c>
      <c r="S43" t="s">
        <v>263</v>
      </c>
    </row>
    <row r="44" spans="2:19" x14ac:dyDescent="0.3">
      <c r="B44" t="str">
        <f t="shared" si="0"/>
        <v>LCOE_Wind_Costa Rica</v>
      </c>
      <c r="C44" t="s">
        <v>382</v>
      </c>
      <c r="D44" t="str">
        <f t="shared" si="1"/>
        <v>*CRI</v>
      </c>
      <c r="E44" t="s">
        <v>21</v>
      </c>
      <c r="F44">
        <v>1</v>
      </c>
      <c r="G44">
        <v>0</v>
      </c>
      <c r="H44">
        <v>1</v>
      </c>
      <c r="I44">
        <v>5</v>
      </c>
      <c r="N44" t="s">
        <v>98</v>
      </c>
      <c r="O44" t="str">
        <f t="shared" si="2"/>
        <v>Costa Rica</v>
      </c>
      <c r="R44" t="s">
        <v>366</v>
      </c>
      <c r="S44" t="s">
        <v>367</v>
      </c>
    </row>
    <row r="45" spans="2:19" x14ac:dyDescent="0.3">
      <c r="B45" t="str">
        <f t="shared" si="0"/>
        <v>LCOE_Wind_Cuba</v>
      </c>
      <c r="C45" t="s">
        <v>382</v>
      </c>
      <c r="D45" t="str">
        <f t="shared" si="1"/>
        <v>*CUB</v>
      </c>
      <c r="E45" t="s">
        <v>21</v>
      </c>
      <c r="F45">
        <v>1</v>
      </c>
      <c r="G45">
        <v>0</v>
      </c>
      <c r="H45">
        <v>1</v>
      </c>
      <c r="I45">
        <v>5</v>
      </c>
      <c r="N45" t="s">
        <v>100</v>
      </c>
      <c r="O45" t="str">
        <f t="shared" si="2"/>
        <v>Cuba</v>
      </c>
      <c r="R45" t="s">
        <v>48</v>
      </c>
      <c r="S45" t="s">
        <v>49</v>
      </c>
    </row>
    <row r="46" spans="2:19" x14ac:dyDescent="0.3">
      <c r="B46" t="str">
        <f t="shared" si="0"/>
        <v>LCOE_Wind_Cyprus</v>
      </c>
      <c r="C46" t="s">
        <v>382</v>
      </c>
      <c r="D46" t="str">
        <f t="shared" si="1"/>
        <v>*CYP</v>
      </c>
      <c r="E46" t="s">
        <v>21</v>
      </c>
      <c r="F46">
        <v>1</v>
      </c>
      <c r="G46">
        <v>0</v>
      </c>
      <c r="H46">
        <v>1</v>
      </c>
      <c r="I46">
        <v>5</v>
      </c>
      <c r="N46" t="s">
        <v>102</v>
      </c>
      <c r="O46" t="str">
        <f t="shared" si="2"/>
        <v>Cyprus</v>
      </c>
      <c r="R46" t="s">
        <v>42</v>
      </c>
      <c r="S46" t="s">
        <v>43</v>
      </c>
    </row>
    <row r="47" spans="2:19" x14ac:dyDescent="0.3">
      <c r="B47" t="str">
        <f t="shared" si="0"/>
        <v>LCOE_Wind_Czech Republic</v>
      </c>
      <c r="C47" t="s">
        <v>382</v>
      </c>
      <c r="D47" t="str">
        <f t="shared" si="1"/>
        <v>*CZE</v>
      </c>
      <c r="E47" t="s">
        <v>21</v>
      </c>
      <c r="F47">
        <v>1</v>
      </c>
      <c r="G47">
        <v>0</v>
      </c>
      <c r="H47">
        <v>1</v>
      </c>
      <c r="I47">
        <v>5</v>
      </c>
      <c r="N47" t="s">
        <v>104</v>
      </c>
      <c r="O47" t="str">
        <f t="shared" si="2"/>
        <v>Czech Republic</v>
      </c>
      <c r="R47" t="s">
        <v>88</v>
      </c>
      <c r="S47" t="s">
        <v>89</v>
      </c>
    </row>
    <row r="48" spans="2:19" x14ac:dyDescent="0.3">
      <c r="B48" t="str">
        <f t="shared" si="0"/>
        <v>LCOE_Wind_Germany</v>
      </c>
      <c r="C48" t="s">
        <v>382</v>
      </c>
      <c r="D48" t="str">
        <f t="shared" si="1"/>
        <v>*DEU</v>
      </c>
      <c r="E48" t="s">
        <v>21</v>
      </c>
      <c r="F48">
        <v>1</v>
      </c>
      <c r="G48">
        <v>0</v>
      </c>
      <c r="H48">
        <v>1</v>
      </c>
      <c r="I48">
        <v>5</v>
      </c>
      <c r="N48" t="s">
        <v>106</v>
      </c>
      <c r="O48" t="str">
        <f t="shared" si="2"/>
        <v>Germany</v>
      </c>
      <c r="R48" t="s">
        <v>96</v>
      </c>
      <c r="S48" t="s">
        <v>97</v>
      </c>
    </row>
    <row r="49" spans="2:19" x14ac:dyDescent="0.3">
      <c r="B49" t="str">
        <f t="shared" si="0"/>
        <v>LCOE_Wind_Djibouti</v>
      </c>
      <c r="C49" t="s">
        <v>382</v>
      </c>
      <c r="D49" t="str">
        <f t="shared" si="1"/>
        <v>*DJI</v>
      </c>
      <c r="E49" t="s">
        <v>21</v>
      </c>
      <c r="F49">
        <v>1</v>
      </c>
      <c r="G49">
        <v>0</v>
      </c>
      <c r="H49">
        <v>1</v>
      </c>
      <c r="I49">
        <v>5</v>
      </c>
      <c r="N49" t="s">
        <v>108</v>
      </c>
      <c r="O49" t="str">
        <f t="shared" si="2"/>
        <v>Djibouti</v>
      </c>
      <c r="R49" t="s">
        <v>82</v>
      </c>
      <c r="S49" t="s">
        <v>83</v>
      </c>
    </row>
    <row r="50" spans="2:19" x14ac:dyDescent="0.3">
      <c r="B50" t="str">
        <f t="shared" si="0"/>
        <v>LCOE_Wind_Denmark</v>
      </c>
      <c r="C50" t="s">
        <v>382</v>
      </c>
      <c r="D50" t="str">
        <f t="shared" si="1"/>
        <v>*DNK</v>
      </c>
      <c r="E50" t="s">
        <v>21</v>
      </c>
      <c r="F50">
        <v>1</v>
      </c>
      <c r="G50">
        <v>0</v>
      </c>
      <c r="H50">
        <v>1</v>
      </c>
      <c r="I50">
        <v>5</v>
      </c>
      <c r="N50" t="s">
        <v>110</v>
      </c>
      <c r="O50" t="str">
        <f t="shared" si="2"/>
        <v>Denmark</v>
      </c>
      <c r="R50" t="s">
        <v>194</v>
      </c>
      <c r="S50" t="s">
        <v>195</v>
      </c>
    </row>
    <row r="51" spans="2:19" x14ac:dyDescent="0.3">
      <c r="B51" t="str">
        <f t="shared" si="0"/>
        <v>LCOE_Wind_Dominican Republic</v>
      </c>
      <c r="C51" t="s">
        <v>382</v>
      </c>
      <c r="D51" t="str">
        <f t="shared" si="1"/>
        <v>*DOM</v>
      </c>
      <c r="E51" t="s">
        <v>21</v>
      </c>
      <c r="F51">
        <v>1</v>
      </c>
      <c r="G51">
        <v>0</v>
      </c>
      <c r="H51">
        <v>1</v>
      </c>
      <c r="I51">
        <v>5</v>
      </c>
      <c r="N51" t="s">
        <v>112</v>
      </c>
      <c r="O51" t="str">
        <f t="shared" si="2"/>
        <v>Dominican Republic</v>
      </c>
      <c r="R51" t="s">
        <v>180</v>
      </c>
      <c r="S51" t="s">
        <v>181</v>
      </c>
    </row>
    <row r="52" spans="2:19" x14ac:dyDescent="0.3">
      <c r="B52" t="str">
        <f t="shared" si="0"/>
        <v>LCOE_Wind_Algeria</v>
      </c>
      <c r="C52" t="s">
        <v>382</v>
      </c>
      <c r="D52" t="str">
        <f t="shared" si="1"/>
        <v>*DZA</v>
      </c>
      <c r="E52" t="s">
        <v>21</v>
      </c>
      <c r="F52">
        <v>1</v>
      </c>
      <c r="G52">
        <v>0</v>
      </c>
      <c r="H52">
        <v>1</v>
      </c>
      <c r="I52">
        <v>5</v>
      </c>
      <c r="N52" t="s">
        <v>114</v>
      </c>
      <c r="O52" t="str">
        <f t="shared" si="2"/>
        <v>Algeria</v>
      </c>
      <c r="R52" t="s">
        <v>184</v>
      </c>
      <c r="S52" t="s">
        <v>185</v>
      </c>
    </row>
    <row r="53" spans="2:19" x14ac:dyDescent="0.3">
      <c r="B53" t="str">
        <f t="shared" si="0"/>
        <v>LCOE_Wind_Ecuador</v>
      </c>
      <c r="C53" t="s">
        <v>382</v>
      </c>
      <c r="D53" t="str">
        <f t="shared" si="1"/>
        <v>*ECU</v>
      </c>
      <c r="E53" t="s">
        <v>21</v>
      </c>
      <c r="F53">
        <v>1</v>
      </c>
      <c r="G53">
        <v>0</v>
      </c>
      <c r="H53">
        <v>1</v>
      </c>
      <c r="I53">
        <v>5</v>
      </c>
      <c r="N53" t="s">
        <v>116</v>
      </c>
      <c r="O53" t="str">
        <f t="shared" si="2"/>
        <v>Ecuador</v>
      </c>
      <c r="R53" t="s">
        <v>332</v>
      </c>
      <c r="S53" t="s">
        <v>333</v>
      </c>
    </row>
    <row r="54" spans="2:19" x14ac:dyDescent="0.3">
      <c r="B54" t="str">
        <f t="shared" si="0"/>
        <v>LCOE_Wind_Egypt</v>
      </c>
      <c r="C54" t="s">
        <v>382</v>
      </c>
      <c r="D54" t="str">
        <f t="shared" si="1"/>
        <v>*EGY</v>
      </c>
      <c r="E54" t="s">
        <v>21</v>
      </c>
      <c r="F54">
        <v>1</v>
      </c>
      <c r="G54">
        <v>0</v>
      </c>
      <c r="H54">
        <v>1</v>
      </c>
      <c r="I54">
        <v>5</v>
      </c>
      <c r="N54" t="s">
        <v>118</v>
      </c>
      <c r="O54" t="str">
        <f t="shared" si="2"/>
        <v>Egypt</v>
      </c>
      <c r="R54" t="s">
        <v>328</v>
      </c>
      <c r="S54" t="s">
        <v>329</v>
      </c>
    </row>
    <row r="55" spans="2:19" x14ac:dyDescent="0.3">
      <c r="B55" t="str">
        <f t="shared" si="0"/>
        <v>LCOE_Wind_Spain</v>
      </c>
      <c r="C55" t="s">
        <v>382</v>
      </c>
      <c r="D55" t="str">
        <f t="shared" si="1"/>
        <v>*ESP</v>
      </c>
      <c r="E55" t="s">
        <v>21</v>
      </c>
      <c r="F55">
        <v>1</v>
      </c>
      <c r="G55">
        <v>0</v>
      </c>
      <c r="H55">
        <v>1</v>
      </c>
      <c r="I55">
        <v>5</v>
      </c>
      <c r="N55" t="s">
        <v>124</v>
      </c>
      <c r="O55" t="str">
        <f t="shared" si="2"/>
        <v>Spain</v>
      </c>
      <c r="R55" t="s">
        <v>76</v>
      </c>
      <c r="S55" t="s">
        <v>77</v>
      </c>
    </row>
    <row r="56" spans="2:19" x14ac:dyDescent="0.3">
      <c r="B56" t="str">
        <f t="shared" si="0"/>
        <v>LCOE_Wind_Estonia</v>
      </c>
      <c r="C56" t="s">
        <v>382</v>
      </c>
      <c r="D56" t="str">
        <f t="shared" si="1"/>
        <v>*EST</v>
      </c>
      <c r="E56" t="s">
        <v>21</v>
      </c>
      <c r="F56">
        <v>1</v>
      </c>
      <c r="G56">
        <v>0</v>
      </c>
      <c r="H56">
        <v>1</v>
      </c>
      <c r="I56">
        <v>5</v>
      </c>
      <c r="N56" t="s">
        <v>126</v>
      </c>
      <c r="O56" t="str">
        <f t="shared" si="2"/>
        <v>Estonia</v>
      </c>
      <c r="R56" t="s">
        <v>104</v>
      </c>
      <c r="S56" t="s">
        <v>105</v>
      </c>
    </row>
    <row r="57" spans="2:19" x14ac:dyDescent="0.3">
      <c r="B57" t="str">
        <f t="shared" si="0"/>
        <v>LCOE_Wind_Ethiopia</v>
      </c>
      <c r="C57" t="s">
        <v>382</v>
      </c>
      <c r="D57" t="str">
        <f t="shared" si="1"/>
        <v>*ETH</v>
      </c>
      <c r="E57" t="s">
        <v>21</v>
      </c>
      <c r="F57">
        <v>1</v>
      </c>
      <c r="G57">
        <v>0</v>
      </c>
      <c r="H57">
        <v>1</v>
      </c>
      <c r="I57">
        <v>5</v>
      </c>
      <c r="N57" t="s">
        <v>128</v>
      </c>
      <c r="O57" t="str">
        <f t="shared" si="2"/>
        <v>Ethiopia</v>
      </c>
      <c r="R57" t="s">
        <v>334</v>
      </c>
      <c r="S57" t="s">
        <v>335</v>
      </c>
    </row>
    <row r="58" spans="2:19" x14ac:dyDescent="0.3">
      <c r="B58" t="str">
        <f t="shared" si="0"/>
        <v>LCOE_Wind_Finland</v>
      </c>
      <c r="C58" t="s">
        <v>382</v>
      </c>
      <c r="D58" t="str">
        <f t="shared" si="1"/>
        <v>*FIN</v>
      </c>
      <c r="E58" t="s">
        <v>21</v>
      </c>
      <c r="F58">
        <v>1</v>
      </c>
      <c r="G58">
        <v>0</v>
      </c>
      <c r="H58">
        <v>1</v>
      </c>
      <c r="I58">
        <v>5</v>
      </c>
      <c r="N58" t="s">
        <v>130</v>
      </c>
      <c r="O58" t="str">
        <f t="shared" si="2"/>
        <v>Finland</v>
      </c>
      <c r="R58" t="s">
        <v>44</v>
      </c>
      <c r="S58" t="s">
        <v>45</v>
      </c>
    </row>
    <row r="59" spans="2:19" x14ac:dyDescent="0.3">
      <c r="B59" t="str">
        <f t="shared" si="0"/>
        <v>LCOE_Wind_Fiji</v>
      </c>
      <c r="C59" t="s">
        <v>382</v>
      </c>
      <c r="D59" t="str">
        <f t="shared" si="1"/>
        <v>*FJI</v>
      </c>
      <c r="E59" t="s">
        <v>21</v>
      </c>
      <c r="F59">
        <v>1</v>
      </c>
      <c r="G59">
        <v>0</v>
      </c>
      <c r="H59">
        <v>1</v>
      </c>
      <c r="I59">
        <v>5</v>
      </c>
      <c r="N59" t="s">
        <v>132</v>
      </c>
      <c r="O59" t="str">
        <f t="shared" si="2"/>
        <v>Fiji</v>
      </c>
      <c r="R59" t="s">
        <v>162</v>
      </c>
      <c r="S59" t="s">
        <v>163</v>
      </c>
    </row>
    <row r="60" spans="2:19" x14ac:dyDescent="0.3">
      <c r="B60" t="str">
        <f t="shared" si="0"/>
        <v>LCOE_Wind_France</v>
      </c>
      <c r="C60" t="s">
        <v>382</v>
      </c>
      <c r="D60" t="str">
        <f t="shared" si="1"/>
        <v>*FRA</v>
      </c>
      <c r="E60" t="s">
        <v>21</v>
      </c>
      <c r="F60">
        <v>1</v>
      </c>
      <c r="G60">
        <v>0</v>
      </c>
      <c r="H60">
        <v>1</v>
      </c>
      <c r="I60">
        <v>5</v>
      </c>
      <c r="N60" t="s">
        <v>134</v>
      </c>
      <c r="O60" t="str">
        <f t="shared" si="2"/>
        <v>France</v>
      </c>
      <c r="R60" t="s">
        <v>214</v>
      </c>
      <c r="S60" t="s">
        <v>215</v>
      </c>
    </row>
    <row r="61" spans="2:19" x14ac:dyDescent="0.3">
      <c r="B61" t="str">
        <f t="shared" si="0"/>
        <v>LCOE_Wind_Gabon</v>
      </c>
      <c r="C61" t="s">
        <v>382</v>
      </c>
      <c r="D61" t="str">
        <f t="shared" si="1"/>
        <v>*GAB</v>
      </c>
      <c r="E61" t="s">
        <v>21</v>
      </c>
      <c r="F61">
        <v>1</v>
      </c>
      <c r="G61">
        <v>0</v>
      </c>
      <c r="H61">
        <v>1</v>
      </c>
      <c r="I61">
        <v>5</v>
      </c>
      <c r="N61" t="s">
        <v>136</v>
      </c>
      <c r="O61" t="str">
        <f t="shared" si="2"/>
        <v>Gabon</v>
      </c>
      <c r="R61" t="s">
        <v>364</v>
      </c>
      <c r="S61" t="s">
        <v>365</v>
      </c>
    </row>
    <row r="62" spans="2:19" x14ac:dyDescent="0.3">
      <c r="B62" t="str">
        <f t="shared" si="0"/>
        <v>LCOE_Wind_United Kingdom</v>
      </c>
      <c r="C62" t="s">
        <v>382</v>
      </c>
      <c r="D62" t="str">
        <f t="shared" si="1"/>
        <v>*GBR</v>
      </c>
      <c r="E62" t="s">
        <v>21</v>
      </c>
      <c r="F62">
        <v>1</v>
      </c>
      <c r="G62">
        <v>0</v>
      </c>
      <c r="H62">
        <v>1</v>
      </c>
      <c r="I62">
        <v>5</v>
      </c>
      <c r="N62" t="s">
        <v>138</v>
      </c>
      <c r="O62" t="str">
        <f t="shared" si="2"/>
        <v>United Kingdom</v>
      </c>
      <c r="R62" t="s">
        <v>80</v>
      </c>
      <c r="S62" t="s">
        <v>81</v>
      </c>
    </row>
    <row r="63" spans="2:19" x14ac:dyDescent="0.3">
      <c r="B63" t="str">
        <f t="shared" si="0"/>
        <v>LCOE_Wind_Georgia</v>
      </c>
      <c r="C63" t="s">
        <v>382</v>
      </c>
      <c r="D63" t="str">
        <f t="shared" si="1"/>
        <v>*GEO</v>
      </c>
      <c r="E63" t="s">
        <v>21</v>
      </c>
      <c r="F63">
        <v>1</v>
      </c>
      <c r="G63">
        <v>0</v>
      </c>
      <c r="H63">
        <v>1</v>
      </c>
      <c r="I63">
        <v>5</v>
      </c>
      <c r="N63" t="s">
        <v>140</v>
      </c>
      <c r="O63" t="str">
        <f t="shared" si="2"/>
        <v>Georgia</v>
      </c>
      <c r="R63" t="s">
        <v>94</v>
      </c>
      <c r="S63" t="s">
        <v>95</v>
      </c>
    </row>
    <row r="64" spans="2:19" x14ac:dyDescent="0.3">
      <c r="B64" t="str">
        <f t="shared" si="0"/>
        <v>LCOE_Wind_Ghana</v>
      </c>
      <c r="C64" t="s">
        <v>382</v>
      </c>
      <c r="D64" t="str">
        <f t="shared" si="1"/>
        <v>*GHA</v>
      </c>
      <c r="E64" t="s">
        <v>21</v>
      </c>
      <c r="F64">
        <v>1</v>
      </c>
      <c r="G64">
        <v>0</v>
      </c>
      <c r="H64">
        <v>1</v>
      </c>
      <c r="I64">
        <v>5</v>
      </c>
      <c r="N64" t="s">
        <v>142</v>
      </c>
      <c r="O64" t="str">
        <f t="shared" si="2"/>
        <v>Ghana</v>
      </c>
      <c r="R64" t="s">
        <v>38</v>
      </c>
      <c r="S64" t="s">
        <v>39</v>
      </c>
    </row>
    <row r="65" spans="2:19" x14ac:dyDescent="0.3">
      <c r="B65" t="str">
        <f t="shared" si="0"/>
        <v>LCOE_Wind_Guinea</v>
      </c>
      <c r="C65" t="s">
        <v>382</v>
      </c>
      <c r="D65" t="str">
        <f t="shared" si="1"/>
        <v>*GIN</v>
      </c>
      <c r="E65" t="s">
        <v>21</v>
      </c>
      <c r="F65">
        <v>1</v>
      </c>
      <c r="G65">
        <v>0</v>
      </c>
      <c r="H65">
        <v>1</v>
      </c>
      <c r="I65">
        <v>5</v>
      </c>
      <c r="N65" t="s">
        <v>144</v>
      </c>
      <c r="O65" t="str">
        <f t="shared" si="2"/>
        <v>Guinea</v>
      </c>
      <c r="R65" t="s">
        <v>397</v>
      </c>
      <c r="S65" t="s">
        <v>398</v>
      </c>
    </row>
    <row r="66" spans="2:19" x14ac:dyDescent="0.3">
      <c r="B66" t="str">
        <f t="shared" si="0"/>
        <v>LCOE_Wind_The Gambia</v>
      </c>
      <c r="C66" t="s">
        <v>382</v>
      </c>
      <c r="D66" t="str">
        <f t="shared" si="1"/>
        <v>*GMB</v>
      </c>
      <c r="E66" t="s">
        <v>21</v>
      </c>
      <c r="F66">
        <v>1</v>
      </c>
      <c r="G66">
        <v>0</v>
      </c>
      <c r="H66">
        <v>1</v>
      </c>
      <c r="I66">
        <v>5</v>
      </c>
      <c r="N66" t="s">
        <v>148</v>
      </c>
      <c r="O66" t="str">
        <f t="shared" si="2"/>
        <v>The Gambia</v>
      </c>
      <c r="R66" t="s">
        <v>312</v>
      </c>
      <c r="S66" t="s">
        <v>313</v>
      </c>
    </row>
    <row r="67" spans="2:19" x14ac:dyDescent="0.3">
      <c r="B67" t="str">
        <f t="shared" si="0"/>
        <v>LCOE_Wind_Guinea-Bissau</v>
      </c>
      <c r="C67" t="s">
        <v>382</v>
      </c>
      <c r="D67" t="str">
        <f t="shared" si="1"/>
        <v>*GNB</v>
      </c>
      <c r="E67" t="s">
        <v>21</v>
      </c>
      <c r="F67">
        <v>1</v>
      </c>
      <c r="G67">
        <v>0</v>
      </c>
      <c r="H67">
        <v>1</v>
      </c>
      <c r="I67">
        <v>5</v>
      </c>
      <c r="N67" t="s">
        <v>150</v>
      </c>
      <c r="O67" t="str">
        <f t="shared" si="2"/>
        <v>Guinea-Bissau</v>
      </c>
      <c r="R67" t="s">
        <v>154</v>
      </c>
      <c r="S67" t="s">
        <v>155</v>
      </c>
    </row>
    <row r="68" spans="2:19" x14ac:dyDescent="0.3">
      <c r="B68" t="str">
        <f t="shared" si="0"/>
        <v>LCOE_Wind_Equatorial Guinea</v>
      </c>
      <c r="C68" t="s">
        <v>382</v>
      </c>
      <c r="D68" t="str">
        <f t="shared" si="1"/>
        <v>*GNQ</v>
      </c>
      <c r="E68" t="s">
        <v>21</v>
      </c>
      <c r="F68">
        <v>1</v>
      </c>
      <c r="G68">
        <v>0</v>
      </c>
      <c r="H68">
        <v>1</v>
      </c>
      <c r="I68">
        <v>5</v>
      </c>
      <c r="N68" t="s">
        <v>152</v>
      </c>
      <c r="O68" t="str">
        <f t="shared" si="2"/>
        <v>Equatorial Guinea</v>
      </c>
      <c r="R68" t="s">
        <v>204</v>
      </c>
      <c r="S68" t="s">
        <v>205</v>
      </c>
    </row>
    <row r="69" spans="2:19" x14ac:dyDescent="0.3">
      <c r="B69" t="str">
        <f t="shared" si="0"/>
        <v>LCOE_Wind_Greece</v>
      </c>
      <c r="C69" t="s">
        <v>382</v>
      </c>
      <c r="D69" t="str">
        <f t="shared" si="1"/>
        <v>*GRC</v>
      </c>
      <c r="E69" t="s">
        <v>21</v>
      </c>
      <c r="F69">
        <v>1</v>
      </c>
      <c r="G69">
        <v>0</v>
      </c>
      <c r="H69">
        <v>1</v>
      </c>
      <c r="I69">
        <v>5</v>
      </c>
      <c r="N69" t="s">
        <v>154</v>
      </c>
      <c r="O69" t="str">
        <f t="shared" si="2"/>
        <v>Greece</v>
      </c>
      <c r="R69" t="s">
        <v>240</v>
      </c>
      <c r="S69" t="s">
        <v>241</v>
      </c>
    </row>
    <row r="70" spans="2:19" x14ac:dyDescent="0.3">
      <c r="B70" t="str">
        <f t="shared" si="0"/>
        <v>LCOE_Wind_Guatemala</v>
      </c>
      <c r="C70" t="s">
        <v>382</v>
      </c>
      <c r="D70" t="str">
        <f t="shared" si="1"/>
        <v>*GTM</v>
      </c>
      <c r="E70" t="s">
        <v>21</v>
      </c>
      <c r="F70">
        <v>1</v>
      </c>
      <c r="G70">
        <v>0</v>
      </c>
      <c r="H70">
        <v>1</v>
      </c>
      <c r="I70">
        <v>5</v>
      </c>
      <c r="N70" t="s">
        <v>156</v>
      </c>
      <c r="O70" t="str">
        <f t="shared" si="2"/>
        <v>Guatemala</v>
      </c>
      <c r="R70" t="s">
        <v>264</v>
      </c>
      <c r="S70" t="s">
        <v>265</v>
      </c>
    </row>
    <row r="71" spans="2:19" x14ac:dyDescent="0.3">
      <c r="B71" t="str">
        <f t="shared" si="0"/>
        <v>LCOE_Wind_Guam</v>
      </c>
      <c r="C71" t="s">
        <v>382</v>
      </c>
      <c r="D71" t="str">
        <f t="shared" si="1"/>
        <v>*GUM</v>
      </c>
      <c r="E71" t="s">
        <v>21</v>
      </c>
      <c r="F71">
        <v>1</v>
      </c>
      <c r="G71">
        <v>0</v>
      </c>
      <c r="H71">
        <v>1</v>
      </c>
      <c r="I71">
        <v>5</v>
      </c>
      <c r="N71" t="s">
        <v>158</v>
      </c>
      <c r="O71" t="str">
        <f t="shared" si="2"/>
        <v>Guam</v>
      </c>
      <c r="R71" t="s">
        <v>116</v>
      </c>
      <c r="S71" t="s">
        <v>117</v>
      </c>
    </row>
    <row r="72" spans="2:19" x14ac:dyDescent="0.3">
      <c r="B72" t="str">
        <f t="shared" ref="B72:B135" si="3">"LCOE_Wind_"&amp;O72</f>
        <v>LCOE_Wind_Guyana</v>
      </c>
      <c r="C72" t="s">
        <v>382</v>
      </c>
      <c r="D72" t="str">
        <f t="shared" ref="D72:D135" si="4">"*"&amp;N72</f>
        <v>*GUY</v>
      </c>
      <c r="E72" t="s">
        <v>21</v>
      </c>
      <c r="F72">
        <v>1</v>
      </c>
      <c r="G72">
        <v>0</v>
      </c>
      <c r="H72">
        <v>1</v>
      </c>
      <c r="I72">
        <v>5</v>
      </c>
      <c r="N72" t="s">
        <v>160</v>
      </c>
      <c r="O72" t="str">
        <f t="shared" ref="O72:O135" si="5">VLOOKUP(N72,$R$7:$S$999,2,FALSE)</f>
        <v>Guyana</v>
      </c>
      <c r="R72" t="s">
        <v>108</v>
      </c>
      <c r="S72" t="s">
        <v>109</v>
      </c>
    </row>
    <row r="73" spans="2:19" x14ac:dyDescent="0.3">
      <c r="B73" t="str">
        <f t="shared" si="3"/>
        <v>LCOE_Wind_Honduras</v>
      </c>
      <c r="C73" t="s">
        <v>382</v>
      </c>
      <c r="D73" t="str">
        <f t="shared" si="4"/>
        <v>*HND</v>
      </c>
      <c r="E73" t="s">
        <v>21</v>
      </c>
      <c r="F73">
        <v>1</v>
      </c>
      <c r="G73">
        <v>0</v>
      </c>
      <c r="H73">
        <v>1</v>
      </c>
      <c r="I73">
        <v>5</v>
      </c>
      <c r="N73" t="s">
        <v>164</v>
      </c>
      <c r="O73" t="str">
        <f t="shared" si="5"/>
        <v>Honduras</v>
      </c>
      <c r="R73" t="s">
        <v>118</v>
      </c>
      <c r="S73" t="s">
        <v>119</v>
      </c>
    </row>
    <row r="74" spans="2:19" x14ac:dyDescent="0.3">
      <c r="B74" t="str">
        <f t="shared" si="3"/>
        <v>LCOE_Wind_Croatia</v>
      </c>
      <c r="C74" t="s">
        <v>382</v>
      </c>
      <c r="D74" t="str">
        <f t="shared" si="4"/>
        <v>*HRV</v>
      </c>
      <c r="E74" t="s">
        <v>21</v>
      </c>
      <c r="F74">
        <v>1</v>
      </c>
      <c r="G74">
        <v>0</v>
      </c>
      <c r="H74">
        <v>1</v>
      </c>
      <c r="I74">
        <v>5</v>
      </c>
      <c r="N74" t="s">
        <v>166</v>
      </c>
      <c r="O74" t="str">
        <f t="shared" si="5"/>
        <v>Croatia</v>
      </c>
      <c r="R74" t="s">
        <v>288</v>
      </c>
      <c r="S74" t="s">
        <v>289</v>
      </c>
    </row>
    <row r="75" spans="2:19" x14ac:dyDescent="0.3">
      <c r="B75" t="str">
        <f t="shared" si="3"/>
        <v>LCOE_Wind_Haiti</v>
      </c>
      <c r="C75" t="s">
        <v>382</v>
      </c>
      <c r="D75" t="str">
        <f t="shared" si="4"/>
        <v>*HTI</v>
      </c>
      <c r="E75" t="s">
        <v>21</v>
      </c>
      <c r="F75">
        <v>1</v>
      </c>
      <c r="G75">
        <v>0</v>
      </c>
      <c r="H75">
        <v>1</v>
      </c>
      <c r="I75">
        <v>5</v>
      </c>
      <c r="N75" t="s">
        <v>168</v>
      </c>
      <c r="O75" t="str">
        <f t="shared" si="5"/>
        <v>Haiti</v>
      </c>
      <c r="R75" t="s">
        <v>24</v>
      </c>
      <c r="S75" t="s">
        <v>25</v>
      </c>
    </row>
    <row r="76" spans="2:19" x14ac:dyDescent="0.3">
      <c r="B76" t="str">
        <f t="shared" si="3"/>
        <v>LCOE_Wind_Hungary</v>
      </c>
      <c r="C76" t="s">
        <v>382</v>
      </c>
      <c r="D76" t="str">
        <f t="shared" si="4"/>
        <v>*HUN</v>
      </c>
      <c r="E76" t="s">
        <v>21</v>
      </c>
      <c r="F76">
        <v>1</v>
      </c>
      <c r="G76">
        <v>0</v>
      </c>
      <c r="H76">
        <v>1</v>
      </c>
      <c r="I76">
        <v>5</v>
      </c>
      <c r="N76" t="s">
        <v>170</v>
      </c>
      <c r="O76" t="str">
        <f t="shared" si="5"/>
        <v>Hungary</v>
      </c>
      <c r="R76" t="s">
        <v>152</v>
      </c>
      <c r="S76" t="s">
        <v>153</v>
      </c>
    </row>
    <row r="77" spans="2:19" x14ac:dyDescent="0.3">
      <c r="B77" t="str">
        <f t="shared" si="3"/>
        <v>LCOE_Wind_Indonesia</v>
      </c>
      <c r="C77" t="s">
        <v>382</v>
      </c>
      <c r="D77" t="str">
        <f t="shared" si="4"/>
        <v>*IDN</v>
      </c>
      <c r="E77" t="s">
        <v>21</v>
      </c>
      <c r="F77">
        <v>1</v>
      </c>
      <c r="G77">
        <v>0</v>
      </c>
      <c r="H77">
        <v>1</v>
      </c>
      <c r="I77">
        <v>5</v>
      </c>
      <c r="N77" t="s">
        <v>172</v>
      </c>
      <c r="O77" t="str">
        <f t="shared" si="5"/>
        <v>Indonesia</v>
      </c>
      <c r="R77" t="s">
        <v>156</v>
      </c>
      <c r="S77" t="s">
        <v>157</v>
      </c>
    </row>
    <row r="78" spans="2:19" x14ac:dyDescent="0.3">
      <c r="B78" t="str">
        <f t="shared" si="3"/>
        <v>LCOE_Wind_India</v>
      </c>
      <c r="C78" t="s">
        <v>382</v>
      </c>
      <c r="D78" t="str">
        <f t="shared" si="4"/>
        <v>*IND</v>
      </c>
      <c r="E78" t="s">
        <v>21</v>
      </c>
      <c r="F78">
        <v>1</v>
      </c>
      <c r="G78">
        <v>0</v>
      </c>
      <c r="H78">
        <v>1</v>
      </c>
      <c r="I78">
        <v>5</v>
      </c>
      <c r="N78" t="s">
        <v>174</v>
      </c>
      <c r="O78" t="str">
        <f t="shared" si="5"/>
        <v>India</v>
      </c>
      <c r="R78" t="s">
        <v>296</v>
      </c>
      <c r="S78" t="s">
        <v>297</v>
      </c>
    </row>
    <row r="79" spans="2:19" x14ac:dyDescent="0.3">
      <c r="B79" t="str">
        <f t="shared" si="3"/>
        <v>LCOE_Wind_Ireland</v>
      </c>
      <c r="C79" t="s">
        <v>382</v>
      </c>
      <c r="D79" t="str">
        <f t="shared" si="4"/>
        <v>*IRL</v>
      </c>
      <c r="E79" t="s">
        <v>21</v>
      </c>
      <c r="F79">
        <v>1</v>
      </c>
      <c r="G79">
        <v>0</v>
      </c>
      <c r="H79">
        <v>1</v>
      </c>
      <c r="I79">
        <v>5</v>
      </c>
      <c r="N79" t="s">
        <v>176</v>
      </c>
      <c r="O79" t="str">
        <f t="shared" si="5"/>
        <v>Ireland</v>
      </c>
      <c r="R79" t="s">
        <v>374</v>
      </c>
      <c r="S79" t="s">
        <v>375</v>
      </c>
    </row>
    <row r="80" spans="2:19" x14ac:dyDescent="0.3">
      <c r="B80" t="str">
        <f t="shared" si="3"/>
        <v>LCOE_Wind_Iran</v>
      </c>
      <c r="C80" t="s">
        <v>382</v>
      </c>
      <c r="D80" t="str">
        <f t="shared" si="4"/>
        <v>*IRN</v>
      </c>
      <c r="E80" t="s">
        <v>21</v>
      </c>
      <c r="F80">
        <v>1</v>
      </c>
      <c r="G80">
        <v>0</v>
      </c>
      <c r="H80">
        <v>1</v>
      </c>
      <c r="I80">
        <v>5</v>
      </c>
      <c r="N80" t="s">
        <v>178</v>
      </c>
      <c r="O80" t="str">
        <f t="shared" si="5"/>
        <v>Iran</v>
      </c>
      <c r="R80" t="s">
        <v>120</v>
      </c>
      <c r="S80" t="s">
        <v>121</v>
      </c>
    </row>
    <row r="81" spans="2:19" x14ac:dyDescent="0.3">
      <c r="B81" t="str">
        <f t="shared" si="3"/>
        <v>LCOE_Wind_Iraq</v>
      </c>
      <c r="C81" t="s">
        <v>382</v>
      </c>
      <c r="D81" t="str">
        <f t="shared" si="4"/>
        <v>*IRQ</v>
      </c>
      <c r="E81" t="s">
        <v>21</v>
      </c>
      <c r="F81">
        <v>1</v>
      </c>
      <c r="G81">
        <v>0</v>
      </c>
      <c r="H81">
        <v>1</v>
      </c>
      <c r="I81">
        <v>5</v>
      </c>
      <c r="N81" t="s">
        <v>180</v>
      </c>
      <c r="O81" t="str">
        <f t="shared" si="5"/>
        <v>Iraq</v>
      </c>
      <c r="R81" t="s">
        <v>128</v>
      </c>
      <c r="S81" t="s">
        <v>129</v>
      </c>
    </row>
    <row r="82" spans="2:19" x14ac:dyDescent="0.3">
      <c r="B82" t="str">
        <f t="shared" si="3"/>
        <v>LCOE_Wind_Iceland</v>
      </c>
      <c r="C82" t="s">
        <v>382</v>
      </c>
      <c r="D82" t="str">
        <f t="shared" si="4"/>
        <v>*ISL</v>
      </c>
      <c r="E82" t="s">
        <v>21</v>
      </c>
      <c r="F82">
        <v>1</v>
      </c>
      <c r="G82">
        <v>0</v>
      </c>
      <c r="H82">
        <v>1</v>
      </c>
      <c r="I82">
        <v>5</v>
      </c>
      <c r="N82" t="s">
        <v>182</v>
      </c>
      <c r="O82" t="str">
        <f t="shared" si="5"/>
        <v>Iceland</v>
      </c>
      <c r="R82" t="s">
        <v>60</v>
      </c>
      <c r="S82" t="s">
        <v>61</v>
      </c>
    </row>
    <row r="83" spans="2:19" x14ac:dyDescent="0.3">
      <c r="B83" t="str">
        <f t="shared" si="3"/>
        <v>LCOE_Wind_Israel</v>
      </c>
      <c r="C83" t="s">
        <v>382</v>
      </c>
      <c r="D83" t="str">
        <f t="shared" si="4"/>
        <v>*ISR</v>
      </c>
      <c r="E83" t="s">
        <v>21</v>
      </c>
      <c r="F83">
        <v>1</v>
      </c>
      <c r="G83">
        <v>0</v>
      </c>
      <c r="H83">
        <v>1</v>
      </c>
      <c r="I83">
        <v>5</v>
      </c>
      <c r="N83" t="s">
        <v>184</v>
      </c>
      <c r="O83" t="str">
        <f t="shared" si="5"/>
        <v>Israel</v>
      </c>
      <c r="R83" t="s">
        <v>266</v>
      </c>
      <c r="S83" t="s">
        <v>267</v>
      </c>
    </row>
    <row r="84" spans="2:19" x14ac:dyDescent="0.3">
      <c r="B84" t="str">
        <f t="shared" si="3"/>
        <v>LCOE_Wind_Italy</v>
      </c>
      <c r="C84" t="s">
        <v>382</v>
      </c>
      <c r="D84" t="str">
        <f t="shared" si="4"/>
        <v>*ITA</v>
      </c>
      <c r="E84" t="s">
        <v>21</v>
      </c>
      <c r="F84">
        <v>1</v>
      </c>
      <c r="G84">
        <v>0</v>
      </c>
      <c r="H84">
        <v>1</v>
      </c>
      <c r="I84">
        <v>5</v>
      </c>
      <c r="N84" t="s">
        <v>186</v>
      </c>
      <c r="O84" t="str">
        <f t="shared" si="5"/>
        <v>Italy</v>
      </c>
      <c r="R84" t="s">
        <v>176</v>
      </c>
      <c r="S84" t="s">
        <v>177</v>
      </c>
    </row>
    <row r="85" spans="2:19" x14ac:dyDescent="0.3">
      <c r="B85" t="str">
        <f t="shared" si="3"/>
        <v>LCOE_Wind_Jamaica</v>
      </c>
      <c r="C85" t="s">
        <v>382</v>
      </c>
      <c r="D85" t="str">
        <f t="shared" si="4"/>
        <v>*JAM</v>
      </c>
      <c r="E85" t="s">
        <v>21</v>
      </c>
      <c r="F85">
        <v>1</v>
      </c>
      <c r="G85">
        <v>0</v>
      </c>
      <c r="H85">
        <v>1</v>
      </c>
      <c r="I85">
        <v>5</v>
      </c>
      <c r="N85" t="s">
        <v>188</v>
      </c>
      <c r="O85" t="str">
        <f t="shared" si="5"/>
        <v>Jamaica</v>
      </c>
      <c r="R85" t="s">
        <v>170</v>
      </c>
      <c r="S85" t="s">
        <v>171</v>
      </c>
    </row>
    <row r="86" spans="2:19" x14ac:dyDescent="0.3">
      <c r="B86" t="str">
        <f t="shared" si="3"/>
        <v>LCOE_Wind_Jordan</v>
      </c>
      <c r="C86" t="s">
        <v>382</v>
      </c>
      <c r="D86" t="str">
        <f t="shared" si="4"/>
        <v>*JOR</v>
      </c>
      <c r="E86" t="s">
        <v>21</v>
      </c>
      <c r="F86">
        <v>1</v>
      </c>
      <c r="G86">
        <v>0</v>
      </c>
      <c r="H86">
        <v>1</v>
      </c>
      <c r="I86">
        <v>5</v>
      </c>
      <c r="N86" t="s">
        <v>190</v>
      </c>
      <c r="O86" t="str">
        <f t="shared" si="5"/>
        <v>Jordan</v>
      </c>
      <c r="R86" t="s">
        <v>130</v>
      </c>
      <c r="S86" t="s">
        <v>131</v>
      </c>
    </row>
    <row r="87" spans="2:19" x14ac:dyDescent="0.3">
      <c r="B87" t="str">
        <f t="shared" si="3"/>
        <v>LCOE_Wind_Japan</v>
      </c>
      <c r="C87" t="s">
        <v>382</v>
      </c>
      <c r="D87" t="str">
        <f t="shared" si="4"/>
        <v>*JPN</v>
      </c>
      <c r="E87" t="s">
        <v>21</v>
      </c>
      <c r="F87">
        <v>1</v>
      </c>
      <c r="G87">
        <v>0</v>
      </c>
      <c r="H87">
        <v>1</v>
      </c>
      <c r="I87">
        <v>5</v>
      </c>
      <c r="N87" t="s">
        <v>192</v>
      </c>
      <c r="O87" t="str">
        <f t="shared" si="5"/>
        <v>Japan</v>
      </c>
      <c r="R87" t="s">
        <v>110</v>
      </c>
      <c r="S87" t="s">
        <v>111</v>
      </c>
    </row>
    <row r="88" spans="2:19" x14ac:dyDescent="0.3">
      <c r="B88" t="str">
        <f t="shared" si="3"/>
        <v>LCOE_Wind_Kazakhstan</v>
      </c>
      <c r="C88" t="s">
        <v>382</v>
      </c>
      <c r="D88" t="str">
        <f t="shared" si="4"/>
        <v>*KAZ</v>
      </c>
      <c r="E88" t="s">
        <v>21</v>
      </c>
      <c r="F88">
        <v>1</v>
      </c>
      <c r="G88">
        <v>0</v>
      </c>
      <c r="H88">
        <v>1</v>
      </c>
      <c r="I88">
        <v>5</v>
      </c>
      <c r="N88" t="s">
        <v>194</v>
      </c>
      <c r="O88" t="str">
        <f t="shared" si="5"/>
        <v>Kazakhstan</v>
      </c>
      <c r="R88" t="s">
        <v>112</v>
      </c>
      <c r="S88" t="s">
        <v>113</v>
      </c>
    </row>
    <row r="89" spans="2:19" x14ac:dyDescent="0.3">
      <c r="B89" t="str">
        <f t="shared" si="3"/>
        <v>LCOE_Wind_Kenya</v>
      </c>
      <c r="C89" t="s">
        <v>382</v>
      </c>
      <c r="D89" t="str">
        <f t="shared" si="4"/>
        <v>*KEN</v>
      </c>
      <c r="E89" t="s">
        <v>21</v>
      </c>
      <c r="F89">
        <v>1</v>
      </c>
      <c r="G89">
        <v>0</v>
      </c>
      <c r="H89">
        <v>1</v>
      </c>
      <c r="I89">
        <v>5</v>
      </c>
      <c r="N89" t="s">
        <v>196</v>
      </c>
      <c r="O89" t="str">
        <f t="shared" si="5"/>
        <v>Kenya</v>
      </c>
      <c r="R89" t="s">
        <v>136</v>
      </c>
      <c r="S89" t="s">
        <v>137</v>
      </c>
    </row>
    <row r="90" spans="2:19" x14ac:dyDescent="0.3">
      <c r="B90" t="str">
        <f t="shared" si="3"/>
        <v>LCOE_Wind_Kyrgyz Republic</v>
      </c>
      <c r="C90" t="s">
        <v>382</v>
      </c>
      <c r="D90" t="str">
        <f t="shared" si="4"/>
        <v>*KGZ</v>
      </c>
      <c r="E90" t="s">
        <v>21</v>
      </c>
      <c r="F90">
        <v>1</v>
      </c>
      <c r="G90">
        <v>0</v>
      </c>
      <c r="H90">
        <v>1</v>
      </c>
      <c r="I90">
        <v>5</v>
      </c>
      <c r="N90" t="s">
        <v>198</v>
      </c>
      <c r="O90" t="str">
        <f t="shared" si="5"/>
        <v>Kyrgyz Republic</v>
      </c>
      <c r="R90" t="s">
        <v>142</v>
      </c>
      <c r="S90" t="s">
        <v>143</v>
      </c>
    </row>
    <row r="91" spans="2:19" x14ac:dyDescent="0.3">
      <c r="B91" t="str">
        <f t="shared" si="3"/>
        <v>LCOE_Wind_Cambodia</v>
      </c>
      <c r="C91" t="s">
        <v>382</v>
      </c>
      <c r="D91" t="str">
        <f t="shared" si="4"/>
        <v>*KHM</v>
      </c>
      <c r="E91" t="s">
        <v>21</v>
      </c>
      <c r="F91">
        <v>1</v>
      </c>
      <c r="G91">
        <v>0</v>
      </c>
      <c r="H91">
        <v>1</v>
      </c>
      <c r="I91">
        <v>5</v>
      </c>
      <c r="N91" t="s">
        <v>200</v>
      </c>
      <c r="O91" t="str">
        <f t="shared" si="5"/>
        <v>Cambodia</v>
      </c>
      <c r="R91" t="s">
        <v>64</v>
      </c>
      <c r="S91" t="s">
        <v>65</v>
      </c>
    </row>
    <row r="92" spans="2:19" x14ac:dyDescent="0.3">
      <c r="B92" t="str">
        <f t="shared" si="3"/>
        <v>LCOE_Wind_South Korea</v>
      </c>
      <c r="C92" t="s">
        <v>382</v>
      </c>
      <c r="D92" t="str">
        <f t="shared" si="4"/>
        <v>*KOR</v>
      </c>
      <c r="E92" t="s">
        <v>21</v>
      </c>
      <c r="F92">
        <v>1</v>
      </c>
      <c r="G92">
        <v>0</v>
      </c>
      <c r="H92">
        <v>1</v>
      </c>
      <c r="I92">
        <v>5</v>
      </c>
      <c r="N92" t="s">
        <v>202</v>
      </c>
      <c r="O92" t="str">
        <f t="shared" si="5"/>
        <v>South Korea</v>
      </c>
      <c r="R92" t="s">
        <v>144</v>
      </c>
      <c r="S92" t="s">
        <v>145</v>
      </c>
    </row>
    <row r="93" spans="2:19" x14ac:dyDescent="0.3">
      <c r="B93" t="str">
        <f t="shared" si="3"/>
        <v>LCOE_Wind_Kuwait</v>
      </c>
      <c r="C93" t="s">
        <v>382</v>
      </c>
      <c r="D93" t="str">
        <f t="shared" si="4"/>
        <v>*KWT</v>
      </c>
      <c r="E93" t="s">
        <v>21</v>
      </c>
      <c r="F93">
        <v>1</v>
      </c>
      <c r="G93">
        <v>0</v>
      </c>
      <c r="H93">
        <v>1</v>
      </c>
      <c r="I93">
        <v>5</v>
      </c>
      <c r="N93" t="s">
        <v>204</v>
      </c>
      <c r="O93" t="str">
        <f t="shared" si="5"/>
        <v>Kuwait</v>
      </c>
      <c r="R93" t="s">
        <v>190</v>
      </c>
      <c r="S93" t="s">
        <v>191</v>
      </c>
    </row>
    <row r="94" spans="2:19" x14ac:dyDescent="0.3">
      <c r="B94" t="str">
        <f t="shared" si="3"/>
        <v>LCOE_Wind_Laos</v>
      </c>
      <c r="C94" t="s">
        <v>382</v>
      </c>
      <c r="D94" t="str">
        <f t="shared" si="4"/>
        <v>*LAO</v>
      </c>
      <c r="E94" t="s">
        <v>21</v>
      </c>
      <c r="F94">
        <v>1</v>
      </c>
      <c r="G94">
        <v>0</v>
      </c>
      <c r="H94">
        <v>1</v>
      </c>
      <c r="I94">
        <v>5</v>
      </c>
      <c r="N94" t="s">
        <v>206</v>
      </c>
      <c r="O94" t="str">
        <f t="shared" si="5"/>
        <v>Laos</v>
      </c>
      <c r="R94" t="s">
        <v>268</v>
      </c>
      <c r="S94" t="s">
        <v>269</v>
      </c>
    </row>
    <row r="95" spans="2:19" x14ac:dyDescent="0.3">
      <c r="B95" t="str">
        <f t="shared" si="3"/>
        <v>LCOE_Wind_Lebanon</v>
      </c>
      <c r="C95" t="s">
        <v>382</v>
      </c>
      <c r="D95" t="str">
        <f t="shared" si="4"/>
        <v>*LBN</v>
      </c>
      <c r="E95" t="s">
        <v>21</v>
      </c>
      <c r="F95">
        <v>1</v>
      </c>
      <c r="G95">
        <v>0</v>
      </c>
      <c r="H95">
        <v>1</v>
      </c>
      <c r="I95">
        <v>5</v>
      </c>
      <c r="N95" t="s">
        <v>208</v>
      </c>
      <c r="O95" t="str">
        <f t="shared" si="5"/>
        <v>Lebanon</v>
      </c>
      <c r="R95" t="s">
        <v>200</v>
      </c>
      <c r="S95" t="s">
        <v>201</v>
      </c>
    </row>
    <row r="96" spans="2:19" x14ac:dyDescent="0.3">
      <c r="B96" t="str">
        <f t="shared" si="3"/>
        <v>LCOE_Wind_Liberia</v>
      </c>
      <c r="C96" t="s">
        <v>382</v>
      </c>
      <c r="D96" t="str">
        <f t="shared" si="4"/>
        <v>*LBR</v>
      </c>
      <c r="E96" t="s">
        <v>21</v>
      </c>
      <c r="F96">
        <v>1</v>
      </c>
      <c r="G96">
        <v>0</v>
      </c>
      <c r="H96">
        <v>1</v>
      </c>
      <c r="I96">
        <v>5</v>
      </c>
      <c r="N96" t="s">
        <v>210</v>
      </c>
      <c r="O96" t="str">
        <f t="shared" si="5"/>
        <v>Liberia</v>
      </c>
      <c r="R96" t="s">
        <v>324</v>
      </c>
      <c r="S96" t="s">
        <v>325</v>
      </c>
    </row>
    <row r="97" spans="2:19" x14ac:dyDescent="0.3">
      <c r="B97" t="str">
        <f t="shared" si="3"/>
        <v>LCOE_Wind_Libya</v>
      </c>
      <c r="C97" t="s">
        <v>382</v>
      </c>
      <c r="D97" t="str">
        <f t="shared" si="4"/>
        <v>*LBY</v>
      </c>
      <c r="E97" t="s">
        <v>21</v>
      </c>
      <c r="F97">
        <v>1</v>
      </c>
      <c r="G97">
        <v>0</v>
      </c>
      <c r="H97">
        <v>1</v>
      </c>
      <c r="I97">
        <v>5</v>
      </c>
      <c r="N97" t="s">
        <v>212</v>
      </c>
      <c r="O97" t="str">
        <f t="shared" si="5"/>
        <v>Libya</v>
      </c>
      <c r="R97" t="s">
        <v>52</v>
      </c>
      <c r="S97" t="s">
        <v>53</v>
      </c>
    </row>
    <row r="98" spans="2:19" x14ac:dyDescent="0.3">
      <c r="B98" t="str">
        <f t="shared" si="3"/>
        <v>LCOE_Wind_Sri Lanka</v>
      </c>
      <c r="C98" t="s">
        <v>382</v>
      </c>
      <c r="D98" t="str">
        <f t="shared" si="4"/>
        <v>*LKA</v>
      </c>
      <c r="E98" t="s">
        <v>21</v>
      </c>
      <c r="F98">
        <v>1</v>
      </c>
      <c r="G98">
        <v>0</v>
      </c>
      <c r="H98">
        <v>1</v>
      </c>
      <c r="I98">
        <v>5</v>
      </c>
      <c r="N98" t="s">
        <v>214</v>
      </c>
      <c r="O98" t="str">
        <f t="shared" si="5"/>
        <v>Sri Lanka</v>
      </c>
      <c r="R98" t="s">
        <v>270</v>
      </c>
      <c r="S98" t="s">
        <v>271</v>
      </c>
    </row>
    <row r="99" spans="2:19" x14ac:dyDescent="0.3">
      <c r="B99" t="str">
        <f t="shared" si="3"/>
        <v>LCOE_Wind_Lesotho</v>
      </c>
      <c r="C99" t="s">
        <v>382</v>
      </c>
      <c r="D99" t="str">
        <f t="shared" si="4"/>
        <v>*LSO</v>
      </c>
      <c r="E99" t="s">
        <v>21</v>
      </c>
      <c r="F99">
        <v>1</v>
      </c>
      <c r="G99">
        <v>0</v>
      </c>
      <c r="H99">
        <v>1</v>
      </c>
      <c r="I99">
        <v>5</v>
      </c>
      <c r="N99" t="s">
        <v>216</v>
      </c>
      <c r="O99" t="str">
        <f t="shared" si="5"/>
        <v>Lesotho</v>
      </c>
      <c r="R99" t="s">
        <v>342</v>
      </c>
      <c r="S99" t="s">
        <v>343</v>
      </c>
    </row>
    <row r="100" spans="2:19" x14ac:dyDescent="0.3">
      <c r="B100" t="str">
        <f t="shared" si="3"/>
        <v>LCOE_Wind_Lithuania</v>
      </c>
      <c r="C100" t="s">
        <v>382</v>
      </c>
      <c r="D100" t="str">
        <f t="shared" si="4"/>
        <v>*LTU</v>
      </c>
      <c r="E100" t="s">
        <v>21</v>
      </c>
      <c r="F100">
        <v>1</v>
      </c>
      <c r="G100">
        <v>0</v>
      </c>
      <c r="H100">
        <v>1</v>
      </c>
      <c r="I100">
        <v>5</v>
      </c>
      <c r="N100" t="s">
        <v>218</v>
      </c>
      <c r="O100" t="str">
        <f t="shared" si="5"/>
        <v>Lithuania</v>
      </c>
      <c r="R100" t="s">
        <v>150</v>
      </c>
      <c r="S100" t="s">
        <v>151</v>
      </c>
    </row>
    <row r="101" spans="2:19" x14ac:dyDescent="0.3">
      <c r="B101" t="str">
        <f t="shared" si="3"/>
        <v>LCOE_Wind_Luxembourg</v>
      </c>
      <c r="C101" t="s">
        <v>382</v>
      </c>
      <c r="D101" t="str">
        <f t="shared" si="4"/>
        <v>*LUX</v>
      </c>
      <c r="E101" t="s">
        <v>21</v>
      </c>
      <c r="F101">
        <v>1</v>
      </c>
      <c r="G101">
        <v>0</v>
      </c>
      <c r="H101">
        <v>1</v>
      </c>
      <c r="I101">
        <v>5</v>
      </c>
      <c r="N101" t="s">
        <v>220</v>
      </c>
      <c r="O101" t="str">
        <f t="shared" si="5"/>
        <v>Luxembourg</v>
      </c>
      <c r="R101" t="s">
        <v>86</v>
      </c>
      <c r="S101" t="s">
        <v>87</v>
      </c>
    </row>
    <row r="102" spans="2:19" x14ac:dyDescent="0.3">
      <c r="B102" t="str">
        <f t="shared" si="3"/>
        <v>LCOE_Wind_Latvia</v>
      </c>
      <c r="C102" t="s">
        <v>382</v>
      </c>
      <c r="D102" t="str">
        <f t="shared" si="4"/>
        <v>*LVA</v>
      </c>
      <c r="E102" t="s">
        <v>21</v>
      </c>
      <c r="F102">
        <v>1</v>
      </c>
      <c r="G102">
        <v>0</v>
      </c>
      <c r="H102">
        <v>1</v>
      </c>
      <c r="I102">
        <v>5</v>
      </c>
      <c r="N102" t="s">
        <v>222</v>
      </c>
      <c r="O102" t="str">
        <f t="shared" si="5"/>
        <v>Latvia</v>
      </c>
      <c r="R102" t="s">
        <v>274</v>
      </c>
      <c r="S102" t="s">
        <v>275</v>
      </c>
    </row>
    <row r="103" spans="2:19" x14ac:dyDescent="0.3">
      <c r="B103" t="str">
        <f t="shared" si="3"/>
        <v>LCOE_Wind_Morocco</v>
      </c>
      <c r="C103" t="s">
        <v>382</v>
      </c>
      <c r="D103" t="str">
        <f t="shared" si="4"/>
        <v>*MAR</v>
      </c>
      <c r="E103" t="s">
        <v>21</v>
      </c>
      <c r="F103">
        <v>1</v>
      </c>
      <c r="G103">
        <v>0</v>
      </c>
      <c r="H103">
        <v>1</v>
      </c>
      <c r="I103">
        <v>5</v>
      </c>
      <c r="N103" t="s">
        <v>224</v>
      </c>
      <c r="O103" t="str">
        <f t="shared" si="5"/>
        <v>Morocco</v>
      </c>
      <c r="R103" t="s">
        <v>196</v>
      </c>
      <c r="S103" t="s">
        <v>197</v>
      </c>
    </row>
    <row r="104" spans="2:19" x14ac:dyDescent="0.3">
      <c r="B104" t="str">
        <f t="shared" si="3"/>
        <v>LCOE_Wind_Moldova</v>
      </c>
      <c r="C104" t="s">
        <v>382</v>
      </c>
      <c r="D104" t="str">
        <f t="shared" si="4"/>
        <v>*MDA</v>
      </c>
      <c r="E104" t="s">
        <v>21</v>
      </c>
      <c r="F104">
        <v>1</v>
      </c>
      <c r="G104">
        <v>0</v>
      </c>
      <c r="H104">
        <v>1</v>
      </c>
      <c r="I104">
        <v>5</v>
      </c>
      <c r="N104" t="s">
        <v>226</v>
      </c>
      <c r="O104" t="str">
        <f t="shared" si="5"/>
        <v>Moldova</v>
      </c>
      <c r="R104" t="s">
        <v>216</v>
      </c>
      <c r="S104" t="s">
        <v>217</v>
      </c>
    </row>
    <row r="105" spans="2:19" x14ac:dyDescent="0.3">
      <c r="B105" t="str">
        <f t="shared" si="3"/>
        <v>LCOE_Wind_Madagascar</v>
      </c>
      <c r="C105" t="s">
        <v>382</v>
      </c>
      <c r="D105" t="str">
        <f t="shared" si="4"/>
        <v>*MDG</v>
      </c>
      <c r="E105" t="s">
        <v>21</v>
      </c>
      <c r="F105">
        <v>1</v>
      </c>
      <c r="G105">
        <v>0</v>
      </c>
      <c r="H105">
        <v>1</v>
      </c>
      <c r="I105">
        <v>5</v>
      </c>
      <c r="N105" t="s">
        <v>228</v>
      </c>
      <c r="O105" t="str">
        <f t="shared" si="5"/>
        <v>Madagascar</v>
      </c>
      <c r="R105" t="s">
        <v>210</v>
      </c>
      <c r="S105" t="s">
        <v>211</v>
      </c>
    </row>
    <row r="106" spans="2:19" x14ac:dyDescent="0.3">
      <c r="B106" t="str">
        <f t="shared" si="3"/>
        <v>LCOE_Wind_Maldives</v>
      </c>
      <c r="C106" t="s">
        <v>382</v>
      </c>
      <c r="D106" t="str">
        <f t="shared" si="4"/>
        <v>*MDV</v>
      </c>
      <c r="E106" t="s">
        <v>21</v>
      </c>
      <c r="F106">
        <v>1</v>
      </c>
      <c r="G106">
        <v>0</v>
      </c>
      <c r="H106">
        <v>1</v>
      </c>
      <c r="I106">
        <v>5</v>
      </c>
      <c r="N106" t="s">
        <v>230</v>
      </c>
      <c r="O106" t="str">
        <f t="shared" si="5"/>
        <v>Maldives</v>
      </c>
      <c r="R106" t="s">
        <v>290</v>
      </c>
      <c r="S106" t="s">
        <v>291</v>
      </c>
    </row>
    <row r="107" spans="2:19" x14ac:dyDescent="0.3">
      <c r="B107" t="str">
        <f t="shared" si="3"/>
        <v>LCOE_Wind_Mexico</v>
      </c>
      <c r="C107" t="s">
        <v>382</v>
      </c>
      <c r="D107" t="str">
        <f t="shared" si="4"/>
        <v>*MEX</v>
      </c>
      <c r="E107" t="s">
        <v>21</v>
      </c>
      <c r="F107">
        <v>1</v>
      </c>
      <c r="G107">
        <v>0</v>
      </c>
      <c r="H107">
        <v>1</v>
      </c>
      <c r="I107">
        <v>5</v>
      </c>
      <c r="N107" t="s">
        <v>232</v>
      </c>
      <c r="O107" t="str">
        <f t="shared" si="5"/>
        <v>Mexico</v>
      </c>
      <c r="R107" t="s">
        <v>98</v>
      </c>
      <c r="S107" t="s">
        <v>99</v>
      </c>
    </row>
    <row r="108" spans="2:19" x14ac:dyDescent="0.3">
      <c r="B108" t="str">
        <f t="shared" si="3"/>
        <v>LCOE_Wind_Macedonia</v>
      </c>
      <c r="C108" t="s">
        <v>382</v>
      </c>
      <c r="D108" t="str">
        <f t="shared" si="4"/>
        <v>*MKD</v>
      </c>
      <c r="E108" t="s">
        <v>21</v>
      </c>
      <c r="F108">
        <v>1</v>
      </c>
      <c r="G108">
        <v>0</v>
      </c>
      <c r="H108">
        <v>1</v>
      </c>
      <c r="I108">
        <v>5</v>
      </c>
      <c r="N108" t="s">
        <v>234</v>
      </c>
      <c r="O108" t="str">
        <f t="shared" si="5"/>
        <v>Macedonia</v>
      </c>
      <c r="R108" t="s">
        <v>212</v>
      </c>
      <c r="S108" t="s">
        <v>213</v>
      </c>
    </row>
    <row r="109" spans="2:19" x14ac:dyDescent="0.3">
      <c r="B109" t="str">
        <f t="shared" si="3"/>
        <v>LCOE_Wind_Mali</v>
      </c>
      <c r="C109" t="s">
        <v>382</v>
      </c>
      <c r="D109" t="str">
        <f t="shared" si="4"/>
        <v>*MLI</v>
      </c>
      <c r="E109" t="s">
        <v>21</v>
      </c>
      <c r="F109">
        <v>1</v>
      </c>
      <c r="G109">
        <v>0</v>
      </c>
      <c r="H109">
        <v>1</v>
      </c>
      <c r="I109">
        <v>5</v>
      </c>
      <c r="N109" t="s">
        <v>236</v>
      </c>
      <c r="O109" t="str">
        <f t="shared" si="5"/>
        <v>Mali</v>
      </c>
      <c r="R109" t="s">
        <v>100</v>
      </c>
      <c r="S109" t="s">
        <v>101</v>
      </c>
    </row>
    <row r="110" spans="2:19" x14ac:dyDescent="0.3">
      <c r="B110" t="str">
        <f t="shared" si="3"/>
        <v>LCOE_Wind_Malta</v>
      </c>
      <c r="C110" t="s">
        <v>382</v>
      </c>
      <c r="D110" t="str">
        <f t="shared" si="4"/>
        <v>*MLT</v>
      </c>
      <c r="E110" t="s">
        <v>21</v>
      </c>
      <c r="F110">
        <v>1</v>
      </c>
      <c r="G110">
        <v>0</v>
      </c>
      <c r="H110">
        <v>1</v>
      </c>
      <c r="I110">
        <v>5</v>
      </c>
      <c r="N110" t="s">
        <v>238</v>
      </c>
      <c r="O110" t="str">
        <f t="shared" si="5"/>
        <v>Malta</v>
      </c>
      <c r="R110" t="s">
        <v>208</v>
      </c>
      <c r="S110" t="s">
        <v>209</v>
      </c>
    </row>
    <row r="111" spans="2:19" x14ac:dyDescent="0.3">
      <c r="B111" t="str">
        <f t="shared" si="3"/>
        <v>LCOE_Wind_Myanmar</v>
      </c>
      <c r="C111" t="s">
        <v>382</v>
      </c>
      <c r="D111" t="str">
        <f t="shared" si="4"/>
        <v>*MMR</v>
      </c>
      <c r="E111" t="s">
        <v>21</v>
      </c>
      <c r="F111">
        <v>1</v>
      </c>
      <c r="G111">
        <v>0</v>
      </c>
      <c r="H111">
        <v>1</v>
      </c>
      <c r="I111">
        <v>5</v>
      </c>
      <c r="N111" t="s">
        <v>240</v>
      </c>
      <c r="O111" t="str">
        <f t="shared" si="5"/>
        <v>Myanmar</v>
      </c>
      <c r="R111" t="s">
        <v>228</v>
      </c>
      <c r="S111" t="s">
        <v>229</v>
      </c>
    </row>
    <row r="112" spans="2:19" x14ac:dyDescent="0.3">
      <c r="B112" t="str">
        <f t="shared" si="3"/>
        <v>LCOE_Wind_Mongolia</v>
      </c>
      <c r="C112" t="s">
        <v>382</v>
      </c>
      <c r="D112" t="str">
        <f t="shared" si="4"/>
        <v>*MNG</v>
      </c>
      <c r="E112" t="s">
        <v>21</v>
      </c>
      <c r="F112">
        <v>1</v>
      </c>
      <c r="G112">
        <v>0</v>
      </c>
      <c r="H112">
        <v>1</v>
      </c>
      <c r="I112">
        <v>5</v>
      </c>
      <c r="N112" t="s">
        <v>242</v>
      </c>
      <c r="O112" t="str">
        <f t="shared" si="5"/>
        <v>Mongolia</v>
      </c>
      <c r="R112" t="s">
        <v>392</v>
      </c>
      <c r="S112" t="s">
        <v>399</v>
      </c>
    </row>
    <row r="113" spans="2:19" x14ac:dyDescent="0.3">
      <c r="B113" t="str">
        <f t="shared" si="3"/>
        <v>LCOE_Wind_Mozambique</v>
      </c>
      <c r="C113" t="s">
        <v>382</v>
      </c>
      <c r="D113" t="str">
        <f t="shared" si="4"/>
        <v>*MOZ</v>
      </c>
      <c r="E113" t="s">
        <v>21</v>
      </c>
      <c r="F113">
        <v>1</v>
      </c>
      <c r="G113">
        <v>0</v>
      </c>
      <c r="H113">
        <v>1</v>
      </c>
      <c r="I113">
        <v>5</v>
      </c>
      <c r="N113" t="s">
        <v>244</v>
      </c>
      <c r="O113" t="str">
        <f t="shared" si="5"/>
        <v>Mozambique</v>
      </c>
      <c r="R113" t="s">
        <v>164</v>
      </c>
      <c r="S113" t="s">
        <v>165</v>
      </c>
    </row>
    <row r="114" spans="2:19" x14ac:dyDescent="0.3">
      <c r="B114" t="str">
        <f t="shared" si="3"/>
        <v>LCOE_Wind_Mauritania</v>
      </c>
      <c r="C114" t="s">
        <v>382</v>
      </c>
      <c r="D114" t="str">
        <f t="shared" si="4"/>
        <v>*MRT</v>
      </c>
      <c r="E114" t="s">
        <v>21</v>
      </c>
      <c r="F114">
        <v>1</v>
      </c>
      <c r="G114">
        <v>0</v>
      </c>
      <c r="H114">
        <v>1</v>
      </c>
      <c r="I114">
        <v>5</v>
      </c>
      <c r="N114" t="s">
        <v>246</v>
      </c>
      <c r="O114" t="str">
        <f t="shared" si="5"/>
        <v>Mauritania</v>
      </c>
      <c r="R114" t="s">
        <v>40</v>
      </c>
      <c r="S114" t="s">
        <v>41</v>
      </c>
    </row>
    <row r="115" spans="2:19" x14ac:dyDescent="0.3">
      <c r="B115" t="str">
        <f t="shared" si="3"/>
        <v>LCOE_Wind_Mauritius</v>
      </c>
      <c r="C115" t="s">
        <v>382</v>
      </c>
      <c r="D115" t="str">
        <f t="shared" si="4"/>
        <v>*MUS</v>
      </c>
      <c r="E115" t="s">
        <v>21</v>
      </c>
      <c r="F115">
        <v>1</v>
      </c>
      <c r="G115">
        <v>0</v>
      </c>
      <c r="H115">
        <v>1</v>
      </c>
      <c r="I115">
        <v>5</v>
      </c>
      <c r="N115" t="s">
        <v>248</v>
      </c>
      <c r="O115" t="str">
        <f t="shared" si="5"/>
        <v>Mauritius</v>
      </c>
      <c r="R115" t="s">
        <v>280</v>
      </c>
      <c r="S115" t="s">
        <v>281</v>
      </c>
    </row>
    <row r="116" spans="2:19" x14ac:dyDescent="0.3">
      <c r="B116" t="str">
        <f t="shared" si="3"/>
        <v>LCOE_Wind_Malawi</v>
      </c>
      <c r="C116" t="s">
        <v>382</v>
      </c>
      <c r="D116" t="str">
        <f t="shared" si="4"/>
        <v>*MWI</v>
      </c>
      <c r="E116" t="s">
        <v>21</v>
      </c>
      <c r="F116">
        <v>1</v>
      </c>
      <c r="G116">
        <v>0</v>
      </c>
      <c r="H116">
        <v>1</v>
      </c>
      <c r="I116">
        <v>5</v>
      </c>
      <c r="N116" t="s">
        <v>250</v>
      </c>
      <c r="O116" t="str">
        <f t="shared" si="5"/>
        <v>Malawi</v>
      </c>
      <c r="R116" t="s">
        <v>250</v>
      </c>
      <c r="S116" t="s">
        <v>251</v>
      </c>
    </row>
    <row r="117" spans="2:19" x14ac:dyDescent="0.3">
      <c r="B117" t="str">
        <f t="shared" si="3"/>
        <v>LCOE_Wind_Malaysia</v>
      </c>
      <c r="C117" t="s">
        <v>382</v>
      </c>
      <c r="D117" t="str">
        <f t="shared" si="4"/>
        <v>*MYS</v>
      </c>
      <c r="E117" t="s">
        <v>21</v>
      </c>
      <c r="F117">
        <v>1</v>
      </c>
      <c r="G117">
        <v>0</v>
      </c>
      <c r="H117">
        <v>1</v>
      </c>
      <c r="I117">
        <v>5</v>
      </c>
      <c r="N117" t="s">
        <v>252</v>
      </c>
      <c r="O117" t="str">
        <f t="shared" si="5"/>
        <v>Malaysia</v>
      </c>
      <c r="R117" t="s">
        <v>236</v>
      </c>
      <c r="S117" t="s">
        <v>237</v>
      </c>
    </row>
    <row r="118" spans="2:19" x14ac:dyDescent="0.3">
      <c r="B118" t="str">
        <f t="shared" si="3"/>
        <v>LCOE_Wind_New Caledonia</v>
      </c>
      <c r="C118" t="s">
        <v>382</v>
      </c>
      <c r="D118" t="str">
        <f t="shared" si="4"/>
        <v>*NCL</v>
      </c>
      <c r="E118" t="s">
        <v>21</v>
      </c>
      <c r="F118">
        <v>1</v>
      </c>
      <c r="G118">
        <v>0</v>
      </c>
      <c r="H118">
        <v>1</v>
      </c>
      <c r="I118">
        <v>5</v>
      </c>
      <c r="N118" t="s">
        <v>254</v>
      </c>
      <c r="O118" t="str">
        <f t="shared" si="5"/>
        <v>New Caledonia</v>
      </c>
      <c r="R118" t="s">
        <v>206</v>
      </c>
      <c r="S118" t="s">
        <v>207</v>
      </c>
    </row>
    <row r="119" spans="2:19" x14ac:dyDescent="0.3">
      <c r="B119" t="str">
        <f t="shared" si="3"/>
        <v>LCOE_Wind_Niger</v>
      </c>
      <c r="C119" t="s">
        <v>382</v>
      </c>
      <c r="D119" t="str">
        <f t="shared" si="4"/>
        <v>*NER</v>
      </c>
      <c r="E119" t="s">
        <v>21</v>
      </c>
      <c r="F119">
        <v>1</v>
      </c>
      <c r="G119">
        <v>0</v>
      </c>
      <c r="H119">
        <v>1</v>
      </c>
      <c r="I119">
        <v>5</v>
      </c>
      <c r="N119" t="s">
        <v>256</v>
      </c>
      <c r="O119" t="str">
        <f t="shared" si="5"/>
        <v>Niger</v>
      </c>
      <c r="R119" t="s">
        <v>242</v>
      </c>
      <c r="S119" t="s">
        <v>243</v>
      </c>
    </row>
    <row r="120" spans="2:19" x14ac:dyDescent="0.3">
      <c r="B120" t="str">
        <f t="shared" si="3"/>
        <v>LCOE_Wind_Nigeria</v>
      </c>
      <c r="C120" t="s">
        <v>382</v>
      </c>
      <c r="D120" t="str">
        <f t="shared" si="4"/>
        <v>*NGA</v>
      </c>
      <c r="E120" t="s">
        <v>21</v>
      </c>
      <c r="F120">
        <v>1</v>
      </c>
      <c r="G120">
        <v>0</v>
      </c>
      <c r="H120">
        <v>1</v>
      </c>
      <c r="I120">
        <v>5</v>
      </c>
      <c r="N120" t="s">
        <v>258</v>
      </c>
      <c r="O120" t="str">
        <f t="shared" si="5"/>
        <v>Nigeria</v>
      </c>
      <c r="R120" t="s">
        <v>360</v>
      </c>
      <c r="S120" t="s">
        <v>361</v>
      </c>
    </row>
    <row r="121" spans="2:19" x14ac:dyDescent="0.3">
      <c r="B121" t="str">
        <f t="shared" si="3"/>
        <v>LCOE_Wind_Nicaragua</v>
      </c>
      <c r="C121" t="s">
        <v>382</v>
      </c>
      <c r="D121" t="str">
        <f t="shared" si="4"/>
        <v>*NIC</v>
      </c>
      <c r="E121" t="s">
        <v>21</v>
      </c>
      <c r="F121">
        <v>1</v>
      </c>
      <c r="G121">
        <v>0</v>
      </c>
      <c r="H121">
        <v>1</v>
      </c>
      <c r="I121">
        <v>5</v>
      </c>
      <c r="N121" t="s">
        <v>260</v>
      </c>
      <c r="O121" t="str">
        <f t="shared" si="5"/>
        <v>Nicaragua</v>
      </c>
      <c r="R121" t="s">
        <v>168</v>
      </c>
      <c r="S121" t="s">
        <v>169</v>
      </c>
    </row>
    <row r="122" spans="2:19" x14ac:dyDescent="0.3">
      <c r="B122" t="str">
        <f t="shared" si="3"/>
        <v>LCOE_Wind_Netherlands</v>
      </c>
      <c r="C122" t="s">
        <v>382</v>
      </c>
      <c r="D122" t="str">
        <f t="shared" si="4"/>
        <v>*NLD</v>
      </c>
      <c r="E122" t="s">
        <v>21</v>
      </c>
      <c r="F122">
        <v>1</v>
      </c>
      <c r="G122">
        <v>0</v>
      </c>
      <c r="H122">
        <v>1</v>
      </c>
      <c r="I122">
        <v>5</v>
      </c>
      <c r="N122" t="s">
        <v>262</v>
      </c>
      <c r="O122" t="str">
        <f t="shared" si="5"/>
        <v>Netherlands</v>
      </c>
      <c r="R122" t="s">
        <v>54</v>
      </c>
      <c r="S122" t="s">
        <v>55</v>
      </c>
    </row>
    <row r="123" spans="2:19" x14ac:dyDescent="0.3">
      <c r="B123" t="str">
        <f t="shared" si="3"/>
        <v>LCOE_Wind_Norway</v>
      </c>
      <c r="C123" t="s">
        <v>382</v>
      </c>
      <c r="D123" t="str">
        <f t="shared" si="4"/>
        <v>*NOR</v>
      </c>
      <c r="E123" t="s">
        <v>21</v>
      </c>
      <c r="F123">
        <v>1</v>
      </c>
      <c r="G123">
        <v>0</v>
      </c>
      <c r="H123">
        <v>1</v>
      </c>
      <c r="I123">
        <v>5</v>
      </c>
      <c r="N123" t="s">
        <v>264</v>
      </c>
      <c r="O123" t="str">
        <f t="shared" si="5"/>
        <v>Norway</v>
      </c>
      <c r="R123" t="s">
        <v>166</v>
      </c>
      <c r="S123" t="s">
        <v>167</v>
      </c>
    </row>
    <row r="124" spans="2:19" x14ac:dyDescent="0.3">
      <c r="B124" t="str">
        <f t="shared" si="3"/>
        <v>LCOE_Wind_Nepal</v>
      </c>
      <c r="C124" t="s">
        <v>382</v>
      </c>
      <c r="D124" t="str">
        <f t="shared" si="4"/>
        <v>*NPL</v>
      </c>
      <c r="E124" t="s">
        <v>21</v>
      </c>
      <c r="F124">
        <v>1</v>
      </c>
      <c r="G124">
        <v>0</v>
      </c>
      <c r="H124">
        <v>1</v>
      </c>
      <c r="I124">
        <v>5</v>
      </c>
      <c r="N124" t="s">
        <v>266</v>
      </c>
      <c r="O124" t="str">
        <f t="shared" si="5"/>
        <v>Nepal</v>
      </c>
      <c r="R124" t="s">
        <v>340</v>
      </c>
      <c r="S124" t="s">
        <v>341</v>
      </c>
    </row>
    <row r="125" spans="2:19" x14ac:dyDescent="0.3">
      <c r="B125" t="str">
        <f t="shared" si="3"/>
        <v>LCOE_Wind_New Zealand</v>
      </c>
      <c r="C125" t="s">
        <v>382</v>
      </c>
      <c r="D125" t="str">
        <f t="shared" si="4"/>
        <v>*NZL</v>
      </c>
      <c r="E125" t="s">
        <v>21</v>
      </c>
      <c r="F125">
        <v>1</v>
      </c>
      <c r="G125">
        <v>0</v>
      </c>
      <c r="H125">
        <v>1</v>
      </c>
      <c r="I125">
        <v>5</v>
      </c>
      <c r="N125" t="s">
        <v>268</v>
      </c>
      <c r="O125" t="str">
        <f t="shared" si="5"/>
        <v>New Zealand</v>
      </c>
      <c r="R125" t="s">
        <v>246</v>
      </c>
      <c r="S125" t="s">
        <v>247</v>
      </c>
    </row>
    <row r="126" spans="2:19" x14ac:dyDescent="0.3">
      <c r="B126" t="str">
        <f t="shared" si="3"/>
        <v>LCOE_Wind_Oman</v>
      </c>
      <c r="C126" t="s">
        <v>382</v>
      </c>
      <c r="D126" t="str">
        <f t="shared" si="4"/>
        <v>*OMN</v>
      </c>
      <c r="E126" t="s">
        <v>21</v>
      </c>
      <c r="F126">
        <v>1</v>
      </c>
      <c r="G126">
        <v>0</v>
      </c>
      <c r="H126">
        <v>1</v>
      </c>
      <c r="I126">
        <v>5</v>
      </c>
      <c r="N126" t="s">
        <v>270</v>
      </c>
      <c r="O126" t="str">
        <f t="shared" si="5"/>
        <v>Oman</v>
      </c>
      <c r="R126" t="s">
        <v>284</v>
      </c>
      <c r="S126" t="s">
        <v>285</v>
      </c>
    </row>
    <row r="127" spans="2:19" x14ac:dyDescent="0.3">
      <c r="B127" t="str">
        <f t="shared" si="3"/>
        <v>LCOE_Wind_Pakistan</v>
      </c>
      <c r="C127" t="s">
        <v>382</v>
      </c>
      <c r="D127" t="str">
        <f t="shared" si="4"/>
        <v>*PAK</v>
      </c>
      <c r="E127" t="s">
        <v>21</v>
      </c>
      <c r="F127">
        <v>1</v>
      </c>
      <c r="G127">
        <v>0</v>
      </c>
      <c r="H127">
        <v>1</v>
      </c>
      <c r="I127">
        <v>5</v>
      </c>
      <c r="N127" t="s">
        <v>272</v>
      </c>
      <c r="O127" t="str">
        <f t="shared" si="5"/>
        <v>Pakistan</v>
      </c>
      <c r="R127" t="s">
        <v>318</v>
      </c>
      <c r="S127" t="s">
        <v>319</v>
      </c>
    </row>
    <row r="128" spans="2:19" x14ac:dyDescent="0.3">
      <c r="B128" t="str">
        <f t="shared" si="3"/>
        <v>LCOE_Wind_Panama</v>
      </c>
      <c r="C128" t="s">
        <v>382</v>
      </c>
      <c r="D128" t="str">
        <f t="shared" si="4"/>
        <v>*PAN</v>
      </c>
      <c r="E128" t="s">
        <v>21</v>
      </c>
      <c r="F128">
        <v>1</v>
      </c>
      <c r="G128">
        <v>0</v>
      </c>
      <c r="H128">
        <v>1</v>
      </c>
      <c r="I128">
        <v>5</v>
      </c>
      <c r="N128" t="s">
        <v>274</v>
      </c>
      <c r="O128" t="str">
        <f t="shared" si="5"/>
        <v>Panama</v>
      </c>
      <c r="R128" t="s">
        <v>218</v>
      </c>
      <c r="S128" t="s">
        <v>219</v>
      </c>
    </row>
    <row r="129" spans="2:19" x14ac:dyDescent="0.3">
      <c r="B129" t="str">
        <f t="shared" si="3"/>
        <v>LCOE_Wind_Peru</v>
      </c>
      <c r="C129" t="s">
        <v>382</v>
      </c>
      <c r="D129" t="str">
        <f t="shared" si="4"/>
        <v>*PER</v>
      </c>
      <c r="E129" t="s">
        <v>21</v>
      </c>
      <c r="F129">
        <v>1</v>
      </c>
      <c r="G129">
        <v>0</v>
      </c>
      <c r="H129">
        <v>1</v>
      </c>
      <c r="I129">
        <v>5</v>
      </c>
      <c r="N129" t="s">
        <v>276</v>
      </c>
      <c r="O129" t="str">
        <f t="shared" si="5"/>
        <v>Peru</v>
      </c>
      <c r="R129" t="s">
        <v>326</v>
      </c>
      <c r="S129" t="s">
        <v>327</v>
      </c>
    </row>
    <row r="130" spans="2:19" x14ac:dyDescent="0.3">
      <c r="B130" t="str">
        <f t="shared" si="3"/>
        <v>LCOE_Wind_Philippines</v>
      </c>
      <c r="C130" t="s">
        <v>382</v>
      </c>
      <c r="D130" t="str">
        <f t="shared" si="4"/>
        <v>*PHL</v>
      </c>
      <c r="E130" t="s">
        <v>21</v>
      </c>
      <c r="F130">
        <v>1</v>
      </c>
      <c r="G130">
        <v>0</v>
      </c>
      <c r="H130">
        <v>1</v>
      </c>
      <c r="I130">
        <v>5</v>
      </c>
      <c r="N130" t="s">
        <v>278</v>
      </c>
      <c r="O130" t="str">
        <f t="shared" si="5"/>
        <v>Philippines</v>
      </c>
      <c r="R130" t="s">
        <v>260</v>
      </c>
      <c r="S130" t="s">
        <v>261</v>
      </c>
    </row>
    <row r="131" spans="2:19" x14ac:dyDescent="0.3">
      <c r="B131" t="str">
        <f t="shared" si="3"/>
        <v>LCOE_Wind_Papua New Guinea</v>
      </c>
      <c r="C131" t="s">
        <v>382</v>
      </c>
      <c r="D131" t="str">
        <f t="shared" si="4"/>
        <v>*PNG</v>
      </c>
      <c r="E131" t="s">
        <v>21</v>
      </c>
      <c r="F131">
        <v>1</v>
      </c>
      <c r="G131">
        <v>0</v>
      </c>
      <c r="H131">
        <v>1</v>
      </c>
      <c r="I131">
        <v>5</v>
      </c>
      <c r="N131" t="s">
        <v>280</v>
      </c>
      <c r="O131" t="str">
        <f t="shared" si="5"/>
        <v>Papua New Guinea</v>
      </c>
      <c r="R131" t="s">
        <v>248</v>
      </c>
      <c r="S131" t="s">
        <v>249</v>
      </c>
    </row>
    <row r="132" spans="2:19" x14ac:dyDescent="0.3">
      <c r="B132" t="str">
        <f t="shared" si="3"/>
        <v>LCOE_Wind_Poland</v>
      </c>
      <c r="C132" t="s">
        <v>382</v>
      </c>
      <c r="D132" t="str">
        <f t="shared" si="4"/>
        <v>*POL</v>
      </c>
      <c r="E132" t="s">
        <v>21</v>
      </c>
      <c r="F132">
        <v>1</v>
      </c>
      <c r="G132">
        <v>0</v>
      </c>
      <c r="H132">
        <v>1</v>
      </c>
      <c r="I132">
        <v>5</v>
      </c>
      <c r="N132" t="s">
        <v>282</v>
      </c>
      <c r="O132" t="str">
        <f t="shared" si="5"/>
        <v>Poland</v>
      </c>
      <c r="R132" t="s">
        <v>400</v>
      </c>
      <c r="S132" t="s">
        <v>401</v>
      </c>
    </row>
    <row r="133" spans="2:19" x14ac:dyDescent="0.3">
      <c r="B133" t="str">
        <f t="shared" si="3"/>
        <v>LCOE_Wind_Puerto Rico</v>
      </c>
      <c r="C133" t="s">
        <v>382</v>
      </c>
      <c r="D133" t="str">
        <f t="shared" si="4"/>
        <v>*PRI</v>
      </c>
      <c r="E133" t="s">
        <v>21</v>
      </c>
      <c r="F133">
        <v>1</v>
      </c>
      <c r="G133">
        <v>0</v>
      </c>
      <c r="H133">
        <v>1</v>
      </c>
      <c r="I133">
        <v>5</v>
      </c>
      <c r="N133" t="s">
        <v>284</v>
      </c>
      <c r="O133" t="str">
        <f t="shared" si="5"/>
        <v>Puerto Rico</v>
      </c>
      <c r="R133" t="s">
        <v>140</v>
      </c>
      <c r="S133" t="s">
        <v>141</v>
      </c>
    </row>
    <row r="134" spans="2:19" x14ac:dyDescent="0.3">
      <c r="B134" t="str">
        <f t="shared" si="3"/>
        <v>LCOE_Wind_Dem. People^s Rep. Korea</v>
      </c>
      <c r="C134" t="s">
        <v>382</v>
      </c>
      <c r="D134" t="str">
        <f t="shared" si="4"/>
        <v>*PRK</v>
      </c>
      <c r="E134" t="s">
        <v>21</v>
      </c>
      <c r="F134">
        <v>1</v>
      </c>
      <c r="G134">
        <v>0</v>
      </c>
      <c r="H134">
        <v>1</v>
      </c>
      <c r="I134">
        <v>5</v>
      </c>
      <c r="N134" t="s">
        <v>286</v>
      </c>
      <c r="O134" t="str">
        <f t="shared" si="5"/>
        <v>Dem. People^s Rep. Korea</v>
      </c>
      <c r="R134" t="s">
        <v>58</v>
      </c>
      <c r="S134" t="s">
        <v>59</v>
      </c>
    </row>
    <row r="135" spans="2:19" x14ac:dyDescent="0.3">
      <c r="B135" t="str">
        <f t="shared" si="3"/>
        <v>LCOE_Wind_Portugal</v>
      </c>
      <c r="C135" t="s">
        <v>382</v>
      </c>
      <c r="D135" t="str">
        <f t="shared" si="4"/>
        <v>*PRT</v>
      </c>
      <c r="E135" t="s">
        <v>21</v>
      </c>
      <c r="F135">
        <v>1</v>
      </c>
      <c r="G135">
        <v>0</v>
      </c>
      <c r="H135">
        <v>1</v>
      </c>
      <c r="I135">
        <v>5</v>
      </c>
      <c r="N135" t="s">
        <v>288</v>
      </c>
      <c r="O135" t="str">
        <f t="shared" si="5"/>
        <v>Portugal</v>
      </c>
      <c r="R135" t="s">
        <v>224</v>
      </c>
      <c r="S135" t="s">
        <v>225</v>
      </c>
    </row>
    <row r="136" spans="2:19" x14ac:dyDescent="0.3">
      <c r="B136" t="str">
        <f t="shared" ref="B136:B178" si="6">"LCOE_Wind_"&amp;O136</f>
        <v>LCOE_Wind_Paraguay</v>
      </c>
      <c r="C136" t="s">
        <v>382</v>
      </c>
      <c r="D136" t="str">
        <f t="shared" ref="D136:D170" si="7">"*"&amp;N136</f>
        <v>*PRY</v>
      </c>
      <c r="E136" t="s">
        <v>21</v>
      </c>
      <c r="F136">
        <v>1</v>
      </c>
      <c r="G136">
        <v>0</v>
      </c>
      <c r="H136">
        <v>1</v>
      </c>
      <c r="I136">
        <v>5</v>
      </c>
      <c r="N136" t="s">
        <v>290</v>
      </c>
      <c r="O136" t="str">
        <f t="shared" ref="O136:O178" si="8">VLOOKUP(N136,$R$7:$S$999,2,FALSE)</f>
        <v>Paraguay</v>
      </c>
      <c r="R136" t="s">
        <v>198</v>
      </c>
      <c r="S136" t="s">
        <v>199</v>
      </c>
    </row>
    <row r="137" spans="2:19" x14ac:dyDescent="0.3">
      <c r="B137" t="str">
        <f t="shared" si="6"/>
        <v>LCOE_Wind_French Polynesia</v>
      </c>
      <c r="C137" t="s">
        <v>382</v>
      </c>
      <c r="D137" t="str">
        <f t="shared" si="7"/>
        <v>*PYF</v>
      </c>
      <c r="E137" t="s">
        <v>21</v>
      </c>
      <c r="F137">
        <v>1</v>
      </c>
      <c r="G137">
        <v>0</v>
      </c>
      <c r="H137">
        <v>1</v>
      </c>
      <c r="I137">
        <v>5</v>
      </c>
      <c r="N137" t="s">
        <v>294</v>
      </c>
      <c r="O137" t="str">
        <f t="shared" si="8"/>
        <v>French Polynesia</v>
      </c>
      <c r="R137" t="s">
        <v>244</v>
      </c>
      <c r="S137" t="s">
        <v>245</v>
      </c>
    </row>
    <row r="138" spans="2:19" x14ac:dyDescent="0.3">
      <c r="B138" t="str">
        <f t="shared" si="6"/>
        <v>LCOE_Wind_Qatar</v>
      </c>
      <c r="C138" t="s">
        <v>382</v>
      </c>
      <c r="D138" t="str">
        <f t="shared" si="7"/>
        <v>*QAT</v>
      </c>
      <c r="E138" t="s">
        <v>21</v>
      </c>
      <c r="F138">
        <v>1</v>
      </c>
      <c r="G138">
        <v>0</v>
      </c>
      <c r="H138">
        <v>1</v>
      </c>
      <c r="I138">
        <v>5</v>
      </c>
      <c r="N138" t="s">
        <v>296</v>
      </c>
      <c r="O138" t="str">
        <f t="shared" si="8"/>
        <v>Qatar</v>
      </c>
      <c r="R138" t="s">
        <v>386</v>
      </c>
      <c r="S138" t="s">
        <v>402</v>
      </c>
    </row>
    <row r="139" spans="2:19" x14ac:dyDescent="0.3">
      <c r="B139" t="str">
        <f t="shared" si="6"/>
        <v>LCOE_Wind_Romania</v>
      </c>
      <c r="C139" t="s">
        <v>382</v>
      </c>
      <c r="D139" t="str">
        <f t="shared" si="7"/>
        <v>*ROM</v>
      </c>
      <c r="E139" t="s">
        <v>21</v>
      </c>
      <c r="F139">
        <v>1</v>
      </c>
      <c r="G139">
        <v>0</v>
      </c>
      <c r="H139">
        <v>1</v>
      </c>
      <c r="I139">
        <v>5</v>
      </c>
      <c r="N139" t="s">
        <v>300</v>
      </c>
      <c r="O139" t="str">
        <f t="shared" si="8"/>
        <v>Romania</v>
      </c>
      <c r="R139" t="s">
        <v>222</v>
      </c>
      <c r="S139" t="s">
        <v>223</v>
      </c>
    </row>
    <row r="140" spans="2:19" x14ac:dyDescent="0.3">
      <c r="B140" t="str">
        <f t="shared" si="6"/>
        <v>LCOE_Wind_Russia</v>
      </c>
      <c r="C140" t="s">
        <v>382</v>
      </c>
      <c r="D140" t="str">
        <f t="shared" si="7"/>
        <v>*RUS</v>
      </c>
      <c r="E140" t="s">
        <v>21</v>
      </c>
      <c r="F140">
        <v>1</v>
      </c>
      <c r="G140">
        <v>0</v>
      </c>
      <c r="H140">
        <v>1</v>
      </c>
      <c r="I140">
        <v>5</v>
      </c>
      <c r="N140" t="s">
        <v>302</v>
      </c>
      <c r="O140" t="str">
        <f t="shared" si="8"/>
        <v>Russia</v>
      </c>
      <c r="R140" t="s">
        <v>256</v>
      </c>
      <c r="S140" t="s">
        <v>257</v>
      </c>
    </row>
    <row r="141" spans="2:19" x14ac:dyDescent="0.3">
      <c r="B141" t="str">
        <f t="shared" si="6"/>
        <v>LCOE_Wind_Rwanda</v>
      </c>
      <c r="C141" t="s">
        <v>382</v>
      </c>
      <c r="D141" t="str">
        <f t="shared" si="7"/>
        <v>*RWA</v>
      </c>
      <c r="E141" t="s">
        <v>21</v>
      </c>
      <c r="F141">
        <v>1</v>
      </c>
      <c r="G141">
        <v>0</v>
      </c>
      <c r="H141">
        <v>1</v>
      </c>
      <c r="I141">
        <v>5</v>
      </c>
      <c r="N141" t="s">
        <v>304</v>
      </c>
      <c r="O141" t="str">
        <f t="shared" si="8"/>
        <v>Rwanda</v>
      </c>
      <c r="R141" t="s">
        <v>258</v>
      </c>
      <c r="S141" t="s">
        <v>259</v>
      </c>
    </row>
    <row r="142" spans="2:19" x14ac:dyDescent="0.3">
      <c r="B142" t="str">
        <f t="shared" si="6"/>
        <v>LCOE_Wind_Saudi Arabia</v>
      </c>
      <c r="C142" t="s">
        <v>382</v>
      </c>
      <c r="D142" t="str">
        <f t="shared" si="7"/>
        <v>*SAU</v>
      </c>
      <c r="E142" t="s">
        <v>21</v>
      </c>
      <c r="F142">
        <v>1</v>
      </c>
      <c r="G142">
        <v>0</v>
      </c>
      <c r="H142">
        <v>1</v>
      </c>
      <c r="I142">
        <v>5</v>
      </c>
      <c r="N142" t="s">
        <v>306</v>
      </c>
      <c r="O142" t="str">
        <f t="shared" si="8"/>
        <v>Saudi Arabia</v>
      </c>
      <c r="R142" t="s">
        <v>234</v>
      </c>
      <c r="S142" t="s">
        <v>235</v>
      </c>
    </row>
    <row r="143" spans="2:19" x14ac:dyDescent="0.3">
      <c r="B143" t="str">
        <f t="shared" si="6"/>
        <v>LCOE_Wind_Sudan</v>
      </c>
      <c r="C143" t="s">
        <v>382</v>
      </c>
      <c r="D143" t="str">
        <f t="shared" si="7"/>
        <v>*SDN</v>
      </c>
      <c r="E143" t="s">
        <v>21</v>
      </c>
      <c r="F143">
        <v>1</v>
      </c>
      <c r="G143">
        <v>0</v>
      </c>
      <c r="H143">
        <v>1</v>
      </c>
      <c r="I143">
        <v>5</v>
      </c>
      <c r="N143" t="s">
        <v>308</v>
      </c>
      <c r="O143" t="str">
        <f t="shared" si="8"/>
        <v>Sudan</v>
      </c>
      <c r="R143" t="s">
        <v>220</v>
      </c>
      <c r="S143" t="s">
        <v>221</v>
      </c>
    </row>
    <row r="144" spans="2:19" x14ac:dyDescent="0.3">
      <c r="B144" t="str">
        <f t="shared" si="6"/>
        <v>LCOE_Wind_Senegal</v>
      </c>
      <c r="C144" t="s">
        <v>382</v>
      </c>
      <c r="D144" t="str">
        <f t="shared" si="7"/>
        <v>*SEN</v>
      </c>
      <c r="E144" t="s">
        <v>21</v>
      </c>
      <c r="F144">
        <v>1</v>
      </c>
      <c r="G144">
        <v>0</v>
      </c>
      <c r="H144">
        <v>1</v>
      </c>
      <c r="I144">
        <v>5</v>
      </c>
      <c r="N144" t="s">
        <v>310</v>
      </c>
      <c r="O144" t="str">
        <f t="shared" si="8"/>
        <v>Senegal</v>
      </c>
      <c r="R144" t="s">
        <v>292</v>
      </c>
      <c r="S144" t="s">
        <v>293</v>
      </c>
    </row>
    <row r="145" spans="2:19" x14ac:dyDescent="0.3">
      <c r="B145" t="str">
        <f t="shared" si="6"/>
        <v>LCOE_Wind_Singapore</v>
      </c>
      <c r="C145" t="s">
        <v>382</v>
      </c>
      <c r="D145" t="str">
        <f t="shared" si="7"/>
        <v>*SGP</v>
      </c>
      <c r="E145" t="s">
        <v>21</v>
      </c>
      <c r="F145">
        <v>1</v>
      </c>
      <c r="G145">
        <v>0</v>
      </c>
      <c r="H145">
        <v>1</v>
      </c>
      <c r="I145">
        <v>5</v>
      </c>
      <c r="N145" t="s">
        <v>312</v>
      </c>
      <c r="O145" t="str">
        <f t="shared" si="8"/>
        <v>Singapore</v>
      </c>
      <c r="R145" t="s">
        <v>28</v>
      </c>
      <c r="S145" t="s">
        <v>29</v>
      </c>
    </row>
    <row r="146" spans="2:19" x14ac:dyDescent="0.3">
      <c r="B146" t="str">
        <f t="shared" si="6"/>
        <v>LCOE_Wind_Solomon Islands</v>
      </c>
      <c r="C146" t="s">
        <v>382</v>
      </c>
      <c r="D146" t="str">
        <f t="shared" si="7"/>
        <v>*SLB</v>
      </c>
      <c r="E146" t="s">
        <v>21</v>
      </c>
      <c r="F146">
        <v>1</v>
      </c>
      <c r="G146">
        <v>0</v>
      </c>
      <c r="H146">
        <v>1</v>
      </c>
      <c r="I146">
        <v>5</v>
      </c>
      <c r="N146" t="s">
        <v>314</v>
      </c>
      <c r="O146" t="str">
        <f t="shared" si="8"/>
        <v>Solomon Islands</v>
      </c>
      <c r="R146" t="s">
        <v>90</v>
      </c>
      <c r="S146" t="s">
        <v>91</v>
      </c>
    </row>
    <row r="147" spans="2:19" x14ac:dyDescent="0.3">
      <c r="B147" t="str">
        <f t="shared" si="6"/>
        <v>LCOE_Wind_Sierra Leone</v>
      </c>
      <c r="C147" t="s">
        <v>382</v>
      </c>
      <c r="D147" t="str">
        <f t="shared" si="7"/>
        <v>*SLE</v>
      </c>
      <c r="E147" t="s">
        <v>21</v>
      </c>
      <c r="F147">
        <v>1</v>
      </c>
      <c r="G147">
        <v>0</v>
      </c>
      <c r="H147">
        <v>1</v>
      </c>
      <c r="I147">
        <v>5</v>
      </c>
      <c r="N147" t="s">
        <v>316</v>
      </c>
      <c r="O147" t="str">
        <f t="shared" si="8"/>
        <v>Sierra Leone</v>
      </c>
      <c r="R147" t="s">
        <v>126</v>
      </c>
      <c r="S147" t="s">
        <v>127</v>
      </c>
    </row>
    <row r="148" spans="2:19" x14ac:dyDescent="0.3">
      <c r="B148" t="str">
        <f t="shared" si="6"/>
        <v>LCOE_Wind_El Salvador</v>
      </c>
      <c r="C148" t="s">
        <v>382</v>
      </c>
      <c r="D148" t="str">
        <f t="shared" si="7"/>
        <v>*SLV</v>
      </c>
      <c r="E148" t="s">
        <v>21</v>
      </c>
      <c r="F148">
        <v>1</v>
      </c>
      <c r="G148">
        <v>0</v>
      </c>
      <c r="H148">
        <v>1</v>
      </c>
      <c r="I148">
        <v>5</v>
      </c>
      <c r="N148" t="s">
        <v>318</v>
      </c>
      <c r="O148" t="str">
        <f t="shared" si="8"/>
        <v>El Salvador</v>
      </c>
      <c r="R148" t="s">
        <v>304</v>
      </c>
      <c r="S148" t="s">
        <v>305</v>
      </c>
    </row>
    <row r="149" spans="2:19" x14ac:dyDescent="0.3">
      <c r="B149" t="str">
        <f t="shared" si="6"/>
        <v>LCOE_Wind_Somalia</v>
      </c>
      <c r="C149" t="s">
        <v>382</v>
      </c>
      <c r="D149" t="str">
        <f t="shared" si="7"/>
        <v>*SOM</v>
      </c>
      <c r="E149" t="s">
        <v>21</v>
      </c>
      <c r="F149">
        <v>1</v>
      </c>
      <c r="G149">
        <v>0</v>
      </c>
      <c r="H149">
        <v>1</v>
      </c>
      <c r="I149">
        <v>5</v>
      </c>
      <c r="N149" t="s">
        <v>320</v>
      </c>
      <c r="O149" t="str">
        <f t="shared" si="8"/>
        <v>Somalia</v>
      </c>
      <c r="R149" t="s">
        <v>346</v>
      </c>
      <c r="S149" t="s">
        <v>347</v>
      </c>
    </row>
    <row r="150" spans="2:19" x14ac:dyDescent="0.3">
      <c r="B150" t="str">
        <f t="shared" si="6"/>
        <v>LCOE_Wind_Suriname</v>
      </c>
      <c r="C150" t="s">
        <v>382</v>
      </c>
      <c r="D150" t="str">
        <f t="shared" si="7"/>
        <v>*SUR</v>
      </c>
      <c r="E150" t="s">
        <v>21</v>
      </c>
      <c r="F150">
        <v>1</v>
      </c>
      <c r="G150">
        <v>0</v>
      </c>
      <c r="H150">
        <v>1</v>
      </c>
      <c r="I150">
        <v>5</v>
      </c>
      <c r="N150" t="s">
        <v>322</v>
      </c>
      <c r="O150" t="str">
        <f t="shared" si="8"/>
        <v>Suriname</v>
      </c>
      <c r="R150" t="s">
        <v>403</v>
      </c>
      <c r="S150" t="s">
        <v>404</v>
      </c>
    </row>
    <row r="151" spans="2:19" x14ac:dyDescent="0.3">
      <c r="B151" t="str">
        <f t="shared" si="6"/>
        <v>LCOE_Wind_Slovak Republic</v>
      </c>
      <c r="C151" t="s">
        <v>382</v>
      </c>
      <c r="D151" t="str">
        <f t="shared" si="7"/>
        <v>*SVK</v>
      </c>
      <c r="E151" t="s">
        <v>21</v>
      </c>
      <c r="F151">
        <v>1</v>
      </c>
      <c r="G151">
        <v>0</v>
      </c>
      <c r="H151">
        <v>1</v>
      </c>
      <c r="I151">
        <v>5</v>
      </c>
      <c r="N151" t="s">
        <v>324</v>
      </c>
      <c r="O151" t="str">
        <f t="shared" si="8"/>
        <v>Slovak Republic</v>
      </c>
      <c r="R151" t="s">
        <v>405</v>
      </c>
      <c r="S151" t="s">
        <v>406</v>
      </c>
    </row>
    <row r="152" spans="2:19" x14ac:dyDescent="0.3">
      <c r="B152" t="str">
        <f t="shared" si="6"/>
        <v>LCOE_Wind_Slovenia</v>
      </c>
      <c r="C152" t="s">
        <v>382</v>
      </c>
      <c r="D152" t="str">
        <f t="shared" si="7"/>
        <v>*SVN</v>
      </c>
      <c r="E152" t="s">
        <v>21</v>
      </c>
      <c r="F152">
        <v>1</v>
      </c>
      <c r="G152">
        <v>0</v>
      </c>
      <c r="H152">
        <v>1</v>
      </c>
      <c r="I152">
        <v>5</v>
      </c>
      <c r="N152" t="s">
        <v>326</v>
      </c>
      <c r="O152" t="str">
        <f t="shared" si="8"/>
        <v>Slovenia</v>
      </c>
      <c r="R152" t="s">
        <v>34</v>
      </c>
      <c r="S152" t="s">
        <v>35</v>
      </c>
    </row>
    <row r="153" spans="2:19" x14ac:dyDescent="0.3">
      <c r="B153" t="str">
        <f t="shared" si="6"/>
        <v>LCOE_Wind_Sweden</v>
      </c>
      <c r="C153" t="s">
        <v>382</v>
      </c>
      <c r="D153" t="str">
        <f t="shared" si="7"/>
        <v>*SWE</v>
      </c>
      <c r="E153" t="s">
        <v>21</v>
      </c>
      <c r="F153">
        <v>1</v>
      </c>
      <c r="G153">
        <v>0</v>
      </c>
      <c r="H153">
        <v>1</v>
      </c>
      <c r="I153">
        <v>5</v>
      </c>
      <c r="N153" t="s">
        <v>328</v>
      </c>
      <c r="O153" t="str">
        <f t="shared" si="8"/>
        <v>Sweden</v>
      </c>
      <c r="R153" t="s">
        <v>72</v>
      </c>
      <c r="S153" t="s">
        <v>73</v>
      </c>
    </row>
    <row r="154" spans="2:19" x14ac:dyDescent="0.3">
      <c r="B154" t="str">
        <f t="shared" si="6"/>
        <v>LCOE_Wind_Swaziland</v>
      </c>
      <c r="C154" t="s">
        <v>382</v>
      </c>
      <c r="D154" t="str">
        <f t="shared" si="7"/>
        <v>*SWZ</v>
      </c>
      <c r="E154" t="s">
        <v>21</v>
      </c>
      <c r="F154">
        <v>1</v>
      </c>
      <c r="G154">
        <v>0</v>
      </c>
      <c r="H154">
        <v>1</v>
      </c>
      <c r="I154">
        <v>5</v>
      </c>
      <c r="N154" t="s">
        <v>330</v>
      </c>
      <c r="O154" t="str">
        <f t="shared" si="8"/>
        <v>Swaziland</v>
      </c>
      <c r="R154" t="s">
        <v>226</v>
      </c>
      <c r="S154" t="s">
        <v>227</v>
      </c>
    </row>
    <row r="155" spans="2:19" x14ac:dyDescent="0.3">
      <c r="B155" t="str">
        <f t="shared" si="6"/>
        <v>LCOE_Wind_Syrian Arab Republic</v>
      </c>
      <c r="C155" t="s">
        <v>382</v>
      </c>
      <c r="D155" t="str">
        <f t="shared" si="7"/>
        <v>*SYR</v>
      </c>
      <c r="E155" t="s">
        <v>21</v>
      </c>
      <c r="F155">
        <v>1</v>
      </c>
      <c r="G155">
        <v>0</v>
      </c>
      <c r="H155">
        <v>1</v>
      </c>
      <c r="I155">
        <v>5</v>
      </c>
      <c r="N155" t="s">
        <v>332</v>
      </c>
      <c r="O155" t="str">
        <f t="shared" si="8"/>
        <v>Syrian Arab Republic</v>
      </c>
      <c r="R155" t="s">
        <v>188</v>
      </c>
      <c r="S155" t="s">
        <v>189</v>
      </c>
    </row>
    <row r="156" spans="2:19" x14ac:dyDescent="0.3">
      <c r="B156" t="str">
        <f t="shared" si="6"/>
        <v>LCOE_Wind_Chad</v>
      </c>
      <c r="C156" t="s">
        <v>382</v>
      </c>
      <c r="D156" t="str">
        <f t="shared" si="7"/>
        <v>*TCD</v>
      </c>
      <c r="E156" t="s">
        <v>21</v>
      </c>
      <c r="F156">
        <v>1</v>
      </c>
      <c r="G156">
        <v>0</v>
      </c>
      <c r="H156">
        <v>1</v>
      </c>
      <c r="I156">
        <v>5</v>
      </c>
      <c r="N156" t="s">
        <v>334</v>
      </c>
      <c r="O156" t="str">
        <f t="shared" si="8"/>
        <v>Chad</v>
      </c>
      <c r="R156" t="s">
        <v>102</v>
      </c>
      <c r="S156" t="s">
        <v>103</v>
      </c>
    </row>
    <row r="157" spans="2:19" x14ac:dyDescent="0.3">
      <c r="B157" t="str">
        <f t="shared" si="6"/>
        <v>LCOE_Wind_Togo</v>
      </c>
      <c r="C157" t="s">
        <v>382</v>
      </c>
      <c r="D157" t="str">
        <f t="shared" si="7"/>
        <v>*TGO</v>
      </c>
      <c r="E157" t="s">
        <v>21</v>
      </c>
      <c r="F157">
        <v>1</v>
      </c>
      <c r="G157">
        <v>0</v>
      </c>
      <c r="H157">
        <v>1</v>
      </c>
      <c r="I157">
        <v>5</v>
      </c>
      <c r="N157" t="s">
        <v>336</v>
      </c>
      <c r="O157" t="str">
        <f t="shared" si="8"/>
        <v>Togo</v>
      </c>
      <c r="R157" t="s">
        <v>70</v>
      </c>
      <c r="S157" t="s">
        <v>71</v>
      </c>
    </row>
    <row r="158" spans="2:19" x14ac:dyDescent="0.3">
      <c r="B158" t="str">
        <f t="shared" si="6"/>
        <v>LCOE_Wind_Thailand</v>
      </c>
      <c r="C158" t="s">
        <v>382</v>
      </c>
      <c r="D158" t="str">
        <f t="shared" si="7"/>
        <v>*THA</v>
      </c>
      <c r="E158" t="s">
        <v>21</v>
      </c>
      <c r="F158">
        <v>1</v>
      </c>
      <c r="G158">
        <v>0</v>
      </c>
      <c r="H158">
        <v>1</v>
      </c>
      <c r="I158">
        <v>5</v>
      </c>
      <c r="N158" t="s">
        <v>338</v>
      </c>
      <c r="O158" t="str">
        <f t="shared" si="8"/>
        <v>Thailand</v>
      </c>
      <c r="R158" t="s">
        <v>310</v>
      </c>
      <c r="S158" t="s">
        <v>311</v>
      </c>
    </row>
    <row r="159" spans="2:19" x14ac:dyDescent="0.3">
      <c r="B159" t="str">
        <f t="shared" si="6"/>
        <v>LCOE_Wind_Tajikistan</v>
      </c>
      <c r="C159" t="s">
        <v>382</v>
      </c>
      <c r="D159" t="str">
        <f t="shared" si="7"/>
        <v>*TJK</v>
      </c>
      <c r="E159" t="s">
        <v>21</v>
      </c>
      <c r="F159">
        <v>1</v>
      </c>
      <c r="G159">
        <v>0</v>
      </c>
      <c r="H159">
        <v>1</v>
      </c>
      <c r="I159">
        <v>5</v>
      </c>
      <c r="N159" t="s">
        <v>340</v>
      </c>
      <c r="O159" t="str">
        <f t="shared" si="8"/>
        <v>Tajikistan</v>
      </c>
      <c r="R159" t="s">
        <v>407</v>
      </c>
      <c r="S159" t="s">
        <v>408</v>
      </c>
    </row>
    <row r="160" spans="2:19" x14ac:dyDescent="0.3">
      <c r="B160" t="str">
        <f t="shared" si="6"/>
        <v>LCOE_Wind_Turkmenistan</v>
      </c>
      <c r="C160" t="s">
        <v>382</v>
      </c>
      <c r="D160" t="str">
        <f t="shared" si="7"/>
        <v>*TKM</v>
      </c>
      <c r="E160" t="s">
        <v>21</v>
      </c>
      <c r="F160">
        <v>1</v>
      </c>
      <c r="G160">
        <v>0</v>
      </c>
      <c r="H160">
        <v>1</v>
      </c>
      <c r="I160">
        <v>5</v>
      </c>
      <c r="N160" t="s">
        <v>342</v>
      </c>
      <c r="O160" t="str">
        <f t="shared" si="8"/>
        <v>Turkmenistan</v>
      </c>
      <c r="R160" t="s">
        <v>182</v>
      </c>
      <c r="S160" t="s">
        <v>183</v>
      </c>
    </row>
    <row r="161" spans="2:19" x14ac:dyDescent="0.3">
      <c r="B161" t="str">
        <f t="shared" si="6"/>
        <v>LCOE_Wind_Timor-Leste</v>
      </c>
      <c r="C161" t="s">
        <v>382</v>
      </c>
      <c r="D161" t="str">
        <f t="shared" si="7"/>
        <v>*TMP</v>
      </c>
      <c r="E161" t="s">
        <v>21</v>
      </c>
      <c r="F161">
        <v>1</v>
      </c>
      <c r="G161">
        <v>0</v>
      </c>
      <c r="H161">
        <v>1</v>
      </c>
      <c r="I161">
        <v>5</v>
      </c>
      <c r="N161" t="s">
        <v>344</v>
      </c>
      <c r="O161" t="str">
        <f t="shared" si="8"/>
        <v>Timor-Leste</v>
      </c>
      <c r="R161" t="s">
        <v>316</v>
      </c>
      <c r="S161" t="s">
        <v>317</v>
      </c>
    </row>
    <row r="162" spans="2:19" x14ac:dyDescent="0.3">
      <c r="B162" t="str">
        <f t="shared" si="6"/>
        <v>LCOE_Wind_Trinidad and Tobago</v>
      </c>
      <c r="C162" t="s">
        <v>382</v>
      </c>
      <c r="D162" t="str">
        <f t="shared" si="7"/>
        <v>*TTO</v>
      </c>
      <c r="E162" t="s">
        <v>21</v>
      </c>
      <c r="F162">
        <v>1</v>
      </c>
      <c r="G162">
        <v>0</v>
      </c>
      <c r="H162">
        <v>1</v>
      </c>
      <c r="I162">
        <v>5</v>
      </c>
      <c r="N162" t="s">
        <v>346</v>
      </c>
      <c r="O162" t="str">
        <f t="shared" si="8"/>
        <v>Trinidad and Tobago</v>
      </c>
      <c r="R162" t="s">
        <v>320</v>
      </c>
      <c r="S162" t="s">
        <v>321</v>
      </c>
    </row>
    <row r="163" spans="2:19" x14ac:dyDescent="0.3">
      <c r="B163" t="str">
        <f t="shared" si="6"/>
        <v>LCOE_Wind_Tunisia</v>
      </c>
      <c r="C163" t="s">
        <v>382</v>
      </c>
      <c r="D163" t="str">
        <f t="shared" si="7"/>
        <v>*TUN</v>
      </c>
      <c r="E163" t="s">
        <v>21</v>
      </c>
      <c r="F163">
        <v>1</v>
      </c>
      <c r="G163">
        <v>0</v>
      </c>
      <c r="H163">
        <v>1</v>
      </c>
      <c r="I163">
        <v>5</v>
      </c>
      <c r="N163" t="s">
        <v>348</v>
      </c>
      <c r="O163" t="str">
        <f t="shared" si="8"/>
        <v>Tunisia</v>
      </c>
      <c r="R163" t="s">
        <v>376</v>
      </c>
      <c r="S163" t="s">
        <v>377</v>
      </c>
    </row>
    <row r="164" spans="2:19" x14ac:dyDescent="0.3">
      <c r="B164" t="str">
        <f t="shared" si="6"/>
        <v>LCOE_Wind_Turkey</v>
      </c>
      <c r="C164" t="s">
        <v>382</v>
      </c>
      <c r="D164" t="str">
        <f t="shared" si="7"/>
        <v>*TUR</v>
      </c>
      <c r="E164" t="s">
        <v>21</v>
      </c>
      <c r="F164">
        <v>1</v>
      </c>
      <c r="G164">
        <v>0</v>
      </c>
      <c r="H164">
        <v>1</v>
      </c>
      <c r="I164">
        <v>5</v>
      </c>
      <c r="N164" t="s">
        <v>350</v>
      </c>
      <c r="O164" t="str">
        <f t="shared" si="8"/>
        <v>Turkey</v>
      </c>
      <c r="R164" t="s">
        <v>409</v>
      </c>
      <c r="S164" t="s">
        <v>410</v>
      </c>
    </row>
    <row r="165" spans="2:19" x14ac:dyDescent="0.3">
      <c r="B165" t="str">
        <f t="shared" si="6"/>
        <v>LCOE_Wind_Tanzania</v>
      </c>
      <c r="C165" t="s">
        <v>382</v>
      </c>
      <c r="D165" t="str">
        <f t="shared" si="7"/>
        <v>*TZA</v>
      </c>
      <c r="E165" t="s">
        <v>21</v>
      </c>
      <c r="F165">
        <v>1</v>
      </c>
      <c r="G165">
        <v>0</v>
      </c>
      <c r="H165">
        <v>1</v>
      </c>
      <c r="I165">
        <v>5</v>
      </c>
      <c r="N165" t="s">
        <v>354</v>
      </c>
      <c r="O165" t="str">
        <f t="shared" si="8"/>
        <v>Tanzania</v>
      </c>
      <c r="R165" t="s">
        <v>238</v>
      </c>
      <c r="S165" t="s">
        <v>239</v>
      </c>
    </row>
    <row r="166" spans="2:19" x14ac:dyDescent="0.3">
      <c r="B166" t="str">
        <f t="shared" si="6"/>
        <v>LCOE_Wind_Uganda</v>
      </c>
      <c r="C166" t="s">
        <v>382</v>
      </c>
      <c r="D166" t="str">
        <f t="shared" si="7"/>
        <v>*UGA</v>
      </c>
      <c r="E166" t="s">
        <v>21</v>
      </c>
      <c r="F166">
        <v>1</v>
      </c>
      <c r="G166">
        <v>0</v>
      </c>
      <c r="H166">
        <v>1</v>
      </c>
      <c r="I166">
        <v>5</v>
      </c>
      <c r="N166" t="s">
        <v>356</v>
      </c>
      <c r="O166" t="str">
        <f t="shared" si="8"/>
        <v>Uganda</v>
      </c>
      <c r="R166" t="s">
        <v>56</v>
      </c>
      <c r="S166" t="s">
        <v>57</v>
      </c>
    </row>
    <row r="167" spans="2:19" x14ac:dyDescent="0.3">
      <c r="B167" t="str">
        <f t="shared" si="6"/>
        <v>LCOE_Wind_Ukraine</v>
      </c>
      <c r="C167" t="s">
        <v>382</v>
      </c>
      <c r="D167" t="str">
        <f t="shared" si="7"/>
        <v>*UKR</v>
      </c>
      <c r="E167" t="s">
        <v>21</v>
      </c>
      <c r="F167">
        <v>1</v>
      </c>
      <c r="G167">
        <v>0</v>
      </c>
      <c r="H167">
        <v>1</v>
      </c>
      <c r="I167">
        <v>5</v>
      </c>
      <c r="N167" t="s">
        <v>358</v>
      </c>
      <c r="O167" t="str">
        <f t="shared" si="8"/>
        <v>Ukraine</v>
      </c>
      <c r="R167" t="s">
        <v>322</v>
      </c>
      <c r="S167" t="s">
        <v>323</v>
      </c>
    </row>
    <row r="168" spans="2:19" x14ac:dyDescent="0.3">
      <c r="B168" t="str">
        <f t="shared" si="6"/>
        <v>LCOE_Wind_Uruguay</v>
      </c>
      <c r="C168" t="s">
        <v>382</v>
      </c>
      <c r="D168" t="str">
        <f t="shared" si="7"/>
        <v>*URY</v>
      </c>
      <c r="E168" t="s">
        <v>21</v>
      </c>
      <c r="F168">
        <v>1</v>
      </c>
      <c r="G168">
        <v>0</v>
      </c>
      <c r="H168">
        <v>1</v>
      </c>
      <c r="I168">
        <v>5</v>
      </c>
      <c r="N168" t="s">
        <v>360</v>
      </c>
      <c r="O168" t="str">
        <f t="shared" si="8"/>
        <v>Uruguay</v>
      </c>
      <c r="R168" t="s">
        <v>308</v>
      </c>
      <c r="S168" t="s">
        <v>309</v>
      </c>
    </row>
    <row r="169" spans="2:19" x14ac:dyDescent="0.3">
      <c r="B169" t="str">
        <f t="shared" si="6"/>
        <v>LCOE_Wind_United States</v>
      </c>
      <c r="C169" t="s">
        <v>382</v>
      </c>
      <c r="D169" t="str">
        <f t="shared" si="7"/>
        <v>*USA</v>
      </c>
      <c r="E169" t="s">
        <v>21</v>
      </c>
      <c r="F169">
        <v>1</v>
      </c>
      <c r="G169">
        <v>0</v>
      </c>
      <c r="H169">
        <v>1</v>
      </c>
      <c r="I169">
        <v>5</v>
      </c>
      <c r="N169" t="s">
        <v>362</v>
      </c>
      <c r="O169" t="str">
        <f t="shared" si="8"/>
        <v>United States</v>
      </c>
      <c r="R169" t="s">
        <v>391</v>
      </c>
      <c r="S169" t="s">
        <v>411</v>
      </c>
    </row>
    <row r="170" spans="2:19" x14ac:dyDescent="0.3">
      <c r="B170" t="str">
        <f t="shared" si="6"/>
        <v>LCOE_Wind_Uzbekistan</v>
      </c>
      <c r="C170" t="s">
        <v>382</v>
      </c>
      <c r="D170" t="str">
        <f t="shared" si="7"/>
        <v>*UZB</v>
      </c>
      <c r="E170" t="s">
        <v>21</v>
      </c>
      <c r="F170">
        <v>1</v>
      </c>
      <c r="G170">
        <v>0</v>
      </c>
      <c r="H170">
        <v>1</v>
      </c>
      <c r="I170">
        <v>5</v>
      </c>
      <c r="N170" t="s">
        <v>364</v>
      </c>
      <c r="O170" t="str">
        <f t="shared" si="8"/>
        <v>Uzbekistan</v>
      </c>
      <c r="R170" t="s">
        <v>254</v>
      </c>
      <c r="S170" t="s">
        <v>255</v>
      </c>
    </row>
    <row r="171" spans="2:19" x14ac:dyDescent="0.3">
      <c r="B171" t="str">
        <f t="shared" si="6"/>
        <v>LCOE_Wind_Venezuela</v>
      </c>
      <c r="C171" t="s">
        <v>382</v>
      </c>
      <c r="D171" t="str">
        <f t="shared" ref="D171:D178" si="9">"*"&amp;N171</f>
        <v>*VEN</v>
      </c>
      <c r="E171" t="s">
        <v>21</v>
      </c>
      <c r="F171">
        <v>1</v>
      </c>
      <c r="G171">
        <v>0</v>
      </c>
      <c r="H171">
        <v>1</v>
      </c>
      <c r="I171">
        <v>5</v>
      </c>
      <c r="N171" t="s">
        <v>366</v>
      </c>
      <c r="O171" t="str">
        <f t="shared" si="8"/>
        <v>Venezuela</v>
      </c>
      <c r="R171" t="s">
        <v>132</v>
      </c>
      <c r="S171" t="s">
        <v>133</v>
      </c>
    </row>
    <row r="172" spans="2:19" x14ac:dyDescent="0.3">
      <c r="B172" t="str">
        <f t="shared" si="6"/>
        <v>LCOE_Wind_Vietnam</v>
      </c>
      <c r="C172" t="s">
        <v>382</v>
      </c>
      <c r="D172" t="str">
        <f t="shared" si="9"/>
        <v>*VNM</v>
      </c>
      <c r="E172" t="s">
        <v>21</v>
      </c>
      <c r="F172">
        <v>1</v>
      </c>
      <c r="G172">
        <v>0</v>
      </c>
      <c r="H172">
        <v>1</v>
      </c>
      <c r="I172">
        <v>5</v>
      </c>
      <c r="N172" t="s">
        <v>368</v>
      </c>
      <c r="O172" t="str">
        <f t="shared" si="8"/>
        <v>Vietnam</v>
      </c>
      <c r="R172" t="s">
        <v>314</v>
      </c>
      <c r="S172" t="s">
        <v>315</v>
      </c>
    </row>
    <row r="173" spans="2:19" x14ac:dyDescent="0.3">
      <c r="B173" t="str">
        <f t="shared" si="6"/>
        <v>LCOE_Wind_Vanuatu</v>
      </c>
      <c r="C173" t="s">
        <v>382</v>
      </c>
      <c r="D173" t="str">
        <f t="shared" si="9"/>
        <v>*VUT</v>
      </c>
      <c r="E173" t="s">
        <v>21</v>
      </c>
      <c r="F173">
        <v>1</v>
      </c>
      <c r="G173">
        <v>0</v>
      </c>
      <c r="H173">
        <v>1</v>
      </c>
      <c r="I173">
        <v>5</v>
      </c>
      <c r="N173" t="s">
        <v>370</v>
      </c>
      <c r="O173" t="str">
        <f t="shared" si="8"/>
        <v>Vanuatu</v>
      </c>
      <c r="R173" t="s">
        <v>160</v>
      </c>
      <c r="S173" t="s">
        <v>161</v>
      </c>
    </row>
    <row r="174" spans="2:19" x14ac:dyDescent="0.3">
      <c r="B174" t="str">
        <f t="shared" si="6"/>
        <v>LCOE_Wind_Samoa</v>
      </c>
      <c r="C174" t="s">
        <v>382</v>
      </c>
      <c r="D174" t="str">
        <f t="shared" si="9"/>
        <v>*WSM</v>
      </c>
      <c r="E174" t="s">
        <v>21</v>
      </c>
      <c r="F174">
        <v>1</v>
      </c>
      <c r="G174">
        <v>0</v>
      </c>
      <c r="H174">
        <v>1</v>
      </c>
      <c r="I174">
        <v>5</v>
      </c>
      <c r="N174" t="s">
        <v>372</v>
      </c>
      <c r="O174" t="str">
        <f t="shared" si="8"/>
        <v>Samoa</v>
      </c>
      <c r="R174" t="s">
        <v>330</v>
      </c>
      <c r="S174" t="s">
        <v>331</v>
      </c>
    </row>
    <row r="175" spans="2:19" x14ac:dyDescent="0.3">
      <c r="B175" t="str">
        <f t="shared" si="6"/>
        <v>LCOE_Wind_Yemen</v>
      </c>
      <c r="C175" t="s">
        <v>382</v>
      </c>
      <c r="D175" t="str">
        <f t="shared" si="9"/>
        <v>*YEM</v>
      </c>
      <c r="E175" t="s">
        <v>21</v>
      </c>
      <c r="F175">
        <v>1</v>
      </c>
      <c r="G175">
        <v>0</v>
      </c>
      <c r="H175">
        <v>1</v>
      </c>
      <c r="I175">
        <v>5</v>
      </c>
      <c r="N175" t="s">
        <v>374</v>
      </c>
      <c r="O175" t="str">
        <f t="shared" si="8"/>
        <v>Yemen</v>
      </c>
      <c r="R175" t="s">
        <v>230</v>
      </c>
      <c r="S175" t="s">
        <v>231</v>
      </c>
    </row>
    <row r="176" spans="2:19" x14ac:dyDescent="0.3">
      <c r="B176" t="str">
        <f t="shared" si="6"/>
        <v>LCOE_Wind_South Africa</v>
      </c>
      <c r="C176" t="s">
        <v>382</v>
      </c>
      <c r="D176" t="str">
        <f t="shared" si="9"/>
        <v>*ZAF</v>
      </c>
      <c r="E176" t="s">
        <v>21</v>
      </c>
      <c r="F176">
        <v>1</v>
      </c>
      <c r="G176">
        <v>0</v>
      </c>
      <c r="H176">
        <v>1</v>
      </c>
      <c r="I176">
        <v>5</v>
      </c>
      <c r="N176" t="s">
        <v>376</v>
      </c>
      <c r="O176" t="str">
        <f t="shared" si="8"/>
        <v>South Africa</v>
      </c>
      <c r="R176" t="s">
        <v>294</v>
      </c>
      <c r="S176" t="s">
        <v>295</v>
      </c>
    </row>
    <row r="177" spans="2:19" x14ac:dyDescent="0.3">
      <c r="B177" t="str">
        <f t="shared" si="6"/>
        <v>LCOE_Wind_Zambia</v>
      </c>
      <c r="C177" t="s">
        <v>382</v>
      </c>
      <c r="D177" t="str">
        <f t="shared" si="9"/>
        <v>*ZMB</v>
      </c>
      <c r="E177" t="s">
        <v>21</v>
      </c>
      <c r="F177">
        <v>1</v>
      </c>
      <c r="G177">
        <v>0</v>
      </c>
      <c r="H177">
        <v>1</v>
      </c>
      <c r="I177">
        <v>5</v>
      </c>
      <c r="N177" t="s">
        <v>378</v>
      </c>
      <c r="O177" t="str">
        <f t="shared" si="8"/>
        <v>Zambia</v>
      </c>
      <c r="R177" t="s">
        <v>68</v>
      </c>
      <c r="S177" t="s">
        <v>69</v>
      </c>
    </row>
    <row r="178" spans="2:19" x14ac:dyDescent="0.3">
      <c r="B178" t="str">
        <f t="shared" si="6"/>
        <v>LCOE_Wind_Zimbabwe</v>
      </c>
      <c r="C178" t="s">
        <v>382</v>
      </c>
      <c r="D178" t="str">
        <f t="shared" si="9"/>
        <v>*ZWE</v>
      </c>
      <c r="E178" t="s">
        <v>21</v>
      </c>
      <c r="F178">
        <v>1</v>
      </c>
      <c r="G178">
        <v>0</v>
      </c>
      <c r="H178">
        <v>1</v>
      </c>
      <c r="I178">
        <v>5</v>
      </c>
      <c r="N178" t="s">
        <v>380</v>
      </c>
      <c r="O178" t="str">
        <f t="shared" si="8"/>
        <v>Zimbabwe</v>
      </c>
      <c r="R178" t="s">
        <v>354</v>
      </c>
      <c r="S178" t="s">
        <v>355</v>
      </c>
    </row>
    <row r="179" spans="2:19" x14ac:dyDescent="0.3">
      <c r="R179" t="s">
        <v>148</v>
      </c>
      <c r="S179" t="s">
        <v>149</v>
      </c>
    </row>
    <row r="180" spans="2:19" x14ac:dyDescent="0.3">
      <c r="R180" t="s">
        <v>62</v>
      </c>
      <c r="S180" t="s">
        <v>63</v>
      </c>
    </row>
    <row r="181" spans="2:19" x14ac:dyDescent="0.3">
      <c r="R181" t="s">
        <v>370</v>
      </c>
      <c r="S181" t="s">
        <v>371</v>
      </c>
    </row>
    <row r="182" spans="2:19" x14ac:dyDescent="0.3">
      <c r="R182" t="s">
        <v>336</v>
      </c>
      <c r="S182" t="s">
        <v>337</v>
      </c>
    </row>
    <row r="183" spans="2:19" x14ac:dyDescent="0.3">
      <c r="R183" t="s">
        <v>412</v>
      </c>
      <c r="S183" t="s">
        <v>413</v>
      </c>
    </row>
    <row r="184" spans="2:19" x14ac:dyDescent="0.3">
      <c r="R184" t="s">
        <v>414</v>
      </c>
      <c r="S184" t="s">
        <v>415</v>
      </c>
    </row>
    <row r="185" spans="2:19" x14ac:dyDescent="0.3">
      <c r="R185" t="s">
        <v>372</v>
      </c>
      <c r="S185" t="s">
        <v>373</v>
      </c>
    </row>
    <row r="186" spans="2:19" x14ac:dyDescent="0.3">
      <c r="R186" t="s">
        <v>389</v>
      </c>
      <c r="S186" t="s">
        <v>416</v>
      </c>
    </row>
    <row r="187" spans="2:19" x14ac:dyDescent="0.3">
      <c r="R187" t="s">
        <v>417</v>
      </c>
      <c r="S187" t="s">
        <v>418</v>
      </c>
    </row>
    <row r="188" spans="2:19" x14ac:dyDescent="0.3">
      <c r="R188" t="s">
        <v>419</v>
      </c>
      <c r="S188" t="s">
        <v>420</v>
      </c>
    </row>
    <row r="189" spans="2:19" x14ac:dyDescent="0.3">
      <c r="R189" t="s">
        <v>421</v>
      </c>
      <c r="S189" t="s">
        <v>422</v>
      </c>
    </row>
    <row r="190" spans="2:19" x14ac:dyDescent="0.3">
      <c r="R190" t="s">
        <v>395</v>
      </c>
      <c r="S190" t="s">
        <v>423</v>
      </c>
    </row>
    <row r="191" spans="2:19" x14ac:dyDescent="0.3">
      <c r="R191" t="s">
        <v>424</v>
      </c>
      <c r="S191" t="s">
        <v>425</v>
      </c>
    </row>
    <row r="192" spans="2:19" x14ac:dyDescent="0.3">
      <c r="R192" t="s">
        <v>426</v>
      </c>
      <c r="S192" t="s">
        <v>427</v>
      </c>
    </row>
    <row r="193" spans="18:19" x14ac:dyDescent="0.3">
      <c r="R193" t="s">
        <v>388</v>
      </c>
      <c r="S193" t="s">
        <v>428</v>
      </c>
    </row>
    <row r="194" spans="18:19" x14ac:dyDescent="0.3">
      <c r="R194" t="s">
        <v>429</v>
      </c>
      <c r="S194" t="s">
        <v>430</v>
      </c>
    </row>
    <row r="195" spans="18:19" x14ac:dyDescent="0.3">
      <c r="R195" t="s">
        <v>431</v>
      </c>
      <c r="S195" t="s">
        <v>432</v>
      </c>
    </row>
    <row r="196" spans="18:19" x14ac:dyDescent="0.3">
      <c r="R196" t="s">
        <v>433</v>
      </c>
      <c r="S196" t="s">
        <v>434</v>
      </c>
    </row>
    <row r="197" spans="18:19" x14ac:dyDescent="0.3">
      <c r="R197" t="s">
        <v>435</v>
      </c>
      <c r="S197" t="s">
        <v>436</v>
      </c>
    </row>
    <row r="198" spans="18:19" x14ac:dyDescent="0.3">
      <c r="R198" t="s">
        <v>437</v>
      </c>
      <c r="S198" t="s">
        <v>438</v>
      </c>
    </row>
    <row r="199" spans="18:19" x14ac:dyDescent="0.3">
      <c r="R199" t="s">
        <v>393</v>
      </c>
      <c r="S199" t="s">
        <v>439</v>
      </c>
    </row>
    <row r="200" spans="18:19" x14ac:dyDescent="0.3">
      <c r="R200" t="s">
        <v>440</v>
      </c>
      <c r="S200" t="s">
        <v>441</v>
      </c>
    </row>
    <row r="201" spans="18:19" x14ac:dyDescent="0.3">
      <c r="R201" t="s">
        <v>442</v>
      </c>
      <c r="S201" t="s">
        <v>443</v>
      </c>
    </row>
    <row r="202" spans="18:19" x14ac:dyDescent="0.3">
      <c r="R202" t="s">
        <v>444</v>
      </c>
      <c r="S202" t="s">
        <v>445</v>
      </c>
    </row>
    <row r="203" spans="18:19" x14ac:dyDescent="0.3">
      <c r="R203" t="s">
        <v>446</v>
      </c>
      <c r="S203" t="s">
        <v>447</v>
      </c>
    </row>
    <row r="204" spans="18:19" x14ac:dyDescent="0.3">
      <c r="R204" t="s">
        <v>448</v>
      </c>
      <c r="S204" t="s">
        <v>449</v>
      </c>
    </row>
    <row r="205" spans="18:19" x14ac:dyDescent="0.3">
      <c r="R205" t="s">
        <v>450</v>
      </c>
      <c r="S205" t="s">
        <v>451</v>
      </c>
    </row>
    <row r="206" spans="18:19" x14ac:dyDescent="0.3">
      <c r="R206" t="s">
        <v>452</v>
      </c>
      <c r="S206" t="s">
        <v>453</v>
      </c>
    </row>
    <row r="207" spans="18:19" x14ac:dyDescent="0.3">
      <c r="R207" t="s">
        <v>454</v>
      </c>
      <c r="S207" t="s">
        <v>455</v>
      </c>
    </row>
    <row r="208" spans="18:19" x14ac:dyDescent="0.3">
      <c r="R208" t="s">
        <v>456</v>
      </c>
      <c r="S208" t="s">
        <v>457</v>
      </c>
    </row>
    <row r="209" spans="18:19" x14ac:dyDescent="0.3">
      <c r="R209" t="s">
        <v>458</v>
      </c>
      <c r="S209" t="s">
        <v>459</v>
      </c>
    </row>
    <row r="210" spans="18:19" x14ac:dyDescent="0.3">
      <c r="R210" t="s">
        <v>460</v>
      </c>
      <c r="S210" t="s">
        <v>461</v>
      </c>
    </row>
    <row r="211" spans="18:19" x14ac:dyDescent="0.3">
      <c r="R211" t="s">
        <v>462</v>
      </c>
      <c r="S211" t="s">
        <v>463</v>
      </c>
    </row>
    <row r="212" spans="18:19" x14ac:dyDescent="0.3">
      <c r="R212" t="s">
        <v>464</v>
      </c>
      <c r="S212" t="s">
        <v>465</v>
      </c>
    </row>
    <row r="213" spans="18:19" x14ac:dyDescent="0.3">
      <c r="R213" t="s">
        <v>286</v>
      </c>
      <c r="S213" t="s">
        <v>287</v>
      </c>
    </row>
    <row r="214" spans="18:19" x14ac:dyDescent="0.3">
      <c r="R214" t="s">
        <v>348</v>
      </c>
      <c r="S214" t="s">
        <v>349</v>
      </c>
    </row>
    <row r="215" spans="18:19" x14ac:dyDescent="0.3">
      <c r="R215" t="s">
        <v>466</v>
      </c>
      <c r="S215" t="s">
        <v>467</v>
      </c>
    </row>
    <row r="216" spans="18:19" x14ac:dyDescent="0.3">
      <c r="R216" t="s">
        <v>468</v>
      </c>
      <c r="S216" t="s">
        <v>469</v>
      </c>
    </row>
    <row r="217" spans="18:19" x14ac:dyDescent="0.3">
      <c r="R217" t="s">
        <v>470</v>
      </c>
      <c r="S217" t="s">
        <v>471</v>
      </c>
    </row>
    <row r="218" spans="18:19" x14ac:dyDescent="0.3">
      <c r="R218" t="s">
        <v>472</v>
      </c>
      <c r="S218" t="s">
        <v>473</v>
      </c>
    </row>
    <row r="219" spans="18:19" x14ac:dyDescent="0.3">
      <c r="R219" t="s">
        <v>474</v>
      </c>
      <c r="S219" t="s">
        <v>475</v>
      </c>
    </row>
    <row r="220" spans="18:19" x14ac:dyDescent="0.3">
      <c r="R220" t="s">
        <v>476</v>
      </c>
      <c r="S220" t="s">
        <v>477</v>
      </c>
    </row>
    <row r="221" spans="18:19" x14ac:dyDescent="0.3">
      <c r="R221" t="s">
        <v>478</v>
      </c>
      <c r="S221" t="s">
        <v>479</v>
      </c>
    </row>
    <row r="222" spans="18:19" x14ac:dyDescent="0.3">
      <c r="R222" t="s">
        <v>480</v>
      </c>
      <c r="S222" t="s">
        <v>481</v>
      </c>
    </row>
    <row r="223" spans="18:19" x14ac:dyDescent="0.3">
      <c r="R223" t="s">
        <v>482</v>
      </c>
      <c r="S223" t="s">
        <v>483</v>
      </c>
    </row>
    <row r="224" spans="18:19" x14ac:dyDescent="0.3">
      <c r="R224" t="s">
        <v>484</v>
      </c>
      <c r="S224" t="s">
        <v>485</v>
      </c>
    </row>
    <row r="225" spans="18:19" x14ac:dyDescent="0.3">
      <c r="R225" t="s">
        <v>486</v>
      </c>
      <c r="S225" t="s">
        <v>487</v>
      </c>
    </row>
    <row r="226" spans="18:19" x14ac:dyDescent="0.3">
      <c r="R226" t="s">
        <v>488</v>
      </c>
      <c r="S226" t="s">
        <v>489</v>
      </c>
    </row>
    <row r="227" spans="18:19" x14ac:dyDescent="0.3">
      <c r="R227" t="s">
        <v>387</v>
      </c>
      <c r="S227" t="s">
        <v>490</v>
      </c>
    </row>
    <row r="228" spans="18:19" x14ac:dyDescent="0.3">
      <c r="R228" t="s">
        <v>491</v>
      </c>
      <c r="S228" t="s">
        <v>492</v>
      </c>
    </row>
    <row r="229" spans="18:19" x14ac:dyDescent="0.3">
      <c r="R229" t="s">
        <v>493</v>
      </c>
      <c r="S229" t="s">
        <v>494</v>
      </c>
    </row>
    <row r="230" spans="18:19" x14ac:dyDescent="0.3">
      <c r="R230" t="s">
        <v>495</v>
      </c>
      <c r="S230" t="s">
        <v>496</v>
      </c>
    </row>
    <row r="231" spans="18:19" x14ac:dyDescent="0.3">
      <c r="R231" t="s">
        <v>497</v>
      </c>
      <c r="S231" t="s">
        <v>498</v>
      </c>
    </row>
    <row r="232" spans="18:19" x14ac:dyDescent="0.3">
      <c r="R232" t="s">
        <v>146</v>
      </c>
      <c r="S232" t="s">
        <v>147</v>
      </c>
    </row>
    <row r="233" spans="18:19" x14ac:dyDescent="0.3">
      <c r="R233" t="s">
        <v>158</v>
      </c>
      <c r="S233" t="s">
        <v>159</v>
      </c>
    </row>
    <row r="234" spans="18:19" x14ac:dyDescent="0.3">
      <c r="R234" t="s">
        <v>499</v>
      </c>
      <c r="S234" t="s">
        <v>500</v>
      </c>
    </row>
    <row r="235" spans="18:19" x14ac:dyDescent="0.3">
      <c r="R235" t="s">
        <v>501</v>
      </c>
      <c r="S235" t="s">
        <v>502</v>
      </c>
    </row>
    <row r="236" spans="18:19" x14ac:dyDescent="0.3">
      <c r="R236" t="s">
        <v>503</v>
      </c>
      <c r="S236" t="s">
        <v>504</v>
      </c>
    </row>
    <row r="237" spans="18:19" x14ac:dyDescent="0.3">
      <c r="R237" t="s">
        <v>505</v>
      </c>
      <c r="S237" t="s">
        <v>506</v>
      </c>
    </row>
    <row r="238" spans="18:19" x14ac:dyDescent="0.3">
      <c r="R238" t="s">
        <v>507</v>
      </c>
      <c r="S238" t="s">
        <v>508</v>
      </c>
    </row>
    <row r="239" spans="18:19" x14ac:dyDescent="0.3">
      <c r="R239" t="s">
        <v>509</v>
      </c>
      <c r="S239" t="s">
        <v>510</v>
      </c>
    </row>
    <row r="240" spans="18:19" x14ac:dyDescent="0.3">
      <c r="R240" t="s">
        <v>511</v>
      </c>
      <c r="S240" t="s">
        <v>512</v>
      </c>
    </row>
    <row r="241" spans="18:19" x14ac:dyDescent="0.3">
      <c r="R241" t="s">
        <v>513</v>
      </c>
      <c r="S241" t="s">
        <v>514</v>
      </c>
    </row>
    <row r="242" spans="18:19" x14ac:dyDescent="0.3">
      <c r="R242" t="s">
        <v>515</v>
      </c>
      <c r="S242" t="s">
        <v>516</v>
      </c>
    </row>
    <row r="243" spans="18:19" x14ac:dyDescent="0.3">
      <c r="R243" t="s">
        <v>517</v>
      </c>
      <c r="S243" t="s">
        <v>518</v>
      </c>
    </row>
    <row r="244" spans="18:19" x14ac:dyDescent="0.3">
      <c r="R244" t="s">
        <v>519</v>
      </c>
      <c r="S244" t="s">
        <v>520</v>
      </c>
    </row>
    <row r="245" spans="18:19" x14ac:dyDescent="0.3">
      <c r="R245" t="s">
        <v>521</v>
      </c>
      <c r="S245" t="s">
        <v>522</v>
      </c>
    </row>
    <row r="246" spans="18:19" x14ac:dyDescent="0.3">
      <c r="R246" t="s">
        <v>523</v>
      </c>
      <c r="S246" t="s">
        <v>524</v>
      </c>
    </row>
    <row r="247" spans="18:19" x14ac:dyDescent="0.3">
      <c r="R247" t="s">
        <v>525</v>
      </c>
      <c r="S247" t="s">
        <v>526</v>
      </c>
    </row>
    <row r="248" spans="18:19" x14ac:dyDescent="0.3">
      <c r="R248" t="s">
        <v>390</v>
      </c>
      <c r="S248" t="s">
        <v>527</v>
      </c>
    </row>
    <row r="249" spans="18:19" x14ac:dyDescent="0.3">
      <c r="R249" t="s">
        <v>528</v>
      </c>
      <c r="S249" t="s">
        <v>529</v>
      </c>
    </row>
    <row r="250" spans="18:19" x14ac:dyDescent="0.3">
      <c r="R250" t="s">
        <v>530</v>
      </c>
      <c r="S250" t="s">
        <v>531</v>
      </c>
    </row>
    <row r="251" spans="18:19" x14ac:dyDescent="0.3">
      <c r="R251" t="s">
        <v>532</v>
      </c>
      <c r="S251" t="s">
        <v>533</v>
      </c>
    </row>
    <row r="252" spans="18:19" x14ac:dyDescent="0.3">
      <c r="R252" t="s">
        <v>534</v>
      </c>
      <c r="S252" t="s">
        <v>535</v>
      </c>
    </row>
    <row r="253" spans="18:19" x14ac:dyDescent="0.3">
      <c r="R253" t="s">
        <v>536</v>
      </c>
      <c r="S253" t="s">
        <v>537</v>
      </c>
    </row>
    <row r="254" spans="18:19" x14ac:dyDescent="0.3">
      <c r="R254" t="s">
        <v>538</v>
      </c>
      <c r="S254" t="s">
        <v>539</v>
      </c>
    </row>
    <row r="255" spans="18:19" x14ac:dyDescent="0.3">
      <c r="R255" t="s">
        <v>540</v>
      </c>
      <c r="S255" t="s">
        <v>541</v>
      </c>
    </row>
    <row r="256" spans="18:19" x14ac:dyDescent="0.3">
      <c r="R256" t="s">
        <v>356</v>
      </c>
      <c r="S256" t="s">
        <v>357</v>
      </c>
    </row>
    <row r="257" spans="18:19" x14ac:dyDescent="0.3">
      <c r="R257" t="s">
        <v>542</v>
      </c>
      <c r="S257" t="s">
        <v>543</v>
      </c>
    </row>
    <row r="258" spans="18:19" x14ac:dyDescent="0.3">
      <c r="R258" t="s">
        <v>544</v>
      </c>
      <c r="S258" t="s">
        <v>545</v>
      </c>
    </row>
    <row r="259" spans="18:19" x14ac:dyDescent="0.3">
      <c r="R259" t="s">
        <v>546</v>
      </c>
      <c r="S259" t="s">
        <v>547</v>
      </c>
    </row>
    <row r="260" spans="18:19" x14ac:dyDescent="0.3">
      <c r="R260" t="s">
        <v>548</v>
      </c>
      <c r="S260" t="s">
        <v>549</v>
      </c>
    </row>
    <row r="261" spans="18:19" x14ac:dyDescent="0.3">
      <c r="R261" t="s">
        <v>550</v>
      </c>
      <c r="S261" t="s">
        <v>551</v>
      </c>
    </row>
    <row r="262" spans="18:19" x14ac:dyDescent="0.3">
      <c r="R262" t="s">
        <v>552</v>
      </c>
      <c r="S262" t="s">
        <v>553</v>
      </c>
    </row>
    <row r="263" spans="18:19" x14ac:dyDescent="0.3">
      <c r="R263" t="s">
        <v>394</v>
      </c>
      <c r="S263" t="s">
        <v>554</v>
      </c>
    </row>
    <row r="264" spans="18:19" x14ac:dyDescent="0.3">
      <c r="R264" t="s">
        <v>555</v>
      </c>
      <c r="S264" t="s">
        <v>556</v>
      </c>
    </row>
    <row r="265" spans="18:19" x14ac:dyDescent="0.3">
      <c r="R265" t="s">
        <v>557</v>
      </c>
      <c r="S265" t="s">
        <v>558</v>
      </c>
    </row>
    <row r="266" spans="18:19" x14ac:dyDescent="0.3">
      <c r="R266" t="s">
        <v>559</v>
      </c>
      <c r="S266" t="s">
        <v>560</v>
      </c>
    </row>
    <row r="267" spans="18:19" x14ac:dyDescent="0.3">
      <c r="R267" t="s">
        <v>561</v>
      </c>
      <c r="S267" t="s">
        <v>562</v>
      </c>
    </row>
    <row r="268" spans="18:19" x14ac:dyDescent="0.3">
      <c r="R268" t="s">
        <v>563</v>
      </c>
      <c r="S268" t="s">
        <v>564</v>
      </c>
    </row>
    <row r="269" spans="18:19" x14ac:dyDescent="0.3">
      <c r="R269" t="s">
        <v>565</v>
      </c>
      <c r="S269" t="s">
        <v>566</v>
      </c>
    </row>
    <row r="270" spans="18:19" x14ac:dyDescent="0.3">
      <c r="R270" t="s">
        <v>567</v>
      </c>
      <c r="S270" t="s">
        <v>568</v>
      </c>
    </row>
    <row r="271" spans="18:19" x14ac:dyDescent="0.3">
      <c r="R271" t="s">
        <v>569</v>
      </c>
      <c r="S271" t="s">
        <v>570</v>
      </c>
    </row>
    <row r="272" spans="18:19" x14ac:dyDescent="0.3">
      <c r="R272" t="s">
        <v>571</v>
      </c>
      <c r="S272" t="s">
        <v>572</v>
      </c>
    </row>
    <row r="273" spans="18:19" x14ac:dyDescent="0.3">
      <c r="R273" t="s">
        <v>573</v>
      </c>
      <c r="S273" t="s">
        <v>574</v>
      </c>
    </row>
    <row r="274" spans="18:19" x14ac:dyDescent="0.3">
      <c r="R274" t="s">
        <v>575</v>
      </c>
      <c r="S274" t="s">
        <v>576</v>
      </c>
    </row>
    <row r="275" spans="18:19" x14ac:dyDescent="0.3">
      <c r="R275" t="s">
        <v>577</v>
      </c>
      <c r="S275" t="s">
        <v>578</v>
      </c>
    </row>
    <row r="276" spans="18:19" x14ac:dyDescent="0.3">
      <c r="R276" t="s">
        <v>579</v>
      </c>
      <c r="S276" t="s">
        <v>580</v>
      </c>
    </row>
    <row r="277" spans="18:19" x14ac:dyDescent="0.3">
      <c r="R277" t="s">
        <v>581</v>
      </c>
      <c r="S277" t="s">
        <v>582</v>
      </c>
    </row>
    <row r="278" spans="18:19" x14ac:dyDescent="0.3">
      <c r="R278" t="s">
        <v>583</v>
      </c>
      <c r="S278" t="s">
        <v>584</v>
      </c>
    </row>
    <row r="279" spans="18:19" x14ac:dyDescent="0.3">
      <c r="R279" t="s">
        <v>585</v>
      </c>
      <c r="S279" t="s">
        <v>586</v>
      </c>
    </row>
    <row r="280" spans="18:19" x14ac:dyDescent="0.3">
      <c r="R280" t="s">
        <v>587</v>
      </c>
      <c r="S280" t="s">
        <v>588</v>
      </c>
    </row>
    <row r="281" spans="18:19" x14ac:dyDescent="0.3">
      <c r="R281" t="s">
        <v>589</v>
      </c>
      <c r="S281" t="s">
        <v>590</v>
      </c>
    </row>
    <row r="282" spans="18:19" x14ac:dyDescent="0.3">
      <c r="R282" t="s">
        <v>591</v>
      </c>
      <c r="S282" t="s">
        <v>592</v>
      </c>
    </row>
    <row r="283" spans="18:19" x14ac:dyDescent="0.3">
      <c r="R283" t="s">
        <v>593</v>
      </c>
      <c r="S283" t="s">
        <v>594</v>
      </c>
    </row>
    <row r="284" spans="18:19" x14ac:dyDescent="0.3">
      <c r="R284" t="s">
        <v>429</v>
      </c>
      <c r="S284" t="s">
        <v>595</v>
      </c>
    </row>
    <row r="285" spans="18:19" x14ac:dyDescent="0.3">
      <c r="R285" t="s">
        <v>596</v>
      </c>
      <c r="S285" t="s">
        <v>597</v>
      </c>
    </row>
    <row r="286" spans="18:19" x14ac:dyDescent="0.3">
      <c r="R286" t="s">
        <v>598</v>
      </c>
      <c r="S286" t="s">
        <v>599</v>
      </c>
    </row>
    <row r="287" spans="18:19" x14ac:dyDescent="0.3">
      <c r="R287" t="s">
        <v>600</v>
      </c>
      <c r="S287" t="s">
        <v>601</v>
      </c>
    </row>
    <row r="288" spans="18:19" x14ac:dyDescent="0.3">
      <c r="R288" t="s">
        <v>602</v>
      </c>
      <c r="S288" t="s">
        <v>603</v>
      </c>
    </row>
    <row r="289" spans="18:19" x14ac:dyDescent="0.3">
      <c r="R289" t="s">
        <v>604</v>
      </c>
      <c r="S289" t="s">
        <v>605</v>
      </c>
    </row>
    <row r="290" spans="18:19" x14ac:dyDescent="0.3">
      <c r="R290" t="s">
        <v>298</v>
      </c>
      <c r="S290" t="s">
        <v>299</v>
      </c>
    </row>
    <row r="291" spans="18:19" x14ac:dyDescent="0.3">
      <c r="R291" t="s">
        <v>606</v>
      </c>
      <c r="S291" t="s">
        <v>607</v>
      </c>
    </row>
    <row r="292" spans="18:19" x14ac:dyDescent="0.3">
      <c r="R292" t="s">
        <v>300</v>
      </c>
      <c r="S292" t="s">
        <v>301</v>
      </c>
    </row>
    <row r="293" spans="18:19" x14ac:dyDescent="0.3">
      <c r="R293" t="s">
        <v>608</v>
      </c>
      <c r="S293" t="s">
        <v>609</v>
      </c>
    </row>
    <row r="294" spans="18:19" x14ac:dyDescent="0.3">
      <c r="R294" t="s">
        <v>610</v>
      </c>
      <c r="S294" t="s">
        <v>611</v>
      </c>
    </row>
    <row r="295" spans="18:19" x14ac:dyDescent="0.3">
      <c r="R295" t="s">
        <v>378</v>
      </c>
      <c r="S295" t="s">
        <v>379</v>
      </c>
    </row>
    <row r="296" spans="18:19" x14ac:dyDescent="0.3">
      <c r="R296" t="s">
        <v>612</v>
      </c>
      <c r="S296" t="s">
        <v>613</v>
      </c>
    </row>
    <row r="297" spans="18:19" x14ac:dyDescent="0.3">
      <c r="R297" t="s">
        <v>614</v>
      </c>
      <c r="S297" t="s">
        <v>615</v>
      </c>
    </row>
    <row r="298" spans="18:19" x14ac:dyDescent="0.3">
      <c r="R298" t="s">
        <v>616</v>
      </c>
      <c r="S298" t="s">
        <v>617</v>
      </c>
    </row>
    <row r="299" spans="18:19" x14ac:dyDescent="0.3">
      <c r="R299" t="s">
        <v>618</v>
      </c>
      <c r="S299" t="s">
        <v>619</v>
      </c>
    </row>
    <row r="300" spans="18:19" x14ac:dyDescent="0.3">
      <c r="R300" t="s">
        <v>620</v>
      </c>
      <c r="S300" t="s">
        <v>621</v>
      </c>
    </row>
    <row r="301" spans="18:19" x14ac:dyDescent="0.3">
      <c r="R301" t="s">
        <v>622</v>
      </c>
      <c r="S301" t="s">
        <v>623</v>
      </c>
    </row>
    <row r="302" spans="18:19" x14ac:dyDescent="0.3">
      <c r="R302" t="s">
        <v>380</v>
      </c>
      <c r="S302" t="s">
        <v>381</v>
      </c>
    </row>
    <row r="303" spans="18:19" x14ac:dyDescent="0.3">
      <c r="R303" t="s">
        <v>624</v>
      </c>
      <c r="S303" t="s">
        <v>625</v>
      </c>
    </row>
    <row r="304" spans="18:19" x14ac:dyDescent="0.3">
      <c r="R304" t="s">
        <v>626</v>
      </c>
      <c r="S304" t="s">
        <v>627</v>
      </c>
    </row>
    <row r="305" spans="18:19" x14ac:dyDescent="0.3">
      <c r="R305" t="s">
        <v>628</v>
      </c>
      <c r="S305" t="s">
        <v>629</v>
      </c>
    </row>
    <row r="306" spans="18:19" x14ac:dyDescent="0.3">
      <c r="R306" t="s">
        <v>630</v>
      </c>
      <c r="S306" t="s">
        <v>631</v>
      </c>
    </row>
    <row r="307" spans="18:19" x14ac:dyDescent="0.3">
      <c r="R307" t="s">
        <v>632</v>
      </c>
      <c r="S307" t="s">
        <v>633</v>
      </c>
    </row>
    <row r="308" spans="18:19" x14ac:dyDescent="0.3">
      <c r="R308" t="s">
        <v>634</v>
      </c>
      <c r="S308" t="s">
        <v>635</v>
      </c>
    </row>
    <row r="309" spans="18:19" x14ac:dyDescent="0.3">
      <c r="R309" t="s">
        <v>636</v>
      </c>
      <c r="S309" t="s">
        <v>637</v>
      </c>
    </row>
    <row r="310" spans="18:19" x14ac:dyDescent="0.3">
      <c r="R310" t="s">
        <v>638</v>
      </c>
      <c r="S310" t="s">
        <v>639</v>
      </c>
    </row>
    <row r="311" spans="18:19" x14ac:dyDescent="0.3">
      <c r="R311" t="s">
        <v>344</v>
      </c>
      <c r="S311" t="s">
        <v>345</v>
      </c>
    </row>
    <row r="312" spans="18:19" x14ac:dyDescent="0.3">
      <c r="R312" t="s">
        <v>640</v>
      </c>
      <c r="S312" t="s">
        <v>641</v>
      </c>
    </row>
    <row r="313" spans="18:19" x14ac:dyDescent="0.3">
      <c r="R313" t="s">
        <v>642</v>
      </c>
      <c r="S313" t="s">
        <v>643</v>
      </c>
    </row>
    <row r="314" spans="18:19" x14ac:dyDescent="0.3">
      <c r="R314" t="s">
        <v>644</v>
      </c>
      <c r="S314" t="s">
        <v>645</v>
      </c>
    </row>
    <row r="315" spans="18:19" x14ac:dyDescent="0.3">
      <c r="R315" t="s">
        <v>646</v>
      </c>
      <c r="S315" t="s">
        <v>647</v>
      </c>
    </row>
    <row r="316" spans="18:19" x14ac:dyDescent="0.3">
      <c r="R316" t="s">
        <v>648</v>
      </c>
      <c r="S316" t="s">
        <v>649</v>
      </c>
    </row>
    <row r="317" spans="18:19" x14ac:dyDescent="0.3">
      <c r="R317" t="s">
        <v>650</v>
      </c>
      <c r="S317" t="s">
        <v>651</v>
      </c>
    </row>
    <row r="318" spans="18:19" x14ac:dyDescent="0.3">
      <c r="R318" t="s">
        <v>652</v>
      </c>
      <c r="S318" t="s">
        <v>653</v>
      </c>
    </row>
    <row r="319" spans="18:19" x14ac:dyDescent="0.3">
      <c r="R319" t="s">
        <v>654</v>
      </c>
      <c r="S319" t="s">
        <v>655</v>
      </c>
    </row>
    <row r="320" spans="18:19" x14ac:dyDescent="0.3">
      <c r="R320" t="s">
        <v>656</v>
      </c>
      <c r="S320" t="s">
        <v>657</v>
      </c>
    </row>
    <row r="321" spans="18:19" x14ac:dyDescent="0.3">
      <c r="R321" t="s">
        <v>658</v>
      </c>
      <c r="S321" t="s">
        <v>659</v>
      </c>
    </row>
    <row r="322" spans="18:19" x14ac:dyDescent="0.3">
      <c r="R322" t="s">
        <v>660</v>
      </c>
      <c r="S322" t="s">
        <v>661</v>
      </c>
    </row>
    <row r="323" spans="18:19" x14ac:dyDescent="0.3">
      <c r="R323" t="s">
        <v>662</v>
      </c>
      <c r="S323" t="s">
        <v>663</v>
      </c>
    </row>
    <row r="324" spans="18:19" x14ac:dyDescent="0.3">
      <c r="R324" t="s">
        <v>664</v>
      </c>
      <c r="S324" t="s">
        <v>665</v>
      </c>
    </row>
    <row r="325" spans="18:19" x14ac:dyDescent="0.3">
      <c r="R325" t="s">
        <v>666</v>
      </c>
      <c r="S325" t="s">
        <v>667</v>
      </c>
    </row>
    <row r="326" spans="18:19" x14ac:dyDescent="0.3">
      <c r="R326" t="s">
        <v>122</v>
      </c>
      <c r="S326" t="s">
        <v>123</v>
      </c>
    </row>
    <row r="327" spans="18:19" x14ac:dyDescent="0.3">
      <c r="R327" t="s">
        <v>668</v>
      </c>
      <c r="S327" t="s">
        <v>669</v>
      </c>
    </row>
    <row r="328" spans="18:19" x14ac:dyDescent="0.3">
      <c r="R328" t="s">
        <v>670</v>
      </c>
      <c r="S328" t="s">
        <v>671</v>
      </c>
    </row>
    <row r="329" spans="18:19" x14ac:dyDescent="0.3">
      <c r="R329" t="s">
        <v>672</v>
      </c>
      <c r="S329" t="s">
        <v>673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3:J5"/>
  <sheetViews>
    <sheetView tabSelected="1" workbookViewId="0">
      <selection activeCell="C3" sqref="C3"/>
    </sheetView>
  </sheetViews>
  <sheetFormatPr baseColWidth="10" defaultColWidth="8.88671875" defaultRowHeight="14.4" x14ac:dyDescent="0.3"/>
  <cols>
    <col min="3" max="3" width="12.44140625" bestFit="1" customWidth="1"/>
    <col min="4" max="4" width="7.88671875" bestFit="1" customWidth="1"/>
    <col min="5" max="5" width="8.5546875" bestFit="1" customWidth="1"/>
    <col min="6" max="6" width="7.88671875" bestFit="1" customWidth="1"/>
    <col min="7" max="8" width="5" bestFit="1" customWidth="1"/>
    <col min="9" max="9" width="2" bestFit="1" customWidth="1"/>
    <col min="10" max="10" width="7.33203125" bestFit="1" customWidth="1"/>
  </cols>
  <sheetData>
    <row r="3" spans="3:10" x14ac:dyDescent="0.3">
      <c r="C3" t="s">
        <v>692</v>
      </c>
    </row>
    <row r="4" spans="3:10" x14ac:dyDescent="0.3">
      <c r="C4" t="s">
        <v>682</v>
      </c>
      <c r="D4" t="s">
        <v>684</v>
      </c>
      <c r="E4" t="s">
        <v>686</v>
      </c>
      <c r="F4" t="s">
        <v>688</v>
      </c>
      <c r="G4">
        <v>2020</v>
      </c>
      <c r="H4">
        <v>2060</v>
      </c>
      <c r="I4">
        <v>0</v>
      </c>
      <c r="J4" t="s">
        <v>690</v>
      </c>
    </row>
    <row r="5" spans="3:10" x14ac:dyDescent="0.3">
      <c r="C5" t="s">
        <v>683</v>
      </c>
      <c r="D5" t="s">
        <v>685</v>
      </c>
      <c r="E5" t="s">
        <v>687</v>
      </c>
      <c r="F5" t="s">
        <v>21</v>
      </c>
      <c r="G5">
        <v>0</v>
      </c>
      <c r="H5">
        <v>1</v>
      </c>
      <c r="I5">
        <v>1</v>
      </c>
      <c r="J5" s="14" t="s">
        <v>691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Transport</vt:lpstr>
      <vt:lpstr>Solar</vt:lpstr>
      <vt:lpstr>Wind</vt:lpstr>
      <vt:lpstr>H2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TROUVE Benjamin</cp:lastModifiedBy>
  <dcterms:created xsi:type="dcterms:W3CDTF">2009-05-27T15:40:55Z</dcterms:created>
  <dcterms:modified xsi:type="dcterms:W3CDTF">2024-09-30T15:31:49Z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825145900249481</vt:r8>
  </property>
  <property fmtid="{D5CDD505-2E9C-101B-9397-08002B2CF9AE}" pid="3" name="{A44787D4-0540-4523-9961-78E4036D8C6D}">
    <vt:lpwstr>{F667E381-4646-4576-B126-218112F12D81}</vt:lpwstr>
  </property>
</Properties>
</file>