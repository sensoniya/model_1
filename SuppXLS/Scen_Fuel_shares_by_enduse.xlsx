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SuppXLS\"/>
    </mc:Choice>
  </mc:AlternateContent>
  <xr:revisionPtr revIDLastSave="0" documentId="13_ncr:1_{3D911C05-FE78-4E3E-93EB-36A5E83DEF33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drate" sheetId="15" r:id="rId1"/>
    <sheet name="BY_RESCOM" sheetId="10" r:id="rId2"/>
    <sheet name="RESCOM" sheetId="7" r:id="rId3"/>
    <sheet name="Res tech END" sheetId="16" r:id="rId4"/>
    <sheet name="BY_TRA" sheetId="12" r:id="rId5"/>
    <sheet name="Transport" sheetId="11" r:id="rId6"/>
    <sheet name="Industry&amp;HH2" sheetId="8" r:id="rId7"/>
    <sheet name="BY_IND" sheetId="13" r:id="rId8"/>
    <sheet name="Industry (2)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14" i="7" l="1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X13" i="7" s="1"/>
  <c r="BA11" i="7"/>
  <c r="AZ11" i="7"/>
  <c r="AY11" i="7"/>
  <c r="AX11" i="7"/>
  <c r="AW11" i="7"/>
  <c r="AV11" i="7"/>
  <c r="AU11" i="7"/>
  <c r="M8" i="11"/>
  <c r="I35" i="14"/>
  <c r="H35" i="14"/>
  <c r="G35" i="14"/>
  <c r="F35" i="14"/>
  <c r="I34" i="14"/>
  <c r="H34" i="14"/>
  <c r="G34" i="14"/>
  <c r="F34" i="14"/>
  <c r="I33" i="14"/>
  <c r="H33" i="14"/>
  <c r="G33" i="14"/>
  <c r="F33" i="14"/>
  <c r="I32" i="14"/>
  <c r="H32" i="14"/>
  <c r="G32" i="14"/>
  <c r="F32" i="14"/>
  <c r="I31" i="14"/>
  <c r="H31" i="14"/>
  <c r="G31" i="14"/>
  <c r="F31" i="14"/>
  <c r="I30" i="14"/>
  <c r="H30" i="14"/>
  <c r="G30" i="14"/>
  <c r="F30" i="14"/>
  <c r="I29" i="14"/>
  <c r="H29" i="14"/>
  <c r="G29" i="14"/>
  <c r="F29" i="14"/>
  <c r="I28" i="14"/>
  <c r="H28" i="14"/>
  <c r="G28" i="14"/>
  <c r="F28" i="14"/>
  <c r="I27" i="14"/>
  <c r="H27" i="14"/>
  <c r="G27" i="14"/>
  <c r="F27" i="14"/>
  <c r="I26" i="14"/>
  <c r="H26" i="14"/>
  <c r="G26" i="14"/>
  <c r="F26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I24" i="14"/>
  <c r="H24" i="14"/>
  <c r="G24" i="14"/>
  <c r="F24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I23" i="14"/>
  <c r="H23" i="14"/>
  <c r="G23" i="14"/>
  <c r="F23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I22" i="14"/>
  <c r="H22" i="14"/>
  <c r="G22" i="14"/>
  <c r="F22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I21" i="14"/>
  <c r="H21" i="14"/>
  <c r="G21" i="14"/>
  <c r="F21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I20" i="14"/>
  <c r="H20" i="14"/>
  <c r="G20" i="14"/>
  <c r="F20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I19" i="14"/>
  <c r="H19" i="14"/>
  <c r="G19" i="14"/>
  <c r="F19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I18" i="14"/>
  <c r="H18" i="14"/>
  <c r="G18" i="14"/>
  <c r="F18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I17" i="14"/>
  <c r="H17" i="14"/>
  <c r="G17" i="14"/>
  <c r="F17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I16" i="14"/>
  <c r="H16" i="14"/>
  <c r="G16" i="14"/>
  <c r="F16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I15" i="14"/>
  <c r="H15" i="14"/>
  <c r="G15" i="14"/>
  <c r="F15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I13" i="14"/>
  <c r="H13" i="14"/>
  <c r="F13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I12" i="14"/>
  <c r="H12" i="14"/>
  <c r="F12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I11" i="14"/>
  <c r="H11" i="14"/>
  <c r="F11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I10" i="14"/>
  <c r="H10" i="14"/>
  <c r="F10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I9" i="14"/>
  <c r="H9" i="14"/>
  <c r="F9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I8" i="14"/>
  <c r="H8" i="14"/>
  <c r="F8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I7" i="14"/>
  <c r="H7" i="14"/>
  <c r="F7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I6" i="14"/>
  <c r="H6" i="14"/>
  <c r="F6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I5" i="14"/>
  <c r="H5" i="14"/>
  <c r="F5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I4" i="14"/>
  <c r="H4" i="14"/>
  <c r="F4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AX663" i="13"/>
  <c r="AW663" i="13"/>
  <c r="AV663" i="13"/>
  <c r="AU663" i="13"/>
  <c r="AX662" i="13"/>
  <c r="AW662" i="13"/>
  <c r="AV662" i="13"/>
  <c r="AU662" i="13"/>
  <c r="AX661" i="13"/>
  <c r="AW661" i="13"/>
  <c r="AV661" i="13"/>
  <c r="AU661" i="13"/>
  <c r="AX660" i="13"/>
  <c r="AW660" i="13"/>
  <c r="AV660" i="13"/>
  <c r="AU660" i="13"/>
  <c r="AX659" i="13"/>
  <c r="AW659" i="13"/>
  <c r="AV659" i="13"/>
  <c r="AU659" i="13"/>
  <c r="AX658" i="13"/>
  <c r="AW658" i="13"/>
  <c r="AV658" i="13"/>
  <c r="AU658" i="13"/>
  <c r="AX657" i="13"/>
  <c r="AW657" i="13"/>
  <c r="AV657" i="13"/>
  <c r="AU657" i="13"/>
  <c r="AX656" i="13"/>
  <c r="AW656" i="13"/>
  <c r="AV656" i="13"/>
  <c r="AU656" i="13"/>
  <c r="AX655" i="13"/>
  <c r="AW655" i="13"/>
  <c r="AV655" i="13"/>
  <c r="AU655" i="13"/>
  <c r="AX654" i="13"/>
  <c r="AW654" i="13"/>
  <c r="AV654" i="13"/>
  <c r="AU654" i="13"/>
  <c r="AX653" i="13"/>
  <c r="AW653" i="13"/>
  <c r="AV653" i="13"/>
  <c r="AU653" i="13"/>
  <c r="AX652" i="13"/>
  <c r="AW652" i="13"/>
  <c r="AV652" i="13"/>
  <c r="AU652" i="13"/>
  <c r="AX651" i="13"/>
  <c r="AW651" i="13"/>
  <c r="AV651" i="13"/>
  <c r="AU651" i="13"/>
  <c r="AX650" i="13"/>
  <c r="AW650" i="13"/>
  <c r="AV650" i="13"/>
  <c r="AU650" i="13"/>
  <c r="AX649" i="13"/>
  <c r="AW649" i="13"/>
  <c r="AV649" i="13"/>
  <c r="AU649" i="13"/>
  <c r="AX648" i="13"/>
  <c r="AW648" i="13"/>
  <c r="AV648" i="13"/>
  <c r="AU648" i="13"/>
  <c r="AX647" i="13"/>
  <c r="AW647" i="13"/>
  <c r="AV647" i="13"/>
  <c r="AU647" i="13"/>
  <c r="AX646" i="13"/>
  <c r="AW646" i="13"/>
  <c r="AV646" i="13"/>
  <c r="AU646" i="13"/>
  <c r="AX645" i="13"/>
  <c r="AW645" i="13"/>
  <c r="AV645" i="13"/>
  <c r="AU645" i="13"/>
  <c r="AX644" i="13"/>
  <c r="AW644" i="13"/>
  <c r="AV644" i="13"/>
  <c r="AU644" i="13"/>
  <c r="AX643" i="13"/>
  <c r="AW643" i="13"/>
  <c r="AV643" i="13"/>
  <c r="AU643" i="13"/>
  <c r="AX642" i="13"/>
  <c r="AW642" i="13"/>
  <c r="AV642" i="13"/>
  <c r="AU642" i="13"/>
  <c r="AX641" i="13"/>
  <c r="AW641" i="13"/>
  <c r="AV641" i="13"/>
  <c r="AU641" i="13"/>
  <c r="AX640" i="13"/>
  <c r="AW640" i="13"/>
  <c r="AV640" i="13"/>
  <c r="AU640" i="13"/>
  <c r="AX639" i="13"/>
  <c r="AW639" i="13"/>
  <c r="AV639" i="13"/>
  <c r="AU639" i="13"/>
  <c r="AX638" i="13"/>
  <c r="AW638" i="13"/>
  <c r="AV638" i="13"/>
  <c r="AU638" i="13"/>
  <c r="AX637" i="13"/>
  <c r="AW637" i="13"/>
  <c r="AV637" i="13"/>
  <c r="AU637" i="13"/>
  <c r="AX636" i="13"/>
  <c r="AW636" i="13"/>
  <c r="AV636" i="13"/>
  <c r="AU636" i="13"/>
  <c r="AX635" i="13"/>
  <c r="AW635" i="13"/>
  <c r="AV635" i="13"/>
  <c r="AU635" i="13"/>
  <c r="AX634" i="13"/>
  <c r="AW634" i="13"/>
  <c r="AV634" i="13"/>
  <c r="AU634" i="13"/>
  <c r="AX633" i="13"/>
  <c r="AW633" i="13"/>
  <c r="AV633" i="13"/>
  <c r="AU633" i="13"/>
  <c r="AX632" i="13"/>
  <c r="AW632" i="13"/>
  <c r="AV632" i="13"/>
  <c r="AU632" i="13"/>
  <c r="AX631" i="13"/>
  <c r="AW631" i="13"/>
  <c r="AV631" i="13"/>
  <c r="AU631" i="13"/>
  <c r="AX630" i="13"/>
  <c r="AW630" i="13"/>
  <c r="AV630" i="13"/>
  <c r="AU630" i="13"/>
  <c r="AX629" i="13"/>
  <c r="AW629" i="13"/>
  <c r="AV629" i="13"/>
  <c r="AU629" i="13"/>
  <c r="AX628" i="13"/>
  <c r="AW628" i="13"/>
  <c r="AV628" i="13"/>
  <c r="AU628" i="13"/>
  <c r="AX627" i="13"/>
  <c r="AW627" i="13"/>
  <c r="AV627" i="13"/>
  <c r="AU627" i="13"/>
  <c r="AX626" i="13"/>
  <c r="AW626" i="13"/>
  <c r="AV626" i="13"/>
  <c r="AU626" i="13"/>
  <c r="AX625" i="13"/>
  <c r="AW625" i="13"/>
  <c r="AV625" i="13"/>
  <c r="AU625" i="13"/>
  <c r="AX624" i="13"/>
  <c r="AW624" i="13"/>
  <c r="AV624" i="13"/>
  <c r="AU624" i="13"/>
  <c r="AX623" i="13"/>
  <c r="AW623" i="13"/>
  <c r="AV623" i="13"/>
  <c r="AU623" i="13"/>
  <c r="AX622" i="13"/>
  <c r="AW622" i="13"/>
  <c r="AV622" i="13"/>
  <c r="AU622" i="13"/>
  <c r="AX621" i="13"/>
  <c r="AW621" i="13"/>
  <c r="AV621" i="13"/>
  <c r="AU621" i="13"/>
  <c r="AX620" i="13"/>
  <c r="AW620" i="13"/>
  <c r="AV620" i="13"/>
  <c r="AU620" i="13"/>
  <c r="AX619" i="13"/>
  <c r="AW619" i="13"/>
  <c r="AV619" i="13"/>
  <c r="AU619" i="13"/>
  <c r="AX618" i="13"/>
  <c r="AW618" i="13"/>
  <c r="AV618" i="13"/>
  <c r="AU618" i="13"/>
  <c r="AX617" i="13"/>
  <c r="AW617" i="13"/>
  <c r="AV617" i="13"/>
  <c r="AU617" i="13"/>
  <c r="AX616" i="13"/>
  <c r="AW616" i="13"/>
  <c r="AV616" i="13"/>
  <c r="AU616" i="13"/>
  <c r="AX615" i="13"/>
  <c r="AW615" i="13"/>
  <c r="AV615" i="13"/>
  <c r="AU615" i="13"/>
  <c r="AX614" i="13"/>
  <c r="AW614" i="13"/>
  <c r="AV614" i="13"/>
  <c r="AU614" i="13"/>
  <c r="AX613" i="13"/>
  <c r="AW613" i="13"/>
  <c r="AV613" i="13"/>
  <c r="AU613" i="13"/>
  <c r="AX612" i="13"/>
  <c r="AW612" i="13"/>
  <c r="AV612" i="13"/>
  <c r="AU612" i="13"/>
  <c r="AX611" i="13"/>
  <c r="AW611" i="13"/>
  <c r="AV611" i="13"/>
  <c r="AU611" i="13"/>
  <c r="AX610" i="13"/>
  <c r="AW610" i="13"/>
  <c r="AV610" i="13"/>
  <c r="AU610" i="13"/>
  <c r="AX609" i="13"/>
  <c r="AW609" i="13"/>
  <c r="AV609" i="13"/>
  <c r="AU609" i="13"/>
  <c r="AX608" i="13"/>
  <c r="AW608" i="13"/>
  <c r="AV608" i="13"/>
  <c r="AU608" i="13"/>
  <c r="AX607" i="13"/>
  <c r="AW607" i="13"/>
  <c r="AV607" i="13"/>
  <c r="AU607" i="13"/>
  <c r="AX606" i="13"/>
  <c r="AW606" i="13"/>
  <c r="AV606" i="13"/>
  <c r="AU606" i="13"/>
  <c r="AX605" i="13"/>
  <c r="AW605" i="13"/>
  <c r="AV605" i="13"/>
  <c r="AU605" i="13"/>
  <c r="AX604" i="13"/>
  <c r="AW604" i="13"/>
  <c r="AV604" i="13"/>
  <c r="AU604" i="13"/>
  <c r="AX603" i="13"/>
  <c r="AW603" i="13"/>
  <c r="AV603" i="13"/>
  <c r="AU603" i="13"/>
  <c r="AX602" i="13"/>
  <c r="AW602" i="13"/>
  <c r="AV602" i="13"/>
  <c r="AU602" i="13"/>
  <c r="AX601" i="13"/>
  <c r="AW601" i="13"/>
  <c r="AV601" i="13"/>
  <c r="AU601" i="13"/>
  <c r="AX600" i="13"/>
  <c r="AW600" i="13"/>
  <c r="AV600" i="13"/>
  <c r="AU600" i="13"/>
  <c r="AX599" i="13"/>
  <c r="AW599" i="13"/>
  <c r="AV599" i="13"/>
  <c r="AU599" i="13"/>
  <c r="AX598" i="13"/>
  <c r="AW598" i="13"/>
  <c r="AV598" i="13"/>
  <c r="AU598" i="13"/>
  <c r="AX597" i="13"/>
  <c r="AW597" i="13"/>
  <c r="AV597" i="13"/>
  <c r="AU597" i="13"/>
  <c r="AX596" i="13"/>
  <c r="AW596" i="13"/>
  <c r="AV596" i="13"/>
  <c r="AU596" i="13"/>
  <c r="AX595" i="13"/>
  <c r="AW595" i="13"/>
  <c r="AV595" i="13"/>
  <c r="AU595" i="13"/>
  <c r="AX594" i="13"/>
  <c r="AW594" i="13"/>
  <c r="AV594" i="13"/>
  <c r="AU594" i="13"/>
  <c r="AX593" i="13"/>
  <c r="AW593" i="13"/>
  <c r="AV593" i="13"/>
  <c r="AU593" i="13"/>
  <c r="AX592" i="13"/>
  <c r="AW592" i="13"/>
  <c r="AV592" i="13"/>
  <c r="AU592" i="13"/>
  <c r="AX591" i="13"/>
  <c r="AW591" i="13"/>
  <c r="AV591" i="13"/>
  <c r="AU591" i="13"/>
  <c r="AX590" i="13"/>
  <c r="AW590" i="13"/>
  <c r="AV590" i="13"/>
  <c r="AU590" i="13"/>
  <c r="AX589" i="13"/>
  <c r="AW589" i="13"/>
  <c r="AV589" i="13"/>
  <c r="AU589" i="13"/>
  <c r="AX588" i="13"/>
  <c r="AW588" i="13"/>
  <c r="AV588" i="13"/>
  <c r="AU588" i="13"/>
  <c r="AX587" i="13"/>
  <c r="AW587" i="13"/>
  <c r="AV587" i="13"/>
  <c r="AU587" i="13"/>
  <c r="AX586" i="13"/>
  <c r="AW586" i="13"/>
  <c r="AV586" i="13"/>
  <c r="AU586" i="13"/>
  <c r="AX585" i="13"/>
  <c r="AW585" i="13"/>
  <c r="AV585" i="13"/>
  <c r="AU585" i="13"/>
  <c r="AX584" i="13"/>
  <c r="AW584" i="13"/>
  <c r="AV584" i="13"/>
  <c r="AU584" i="13"/>
  <c r="AX583" i="13"/>
  <c r="AW583" i="13"/>
  <c r="AV583" i="13"/>
  <c r="AU583" i="13"/>
  <c r="AX582" i="13"/>
  <c r="AW582" i="13"/>
  <c r="AV582" i="13"/>
  <c r="AU582" i="13"/>
  <c r="AX581" i="13"/>
  <c r="AW581" i="13"/>
  <c r="AV581" i="13"/>
  <c r="AU581" i="13"/>
  <c r="AX580" i="13"/>
  <c r="AW580" i="13"/>
  <c r="AV580" i="13"/>
  <c r="AU580" i="13"/>
  <c r="AX579" i="13"/>
  <c r="AW579" i="13"/>
  <c r="AV579" i="13"/>
  <c r="AU579" i="13"/>
  <c r="AX578" i="13"/>
  <c r="AW578" i="13"/>
  <c r="AV578" i="13"/>
  <c r="AU578" i="13"/>
  <c r="AX577" i="13"/>
  <c r="AW577" i="13"/>
  <c r="AV577" i="13"/>
  <c r="AU577" i="13"/>
  <c r="AX576" i="13"/>
  <c r="AW576" i="13"/>
  <c r="AV576" i="13"/>
  <c r="AU576" i="13"/>
  <c r="AX575" i="13"/>
  <c r="AW575" i="13"/>
  <c r="AV575" i="13"/>
  <c r="AU575" i="13"/>
  <c r="AX574" i="13"/>
  <c r="AW574" i="13"/>
  <c r="AV574" i="13"/>
  <c r="AU574" i="13"/>
  <c r="AX573" i="13"/>
  <c r="AW573" i="13"/>
  <c r="AV573" i="13"/>
  <c r="AU573" i="13"/>
  <c r="AX572" i="13"/>
  <c r="AW572" i="13"/>
  <c r="AV572" i="13"/>
  <c r="AU572" i="13"/>
  <c r="AX571" i="13"/>
  <c r="AW571" i="13"/>
  <c r="AV571" i="13"/>
  <c r="AU571" i="13"/>
  <c r="AX570" i="13"/>
  <c r="AW570" i="13"/>
  <c r="AV570" i="13"/>
  <c r="AU570" i="13"/>
  <c r="AX569" i="13"/>
  <c r="AW569" i="13"/>
  <c r="AV569" i="13"/>
  <c r="AU569" i="13"/>
  <c r="AX568" i="13"/>
  <c r="AW568" i="13"/>
  <c r="AV568" i="13"/>
  <c r="AU568" i="13"/>
  <c r="AX567" i="13"/>
  <c r="AW567" i="13"/>
  <c r="AV567" i="13"/>
  <c r="AU567" i="13"/>
  <c r="AX566" i="13"/>
  <c r="AW566" i="13"/>
  <c r="AV566" i="13"/>
  <c r="AU566" i="13"/>
  <c r="AX565" i="13"/>
  <c r="AW565" i="13"/>
  <c r="AV565" i="13"/>
  <c r="AU565" i="13"/>
  <c r="AX564" i="13"/>
  <c r="AW564" i="13"/>
  <c r="AV564" i="13"/>
  <c r="AU564" i="13"/>
  <c r="AX563" i="13"/>
  <c r="AW563" i="13"/>
  <c r="AV563" i="13"/>
  <c r="AU563" i="13"/>
  <c r="AX562" i="13"/>
  <c r="AW562" i="13"/>
  <c r="AV562" i="13"/>
  <c r="AU562" i="13"/>
  <c r="AX561" i="13"/>
  <c r="AW561" i="13"/>
  <c r="AV561" i="13"/>
  <c r="AU561" i="13"/>
  <c r="AX560" i="13"/>
  <c r="AW560" i="13"/>
  <c r="AV560" i="13"/>
  <c r="AU560" i="13"/>
  <c r="AX559" i="13"/>
  <c r="AW559" i="13"/>
  <c r="AV559" i="13"/>
  <c r="AU559" i="13"/>
  <c r="AX558" i="13"/>
  <c r="AW558" i="13"/>
  <c r="AV558" i="13"/>
  <c r="AU558" i="13"/>
  <c r="AX557" i="13"/>
  <c r="AW557" i="13"/>
  <c r="AV557" i="13"/>
  <c r="AU557" i="13"/>
  <c r="AX556" i="13"/>
  <c r="AW556" i="13"/>
  <c r="AV556" i="13"/>
  <c r="AU556" i="13"/>
  <c r="AX555" i="13"/>
  <c r="AW555" i="13"/>
  <c r="AV555" i="13"/>
  <c r="AU555" i="13"/>
  <c r="AX554" i="13"/>
  <c r="AW554" i="13"/>
  <c r="AV554" i="13"/>
  <c r="AU554" i="13"/>
  <c r="AX553" i="13"/>
  <c r="AW553" i="13"/>
  <c r="AV553" i="13"/>
  <c r="AU553" i="13"/>
  <c r="AX552" i="13"/>
  <c r="AW552" i="13"/>
  <c r="AV552" i="13"/>
  <c r="AU552" i="13"/>
  <c r="AX551" i="13"/>
  <c r="AW551" i="13"/>
  <c r="AV551" i="13"/>
  <c r="AU551" i="13"/>
  <c r="AX550" i="13"/>
  <c r="AW550" i="13"/>
  <c r="AV550" i="13"/>
  <c r="AU550" i="13"/>
  <c r="AX549" i="13"/>
  <c r="AW549" i="13"/>
  <c r="AV549" i="13"/>
  <c r="AU549" i="13"/>
  <c r="AX548" i="13"/>
  <c r="AW548" i="13"/>
  <c r="AV548" i="13"/>
  <c r="AU548" i="13"/>
  <c r="AX547" i="13"/>
  <c r="AW547" i="13"/>
  <c r="AV547" i="13"/>
  <c r="AU547" i="13"/>
  <c r="AX546" i="13"/>
  <c r="AW546" i="13"/>
  <c r="AV546" i="13"/>
  <c r="AU546" i="13"/>
  <c r="AX545" i="13"/>
  <c r="AW545" i="13"/>
  <c r="AV545" i="13"/>
  <c r="AU545" i="13"/>
  <c r="AX544" i="13"/>
  <c r="AW544" i="13"/>
  <c r="AV544" i="13"/>
  <c r="AU544" i="13"/>
  <c r="AX543" i="13"/>
  <c r="AW543" i="13"/>
  <c r="AV543" i="13"/>
  <c r="AU543" i="13"/>
  <c r="AX542" i="13"/>
  <c r="AW542" i="13"/>
  <c r="AV542" i="13"/>
  <c r="AU542" i="13"/>
  <c r="AX541" i="13"/>
  <c r="AW541" i="13"/>
  <c r="AV541" i="13"/>
  <c r="AU541" i="13"/>
  <c r="AX540" i="13"/>
  <c r="AW540" i="13"/>
  <c r="AV540" i="13"/>
  <c r="AU540" i="13"/>
  <c r="AX539" i="13"/>
  <c r="AW539" i="13"/>
  <c r="AV539" i="13"/>
  <c r="AU539" i="13"/>
  <c r="AX538" i="13"/>
  <c r="AW538" i="13"/>
  <c r="AV538" i="13"/>
  <c r="AU538" i="13"/>
  <c r="AX537" i="13"/>
  <c r="AW537" i="13"/>
  <c r="AV537" i="13"/>
  <c r="AU537" i="13"/>
  <c r="AX536" i="13"/>
  <c r="AW536" i="13"/>
  <c r="AV536" i="13"/>
  <c r="AU536" i="13"/>
  <c r="AX535" i="13"/>
  <c r="AW535" i="13"/>
  <c r="AV535" i="13"/>
  <c r="AU535" i="13"/>
  <c r="AX534" i="13"/>
  <c r="AW534" i="13"/>
  <c r="AV534" i="13"/>
  <c r="AU534" i="13"/>
  <c r="AX533" i="13"/>
  <c r="AW533" i="13"/>
  <c r="AV533" i="13"/>
  <c r="AU533" i="13"/>
  <c r="AX532" i="13"/>
  <c r="AW532" i="13"/>
  <c r="AV532" i="13"/>
  <c r="AU532" i="13"/>
  <c r="AX531" i="13"/>
  <c r="AW531" i="13"/>
  <c r="AV531" i="13"/>
  <c r="AU531" i="13"/>
  <c r="AX530" i="13"/>
  <c r="AW530" i="13"/>
  <c r="AV530" i="13"/>
  <c r="AU530" i="13"/>
  <c r="AX529" i="13"/>
  <c r="AW529" i="13"/>
  <c r="AV529" i="13"/>
  <c r="AU529" i="13"/>
  <c r="AX528" i="13"/>
  <c r="AW528" i="13"/>
  <c r="AV528" i="13"/>
  <c r="AU528" i="13"/>
  <c r="AX527" i="13"/>
  <c r="AW527" i="13"/>
  <c r="AV527" i="13"/>
  <c r="AU527" i="13"/>
  <c r="AX526" i="13"/>
  <c r="AW526" i="13"/>
  <c r="AV526" i="13"/>
  <c r="AU526" i="13"/>
  <c r="AX525" i="13"/>
  <c r="AW525" i="13"/>
  <c r="AV525" i="13"/>
  <c r="AU525" i="13"/>
  <c r="AX524" i="13"/>
  <c r="AW524" i="13"/>
  <c r="AV524" i="13"/>
  <c r="AU524" i="13"/>
  <c r="AX523" i="13"/>
  <c r="AW523" i="13"/>
  <c r="AV523" i="13"/>
  <c r="AU523" i="13"/>
  <c r="AX522" i="13"/>
  <c r="AW522" i="13"/>
  <c r="AV522" i="13"/>
  <c r="AU522" i="13"/>
  <c r="AX521" i="13"/>
  <c r="AW521" i="13"/>
  <c r="AV521" i="13"/>
  <c r="AU521" i="13"/>
  <c r="AX520" i="13"/>
  <c r="AW520" i="13"/>
  <c r="AV520" i="13"/>
  <c r="AU520" i="13"/>
  <c r="AX519" i="13"/>
  <c r="AW519" i="13"/>
  <c r="AV519" i="13"/>
  <c r="AU519" i="13"/>
  <c r="AX518" i="13"/>
  <c r="AW518" i="13"/>
  <c r="AV518" i="13"/>
  <c r="AU518" i="13"/>
  <c r="AX517" i="13"/>
  <c r="AW517" i="13"/>
  <c r="AV517" i="13"/>
  <c r="AU517" i="13"/>
  <c r="AX516" i="13"/>
  <c r="AW516" i="13"/>
  <c r="AV516" i="13"/>
  <c r="AU516" i="13"/>
  <c r="AX515" i="13"/>
  <c r="AW515" i="13"/>
  <c r="AV515" i="13"/>
  <c r="AU515" i="13"/>
  <c r="AX514" i="13"/>
  <c r="AW514" i="13"/>
  <c r="AV514" i="13"/>
  <c r="AU514" i="13"/>
  <c r="AX513" i="13"/>
  <c r="AW513" i="13"/>
  <c r="AV513" i="13"/>
  <c r="AU513" i="13"/>
  <c r="AX512" i="13"/>
  <c r="AW512" i="13"/>
  <c r="AV512" i="13"/>
  <c r="AU512" i="13"/>
  <c r="AX511" i="13"/>
  <c r="AW511" i="13"/>
  <c r="AV511" i="13"/>
  <c r="AU511" i="13"/>
  <c r="AX510" i="13"/>
  <c r="AW510" i="13"/>
  <c r="AV510" i="13"/>
  <c r="AU510" i="13"/>
  <c r="AX509" i="13"/>
  <c r="AW509" i="13"/>
  <c r="AV509" i="13"/>
  <c r="AU509" i="13"/>
  <c r="AX508" i="13"/>
  <c r="AW508" i="13"/>
  <c r="AV508" i="13"/>
  <c r="AU508" i="13"/>
  <c r="AX507" i="13"/>
  <c r="AW507" i="13"/>
  <c r="AV507" i="13"/>
  <c r="AU507" i="13"/>
  <c r="AX506" i="13"/>
  <c r="AW506" i="13"/>
  <c r="AV506" i="13"/>
  <c r="AU506" i="13"/>
  <c r="AX505" i="13"/>
  <c r="AW505" i="13"/>
  <c r="AV505" i="13"/>
  <c r="AU505" i="13"/>
  <c r="AX504" i="13"/>
  <c r="AW504" i="13"/>
  <c r="AV504" i="13"/>
  <c r="AU504" i="13"/>
  <c r="AX503" i="13"/>
  <c r="AW503" i="13"/>
  <c r="AV503" i="13"/>
  <c r="AU503" i="13"/>
  <c r="AX502" i="13"/>
  <c r="AW502" i="13"/>
  <c r="AV502" i="13"/>
  <c r="AU502" i="13"/>
  <c r="AX501" i="13"/>
  <c r="AW501" i="13"/>
  <c r="AV501" i="13"/>
  <c r="AU501" i="13"/>
  <c r="AX500" i="13"/>
  <c r="AW500" i="13"/>
  <c r="AV500" i="13"/>
  <c r="AU500" i="13"/>
  <c r="AX499" i="13"/>
  <c r="AW499" i="13"/>
  <c r="AV499" i="13"/>
  <c r="AU499" i="13"/>
  <c r="AX498" i="13"/>
  <c r="AW498" i="13"/>
  <c r="AV498" i="13"/>
  <c r="AU498" i="13"/>
  <c r="AX497" i="13"/>
  <c r="AW497" i="13"/>
  <c r="AV497" i="13"/>
  <c r="AU497" i="13"/>
  <c r="AX496" i="13"/>
  <c r="AW496" i="13"/>
  <c r="AV496" i="13"/>
  <c r="AU496" i="13"/>
  <c r="AX495" i="13"/>
  <c r="AW495" i="13"/>
  <c r="AV495" i="13"/>
  <c r="AU495" i="13"/>
  <c r="AX494" i="13"/>
  <c r="AW494" i="13"/>
  <c r="AV494" i="13"/>
  <c r="AU494" i="13"/>
  <c r="AX493" i="13"/>
  <c r="AW493" i="13"/>
  <c r="AV493" i="13"/>
  <c r="AU493" i="13"/>
  <c r="AX492" i="13"/>
  <c r="AW492" i="13"/>
  <c r="AV492" i="13"/>
  <c r="AU492" i="13"/>
  <c r="AX491" i="13"/>
  <c r="AW491" i="13"/>
  <c r="AV491" i="13"/>
  <c r="AU491" i="13"/>
  <c r="AX490" i="13"/>
  <c r="AW490" i="13"/>
  <c r="AV490" i="13"/>
  <c r="AU490" i="13"/>
  <c r="AX489" i="13"/>
  <c r="AW489" i="13"/>
  <c r="AV489" i="13"/>
  <c r="AU489" i="13"/>
  <c r="AX488" i="13"/>
  <c r="AW488" i="13"/>
  <c r="AV488" i="13"/>
  <c r="AU488" i="13"/>
  <c r="AX487" i="13"/>
  <c r="AW487" i="13"/>
  <c r="AV487" i="13"/>
  <c r="AU487" i="13"/>
  <c r="AX486" i="13"/>
  <c r="AW486" i="13"/>
  <c r="AV486" i="13"/>
  <c r="AU486" i="13"/>
  <c r="AX485" i="13"/>
  <c r="AW485" i="13"/>
  <c r="AV485" i="13"/>
  <c r="AU485" i="13"/>
  <c r="AX484" i="13"/>
  <c r="AW484" i="13"/>
  <c r="AV484" i="13"/>
  <c r="AU484" i="13"/>
  <c r="AX483" i="13"/>
  <c r="AW483" i="13"/>
  <c r="AV483" i="13"/>
  <c r="AU483" i="13"/>
  <c r="AX482" i="13"/>
  <c r="AW482" i="13"/>
  <c r="AV482" i="13"/>
  <c r="AU482" i="13"/>
  <c r="AX481" i="13"/>
  <c r="AW481" i="13"/>
  <c r="AV481" i="13"/>
  <c r="AU481" i="13"/>
  <c r="AX480" i="13"/>
  <c r="AW480" i="13"/>
  <c r="AV480" i="13"/>
  <c r="AU480" i="13"/>
  <c r="AX479" i="13"/>
  <c r="AW479" i="13"/>
  <c r="AV479" i="13"/>
  <c r="AU479" i="13"/>
  <c r="AX478" i="13"/>
  <c r="AW478" i="13"/>
  <c r="AV478" i="13"/>
  <c r="AU478" i="13"/>
  <c r="AX477" i="13"/>
  <c r="AW477" i="13"/>
  <c r="AV477" i="13"/>
  <c r="AU477" i="13"/>
  <c r="AX476" i="13"/>
  <c r="AW476" i="13"/>
  <c r="AV476" i="13"/>
  <c r="AU476" i="13"/>
  <c r="AX475" i="13"/>
  <c r="AW475" i="13"/>
  <c r="AV475" i="13"/>
  <c r="AU475" i="13"/>
  <c r="AX474" i="13"/>
  <c r="AW474" i="13"/>
  <c r="AV474" i="13"/>
  <c r="AU474" i="13"/>
  <c r="AX473" i="13"/>
  <c r="AW473" i="13"/>
  <c r="AV473" i="13"/>
  <c r="AU473" i="13"/>
  <c r="AX472" i="13"/>
  <c r="AW472" i="13"/>
  <c r="AV472" i="13"/>
  <c r="AU472" i="13"/>
  <c r="AX471" i="13"/>
  <c r="AW471" i="13"/>
  <c r="AV471" i="13"/>
  <c r="AU471" i="13"/>
  <c r="AX470" i="13"/>
  <c r="AW470" i="13"/>
  <c r="AV470" i="13"/>
  <c r="AU470" i="13"/>
  <c r="AX469" i="13"/>
  <c r="AW469" i="13"/>
  <c r="AV469" i="13"/>
  <c r="AU469" i="13"/>
  <c r="AX468" i="13"/>
  <c r="AW468" i="13"/>
  <c r="AV468" i="13"/>
  <c r="AU468" i="13"/>
  <c r="AX467" i="13"/>
  <c r="AW467" i="13"/>
  <c r="AV467" i="13"/>
  <c r="AU467" i="13"/>
  <c r="AX466" i="13"/>
  <c r="AW466" i="13"/>
  <c r="AV466" i="13"/>
  <c r="AU466" i="13"/>
  <c r="AX465" i="13"/>
  <c r="AW465" i="13"/>
  <c r="AV465" i="13"/>
  <c r="AU465" i="13"/>
  <c r="AX464" i="13"/>
  <c r="AW464" i="13"/>
  <c r="AV464" i="13"/>
  <c r="AU464" i="13"/>
  <c r="AX463" i="13"/>
  <c r="AW463" i="13"/>
  <c r="AV463" i="13"/>
  <c r="AU463" i="13"/>
  <c r="AX462" i="13"/>
  <c r="AW462" i="13"/>
  <c r="AV462" i="13"/>
  <c r="AU462" i="13"/>
  <c r="AX461" i="13"/>
  <c r="AW461" i="13"/>
  <c r="AV461" i="13"/>
  <c r="AU461" i="13"/>
  <c r="AX460" i="13"/>
  <c r="AW460" i="13"/>
  <c r="AV460" i="13"/>
  <c r="AU460" i="13"/>
  <c r="AX459" i="13"/>
  <c r="AW459" i="13"/>
  <c r="AV459" i="13"/>
  <c r="AU459" i="13"/>
  <c r="AX458" i="13"/>
  <c r="AW458" i="13"/>
  <c r="AV458" i="13"/>
  <c r="AU458" i="13"/>
  <c r="AX457" i="13"/>
  <c r="AW457" i="13"/>
  <c r="AV457" i="13"/>
  <c r="AU457" i="13"/>
  <c r="AX456" i="13"/>
  <c r="AW456" i="13"/>
  <c r="AV456" i="13"/>
  <c r="AU456" i="13"/>
  <c r="AX455" i="13"/>
  <c r="AW455" i="13"/>
  <c r="AV455" i="13"/>
  <c r="AU455" i="13"/>
  <c r="AX454" i="13"/>
  <c r="AW454" i="13"/>
  <c r="AV454" i="13"/>
  <c r="AU454" i="13"/>
  <c r="AX453" i="13"/>
  <c r="AW453" i="13"/>
  <c r="AV453" i="13"/>
  <c r="AU453" i="13"/>
  <c r="AX452" i="13"/>
  <c r="AW452" i="13"/>
  <c r="AV452" i="13"/>
  <c r="AU452" i="13"/>
  <c r="AX451" i="13"/>
  <c r="AW451" i="13"/>
  <c r="AV451" i="13"/>
  <c r="AU451" i="13"/>
  <c r="AX450" i="13"/>
  <c r="AW450" i="13"/>
  <c r="AV450" i="13"/>
  <c r="AU450" i="13"/>
  <c r="AX449" i="13"/>
  <c r="AW449" i="13"/>
  <c r="AV449" i="13"/>
  <c r="AU449" i="13"/>
  <c r="AX448" i="13"/>
  <c r="AW448" i="13"/>
  <c r="AV448" i="13"/>
  <c r="AU448" i="13"/>
  <c r="AX447" i="13"/>
  <c r="AW447" i="13"/>
  <c r="AV447" i="13"/>
  <c r="AU447" i="13"/>
  <c r="AX446" i="13"/>
  <c r="AW446" i="13"/>
  <c r="AV446" i="13"/>
  <c r="AU446" i="13"/>
  <c r="AX445" i="13"/>
  <c r="AW445" i="13"/>
  <c r="AV445" i="13"/>
  <c r="AU445" i="13"/>
  <c r="AX444" i="13"/>
  <c r="AW444" i="13"/>
  <c r="AV444" i="13"/>
  <c r="AU444" i="13"/>
  <c r="AX443" i="13"/>
  <c r="AW443" i="13"/>
  <c r="AV443" i="13"/>
  <c r="AU443" i="13"/>
  <c r="AX442" i="13"/>
  <c r="AW442" i="13"/>
  <c r="AV442" i="13"/>
  <c r="AU442" i="13"/>
  <c r="AX441" i="13"/>
  <c r="AW441" i="13"/>
  <c r="AV441" i="13"/>
  <c r="AU441" i="13"/>
  <c r="AX440" i="13"/>
  <c r="AW440" i="13"/>
  <c r="AV440" i="13"/>
  <c r="AU440" i="13"/>
  <c r="AX439" i="13"/>
  <c r="AW439" i="13"/>
  <c r="AV439" i="13"/>
  <c r="AU439" i="13"/>
  <c r="AX438" i="13"/>
  <c r="AW438" i="13"/>
  <c r="AV438" i="13"/>
  <c r="AU438" i="13"/>
  <c r="AX437" i="13"/>
  <c r="AW437" i="13"/>
  <c r="AV437" i="13"/>
  <c r="AU437" i="13"/>
  <c r="AX436" i="13"/>
  <c r="AW436" i="13"/>
  <c r="AV436" i="13"/>
  <c r="AU436" i="13"/>
  <c r="AX435" i="13"/>
  <c r="AW435" i="13"/>
  <c r="AV435" i="13"/>
  <c r="AU435" i="13"/>
  <c r="AX434" i="13"/>
  <c r="AW434" i="13"/>
  <c r="AV434" i="13"/>
  <c r="AU434" i="13"/>
  <c r="AX433" i="13"/>
  <c r="AW433" i="13"/>
  <c r="AV433" i="13"/>
  <c r="AU433" i="13"/>
  <c r="AX432" i="13"/>
  <c r="AW432" i="13"/>
  <c r="AV432" i="13"/>
  <c r="AU432" i="13"/>
  <c r="AX431" i="13"/>
  <c r="AW431" i="13"/>
  <c r="AV431" i="13"/>
  <c r="AU431" i="13"/>
  <c r="AX430" i="13"/>
  <c r="AW430" i="13"/>
  <c r="AV430" i="13"/>
  <c r="AU430" i="13"/>
  <c r="AX429" i="13"/>
  <c r="AW429" i="13"/>
  <c r="AV429" i="13"/>
  <c r="AU429" i="13"/>
  <c r="AX428" i="13"/>
  <c r="AW428" i="13"/>
  <c r="AV428" i="13"/>
  <c r="AU428" i="13"/>
  <c r="AX427" i="13"/>
  <c r="AW427" i="13"/>
  <c r="AV427" i="13"/>
  <c r="AU427" i="13"/>
  <c r="AX426" i="13"/>
  <c r="AW426" i="13"/>
  <c r="AV426" i="13"/>
  <c r="AU426" i="13"/>
  <c r="AX425" i="13"/>
  <c r="AW425" i="13"/>
  <c r="AV425" i="13"/>
  <c r="AU425" i="13"/>
  <c r="AX424" i="13"/>
  <c r="AW424" i="13"/>
  <c r="AV424" i="13"/>
  <c r="AU424" i="13"/>
  <c r="AX423" i="13"/>
  <c r="AW423" i="13"/>
  <c r="AV423" i="13"/>
  <c r="AU423" i="13"/>
  <c r="AX422" i="13"/>
  <c r="AW422" i="13"/>
  <c r="AV422" i="13"/>
  <c r="AU422" i="13"/>
  <c r="AX421" i="13"/>
  <c r="AW421" i="13"/>
  <c r="AV421" i="13"/>
  <c r="AU421" i="13"/>
  <c r="AX420" i="13"/>
  <c r="AW420" i="13"/>
  <c r="AV420" i="13"/>
  <c r="AU420" i="13"/>
  <c r="AX419" i="13"/>
  <c r="AW419" i="13"/>
  <c r="AV419" i="13"/>
  <c r="AU419" i="13"/>
  <c r="AX418" i="13"/>
  <c r="AW418" i="13"/>
  <c r="AV418" i="13"/>
  <c r="AU418" i="13"/>
  <c r="AX417" i="13"/>
  <c r="AW417" i="13"/>
  <c r="AV417" i="13"/>
  <c r="AU417" i="13"/>
  <c r="AX416" i="13"/>
  <c r="AW416" i="13"/>
  <c r="AV416" i="13"/>
  <c r="AU416" i="13"/>
  <c r="AX415" i="13"/>
  <c r="AW415" i="13"/>
  <c r="AV415" i="13"/>
  <c r="AU415" i="13"/>
  <c r="AX414" i="13"/>
  <c r="AW414" i="13"/>
  <c r="AV414" i="13"/>
  <c r="AU414" i="13"/>
  <c r="AX413" i="13"/>
  <c r="AW413" i="13"/>
  <c r="AV413" i="13"/>
  <c r="AU413" i="13"/>
  <c r="AX412" i="13"/>
  <c r="AW412" i="13"/>
  <c r="AV412" i="13"/>
  <c r="AU412" i="13"/>
  <c r="AX411" i="13"/>
  <c r="AW411" i="13"/>
  <c r="AV411" i="13"/>
  <c r="AU411" i="13"/>
  <c r="AX410" i="13"/>
  <c r="AW410" i="13"/>
  <c r="AV410" i="13"/>
  <c r="AU410" i="13"/>
  <c r="AX409" i="13"/>
  <c r="AW409" i="13"/>
  <c r="AV409" i="13"/>
  <c r="AU409" i="13"/>
  <c r="AX408" i="13"/>
  <c r="AW408" i="13"/>
  <c r="AV408" i="13"/>
  <c r="AU408" i="13"/>
  <c r="AX407" i="13"/>
  <c r="AW407" i="13"/>
  <c r="AV407" i="13"/>
  <c r="AU407" i="13"/>
  <c r="AX406" i="13"/>
  <c r="AW406" i="13"/>
  <c r="AV406" i="13"/>
  <c r="AU406" i="13"/>
  <c r="AX405" i="13"/>
  <c r="AW405" i="13"/>
  <c r="AV405" i="13"/>
  <c r="AU405" i="13"/>
  <c r="AX404" i="13"/>
  <c r="AW404" i="13"/>
  <c r="AV404" i="13"/>
  <c r="AU404" i="13"/>
  <c r="AX403" i="13"/>
  <c r="AW403" i="13"/>
  <c r="AV403" i="13"/>
  <c r="AU403" i="13"/>
  <c r="AX402" i="13"/>
  <c r="AW402" i="13"/>
  <c r="AV402" i="13"/>
  <c r="AU402" i="13"/>
  <c r="AX401" i="13"/>
  <c r="AW401" i="13"/>
  <c r="AV401" i="13"/>
  <c r="AU401" i="13"/>
  <c r="AX400" i="13"/>
  <c r="AW400" i="13"/>
  <c r="AV400" i="13"/>
  <c r="AU400" i="13"/>
  <c r="AX399" i="13"/>
  <c r="AW399" i="13"/>
  <c r="AV399" i="13"/>
  <c r="AU399" i="13"/>
  <c r="AX398" i="13"/>
  <c r="AW398" i="13"/>
  <c r="AV398" i="13"/>
  <c r="AU398" i="13"/>
  <c r="AX397" i="13"/>
  <c r="AW397" i="13"/>
  <c r="AV397" i="13"/>
  <c r="AU397" i="13"/>
  <c r="AX396" i="13"/>
  <c r="AW396" i="13"/>
  <c r="AV396" i="13"/>
  <c r="AU396" i="13"/>
  <c r="AX395" i="13"/>
  <c r="AW395" i="13"/>
  <c r="AV395" i="13"/>
  <c r="AU395" i="13"/>
  <c r="AX394" i="13"/>
  <c r="AW394" i="13"/>
  <c r="AV394" i="13"/>
  <c r="AU394" i="13"/>
  <c r="AX393" i="13"/>
  <c r="AW393" i="13"/>
  <c r="AV393" i="13"/>
  <c r="AU393" i="13"/>
  <c r="AX392" i="13"/>
  <c r="AW392" i="13"/>
  <c r="AV392" i="13"/>
  <c r="AU392" i="13"/>
  <c r="AX391" i="13"/>
  <c r="AW391" i="13"/>
  <c r="AV391" i="13"/>
  <c r="AU391" i="13"/>
  <c r="AX390" i="13"/>
  <c r="AW390" i="13"/>
  <c r="AV390" i="13"/>
  <c r="AU390" i="13"/>
  <c r="AX389" i="13"/>
  <c r="AW389" i="13"/>
  <c r="AV389" i="13"/>
  <c r="AU389" i="13"/>
  <c r="AX388" i="13"/>
  <c r="AW388" i="13"/>
  <c r="AV388" i="13"/>
  <c r="AU388" i="13"/>
  <c r="AX387" i="13"/>
  <c r="AW387" i="13"/>
  <c r="AV387" i="13"/>
  <c r="AU387" i="13"/>
  <c r="AX386" i="13"/>
  <c r="AW386" i="13"/>
  <c r="AV386" i="13"/>
  <c r="AU386" i="13"/>
  <c r="AX385" i="13"/>
  <c r="AW385" i="13"/>
  <c r="AV385" i="13"/>
  <c r="AU385" i="13"/>
  <c r="AX384" i="13"/>
  <c r="AW384" i="13"/>
  <c r="AV384" i="13"/>
  <c r="AU384" i="13"/>
  <c r="AX383" i="13"/>
  <c r="AW383" i="13"/>
  <c r="AV383" i="13"/>
  <c r="AU383" i="13"/>
  <c r="AX382" i="13"/>
  <c r="AW382" i="13"/>
  <c r="AV382" i="13"/>
  <c r="AU382" i="13"/>
  <c r="AX381" i="13"/>
  <c r="AW381" i="13"/>
  <c r="AV381" i="13"/>
  <c r="AU381" i="13"/>
  <c r="AX380" i="13"/>
  <c r="AW380" i="13"/>
  <c r="AV380" i="13"/>
  <c r="AU380" i="13"/>
  <c r="AX379" i="13"/>
  <c r="AW379" i="13"/>
  <c r="AV379" i="13"/>
  <c r="AU379" i="13"/>
  <c r="AX378" i="13"/>
  <c r="AW378" i="13"/>
  <c r="AV378" i="13"/>
  <c r="AU378" i="13"/>
  <c r="AX377" i="13"/>
  <c r="AW377" i="13"/>
  <c r="AV377" i="13"/>
  <c r="AU377" i="13"/>
  <c r="AX376" i="13"/>
  <c r="AW376" i="13"/>
  <c r="AV376" i="13"/>
  <c r="AU376" i="13"/>
  <c r="AX375" i="13"/>
  <c r="AW375" i="13"/>
  <c r="AV375" i="13"/>
  <c r="AU375" i="13"/>
  <c r="AX374" i="13"/>
  <c r="AW374" i="13"/>
  <c r="AV374" i="13"/>
  <c r="AU374" i="13"/>
  <c r="AX373" i="13"/>
  <c r="AW373" i="13"/>
  <c r="AV373" i="13"/>
  <c r="AU373" i="13"/>
  <c r="AX372" i="13"/>
  <c r="AW372" i="13"/>
  <c r="AV372" i="13"/>
  <c r="AU372" i="13"/>
  <c r="AX371" i="13"/>
  <c r="AW371" i="13"/>
  <c r="AV371" i="13"/>
  <c r="AU371" i="13"/>
  <c r="AX370" i="13"/>
  <c r="AW370" i="13"/>
  <c r="AV370" i="13"/>
  <c r="AU370" i="13"/>
  <c r="AX369" i="13"/>
  <c r="AW369" i="13"/>
  <c r="AV369" i="13"/>
  <c r="AU369" i="13"/>
  <c r="AX368" i="13"/>
  <c r="AW368" i="13"/>
  <c r="AV368" i="13"/>
  <c r="AU368" i="13"/>
  <c r="AX367" i="13"/>
  <c r="AW367" i="13"/>
  <c r="AV367" i="13"/>
  <c r="AU367" i="13"/>
  <c r="AX366" i="13"/>
  <c r="AW366" i="13"/>
  <c r="AV366" i="13"/>
  <c r="AU366" i="13"/>
  <c r="AX365" i="13"/>
  <c r="AW365" i="13"/>
  <c r="AV365" i="13"/>
  <c r="AU365" i="13"/>
  <c r="AX364" i="13"/>
  <c r="AW364" i="13"/>
  <c r="AV364" i="13"/>
  <c r="AU364" i="13"/>
  <c r="AX363" i="13"/>
  <c r="AW363" i="13"/>
  <c r="AV363" i="13"/>
  <c r="AU363" i="13"/>
  <c r="AX362" i="13"/>
  <c r="AW362" i="13"/>
  <c r="AV362" i="13"/>
  <c r="AU362" i="13"/>
  <c r="AX361" i="13"/>
  <c r="AW361" i="13"/>
  <c r="AV361" i="13"/>
  <c r="AU361" i="13"/>
  <c r="AX360" i="13"/>
  <c r="AW360" i="13"/>
  <c r="AV360" i="13"/>
  <c r="AU360" i="13"/>
  <c r="AX359" i="13"/>
  <c r="AW359" i="13"/>
  <c r="AV359" i="13"/>
  <c r="AU359" i="13"/>
  <c r="AX358" i="13"/>
  <c r="AW358" i="13"/>
  <c r="AV358" i="13"/>
  <c r="AU358" i="13"/>
  <c r="AX357" i="13"/>
  <c r="AW357" i="13"/>
  <c r="AV357" i="13"/>
  <c r="AU357" i="13"/>
  <c r="AX356" i="13"/>
  <c r="AW356" i="13"/>
  <c r="AV356" i="13"/>
  <c r="AU356" i="13"/>
  <c r="AX355" i="13"/>
  <c r="AW355" i="13"/>
  <c r="AV355" i="13"/>
  <c r="AU355" i="13"/>
  <c r="AX354" i="13"/>
  <c r="AW354" i="13"/>
  <c r="AV354" i="13"/>
  <c r="AU354" i="13"/>
  <c r="AX353" i="13"/>
  <c r="AW353" i="13"/>
  <c r="AV353" i="13"/>
  <c r="AU353" i="13"/>
  <c r="AX352" i="13"/>
  <c r="AW352" i="13"/>
  <c r="AV352" i="13"/>
  <c r="AU352" i="13"/>
  <c r="AX351" i="13"/>
  <c r="AW351" i="13"/>
  <c r="AV351" i="13"/>
  <c r="AU351" i="13"/>
  <c r="AX350" i="13"/>
  <c r="AW350" i="13"/>
  <c r="AV350" i="13"/>
  <c r="AU350" i="13"/>
  <c r="AX349" i="13"/>
  <c r="AW349" i="13"/>
  <c r="AV349" i="13"/>
  <c r="AU349" i="13"/>
  <c r="AX348" i="13"/>
  <c r="AW348" i="13"/>
  <c r="AV348" i="13"/>
  <c r="AU348" i="13"/>
  <c r="AX347" i="13"/>
  <c r="AW347" i="13"/>
  <c r="AV347" i="13"/>
  <c r="AU347" i="13"/>
  <c r="AX346" i="13"/>
  <c r="AW346" i="13"/>
  <c r="AV346" i="13"/>
  <c r="AU346" i="13"/>
  <c r="AX345" i="13"/>
  <c r="AW345" i="13"/>
  <c r="AV345" i="13"/>
  <c r="AU345" i="13"/>
  <c r="AX344" i="13"/>
  <c r="AW344" i="13"/>
  <c r="AV344" i="13"/>
  <c r="AU344" i="13"/>
  <c r="AX343" i="13"/>
  <c r="AW343" i="13"/>
  <c r="AV343" i="13"/>
  <c r="AU343" i="13"/>
  <c r="AX342" i="13"/>
  <c r="AW342" i="13"/>
  <c r="AV342" i="13"/>
  <c r="AU342" i="13"/>
  <c r="AX341" i="13"/>
  <c r="AW341" i="13"/>
  <c r="AV341" i="13"/>
  <c r="AU341" i="13"/>
  <c r="AX340" i="13"/>
  <c r="AW340" i="13"/>
  <c r="AV340" i="13"/>
  <c r="AU340" i="13"/>
  <c r="AX339" i="13"/>
  <c r="AW339" i="13"/>
  <c r="AV339" i="13"/>
  <c r="AU339" i="13"/>
  <c r="AX338" i="13"/>
  <c r="AW338" i="13"/>
  <c r="AV338" i="13"/>
  <c r="AU338" i="13"/>
  <c r="AX337" i="13"/>
  <c r="AW337" i="13"/>
  <c r="AV337" i="13"/>
  <c r="AU337" i="13"/>
  <c r="AX336" i="13"/>
  <c r="AW336" i="13"/>
  <c r="AV336" i="13"/>
  <c r="AU336" i="13"/>
  <c r="AX335" i="13"/>
  <c r="AW335" i="13"/>
  <c r="AV335" i="13"/>
  <c r="AU335" i="13"/>
  <c r="AX334" i="13"/>
  <c r="AW334" i="13"/>
  <c r="AV334" i="13"/>
  <c r="AU334" i="13"/>
  <c r="AX333" i="13"/>
  <c r="AW333" i="13"/>
  <c r="AV333" i="13"/>
  <c r="AU333" i="13"/>
  <c r="AX332" i="13"/>
  <c r="AW332" i="13"/>
  <c r="AV332" i="13"/>
  <c r="AU332" i="13"/>
  <c r="AX331" i="13"/>
  <c r="AW331" i="13"/>
  <c r="AV331" i="13"/>
  <c r="AU331" i="13"/>
  <c r="AX330" i="13"/>
  <c r="AW330" i="13"/>
  <c r="AV330" i="13"/>
  <c r="AU330" i="13"/>
  <c r="AX329" i="13"/>
  <c r="AW329" i="13"/>
  <c r="AV329" i="13"/>
  <c r="AU329" i="13"/>
  <c r="AX328" i="13"/>
  <c r="AW328" i="13"/>
  <c r="AV328" i="13"/>
  <c r="AU328" i="13"/>
  <c r="AX327" i="13"/>
  <c r="AW327" i="13"/>
  <c r="AV327" i="13"/>
  <c r="AU327" i="13"/>
  <c r="AX326" i="13"/>
  <c r="AW326" i="13"/>
  <c r="AV326" i="13"/>
  <c r="AU326" i="13"/>
  <c r="AX325" i="13"/>
  <c r="AW325" i="13"/>
  <c r="AV325" i="13"/>
  <c r="AU325" i="13"/>
  <c r="AX324" i="13"/>
  <c r="AW324" i="13"/>
  <c r="AV324" i="13"/>
  <c r="AU324" i="13"/>
  <c r="AX323" i="13"/>
  <c r="AW323" i="13"/>
  <c r="AV323" i="13"/>
  <c r="AU323" i="13"/>
  <c r="AX322" i="13"/>
  <c r="AW322" i="13"/>
  <c r="AV322" i="13"/>
  <c r="AU322" i="13"/>
  <c r="AX321" i="13"/>
  <c r="AW321" i="13"/>
  <c r="AV321" i="13"/>
  <c r="AU321" i="13"/>
  <c r="AX320" i="13"/>
  <c r="AW320" i="13"/>
  <c r="AV320" i="13"/>
  <c r="AU320" i="13"/>
  <c r="AX319" i="13"/>
  <c r="AW319" i="13"/>
  <c r="AV319" i="13"/>
  <c r="AU319" i="13"/>
  <c r="AX318" i="13"/>
  <c r="AW318" i="13"/>
  <c r="AV318" i="13"/>
  <c r="AU318" i="13"/>
  <c r="AX317" i="13"/>
  <c r="AW317" i="13"/>
  <c r="AV317" i="13"/>
  <c r="AU317" i="13"/>
  <c r="AX316" i="13"/>
  <c r="AW316" i="13"/>
  <c r="AV316" i="13"/>
  <c r="AU316" i="13"/>
  <c r="AX315" i="13"/>
  <c r="AW315" i="13"/>
  <c r="AV315" i="13"/>
  <c r="AU315" i="13"/>
  <c r="AX314" i="13"/>
  <c r="AW314" i="13"/>
  <c r="AV314" i="13"/>
  <c r="AU314" i="13"/>
  <c r="AX313" i="13"/>
  <c r="AW313" i="13"/>
  <c r="AV313" i="13"/>
  <c r="AU313" i="13"/>
  <c r="AX312" i="13"/>
  <c r="AW312" i="13"/>
  <c r="AV312" i="13"/>
  <c r="AU312" i="13"/>
  <c r="AX311" i="13"/>
  <c r="AW311" i="13"/>
  <c r="AV311" i="13"/>
  <c r="AU311" i="13"/>
  <c r="AX310" i="13"/>
  <c r="AW310" i="13"/>
  <c r="AV310" i="13"/>
  <c r="AU310" i="13"/>
  <c r="AX309" i="13"/>
  <c r="AW309" i="13"/>
  <c r="AV309" i="13"/>
  <c r="AU309" i="13"/>
  <c r="AX308" i="13"/>
  <c r="AW308" i="13"/>
  <c r="AV308" i="13"/>
  <c r="AU308" i="13"/>
  <c r="AX307" i="13"/>
  <c r="AW307" i="13"/>
  <c r="AV307" i="13"/>
  <c r="AU307" i="13"/>
  <c r="AX306" i="13"/>
  <c r="AW306" i="13"/>
  <c r="AV306" i="13"/>
  <c r="AU306" i="13"/>
  <c r="AX305" i="13"/>
  <c r="AW305" i="13"/>
  <c r="AV305" i="13"/>
  <c r="AU305" i="13"/>
  <c r="AX304" i="13"/>
  <c r="AW304" i="13"/>
  <c r="AV304" i="13"/>
  <c r="AU304" i="13"/>
  <c r="AX303" i="13"/>
  <c r="AW303" i="13"/>
  <c r="AV303" i="13"/>
  <c r="AU303" i="13"/>
  <c r="AX302" i="13"/>
  <c r="AW302" i="13"/>
  <c r="AV302" i="13"/>
  <c r="AU302" i="13"/>
  <c r="AX301" i="13"/>
  <c r="AW301" i="13"/>
  <c r="AV301" i="13"/>
  <c r="AU301" i="13"/>
  <c r="AX300" i="13"/>
  <c r="AW300" i="13"/>
  <c r="AV300" i="13"/>
  <c r="AU300" i="13"/>
  <c r="AX299" i="13"/>
  <c r="AW299" i="13"/>
  <c r="AV299" i="13"/>
  <c r="AU299" i="13"/>
  <c r="AX298" i="13"/>
  <c r="AW298" i="13"/>
  <c r="AV298" i="13"/>
  <c r="AU298" i="13"/>
  <c r="AX297" i="13"/>
  <c r="AW297" i="13"/>
  <c r="AV297" i="13"/>
  <c r="AU297" i="13"/>
  <c r="AX296" i="13"/>
  <c r="AW296" i="13"/>
  <c r="AV296" i="13"/>
  <c r="AU296" i="13"/>
  <c r="AX295" i="13"/>
  <c r="AW295" i="13"/>
  <c r="AV295" i="13"/>
  <c r="AU295" i="13"/>
  <c r="AX294" i="13"/>
  <c r="AW294" i="13"/>
  <c r="AV294" i="13"/>
  <c r="AU294" i="13"/>
  <c r="AX293" i="13"/>
  <c r="AW293" i="13"/>
  <c r="AV293" i="13"/>
  <c r="AU293" i="13"/>
  <c r="AX292" i="13"/>
  <c r="AW292" i="13"/>
  <c r="AV292" i="13"/>
  <c r="AU292" i="13"/>
  <c r="AX291" i="13"/>
  <c r="AW291" i="13"/>
  <c r="AV291" i="13"/>
  <c r="AU291" i="13"/>
  <c r="AX290" i="13"/>
  <c r="AW290" i="13"/>
  <c r="AV290" i="13"/>
  <c r="AU290" i="13"/>
  <c r="AX289" i="13"/>
  <c r="AW289" i="13"/>
  <c r="AV289" i="13"/>
  <c r="AU289" i="13"/>
  <c r="AX288" i="13"/>
  <c r="AW288" i="13"/>
  <c r="AV288" i="13"/>
  <c r="AU288" i="13"/>
  <c r="AX287" i="13"/>
  <c r="AW287" i="13"/>
  <c r="AV287" i="13"/>
  <c r="AU287" i="13"/>
  <c r="AX286" i="13"/>
  <c r="AW286" i="13"/>
  <c r="AV286" i="13"/>
  <c r="AU286" i="13"/>
  <c r="AX285" i="13"/>
  <c r="AW285" i="13"/>
  <c r="AV285" i="13"/>
  <c r="AU285" i="13"/>
  <c r="AX284" i="13"/>
  <c r="AW284" i="13"/>
  <c r="AV284" i="13"/>
  <c r="AU284" i="13"/>
  <c r="AX283" i="13"/>
  <c r="AW283" i="13"/>
  <c r="AV283" i="13"/>
  <c r="AU283" i="13"/>
  <c r="AX282" i="13"/>
  <c r="AW282" i="13"/>
  <c r="AV282" i="13"/>
  <c r="AU282" i="13"/>
  <c r="AX281" i="13"/>
  <c r="AW281" i="13"/>
  <c r="AV281" i="13"/>
  <c r="AU281" i="13"/>
  <c r="AX280" i="13"/>
  <c r="AW280" i="13"/>
  <c r="AV280" i="13"/>
  <c r="AU280" i="13"/>
  <c r="AX279" i="13"/>
  <c r="AW279" i="13"/>
  <c r="AV279" i="13"/>
  <c r="AU279" i="13"/>
  <c r="AX278" i="13"/>
  <c r="AW278" i="13"/>
  <c r="AV278" i="13"/>
  <c r="AU278" i="13"/>
  <c r="AX277" i="13"/>
  <c r="AW277" i="13"/>
  <c r="AV277" i="13"/>
  <c r="AU277" i="13"/>
  <c r="AX276" i="13"/>
  <c r="AW276" i="13"/>
  <c r="AV276" i="13"/>
  <c r="AU276" i="13"/>
  <c r="AX275" i="13"/>
  <c r="AW275" i="13"/>
  <c r="AV275" i="13"/>
  <c r="AU275" i="13"/>
  <c r="AX274" i="13"/>
  <c r="AW274" i="13"/>
  <c r="AV274" i="13"/>
  <c r="AU274" i="13"/>
  <c r="AX273" i="13"/>
  <c r="AW273" i="13"/>
  <c r="AV273" i="13"/>
  <c r="AU273" i="13"/>
  <c r="AX272" i="13"/>
  <c r="AW272" i="13"/>
  <c r="AV272" i="13"/>
  <c r="AU272" i="13"/>
  <c r="AX271" i="13"/>
  <c r="AW271" i="13"/>
  <c r="AV271" i="13"/>
  <c r="AU271" i="13"/>
  <c r="AX270" i="13"/>
  <c r="AW270" i="13"/>
  <c r="AV270" i="13"/>
  <c r="AU270" i="13"/>
  <c r="AX269" i="13"/>
  <c r="AW269" i="13"/>
  <c r="AV269" i="13"/>
  <c r="AU269" i="13"/>
  <c r="AX268" i="13"/>
  <c r="AW268" i="13"/>
  <c r="AV268" i="13"/>
  <c r="AU268" i="13"/>
  <c r="AX267" i="13"/>
  <c r="AW267" i="13"/>
  <c r="AV267" i="13"/>
  <c r="AU267" i="13"/>
  <c r="AX266" i="13"/>
  <c r="AW266" i="13"/>
  <c r="AV266" i="13"/>
  <c r="AU266" i="13"/>
  <c r="AX265" i="13"/>
  <c r="AW265" i="13"/>
  <c r="AV265" i="13"/>
  <c r="AU265" i="13"/>
  <c r="AX264" i="13"/>
  <c r="AW264" i="13"/>
  <c r="AV264" i="13"/>
  <c r="AU264" i="13"/>
  <c r="AX263" i="13"/>
  <c r="AW263" i="13"/>
  <c r="AV263" i="13"/>
  <c r="AU263" i="13"/>
  <c r="AX262" i="13"/>
  <c r="AW262" i="13"/>
  <c r="AV262" i="13"/>
  <c r="AU262" i="13"/>
  <c r="AX261" i="13"/>
  <c r="AW261" i="13"/>
  <c r="AV261" i="13"/>
  <c r="AU261" i="13"/>
  <c r="AX260" i="13"/>
  <c r="AW260" i="13"/>
  <c r="AV260" i="13"/>
  <c r="AU260" i="13"/>
  <c r="AX259" i="13"/>
  <c r="AW259" i="13"/>
  <c r="AV259" i="13"/>
  <c r="AU259" i="13"/>
  <c r="AX258" i="13"/>
  <c r="AW258" i="13"/>
  <c r="AV258" i="13"/>
  <c r="AU258" i="13"/>
  <c r="AX257" i="13"/>
  <c r="AW257" i="13"/>
  <c r="AV257" i="13"/>
  <c r="AU257" i="13"/>
  <c r="AX256" i="13"/>
  <c r="AW256" i="13"/>
  <c r="AV256" i="13"/>
  <c r="AU256" i="13"/>
  <c r="AX255" i="13"/>
  <c r="AW255" i="13"/>
  <c r="AV255" i="13"/>
  <c r="AU255" i="13"/>
  <c r="AX254" i="13"/>
  <c r="AW254" i="13"/>
  <c r="AV254" i="13"/>
  <c r="AU254" i="13"/>
  <c r="AX253" i="13"/>
  <c r="AW253" i="13"/>
  <c r="AV253" i="13"/>
  <c r="AU253" i="13"/>
  <c r="AX252" i="13"/>
  <c r="AW252" i="13"/>
  <c r="AV252" i="13"/>
  <c r="AU252" i="13"/>
  <c r="AX251" i="13"/>
  <c r="AW251" i="13"/>
  <c r="AV251" i="13"/>
  <c r="AU251" i="13"/>
  <c r="AX250" i="13"/>
  <c r="AW250" i="13"/>
  <c r="AV250" i="13"/>
  <c r="AU250" i="13"/>
  <c r="AX249" i="13"/>
  <c r="AW249" i="13"/>
  <c r="AV249" i="13"/>
  <c r="AU249" i="13"/>
  <c r="AX248" i="13"/>
  <c r="AW248" i="13"/>
  <c r="AV248" i="13"/>
  <c r="AU248" i="13"/>
  <c r="AX247" i="13"/>
  <c r="AW247" i="13"/>
  <c r="AV247" i="13"/>
  <c r="AU247" i="13"/>
  <c r="AX246" i="13"/>
  <c r="AW246" i="13"/>
  <c r="AV246" i="13"/>
  <c r="AU246" i="13"/>
  <c r="AX245" i="13"/>
  <c r="AW245" i="13"/>
  <c r="AV245" i="13"/>
  <c r="AU245" i="13"/>
  <c r="AX244" i="13"/>
  <c r="AW244" i="13"/>
  <c r="AV244" i="13"/>
  <c r="AU244" i="13"/>
  <c r="AX243" i="13"/>
  <c r="AW243" i="13"/>
  <c r="AV243" i="13"/>
  <c r="AU243" i="13"/>
  <c r="AX242" i="13"/>
  <c r="AW242" i="13"/>
  <c r="AV242" i="13"/>
  <c r="AU242" i="13"/>
  <c r="AX241" i="13"/>
  <c r="AW241" i="13"/>
  <c r="AV241" i="13"/>
  <c r="AU241" i="13"/>
  <c r="AX240" i="13"/>
  <c r="AW240" i="13"/>
  <c r="AV240" i="13"/>
  <c r="AU240" i="13"/>
  <c r="AX239" i="13"/>
  <c r="AW239" i="13"/>
  <c r="AV239" i="13"/>
  <c r="AU239" i="13"/>
  <c r="AX238" i="13"/>
  <c r="AW238" i="13"/>
  <c r="AV238" i="13"/>
  <c r="AU238" i="13"/>
  <c r="AX237" i="13"/>
  <c r="AW237" i="13"/>
  <c r="AV237" i="13"/>
  <c r="AU237" i="13"/>
  <c r="AX236" i="13"/>
  <c r="AW236" i="13"/>
  <c r="AV236" i="13"/>
  <c r="AU236" i="13"/>
  <c r="AX235" i="13"/>
  <c r="AW235" i="13"/>
  <c r="AV235" i="13"/>
  <c r="AU235" i="13"/>
  <c r="AX234" i="13"/>
  <c r="AW234" i="13"/>
  <c r="AV234" i="13"/>
  <c r="AU234" i="13"/>
  <c r="AX233" i="13"/>
  <c r="AW233" i="13"/>
  <c r="AV233" i="13"/>
  <c r="AU233" i="13"/>
  <c r="AX232" i="13"/>
  <c r="AW232" i="13"/>
  <c r="AV232" i="13"/>
  <c r="AU232" i="13"/>
  <c r="AX231" i="13"/>
  <c r="AW231" i="13"/>
  <c r="AV231" i="13"/>
  <c r="AU231" i="13"/>
  <c r="AX230" i="13"/>
  <c r="AW230" i="13"/>
  <c r="AV230" i="13"/>
  <c r="AU230" i="13"/>
  <c r="AX229" i="13"/>
  <c r="AW229" i="13"/>
  <c r="AV229" i="13"/>
  <c r="AU229" i="13"/>
  <c r="AX228" i="13"/>
  <c r="AW228" i="13"/>
  <c r="AV228" i="13"/>
  <c r="AU228" i="13"/>
  <c r="AX227" i="13"/>
  <c r="AW227" i="13"/>
  <c r="AV227" i="13"/>
  <c r="AU227" i="13"/>
  <c r="AX226" i="13"/>
  <c r="AW226" i="13"/>
  <c r="AV226" i="13"/>
  <c r="AU226" i="13"/>
  <c r="AX225" i="13"/>
  <c r="AW225" i="13"/>
  <c r="AV225" i="13"/>
  <c r="AU225" i="13"/>
  <c r="AX224" i="13"/>
  <c r="AW224" i="13"/>
  <c r="AV224" i="13"/>
  <c r="AU224" i="13"/>
  <c r="AX223" i="13"/>
  <c r="AW223" i="13"/>
  <c r="AV223" i="13"/>
  <c r="AU223" i="13"/>
  <c r="AX222" i="13"/>
  <c r="AW222" i="13"/>
  <c r="AV222" i="13"/>
  <c r="AU222" i="13"/>
  <c r="AX221" i="13"/>
  <c r="AW221" i="13"/>
  <c r="AV221" i="13"/>
  <c r="AU221" i="13"/>
  <c r="AX220" i="13"/>
  <c r="AW220" i="13"/>
  <c r="AV220" i="13"/>
  <c r="AU220" i="13"/>
  <c r="AX219" i="13"/>
  <c r="AW219" i="13"/>
  <c r="AV219" i="13"/>
  <c r="AU219" i="13"/>
  <c r="AX218" i="13"/>
  <c r="AW218" i="13"/>
  <c r="AV218" i="13"/>
  <c r="AU218" i="13"/>
  <c r="AX217" i="13"/>
  <c r="AW217" i="13"/>
  <c r="AV217" i="13"/>
  <c r="AU217" i="13"/>
  <c r="AX216" i="13"/>
  <c r="AW216" i="13"/>
  <c r="AV216" i="13"/>
  <c r="AU216" i="13"/>
  <c r="AX215" i="13"/>
  <c r="AW215" i="13"/>
  <c r="AV215" i="13"/>
  <c r="AU215" i="13"/>
  <c r="AX214" i="13"/>
  <c r="AW214" i="13"/>
  <c r="AV214" i="13"/>
  <c r="AU214" i="13"/>
  <c r="AX213" i="13"/>
  <c r="AW213" i="13"/>
  <c r="AV213" i="13"/>
  <c r="AU213" i="13"/>
  <c r="AX212" i="13"/>
  <c r="AW212" i="13"/>
  <c r="AV212" i="13"/>
  <c r="AU212" i="13"/>
  <c r="AX211" i="13"/>
  <c r="AW211" i="13"/>
  <c r="AV211" i="13"/>
  <c r="AU211" i="13"/>
  <c r="AX210" i="13"/>
  <c r="AW210" i="13"/>
  <c r="AV210" i="13"/>
  <c r="AU210" i="13"/>
  <c r="AX209" i="13"/>
  <c r="AW209" i="13"/>
  <c r="AV209" i="13"/>
  <c r="AU209" i="13"/>
  <c r="AX208" i="13"/>
  <c r="AW208" i="13"/>
  <c r="AV208" i="13"/>
  <c r="AU208" i="13"/>
  <c r="AX207" i="13"/>
  <c r="AW207" i="13"/>
  <c r="AV207" i="13"/>
  <c r="AU207" i="13"/>
  <c r="AX206" i="13"/>
  <c r="AW206" i="13"/>
  <c r="AV206" i="13"/>
  <c r="AU206" i="13"/>
  <c r="AX205" i="13"/>
  <c r="AW205" i="13"/>
  <c r="AV205" i="13"/>
  <c r="AU205" i="13"/>
  <c r="AX204" i="13"/>
  <c r="AW204" i="13"/>
  <c r="AV204" i="13"/>
  <c r="AU204" i="13"/>
  <c r="AX203" i="13"/>
  <c r="AW203" i="13"/>
  <c r="AV203" i="13"/>
  <c r="AU203" i="13"/>
  <c r="AX202" i="13"/>
  <c r="AW202" i="13"/>
  <c r="AV202" i="13"/>
  <c r="AU202" i="13"/>
  <c r="AX201" i="13"/>
  <c r="AW201" i="13"/>
  <c r="AV201" i="13"/>
  <c r="AU201" i="13"/>
  <c r="AX200" i="13"/>
  <c r="AW200" i="13"/>
  <c r="AV200" i="13"/>
  <c r="AU200" i="13"/>
  <c r="AX199" i="13"/>
  <c r="AW199" i="13"/>
  <c r="AV199" i="13"/>
  <c r="AU199" i="13"/>
  <c r="AX198" i="13"/>
  <c r="AW198" i="13"/>
  <c r="AV198" i="13"/>
  <c r="AU198" i="13"/>
  <c r="AX197" i="13"/>
  <c r="AW197" i="13"/>
  <c r="AV197" i="13"/>
  <c r="AU197" i="13"/>
  <c r="AX196" i="13"/>
  <c r="AW196" i="13"/>
  <c r="AV196" i="13"/>
  <c r="AU196" i="13"/>
  <c r="AX195" i="13"/>
  <c r="AW195" i="13"/>
  <c r="AV195" i="13"/>
  <c r="AU195" i="13"/>
  <c r="AX194" i="13"/>
  <c r="AW194" i="13"/>
  <c r="AV194" i="13"/>
  <c r="AU194" i="13"/>
  <c r="AX193" i="13"/>
  <c r="AW193" i="13"/>
  <c r="AV193" i="13"/>
  <c r="AU193" i="13"/>
  <c r="AX192" i="13"/>
  <c r="AW192" i="13"/>
  <c r="AV192" i="13"/>
  <c r="AU192" i="13"/>
  <c r="AX191" i="13"/>
  <c r="AW191" i="13"/>
  <c r="AV191" i="13"/>
  <c r="AU191" i="13"/>
  <c r="AX190" i="13"/>
  <c r="AW190" i="13"/>
  <c r="AV190" i="13"/>
  <c r="AU190" i="13"/>
  <c r="AX189" i="13"/>
  <c r="AW189" i="13"/>
  <c r="AV189" i="13"/>
  <c r="AU189" i="13"/>
  <c r="AX188" i="13"/>
  <c r="AW188" i="13"/>
  <c r="AV188" i="13"/>
  <c r="AU188" i="13"/>
  <c r="AX187" i="13"/>
  <c r="AW187" i="13"/>
  <c r="AV187" i="13"/>
  <c r="AU187" i="13"/>
  <c r="AX186" i="13"/>
  <c r="AW186" i="13"/>
  <c r="AV186" i="13"/>
  <c r="AU186" i="13"/>
  <c r="AX185" i="13"/>
  <c r="AW185" i="13"/>
  <c r="AV185" i="13"/>
  <c r="AU185" i="13"/>
  <c r="AX184" i="13"/>
  <c r="AW184" i="13"/>
  <c r="AV184" i="13"/>
  <c r="AU184" i="13"/>
  <c r="AX183" i="13"/>
  <c r="AW183" i="13"/>
  <c r="AV183" i="13"/>
  <c r="AU183" i="13"/>
  <c r="AX182" i="13"/>
  <c r="AW182" i="13"/>
  <c r="AV182" i="13"/>
  <c r="AU182" i="13"/>
  <c r="AX181" i="13"/>
  <c r="AW181" i="13"/>
  <c r="AV181" i="13"/>
  <c r="AU181" i="13"/>
  <c r="AX180" i="13"/>
  <c r="AW180" i="13"/>
  <c r="AV180" i="13"/>
  <c r="AU180" i="13"/>
  <c r="AX179" i="13"/>
  <c r="AW179" i="13"/>
  <c r="AV179" i="13"/>
  <c r="AU179" i="13"/>
  <c r="AX178" i="13"/>
  <c r="AW178" i="13"/>
  <c r="AV178" i="13"/>
  <c r="AU178" i="13"/>
  <c r="AX177" i="13"/>
  <c r="AW177" i="13"/>
  <c r="AV177" i="13"/>
  <c r="AU177" i="13"/>
  <c r="AX176" i="13"/>
  <c r="AW176" i="13"/>
  <c r="AV176" i="13"/>
  <c r="AU176" i="13"/>
  <c r="AX175" i="13"/>
  <c r="AW175" i="13"/>
  <c r="AV175" i="13"/>
  <c r="AU175" i="13"/>
  <c r="AX174" i="13"/>
  <c r="AW174" i="13"/>
  <c r="AV174" i="13"/>
  <c r="AU174" i="13"/>
  <c r="AX173" i="13"/>
  <c r="AW173" i="13"/>
  <c r="AV173" i="13"/>
  <c r="AU173" i="13"/>
  <c r="AX172" i="13"/>
  <c r="AW172" i="13"/>
  <c r="AV172" i="13"/>
  <c r="AU172" i="13"/>
  <c r="AX171" i="13"/>
  <c r="AW171" i="13"/>
  <c r="AV171" i="13"/>
  <c r="AU171" i="13"/>
  <c r="AX170" i="13"/>
  <c r="AW170" i="13"/>
  <c r="AV170" i="13"/>
  <c r="AU170" i="13"/>
  <c r="AX169" i="13"/>
  <c r="AW169" i="13"/>
  <c r="AV169" i="13"/>
  <c r="AU169" i="13"/>
  <c r="AX168" i="13"/>
  <c r="AW168" i="13"/>
  <c r="AV168" i="13"/>
  <c r="AU168" i="13"/>
  <c r="AX167" i="13"/>
  <c r="AW167" i="13"/>
  <c r="AV167" i="13"/>
  <c r="AU167" i="13"/>
  <c r="AX166" i="13"/>
  <c r="AW166" i="13"/>
  <c r="AV166" i="13"/>
  <c r="AU166" i="13"/>
  <c r="AX165" i="13"/>
  <c r="AW165" i="13"/>
  <c r="AV165" i="13"/>
  <c r="AU165" i="13"/>
  <c r="AX164" i="13"/>
  <c r="AW164" i="13"/>
  <c r="AV164" i="13"/>
  <c r="AU164" i="13"/>
  <c r="AX163" i="13"/>
  <c r="AW163" i="13"/>
  <c r="AV163" i="13"/>
  <c r="AU163" i="13"/>
  <c r="AX162" i="13"/>
  <c r="AW162" i="13"/>
  <c r="AV162" i="13"/>
  <c r="AU162" i="13"/>
  <c r="AX161" i="13"/>
  <c r="AW161" i="13"/>
  <c r="AV161" i="13"/>
  <c r="AU161" i="13"/>
  <c r="AX160" i="13"/>
  <c r="AW160" i="13"/>
  <c r="AV160" i="13"/>
  <c r="AU160" i="13"/>
  <c r="AX159" i="13"/>
  <c r="AW159" i="13"/>
  <c r="AV159" i="13"/>
  <c r="AU159" i="13"/>
  <c r="AX158" i="13"/>
  <c r="AW158" i="13"/>
  <c r="AV158" i="13"/>
  <c r="AU158" i="13"/>
  <c r="AX157" i="13"/>
  <c r="AW157" i="13"/>
  <c r="AV157" i="13"/>
  <c r="AU157" i="13"/>
  <c r="AX156" i="13"/>
  <c r="AW156" i="13"/>
  <c r="AV156" i="13"/>
  <c r="AU156" i="13"/>
  <c r="AX155" i="13"/>
  <c r="AW155" i="13"/>
  <c r="AV155" i="13"/>
  <c r="AU155" i="13"/>
  <c r="AX154" i="13"/>
  <c r="AW154" i="13"/>
  <c r="AV154" i="13"/>
  <c r="AU154" i="13"/>
  <c r="AX153" i="13"/>
  <c r="AW153" i="13"/>
  <c r="AV153" i="13"/>
  <c r="AU153" i="13"/>
  <c r="AX152" i="13"/>
  <c r="AW152" i="13"/>
  <c r="AV152" i="13"/>
  <c r="AU152" i="13"/>
  <c r="AX151" i="13"/>
  <c r="AW151" i="13"/>
  <c r="AV151" i="13"/>
  <c r="AU151" i="13"/>
  <c r="AX150" i="13"/>
  <c r="AW150" i="13"/>
  <c r="AV150" i="13"/>
  <c r="AU150" i="13"/>
  <c r="AX149" i="13"/>
  <c r="AW149" i="13"/>
  <c r="AV149" i="13"/>
  <c r="AU149" i="13"/>
  <c r="AX148" i="13"/>
  <c r="AW148" i="13"/>
  <c r="AV148" i="13"/>
  <c r="AU148" i="13"/>
  <c r="AX147" i="13"/>
  <c r="AW147" i="13"/>
  <c r="AV147" i="13"/>
  <c r="AU147" i="13"/>
  <c r="AX146" i="13"/>
  <c r="AW146" i="13"/>
  <c r="AV146" i="13"/>
  <c r="AU146" i="13"/>
  <c r="AX145" i="13"/>
  <c r="AW145" i="13"/>
  <c r="AV145" i="13"/>
  <c r="AU145" i="13"/>
  <c r="AX144" i="13"/>
  <c r="AW144" i="13"/>
  <c r="AV144" i="13"/>
  <c r="AU144" i="13"/>
  <c r="AX143" i="13"/>
  <c r="AW143" i="13"/>
  <c r="AV143" i="13"/>
  <c r="AU143" i="13"/>
  <c r="AX142" i="13"/>
  <c r="AW142" i="13"/>
  <c r="AV142" i="13"/>
  <c r="AU142" i="13"/>
  <c r="AX141" i="13"/>
  <c r="AW141" i="13"/>
  <c r="AV141" i="13"/>
  <c r="AU141" i="13"/>
  <c r="AX140" i="13"/>
  <c r="AW140" i="13"/>
  <c r="AV140" i="13"/>
  <c r="AU140" i="13"/>
  <c r="AX139" i="13"/>
  <c r="AW139" i="13"/>
  <c r="AV139" i="13"/>
  <c r="AU139" i="13"/>
  <c r="AX138" i="13"/>
  <c r="AW138" i="13"/>
  <c r="AV138" i="13"/>
  <c r="AU138" i="13"/>
  <c r="AX137" i="13"/>
  <c r="AW137" i="13"/>
  <c r="AV137" i="13"/>
  <c r="AU137" i="13"/>
  <c r="AX136" i="13"/>
  <c r="AW136" i="13"/>
  <c r="AV136" i="13"/>
  <c r="AU136" i="13"/>
  <c r="AX135" i="13"/>
  <c r="AW135" i="13"/>
  <c r="AV135" i="13"/>
  <c r="AU135" i="13"/>
  <c r="AX134" i="13"/>
  <c r="AW134" i="13"/>
  <c r="AV134" i="13"/>
  <c r="AU134" i="13"/>
  <c r="AX133" i="13"/>
  <c r="AW133" i="13"/>
  <c r="AV133" i="13"/>
  <c r="AU133" i="13"/>
  <c r="AX132" i="13"/>
  <c r="AW132" i="13"/>
  <c r="AV132" i="13"/>
  <c r="AU132" i="13"/>
  <c r="AX131" i="13"/>
  <c r="AW131" i="13"/>
  <c r="AV131" i="13"/>
  <c r="AU131" i="13"/>
  <c r="AX130" i="13"/>
  <c r="AW130" i="13"/>
  <c r="AV130" i="13"/>
  <c r="AU130" i="13"/>
  <c r="AX129" i="13"/>
  <c r="AW129" i="13"/>
  <c r="AV129" i="13"/>
  <c r="AU129" i="13"/>
  <c r="AX128" i="13"/>
  <c r="AW128" i="13"/>
  <c r="AV128" i="13"/>
  <c r="AU128" i="13"/>
  <c r="AX127" i="13"/>
  <c r="AW127" i="13"/>
  <c r="AV127" i="13"/>
  <c r="AU127" i="13"/>
  <c r="AX126" i="13"/>
  <c r="AW126" i="13"/>
  <c r="AV126" i="13"/>
  <c r="AU126" i="13"/>
  <c r="AX125" i="13"/>
  <c r="AW125" i="13"/>
  <c r="AV125" i="13"/>
  <c r="AU125" i="13"/>
  <c r="AX124" i="13"/>
  <c r="AW124" i="13"/>
  <c r="AV124" i="13"/>
  <c r="AU124" i="13"/>
  <c r="AX123" i="13"/>
  <c r="AW123" i="13"/>
  <c r="AV123" i="13"/>
  <c r="AU123" i="13"/>
  <c r="AX122" i="13"/>
  <c r="AW122" i="13"/>
  <c r="AV122" i="13"/>
  <c r="AU122" i="13"/>
  <c r="AX121" i="13"/>
  <c r="AW121" i="13"/>
  <c r="AV121" i="13"/>
  <c r="AU121" i="13"/>
  <c r="AX120" i="13"/>
  <c r="AW120" i="13"/>
  <c r="AV120" i="13"/>
  <c r="AU120" i="13"/>
  <c r="AX119" i="13"/>
  <c r="AW119" i="13"/>
  <c r="AV119" i="13"/>
  <c r="AU119" i="13"/>
  <c r="AX118" i="13"/>
  <c r="AW118" i="13"/>
  <c r="AV118" i="13"/>
  <c r="AU118" i="13"/>
  <c r="AX117" i="13"/>
  <c r="AW117" i="13"/>
  <c r="AV117" i="13"/>
  <c r="AU117" i="13"/>
  <c r="AX116" i="13"/>
  <c r="AW116" i="13"/>
  <c r="AV116" i="13"/>
  <c r="AU116" i="13"/>
  <c r="AX115" i="13"/>
  <c r="AW115" i="13"/>
  <c r="AV115" i="13"/>
  <c r="AU115" i="13"/>
  <c r="AX114" i="13"/>
  <c r="AW114" i="13"/>
  <c r="AV114" i="13"/>
  <c r="AU114" i="13"/>
  <c r="AX113" i="13"/>
  <c r="AW113" i="13"/>
  <c r="AV113" i="13"/>
  <c r="AU113" i="13"/>
  <c r="AX112" i="13"/>
  <c r="AW112" i="13"/>
  <c r="AV112" i="13"/>
  <c r="AU112" i="13"/>
  <c r="AX111" i="13"/>
  <c r="AW111" i="13"/>
  <c r="AV111" i="13"/>
  <c r="AU111" i="13"/>
  <c r="AX110" i="13"/>
  <c r="AW110" i="13"/>
  <c r="AV110" i="13"/>
  <c r="AU110" i="13"/>
  <c r="AX109" i="13"/>
  <c r="AW109" i="13"/>
  <c r="AV109" i="13"/>
  <c r="AU109" i="13"/>
  <c r="AX108" i="13"/>
  <c r="AW108" i="13"/>
  <c r="AV108" i="13"/>
  <c r="AU108" i="13"/>
  <c r="AX107" i="13"/>
  <c r="AW107" i="13"/>
  <c r="AV107" i="13"/>
  <c r="AU107" i="13"/>
  <c r="AX106" i="13"/>
  <c r="AW106" i="13"/>
  <c r="AV106" i="13"/>
  <c r="AU106" i="13"/>
  <c r="AX105" i="13"/>
  <c r="AW105" i="13"/>
  <c r="AV105" i="13"/>
  <c r="AU105" i="13"/>
  <c r="AX104" i="13"/>
  <c r="AW104" i="13"/>
  <c r="AV104" i="13"/>
  <c r="AU104" i="13"/>
  <c r="AX103" i="13"/>
  <c r="AW103" i="13"/>
  <c r="AV103" i="13"/>
  <c r="AU103" i="13"/>
  <c r="AX102" i="13"/>
  <c r="AW102" i="13"/>
  <c r="AV102" i="13"/>
  <c r="AU102" i="13"/>
  <c r="AX101" i="13"/>
  <c r="AW101" i="13"/>
  <c r="AV101" i="13"/>
  <c r="AU101" i="13"/>
  <c r="AX100" i="13"/>
  <c r="AW100" i="13"/>
  <c r="AV100" i="13"/>
  <c r="AU100" i="13"/>
  <c r="AX99" i="13"/>
  <c r="AW99" i="13"/>
  <c r="AV99" i="13"/>
  <c r="AU99" i="13"/>
  <c r="AX98" i="13"/>
  <c r="AW98" i="13"/>
  <c r="AV98" i="13"/>
  <c r="AU98" i="13"/>
  <c r="AX97" i="13"/>
  <c r="AW97" i="13"/>
  <c r="AV97" i="13"/>
  <c r="AU97" i="13"/>
  <c r="AX96" i="13"/>
  <c r="AW96" i="13"/>
  <c r="AV96" i="13"/>
  <c r="AU96" i="13"/>
  <c r="AX95" i="13"/>
  <c r="AW95" i="13"/>
  <c r="AV95" i="13"/>
  <c r="AU95" i="13"/>
  <c r="AX94" i="13"/>
  <c r="AW94" i="13"/>
  <c r="AV94" i="13"/>
  <c r="AU94" i="13"/>
  <c r="AX93" i="13"/>
  <c r="AW93" i="13"/>
  <c r="AV93" i="13"/>
  <c r="AU93" i="13"/>
  <c r="AX92" i="13"/>
  <c r="AW92" i="13"/>
  <c r="AV92" i="13"/>
  <c r="AU92" i="13"/>
  <c r="AX91" i="13"/>
  <c r="AW91" i="13"/>
  <c r="AV91" i="13"/>
  <c r="AU91" i="13"/>
  <c r="AX90" i="13"/>
  <c r="AW90" i="13"/>
  <c r="AV90" i="13"/>
  <c r="AU90" i="13"/>
  <c r="AX89" i="13"/>
  <c r="AW89" i="13"/>
  <c r="AV89" i="13"/>
  <c r="AU89" i="13"/>
  <c r="AX88" i="13"/>
  <c r="AW88" i="13"/>
  <c r="AV88" i="13"/>
  <c r="AU88" i="13"/>
  <c r="AX87" i="13"/>
  <c r="AW87" i="13"/>
  <c r="AV87" i="13"/>
  <c r="AU87" i="13"/>
  <c r="AX86" i="13"/>
  <c r="AW86" i="13"/>
  <c r="AV86" i="13"/>
  <c r="AU86" i="13"/>
  <c r="AX85" i="13"/>
  <c r="AW85" i="13"/>
  <c r="AV85" i="13"/>
  <c r="AU85" i="13"/>
  <c r="AX84" i="13"/>
  <c r="AW84" i="13"/>
  <c r="AV84" i="13"/>
  <c r="AU84" i="13"/>
  <c r="AX83" i="13"/>
  <c r="AW83" i="13"/>
  <c r="AV83" i="13"/>
  <c r="AU83" i="13"/>
  <c r="AX82" i="13"/>
  <c r="AW82" i="13"/>
  <c r="AV82" i="13"/>
  <c r="AU82" i="13"/>
  <c r="AX81" i="13"/>
  <c r="AW81" i="13"/>
  <c r="AV81" i="13"/>
  <c r="AU81" i="13"/>
  <c r="AX80" i="13"/>
  <c r="AW80" i="13"/>
  <c r="AV80" i="13"/>
  <c r="AU80" i="13"/>
  <c r="AX79" i="13"/>
  <c r="AW79" i="13"/>
  <c r="AV79" i="13"/>
  <c r="AU79" i="13"/>
  <c r="AX78" i="13"/>
  <c r="AW78" i="13"/>
  <c r="AV78" i="13"/>
  <c r="AU78" i="13"/>
  <c r="AX77" i="13"/>
  <c r="AW77" i="13"/>
  <c r="AV77" i="13"/>
  <c r="AU77" i="13"/>
  <c r="AX76" i="13"/>
  <c r="AW76" i="13"/>
  <c r="AV76" i="13"/>
  <c r="AU76" i="13"/>
  <c r="AX75" i="13"/>
  <c r="AW75" i="13"/>
  <c r="AV75" i="13"/>
  <c r="AU75" i="13"/>
  <c r="AX74" i="13"/>
  <c r="AW74" i="13"/>
  <c r="AV74" i="13"/>
  <c r="AU74" i="13"/>
  <c r="AX73" i="13"/>
  <c r="AW73" i="13"/>
  <c r="AV73" i="13"/>
  <c r="AU73" i="13"/>
  <c r="AX72" i="13"/>
  <c r="AW72" i="13"/>
  <c r="AV72" i="13"/>
  <c r="AU72" i="13"/>
  <c r="AX71" i="13"/>
  <c r="AW71" i="13"/>
  <c r="AV71" i="13"/>
  <c r="AU71" i="13"/>
  <c r="AX70" i="13"/>
  <c r="AW70" i="13"/>
  <c r="AV70" i="13"/>
  <c r="AU70" i="13"/>
  <c r="AX69" i="13"/>
  <c r="AW69" i="13"/>
  <c r="AV69" i="13"/>
  <c r="AU69" i="13"/>
  <c r="AX68" i="13"/>
  <c r="AW68" i="13"/>
  <c r="AV68" i="13"/>
  <c r="AU68" i="13"/>
  <c r="AX67" i="13"/>
  <c r="AW67" i="13"/>
  <c r="AV67" i="13"/>
  <c r="AU67" i="13"/>
  <c r="AX66" i="13"/>
  <c r="AW66" i="13"/>
  <c r="AV66" i="13"/>
  <c r="AU66" i="13"/>
  <c r="AX65" i="13"/>
  <c r="AW65" i="13"/>
  <c r="AV65" i="13"/>
  <c r="AU65" i="13"/>
  <c r="AX64" i="13"/>
  <c r="AW64" i="13"/>
  <c r="AV64" i="13"/>
  <c r="AU64" i="13"/>
  <c r="AX63" i="13"/>
  <c r="AW63" i="13"/>
  <c r="AV63" i="13"/>
  <c r="AU63" i="13"/>
  <c r="AX62" i="13"/>
  <c r="AW62" i="13"/>
  <c r="AV62" i="13"/>
  <c r="AU62" i="13"/>
  <c r="AX61" i="13"/>
  <c r="AW61" i="13"/>
  <c r="AV61" i="13"/>
  <c r="AU61" i="13"/>
  <c r="AX60" i="13"/>
  <c r="AW60" i="13"/>
  <c r="AV60" i="13"/>
  <c r="AU60" i="13"/>
  <c r="AX59" i="13"/>
  <c r="AW59" i="13"/>
  <c r="AV59" i="13"/>
  <c r="AU59" i="13"/>
  <c r="AX58" i="13"/>
  <c r="AW58" i="13"/>
  <c r="AV58" i="13"/>
  <c r="AU58" i="13"/>
  <c r="AX57" i="13"/>
  <c r="AW57" i="13"/>
  <c r="AV57" i="13"/>
  <c r="AU57" i="13"/>
  <c r="AX56" i="13"/>
  <c r="AW56" i="13"/>
  <c r="AV56" i="13"/>
  <c r="AU56" i="13"/>
  <c r="AX55" i="13"/>
  <c r="AW55" i="13"/>
  <c r="AV55" i="13"/>
  <c r="AU55" i="13"/>
  <c r="AX54" i="13"/>
  <c r="AW54" i="13"/>
  <c r="AV54" i="13"/>
  <c r="AU54" i="13"/>
  <c r="AX53" i="13"/>
  <c r="AW53" i="13"/>
  <c r="AV53" i="13"/>
  <c r="AU53" i="13"/>
  <c r="AX52" i="13"/>
  <c r="AW52" i="13"/>
  <c r="AV52" i="13"/>
  <c r="AU52" i="13"/>
  <c r="AX51" i="13"/>
  <c r="AW51" i="13"/>
  <c r="AV51" i="13"/>
  <c r="AU51" i="13"/>
  <c r="AX50" i="13"/>
  <c r="AW50" i="13"/>
  <c r="AV50" i="13"/>
  <c r="AU50" i="13"/>
  <c r="AX49" i="13"/>
  <c r="AW49" i="13"/>
  <c r="AV49" i="13"/>
  <c r="AU49" i="13"/>
  <c r="AX48" i="13"/>
  <c r="AW48" i="13"/>
  <c r="AV48" i="13"/>
  <c r="AU48" i="13"/>
  <c r="AX47" i="13"/>
  <c r="AW47" i="13"/>
  <c r="AV47" i="13"/>
  <c r="AU47" i="13"/>
  <c r="AX46" i="13"/>
  <c r="AW46" i="13"/>
  <c r="AV46" i="13"/>
  <c r="AU46" i="13"/>
  <c r="AX45" i="13"/>
  <c r="AW45" i="13"/>
  <c r="AV45" i="13"/>
  <c r="AU45" i="13"/>
  <c r="AX44" i="13"/>
  <c r="AW44" i="13"/>
  <c r="AV44" i="13"/>
  <c r="AU44" i="13"/>
  <c r="AX43" i="13"/>
  <c r="AW43" i="13"/>
  <c r="AV43" i="13"/>
  <c r="AU43" i="13"/>
  <c r="AX42" i="13"/>
  <c r="AW42" i="13"/>
  <c r="AV42" i="13"/>
  <c r="AU42" i="13"/>
  <c r="AX41" i="13"/>
  <c r="AW41" i="13"/>
  <c r="AV41" i="13"/>
  <c r="AU41" i="13"/>
  <c r="AX40" i="13"/>
  <c r="AW40" i="13"/>
  <c r="AV40" i="13"/>
  <c r="AU40" i="13"/>
  <c r="AX39" i="13"/>
  <c r="AW39" i="13"/>
  <c r="AV39" i="13"/>
  <c r="AU39" i="13"/>
  <c r="AX38" i="13"/>
  <c r="AW38" i="13"/>
  <c r="AV38" i="13"/>
  <c r="AU38" i="13"/>
  <c r="AX37" i="13"/>
  <c r="AW37" i="13"/>
  <c r="AV37" i="13"/>
  <c r="AU37" i="13"/>
  <c r="AX36" i="13"/>
  <c r="AW36" i="13"/>
  <c r="AV36" i="13"/>
  <c r="AU36" i="13"/>
  <c r="AX35" i="13"/>
  <c r="AW35" i="13"/>
  <c r="AV35" i="13"/>
  <c r="AU35" i="13"/>
  <c r="AX34" i="13"/>
  <c r="AW34" i="13"/>
  <c r="AV34" i="13"/>
  <c r="AU34" i="13"/>
  <c r="AX33" i="13"/>
  <c r="AW33" i="13"/>
  <c r="AV33" i="13"/>
  <c r="AU33" i="13"/>
  <c r="AX32" i="13"/>
  <c r="AW32" i="13"/>
  <c r="AV32" i="13"/>
  <c r="AU32" i="13"/>
  <c r="AX31" i="13"/>
  <c r="AW31" i="13"/>
  <c r="AV31" i="13"/>
  <c r="AU31" i="13"/>
  <c r="AX30" i="13"/>
  <c r="AW30" i="13"/>
  <c r="AV30" i="13"/>
  <c r="AU30" i="13"/>
  <c r="AX29" i="13"/>
  <c r="AW29" i="13"/>
  <c r="AV29" i="13"/>
  <c r="AU29" i="13"/>
  <c r="AX28" i="13"/>
  <c r="AW28" i="13"/>
  <c r="AV28" i="13"/>
  <c r="AU28" i="13"/>
  <c r="AX27" i="13"/>
  <c r="AW27" i="13"/>
  <c r="AV27" i="13"/>
  <c r="AU27" i="13"/>
  <c r="AX26" i="13"/>
  <c r="AW26" i="13"/>
  <c r="AV26" i="13"/>
  <c r="AU26" i="13"/>
  <c r="AX25" i="13"/>
  <c r="AW25" i="13"/>
  <c r="AV25" i="13"/>
  <c r="AU25" i="13"/>
  <c r="AX24" i="13"/>
  <c r="AW24" i="13"/>
  <c r="AV24" i="13"/>
  <c r="AU24" i="13"/>
  <c r="AX23" i="13"/>
  <c r="AW23" i="13"/>
  <c r="AV23" i="13"/>
  <c r="AU23" i="13"/>
  <c r="AX22" i="13"/>
  <c r="AW22" i="13"/>
  <c r="AV22" i="13"/>
  <c r="AU22" i="13"/>
  <c r="AX21" i="13"/>
  <c r="AW21" i="13"/>
  <c r="AV21" i="13"/>
  <c r="AU21" i="13"/>
  <c r="AX20" i="13"/>
  <c r="AW20" i="13"/>
  <c r="AV20" i="13"/>
  <c r="AU20" i="13"/>
  <c r="AX19" i="13"/>
  <c r="AW19" i="13"/>
  <c r="AV19" i="13"/>
  <c r="AU19" i="13"/>
  <c r="AX18" i="13"/>
  <c r="AW18" i="13"/>
  <c r="AV18" i="13"/>
  <c r="AU18" i="13"/>
  <c r="AX17" i="13"/>
  <c r="AW17" i="13"/>
  <c r="AV17" i="13"/>
  <c r="AU17" i="13"/>
  <c r="AX16" i="13"/>
  <c r="AW16" i="13"/>
  <c r="AV16" i="13"/>
  <c r="AU16" i="13"/>
  <c r="AX15" i="13"/>
  <c r="AW15" i="13"/>
  <c r="AV15" i="13"/>
  <c r="AU15" i="13"/>
  <c r="AX14" i="13"/>
  <c r="AW14" i="13"/>
  <c r="AV14" i="13"/>
  <c r="AU14" i="13"/>
  <c r="AX13" i="13"/>
  <c r="AW13" i="13"/>
  <c r="AV13" i="13"/>
  <c r="AU13" i="13"/>
  <c r="AX12" i="13"/>
  <c r="AW12" i="13"/>
  <c r="AV12" i="13"/>
  <c r="AU12" i="13"/>
  <c r="AX11" i="13"/>
  <c r="AW11" i="13"/>
  <c r="AV11" i="13"/>
  <c r="AU11" i="13"/>
  <c r="AX10" i="13"/>
  <c r="AW10" i="13"/>
  <c r="AV10" i="13"/>
  <c r="AU10" i="13"/>
  <c r="AX9" i="13"/>
  <c r="AW9" i="13"/>
  <c r="AV9" i="13"/>
  <c r="AU9" i="13"/>
  <c r="AX8" i="13"/>
  <c r="AW8" i="13"/>
  <c r="AV8" i="13"/>
  <c r="AU8" i="13"/>
  <c r="AX7" i="13"/>
  <c r="AW7" i="13"/>
  <c r="AV7" i="13"/>
  <c r="AU7" i="13"/>
  <c r="AX6" i="13"/>
  <c r="AW6" i="13"/>
  <c r="AV6" i="13"/>
  <c r="AU6" i="13"/>
  <c r="AX5" i="13"/>
  <c r="AW5" i="13"/>
  <c r="AV5" i="13"/>
  <c r="AU5" i="13"/>
  <c r="AX4" i="13"/>
  <c r="AW4" i="13"/>
  <c r="AV4" i="13"/>
  <c r="AU4" i="13"/>
  <c r="AX3" i="13"/>
  <c r="AW3" i="13"/>
  <c r="AV3" i="13"/>
  <c r="AU3" i="13"/>
  <c r="AX2" i="13"/>
  <c r="AW2" i="13"/>
  <c r="AV2" i="13"/>
  <c r="AU2" i="13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AN67" i="11"/>
  <c r="AM67" i="11"/>
  <c r="C67" i="11"/>
  <c r="B67" i="11"/>
  <c r="AN66" i="11"/>
  <c r="AM66" i="11"/>
  <c r="C66" i="11"/>
  <c r="B66" i="11"/>
  <c r="AN65" i="11"/>
  <c r="AM65" i="11"/>
  <c r="C65" i="11"/>
  <c r="B65" i="11"/>
  <c r="AN64" i="11"/>
  <c r="AM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N63" i="11"/>
  <c r="AM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N62" i="11"/>
  <c r="AM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M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M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M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G20" i="11"/>
  <c r="G19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AU999" i="12"/>
  <c r="AT999" i="12"/>
  <c r="AU998" i="12"/>
  <c r="AT998" i="12"/>
  <c r="AU997" i="12"/>
  <c r="AT997" i="12"/>
  <c r="AU996" i="12"/>
  <c r="AT996" i="12"/>
  <c r="AU995" i="12"/>
  <c r="AT995" i="12"/>
  <c r="AU994" i="12"/>
  <c r="AT994" i="12"/>
  <c r="AU993" i="12"/>
  <c r="AT993" i="12"/>
  <c r="AU992" i="12"/>
  <c r="AT992" i="12"/>
  <c r="AU991" i="12"/>
  <c r="AT991" i="12"/>
  <c r="AU990" i="12"/>
  <c r="AT990" i="12"/>
  <c r="AU989" i="12"/>
  <c r="AT989" i="12"/>
  <c r="AU988" i="12"/>
  <c r="AT988" i="12"/>
  <c r="AU987" i="12"/>
  <c r="AT987" i="12"/>
  <c r="AU986" i="12"/>
  <c r="AT986" i="12"/>
  <c r="AU985" i="12"/>
  <c r="AT985" i="12"/>
  <c r="AU984" i="12"/>
  <c r="AT984" i="12"/>
  <c r="AU983" i="12"/>
  <c r="AT983" i="12"/>
  <c r="AU982" i="12"/>
  <c r="AT982" i="12"/>
  <c r="AU981" i="12"/>
  <c r="AT981" i="12"/>
  <c r="AU980" i="12"/>
  <c r="AT980" i="12"/>
  <c r="AU979" i="12"/>
  <c r="AT979" i="12"/>
  <c r="AU978" i="12"/>
  <c r="AT978" i="12"/>
  <c r="AU977" i="12"/>
  <c r="AT977" i="12"/>
  <c r="AU976" i="12"/>
  <c r="AT976" i="12"/>
  <c r="AU975" i="12"/>
  <c r="AT975" i="12"/>
  <c r="AU974" i="12"/>
  <c r="AT974" i="12"/>
  <c r="AU973" i="12"/>
  <c r="AT973" i="12"/>
  <c r="AU972" i="12"/>
  <c r="AT972" i="12"/>
  <c r="AU971" i="12"/>
  <c r="AT971" i="12"/>
  <c r="AU970" i="12"/>
  <c r="AT970" i="12"/>
  <c r="AU969" i="12"/>
  <c r="AT969" i="12"/>
  <c r="AU968" i="12"/>
  <c r="AT968" i="12"/>
  <c r="AU967" i="12"/>
  <c r="AT967" i="12"/>
  <c r="AU966" i="12"/>
  <c r="AT966" i="12"/>
  <c r="AU965" i="12"/>
  <c r="AT965" i="12"/>
  <c r="AU964" i="12"/>
  <c r="AT964" i="12"/>
  <c r="AU963" i="12"/>
  <c r="AT963" i="12"/>
  <c r="AU962" i="12"/>
  <c r="AT962" i="12"/>
  <c r="AU961" i="12"/>
  <c r="AT961" i="12"/>
  <c r="AU960" i="12"/>
  <c r="AT960" i="12"/>
  <c r="AU959" i="12"/>
  <c r="AT959" i="12"/>
  <c r="AU958" i="12"/>
  <c r="AT958" i="12"/>
  <c r="AU957" i="12"/>
  <c r="AT957" i="12"/>
  <c r="AU956" i="12"/>
  <c r="AT956" i="12"/>
  <c r="AU955" i="12"/>
  <c r="AT955" i="12"/>
  <c r="AU954" i="12"/>
  <c r="AT954" i="12"/>
  <c r="AU953" i="12"/>
  <c r="AT953" i="12"/>
  <c r="AU952" i="12"/>
  <c r="AT952" i="12"/>
  <c r="AU951" i="12"/>
  <c r="AT951" i="12"/>
  <c r="AU950" i="12"/>
  <c r="AT950" i="12"/>
  <c r="AU949" i="12"/>
  <c r="AT949" i="12"/>
  <c r="AU948" i="12"/>
  <c r="AT948" i="12"/>
  <c r="AU947" i="12"/>
  <c r="AT947" i="12"/>
  <c r="AU946" i="12"/>
  <c r="AT946" i="12"/>
  <c r="AU945" i="12"/>
  <c r="AT945" i="12"/>
  <c r="AU944" i="12"/>
  <c r="AT944" i="12"/>
  <c r="AU943" i="12"/>
  <c r="AT943" i="12"/>
  <c r="AU942" i="12"/>
  <c r="AT942" i="12"/>
  <c r="AU941" i="12"/>
  <c r="AT941" i="12"/>
  <c r="AU940" i="12"/>
  <c r="AT940" i="12"/>
  <c r="AU939" i="12"/>
  <c r="AT939" i="12"/>
  <c r="AU938" i="12"/>
  <c r="AT938" i="12"/>
  <c r="AU937" i="12"/>
  <c r="AT937" i="12"/>
  <c r="AU936" i="12"/>
  <c r="AT936" i="12"/>
  <c r="AU935" i="12"/>
  <c r="AT935" i="12"/>
  <c r="AU934" i="12"/>
  <c r="AT934" i="12"/>
  <c r="AU933" i="12"/>
  <c r="AT933" i="12"/>
  <c r="AU932" i="12"/>
  <c r="AT932" i="12"/>
  <c r="AU931" i="12"/>
  <c r="AT931" i="12"/>
  <c r="AU930" i="12"/>
  <c r="AT930" i="12"/>
  <c r="AU929" i="12"/>
  <c r="AT929" i="12"/>
  <c r="AU928" i="12"/>
  <c r="AT928" i="12"/>
  <c r="AU927" i="12"/>
  <c r="AT927" i="12"/>
  <c r="AU926" i="12"/>
  <c r="AT926" i="12"/>
  <c r="AU925" i="12"/>
  <c r="AT925" i="12"/>
  <c r="AU924" i="12"/>
  <c r="AT924" i="12"/>
  <c r="AU923" i="12"/>
  <c r="AT923" i="12"/>
  <c r="AU922" i="12"/>
  <c r="AT922" i="12"/>
  <c r="AU921" i="12"/>
  <c r="AT921" i="12"/>
  <c r="AU920" i="12"/>
  <c r="AT920" i="12"/>
  <c r="AU919" i="12"/>
  <c r="AT919" i="12"/>
  <c r="AU918" i="12"/>
  <c r="AT918" i="12"/>
  <c r="AU917" i="12"/>
  <c r="AT917" i="12"/>
  <c r="AU916" i="12"/>
  <c r="AT916" i="12"/>
  <c r="AU915" i="12"/>
  <c r="AT915" i="12"/>
  <c r="AU914" i="12"/>
  <c r="AT914" i="12"/>
  <c r="AU913" i="12"/>
  <c r="AT913" i="12"/>
  <c r="AU912" i="12"/>
  <c r="AT912" i="12"/>
  <c r="AU911" i="12"/>
  <c r="AT911" i="12"/>
  <c r="AU910" i="12"/>
  <c r="AT910" i="12"/>
  <c r="AU909" i="12"/>
  <c r="AT909" i="12"/>
  <c r="AU908" i="12"/>
  <c r="AT908" i="12"/>
  <c r="AU907" i="12"/>
  <c r="AT907" i="12"/>
  <c r="AU906" i="12"/>
  <c r="AT906" i="12"/>
  <c r="AU905" i="12"/>
  <c r="AT905" i="12"/>
  <c r="AU904" i="12"/>
  <c r="AT904" i="12"/>
  <c r="AU903" i="12"/>
  <c r="AT903" i="12"/>
  <c r="AU902" i="12"/>
  <c r="AT902" i="12"/>
  <c r="AU901" i="12"/>
  <c r="AT901" i="12"/>
  <c r="AU900" i="12"/>
  <c r="AT900" i="12"/>
  <c r="AU899" i="12"/>
  <c r="AT899" i="12"/>
  <c r="AU898" i="12"/>
  <c r="AT898" i="12"/>
  <c r="AU897" i="12"/>
  <c r="AT897" i="12"/>
  <c r="AU896" i="12"/>
  <c r="AT896" i="12"/>
  <c r="AU895" i="12"/>
  <c r="AT895" i="12"/>
  <c r="AU894" i="12"/>
  <c r="AT894" i="12"/>
  <c r="AU893" i="12"/>
  <c r="AT893" i="12"/>
  <c r="AU892" i="12"/>
  <c r="AT892" i="12"/>
  <c r="AU891" i="12"/>
  <c r="AT891" i="12"/>
  <c r="AU890" i="12"/>
  <c r="AT890" i="12"/>
  <c r="AU889" i="12"/>
  <c r="AT889" i="12"/>
  <c r="AU888" i="12"/>
  <c r="AT888" i="12"/>
  <c r="AU887" i="12"/>
  <c r="AT887" i="12"/>
  <c r="AU886" i="12"/>
  <c r="AT886" i="12"/>
  <c r="AU885" i="12"/>
  <c r="AT885" i="12"/>
  <c r="AU884" i="12"/>
  <c r="AT884" i="12"/>
  <c r="AU883" i="12"/>
  <c r="AT883" i="12"/>
  <c r="AU882" i="12"/>
  <c r="AT882" i="12"/>
  <c r="AU881" i="12"/>
  <c r="AT881" i="12"/>
  <c r="AU880" i="12"/>
  <c r="AT880" i="12"/>
  <c r="AU879" i="12"/>
  <c r="AT879" i="12"/>
  <c r="AU878" i="12"/>
  <c r="AT878" i="12"/>
  <c r="AU877" i="12"/>
  <c r="AT877" i="12"/>
  <c r="AU876" i="12"/>
  <c r="AT876" i="12"/>
  <c r="AU875" i="12"/>
  <c r="AT875" i="12"/>
  <c r="AU874" i="12"/>
  <c r="AT874" i="12"/>
  <c r="AU873" i="12"/>
  <c r="AT873" i="12"/>
  <c r="AU872" i="12"/>
  <c r="AT872" i="12"/>
  <c r="AU871" i="12"/>
  <c r="AT871" i="12"/>
  <c r="AU870" i="12"/>
  <c r="AT870" i="12"/>
  <c r="AU869" i="12"/>
  <c r="AT869" i="12"/>
  <c r="AU868" i="12"/>
  <c r="AT868" i="12"/>
  <c r="AU867" i="12"/>
  <c r="AT867" i="12"/>
  <c r="AU866" i="12"/>
  <c r="AT866" i="12"/>
  <c r="AU865" i="12"/>
  <c r="AT865" i="12"/>
  <c r="AU864" i="12"/>
  <c r="AT864" i="12"/>
  <c r="AU863" i="12"/>
  <c r="AT863" i="12"/>
  <c r="AU862" i="12"/>
  <c r="AT862" i="12"/>
  <c r="AU861" i="12"/>
  <c r="AT861" i="12"/>
  <c r="AU860" i="12"/>
  <c r="AT860" i="12"/>
  <c r="AU859" i="12"/>
  <c r="AT859" i="12"/>
  <c r="AU858" i="12"/>
  <c r="AT858" i="12"/>
  <c r="AU857" i="12"/>
  <c r="AT857" i="12"/>
  <c r="AU856" i="12"/>
  <c r="AT856" i="12"/>
  <c r="AU855" i="12"/>
  <c r="AT855" i="12"/>
  <c r="AU854" i="12"/>
  <c r="AT854" i="12"/>
  <c r="AU853" i="12"/>
  <c r="AT853" i="12"/>
  <c r="AU852" i="12"/>
  <c r="AT852" i="12"/>
  <c r="AU851" i="12"/>
  <c r="AT851" i="12"/>
  <c r="AU850" i="12"/>
  <c r="AT850" i="12"/>
  <c r="AU849" i="12"/>
  <c r="AT849" i="12"/>
  <c r="AU848" i="12"/>
  <c r="AT848" i="12"/>
  <c r="AU847" i="12"/>
  <c r="AT847" i="12"/>
  <c r="AU846" i="12"/>
  <c r="AT846" i="12"/>
  <c r="AU845" i="12"/>
  <c r="AT845" i="12"/>
  <c r="AU844" i="12"/>
  <c r="AT844" i="12"/>
  <c r="AU843" i="12"/>
  <c r="AT843" i="12"/>
  <c r="AU842" i="12"/>
  <c r="AT842" i="12"/>
  <c r="AU841" i="12"/>
  <c r="AT841" i="12"/>
  <c r="AU840" i="12"/>
  <c r="AT840" i="12"/>
  <c r="AU839" i="12"/>
  <c r="AT839" i="12"/>
  <c r="AU838" i="12"/>
  <c r="AT838" i="12"/>
  <c r="AU837" i="12"/>
  <c r="AT837" i="12"/>
  <c r="AU836" i="12"/>
  <c r="AT836" i="12"/>
  <c r="AU835" i="12"/>
  <c r="AT835" i="12"/>
  <c r="AU834" i="12"/>
  <c r="AT834" i="12"/>
  <c r="AU833" i="12"/>
  <c r="AT833" i="12"/>
  <c r="AU832" i="12"/>
  <c r="AT832" i="12"/>
  <c r="AU831" i="12"/>
  <c r="AT831" i="12"/>
  <c r="AU830" i="12"/>
  <c r="AT830" i="12"/>
  <c r="AU829" i="12"/>
  <c r="AT829" i="12"/>
  <c r="AU828" i="12"/>
  <c r="AT828" i="12"/>
  <c r="AU827" i="12"/>
  <c r="AT827" i="12"/>
  <c r="AU826" i="12"/>
  <c r="AT826" i="12"/>
  <c r="AU825" i="12"/>
  <c r="AT825" i="12"/>
  <c r="AU824" i="12"/>
  <c r="AT824" i="12"/>
  <c r="AU823" i="12"/>
  <c r="AT823" i="12"/>
  <c r="AU822" i="12"/>
  <c r="AT822" i="12"/>
  <c r="AU821" i="12"/>
  <c r="AT821" i="12"/>
  <c r="AU820" i="12"/>
  <c r="AT820" i="12"/>
  <c r="AU819" i="12"/>
  <c r="AT819" i="12"/>
  <c r="AU818" i="12"/>
  <c r="AT818" i="12"/>
  <c r="AU817" i="12"/>
  <c r="AT817" i="12"/>
  <c r="AU816" i="12"/>
  <c r="AT816" i="12"/>
  <c r="AU815" i="12"/>
  <c r="AT815" i="12"/>
  <c r="AU814" i="12"/>
  <c r="AT814" i="12"/>
  <c r="AU813" i="12"/>
  <c r="AT813" i="12"/>
  <c r="AU812" i="12"/>
  <c r="AT812" i="12"/>
  <c r="AU811" i="12"/>
  <c r="AT811" i="12"/>
  <c r="AU810" i="12"/>
  <c r="AT810" i="12"/>
  <c r="AU809" i="12"/>
  <c r="AT809" i="12"/>
  <c r="AU808" i="12"/>
  <c r="AT808" i="12"/>
  <c r="AU807" i="12"/>
  <c r="AT807" i="12"/>
  <c r="AU806" i="12"/>
  <c r="AT806" i="12"/>
  <c r="AU805" i="12"/>
  <c r="AT805" i="12"/>
  <c r="AU804" i="12"/>
  <c r="AT804" i="12"/>
  <c r="AU803" i="12"/>
  <c r="AT803" i="12"/>
  <c r="AU802" i="12"/>
  <c r="AT802" i="12"/>
  <c r="AU801" i="12"/>
  <c r="AT801" i="12"/>
  <c r="AU800" i="12"/>
  <c r="AT800" i="12"/>
  <c r="AU799" i="12"/>
  <c r="AT799" i="12"/>
  <c r="AU798" i="12"/>
  <c r="AT798" i="12"/>
  <c r="AU797" i="12"/>
  <c r="AT797" i="12"/>
  <c r="AU796" i="12"/>
  <c r="AT796" i="12"/>
  <c r="AU795" i="12"/>
  <c r="AT795" i="12"/>
  <c r="AU794" i="12"/>
  <c r="AT794" i="12"/>
  <c r="AU793" i="12"/>
  <c r="AT793" i="12"/>
  <c r="AU792" i="12"/>
  <c r="AT792" i="12"/>
  <c r="AU791" i="12"/>
  <c r="AT791" i="12"/>
  <c r="AU790" i="12"/>
  <c r="AT790" i="12"/>
  <c r="AU789" i="12"/>
  <c r="AT789" i="12"/>
  <c r="AU788" i="12"/>
  <c r="AT788" i="12"/>
  <c r="AU787" i="12"/>
  <c r="AT787" i="12"/>
  <c r="AU786" i="12"/>
  <c r="AT786" i="12"/>
  <c r="AU785" i="12"/>
  <c r="AT785" i="12"/>
  <c r="AU784" i="12"/>
  <c r="AT784" i="12"/>
  <c r="AU783" i="12"/>
  <c r="AT783" i="12"/>
  <c r="AU782" i="12"/>
  <c r="AT782" i="12"/>
  <c r="AU781" i="12"/>
  <c r="AT781" i="12"/>
  <c r="AU780" i="12"/>
  <c r="AT780" i="12"/>
  <c r="AU779" i="12"/>
  <c r="AT779" i="12"/>
  <c r="AU778" i="12"/>
  <c r="AT778" i="12"/>
  <c r="AU777" i="12"/>
  <c r="AT777" i="12"/>
  <c r="AU776" i="12"/>
  <c r="AT776" i="12"/>
  <c r="AU775" i="12"/>
  <c r="AT775" i="12"/>
  <c r="AU774" i="12"/>
  <c r="AT774" i="12"/>
  <c r="AU773" i="12"/>
  <c r="AT773" i="12"/>
  <c r="AU772" i="12"/>
  <c r="AT772" i="12"/>
  <c r="AU771" i="12"/>
  <c r="AT771" i="12"/>
  <c r="AU770" i="12"/>
  <c r="AT770" i="12"/>
  <c r="AU769" i="12"/>
  <c r="AT769" i="12"/>
  <c r="AU768" i="12"/>
  <c r="AT768" i="12"/>
  <c r="AU767" i="12"/>
  <c r="AT767" i="12"/>
  <c r="AU766" i="12"/>
  <c r="AT766" i="12"/>
  <c r="AU765" i="12"/>
  <c r="AT765" i="12"/>
  <c r="AU764" i="12"/>
  <c r="AT764" i="12"/>
  <c r="AU763" i="12"/>
  <c r="AT763" i="12"/>
  <c r="AU762" i="12"/>
  <c r="AT762" i="12"/>
  <c r="AU761" i="12"/>
  <c r="AT761" i="12"/>
  <c r="AU760" i="12"/>
  <c r="AT760" i="12"/>
  <c r="AU759" i="12"/>
  <c r="AT759" i="12"/>
  <c r="AU758" i="12"/>
  <c r="AT758" i="12"/>
  <c r="AU757" i="12"/>
  <c r="AT757" i="12"/>
  <c r="AU756" i="12"/>
  <c r="AT756" i="12"/>
  <c r="AU755" i="12"/>
  <c r="AT755" i="12"/>
  <c r="AU754" i="12"/>
  <c r="AT754" i="12"/>
  <c r="AU753" i="12"/>
  <c r="AT753" i="12"/>
  <c r="AU752" i="12"/>
  <c r="AT752" i="12"/>
  <c r="AU751" i="12"/>
  <c r="AT751" i="12"/>
  <c r="AU750" i="12"/>
  <c r="AT750" i="12"/>
  <c r="AU749" i="12"/>
  <c r="AT749" i="12"/>
  <c r="AU748" i="12"/>
  <c r="AT748" i="12"/>
  <c r="AU747" i="12"/>
  <c r="AT747" i="12"/>
  <c r="AU746" i="12"/>
  <c r="AT746" i="12"/>
  <c r="AU745" i="12"/>
  <c r="AT745" i="12"/>
  <c r="AU744" i="12"/>
  <c r="AT744" i="12"/>
  <c r="AU743" i="12"/>
  <c r="AT743" i="12"/>
  <c r="AU742" i="12"/>
  <c r="AT742" i="12"/>
  <c r="AU741" i="12"/>
  <c r="AT741" i="12"/>
  <c r="AU740" i="12"/>
  <c r="AT740" i="12"/>
  <c r="AU739" i="12"/>
  <c r="AT739" i="12"/>
  <c r="AU738" i="12"/>
  <c r="AT738" i="12"/>
  <c r="AU737" i="12"/>
  <c r="AT737" i="12"/>
  <c r="AU736" i="12"/>
  <c r="AT736" i="12"/>
  <c r="AU735" i="12"/>
  <c r="AT735" i="12"/>
  <c r="AU734" i="12"/>
  <c r="AT734" i="12"/>
  <c r="AU733" i="12"/>
  <c r="AT733" i="12"/>
  <c r="AU732" i="12"/>
  <c r="AT732" i="12"/>
  <c r="AU731" i="12"/>
  <c r="AT731" i="12"/>
  <c r="AU730" i="12"/>
  <c r="AT730" i="12"/>
  <c r="AU729" i="12"/>
  <c r="AT729" i="12"/>
  <c r="AU728" i="12"/>
  <c r="AT728" i="12"/>
  <c r="AU727" i="12"/>
  <c r="AT727" i="12"/>
  <c r="AU726" i="12"/>
  <c r="AT726" i="12"/>
  <c r="AU725" i="12"/>
  <c r="AT725" i="12"/>
  <c r="AU724" i="12"/>
  <c r="AT724" i="12"/>
  <c r="AU723" i="12"/>
  <c r="AT723" i="12"/>
  <c r="AU722" i="12"/>
  <c r="AT722" i="12"/>
  <c r="AU721" i="12"/>
  <c r="AT721" i="12"/>
  <c r="AU720" i="12"/>
  <c r="AT720" i="12"/>
  <c r="AU719" i="12"/>
  <c r="AT719" i="12"/>
  <c r="AU718" i="12"/>
  <c r="AT718" i="12"/>
  <c r="AU717" i="12"/>
  <c r="AT717" i="12"/>
  <c r="AU716" i="12"/>
  <c r="AT716" i="12"/>
  <c r="AU715" i="12"/>
  <c r="AT715" i="12"/>
  <c r="AU714" i="12"/>
  <c r="AT714" i="12"/>
  <c r="AU713" i="12"/>
  <c r="AT713" i="12"/>
  <c r="AU712" i="12"/>
  <c r="AT712" i="12"/>
  <c r="AU711" i="12"/>
  <c r="AT711" i="12"/>
  <c r="AU710" i="12"/>
  <c r="AT710" i="12"/>
  <c r="AU709" i="12"/>
  <c r="AT709" i="12"/>
  <c r="AU708" i="12"/>
  <c r="AT708" i="12"/>
  <c r="AU707" i="12"/>
  <c r="AT707" i="12"/>
  <c r="AU706" i="12"/>
  <c r="AT706" i="12"/>
  <c r="AU705" i="12"/>
  <c r="AT705" i="12"/>
  <c r="AU704" i="12"/>
  <c r="AT704" i="12"/>
  <c r="AU703" i="12"/>
  <c r="AT703" i="12"/>
  <c r="AU702" i="12"/>
  <c r="AT702" i="12"/>
  <c r="AU701" i="12"/>
  <c r="AT701" i="12"/>
  <c r="AU700" i="12"/>
  <c r="AT700" i="12"/>
  <c r="AU699" i="12"/>
  <c r="AT699" i="12"/>
  <c r="AU698" i="12"/>
  <c r="AT698" i="12"/>
  <c r="AU697" i="12"/>
  <c r="AT697" i="12"/>
  <c r="AU696" i="12"/>
  <c r="AT696" i="12"/>
  <c r="AU695" i="12"/>
  <c r="AT695" i="12"/>
  <c r="AU694" i="12"/>
  <c r="AT694" i="12"/>
  <c r="AU693" i="12"/>
  <c r="AT693" i="12"/>
  <c r="AU692" i="12"/>
  <c r="AT692" i="12"/>
  <c r="AU691" i="12"/>
  <c r="AT691" i="12"/>
  <c r="AU690" i="12"/>
  <c r="AT690" i="12"/>
  <c r="AU689" i="12"/>
  <c r="AT689" i="12"/>
  <c r="AU688" i="12"/>
  <c r="AT688" i="12"/>
  <c r="AU687" i="12"/>
  <c r="AT687" i="12"/>
  <c r="AU686" i="12"/>
  <c r="AT686" i="12"/>
  <c r="AU685" i="12"/>
  <c r="AT685" i="12"/>
  <c r="AU684" i="12"/>
  <c r="AT684" i="12"/>
  <c r="AU683" i="12"/>
  <c r="AT683" i="12"/>
  <c r="AU682" i="12"/>
  <c r="AT682" i="12"/>
  <c r="AU681" i="12"/>
  <c r="AT681" i="12"/>
  <c r="AU680" i="12"/>
  <c r="AT680" i="12"/>
  <c r="AU679" i="12"/>
  <c r="AT679" i="12"/>
  <c r="AU678" i="12"/>
  <c r="AT678" i="12"/>
  <c r="AU677" i="12"/>
  <c r="AT677" i="12"/>
  <c r="AU676" i="12"/>
  <c r="AT676" i="12"/>
  <c r="AU675" i="12"/>
  <c r="AT675" i="12"/>
  <c r="AU674" i="12"/>
  <c r="AT674" i="12"/>
  <c r="AU673" i="12"/>
  <c r="AT673" i="12"/>
  <c r="AU672" i="12"/>
  <c r="AT672" i="12"/>
  <c r="AU671" i="12"/>
  <c r="AT671" i="12"/>
  <c r="AU670" i="12"/>
  <c r="AT670" i="12"/>
  <c r="AU669" i="12"/>
  <c r="AT669" i="12"/>
  <c r="AU668" i="12"/>
  <c r="AT668" i="12"/>
  <c r="AU667" i="12"/>
  <c r="AT667" i="12"/>
  <c r="AU666" i="12"/>
  <c r="AT666" i="12"/>
  <c r="AU665" i="12"/>
  <c r="AT665" i="12"/>
  <c r="AU664" i="12"/>
  <c r="AT664" i="12"/>
  <c r="AU663" i="12"/>
  <c r="AT663" i="12"/>
  <c r="AU662" i="12"/>
  <c r="AT662" i="12"/>
  <c r="AU661" i="12"/>
  <c r="AT661" i="12"/>
  <c r="AU660" i="12"/>
  <c r="AT660" i="12"/>
  <c r="AU659" i="12"/>
  <c r="AT659" i="12"/>
  <c r="AU658" i="12"/>
  <c r="AT658" i="12"/>
  <c r="AU657" i="12"/>
  <c r="AT657" i="12"/>
  <c r="AU656" i="12"/>
  <c r="AT656" i="12"/>
  <c r="AU655" i="12"/>
  <c r="AT655" i="12"/>
  <c r="AU654" i="12"/>
  <c r="AT654" i="12"/>
  <c r="AU653" i="12"/>
  <c r="AT653" i="12"/>
  <c r="AU652" i="12"/>
  <c r="AT652" i="12"/>
  <c r="AU651" i="12"/>
  <c r="AT651" i="12"/>
  <c r="AU650" i="12"/>
  <c r="AT650" i="12"/>
  <c r="AU649" i="12"/>
  <c r="AT649" i="12"/>
  <c r="AU648" i="12"/>
  <c r="AT648" i="12"/>
  <c r="AU647" i="12"/>
  <c r="AT647" i="12"/>
  <c r="AU646" i="12"/>
  <c r="AT646" i="12"/>
  <c r="AU645" i="12"/>
  <c r="AT645" i="12"/>
  <c r="AU644" i="12"/>
  <c r="AT644" i="12"/>
  <c r="AU643" i="12"/>
  <c r="AT643" i="12"/>
  <c r="AU642" i="12"/>
  <c r="AT642" i="12"/>
  <c r="AU641" i="12"/>
  <c r="AT641" i="12"/>
  <c r="AU640" i="12"/>
  <c r="AT640" i="12"/>
  <c r="AU639" i="12"/>
  <c r="AT639" i="12"/>
  <c r="AU638" i="12"/>
  <c r="AT638" i="12"/>
  <c r="AU637" i="12"/>
  <c r="AT637" i="12"/>
  <c r="AU636" i="12"/>
  <c r="AT636" i="12"/>
  <c r="AU635" i="12"/>
  <c r="AT635" i="12"/>
  <c r="AU634" i="12"/>
  <c r="AT634" i="12"/>
  <c r="AU633" i="12"/>
  <c r="AT633" i="12"/>
  <c r="AU632" i="12"/>
  <c r="AT632" i="12"/>
  <c r="AU631" i="12"/>
  <c r="AT631" i="12"/>
  <c r="AU630" i="12"/>
  <c r="AT630" i="12"/>
  <c r="AU629" i="12"/>
  <c r="AT629" i="12"/>
  <c r="AU628" i="12"/>
  <c r="AT628" i="12"/>
  <c r="AU627" i="12"/>
  <c r="AT627" i="12"/>
  <c r="AU626" i="12"/>
  <c r="AT626" i="12"/>
  <c r="AU625" i="12"/>
  <c r="AT625" i="12"/>
  <c r="AU624" i="12"/>
  <c r="AT624" i="12"/>
  <c r="AU623" i="12"/>
  <c r="AT623" i="12"/>
  <c r="AU622" i="12"/>
  <c r="AT622" i="12"/>
  <c r="AU621" i="12"/>
  <c r="AT621" i="12"/>
  <c r="AU620" i="12"/>
  <c r="AT620" i="12"/>
  <c r="AU619" i="12"/>
  <c r="AT619" i="12"/>
  <c r="AU618" i="12"/>
  <c r="AT618" i="12"/>
  <c r="AU617" i="12"/>
  <c r="AT617" i="12"/>
  <c r="AU616" i="12"/>
  <c r="AT616" i="12"/>
  <c r="AU615" i="12"/>
  <c r="AT615" i="12"/>
  <c r="AU614" i="12"/>
  <c r="AT614" i="12"/>
  <c r="AU613" i="12"/>
  <c r="AT613" i="12"/>
  <c r="AU612" i="12"/>
  <c r="AT612" i="12"/>
  <c r="AU611" i="12"/>
  <c r="AT611" i="12"/>
  <c r="AU610" i="12"/>
  <c r="AT610" i="12"/>
  <c r="AU609" i="12"/>
  <c r="AT609" i="12"/>
  <c r="AU608" i="12"/>
  <c r="AT608" i="12"/>
  <c r="AU607" i="12"/>
  <c r="AT607" i="12"/>
  <c r="AU606" i="12"/>
  <c r="AT606" i="12"/>
  <c r="AU605" i="12"/>
  <c r="AT605" i="12"/>
  <c r="AU604" i="12"/>
  <c r="AT604" i="12"/>
  <c r="AU603" i="12"/>
  <c r="AT603" i="12"/>
  <c r="AU602" i="12"/>
  <c r="AT602" i="12"/>
  <c r="AU601" i="12"/>
  <c r="AT601" i="12"/>
  <c r="AU600" i="12"/>
  <c r="AT600" i="12"/>
  <c r="AU599" i="12"/>
  <c r="AT599" i="12"/>
  <c r="AU598" i="12"/>
  <c r="AT598" i="12"/>
  <c r="AU597" i="12"/>
  <c r="AT597" i="12"/>
  <c r="AU596" i="12"/>
  <c r="AT596" i="12"/>
  <c r="AU595" i="12"/>
  <c r="AT595" i="12"/>
  <c r="AU594" i="12"/>
  <c r="AT594" i="12"/>
  <c r="AU593" i="12"/>
  <c r="AT593" i="12"/>
  <c r="AU592" i="12"/>
  <c r="AT592" i="12"/>
  <c r="AU591" i="12"/>
  <c r="AT591" i="12"/>
  <c r="AU590" i="12"/>
  <c r="AT590" i="12"/>
  <c r="AU589" i="12"/>
  <c r="AT589" i="12"/>
  <c r="AU588" i="12"/>
  <c r="AT588" i="12"/>
  <c r="AU587" i="12"/>
  <c r="AT587" i="12"/>
  <c r="AU586" i="12"/>
  <c r="AT586" i="12"/>
  <c r="AU585" i="12"/>
  <c r="AT585" i="12"/>
  <c r="AU584" i="12"/>
  <c r="AT584" i="12"/>
  <c r="AU583" i="12"/>
  <c r="AT583" i="12"/>
  <c r="AU582" i="12"/>
  <c r="AT582" i="12"/>
  <c r="AU581" i="12"/>
  <c r="AT581" i="12"/>
  <c r="AU580" i="12"/>
  <c r="AT580" i="12"/>
  <c r="AU579" i="12"/>
  <c r="AT579" i="12"/>
  <c r="AU578" i="12"/>
  <c r="AT578" i="12"/>
  <c r="AU577" i="12"/>
  <c r="AT577" i="12"/>
  <c r="AU576" i="12"/>
  <c r="AT576" i="12"/>
  <c r="AU575" i="12"/>
  <c r="AT575" i="12"/>
  <c r="AU574" i="12"/>
  <c r="AT574" i="12"/>
  <c r="AU573" i="12"/>
  <c r="AT573" i="12"/>
  <c r="AU572" i="12"/>
  <c r="AT572" i="12"/>
  <c r="AU571" i="12"/>
  <c r="AT571" i="12"/>
  <c r="AU570" i="12"/>
  <c r="AT570" i="12"/>
  <c r="AU569" i="12"/>
  <c r="AT569" i="12"/>
  <c r="AU568" i="12"/>
  <c r="AT568" i="12"/>
  <c r="AU567" i="12"/>
  <c r="AT567" i="12"/>
  <c r="AU566" i="12"/>
  <c r="AT566" i="12"/>
  <c r="AU565" i="12"/>
  <c r="AT565" i="12"/>
  <c r="AU564" i="12"/>
  <c r="AT564" i="12"/>
  <c r="AU563" i="12"/>
  <c r="AT563" i="12"/>
  <c r="AU562" i="12"/>
  <c r="AT562" i="12"/>
  <c r="AU561" i="12"/>
  <c r="AT561" i="12"/>
  <c r="AU560" i="12"/>
  <c r="AT560" i="12"/>
  <c r="AU559" i="12"/>
  <c r="AT559" i="12"/>
  <c r="AU558" i="12"/>
  <c r="AT558" i="12"/>
  <c r="AU557" i="12"/>
  <c r="AT557" i="12"/>
  <c r="AU556" i="12"/>
  <c r="AT556" i="12"/>
  <c r="AU555" i="12"/>
  <c r="AT555" i="12"/>
  <c r="AU554" i="12"/>
  <c r="AT554" i="12"/>
  <c r="AU553" i="12"/>
  <c r="AT553" i="12"/>
  <c r="AU552" i="12"/>
  <c r="AT552" i="12"/>
  <c r="AU551" i="12"/>
  <c r="AT551" i="12"/>
  <c r="AU550" i="12"/>
  <c r="AT550" i="12"/>
  <c r="AU549" i="12"/>
  <c r="AT549" i="12"/>
  <c r="AU548" i="12"/>
  <c r="AT548" i="12"/>
  <c r="AU547" i="12"/>
  <c r="AT547" i="12"/>
  <c r="AU546" i="12"/>
  <c r="AT546" i="12"/>
  <c r="AU545" i="12"/>
  <c r="AT545" i="12"/>
  <c r="AU544" i="12"/>
  <c r="AT544" i="12"/>
  <c r="AU543" i="12"/>
  <c r="AT543" i="12"/>
  <c r="AU542" i="12"/>
  <c r="AT542" i="12"/>
  <c r="AU541" i="12"/>
  <c r="AT541" i="12"/>
  <c r="AU540" i="12"/>
  <c r="AT540" i="12"/>
  <c r="AU539" i="12"/>
  <c r="AT539" i="12"/>
  <c r="AU538" i="12"/>
  <c r="AT538" i="12"/>
  <c r="AU537" i="12"/>
  <c r="AT537" i="12"/>
  <c r="AU536" i="12"/>
  <c r="AT536" i="12"/>
  <c r="AU535" i="12"/>
  <c r="AT535" i="12"/>
  <c r="AU534" i="12"/>
  <c r="AT534" i="12"/>
  <c r="AU533" i="12"/>
  <c r="AT533" i="12"/>
  <c r="AU532" i="12"/>
  <c r="AT532" i="12"/>
  <c r="AU531" i="12"/>
  <c r="AT531" i="12"/>
  <c r="AU530" i="12"/>
  <c r="AT530" i="12"/>
  <c r="AU529" i="12"/>
  <c r="AT529" i="12"/>
  <c r="AU528" i="12"/>
  <c r="AT528" i="12"/>
  <c r="AU527" i="12"/>
  <c r="AT527" i="12"/>
  <c r="AU526" i="12"/>
  <c r="AT526" i="12"/>
  <c r="AU525" i="12"/>
  <c r="AT525" i="12"/>
  <c r="AU524" i="12"/>
  <c r="AT524" i="12"/>
  <c r="AU523" i="12"/>
  <c r="AT523" i="12"/>
  <c r="AU522" i="12"/>
  <c r="AT522" i="12"/>
  <c r="AU521" i="12"/>
  <c r="AT521" i="12"/>
  <c r="AU520" i="12"/>
  <c r="AT520" i="12"/>
  <c r="AU519" i="12"/>
  <c r="AT519" i="12"/>
  <c r="AU518" i="12"/>
  <c r="AT518" i="12"/>
  <c r="AU517" i="12"/>
  <c r="AT517" i="12"/>
  <c r="AU516" i="12"/>
  <c r="AT516" i="12"/>
  <c r="AU515" i="12"/>
  <c r="AT515" i="12"/>
  <c r="AU514" i="12"/>
  <c r="AT514" i="12"/>
  <c r="AU513" i="12"/>
  <c r="AT513" i="12"/>
  <c r="AU512" i="12"/>
  <c r="AT512" i="12"/>
  <c r="AU511" i="12"/>
  <c r="AT511" i="12"/>
  <c r="AU510" i="12"/>
  <c r="AT510" i="12"/>
  <c r="AU509" i="12"/>
  <c r="AT509" i="12"/>
  <c r="AU508" i="12"/>
  <c r="AT508" i="12"/>
  <c r="AU507" i="12"/>
  <c r="AT507" i="12"/>
  <c r="AU506" i="12"/>
  <c r="AT506" i="12"/>
  <c r="AU505" i="12"/>
  <c r="AT505" i="12"/>
  <c r="AU504" i="12"/>
  <c r="AT504" i="12"/>
  <c r="AU503" i="12"/>
  <c r="AT503" i="12"/>
  <c r="AU502" i="12"/>
  <c r="AT502" i="12"/>
  <c r="AU501" i="12"/>
  <c r="AT501" i="12"/>
  <c r="AU500" i="12"/>
  <c r="AT500" i="12"/>
  <c r="AU499" i="12"/>
  <c r="AT499" i="12"/>
  <c r="AU498" i="12"/>
  <c r="AT498" i="12"/>
  <c r="AU497" i="12"/>
  <c r="AT497" i="12"/>
  <c r="AU496" i="12"/>
  <c r="AT496" i="12"/>
  <c r="AU495" i="12"/>
  <c r="AT495" i="12"/>
  <c r="AU494" i="12"/>
  <c r="AT494" i="12"/>
  <c r="AU493" i="12"/>
  <c r="AT493" i="12"/>
  <c r="AU492" i="12"/>
  <c r="AT492" i="12"/>
  <c r="AU491" i="12"/>
  <c r="AT491" i="12"/>
  <c r="AU490" i="12"/>
  <c r="AT490" i="12"/>
  <c r="AU489" i="12"/>
  <c r="AT489" i="12"/>
  <c r="AU488" i="12"/>
  <c r="AT488" i="12"/>
  <c r="AU487" i="12"/>
  <c r="AT487" i="12"/>
  <c r="AU486" i="12"/>
  <c r="AT486" i="12"/>
  <c r="AU485" i="12"/>
  <c r="AT485" i="12"/>
  <c r="AU484" i="12"/>
  <c r="AT484" i="12"/>
  <c r="AU483" i="12"/>
  <c r="AT483" i="12"/>
  <c r="AU482" i="12"/>
  <c r="AT482" i="12"/>
  <c r="AU481" i="12"/>
  <c r="AT481" i="12"/>
  <c r="AU480" i="12"/>
  <c r="AT480" i="12"/>
  <c r="AU479" i="12"/>
  <c r="AT479" i="12"/>
  <c r="AU478" i="12"/>
  <c r="AT478" i="12"/>
  <c r="AU477" i="12"/>
  <c r="AT477" i="12"/>
  <c r="AU476" i="12"/>
  <c r="AT476" i="12"/>
  <c r="AU475" i="12"/>
  <c r="AT475" i="12"/>
  <c r="AU474" i="12"/>
  <c r="AT474" i="12"/>
  <c r="AU473" i="12"/>
  <c r="AT473" i="12"/>
  <c r="AU472" i="12"/>
  <c r="AT472" i="12"/>
  <c r="AU471" i="12"/>
  <c r="AT471" i="12"/>
  <c r="AU470" i="12"/>
  <c r="AT470" i="12"/>
  <c r="AU469" i="12"/>
  <c r="AT469" i="12"/>
  <c r="AU468" i="12"/>
  <c r="AT468" i="12"/>
  <c r="AU467" i="12"/>
  <c r="AT467" i="12"/>
  <c r="AU466" i="12"/>
  <c r="AT466" i="12"/>
  <c r="AU465" i="12"/>
  <c r="AT465" i="12"/>
  <c r="AU464" i="12"/>
  <c r="AT464" i="12"/>
  <c r="AU463" i="12"/>
  <c r="AT463" i="12"/>
  <c r="AU462" i="12"/>
  <c r="AT462" i="12"/>
  <c r="AU461" i="12"/>
  <c r="AT461" i="12"/>
  <c r="AU460" i="12"/>
  <c r="AT460" i="12"/>
  <c r="AU459" i="12"/>
  <c r="AT459" i="12"/>
  <c r="AU458" i="12"/>
  <c r="AT458" i="12"/>
  <c r="AU457" i="12"/>
  <c r="AT457" i="12"/>
  <c r="AU456" i="12"/>
  <c r="AT456" i="12"/>
  <c r="AU455" i="12"/>
  <c r="AT455" i="12"/>
  <c r="AU454" i="12"/>
  <c r="AT454" i="12"/>
  <c r="AU453" i="12"/>
  <c r="AT453" i="12"/>
  <c r="AU452" i="12"/>
  <c r="AT452" i="12"/>
  <c r="AU451" i="12"/>
  <c r="AT451" i="12"/>
  <c r="AU450" i="12"/>
  <c r="AT450" i="12"/>
  <c r="AU449" i="12"/>
  <c r="AT449" i="12"/>
  <c r="AU448" i="12"/>
  <c r="AT448" i="12"/>
  <c r="AU447" i="12"/>
  <c r="AT447" i="12"/>
  <c r="AU446" i="12"/>
  <c r="AT446" i="12"/>
  <c r="AU445" i="12"/>
  <c r="AT445" i="12"/>
  <c r="AU444" i="12"/>
  <c r="AT444" i="12"/>
  <c r="AU443" i="12"/>
  <c r="AT443" i="12"/>
  <c r="AU442" i="12"/>
  <c r="AT442" i="12"/>
  <c r="AU441" i="12"/>
  <c r="AT441" i="12"/>
  <c r="AU440" i="12"/>
  <c r="AT440" i="12"/>
  <c r="AU439" i="12"/>
  <c r="AT439" i="12"/>
  <c r="AU438" i="12"/>
  <c r="AT438" i="12"/>
  <c r="AU437" i="12"/>
  <c r="AT437" i="12"/>
  <c r="AU436" i="12"/>
  <c r="AT436" i="12"/>
  <c r="AU435" i="12"/>
  <c r="AT435" i="12"/>
  <c r="AU434" i="12"/>
  <c r="AT434" i="12"/>
  <c r="AU433" i="12"/>
  <c r="AT433" i="12"/>
  <c r="AU432" i="12"/>
  <c r="AT432" i="12"/>
  <c r="AU431" i="12"/>
  <c r="AT431" i="12"/>
  <c r="AU430" i="12"/>
  <c r="AT430" i="12"/>
  <c r="AU429" i="12"/>
  <c r="AT429" i="12"/>
  <c r="AU428" i="12"/>
  <c r="AT428" i="12"/>
  <c r="AU427" i="12"/>
  <c r="AT427" i="12"/>
  <c r="AU426" i="12"/>
  <c r="AT426" i="12"/>
  <c r="AU425" i="12"/>
  <c r="AT425" i="12"/>
  <c r="AU424" i="12"/>
  <c r="AT424" i="12"/>
  <c r="AU423" i="12"/>
  <c r="AT423" i="12"/>
  <c r="AU422" i="12"/>
  <c r="AT422" i="12"/>
  <c r="AU421" i="12"/>
  <c r="AT421" i="12"/>
  <c r="AU420" i="12"/>
  <c r="AT420" i="12"/>
  <c r="AU419" i="12"/>
  <c r="AT419" i="12"/>
  <c r="AU418" i="12"/>
  <c r="AT418" i="12"/>
  <c r="AU417" i="12"/>
  <c r="AT417" i="12"/>
  <c r="AU416" i="12"/>
  <c r="AT416" i="12"/>
  <c r="AU415" i="12"/>
  <c r="AT415" i="12"/>
  <c r="AU414" i="12"/>
  <c r="AT414" i="12"/>
  <c r="AU413" i="12"/>
  <c r="AT413" i="12"/>
  <c r="AU412" i="12"/>
  <c r="AT412" i="12"/>
  <c r="AU411" i="12"/>
  <c r="AT411" i="12"/>
  <c r="AU410" i="12"/>
  <c r="AT410" i="12"/>
  <c r="AU409" i="12"/>
  <c r="AT409" i="12"/>
  <c r="AU408" i="12"/>
  <c r="AT408" i="12"/>
  <c r="AU407" i="12"/>
  <c r="AT407" i="12"/>
  <c r="AU406" i="12"/>
  <c r="AT406" i="12"/>
  <c r="AU405" i="12"/>
  <c r="AT405" i="12"/>
  <c r="AU404" i="12"/>
  <c r="AT404" i="12"/>
  <c r="AU403" i="12"/>
  <c r="AT403" i="12"/>
  <c r="AU402" i="12"/>
  <c r="AT402" i="12"/>
  <c r="AU401" i="12"/>
  <c r="AT401" i="12"/>
  <c r="AU400" i="12"/>
  <c r="AT400" i="12"/>
  <c r="AU399" i="12"/>
  <c r="AT399" i="12"/>
  <c r="AU398" i="12"/>
  <c r="AT398" i="12"/>
  <c r="AU397" i="12"/>
  <c r="AT397" i="12"/>
  <c r="AU396" i="12"/>
  <c r="AT396" i="12"/>
  <c r="AU395" i="12"/>
  <c r="AT395" i="12"/>
  <c r="AU394" i="12"/>
  <c r="AT394" i="12"/>
  <c r="AU393" i="12"/>
  <c r="AT393" i="12"/>
  <c r="AU392" i="12"/>
  <c r="AT392" i="12"/>
  <c r="AU391" i="12"/>
  <c r="AT391" i="12"/>
  <c r="AU390" i="12"/>
  <c r="AT390" i="12"/>
  <c r="AU389" i="12"/>
  <c r="AT389" i="12"/>
  <c r="AU388" i="12"/>
  <c r="AT388" i="12"/>
  <c r="AU387" i="12"/>
  <c r="AT387" i="12"/>
  <c r="AU386" i="12"/>
  <c r="AT386" i="12"/>
  <c r="AU385" i="12"/>
  <c r="AT385" i="12"/>
  <c r="AU384" i="12"/>
  <c r="AT384" i="12"/>
  <c r="AU383" i="12"/>
  <c r="AT383" i="12"/>
  <c r="AU382" i="12"/>
  <c r="AT382" i="12"/>
  <c r="AU381" i="12"/>
  <c r="AT381" i="12"/>
  <c r="AU380" i="12"/>
  <c r="AT380" i="12"/>
  <c r="AU379" i="12"/>
  <c r="AT379" i="12"/>
  <c r="AU378" i="12"/>
  <c r="AT378" i="12"/>
  <c r="AU377" i="12"/>
  <c r="AT377" i="12"/>
  <c r="AU376" i="12"/>
  <c r="AT376" i="12"/>
  <c r="AU375" i="12"/>
  <c r="AT375" i="12"/>
  <c r="AU374" i="12"/>
  <c r="AT374" i="12"/>
  <c r="AU373" i="12"/>
  <c r="AT373" i="12"/>
  <c r="AU372" i="12"/>
  <c r="AT372" i="12"/>
  <c r="AU371" i="12"/>
  <c r="AT371" i="12"/>
  <c r="AU370" i="12"/>
  <c r="AT370" i="12"/>
  <c r="AU369" i="12"/>
  <c r="AT369" i="12"/>
  <c r="AU368" i="12"/>
  <c r="AT368" i="12"/>
  <c r="AU367" i="12"/>
  <c r="AT367" i="12"/>
  <c r="AU366" i="12"/>
  <c r="AT366" i="12"/>
  <c r="AU365" i="12"/>
  <c r="AT365" i="12"/>
  <c r="AU364" i="12"/>
  <c r="AT364" i="12"/>
  <c r="AU363" i="12"/>
  <c r="AT363" i="12"/>
  <c r="AU362" i="12"/>
  <c r="AT362" i="12"/>
  <c r="AU361" i="12"/>
  <c r="AT361" i="12"/>
  <c r="AU360" i="12"/>
  <c r="AT360" i="12"/>
  <c r="AU359" i="12"/>
  <c r="AT359" i="12"/>
  <c r="AU358" i="12"/>
  <c r="AT358" i="12"/>
  <c r="AU357" i="12"/>
  <c r="AT357" i="12"/>
  <c r="AU356" i="12"/>
  <c r="AT356" i="12"/>
  <c r="AU355" i="12"/>
  <c r="AT355" i="12"/>
  <c r="AU354" i="12"/>
  <c r="AT354" i="12"/>
  <c r="AU353" i="12"/>
  <c r="AT353" i="12"/>
  <c r="AU352" i="12"/>
  <c r="AT352" i="12"/>
  <c r="AU351" i="12"/>
  <c r="AT351" i="12"/>
  <c r="AU350" i="12"/>
  <c r="AT350" i="12"/>
  <c r="AU349" i="12"/>
  <c r="AT349" i="12"/>
  <c r="AU348" i="12"/>
  <c r="AT348" i="12"/>
  <c r="AU347" i="12"/>
  <c r="AT347" i="12"/>
  <c r="AU346" i="12"/>
  <c r="AT346" i="12"/>
  <c r="AU345" i="12"/>
  <c r="AT345" i="12"/>
  <c r="AU344" i="12"/>
  <c r="AT344" i="12"/>
  <c r="AU343" i="12"/>
  <c r="AT343" i="12"/>
  <c r="AU342" i="12"/>
  <c r="AT342" i="12"/>
  <c r="AU341" i="12"/>
  <c r="AT341" i="12"/>
  <c r="AU340" i="12"/>
  <c r="AT340" i="12"/>
  <c r="AU339" i="12"/>
  <c r="AT339" i="12"/>
  <c r="AU338" i="12"/>
  <c r="AT338" i="12"/>
  <c r="AU337" i="12"/>
  <c r="AT337" i="12"/>
  <c r="AU336" i="12"/>
  <c r="AT336" i="12"/>
  <c r="AU335" i="12"/>
  <c r="AT335" i="12"/>
  <c r="AU334" i="12"/>
  <c r="AT334" i="12"/>
  <c r="AU333" i="12"/>
  <c r="AT333" i="12"/>
  <c r="AU332" i="12"/>
  <c r="AT332" i="12"/>
  <c r="AU331" i="12"/>
  <c r="AT331" i="12"/>
  <c r="AU330" i="12"/>
  <c r="AT330" i="12"/>
  <c r="AU329" i="12"/>
  <c r="AT329" i="12"/>
  <c r="AU328" i="12"/>
  <c r="AT328" i="12"/>
  <c r="AU327" i="12"/>
  <c r="AT327" i="12"/>
  <c r="AU326" i="12"/>
  <c r="AT326" i="12"/>
  <c r="AU325" i="12"/>
  <c r="AT325" i="12"/>
  <c r="AU324" i="12"/>
  <c r="AT324" i="12"/>
  <c r="AU323" i="12"/>
  <c r="AT323" i="12"/>
  <c r="AU322" i="12"/>
  <c r="AT322" i="12"/>
  <c r="AU321" i="12"/>
  <c r="AT321" i="12"/>
  <c r="AU320" i="12"/>
  <c r="AT320" i="12"/>
  <c r="AU319" i="12"/>
  <c r="AT319" i="12"/>
  <c r="AU318" i="12"/>
  <c r="AT318" i="12"/>
  <c r="AU317" i="12"/>
  <c r="AT317" i="12"/>
  <c r="AU316" i="12"/>
  <c r="AT316" i="12"/>
  <c r="AU315" i="12"/>
  <c r="AT315" i="12"/>
  <c r="AU314" i="12"/>
  <c r="AT314" i="12"/>
  <c r="AU313" i="12"/>
  <c r="AT313" i="12"/>
  <c r="AU312" i="12"/>
  <c r="AT312" i="12"/>
  <c r="AU311" i="12"/>
  <c r="AT311" i="12"/>
  <c r="AU310" i="12"/>
  <c r="AT310" i="12"/>
  <c r="AU309" i="12"/>
  <c r="AT309" i="12"/>
  <c r="AU308" i="12"/>
  <c r="AT308" i="12"/>
  <c r="AU307" i="12"/>
  <c r="AT307" i="12"/>
  <c r="AU306" i="12"/>
  <c r="AT306" i="12"/>
  <c r="AU305" i="12"/>
  <c r="AT305" i="12"/>
  <c r="AU304" i="12"/>
  <c r="AT304" i="12"/>
  <c r="AU303" i="12"/>
  <c r="AT303" i="12"/>
  <c r="AU302" i="12"/>
  <c r="AT302" i="12"/>
  <c r="AU301" i="12"/>
  <c r="AT301" i="12"/>
  <c r="AU300" i="12"/>
  <c r="AT300" i="12"/>
  <c r="AU299" i="12"/>
  <c r="AT299" i="12"/>
  <c r="AU298" i="12"/>
  <c r="AT298" i="12"/>
  <c r="AU297" i="12"/>
  <c r="AT297" i="12"/>
  <c r="AU296" i="12"/>
  <c r="AT296" i="12"/>
  <c r="AU295" i="12"/>
  <c r="AT295" i="12"/>
  <c r="AU294" i="12"/>
  <c r="AT294" i="12"/>
  <c r="AU293" i="12"/>
  <c r="AT293" i="12"/>
  <c r="AU292" i="12"/>
  <c r="AT292" i="12"/>
  <c r="AU291" i="12"/>
  <c r="AT291" i="12"/>
  <c r="AU290" i="12"/>
  <c r="AT290" i="12"/>
  <c r="AU289" i="12"/>
  <c r="AT289" i="12"/>
  <c r="AU288" i="12"/>
  <c r="AT288" i="12"/>
  <c r="AU287" i="12"/>
  <c r="AT287" i="12"/>
  <c r="AU286" i="12"/>
  <c r="AT286" i="12"/>
  <c r="AU285" i="12"/>
  <c r="AT285" i="12"/>
  <c r="AU284" i="12"/>
  <c r="AT284" i="12"/>
  <c r="AU283" i="12"/>
  <c r="AT283" i="12"/>
  <c r="AU282" i="12"/>
  <c r="AT282" i="12"/>
  <c r="AU281" i="12"/>
  <c r="AT281" i="12"/>
  <c r="AU280" i="12"/>
  <c r="AT280" i="12"/>
  <c r="AU279" i="12"/>
  <c r="AT279" i="12"/>
  <c r="AU278" i="12"/>
  <c r="AT278" i="12"/>
  <c r="AU277" i="12"/>
  <c r="AT277" i="12"/>
  <c r="AU276" i="12"/>
  <c r="AT276" i="12"/>
  <c r="AU275" i="12"/>
  <c r="AT275" i="12"/>
  <c r="AU274" i="12"/>
  <c r="AT274" i="12"/>
  <c r="AU273" i="12"/>
  <c r="AT273" i="12"/>
  <c r="AU272" i="12"/>
  <c r="AT272" i="12"/>
  <c r="AU271" i="12"/>
  <c r="AT271" i="12"/>
  <c r="AU270" i="12"/>
  <c r="AT270" i="12"/>
  <c r="AU269" i="12"/>
  <c r="AT269" i="12"/>
  <c r="AU268" i="12"/>
  <c r="AT268" i="12"/>
  <c r="AU267" i="12"/>
  <c r="AT267" i="12"/>
  <c r="AU266" i="12"/>
  <c r="AT266" i="12"/>
  <c r="AU265" i="12"/>
  <c r="AT265" i="12"/>
  <c r="AU264" i="12"/>
  <c r="AT264" i="12"/>
  <c r="AU263" i="12"/>
  <c r="AT263" i="12"/>
  <c r="AU262" i="12"/>
  <c r="AT262" i="12"/>
  <c r="AU261" i="12"/>
  <c r="AT261" i="12"/>
  <c r="AU260" i="12"/>
  <c r="AT260" i="12"/>
  <c r="AU259" i="12"/>
  <c r="AT259" i="12"/>
  <c r="AU258" i="12"/>
  <c r="AT258" i="12"/>
  <c r="AU257" i="12"/>
  <c r="AT257" i="12"/>
  <c r="AU256" i="12"/>
  <c r="AT256" i="12"/>
  <c r="AU255" i="12"/>
  <c r="AT255" i="12"/>
  <c r="AU254" i="12"/>
  <c r="AT254" i="12"/>
  <c r="AU253" i="12"/>
  <c r="AT253" i="12"/>
  <c r="AU252" i="12"/>
  <c r="AT252" i="12"/>
  <c r="AU251" i="12"/>
  <c r="AT251" i="12"/>
  <c r="AU250" i="12"/>
  <c r="AT250" i="12"/>
  <c r="AU249" i="12"/>
  <c r="AT249" i="12"/>
  <c r="AU248" i="12"/>
  <c r="AT248" i="12"/>
  <c r="AU247" i="12"/>
  <c r="AT247" i="12"/>
  <c r="AU246" i="12"/>
  <c r="AT246" i="12"/>
  <c r="AU245" i="12"/>
  <c r="AT245" i="12"/>
  <c r="AU244" i="12"/>
  <c r="AT244" i="12"/>
  <c r="AU243" i="12"/>
  <c r="AT243" i="12"/>
  <c r="AU242" i="12"/>
  <c r="AT242" i="12"/>
  <c r="AU241" i="12"/>
  <c r="AT241" i="12"/>
  <c r="AU240" i="12"/>
  <c r="AT240" i="12"/>
  <c r="AU239" i="12"/>
  <c r="AT239" i="12"/>
  <c r="AU238" i="12"/>
  <c r="AT238" i="12"/>
  <c r="AU237" i="12"/>
  <c r="AT237" i="12"/>
  <c r="AU236" i="12"/>
  <c r="AT236" i="12"/>
  <c r="AU235" i="12"/>
  <c r="AT235" i="12"/>
  <c r="AU234" i="12"/>
  <c r="AT234" i="12"/>
  <c r="AU233" i="12"/>
  <c r="AT233" i="12"/>
  <c r="AU232" i="12"/>
  <c r="AT232" i="12"/>
  <c r="AU231" i="12"/>
  <c r="AT231" i="12"/>
  <c r="AU230" i="12"/>
  <c r="AT230" i="12"/>
  <c r="AU229" i="12"/>
  <c r="AT229" i="12"/>
  <c r="AU228" i="12"/>
  <c r="AT228" i="12"/>
  <c r="AU227" i="12"/>
  <c r="AT227" i="12"/>
  <c r="AU226" i="12"/>
  <c r="AT226" i="12"/>
  <c r="AU225" i="12"/>
  <c r="AT225" i="12"/>
  <c r="AU224" i="12"/>
  <c r="AT224" i="12"/>
  <c r="AU223" i="12"/>
  <c r="AT223" i="12"/>
  <c r="AU222" i="12"/>
  <c r="AT222" i="12"/>
  <c r="AU221" i="12"/>
  <c r="AT221" i="12"/>
  <c r="AU220" i="12"/>
  <c r="AT220" i="12"/>
  <c r="AU219" i="12"/>
  <c r="AT219" i="12"/>
  <c r="AU218" i="12"/>
  <c r="AT218" i="12"/>
  <c r="AU217" i="12"/>
  <c r="AT217" i="12"/>
  <c r="AU216" i="12"/>
  <c r="AT216" i="12"/>
  <c r="AU215" i="12"/>
  <c r="AT215" i="12"/>
  <c r="AU214" i="12"/>
  <c r="AT214" i="12"/>
  <c r="AU213" i="12"/>
  <c r="AT213" i="12"/>
  <c r="AU212" i="12"/>
  <c r="AT212" i="12"/>
  <c r="AU211" i="12"/>
  <c r="AT211" i="12"/>
  <c r="AU210" i="12"/>
  <c r="AT210" i="12"/>
  <c r="AU209" i="12"/>
  <c r="AT209" i="12"/>
  <c r="AU208" i="12"/>
  <c r="AT208" i="12"/>
  <c r="AU207" i="12"/>
  <c r="AT207" i="12"/>
  <c r="AU206" i="12"/>
  <c r="AT206" i="12"/>
  <c r="AU205" i="12"/>
  <c r="AT205" i="12"/>
  <c r="AU204" i="12"/>
  <c r="AT204" i="12"/>
  <c r="AU203" i="12"/>
  <c r="AT203" i="12"/>
  <c r="AU202" i="12"/>
  <c r="AT202" i="12"/>
  <c r="AU201" i="12"/>
  <c r="AT201" i="12"/>
  <c r="AU200" i="12"/>
  <c r="AT200" i="12"/>
  <c r="AU199" i="12"/>
  <c r="AT199" i="12"/>
  <c r="AU198" i="12"/>
  <c r="AT198" i="12"/>
  <c r="AU197" i="12"/>
  <c r="AT197" i="12"/>
  <c r="AU196" i="12"/>
  <c r="AT196" i="12"/>
  <c r="AU195" i="12"/>
  <c r="AT195" i="12"/>
  <c r="AU194" i="12"/>
  <c r="AT194" i="12"/>
  <c r="AU193" i="12"/>
  <c r="AT193" i="12"/>
  <c r="AU192" i="12"/>
  <c r="AT192" i="12"/>
  <c r="AU191" i="12"/>
  <c r="AT191" i="12"/>
  <c r="AU190" i="12"/>
  <c r="AT190" i="12"/>
  <c r="AU189" i="12"/>
  <c r="AT189" i="12"/>
  <c r="AU188" i="12"/>
  <c r="AT188" i="12"/>
  <c r="AU187" i="12"/>
  <c r="AT187" i="12"/>
  <c r="AU186" i="12"/>
  <c r="AT186" i="12"/>
  <c r="AU185" i="12"/>
  <c r="AT185" i="12"/>
  <c r="AU184" i="12"/>
  <c r="AT184" i="12"/>
  <c r="AU183" i="12"/>
  <c r="AT183" i="12"/>
  <c r="AU182" i="12"/>
  <c r="AT182" i="12"/>
  <c r="AU181" i="12"/>
  <c r="AT181" i="12"/>
  <c r="AU180" i="12"/>
  <c r="AT180" i="12"/>
  <c r="AU179" i="12"/>
  <c r="AT179" i="12"/>
  <c r="AU178" i="12"/>
  <c r="AT178" i="12"/>
  <c r="AU177" i="12"/>
  <c r="AT177" i="12"/>
  <c r="AU176" i="12"/>
  <c r="AT176" i="12"/>
  <c r="AU175" i="12"/>
  <c r="AT175" i="12"/>
  <c r="AU174" i="12"/>
  <c r="AT174" i="12"/>
  <c r="AU173" i="12"/>
  <c r="AT173" i="12"/>
  <c r="AU172" i="12"/>
  <c r="AT172" i="12"/>
  <c r="AU171" i="12"/>
  <c r="AT171" i="12"/>
  <c r="AU170" i="12"/>
  <c r="AT170" i="12"/>
  <c r="AU169" i="12"/>
  <c r="AT169" i="12"/>
  <c r="AU168" i="12"/>
  <c r="AT168" i="12"/>
  <c r="AU167" i="12"/>
  <c r="AT167" i="12"/>
  <c r="AU166" i="12"/>
  <c r="AT166" i="12"/>
  <c r="AU165" i="12"/>
  <c r="AT165" i="12"/>
  <c r="AU164" i="12"/>
  <c r="AT164" i="12"/>
  <c r="AU163" i="12"/>
  <c r="AT163" i="12"/>
  <c r="AU162" i="12"/>
  <c r="AT162" i="12"/>
  <c r="AU161" i="12"/>
  <c r="AT161" i="12"/>
  <c r="AU160" i="12"/>
  <c r="AT160" i="12"/>
  <c r="AU159" i="12"/>
  <c r="AT159" i="12"/>
  <c r="AU158" i="12"/>
  <c r="AT158" i="12"/>
  <c r="AU157" i="12"/>
  <c r="AT157" i="12"/>
  <c r="AU156" i="12"/>
  <c r="AT156" i="12"/>
  <c r="AU155" i="12"/>
  <c r="AT155" i="12"/>
  <c r="AU154" i="12"/>
  <c r="AT154" i="12"/>
  <c r="AU153" i="12"/>
  <c r="AT153" i="12"/>
  <c r="AU152" i="12"/>
  <c r="AT152" i="12"/>
  <c r="AU151" i="12"/>
  <c r="AT151" i="12"/>
  <c r="AU150" i="12"/>
  <c r="AT150" i="12"/>
  <c r="AU149" i="12"/>
  <c r="AT149" i="12"/>
  <c r="AU148" i="12"/>
  <c r="AT148" i="12"/>
  <c r="AU147" i="12"/>
  <c r="AT147" i="12"/>
  <c r="AU146" i="12"/>
  <c r="AT146" i="12"/>
  <c r="AU145" i="12"/>
  <c r="AT145" i="12"/>
  <c r="AU144" i="12"/>
  <c r="AT144" i="12"/>
  <c r="AU143" i="12"/>
  <c r="AT143" i="12"/>
  <c r="AU142" i="12"/>
  <c r="AT142" i="12"/>
  <c r="AU141" i="12"/>
  <c r="AT141" i="12"/>
  <c r="AU140" i="12"/>
  <c r="AT140" i="12"/>
  <c r="AU139" i="12"/>
  <c r="AT139" i="12"/>
  <c r="AU138" i="12"/>
  <c r="AT138" i="12"/>
  <c r="AU137" i="12"/>
  <c r="AT137" i="12"/>
  <c r="AU136" i="12"/>
  <c r="AT136" i="12"/>
  <c r="AU135" i="12"/>
  <c r="AT135" i="12"/>
  <c r="AU134" i="12"/>
  <c r="AT134" i="12"/>
  <c r="AU133" i="12"/>
  <c r="AT133" i="12"/>
  <c r="AU132" i="12"/>
  <c r="AT132" i="12"/>
  <c r="AU131" i="12"/>
  <c r="AT131" i="12"/>
  <c r="AU130" i="12"/>
  <c r="AT130" i="12"/>
  <c r="AU129" i="12"/>
  <c r="AT129" i="12"/>
  <c r="AU128" i="12"/>
  <c r="AT128" i="12"/>
  <c r="AU127" i="12"/>
  <c r="AT127" i="12"/>
  <c r="AU126" i="12"/>
  <c r="AT126" i="12"/>
  <c r="AU125" i="12"/>
  <c r="AT125" i="12"/>
  <c r="AU124" i="12"/>
  <c r="AT124" i="12"/>
  <c r="AU123" i="12"/>
  <c r="AT123" i="12"/>
  <c r="AU122" i="12"/>
  <c r="AT122" i="12"/>
  <c r="AU121" i="12"/>
  <c r="AT121" i="12"/>
  <c r="AU120" i="12"/>
  <c r="AT120" i="12"/>
  <c r="AU119" i="12"/>
  <c r="AT119" i="12"/>
  <c r="AU118" i="12"/>
  <c r="AT118" i="12"/>
  <c r="AU117" i="12"/>
  <c r="AT117" i="12"/>
  <c r="AU116" i="12"/>
  <c r="AT116" i="12"/>
  <c r="AU115" i="12"/>
  <c r="AT115" i="12"/>
  <c r="AU114" i="12"/>
  <c r="AT114" i="12"/>
  <c r="AU113" i="12"/>
  <c r="AT113" i="12"/>
  <c r="AU112" i="12"/>
  <c r="AT112" i="12"/>
  <c r="AU111" i="12"/>
  <c r="AT111" i="12"/>
  <c r="AU110" i="12"/>
  <c r="AT110" i="12"/>
  <c r="AU109" i="12"/>
  <c r="AT109" i="12"/>
  <c r="AU108" i="12"/>
  <c r="AT108" i="12"/>
  <c r="AU107" i="12"/>
  <c r="AT107" i="12"/>
  <c r="AU106" i="12"/>
  <c r="AT106" i="12"/>
  <c r="AU105" i="12"/>
  <c r="AT105" i="12"/>
  <c r="AU104" i="12"/>
  <c r="AT104" i="12"/>
  <c r="AU103" i="12"/>
  <c r="AT103" i="12"/>
  <c r="AU102" i="12"/>
  <c r="AT102" i="12"/>
  <c r="AU101" i="12"/>
  <c r="AT101" i="12"/>
  <c r="AU100" i="12"/>
  <c r="AT100" i="12"/>
  <c r="AU99" i="12"/>
  <c r="AT99" i="12"/>
  <c r="AU98" i="12"/>
  <c r="AT98" i="12"/>
  <c r="AU97" i="12"/>
  <c r="AT97" i="12"/>
  <c r="AU96" i="12"/>
  <c r="AT96" i="12"/>
  <c r="AU95" i="12"/>
  <c r="AT95" i="12"/>
  <c r="AU94" i="12"/>
  <c r="AT94" i="12"/>
  <c r="AU93" i="12"/>
  <c r="AT93" i="12"/>
  <c r="AU92" i="12"/>
  <c r="AT92" i="12"/>
  <c r="AU91" i="12"/>
  <c r="AT91" i="12"/>
  <c r="AU90" i="12"/>
  <c r="AT90" i="12"/>
  <c r="AU89" i="12"/>
  <c r="AT89" i="12"/>
  <c r="AU88" i="12"/>
  <c r="AT88" i="12"/>
  <c r="AU87" i="12"/>
  <c r="AT87" i="12"/>
  <c r="AU86" i="12"/>
  <c r="AT86" i="12"/>
  <c r="AU85" i="12"/>
  <c r="AT85" i="12"/>
  <c r="AU84" i="12"/>
  <c r="AT84" i="12"/>
  <c r="AU83" i="12"/>
  <c r="AT83" i="12"/>
  <c r="AU82" i="12"/>
  <c r="AT82" i="12"/>
  <c r="AU81" i="12"/>
  <c r="AT81" i="12"/>
  <c r="AU80" i="12"/>
  <c r="AT80" i="12"/>
  <c r="AU79" i="12"/>
  <c r="AT79" i="12"/>
  <c r="AU78" i="12"/>
  <c r="AT78" i="12"/>
  <c r="AU77" i="12"/>
  <c r="AT77" i="12"/>
  <c r="AU76" i="12"/>
  <c r="AT76" i="12"/>
  <c r="AU75" i="12"/>
  <c r="AT75" i="12"/>
  <c r="AU74" i="12"/>
  <c r="AT74" i="12"/>
  <c r="AU73" i="12"/>
  <c r="AT73" i="12"/>
  <c r="AU72" i="12"/>
  <c r="AT72" i="12"/>
  <c r="AU71" i="12"/>
  <c r="AT71" i="12"/>
  <c r="AU70" i="12"/>
  <c r="AT70" i="12"/>
  <c r="AU69" i="12"/>
  <c r="AT69" i="12"/>
  <c r="AU68" i="12"/>
  <c r="AT68" i="12"/>
  <c r="AU67" i="12"/>
  <c r="AT67" i="12"/>
  <c r="AU66" i="12"/>
  <c r="AT66" i="12"/>
  <c r="AU65" i="12"/>
  <c r="AT65" i="12"/>
  <c r="AU64" i="12"/>
  <c r="AT64" i="12"/>
  <c r="AU63" i="12"/>
  <c r="AT63" i="12"/>
  <c r="AU62" i="12"/>
  <c r="AT62" i="12"/>
  <c r="AU61" i="12"/>
  <c r="AT61" i="12"/>
  <c r="AU60" i="12"/>
  <c r="AT60" i="12"/>
  <c r="AU59" i="12"/>
  <c r="AT59" i="12"/>
  <c r="AU58" i="12"/>
  <c r="AT58" i="12"/>
  <c r="AU57" i="12"/>
  <c r="AT57" i="12"/>
  <c r="AU56" i="12"/>
  <c r="AT56" i="12"/>
  <c r="AU55" i="12"/>
  <c r="AT55" i="12"/>
  <c r="AU54" i="12"/>
  <c r="AT54" i="12"/>
  <c r="AU53" i="12"/>
  <c r="AT53" i="12"/>
  <c r="AU52" i="12"/>
  <c r="AT52" i="12"/>
  <c r="AU51" i="12"/>
  <c r="AT51" i="12"/>
  <c r="AU50" i="12"/>
  <c r="AT50" i="12"/>
  <c r="AU49" i="12"/>
  <c r="AT49" i="12"/>
  <c r="AU48" i="12"/>
  <c r="AT48" i="12"/>
  <c r="AU47" i="12"/>
  <c r="AT47" i="12"/>
  <c r="AU46" i="12"/>
  <c r="AT46" i="12"/>
  <c r="AU45" i="12"/>
  <c r="AT45" i="12"/>
  <c r="AU44" i="12"/>
  <c r="AT44" i="12"/>
  <c r="AU43" i="12"/>
  <c r="AT43" i="12"/>
  <c r="AU42" i="12"/>
  <c r="AT42" i="12"/>
  <c r="AU41" i="12"/>
  <c r="AT41" i="12"/>
  <c r="AU40" i="12"/>
  <c r="AT40" i="12"/>
  <c r="AU39" i="12"/>
  <c r="AT39" i="12"/>
  <c r="AU38" i="12"/>
  <c r="AT38" i="12"/>
  <c r="AU37" i="12"/>
  <c r="AT37" i="12"/>
  <c r="AU36" i="12"/>
  <c r="AT36" i="12"/>
  <c r="AU35" i="12"/>
  <c r="AT35" i="12"/>
  <c r="AU34" i="12"/>
  <c r="AT34" i="12"/>
  <c r="AU33" i="12"/>
  <c r="AT33" i="12"/>
  <c r="AU32" i="12"/>
  <c r="AT32" i="12"/>
  <c r="AU31" i="12"/>
  <c r="AT31" i="12"/>
  <c r="AU30" i="12"/>
  <c r="AT30" i="12"/>
  <c r="AU29" i="12"/>
  <c r="AT29" i="12"/>
  <c r="AU28" i="12"/>
  <c r="AT28" i="12"/>
  <c r="AU27" i="12"/>
  <c r="AT27" i="12"/>
  <c r="AU26" i="12"/>
  <c r="AT26" i="12"/>
  <c r="AU25" i="12"/>
  <c r="AT25" i="12"/>
  <c r="AU24" i="12"/>
  <c r="AT24" i="12"/>
  <c r="AU23" i="12"/>
  <c r="AT23" i="12"/>
  <c r="AU22" i="12"/>
  <c r="AT22" i="12"/>
  <c r="AU21" i="12"/>
  <c r="AT21" i="12"/>
  <c r="AU20" i="12"/>
  <c r="AT20" i="12"/>
  <c r="AU19" i="12"/>
  <c r="AT19" i="12"/>
  <c r="AU18" i="12"/>
  <c r="AT18" i="12"/>
  <c r="AU17" i="12"/>
  <c r="AT17" i="12"/>
  <c r="AU16" i="12"/>
  <c r="AT16" i="12"/>
  <c r="AU15" i="12"/>
  <c r="AT15" i="12"/>
  <c r="AU14" i="12"/>
  <c r="AT14" i="12"/>
  <c r="AU13" i="12"/>
  <c r="AT13" i="12"/>
  <c r="AU12" i="12"/>
  <c r="AT12" i="12"/>
  <c r="AU11" i="12"/>
  <c r="AT11" i="12"/>
  <c r="AU10" i="12"/>
  <c r="AT10" i="12"/>
  <c r="AU9" i="12"/>
  <c r="AT9" i="12"/>
  <c r="AU8" i="12"/>
  <c r="AT8" i="12"/>
  <c r="AU7" i="12"/>
  <c r="AT7" i="12"/>
  <c r="AU6" i="12"/>
  <c r="AT6" i="12"/>
  <c r="AU5" i="12"/>
  <c r="AT5" i="12"/>
  <c r="AU4" i="12"/>
  <c r="AT4" i="12"/>
  <c r="AU3" i="12"/>
  <c r="AT3" i="12"/>
  <c r="AU2" i="12"/>
  <c r="AT2" i="12"/>
  <c r="F53" i="16"/>
  <c r="D53" i="16"/>
  <c r="F52" i="16"/>
  <c r="D52" i="16"/>
  <c r="F51" i="16"/>
  <c r="D51" i="16"/>
  <c r="D50" i="16"/>
  <c r="F49" i="16"/>
  <c r="D49" i="16"/>
  <c r="F48" i="16"/>
  <c r="D48" i="16"/>
  <c r="F47" i="16"/>
  <c r="D47" i="16"/>
  <c r="D46" i="16"/>
  <c r="F45" i="16"/>
  <c r="D45" i="16"/>
  <c r="F44" i="16"/>
  <c r="D44" i="16"/>
  <c r="D43" i="16"/>
  <c r="F42" i="16"/>
  <c r="D42" i="16"/>
  <c r="F41" i="16"/>
  <c r="D41" i="16"/>
  <c r="D40" i="16"/>
  <c r="F38" i="16"/>
  <c r="D38" i="16"/>
  <c r="F37" i="16"/>
  <c r="D37" i="16"/>
  <c r="D36" i="16"/>
  <c r="D35" i="16"/>
  <c r="F34" i="16"/>
  <c r="D34" i="16"/>
  <c r="D33" i="16"/>
  <c r="F32" i="16"/>
  <c r="D32" i="16"/>
  <c r="F31" i="16"/>
  <c r="D31" i="16"/>
  <c r="D30" i="16"/>
  <c r="D28" i="16"/>
  <c r="F27" i="16"/>
  <c r="D27" i="16"/>
  <c r="F26" i="16"/>
  <c r="D26" i="16"/>
  <c r="D25" i="16"/>
  <c r="D24" i="16"/>
  <c r="F23" i="16"/>
  <c r="D23" i="16"/>
  <c r="F22" i="16"/>
  <c r="D22" i="16"/>
  <c r="D21" i="16"/>
  <c r="F20" i="16"/>
  <c r="D20" i="16"/>
  <c r="F19" i="16"/>
  <c r="D19" i="16"/>
  <c r="D18" i="16"/>
  <c r="F17" i="16"/>
  <c r="D17" i="16"/>
  <c r="F16" i="16"/>
  <c r="D16" i="16"/>
  <c r="D15" i="16"/>
  <c r="D14" i="16"/>
  <c r="D13" i="16"/>
  <c r="D12" i="16"/>
  <c r="F11" i="16"/>
  <c r="D11" i="16"/>
  <c r="F10" i="16"/>
  <c r="D10" i="16"/>
  <c r="D9" i="16"/>
  <c r="F8" i="16"/>
  <c r="D8" i="16"/>
  <c r="F7" i="16"/>
  <c r="D7" i="16"/>
  <c r="D6" i="16"/>
  <c r="F5" i="16"/>
  <c r="D5" i="16"/>
  <c r="F4" i="16"/>
  <c r="D4" i="16"/>
  <c r="D3" i="16"/>
  <c r="AL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145" i="7"/>
  <c r="AL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A144" i="7"/>
  <c r="AL143" i="7"/>
  <c r="AJ143" i="7"/>
  <c r="AI143" i="7"/>
  <c r="C143" i="7"/>
  <c r="B143" i="7"/>
  <c r="AL142" i="7"/>
  <c r="AJ142" i="7"/>
  <c r="AI142" i="7"/>
  <c r="C142" i="7"/>
  <c r="B142" i="7"/>
  <c r="AL141" i="7"/>
  <c r="AJ141" i="7"/>
  <c r="AI141" i="7"/>
  <c r="C141" i="7"/>
  <c r="B141" i="7"/>
  <c r="AL140" i="7"/>
  <c r="AJ140" i="7"/>
  <c r="AI140" i="7"/>
  <c r="C140" i="7"/>
  <c r="B140" i="7"/>
  <c r="AL139" i="7"/>
  <c r="AJ139" i="7"/>
  <c r="AI139" i="7"/>
  <c r="C139" i="7"/>
  <c r="B139" i="7"/>
  <c r="AL138" i="7"/>
  <c r="AJ138" i="7"/>
  <c r="AI138" i="7"/>
  <c r="C138" i="7"/>
  <c r="B138" i="7"/>
  <c r="AL137" i="7"/>
  <c r="AJ137" i="7"/>
  <c r="AI137" i="7"/>
  <c r="C137" i="7"/>
  <c r="B137" i="7"/>
  <c r="AL136" i="7"/>
  <c r="AJ136" i="7"/>
  <c r="AI136" i="7"/>
  <c r="C136" i="7"/>
  <c r="B136" i="7"/>
  <c r="AL135" i="7"/>
  <c r="AJ135" i="7"/>
  <c r="AI135" i="7"/>
  <c r="C135" i="7"/>
  <c r="B135" i="7"/>
  <c r="AL134" i="7"/>
  <c r="AJ134" i="7"/>
  <c r="AI134" i="7"/>
  <c r="C134" i="7"/>
  <c r="B134" i="7"/>
  <c r="AL133" i="7"/>
  <c r="AJ133" i="7"/>
  <c r="AI133" i="7"/>
  <c r="C133" i="7"/>
  <c r="B133" i="7"/>
  <c r="AL132" i="7"/>
  <c r="AJ132" i="7"/>
  <c r="AI132" i="7"/>
  <c r="C132" i="7"/>
  <c r="B132" i="7"/>
  <c r="AL131" i="7"/>
  <c r="AJ131" i="7"/>
  <c r="AI131" i="7"/>
  <c r="C131" i="7"/>
  <c r="B131" i="7"/>
  <c r="AL130" i="7"/>
  <c r="AJ130" i="7"/>
  <c r="AI130" i="7"/>
  <c r="C130" i="7"/>
  <c r="B130" i="7"/>
  <c r="AL129" i="7"/>
  <c r="AJ129" i="7"/>
  <c r="AI129" i="7"/>
  <c r="C129" i="7"/>
  <c r="B129" i="7"/>
  <c r="AL128" i="7"/>
  <c r="AJ128" i="7"/>
  <c r="AI128" i="7"/>
  <c r="C128" i="7"/>
  <c r="B128" i="7"/>
  <c r="AL127" i="7"/>
  <c r="AK127" i="7"/>
  <c r="AJ127" i="7"/>
  <c r="AI127" i="7"/>
  <c r="B127" i="7"/>
  <c r="AL126" i="7"/>
  <c r="AK126" i="7"/>
  <c r="AJ126" i="7"/>
  <c r="AI126" i="7"/>
  <c r="B126" i="7"/>
  <c r="AL125" i="7"/>
  <c r="AJ125" i="7"/>
  <c r="AI125" i="7"/>
  <c r="C125" i="7"/>
  <c r="B125" i="7"/>
  <c r="AL124" i="7"/>
  <c r="AJ124" i="7"/>
  <c r="AI124" i="7"/>
  <c r="C124" i="7"/>
  <c r="B124" i="7"/>
  <c r="AL123" i="7"/>
  <c r="AJ123" i="7"/>
  <c r="AI123" i="7"/>
  <c r="C123" i="7"/>
  <c r="B123" i="7"/>
  <c r="AL122" i="7"/>
  <c r="AJ122" i="7"/>
  <c r="AI122" i="7"/>
  <c r="C122" i="7"/>
  <c r="B122" i="7"/>
  <c r="AL121" i="7"/>
  <c r="AJ121" i="7"/>
  <c r="AI121" i="7"/>
  <c r="C121" i="7"/>
  <c r="B121" i="7"/>
  <c r="AL120" i="7"/>
  <c r="AJ120" i="7"/>
  <c r="AI120" i="7"/>
  <c r="C120" i="7"/>
  <c r="B120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AL116" i="7"/>
  <c r="AJ116" i="7"/>
  <c r="AI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116" i="7"/>
  <c r="AL115" i="7"/>
  <c r="AJ115" i="7"/>
  <c r="AI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A115" i="7"/>
  <c r="AL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AL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AL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AL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AL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AL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AL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AL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AL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AL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AL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L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AL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AL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AL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L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B98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B97" i="7"/>
  <c r="AL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L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L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L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L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L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AL87" i="7"/>
  <c r="AJ87" i="7"/>
  <c r="AI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87" i="7"/>
  <c r="AL86" i="7"/>
  <c r="AJ86" i="7"/>
  <c r="AI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86" i="7"/>
  <c r="AL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L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L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AL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L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L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L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L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L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L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L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L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L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L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L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L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B69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B68" i="7"/>
  <c r="AL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L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L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L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L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L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AL58" i="7"/>
  <c r="AJ58" i="7"/>
  <c r="AI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AL57" i="7"/>
  <c r="AJ57" i="7"/>
  <c r="AI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AL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L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L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L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L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L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L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L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L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L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L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L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L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L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L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L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L40" i="7"/>
  <c r="AK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B40" i="7"/>
  <c r="AL39" i="7"/>
  <c r="AK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B39" i="7"/>
  <c r="AL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L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L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L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L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L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28" i="7"/>
  <c r="B28" i="7"/>
  <c r="C27" i="7"/>
  <c r="B27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A20" i="7"/>
  <c r="BY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BY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A18" i="7"/>
  <c r="BY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BY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BY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BY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B14" i="7"/>
  <c r="BY14" i="7"/>
  <c r="AS14" i="7"/>
  <c r="AR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B13" i="7"/>
  <c r="BY13" i="7"/>
  <c r="AS13" i="7"/>
  <c r="AR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B12" i="7"/>
  <c r="BY12" i="7"/>
  <c r="BX12" i="7"/>
  <c r="AS12" i="7"/>
  <c r="AR12" i="7"/>
  <c r="AM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B11" i="7"/>
  <c r="BY11" i="7"/>
  <c r="BX11" i="7"/>
  <c r="AS11" i="7"/>
  <c r="AR11" i="7"/>
  <c r="AN11" i="7"/>
  <c r="AM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B10" i="7"/>
  <c r="BY10" i="7"/>
  <c r="BX10" i="7"/>
  <c r="BW10" i="7"/>
  <c r="BV10" i="7"/>
  <c r="BU10" i="7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S10" i="7"/>
  <c r="AR10" i="7"/>
  <c r="AM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B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S9" i="7"/>
  <c r="AR9" i="7"/>
  <c r="AM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S2" i="7"/>
  <c r="AR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AY100" i="10"/>
  <c r="AX100" i="10"/>
  <c r="AY99" i="10"/>
  <c r="AX99" i="10"/>
  <c r="AY98" i="10"/>
  <c r="AX98" i="10"/>
  <c r="AY97" i="10"/>
  <c r="AX97" i="10"/>
  <c r="AY96" i="10"/>
  <c r="AX96" i="10"/>
  <c r="AY95" i="10"/>
  <c r="AX95" i="10"/>
  <c r="AY94" i="10"/>
  <c r="AX94" i="10"/>
  <c r="AY93" i="10"/>
  <c r="AX93" i="10"/>
  <c r="AY92" i="10"/>
  <c r="AX92" i="10"/>
  <c r="AY91" i="10"/>
  <c r="AX91" i="10"/>
  <c r="AY90" i="10"/>
  <c r="AX90" i="10"/>
  <c r="AY89" i="10"/>
  <c r="AX89" i="10"/>
  <c r="AY88" i="10"/>
  <c r="AX88" i="10"/>
  <c r="AY87" i="10"/>
  <c r="AX87" i="10"/>
  <c r="AY86" i="10"/>
  <c r="AX86" i="10"/>
  <c r="AY85" i="10"/>
  <c r="AX85" i="10"/>
  <c r="AY84" i="10"/>
  <c r="AX84" i="10"/>
  <c r="AY83" i="10"/>
  <c r="AX83" i="10"/>
  <c r="AY82" i="10"/>
  <c r="AX82" i="10"/>
  <c r="AY81" i="10"/>
  <c r="AX81" i="10"/>
  <c r="AY80" i="10"/>
  <c r="AX80" i="10"/>
  <c r="AY79" i="10"/>
  <c r="AX79" i="10"/>
  <c r="AY78" i="10"/>
  <c r="AX78" i="10"/>
  <c r="AY77" i="10"/>
  <c r="AX77" i="10"/>
  <c r="AY76" i="10"/>
  <c r="AX76" i="10"/>
  <c r="AY75" i="10"/>
  <c r="AX75" i="10"/>
  <c r="AY74" i="10"/>
  <c r="AX74" i="10"/>
  <c r="AY73" i="10"/>
  <c r="AX73" i="10"/>
  <c r="AY72" i="10"/>
  <c r="AX72" i="10"/>
  <c r="AY71" i="10"/>
  <c r="AX71" i="10"/>
  <c r="AY70" i="10"/>
  <c r="AX70" i="10"/>
  <c r="AY69" i="10"/>
  <c r="AX69" i="10"/>
  <c r="AY68" i="10"/>
  <c r="AX68" i="10"/>
  <c r="AY67" i="10"/>
  <c r="AX67" i="10"/>
  <c r="AY66" i="10"/>
  <c r="AX66" i="10"/>
  <c r="AY65" i="10"/>
  <c r="AX65" i="10"/>
  <c r="AY64" i="10"/>
  <c r="AX64" i="10"/>
  <c r="AY63" i="10"/>
  <c r="AX63" i="10"/>
  <c r="AY62" i="10"/>
  <c r="AX62" i="10"/>
  <c r="AY61" i="10"/>
  <c r="AX61" i="10"/>
  <c r="AY60" i="10"/>
  <c r="AX60" i="10"/>
  <c r="AY59" i="10"/>
  <c r="AX59" i="10"/>
  <c r="AY58" i="10"/>
  <c r="AX58" i="10"/>
  <c r="AY57" i="10"/>
  <c r="AX57" i="10"/>
  <c r="AY56" i="10"/>
  <c r="AX56" i="10"/>
  <c r="AY55" i="10"/>
  <c r="AX55" i="10"/>
  <c r="AY54" i="10"/>
  <c r="AX54" i="10"/>
  <c r="AY53" i="10"/>
  <c r="AX53" i="10"/>
  <c r="AY52" i="10"/>
  <c r="AX52" i="10"/>
  <c r="AY51" i="10"/>
  <c r="AX51" i="10"/>
  <c r="AY50" i="10"/>
  <c r="AX50" i="10"/>
  <c r="AY49" i="10"/>
  <c r="AX49" i="10"/>
  <c r="AY48" i="10"/>
  <c r="AX48" i="10"/>
  <c r="AY47" i="10"/>
  <c r="AX47" i="10"/>
  <c r="AY46" i="10"/>
  <c r="AX46" i="10"/>
  <c r="AY45" i="10"/>
  <c r="AX45" i="10"/>
  <c r="AY44" i="10"/>
  <c r="AX44" i="10"/>
  <c r="AY43" i="10"/>
  <c r="AX43" i="10"/>
  <c r="AY42" i="10"/>
  <c r="AX42" i="10"/>
  <c r="AY41" i="10"/>
  <c r="AX41" i="10"/>
  <c r="AY40" i="10"/>
  <c r="AX40" i="10"/>
  <c r="AY39" i="10"/>
  <c r="AX39" i="10"/>
  <c r="AY38" i="10"/>
  <c r="AX38" i="10"/>
  <c r="AY37" i="10"/>
  <c r="AX37" i="10"/>
  <c r="AY36" i="10"/>
  <c r="AX36" i="10"/>
  <c r="AY35" i="10"/>
  <c r="AX35" i="10"/>
  <c r="AY34" i="10"/>
  <c r="AX34" i="10"/>
  <c r="AY33" i="10"/>
  <c r="AX33" i="10"/>
  <c r="AY32" i="10"/>
  <c r="AX32" i="10"/>
  <c r="AY31" i="10"/>
  <c r="AX31" i="10"/>
  <c r="AY30" i="10"/>
  <c r="AX30" i="10"/>
  <c r="AY29" i="10"/>
  <c r="AX29" i="10"/>
  <c r="AY28" i="10"/>
  <c r="AX28" i="10"/>
  <c r="AY27" i="10"/>
  <c r="AX27" i="10"/>
  <c r="AY26" i="10"/>
  <c r="AX26" i="10"/>
  <c r="AY25" i="10"/>
  <c r="AX25" i="10"/>
  <c r="AY24" i="10"/>
  <c r="AX24" i="10"/>
  <c r="AY23" i="10"/>
  <c r="AX23" i="10"/>
  <c r="AY22" i="10"/>
  <c r="AX22" i="10"/>
  <c r="AY21" i="10"/>
  <c r="AX21" i="10"/>
  <c r="AY20" i="10"/>
  <c r="AX20" i="10"/>
  <c r="AY19" i="10"/>
  <c r="AX19" i="10"/>
  <c r="AY18" i="10"/>
  <c r="AX18" i="10"/>
  <c r="AY17" i="10"/>
  <c r="AX17" i="10"/>
  <c r="AY16" i="10"/>
  <c r="AX16" i="10"/>
  <c r="AY15" i="10"/>
  <c r="AX15" i="10"/>
  <c r="AY14" i="10"/>
  <c r="AX14" i="10"/>
  <c r="AY13" i="10"/>
  <c r="AX13" i="10"/>
  <c r="AY12" i="10"/>
  <c r="AX12" i="10"/>
  <c r="AY11" i="10"/>
  <c r="AX11" i="10"/>
  <c r="AY10" i="10"/>
  <c r="AX10" i="10"/>
  <c r="AY9" i="10"/>
  <c r="AX9" i="10"/>
  <c r="AY8" i="10"/>
  <c r="AX8" i="10"/>
  <c r="AY7" i="10"/>
  <c r="AX7" i="10"/>
  <c r="AY6" i="10"/>
  <c r="AX6" i="10"/>
  <c r="AY5" i="10"/>
  <c r="AX5" i="10"/>
  <c r="AY4" i="10"/>
  <c r="AX4" i="10"/>
  <c r="AY3" i="10"/>
  <c r="AX3" i="10"/>
  <c r="AY2" i="10"/>
  <c r="AX2" i="10"/>
  <c r="T32" i="15"/>
  <c r="S32" i="15"/>
  <c r="N32" i="15"/>
  <c r="L32" i="15"/>
  <c r="K32" i="15"/>
  <c r="F32" i="15"/>
  <c r="D32" i="15"/>
  <c r="A32" i="15"/>
  <c r="T31" i="15"/>
  <c r="S31" i="15"/>
  <c r="N31" i="15"/>
  <c r="L31" i="15"/>
  <c r="K31" i="15"/>
  <c r="F31" i="15"/>
  <c r="D31" i="15"/>
  <c r="A31" i="15"/>
  <c r="T30" i="15"/>
  <c r="S30" i="15"/>
  <c r="N30" i="15"/>
  <c r="L30" i="15"/>
  <c r="K30" i="15"/>
  <c r="F30" i="15"/>
  <c r="D30" i="15"/>
  <c r="A30" i="15"/>
  <c r="T29" i="15"/>
  <c r="S29" i="15"/>
  <c r="N29" i="15"/>
  <c r="L29" i="15"/>
  <c r="K29" i="15"/>
  <c r="F29" i="15"/>
  <c r="D29" i="15"/>
  <c r="A29" i="15"/>
  <c r="T28" i="15"/>
  <c r="S28" i="15"/>
  <c r="N28" i="15"/>
  <c r="L28" i="15"/>
  <c r="K28" i="15"/>
  <c r="F28" i="15"/>
  <c r="D28" i="15"/>
  <c r="A28" i="15"/>
  <c r="T27" i="15"/>
  <c r="S27" i="15"/>
  <c r="N27" i="15"/>
  <c r="L27" i="15"/>
  <c r="K27" i="15"/>
  <c r="F27" i="15"/>
  <c r="D27" i="15"/>
  <c r="A27" i="15"/>
  <c r="T26" i="15"/>
  <c r="S26" i="15"/>
  <c r="N26" i="15"/>
  <c r="L26" i="15"/>
  <c r="K26" i="15"/>
  <c r="F26" i="15"/>
  <c r="D26" i="15"/>
  <c r="A26" i="15"/>
  <c r="T25" i="15"/>
  <c r="S25" i="15"/>
  <c r="N25" i="15"/>
  <c r="L25" i="15"/>
  <c r="K25" i="15"/>
  <c r="F25" i="15"/>
  <c r="D25" i="15"/>
  <c r="A25" i="15"/>
  <c r="T24" i="15"/>
  <c r="S24" i="15"/>
  <c r="N24" i="15"/>
  <c r="L24" i="15"/>
  <c r="K24" i="15"/>
  <c r="F24" i="15"/>
  <c r="D24" i="15"/>
  <c r="A24" i="15"/>
  <c r="T23" i="15"/>
  <c r="S23" i="15"/>
  <c r="N23" i="15"/>
  <c r="L23" i="15"/>
  <c r="K23" i="15"/>
  <c r="F23" i="15"/>
  <c r="D23" i="15"/>
  <c r="A23" i="15"/>
  <c r="T22" i="15"/>
  <c r="S22" i="15"/>
  <c r="N22" i="15"/>
  <c r="L22" i="15"/>
  <c r="K22" i="15"/>
  <c r="F22" i="15"/>
  <c r="D22" i="15"/>
  <c r="A22" i="15"/>
  <c r="T21" i="15"/>
  <c r="S21" i="15"/>
  <c r="N21" i="15"/>
  <c r="L21" i="15"/>
  <c r="K21" i="15"/>
  <c r="F21" i="15"/>
  <c r="D21" i="15"/>
  <c r="A21" i="15"/>
  <c r="T20" i="15"/>
  <c r="S20" i="15"/>
  <c r="N20" i="15"/>
  <c r="L20" i="15"/>
  <c r="K20" i="15"/>
  <c r="F20" i="15"/>
  <c r="D20" i="15"/>
  <c r="A20" i="15"/>
  <c r="T19" i="15"/>
  <c r="S19" i="15"/>
  <c r="N19" i="15"/>
  <c r="L19" i="15"/>
  <c r="K19" i="15"/>
  <c r="F19" i="15"/>
  <c r="A19" i="15"/>
  <c r="T18" i="15"/>
  <c r="S18" i="15"/>
  <c r="N18" i="15"/>
  <c r="L18" i="15"/>
  <c r="K18" i="15"/>
  <c r="F18" i="15"/>
  <c r="D18" i="15"/>
  <c r="A18" i="15"/>
  <c r="T17" i="15"/>
  <c r="S17" i="15"/>
  <c r="N17" i="15"/>
  <c r="L17" i="15"/>
  <c r="K17" i="15"/>
  <c r="F17" i="15"/>
  <c r="D17" i="15"/>
  <c r="A17" i="15"/>
  <c r="T16" i="15"/>
  <c r="S16" i="15"/>
  <c r="N16" i="15"/>
  <c r="L16" i="15"/>
  <c r="K16" i="15"/>
  <c r="F16" i="15"/>
  <c r="D16" i="15"/>
  <c r="A16" i="15"/>
  <c r="T15" i="15"/>
  <c r="S15" i="15"/>
  <c r="N15" i="15"/>
  <c r="L15" i="15"/>
  <c r="K15" i="15"/>
  <c r="F15" i="15"/>
  <c r="D15" i="15"/>
  <c r="A15" i="15"/>
  <c r="T14" i="15"/>
  <c r="S14" i="15"/>
  <c r="N14" i="15"/>
  <c r="L14" i="15"/>
  <c r="K14" i="15"/>
  <c r="F14" i="15"/>
  <c r="D14" i="15"/>
  <c r="A14" i="15"/>
  <c r="T13" i="15"/>
  <c r="S13" i="15"/>
  <c r="N13" i="15"/>
  <c r="L13" i="15"/>
  <c r="K13" i="15"/>
  <c r="F13" i="15"/>
  <c r="D13" i="15"/>
  <c r="A13" i="15"/>
  <c r="T12" i="15"/>
  <c r="S12" i="15"/>
  <c r="N12" i="15"/>
  <c r="L12" i="15"/>
  <c r="K12" i="15"/>
  <c r="F12" i="15"/>
  <c r="D12" i="15"/>
  <c r="A12" i="15"/>
  <c r="T11" i="15"/>
  <c r="S11" i="15"/>
  <c r="N11" i="15"/>
  <c r="L11" i="15"/>
  <c r="K11" i="15"/>
  <c r="F11" i="15"/>
  <c r="A11" i="15"/>
  <c r="T10" i="15"/>
  <c r="S10" i="15"/>
  <c r="N10" i="15"/>
  <c r="L10" i="15"/>
  <c r="K10" i="15"/>
  <c r="F10" i="15"/>
  <c r="D10" i="15"/>
  <c r="A10" i="15"/>
  <c r="T9" i="15"/>
  <c r="S9" i="15"/>
  <c r="N9" i="15"/>
  <c r="L9" i="15"/>
  <c r="K9" i="15"/>
  <c r="F9" i="15"/>
  <c r="D9" i="15"/>
  <c r="A9" i="15"/>
  <c r="T8" i="15"/>
  <c r="S8" i="15"/>
  <c r="N8" i="15"/>
  <c r="L8" i="15"/>
  <c r="K8" i="15"/>
  <c r="F8" i="15"/>
  <c r="D8" i="15"/>
  <c r="A8" i="15"/>
  <c r="T7" i="15"/>
  <c r="S7" i="15"/>
  <c r="N7" i="15"/>
  <c r="L7" i="15"/>
  <c r="K7" i="15"/>
  <c r="F7" i="15"/>
  <c r="D7" i="15"/>
  <c r="A7" i="15"/>
  <c r="T6" i="15"/>
  <c r="S6" i="15"/>
  <c r="N6" i="15"/>
  <c r="L6" i="15"/>
  <c r="K6" i="15"/>
  <c r="F6" i="15"/>
  <c r="D6" i="15"/>
  <c r="A6" i="15"/>
  <c r="T5" i="15"/>
  <c r="S5" i="15"/>
  <c r="N5" i="15"/>
  <c r="L5" i="15"/>
  <c r="K5" i="15"/>
  <c r="F5" i="15"/>
  <c r="D5" i="15"/>
  <c r="A5" i="15"/>
  <c r="T4" i="15"/>
  <c r="S4" i="15"/>
  <c r="N4" i="15"/>
  <c r="K4" i="15"/>
  <c r="F4" i="15"/>
  <c r="D4" i="15"/>
  <c r="BX1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D'HERBEMONT Vincent</author>
  </authors>
  <commentList>
    <comment ref="B12" authorId="0" shapeId="0" xr:uid="{47FC0ADE-7F56-4D38-AC2D-4DE2545BD7EB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12-03-2022
no role for LPG vehicles
</t>
        </r>
      </text>
    </comment>
    <comment ref="F17" authorId="1" shapeId="0" xr:uid="{A4CD208C-6C7B-4F93-9DA5-5F7CECB75A28}">
      <text>
        <r>
          <rPr>
            <b/>
            <sz val="9"/>
            <rFont val="Tahoma"/>
            <family val="2"/>
            <charset val="1"/>
          </rPr>
          <t>D'HERBEMONT Vincent:</t>
        </r>
        <r>
          <rPr>
            <sz val="9"/>
            <rFont val="Tahoma"/>
            <family val="2"/>
            <charset val="1"/>
          </rPr>
          <t xml:space="preserve">
Based on IEA 2021 report on Ammonia Technology Roadmap : https://iea.blob.core.windows.net/assets/6ee41bb9-8e81-4b64-8701-2acc064ff6e4/AmmoniaTechnologyRoadmap.pdf
Box 2.2</t>
        </r>
      </text>
    </comment>
    <comment ref="B18" authorId="0" shapeId="0" xr:uid="{BDB0391D-7E56-45B2-A015-BA9F8347C552}">
      <text>
        <r>
          <rPr>
            <b/>
            <sz val="9"/>
            <rFont val="Tahoma"/>
            <family val="2"/>
            <charset val="1"/>
          </rPr>
          <t>Amit Kanudia:</t>
        </r>
        <r>
          <rPr>
            <sz val="9"/>
            <rFont val="Tahoma"/>
            <family val="2"/>
            <charset val="1"/>
          </rPr>
          <t xml:space="preserve">
24-04-2025
may not be needed after the decay limits
</t>
        </r>
      </text>
    </comment>
    <comment ref="B68" authorId="0" shapeId="0" xr:uid="{E7C1B2AC-650A-4099-B9AB-E9F1CAF7BC29}">
      <text>
        <r>
          <rPr>
            <b/>
            <sz val="9"/>
            <rFont val="Tahoma"/>
            <family val="2"/>
            <charset val="1"/>
          </rPr>
          <t>Amit Kanudia:</t>
        </r>
        <r>
          <rPr>
            <sz val="9"/>
            <rFont val="Tahoma"/>
            <family val="2"/>
            <charset val="1"/>
          </rPr>
          <t xml:space="preserve">
23-04-2025
handling these in the transport subres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L18" authorId="0" shapeId="0" xr:uid="{E9C7C544-881A-47D3-9EB9-9F6F41DCBD1E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23-02-2022
to address dummy imports of these commodities
</t>
        </r>
      </text>
    </comment>
  </commentList>
</comments>
</file>

<file path=xl/sharedStrings.xml><?xml version="1.0" encoding="utf-8"?>
<sst xmlns="http://schemas.openxmlformats.org/spreadsheetml/2006/main" count="11705" uniqueCount="697">
  <si>
    <t>Attribute</t>
  </si>
  <si>
    <t>AllRegions</t>
  </si>
  <si>
    <t>*1</t>
  </si>
  <si>
    <t>Scenario</t>
  </si>
  <si>
    <t>PSET_CO</t>
  </si>
  <si>
    <t>Stock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</si>
  <si>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</si>
  <si>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</si>
  <si>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</si>
  <si>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</si>
  <si>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</si>
  <si>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</si>
  <si>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</si>
  <si>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</si>
  <si>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</si>
  <si>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</si>
  <si>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</si>
  <si>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BASE</t>
  </si>
  <si>
    <t>CCKDST000</t>
  </si>
  <si>
    <t>-</t>
  </si>
  <si>
    <t>CCKELC000</t>
  </si>
  <si>
    <t>CCKKER000</t>
  </si>
  <si>
    <t>CCKLPG000</t>
  </si>
  <si>
    <t>CCKNGA000</t>
  </si>
  <si>
    <t>CCKSTH000</t>
  </si>
  <si>
    <t>CHWBIO000</t>
  </si>
  <si>
    <t>RCKDST000</t>
  </si>
  <si>
    <t>RCKELC000</t>
  </si>
  <si>
    <t>RCKKER000</t>
  </si>
  <si>
    <t>RCKLPG000</t>
  </si>
  <si>
    <t>RCKNGA000</t>
  </si>
  <si>
    <t>RCKSTH000</t>
  </si>
  <si>
    <t>RHWBIO000</t>
  </si>
  <si>
    <t>RLIHAE000</t>
  </si>
  <si>
    <t>RLIICE000</t>
  </si>
  <si>
    <t>RLIKER000</t>
  </si>
  <si>
    <t>RSHBIO000</t>
  </si>
  <si>
    <t>RSHCOA000</t>
  </si>
  <si>
    <t>Dem</t>
  </si>
  <si>
    <t>Fuel</t>
  </si>
  <si>
    <t>Demand</t>
  </si>
  <si>
    <t>RCK</t>
  </si>
  <si>
    <t>BIO</t>
  </si>
  <si>
    <t>CCK</t>
  </si>
  <si>
    <t>RLI</t>
  </si>
  <si>
    <t>KER</t>
  </si>
  <si>
    <t>RSH</t>
  </si>
  <si>
    <t>COA</t>
  </si>
  <si>
    <t>CSH</t>
  </si>
  <si>
    <t>PSET_CI</t>
  </si>
  <si>
    <t>CSET_CN</t>
  </si>
  <si>
    <t>Other_indexes</t>
  </si>
  <si>
    <t>Year</t>
  </si>
  <si>
    <t>~TFM_INS: attribute=PRC_MARK</t>
  </si>
  <si>
    <t>LimType</t>
  </si>
  <si>
    <t>UP</t>
  </si>
  <si>
    <t>FX</t>
  </si>
  <si>
    <t>LO</t>
  </si>
  <si>
    <t>ELC</t>
  </si>
  <si>
    <t>RHW</t>
  </si>
  <si>
    <t>CHW</t>
  </si>
  <si>
    <t>CHWDST000</t>
  </si>
  <si>
    <t>CHWELC000</t>
  </si>
  <si>
    <t>CHWGEO000</t>
  </si>
  <si>
    <t>CHWHET000</t>
  </si>
  <si>
    <t>CHWKER000</t>
  </si>
  <si>
    <t>CHWLPG000</t>
  </si>
  <si>
    <t>CHWNGA000</t>
  </si>
  <si>
    <t>CHWSTH000</t>
  </si>
  <si>
    <t>CLACFL000</t>
  </si>
  <si>
    <t>CSHDST000</t>
  </si>
  <si>
    <t>CSHEHP000</t>
  </si>
  <si>
    <t>CSHERS000</t>
  </si>
  <si>
    <t>CSHGEO000</t>
  </si>
  <si>
    <t>CSHHET000</t>
  </si>
  <si>
    <t>CSHKER000</t>
  </si>
  <si>
    <t>CSHLPG000</t>
  </si>
  <si>
    <t>CSHNFN000</t>
  </si>
  <si>
    <t>CSHNHP000</t>
  </si>
  <si>
    <t>RCKBIO000</t>
  </si>
  <si>
    <t>RCKCOA000</t>
  </si>
  <si>
    <t>RHWDST000</t>
  </si>
  <si>
    <t>RHWELC000</t>
  </si>
  <si>
    <t>RHWGEO000</t>
  </si>
  <si>
    <t>RHWHET000</t>
  </si>
  <si>
    <t>RHWHFO000</t>
  </si>
  <si>
    <t>RHWKER000</t>
  </si>
  <si>
    <t>RHWLPG000</t>
  </si>
  <si>
    <t>RHWNGA000</t>
  </si>
  <si>
    <t>RHWSTH000</t>
  </si>
  <si>
    <t>RLICFL000</t>
  </si>
  <si>
    <t>RSHDST000</t>
  </si>
  <si>
    <t>RSHEHP000</t>
  </si>
  <si>
    <t>RSHERS000</t>
  </si>
  <si>
    <t>RSHGEO000</t>
  </si>
  <si>
    <t>RSHHET000</t>
  </si>
  <si>
    <t>RSHHFO000</t>
  </si>
  <si>
    <t>RSHKER000</t>
  </si>
  <si>
    <t>RSHLPG000</t>
  </si>
  <si>
    <t>RSHNGA000</t>
  </si>
  <si>
    <t>2019</t>
  </si>
  <si>
    <t>RSHNHP000</t>
  </si>
  <si>
    <t>LPG</t>
  </si>
  <si>
    <t/>
  </si>
  <si>
    <t>CLA</t>
  </si>
  <si>
    <t>?CK,CLA,RLI,?SH,?HW</t>
  </si>
  <si>
    <t>ICE</t>
  </si>
  <si>
    <t>PSET_PN</t>
  </si>
  <si>
    <t>CLAHAE000</t>
  </si>
  <si>
    <t>CLAHID000</t>
  </si>
  <si>
    <t>CLAICE000</t>
  </si>
  <si>
    <t>CLAKER000</t>
  </si>
  <si>
    <t>CSHBIO000</t>
  </si>
  <si>
    <t>CSHCOA000</t>
  </si>
  <si>
    <t>FLO_MARK</t>
  </si>
  <si>
    <t>PSET_SET</t>
  </si>
  <si>
    <t>DMD</t>
  </si>
  <si>
    <t>~TFM_INS-TS: limtype=UP</t>
  </si>
  <si>
    <t>HET</t>
  </si>
  <si>
    <t>~TFM_FILL-R:w=BY_RESCOM; hcol=region</t>
  </si>
  <si>
    <t>NGA</t>
  </si>
  <si>
    <t>China</t>
  </si>
  <si>
    <t>India</t>
  </si>
  <si>
    <t>Russia</t>
  </si>
  <si>
    <t>year2</t>
  </si>
  <si>
    <t>*.5</t>
  </si>
  <si>
    <t>pset_co</t>
  </si>
  <si>
    <t>value</t>
  </si>
  <si>
    <t>INDCO2Nc</t>
  </si>
  <si>
    <t>*.6</t>
  </si>
  <si>
    <t>INDCO2Ng</t>
  </si>
  <si>
    <t>*.7</t>
  </si>
  <si>
    <t>pset_ci</t>
  </si>
  <si>
    <t>cset_cn</t>
  </si>
  <si>
    <t>other_indexes</t>
  </si>
  <si>
    <t>FLO_SHAR</t>
  </si>
  <si>
    <t>INDHH2</t>
  </si>
  <si>
    <t>pset_pn</t>
  </si>
  <si>
    <t>~TFM_MIG</t>
  </si>
  <si>
    <t>Share</t>
  </si>
  <si>
    <t>Cset_CN</t>
  </si>
  <si>
    <t>TA?_Generic</t>
  </si>
  <si>
    <t>Road</t>
  </si>
  <si>
    <t>BGS/GSL</t>
  </si>
  <si>
    <t>BDS/DST</t>
  </si>
  <si>
    <t>\I:</t>
  </si>
  <si>
    <t>WORLD</t>
  </si>
  <si>
    <t>~UC_Sets: R_E: allregions</t>
  </si>
  <si>
    <t>UC_N</t>
  </si>
  <si>
    <t>Trd*</t>
  </si>
  <si>
    <t>TRABGS</t>
  </si>
  <si>
    <t>TRAGSL</t>
  </si>
  <si>
    <t>TRABDS</t>
  </si>
  <si>
    <t>TRADST</t>
  </si>
  <si>
    <t>~UC_T: UC_FLO~LO</t>
  </si>
  <si>
    <t>UCT_shareBGS_LO</t>
  </si>
  <si>
    <t>UCT_shareBDS_LO</t>
  </si>
  <si>
    <t>UC_RHSRT</t>
  </si>
  <si>
    <t>UC_RHSRT~0</t>
  </si>
  <si>
    <t>limtype2</t>
  </si>
  <si>
    <t>2020,2100</t>
  </si>
  <si>
    <t>FT[_]*</t>
  </si>
  <si>
    <t>~TFM_UPD</t>
  </si>
  <si>
    <t>+.05</t>
  </si>
  <si>
    <t>COATAR,GASCOG,GASGWG,GASRFG</t>
  </si>
  <si>
    <t>~TFM_INS</t>
  </si>
  <si>
    <t>*.25</t>
  </si>
  <si>
    <t>START</t>
  </si>
  <si>
    <t>TRALPG</t>
  </si>
  <si>
    <t>ONO_generic</t>
  </si>
  <si>
    <t>~TFM_MIG: year=2019; limtype=LO</t>
  </si>
  <si>
    <t>allregions</t>
  </si>
  <si>
    <t>-*ELC,-*BIO,-*HET,-*SOL</t>
  </si>
  <si>
    <t>*1.5</t>
  </si>
  <si>
    <t>*SOL,*GEO</t>
  </si>
  <si>
    <t>Trd[_]*</t>
  </si>
  <si>
    <t>PASTI</t>
  </si>
  <si>
    <t>~TFM_FILL-R:w=BY_TRA; hcol=region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</si>
  <si>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</si>
  <si>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</si>
  <si>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</si>
  <si>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</si>
  <si>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</si>
  <si>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</si>
  <si>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</si>
  <si>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</si>
  <si>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</si>
  <si>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</si>
  <si>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</si>
  <si>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Trd_lcv_nga</t>
  </si>
  <si>
    <t>2w_</t>
  </si>
  <si>
    <t>eth</t>
  </si>
  <si>
    <t>gsl</t>
  </si>
  <si>
    <t>3w_</t>
  </si>
  <si>
    <t>bdl</t>
  </si>
  <si>
    <t>dsl</t>
  </si>
  <si>
    <t>bus</t>
  </si>
  <si>
    <t>elc</t>
  </si>
  <si>
    <t>lpg</t>
  </si>
  <si>
    <t>nga</t>
  </si>
  <si>
    <t>car</t>
  </si>
  <si>
    <t>hdt</t>
  </si>
  <si>
    <t>lcv</t>
  </si>
  <si>
    <t>CNGVeh</t>
  </si>
  <si>
    <t>~TFM_INS: attribute=PRC_MARK; limtype=UP</t>
  </si>
  <si>
    <t>~TFM_FILL-R:w=BY_IND; hcol=region</t>
  </si>
  <si>
    <t>limtype</t>
  </si>
  <si>
    <t>I??[_]???</t>
  </si>
  <si>
    <t>ind</t>
  </si>
  <si>
    <t>serv</t>
  </si>
  <si>
    <t>fuel</t>
  </si>
  <si>
    <t>fossil</t>
  </si>
  <si>
    <t>No</t>
  </si>
  <si>
    <t>BFG</t>
  </si>
  <si>
    <t>Yes</t>
  </si>
  <si>
    <t>ITM_STM_HET</t>
  </si>
  <si>
    <t>OIL</t>
  </si>
  <si>
    <t>ITM_STM_OIL</t>
  </si>
  <si>
    <t>OVC</t>
  </si>
  <si>
    <t>ITM_STM_NGA</t>
  </si>
  <si>
    <t>ITM_SPC</t>
  </si>
  <si>
    <t>ITM_STM</t>
  </si>
  <si>
    <t>ITM_STM_ELC</t>
  </si>
  <si>
    <t>ITM_SPC_OIL</t>
  </si>
  <si>
    <t>ITM_SPC_NGA</t>
  </si>
  <si>
    <t>ITM_SPC_ELC</t>
  </si>
  <si>
    <t>ITM_PRH_NGA</t>
  </si>
  <si>
    <t>ITM_PRH_OVC</t>
  </si>
  <si>
    <t>ITM_PRH_ELC</t>
  </si>
  <si>
    <t>ITM_PRH_BIO</t>
  </si>
  <si>
    <t>ITM_PRH_COA</t>
  </si>
  <si>
    <t>ITM_PRH</t>
  </si>
  <si>
    <t>ITM_PRC_NGA</t>
  </si>
  <si>
    <t>ITM_OTP_OIL</t>
  </si>
  <si>
    <t>ITM_PRC</t>
  </si>
  <si>
    <t>ITM_PRC_ELC</t>
  </si>
  <si>
    <t>ITM_OTP_NGA</t>
  </si>
  <si>
    <t>ITM_OTH_OIL</t>
  </si>
  <si>
    <t>ITM_OTP</t>
  </si>
  <si>
    <t>ITM_OTP_ELC</t>
  </si>
  <si>
    <t>IOI_STM_HET</t>
  </si>
  <si>
    <t>IOI_STM_ELC</t>
  </si>
  <si>
    <t>ITM_OTH</t>
  </si>
  <si>
    <t>IOI_STM_OVC</t>
  </si>
  <si>
    <t>ITM_MDR_ELC</t>
  </si>
  <si>
    <t>ITM_MDR_NGA</t>
  </si>
  <si>
    <t>ITM_MDR</t>
  </si>
  <si>
    <t>IOI_STM</t>
  </si>
  <si>
    <t>IOI_STM_COA</t>
  </si>
  <si>
    <t>IOI_STM_NGA</t>
  </si>
  <si>
    <t>ITM_MDR_OIL</t>
  </si>
  <si>
    <t>ITM_OTH_ELC</t>
  </si>
  <si>
    <t>ITM_OTH_NGA</t>
  </si>
  <si>
    <t>IOI_SPC_NGA</t>
  </si>
  <si>
    <t>IOI_STM_BIO</t>
  </si>
  <si>
    <t>IOI_SPC</t>
  </si>
  <si>
    <t>IOI_PRH</t>
  </si>
  <si>
    <t>IOI_SPC_ELC</t>
  </si>
  <si>
    <t>IOI_PRH_NGA</t>
  </si>
  <si>
    <t>IOI_PRH_ELC</t>
  </si>
  <si>
    <t>IOI_PRC_ELC</t>
  </si>
  <si>
    <t>IOI_PRC</t>
  </si>
  <si>
    <t>IOI_OTP_NGA</t>
  </si>
  <si>
    <t>IOI_OTP_ELC</t>
  </si>
  <si>
    <t>IOI_OTP</t>
  </si>
  <si>
    <t>IOI_OTH_OIL</t>
  </si>
  <si>
    <t>IOI_OTH_NGA</t>
  </si>
  <si>
    <t>IOI_MDR_OIL</t>
  </si>
  <si>
    <t>IOI_OTH</t>
  </si>
  <si>
    <t>IOI_OTH_ELC</t>
  </si>
  <si>
    <t>IOI_MDR_NGA</t>
  </si>
  <si>
    <t>INM_STM_NGA</t>
  </si>
  <si>
    <t>IOI_MDR</t>
  </si>
  <si>
    <t>IOI_MDR_ELC</t>
  </si>
  <si>
    <t>INM_STM</t>
  </si>
  <si>
    <t>INM_STM_HET</t>
  </si>
  <si>
    <t>INM_PRH_COA</t>
  </si>
  <si>
    <t>INM_SPC_NGA</t>
  </si>
  <si>
    <t>INM_SPC</t>
  </si>
  <si>
    <t>INM_SPC_ELC</t>
  </si>
  <si>
    <t>INM_PRH_OVC</t>
  </si>
  <si>
    <t>INM_PRH_NGA</t>
  </si>
  <si>
    <t>INM_PRH_ELC</t>
  </si>
  <si>
    <t>INM_PRH</t>
  </si>
  <si>
    <t>INM_PRC_ELC</t>
  </si>
  <si>
    <t>INM_PRH_BIO</t>
  </si>
  <si>
    <t>INM_PRC_OVC</t>
  </si>
  <si>
    <t>INM_PRC_NGA</t>
  </si>
  <si>
    <t>INM_MDR_NGA</t>
  </si>
  <si>
    <t>INM_MDR_OIL</t>
  </si>
  <si>
    <t>INM_OTH_NGA</t>
  </si>
  <si>
    <t>INM_OTP_ELC</t>
  </si>
  <si>
    <t>INM_OTH_ELC</t>
  </si>
  <si>
    <t>INM_OTH</t>
  </si>
  <si>
    <t>INM_OTH_OIL</t>
  </si>
  <si>
    <t>INM_PRC_COA</t>
  </si>
  <si>
    <t>INM_OTP</t>
  </si>
  <si>
    <t>INM_MDR_OVC</t>
  </si>
  <si>
    <t>INM_MDR_ELC</t>
  </si>
  <si>
    <t>INM_PRC_BIO</t>
  </si>
  <si>
    <t>INM_PRC</t>
  </si>
  <si>
    <t>INM_MDR_COA</t>
  </si>
  <si>
    <t>INM_MDR_BIO</t>
  </si>
  <si>
    <t>INM_MDR</t>
  </si>
  <si>
    <t>INF_SPC_BFG</t>
  </si>
  <si>
    <t>INF_SPC_ELC</t>
  </si>
  <si>
    <t>INF_STM_HET</t>
  </si>
  <si>
    <t>INF_STM_ELC</t>
  </si>
  <si>
    <t>INF_PRH_ELC</t>
  </si>
  <si>
    <t>INF_PRH_OVC</t>
  </si>
  <si>
    <t>INF_PRH_NGA</t>
  </si>
  <si>
    <t>INF_STM_BFG</t>
  </si>
  <si>
    <t>INF_SPC</t>
  </si>
  <si>
    <t>INF_SPC_NGA</t>
  </si>
  <si>
    <t>INF_STM</t>
  </si>
  <si>
    <t>INF_STM_NGA</t>
  </si>
  <si>
    <t>INF_PRH</t>
  </si>
  <si>
    <t>INF_PRH_COA</t>
  </si>
  <si>
    <t>INF_PRH_BIO</t>
  </si>
  <si>
    <t>INF_PRH_BFG</t>
  </si>
  <si>
    <t>INF_OTP_NGA</t>
  </si>
  <si>
    <t>INF_OTP_ELC</t>
  </si>
  <si>
    <t>INF_PRC_ELC</t>
  </si>
  <si>
    <t>INF_OTP</t>
  </si>
  <si>
    <t>INF_PRC</t>
  </si>
  <si>
    <t>INF_MDR_NGA</t>
  </si>
  <si>
    <t>INF_OTH</t>
  </si>
  <si>
    <t>INF_OTH_OIL</t>
  </si>
  <si>
    <t>INF_OTP_BFG</t>
  </si>
  <si>
    <t>INF_OTH_NGA</t>
  </si>
  <si>
    <t>INF_OTH_ELC</t>
  </si>
  <si>
    <t>INF_MDR_BFG</t>
  </si>
  <si>
    <t>INF_OTH_BFG</t>
  </si>
  <si>
    <t>INF_MDR_ELC</t>
  </si>
  <si>
    <t>IMC_STM_OIL</t>
  </si>
  <si>
    <t>IMC_STM</t>
  </si>
  <si>
    <t>IMC_STM_ELC</t>
  </si>
  <si>
    <t>INF_MDR</t>
  </si>
  <si>
    <t>IMC_STM_NGA</t>
  </si>
  <si>
    <t>IMC_STM_HET</t>
  </si>
  <si>
    <t>IMC_PRC_ELC</t>
  </si>
  <si>
    <t>IMC_PRH_BIO</t>
  </si>
  <si>
    <t>IMC_PRC_NGA</t>
  </si>
  <si>
    <t>IMC_PRH_COA</t>
  </si>
  <si>
    <t>IMC_PRH_OIL</t>
  </si>
  <si>
    <t>IMC_PRH</t>
  </si>
  <si>
    <t>IMC_PRH_NGA</t>
  </si>
  <si>
    <t>IMC_SPC_ELC</t>
  </si>
  <si>
    <t>IMC_SPC</t>
  </si>
  <si>
    <t>IMC_PRH_ELC</t>
  </si>
  <si>
    <t>IMC_PRH_OVC</t>
  </si>
  <si>
    <t>IMC_SPC_NGA</t>
  </si>
  <si>
    <t>IMC_PRC</t>
  </si>
  <si>
    <t>IMC_OTP_NGA</t>
  </si>
  <si>
    <t>IMC_OTP</t>
  </si>
  <si>
    <t>IMC_OTP_ELC</t>
  </si>
  <si>
    <t>IMC_MDR_NGA</t>
  </si>
  <si>
    <t>IMC_OTH_OIL</t>
  </si>
  <si>
    <t>IMC_OTH_NGA</t>
  </si>
  <si>
    <t>ILP_STM</t>
  </si>
  <si>
    <t>ILP_STM_COA</t>
  </si>
  <si>
    <t>IMC_MDR</t>
  </si>
  <si>
    <t>ILP_STM_NGA</t>
  </si>
  <si>
    <t>ILP_STM_OIL</t>
  </si>
  <si>
    <t>ILP_STM_HET</t>
  </si>
  <si>
    <t>IMC_OTH_ELC</t>
  </si>
  <si>
    <t>IMC_OTH</t>
  </si>
  <si>
    <t>IMC_MDR_OIL</t>
  </si>
  <si>
    <t>ILP_SPC_NGA</t>
  </si>
  <si>
    <t>ILP_SPC</t>
  </si>
  <si>
    <t>ILP_SPC_ELC</t>
  </si>
  <si>
    <t>ILP_PRH_NGA</t>
  </si>
  <si>
    <t>ILP_PRH_OIL</t>
  </si>
  <si>
    <t>ILP_PRC</t>
  </si>
  <si>
    <t>ILP_PRH_ELC</t>
  </si>
  <si>
    <t>ILP_PRC_ELC</t>
  </si>
  <si>
    <t>ILP_PRH</t>
  </si>
  <si>
    <t>ILP_OTP</t>
  </si>
  <si>
    <t>ILP_OTH_OIL</t>
  </si>
  <si>
    <t>ILP_OTP_ELC</t>
  </si>
  <si>
    <t>ILP_OTH</t>
  </si>
  <si>
    <t>ILP_OTH_NGA</t>
  </si>
  <si>
    <t>ILP_OTP_NGA</t>
  </si>
  <si>
    <t>ILP_MDR_COA</t>
  </si>
  <si>
    <t>ILP_MDR_ELC</t>
  </si>
  <si>
    <t>ILP_MDR_NGA</t>
  </si>
  <si>
    <t>IFP_STM_OVC</t>
  </si>
  <si>
    <t>ILP_OTH_ELC</t>
  </si>
  <si>
    <t>ILP_MDR</t>
  </si>
  <si>
    <t>IFP_SPC_ELC</t>
  </si>
  <si>
    <t>IFP_STM_NGA</t>
  </si>
  <si>
    <t>IFP_SPC</t>
  </si>
  <si>
    <t>IFP_SPC_OIL</t>
  </si>
  <si>
    <t>IFP_STM_ELC</t>
  </si>
  <si>
    <t>IFP_STM</t>
  </si>
  <si>
    <t>IFP_STM_COA</t>
  </si>
  <si>
    <t>IFP_STM_HET</t>
  </si>
  <si>
    <t>ILP_MDR_BIO</t>
  </si>
  <si>
    <t>IFP_PRH_OVC</t>
  </si>
  <si>
    <t>IFP_PRH_COA</t>
  </si>
  <si>
    <t>IFP_PRH_NGA</t>
  </si>
  <si>
    <t>IFP_PRH_ELC</t>
  </si>
  <si>
    <t>IFP_MDR</t>
  </si>
  <si>
    <t>IFP_PRC</t>
  </si>
  <si>
    <t>IFP_PRH_BIO</t>
  </si>
  <si>
    <t>IFP_MDR_NGA</t>
  </si>
  <si>
    <t>IFP_OTH_OIL</t>
  </si>
  <si>
    <t>IFP_OTP_ELC</t>
  </si>
  <si>
    <t>IFP_OTP_NGA</t>
  </si>
  <si>
    <t>ICH_STM_OVC</t>
  </si>
  <si>
    <t>IFP_OTH_ELC</t>
  </si>
  <si>
    <t>IFP_OTH</t>
  </si>
  <si>
    <t>IFP_OTP</t>
  </si>
  <si>
    <t>IFP_PRH</t>
  </si>
  <si>
    <t>IFP_OTH_NGA</t>
  </si>
  <si>
    <t>IFP_PRC_ELC</t>
  </si>
  <si>
    <t>IFP_PRC_NGA</t>
  </si>
  <si>
    <t>IFP_MDR_ELC</t>
  </si>
  <si>
    <t>ICH_STM_OIL</t>
  </si>
  <si>
    <t>ICH_STM_HET</t>
  </si>
  <si>
    <t>ICH_STM_NGA</t>
  </si>
  <si>
    <t>ICH_STM_ELC</t>
  </si>
  <si>
    <t>ICH_SPC_ELC</t>
  </si>
  <si>
    <t>ICH_STM_COA</t>
  </si>
  <si>
    <t>ICH_STM_BIO</t>
  </si>
  <si>
    <t>ICH_STM</t>
  </si>
  <si>
    <t>ICH_STM_BFG</t>
  </si>
  <si>
    <t>ICH_SPC_NGA</t>
  </si>
  <si>
    <t>ICH_SPC</t>
  </si>
  <si>
    <t>ICH_PRH_OIL</t>
  </si>
  <si>
    <t>ICH_PRH_BIO</t>
  </si>
  <si>
    <t>ICH_SPC_BFG</t>
  </si>
  <si>
    <t>ICH_PRH_NGA</t>
  </si>
  <si>
    <t>ICH_PRH_OVC</t>
  </si>
  <si>
    <t>ICH_PRH_BFG</t>
  </si>
  <si>
    <t>ICH_PRH_ELC</t>
  </si>
  <si>
    <t>ICH_PRH</t>
  </si>
  <si>
    <t>ICH_PRC_ELC</t>
  </si>
  <si>
    <t>ICH_PRH_COA</t>
  </si>
  <si>
    <t>ICH_PRC_NGA</t>
  </si>
  <si>
    <t>ICH_PRC</t>
  </si>
  <si>
    <t>ICH_OTP_OVC</t>
  </si>
  <si>
    <t>ICH_PRC_BFG</t>
  </si>
  <si>
    <t>ICH_OTP_NGA</t>
  </si>
  <si>
    <t>ICH_OTP_BFG</t>
  </si>
  <si>
    <t>ICH_OTP_ELC</t>
  </si>
  <si>
    <t>ICH_OTP_COA</t>
  </si>
  <si>
    <t>ICH_OTP_BIO</t>
  </si>
  <si>
    <t>ICH_OTP</t>
  </si>
  <si>
    <t>ICH_OTH_OIL</t>
  </si>
  <si>
    <t>ICH_OTH</t>
  </si>
  <si>
    <t>ICH_OTH_NGA</t>
  </si>
  <si>
    <t>ICH_MDR_ELC</t>
  </si>
  <si>
    <t>ICH_OTH_BFG</t>
  </si>
  <si>
    <t>ICH_OTH_ELC</t>
  </si>
  <si>
    <t>ICH_MDR</t>
  </si>
  <si>
    <t>ICH_MDR_NGA</t>
  </si>
  <si>
    <t>ICH_MDR_BFG</t>
  </si>
  <si>
    <t>~TFM_INS: attribute=PRC_MARK; limtype=LO</t>
  </si>
  <si>
    <t>ICH</t>
  </si>
  <si>
    <t>OTH</t>
  </si>
  <si>
    <t>*BFG,*NGA,*OIL,*COA,*OVC</t>
  </si>
  <si>
    <t>PRH</t>
  </si>
  <si>
    <t>IIS</t>
  </si>
  <si>
    <t>INF</t>
  </si>
  <si>
    <t>INM</t>
  </si>
  <si>
    <t>IOI</t>
  </si>
  <si>
    <t>INDCO2No,INDCO2Nb</t>
  </si>
  <si>
    <t>CLA,CRF</t>
  </si>
  <si>
    <t>ActiveReg</t>
  </si>
  <si>
    <t>Status</t>
  </si>
  <si>
    <t>ElastClass</t>
  </si>
  <si>
    <t>Eme</t>
  </si>
  <si>
    <t>Dev</t>
  </si>
  <si>
    <t>Chi</t>
  </si>
  <si>
    <t>NCAP_DRATE</t>
  </si>
  <si>
    <t>pset_set</t>
  </si>
  <si>
    <t>C??</t>
  </si>
  <si>
    <t>region</t>
  </si>
  <si>
    <t>R??</t>
  </si>
  <si>
    <t>~TFM_INS-TS</t>
  </si>
  <si>
    <t>STH</t>
  </si>
  <si>
    <t>*STH</t>
  </si>
  <si>
    <t>Techs_RHWSTH</t>
  </si>
  <si>
    <t>Techs_CHWSTH</t>
  </si>
  <si>
    <t>CHWCOA000</t>
  </si>
  <si>
    <t>CLAFLE000</t>
  </si>
  <si>
    <t>RHWCOA000</t>
  </si>
  <si>
    <t>RLIFLE000</t>
  </si>
  <si>
    <t>IMC_MDR_ELC</t>
  </si>
  <si>
    <t>ILP_STM_ELC</t>
  </si>
  <si>
    <t>ILP_STM_BIO</t>
  </si>
  <si>
    <t>IFP_STM_OIL</t>
  </si>
  <si>
    <t>IFP_STM_BIO</t>
  </si>
  <si>
    <t>IFP_SPC_NGA</t>
  </si>
  <si>
    <t>-CSHIN*</t>
  </si>
  <si>
    <t>-RSHIN*</t>
  </si>
  <si>
    <t>RSHDFRV1</t>
  </si>
  <si>
    <t>RSH.DSL.FURNACE.V1</t>
  </si>
  <si>
    <t>RSHDFRV2</t>
  </si>
  <si>
    <t>RSH.DSL.FURNACE.V2</t>
  </si>
  <si>
    <t>RSHDFRV3</t>
  </si>
  <si>
    <t>RSH.DSL.FURNACE.V3</t>
  </si>
  <si>
    <t>RSHDRDV1</t>
  </si>
  <si>
    <t>RSH.DSL.RADIANT.V1</t>
  </si>
  <si>
    <t>RSHDRDV2</t>
  </si>
  <si>
    <t>RSH.DSL.RADIANT.V2</t>
  </si>
  <si>
    <t>RSHDRDV3</t>
  </si>
  <si>
    <t>RSH.DSL.RADIANT.V3</t>
  </si>
  <si>
    <t>RSHEHPV1</t>
  </si>
  <si>
    <t>RSH.ELC.HEATPUMP.V1</t>
  </si>
  <si>
    <t>RSHEHPV2</t>
  </si>
  <si>
    <t>RSH.ELC.HEATPUMP.V2</t>
  </si>
  <si>
    <t>RSHEHPV3</t>
  </si>
  <si>
    <t>RSH.ELC.HEATPUMP.V3</t>
  </si>
  <si>
    <t>RSHERDV1</t>
  </si>
  <si>
    <t>RSH.ELC.RADIANT.V1</t>
  </si>
  <si>
    <t>RSHGHPV1</t>
  </si>
  <si>
    <t>RSH.ELC.GHP.V1</t>
  </si>
  <si>
    <t>RSHGHPV2</t>
  </si>
  <si>
    <t>RSH.ELC.GHP.V2</t>
  </si>
  <si>
    <t>RSHKFRV1</t>
  </si>
  <si>
    <t>RSH.KER.FURNACE.V1</t>
  </si>
  <si>
    <t>RSHKFRV2</t>
  </si>
  <si>
    <t>RSH.KER.FURNACE.V2</t>
  </si>
  <si>
    <t>RSHKFRV3</t>
  </si>
  <si>
    <t>RSH.KER.FURNACE.V3</t>
  </si>
  <si>
    <t>RSHLFRV1</t>
  </si>
  <si>
    <t>RSH.LPG.FURNACE.V1</t>
  </si>
  <si>
    <t>RSHLFRV3</t>
  </si>
  <si>
    <t>RSH.LPG.FURNACE.V3</t>
  </si>
  <si>
    <t>RSHLFRV4</t>
  </si>
  <si>
    <t>RSH.LPG.FURNACE.V4</t>
  </si>
  <si>
    <t>RSHNFRV1</t>
  </si>
  <si>
    <t>RSH.NGA.FURNACE.V1</t>
  </si>
  <si>
    <t>RSHNFRV3</t>
  </si>
  <si>
    <t>RSH.NGA.FURNACE.V3</t>
  </si>
  <si>
    <t>RSHNFRV4</t>
  </si>
  <si>
    <t>RSH.NGA.FURNACE.V4</t>
  </si>
  <si>
    <t>RSHNHPV1</t>
  </si>
  <si>
    <t>RSH.NGA.HEATPUMP.V1</t>
  </si>
  <si>
    <t>RSHNRDV1</t>
  </si>
  <si>
    <t>RSH.NGA.RADIANT.V1</t>
  </si>
  <si>
    <t>RSHNRDV2</t>
  </si>
  <si>
    <t>RSH.NGA.RADIANT.V2</t>
  </si>
  <si>
    <t>RSHNRDV3</t>
  </si>
  <si>
    <t>RSH.NGA.RADIANT.V3</t>
  </si>
  <si>
    <t>RSHWDHV1</t>
  </si>
  <si>
    <t>RSH.WDHEAT.V1</t>
  </si>
  <si>
    <t>RSCCACV1</t>
  </si>
  <si>
    <t>RSC.ELC.CAC.V1</t>
  </si>
  <si>
    <t>RSCCACV2</t>
  </si>
  <si>
    <t>RSC.ELC.CAC.V2</t>
  </si>
  <si>
    <t>RSCCACV3</t>
  </si>
  <si>
    <t>RSC.ELC.CAC.V3</t>
  </si>
  <si>
    <t>RSCEHPV1</t>
  </si>
  <si>
    <t>RSC.ELC.HEATPUMP.V1</t>
  </si>
  <si>
    <t>RSCEHPV2</t>
  </si>
  <si>
    <t>RSC.ELC.HEATPUMP.V2</t>
  </si>
  <si>
    <t>RSCNHPV1</t>
  </si>
  <si>
    <t>RSC.NGA.HEATPUMP.V1</t>
  </si>
  <si>
    <t>RSCRACV1</t>
  </si>
  <si>
    <t>RSC.ELC.RAC.V1</t>
  </si>
  <si>
    <t>RSCRACV2</t>
  </si>
  <si>
    <t>RSC.ELC.RAC.V2</t>
  </si>
  <si>
    <t>RSCRACV3</t>
  </si>
  <si>
    <t>RSC.ELC.RAC.V3</t>
  </si>
  <si>
    <t>RWHDWHV1</t>
  </si>
  <si>
    <t>RWH.DSL.V1</t>
  </si>
  <si>
    <t>RWHDWHV2</t>
  </si>
  <si>
    <t>RWH.DSL.V2</t>
  </si>
  <si>
    <t>RWHDWHV3</t>
  </si>
  <si>
    <t>RWH.DSL.V3</t>
  </si>
  <si>
    <t>RWHEWHV1</t>
  </si>
  <si>
    <t>RWH.ELC.V1</t>
  </si>
  <si>
    <t>RWHEWHV2</t>
  </si>
  <si>
    <t>RWH.ELC.V2</t>
  </si>
  <si>
    <t>RWHEWHV3</t>
  </si>
  <si>
    <t>RWH.ELC.V3</t>
  </si>
  <si>
    <t>RWHLWHV1</t>
  </si>
  <si>
    <t>RWH.LPG.V1</t>
  </si>
  <si>
    <t>RWHLWHV2</t>
  </si>
  <si>
    <t>RWH.LPG.V2</t>
  </si>
  <si>
    <t>RWHLWHV3</t>
  </si>
  <si>
    <t>RWH.LPG.V3</t>
  </si>
  <si>
    <t>RWHLWHV4</t>
  </si>
  <si>
    <t>RWH.LPG.V4</t>
  </si>
  <si>
    <t>RWHNWHV1</t>
  </si>
  <si>
    <t>RWH.NGA.V1</t>
  </si>
  <si>
    <t>RWHNWHV2</t>
  </si>
  <si>
    <t>RWH.NGA.V2</t>
  </si>
  <si>
    <t>RWHNWHV3</t>
  </si>
  <si>
    <t>RWH.NGA.V3</t>
  </si>
  <si>
    <t>RWHNWHV4</t>
  </si>
  <si>
    <t>RWH.NGA.V4</t>
  </si>
  <si>
    <t>CCKCOA000</t>
  </si>
  <si>
    <t>2007</t>
  </si>
  <si>
    <t>2006</t>
  </si>
  <si>
    <t>2005</t>
  </si>
  <si>
    <t>2004</t>
  </si>
  <si>
    <t>2003</t>
  </si>
  <si>
    <t>2002</t>
  </si>
  <si>
    <t>2001</t>
  </si>
  <si>
    <t>2000</t>
  </si>
  <si>
    <t>Trd_lcv_lpg</t>
  </si>
  <si>
    <t>Trd_lcv_gsl</t>
  </si>
  <si>
    <t>Trd_lcv_eth</t>
  </si>
  <si>
    <t>Trd_lcv_elc</t>
  </si>
  <si>
    <t>Trd_lcv_dsl</t>
  </si>
  <si>
    <t>Trd_lcv_bdl</t>
  </si>
  <si>
    <t>Trd_hdt_gsl</t>
  </si>
  <si>
    <t>Trd_hdt_eth</t>
  </si>
  <si>
    <t>Trd_hdt_dsl</t>
  </si>
  <si>
    <t>Trd_hdt_bdl</t>
  </si>
  <si>
    <t>Trd_car_nga</t>
  </si>
  <si>
    <t>T??_Generic,-TA*,-TT*</t>
  </si>
  <si>
    <t>CCKBIO000</t>
  </si>
  <si>
    <t>Trd_car_lpg</t>
  </si>
  <si>
    <t>Trd_car_gsl</t>
  </si>
  <si>
    <t>Trd_car_eth</t>
  </si>
  <si>
    <t>Trd_car_elc</t>
  </si>
  <si>
    <t>Trd_car_dsl</t>
  </si>
  <si>
    <t>Trd_car_bdl</t>
  </si>
  <si>
    <t>Trd_bus_nga</t>
  </si>
  <si>
    <t>Trd_bus_lpg</t>
  </si>
  <si>
    <t>Trd_bus_gsl</t>
  </si>
  <si>
    <t>Trd_bus_eth</t>
  </si>
  <si>
    <t>Trd_bus_elc</t>
  </si>
  <si>
    <t>Trd_bus_dsl</t>
  </si>
  <si>
    <t>Trd_bus_bdl</t>
  </si>
  <si>
    <t>Trd_3w_gsl</t>
  </si>
  <si>
    <t>Trd_3w_eth</t>
  </si>
  <si>
    <t>Trd_3w_dsl</t>
  </si>
  <si>
    <t>Trd_3w_bdl</t>
  </si>
  <si>
    <t>Trd_2w_gsl</t>
  </si>
  <si>
    <t>Trd_2w_eth</t>
  </si>
  <si>
    <t>Germany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</si>
  <si>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</si>
  <si>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</si>
  <si>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</si>
  <si>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</si>
  <si>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</si>
  <si>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</si>
  <si>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</si>
  <si>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</si>
  <si>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</si>
  <si>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</si>
  <si>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</si>
  <si>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</si>
  <si>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</si>
  <si>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</si>
  <si>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</si>
  <si>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</si>
  <si>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</si>
  <si>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</si>
  <si>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</si>
  <si>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</si>
  <si>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</si>
  <si>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</si>
  <si>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</si>
  <si>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</si>
  <si>
    <t>USA</t>
  </si>
  <si>
    <t>*,-Haber*,-imfe*,-imstl*</t>
  </si>
  <si>
    <t>INDHH2_ICH</t>
  </si>
  <si>
    <t>INDHH2_IFP</t>
  </si>
  <si>
    <t>INDHH2_ILP</t>
  </si>
  <si>
    <t>INDHH2_IMC</t>
  </si>
  <si>
    <t>INDHH2_INF</t>
  </si>
  <si>
    <t>INDHH2_INM</t>
  </si>
  <si>
    <t>INDHH2_IOI</t>
  </si>
  <si>
    <t>INDHH2_ITM</t>
  </si>
  <si>
    <t>\I: FLO_SHAR</t>
  </si>
  <si>
    <t>ICH_FeedStock_gen</t>
  </si>
  <si>
    <t>HH2</t>
  </si>
  <si>
    <t>TRANH3</t>
  </si>
  <si>
    <t>TW?_Generic</t>
  </si>
  <si>
    <t>CSC</t>
  </si>
  <si>
    <t>TechsHP</t>
  </si>
  <si>
    <t>TechsHP_r</t>
  </si>
  <si>
    <t>RLI,RRF,RSH</t>
  </si>
  <si>
    <t>~TFM_INS-AT</t>
  </si>
  <si>
    <t>END</t>
  </si>
  <si>
    <t>C*HP*,-*000</t>
  </si>
  <si>
    <t>R*HP*,-*000</t>
  </si>
  <si>
    <t>CHW,CSH</t>
  </si>
  <si>
    <t>Trd_hdt</t>
  </si>
  <si>
    <t>*elc</t>
  </si>
  <si>
    <t>TWD_Generic</t>
  </si>
  <si>
    <t>TRAGH2</t>
  </si>
  <si>
    <t>TWI_Generic</t>
  </si>
  <si>
    <t>TAI_Generic</t>
  </si>
  <si>
    <t>TAD_Generic</t>
  </si>
  <si>
    <t>TRAELC</t>
  </si>
  <si>
    <t>TTF*,TTP*</t>
  </si>
  <si>
    <t>\I: Trd_hdt</t>
  </si>
  <si>
    <t>*FLO_SHAR</t>
  </si>
  <si>
    <t>~TFM_INS-TS: limtype=UP;attrib_cond=-RESID;top_check=OUT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</si>
</sst>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* #,##0.00\ &quot;€&quot;_-;\-* #,##0.00\ &quot;€&quot;_-;_-* &quot;-&quot;??\ &quot;€&quot;_-;_-@_-"/>
    <numFmt numFmtId="167" formatCode="0.0%"/>
    <numFmt numFmtId="168" formatCode="0.0"/>
    <numFmt numFmtId="169" formatCode="_-* #,##0.0_-;\-* #,##0.0_-;_-* &quot;-&quot;??_-;_-@_-"/>
    <numFmt numFmtId="170" formatCode="&quot;$&quot;#,##0_);\(&quot;$&quot;#,##0\)"/>
    <numFmt numFmtId="171" formatCode="_([$€]* #,##0.00_);_([$€]* \(#,##0.00\);_([$€]* &quot;-&quot;??_);_(@_)"/>
    <numFmt numFmtId="172" formatCode="_ &quot;kr&quot;\ * #,##0_ ;_ &quot;kr&quot;\ * \-#,##0_ ;_ &quot;kr&quot;\ * &quot;-&quot;_ ;_ @_ "/>
    <numFmt numFmtId="173" formatCode="_ &quot;kr&quot;\ * #,##0.00_ ;_ &quot;kr&quot;\ * \-#,##0.00_ ;_ &quot;kr&quot;\ * &quot;-&quot;??_ ;_ @_ 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&quot;$&quot;* #,##0.00_-;\-&quot;$&quot;* #,##0.00_-;_-&quot;$&quot;* &quot;-&quot;??_-;_-@_-"/>
    <numFmt numFmtId="177" formatCode="_-* #,##0.00\ _€_-;\-* #,##0.00\ _€_-;_-* &quot;-&quot;??\ _€_-;_-@_-"/>
    <numFmt numFmtId="178" formatCode="\(##\);\(##\)"/>
    <numFmt numFmtId="179" formatCode="#,##0.0"/>
    <numFmt numFmtId="180" formatCode="_-[$€-2]\ * #,##0.00_-;\-[$€-2]\ * #,##0.00_-;_-[$€-2]\ * &quot;-&quot;??_-"/>
    <numFmt numFmtId="181" formatCode="#,##0;\-\ #,##0;_-\ &quot;- &quot;"/>
    <numFmt numFmtId="182" formatCode="_-&quot;€&quot;\ * #,##0.00_-;\-&quot;€&quot;\ * #,##0.00_-;_-&quot;€&quot;\ * &quot;-&quot;??_-;_-@_-"/>
    <numFmt numFmtId="183" formatCode="General_)"/>
    <numFmt numFmtId="184" formatCode="m\o\n\th\ d\,\ yyyy"/>
    <numFmt numFmtId="185" formatCode="#.00"/>
    <numFmt numFmtId="186" formatCode="#."/>
    <numFmt numFmtId="187" formatCode="yyyy"/>
    <numFmt numFmtId="188" formatCode="_(&quot;$&quot;* #,##0.00_);_(&quot;$&quot;* \(#,##0.00\);_(&quot;$&quot;* &quot;-&quot;??_);_(@_)"/>
    <numFmt numFmtId="189" formatCode="_-[$€-2]* #,##0.00_-;\-[$€-2]* #,##0.00_-;_-[$€-2]* &quot;-&quot;??_-"/>
  </numFmts>
  <fonts count="8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5" tint="-0.2499160740989410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10"/>
      <name val="Helvetica"/>
      <family val="2"/>
    </font>
    <font>
      <sz val="8"/>
      <color indexed="9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rgb="FF9C6500"/>
      <name val="Calibri"/>
      <family val="2"/>
      <scheme val="minor"/>
    </font>
    <font>
      <b/>
      <sz val="8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family val="2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indexed="58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b/>
      <sz val="9"/>
      <name val="Tahoma"/>
      <family val="2"/>
      <charset val="1"/>
    </font>
    <font>
      <sz val="9"/>
      <name val="Tahoma"/>
      <family val="2"/>
      <charset val="1"/>
    </font>
  </fonts>
  <fills count="4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rgb="FFFFFFCC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C7CE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1607409894101"/>
      </bottom>
      <diagonal/>
    </border>
    <border>
      <left/>
      <right/>
      <top/>
      <bottom style="dashed">
        <color theme="0" tint="-0.249885555589465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9422">
    <xf numFmtId="0" fontId="0" fillId="0" borderId="0"/>
    <xf numFmtId="9" fontId="82" fillId="0" borderId="0" applyFont="0" applyFill="0" applyBorder="0" applyAlignment="0" applyProtection="0"/>
    <xf numFmtId="0" fontId="3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  <xf numFmtId="0" fontId="5" fillId="3" borderId="1"/>
    <xf numFmtId="0" fontId="4" fillId="2" borderId="0"/>
    <xf numFmtId="0" fontId="3" fillId="0" borderId="0"/>
    <xf numFmtId="0" fontId="15" fillId="4" borderId="0"/>
    <xf numFmtId="0" fontId="12" fillId="0" borderId="2"/>
    <xf numFmtId="0" fontId="14" fillId="0" borderId="0"/>
    <xf numFmtId="9" fontId="82" fillId="0" borderId="0"/>
    <xf numFmtId="0" fontId="17" fillId="5" borderId="0"/>
    <xf numFmtId="0" fontId="18" fillId="0" borderId="0"/>
    <xf numFmtId="0" fontId="19" fillId="0" borderId="0">
      <alignment horizontal="left"/>
    </xf>
    <xf numFmtId="0" fontId="20" fillId="0" borderId="3">
      <alignment wrapText="1"/>
    </xf>
    <xf numFmtId="0" fontId="18" fillId="0" borderId="4">
      <alignment wrapText="1"/>
    </xf>
    <xf numFmtId="0" fontId="18" fillId="0" borderId="5">
      <alignment vertical="top" wrapText="1"/>
    </xf>
    <xf numFmtId="43" fontId="82" fillId="0" borderId="0"/>
    <xf numFmtId="0" fontId="13" fillId="0" borderId="6"/>
    <xf numFmtId="0" fontId="2" fillId="6" borderId="0"/>
    <xf numFmtId="0" fontId="14" fillId="0" borderId="7"/>
    <xf numFmtId="0" fontId="3" fillId="0" borderId="0"/>
    <xf numFmtId="0" fontId="1" fillId="0" borderId="0"/>
    <xf numFmtId="165" fontId="3" fillId="0" borderId="0"/>
    <xf numFmtId="165" fontId="1" fillId="0" borderId="0"/>
    <xf numFmtId="165" fontId="82" fillId="0" borderId="0"/>
    <xf numFmtId="165" fontId="3" fillId="0" borderId="0"/>
    <xf numFmtId="165" fontId="1" fillId="0" borderId="0"/>
    <xf numFmtId="165" fontId="82" fillId="0" borderId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82" fillId="0" borderId="0"/>
    <xf numFmtId="0" fontId="3" fillId="0" borderId="0"/>
    <xf numFmtId="0" fontId="3" fillId="0" borderId="0"/>
    <xf numFmtId="0" fontId="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2" fillId="0" borderId="0"/>
    <xf numFmtId="0" fontId="8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42" fillId="0" borderId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0" fontId="3" fillId="0" borderId="0"/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173" fontId="4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82" fillId="0" borderId="0"/>
    <xf numFmtId="0" fontId="82" fillId="0" borderId="0"/>
    <xf numFmtId="0" fontId="3" fillId="0" borderId="0"/>
    <xf numFmtId="0" fontId="3" fillId="0" borderId="0" applyNumberFormat="0" applyFont="0" applyFill="0" applyBorder="0" applyProtection="0">
      <alignment horizontal="left" vertical="center" indent="5"/>
    </xf>
    <xf numFmtId="0" fontId="47" fillId="0" borderId="18">
      <alignment horizontal="left" vertical="center" wrapText="1" indent="2"/>
    </xf>
    <xf numFmtId="171" fontId="3" fillId="0" borderId="0" applyFont="0" applyFill="0" applyBorder="0" applyAlignment="0" applyProtection="0"/>
    <xf numFmtId="4" fontId="47" fillId="0" borderId="0" applyBorder="0">
      <alignment horizontal="right" vertical="center"/>
    </xf>
    <xf numFmtId="0" fontId="3" fillId="0" borderId="0"/>
    <xf numFmtId="0" fontId="82" fillId="0" borderId="0"/>
    <xf numFmtId="4" fontId="47" fillId="0" borderId="16" applyFill="0" applyBorder="0" applyProtection="0">
      <alignment horizontal="right" vertical="center"/>
    </xf>
    <xf numFmtId="0" fontId="48" fillId="0" borderId="0" applyNumberFormat="0" applyFill="0" applyBorder="0" applyProtection="0">
      <alignment horizontal="left" vertical="center"/>
    </xf>
    <xf numFmtId="0" fontId="3" fillId="26" borderId="0" applyNumberFormat="0" applyFon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50" fillId="31" borderId="8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49" fontId="3" fillId="11" borderId="19">
      <alignment vertical="top" wrapText="1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60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184" fontId="67" fillId="0" borderId="0">
      <protection locked="0"/>
    </xf>
    <xf numFmtId="184" fontId="67" fillId="0" borderId="0">
      <protection locked="0"/>
    </xf>
    <xf numFmtId="3" fontId="52" fillId="0" borderId="19">
      <alignment horizontal="right" vertical="top"/>
    </xf>
    <xf numFmtId="0" fontId="24" fillId="19" borderId="16">
      <alignment horizontal="centerContinuous" vertical="top" wrapText="1"/>
    </xf>
    <xf numFmtId="0" fontId="53" fillId="0" borderId="0">
      <alignment vertical="top" wrapText="1"/>
    </xf>
    <xf numFmtId="18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85" fontId="67" fillId="0" borderId="0">
      <protection locked="0"/>
    </xf>
    <xf numFmtId="185" fontId="67" fillId="0" borderId="0">
      <protection locked="0"/>
    </xf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6" fontId="68" fillId="0" borderId="0">
      <protection locked="0"/>
    </xf>
    <xf numFmtId="186" fontId="68" fillId="0" borderId="0">
      <protection locked="0"/>
    </xf>
    <xf numFmtId="186" fontId="68" fillId="0" borderId="0">
      <protection locked="0"/>
    </xf>
    <xf numFmtId="186" fontId="68" fillId="0" borderId="0">
      <protection locked="0"/>
    </xf>
    <xf numFmtId="0" fontId="49" fillId="0" borderId="0" applyNumberFormat="0" applyFill="0" applyBorder="0">
      <protection locked="0"/>
    </xf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54" fillId="0" borderId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177" fontId="3" fillId="0" borderId="0" applyFont="0" applyFill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64" fillId="27" borderId="0" applyNumberFormat="0" applyBorder="0" applyAlignment="0" applyProtection="0"/>
    <xf numFmtId="0" fontId="37" fillId="27" borderId="0" applyNumberFormat="0" applyBorder="0" applyAlignment="0" applyProtection="0"/>
    <xf numFmtId="0" fontId="64" fillId="2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170" fontId="65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170" fontId="65" fillId="0" borderId="0">
      <alignment vertical="center"/>
    </xf>
    <xf numFmtId="170" fontId="65" fillId="0" borderId="0">
      <alignment vertical="center"/>
    </xf>
    <xf numFmtId="170" fontId="65" fillId="0" borderId="0">
      <alignment vertical="center"/>
    </xf>
    <xf numFmtId="170" fontId="65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70" fontId="65" fillId="0" borderId="0">
      <alignment vertical="center"/>
    </xf>
    <xf numFmtId="170" fontId="65" fillId="0" borderId="0">
      <alignment vertical="center"/>
    </xf>
    <xf numFmtId="170" fontId="6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170" fontId="65" fillId="0" borderId="0">
      <alignment vertical="center"/>
    </xf>
    <xf numFmtId="170" fontId="65" fillId="0" borderId="0">
      <alignment vertical="center"/>
    </xf>
    <xf numFmtId="170" fontId="65" fillId="0" borderId="0">
      <alignment vertical="center"/>
    </xf>
    <xf numFmtId="170" fontId="65" fillId="0" borderId="0">
      <alignment vertical="center"/>
    </xf>
    <xf numFmtId="0" fontId="82" fillId="0" borderId="0"/>
    <xf numFmtId="167" fontId="65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6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3" fontId="65" fillId="0" borderId="0">
      <alignment vertical="center"/>
    </xf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Font="0" applyBorder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178" fontId="55" fillId="0" borderId="0">
      <alignment horizontal="right"/>
    </xf>
    <xf numFmtId="181" fontId="3" fillId="0" borderId="0" applyFont="0" applyFill="0" applyBorder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0" fontId="38" fillId="31" borderId="1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3" fillId="0" borderId="0">
      <alignment vertical="top" wrapText="1"/>
    </xf>
    <xf numFmtId="187" fontId="3" fillId="0" borderId="0" applyFill="0" applyBorder="0" applyProtection="0"/>
    <xf numFmtId="187" fontId="3" fillId="0" borderId="0" applyFill="0" applyBorder="0" applyProtection="0"/>
    <xf numFmtId="0" fontId="24" fillId="0" borderId="0" applyNumberFormat="0" applyFill="0" applyBorder="0">
      <alignment horizontal="center" wrapText="1"/>
    </xf>
    <xf numFmtId="0" fontId="24" fillId="0" borderId="0" applyNumberFormat="0" applyFill="0" applyBorder="0">
      <alignment horizontal="center" wrapText="1"/>
    </xf>
    <xf numFmtId="0" fontId="24" fillId="0" borderId="0" applyNumberFormat="0" applyFill="0" applyBorder="0">
      <alignment horizontal="center" wrapText="1"/>
    </xf>
    <xf numFmtId="0" fontId="24" fillId="0" borderId="0" applyNumberFormat="0" applyFill="0" applyBorder="0">
      <alignment horizontal="center" wrapText="1"/>
    </xf>
    <xf numFmtId="179" fontId="56" fillId="32" borderId="24">
      <alignment vertical="center"/>
    </xf>
    <xf numFmtId="167" fontId="57" fillId="32" borderId="24">
      <alignment vertical="center"/>
    </xf>
    <xf numFmtId="179" fontId="58" fillId="33" borderId="24">
      <alignment vertical="center"/>
    </xf>
    <xf numFmtId="0" fontId="3" fillId="23" borderId="25" applyBorder="0">
      <alignment horizontal="left" vertical="center"/>
    </xf>
    <xf numFmtId="49" fontId="3" fillId="34" borderId="16">
      <alignment vertical="center" wrapText="1"/>
    </xf>
    <xf numFmtId="0" fontId="3" fillId="35" borderId="26">
      <alignment horizontal="left" vertical="center" wrapText="1"/>
    </xf>
    <xf numFmtId="0" fontId="59" fillId="36" borderId="16">
      <alignment horizontal="left" vertical="center" wrapText="1"/>
    </xf>
    <xf numFmtId="0" fontId="3" fillId="20" borderId="16">
      <alignment horizontal="left" vertical="center" wrapText="1"/>
    </xf>
    <xf numFmtId="0" fontId="3" fillId="37" borderId="16">
      <alignment horizontal="left" vertical="center" wrapText="1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1" fillId="0" borderId="0" applyNumberFormat="0" applyFill="0" applyBorder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49" fontId="3" fillId="11" borderId="19">
      <alignment vertical="top" wrapText="1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Font="0" applyBorder="0" applyAlignment="0" applyProtection="0"/>
    <xf numFmtId="0" fontId="3" fillId="26" borderId="0" applyNumberFormat="0" applyFont="0" applyBorder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18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7" fontId="3" fillId="0" borderId="0" applyFill="0" applyBorder="0" applyProtection="0"/>
    <xf numFmtId="187" fontId="3" fillId="0" borderId="0" applyFill="0" applyBorder="0" applyProtection="0"/>
    <xf numFmtId="0" fontId="3" fillId="23" borderId="25" applyBorder="0">
      <alignment horizontal="left" vertical="center"/>
    </xf>
    <xf numFmtId="49" fontId="3" fillId="34" borderId="16">
      <alignment vertical="center" wrapText="1"/>
    </xf>
    <xf numFmtId="0" fontId="3" fillId="35" borderId="26">
      <alignment horizontal="left" vertical="center" wrapText="1"/>
    </xf>
    <xf numFmtId="0" fontId="3" fillId="20" borderId="16">
      <alignment horizontal="left" vertical="center" wrapText="1"/>
    </xf>
    <xf numFmtId="0" fontId="3" fillId="37" borderId="16">
      <alignment horizontal="left" vertical="center" wrapText="1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82" fillId="0" borderId="0"/>
    <xf numFmtId="0" fontId="3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82" fillId="0" borderId="0"/>
    <xf numFmtId="0" fontId="82" fillId="0" borderId="0"/>
    <xf numFmtId="0" fontId="8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  <xf numFmtId="0" fontId="82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38" borderId="28" applyNumberFormat="0" applyFont="0" applyAlignment="0" applyProtection="0"/>
    <xf numFmtId="165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8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3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3" fillId="0" borderId="0" applyNumberFormat="0" applyFont="0" applyFill="0" applyBorder="0" applyAlignment="0" applyProtection="0"/>
    <xf numFmtId="0" fontId="82" fillId="0" borderId="0"/>
    <xf numFmtId="0" fontId="82" fillId="0" borderId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181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6" borderId="14" applyNumberFormat="0" applyFont="0" applyAlignment="0" applyProtection="0"/>
    <xf numFmtId="18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8" fillId="0" borderId="0" applyNumberFormat="0" applyFill="0" applyBorder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82" fillId="3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7" fillId="0" borderId="16" applyNumberFormat="0" applyFont="0" applyFill="0" applyBorder="0" applyProtection="0">
      <alignment horizontal="left" vertical="center" indent="2"/>
    </xf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48" fillId="11" borderId="0" applyBorder="0" applyAlignment="0"/>
    <xf numFmtId="0" fontId="47" fillId="11" borderId="0" applyBorder="0">
      <alignment horizontal="right" vertical="center"/>
    </xf>
    <xf numFmtId="0" fontId="47" fillId="9" borderId="0" applyBorder="0">
      <alignment horizontal="right" vertical="center"/>
    </xf>
    <xf numFmtId="0" fontId="47" fillId="9" borderId="0" applyBorder="0">
      <alignment horizontal="right" vertical="center"/>
    </xf>
    <xf numFmtId="0" fontId="46" fillId="9" borderId="16">
      <alignment horizontal="right" vertical="center"/>
    </xf>
    <xf numFmtId="0" fontId="72" fillId="9" borderId="16">
      <alignment horizontal="right" vertical="center"/>
    </xf>
    <xf numFmtId="0" fontId="46" fillId="12" borderId="16">
      <alignment horizontal="right" vertical="center"/>
    </xf>
    <xf numFmtId="0" fontId="46" fillId="12" borderId="16">
      <alignment horizontal="right" vertical="center"/>
    </xf>
    <xf numFmtId="0" fontId="46" fillId="12" borderId="29">
      <alignment horizontal="right" vertical="center"/>
    </xf>
    <xf numFmtId="0" fontId="46" fillId="12" borderId="30">
      <alignment horizontal="right" vertical="center"/>
    </xf>
    <xf numFmtId="0" fontId="46" fillId="12" borderId="31">
      <alignment horizontal="right" vertical="center"/>
    </xf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4" borderId="0" applyNumberFormat="0" applyBorder="0" applyAlignment="0" applyProtection="0"/>
    <xf numFmtId="0" fontId="38" fillId="25" borderId="15" applyNumberFormat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6" fillId="40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8" fillId="25" borderId="8" applyNumberFormat="0" applyAlignment="0" applyProtection="0"/>
    <xf numFmtId="4" fontId="48" fillId="0" borderId="32" applyFill="0" applyBorder="0" applyProtection="0">
      <alignment horizontal="right" vertical="center"/>
    </xf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17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6" fillId="0" borderId="0" applyNumberFormat="0">
      <alignment horizontal="right"/>
    </xf>
    <xf numFmtId="188" fontId="3" fillId="0" borderId="0" applyFont="0" applyFill="0" applyBorder="0" applyAlignment="0" applyProtection="0"/>
    <xf numFmtId="0" fontId="47" fillId="12" borderId="18">
      <alignment horizontal="left" vertical="center" wrapText="1" indent="2"/>
    </xf>
    <xf numFmtId="0" fontId="47" fillId="9" borderId="30">
      <alignment horizontal="left" vertical="center"/>
    </xf>
    <xf numFmtId="0" fontId="46" fillId="0" borderId="33">
      <alignment horizontal="left" vertical="top" wrapText="1"/>
    </xf>
    <xf numFmtId="0" fontId="35" fillId="12" borderId="8" applyNumberFormat="0" applyAlignment="0" applyProtection="0"/>
    <xf numFmtId="0" fontId="74" fillId="0" borderId="34"/>
    <xf numFmtId="0" fontId="40" fillId="0" borderId="17" applyNumberFormat="0" applyFill="0" applyAlignment="0" applyProtection="0"/>
    <xf numFmtId="0" fontId="30" fillId="0" borderId="0" applyNumberFormat="0" applyFill="0" applyBorder="0" applyAlignment="0" applyProtection="0"/>
    <xf numFmtId="0" fontId="71" fillId="0" borderId="0">
      <alignment vertical="top"/>
    </xf>
    <xf numFmtId="18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5" fillId="4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5" fillId="4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5" fillId="3" borderId="1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47" fillId="0" borderId="16">
      <alignment horizontal="right" vertical="center"/>
    </xf>
    <xf numFmtId="1" fontId="75" fillId="9" borderId="0" applyBorder="0">
      <alignment horizontal="right" vertical="center"/>
    </xf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69" fillId="2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8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73" fillId="0" borderId="0"/>
    <xf numFmtId="0" fontId="3" fillId="0" borderId="0"/>
    <xf numFmtId="0" fontId="3" fillId="0" borderId="0">
      <alignment vertical="top"/>
    </xf>
    <xf numFmtId="0" fontId="82" fillId="0" borderId="0"/>
    <xf numFmtId="0" fontId="3" fillId="0" borderId="0"/>
    <xf numFmtId="0" fontId="8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76" fillId="0" borderId="0"/>
    <xf numFmtId="0" fontId="2" fillId="0" borderId="0"/>
    <xf numFmtId="0" fontId="76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/>
    <xf numFmtId="0" fontId="7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2" fillId="0" borderId="0"/>
    <xf numFmtId="0" fontId="8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5" fillId="0" borderId="0"/>
    <xf numFmtId="0" fontId="25" fillId="0" borderId="0"/>
    <xf numFmtId="0" fontId="3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2" fillId="0" borderId="0"/>
    <xf numFmtId="0" fontId="3" fillId="0" borderId="0"/>
    <xf numFmtId="0" fontId="7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/>
    <xf numFmtId="0" fontId="73" fillId="0" borderId="0"/>
    <xf numFmtId="0" fontId="73" fillId="0" borderId="0"/>
    <xf numFmtId="0" fontId="82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80" fillId="0" borderId="0"/>
    <xf numFmtId="0" fontId="8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82" fillId="0" borderId="0"/>
    <xf numFmtId="0" fontId="2" fillId="0" borderId="0"/>
    <xf numFmtId="0" fontId="73" fillId="0" borderId="0"/>
    <xf numFmtId="0" fontId="3" fillId="0" borderId="0"/>
    <xf numFmtId="0" fontId="8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6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76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2" fillId="0" borderId="0"/>
    <xf numFmtId="0" fontId="47" fillId="0" borderId="16" applyNumberFormat="0" applyFill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2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2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0" fontId="3" fillId="6" borderId="14" applyNumberFormat="0" applyFont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47" fillId="41" borderId="16" applyNumberFormat="0" applyFont="0" applyBorder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27" fillId="8" borderId="0" applyNumberFormat="0" applyBorder="0" applyAlignment="0" applyProtection="0"/>
    <xf numFmtId="0" fontId="47" fillId="26" borderId="16"/>
    <xf numFmtId="0" fontId="53" fillId="0" borderId="0">
      <alignment vertical="top" wrapText="1"/>
    </xf>
    <xf numFmtId="0" fontId="79" fillId="0" borderId="0"/>
    <xf numFmtId="0" fontId="3" fillId="0" borderId="0"/>
    <xf numFmtId="0" fontId="3" fillId="0" borderId="0"/>
    <xf numFmtId="0" fontId="71" fillId="0" borderId="0">
      <alignment vertical="top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3" fillId="0" borderId="16" applyNumberFormat="0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9" fillId="26" borderId="9" applyNumberFormat="0" applyAlignment="0" applyProtection="0"/>
    <xf numFmtId="0" fontId="77" fillId="0" borderId="0" applyNumberFormat="0" applyFill="0" applyBorder="0" applyAlignment="0" applyProtection="0"/>
    <xf numFmtId="0" fontId="47" fillId="0" borderId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6" fillId="11" borderId="0" applyNumberFormat="0" applyBorder="0" applyAlignment="0" applyProtection="0"/>
    <xf numFmtId="0" fontId="26" fillId="24" borderId="0" applyNumberFormat="0" applyBorder="0" applyAlignment="0" applyProtection="0"/>
    <xf numFmtId="0" fontId="26" fillId="16" borderId="0" applyNumberFormat="0" applyBorder="0" applyAlignment="0" applyProtection="0"/>
    <xf numFmtId="0" fontId="26" fillId="8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26" fillId="24" borderId="0" applyNumberFormat="0" applyBorder="0" applyAlignment="0" applyProtection="0"/>
    <xf numFmtId="0" fontId="26" fillId="16" borderId="0" applyNumberFormat="0" applyBorder="0" applyAlignment="0" applyProtection="0"/>
    <xf numFmtId="0" fontId="26" fillId="30" borderId="0" applyNumberFormat="0" applyBorder="0" applyAlignment="0" applyProtection="0"/>
    <xf numFmtId="0" fontId="26" fillId="22" borderId="0" applyNumberFormat="0" applyBorder="0" applyAlignment="0" applyProtection="0"/>
    <xf numFmtId="0" fontId="27" fillId="10" borderId="0" applyNumberFormat="0" applyBorder="0" applyAlignment="0" applyProtection="0"/>
    <xf numFmtId="0" fontId="50" fillId="31" borderId="8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8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61" fillId="0" borderId="20" applyNumberFormat="0" applyFill="0" applyAlignment="0" applyProtection="0"/>
    <xf numFmtId="0" fontId="62" fillId="0" borderId="21" applyNumberFormat="0" applyFill="0" applyAlignment="0" applyProtection="0"/>
    <xf numFmtId="0" fontId="63" fillId="0" borderId="22" applyNumberFormat="0" applyFill="0" applyAlignment="0" applyProtection="0"/>
    <xf numFmtId="0" fontId="63" fillId="0" borderId="0" applyNumberFormat="0" applyFill="0" applyBorder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35" fillId="27" borderId="8" applyNumberFormat="0" applyAlignment="0" applyProtection="0"/>
    <xf numFmtId="0" fontId="41" fillId="0" borderId="23" applyNumberFormat="0" applyFill="0" applyAlignment="0" applyProtection="0"/>
    <xf numFmtId="0" fontId="64" fillId="27" borderId="0" applyNumberFormat="0" applyBorder="0" applyAlignment="0" applyProtection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70" fontId="65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65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65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83" fontId="65" fillId="0" borderId="0">
      <alignment vertical="center"/>
    </xf>
    <xf numFmtId="0" fontId="3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8" fillId="31" borderId="1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66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6" borderId="14" applyNumberFormat="0" applyFont="0" applyAlignment="0" applyProtection="0"/>
    <xf numFmtId="9" fontId="3" fillId="0" borderId="0" applyFont="0" applyFill="0" applyBorder="0" applyAlignment="0" applyProtection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26" fillId="24" borderId="0" applyNumberFormat="0" applyBorder="0" applyAlignment="0" applyProtection="0"/>
    <xf numFmtId="0" fontId="27" fillId="8" borderId="0" applyNumberFormat="0" applyBorder="0" applyAlignment="0" applyProtection="0"/>
    <xf numFmtId="0" fontId="28" fillId="25" borderId="8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31" fillId="9" borderId="0" applyNumberFormat="0" applyBorder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5" fillId="12" borderId="8" applyNumberFormat="0" applyAlignment="0" applyProtection="0"/>
    <xf numFmtId="0" fontId="36" fillId="0" borderId="13" applyNumberFormat="0" applyFill="0" applyAlignment="0" applyProtection="0"/>
    <xf numFmtId="0" fontId="37" fillId="27" borderId="0" applyNumberFormat="0" applyBorder="0" applyAlignment="0" applyProtection="0"/>
    <xf numFmtId="0" fontId="82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82" fillId="0" borderId="0"/>
    <xf numFmtId="0" fontId="3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3" fillId="0" borderId="0" applyNumberFormat="0" applyFont="0" applyFill="0" applyBorder="0" applyAlignment="0" applyProtection="0"/>
    <xf numFmtId="0" fontId="2" fillId="0" borderId="0"/>
    <xf numFmtId="0" fontId="82" fillId="0" borderId="0"/>
    <xf numFmtId="0" fontId="82" fillId="0" borderId="0"/>
    <xf numFmtId="181" fontId="3" fillId="0" borderId="0" applyFont="0" applyFill="0" applyBorder="0" applyAlignment="0" applyProtection="0"/>
    <xf numFmtId="0" fontId="38" fillId="25" borderId="15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22" fillId="0" borderId="0" applyNumberFormat="0" applyFill="0" applyBorder="0" applyAlignment="0" applyProtection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9" borderId="0" applyNumberFormat="0" applyBorder="0" applyAlignment="0" applyProtection="0"/>
    <xf numFmtId="0" fontId="15" fillId="4" borderId="0" applyNumberFormat="0" applyBorder="0" applyAlignment="0" applyProtection="0"/>
    <xf numFmtId="0" fontId="35" fillId="12" borderId="8" applyNumberFormat="0" applyAlignment="0" applyProtection="0"/>
    <xf numFmtId="0" fontId="5" fillId="3" borderId="1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2" fillId="0" borderId="0"/>
    <xf numFmtId="0" fontId="7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3" fillId="0" borderId="0"/>
    <xf numFmtId="0" fontId="7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3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3" fillId="0" borderId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77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49" fillId="0" borderId="0" applyNumberFormat="0" applyFill="0" applyBorder="0">
      <protection locked="0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1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1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16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8" borderId="0" applyNumberFormat="0" applyBorder="0" applyAlignment="0" applyProtection="0"/>
    <xf numFmtId="0" fontId="27" fillId="10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8" fillId="25" borderId="8" applyNumberFormat="0" applyAlignment="0" applyProtection="0"/>
    <xf numFmtId="0" fontId="50" fillId="31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8" fillId="25" borderId="8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0" fontId="29" fillId="26" borderId="9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9" borderId="0" applyNumberFormat="0" applyBorder="0" applyAlignment="0" applyProtection="0"/>
    <xf numFmtId="0" fontId="81" fillId="4" borderId="0" applyNumberFormat="0" applyBorder="0" applyAlignment="0" applyProtection="0"/>
    <xf numFmtId="0" fontId="31" fillId="9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2" fillId="0" borderId="10" applyNumberFormat="0" applyFill="0" applyAlignment="0" applyProtection="0"/>
    <xf numFmtId="0" fontId="61" fillId="0" borderId="2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62" fillId="0" borderId="2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63" fillId="0" borderId="2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12" borderId="8" applyNumberFormat="0" applyAlignment="0" applyProtection="0"/>
    <xf numFmtId="0" fontId="5" fillId="27" borderId="1" applyNumberFormat="0" applyAlignment="0" applyProtection="0"/>
    <xf numFmtId="0" fontId="35" fillId="12" borderId="8" applyNumberFormat="0" applyAlignment="0" applyProtection="0"/>
    <xf numFmtId="0" fontId="35" fillId="27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5" fillId="12" borderId="8" applyNumberFormat="0" applyAlignment="0" applyProtection="0"/>
    <xf numFmtId="0" fontId="36" fillId="0" borderId="13" applyNumberFormat="0" applyFill="0" applyAlignment="0" applyProtection="0"/>
    <xf numFmtId="0" fontId="41" fillId="0" borderId="2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7" fillId="27" borderId="0" applyNumberFormat="0" applyBorder="0" applyAlignment="0" applyProtection="0"/>
    <xf numFmtId="0" fontId="64" fillId="27" borderId="0" applyNumberFormat="0" applyBorder="0" applyAlignment="0" applyProtection="0"/>
    <xf numFmtId="0" fontId="69" fillId="2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5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 applyNumberFormat="0" applyFont="0" applyFill="0" applyBorder="0" applyAlignment="0" applyProtection="0"/>
    <xf numFmtId="0" fontId="82" fillId="0" borderId="0"/>
    <xf numFmtId="0" fontId="82" fillId="0" borderId="0"/>
    <xf numFmtId="0" fontId="3" fillId="0" borderId="0"/>
    <xf numFmtId="0" fontId="3" fillId="6" borderId="14" applyNumberFormat="0" applyFont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8" fillId="25" borderId="15" applyNumberFormat="0" applyAlignment="0" applyProtection="0"/>
    <xf numFmtId="0" fontId="38" fillId="31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0" fontId="38" fillId="25" borderId="15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9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39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1" fillId="0" borderId="0" applyNumberFormat="0" applyFill="0" applyBorder="0" applyProtection="0"/>
    <xf numFmtId="0" fontId="3" fillId="0" borderId="0"/>
    <xf numFmtId="0" fontId="3" fillId="0" borderId="0"/>
    <xf numFmtId="0" fontId="3" fillId="37" borderId="16">
      <alignment horizontal="left" vertical="center" wrapText="1"/>
    </xf>
    <xf numFmtId="0" fontId="3" fillId="20" borderId="16">
      <alignment horizontal="left" vertical="center" wrapText="1"/>
    </xf>
    <xf numFmtId="0" fontId="59" fillId="36" borderId="16">
      <alignment horizontal="left" vertical="center" wrapText="1"/>
    </xf>
    <xf numFmtId="0" fontId="3" fillId="35" borderId="26">
      <alignment horizontal="left" vertical="center" wrapText="1"/>
    </xf>
    <xf numFmtId="49" fontId="3" fillId="34" borderId="16">
      <alignment vertical="center" wrapText="1"/>
    </xf>
    <xf numFmtId="0" fontId="3" fillId="23" borderId="25" applyBorder="0">
      <alignment horizontal="left" vertical="center"/>
    </xf>
    <xf numFmtId="179" fontId="58" fillId="33" borderId="24">
      <alignment vertical="center"/>
    </xf>
    <xf numFmtId="167" fontId="57" fillId="32" borderId="24">
      <alignment vertical="center"/>
    </xf>
    <xf numFmtId="179" fontId="56" fillId="32" borderId="24">
      <alignment vertical="center"/>
    </xf>
    <xf numFmtId="0" fontId="53" fillId="0" borderId="0">
      <alignment vertical="top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27" fillId="8" borderId="0" applyNumberFormat="0" applyBorder="0" applyAlignment="0" applyProtection="0"/>
    <xf numFmtId="0" fontId="47" fillId="26" borderId="16"/>
    <xf numFmtId="0" fontId="53" fillId="0" borderId="0">
      <alignment vertical="top" wrapText="1"/>
    </xf>
    <xf numFmtId="0" fontId="71" fillId="0" borderId="0">
      <alignment vertical="top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3" fillId="0" borderId="16" applyNumberFormat="0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49" fontId="3" fillId="0" borderId="16" applyFill="0" applyProtection="0">
      <alignment horizontal="right"/>
    </xf>
    <xf numFmtId="0" fontId="24" fillId="28" borderId="16" applyNumberFormat="0" applyProtection="0">
      <alignment horizontal="right"/>
    </xf>
    <xf numFmtId="0" fontId="24" fillId="28" borderId="16" applyNumberFormat="0" applyProtection="0">
      <alignment horizontal="right"/>
    </xf>
    <xf numFmtId="0" fontId="43" fillId="28" borderId="0" applyNumberFormat="0" applyBorder="0" applyProtection="0">
      <alignment horizontal="left"/>
    </xf>
    <xf numFmtId="0" fontId="43" fillId="28" borderId="0" applyNumberFormat="0" applyBorder="0" applyProtection="0">
      <alignment horizontal="left"/>
    </xf>
    <xf numFmtId="0" fontId="24" fillId="28" borderId="16" applyNumberFormat="0" applyProtection="0">
      <alignment horizontal="left"/>
    </xf>
    <xf numFmtId="0" fontId="24" fillId="28" borderId="16" applyNumberFormat="0" applyProtection="0">
      <alignment horizontal="lef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45" fillId="21" borderId="0" applyNumberFormat="0" applyBorder="0" applyProtection="0">
      <alignment horizontal="left"/>
    </xf>
    <xf numFmtId="0" fontId="45" fillId="21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70" fillId="42" borderId="0" applyNumberFormat="0" applyBorder="0" applyProtection="0">
      <alignment horizontal="left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9" fillId="26" borderId="9" applyNumberFormat="0" applyAlignment="0" applyProtection="0"/>
    <xf numFmtId="0" fontId="77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6" applyNumberFormat="0" applyFill="0" applyProtection="0">
      <alignment horizontal="right"/>
    </xf>
    <xf numFmtId="0" fontId="3" fillId="0" borderId="16" applyNumberFormat="0" applyFill="0" applyProtection="0">
      <alignment horizontal="right"/>
    </xf>
    <xf numFmtId="0" fontId="3" fillId="0" borderId="0"/>
    <xf numFmtId="0" fontId="66" fillId="0" borderId="0" applyNumberFormat="0" applyFill="0" applyBorder="0" applyAlignment="0" applyProtection="0"/>
    <xf numFmtId="0" fontId="3" fillId="0" borderId="0"/>
    <xf numFmtId="0" fontId="40" fillId="0" borderId="27" applyNumberFormat="0" applyFill="0" applyAlignment="0" applyProtection="0"/>
    <xf numFmtId="0" fontId="3" fillId="0" borderId="0"/>
    <xf numFmtId="0" fontId="3" fillId="0" borderId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2" fillId="0" borderId="0"/>
    <xf numFmtId="0" fontId="3" fillId="0" borderId="0"/>
    <xf numFmtId="0" fontId="82" fillId="0" borderId="0"/>
    <xf numFmtId="0" fontId="82" fillId="0" borderId="0"/>
    <xf numFmtId="18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181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9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0" fontId="82" fillId="39" borderId="0" applyNumberFormat="0" applyBorder="0" applyAlignment="0" applyProtection="0"/>
    <xf numFmtId="0" fontId="82" fillId="39" borderId="0" applyNumberFormat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82" fillId="0" borderId="0"/>
    <xf numFmtId="9" fontId="82" fillId="0" borderId="0"/>
    <xf numFmtId="0" fontId="17" fillId="5" borderId="0"/>
    <xf numFmtId="43" fontId="82" fillId="0" borderId="0"/>
    <xf numFmtId="0" fontId="2" fillId="6" borderId="0"/>
    <xf numFmtId="0" fontId="82" fillId="0" borderId="0"/>
    <xf numFmtId="0" fontId="1" fillId="0" borderId="0"/>
    <xf numFmtId="165" fontId="3" fillId="0" borderId="0"/>
    <xf numFmtId="165" fontId="1" fillId="0" borderId="0"/>
    <xf numFmtId="165" fontId="82" fillId="0" borderId="0"/>
    <xf numFmtId="165" fontId="3" fillId="0" borderId="0"/>
    <xf numFmtId="165" fontId="1" fillId="0" borderId="0"/>
    <xf numFmtId="165" fontId="82" fillId="0" borderId="0"/>
    <xf numFmtId="0" fontId="1" fillId="0" borderId="0"/>
    <xf numFmtId="0" fontId="69" fillId="2" borderId="0" applyNumberFormat="0" applyBorder="0" applyAlignment="0" applyProtection="0"/>
  </cellStyleXfs>
  <cellXfs count="23">
    <xf numFmtId="0" fontId="0" fillId="0" borderId="0" xfId="0"/>
    <xf numFmtId="2" fontId="0" fillId="0" borderId="0" xfId="0" applyNumberFormat="1"/>
    <xf numFmtId="0" fontId="4" fillId="2" borderId="0" xfId="3"/>
    <xf numFmtId="167" fontId="0" fillId="0" borderId="0" xfId="1" applyNumberFormat="1" applyFont="1"/>
    <xf numFmtId="167" fontId="0" fillId="0" borderId="0" xfId="0" applyNumberFormat="1"/>
    <xf numFmtId="0" fontId="5" fillId="3" borderId="1" xfId="4"/>
    <xf numFmtId="0" fontId="6" fillId="0" borderId="0" xfId="0" applyFont="1"/>
    <xf numFmtId="168" fontId="0" fillId="0" borderId="0" xfId="0" applyNumberFormat="1"/>
    <xf numFmtId="9" fontId="0" fillId="0" borderId="0" xfId="0" applyNumberFormat="1"/>
    <xf numFmtId="0" fontId="0" fillId="43" borderId="0" xfId="0" applyFill="1"/>
    <xf numFmtId="9" fontId="0" fillId="43" borderId="0" xfId="1" applyFont="1" applyFill="1"/>
    <xf numFmtId="0" fontId="0" fillId="0" borderId="0" xfId="0" quotePrefix="1"/>
    <xf numFmtId="9" fontId="0" fillId="0" borderId="0" xfId="1" applyFont="1"/>
    <xf numFmtId="0" fontId="0" fillId="44" borderId="0" xfId="0" applyFill="1"/>
    <xf numFmtId="0" fontId="9" fillId="0" borderId="0" xfId="0" applyFont="1"/>
    <xf numFmtId="167" fontId="9" fillId="0" borderId="0" xfId="0" applyNumberFormat="1" applyFont="1"/>
    <xf numFmtId="167" fontId="10" fillId="0" borderId="0" xfId="0" applyNumberFormat="1" applyFont="1"/>
    <xf numFmtId="2" fontId="9" fillId="0" borderId="0" xfId="0" applyNumberFormat="1" applyFont="1"/>
    <xf numFmtId="167" fontId="9" fillId="0" borderId="0" xfId="1" applyNumberFormat="1" applyFont="1"/>
    <xf numFmtId="0" fontId="11" fillId="0" borderId="0" xfId="0" applyFont="1"/>
    <xf numFmtId="169" fontId="21" fillId="0" borderId="0" xfId="26" applyNumberFormat="1" applyFont="1" applyAlignment="1">
      <alignment horizontal="center" vertical="center"/>
    </xf>
    <xf numFmtId="0" fontId="23" fillId="0" borderId="0" xfId="26" applyNumberFormat="1" applyFont="1" applyAlignment="1">
      <alignment horizontal="left" vertical="center"/>
    </xf>
    <xf numFmtId="0" fontId="82" fillId="0" borderId="0" xfId="3405"/>
  </cellXfs>
  <cellStyles count="29422">
    <cellStyle name="???????" xfId="4585" xr:uid="{00000000-0005-0000-0000-0000ED110000}"/>
    <cellStyle name="20% - Accent1 10" xfId="4586" xr:uid="{00000000-0005-0000-0000-0000EE110000}"/>
    <cellStyle name="20% - Accent1 10 2" xfId="14139" xr:uid="{00000000-0005-0000-0000-00003F370000}"/>
    <cellStyle name="20% - Accent1 11" xfId="4587" xr:uid="{00000000-0005-0000-0000-0000EF110000}"/>
    <cellStyle name="20% - Accent1 11 2" xfId="14138" xr:uid="{00000000-0005-0000-0000-00003E370000}"/>
    <cellStyle name="20% - Accent1 12" xfId="4588" xr:uid="{00000000-0005-0000-0000-0000F0110000}"/>
    <cellStyle name="20% - Accent1 13" xfId="4589" xr:uid="{00000000-0005-0000-0000-0000F1110000}"/>
    <cellStyle name="20% - Accent1 14" xfId="4590" xr:uid="{00000000-0005-0000-0000-0000F2110000}"/>
    <cellStyle name="20% - Accent1 15" xfId="4591" xr:uid="{00000000-0005-0000-0000-0000F3110000}"/>
    <cellStyle name="20% - Accent1 16" xfId="4592" xr:uid="{00000000-0005-0000-0000-0000F4110000}"/>
    <cellStyle name="20% - Accent1 17" xfId="4593" xr:uid="{00000000-0005-0000-0000-0000F5110000}"/>
    <cellStyle name="20% - Accent1 18" xfId="4594" xr:uid="{00000000-0005-0000-0000-0000F6110000}"/>
    <cellStyle name="20% - Accent1 19" xfId="4595" xr:uid="{00000000-0005-0000-0000-0000F7110000}"/>
    <cellStyle name="20% - Accent1 2" xfId="30" xr:uid="{00000000-0005-0000-0000-000022000000}"/>
    <cellStyle name="20% - Accent1 2 10" xfId="214" xr:uid="{00000000-0005-0000-0000-0000DA000000}"/>
    <cellStyle name="20% - Accent1 2 11" xfId="215" xr:uid="{00000000-0005-0000-0000-0000DB000000}"/>
    <cellStyle name="20% - Accent1 2 12" xfId="216" xr:uid="{00000000-0005-0000-0000-0000DC000000}"/>
    <cellStyle name="20% - Accent1 2 13" xfId="217" xr:uid="{00000000-0005-0000-0000-0000DD000000}"/>
    <cellStyle name="20% - Accent1 2 14" xfId="218" xr:uid="{00000000-0005-0000-0000-0000DE000000}"/>
    <cellStyle name="20% - Accent1 2 15" xfId="219" xr:uid="{00000000-0005-0000-0000-0000DF000000}"/>
    <cellStyle name="20% - Accent1 2 16" xfId="14137" xr:uid="{00000000-0005-0000-0000-00003D370000}"/>
    <cellStyle name="20% - Accent1 2 2" xfId="220" xr:uid="{00000000-0005-0000-0000-0000E0000000}"/>
    <cellStyle name="20% - Accent1 2 3" xfId="221" xr:uid="{00000000-0005-0000-0000-0000E1000000}"/>
    <cellStyle name="20% - Accent1 2 4" xfId="222" xr:uid="{00000000-0005-0000-0000-0000E2000000}"/>
    <cellStyle name="20% - Accent1 2 5" xfId="223" xr:uid="{00000000-0005-0000-0000-0000E3000000}"/>
    <cellStyle name="20% - Accent1 2 6" xfId="224" xr:uid="{00000000-0005-0000-0000-0000E4000000}"/>
    <cellStyle name="20% - Accent1 2 7" xfId="225" xr:uid="{00000000-0005-0000-0000-0000E5000000}"/>
    <cellStyle name="20% - Accent1 2 8" xfId="226" xr:uid="{00000000-0005-0000-0000-0000E6000000}"/>
    <cellStyle name="20% - Accent1 2 9" xfId="227" xr:uid="{00000000-0005-0000-0000-0000E7000000}"/>
    <cellStyle name="20% - Accent1 20" xfId="4596" xr:uid="{00000000-0005-0000-0000-0000F8110000}"/>
    <cellStyle name="20% - Accent1 21" xfId="4597" xr:uid="{00000000-0005-0000-0000-0000F9110000}"/>
    <cellStyle name="20% - Accent1 22" xfId="4598" xr:uid="{00000000-0005-0000-0000-0000FA110000}"/>
    <cellStyle name="20% - Accent1 23" xfId="4599" xr:uid="{00000000-0005-0000-0000-0000FB110000}"/>
    <cellStyle name="20% - Accent1 24" xfId="4600" xr:uid="{00000000-0005-0000-0000-0000FC110000}"/>
    <cellStyle name="20% - Accent1 25" xfId="4601" xr:uid="{00000000-0005-0000-0000-0000FD110000}"/>
    <cellStyle name="20% - Accent1 26" xfId="4602" xr:uid="{00000000-0005-0000-0000-0000FE110000}"/>
    <cellStyle name="20% - Accent1 27" xfId="4603" xr:uid="{00000000-0005-0000-0000-0000FF110000}"/>
    <cellStyle name="20% - Accent1 28" xfId="4604" xr:uid="{00000000-0005-0000-0000-000000120000}"/>
    <cellStyle name="20% - Accent1 29" xfId="4605" xr:uid="{00000000-0005-0000-0000-000001120000}"/>
    <cellStyle name="20% - Accent1 3" xfId="31" xr:uid="{00000000-0005-0000-0000-000023000000}"/>
    <cellStyle name="20% - Accent1 3 2" xfId="228" xr:uid="{00000000-0005-0000-0000-0000E8000000}"/>
    <cellStyle name="20% - Accent1 3 2 2" xfId="14136" xr:uid="{00000000-0005-0000-0000-00003C370000}"/>
    <cellStyle name="20% - Accent1 3 2 3" xfId="4606" xr:uid="{00000000-0005-0000-0000-000002120000}"/>
    <cellStyle name="20% - Accent1 3 3" xfId="7397" xr:uid="{00000000-0005-0000-0000-0000E91C0000}"/>
    <cellStyle name="20% - Accent1 3 4" xfId="8806" xr:uid="{00000000-0005-0000-0000-00006A220000}"/>
    <cellStyle name="20% - Accent1 30" xfId="4607" xr:uid="{00000000-0005-0000-0000-000003120000}"/>
    <cellStyle name="20% - Accent1 31" xfId="4608" xr:uid="{00000000-0005-0000-0000-000004120000}"/>
    <cellStyle name="20% - Accent1 32" xfId="4609" xr:uid="{00000000-0005-0000-0000-000005120000}"/>
    <cellStyle name="20% - Accent1 33" xfId="4610" xr:uid="{00000000-0005-0000-0000-000006120000}"/>
    <cellStyle name="20% - Accent1 34" xfId="4611" xr:uid="{00000000-0005-0000-0000-000007120000}"/>
    <cellStyle name="20% - Accent1 35" xfId="4612" xr:uid="{00000000-0005-0000-0000-000008120000}"/>
    <cellStyle name="20% - Accent1 36" xfId="4613" xr:uid="{00000000-0005-0000-0000-000009120000}"/>
    <cellStyle name="20% - Accent1 37" xfId="4614" xr:uid="{00000000-0005-0000-0000-00000A120000}"/>
    <cellStyle name="20% - Accent1 38" xfId="4615" xr:uid="{00000000-0005-0000-0000-00000B120000}"/>
    <cellStyle name="20% - Accent1 39" xfId="4616" xr:uid="{00000000-0005-0000-0000-00000C120000}"/>
    <cellStyle name="20% - Accent1 4" xfId="229" xr:uid="{00000000-0005-0000-0000-0000E9000000}"/>
    <cellStyle name="20% - Accent1 4 2" xfId="7398" xr:uid="{00000000-0005-0000-0000-0000EA1C0000}"/>
    <cellStyle name="20% - Accent1 4 3" xfId="8905" xr:uid="{00000000-0005-0000-0000-0000CD220000}"/>
    <cellStyle name="20% - Accent1 4 4" xfId="4617" xr:uid="{00000000-0005-0000-0000-00000D120000}"/>
    <cellStyle name="20% - Accent1 40" xfId="4618" xr:uid="{00000000-0005-0000-0000-00000E120000}"/>
    <cellStyle name="20% - Accent1 41" xfId="4619" xr:uid="{00000000-0005-0000-0000-00000F120000}"/>
    <cellStyle name="20% - Accent1 42" xfId="4620" xr:uid="{00000000-0005-0000-0000-000010120000}"/>
    <cellStyle name="20% - Accent1 43" xfId="4621" xr:uid="{00000000-0005-0000-0000-000011120000}"/>
    <cellStyle name="20% - Accent1 5" xfId="230" xr:uid="{00000000-0005-0000-0000-0000EA000000}"/>
    <cellStyle name="20% - Accent1 5 2" xfId="7399" xr:uid="{00000000-0005-0000-0000-0000EB1C0000}"/>
    <cellStyle name="20% - Accent1 5 3" xfId="8906" xr:uid="{00000000-0005-0000-0000-0000CE220000}"/>
    <cellStyle name="20% - Accent1 5 4" xfId="4622" xr:uid="{00000000-0005-0000-0000-000012120000}"/>
    <cellStyle name="20% - Accent1 6" xfId="231" xr:uid="{00000000-0005-0000-0000-0000EB000000}"/>
    <cellStyle name="20% - Accent1 6 2" xfId="7400" xr:uid="{00000000-0005-0000-0000-0000EC1C0000}"/>
    <cellStyle name="20% - Accent1 6 3" xfId="8907" xr:uid="{00000000-0005-0000-0000-0000CF220000}"/>
    <cellStyle name="20% - Accent1 6 4" xfId="4623" xr:uid="{00000000-0005-0000-0000-000013120000}"/>
    <cellStyle name="20% - Accent1 7" xfId="232" xr:uid="{00000000-0005-0000-0000-0000EC000000}"/>
    <cellStyle name="20% - Accent1 7 2" xfId="7401" xr:uid="{00000000-0005-0000-0000-0000ED1C0000}"/>
    <cellStyle name="20% - Accent1 7 3" xfId="8908" xr:uid="{00000000-0005-0000-0000-0000D0220000}"/>
    <cellStyle name="20% - Accent1 7 4" xfId="4624" xr:uid="{00000000-0005-0000-0000-000014120000}"/>
    <cellStyle name="20% - Accent1 8" xfId="233" xr:uid="{00000000-0005-0000-0000-0000ED000000}"/>
    <cellStyle name="20% - Accent1 8 2" xfId="7402" xr:uid="{00000000-0005-0000-0000-0000EE1C0000}"/>
    <cellStyle name="20% - Accent1 8 3" xfId="8909" xr:uid="{00000000-0005-0000-0000-0000D1220000}"/>
    <cellStyle name="20% - Accent1 8 4" xfId="4625" xr:uid="{00000000-0005-0000-0000-000015120000}"/>
    <cellStyle name="20% - Accent1 9" xfId="4626" xr:uid="{00000000-0005-0000-0000-000016120000}"/>
    <cellStyle name="20% - Accent1 9 2" xfId="14135" xr:uid="{00000000-0005-0000-0000-00003B370000}"/>
    <cellStyle name="20% - Accent2 10" xfId="4627" xr:uid="{00000000-0005-0000-0000-000017120000}"/>
    <cellStyle name="20% - Accent2 10 2" xfId="14134" xr:uid="{00000000-0005-0000-0000-00003A370000}"/>
    <cellStyle name="20% - Accent2 11" xfId="4628" xr:uid="{00000000-0005-0000-0000-000018120000}"/>
    <cellStyle name="20% - Accent2 11 2" xfId="14133" xr:uid="{00000000-0005-0000-0000-000039370000}"/>
    <cellStyle name="20% - Accent2 12" xfId="4629" xr:uid="{00000000-0005-0000-0000-000019120000}"/>
    <cellStyle name="20% - Accent2 13" xfId="4630" xr:uid="{00000000-0005-0000-0000-00001A120000}"/>
    <cellStyle name="20% - Accent2 14" xfId="4631" xr:uid="{00000000-0005-0000-0000-00001B120000}"/>
    <cellStyle name="20% - Accent2 15" xfId="4632" xr:uid="{00000000-0005-0000-0000-00001C120000}"/>
    <cellStyle name="20% - Accent2 16" xfId="4633" xr:uid="{00000000-0005-0000-0000-00001D120000}"/>
    <cellStyle name="20% - Accent2 17" xfId="4634" xr:uid="{00000000-0005-0000-0000-00001E120000}"/>
    <cellStyle name="20% - Accent2 18" xfId="4635" xr:uid="{00000000-0005-0000-0000-00001F120000}"/>
    <cellStyle name="20% - Accent2 19" xfId="4636" xr:uid="{00000000-0005-0000-0000-000020120000}"/>
    <cellStyle name="20% - Accent2 2" xfId="32" xr:uid="{00000000-0005-0000-0000-000024000000}"/>
    <cellStyle name="20% - Accent2 2 10" xfId="234" xr:uid="{00000000-0005-0000-0000-0000EE000000}"/>
    <cellStyle name="20% - Accent2 2 11" xfId="235" xr:uid="{00000000-0005-0000-0000-0000EF000000}"/>
    <cellStyle name="20% - Accent2 2 12" xfId="236" xr:uid="{00000000-0005-0000-0000-0000F0000000}"/>
    <cellStyle name="20% - Accent2 2 13" xfId="237" xr:uid="{00000000-0005-0000-0000-0000F1000000}"/>
    <cellStyle name="20% - Accent2 2 14" xfId="238" xr:uid="{00000000-0005-0000-0000-0000F2000000}"/>
    <cellStyle name="20% - Accent2 2 15" xfId="239" xr:uid="{00000000-0005-0000-0000-0000F3000000}"/>
    <cellStyle name="20% - Accent2 2 16" xfId="14132" xr:uid="{00000000-0005-0000-0000-000038370000}"/>
    <cellStyle name="20% - Accent2 2 2" xfId="240" xr:uid="{00000000-0005-0000-0000-0000F4000000}"/>
    <cellStyle name="20% - Accent2 2 3" xfId="241" xr:uid="{00000000-0005-0000-0000-0000F5000000}"/>
    <cellStyle name="20% - Accent2 2 4" xfId="242" xr:uid="{00000000-0005-0000-0000-0000F6000000}"/>
    <cellStyle name="20% - Accent2 2 5" xfId="243" xr:uid="{00000000-0005-0000-0000-0000F7000000}"/>
    <cellStyle name="20% - Accent2 2 6" xfId="244" xr:uid="{00000000-0005-0000-0000-0000F8000000}"/>
    <cellStyle name="20% - Accent2 2 7" xfId="245" xr:uid="{00000000-0005-0000-0000-0000F9000000}"/>
    <cellStyle name="20% - Accent2 2 8" xfId="246" xr:uid="{00000000-0005-0000-0000-0000FA000000}"/>
    <cellStyle name="20% - Accent2 2 9" xfId="247" xr:uid="{00000000-0005-0000-0000-0000FB000000}"/>
    <cellStyle name="20% - Accent2 20" xfId="4637" xr:uid="{00000000-0005-0000-0000-000021120000}"/>
    <cellStyle name="20% - Accent2 21" xfId="4638" xr:uid="{00000000-0005-0000-0000-000022120000}"/>
    <cellStyle name="20% - Accent2 22" xfId="4639" xr:uid="{00000000-0005-0000-0000-000023120000}"/>
    <cellStyle name="20% - Accent2 23" xfId="4640" xr:uid="{00000000-0005-0000-0000-000024120000}"/>
    <cellStyle name="20% - Accent2 24" xfId="4641" xr:uid="{00000000-0005-0000-0000-000025120000}"/>
    <cellStyle name="20% - Accent2 25" xfId="4642" xr:uid="{00000000-0005-0000-0000-000026120000}"/>
    <cellStyle name="20% - Accent2 26" xfId="4643" xr:uid="{00000000-0005-0000-0000-000027120000}"/>
    <cellStyle name="20% - Accent2 27" xfId="4644" xr:uid="{00000000-0005-0000-0000-000028120000}"/>
    <cellStyle name="20% - Accent2 28" xfId="4645" xr:uid="{00000000-0005-0000-0000-000029120000}"/>
    <cellStyle name="20% - Accent2 29" xfId="4646" xr:uid="{00000000-0005-0000-0000-00002A120000}"/>
    <cellStyle name="20% - Accent2 3" xfId="33" xr:uid="{00000000-0005-0000-0000-000025000000}"/>
    <cellStyle name="20% - Accent2 3 2" xfId="248" xr:uid="{00000000-0005-0000-0000-0000FC000000}"/>
    <cellStyle name="20% - Accent2 3 2 2" xfId="14131" xr:uid="{00000000-0005-0000-0000-000037370000}"/>
    <cellStyle name="20% - Accent2 3 2 3" xfId="4647" xr:uid="{00000000-0005-0000-0000-00002B120000}"/>
    <cellStyle name="20% - Accent2 3 3" xfId="7403" xr:uid="{00000000-0005-0000-0000-0000EF1C0000}"/>
    <cellStyle name="20% - Accent2 3 4" xfId="8807" xr:uid="{00000000-0005-0000-0000-00006B220000}"/>
    <cellStyle name="20% - Accent2 30" xfId="4648" xr:uid="{00000000-0005-0000-0000-00002C120000}"/>
    <cellStyle name="20% - Accent2 31" xfId="4649" xr:uid="{00000000-0005-0000-0000-00002D120000}"/>
    <cellStyle name="20% - Accent2 32" xfId="4650" xr:uid="{00000000-0005-0000-0000-00002E120000}"/>
    <cellStyle name="20% - Accent2 33" xfId="4651" xr:uid="{00000000-0005-0000-0000-00002F120000}"/>
    <cellStyle name="20% - Accent2 34" xfId="4652" xr:uid="{00000000-0005-0000-0000-000030120000}"/>
    <cellStyle name="20% - Accent2 35" xfId="4653" xr:uid="{00000000-0005-0000-0000-000031120000}"/>
    <cellStyle name="20% - Accent2 36" xfId="4654" xr:uid="{00000000-0005-0000-0000-000032120000}"/>
    <cellStyle name="20% - Accent2 37" xfId="4655" xr:uid="{00000000-0005-0000-0000-000033120000}"/>
    <cellStyle name="20% - Accent2 38" xfId="4656" xr:uid="{00000000-0005-0000-0000-000034120000}"/>
    <cellStyle name="20% - Accent2 39" xfId="4657" xr:uid="{00000000-0005-0000-0000-000035120000}"/>
    <cellStyle name="20% - Accent2 4" xfId="249" xr:uid="{00000000-0005-0000-0000-0000FD000000}"/>
    <cellStyle name="20% - Accent2 4 2" xfId="7404" xr:uid="{00000000-0005-0000-0000-0000F01C0000}"/>
    <cellStyle name="20% - Accent2 4 3" xfId="8910" xr:uid="{00000000-0005-0000-0000-0000D2220000}"/>
    <cellStyle name="20% - Accent2 4 4" xfId="4658" xr:uid="{00000000-0005-0000-0000-000036120000}"/>
    <cellStyle name="20% - Accent2 40" xfId="4659" xr:uid="{00000000-0005-0000-0000-000037120000}"/>
    <cellStyle name="20% - Accent2 41" xfId="4660" xr:uid="{00000000-0005-0000-0000-000038120000}"/>
    <cellStyle name="20% - Accent2 42" xfId="4661" xr:uid="{00000000-0005-0000-0000-000039120000}"/>
    <cellStyle name="20% - Accent2 43" xfId="4662" xr:uid="{00000000-0005-0000-0000-00003A120000}"/>
    <cellStyle name="20% - Accent2 5" xfId="250" xr:uid="{00000000-0005-0000-0000-0000FE000000}"/>
    <cellStyle name="20% - Accent2 5 2" xfId="7405" xr:uid="{00000000-0005-0000-0000-0000F11C0000}"/>
    <cellStyle name="20% - Accent2 5 3" xfId="8911" xr:uid="{00000000-0005-0000-0000-0000D3220000}"/>
    <cellStyle name="20% - Accent2 5 4" xfId="4663" xr:uid="{00000000-0005-0000-0000-00003B120000}"/>
    <cellStyle name="20% - Accent2 6" xfId="251" xr:uid="{00000000-0005-0000-0000-0000FF000000}"/>
    <cellStyle name="20% - Accent2 6 2" xfId="7406" xr:uid="{00000000-0005-0000-0000-0000F21C0000}"/>
    <cellStyle name="20% - Accent2 6 3" xfId="8912" xr:uid="{00000000-0005-0000-0000-0000D4220000}"/>
    <cellStyle name="20% - Accent2 6 4" xfId="4664" xr:uid="{00000000-0005-0000-0000-00003C120000}"/>
    <cellStyle name="20% - Accent2 7" xfId="252" xr:uid="{00000000-0005-0000-0000-000000010000}"/>
    <cellStyle name="20% - Accent2 7 2" xfId="7407" xr:uid="{00000000-0005-0000-0000-0000F31C0000}"/>
    <cellStyle name="20% - Accent2 7 3" xfId="8913" xr:uid="{00000000-0005-0000-0000-0000D5220000}"/>
    <cellStyle name="20% - Accent2 7 4" xfId="4665" xr:uid="{00000000-0005-0000-0000-00003D120000}"/>
    <cellStyle name="20% - Accent2 8" xfId="253" xr:uid="{00000000-0005-0000-0000-000001010000}"/>
    <cellStyle name="20% - Accent2 8 2" xfId="7408" xr:uid="{00000000-0005-0000-0000-0000F41C0000}"/>
    <cellStyle name="20% - Accent2 8 3" xfId="8914" xr:uid="{00000000-0005-0000-0000-0000D6220000}"/>
    <cellStyle name="20% - Accent2 8 4" xfId="4666" xr:uid="{00000000-0005-0000-0000-00003E120000}"/>
    <cellStyle name="20% - Accent2 9" xfId="4667" xr:uid="{00000000-0005-0000-0000-00003F120000}"/>
    <cellStyle name="20% - Accent2 9 2" xfId="14130" xr:uid="{00000000-0005-0000-0000-000036370000}"/>
    <cellStyle name="20% - Accent3 10" xfId="4668" xr:uid="{00000000-0005-0000-0000-000040120000}"/>
    <cellStyle name="20% - Accent3 10 2" xfId="14129" xr:uid="{00000000-0005-0000-0000-000035370000}"/>
    <cellStyle name="20% - Accent3 11" xfId="4669" xr:uid="{00000000-0005-0000-0000-000041120000}"/>
    <cellStyle name="20% - Accent3 11 2" xfId="14128" xr:uid="{00000000-0005-0000-0000-000034370000}"/>
    <cellStyle name="20% - Accent3 12" xfId="4670" xr:uid="{00000000-0005-0000-0000-000042120000}"/>
    <cellStyle name="20% - Accent3 13" xfId="4671" xr:uid="{00000000-0005-0000-0000-000043120000}"/>
    <cellStyle name="20% - Accent3 14" xfId="4672" xr:uid="{00000000-0005-0000-0000-000044120000}"/>
    <cellStyle name="20% - Accent3 15" xfId="4673" xr:uid="{00000000-0005-0000-0000-000045120000}"/>
    <cellStyle name="20% - Accent3 16" xfId="4674" xr:uid="{00000000-0005-0000-0000-000046120000}"/>
    <cellStyle name="20% - Accent3 17" xfId="4675" xr:uid="{00000000-0005-0000-0000-000047120000}"/>
    <cellStyle name="20% - Accent3 18" xfId="4676" xr:uid="{00000000-0005-0000-0000-000048120000}"/>
    <cellStyle name="20% - Accent3 19" xfId="4677" xr:uid="{00000000-0005-0000-0000-000049120000}"/>
    <cellStyle name="20% - Accent3 2" xfId="34" xr:uid="{00000000-0005-0000-0000-000026000000}"/>
    <cellStyle name="20% - Accent3 2 10" xfId="254" xr:uid="{00000000-0005-0000-0000-000002010000}"/>
    <cellStyle name="20% - Accent3 2 11" xfId="255" xr:uid="{00000000-0005-0000-0000-000003010000}"/>
    <cellStyle name="20% - Accent3 2 12" xfId="256" xr:uid="{00000000-0005-0000-0000-000004010000}"/>
    <cellStyle name="20% - Accent3 2 13" xfId="257" xr:uid="{00000000-0005-0000-0000-000005010000}"/>
    <cellStyle name="20% - Accent3 2 14" xfId="258" xr:uid="{00000000-0005-0000-0000-000006010000}"/>
    <cellStyle name="20% - Accent3 2 15" xfId="259" xr:uid="{00000000-0005-0000-0000-000007010000}"/>
    <cellStyle name="20% - Accent3 2 16" xfId="14127" xr:uid="{00000000-0005-0000-0000-000033370000}"/>
    <cellStyle name="20% - Accent3 2 2" xfId="260" xr:uid="{00000000-0005-0000-0000-000008010000}"/>
    <cellStyle name="20% - Accent3 2 3" xfId="261" xr:uid="{00000000-0005-0000-0000-000009010000}"/>
    <cellStyle name="20% - Accent3 2 4" xfId="262" xr:uid="{00000000-0005-0000-0000-00000A010000}"/>
    <cellStyle name="20% - Accent3 2 5" xfId="263" xr:uid="{00000000-0005-0000-0000-00000B010000}"/>
    <cellStyle name="20% - Accent3 2 6" xfId="264" xr:uid="{00000000-0005-0000-0000-00000C010000}"/>
    <cellStyle name="20% - Accent3 2 7" xfId="265" xr:uid="{00000000-0005-0000-0000-00000D010000}"/>
    <cellStyle name="20% - Accent3 2 8" xfId="266" xr:uid="{00000000-0005-0000-0000-00000E010000}"/>
    <cellStyle name="20% - Accent3 2 9" xfId="267" xr:uid="{00000000-0005-0000-0000-00000F010000}"/>
    <cellStyle name="20% - Accent3 20" xfId="4678" xr:uid="{00000000-0005-0000-0000-00004A120000}"/>
    <cellStyle name="20% - Accent3 21" xfId="4679" xr:uid="{00000000-0005-0000-0000-00004B120000}"/>
    <cellStyle name="20% - Accent3 22" xfId="4680" xr:uid="{00000000-0005-0000-0000-00004C120000}"/>
    <cellStyle name="20% - Accent3 23" xfId="4681" xr:uid="{00000000-0005-0000-0000-00004D120000}"/>
    <cellStyle name="20% - Accent3 24" xfId="4682" xr:uid="{00000000-0005-0000-0000-00004E120000}"/>
    <cellStyle name="20% - Accent3 25" xfId="4683" xr:uid="{00000000-0005-0000-0000-00004F120000}"/>
    <cellStyle name="20% - Accent3 26" xfId="4684" xr:uid="{00000000-0005-0000-0000-000050120000}"/>
    <cellStyle name="20% - Accent3 27" xfId="4685" xr:uid="{00000000-0005-0000-0000-000051120000}"/>
    <cellStyle name="20% - Accent3 28" xfId="4686" xr:uid="{00000000-0005-0000-0000-000052120000}"/>
    <cellStyle name="20% - Accent3 29" xfId="4687" xr:uid="{00000000-0005-0000-0000-000053120000}"/>
    <cellStyle name="20% - Accent3 3" xfId="35" xr:uid="{00000000-0005-0000-0000-000027000000}"/>
    <cellStyle name="20% - Accent3 3 2" xfId="20" xr:uid="{00000000-0005-0000-0000-000018000000}"/>
    <cellStyle name="20% - Accent3 3 2 2" xfId="14126" xr:uid="{00000000-0005-0000-0000-000032370000}"/>
    <cellStyle name="20% - Accent3 3 2 3" xfId="4688" xr:uid="{00000000-0005-0000-0000-000054120000}"/>
    <cellStyle name="20% - Accent3 3 2 4" xfId="29411" xr:uid="{00000000-0005-0000-0000-0000E7720000}"/>
    <cellStyle name="20% - Accent3 3 2 5" xfId="268" xr:uid="{00000000-0005-0000-0000-000010010000}"/>
    <cellStyle name="20% - Accent3 3 3" xfId="7409" xr:uid="{00000000-0005-0000-0000-0000F51C0000}"/>
    <cellStyle name="20% - Accent3 3 4" xfId="8808" xr:uid="{00000000-0005-0000-0000-00006C220000}"/>
    <cellStyle name="20% - Accent3 30" xfId="4689" xr:uid="{00000000-0005-0000-0000-000055120000}"/>
    <cellStyle name="20% - Accent3 31" xfId="4690" xr:uid="{00000000-0005-0000-0000-000056120000}"/>
    <cellStyle name="20% - Accent3 32" xfId="4691" xr:uid="{00000000-0005-0000-0000-000057120000}"/>
    <cellStyle name="20% - Accent3 33" xfId="4692" xr:uid="{00000000-0005-0000-0000-000058120000}"/>
    <cellStyle name="20% - Accent3 34" xfId="4693" xr:uid="{00000000-0005-0000-0000-000059120000}"/>
    <cellStyle name="20% - Accent3 35" xfId="4694" xr:uid="{00000000-0005-0000-0000-00005A120000}"/>
    <cellStyle name="20% - Accent3 36" xfId="4695" xr:uid="{00000000-0005-0000-0000-00005B120000}"/>
    <cellStyle name="20% - Accent3 37" xfId="4696" xr:uid="{00000000-0005-0000-0000-00005C120000}"/>
    <cellStyle name="20% - Accent3 38" xfId="4697" xr:uid="{00000000-0005-0000-0000-00005D120000}"/>
    <cellStyle name="20% - Accent3 39" xfId="4698" xr:uid="{00000000-0005-0000-0000-00005E120000}"/>
    <cellStyle name="20% - Accent3 4" xfId="269" xr:uid="{00000000-0005-0000-0000-000011010000}"/>
    <cellStyle name="20% - Accent3 4 2" xfId="7410" xr:uid="{00000000-0005-0000-0000-0000F61C0000}"/>
    <cellStyle name="20% - Accent3 4 3" xfId="8915" xr:uid="{00000000-0005-0000-0000-0000D7220000}"/>
    <cellStyle name="20% - Accent3 4 4" xfId="4699" xr:uid="{00000000-0005-0000-0000-00005F120000}"/>
    <cellStyle name="20% - Accent3 40" xfId="4700" xr:uid="{00000000-0005-0000-0000-000060120000}"/>
    <cellStyle name="20% - Accent3 41" xfId="4701" xr:uid="{00000000-0005-0000-0000-000061120000}"/>
    <cellStyle name="20% - Accent3 42" xfId="4702" xr:uid="{00000000-0005-0000-0000-000062120000}"/>
    <cellStyle name="20% - Accent3 43" xfId="4703" xr:uid="{00000000-0005-0000-0000-000063120000}"/>
    <cellStyle name="20% - Accent3 44" xfId="15044" xr:uid="{00000000-0005-0000-0000-0000C83A0000}"/>
    <cellStyle name="20% - Accent3 44 2" xfId="23140" xr:uid="{00000000-0005-0000-0000-0000685A0000}"/>
    <cellStyle name="20% - Accent3 5" xfId="270" xr:uid="{00000000-0005-0000-0000-000012010000}"/>
    <cellStyle name="20% - Accent3 5 2" xfId="7411" xr:uid="{00000000-0005-0000-0000-0000F71C0000}"/>
    <cellStyle name="20% - Accent3 5 3" xfId="8916" xr:uid="{00000000-0005-0000-0000-0000D8220000}"/>
    <cellStyle name="20% - Accent3 5 4" xfId="4704" xr:uid="{00000000-0005-0000-0000-000064120000}"/>
    <cellStyle name="20% - Accent3 6" xfId="271" xr:uid="{00000000-0005-0000-0000-000013010000}"/>
    <cellStyle name="20% - Accent3 6 2" xfId="7412" xr:uid="{00000000-0005-0000-0000-0000F81C0000}"/>
    <cellStyle name="20% - Accent3 6 3" xfId="8917" xr:uid="{00000000-0005-0000-0000-0000D9220000}"/>
    <cellStyle name="20% - Accent3 6 4" xfId="4705" xr:uid="{00000000-0005-0000-0000-000065120000}"/>
    <cellStyle name="20% - Accent3 7" xfId="272" xr:uid="{00000000-0005-0000-0000-000014010000}"/>
    <cellStyle name="20% - Accent3 7 2" xfId="7413" xr:uid="{00000000-0005-0000-0000-0000F91C0000}"/>
    <cellStyle name="20% - Accent3 7 3" xfId="8918" xr:uid="{00000000-0005-0000-0000-0000DA220000}"/>
    <cellStyle name="20% - Accent3 7 4" xfId="4706" xr:uid="{00000000-0005-0000-0000-000066120000}"/>
    <cellStyle name="20% - Accent3 8" xfId="273" xr:uid="{00000000-0005-0000-0000-000015010000}"/>
    <cellStyle name="20% - Accent3 8 2" xfId="7414" xr:uid="{00000000-0005-0000-0000-0000FA1C0000}"/>
    <cellStyle name="20% - Accent3 8 3" xfId="8919" xr:uid="{00000000-0005-0000-0000-0000DB220000}"/>
    <cellStyle name="20% - Accent3 8 4" xfId="4707" xr:uid="{00000000-0005-0000-0000-000067120000}"/>
    <cellStyle name="20% - Accent3 9" xfId="4708" xr:uid="{00000000-0005-0000-0000-000068120000}"/>
    <cellStyle name="20% - Accent3 9 2" xfId="14125" xr:uid="{00000000-0005-0000-0000-000031370000}"/>
    <cellStyle name="20% - Accent4 10" xfId="4709" xr:uid="{00000000-0005-0000-0000-000069120000}"/>
    <cellStyle name="20% - Accent4 10 2" xfId="14124" xr:uid="{00000000-0005-0000-0000-000030370000}"/>
    <cellStyle name="20% - Accent4 11" xfId="4710" xr:uid="{00000000-0005-0000-0000-00006A120000}"/>
    <cellStyle name="20% - Accent4 11 2" xfId="14123" xr:uid="{00000000-0005-0000-0000-00002F370000}"/>
    <cellStyle name="20% - Accent4 12" xfId="4711" xr:uid="{00000000-0005-0000-0000-00006B120000}"/>
    <cellStyle name="20% - Accent4 13" xfId="4712" xr:uid="{00000000-0005-0000-0000-00006C120000}"/>
    <cellStyle name="20% - Accent4 14" xfId="4713" xr:uid="{00000000-0005-0000-0000-00006D120000}"/>
    <cellStyle name="20% - Accent4 15" xfId="4714" xr:uid="{00000000-0005-0000-0000-00006E120000}"/>
    <cellStyle name="20% - Accent4 16" xfId="4715" xr:uid="{00000000-0005-0000-0000-00006F120000}"/>
    <cellStyle name="20% - Accent4 17" xfId="4716" xr:uid="{00000000-0005-0000-0000-000070120000}"/>
    <cellStyle name="20% - Accent4 18" xfId="4717" xr:uid="{00000000-0005-0000-0000-000071120000}"/>
    <cellStyle name="20% - Accent4 19" xfId="4718" xr:uid="{00000000-0005-0000-0000-000072120000}"/>
    <cellStyle name="20% - Accent4 2" xfId="36" xr:uid="{00000000-0005-0000-0000-000028000000}"/>
    <cellStyle name="20% - Accent4 2 10" xfId="274" xr:uid="{00000000-0005-0000-0000-000016010000}"/>
    <cellStyle name="20% - Accent4 2 11" xfId="275" xr:uid="{00000000-0005-0000-0000-000017010000}"/>
    <cellStyle name="20% - Accent4 2 12" xfId="276" xr:uid="{00000000-0005-0000-0000-000018010000}"/>
    <cellStyle name="20% - Accent4 2 13" xfId="277" xr:uid="{00000000-0005-0000-0000-000019010000}"/>
    <cellStyle name="20% - Accent4 2 14" xfId="278" xr:uid="{00000000-0005-0000-0000-00001A010000}"/>
    <cellStyle name="20% - Accent4 2 15" xfId="279" xr:uid="{00000000-0005-0000-0000-00001B010000}"/>
    <cellStyle name="20% - Accent4 2 16" xfId="14122" xr:uid="{00000000-0005-0000-0000-00002E370000}"/>
    <cellStyle name="20% - Accent4 2 2" xfId="280" xr:uid="{00000000-0005-0000-0000-00001C010000}"/>
    <cellStyle name="20% - Accent4 2 3" xfId="281" xr:uid="{00000000-0005-0000-0000-00001D010000}"/>
    <cellStyle name="20% - Accent4 2 4" xfId="282" xr:uid="{00000000-0005-0000-0000-00001E010000}"/>
    <cellStyle name="20% - Accent4 2 5" xfId="283" xr:uid="{00000000-0005-0000-0000-00001F010000}"/>
    <cellStyle name="20% - Accent4 2 6" xfId="284" xr:uid="{00000000-0005-0000-0000-000020010000}"/>
    <cellStyle name="20% - Accent4 2 7" xfId="285" xr:uid="{00000000-0005-0000-0000-000021010000}"/>
    <cellStyle name="20% - Accent4 2 8" xfId="286" xr:uid="{00000000-0005-0000-0000-000022010000}"/>
    <cellStyle name="20% - Accent4 2 9" xfId="287" xr:uid="{00000000-0005-0000-0000-000023010000}"/>
    <cellStyle name="20% - Accent4 20" xfId="4719" xr:uid="{00000000-0005-0000-0000-000073120000}"/>
    <cellStyle name="20% - Accent4 21" xfId="4720" xr:uid="{00000000-0005-0000-0000-000074120000}"/>
    <cellStyle name="20% - Accent4 22" xfId="4721" xr:uid="{00000000-0005-0000-0000-000075120000}"/>
    <cellStyle name="20% - Accent4 23" xfId="4722" xr:uid="{00000000-0005-0000-0000-000076120000}"/>
    <cellStyle name="20% - Accent4 24" xfId="4723" xr:uid="{00000000-0005-0000-0000-000077120000}"/>
    <cellStyle name="20% - Accent4 25" xfId="4724" xr:uid="{00000000-0005-0000-0000-000078120000}"/>
    <cellStyle name="20% - Accent4 26" xfId="4725" xr:uid="{00000000-0005-0000-0000-000079120000}"/>
    <cellStyle name="20% - Accent4 27" xfId="4726" xr:uid="{00000000-0005-0000-0000-00007A120000}"/>
    <cellStyle name="20% - Accent4 28" xfId="4727" xr:uid="{00000000-0005-0000-0000-00007B120000}"/>
    <cellStyle name="20% - Accent4 29" xfId="4728" xr:uid="{00000000-0005-0000-0000-00007C120000}"/>
    <cellStyle name="20% - Accent4 3" xfId="37" xr:uid="{00000000-0005-0000-0000-000029000000}"/>
    <cellStyle name="20% - Accent4 3 2" xfId="288" xr:uid="{00000000-0005-0000-0000-000024010000}"/>
    <cellStyle name="20% - Accent4 3 2 2" xfId="12541" xr:uid="{00000000-0005-0000-0000-000001310000}"/>
    <cellStyle name="20% - Accent4 3 2 3" xfId="4729" xr:uid="{00000000-0005-0000-0000-00007D120000}"/>
    <cellStyle name="20% - Accent4 3 3" xfId="7415" xr:uid="{00000000-0005-0000-0000-0000FB1C0000}"/>
    <cellStyle name="20% - Accent4 3 4" xfId="8809" xr:uid="{00000000-0005-0000-0000-00006D220000}"/>
    <cellStyle name="20% - Accent4 30" xfId="4730" xr:uid="{00000000-0005-0000-0000-00007E120000}"/>
    <cellStyle name="20% - Accent4 31" xfId="4731" xr:uid="{00000000-0005-0000-0000-00007F120000}"/>
    <cellStyle name="20% - Accent4 32" xfId="4732" xr:uid="{00000000-0005-0000-0000-000080120000}"/>
    <cellStyle name="20% - Accent4 33" xfId="4733" xr:uid="{00000000-0005-0000-0000-000081120000}"/>
    <cellStyle name="20% - Accent4 34" xfId="4734" xr:uid="{00000000-0005-0000-0000-000082120000}"/>
    <cellStyle name="20% - Accent4 35" xfId="4735" xr:uid="{00000000-0005-0000-0000-000083120000}"/>
    <cellStyle name="20% - Accent4 36" xfId="4736" xr:uid="{00000000-0005-0000-0000-000084120000}"/>
    <cellStyle name="20% - Accent4 37" xfId="4737" xr:uid="{00000000-0005-0000-0000-000085120000}"/>
    <cellStyle name="20% - Accent4 38" xfId="4738" xr:uid="{00000000-0005-0000-0000-000086120000}"/>
    <cellStyle name="20% - Accent4 39" xfId="4739" xr:uid="{00000000-0005-0000-0000-000087120000}"/>
    <cellStyle name="20% - Accent4 4" xfId="289" xr:uid="{00000000-0005-0000-0000-000025010000}"/>
    <cellStyle name="20% - Accent4 4 2" xfId="7416" xr:uid="{00000000-0005-0000-0000-0000FC1C0000}"/>
    <cellStyle name="20% - Accent4 4 3" xfId="8920" xr:uid="{00000000-0005-0000-0000-0000DC220000}"/>
    <cellStyle name="20% - Accent4 4 4" xfId="4740" xr:uid="{00000000-0005-0000-0000-000088120000}"/>
    <cellStyle name="20% - Accent4 40" xfId="4741" xr:uid="{00000000-0005-0000-0000-000089120000}"/>
    <cellStyle name="20% - Accent4 41" xfId="4742" xr:uid="{00000000-0005-0000-0000-00008A120000}"/>
    <cellStyle name="20% - Accent4 42" xfId="4743" xr:uid="{00000000-0005-0000-0000-00008B120000}"/>
    <cellStyle name="20% - Accent4 43" xfId="4744" xr:uid="{00000000-0005-0000-0000-00008C120000}"/>
    <cellStyle name="20% - Accent4 5" xfId="290" xr:uid="{00000000-0005-0000-0000-000026010000}"/>
    <cellStyle name="20% - Accent4 5 2" xfId="7417" xr:uid="{00000000-0005-0000-0000-0000FD1C0000}"/>
    <cellStyle name="20% - Accent4 5 3" xfId="8921" xr:uid="{00000000-0005-0000-0000-0000DD220000}"/>
    <cellStyle name="20% - Accent4 5 4" xfId="4745" xr:uid="{00000000-0005-0000-0000-00008D120000}"/>
    <cellStyle name="20% - Accent4 6" xfId="291" xr:uid="{00000000-0005-0000-0000-000027010000}"/>
    <cellStyle name="20% - Accent4 6 2" xfId="7418" xr:uid="{00000000-0005-0000-0000-0000FE1C0000}"/>
    <cellStyle name="20% - Accent4 6 3" xfId="8922" xr:uid="{00000000-0005-0000-0000-0000DE220000}"/>
    <cellStyle name="20% - Accent4 6 4" xfId="4746" xr:uid="{00000000-0005-0000-0000-00008E120000}"/>
    <cellStyle name="20% - Accent4 7" xfId="292" xr:uid="{00000000-0005-0000-0000-000028010000}"/>
    <cellStyle name="20% - Accent4 7 2" xfId="7419" xr:uid="{00000000-0005-0000-0000-0000FF1C0000}"/>
    <cellStyle name="20% - Accent4 7 3" xfId="8923" xr:uid="{00000000-0005-0000-0000-0000DF220000}"/>
    <cellStyle name="20% - Accent4 7 4" xfId="4747" xr:uid="{00000000-0005-0000-0000-00008F120000}"/>
    <cellStyle name="20% - Accent4 8" xfId="293" xr:uid="{00000000-0005-0000-0000-000029010000}"/>
    <cellStyle name="20% - Accent4 8 2" xfId="7420" xr:uid="{00000000-0005-0000-0000-0000001D0000}"/>
    <cellStyle name="20% - Accent4 8 3" xfId="8924" xr:uid="{00000000-0005-0000-0000-0000E0220000}"/>
    <cellStyle name="20% - Accent4 8 4" xfId="4748" xr:uid="{00000000-0005-0000-0000-000090120000}"/>
    <cellStyle name="20% - Accent4 9" xfId="4749" xr:uid="{00000000-0005-0000-0000-000091120000}"/>
    <cellStyle name="20% - Accent4 9 2" xfId="12542" xr:uid="{00000000-0005-0000-0000-000002310000}"/>
    <cellStyle name="20% - Accent5 10" xfId="4750" xr:uid="{00000000-0005-0000-0000-000092120000}"/>
    <cellStyle name="20% - Accent5 10 2" xfId="12543" xr:uid="{00000000-0005-0000-0000-000003310000}"/>
    <cellStyle name="20% - Accent5 11" xfId="4751" xr:uid="{00000000-0005-0000-0000-000093120000}"/>
    <cellStyle name="20% - Accent5 11 2" xfId="12544" xr:uid="{00000000-0005-0000-0000-000004310000}"/>
    <cellStyle name="20% - Accent5 12" xfId="4752" xr:uid="{00000000-0005-0000-0000-000094120000}"/>
    <cellStyle name="20% - Accent5 13" xfId="4753" xr:uid="{00000000-0005-0000-0000-000095120000}"/>
    <cellStyle name="20% - Accent5 14" xfId="4754" xr:uid="{00000000-0005-0000-0000-000096120000}"/>
    <cellStyle name="20% - Accent5 15" xfId="4755" xr:uid="{00000000-0005-0000-0000-000097120000}"/>
    <cellStyle name="20% - Accent5 16" xfId="4756" xr:uid="{00000000-0005-0000-0000-000098120000}"/>
    <cellStyle name="20% - Accent5 17" xfId="4757" xr:uid="{00000000-0005-0000-0000-000099120000}"/>
    <cellStyle name="20% - Accent5 18" xfId="4758" xr:uid="{00000000-0005-0000-0000-00009A120000}"/>
    <cellStyle name="20% - Accent5 19" xfId="4759" xr:uid="{00000000-0005-0000-0000-00009B120000}"/>
    <cellStyle name="20% - Accent5 2" xfId="38" xr:uid="{00000000-0005-0000-0000-00002A000000}"/>
    <cellStyle name="20% - Accent5 2 10" xfId="294" xr:uid="{00000000-0005-0000-0000-00002A010000}"/>
    <cellStyle name="20% - Accent5 2 11" xfId="295" xr:uid="{00000000-0005-0000-0000-00002B010000}"/>
    <cellStyle name="20% - Accent5 2 12" xfId="296" xr:uid="{00000000-0005-0000-0000-00002C010000}"/>
    <cellStyle name="20% - Accent5 2 13" xfId="297" xr:uid="{00000000-0005-0000-0000-00002D010000}"/>
    <cellStyle name="20% - Accent5 2 14" xfId="298" xr:uid="{00000000-0005-0000-0000-00002E010000}"/>
    <cellStyle name="20% - Accent5 2 15" xfId="299" xr:uid="{00000000-0005-0000-0000-00002F010000}"/>
    <cellStyle name="20% - Accent5 2 2" xfId="300" xr:uid="{00000000-0005-0000-0000-000030010000}"/>
    <cellStyle name="20% - Accent5 2 3" xfId="301" xr:uid="{00000000-0005-0000-0000-000031010000}"/>
    <cellStyle name="20% - Accent5 2 4" xfId="302" xr:uid="{00000000-0005-0000-0000-000032010000}"/>
    <cellStyle name="20% - Accent5 2 5" xfId="303" xr:uid="{00000000-0005-0000-0000-000033010000}"/>
    <cellStyle name="20% - Accent5 2 6" xfId="304" xr:uid="{00000000-0005-0000-0000-000034010000}"/>
    <cellStyle name="20% - Accent5 2 7" xfId="305" xr:uid="{00000000-0005-0000-0000-000035010000}"/>
    <cellStyle name="20% - Accent5 2 8" xfId="306" xr:uid="{00000000-0005-0000-0000-000036010000}"/>
    <cellStyle name="20% - Accent5 2 9" xfId="307" xr:uid="{00000000-0005-0000-0000-000037010000}"/>
    <cellStyle name="20% - Accent5 20" xfId="4760" xr:uid="{00000000-0005-0000-0000-00009C120000}"/>
    <cellStyle name="20% - Accent5 21" xfId="4761" xr:uid="{00000000-0005-0000-0000-00009D120000}"/>
    <cellStyle name="20% - Accent5 22" xfId="4762" xr:uid="{00000000-0005-0000-0000-00009E120000}"/>
    <cellStyle name="20% - Accent5 23" xfId="4763" xr:uid="{00000000-0005-0000-0000-00009F120000}"/>
    <cellStyle name="20% - Accent5 24" xfId="4764" xr:uid="{00000000-0005-0000-0000-0000A0120000}"/>
    <cellStyle name="20% - Accent5 25" xfId="4765" xr:uid="{00000000-0005-0000-0000-0000A1120000}"/>
    <cellStyle name="20% - Accent5 26" xfId="4766" xr:uid="{00000000-0005-0000-0000-0000A2120000}"/>
    <cellStyle name="20% - Accent5 27" xfId="4767" xr:uid="{00000000-0005-0000-0000-0000A3120000}"/>
    <cellStyle name="20% - Accent5 28" xfId="4768" xr:uid="{00000000-0005-0000-0000-0000A4120000}"/>
    <cellStyle name="20% - Accent5 29" xfId="4769" xr:uid="{00000000-0005-0000-0000-0000A5120000}"/>
    <cellStyle name="20% - Accent5 3" xfId="39" xr:uid="{00000000-0005-0000-0000-00002B000000}"/>
    <cellStyle name="20% - Accent5 3 2" xfId="4770" xr:uid="{00000000-0005-0000-0000-0000A6120000}"/>
    <cellStyle name="20% - Accent5 30" xfId="4771" xr:uid="{00000000-0005-0000-0000-0000A7120000}"/>
    <cellStyle name="20% - Accent5 31" xfId="4772" xr:uid="{00000000-0005-0000-0000-0000A8120000}"/>
    <cellStyle name="20% - Accent5 32" xfId="4773" xr:uid="{00000000-0005-0000-0000-0000A9120000}"/>
    <cellStyle name="20% - Accent5 33" xfId="4774" xr:uid="{00000000-0005-0000-0000-0000AA120000}"/>
    <cellStyle name="20% - Accent5 34" xfId="4775" xr:uid="{00000000-0005-0000-0000-0000AB120000}"/>
    <cellStyle name="20% - Accent5 35" xfId="4776" xr:uid="{00000000-0005-0000-0000-0000AC120000}"/>
    <cellStyle name="20% - Accent5 36" xfId="4777" xr:uid="{00000000-0005-0000-0000-0000AD120000}"/>
    <cellStyle name="20% - Accent5 37" xfId="4778" xr:uid="{00000000-0005-0000-0000-0000AE120000}"/>
    <cellStyle name="20% - Accent5 38" xfId="4779" xr:uid="{00000000-0005-0000-0000-0000AF120000}"/>
    <cellStyle name="20% - Accent5 39" xfId="4780" xr:uid="{00000000-0005-0000-0000-0000B0120000}"/>
    <cellStyle name="20% - Accent5 4" xfId="308" xr:uid="{00000000-0005-0000-0000-000038010000}"/>
    <cellStyle name="20% - Accent5 40" xfId="4781" xr:uid="{00000000-0005-0000-0000-0000B1120000}"/>
    <cellStyle name="20% - Accent5 41" xfId="4782" xr:uid="{00000000-0005-0000-0000-0000B2120000}"/>
    <cellStyle name="20% - Accent5 42" xfId="4783" xr:uid="{00000000-0005-0000-0000-0000B3120000}"/>
    <cellStyle name="20% - Accent5 43" xfId="4784" xr:uid="{00000000-0005-0000-0000-0000B4120000}"/>
    <cellStyle name="20% - Accent5 5" xfId="309" xr:uid="{00000000-0005-0000-0000-000039010000}"/>
    <cellStyle name="20% - Accent5 6" xfId="310" xr:uid="{00000000-0005-0000-0000-00003A010000}"/>
    <cellStyle name="20% - Accent5 7" xfId="311" xr:uid="{00000000-0005-0000-0000-00003B010000}"/>
    <cellStyle name="20% - Accent5 8" xfId="312" xr:uid="{00000000-0005-0000-0000-00003C010000}"/>
    <cellStyle name="20% - Accent5 9" xfId="4785" xr:uid="{00000000-0005-0000-0000-0000B5120000}"/>
    <cellStyle name="20% - Accent5 9 2" xfId="12545" xr:uid="{00000000-0005-0000-0000-000005310000}"/>
    <cellStyle name="20% - Accent6 10" xfId="4786" xr:uid="{00000000-0005-0000-0000-0000B6120000}"/>
    <cellStyle name="20% - Accent6 10 2" xfId="12546" xr:uid="{00000000-0005-0000-0000-000006310000}"/>
    <cellStyle name="20% - Accent6 11" xfId="4787" xr:uid="{00000000-0005-0000-0000-0000B7120000}"/>
    <cellStyle name="20% - Accent6 11 2" xfId="12547" xr:uid="{00000000-0005-0000-0000-000007310000}"/>
    <cellStyle name="20% - Accent6 12" xfId="4788" xr:uid="{00000000-0005-0000-0000-0000B8120000}"/>
    <cellStyle name="20% - Accent6 13" xfId="4789" xr:uid="{00000000-0005-0000-0000-0000B9120000}"/>
    <cellStyle name="20% - Accent6 14" xfId="4790" xr:uid="{00000000-0005-0000-0000-0000BA120000}"/>
    <cellStyle name="20% - Accent6 15" xfId="4791" xr:uid="{00000000-0005-0000-0000-0000BB120000}"/>
    <cellStyle name="20% - Accent6 16" xfId="4792" xr:uid="{00000000-0005-0000-0000-0000BC120000}"/>
    <cellStyle name="20% - Accent6 17" xfId="4793" xr:uid="{00000000-0005-0000-0000-0000BD120000}"/>
    <cellStyle name="20% - Accent6 18" xfId="4794" xr:uid="{00000000-0005-0000-0000-0000BE120000}"/>
    <cellStyle name="20% - Accent6 19" xfId="4795" xr:uid="{00000000-0005-0000-0000-0000BF120000}"/>
    <cellStyle name="20% - Accent6 2" xfId="40" xr:uid="{00000000-0005-0000-0000-00002C000000}"/>
    <cellStyle name="20% - Accent6 2 10" xfId="313" xr:uid="{00000000-0005-0000-0000-00003D010000}"/>
    <cellStyle name="20% - Accent6 2 11" xfId="314" xr:uid="{00000000-0005-0000-0000-00003E010000}"/>
    <cellStyle name="20% - Accent6 2 12" xfId="315" xr:uid="{00000000-0005-0000-0000-00003F010000}"/>
    <cellStyle name="20% - Accent6 2 13" xfId="316" xr:uid="{00000000-0005-0000-0000-000040010000}"/>
    <cellStyle name="20% - Accent6 2 14" xfId="317" xr:uid="{00000000-0005-0000-0000-000041010000}"/>
    <cellStyle name="20% - Accent6 2 15" xfId="318" xr:uid="{00000000-0005-0000-0000-000042010000}"/>
    <cellStyle name="20% - Accent6 2 16" xfId="12548" xr:uid="{00000000-0005-0000-0000-000008310000}"/>
    <cellStyle name="20% - Accent6 2 2" xfId="319" xr:uid="{00000000-0005-0000-0000-000043010000}"/>
    <cellStyle name="20% - Accent6 2 3" xfId="320" xr:uid="{00000000-0005-0000-0000-000044010000}"/>
    <cellStyle name="20% - Accent6 2 4" xfId="321" xr:uid="{00000000-0005-0000-0000-000045010000}"/>
    <cellStyle name="20% - Accent6 2 5" xfId="322" xr:uid="{00000000-0005-0000-0000-000046010000}"/>
    <cellStyle name="20% - Accent6 2 6" xfId="323" xr:uid="{00000000-0005-0000-0000-000047010000}"/>
    <cellStyle name="20% - Accent6 2 7" xfId="324" xr:uid="{00000000-0005-0000-0000-000048010000}"/>
    <cellStyle name="20% - Accent6 2 8" xfId="325" xr:uid="{00000000-0005-0000-0000-000049010000}"/>
    <cellStyle name="20% - Accent6 2 9" xfId="326" xr:uid="{00000000-0005-0000-0000-00004A010000}"/>
    <cellStyle name="20% - Accent6 20" xfId="4796" xr:uid="{00000000-0005-0000-0000-0000C0120000}"/>
    <cellStyle name="20% - Accent6 21" xfId="4797" xr:uid="{00000000-0005-0000-0000-0000C1120000}"/>
    <cellStyle name="20% - Accent6 22" xfId="4798" xr:uid="{00000000-0005-0000-0000-0000C2120000}"/>
    <cellStyle name="20% - Accent6 23" xfId="4799" xr:uid="{00000000-0005-0000-0000-0000C3120000}"/>
    <cellStyle name="20% - Accent6 24" xfId="4800" xr:uid="{00000000-0005-0000-0000-0000C4120000}"/>
    <cellStyle name="20% - Accent6 25" xfId="4801" xr:uid="{00000000-0005-0000-0000-0000C5120000}"/>
    <cellStyle name="20% - Accent6 26" xfId="4802" xr:uid="{00000000-0005-0000-0000-0000C6120000}"/>
    <cellStyle name="20% - Accent6 27" xfId="4803" xr:uid="{00000000-0005-0000-0000-0000C7120000}"/>
    <cellStyle name="20% - Accent6 28" xfId="4804" xr:uid="{00000000-0005-0000-0000-0000C8120000}"/>
    <cellStyle name="20% - Accent6 29" xfId="4805" xr:uid="{00000000-0005-0000-0000-0000C9120000}"/>
    <cellStyle name="20% - Accent6 3" xfId="41" xr:uid="{00000000-0005-0000-0000-00002D000000}"/>
    <cellStyle name="20% - Accent6 3 2" xfId="327" xr:uid="{00000000-0005-0000-0000-00004B010000}"/>
    <cellStyle name="20% - Accent6 3 2 2" xfId="12549" xr:uid="{00000000-0005-0000-0000-000009310000}"/>
    <cellStyle name="20% - Accent6 3 2 3" xfId="4806" xr:uid="{00000000-0005-0000-0000-0000CA120000}"/>
    <cellStyle name="20% - Accent6 3 3" xfId="7421" xr:uid="{00000000-0005-0000-0000-0000011D0000}"/>
    <cellStyle name="20% - Accent6 3 4" xfId="8810" xr:uid="{00000000-0005-0000-0000-00006E220000}"/>
    <cellStyle name="20% - Accent6 30" xfId="4807" xr:uid="{00000000-0005-0000-0000-0000CB120000}"/>
    <cellStyle name="20% - Accent6 31" xfId="4808" xr:uid="{00000000-0005-0000-0000-0000CC120000}"/>
    <cellStyle name="20% - Accent6 32" xfId="4809" xr:uid="{00000000-0005-0000-0000-0000CD120000}"/>
    <cellStyle name="20% - Accent6 33" xfId="4810" xr:uid="{00000000-0005-0000-0000-0000CE120000}"/>
    <cellStyle name="20% - Accent6 34" xfId="4811" xr:uid="{00000000-0005-0000-0000-0000CF120000}"/>
    <cellStyle name="20% - Accent6 35" xfId="4812" xr:uid="{00000000-0005-0000-0000-0000D0120000}"/>
    <cellStyle name="20% - Accent6 36" xfId="4813" xr:uid="{00000000-0005-0000-0000-0000D1120000}"/>
    <cellStyle name="20% - Accent6 37" xfId="4814" xr:uid="{00000000-0005-0000-0000-0000D2120000}"/>
    <cellStyle name="20% - Accent6 38" xfId="4815" xr:uid="{00000000-0005-0000-0000-0000D3120000}"/>
    <cellStyle name="20% - Accent6 39" xfId="4816" xr:uid="{00000000-0005-0000-0000-0000D4120000}"/>
    <cellStyle name="20% - Accent6 4" xfId="328" xr:uid="{00000000-0005-0000-0000-00004C010000}"/>
    <cellStyle name="20% - Accent6 4 2" xfId="7422" xr:uid="{00000000-0005-0000-0000-0000021D0000}"/>
    <cellStyle name="20% - Accent6 4 3" xfId="8925" xr:uid="{00000000-0005-0000-0000-0000E1220000}"/>
    <cellStyle name="20% - Accent6 4 4" xfId="4817" xr:uid="{00000000-0005-0000-0000-0000D5120000}"/>
    <cellStyle name="20% - Accent6 40" xfId="4818" xr:uid="{00000000-0005-0000-0000-0000D6120000}"/>
    <cellStyle name="20% - Accent6 41" xfId="4819" xr:uid="{00000000-0005-0000-0000-0000D7120000}"/>
    <cellStyle name="20% - Accent6 42" xfId="4820" xr:uid="{00000000-0005-0000-0000-0000D8120000}"/>
    <cellStyle name="20% - Accent6 43" xfId="4821" xr:uid="{00000000-0005-0000-0000-0000D9120000}"/>
    <cellStyle name="20% - Accent6 44" xfId="4822" xr:uid="{00000000-0005-0000-0000-0000DA120000}"/>
    <cellStyle name="20% - Accent6 44 2" xfId="7924" xr:uid="{00000000-0005-0000-0000-0000F81E0000}"/>
    <cellStyle name="20% - Accent6 44 2 2" xfId="8343" xr:uid="{00000000-0005-0000-0000-00009B200000}"/>
    <cellStyle name="20% - Accent6 44 2 2 2" xfId="10205" xr:uid="{00000000-0005-0000-0000-0000E1270000}"/>
    <cellStyle name="20% - Accent6 44 2 2 2 2" xfId="18433" xr:uid="{00000000-0005-0000-0000-000005480000}"/>
    <cellStyle name="20% - Accent6 44 2 2 2 2 2" xfId="24945" xr:uid="{00000000-0005-0000-0000-000075610000}"/>
    <cellStyle name="20% - Accent6 44 2 2 2 3" xfId="22110" xr:uid="{00000000-0005-0000-0000-000062560000}"/>
    <cellStyle name="20% - Accent6 44 2 2 3" xfId="17023" xr:uid="{00000000-0005-0000-0000-000083420000}"/>
    <cellStyle name="20% - Accent6 44 2 2 3 2" xfId="23680" xr:uid="{00000000-0005-0000-0000-0000845C0000}"/>
    <cellStyle name="20% - Accent6 44 2 2 4" xfId="20548" xr:uid="{00000000-0005-0000-0000-000048500000}"/>
    <cellStyle name="20% - Accent6 44 2 3" xfId="8927" xr:uid="{00000000-0005-0000-0000-0000E3220000}"/>
    <cellStyle name="20% - Accent6 44 2 3 2" xfId="10394" xr:uid="{00000000-0005-0000-0000-00009E280000}"/>
    <cellStyle name="20% - Accent6 44 2 3 2 2" xfId="18622" xr:uid="{00000000-0005-0000-0000-0000C2480000}"/>
    <cellStyle name="20% - Accent6 44 2 3 2 2 2" xfId="25134" xr:uid="{00000000-0005-0000-0000-000032620000}"/>
    <cellStyle name="20% - Accent6 44 2 3 2 3" xfId="22299" xr:uid="{00000000-0005-0000-0000-00001F570000}"/>
    <cellStyle name="20% - Accent6 44 2 3 3" xfId="17280" xr:uid="{00000000-0005-0000-0000-000084430000}"/>
    <cellStyle name="20% - Accent6 44 2 3 3 2" xfId="23876" xr:uid="{00000000-0005-0000-0000-0000485D0000}"/>
    <cellStyle name="20% - Accent6 44 2 3 4" xfId="20958" xr:uid="{00000000-0005-0000-0000-0000E2510000}"/>
    <cellStyle name="20% - Accent6 44 2 4" xfId="9787" xr:uid="{00000000-0005-0000-0000-00003F260000}"/>
    <cellStyle name="20% - Accent6 44 2 4 2" xfId="18015" xr:uid="{00000000-0005-0000-0000-000063460000}"/>
    <cellStyle name="20% - Accent6 44 2 4 2 2" xfId="24527" xr:uid="{00000000-0005-0000-0000-0000D35F0000}"/>
    <cellStyle name="20% - Accent6 44 2 4 3" xfId="21692" xr:uid="{00000000-0005-0000-0000-0000C0540000}"/>
    <cellStyle name="20% - Accent6 44 2 5" xfId="10799" xr:uid="{00000000-0005-0000-0000-0000332A0000}"/>
    <cellStyle name="20% - Accent6 44 2 5 2" xfId="22703" xr:uid="{00000000-0005-0000-0000-0000B3580000}"/>
    <cellStyle name="20% - Accent6 44 2 6" xfId="20130" xr:uid="{00000000-0005-0000-0000-0000A64E0000}"/>
    <cellStyle name="20% - Accent6 44 3" xfId="8134" xr:uid="{00000000-0005-0000-0000-0000CA1F0000}"/>
    <cellStyle name="20% - Accent6 44 3 2" xfId="9996" xr:uid="{00000000-0005-0000-0000-000010270000}"/>
    <cellStyle name="20% - Accent6 44 3 2 2" xfId="18224" xr:uid="{00000000-0005-0000-0000-000034470000}"/>
    <cellStyle name="20% - Accent6 44 3 2 2 2" xfId="24736" xr:uid="{00000000-0005-0000-0000-0000A4600000}"/>
    <cellStyle name="20% - Accent6 44 3 2 3" xfId="21901" xr:uid="{00000000-0005-0000-0000-000091550000}"/>
    <cellStyle name="20% - Accent6 44 3 3" xfId="16824" xr:uid="{00000000-0005-0000-0000-0000BC410000}"/>
    <cellStyle name="20% - Accent6 44 3 3 2" xfId="23483" xr:uid="{00000000-0005-0000-0000-0000BF5B0000}"/>
    <cellStyle name="20% - Accent6 44 3 4" xfId="20339" xr:uid="{00000000-0005-0000-0000-0000774F0000}"/>
    <cellStyle name="20% - Accent6 44 4" xfId="8926" xr:uid="{00000000-0005-0000-0000-0000E2220000}"/>
    <cellStyle name="20% - Accent6 44 4 2" xfId="10393" xr:uid="{00000000-0005-0000-0000-00009D280000}"/>
    <cellStyle name="20% - Accent6 44 4 2 2" xfId="18621" xr:uid="{00000000-0005-0000-0000-0000C1480000}"/>
    <cellStyle name="20% - Accent6 44 4 2 2 2" xfId="25133" xr:uid="{00000000-0005-0000-0000-000031620000}"/>
    <cellStyle name="20% - Accent6 44 4 2 3" xfId="22298" xr:uid="{00000000-0005-0000-0000-00001E570000}"/>
    <cellStyle name="20% - Accent6 44 4 3" xfId="17279" xr:uid="{00000000-0005-0000-0000-000083430000}"/>
    <cellStyle name="20% - Accent6 44 4 3 2" xfId="23875" xr:uid="{00000000-0005-0000-0000-0000475D0000}"/>
    <cellStyle name="20% - Accent6 44 4 4" xfId="20957" xr:uid="{00000000-0005-0000-0000-0000E1510000}"/>
    <cellStyle name="20% - Accent6 44 5" xfId="9578" xr:uid="{00000000-0005-0000-0000-00006E250000}"/>
    <cellStyle name="20% - Accent6 44 5 2" xfId="17806" xr:uid="{00000000-0005-0000-0000-000092450000}"/>
    <cellStyle name="20% - Accent6 44 5 2 2" xfId="24318" xr:uid="{00000000-0005-0000-0000-0000025F0000}"/>
    <cellStyle name="20% - Accent6 44 5 3" xfId="21483" xr:uid="{00000000-0005-0000-0000-0000EF530000}"/>
    <cellStyle name="20% - Accent6 44 6" xfId="10798" xr:uid="{00000000-0005-0000-0000-0000322A0000}"/>
    <cellStyle name="20% - Accent6 44 6 2" xfId="22702" xr:uid="{00000000-0005-0000-0000-0000B2580000}"/>
    <cellStyle name="20% - Accent6 44 7" xfId="19654" xr:uid="{00000000-0005-0000-0000-0000CA4C0000}"/>
    <cellStyle name="20% - Accent6 5" xfId="329" xr:uid="{00000000-0005-0000-0000-00004D010000}"/>
    <cellStyle name="20% - Accent6 5 2" xfId="7423" xr:uid="{00000000-0005-0000-0000-0000031D0000}"/>
    <cellStyle name="20% - Accent6 5 3" xfId="8928" xr:uid="{00000000-0005-0000-0000-0000E4220000}"/>
    <cellStyle name="20% - Accent6 5 4" xfId="4823" xr:uid="{00000000-0005-0000-0000-0000DB120000}"/>
    <cellStyle name="20% - Accent6 6" xfId="330" xr:uid="{00000000-0005-0000-0000-00004E010000}"/>
    <cellStyle name="20% - Accent6 6 2" xfId="7424" xr:uid="{00000000-0005-0000-0000-0000041D0000}"/>
    <cellStyle name="20% - Accent6 6 3" xfId="8929" xr:uid="{00000000-0005-0000-0000-0000E5220000}"/>
    <cellStyle name="20% - Accent6 6 4" xfId="4824" xr:uid="{00000000-0005-0000-0000-0000DC120000}"/>
    <cellStyle name="20% - Accent6 7" xfId="331" xr:uid="{00000000-0005-0000-0000-00004F010000}"/>
    <cellStyle name="20% - Accent6 7 2" xfId="7425" xr:uid="{00000000-0005-0000-0000-0000051D0000}"/>
    <cellStyle name="20% - Accent6 7 3" xfId="8930" xr:uid="{00000000-0005-0000-0000-0000E6220000}"/>
    <cellStyle name="20% - Accent6 7 4" xfId="4825" xr:uid="{00000000-0005-0000-0000-0000DD120000}"/>
    <cellStyle name="20% - Accent6 8" xfId="332" xr:uid="{00000000-0005-0000-0000-000050010000}"/>
    <cellStyle name="20% - Accent6 8 2" xfId="7426" xr:uid="{00000000-0005-0000-0000-0000061D0000}"/>
    <cellStyle name="20% - Accent6 8 3" xfId="8931" xr:uid="{00000000-0005-0000-0000-0000E7220000}"/>
    <cellStyle name="20% - Accent6 8 4" xfId="4826" xr:uid="{00000000-0005-0000-0000-0000DE120000}"/>
    <cellStyle name="20% - Accent6 9" xfId="4827" xr:uid="{00000000-0005-0000-0000-0000DF120000}"/>
    <cellStyle name="20% - Accent6 9 2" xfId="12550" xr:uid="{00000000-0005-0000-0000-00000A310000}"/>
    <cellStyle name="20% - Akzent1" xfId="4828" xr:uid="{00000000-0005-0000-0000-0000E0120000}"/>
    <cellStyle name="20% - Akzent2" xfId="4829" xr:uid="{00000000-0005-0000-0000-0000E1120000}"/>
    <cellStyle name="20% - Akzent3" xfId="4830" xr:uid="{00000000-0005-0000-0000-0000E2120000}"/>
    <cellStyle name="20% - Akzent4" xfId="4831" xr:uid="{00000000-0005-0000-0000-0000E3120000}"/>
    <cellStyle name="20% - Akzent5" xfId="4832" xr:uid="{00000000-0005-0000-0000-0000E4120000}"/>
    <cellStyle name="20% - Akzent6" xfId="4833" xr:uid="{00000000-0005-0000-0000-0000E5120000}"/>
    <cellStyle name="2x indented GHG Textfiels" xfId="4834" xr:uid="{00000000-0005-0000-0000-0000E6120000}"/>
    <cellStyle name="40% - Accent1 10" xfId="4835" xr:uid="{00000000-0005-0000-0000-0000E7120000}"/>
    <cellStyle name="40% - Accent1 10 2" xfId="12551" xr:uid="{00000000-0005-0000-0000-00000B310000}"/>
    <cellStyle name="40% - Accent1 11" xfId="4836" xr:uid="{00000000-0005-0000-0000-0000E8120000}"/>
    <cellStyle name="40% - Accent1 11 2" xfId="12552" xr:uid="{00000000-0005-0000-0000-00000C310000}"/>
    <cellStyle name="40% - Accent1 12" xfId="4837" xr:uid="{00000000-0005-0000-0000-0000E9120000}"/>
    <cellStyle name="40% - Accent1 13" xfId="4838" xr:uid="{00000000-0005-0000-0000-0000EA120000}"/>
    <cellStyle name="40% - Accent1 14" xfId="4839" xr:uid="{00000000-0005-0000-0000-0000EB120000}"/>
    <cellStyle name="40% - Accent1 15" xfId="4840" xr:uid="{00000000-0005-0000-0000-0000EC120000}"/>
    <cellStyle name="40% - Accent1 16" xfId="4841" xr:uid="{00000000-0005-0000-0000-0000ED120000}"/>
    <cellStyle name="40% - Accent1 17" xfId="4842" xr:uid="{00000000-0005-0000-0000-0000EE120000}"/>
    <cellStyle name="40% - Accent1 18" xfId="4843" xr:uid="{00000000-0005-0000-0000-0000EF120000}"/>
    <cellStyle name="40% - Accent1 19" xfId="4844" xr:uid="{00000000-0005-0000-0000-0000F0120000}"/>
    <cellStyle name="40% - Accent1 2" xfId="42" xr:uid="{00000000-0005-0000-0000-00002E000000}"/>
    <cellStyle name="40% - Accent1 2 10" xfId="333" xr:uid="{00000000-0005-0000-0000-000051010000}"/>
    <cellStyle name="40% - Accent1 2 11" xfId="334" xr:uid="{00000000-0005-0000-0000-000052010000}"/>
    <cellStyle name="40% - Accent1 2 12" xfId="335" xr:uid="{00000000-0005-0000-0000-000053010000}"/>
    <cellStyle name="40% - Accent1 2 13" xfId="336" xr:uid="{00000000-0005-0000-0000-000054010000}"/>
    <cellStyle name="40% - Accent1 2 14" xfId="337" xr:uid="{00000000-0005-0000-0000-000055010000}"/>
    <cellStyle name="40% - Accent1 2 15" xfId="338" xr:uid="{00000000-0005-0000-0000-000056010000}"/>
    <cellStyle name="40% - Accent1 2 16" xfId="12553" xr:uid="{00000000-0005-0000-0000-00000D310000}"/>
    <cellStyle name="40% - Accent1 2 2" xfId="339" xr:uid="{00000000-0005-0000-0000-000057010000}"/>
    <cellStyle name="40% - Accent1 2 3" xfId="340" xr:uid="{00000000-0005-0000-0000-000058010000}"/>
    <cellStyle name="40% - Accent1 2 4" xfId="341" xr:uid="{00000000-0005-0000-0000-000059010000}"/>
    <cellStyle name="40% - Accent1 2 5" xfId="342" xr:uid="{00000000-0005-0000-0000-00005A010000}"/>
    <cellStyle name="40% - Accent1 2 6" xfId="343" xr:uid="{00000000-0005-0000-0000-00005B010000}"/>
    <cellStyle name="40% - Accent1 2 7" xfId="344" xr:uid="{00000000-0005-0000-0000-00005C010000}"/>
    <cellStyle name="40% - Accent1 2 8" xfId="345" xr:uid="{00000000-0005-0000-0000-00005D010000}"/>
    <cellStyle name="40% - Accent1 2 9" xfId="346" xr:uid="{00000000-0005-0000-0000-00005E010000}"/>
    <cellStyle name="40% - Accent1 20" xfId="4845" xr:uid="{00000000-0005-0000-0000-0000F1120000}"/>
    <cellStyle name="40% - Accent1 21" xfId="4846" xr:uid="{00000000-0005-0000-0000-0000F2120000}"/>
    <cellStyle name="40% - Accent1 22" xfId="4847" xr:uid="{00000000-0005-0000-0000-0000F3120000}"/>
    <cellStyle name="40% - Accent1 23" xfId="4848" xr:uid="{00000000-0005-0000-0000-0000F4120000}"/>
    <cellStyle name="40% - Accent1 24" xfId="4849" xr:uid="{00000000-0005-0000-0000-0000F5120000}"/>
    <cellStyle name="40% - Accent1 25" xfId="4850" xr:uid="{00000000-0005-0000-0000-0000F6120000}"/>
    <cellStyle name="40% - Accent1 26" xfId="4851" xr:uid="{00000000-0005-0000-0000-0000F7120000}"/>
    <cellStyle name="40% - Accent1 27" xfId="4852" xr:uid="{00000000-0005-0000-0000-0000F8120000}"/>
    <cellStyle name="40% - Accent1 28" xfId="4853" xr:uid="{00000000-0005-0000-0000-0000F9120000}"/>
    <cellStyle name="40% - Accent1 29" xfId="4854" xr:uid="{00000000-0005-0000-0000-0000FA120000}"/>
    <cellStyle name="40% - Accent1 3" xfId="43" xr:uid="{00000000-0005-0000-0000-00002F000000}"/>
    <cellStyle name="40% - Accent1 3 2" xfId="347" xr:uid="{00000000-0005-0000-0000-00005F010000}"/>
    <cellStyle name="40% - Accent1 3 2 2" xfId="12554" xr:uid="{00000000-0005-0000-0000-00000E310000}"/>
    <cellStyle name="40% - Accent1 3 2 3" xfId="4855" xr:uid="{00000000-0005-0000-0000-0000FB120000}"/>
    <cellStyle name="40% - Accent1 3 3" xfId="7427" xr:uid="{00000000-0005-0000-0000-0000071D0000}"/>
    <cellStyle name="40% - Accent1 3 4" xfId="8811" xr:uid="{00000000-0005-0000-0000-00006F220000}"/>
    <cellStyle name="40% - Accent1 30" xfId="4856" xr:uid="{00000000-0005-0000-0000-0000FC120000}"/>
    <cellStyle name="40% - Accent1 31" xfId="4857" xr:uid="{00000000-0005-0000-0000-0000FD120000}"/>
    <cellStyle name="40% - Accent1 32" xfId="4858" xr:uid="{00000000-0005-0000-0000-0000FE120000}"/>
    <cellStyle name="40% - Accent1 33" xfId="4859" xr:uid="{00000000-0005-0000-0000-0000FF120000}"/>
    <cellStyle name="40% - Accent1 34" xfId="4860" xr:uid="{00000000-0005-0000-0000-000000130000}"/>
    <cellStyle name="40% - Accent1 35" xfId="4861" xr:uid="{00000000-0005-0000-0000-000001130000}"/>
    <cellStyle name="40% - Accent1 36" xfId="4862" xr:uid="{00000000-0005-0000-0000-000002130000}"/>
    <cellStyle name="40% - Accent1 37" xfId="4863" xr:uid="{00000000-0005-0000-0000-000003130000}"/>
    <cellStyle name="40% - Accent1 38" xfId="4864" xr:uid="{00000000-0005-0000-0000-000004130000}"/>
    <cellStyle name="40% - Accent1 39" xfId="4865" xr:uid="{00000000-0005-0000-0000-000005130000}"/>
    <cellStyle name="40% - Accent1 4" xfId="348" xr:uid="{00000000-0005-0000-0000-000060010000}"/>
    <cellStyle name="40% - Accent1 4 2" xfId="7428" xr:uid="{00000000-0005-0000-0000-0000081D0000}"/>
    <cellStyle name="40% - Accent1 4 3" xfId="8932" xr:uid="{00000000-0005-0000-0000-0000E8220000}"/>
    <cellStyle name="40% - Accent1 4 4" xfId="4866" xr:uid="{00000000-0005-0000-0000-000006130000}"/>
    <cellStyle name="40% - Accent1 40" xfId="4867" xr:uid="{00000000-0005-0000-0000-000007130000}"/>
    <cellStyle name="40% - Accent1 41" xfId="4868" xr:uid="{00000000-0005-0000-0000-000008130000}"/>
    <cellStyle name="40% - Accent1 42" xfId="4869" xr:uid="{00000000-0005-0000-0000-000009130000}"/>
    <cellStyle name="40% - Accent1 43" xfId="4870" xr:uid="{00000000-0005-0000-0000-00000A130000}"/>
    <cellStyle name="40% - Accent1 5" xfId="349" xr:uid="{00000000-0005-0000-0000-000061010000}"/>
    <cellStyle name="40% - Accent1 5 2" xfId="7429" xr:uid="{00000000-0005-0000-0000-0000091D0000}"/>
    <cellStyle name="40% - Accent1 5 3" xfId="8933" xr:uid="{00000000-0005-0000-0000-0000E9220000}"/>
    <cellStyle name="40% - Accent1 5 4" xfId="4871" xr:uid="{00000000-0005-0000-0000-00000B130000}"/>
    <cellStyle name="40% - Accent1 6" xfId="350" xr:uid="{00000000-0005-0000-0000-000062010000}"/>
    <cellStyle name="40% - Accent1 6 2" xfId="7430" xr:uid="{00000000-0005-0000-0000-00000A1D0000}"/>
    <cellStyle name="40% - Accent1 6 3" xfId="8934" xr:uid="{00000000-0005-0000-0000-0000EA220000}"/>
    <cellStyle name="40% - Accent1 6 4" xfId="4872" xr:uid="{00000000-0005-0000-0000-00000C130000}"/>
    <cellStyle name="40% - Accent1 7" xfId="351" xr:uid="{00000000-0005-0000-0000-000063010000}"/>
    <cellStyle name="40% - Accent1 7 2" xfId="7431" xr:uid="{00000000-0005-0000-0000-00000B1D0000}"/>
    <cellStyle name="40% - Accent1 7 3" xfId="8935" xr:uid="{00000000-0005-0000-0000-0000EB220000}"/>
    <cellStyle name="40% - Accent1 7 4" xfId="4873" xr:uid="{00000000-0005-0000-0000-00000D130000}"/>
    <cellStyle name="40% - Accent1 8" xfId="352" xr:uid="{00000000-0005-0000-0000-000064010000}"/>
    <cellStyle name="40% - Accent1 8 2" xfId="7432" xr:uid="{00000000-0005-0000-0000-00000C1D0000}"/>
    <cellStyle name="40% - Accent1 8 3" xfId="8936" xr:uid="{00000000-0005-0000-0000-0000EC220000}"/>
    <cellStyle name="40% - Accent1 8 4" xfId="4874" xr:uid="{00000000-0005-0000-0000-00000E130000}"/>
    <cellStyle name="40% - Accent1 9" xfId="4875" xr:uid="{00000000-0005-0000-0000-00000F130000}"/>
    <cellStyle name="40% - Accent1 9 2" xfId="12555" xr:uid="{00000000-0005-0000-0000-00000F310000}"/>
    <cellStyle name="40% - Accent2 10" xfId="4876" xr:uid="{00000000-0005-0000-0000-000010130000}"/>
    <cellStyle name="40% - Accent2 10 2" xfId="12556" xr:uid="{00000000-0005-0000-0000-000010310000}"/>
    <cellStyle name="40% - Accent2 11" xfId="4877" xr:uid="{00000000-0005-0000-0000-000011130000}"/>
    <cellStyle name="40% - Accent2 11 2" xfId="12557" xr:uid="{00000000-0005-0000-0000-000011310000}"/>
    <cellStyle name="40% - Accent2 12" xfId="4878" xr:uid="{00000000-0005-0000-0000-000012130000}"/>
    <cellStyle name="40% - Accent2 13" xfId="4879" xr:uid="{00000000-0005-0000-0000-000013130000}"/>
    <cellStyle name="40% - Accent2 14" xfId="4880" xr:uid="{00000000-0005-0000-0000-000014130000}"/>
    <cellStyle name="40% - Accent2 15" xfId="4881" xr:uid="{00000000-0005-0000-0000-000015130000}"/>
    <cellStyle name="40% - Accent2 16" xfId="4882" xr:uid="{00000000-0005-0000-0000-000016130000}"/>
    <cellStyle name="40% - Accent2 17" xfId="4883" xr:uid="{00000000-0005-0000-0000-000017130000}"/>
    <cellStyle name="40% - Accent2 18" xfId="4884" xr:uid="{00000000-0005-0000-0000-000018130000}"/>
    <cellStyle name="40% - Accent2 19" xfId="4885" xr:uid="{00000000-0005-0000-0000-000019130000}"/>
    <cellStyle name="40% - Accent2 2" xfId="44" xr:uid="{00000000-0005-0000-0000-000030000000}"/>
    <cellStyle name="40% - Accent2 2 10" xfId="353" xr:uid="{00000000-0005-0000-0000-000065010000}"/>
    <cellStyle name="40% - Accent2 2 11" xfId="354" xr:uid="{00000000-0005-0000-0000-000066010000}"/>
    <cellStyle name="40% - Accent2 2 12" xfId="355" xr:uid="{00000000-0005-0000-0000-000067010000}"/>
    <cellStyle name="40% - Accent2 2 13" xfId="356" xr:uid="{00000000-0005-0000-0000-000068010000}"/>
    <cellStyle name="40% - Accent2 2 14" xfId="357" xr:uid="{00000000-0005-0000-0000-000069010000}"/>
    <cellStyle name="40% - Accent2 2 15" xfId="358" xr:uid="{00000000-0005-0000-0000-00006A010000}"/>
    <cellStyle name="40% - Accent2 2 2" xfId="359" xr:uid="{00000000-0005-0000-0000-00006B010000}"/>
    <cellStyle name="40% - Accent2 2 3" xfId="360" xr:uid="{00000000-0005-0000-0000-00006C010000}"/>
    <cellStyle name="40% - Accent2 2 4" xfId="361" xr:uid="{00000000-0005-0000-0000-00006D010000}"/>
    <cellStyle name="40% - Accent2 2 5" xfId="362" xr:uid="{00000000-0005-0000-0000-00006E010000}"/>
    <cellStyle name="40% - Accent2 2 6" xfId="363" xr:uid="{00000000-0005-0000-0000-00006F010000}"/>
    <cellStyle name="40% - Accent2 2 7" xfId="364" xr:uid="{00000000-0005-0000-0000-000070010000}"/>
    <cellStyle name="40% - Accent2 2 8" xfId="365" xr:uid="{00000000-0005-0000-0000-000071010000}"/>
    <cellStyle name="40% - Accent2 2 9" xfId="366" xr:uid="{00000000-0005-0000-0000-000072010000}"/>
    <cellStyle name="40% - Accent2 20" xfId="4886" xr:uid="{00000000-0005-0000-0000-00001A130000}"/>
    <cellStyle name="40% - Accent2 21" xfId="4887" xr:uid="{00000000-0005-0000-0000-00001B130000}"/>
    <cellStyle name="40% - Accent2 22" xfId="4888" xr:uid="{00000000-0005-0000-0000-00001C130000}"/>
    <cellStyle name="40% - Accent2 23" xfId="4889" xr:uid="{00000000-0005-0000-0000-00001D130000}"/>
    <cellStyle name="40% - Accent2 24" xfId="4890" xr:uid="{00000000-0005-0000-0000-00001E130000}"/>
    <cellStyle name="40% - Accent2 25" xfId="4891" xr:uid="{00000000-0005-0000-0000-00001F130000}"/>
    <cellStyle name="40% - Accent2 26" xfId="4892" xr:uid="{00000000-0005-0000-0000-000020130000}"/>
    <cellStyle name="40% - Accent2 27" xfId="4893" xr:uid="{00000000-0005-0000-0000-000021130000}"/>
    <cellStyle name="40% - Accent2 28" xfId="4894" xr:uid="{00000000-0005-0000-0000-000022130000}"/>
    <cellStyle name="40% - Accent2 29" xfId="4895" xr:uid="{00000000-0005-0000-0000-000023130000}"/>
    <cellStyle name="40% - Accent2 3" xfId="45" xr:uid="{00000000-0005-0000-0000-000031000000}"/>
    <cellStyle name="40% - Accent2 3 2" xfId="4896" xr:uid="{00000000-0005-0000-0000-000024130000}"/>
    <cellStyle name="40% - Accent2 30" xfId="4897" xr:uid="{00000000-0005-0000-0000-000025130000}"/>
    <cellStyle name="40% - Accent2 31" xfId="4898" xr:uid="{00000000-0005-0000-0000-000026130000}"/>
    <cellStyle name="40% - Accent2 32" xfId="4899" xr:uid="{00000000-0005-0000-0000-000027130000}"/>
    <cellStyle name="40% - Accent2 33" xfId="4900" xr:uid="{00000000-0005-0000-0000-000028130000}"/>
    <cellStyle name="40% - Accent2 34" xfId="4901" xr:uid="{00000000-0005-0000-0000-000029130000}"/>
    <cellStyle name="40% - Accent2 35" xfId="4902" xr:uid="{00000000-0005-0000-0000-00002A130000}"/>
    <cellStyle name="40% - Accent2 36" xfId="4903" xr:uid="{00000000-0005-0000-0000-00002B130000}"/>
    <cellStyle name="40% - Accent2 37" xfId="4904" xr:uid="{00000000-0005-0000-0000-00002C130000}"/>
    <cellStyle name="40% - Accent2 38" xfId="4905" xr:uid="{00000000-0005-0000-0000-00002D130000}"/>
    <cellStyle name="40% - Accent2 39" xfId="4906" xr:uid="{00000000-0005-0000-0000-00002E130000}"/>
    <cellStyle name="40% - Accent2 4" xfId="367" xr:uid="{00000000-0005-0000-0000-000073010000}"/>
    <cellStyle name="40% - Accent2 40" xfId="4907" xr:uid="{00000000-0005-0000-0000-00002F130000}"/>
    <cellStyle name="40% - Accent2 41" xfId="4908" xr:uid="{00000000-0005-0000-0000-000030130000}"/>
    <cellStyle name="40% - Accent2 42" xfId="4909" xr:uid="{00000000-0005-0000-0000-000031130000}"/>
    <cellStyle name="40% - Accent2 43" xfId="4910" xr:uid="{00000000-0005-0000-0000-000032130000}"/>
    <cellStyle name="40% - Accent2 5" xfId="368" xr:uid="{00000000-0005-0000-0000-000074010000}"/>
    <cellStyle name="40% - Accent2 6" xfId="369" xr:uid="{00000000-0005-0000-0000-000075010000}"/>
    <cellStyle name="40% - Accent2 7" xfId="370" xr:uid="{00000000-0005-0000-0000-000076010000}"/>
    <cellStyle name="40% - Accent2 8" xfId="371" xr:uid="{00000000-0005-0000-0000-000077010000}"/>
    <cellStyle name="40% - Accent2 9" xfId="4911" xr:uid="{00000000-0005-0000-0000-000033130000}"/>
    <cellStyle name="40% - Accent2 9 2" xfId="12558" xr:uid="{00000000-0005-0000-0000-000012310000}"/>
    <cellStyle name="40% - Accent3 10" xfId="4912" xr:uid="{00000000-0005-0000-0000-000034130000}"/>
    <cellStyle name="40% - Accent3 10 2" xfId="12559" xr:uid="{00000000-0005-0000-0000-000013310000}"/>
    <cellStyle name="40% - Accent3 11" xfId="4913" xr:uid="{00000000-0005-0000-0000-000035130000}"/>
    <cellStyle name="40% - Accent3 11 2" xfId="12560" xr:uid="{00000000-0005-0000-0000-000014310000}"/>
    <cellStyle name="40% - Accent3 12" xfId="4914" xr:uid="{00000000-0005-0000-0000-000036130000}"/>
    <cellStyle name="40% - Accent3 13" xfId="4915" xr:uid="{00000000-0005-0000-0000-000037130000}"/>
    <cellStyle name="40% - Accent3 14" xfId="4916" xr:uid="{00000000-0005-0000-0000-000038130000}"/>
    <cellStyle name="40% - Accent3 15" xfId="4917" xr:uid="{00000000-0005-0000-0000-000039130000}"/>
    <cellStyle name="40% - Accent3 16" xfId="4918" xr:uid="{00000000-0005-0000-0000-00003A130000}"/>
    <cellStyle name="40% - Accent3 17" xfId="4919" xr:uid="{00000000-0005-0000-0000-00003B130000}"/>
    <cellStyle name="40% - Accent3 18" xfId="4920" xr:uid="{00000000-0005-0000-0000-00003C130000}"/>
    <cellStyle name="40% - Accent3 19" xfId="4921" xr:uid="{00000000-0005-0000-0000-00003D130000}"/>
    <cellStyle name="40% - Accent3 2" xfId="46" xr:uid="{00000000-0005-0000-0000-000032000000}"/>
    <cellStyle name="40% - Accent3 2 10" xfId="372" xr:uid="{00000000-0005-0000-0000-000078010000}"/>
    <cellStyle name="40% - Accent3 2 11" xfId="373" xr:uid="{00000000-0005-0000-0000-000079010000}"/>
    <cellStyle name="40% - Accent3 2 12" xfId="374" xr:uid="{00000000-0005-0000-0000-00007A010000}"/>
    <cellStyle name="40% - Accent3 2 13" xfId="375" xr:uid="{00000000-0005-0000-0000-00007B010000}"/>
    <cellStyle name="40% - Accent3 2 14" xfId="376" xr:uid="{00000000-0005-0000-0000-00007C010000}"/>
    <cellStyle name="40% - Accent3 2 15" xfId="377" xr:uid="{00000000-0005-0000-0000-00007D010000}"/>
    <cellStyle name="40% - Accent3 2 16" xfId="12561" xr:uid="{00000000-0005-0000-0000-000015310000}"/>
    <cellStyle name="40% - Accent3 2 2" xfId="378" xr:uid="{00000000-0005-0000-0000-00007E010000}"/>
    <cellStyle name="40% - Accent3 2 3" xfId="379" xr:uid="{00000000-0005-0000-0000-00007F010000}"/>
    <cellStyle name="40% - Accent3 2 4" xfId="380" xr:uid="{00000000-0005-0000-0000-000080010000}"/>
    <cellStyle name="40% - Accent3 2 5" xfId="381" xr:uid="{00000000-0005-0000-0000-000081010000}"/>
    <cellStyle name="40% - Accent3 2 6" xfId="382" xr:uid="{00000000-0005-0000-0000-000082010000}"/>
    <cellStyle name="40% - Accent3 2 7" xfId="383" xr:uid="{00000000-0005-0000-0000-000083010000}"/>
    <cellStyle name="40% - Accent3 2 8" xfId="384" xr:uid="{00000000-0005-0000-0000-000084010000}"/>
    <cellStyle name="40% - Accent3 2 9" xfId="385" xr:uid="{00000000-0005-0000-0000-000085010000}"/>
    <cellStyle name="40% - Accent3 20" xfId="4922" xr:uid="{00000000-0005-0000-0000-00003E130000}"/>
    <cellStyle name="40% - Accent3 21" xfId="4923" xr:uid="{00000000-0005-0000-0000-00003F130000}"/>
    <cellStyle name="40% - Accent3 22" xfId="4924" xr:uid="{00000000-0005-0000-0000-000040130000}"/>
    <cellStyle name="40% - Accent3 23" xfId="4925" xr:uid="{00000000-0005-0000-0000-000041130000}"/>
    <cellStyle name="40% - Accent3 24" xfId="4926" xr:uid="{00000000-0005-0000-0000-000042130000}"/>
    <cellStyle name="40% - Accent3 25" xfId="4927" xr:uid="{00000000-0005-0000-0000-000043130000}"/>
    <cellStyle name="40% - Accent3 26" xfId="4928" xr:uid="{00000000-0005-0000-0000-000044130000}"/>
    <cellStyle name="40% - Accent3 27" xfId="4929" xr:uid="{00000000-0005-0000-0000-000045130000}"/>
    <cellStyle name="40% - Accent3 28" xfId="4930" xr:uid="{00000000-0005-0000-0000-000046130000}"/>
    <cellStyle name="40% - Accent3 29" xfId="4931" xr:uid="{00000000-0005-0000-0000-000047130000}"/>
    <cellStyle name="40% - Accent3 3" xfId="47" xr:uid="{00000000-0005-0000-0000-000033000000}"/>
    <cellStyle name="40% - Accent3 3 2" xfId="386" xr:uid="{00000000-0005-0000-0000-000086010000}"/>
    <cellStyle name="40% - Accent3 3 2 2" xfId="12562" xr:uid="{00000000-0005-0000-0000-000016310000}"/>
    <cellStyle name="40% - Accent3 3 2 3" xfId="4932" xr:uid="{00000000-0005-0000-0000-000048130000}"/>
    <cellStyle name="40% - Accent3 3 3" xfId="7433" xr:uid="{00000000-0005-0000-0000-00000D1D0000}"/>
    <cellStyle name="40% - Accent3 3 4" xfId="8812" xr:uid="{00000000-0005-0000-0000-000070220000}"/>
    <cellStyle name="40% - Accent3 30" xfId="4933" xr:uid="{00000000-0005-0000-0000-000049130000}"/>
    <cellStyle name="40% - Accent3 31" xfId="4934" xr:uid="{00000000-0005-0000-0000-00004A130000}"/>
    <cellStyle name="40% - Accent3 32" xfId="4935" xr:uid="{00000000-0005-0000-0000-00004B130000}"/>
    <cellStyle name="40% - Accent3 33" xfId="4936" xr:uid="{00000000-0005-0000-0000-00004C130000}"/>
    <cellStyle name="40% - Accent3 34" xfId="4937" xr:uid="{00000000-0005-0000-0000-00004D130000}"/>
    <cellStyle name="40% - Accent3 35" xfId="4938" xr:uid="{00000000-0005-0000-0000-00004E130000}"/>
    <cellStyle name="40% - Accent3 36" xfId="4939" xr:uid="{00000000-0005-0000-0000-00004F130000}"/>
    <cellStyle name="40% - Accent3 37" xfId="4940" xr:uid="{00000000-0005-0000-0000-000050130000}"/>
    <cellStyle name="40% - Accent3 38" xfId="4941" xr:uid="{00000000-0005-0000-0000-000051130000}"/>
    <cellStyle name="40% - Accent3 39" xfId="4942" xr:uid="{00000000-0005-0000-0000-000052130000}"/>
    <cellStyle name="40% - Accent3 4" xfId="387" xr:uid="{00000000-0005-0000-0000-000087010000}"/>
    <cellStyle name="40% - Accent3 4 2" xfId="7434" xr:uid="{00000000-0005-0000-0000-00000E1D0000}"/>
    <cellStyle name="40% - Accent3 4 3" xfId="8937" xr:uid="{00000000-0005-0000-0000-0000ED220000}"/>
    <cellStyle name="40% - Accent3 4 4" xfId="4943" xr:uid="{00000000-0005-0000-0000-000053130000}"/>
    <cellStyle name="40% - Accent3 40" xfId="4944" xr:uid="{00000000-0005-0000-0000-000054130000}"/>
    <cellStyle name="40% - Accent3 41" xfId="4945" xr:uid="{00000000-0005-0000-0000-000055130000}"/>
    <cellStyle name="40% - Accent3 42" xfId="4946" xr:uid="{00000000-0005-0000-0000-000056130000}"/>
    <cellStyle name="40% - Accent3 43" xfId="4947" xr:uid="{00000000-0005-0000-0000-000057130000}"/>
    <cellStyle name="40% - Accent3 5" xfId="388" xr:uid="{00000000-0005-0000-0000-000088010000}"/>
    <cellStyle name="40% - Accent3 5 2" xfId="7435" xr:uid="{00000000-0005-0000-0000-00000F1D0000}"/>
    <cellStyle name="40% - Accent3 5 3" xfId="8938" xr:uid="{00000000-0005-0000-0000-0000EE220000}"/>
    <cellStyle name="40% - Accent3 5 4" xfId="4948" xr:uid="{00000000-0005-0000-0000-000058130000}"/>
    <cellStyle name="40% - Accent3 6" xfId="389" xr:uid="{00000000-0005-0000-0000-000089010000}"/>
    <cellStyle name="40% - Accent3 6 2" xfId="7436" xr:uid="{00000000-0005-0000-0000-0000101D0000}"/>
    <cellStyle name="40% - Accent3 6 3" xfId="8939" xr:uid="{00000000-0005-0000-0000-0000EF220000}"/>
    <cellStyle name="40% - Accent3 6 4" xfId="4949" xr:uid="{00000000-0005-0000-0000-000059130000}"/>
    <cellStyle name="40% - Accent3 7" xfId="390" xr:uid="{00000000-0005-0000-0000-00008A010000}"/>
    <cellStyle name="40% - Accent3 7 2" xfId="7437" xr:uid="{00000000-0005-0000-0000-0000111D0000}"/>
    <cellStyle name="40% - Accent3 7 3" xfId="8940" xr:uid="{00000000-0005-0000-0000-0000F0220000}"/>
    <cellStyle name="40% - Accent3 7 4" xfId="4950" xr:uid="{00000000-0005-0000-0000-00005A130000}"/>
    <cellStyle name="40% - Accent3 8" xfId="391" xr:uid="{00000000-0005-0000-0000-00008B010000}"/>
    <cellStyle name="40% - Accent3 8 2" xfId="7438" xr:uid="{00000000-0005-0000-0000-0000121D0000}"/>
    <cellStyle name="40% - Accent3 8 3" xfId="8941" xr:uid="{00000000-0005-0000-0000-0000F1220000}"/>
    <cellStyle name="40% - Accent3 8 4" xfId="4951" xr:uid="{00000000-0005-0000-0000-00005B130000}"/>
    <cellStyle name="40% - Accent3 9" xfId="4952" xr:uid="{00000000-0005-0000-0000-00005C130000}"/>
    <cellStyle name="40% - Accent3 9 2" xfId="12563" xr:uid="{00000000-0005-0000-0000-000017310000}"/>
    <cellStyle name="40% - Accent4 10" xfId="4953" xr:uid="{00000000-0005-0000-0000-00005D130000}"/>
    <cellStyle name="40% - Accent4 10 2" xfId="12564" xr:uid="{00000000-0005-0000-0000-000018310000}"/>
    <cellStyle name="40% - Accent4 11" xfId="4954" xr:uid="{00000000-0005-0000-0000-00005E130000}"/>
    <cellStyle name="40% - Accent4 11 2" xfId="12565" xr:uid="{00000000-0005-0000-0000-000019310000}"/>
    <cellStyle name="40% - Accent4 12" xfId="4955" xr:uid="{00000000-0005-0000-0000-00005F130000}"/>
    <cellStyle name="40% - Accent4 13" xfId="4956" xr:uid="{00000000-0005-0000-0000-000060130000}"/>
    <cellStyle name="40% - Accent4 14" xfId="4957" xr:uid="{00000000-0005-0000-0000-000061130000}"/>
    <cellStyle name="40% - Accent4 15" xfId="4958" xr:uid="{00000000-0005-0000-0000-000062130000}"/>
    <cellStyle name="40% - Accent4 16" xfId="4959" xr:uid="{00000000-0005-0000-0000-000063130000}"/>
    <cellStyle name="40% - Accent4 17" xfId="4960" xr:uid="{00000000-0005-0000-0000-000064130000}"/>
    <cellStyle name="40% - Accent4 18" xfId="4961" xr:uid="{00000000-0005-0000-0000-000065130000}"/>
    <cellStyle name="40% - Accent4 19" xfId="4962" xr:uid="{00000000-0005-0000-0000-000066130000}"/>
    <cellStyle name="40% - Accent4 2" xfId="48" xr:uid="{00000000-0005-0000-0000-000034000000}"/>
    <cellStyle name="40% - Accent4 2 10" xfId="392" xr:uid="{00000000-0005-0000-0000-00008C010000}"/>
    <cellStyle name="40% - Accent4 2 11" xfId="393" xr:uid="{00000000-0005-0000-0000-00008D010000}"/>
    <cellStyle name="40% - Accent4 2 12" xfId="394" xr:uid="{00000000-0005-0000-0000-00008E010000}"/>
    <cellStyle name="40% - Accent4 2 13" xfId="395" xr:uid="{00000000-0005-0000-0000-00008F010000}"/>
    <cellStyle name="40% - Accent4 2 14" xfId="396" xr:uid="{00000000-0005-0000-0000-000090010000}"/>
    <cellStyle name="40% - Accent4 2 15" xfId="397" xr:uid="{00000000-0005-0000-0000-000091010000}"/>
    <cellStyle name="40% - Accent4 2 16" xfId="12566" xr:uid="{00000000-0005-0000-0000-00001A310000}"/>
    <cellStyle name="40% - Accent4 2 2" xfId="398" xr:uid="{00000000-0005-0000-0000-000092010000}"/>
    <cellStyle name="40% - Accent4 2 3" xfId="399" xr:uid="{00000000-0005-0000-0000-000093010000}"/>
    <cellStyle name="40% - Accent4 2 4" xfId="400" xr:uid="{00000000-0005-0000-0000-000094010000}"/>
    <cellStyle name="40% - Accent4 2 5" xfId="401" xr:uid="{00000000-0005-0000-0000-000095010000}"/>
    <cellStyle name="40% - Accent4 2 6" xfId="402" xr:uid="{00000000-0005-0000-0000-000096010000}"/>
    <cellStyle name="40% - Accent4 2 7" xfId="403" xr:uid="{00000000-0005-0000-0000-000097010000}"/>
    <cellStyle name="40% - Accent4 2 8" xfId="404" xr:uid="{00000000-0005-0000-0000-000098010000}"/>
    <cellStyle name="40% - Accent4 2 9" xfId="405" xr:uid="{00000000-0005-0000-0000-000099010000}"/>
    <cellStyle name="40% - Accent4 20" xfId="4963" xr:uid="{00000000-0005-0000-0000-000067130000}"/>
    <cellStyle name="40% - Accent4 21" xfId="4964" xr:uid="{00000000-0005-0000-0000-000068130000}"/>
    <cellStyle name="40% - Accent4 22" xfId="4965" xr:uid="{00000000-0005-0000-0000-000069130000}"/>
    <cellStyle name="40% - Accent4 23" xfId="4966" xr:uid="{00000000-0005-0000-0000-00006A130000}"/>
    <cellStyle name="40% - Accent4 24" xfId="4967" xr:uid="{00000000-0005-0000-0000-00006B130000}"/>
    <cellStyle name="40% - Accent4 25" xfId="4968" xr:uid="{00000000-0005-0000-0000-00006C130000}"/>
    <cellStyle name="40% - Accent4 26" xfId="4969" xr:uid="{00000000-0005-0000-0000-00006D130000}"/>
    <cellStyle name="40% - Accent4 27" xfId="4970" xr:uid="{00000000-0005-0000-0000-00006E130000}"/>
    <cellStyle name="40% - Accent4 28" xfId="4971" xr:uid="{00000000-0005-0000-0000-00006F130000}"/>
    <cellStyle name="40% - Accent4 29" xfId="4972" xr:uid="{00000000-0005-0000-0000-000070130000}"/>
    <cellStyle name="40% - Accent4 3" xfId="49" xr:uid="{00000000-0005-0000-0000-000035000000}"/>
    <cellStyle name="40% - Accent4 3 2" xfId="406" xr:uid="{00000000-0005-0000-0000-00009A010000}"/>
    <cellStyle name="40% - Accent4 3 2 2" xfId="12567" xr:uid="{00000000-0005-0000-0000-00001B310000}"/>
    <cellStyle name="40% - Accent4 3 2 3" xfId="4973" xr:uid="{00000000-0005-0000-0000-000071130000}"/>
    <cellStyle name="40% - Accent4 3 3" xfId="7439" xr:uid="{00000000-0005-0000-0000-0000131D0000}"/>
    <cellStyle name="40% - Accent4 3 4" xfId="8813" xr:uid="{00000000-0005-0000-0000-000071220000}"/>
    <cellStyle name="40% - Accent4 30" xfId="4974" xr:uid="{00000000-0005-0000-0000-000072130000}"/>
    <cellStyle name="40% - Accent4 31" xfId="4975" xr:uid="{00000000-0005-0000-0000-000073130000}"/>
    <cellStyle name="40% - Accent4 32" xfId="4976" xr:uid="{00000000-0005-0000-0000-000074130000}"/>
    <cellStyle name="40% - Accent4 33" xfId="4977" xr:uid="{00000000-0005-0000-0000-000075130000}"/>
    <cellStyle name="40% - Accent4 34" xfId="4978" xr:uid="{00000000-0005-0000-0000-000076130000}"/>
    <cellStyle name="40% - Accent4 35" xfId="4979" xr:uid="{00000000-0005-0000-0000-000077130000}"/>
    <cellStyle name="40% - Accent4 36" xfId="4980" xr:uid="{00000000-0005-0000-0000-000078130000}"/>
    <cellStyle name="40% - Accent4 37" xfId="4981" xr:uid="{00000000-0005-0000-0000-000079130000}"/>
    <cellStyle name="40% - Accent4 38" xfId="4982" xr:uid="{00000000-0005-0000-0000-00007A130000}"/>
    <cellStyle name="40% - Accent4 39" xfId="4983" xr:uid="{00000000-0005-0000-0000-00007B130000}"/>
    <cellStyle name="40% - Accent4 4" xfId="407" xr:uid="{00000000-0005-0000-0000-00009B010000}"/>
    <cellStyle name="40% - Accent4 4 2" xfId="7440" xr:uid="{00000000-0005-0000-0000-0000141D0000}"/>
    <cellStyle name="40% - Accent4 4 3" xfId="8942" xr:uid="{00000000-0005-0000-0000-0000F2220000}"/>
    <cellStyle name="40% - Accent4 4 4" xfId="4984" xr:uid="{00000000-0005-0000-0000-00007C130000}"/>
    <cellStyle name="40% - Accent4 40" xfId="4985" xr:uid="{00000000-0005-0000-0000-00007D130000}"/>
    <cellStyle name="40% - Accent4 41" xfId="4986" xr:uid="{00000000-0005-0000-0000-00007E130000}"/>
    <cellStyle name="40% - Accent4 42" xfId="4987" xr:uid="{00000000-0005-0000-0000-00007F130000}"/>
    <cellStyle name="40% - Accent4 43" xfId="4988" xr:uid="{00000000-0005-0000-0000-000080130000}"/>
    <cellStyle name="40% - Accent4 5" xfId="408" xr:uid="{00000000-0005-0000-0000-00009C010000}"/>
    <cellStyle name="40% - Accent4 5 2" xfId="7441" xr:uid="{00000000-0005-0000-0000-0000151D0000}"/>
    <cellStyle name="40% - Accent4 5 3" xfId="8943" xr:uid="{00000000-0005-0000-0000-0000F3220000}"/>
    <cellStyle name="40% - Accent4 5 4" xfId="4989" xr:uid="{00000000-0005-0000-0000-000081130000}"/>
    <cellStyle name="40% - Accent4 6" xfId="409" xr:uid="{00000000-0005-0000-0000-00009D010000}"/>
    <cellStyle name="40% - Accent4 6 2" xfId="7442" xr:uid="{00000000-0005-0000-0000-0000161D0000}"/>
    <cellStyle name="40% - Accent4 6 3" xfId="8944" xr:uid="{00000000-0005-0000-0000-0000F4220000}"/>
    <cellStyle name="40% - Accent4 6 4" xfId="4990" xr:uid="{00000000-0005-0000-0000-000082130000}"/>
    <cellStyle name="40% - Accent4 7" xfId="410" xr:uid="{00000000-0005-0000-0000-00009E010000}"/>
    <cellStyle name="40% - Accent4 7 2" xfId="7443" xr:uid="{00000000-0005-0000-0000-0000171D0000}"/>
    <cellStyle name="40% - Accent4 7 3" xfId="8945" xr:uid="{00000000-0005-0000-0000-0000F5220000}"/>
    <cellStyle name="40% - Accent4 7 4" xfId="4991" xr:uid="{00000000-0005-0000-0000-000083130000}"/>
    <cellStyle name="40% - Accent4 8" xfId="411" xr:uid="{00000000-0005-0000-0000-00009F010000}"/>
    <cellStyle name="40% - Accent4 8 2" xfId="7444" xr:uid="{00000000-0005-0000-0000-0000181D0000}"/>
    <cellStyle name="40% - Accent4 8 3" xfId="8946" xr:uid="{00000000-0005-0000-0000-0000F6220000}"/>
    <cellStyle name="40% - Accent4 8 4" xfId="4992" xr:uid="{00000000-0005-0000-0000-000084130000}"/>
    <cellStyle name="40% - Accent4 9" xfId="4993" xr:uid="{00000000-0005-0000-0000-000085130000}"/>
    <cellStyle name="40% - Accent4 9 2" xfId="12568" xr:uid="{00000000-0005-0000-0000-00001C310000}"/>
    <cellStyle name="40% - Accent5 10" xfId="4994" xr:uid="{00000000-0005-0000-0000-000086130000}"/>
    <cellStyle name="40% - Accent5 10 2" xfId="12569" xr:uid="{00000000-0005-0000-0000-00001D310000}"/>
    <cellStyle name="40% - Accent5 11" xfId="4995" xr:uid="{00000000-0005-0000-0000-000087130000}"/>
    <cellStyle name="40% - Accent5 11 2" xfId="12570" xr:uid="{00000000-0005-0000-0000-00001E310000}"/>
    <cellStyle name="40% - Accent5 12" xfId="4996" xr:uid="{00000000-0005-0000-0000-000088130000}"/>
    <cellStyle name="40% - Accent5 13" xfId="4997" xr:uid="{00000000-0005-0000-0000-000089130000}"/>
    <cellStyle name="40% - Accent5 14" xfId="4998" xr:uid="{00000000-0005-0000-0000-00008A130000}"/>
    <cellStyle name="40% - Accent5 15" xfId="4999" xr:uid="{00000000-0005-0000-0000-00008B130000}"/>
    <cellStyle name="40% - Accent5 16" xfId="5000" xr:uid="{00000000-0005-0000-0000-00008C130000}"/>
    <cellStyle name="40% - Accent5 17" xfId="5001" xr:uid="{00000000-0005-0000-0000-00008D130000}"/>
    <cellStyle name="40% - Accent5 18" xfId="5002" xr:uid="{00000000-0005-0000-0000-00008E130000}"/>
    <cellStyle name="40% - Accent5 19" xfId="5003" xr:uid="{00000000-0005-0000-0000-00008F130000}"/>
    <cellStyle name="40% - Accent5 2" xfId="50" xr:uid="{00000000-0005-0000-0000-000036000000}"/>
    <cellStyle name="40% - Accent5 2 10" xfId="412" xr:uid="{00000000-0005-0000-0000-0000A0010000}"/>
    <cellStyle name="40% - Accent5 2 11" xfId="413" xr:uid="{00000000-0005-0000-0000-0000A1010000}"/>
    <cellStyle name="40% - Accent5 2 12" xfId="414" xr:uid="{00000000-0005-0000-0000-0000A2010000}"/>
    <cellStyle name="40% - Accent5 2 13" xfId="415" xr:uid="{00000000-0005-0000-0000-0000A3010000}"/>
    <cellStyle name="40% - Accent5 2 14" xfId="416" xr:uid="{00000000-0005-0000-0000-0000A4010000}"/>
    <cellStyle name="40% - Accent5 2 15" xfId="417" xr:uid="{00000000-0005-0000-0000-0000A5010000}"/>
    <cellStyle name="40% - Accent5 2 16" xfId="12571" xr:uid="{00000000-0005-0000-0000-00001F310000}"/>
    <cellStyle name="40% - Accent5 2 2" xfId="418" xr:uid="{00000000-0005-0000-0000-0000A6010000}"/>
    <cellStyle name="40% - Accent5 2 3" xfId="419" xr:uid="{00000000-0005-0000-0000-0000A7010000}"/>
    <cellStyle name="40% - Accent5 2 4" xfId="420" xr:uid="{00000000-0005-0000-0000-0000A8010000}"/>
    <cellStyle name="40% - Accent5 2 5" xfId="421" xr:uid="{00000000-0005-0000-0000-0000A9010000}"/>
    <cellStyle name="40% - Accent5 2 6" xfId="422" xr:uid="{00000000-0005-0000-0000-0000AA010000}"/>
    <cellStyle name="40% - Accent5 2 7" xfId="423" xr:uid="{00000000-0005-0000-0000-0000AB010000}"/>
    <cellStyle name="40% - Accent5 2 8" xfId="424" xr:uid="{00000000-0005-0000-0000-0000AC010000}"/>
    <cellStyle name="40% - Accent5 2 9" xfId="425" xr:uid="{00000000-0005-0000-0000-0000AD010000}"/>
    <cellStyle name="40% - Accent5 20" xfId="5004" xr:uid="{00000000-0005-0000-0000-000090130000}"/>
    <cellStyle name="40% - Accent5 21" xfId="5005" xr:uid="{00000000-0005-0000-0000-000091130000}"/>
    <cellStyle name="40% - Accent5 22" xfId="5006" xr:uid="{00000000-0005-0000-0000-000092130000}"/>
    <cellStyle name="40% - Accent5 23" xfId="5007" xr:uid="{00000000-0005-0000-0000-000093130000}"/>
    <cellStyle name="40% - Accent5 24" xfId="5008" xr:uid="{00000000-0005-0000-0000-000094130000}"/>
    <cellStyle name="40% - Accent5 25" xfId="5009" xr:uid="{00000000-0005-0000-0000-000095130000}"/>
    <cellStyle name="40% - Accent5 26" xfId="5010" xr:uid="{00000000-0005-0000-0000-000096130000}"/>
    <cellStyle name="40% - Accent5 27" xfId="5011" xr:uid="{00000000-0005-0000-0000-000097130000}"/>
    <cellStyle name="40% - Accent5 28" xfId="5012" xr:uid="{00000000-0005-0000-0000-000098130000}"/>
    <cellStyle name="40% - Accent5 29" xfId="5013" xr:uid="{00000000-0005-0000-0000-000099130000}"/>
    <cellStyle name="40% - Accent5 3" xfId="51" xr:uid="{00000000-0005-0000-0000-000037000000}"/>
    <cellStyle name="40% - Accent5 3 2" xfId="426" xr:uid="{00000000-0005-0000-0000-0000AE010000}"/>
    <cellStyle name="40% - Accent5 3 2 2" xfId="12572" xr:uid="{00000000-0005-0000-0000-000020310000}"/>
    <cellStyle name="40% - Accent5 3 2 3" xfId="5014" xr:uid="{00000000-0005-0000-0000-00009A130000}"/>
    <cellStyle name="40% - Accent5 3 3" xfId="7445" xr:uid="{00000000-0005-0000-0000-0000191D0000}"/>
    <cellStyle name="40% - Accent5 3 4" xfId="8814" xr:uid="{00000000-0005-0000-0000-000072220000}"/>
    <cellStyle name="40% - Accent5 30" xfId="5015" xr:uid="{00000000-0005-0000-0000-00009B130000}"/>
    <cellStyle name="40% - Accent5 31" xfId="5016" xr:uid="{00000000-0005-0000-0000-00009C130000}"/>
    <cellStyle name="40% - Accent5 32" xfId="5017" xr:uid="{00000000-0005-0000-0000-00009D130000}"/>
    <cellStyle name="40% - Accent5 33" xfId="5018" xr:uid="{00000000-0005-0000-0000-00009E130000}"/>
    <cellStyle name="40% - Accent5 34" xfId="5019" xr:uid="{00000000-0005-0000-0000-00009F130000}"/>
    <cellStyle name="40% - Accent5 35" xfId="5020" xr:uid="{00000000-0005-0000-0000-0000A0130000}"/>
    <cellStyle name="40% - Accent5 36" xfId="5021" xr:uid="{00000000-0005-0000-0000-0000A1130000}"/>
    <cellStyle name="40% - Accent5 37" xfId="5022" xr:uid="{00000000-0005-0000-0000-0000A2130000}"/>
    <cellStyle name="40% - Accent5 38" xfId="5023" xr:uid="{00000000-0005-0000-0000-0000A3130000}"/>
    <cellStyle name="40% - Accent5 39" xfId="5024" xr:uid="{00000000-0005-0000-0000-0000A4130000}"/>
    <cellStyle name="40% - Accent5 4" xfId="427" xr:uid="{00000000-0005-0000-0000-0000AF010000}"/>
    <cellStyle name="40% - Accent5 4 2" xfId="7446" xr:uid="{00000000-0005-0000-0000-00001A1D0000}"/>
    <cellStyle name="40% - Accent5 4 3" xfId="8947" xr:uid="{00000000-0005-0000-0000-0000F7220000}"/>
    <cellStyle name="40% - Accent5 4 4" xfId="5025" xr:uid="{00000000-0005-0000-0000-0000A5130000}"/>
    <cellStyle name="40% - Accent5 40" xfId="5026" xr:uid="{00000000-0005-0000-0000-0000A6130000}"/>
    <cellStyle name="40% - Accent5 41" xfId="5027" xr:uid="{00000000-0005-0000-0000-0000A7130000}"/>
    <cellStyle name="40% - Accent5 42" xfId="5028" xr:uid="{00000000-0005-0000-0000-0000A8130000}"/>
    <cellStyle name="40% - Accent5 43" xfId="5029" xr:uid="{00000000-0005-0000-0000-0000A9130000}"/>
    <cellStyle name="40% - Accent5 5" xfId="428" xr:uid="{00000000-0005-0000-0000-0000B0010000}"/>
    <cellStyle name="40% - Accent5 5 2" xfId="7447" xr:uid="{00000000-0005-0000-0000-00001B1D0000}"/>
    <cellStyle name="40% - Accent5 5 3" xfId="8948" xr:uid="{00000000-0005-0000-0000-0000F8220000}"/>
    <cellStyle name="40% - Accent5 5 4" xfId="5030" xr:uid="{00000000-0005-0000-0000-0000AA130000}"/>
    <cellStyle name="40% - Accent5 6" xfId="429" xr:uid="{00000000-0005-0000-0000-0000B1010000}"/>
    <cellStyle name="40% - Accent5 6 2" xfId="7448" xr:uid="{00000000-0005-0000-0000-00001C1D0000}"/>
    <cellStyle name="40% - Accent5 6 3" xfId="8949" xr:uid="{00000000-0005-0000-0000-0000F9220000}"/>
    <cellStyle name="40% - Accent5 6 4" xfId="5031" xr:uid="{00000000-0005-0000-0000-0000AB130000}"/>
    <cellStyle name="40% - Accent5 7" xfId="430" xr:uid="{00000000-0005-0000-0000-0000B2010000}"/>
    <cellStyle name="40% - Accent5 7 2" xfId="7449" xr:uid="{00000000-0005-0000-0000-00001D1D0000}"/>
    <cellStyle name="40% - Accent5 7 3" xfId="8950" xr:uid="{00000000-0005-0000-0000-0000FA220000}"/>
    <cellStyle name="40% - Accent5 7 4" xfId="5032" xr:uid="{00000000-0005-0000-0000-0000AC130000}"/>
    <cellStyle name="40% - Accent5 8" xfId="431" xr:uid="{00000000-0005-0000-0000-0000B3010000}"/>
    <cellStyle name="40% - Accent5 8 2" xfId="7450" xr:uid="{00000000-0005-0000-0000-00001E1D0000}"/>
    <cellStyle name="40% - Accent5 8 3" xfId="8951" xr:uid="{00000000-0005-0000-0000-0000FB220000}"/>
    <cellStyle name="40% - Accent5 8 4" xfId="5033" xr:uid="{00000000-0005-0000-0000-0000AD130000}"/>
    <cellStyle name="40% - Accent5 9" xfId="5034" xr:uid="{00000000-0005-0000-0000-0000AE130000}"/>
    <cellStyle name="40% - Accent5 9 2" xfId="12573" xr:uid="{00000000-0005-0000-0000-000021310000}"/>
    <cellStyle name="40% - Accent6 10" xfId="5035" xr:uid="{00000000-0005-0000-0000-0000AF130000}"/>
    <cellStyle name="40% - Accent6 10 2" xfId="12574" xr:uid="{00000000-0005-0000-0000-000022310000}"/>
    <cellStyle name="40% - Accent6 11" xfId="5036" xr:uid="{00000000-0005-0000-0000-0000B0130000}"/>
    <cellStyle name="40% - Accent6 11 2" xfId="12575" xr:uid="{00000000-0005-0000-0000-000023310000}"/>
    <cellStyle name="40% - Accent6 12" xfId="5037" xr:uid="{00000000-0005-0000-0000-0000B1130000}"/>
    <cellStyle name="40% - Accent6 13" xfId="5038" xr:uid="{00000000-0005-0000-0000-0000B2130000}"/>
    <cellStyle name="40% - Accent6 14" xfId="5039" xr:uid="{00000000-0005-0000-0000-0000B3130000}"/>
    <cellStyle name="40% - Accent6 15" xfId="5040" xr:uid="{00000000-0005-0000-0000-0000B4130000}"/>
    <cellStyle name="40% - Accent6 16" xfId="5041" xr:uid="{00000000-0005-0000-0000-0000B5130000}"/>
    <cellStyle name="40% - Accent6 17" xfId="5042" xr:uid="{00000000-0005-0000-0000-0000B6130000}"/>
    <cellStyle name="40% - Accent6 18" xfId="5043" xr:uid="{00000000-0005-0000-0000-0000B7130000}"/>
    <cellStyle name="40% - Accent6 19" xfId="5044" xr:uid="{00000000-0005-0000-0000-0000B8130000}"/>
    <cellStyle name="40% - Accent6 2" xfId="52" xr:uid="{00000000-0005-0000-0000-000038000000}"/>
    <cellStyle name="40% - Accent6 2 10" xfId="432" xr:uid="{00000000-0005-0000-0000-0000B4010000}"/>
    <cellStyle name="40% - Accent6 2 11" xfId="433" xr:uid="{00000000-0005-0000-0000-0000B5010000}"/>
    <cellStyle name="40% - Accent6 2 12" xfId="434" xr:uid="{00000000-0005-0000-0000-0000B6010000}"/>
    <cellStyle name="40% - Accent6 2 13" xfId="435" xr:uid="{00000000-0005-0000-0000-0000B7010000}"/>
    <cellStyle name="40% - Accent6 2 14" xfId="436" xr:uid="{00000000-0005-0000-0000-0000B8010000}"/>
    <cellStyle name="40% - Accent6 2 15" xfId="437" xr:uid="{00000000-0005-0000-0000-0000B9010000}"/>
    <cellStyle name="40% - Accent6 2 16" xfId="12576" xr:uid="{00000000-0005-0000-0000-000024310000}"/>
    <cellStyle name="40% - Accent6 2 2" xfId="438" xr:uid="{00000000-0005-0000-0000-0000BA010000}"/>
    <cellStyle name="40% - Accent6 2 3" xfId="439" xr:uid="{00000000-0005-0000-0000-0000BB010000}"/>
    <cellStyle name="40% - Accent6 2 4" xfId="440" xr:uid="{00000000-0005-0000-0000-0000BC010000}"/>
    <cellStyle name="40% - Accent6 2 5" xfId="441" xr:uid="{00000000-0005-0000-0000-0000BD010000}"/>
    <cellStyle name="40% - Accent6 2 6" xfId="442" xr:uid="{00000000-0005-0000-0000-0000BE010000}"/>
    <cellStyle name="40% - Accent6 2 7" xfId="443" xr:uid="{00000000-0005-0000-0000-0000BF010000}"/>
    <cellStyle name="40% - Accent6 2 8" xfId="444" xr:uid="{00000000-0005-0000-0000-0000C0010000}"/>
    <cellStyle name="40% - Accent6 2 9" xfId="445" xr:uid="{00000000-0005-0000-0000-0000C1010000}"/>
    <cellStyle name="40% - Accent6 20" xfId="5045" xr:uid="{00000000-0005-0000-0000-0000B9130000}"/>
    <cellStyle name="40% - Accent6 21" xfId="5046" xr:uid="{00000000-0005-0000-0000-0000BA130000}"/>
    <cellStyle name="40% - Accent6 22" xfId="5047" xr:uid="{00000000-0005-0000-0000-0000BB130000}"/>
    <cellStyle name="40% - Accent6 23" xfId="5048" xr:uid="{00000000-0005-0000-0000-0000BC130000}"/>
    <cellStyle name="40% - Accent6 24" xfId="5049" xr:uid="{00000000-0005-0000-0000-0000BD130000}"/>
    <cellStyle name="40% - Accent6 25" xfId="5050" xr:uid="{00000000-0005-0000-0000-0000BE130000}"/>
    <cellStyle name="40% - Accent6 26" xfId="5051" xr:uid="{00000000-0005-0000-0000-0000BF130000}"/>
    <cellStyle name="40% - Accent6 27" xfId="5052" xr:uid="{00000000-0005-0000-0000-0000C0130000}"/>
    <cellStyle name="40% - Accent6 28" xfId="5053" xr:uid="{00000000-0005-0000-0000-0000C1130000}"/>
    <cellStyle name="40% - Accent6 29" xfId="5054" xr:uid="{00000000-0005-0000-0000-0000C2130000}"/>
    <cellStyle name="40% - Accent6 3" xfId="53" xr:uid="{00000000-0005-0000-0000-000039000000}"/>
    <cellStyle name="40% - Accent6 3 2" xfId="446" xr:uid="{00000000-0005-0000-0000-0000C2010000}"/>
    <cellStyle name="40% - Accent6 3 2 2" xfId="12577" xr:uid="{00000000-0005-0000-0000-000025310000}"/>
    <cellStyle name="40% - Accent6 3 2 3" xfId="5055" xr:uid="{00000000-0005-0000-0000-0000C3130000}"/>
    <cellStyle name="40% - Accent6 3 3" xfId="7451" xr:uid="{00000000-0005-0000-0000-00001F1D0000}"/>
    <cellStyle name="40% - Accent6 3 4" xfId="8815" xr:uid="{00000000-0005-0000-0000-000073220000}"/>
    <cellStyle name="40% - Accent6 30" xfId="5056" xr:uid="{00000000-0005-0000-0000-0000C4130000}"/>
    <cellStyle name="40% - Accent6 31" xfId="5057" xr:uid="{00000000-0005-0000-0000-0000C5130000}"/>
    <cellStyle name="40% - Accent6 32" xfId="5058" xr:uid="{00000000-0005-0000-0000-0000C6130000}"/>
    <cellStyle name="40% - Accent6 33" xfId="5059" xr:uid="{00000000-0005-0000-0000-0000C7130000}"/>
    <cellStyle name="40% - Accent6 34" xfId="5060" xr:uid="{00000000-0005-0000-0000-0000C8130000}"/>
    <cellStyle name="40% - Accent6 35" xfId="5061" xr:uid="{00000000-0005-0000-0000-0000C9130000}"/>
    <cellStyle name="40% - Accent6 36" xfId="5062" xr:uid="{00000000-0005-0000-0000-0000CA130000}"/>
    <cellStyle name="40% - Accent6 37" xfId="5063" xr:uid="{00000000-0005-0000-0000-0000CB130000}"/>
    <cellStyle name="40% - Accent6 38" xfId="5064" xr:uid="{00000000-0005-0000-0000-0000CC130000}"/>
    <cellStyle name="40% - Accent6 39" xfId="5065" xr:uid="{00000000-0005-0000-0000-0000CD130000}"/>
    <cellStyle name="40% - Accent6 4" xfId="447" xr:uid="{00000000-0005-0000-0000-0000C3010000}"/>
    <cellStyle name="40% - Accent6 4 2" xfId="7452" xr:uid="{00000000-0005-0000-0000-0000201D0000}"/>
    <cellStyle name="40% - Accent6 4 3" xfId="8952" xr:uid="{00000000-0005-0000-0000-0000FC220000}"/>
    <cellStyle name="40% - Accent6 4 4" xfId="5066" xr:uid="{00000000-0005-0000-0000-0000CE130000}"/>
    <cellStyle name="40% - Accent6 40" xfId="5067" xr:uid="{00000000-0005-0000-0000-0000CF130000}"/>
    <cellStyle name="40% - Accent6 41" xfId="5068" xr:uid="{00000000-0005-0000-0000-0000D0130000}"/>
    <cellStyle name="40% - Accent6 42" xfId="5069" xr:uid="{00000000-0005-0000-0000-0000D1130000}"/>
    <cellStyle name="40% - Accent6 43" xfId="5070" xr:uid="{00000000-0005-0000-0000-0000D2130000}"/>
    <cellStyle name="40% - Accent6 5" xfId="448" xr:uid="{00000000-0005-0000-0000-0000C4010000}"/>
    <cellStyle name="40% - Accent6 5 2" xfId="7453" xr:uid="{00000000-0005-0000-0000-0000211D0000}"/>
    <cellStyle name="40% - Accent6 5 3" xfId="8953" xr:uid="{00000000-0005-0000-0000-0000FD220000}"/>
    <cellStyle name="40% - Accent6 5 4" xfId="5071" xr:uid="{00000000-0005-0000-0000-0000D3130000}"/>
    <cellStyle name="40% - Accent6 6" xfId="449" xr:uid="{00000000-0005-0000-0000-0000C5010000}"/>
    <cellStyle name="40% - Accent6 6 2" xfId="7454" xr:uid="{00000000-0005-0000-0000-0000221D0000}"/>
    <cellStyle name="40% - Accent6 6 3" xfId="8954" xr:uid="{00000000-0005-0000-0000-0000FE220000}"/>
    <cellStyle name="40% - Accent6 6 4" xfId="5072" xr:uid="{00000000-0005-0000-0000-0000D4130000}"/>
    <cellStyle name="40% - Accent6 7" xfId="450" xr:uid="{00000000-0005-0000-0000-0000C6010000}"/>
    <cellStyle name="40% - Accent6 7 2" xfId="7455" xr:uid="{00000000-0005-0000-0000-0000231D0000}"/>
    <cellStyle name="40% - Accent6 7 3" xfId="8955" xr:uid="{00000000-0005-0000-0000-0000FF220000}"/>
    <cellStyle name="40% - Accent6 7 4" xfId="5073" xr:uid="{00000000-0005-0000-0000-0000D5130000}"/>
    <cellStyle name="40% - Accent6 8" xfId="451" xr:uid="{00000000-0005-0000-0000-0000C7010000}"/>
    <cellStyle name="40% - Accent6 8 2" xfId="7456" xr:uid="{00000000-0005-0000-0000-0000241D0000}"/>
    <cellStyle name="40% - Accent6 8 3" xfId="8956" xr:uid="{00000000-0005-0000-0000-000000230000}"/>
    <cellStyle name="40% - Accent6 8 4" xfId="5074" xr:uid="{00000000-0005-0000-0000-0000D6130000}"/>
    <cellStyle name="40% - Accent6 9" xfId="5075" xr:uid="{00000000-0005-0000-0000-0000D7130000}"/>
    <cellStyle name="40% - Accent6 9 2" xfId="12578" xr:uid="{00000000-0005-0000-0000-000026310000}"/>
    <cellStyle name="40% - Akzent1" xfId="5076" xr:uid="{00000000-0005-0000-0000-0000D8130000}"/>
    <cellStyle name="40% - Akzent2" xfId="5077" xr:uid="{00000000-0005-0000-0000-0000D9130000}"/>
    <cellStyle name="40% - Akzent3" xfId="5078" xr:uid="{00000000-0005-0000-0000-0000DA130000}"/>
    <cellStyle name="40% - Akzent4" xfId="5079" xr:uid="{00000000-0005-0000-0000-0000DB130000}"/>
    <cellStyle name="40% - Akzent5" xfId="5080" xr:uid="{00000000-0005-0000-0000-0000DC130000}"/>
    <cellStyle name="40% - Akzent6" xfId="5081" xr:uid="{00000000-0005-0000-0000-0000DD130000}"/>
    <cellStyle name="5x indented GHG Textfiels" xfId="205" xr:uid="{00000000-0005-0000-0000-0000D1000000}"/>
    <cellStyle name="5x indented GHG Textfiels 2" xfId="452" xr:uid="{00000000-0005-0000-0000-0000C8010000}"/>
    <cellStyle name="5x indented GHG Textfiels 2 2" xfId="1870" xr:uid="{00000000-0005-0000-0000-000052070000}"/>
    <cellStyle name="5x indented GHG Textfiels 3" xfId="1869" xr:uid="{00000000-0005-0000-0000-000051070000}"/>
    <cellStyle name="60% - Accent1 10" xfId="5082" xr:uid="{00000000-0005-0000-0000-0000DE130000}"/>
    <cellStyle name="60% - Accent1 11" xfId="5083" xr:uid="{00000000-0005-0000-0000-0000DF130000}"/>
    <cellStyle name="60% - Accent1 12" xfId="5084" xr:uid="{00000000-0005-0000-0000-0000E0130000}"/>
    <cellStyle name="60% - Accent1 13" xfId="5085" xr:uid="{00000000-0005-0000-0000-0000E1130000}"/>
    <cellStyle name="60% - Accent1 14" xfId="5086" xr:uid="{00000000-0005-0000-0000-0000E2130000}"/>
    <cellStyle name="60% - Accent1 15" xfId="5087" xr:uid="{00000000-0005-0000-0000-0000E3130000}"/>
    <cellStyle name="60% - Accent1 16" xfId="5088" xr:uid="{00000000-0005-0000-0000-0000E4130000}"/>
    <cellStyle name="60% - Accent1 17" xfId="5089" xr:uid="{00000000-0005-0000-0000-0000E5130000}"/>
    <cellStyle name="60% - Accent1 18" xfId="5090" xr:uid="{00000000-0005-0000-0000-0000E6130000}"/>
    <cellStyle name="60% - Accent1 19" xfId="5091" xr:uid="{00000000-0005-0000-0000-0000E7130000}"/>
    <cellStyle name="60% - Accent1 2" xfId="54" xr:uid="{00000000-0005-0000-0000-00003A000000}"/>
    <cellStyle name="60% - Accent1 2 10" xfId="453" xr:uid="{00000000-0005-0000-0000-0000C9010000}"/>
    <cellStyle name="60% - Accent1 2 11" xfId="12579" xr:uid="{00000000-0005-0000-0000-000027310000}"/>
    <cellStyle name="60% - Accent1 2 2" xfId="454" xr:uid="{00000000-0005-0000-0000-0000CA010000}"/>
    <cellStyle name="60% - Accent1 2 3" xfId="455" xr:uid="{00000000-0005-0000-0000-0000CB010000}"/>
    <cellStyle name="60% - Accent1 2 4" xfId="456" xr:uid="{00000000-0005-0000-0000-0000CC010000}"/>
    <cellStyle name="60% - Accent1 2 5" xfId="457" xr:uid="{00000000-0005-0000-0000-0000CD010000}"/>
    <cellStyle name="60% - Accent1 2 6" xfId="458" xr:uid="{00000000-0005-0000-0000-0000CE010000}"/>
    <cellStyle name="60% - Accent1 2 7" xfId="459" xr:uid="{00000000-0005-0000-0000-0000CF010000}"/>
    <cellStyle name="60% - Accent1 2 8" xfId="460" xr:uid="{00000000-0005-0000-0000-0000D0010000}"/>
    <cellStyle name="60% - Accent1 2 9" xfId="461" xr:uid="{00000000-0005-0000-0000-0000D1010000}"/>
    <cellStyle name="60% - Accent1 20" xfId="5092" xr:uid="{00000000-0005-0000-0000-0000E8130000}"/>
    <cellStyle name="60% - Accent1 21" xfId="5093" xr:uid="{00000000-0005-0000-0000-0000E9130000}"/>
    <cellStyle name="60% - Accent1 22" xfId="5094" xr:uid="{00000000-0005-0000-0000-0000EA130000}"/>
    <cellStyle name="60% - Accent1 23" xfId="5095" xr:uid="{00000000-0005-0000-0000-0000EB130000}"/>
    <cellStyle name="60% - Accent1 24" xfId="5096" xr:uid="{00000000-0005-0000-0000-0000EC130000}"/>
    <cellStyle name="60% - Accent1 25" xfId="5097" xr:uid="{00000000-0005-0000-0000-0000ED130000}"/>
    <cellStyle name="60% - Accent1 26" xfId="5098" xr:uid="{00000000-0005-0000-0000-0000EE130000}"/>
    <cellStyle name="60% - Accent1 27" xfId="5099" xr:uid="{00000000-0005-0000-0000-0000EF130000}"/>
    <cellStyle name="60% - Accent1 28" xfId="5100" xr:uid="{00000000-0005-0000-0000-0000F0130000}"/>
    <cellStyle name="60% - Accent1 29" xfId="5101" xr:uid="{00000000-0005-0000-0000-0000F1130000}"/>
    <cellStyle name="60% - Accent1 3" xfId="55" xr:uid="{00000000-0005-0000-0000-00003B000000}"/>
    <cellStyle name="60% - Accent1 3 2" xfId="462" xr:uid="{00000000-0005-0000-0000-0000D2010000}"/>
    <cellStyle name="60% - Accent1 3 2 2" xfId="12580" xr:uid="{00000000-0005-0000-0000-000028310000}"/>
    <cellStyle name="60% - Accent1 3 2 3" xfId="5102" xr:uid="{00000000-0005-0000-0000-0000F2130000}"/>
    <cellStyle name="60% - Accent1 3 3" xfId="7457" xr:uid="{00000000-0005-0000-0000-0000251D0000}"/>
    <cellStyle name="60% - Accent1 3 4" xfId="8816" xr:uid="{00000000-0005-0000-0000-000074220000}"/>
    <cellStyle name="60% - Accent1 30" xfId="5103" xr:uid="{00000000-0005-0000-0000-0000F3130000}"/>
    <cellStyle name="60% - Accent1 31" xfId="5104" xr:uid="{00000000-0005-0000-0000-0000F4130000}"/>
    <cellStyle name="60% - Accent1 32" xfId="5105" xr:uid="{00000000-0005-0000-0000-0000F5130000}"/>
    <cellStyle name="60% - Accent1 33" xfId="5106" xr:uid="{00000000-0005-0000-0000-0000F6130000}"/>
    <cellStyle name="60% - Accent1 34" xfId="5107" xr:uid="{00000000-0005-0000-0000-0000F7130000}"/>
    <cellStyle name="60% - Accent1 35" xfId="5108" xr:uid="{00000000-0005-0000-0000-0000F8130000}"/>
    <cellStyle name="60% - Accent1 36" xfId="5109" xr:uid="{00000000-0005-0000-0000-0000F9130000}"/>
    <cellStyle name="60% - Accent1 37" xfId="5110" xr:uid="{00000000-0005-0000-0000-0000FA130000}"/>
    <cellStyle name="60% - Accent1 38" xfId="5111" xr:uid="{00000000-0005-0000-0000-0000FB130000}"/>
    <cellStyle name="60% - Accent1 39" xfId="5112" xr:uid="{00000000-0005-0000-0000-0000FC130000}"/>
    <cellStyle name="60% - Accent1 4" xfId="5113" xr:uid="{00000000-0005-0000-0000-0000FD130000}"/>
    <cellStyle name="60% - Accent1 4 2" xfId="12581" xr:uid="{00000000-0005-0000-0000-000029310000}"/>
    <cellStyle name="60% - Accent1 40" xfId="5114" xr:uid="{00000000-0005-0000-0000-0000FE130000}"/>
    <cellStyle name="60% - Accent1 41" xfId="5115" xr:uid="{00000000-0005-0000-0000-0000FF130000}"/>
    <cellStyle name="60% - Accent1 42" xfId="5116" xr:uid="{00000000-0005-0000-0000-000000140000}"/>
    <cellStyle name="60% - Accent1 43" xfId="5117" xr:uid="{00000000-0005-0000-0000-000001140000}"/>
    <cellStyle name="60% - Accent1 5" xfId="5118" xr:uid="{00000000-0005-0000-0000-000002140000}"/>
    <cellStyle name="60% - Accent1 5 2" xfId="12582" xr:uid="{00000000-0005-0000-0000-00002A310000}"/>
    <cellStyle name="60% - Accent1 6" xfId="5119" xr:uid="{00000000-0005-0000-0000-000003140000}"/>
    <cellStyle name="60% - Accent1 6 2" xfId="12583" xr:uid="{00000000-0005-0000-0000-00002B310000}"/>
    <cellStyle name="60% - Accent1 7" xfId="5120" xr:uid="{00000000-0005-0000-0000-000004140000}"/>
    <cellStyle name="60% - Accent1 8" xfId="5121" xr:uid="{00000000-0005-0000-0000-000005140000}"/>
    <cellStyle name="60% - Accent1 9" xfId="5122" xr:uid="{00000000-0005-0000-0000-000006140000}"/>
    <cellStyle name="60% - Accent2 10" xfId="5123" xr:uid="{00000000-0005-0000-0000-000007140000}"/>
    <cellStyle name="60% - Accent2 11" xfId="5124" xr:uid="{00000000-0005-0000-0000-000008140000}"/>
    <cellStyle name="60% - Accent2 12" xfId="5125" xr:uid="{00000000-0005-0000-0000-000009140000}"/>
    <cellStyle name="60% - Accent2 13" xfId="5126" xr:uid="{00000000-0005-0000-0000-00000A140000}"/>
    <cellStyle name="60% - Accent2 14" xfId="5127" xr:uid="{00000000-0005-0000-0000-00000B140000}"/>
    <cellStyle name="60% - Accent2 15" xfId="5128" xr:uid="{00000000-0005-0000-0000-00000C140000}"/>
    <cellStyle name="60% - Accent2 16" xfId="5129" xr:uid="{00000000-0005-0000-0000-00000D140000}"/>
    <cellStyle name="60% - Accent2 17" xfId="5130" xr:uid="{00000000-0005-0000-0000-00000E140000}"/>
    <cellStyle name="60% - Accent2 18" xfId="5131" xr:uid="{00000000-0005-0000-0000-00000F140000}"/>
    <cellStyle name="60% - Accent2 19" xfId="5132" xr:uid="{00000000-0005-0000-0000-000010140000}"/>
    <cellStyle name="60% - Accent2 2" xfId="56" xr:uid="{00000000-0005-0000-0000-00003C000000}"/>
    <cellStyle name="60% - Accent2 2 10" xfId="463" xr:uid="{00000000-0005-0000-0000-0000D3010000}"/>
    <cellStyle name="60% - Accent2 2 11" xfId="12584" xr:uid="{00000000-0005-0000-0000-00002C310000}"/>
    <cellStyle name="60% - Accent2 2 2" xfId="464" xr:uid="{00000000-0005-0000-0000-0000D4010000}"/>
    <cellStyle name="60% - Accent2 2 3" xfId="465" xr:uid="{00000000-0005-0000-0000-0000D5010000}"/>
    <cellStyle name="60% - Accent2 2 4" xfId="466" xr:uid="{00000000-0005-0000-0000-0000D6010000}"/>
    <cellStyle name="60% - Accent2 2 5" xfId="467" xr:uid="{00000000-0005-0000-0000-0000D7010000}"/>
    <cellStyle name="60% - Accent2 2 6" xfId="468" xr:uid="{00000000-0005-0000-0000-0000D8010000}"/>
    <cellStyle name="60% - Accent2 2 7" xfId="469" xr:uid="{00000000-0005-0000-0000-0000D9010000}"/>
    <cellStyle name="60% - Accent2 2 8" xfId="470" xr:uid="{00000000-0005-0000-0000-0000DA010000}"/>
    <cellStyle name="60% - Accent2 2 9" xfId="471" xr:uid="{00000000-0005-0000-0000-0000DB010000}"/>
    <cellStyle name="60% - Accent2 20" xfId="5133" xr:uid="{00000000-0005-0000-0000-000011140000}"/>
    <cellStyle name="60% - Accent2 21" xfId="5134" xr:uid="{00000000-0005-0000-0000-000012140000}"/>
    <cellStyle name="60% - Accent2 22" xfId="5135" xr:uid="{00000000-0005-0000-0000-000013140000}"/>
    <cellStyle name="60% - Accent2 23" xfId="5136" xr:uid="{00000000-0005-0000-0000-000014140000}"/>
    <cellStyle name="60% - Accent2 24" xfId="5137" xr:uid="{00000000-0005-0000-0000-000015140000}"/>
    <cellStyle name="60% - Accent2 25" xfId="5138" xr:uid="{00000000-0005-0000-0000-000016140000}"/>
    <cellStyle name="60% - Accent2 26" xfId="5139" xr:uid="{00000000-0005-0000-0000-000017140000}"/>
    <cellStyle name="60% - Accent2 27" xfId="5140" xr:uid="{00000000-0005-0000-0000-000018140000}"/>
    <cellStyle name="60% - Accent2 28" xfId="5141" xr:uid="{00000000-0005-0000-0000-000019140000}"/>
    <cellStyle name="60% - Accent2 29" xfId="5142" xr:uid="{00000000-0005-0000-0000-00001A140000}"/>
    <cellStyle name="60% - Accent2 3" xfId="57" xr:uid="{00000000-0005-0000-0000-00003D000000}"/>
    <cellStyle name="60% - Accent2 3 2" xfId="472" xr:uid="{00000000-0005-0000-0000-0000DC010000}"/>
    <cellStyle name="60% - Accent2 3 2 2" xfId="12585" xr:uid="{00000000-0005-0000-0000-00002D310000}"/>
    <cellStyle name="60% - Accent2 3 2 3" xfId="5143" xr:uid="{00000000-0005-0000-0000-00001B140000}"/>
    <cellStyle name="60% - Accent2 3 3" xfId="7458" xr:uid="{00000000-0005-0000-0000-0000261D0000}"/>
    <cellStyle name="60% - Accent2 3 4" xfId="8817" xr:uid="{00000000-0005-0000-0000-000075220000}"/>
    <cellStyle name="60% - Accent2 30" xfId="5144" xr:uid="{00000000-0005-0000-0000-00001C140000}"/>
    <cellStyle name="60% - Accent2 31" xfId="5145" xr:uid="{00000000-0005-0000-0000-00001D140000}"/>
    <cellStyle name="60% - Accent2 32" xfId="5146" xr:uid="{00000000-0005-0000-0000-00001E140000}"/>
    <cellStyle name="60% - Accent2 33" xfId="5147" xr:uid="{00000000-0005-0000-0000-00001F140000}"/>
    <cellStyle name="60% - Accent2 34" xfId="5148" xr:uid="{00000000-0005-0000-0000-000020140000}"/>
    <cellStyle name="60% - Accent2 35" xfId="5149" xr:uid="{00000000-0005-0000-0000-000021140000}"/>
    <cellStyle name="60% - Accent2 36" xfId="5150" xr:uid="{00000000-0005-0000-0000-000022140000}"/>
    <cellStyle name="60% - Accent2 37" xfId="5151" xr:uid="{00000000-0005-0000-0000-000023140000}"/>
    <cellStyle name="60% - Accent2 38" xfId="5152" xr:uid="{00000000-0005-0000-0000-000024140000}"/>
    <cellStyle name="60% - Accent2 39" xfId="5153" xr:uid="{00000000-0005-0000-0000-000025140000}"/>
    <cellStyle name="60% - Accent2 4" xfId="5154" xr:uid="{00000000-0005-0000-0000-000026140000}"/>
    <cellStyle name="60% - Accent2 4 2" xfId="12586" xr:uid="{00000000-0005-0000-0000-00002E310000}"/>
    <cellStyle name="60% - Accent2 40" xfId="5155" xr:uid="{00000000-0005-0000-0000-000027140000}"/>
    <cellStyle name="60% - Accent2 41" xfId="5156" xr:uid="{00000000-0005-0000-0000-000028140000}"/>
    <cellStyle name="60% - Accent2 42" xfId="5157" xr:uid="{00000000-0005-0000-0000-000029140000}"/>
    <cellStyle name="60% - Accent2 43" xfId="5158" xr:uid="{00000000-0005-0000-0000-00002A140000}"/>
    <cellStyle name="60% - Accent2 5" xfId="5159" xr:uid="{00000000-0005-0000-0000-00002B140000}"/>
    <cellStyle name="60% - Accent2 5 2" xfId="12587" xr:uid="{00000000-0005-0000-0000-00002F310000}"/>
    <cellStyle name="60% - Accent2 6" xfId="5160" xr:uid="{00000000-0005-0000-0000-00002C140000}"/>
    <cellStyle name="60% - Accent2 6 2" xfId="12588" xr:uid="{00000000-0005-0000-0000-000030310000}"/>
    <cellStyle name="60% - Accent2 7" xfId="5161" xr:uid="{00000000-0005-0000-0000-00002D140000}"/>
    <cellStyle name="60% - Accent2 8" xfId="5162" xr:uid="{00000000-0005-0000-0000-00002E140000}"/>
    <cellStyle name="60% - Accent2 9" xfId="5163" xr:uid="{00000000-0005-0000-0000-00002F140000}"/>
    <cellStyle name="60% - Accent3 10" xfId="5164" xr:uid="{00000000-0005-0000-0000-000030140000}"/>
    <cellStyle name="60% - Accent3 11" xfId="5165" xr:uid="{00000000-0005-0000-0000-000031140000}"/>
    <cellStyle name="60% - Accent3 12" xfId="5166" xr:uid="{00000000-0005-0000-0000-000032140000}"/>
    <cellStyle name="60% - Accent3 13" xfId="5167" xr:uid="{00000000-0005-0000-0000-000033140000}"/>
    <cellStyle name="60% - Accent3 14" xfId="5168" xr:uid="{00000000-0005-0000-0000-000034140000}"/>
    <cellStyle name="60% - Accent3 15" xfId="5169" xr:uid="{00000000-0005-0000-0000-000035140000}"/>
    <cellStyle name="60% - Accent3 16" xfId="5170" xr:uid="{00000000-0005-0000-0000-000036140000}"/>
    <cellStyle name="60% - Accent3 17" xfId="5171" xr:uid="{00000000-0005-0000-0000-000037140000}"/>
    <cellStyle name="60% - Accent3 18" xfId="5172" xr:uid="{00000000-0005-0000-0000-000038140000}"/>
    <cellStyle name="60% - Accent3 19" xfId="5173" xr:uid="{00000000-0005-0000-0000-000039140000}"/>
    <cellStyle name="60% - Accent3 2" xfId="58" xr:uid="{00000000-0005-0000-0000-00003E000000}"/>
    <cellStyle name="60% - Accent3 2 10" xfId="473" xr:uid="{00000000-0005-0000-0000-0000DD010000}"/>
    <cellStyle name="60% - Accent3 2 11" xfId="12589" xr:uid="{00000000-0005-0000-0000-000031310000}"/>
    <cellStyle name="60% - Accent3 2 2" xfId="474" xr:uid="{00000000-0005-0000-0000-0000DE010000}"/>
    <cellStyle name="60% - Accent3 2 3" xfId="475" xr:uid="{00000000-0005-0000-0000-0000DF010000}"/>
    <cellStyle name="60% - Accent3 2 4" xfId="476" xr:uid="{00000000-0005-0000-0000-0000E0010000}"/>
    <cellStyle name="60% - Accent3 2 5" xfId="477" xr:uid="{00000000-0005-0000-0000-0000E1010000}"/>
    <cellStyle name="60% - Accent3 2 6" xfId="478" xr:uid="{00000000-0005-0000-0000-0000E2010000}"/>
    <cellStyle name="60% - Accent3 2 7" xfId="479" xr:uid="{00000000-0005-0000-0000-0000E3010000}"/>
    <cellStyle name="60% - Accent3 2 8" xfId="480" xr:uid="{00000000-0005-0000-0000-0000E4010000}"/>
    <cellStyle name="60% - Accent3 2 9" xfId="481" xr:uid="{00000000-0005-0000-0000-0000E5010000}"/>
    <cellStyle name="60% - Accent3 20" xfId="5174" xr:uid="{00000000-0005-0000-0000-00003A140000}"/>
    <cellStyle name="60% - Accent3 21" xfId="5175" xr:uid="{00000000-0005-0000-0000-00003B140000}"/>
    <cellStyle name="60% - Accent3 22" xfId="5176" xr:uid="{00000000-0005-0000-0000-00003C140000}"/>
    <cellStyle name="60% - Accent3 23" xfId="5177" xr:uid="{00000000-0005-0000-0000-00003D140000}"/>
    <cellStyle name="60% - Accent3 24" xfId="5178" xr:uid="{00000000-0005-0000-0000-00003E140000}"/>
    <cellStyle name="60% - Accent3 25" xfId="5179" xr:uid="{00000000-0005-0000-0000-00003F140000}"/>
    <cellStyle name="60% - Accent3 26" xfId="5180" xr:uid="{00000000-0005-0000-0000-000040140000}"/>
    <cellStyle name="60% - Accent3 27" xfId="5181" xr:uid="{00000000-0005-0000-0000-000041140000}"/>
    <cellStyle name="60% - Accent3 28" xfId="5182" xr:uid="{00000000-0005-0000-0000-000042140000}"/>
    <cellStyle name="60% - Accent3 29" xfId="5183" xr:uid="{00000000-0005-0000-0000-000043140000}"/>
    <cellStyle name="60% - Accent3 3" xfId="59" xr:uid="{00000000-0005-0000-0000-00003F000000}"/>
    <cellStyle name="60% - Accent3 3 2" xfId="482" xr:uid="{00000000-0005-0000-0000-0000E6010000}"/>
    <cellStyle name="60% - Accent3 3 2 2" xfId="12590" xr:uid="{00000000-0005-0000-0000-000032310000}"/>
    <cellStyle name="60% - Accent3 3 2 3" xfId="5184" xr:uid="{00000000-0005-0000-0000-000044140000}"/>
    <cellStyle name="60% - Accent3 3 3" xfId="7459" xr:uid="{00000000-0005-0000-0000-0000271D0000}"/>
    <cellStyle name="60% - Accent3 3 4" xfId="8818" xr:uid="{00000000-0005-0000-0000-000076220000}"/>
    <cellStyle name="60% - Accent3 30" xfId="5185" xr:uid="{00000000-0005-0000-0000-000045140000}"/>
    <cellStyle name="60% - Accent3 31" xfId="5186" xr:uid="{00000000-0005-0000-0000-000046140000}"/>
    <cellStyle name="60% - Accent3 32" xfId="5187" xr:uid="{00000000-0005-0000-0000-000047140000}"/>
    <cellStyle name="60% - Accent3 33" xfId="5188" xr:uid="{00000000-0005-0000-0000-000048140000}"/>
    <cellStyle name="60% - Accent3 34" xfId="5189" xr:uid="{00000000-0005-0000-0000-000049140000}"/>
    <cellStyle name="60% - Accent3 35" xfId="5190" xr:uid="{00000000-0005-0000-0000-00004A140000}"/>
    <cellStyle name="60% - Accent3 36" xfId="5191" xr:uid="{00000000-0005-0000-0000-00004B140000}"/>
    <cellStyle name="60% - Accent3 37" xfId="5192" xr:uid="{00000000-0005-0000-0000-00004C140000}"/>
    <cellStyle name="60% - Accent3 38" xfId="5193" xr:uid="{00000000-0005-0000-0000-00004D140000}"/>
    <cellStyle name="60% - Accent3 39" xfId="5194" xr:uid="{00000000-0005-0000-0000-00004E140000}"/>
    <cellStyle name="60% - Accent3 4" xfId="5195" xr:uid="{00000000-0005-0000-0000-00004F140000}"/>
    <cellStyle name="60% - Accent3 4 2" xfId="12591" xr:uid="{00000000-0005-0000-0000-000033310000}"/>
    <cellStyle name="60% - Accent3 40" xfId="5196" xr:uid="{00000000-0005-0000-0000-000050140000}"/>
    <cellStyle name="60% - Accent3 41" xfId="5197" xr:uid="{00000000-0005-0000-0000-000051140000}"/>
    <cellStyle name="60% - Accent3 42" xfId="5198" xr:uid="{00000000-0005-0000-0000-000052140000}"/>
    <cellStyle name="60% - Accent3 43" xfId="5199" xr:uid="{00000000-0005-0000-0000-000053140000}"/>
    <cellStyle name="60% - Accent3 5" xfId="5200" xr:uid="{00000000-0005-0000-0000-000054140000}"/>
    <cellStyle name="60% - Accent3 5 2" xfId="12592" xr:uid="{00000000-0005-0000-0000-000034310000}"/>
    <cellStyle name="60% - Accent3 6" xfId="5201" xr:uid="{00000000-0005-0000-0000-000055140000}"/>
    <cellStyle name="60% - Accent3 6 2" xfId="12593" xr:uid="{00000000-0005-0000-0000-000035310000}"/>
    <cellStyle name="60% - Accent3 7" xfId="5202" xr:uid="{00000000-0005-0000-0000-000056140000}"/>
    <cellStyle name="60% - Accent3 8" xfId="5203" xr:uid="{00000000-0005-0000-0000-000057140000}"/>
    <cellStyle name="60% - Accent3 9" xfId="5204" xr:uid="{00000000-0005-0000-0000-000058140000}"/>
    <cellStyle name="60% - Accent4 10" xfId="5205" xr:uid="{00000000-0005-0000-0000-000059140000}"/>
    <cellStyle name="60% - Accent4 11" xfId="5206" xr:uid="{00000000-0005-0000-0000-00005A140000}"/>
    <cellStyle name="60% - Accent4 12" xfId="5207" xr:uid="{00000000-0005-0000-0000-00005B140000}"/>
    <cellStyle name="60% - Accent4 13" xfId="5208" xr:uid="{00000000-0005-0000-0000-00005C140000}"/>
    <cellStyle name="60% - Accent4 14" xfId="5209" xr:uid="{00000000-0005-0000-0000-00005D140000}"/>
    <cellStyle name="60% - Accent4 15" xfId="5210" xr:uid="{00000000-0005-0000-0000-00005E140000}"/>
    <cellStyle name="60% - Accent4 16" xfId="5211" xr:uid="{00000000-0005-0000-0000-00005F140000}"/>
    <cellStyle name="60% - Accent4 17" xfId="5212" xr:uid="{00000000-0005-0000-0000-000060140000}"/>
    <cellStyle name="60% - Accent4 18" xfId="5213" xr:uid="{00000000-0005-0000-0000-000061140000}"/>
    <cellStyle name="60% - Accent4 19" xfId="5214" xr:uid="{00000000-0005-0000-0000-000062140000}"/>
    <cellStyle name="60% - Accent4 2" xfId="60" xr:uid="{00000000-0005-0000-0000-000040000000}"/>
    <cellStyle name="60% - Accent4 2 10" xfId="483" xr:uid="{00000000-0005-0000-0000-0000E7010000}"/>
    <cellStyle name="60% - Accent4 2 11" xfId="12594" xr:uid="{00000000-0005-0000-0000-000036310000}"/>
    <cellStyle name="60% - Accent4 2 2" xfId="484" xr:uid="{00000000-0005-0000-0000-0000E8010000}"/>
    <cellStyle name="60% - Accent4 2 3" xfId="485" xr:uid="{00000000-0005-0000-0000-0000E9010000}"/>
    <cellStyle name="60% - Accent4 2 4" xfId="486" xr:uid="{00000000-0005-0000-0000-0000EA010000}"/>
    <cellStyle name="60% - Accent4 2 5" xfId="487" xr:uid="{00000000-0005-0000-0000-0000EB010000}"/>
    <cellStyle name="60% - Accent4 2 6" xfId="488" xr:uid="{00000000-0005-0000-0000-0000EC010000}"/>
    <cellStyle name="60% - Accent4 2 7" xfId="489" xr:uid="{00000000-0005-0000-0000-0000ED010000}"/>
    <cellStyle name="60% - Accent4 2 8" xfId="490" xr:uid="{00000000-0005-0000-0000-0000EE010000}"/>
    <cellStyle name="60% - Accent4 2 9" xfId="491" xr:uid="{00000000-0005-0000-0000-0000EF010000}"/>
    <cellStyle name="60% - Accent4 20" xfId="5215" xr:uid="{00000000-0005-0000-0000-000063140000}"/>
    <cellStyle name="60% - Accent4 21" xfId="5216" xr:uid="{00000000-0005-0000-0000-000064140000}"/>
    <cellStyle name="60% - Accent4 22" xfId="5217" xr:uid="{00000000-0005-0000-0000-000065140000}"/>
    <cellStyle name="60% - Accent4 23" xfId="5218" xr:uid="{00000000-0005-0000-0000-000066140000}"/>
    <cellStyle name="60% - Accent4 24" xfId="5219" xr:uid="{00000000-0005-0000-0000-000067140000}"/>
    <cellStyle name="60% - Accent4 25" xfId="5220" xr:uid="{00000000-0005-0000-0000-000068140000}"/>
    <cellStyle name="60% - Accent4 26" xfId="5221" xr:uid="{00000000-0005-0000-0000-000069140000}"/>
    <cellStyle name="60% - Accent4 27" xfId="5222" xr:uid="{00000000-0005-0000-0000-00006A140000}"/>
    <cellStyle name="60% - Accent4 28" xfId="5223" xr:uid="{00000000-0005-0000-0000-00006B140000}"/>
    <cellStyle name="60% - Accent4 29" xfId="5224" xr:uid="{00000000-0005-0000-0000-00006C140000}"/>
    <cellStyle name="60% - Accent4 3" xfId="61" xr:uid="{00000000-0005-0000-0000-000041000000}"/>
    <cellStyle name="60% - Accent4 3 2" xfId="492" xr:uid="{00000000-0005-0000-0000-0000F0010000}"/>
    <cellStyle name="60% - Accent4 3 2 2" xfId="12595" xr:uid="{00000000-0005-0000-0000-000037310000}"/>
    <cellStyle name="60% - Accent4 3 2 3" xfId="5225" xr:uid="{00000000-0005-0000-0000-00006D140000}"/>
    <cellStyle name="60% - Accent4 3 3" xfId="7460" xr:uid="{00000000-0005-0000-0000-0000281D0000}"/>
    <cellStyle name="60% - Accent4 3 4" xfId="8819" xr:uid="{00000000-0005-0000-0000-000077220000}"/>
    <cellStyle name="60% - Accent4 30" xfId="5226" xr:uid="{00000000-0005-0000-0000-00006E140000}"/>
    <cellStyle name="60% - Accent4 31" xfId="5227" xr:uid="{00000000-0005-0000-0000-00006F140000}"/>
    <cellStyle name="60% - Accent4 32" xfId="5228" xr:uid="{00000000-0005-0000-0000-000070140000}"/>
    <cellStyle name="60% - Accent4 33" xfId="5229" xr:uid="{00000000-0005-0000-0000-000071140000}"/>
    <cellStyle name="60% - Accent4 34" xfId="5230" xr:uid="{00000000-0005-0000-0000-000072140000}"/>
    <cellStyle name="60% - Accent4 35" xfId="5231" xr:uid="{00000000-0005-0000-0000-000073140000}"/>
    <cellStyle name="60% - Accent4 36" xfId="5232" xr:uid="{00000000-0005-0000-0000-000074140000}"/>
    <cellStyle name="60% - Accent4 37" xfId="5233" xr:uid="{00000000-0005-0000-0000-000075140000}"/>
    <cellStyle name="60% - Accent4 38" xfId="5234" xr:uid="{00000000-0005-0000-0000-000076140000}"/>
    <cellStyle name="60% - Accent4 39" xfId="5235" xr:uid="{00000000-0005-0000-0000-000077140000}"/>
    <cellStyle name="60% - Accent4 4" xfId="5236" xr:uid="{00000000-0005-0000-0000-000078140000}"/>
    <cellStyle name="60% - Accent4 4 2" xfId="12596" xr:uid="{00000000-0005-0000-0000-000038310000}"/>
    <cellStyle name="60% - Accent4 40" xfId="5237" xr:uid="{00000000-0005-0000-0000-000079140000}"/>
    <cellStyle name="60% - Accent4 41" xfId="5238" xr:uid="{00000000-0005-0000-0000-00007A140000}"/>
    <cellStyle name="60% - Accent4 42" xfId="5239" xr:uid="{00000000-0005-0000-0000-00007B140000}"/>
    <cellStyle name="60% - Accent4 43" xfId="5240" xr:uid="{00000000-0005-0000-0000-00007C140000}"/>
    <cellStyle name="60% - Accent4 5" xfId="5241" xr:uid="{00000000-0005-0000-0000-00007D140000}"/>
    <cellStyle name="60% - Accent4 5 2" xfId="12597" xr:uid="{00000000-0005-0000-0000-000039310000}"/>
    <cellStyle name="60% - Accent4 6" xfId="5242" xr:uid="{00000000-0005-0000-0000-00007E140000}"/>
    <cellStyle name="60% - Accent4 6 2" xfId="12598" xr:uid="{00000000-0005-0000-0000-00003A310000}"/>
    <cellStyle name="60% - Accent4 7" xfId="5243" xr:uid="{00000000-0005-0000-0000-00007F140000}"/>
    <cellStyle name="60% - Accent4 8" xfId="5244" xr:uid="{00000000-0005-0000-0000-000080140000}"/>
    <cellStyle name="60% - Accent4 9" xfId="5245" xr:uid="{00000000-0005-0000-0000-000081140000}"/>
    <cellStyle name="60% - Accent5 10" xfId="5246" xr:uid="{00000000-0005-0000-0000-000082140000}"/>
    <cellStyle name="60% - Accent5 11" xfId="5247" xr:uid="{00000000-0005-0000-0000-000083140000}"/>
    <cellStyle name="60% - Accent5 12" xfId="5248" xr:uid="{00000000-0005-0000-0000-000084140000}"/>
    <cellStyle name="60% - Accent5 13" xfId="5249" xr:uid="{00000000-0005-0000-0000-000085140000}"/>
    <cellStyle name="60% - Accent5 14" xfId="5250" xr:uid="{00000000-0005-0000-0000-000086140000}"/>
    <cellStyle name="60% - Accent5 15" xfId="5251" xr:uid="{00000000-0005-0000-0000-000087140000}"/>
    <cellStyle name="60% - Accent5 16" xfId="5252" xr:uid="{00000000-0005-0000-0000-000088140000}"/>
    <cellStyle name="60% - Accent5 17" xfId="5253" xr:uid="{00000000-0005-0000-0000-000089140000}"/>
    <cellStyle name="60% - Accent5 18" xfId="5254" xr:uid="{00000000-0005-0000-0000-00008A140000}"/>
    <cellStyle name="60% - Accent5 19" xfId="5255" xr:uid="{00000000-0005-0000-0000-00008B140000}"/>
    <cellStyle name="60% - Accent5 2" xfId="62" xr:uid="{00000000-0005-0000-0000-000042000000}"/>
    <cellStyle name="60% - Accent5 2 10" xfId="493" xr:uid="{00000000-0005-0000-0000-0000F1010000}"/>
    <cellStyle name="60% - Accent5 2 11" xfId="12599" xr:uid="{00000000-0005-0000-0000-00003B310000}"/>
    <cellStyle name="60% - Accent5 2 2" xfId="494" xr:uid="{00000000-0005-0000-0000-0000F2010000}"/>
    <cellStyle name="60% - Accent5 2 3" xfId="495" xr:uid="{00000000-0005-0000-0000-0000F3010000}"/>
    <cellStyle name="60% - Accent5 2 4" xfId="496" xr:uid="{00000000-0005-0000-0000-0000F4010000}"/>
    <cellStyle name="60% - Accent5 2 5" xfId="497" xr:uid="{00000000-0005-0000-0000-0000F5010000}"/>
    <cellStyle name="60% - Accent5 2 6" xfId="498" xr:uid="{00000000-0005-0000-0000-0000F6010000}"/>
    <cellStyle name="60% - Accent5 2 7" xfId="499" xr:uid="{00000000-0005-0000-0000-0000F7010000}"/>
    <cellStyle name="60% - Accent5 2 8" xfId="500" xr:uid="{00000000-0005-0000-0000-0000F8010000}"/>
    <cellStyle name="60% - Accent5 2 9" xfId="501" xr:uid="{00000000-0005-0000-0000-0000F9010000}"/>
    <cellStyle name="60% - Accent5 20" xfId="5256" xr:uid="{00000000-0005-0000-0000-00008C140000}"/>
    <cellStyle name="60% - Accent5 21" xfId="5257" xr:uid="{00000000-0005-0000-0000-00008D140000}"/>
    <cellStyle name="60% - Accent5 22" xfId="5258" xr:uid="{00000000-0005-0000-0000-00008E140000}"/>
    <cellStyle name="60% - Accent5 23" xfId="5259" xr:uid="{00000000-0005-0000-0000-00008F140000}"/>
    <cellStyle name="60% - Accent5 24" xfId="5260" xr:uid="{00000000-0005-0000-0000-000090140000}"/>
    <cellStyle name="60% - Accent5 25" xfId="5261" xr:uid="{00000000-0005-0000-0000-000091140000}"/>
    <cellStyle name="60% - Accent5 26" xfId="5262" xr:uid="{00000000-0005-0000-0000-000092140000}"/>
    <cellStyle name="60% - Accent5 27" xfId="5263" xr:uid="{00000000-0005-0000-0000-000093140000}"/>
    <cellStyle name="60% - Accent5 28" xfId="5264" xr:uid="{00000000-0005-0000-0000-000094140000}"/>
    <cellStyle name="60% - Accent5 29" xfId="5265" xr:uid="{00000000-0005-0000-0000-000095140000}"/>
    <cellStyle name="60% - Accent5 3" xfId="63" xr:uid="{00000000-0005-0000-0000-000043000000}"/>
    <cellStyle name="60% - Accent5 3 2" xfId="502" xr:uid="{00000000-0005-0000-0000-0000FA010000}"/>
    <cellStyle name="60% - Accent5 3 2 2" xfId="12600" xr:uid="{00000000-0005-0000-0000-00003C310000}"/>
    <cellStyle name="60% - Accent5 3 2 3" xfId="5266" xr:uid="{00000000-0005-0000-0000-000096140000}"/>
    <cellStyle name="60% - Accent5 3 3" xfId="7461" xr:uid="{00000000-0005-0000-0000-0000291D0000}"/>
    <cellStyle name="60% - Accent5 3 4" xfId="8820" xr:uid="{00000000-0005-0000-0000-000078220000}"/>
    <cellStyle name="60% - Accent5 30" xfId="5267" xr:uid="{00000000-0005-0000-0000-000097140000}"/>
    <cellStyle name="60% - Accent5 31" xfId="5268" xr:uid="{00000000-0005-0000-0000-000098140000}"/>
    <cellStyle name="60% - Accent5 32" xfId="5269" xr:uid="{00000000-0005-0000-0000-000099140000}"/>
    <cellStyle name="60% - Accent5 33" xfId="5270" xr:uid="{00000000-0005-0000-0000-00009A140000}"/>
    <cellStyle name="60% - Accent5 34" xfId="5271" xr:uid="{00000000-0005-0000-0000-00009B140000}"/>
    <cellStyle name="60% - Accent5 35" xfId="5272" xr:uid="{00000000-0005-0000-0000-00009C140000}"/>
    <cellStyle name="60% - Accent5 36" xfId="5273" xr:uid="{00000000-0005-0000-0000-00009D140000}"/>
    <cellStyle name="60% - Accent5 37" xfId="5274" xr:uid="{00000000-0005-0000-0000-00009E140000}"/>
    <cellStyle name="60% - Accent5 38" xfId="5275" xr:uid="{00000000-0005-0000-0000-00009F140000}"/>
    <cellStyle name="60% - Accent5 39" xfId="5276" xr:uid="{00000000-0005-0000-0000-0000A0140000}"/>
    <cellStyle name="60% - Accent5 4" xfId="5277" xr:uid="{00000000-0005-0000-0000-0000A1140000}"/>
    <cellStyle name="60% - Accent5 4 2" xfId="12601" xr:uid="{00000000-0005-0000-0000-00003D310000}"/>
    <cellStyle name="60% - Accent5 40" xfId="5278" xr:uid="{00000000-0005-0000-0000-0000A2140000}"/>
    <cellStyle name="60% - Accent5 41" xfId="5279" xr:uid="{00000000-0005-0000-0000-0000A3140000}"/>
    <cellStyle name="60% - Accent5 42" xfId="5280" xr:uid="{00000000-0005-0000-0000-0000A4140000}"/>
    <cellStyle name="60% - Accent5 43" xfId="5281" xr:uid="{00000000-0005-0000-0000-0000A5140000}"/>
    <cellStyle name="60% - Accent5 5" xfId="5282" xr:uid="{00000000-0005-0000-0000-0000A6140000}"/>
    <cellStyle name="60% - Accent5 5 2" xfId="12602" xr:uid="{00000000-0005-0000-0000-00003E310000}"/>
    <cellStyle name="60% - Accent5 6" xfId="5283" xr:uid="{00000000-0005-0000-0000-0000A7140000}"/>
    <cellStyle name="60% - Accent5 6 2" xfId="12603" xr:uid="{00000000-0005-0000-0000-00003F310000}"/>
    <cellStyle name="60% - Accent5 7" xfId="5284" xr:uid="{00000000-0005-0000-0000-0000A8140000}"/>
    <cellStyle name="60% - Accent5 8" xfId="5285" xr:uid="{00000000-0005-0000-0000-0000A9140000}"/>
    <cellStyle name="60% - Accent5 9" xfId="5286" xr:uid="{00000000-0005-0000-0000-0000AA140000}"/>
    <cellStyle name="60% - Accent6 10" xfId="5287" xr:uid="{00000000-0005-0000-0000-0000AB140000}"/>
    <cellStyle name="60% - Accent6 11" xfId="5288" xr:uid="{00000000-0005-0000-0000-0000AC140000}"/>
    <cellStyle name="60% - Accent6 12" xfId="5289" xr:uid="{00000000-0005-0000-0000-0000AD140000}"/>
    <cellStyle name="60% - Accent6 13" xfId="5290" xr:uid="{00000000-0005-0000-0000-0000AE140000}"/>
    <cellStyle name="60% - Accent6 14" xfId="5291" xr:uid="{00000000-0005-0000-0000-0000AF140000}"/>
    <cellStyle name="60% - Accent6 15" xfId="5292" xr:uid="{00000000-0005-0000-0000-0000B0140000}"/>
    <cellStyle name="60% - Accent6 16" xfId="5293" xr:uid="{00000000-0005-0000-0000-0000B1140000}"/>
    <cellStyle name="60% - Accent6 17" xfId="5294" xr:uid="{00000000-0005-0000-0000-0000B2140000}"/>
    <cellStyle name="60% - Accent6 18" xfId="5295" xr:uid="{00000000-0005-0000-0000-0000B3140000}"/>
    <cellStyle name="60% - Accent6 19" xfId="5296" xr:uid="{00000000-0005-0000-0000-0000B4140000}"/>
    <cellStyle name="60% - Accent6 2" xfId="64" xr:uid="{00000000-0005-0000-0000-000044000000}"/>
    <cellStyle name="60% - Accent6 2 10" xfId="503" xr:uid="{00000000-0005-0000-0000-0000FB010000}"/>
    <cellStyle name="60% - Accent6 2 11" xfId="12604" xr:uid="{00000000-0005-0000-0000-000040310000}"/>
    <cellStyle name="60% - Accent6 2 2" xfId="504" xr:uid="{00000000-0005-0000-0000-0000FC010000}"/>
    <cellStyle name="60% - Accent6 2 3" xfId="505" xr:uid="{00000000-0005-0000-0000-0000FD010000}"/>
    <cellStyle name="60% - Accent6 2 4" xfId="506" xr:uid="{00000000-0005-0000-0000-0000FE010000}"/>
    <cellStyle name="60% - Accent6 2 5" xfId="507" xr:uid="{00000000-0005-0000-0000-0000FF010000}"/>
    <cellStyle name="60% - Accent6 2 6" xfId="508" xr:uid="{00000000-0005-0000-0000-000000020000}"/>
    <cellStyle name="60% - Accent6 2 7" xfId="509" xr:uid="{00000000-0005-0000-0000-000001020000}"/>
    <cellStyle name="60% - Accent6 2 8" xfId="510" xr:uid="{00000000-0005-0000-0000-000002020000}"/>
    <cellStyle name="60% - Accent6 2 9" xfId="511" xr:uid="{00000000-0005-0000-0000-000003020000}"/>
    <cellStyle name="60% - Accent6 20" xfId="5297" xr:uid="{00000000-0005-0000-0000-0000B5140000}"/>
    <cellStyle name="60% - Accent6 21" xfId="5298" xr:uid="{00000000-0005-0000-0000-0000B6140000}"/>
    <cellStyle name="60% - Accent6 22" xfId="5299" xr:uid="{00000000-0005-0000-0000-0000B7140000}"/>
    <cellStyle name="60% - Accent6 23" xfId="5300" xr:uid="{00000000-0005-0000-0000-0000B8140000}"/>
    <cellStyle name="60% - Accent6 24" xfId="5301" xr:uid="{00000000-0005-0000-0000-0000B9140000}"/>
    <cellStyle name="60% - Accent6 25" xfId="5302" xr:uid="{00000000-0005-0000-0000-0000BA140000}"/>
    <cellStyle name="60% - Accent6 26" xfId="5303" xr:uid="{00000000-0005-0000-0000-0000BB140000}"/>
    <cellStyle name="60% - Accent6 27" xfId="5304" xr:uid="{00000000-0005-0000-0000-0000BC140000}"/>
    <cellStyle name="60% - Accent6 28" xfId="5305" xr:uid="{00000000-0005-0000-0000-0000BD140000}"/>
    <cellStyle name="60% - Accent6 29" xfId="5306" xr:uid="{00000000-0005-0000-0000-0000BE140000}"/>
    <cellStyle name="60% - Accent6 3" xfId="65" xr:uid="{00000000-0005-0000-0000-000045000000}"/>
    <cellStyle name="60% - Accent6 3 2" xfId="512" xr:uid="{00000000-0005-0000-0000-000004020000}"/>
    <cellStyle name="60% - Accent6 3 2 2" xfId="12605" xr:uid="{00000000-0005-0000-0000-000041310000}"/>
    <cellStyle name="60% - Accent6 3 2 3" xfId="5307" xr:uid="{00000000-0005-0000-0000-0000BF140000}"/>
    <cellStyle name="60% - Accent6 3 3" xfId="7462" xr:uid="{00000000-0005-0000-0000-00002A1D0000}"/>
    <cellStyle name="60% - Accent6 3 4" xfId="8821" xr:uid="{00000000-0005-0000-0000-000079220000}"/>
    <cellStyle name="60% - Accent6 30" xfId="5308" xr:uid="{00000000-0005-0000-0000-0000C0140000}"/>
    <cellStyle name="60% - Accent6 31" xfId="5309" xr:uid="{00000000-0005-0000-0000-0000C1140000}"/>
    <cellStyle name="60% - Accent6 32" xfId="5310" xr:uid="{00000000-0005-0000-0000-0000C2140000}"/>
    <cellStyle name="60% - Accent6 33" xfId="5311" xr:uid="{00000000-0005-0000-0000-0000C3140000}"/>
    <cellStyle name="60% - Accent6 34" xfId="5312" xr:uid="{00000000-0005-0000-0000-0000C4140000}"/>
    <cellStyle name="60% - Accent6 35" xfId="5313" xr:uid="{00000000-0005-0000-0000-0000C5140000}"/>
    <cellStyle name="60% - Accent6 36" xfId="5314" xr:uid="{00000000-0005-0000-0000-0000C6140000}"/>
    <cellStyle name="60% - Accent6 37" xfId="5315" xr:uid="{00000000-0005-0000-0000-0000C7140000}"/>
    <cellStyle name="60% - Accent6 38" xfId="5316" xr:uid="{00000000-0005-0000-0000-0000C8140000}"/>
    <cellStyle name="60% - Accent6 39" xfId="5317" xr:uid="{00000000-0005-0000-0000-0000C9140000}"/>
    <cellStyle name="60% - Accent6 4" xfId="5318" xr:uid="{00000000-0005-0000-0000-0000CA140000}"/>
    <cellStyle name="60% - Accent6 4 2" xfId="12606" xr:uid="{00000000-0005-0000-0000-000042310000}"/>
    <cellStyle name="60% - Accent6 40" xfId="5319" xr:uid="{00000000-0005-0000-0000-0000CB140000}"/>
    <cellStyle name="60% - Accent6 41" xfId="5320" xr:uid="{00000000-0005-0000-0000-0000CC140000}"/>
    <cellStyle name="60% - Accent6 42" xfId="5321" xr:uid="{00000000-0005-0000-0000-0000CD140000}"/>
    <cellStyle name="60% - Accent6 43" xfId="5322" xr:uid="{00000000-0005-0000-0000-0000CE140000}"/>
    <cellStyle name="60% - Accent6 5" xfId="5323" xr:uid="{00000000-0005-0000-0000-0000CF140000}"/>
    <cellStyle name="60% - Accent6 5 2" xfId="12607" xr:uid="{00000000-0005-0000-0000-000043310000}"/>
    <cellStyle name="60% - Accent6 6" xfId="5324" xr:uid="{00000000-0005-0000-0000-0000D0140000}"/>
    <cellStyle name="60% - Accent6 6 2" xfId="12608" xr:uid="{00000000-0005-0000-0000-000044310000}"/>
    <cellStyle name="60% - Accent6 7" xfId="5325" xr:uid="{00000000-0005-0000-0000-0000D1140000}"/>
    <cellStyle name="60% - Accent6 8" xfId="5326" xr:uid="{00000000-0005-0000-0000-0000D2140000}"/>
    <cellStyle name="60% - Accent6 9" xfId="5327" xr:uid="{00000000-0005-0000-0000-0000D3140000}"/>
    <cellStyle name="60% - Akzent1" xfId="5328" xr:uid="{00000000-0005-0000-0000-0000D4140000}"/>
    <cellStyle name="60% - Akzent2" xfId="5329" xr:uid="{00000000-0005-0000-0000-0000D5140000}"/>
    <cellStyle name="60% - Akzent3" xfId="5330" xr:uid="{00000000-0005-0000-0000-0000D6140000}"/>
    <cellStyle name="60% - Akzent4" xfId="5331" xr:uid="{00000000-0005-0000-0000-0000D7140000}"/>
    <cellStyle name="60% - Akzent5" xfId="5332" xr:uid="{00000000-0005-0000-0000-0000D8140000}"/>
    <cellStyle name="60% - Akzent6" xfId="5333" xr:uid="{00000000-0005-0000-0000-0000D9140000}"/>
    <cellStyle name="60% - Cor4 2" xfId="5334" xr:uid="{00000000-0005-0000-0000-0000DA140000}"/>
    <cellStyle name="Accent1 10" xfId="5335" xr:uid="{00000000-0005-0000-0000-0000DB140000}"/>
    <cellStyle name="Accent1 11" xfId="5336" xr:uid="{00000000-0005-0000-0000-0000DC140000}"/>
    <cellStyle name="Accent1 12" xfId="5337" xr:uid="{00000000-0005-0000-0000-0000DD140000}"/>
    <cellStyle name="Accent1 13" xfId="5338" xr:uid="{00000000-0005-0000-0000-0000DE140000}"/>
    <cellStyle name="Accent1 14" xfId="5339" xr:uid="{00000000-0005-0000-0000-0000DF140000}"/>
    <cellStyle name="Accent1 15" xfId="5340" xr:uid="{00000000-0005-0000-0000-0000E0140000}"/>
    <cellStyle name="Accent1 16" xfId="5341" xr:uid="{00000000-0005-0000-0000-0000E1140000}"/>
    <cellStyle name="Accent1 17" xfId="5342" xr:uid="{00000000-0005-0000-0000-0000E2140000}"/>
    <cellStyle name="Accent1 18" xfId="5343" xr:uid="{00000000-0005-0000-0000-0000E3140000}"/>
    <cellStyle name="Accent1 19" xfId="5344" xr:uid="{00000000-0005-0000-0000-0000E4140000}"/>
    <cellStyle name="Accent1 2" xfId="66" xr:uid="{00000000-0005-0000-0000-000046000000}"/>
    <cellStyle name="Accent1 2 10" xfId="513" xr:uid="{00000000-0005-0000-0000-000005020000}"/>
    <cellStyle name="Accent1 2 11" xfId="12609" xr:uid="{00000000-0005-0000-0000-000045310000}"/>
    <cellStyle name="Accent1 2 2" xfId="514" xr:uid="{00000000-0005-0000-0000-000006020000}"/>
    <cellStyle name="Accent1 2 3" xfId="515" xr:uid="{00000000-0005-0000-0000-000007020000}"/>
    <cellStyle name="Accent1 2 4" xfId="516" xr:uid="{00000000-0005-0000-0000-000008020000}"/>
    <cellStyle name="Accent1 2 5" xfId="517" xr:uid="{00000000-0005-0000-0000-000009020000}"/>
    <cellStyle name="Accent1 2 6" xfId="518" xr:uid="{00000000-0005-0000-0000-00000A020000}"/>
    <cellStyle name="Accent1 2 7" xfId="519" xr:uid="{00000000-0005-0000-0000-00000B020000}"/>
    <cellStyle name="Accent1 2 8" xfId="520" xr:uid="{00000000-0005-0000-0000-00000C020000}"/>
    <cellStyle name="Accent1 2 9" xfId="521" xr:uid="{00000000-0005-0000-0000-00000D020000}"/>
    <cellStyle name="Accent1 20" xfId="5345" xr:uid="{00000000-0005-0000-0000-0000E5140000}"/>
    <cellStyle name="Accent1 21" xfId="5346" xr:uid="{00000000-0005-0000-0000-0000E6140000}"/>
    <cellStyle name="Accent1 22" xfId="5347" xr:uid="{00000000-0005-0000-0000-0000E7140000}"/>
    <cellStyle name="Accent1 23" xfId="5348" xr:uid="{00000000-0005-0000-0000-0000E8140000}"/>
    <cellStyle name="Accent1 24" xfId="5349" xr:uid="{00000000-0005-0000-0000-0000E9140000}"/>
    <cellStyle name="Accent1 25" xfId="5350" xr:uid="{00000000-0005-0000-0000-0000EA140000}"/>
    <cellStyle name="Accent1 26" xfId="5351" xr:uid="{00000000-0005-0000-0000-0000EB140000}"/>
    <cellStyle name="Accent1 27" xfId="5352" xr:uid="{00000000-0005-0000-0000-0000EC140000}"/>
    <cellStyle name="Accent1 28" xfId="5353" xr:uid="{00000000-0005-0000-0000-0000ED140000}"/>
    <cellStyle name="Accent1 29" xfId="5354" xr:uid="{00000000-0005-0000-0000-0000EE140000}"/>
    <cellStyle name="Accent1 3" xfId="67" xr:uid="{00000000-0005-0000-0000-000047000000}"/>
    <cellStyle name="Accent1 3 2" xfId="522" xr:uid="{00000000-0005-0000-0000-00000E020000}"/>
    <cellStyle name="Accent1 3 2 2" xfId="12610" xr:uid="{00000000-0005-0000-0000-000046310000}"/>
    <cellStyle name="Accent1 3 2 3" xfId="5355" xr:uid="{00000000-0005-0000-0000-0000EF140000}"/>
    <cellStyle name="Accent1 3 3" xfId="7463" xr:uid="{00000000-0005-0000-0000-00002B1D0000}"/>
    <cellStyle name="Accent1 3 4" xfId="8822" xr:uid="{00000000-0005-0000-0000-00007A220000}"/>
    <cellStyle name="Accent1 30" xfId="5356" xr:uid="{00000000-0005-0000-0000-0000F0140000}"/>
    <cellStyle name="Accent1 31" xfId="5357" xr:uid="{00000000-0005-0000-0000-0000F1140000}"/>
    <cellStyle name="Accent1 32" xfId="5358" xr:uid="{00000000-0005-0000-0000-0000F2140000}"/>
    <cellStyle name="Accent1 33" xfId="5359" xr:uid="{00000000-0005-0000-0000-0000F3140000}"/>
    <cellStyle name="Accent1 34" xfId="5360" xr:uid="{00000000-0005-0000-0000-0000F4140000}"/>
    <cellStyle name="Accent1 35" xfId="5361" xr:uid="{00000000-0005-0000-0000-0000F5140000}"/>
    <cellStyle name="Accent1 36" xfId="5362" xr:uid="{00000000-0005-0000-0000-0000F6140000}"/>
    <cellStyle name="Accent1 37" xfId="5363" xr:uid="{00000000-0005-0000-0000-0000F7140000}"/>
    <cellStyle name="Accent1 38" xfId="5364" xr:uid="{00000000-0005-0000-0000-0000F8140000}"/>
    <cellStyle name="Accent1 39" xfId="5365" xr:uid="{00000000-0005-0000-0000-0000F9140000}"/>
    <cellStyle name="Accent1 4" xfId="5366" xr:uid="{00000000-0005-0000-0000-0000FA140000}"/>
    <cellStyle name="Accent1 4 2" xfId="12611" xr:uid="{00000000-0005-0000-0000-000047310000}"/>
    <cellStyle name="Accent1 40" xfId="5367" xr:uid="{00000000-0005-0000-0000-0000FB140000}"/>
    <cellStyle name="Accent1 41" xfId="5368" xr:uid="{00000000-0005-0000-0000-0000FC140000}"/>
    <cellStyle name="Accent1 42" xfId="5369" xr:uid="{00000000-0005-0000-0000-0000FD140000}"/>
    <cellStyle name="Accent1 43" xfId="5370" xr:uid="{00000000-0005-0000-0000-0000FE140000}"/>
    <cellStyle name="Accent1 5" xfId="5371" xr:uid="{00000000-0005-0000-0000-0000FF140000}"/>
    <cellStyle name="Accent1 5 2" xfId="12612" xr:uid="{00000000-0005-0000-0000-000048310000}"/>
    <cellStyle name="Accent1 6" xfId="5372" xr:uid="{00000000-0005-0000-0000-000000150000}"/>
    <cellStyle name="Accent1 6 2" xfId="12613" xr:uid="{00000000-0005-0000-0000-000049310000}"/>
    <cellStyle name="Accent1 7" xfId="5373" xr:uid="{00000000-0005-0000-0000-000001150000}"/>
    <cellStyle name="Accent1 8" xfId="5374" xr:uid="{00000000-0005-0000-0000-000002150000}"/>
    <cellStyle name="Accent1 9" xfId="5375" xr:uid="{00000000-0005-0000-0000-000003150000}"/>
    <cellStyle name="Accent2 10" xfId="5376" xr:uid="{00000000-0005-0000-0000-000004150000}"/>
    <cellStyle name="Accent2 11" xfId="5377" xr:uid="{00000000-0005-0000-0000-000005150000}"/>
    <cellStyle name="Accent2 12" xfId="5378" xr:uid="{00000000-0005-0000-0000-000006150000}"/>
    <cellStyle name="Accent2 13" xfId="5379" xr:uid="{00000000-0005-0000-0000-000007150000}"/>
    <cellStyle name="Accent2 14" xfId="5380" xr:uid="{00000000-0005-0000-0000-000008150000}"/>
    <cellStyle name="Accent2 15" xfId="5381" xr:uid="{00000000-0005-0000-0000-000009150000}"/>
    <cellStyle name="Accent2 16" xfId="5382" xr:uid="{00000000-0005-0000-0000-00000A150000}"/>
    <cellStyle name="Accent2 17" xfId="5383" xr:uid="{00000000-0005-0000-0000-00000B150000}"/>
    <cellStyle name="Accent2 18" xfId="5384" xr:uid="{00000000-0005-0000-0000-00000C150000}"/>
    <cellStyle name="Accent2 19" xfId="5385" xr:uid="{00000000-0005-0000-0000-00000D150000}"/>
    <cellStyle name="Accent2 2" xfId="68" xr:uid="{00000000-0005-0000-0000-000048000000}"/>
    <cellStyle name="Accent2 2 10" xfId="523" xr:uid="{00000000-0005-0000-0000-00000F020000}"/>
    <cellStyle name="Accent2 2 11" xfId="12614" xr:uid="{00000000-0005-0000-0000-00004A310000}"/>
    <cellStyle name="Accent2 2 2" xfId="524" xr:uid="{00000000-0005-0000-0000-000010020000}"/>
    <cellStyle name="Accent2 2 3" xfId="525" xr:uid="{00000000-0005-0000-0000-000011020000}"/>
    <cellStyle name="Accent2 2 4" xfId="526" xr:uid="{00000000-0005-0000-0000-000012020000}"/>
    <cellStyle name="Accent2 2 5" xfId="527" xr:uid="{00000000-0005-0000-0000-000013020000}"/>
    <cellStyle name="Accent2 2 6" xfId="528" xr:uid="{00000000-0005-0000-0000-000014020000}"/>
    <cellStyle name="Accent2 2 7" xfId="529" xr:uid="{00000000-0005-0000-0000-000015020000}"/>
    <cellStyle name="Accent2 2 8" xfId="530" xr:uid="{00000000-0005-0000-0000-000016020000}"/>
    <cellStyle name="Accent2 2 9" xfId="531" xr:uid="{00000000-0005-0000-0000-000017020000}"/>
    <cellStyle name="Accent2 20" xfId="5386" xr:uid="{00000000-0005-0000-0000-00000E150000}"/>
    <cellStyle name="Accent2 21" xfId="5387" xr:uid="{00000000-0005-0000-0000-00000F150000}"/>
    <cellStyle name="Accent2 22" xfId="5388" xr:uid="{00000000-0005-0000-0000-000010150000}"/>
    <cellStyle name="Accent2 23" xfId="5389" xr:uid="{00000000-0005-0000-0000-000011150000}"/>
    <cellStyle name="Accent2 24" xfId="5390" xr:uid="{00000000-0005-0000-0000-000012150000}"/>
    <cellStyle name="Accent2 25" xfId="5391" xr:uid="{00000000-0005-0000-0000-000013150000}"/>
    <cellStyle name="Accent2 26" xfId="5392" xr:uid="{00000000-0005-0000-0000-000014150000}"/>
    <cellStyle name="Accent2 27" xfId="5393" xr:uid="{00000000-0005-0000-0000-000015150000}"/>
    <cellStyle name="Accent2 28" xfId="5394" xr:uid="{00000000-0005-0000-0000-000016150000}"/>
    <cellStyle name="Accent2 29" xfId="5395" xr:uid="{00000000-0005-0000-0000-000017150000}"/>
    <cellStyle name="Accent2 3" xfId="69" xr:uid="{00000000-0005-0000-0000-000049000000}"/>
    <cellStyle name="Accent2 3 2" xfId="532" xr:uid="{00000000-0005-0000-0000-000018020000}"/>
    <cellStyle name="Accent2 3 2 2" xfId="12615" xr:uid="{00000000-0005-0000-0000-00004B310000}"/>
    <cellStyle name="Accent2 3 2 3" xfId="5396" xr:uid="{00000000-0005-0000-0000-000018150000}"/>
    <cellStyle name="Accent2 3 3" xfId="7464" xr:uid="{00000000-0005-0000-0000-00002C1D0000}"/>
    <cellStyle name="Accent2 3 4" xfId="8823" xr:uid="{00000000-0005-0000-0000-00007B220000}"/>
    <cellStyle name="Accent2 30" xfId="5397" xr:uid="{00000000-0005-0000-0000-000019150000}"/>
    <cellStyle name="Accent2 31" xfId="5398" xr:uid="{00000000-0005-0000-0000-00001A150000}"/>
    <cellStyle name="Accent2 32" xfId="5399" xr:uid="{00000000-0005-0000-0000-00001B150000}"/>
    <cellStyle name="Accent2 33" xfId="5400" xr:uid="{00000000-0005-0000-0000-00001C150000}"/>
    <cellStyle name="Accent2 34" xfId="5401" xr:uid="{00000000-0005-0000-0000-00001D150000}"/>
    <cellStyle name="Accent2 35" xfId="5402" xr:uid="{00000000-0005-0000-0000-00001E150000}"/>
    <cellStyle name="Accent2 36" xfId="5403" xr:uid="{00000000-0005-0000-0000-00001F150000}"/>
    <cellStyle name="Accent2 37" xfId="5404" xr:uid="{00000000-0005-0000-0000-000020150000}"/>
    <cellStyle name="Accent2 38" xfId="5405" xr:uid="{00000000-0005-0000-0000-000021150000}"/>
    <cellStyle name="Accent2 39" xfId="5406" xr:uid="{00000000-0005-0000-0000-000022150000}"/>
    <cellStyle name="Accent2 4" xfId="5407" xr:uid="{00000000-0005-0000-0000-000023150000}"/>
    <cellStyle name="Accent2 4 2" xfId="12616" xr:uid="{00000000-0005-0000-0000-00004C310000}"/>
    <cellStyle name="Accent2 40" xfId="5408" xr:uid="{00000000-0005-0000-0000-000024150000}"/>
    <cellStyle name="Accent2 41" xfId="5409" xr:uid="{00000000-0005-0000-0000-000025150000}"/>
    <cellStyle name="Accent2 42" xfId="5410" xr:uid="{00000000-0005-0000-0000-000026150000}"/>
    <cellStyle name="Accent2 43" xfId="5411" xr:uid="{00000000-0005-0000-0000-000027150000}"/>
    <cellStyle name="Accent2 5" xfId="5412" xr:uid="{00000000-0005-0000-0000-000028150000}"/>
    <cellStyle name="Accent2 5 2" xfId="12617" xr:uid="{00000000-0005-0000-0000-00004D310000}"/>
    <cellStyle name="Accent2 6" xfId="5413" xr:uid="{00000000-0005-0000-0000-000029150000}"/>
    <cellStyle name="Accent2 6 2" xfId="12618" xr:uid="{00000000-0005-0000-0000-00004E310000}"/>
    <cellStyle name="Accent2 7" xfId="5414" xr:uid="{00000000-0005-0000-0000-00002A150000}"/>
    <cellStyle name="Accent2 8" xfId="5415" xr:uid="{00000000-0005-0000-0000-00002B150000}"/>
    <cellStyle name="Accent2 9" xfId="5416" xr:uid="{00000000-0005-0000-0000-00002C150000}"/>
    <cellStyle name="Accent3 10" xfId="5417" xr:uid="{00000000-0005-0000-0000-00002D150000}"/>
    <cellStyle name="Accent3 11" xfId="5418" xr:uid="{00000000-0005-0000-0000-00002E150000}"/>
    <cellStyle name="Accent3 12" xfId="5419" xr:uid="{00000000-0005-0000-0000-00002F150000}"/>
    <cellStyle name="Accent3 13" xfId="5420" xr:uid="{00000000-0005-0000-0000-000030150000}"/>
    <cellStyle name="Accent3 14" xfId="5421" xr:uid="{00000000-0005-0000-0000-000031150000}"/>
    <cellStyle name="Accent3 15" xfId="5422" xr:uid="{00000000-0005-0000-0000-000032150000}"/>
    <cellStyle name="Accent3 16" xfId="5423" xr:uid="{00000000-0005-0000-0000-000033150000}"/>
    <cellStyle name="Accent3 17" xfId="5424" xr:uid="{00000000-0005-0000-0000-000034150000}"/>
    <cellStyle name="Accent3 18" xfId="5425" xr:uid="{00000000-0005-0000-0000-000035150000}"/>
    <cellStyle name="Accent3 19" xfId="5426" xr:uid="{00000000-0005-0000-0000-000036150000}"/>
    <cellStyle name="Accent3 2" xfId="70" xr:uid="{00000000-0005-0000-0000-00004A000000}"/>
    <cellStyle name="Accent3 2 10" xfId="533" xr:uid="{00000000-0005-0000-0000-000019020000}"/>
    <cellStyle name="Accent3 2 11" xfId="12619" xr:uid="{00000000-0005-0000-0000-00004F310000}"/>
    <cellStyle name="Accent3 2 2" xfId="534" xr:uid="{00000000-0005-0000-0000-00001A020000}"/>
    <cellStyle name="Accent3 2 3" xfId="535" xr:uid="{00000000-0005-0000-0000-00001B020000}"/>
    <cellStyle name="Accent3 2 4" xfId="536" xr:uid="{00000000-0005-0000-0000-00001C020000}"/>
    <cellStyle name="Accent3 2 5" xfId="537" xr:uid="{00000000-0005-0000-0000-00001D020000}"/>
    <cellStyle name="Accent3 2 6" xfId="538" xr:uid="{00000000-0005-0000-0000-00001E020000}"/>
    <cellStyle name="Accent3 2 7" xfId="539" xr:uid="{00000000-0005-0000-0000-00001F020000}"/>
    <cellStyle name="Accent3 2 8" xfId="540" xr:uid="{00000000-0005-0000-0000-000020020000}"/>
    <cellStyle name="Accent3 2 9" xfId="541" xr:uid="{00000000-0005-0000-0000-000021020000}"/>
    <cellStyle name="Accent3 20" xfId="5427" xr:uid="{00000000-0005-0000-0000-000037150000}"/>
    <cellStyle name="Accent3 21" xfId="5428" xr:uid="{00000000-0005-0000-0000-000038150000}"/>
    <cellStyle name="Accent3 22" xfId="5429" xr:uid="{00000000-0005-0000-0000-000039150000}"/>
    <cellStyle name="Accent3 23" xfId="5430" xr:uid="{00000000-0005-0000-0000-00003A150000}"/>
    <cellStyle name="Accent3 24" xfId="5431" xr:uid="{00000000-0005-0000-0000-00003B150000}"/>
    <cellStyle name="Accent3 25" xfId="5432" xr:uid="{00000000-0005-0000-0000-00003C150000}"/>
    <cellStyle name="Accent3 26" xfId="5433" xr:uid="{00000000-0005-0000-0000-00003D150000}"/>
    <cellStyle name="Accent3 27" xfId="5434" xr:uid="{00000000-0005-0000-0000-00003E150000}"/>
    <cellStyle name="Accent3 28" xfId="5435" xr:uid="{00000000-0005-0000-0000-00003F150000}"/>
    <cellStyle name="Accent3 29" xfId="5436" xr:uid="{00000000-0005-0000-0000-000040150000}"/>
    <cellStyle name="Accent3 3" xfId="71" xr:uid="{00000000-0005-0000-0000-00004B000000}"/>
    <cellStyle name="Accent3 3 2" xfId="542" xr:uid="{00000000-0005-0000-0000-000022020000}"/>
    <cellStyle name="Accent3 3 2 2" xfId="12620" xr:uid="{00000000-0005-0000-0000-000050310000}"/>
    <cellStyle name="Accent3 3 2 3" xfId="5437" xr:uid="{00000000-0005-0000-0000-000041150000}"/>
    <cellStyle name="Accent3 3 3" xfId="7465" xr:uid="{00000000-0005-0000-0000-00002D1D0000}"/>
    <cellStyle name="Accent3 3 4" xfId="8824" xr:uid="{00000000-0005-0000-0000-00007C220000}"/>
    <cellStyle name="Accent3 30" xfId="5438" xr:uid="{00000000-0005-0000-0000-000042150000}"/>
    <cellStyle name="Accent3 31" xfId="5439" xr:uid="{00000000-0005-0000-0000-000043150000}"/>
    <cellStyle name="Accent3 32" xfId="5440" xr:uid="{00000000-0005-0000-0000-000044150000}"/>
    <cellStyle name="Accent3 33" xfId="5441" xr:uid="{00000000-0005-0000-0000-000045150000}"/>
    <cellStyle name="Accent3 34" xfId="5442" xr:uid="{00000000-0005-0000-0000-000046150000}"/>
    <cellStyle name="Accent3 35" xfId="5443" xr:uid="{00000000-0005-0000-0000-000047150000}"/>
    <cellStyle name="Accent3 36" xfId="5444" xr:uid="{00000000-0005-0000-0000-000048150000}"/>
    <cellStyle name="Accent3 37" xfId="5445" xr:uid="{00000000-0005-0000-0000-000049150000}"/>
    <cellStyle name="Accent3 38" xfId="5446" xr:uid="{00000000-0005-0000-0000-00004A150000}"/>
    <cellStyle name="Accent3 39" xfId="5447" xr:uid="{00000000-0005-0000-0000-00004B150000}"/>
    <cellStyle name="Accent3 4" xfId="5448" xr:uid="{00000000-0005-0000-0000-00004C150000}"/>
    <cellStyle name="Accent3 4 2" xfId="12621" xr:uid="{00000000-0005-0000-0000-000051310000}"/>
    <cellStyle name="Accent3 40" xfId="5449" xr:uid="{00000000-0005-0000-0000-00004D150000}"/>
    <cellStyle name="Accent3 41" xfId="5450" xr:uid="{00000000-0005-0000-0000-00004E150000}"/>
    <cellStyle name="Accent3 42" xfId="5451" xr:uid="{00000000-0005-0000-0000-00004F150000}"/>
    <cellStyle name="Accent3 43" xfId="5452" xr:uid="{00000000-0005-0000-0000-000050150000}"/>
    <cellStyle name="Accent3 5" xfId="5453" xr:uid="{00000000-0005-0000-0000-000051150000}"/>
    <cellStyle name="Accent3 5 2" xfId="12622" xr:uid="{00000000-0005-0000-0000-000052310000}"/>
    <cellStyle name="Accent3 6" xfId="5454" xr:uid="{00000000-0005-0000-0000-000052150000}"/>
    <cellStyle name="Accent3 6 2" xfId="12623" xr:uid="{00000000-0005-0000-0000-000053310000}"/>
    <cellStyle name="Accent3 7" xfId="5455" xr:uid="{00000000-0005-0000-0000-000053150000}"/>
    <cellStyle name="Accent3 8" xfId="5456" xr:uid="{00000000-0005-0000-0000-000054150000}"/>
    <cellStyle name="Accent3 9" xfId="5457" xr:uid="{00000000-0005-0000-0000-000055150000}"/>
    <cellStyle name="Accent4 10" xfId="5458" xr:uid="{00000000-0005-0000-0000-000056150000}"/>
    <cellStyle name="Accent4 11" xfId="5459" xr:uid="{00000000-0005-0000-0000-000057150000}"/>
    <cellStyle name="Accent4 12" xfId="5460" xr:uid="{00000000-0005-0000-0000-000058150000}"/>
    <cellStyle name="Accent4 13" xfId="5461" xr:uid="{00000000-0005-0000-0000-000059150000}"/>
    <cellStyle name="Accent4 14" xfId="5462" xr:uid="{00000000-0005-0000-0000-00005A150000}"/>
    <cellStyle name="Accent4 15" xfId="5463" xr:uid="{00000000-0005-0000-0000-00005B150000}"/>
    <cellStyle name="Accent4 16" xfId="5464" xr:uid="{00000000-0005-0000-0000-00005C150000}"/>
    <cellStyle name="Accent4 17" xfId="5465" xr:uid="{00000000-0005-0000-0000-00005D150000}"/>
    <cellStyle name="Accent4 18" xfId="5466" xr:uid="{00000000-0005-0000-0000-00005E150000}"/>
    <cellStyle name="Accent4 19" xfId="5467" xr:uid="{00000000-0005-0000-0000-00005F150000}"/>
    <cellStyle name="Accent4 2" xfId="72" xr:uid="{00000000-0005-0000-0000-00004C000000}"/>
    <cellStyle name="Accent4 2 10" xfId="543" xr:uid="{00000000-0005-0000-0000-000023020000}"/>
    <cellStyle name="Accent4 2 11" xfId="12624" xr:uid="{00000000-0005-0000-0000-000054310000}"/>
    <cellStyle name="Accent4 2 2" xfId="544" xr:uid="{00000000-0005-0000-0000-000024020000}"/>
    <cellStyle name="Accent4 2 3" xfId="545" xr:uid="{00000000-0005-0000-0000-000025020000}"/>
    <cellStyle name="Accent4 2 4" xfId="546" xr:uid="{00000000-0005-0000-0000-000026020000}"/>
    <cellStyle name="Accent4 2 5" xfId="547" xr:uid="{00000000-0005-0000-0000-000027020000}"/>
    <cellStyle name="Accent4 2 6" xfId="548" xr:uid="{00000000-0005-0000-0000-000028020000}"/>
    <cellStyle name="Accent4 2 7" xfId="549" xr:uid="{00000000-0005-0000-0000-000029020000}"/>
    <cellStyle name="Accent4 2 8" xfId="550" xr:uid="{00000000-0005-0000-0000-00002A020000}"/>
    <cellStyle name="Accent4 2 9" xfId="551" xr:uid="{00000000-0005-0000-0000-00002B020000}"/>
    <cellStyle name="Accent4 20" xfId="5468" xr:uid="{00000000-0005-0000-0000-000060150000}"/>
    <cellStyle name="Accent4 21" xfId="5469" xr:uid="{00000000-0005-0000-0000-000061150000}"/>
    <cellStyle name="Accent4 22" xfId="5470" xr:uid="{00000000-0005-0000-0000-000062150000}"/>
    <cellStyle name="Accent4 23" xfId="5471" xr:uid="{00000000-0005-0000-0000-000063150000}"/>
    <cellStyle name="Accent4 24" xfId="5472" xr:uid="{00000000-0005-0000-0000-000064150000}"/>
    <cellStyle name="Accent4 25" xfId="5473" xr:uid="{00000000-0005-0000-0000-000065150000}"/>
    <cellStyle name="Accent4 26" xfId="5474" xr:uid="{00000000-0005-0000-0000-000066150000}"/>
    <cellStyle name="Accent4 27" xfId="5475" xr:uid="{00000000-0005-0000-0000-000067150000}"/>
    <cellStyle name="Accent4 28" xfId="5476" xr:uid="{00000000-0005-0000-0000-000068150000}"/>
    <cellStyle name="Accent4 29" xfId="5477" xr:uid="{00000000-0005-0000-0000-000069150000}"/>
    <cellStyle name="Accent4 3" xfId="73" xr:uid="{00000000-0005-0000-0000-00004D000000}"/>
    <cellStyle name="Accent4 3 2" xfId="552" xr:uid="{00000000-0005-0000-0000-00002C020000}"/>
    <cellStyle name="Accent4 3 2 2" xfId="12625" xr:uid="{00000000-0005-0000-0000-000055310000}"/>
    <cellStyle name="Accent4 3 2 3" xfId="5478" xr:uid="{00000000-0005-0000-0000-00006A150000}"/>
    <cellStyle name="Accent4 3 3" xfId="7466" xr:uid="{00000000-0005-0000-0000-00002E1D0000}"/>
    <cellStyle name="Accent4 3 4" xfId="8825" xr:uid="{00000000-0005-0000-0000-00007D220000}"/>
    <cellStyle name="Accent4 30" xfId="5479" xr:uid="{00000000-0005-0000-0000-00006B150000}"/>
    <cellStyle name="Accent4 31" xfId="5480" xr:uid="{00000000-0005-0000-0000-00006C150000}"/>
    <cellStyle name="Accent4 32" xfId="5481" xr:uid="{00000000-0005-0000-0000-00006D150000}"/>
    <cellStyle name="Accent4 33" xfId="5482" xr:uid="{00000000-0005-0000-0000-00006E150000}"/>
    <cellStyle name="Accent4 34" xfId="5483" xr:uid="{00000000-0005-0000-0000-00006F150000}"/>
    <cellStyle name="Accent4 35" xfId="5484" xr:uid="{00000000-0005-0000-0000-000070150000}"/>
    <cellStyle name="Accent4 36" xfId="5485" xr:uid="{00000000-0005-0000-0000-000071150000}"/>
    <cellStyle name="Accent4 37" xfId="5486" xr:uid="{00000000-0005-0000-0000-000072150000}"/>
    <cellStyle name="Accent4 38" xfId="5487" xr:uid="{00000000-0005-0000-0000-000073150000}"/>
    <cellStyle name="Accent4 39" xfId="5488" xr:uid="{00000000-0005-0000-0000-000074150000}"/>
    <cellStyle name="Accent4 4" xfId="5489" xr:uid="{00000000-0005-0000-0000-000075150000}"/>
    <cellStyle name="Accent4 4 2" xfId="12626" xr:uid="{00000000-0005-0000-0000-000056310000}"/>
    <cellStyle name="Accent4 40" xfId="5490" xr:uid="{00000000-0005-0000-0000-000076150000}"/>
    <cellStyle name="Accent4 41" xfId="5491" xr:uid="{00000000-0005-0000-0000-000077150000}"/>
    <cellStyle name="Accent4 42" xfId="5492" xr:uid="{00000000-0005-0000-0000-000078150000}"/>
    <cellStyle name="Accent4 43" xfId="5493" xr:uid="{00000000-0005-0000-0000-000079150000}"/>
    <cellStyle name="Accent4 5" xfId="5494" xr:uid="{00000000-0005-0000-0000-00007A150000}"/>
    <cellStyle name="Accent4 5 2" xfId="12627" xr:uid="{00000000-0005-0000-0000-000057310000}"/>
    <cellStyle name="Accent4 6" xfId="5495" xr:uid="{00000000-0005-0000-0000-00007B150000}"/>
    <cellStyle name="Accent4 6 2" xfId="12628" xr:uid="{00000000-0005-0000-0000-000058310000}"/>
    <cellStyle name="Accent4 7" xfId="5496" xr:uid="{00000000-0005-0000-0000-00007C150000}"/>
    <cellStyle name="Accent4 8" xfId="5497" xr:uid="{00000000-0005-0000-0000-00007D150000}"/>
    <cellStyle name="Accent4 9" xfId="5498" xr:uid="{00000000-0005-0000-0000-00007E150000}"/>
    <cellStyle name="Accent5 10" xfId="5499" xr:uid="{00000000-0005-0000-0000-00007F150000}"/>
    <cellStyle name="Accent5 11" xfId="5500" xr:uid="{00000000-0005-0000-0000-000080150000}"/>
    <cellStyle name="Accent5 12" xfId="5501" xr:uid="{00000000-0005-0000-0000-000081150000}"/>
    <cellStyle name="Accent5 13" xfId="5502" xr:uid="{00000000-0005-0000-0000-000082150000}"/>
    <cellStyle name="Accent5 14" xfId="5503" xr:uid="{00000000-0005-0000-0000-000083150000}"/>
    <cellStyle name="Accent5 15" xfId="5504" xr:uid="{00000000-0005-0000-0000-000084150000}"/>
    <cellStyle name="Accent5 16" xfId="5505" xr:uid="{00000000-0005-0000-0000-000085150000}"/>
    <cellStyle name="Accent5 17" xfId="5506" xr:uid="{00000000-0005-0000-0000-000086150000}"/>
    <cellStyle name="Accent5 18" xfId="5507" xr:uid="{00000000-0005-0000-0000-000087150000}"/>
    <cellStyle name="Accent5 19" xfId="5508" xr:uid="{00000000-0005-0000-0000-000088150000}"/>
    <cellStyle name="Accent5 2" xfId="12" xr:uid="{00000000-0005-0000-0000-000010000000}"/>
    <cellStyle name="Accent5 2 10" xfId="553" xr:uid="{00000000-0005-0000-0000-00002D020000}"/>
    <cellStyle name="Accent5 2 11" xfId="74" xr:uid="{00000000-0005-0000-0000-00004E000000}"/>
    <cellStyle name="Accent5 2 2" xfId="554" xr:uid="{00000000-0005-0000-0000-00002E020000}"/>
    <cellStyle name="Accent5 2 3" xfId="555" xr:uid="{00000000-0005-0000-0000-00002F020000}"/>
    <cellStyle name="Accent5 2 4" xfId="556" xr:uid="{00000000-0005-0000-0000-000030020000}"/>
    <cellStyle name="Accent5 2 5" xfId="557" xr:uid="{00000000-0005-0000-0000-000031020000}"/>
    <cellStyle name="Accent5 2 6" xfId="558" xr:uid="{00000000-0005-0000-0000-000032020000}"/>
    <cellStyle name="Accent5 2 7" xfId="559" xr:uid="{00000000-0005-0000-0000-000033020000}"/>
    <cellStyle name="Accent5 2 8" xfId="560" xr:uid="{00000000-0005-0000-0000-000034020000}"/>
    <cellStyle name="Accent5 2 9" xfId="561" xr:uid="{00000000-0005-0000-0000-000035020000}"/>
    <cellStyle name="Accent5 20" xfId="5509" xr:uid="{00000000-0005-0000-0000-000089150000}"/>
    <cellStyle name="Accent5 21" xfId="5510" xr:uid="{00000000-0005-0000-0000-00008A150000}"/>
    <cellStyle name="Accent5 22" xfId="5511" xr:uid="{00000000-0005-0000-0000-00008B150000}"/>
    <cellStyle name="Accent5 23" xfId="5512" xr:uid="{00000000-0005-0000-0000-00008C150000}"/>
    <cellStyle name="Accent5 24" xfId="5513" xr:uid="{00000000-0005-0000-0000-00008D150000}"/>
    <cellStyle name="Accent5 25" xfId="5514" xr:uid="{00000000-0005-0000-0000-00008E150000}"/>
    <cellStyle name="Accent5 26" xfId="5515" xr:uid="{00000000-0005-0000-0000-00008F150000}"/>
    <cellStyle name="Accent5 27" xfId="5516" xr:uid="{00000000-0005-0000-0000-000090150000}"/>
    <cellStyle name="Accent5 28" xfId="5517" xr:uid="{00000000-0005-0000-0000-000091150000}"/>
    <cellStyle name="Accent5 29" xfId="5518" xr:uid="{00000000-0005-0000-0000-000092150000}"/>
    <cellStyle name="Accent5 3" xfId="75" xr:uid="{00000000-0005-0000-0000-00004F000000}"/>
    <cellStyle name="Accent5 3 2" xfId="5519" xr:uid="{00000000-0005-0000-0000-000093150000}"/>
    <cellStyle name="Accent5 30" xfId="5520" xr:uid="{00000000-0005-0000-0000-000094150000}"/>
    <cellStyle name="Accent5 31" xfId="5521" xr:uid="{00000000-0005-0000-0000-000095150000}"/>
    <cellStyle name="Accent5 32" xfId="5522" xr:uid="{00000000-0005-0000-0000-000096150000}"/>
    <cellStyle name="Accent5 33" xfId="5523" xr:uid="{00000000-0005-0000-0000-000097150000}"/>
    <cellStyle name="Accent5 34" xfId="5524" xr:uid="{00000000-0005-0000-0000-000098150000}"/>
    <cellStyle name="Accent5 35" xfId="5525" xr:uid="{00000000-0005-0000-0000-000099150000}"/>
    <cellStyle name="Accent5 36" xfId="5526" xr:uid="{00000000-0005-0000-0000-00009A150000}"/>
    <cellStyle name="Accent5 37" xfId="5527" xr:uid="{00000000-0005-0000-0000-00009B150000}"/>
    <cellStyle name="Accent5 38" xfId="5528" xr:uid="{00000000-0005-0000-0000-00009C150000}"/>
    <cellStyle name="Accent5 39" xfId="5529" xr:uid="{00000000-0005-0000-0000-00009D150000}"/>
    <cellStyle name="Accent5 4" xfId="5530" xr:uid="{00000000-0005-0000-0000-00009E150000}"/>
    <cellStyle name="Accent5 4 2" xfId="12629" xr:uid="{00000000-0005-0000-0000-000059310000}"/>
    <cellStyle name="Accent5 40" xfId="5531" xr:uid="{00000000-0005-0000-0000-00009F150000}"/>
    <cellStyle name="Accent5 41" xfId="5532" xr:uid="{00000000-0005-0000-0000-0000A0150000}"/>
    <cellStyle name="Accent5 42" xfId="5533" xr:uid="{00000000-0005-0000-0000-0000A1150000}"/>
    <cellStyle name="Accent5 43" xfId="5534" xr:uid="{00000000-0005-0000-0000-0000A2150000}"/>
    <cellStyle name="Accent5 44" xfId="29409" xr:uid="{00000000-0005-0000-0000-0000E5720000}"/>
    <cellStyle name="Accent5 5" xfId="5535" xr:uid="{00000000-0005-0000-0000-0000A3150000}"/>
    <cellStyle name="Accent5 5 2" xfId="12630" xr:uid="{00000000-0005-0000-0000-00005A310000}"/>
    <cellStyle name="Accent5 6" xfId="5536" xr:uid="{00000000-0005-0000-0000-0000A4150000}"/>
    <cellStyle name="Accent5 6 2" xfId="12631" xr:uid="{00000000-0005-0000-0000-00005B310000}"/>
    <cellStyle name="Accent5 7" xfId="5537" xr:uid="{00000000-0005-0000-0000-0000A5150000}"/>
    <cellStyle name="Accent5 8" xfId="5538" xr:uid="{00000000-0005-0000-0000-0000A6150000}"/>
    <cellStyle name="Accent5 9" xfId="5539" xr:uid="{00000000-0005-0000-0000-0000A7150000}"/>
    <cellStyle name="Accent6 10" xfId="5540" xr:uid="{00000000-0005-0000-0000-0000A8150000}"/>
    <cellStyle name="Accent6 11" xfId="5541" xr:uid="{00000000-0005-0000-0000-0000A9150000}"/>
    <cellStyle name="Accent6 12" xfId="5542" xr:uid="{00000000-0005-0000-0000-0000AA150000}"/>
    <cellStyle name="Accent6 13" xfId="5543" xr:uid="{00000000-0005-0000-0000-0000AB150000}"/>
    <cellStyle name="Accent6 14" xfId="5544" xr:uid="{00000000-0005-0000-0000-0000AC150000}"/>
    <cellStyle name="Accent6 15" xfId="5545" xr:uid="{00000000-0005-0000-0000-0000AD150000}"/>
    <cellStyle name="Accent6 16" xfId="5546" xr:uid="{00000000-0005-0000-0000-0000AE150000}"/>
    <cellStyle name="Accent6 17" xfId="5547" xr:uid="{00000000-0005-0000-0000-0000AF150000}"/>
    <cellStyle name="Accent6 18" xfId="5548" xr:uid="{00000000-0005-0000-0000-0000B0150000}"/>
    <cellStyle name="Accent6 19" xfId="5549" xr:uid="{00000000-0005-0000-0000-0000B1150000}"/>
    <cellStyle name="Accent6 2" xfId="76" xr:uid="{00000000-0005-0000-0000-000050000000}"/>
    <cellStyle name="Accent6 2 10" xfId="562" xr:uid="{00000000-0005-0000-0000-000036020000}"/>
    <cellStyle name="Accent6 2 11" xfId="12632" xr:uid="{00000000-0005-0000-0000-00005C310000}"/>
    <cellStyle name="Accent6 2 2" xfId="563" xr:uid="{00000000-0005-0000-0000-000037020000}"/>
    <cellStyle name="Accent6 2 3" xfId="564" xr:uid="{00000000-0005-0000-0000-000038020000}"/>
    <cellStyle name="Accent6 2 4" xfId="565" xr:uid="{00000000-0005-0000-0000-000039020000}"/>
    <cellStyle name="Accent6 2 5" xfId="566" xr:uid="{00000000-0005-0000-0000-00003A020000}"/>
    <cellStyle name="Accent6 2 6" xfId="567" xr:uid="{00000000-0005-0000-0000-00003B020000}"/>
    <cellStyle name="Accent6 2 7" xfId="568" xr:uid="{00000000-0005-0000-0000-00003C020000}"/>
    <cellStyle name="Accent6 2 8" xfId="569" xr:uid="{00000000-0005-0000-0000-00003D020000}"/>
    <cellStyle name="Accent6 2 9" xfId="570" xr:uid="{00000000-0005-0000-0000-00003E020000}"/>
    <cellStyle name="Accent6 20" xfId="5550" xr:uid="{00000000-0005-0000-0000-0000B2150000}"/>
    <cellStyle name="Accent6 21" xfId="5551" xr:uid="{00000000-0005-0000-0000-0000B3150000}"/>
    <cellStyle name="Accent6 22" xfId="5552" xr:uid="{00000000-0005-0000-0000-0000B4150000}"/>
    <cellStyle name="Accent6 23" xfId="5553" xr:uid="{00000000-0005-0000-0000-0000B5150000}"/>
    <cellStyle name="Accent6 24" xfId="5554" xr:uid="{00000000-0005-0000-0000-0000B6150000}"/>
    <cellStyle name="Accent6 25" xfId="5555" xr:uid="{00000000-0005-0000-0000-0000B7150000}"/>
    <cellStyle name="Accent6 26" xfId="5556" xr:uid="{00000000-0005-0000-0000-0000B8150000}"/>
    <cellStyle name="Accent6 27" xfId="5557" xr:uid="{00000000-0005-0000-0000-0000B9150000}"/>
    <cellStyle name="Accent6 28" xfId="5558" xr:uid="{00000000-0005-0000-0000-0000BA150000}"/>
    <cellStyle name="Accent6 29" xfId="5559" xr:uid="{00000000-0005-0000-0000-0000BB150000}"/>
    <cellStyle name="Accent6 3" xfId="77" xr:uid="{00000000-0005-0000-0000-000051000000}"/>
    <cellStyle name="Accent6 3 2" xfId="571" xr:uid="{00000000-0005-0000-0000-00003F020000}"/>
    <cellStyle name="Accent6 3 2 2" xfId="12633" xr:uid="{00000000-0005-0000-0000-00005D310000}"/>
    <cellStyle name="Accent6 3 2 3" xfId="5560" xr:uid="{00000000-0005-0000-0000-0000BC150000}"/>
    <cellStyle name="Accent6 3 3" xfId="7467" xr:uid="{00000000-0005-0000-0000-00002F1D0000}"/>
    <cellStyle name="Accent6 3 4" xfId="8826" xr:uid="{00000000-0005-0000-0000-00007E220000}"/>
    <cellStyle name="Accent6 30" xfId="5561" xr:uid="{00000000-0005-0000-0000-0000BD150000}"/>
    <cellStyle name="Accent6 31" xfId="5562" xr:uid="{00000000-0005-0000-0000-0000BE150000}"/>
    <cellStyle name="Accent6 32" xfId="5563" xr:uid="{00000000-0005-0000-0000-0000BF150000}"/>
    <cellStyle name="Accent6 33" xfId="5564" xr:uid="{00000000-0005-0000-0000-0000C0150000}"/>
    <cellStyle name="Accent6 34" xfId="5565" xr:uid="{00000000-0005-0000-0000-0000C1150000}"/>
    <cellStyle name="Accent6 35" xfId="5566" xr:uid="{00000000-0005-0000-0000-0000C2150000}"/>
    <cellStyle name="Accent6 36" xfId="5567" xr:uid="{00000000-0005-0000-0000-0000C3150000}"/>
    <cellStyle name="Accent6 37" xfId="5568" xr:uid="{00000000-0005-0000-0000-0000C4150000}"/>
    <cellStyle name="Accent6 38" xfId="5569" xr:uid="{00000000-0005-0000-0000-0000C5150000}"/>
    <cellStyle name="Accent6 39" xfId="5570" xr:uid="{00000000-0005-0000-0000-0000C6150000}"/>
    <cellStyle name="Accent6 4" xfId="5571" xr:uid="{00000000-0005-0000-0000-0000C7150000}"/>
    <cellStyle name="Accent6 4 2" xfId="12634" xr:uid="{00000000-0005-0000-0000-00005E310000}"/>
    <cellStyle name="Accent6 40" xfId="5572" xr:uid="{00000000-0005-0000-0000-0000C8150000}"/>
    <cellStyle name="Accent6 41" xfId="5573" xr:uid="{00000000-0005-0000-0000-0000C9150000}"/>
    <cellStyle name="Accent6 42" xfId="5574" xr:uid="{00000000-0005-0000-0000-0000CA150000}"/>
    <cellStyle name="Accent6 43" xfId="5575" xr:uid="{00000000-0005-0000-0000-0000CB150000}"/>
    <cellStyle name="Accent6 5" xfId="5576" xr:uid="{00000000-0005-0000-0000-0000CC150000}"/>
    <cellStyle name="Accent6 5 2" xfId="12635" xr:uid="{00000000-0005-0000-0000-00005F310000}"/>
    <cellStyle name="Accent6 6" xfId="5577" xr:uid="{00000000-0005-0000-0000-0000CD150000}"/>
    <cellStyle name="Accent6 6 2" xfId="12636" xr:uid="{00000000-0005-0000-0000-000060310000}"/>
    <cellStyle name="Accent6 7" xfId="5578" xr:uid="{00000000-0005-0000-0000-0000CE150000}"/>
    <cellStyle name="Accent6 8" xfId="5579" xr:uid="{00000000-0005-0000-0000-0000CF150000}"/>
    <cellStyle name="Accent6 9" xfId="5580" xr:uid="{00000000-0005-0000-0000-0000D0150000}"/>
    <cellStyle name="AggblueBoldCels" xfId="5581" xr:uid="{00000000-0005-0000-0000-0000D1150000}"/>
    <cellStyle name="AggblueCels" xfId="5582" xr:uid="{00000000-0005-0000-0000-0000D2150000}"/>
    <cellStyle name="AggBoldCells" xfId="5583" xr:uid="{00000000-0005-0000-0000-0000D3150000}"/>
    <cellStyle name="AggCels" xfId="5584" xr:uid="{00000000-0005-0000-0000-0000D4150000}"/>
    <cellStyle name="AggGreen" xfId="5585" xr:uid="{00000000-0005-0000-0000-0000D5150000}"/>
    <cellStyle name="AggGreen12" xfId="5586" xr:uid="{00000000-0005-0000-0000-0000D6150000}"/>
    <cellStyle name="AggOrange" xfId="5587" xr:uid="{00000000-0005-0000-0000-0000D7150000}"/>
    <cellStyle name="AggOrange9" xfId="5588" xr:uid="{00000000-0005-0000-0000-0000D8150000}"/>
    <cellStyle name="AggOrangeLB_2x" xfId="5589" xr:uid="{00000000-0005-0000-0000-0000D9150000}"/>
    <cellStyle name="AggOrangeLBorder" xfId="5590" xr:uid="{00000000-0005-0000-0000-0000DA150000}"/>
    <cellStyle name="AggOrangeRBorder" xfId="5591" xr:uid="{00000000-0005-0000-0000-0000DB150000}"/>
    <cellStyle name="Akzent1" xfId="5592" xr:uid="{00000000-0005-0000-0000-0000DC150000}"/>
    <cellStyle name="Akzent2" xfId="5593" xr:uid="{00000000-0005-0000-0000-0000DD150000}"/>
    <cellStyle name="Akzent3" xfId="5594" xr:uid="{00000000-0005-0000-0000-0000DE150000}"/>
    <cellStyle name="Akzent4" xfId="5595" xr:uid="{00000000-0005-0000-0000-0000DF150000}"/>
    <cellStyle name="Akzent5" xfId="5596" xr:uid="{00000000-0005-0000-0000-0000E0150000}"/>
    <cellStyle name="Akzent6" xfId="5597" xr:uid="{00000000-0005-0000-0000-0000E1150000}"/>
    <cellStyle name="Ausgabe" xfId="5598" xr:uid="{00000000-0005-0000-0000-0000E2150000}"/>
    <cellStyle name="Bad 10" xfId="5599" xr:uid="{00000000-0005-0000-0000-0000E3150000}"/>
    <cellStyle name="Bad 11" xfId="5600" xr:uid="{00000000-0005-0000-0000-0000E4150000}"/>
    <cellStyle name="Bad 12" xfId="5601" xr:uid="{00000000-0005-0000-0000-0000E5150000}"/>
    <cellStyle name="Bad 13" xfId="5602" xr:uid="{00000000-0005-0000-0000-0000E6150000}"/>
    <cellStyle name="Bad 14" xfId="5603" xr:uid="{00000000-0005-0000-0000-0000E7150000}"/>
    <cellStyle name="Bad 15" xfId="5604" xr:uid="{00000000-0005-0000-0000-0000E8150000}"/>
    <cellStyle name="Bad 16" xfId="5605" xr:uid="{00000000-0005-0000-0000-0000E9150000}"/>
    <cellStyle name="Bad 17" xfId="5606" xr:uid="{00000000-0005-0000-0000-0000EA150000}"/>
    <cellStyle name="Bad 18" xfId="5607" xr:uid="{00000000-0005-0000-0000-0000EB150000}"/>
    <cellStyle name="Bad 19" xfId="5608" xr:uid="{00000000-0005-0000-0000-0000EC150000}"/>
    <cellStyle name="Bad 2" xfId="78" xr:uid="{00000000-0005-0000-0000-000052000000}"/>
    <cellStyle name="Bad 2 10" xfId="572" xr:uid="{00000000-0005-0000-0000-000040020000}"/>
    <cellStyle name="Bad 2 11" xfId="12637" xr:uid="{00000000-0005-0000-0000-000061310000}"/>
    <cellStyle name="Bad 2 2" xfId="573" xr:uid="{00000000-0005-0000-0000-000041020000}"/>
    <cellStyle name="Bad 2 3" xfId="574" xr:uid="{00000000-0005-0000-0000-000042020000}"/>
    <cellStyle name="Bad 2 4" xfId="575" xr:uid="{00000000-0005-0000-0000-000043020000}"/>
    <cellStyle name="Bad 2 5" xfId="576" xr:uid="{00000000-0005-0000-0000-000044020000}"/>
    <cellStyle name="Bad 2 6" xfId="577" xr:uid="{00000000-0005-0000-0000-000045020000}"/>
    <cellStyle name="Bad 2 7" xfId="578" xr:uid="{00000000-0005-0000-0000-000046020000}"/>
    <cellStyle name="Bad 2 8" xfId="579" xr:uid="{00000000-0005-0000-0000-000047020000}"/>
    <cellStyle name="Bad 2 9" xfId="580" xr:uid="{00000000-0005-0000-0000-000048020000}"/>
    <cellStyle name="Bad 20" xfId="5609" xr:uid="{00000000-0005-0000-0000-0000ED150000}"/>
    <cellStyle name="Bad 21" xfId="5610" xr:uid="{00000000-0005-0000-0000-0000EE150000}"/>
    <cellStyle name="Bad 22" xfId="5611" xr:uid="{00000000-0005-0000-0000-0000EF150000}"/>
    <cellStyle name="Bad 23" xfId="5612" xr:uid="{00000000-0005-0000-0000-0000F0150000}"/>
    <cellStyle name="Bad 24" xfId="5613" xr:uid="{00000000-0005-0000-0000-0000F1150000}"/>
    <cellStyle name="Bad 25" xfId="5614" xr:uid="{00000000-0005-0000-0000-0000F2150000}"/>
    <cellStyle name="Bad 26" xfId="5615" xr:uid="{00000000-0005-0000-0000-0000F3150000}"/>
    <cellStyle name="Bad 27" xfId="5616" xr:uid="{00000000-0005-0000-0000-0000F4150000}"/>
    <cellStyle name="Bad 28" xfId="5617" xr:uid="{00000000-0005-0000-0000-0000F5150000}"/>
    <cellStyle name="Bad 29" xfId="5618" xr:uid="{00000000-0005-0000-0000-0000F6150000}"/>
    <cellStyle name="Bad 3" xfId="79" xr:uid="{00000000-0005-0000-0000-000053000000}"/>
    <cellStyle name="Bad 3 2" xfId="581" xr:uid="{00000000-0005-0000-0000-000049020000}"/>
    <cellStyle name="Bad 3 2 2" xfId="12638" xr:uid="{00000000-0005-0000-0000-000062310000}"/>
    <cellStyle name="Bad 3 2 3" xfId="5619" xr:uid="{00000000-0005-0000-0000-0000F7150000}"/>
    <cellStyle name="Bad 3 3" xfId="7468" xr:uid="{00000000-0005-0000-0000-0000301D0000}"/>
    <cellStyle name="Bad 3 4" xfId="8827" xr:uid="{00000000-0005-0000-0000-00007F220000}"/>
    <cellStyle name="Bad 30" xfId="5620" xr:uid="{00000000-0005-0000-0000-0000F8150000}"/>
    <cellStyle name="Bad 31" xfId="5621" xr:uid="{00000000-0005-0000-0000-0000F9150000}"/>
    <cellStyle name="Bad 32" xfId="5622" xr:uid="{00000000-0005-0000-0000-0000FA150000}"/>
    <cellStyle name="Bad 33" xfId="5623" xr:uid="{00000000-0005-0000-0000-0000FB150000}"/>
    <cellStyle name="Bad 34" xfId="5624" xr:uid="{00000000-0005-0000-0000-0000FC150000}"/>
    <cellStyle name="Bad 35" xfId="5625" xr:uid="{00000000-0005-0000-0000-0000FD150000}"/>
    <cellStyle name="Bad 36" xfId="5626" xr:uid="{00000000-0005-0000-0000-0000FE150000}"/>
    <cellStyle name="Bad 37" xfId="5627" xr:uid="{00000000-0005-0000-0000-0000FF150000}"/>
    <cellStyle name="Bad 38" xfId="5628" xr:uid="{00000000-0005-0000-0000-000000160000}"/>
    <cellStyle name="Bad 39" xfId="5629" xr:uid="{00000000-0005-0000-0000-000001160000}"/>
    <cellStyle name="Bad 4" xfId="5630" xr:uid="{00000000-0005-0000-0000-000002160000}"/>
    <cellStyle name="Bad 4 2" xfId="12639" xr:uid="{00000000-0005-0000-0000-000063310000}"/>
    <cellStyle name="Bad 40" xfId="5631" xr:uid="{00000000-0005-0000-0000-000003160000}"/>
    <cellStyle name="Bad 41" xfId="5632" xr:uid="{00000000-0005-0000-0000-000004160000}"/>
    <cellStyle name="Bad 42" xfId="5633" xr:uid="{00000000-0005-0000-0000-000005160000}"/>
    <cellStyle name="Bad 43" xfId="5634" xr:uid="{00000000-0005-0000-0000-000006160000}"/>
    <cellStyle name="Bad 44" xfId="5635" xr:uid="{00000000-0005-0000-0000-000007160000}"/>
    <cellStyle name="Bad 5" xfId="5636" xr:uid="{00000000-0005-0000-0000-000008160000}"/>
    <cellStyle name="Bad 5 2" xfId="12640" xr:uid="{00000000-0005-0000-0000-000064310000}"/>
    <cellStyle name="Bad 6" xfId="5637" xr:uid="{00000000-0005-0000-0000-000009160000}"/>
    <cellStyle name="Bad 6 2" xfId="12641" xr:uid="{00000000-0005-0000-0000-000065310000}"/>
    <cellStyle name="Bad 7" xfId="5638" xr:uid="{00000000-0005-0000-0000-00000A160000}"/>
    <cellStyle name="Bad 8" xfId="5639" xr:uid="{00000000-0005-0000-0000-00000B160000}"/>
    <cellStyle name="Bad 9" xfId="5640" xr:uid="{00000000-0005-0000-0000-00000C160000}"/>
    <cellStyle name="Berechnung" xfId="5641" xr:uid="{00000000-0005-0000-0000-00000D160000}"/>
    <cellStyle name="Body: normal cell" xfId="16" xr:uid="{00000000-0005-0000-0000-000014000000}"/>
    <cellStyle name="Bold GHG Numbers (0.00)" xfId="5642" xr:uid="{00000000-0005-0000-0000-00000E160000}"/>
    <cellStyle name="Calculation 10" xfId="5643" xr:uid="{00000000-0005-0000-0000-00000F160000}"/>
    <cellStyle name="Calculation 11" xfId="5644" xr:uid="{00000000-0005-0000-0000-000010160000}"/>
    <cellStyle name="Calculation 12" xfId="5645" xr:uid="{00000000-0005-0000-0000-000011160000}"/>
    <cellStyle name="Calculation 13" xfId="5646" xr:uid="{00000000-0005-0000-0000-000012160000}"/>
    <cellStyle name="Calculation 14" xfId="5647" xr:uid="{00000000-0005-0000-0000-000013160000}"/>
    <cellStyle name="Calculation 15" xfId="5648" xr:uid="{00000000-0005-0000-0000-000014160000}"/>
    <cellStyle name="Calculation 16" xfId="5649" xr:uid="{00000000-0005-0000-0000-000015160000}"/>
    <cellStyle name="Calculation 17" xfId="5650" xr:uid="{00000000-0005-0000-0000-000016160000}"/>
    <cellStyle name="Calculation 18" xfId="5651" xr:uid="{00000000-0005-0000-0000-000017160000}"/>
    <cellStyle name="Calculation 19" xfId="5652" xr:uid="{00000000-0005-0000-0000-000018160000}"/>
    <cellStyle name="Calculation 2" xfId="80" xr:uid="{00000000-0005-0000-0000-000054000000}"/>
    <cellStyle name="Calculation 2 10" xfId="582" xr:uid="{00000000-0005-0000-0000-00004A020000}"/>
    <cellStyle name="Calculation 2 11" xfId="12642" xr:uid="{00000000-0005-0000-0000-000066310000}"/>
    <cellStyle name="Calculation 2 2" xfId="583" xr:uid="{00000000-0005-0000-0000-00004B020000}"/>
    <cellStyle name="Calculation 2 3" xfId="584" xr:uid="{00000000-0005-0000-0000-00004C020000}"/>
    <cellStyle name="Calculation 2 4" xfId="585" xr:uid="{00000000-0005-0000-0000-00004D020000}"/>
    <cellStyle name="Calculation 2 5" xfId="586" xr:uid="{00000000-0005-0000-0000-00004E020000}"/>
    <cellStyle name="Calculation 2 6" xfId="587" xr:uid="{00000000-0005-0000-0000-00004F020000}"/>
    <cellStyle name="Calculation 2 7" xfId="588" xr:uid="{00000000-0005-0000-0000-000050020000}"/>
    <cellStyle name="Calculation 2 8" xfId="589" xr:uid="{00000000-0005-0000-0000-000051020000}"/>
    <cellStyle name="Calculation 2 9" xfId="590" xr:uid="{00000000-0005-0000-0000-000052020000}"/>
    <cellStyle name="Calculation 20" xfId="5653" xr:uid="{00000000-0005-0000-0000-000019160000}"/>
    <cellStyle name="Calculation 21" xfId="5654" xr:uid="{00000000-0005-0000-0000-00001A160000}"/>
    <cellStyle name="Calculation 22" xfId="5655" xr:uid="{00000000-0005-0000-0000-00001B160000}"/>
    <cellStyle name="Calculation 23" xfId="5656" xr:uid="{00000000-0005-0000-0000-00001C160000}"/>
    <cellStyle name="Calculation 24" xfId="5657" xr:uid="{00000000-0005-0000-0000-00001D160000}"/>
    <cellStyle name="Calculation 25" xfId="5658" xr:uid="{00000000-0005-0000-0000-00001E160000}"/>
    <cellStyle name="Calculation 26" xfId="5659" xr:uid="{00000000-0005-0000-0000-00001F160000}"/>
    <cellStyle name="Calculation 27" xfId="5660" xr:uid="{00000000-0005-0000-0000-000020160000}"/>
    <cellStyle name="Calculation 28" xfId="5661" xr:uid="{00000000-0005-0000-0000-000021160000}"/>
    <cellStyle name="Calculation 29" xfId="5662" xr:uid="{00000000-0005-0000-0000-000022160000}"/>
    <cellStyle name="Calculation 3" xfId="81" xr:uid="{00000000-0005-0000-0000-000055000000}"/>
    <cellStyle name="Calculation 3 2" xfId="591" xr:uid="{00000000-0005-0000-0000-000053020000}"/>
    <cellStyle name="Calculation 3 2 2" xfId="12643" xr:uid="{00000000-0005-0000-0000-000067310000}"/>
    <cellStyle name="Calculation 3 2 3" xfId="5663" xr:uid="{00000000-0005-0000-0000-000023160000}"/>
    <cellStyle name="Calculation 3 3" xfId="7469" xr:uid="{00000000-0005-0000-0000-0000311D0000}"/>
    <cellStyle name="Calculation 3 4" xfId="8828" xr:uid="{00000000-0005-0000-0000-000080220000}"/>
    <cellStyle name="Calculation 30" xfId="5664" xr:uid="{00000000-0005-0000-0000-000024160000}"/>
    <cellStyle name="Calculation 31" xfId="5665" xr:uid="{00000000-0005-0000-0000-000025160000}"/>
    <cellStyle name="Calculation 32" xfId="5666" xr:uid="{00000000-0005-0000-0000-000026160000}"/>
    <cellStyle name="Calculation 33" xfId="5667" xr:uid="{00000000-0005-0000-0000-000027160000}"/>
    <cellStyle name="Calculation 34" xfId="5668" xr:uid="{00000000-0005-0000-0000-000028160000}"/>
    <cellStyle name="Calculation 35" xfId="5669" xr:uid="{00000000-0005-0000-0000-000029160000}"/>
    <cellStyle name="Calculation 36" xfId="5670" xr:uid="{00000000-0005-0000-0000-00002A160000}"/>
    <cellStyle name="Calculation 37" xfId="5671" xr:uid="{00000000-0005-0000-0000-00002B160000}"/>
    <cellStyle name="Calculation 38" xfId="5672" xr:uid="{00000000-0005-0000-0000-00002C160000}"/>
    <cellStyle name="Calculation 39" xfId="5673" xr:uid="{00000000-0005-0000-0000-00002D160000}"/>
    <cellStyle name="Calculation 4" xfId="5674" xr:uid="{00000000-0005-0000-0000-00002E160000}"/>
    <cellStyle name="Calculation 4 2" xfId="12644" xr:uid="{00000000-0005-0000-0000-000068310000}"/>
    <cellStyle name="Calculation 40" xfId="5675" xr:uid="{00000000-0005-0000-0000-00002F160000}"/>
    <cellStyle name="Calculation 41" xfId="5676" xr:uid="{00000000-0005-0000-0000-000030160000}"/>
    <cellStyle name="Calculation 42" xfId="5677" xr:uid="{00000000-0005-0000-0000-000031160000}"/>
    <cellStyle name="Calculation 43" xfId="5678" xr:uid="{00000000-0005-0000-0000-000032160000}"/>
    <cellStyle name="Calculation 5" xfId="5679" xr:uid="{00000000-0005-0000-0000-000033160000}"/>
    <cellStyle name="Calculation 5 2" xfId="12645" xr:uid="{00000000-0005-0000-0000-000069310000}"/>
    <cellStyle name="Calculation 6" xfId="5680" xr:uid="{00000000-0005-0000-0000-000034160000}"/>
    <cellStyle name="Calculation 6 2" xfId="12646" xr:uid="{00000000-0005-0000-0000-00006A310000}"/>
    <cellStyle name="Calculation 7" xfId="5681" xr:uid="{00000000-0005-0000-0000-000035160000}"/>
    <cellStyle name="Calculation 8" xfId="5682" xr:uid="{00000000-0005-0000-0000-000036160000}"/>
    <cellStyle name="Calculation 9" xfId="5683" xr:uid="{00000000-0005-0000-0000-000037160000}"/>
    <cellStyle name="Check Cell 10" xfId="5684" xr:uid="{00000000-0005-0000-0000-000038160000}"/>
    <cellStyle name="Check Cell 11" xfId="5685" xr:uid="{00000000-0005-0000-0000-000039160000}"/>
    <cellStyle name="Check Cell 12" xfId="5686" xr:uid="{00000000-0005-0000-0000-00003A160000}"/>
    <cellStyle name="Check Cell 13" xfId="5687" xr:uid="{00000000-0005-0000-0000-00003B160000}"/>
    <cellStyle name="Check Cell 14" xfId="5688" xr:uid="{00000000-0005-0000-0000-00003C160000}"/>
    <cellStyle name="Check Cell 15" xfId="5689" xr:uid="{00000000-0005-0000-0000-00003D160000}"/>
    <cellStyle name="Check Cell 16" xfId="5690" xr:uid="{00000000-0005-0000-0000-00003E160000}"/>
    <cellStyle name="Check Cell 17" xfId="5691" xr:uid="{00000000-0005-0000-0000-00003F160000}"/>
    <cellStyle name="Check Cell 18" xfId="5692" xr:uid="{00000000-0005-0000-0000-000040160000}"/>
    <cellStyle name="Check Cell 19" xfId="5693" xr:uid="{00000000-0005-0000-0000-000041160000}"/>
    <cellStyle name="Check Cell 2" xfId="82" xr:uid="{00000000-0005-0000-0000-000056000000}"/>
    <cellStyle name="Check Cell 2 10" xfId="592" xr:uid="{00000000-0005-0000-0000-000054020000}"/>
    <cellStyle name="Check Cell 2 2" xfId="593" xr:uid="{00000000-0005-0000-0000-000055020000}"/>
    <cellStyle name="Check Cell 2 3" xfId="594" xr:uid="{00000000-0005-0000-0000-000056020000}"/>
    <cellStyle name="Check Cell 2 4" xfId="595" xr:uid="{00000000-0005-0000-0000-000057020000}"/>
    <cellStyle name="Check Cell 2 5" xfId="596" xr:uid="{00000000-0005-0000-0000-000058020000}"/>
    <cellStyle name="Check Cell 2 6" xfId="597" xr:uid="{00000000-0005-0000-0000-000059020000}"/>
    <cellStyle name="Check Cell 2 7" xfId="598" xr:uid="{00000000-0005-0000-0000-00005A020000}"/>
    <cellStyle name="Check Cell 2 8" xfId="599" xr:uid="{00000000-0005-0000-0000-00005B020000}"/>
    <cellStyle name="Check Cell 2 9" xfId="600" xr:uid="{00000000-0005-0000-0000-00005C020000}"/>
    <cellStyle name="Check Cell 20" xfId="5694" xr:uid="{00000000-0005-0000-0000-000042160000}"/>
    <cellStyle name="Check Cell 21" xfId="5695" xr:uid="{00000000-0005-0000-0000-000043160000}"/>
    <cellStyle name="Check Cell 22" xfId="5696" xr:uid="{00000000-0005-0000-0000-000044160000}"/>
    <cellStyle name="Check Cell 23" xfId="5697" xr:uid="{00000000-0005-0000-0000-000045160000}"/>
    <cellStyle name="Check Cell 24" xfId="5698" xr:uid="{00000000-0005-0000-0000-000046160000}"/>
    <cellStyle name="Check Cell 25" xfId="5699" xr:uid="{00000000-0005-0000-0000-000047160000}"/>
    <cellStyle name="Check Cell 26" xfId="5700" xr:uid="{00000000-0005-0000-0000-000048160000}"/>
    <cellStyle name="Check Cell 27" xfId="5701" xr:uid="{00000000-0005-0000-0000-000049160000}"/>
    <cellStyle name="Check Cell 28" xfId="5702" xr:uid="{00000000-0005-0000-0000-00004A160000}"/>
    <cellStyle name="Check Cell 29" xfId="5703" xr:uid="{00000000-0005-0000-0000-00004B160000}"/>
    <cellStyle name="Check Cell 3" xfId="83" xr:uid="{00000000-0005-0000-0000-000057000000}"/>
    <cellStyle name="Check Cell 3 2" xfId="5704" xr:uid="{00000000-0005-0000-0000-00004C160000}"/>
    <cellStyle name="Check Cell 30" xfId="5705" xr:uid="{00000000-0005-0000-0000-00004D160000}"/>
    <cellStyle name="Check Cell 31" xfId="5706" xr:uid="{00000000-0005-0000-0000-00004E160000}"/>
    <cellStyle name="Check Cell 32" xfId="5707" xr:uid="{00000000-0005-0000-0000-00004F160000}"/>
    <cellStyle name="Check Cell 33" xfId="5708" xr:uid="{00000000-0005-0000-0000-000050160000}"/>
    <cellStyle name="Check Cell 34" xfId="5709" xr:uid="{00000000-0005-0000-0000-000051160000}"/>
    <cellStyle name="Check Cell 35" xfId="5710" xr:uid="{00000000-0005-0000-0000-000052160000}"/>
    <cellStyle name="Check Cell 36" xfId="5711" xr:uid="{00000000-0005-0000-0000-000053160000}"/>
    <cellStyle name="Check Cell 37" xfId="5712" xr:uid="{00000000-0005-0000-0000-000054160000}"/>
    <cellStyle name="Check Cell 38" xfId="5713" xr:uid="{00000000-0005-0000-0000-000055160000}"/>
    <cellStyle name="Check Cell 39" xfId="5714" xr:uid="{00000000-0005-0000-0000-000056160000}"/>
    <cellStyle name="Check Cell 4" xfId="5715" xr:uid="{00000000-0005-0000-0000-000057160000}"/>
    <cellStyle name="Check Cell 4 2" xfId="12647" xr:uid="{00000000-0005-0000-0000-00006B310000}"/>
    <cellStyle name="Check Cell 40" xfId="5716" xr:uid="{00000000-0005-0000-0000-000058160000}"/>
    <cellStyle name="Check Cell 41" xfId="5717" xr:uid="{00000000-0005-0000-0000-000059160000}"/>
    <cellStyle name="Check Cell 42" xfId="5718" xr:uid="{00000000-0005-0000-0000-00005A160000}"/>
    <cellStyle name="Check Cell 43" xfId="5719" xr:uid="{00000000-0005-0000-0000-00005B160000}"/>
    <cellStyle name="Check Cell 5" xfId="5720" xr:uid="{00000000-0005-0000-0000-00005C160000}"/>
    <cellStyle name="Check Cell 5 2" xfId="12648" xr:uid="{00000000-0005-0000-0000-00006C310000}"/>
    <cellStyle name="Check Cell 6" xfId="5721" xr:uid="{00000000-0005-0000-0000-00005D160000}"/>
    <cellStyle name="Check Cell 6 2" xfId="12649" xr:uid="{00000000-0005-0000-0000-00006D310000}"/>
    <cellStyle name="Check Cell 7" xfId="5722" xr:uid="{00000000-0005-0000-0000-00005E160000}"/>
    <cellStyle name="Check Cell 8" xfId="5723" xr:uid="{00000000-0005-0000-0000-00005F160000}"/>
    <cellStyle name="Check Cell 9" xfId="5724" xr:uid="{00000000-0005-0000-0000-000060160000}"/>
    <cellStyle name="coin" xfId="601" xr:uid="{00000000-0005-0000-0000-00005D020000}"/>
    <cellStyle name="coin 2" xfId="1871" xr:uid="{00000000-0005-0000-0000-000053070000}"/>
    <cellStyle name="Comma [0] 2 10" xfId="602" xr:uid="{00000000-0005-0000-0000-00005E020000}"/>
    <cellStyle name="Comma [0] 2 10 2" xfId="1872" xr:uid="{00000000-0005-0000-0000-000054070000}"/>
    <cellStyle name="Comma [0] 2 10 2 2" xfId="3732" xr:uid="{00000000-0005-0000-0000-0000980E0000}"/>
    <cellStyle name="Comma [0] 2 10 2 2 2" xfId="26824" xr:uid="{00000000-0005-0000-0000-0000CC680000}"/>
    <cellStyle name="Comma [0] 2 10 2 2 3" xfId="28752" xr:uid="{00000000-0005-0000-0000-000054700000}"/>
    <cellStyle name="Comma [0] 2 10 2 2 4" xfId="20718" xr:uid="{00000000-0005-0000-0000-0000F2500000}"/>
    <cellStyle name="Comma [0] 2 10 2 3" xfId="25861" xr:uid="{00000000-0005-0000-0000-000009650000}"/>
    <cellStyle name="Comma [0] 2 10 2 4" xfId="27788" xr:uid="{00000000-0005-0000-0000-0000906C0000}"/>
    <cellStyle name="Comma [0] 2 10 2 5" xfId="8513" xr:uid="{00000000-0005-0000-0000-000045210000}"/>
    <cellStyle name="Comma [0] 2 10 3" xfId="3433" xr:uid="{00000000-0005-0000-0000-00006D0D0000}"/>
    <cellStyle name="Comma [0] 2 10 3 2" xfId="23257" xr:uid="{00000000-0005-0000-0000-0000DD5A0000}"/>
    <cellStyle name="Comma [0] 2 10 3 2 2" xfId="27264" xr:uid="{00000000-0005-0000-0000-0000846A0000}"/>
    <cellStyle name="Comma [0] 2 10 3 2 3" xfId="29192" xr:uid="{00000000-0005-0000-0000-00000C720000}"/>
    <cellStyle name="Comma [0] 2 10 3 3" xfId="26301" xr:uid="{00000000-0005-0000-0000-0000C1660000}"/>
    <cellStyle name="Comma [0] 2 10 3 4" xfId="28229" xr:uid="{00000000-0005-0000-0000-0000496E0000}"/>
    <cellStyle name="Comma [0] 2 10 3 5" xfId="16398" xr:uid="{00000000-0005-0000-0000-000012400000}"/>
    <cellStyle name="Comma [0] 2 10 4" xfId="19737" xr:uid="{00000000-0005-0000-0000-00001D4D0000}"/>
    <cellStyle name="Comma [0] 2 10 4 2" xfId="26595" xr:uid="{00000000-0005-0000-0000-0000E7670000}"/>
    <cellStyle name="Comma [0] 2 10 4 3" xfId="28523" xr:uid="{00000000-0005-0000-0000-00006F6F0000}"/>
    <cellStyle name="Comma [0] 2 10 5" xfId="25632" xr:uid="{00000000-0005-0000-0000-000024640000}"/>
    <cellStyle name="Comma [0] 2 10 6" xfId="27559" xr:uid="{00000000-0005-0000-0000-0000AB6B0000}"/>
    <cellStyle name="Comma [0] 2 10 7" xfId="7470" xr:uid="{00000000-0005-0000-0000-0000321D0000}"/>
    <cellStyle name="Comma [0] 2 2" xfId="603" xr:uid="{00000000-0005-0000-0000-00005F020000}"/>
    <cellStyle name="Comma [0] 2 2 2" xfId="1873" xr:uid="{00000000-0005-0000-0000-000055070000}"/>
    <cellStyle name="Comma [0] 2 2 2 2" xfId="3733" xr:uid="{00000000-0005-0000-0000-0000990E0000}"/>
    <cellStyle name="Comma [0] 2 2 2 2 2" xfId="26825" xr:uid="{00000000-0005-0000-0000-0000CD680000}"/>
    <cellStyle name="Comma [0] 2 2 2 2 3" xfId="28753" xr:uid="{00000000-0005-0000-0000-000055700000}"/>
    <cellStyle name="Comma [0] 2 2 2 2 4" xfId="20719" xr:uid="{00000000-0005-0000-0000-0000F3500000}"/>
    <cellStyle name="Comma [0] 2 2 2 3" xfId="25862" xr:uid="{00000000-0005-0000-0000-00000A650000}"/>
    <cellStyle name="Comma [0] 2 2 2 4" xfId="27789" xr:uid="{00000000-0005-0000-0000-0000916C0000}"/>
    <cellStyle name="Comma [0] 2 2 2 5" xfId="8514" xr:uid="{00000000-0005-0000-0000-000046210000}"/>
    <cellStyle name="Comma [0] 2 2 3" xfId="3434" xr:uid="{00000000-0005-0000-0000-00006E0D0000}"/>
    <cellStyle name="Comma [0] 2 2 3 2" xfId="23258" xr:uid="{00000000-0005-0000-0000-0000DE5A0000}"/>
    <cellStyle name="Comma [0] 2 2 3 2 2" xfId="27265" xr:uid="{00000000-0005-0000-0000-0000856A0000}"/>
    <cellStyle name="Comma [0] 2 2 3 2 3" xfId="29193" xr:uid="{00000000-0005-0000-0000-00000D720000}"/>
    <cellStyle name="Comma [0] 2 2 3 3" xfId="26302" xr:uid="{00000000-0005-0000-0000-0000C2660000}"/>
    <cellStyle name="Comma [0] 2 2 3 4" xfId="28230" xr:uid="{00000000-0005-0000-0000-00004A6E0000}"/>
    <cellStyle name="Comma [0] 2 2 3 5" xfId="16399" xr:uid="{00000000-0005-0000-0000-000013400000}"/>
    <cellStyle name="Comma [0] 2 2 4" xfId="19738" xr:uid="{00000000-0005-0000-0000-00001E4D0000}"/>
    <cellStyle name="Comma [0] 2 2 4 2" xfId="26596" xr:uid="{00000000-0005-0000-0000-0000E8670000}"/>
    <cellStyle name="Comma [0] 2 2 4 3" xfId="28524" xr:uid="{00000000-0005-0000-0000-0000706F0000}"/>
    <cellStyle name="Comma [0] 2 2 5" xfId="25633" xr:uid="{00000000-0005-0000-0000-000025640000}"/>
    <cellStyle name="Comma [0] 2 2 6" xfId="27560" xr:uid="{00000000-0005-0000-0000-0000AC6B0000}"/>
    <cellStyle name="Comma [0] 2 2 7" xfId="7471" xr:uid="{00000000-0005-0000-0000-0000331D0000}"/>
    <cellStyle name="Comma [0] 2 3" xfId="604" xr:uid="{00000000-0005-0000-0000-000060020000}"/>
    <cellStyle name="Comma [0] 2 3 2" xfId="1874" xr:uid="{00000000-0005-0000-0000-000056070000}"/>
    <cellStyle name="Comma [0] 2 3 2 2" xfId="3734" xr:uid="{00000000-0005-0000-0000-00009A0E0000}"/>
    <cellStyle name="Comma [0] 2 3 2 2 2" xfId="26826" xr:uid="{00000000-0005-0000-0000-0000CE680000}"/>
    <cellStyle name="Comma [0] 2 3 2 2 3" xfId="28754" xr:uid="{00000000-0005-0000-0000-000056700000}"/>
    <cellStyle name="Comma [0] 2 3 2 2 4" xfId="20720" xr:uid="{00000000-0005-0000-0000-0000F4500000}"/>
    <cellStyle name="Comma [0] 2 3 2 3" xfId="25863" xr:uid="{00000000-0005-0000-0000-00000B650000}"/>
    <cellStyle name="Comma [0] 2 3 2 4" xfId="27790" xr:uid="{00000000-0005-0000-0000-0000926C0000}"/>
    <cellStyle name="Comma [0] 2 3 2 5" xfId="8515" xr:uid="{00000000-0005-0000-0000-000047210000}"/>
    <cellStyle name="Comma [0] 2 3 3" xfId="3435" xr:uid="{00000000-0005-0000-0000-00006F0D0000}"/>
    <cellStyle name="Comma [0] 2 3 3 2" xfId="23259" xr:uid="{00000000-0005-0000-0000-0000DF5A0000}"/>
    <cellStyle name="Comma [0] 2 3 3 2 2" xfId="27266" xr:uid="{00000000-0005-0000-0000-0000866A0000}"/>
    <cellStyle name="Comma [0] 2 3 3 2 3" xfId="29194" xr:uid="{00000000-0005-0000-0000-00000E720000}"/>
    <cellStyle name="Comma [0] 2 3 3 3" xfId="26303" xr:uid="{00000000-0005-0000-0000-0000C3660000}"/>
    <cellStyle name="Comma [0] 2 3 3 4" xfId="28231" xr:uid="{00000000-0005-0000-0000-00004B6E0000}"/>
    <cellStyle name="Comma [0] 2 3 3 5" xfId="16400" xr:uid="{00000000-0005-0000-0000-000014400000}"/>
    <cellStyle name="Comma [0] 2 3 4" xfId="19739" xr:uid="{00000000-0005-0000-0000-00001F4D0000}"/>
    <cellStyle name="Comma [0] 2 3 4 2" xfId="26597" xr:uid="{00000000-0005-0000-0000-0000E9670000}"/>
    <cellStyle name="Comma [0] 2 3 4 3" xfId="28525" xr:uid="{00000000-0005-0000-0000-0000716F0000}"/>
    <cellStyle name="Comma [0] 2 3 5" xfId="25634" xr:uid="{00000000-0005-0000-0000-000026640000}"/>
    <cellStyle name="Comma [0] 2 3 6" xfId="27561" xr:uid="{00000000-0005-0000-0000-0000AD6B0000}"/>
    <cellStyle name="Comma [0] 2 3 7" xfId="7472" xr:uid="{00000000-0005-0000-0000-0000341D0000}"/>
    <cellStyle name="Comma [0] 2 4" xfId="605" xr:uid="{00000000-0005-0000-0000-000061020000}"/>
    <cellStyle name="Comma [0] 2 4 2" xfId="1875" xr:uid="{00000000-0005-0000-0000-000057070000}"/>
    <cellStyle name="Comma [0] 2 4 2 2" xfId="3735" xr:uid="{00000000-0005-0000-0000-00009B0E0000}"/>
    <cellStyle name="Comma [0] 2 4 2 2 2" xfId="26827" xr:uid="{00000000-0005-0000-0000-0000CF680000}"/>
    <cellStyle name="Comma [0] 2 4 2 2 3" xfId="28755" xr:uid="{00000000-0005-0000-0000-000057700000}"/>
    <cellStyle name="Comma [0] 2 4 2 2 4" xfId="20721" xr:uid="{00000000-0005-0000-0000-0000F5500000}"/>
    <cellStyle name="Comma [0] 2 4 2 3" xfId="25864" xr:uid="{00000000-0005-0000-0000-00000C650000}"/>
    <cellStyle name="Comma [0] 2 4 2 4" xfId="27791" xr:uid="{00000000-0005-0000-0000-0000936C0000}"/>
    <cellStyle name="Comma [0] 2 4 2 5" xfId="8516" xr:uid="{00000000-0005-0000-0000-000048210000}"/>
    <cellStyle name="Comma [0] 2 4 3" xfId="3436" xr:uid="{00000000-0005-0000-0000-0000700D0000}"/>
    <cellStyle name="Comma [0] 2 4 3 2" xfId="23260" xr:uid="{00000000-0005-0000-0000-0000E05A0000}"/>
    <cellStyle name="Comma [0] 2 4 3 2 2" xfId="27267" xr:uid="{00000000-0005-0000-0000-0000876A0000}"/>
    <cellStyle name="Comma [0] 2 4 3 2 3" xfId="29195" xr:uid="{00000000-0005-0000-0000-00000F720000}"/>
    <cellStyle name="Comma [0] 2 4 3 3" xfId="26304" xr:uid="{00000000-0005-0000-0000-0000C4660000}"/>
    <cellStyle name="Comma [0] 2 4 3 4" xfId="28232" xr:uid="{00000000-0005-0000-0000-00004C6E0000}"/>
    <cellStyle name="Comma [0] 2 4 3 5" xfId="16401" xr:uid="{00000000-0005-0000-0000-000015400000}"/>
    <cellStyle name="Comma [0] 2 4 4" xfId="19740" xr:uid="{00000000-0005-0000-0000-0000204D0000}"/>
    <cellStyle name="Comma [0] 2 4 4 2" xfId="26598" xr:uid="{00000000-0005-0000-0000-0000EA670000}"/>
    <cellStyle name="Comma [0] 2 4 4 3" xfId="28526" xr:uid="{00000000-0005-0000-0000-0000726F0000}"/>
    <cellStyle name="Comma [0] 2 4 5" xfId="25635" xr:uid="{00000000-0005-0000-0000-000027640000}"/>
    <cellStyle name="Comma [0] 2 4 6" xfId="27562" xr:uid="{00000000-0005-0000-0000-0000AE6B0000}"/>
    <cellStyle name="Comma [0] 2 4 7" xfId="7473" xr:uid="{00000000-0005-0000-0000-0000351D0000}"/>
    <cellStyle name="Comma [0] 2 5" xfId="606" xr:uid="{00000000-0005-0000-0000-000062020000}"/>
    <cellStyle name="Comma [0] 2 5 2" xfId="1876" xr:uid="{00000000-0005-0000-0000-000058070000}"/>
    <cellStyle name="Comma [0] 2 5 2 2" xfId="3736" xr:uid="{00000000-0005-0000-0000-00009C0E0000}"/>
    <cellStyle name="Comma [0] 2 5 2 2 2" xfId="26828" xr:uid="{00000000-0005-0000-0000-0000D0680000}"/>
    <cellStyle name="Comma [0] 2 5 2 2 3" xfId="28756" xr:uid="{00000000-0005-0000-0000-000058700000}"/>
    <cellStyle name="Comma [0] 2 5 2 2 4" xfId="20722" xr:uid="{00000000-0005-0000-0000-0000F6500000}"/>
    <cellStyle name="Comma [0] 2 5 2 3" xfId="25865" xr:uid="{00000000-0005-0000-0000-00000D650000}"/>
    <cellStyle name="Comma [0] 2 5 2 4" xfId="27792" xr:uid="{00000000-0005-0000-0000-0000946C0000}"/>
    <cellStyle name="Comma [0] 2 5 2 5" xfId="8517" xr:uid="{00000000-0005-0000-0000-000049210000}"/>
    <cellStyle name="Comma [0] 2 5 3" xfId="3437" xr:uid="{00000000-0005-0000-0000-0000710D0000}"/>
    <cellStyle name="Comma [0] 2 5 3 2" xfId="23261" xr:uid="{00000000-0005-0000-0000-0000E15A0000}"/>
    <cellStyle name="Comma [0] 2 5 3 2 2" xfId="27268" xr:uid="{00000000-0005-0000-0000-0000886A0000}"/>
    <cellStyle name="Comma [0] 2 5 3 2 3" xfId="29196" xr:uid="{00000000-0005-0000-0000-000010720000}"/>
    <cellStyle name="Comma [0] 2 5 3 3" xfId="26305" xr:uid="{00000000-0005-0000-0000-0000C5660000}"/>
    <cellStyle name="Comma [0] 2 5 3 4" xfId="28233" xr:uid="{00000000-0005-0000-0000-00004D6E0000}"/>
    <cellStyle name="Comma [0] 2 5 3 5" xfId="16402" xr:uid="{00000000-0005-0000-0000-000016400000}"/>
    <cellStyle name="Comma [0] 2 5 4" xfId="19741" xr:uid="{00000000-0005-0000-0000-0000214D0000}"/>
    <cellStyle name="Comma [0] 2 5 4 2" xfId="26599" xr:uid="{00000000-0005-0000-0000-0000EB670000}"/>
    <cellStyle name="Comma [0] 2 5 4 3" xfId="28527" xr:uid="{00000000-0005-0000-0000-0000736F0000}"/>
    <cellStyle name="Comma [0] 2 5 5" xfId="25636" xr:uid="{00000000-0005-0000-0000-000028640000}"/>
    <cellStyle name="Comma [0] 2 5 6" xfId="27563" xr:uid="{00000000-0005-0000-0000-0000AF6B0000}"/>
    <cellStyle name="Comma [0] 2 5 7" xfId="7474" xr:uid="{00000000-0005-0000-0000-0000361D0000}"/>
    <cellStyle name="Comma [0] 2 6" xfId="607" xr:uid="{00000000-0005-0000-0000-000063020000}"/>
    <cellStyle name="Comma [0] 2 6 2" xfId="1877" xr:uid="{00000000-0005-0000-0000-000059070000}"/>
    <cellStyle name="Comma [0] 2 6 2 2" xfId="3737" xr:uid="{00000000-0005-0000-0000-00009D0E0000}"/>
    <cellStyle name="Comma [0] 2 6 2 2 2" xfId="26829" xr:uid="{00000000-0005-0000-0000-0000D1680000}"/>
    <cellStyle name="Comma [0] 2 6 2 2 3" xfId="28757" xr:uid="{00000000-0005-0000-0000-000059700000}"/>
    <cellStyle name="Comma [0] 2 6 2 2 4" xfId="20723" xr:uid="{00000000-0005-0000-0000-0000F7500000}"/>
    <cellStyle name="Comma [0] 2 6 2 3" xfId="25866" xr:uid="{00000000-0005-0000-0000-00000E650000}"/>
    <cellStyle name="Comma [0] 2 6 2 4" xfId="27793" xr:uid="{00000000-0005-0000-0000-0000956C0000}"/>
    <cellStyle name="Comma [0] 2 6 2 5" xfId="8518" xr:uid="{00000000-0005-0000-0000-00004A210000}"/>
    <cellStyle name="Comma [0] 2 6 3" xfId="3438" xr:uid="{00000000-0005-0000-0000-0000720D0000}"/>
    <cellStyle name="Comma [0] 2 6 3 2" xfId="23262" xr:uid="{00000000-0005-0000-0000-0000E25A0000}"/>
    <cellStyle name="Comma [0] 2 6 3 2 2" xfId="27269" xr:uid="{00000000-0005-0000-0000-0000896A0000}"/>
    <cellStyle name="Comma [0] 2 6 3 2 3" xfId="29197" xr:uid="{00000000-0005-0000-0000-000011720000}"/>
    <cellStyle name="Comma [0] 2 6 3 3" xfId="26306" xr:uid="{00000000-0005-0000-0000-0000C6660000}"/>
    <cellStyle name="Comma [0] 2 6 3 4" xfId="28234" xr:uid="{00000000-0005-0000-0000-00004E6E0000}"/>
    <cellStyle name="Comma [0] 2 6 3 5" xfId="16403" xr:uid="{00000000-0005-0000-0000-000017400000}"/>
    <cellStyle name="Comma [0] 2 6 4" xfId="19742" xr:uid="{00000000-0005-0000-0000-0000224D0000}"/>
    <cellStyle name="Comma [0] 2 6 4 2" xfId="26600" xr:uid="{00000000-0005-0000-0000-0000EC670000}"/>
    <cellStyle name="Comma [0] 2 6 4 3" xfId="28528" xr:uid="{00000000-0005-0000-0000-0000746F0000}"/>
    <cellStyle name="Comma [0] 2 6 5" xfId="25637" xr:uid="{00000000-0005-0000-0000-000029640000}"/>
    <cellStyle name="Comma [0] 2 6 6" xfId="27564" xr:uid="{00000000-0005-0000-0000-0000B06B0000}"/>
    <cellStyle name="Comma [0] 2 6 7" xfId="7475" xr:uid="{00000000-0005-0000-0000-0000371D0000}"/>
    <cellStyle name="Comma [0] 2 7" xfId="608" xr:uid="{00000000-0005-0000-0000-000064020000}"/>
    <cellStyle name="Comma [0] 2 7 2" xfId="1878" xr:uid="{00000000-0005-0000-0000-00005A070000}"/>
    <cellStyle name="Comma [0] 2 7 2 2" xfId="3738" xr:uid="{00000000-0005-0000-0000-00009E0E0000}"/>
    <cellStyle name="Comma [0] 2 7 2 2 2" xfId="26830" xr:uid="{00000000-0005-0000-0000-0000D2680000}"/>
    <cellStyle name="Comma [0] 2 7 2 2 3" xfId="28758" xr:uid="{00000000-0005-0000-0000-00005A700000}"/>
    <cellStyle name="Comma [0] 2 7 2 2 4" xfId="20724" xr:uid="{00000000-0005-0000-0000-0000F8500000}"/>
    <cellStyle name="Comma [0] 2 7 2 3" xfId="25867" xr:uid="{00000000-0005-0000-0000-00000F650000}"/>
    <cellStyle name="Comma [0] 2 7 2 4" xfId="27794" xr:uid="{00000000-0005-0000-0000-0000966C0000}"/>
    <cellStyle name="Comma [0] 2 7 2 5" xfId="8519" xr:uid="{00000000-0005-0000-0000-00004B210000}"/>
    <cellStyle name="Comma [0] 2 7 3" xfId="3439" xr:uid="{00000000-0005-0000-0000-0000730D0000}"/>
    <cellStyle name="Comma [0] 2 7 3 2" xfId="23263" xr:uid="{00000000-0005-0000-0000-0000E35A0000}"/>
    <cellStyle name="Comma [0] 2 7 3 2 2" xfId="27270" xr:uid="{00000000-0005-0000-0000-00008A6A0000}"/>
    <cellStyle name="Comma [0] 2 7 3 2 3" xfId="29198" xr:uid="{00000000-0005-0000-0000-000012720000}"/>
    <cellStyle name="Comma [0] 2 7 3 3" xfId="26307" xr:uid="{00000000-0005-0000-0000-0000C7660000}"/>
    <cellStyle name="Comma [0] 2 7 3 4" xfId="28235" xr:uid="{00000000-0005-0000-0000-00004F6E0000}"/>
    <cellStyle name="Comma [0] 2 7 3 5" xfId="16404" xr:uid="{00000000-0005-0000-0000-000018400000}"/>
    <cellStyle name="Comma [0] 2 7 4" xfId="19743" xr:uid="{00000000-0005-0000-0000-0000234D0000}"/>
    <cellStyle name="Comma [0] 2 7 4 2" xfId="26601" xr:uid="{00000000-0005-0000-0000-0000ED670000}"/>
    <cellStyle name="Comma [0] 2 7 4 3" xfId="28529" xr:uid="{00000000-0005-0000-0000-0000756F0000}"/>
    <cellStyle name="Comma [0] 2 7 5" xfId="25638" xr:uid="{00000000-0005-0000-0000-00002A640000}"/>
    <cellStyle name="Comma [0] 2 7 6" xfId="27565" xr:uid="{00000000-0005-0000-0000-0000B16B0000}"/>
    <cellStyle name="Comma [0] 2 7 7" xfId="7476" xr:uid="{00000000-0005-0000-0000-0000381D0000}"/>
    <cellStyle name="Comma [0] 2 8" xfId="609" xr:uid="{00000000-0005-0000-0000-000065020000}"/>
    <cellStyle name="Comma [0] 2 8 2" xfId="1879" xr:uid="{00000000-0005-0000-0000-00005B070000}"/>
    <cellStyle name="Comma [0] 2 8 2 2" xfId="3739" xr:uid="{00000000-0005-0000-0000-00009F0E0000}"/>
    <cellStyle name="Comma [0] 2 8 2 2 2" xfId="26831" xr:uid="{00000000-0005-0000-0000-0000D3680000}"/>
    <cellStyle name="Comma [0] 2 8 2 2 3" xfId="28759" xr:uid="{00000000-0005-0000-0000-00005B700000}"/>
    <cellStyle name="Comma [0] 2 8 2 2 4" xfId="20725" xr:uid="{00000000-0005-0000-0000-0000F9500000}"/>
    <cellStyle name="Comma [0] 2 8 2 3" xfId="25868" xr:uid="{00000000-0005-0000-0000-000010650000}"/>
    <cellStyle name="Comma [0] 2 8 2 4" xfId="27795" xr:uid="{00000000-0005-0000-0000-0000976C0000}"/>
    <cellStyle name="Comma [0] 2 8 2 5" xfId="8520" xr:uid="{00000000-0005-0000-0000-00004C210000}"/>
    <cellStyle name="Comma [0] 2 8 3" xfId="3440" xr:uid="{00000000-0005-0000-0000-0000740D0000}"/>
    <cellStyle name="Comma [0] 2 8 3 2" xfId="23264" xr:uid="{00000000-0005-0000-0000-0000E45A0000}"/>
    <cellStyle name="Comma [0] 2 8 3 2 2" xfId="27271" xr:uid="{00000000-0005-0000-0000-00008B6A0000}"/>
    <cellStyle name="Comma [0] 2 8 3 2 3" xfId="29199" xr:uid="{00000000-0005-0000-0000-000013720000}"/>
    <cellStyle name="Comma [0] 2 8 3 3" xfId="26308" xr:uid="{00000000-0005-0000-0000-0000C8660000}"/>
    <cellStyle name="Comma [0] 2 8 3 4" xfId="28236" xr:uid="{00000000-0005-0000-0000-0000506E0000}"/>
    <cellStyle name="Comma [0] 2 8 3 5" xfId="16405" xr:uid="{00000000-0005-0000-0000-000019400000}"/>
    <cellStyle name="Comma [0] 2 8 4" xfId="19744" xr:uid="{00000000-0005-0000-0000-0000244D0000}"/>
    <cellStyle name="Comma [0] 2 8 4 2" xfId="26602" xr:uid="{00000000-0005-0000-0000-0000EE670000}"/>
    <cellStyle name="Comma [0] 2 8 4 3" xfId="28530" xr:uid="{00000000-0005-0000-0000-0000766F0000}"/>
    <cellStyle name="Comma [0] 2 8 5" xfId="25639" xr:uid="{00000000-0005-0000-0000-00002B640000}"/>
    <cellStyle name="Comma [0] 2 8 6" xfId="27566" xr:uid="{00000000-0005-0000-0000-0000B26B0000}"/>
    <cellStyle name="Comma [0] 2 8 7" xfId="7477" xr:uid="{00000000-0005-0000-0000-0000391D0000}"/>
    <cellStyle name="Comma [0] 2 9" xfId="610" xr:uid="{00000000-0005-0000-0000-000066020000}"/>
    <cellStyle name="Comma [0] 2 9 2" xfId="1880" xr:uid="{00000000-0005-0000-0000-00005C070000}"/>
    <cellStyle name="Comma [0] 2 9 2 2" xfId="3740" xr:uid="{00000000-0005-0000-0000-0000A00E0000}"/>
    <cellStyle name="Comma [0] 2 9 2 2 2" xfId="26832" xr:uid="{00000000-0005-0000-0000-0000D4680000}"/>
    <cellStyle name="Comma [0] 2 9 2 2 3" xfId="28760" xr:uid="{00000000-0005-0000-0000-00005C700000}"/>
    <cellStyle name="Comma [0] 2 9 2 2 4" xfId="20726" xr:uid="{00000000-0005-0000-0000-0000FA500000}"/>
    <cellStyle name="Comma [0] 2 9 2 3" xfId="25869" xr:uid="{00000000-0005-0000-0000-000011650000}"/>
    <cellStyle name="Comma [0] 2 9 2 4" xfId="27796" xr:uid="{00000000-0005-0000-0000-0000986C0000}"/>
    <cellStyle name="Comma [0] 2 9 2 5" xfId="8521" xr:uid="{00000000-0005-0000-0000-00004D210000}"/>
    <cellStyle name="Comma [0] 2 9 3" xfId="3441" xr:uid="{00000000-0005-0000-0000-0000750D0000}"/>
    <cellStyle name="Comma [0] 2 9 3 2" xfId="23265" xr:uid="{00000000-0005-0000-0000-0000E55A0000}"/>
    <cellStyle name="Comma [0] 2 9 3 2 2" xfId="27272" xr:uid="{00000000-0005-0000-0000-00008C6A0000}"/>
    <cellStyle name="Comma [0] 2 9 3 2 3" xfId="29200" xr:uid="{00000000-0005-0000-0000-000014720000}"/>
    <cellStyle name="Comma [0] 2 9 3 3" xfId="26309" xr:uid="{00000000-0005-0000-0000-0000C9660000}"/>
    <cellStyle name="Comma [0] 2 9 3 4" xfId="28237" xr:uid="{00000000-0005-0000-0000-0000516E0000}"/>
    <cellStyle name="Comma [0] 2 9 3 5" xfId="16406" xr:uid="{00000000-0005-0000-0000-00001A400000}"/>
    <cellStyle name="Comma [0] 2 9 4" xfId="19745" xr:uid="{00000000-0005-0000-0000-0000254D0000}"/>
    <cellStyle name="Comma [0] 2 9 4 2" xfId="26603" xr:uid="{00000000-0005-0000-0000-0000EF670000}"/>
    <cellStyle name="Comma [0] 2 9 4 3" xfId="28531" xr:uid="{00000000-0005-0000-0000-0000776F0000}"/>
    <cellStyle name="Comma [0] 2 9 5" xfId="25640" xr:uid="{00000000-0005-0000-0000-00002C640000}"/>
    <cellStyle name="Comma [0] 2 9 6" xfId="27567" xr:uid="{00000000-0005-0000-0000-0000B36B0000}"/>
    <cellStyle name="Comma [0] 2 9 7" xfId="7478" xr:uid="{00000000-0005-0000-0000-00003A1D0000}"/>
    <cellStyle name="Comma 10" xfId="7479" xr:uid="{00000000-0005-0000-0000-00003B1D0000}"/>
    <cellStyle name="Comma 10 10" xfId="12650" xr:uid="{00000000-0005-0000-0000-00006E310000}"/>
    <cellStyle name="Comma 10 10 2" xfId="23123" xr:uid="{00000000-0005-0000-0000-0000575A0000}"/>
    <cellStyle name="Comma 10 10 2 2" xfId="27140" xr:uid="{00000000-0005-0000-0000-0000086A0000}"/>
    <cellStyle name="Comma 10 10 2 3" xfId="29068" xr:uid="{00000000-0005-0000-0000-000090710000}"/>
    <cellStyle name="Comma 10 10 3" xfId="26177" xr:uid="{00000000-0005-0000-0000-000045660000}"/>
    <cellStyle name="Comma 10 10 4" xfId="28105" xr:uid="{00000000-0005-0000-0000-0000CD6D0000}"/>
    <cellStyle name="Comma 10 11" xfId="12651" xr:uid="{00000000-0005-0000-0000-00006F310000}"/>
    <cellStyle name="Comma 10 11 2" xfId="23124" xr:uid="{00000000-0005-0000-0000-0000585A0000}"/>
    <cellStyle name="Comma 10 11 2 2" xfId="27141" xr:uid="{00000000-0005-0000-0000-0000096A0000}"/>
    <cellStyle name="Comma 10 11 2 3" xfId="29069" xr:uid="{00000000-0005-0000-0000-000091710000}"/>
    <cellStyle name="Comma 10 11 3" xfId="26178" xr:uid="{00000000-0005-0000-0000-000046660000}"/>
    <cellStyle name="Comma 10 11 4" xfId="28106" xr:uid="{00000000-0005-0000-0000-0000CE6D0000}"/>
    <cellStyle name="Comma 10 12" xfId="19746" xr:uid="{00000000-0005-0000-0000-0000264D0000}"/>
    <cellStyle name="Comma 10 12 2" xfId="26604" xr:uid="{00000000-0005-0000-0000-0000F0670000}"/>
    <cellStyle name="Comma 10 12 3" xfId="28532" xr:uid="{00000000-0005-0000-0000-0000786F0000}"/>
    <cellStyle name="Comma 10 13" xfId="25641" xr:uid="{00000000-0005-0000-0000-00002D640000}"/>
    <cellStyle name="Comma 10 14" xfId="27568" xr:uid="{00000000-0005-0000-0000-0000B46B0000}"/>
    <cellStyle name="Comma 10 2" xfId="611" xr:uid="{00000000-0005-0000-0000-000067020000}"/>
    <cellStyle name="Comma 10 2 10" xfId="612" xr:uid="{00000000-0005-0000-0000-000068020000}"/>
    <cellStyle name="Comma 10 2 10 2" xfId="1882" xr:uid="{00000000-0005-0000-0000-00005E070000}"/>
    <cellStyle name="Comma 10 2 10 2 2" xfId="3742" xr:uid="{00000000-0005-0000-0000-0000A20E0000}"/>
    <cellStyle name="Comma 10 2 10 2 2 2" xfId="26834" xr:uid="{00000000-0005-0000-0000-0000D6680000}"/>
    <cellStyle name="Comma 10 2 10 2 2 3" xfId="28762" xr:uid="{00000000-0005-0000-0000-00005E700000}"/>
    <cellStyle name="Comma 10 2 10 2 2 4" xfId="20728" xr:uid="{00000000-0005-0000-0000-0000FC500000}"/>
    <cellStyle name="Comma 10 2 10 2 3" xfId="25871" xr:uid="{00000000-0005-0000-0000-000013650000}"/>
    <cellStyle name="Comma 10 2 10 2 4" xfId="27798" xr:uid="{00000000-0005-0000-0000-00009A6C0000}"/>
    <cellStyle name="Comma 10 2 10 2 5" xfId="8523" xr:uid="{00000000-0005-0000-0000-00004F210000}"/>
    <cellStyle name="Comma 10 2 10 3" xfId="3443" xr:uid="{00000000-0005-0000-0000-0000770D0000}"/>
    <cellStyle name="Comma 10 2 10 3 2" xfId="23267" xr:uid="{00000000-0005-0000-0000-0000E75A0000}"/>
    <cellStyle name="Comma 10 2 10 3 2 2" xfId="27274" xr:uid="{00000000-0005-0000-0000-00008E6A0000}"/>
    <cellStyle name="Comma 10 2 10 3 2 3" xfId="29202" xr:uid="{00000000-0005-0000-0000-000016720000}"/>
    <cellStyle name="Comma 10 2 10 3 3" xfId="26311" xr:uid="{00000000-0005-0000-0000-0000CB660000}"/>
    <cellStyle name="Comma 10 2 10 3 4" xfId="28239" xr:uid="{00000000-0005-0000-0000-0000536E0000}"/>
    <cellStyle name="Comma 10 2 10 3 5" xfId="16408" xr:uid="{00000000-0005-0000-0000-00001C400000}"/>
    <cellStyle name="Comma 10 2 10 4" xfId="19748" xr:uid="{00000000-0005-0000-0000-0000284D0000}"/>
    <cellStyle name="Comma 10 2 10 4 2" xfId="26606" xr:uid="{00000000-0005-0000-0000-0000F2670000}"/>
    <cellStyle name="Comma 10 2 10 4 3" xfId="28534" xr:uid="{00000000-0005-0000-0000-00007A6F0000}"/>
    <cellStyle name="Comma 10 2 10 5" xfId="25643" xr:uid="{00000000-0005-0000-0000-00002F640000}"/>
    <cellStyle name="Comma 10 2 10 6" xfId="27570" xr:uid="{00000000-0005-0000-0000-0000B66B0000}"/>
    <cellStyle name="Comma 10 2 10 7" xfId="7481" xr:uid="{00000000-0005-0000-0000-00003D1D0000}"/>
    <cellStyle name="Comma 10 2 11" xfId="613" xr:uid="{00000000-0005-0000-0000-000069020000}"/>
    <cellStyle name="Comma 10 2 11 2" xfId="1883" xr:uid="{00000000-0005-0000-0000-00005F070000}"/>
    <cellStyle name="Comma 10 2 11 2 2" xfId="3743" xr:uid="{00000000-0005-0000-0000-0000A30E0000}"/>
    <cellStyle name="Comma 10 2 11 2 2 2" xfId="26835" xr:uid="{00000000-0005-0000-0000-0000D7680000}"/>
    <cellStyle name="Comma 10 2 11 2 2 3" xfId="28763" xr:uid="{00000000-0005-0000-0000-00005F700000}"/>
    <cellStyle name="Comma 10 2 11 2 2 4" xfId="20729" xr:uid="{00000000-0005-0000-0000-0000FD500000}"/>
    <cellStyle name="Comma 10 2 11 2 3" xfId="25872" xr:uid="{00000000-0005-0000-0000-000014650000}"/>
    <cellStyle name="Comma 10 2 11 2 4" xfId="27799" xr:uid="{00000000-0005-0000-0000-00009B6C0000}"/>
    <cellStyle name="Comma 10 2 11 2 5" xfId="8524" xr:uid="{00000000-0005-0000-0000-000050210000}"/>
    <cellStyle name="Comma 10 2 11 3" xfId="3444" xr:uid="{00000000-0005-0000-0000-0000780D0000}"/>
    <cellStyle name="Comma 10 2 11 3 2" xfId="23268" xr:uid="{00000000-0005-0000-0000-0000E85A0000}"/>
    <cellStyle name="Comma 10 2 11 3 2 2" xfId="27275" xr:uid="{00000000-0005-0000-0000-00008F6A0000}"/>
    <cellStyle name="Comma 10 2 11 3 2 3" xfId="29203" xr:uid="{00000000-0005-0000-0000-000017720000}"/>
    <cellStyle name="Comma 10 2 11 3 3" xfId="26312" xr:uid="{00000000-0005-0000-0000-0000CC660000}"/>
    <cellStyle name="Comma 10 2 11 3 4" xfId="28240" xr:uid="{00000000-0005-0000-0000-0000546E0000}"/>
    <cellStyle name="Comma 10 2 11 3 5" xfId="16409" xr:uid="{00000000-0005-0000-0000-00001D400000}"/>
    <cellStyle name="Comma 10 2 11 4" xfId="19749" xr:uid="{00000000-0005-0000-0000-0000294D0000}"/>
    <cellStyle name="Comma 10 2 11 4 2" xfId="26607" xr:uid="{00000000-0005-0000-0000-0000F3670000}"/>
    <cellStyle name="Comma 10 2 11 4 3" xfId="28535" xr:uid="{00000000-0005-0000-0000-00007B6F0000}"/>
    <cellStyle name="Comma 10 2 11 5" xfId="25644" xr:uid="{00000000-0005-0000-0000-000030640000}"/>
    <cellStyle name="Comma 10 2 11 6" xfId="27571" xr:uid="{00000000-0005-0000-0000-0000B76B0000}"/>
    <cellStyle name="Comma 10 2 11 7" xfId="7482" xr:uid="{00000000-0005-0000-0000-00003E1D0000}"/>
    <cellStyle name="Comma 10 2 12" xfId="614" xr:uid="{00000000-0005-0000-0000-00006A020000}"/>
    <cellStyle name="Comma 10 2 12 2" xfId="1884" xr:uid="{00000000-0005-0000-0000-000060070000}"/>
    <cellStyle name="Comma 10 2 12 2 2" xfId="3744" xr:uid="{00000000-0005-0000-0000-0000A40E0000}"/>
    <cellStyle name="Comma 10 2 12 2 2 2" xfId="26836" xr:uid="{00000000-0005-0000-0000-0000D8680000}"/>
    <cellStyle name="Comma 10 2 12 2 2 3" xfId="28764" xr:uid="{00000000-0005-0000-0000-000060700000}"/>
    <cellStyle name="Comma 10 2 12 2 2 4" xfId="20730" xr:uid="{00000000-0005-0000-0000-0000FE500000}"/>
    <cellStyle name="Comma 10 2 12 2 3" xfId="25873" xr:uid="{00000000-0005-0000-0000-000015650000}"/>
    <cellStyle name="Comma 10 2 12 2 4" xfId="27800" xr:uid="{00000000-0005-0000-0000-00009C6C0000}"/>
    <cellStyle name="Comma 10 2 12 2 5" xfId="8525" xr:uid="{00000000-0005-0000-0000-000051210000}"/>
    <cellStyle name="Comma 10 2 12 3" xfId="3445" xr:uid="{00000000-0005-0000-0000-0000790D0000}"/>
    <cellStyle name="Comma 10 2 12 3 2" xfId="23269" xr:uid="{00000000-0005-0000-0000-0000E95A0000}"/>
    <cellStyle name="Comma 10 2 12 3 2 2" xfId="27276" xr:uid="{00000000-0005-0000-0000-0000906A0000}"/>
    <cellStyle name="Comma 10 2 12 3 2 3" xfId="29204" xr:uid="{00000000-0005-0000-0000-000018720000}"/>
    <cellStyle name="Comma 10 2 12 3 3" xfId="26313" xr:uid="{00000000-0005-0000-0000-0000CD660000}"/>
    <cellStyle name="Comma 10 2 12 3 4" xfId="28241" xr:uid="{00000000-0005-0000-0000-0000556E0000}"/>
    <cellStyle name="Comma 10 2 12 3 5" xfId="16410" xr:uid="{00000000-0005-0000-0000-00001E400000}"/>
    <cellStyle name="Comma 10 2 12 4" xfId="19750" xr:uid="{00000000-0005-0000-0000-00002A4D0000}"/>
    <cellStyle name="Comma 10 2 12 4 2" xfId="26608" xr:uid="{00000000-0005-0000-0000-0000F4670000}"/>
    <cellStyle name="Comma 10 2 12 4 3" xfId="28536" xr:uid="{00000000-0005-0000-0000-00007C6F0000}"/>
    <cellStyle name="Comma 10 2 12 5" xfId="25645" xr:uid="{00000000-0005-0000-0000-000031640000}"/>
    <cellStyle name="Comma 10 2 12 6" xfId="27572" xr:uid="{00000000-0005-0000-0000-0000B86B0000}"/>
    <cellStyle name="Comma 10 2 12 7" xfId="7483" xr:uid="{00000000-0005-0000-0000-00003F1D0000}"/>
    <cellStyle name="Comma 10 2 13" xfId="615" xr:uid="{00000000-0005-0000-0000-00006B020000}"/>
    <cellStyle name="Comma 10 2 13 2" xfId="1885" xr:uid="{00000000-0005-0000-0000-000061070000}"/>
    <cellStyle name="Comma 10 2 13 2 2" xfId="3745" xr:uid="{00000000-0005-0000-0000-0000A50E0000}"/>
    <cellStyle name="Comma 10 2 13 2 2 2" xfId="26837" xr:uid="{00000000-0005-0000-0000-0000D9680000}"/>
    <cellStyle name="Comma 10 2 13 2 2 3" xfId="28765" xr:uid="{00000000-0005-0000-0000-000061700000}"/>
    <cellStyle name="Comma 10 2 13 2 2 4" xfId="20731" xr:uid="{00000000-0005-0000-0000-0000FF500000}"/>
    <cellStyle name="Comma 10 2 13 2 3" xfId="25874" xr:uid="{00000000-0005-0000-0000-000016650000}"/>
    <cellStyle name="Comma 10 2 13 2 4" xfId="27801" xr:uid="{00000000-0005-0000-0000-00009D6C0000}"/>
    <cellStyle name="Comma 10 2 13 2 5" xfId="8526" xr:uid="{00000000-0005-0000-0000-000052210000}"/>
    <cellStyle name="Comma 10 2 13 3" xfId="3446" xr:uid="{00000000-0005-0000-0000-00007A0D0000}"/>
    <cellStyle name="Comma 10 2 13 3 2" xfId="23270" xr:uid="{00000000-0005-0000-0000-0000EA5A0000}"/>
    <cellStyle name="Comma 10 2 13 3 2 2" xfId="27277" xr:uid="{00000000-0005-0000-0000-0000916A0000}"/>
    <cellStyle name="Comma 10 2 13 3 2 3" xfId="29205" xr:uid="{00000000-0005-0000-0000-000019720000}"/>
    <cellStyle name="Comma 10 2 13 3 3" xfId="26314" xr:uid="{00000000-0005-0000-0000-0000CE660000}"/>
    <cellStyle name="Comma 10 2 13 3 4" xfId="28242" xr:uid="{00000000-0005-0000-0000-0000566E0000}"/>
    <cellStyle name="Comma 10 2 13 3 5" xfId="16411" xr:uid="{00000000-0005-0000-0000-00001F400000}"/>
    <cellStyle name="Comma 10 2 13 4" xfId="19751" xr:uid="{00000000-0005-0000-0000-00002B4D0000}"/>
    <cellStyle name="Comma 10 2 13 4 2" xfId="26609" xr:uid="{00000000-0005-0000-0000-0000F5670000}"/>
    <cellStyle name="Comma 10 2 13 4 3" xfId="28537" xr:uid="{00000000-0005-0000-0000-00007D6F0000}"/>
    <cellStyle name="Comma 10 2 13 5" xfId="25646" xr:uid="{00000000-0005-0000-0000-000032640000}"/>
    <cellStyle name="Comma 10 2 13 6" xfId="27573" xr:uid="{00000000-0005-0000-0000-0000B96B0000}"/>
    <cellStyle name="Comma 10 2 13 7" xfId="7484" xr:uid="{00000000-0005-0000-0000-0000401D0000}"/>
    <cellStyle name="Comma 10 2 14" xfId="616" xr:uid="{00000000-0005-0000-0000-00006C020000}"/>
    <cellStyle name="Comma 10 2 14 2" xfId="1886" xr:uid="{00000000-0005-0000-0000-000062070000}"/>
    <cellStyle name="Comma 10 2 14 2 2" xfId="3746" xr:uid="{00000000-0005-0000-0000-0000A60E0000}"/>
    <cellStyle name="Comma 10 2 14 2 2 2" xfId="26838" xr:uid="{00000000-0005-0000-0000-0000DA680000}"/>
    <cellStyle name="Comma 10 2 14 2 2 3" xfId="28766" xr:uid="{00000000-0005-0000-0000-000062700000}"/>
    <cellStyle name="Comma 10 2 14 2 2 4" xfId="20732" xr:uid="{00000000-0005-0000-0000-000000510000}"/>
    <cellStyle name="Comma 10 2 14 2 3" xfId="25875" xr:uid="{00000000-0005-0000-0000-000017650000}"/>
    <cellStyle name="Comma 10 2 14 2 4" xfId="27802" xr:uid="{00000000-0005-0000-0000-00009E6C0000}"/>
    <cellStyle name="Comma 10 2 14 2 5" xfId="8527" xr:uid="{00000000-0005-0000-0000-000053210000}"/>
    <cellStyle name="Comma 10 2 14 3" xfId="3447" xr:uid="{00000000-0005-0000-0000-00007B0D0000}"/>
    <cellStyle name="Comma 10 2 14 3 2" xfId="23271" xr:uid="{00000000-0005-0000-0000-0000EB5A0000}"/>
    <cellStyle name="Comma 10 2 14 3 2 2" xfId="27278" xr:uid="{00000000-0005-0000-0000-0000926A0000}"/>
    <cellStyle name="Comma 10 2 14 3 2 3" xfId="29206" xr:uid="{00000000-0005-0000-0000-00001A720000}"/>
    <cellStyle name="Comma 10 2 14 3 3" xfId="26315" xr:uid="{00000000-0005-0000-0000-0000CF660000}"/>
    <cellStyle name="Comma 10 2 14 3 4" xfId="28243" xr:uid="{00000000-0005-0000-0000-0000576E0000}"/>
    <cellStyle name="Comma 10 2 14 3 5" xfId="16412" xr:uid="{00000000-0005-0000-0000-000020400000}"/>
    <cellStyle name="Comma 10 2 14 4" xfId="19752" xr:uid="{00000000-0005-0000-0000-00002C4D0000}"/>
    <cellStyle name="Comma 10 2 14 4 2" xfId="26610" xr:uid="{00000000-0005-0000-0000-0000F6670000}"/>
    <cellStyle name="Comma 10 2 14 4 3" xfId="28538" xr:uid="{00000000-0005-0000-0000-00007E6F0000}"/>
    <cellStyle name="Comma 10 2 14 5" xfId="25647" xr:uid="{00000000-0005-0000-0000-000033640000}"/>
    <cellStyle name="Comma 10 2 14 6" xfId="27574" xr:uid="{00000000-0005-0000-0000-0000BA6B0000}"/>
    <cellStyle name="Comma 10 2 14 7" xfId="7485" xr:uid="{00000000-0005-0000-0000-0000411D0000}"/>
    <cellStyle name="Comma 10 2 15" xfId="617" xr:uid="{00000000-0005-0000-0000-00006D020000}"/>
    <cellStyle name="Comma 10 2 15 2" xfId="1887" xr:uid="{00000000-0005-0000-0000-000063070000}"/>
    <cellStyle name="Comma 10 2 15 2 2" xfId="3747" xr:uid="{00000000-0005-0000-0000-0000A70E0000}"/>
    <cellStyle name="Comma 10 2 15 2 2 2" xfId="26839" xr:uid="{00000000-0005-0000-0000-0000DB680000}"/>
    <cellStyle name="Comma 10 2 15 2 2 3" xfId="28767" xr:uid="{00000000-0005-0000-0000-000063700000}"/>
    <cellStyle name="Comma 10 2 15 2 2 4" xfId="20733" xr:uid="{00000000-0005-0000-0000-000001510000}"/>
    <cellStyle name="Comma 10 2 15 2 3" xfId="25876" xr:uid="{00000000-0005-0000-0000-000018650000}"/>
    <cellStyle name="Comma 10 2 15 2 4" xfId="27803" xr:uid="{00000000-0005-0000-0000-00009F6C0000}"/>
    <cellStyle name="Comma 10 2 15 2 5" xfId="8528" xr:uid="{00000000-0005-0000-0000-000054210000}"/>
    <cellStyle name="Comma 10 2 15 3" xfId="3448" xr:uid="{00000000-0005-0000-0000-00007C0D0000}"/>
    <cellStyle name="Comma 10 2 15 3 2" xfId="23272" xr:uid="{00000000-0005-0000-0000-0000EC5A0000}"/>
    <cellStyle name="Comma 10 2 15 3 2 2" xfId="27279" xr:uid="{00000000-0005-0000-0000-0000936A0000}"/>
    <cellStyle name="Comma 10 2 15 3 2 3" xfId="29207" xr:uid="{00000000-0005-0000-0000-00001B720000}"/>
    <cellStyle name="Comma 10 2 15 3 3" xfId="26316" xr:uid="{00000000-0005-0000-0000-0000D0660000}"/>
    <cellStyle name="Comma 10 2 15 3 4" xfId="28244" xr:uid="{00000000-0005-0000-0000-0000586E0000}"/>
    <cellStyle name="Comma 10 2 15 3 5" xfId="16413" xr:uid="{00000000-0005-0000-0000-000021400000}"/>
    <cellStyle name="Comma 10 2 15 4" xfId="19753" xr:uid="{00000000-0005-0000-0000-00002D4D0000}"/>
    <cellStyle name="Comma 10 2 15 4 2" xfId="26611" xr:uid="{00000000-0005-0000-0000-0000F7670000}"/>
    <cellStyle name="Comma 10 2 15 4 3" xfId="28539" xr:uid="{00000000-0005-0000-0000-00007F6F0000}"/>
    <cellStyle name="Comma 10 2 15 5" xfId="25648" xr:uid="{00000000-0005-0000-0000-000034640000}"/>
    <cellStyle name="Comma 10 2 15 6" xfId="27575" xr:uid="{00000000-0005-0000-0000-0000BB6B0000}"/>
    <cellStyle name="Comma 10 2 15 7" xfId="7486" xr:uid="{00000000-0005-0000-0000-0000421D0000}"/>
    <cellStyle name="Comma 10 2 16" xfId="618" xr:uid="{00000000-0005-0000-0000-00006E020000}"/>
    <cellStyle name="Comma 10 2 16 2" xfId="1888" xr:uid="{00000000-0005-0000-0000-000064070000}"/>
    <cellStyle name="Comma 10 2 16 2 2" xfId="3748" xr:uid="{00000000-0005-0000-0000-0000A80E0000}"/>
    <cellStyle name="Comma 10 2 16 2 2 2" xfId="26840" xr:uid="{00000000-0005-0000-0000-0000DC680000}"/>
    <cellStyle name="Comma 10 2 16 2 2 3" xfId="28768" xr:uid="{00000000-0005-0000-0000-000064700000}"/>
    <cellStyle name="Comma 10 2 16 2 2 4" xfId="20734" xr:uid="{00000000-0005-0000-0000-000002510000}"/>
    <cellStyle name="Comma 10 2 16 2 3" xfId="25877" xr:uid="{00000000-0005-0000-0000-000019650000}"/>
    <cellStyle name="Comma 10 2 16 2 4" xfId="27804" xr:uid="{00000000-0005-0000-0000-0000A06C0000}"/>
    <cellStyle name="Comma 10 2 16 2 5" xfId="8529" xr:uid="{00000000-0005-0000-0000-000055210000}"/>
    <cellStyle name="Comma 10 2 16 3" xfId="3449" xr:uid="{00000000-0005-0000-0000-00007D0D0000}"/>
    <cellStyle name="Comma 10 2 16 3 2" xfId="23273" xr:uid="{00000000-0005-0000-0000-0000ED5A0000}"/>
    <cellStyle name="Comma 10 2 16 3 2 2" xfId="27280" xr:uid="{00000000-0005-0000-0000-0000946A0000}"/>
    <cellStyle name="Comma 10 2 16 3 2 3" xfId="29208" xr:uid="{00000000-0005-0000-0000-00001C720000}"/>
    <cellStyle name="Comma 10 2 16 3 3" xfId="26317" xr:uid="{00000000-0005-0000-0000-0000D1660000}"/>
    <cellStyle name="Comma 10 2 16 3 4" xfId="28245" xr:uid="{00000000-0005-0000-0000-0000596E0000}"/>
    <cellStyle name="Comma 10 2 16 3 5" xfId="16414" xr:uid="{00000000-0005-0000-0000-000022400000}"/>
    <cellStyle name="Comma 10 2 16 4" xfId="19754" xr:uid="{00000000-0005-0000-0000-00002E4D0000}"/>
    <cellStyle name="Comma 10 2 16 4 2" xfId="26612" xr:uid="{00000000-0005-0000-0000-0000F8670000}"/>
    <cellStyle name="Comma 10 2 16 4 3" xfId="28540" xr:uid="{00000000-0005-0000-0000-0000806F0000}"/>
    <cellStyle name="Comma 10 2 16 5" xfId="25649" xr:uid="{00000000-0005-0000-0000-000035640000}"/>
    <cellStyle name="Comma 10 2 16 6" xfId="27576" xr:uid="{00000000-0005-0000-0000-0000BC6B0000}"/>
    <cellStyle name="Comma 10 2 16 7" xfId="7487" xr:uid="{00000000-0005-0000-0000-0000431D0000}"/>
    <cellStyle name="Comma 10 2 17" xfId="619" xr:uid="{00000000-0005-0000-0000-00006F020000}"/>
    <cellStyle name="Comma 10 2 17 2" xfId="1889" xr:uid="{00000000-0005-0000-0000-000065070000}"/>
    <cellStyle name="Comma 10 2 17 2 2" xfId="3749" xr:uid="{00000000-0005-0000-0000-0000A90E0000}"/>
    <cellStyle name="Comma 10 2 17 2 2 2" xfId="26841" xr:uid="{00000000-0005-0000-0000-0000DD680000}"/>
    <cellStyle name="Comma 10 2 17 2 2 3" xfId="28769" xr:uid="{00000000-0005-0000-0000-000065700000}"/>
    <cellStyle name="Comma 10 2 17 2 2 4" xfId="20735" xr:uid="{00000000-0005-0000-0000-000003510000}"/>
    <cellStyle name="Comma 10 2 17 2 3" xfId="25878" xr:uid="{00000000-0005-0000-0000-00001A650000}"/>
    <cellStyle name="Comma 10 2 17 2 4" xfId="27805" xr:uid="{00000000-0005-0000-0000-0000A16C0000}"/>
    <cellStyle name="Comma 10 2 17 2 5" xfId="8530" xr:uid="{00000000-0005-0000-0000-000056210000}"/>
    <cellStyle name="Comma 10 2 17 3" xfId="3450" xr:uid="{00000000-0005-0000-0000-00007E0D0000}"/>
    <cellStyle name="Comma 10 2 17 3 2" xfId="23274" xr:uid="{00000000-0005-0000-0000-0000EE5A0000}"/>
    <cellStyle name="Comma 10 2 17 3 2 2" xfId="27281" xr:uid="{00000000-0005-0000-0000-0000956A0000}"/>
    <cellStyle name="Comma 10 2 17 3 2 3" xfId="29209" xr:uid="{00000000-0005-0000-0000-00001D720000}"/>
    <cellStyle name="Comma 10 2 17 3 3" xfId="26318" xr:uid="{00000000-0005-0000-0000-0000D2660000}"/>
    <cellStyle name="Comma 10 2 17 3 4" xfId="28246" xr:uid="{00000000-0005-0000-0000-00005A6E0000}"/>
    <cellStyle name="Comma 10 2 17 3 5" xfId="16415" xr:uid="{00000000-0005-0000-0000-000023400000}"/>
    <cellStyle name="Comma 10 2 17 4" xfId="19755" xr:uid="{00000000-0005-0000-0000-00002F4D0000}"/>
    <cellStyle name="Comma 10 2 17 4 2" xfId="26613" xr:uid="{00000000-0005-0000-0000-0000F9670000}"/>
    <cellStyle name="Comma 10 2 17 4 3" xfId="28541" xr:uid="{00000000-0005-0000-0000-0000816F0000}"/>
    <cellStyle name="Comma 10 2 17 5" xfId="25650" xr:uid="{00000000-0005-0000-0000-000036640000}"/>
    <cellStyle name="Comma 10 2 17 6" xfId="27577" xr:uid="{00000000-0005-0000-0000-0000BD6B0000}"/>
    <cellStyle name="Comma 10 2 17 7" xfId="7488" xr:uid="{00000000-0005-0000-0000-0000441D0000}"/>
    <cellStyle name="Comma 10 2 18" xfId="1881" xr:uid="{00000000-0005-0000-0000-00005D070000}"/>
    <cellStyle name="Comma 10 2 18 2" xfId="3741" xr:uid="{00000000-0005-0000-0000-0000A10E0000}"/>
    <cellStyle name="Comma 10 2 18 2 2" xfId="26833" xr:uid="{00000000-0005-0000-0000-0000D5680000}"/>
    <cellStyle name="Comma 10 2 18 2 3" xfId="28761" xr:uid="{00000000-0005-0000-0000-00005D700000}"/>
    <cellStyle name="Comma 10 2 18 2 4" xfId="20727" xr:uid="{00000000-0005-0000-0000-0000FB500000}"/>
    <cellStyle name="Comma 10 2 18 3" xfId="25870" xr:uid="{00000000-0005-0000-0000-000012650000}"/>
    <cellStyle name="Comma 10 2 18 4" xfId="27797" xr:uid="{00000000-0005-0000-0000-0000996C0000}"/>
    <cellStyle name="Comma 10 2 18 5" xfId="8522" xr:uid="{00000000-0005-0000-0000-00004E210000}"/>
    <cellStyle name="Comma 10 2 19" xfId="3442" xr:uid="{00000000-0005-0000-0000-0000760D0000}"/>
    <cellStyle name="Comma 10 2 19 2" xfId="23266" xr:uid="{00000000-0005-0000-0000-0000E65A0000}"/>
    <cellStyle name="Comma 10 2 19 2 2" xfId="27273" xr:uid="{00000000-0005-0000-0000-00008D6A0000}"/>
    <cellStyle name="Comma 10 2 19 2 3" xfId="29201" xr:uid="{00000000-0005-0000-0000-000015720000}"/>
    <cellStyle name="Comma 10 2 19 3" xfId="26310" xr:uid="{00000000-0005-0000-0000-0000CA660000}"/>
    <cellStyle name="Comma 10 2 19 4" xfId="28238" xr:uid="{00000000-0005-0000-0000-0000526E0000}"/>
    <cellStyle name="Comma 10 2 19 5" xfId="16407" xr:uid="{00000000-0005-0000-0000-00001B400000}"/>
    <cellStyle name="Comma 10 2 2" xfId="620" xr:uid="{00000000-0005-0000-0000-000070020000}"/>
    <cellStyle name="Comma 10 2 2 2" xfId="1890" xr:uid="{00000000-0005-0000-0000-000066070000}"/>
    <cellStyle name="Comma 10 2 2 2 2" xfId="3750" xr:uid="{00000000-0005-0000-0000-0000AA0E0000}"/>
    <cellStyle name="Comma 10 2 2 2 2 2" xfId="26842" xr:uid="{00000000-0005-0000-0000-0000DE680000}"/>
    <cellStyle name="Comma 10 2 2 2 2 3" xfId="28770" xr:uid="{00000000-0005-0000-0000-000066700000}"/>
    <cellStyle name="Comma 10 2 2 2 2 4" xfId="20736" xr:uid="{00000000-0005-0000-0000-000004510000}"/>
    <cellStyle name="Comma 10 2 2 2 3" xfId="25879" xr:uid="{00000000-0005-0000-0000-00001B650000}"/>
    <cellStyle name="Comma 10 2 2 2 4" xfId="27806" xr:uid="{00000000-0005-0000-0000-0000A26C0000}"/>
    <cellStyle name="Comma 10 2 2 2 5" xfId="8531" xr:uid="{00000000-0005-0000-0000-000057210000}"/>
    <cellStyle name="Comma 10 2 2 3" xfId="3451" xr:uid="{00000000-0005-0000-0000-00007F0D0000}"/>
    <cellStyle name="Comma 10 2 2 3 2" xfId="23275" xr:uid="{00000000-0005-0000-0000-0000EF5A0000}"/>
    <cellStyle name="Comma 10 2 2 3 2 2" xfId="27282" xr:uid="{00000000-0005-0000-0000-0000966A0000}"/>
    <cellStyle name="Comma 10 2 2 3 2 3" xfId="29210" xr:uid="{00000000-0005-0000-0000-00001E720000}"/>
    <cellStyle name="Comma 10 2 2 3 3" xfId="26319" xr:uid="{00000000-0005-0000-0000-0000D3660000}"/>
    <cellStyle name="Comma 10 2 2 3 4" xfId="28247" xr:uid="{00000000-0005-0000-0000-00005B6E0000}"/>
    <cellStyle name="Comma 10 2 2 3 5" xfId="16416" xr:uid="{00000000-0005-0000-0000-000024400000}"/>
    <cellStyle name="Comma 10 2 2 4" xfId="19756" xr:uid="{00000000-0005-0000-0000-0000304D0000}"/>
    <cellStyle name="Comma 10 2 2 4 2" xfId="26614" xr:uid="{00000000-0005-0000-0000-0000FA670000}"/>
    <cellStyle name="Comma 10 2 2 4 3" xfId="28542" xr:uid="{00000000-0005-0000-0000-0000826F0000}"/>
    <cellStyle name="Comma 10 2 2 5" xfId="25651" xr:uid="{00000000-0005-0000-0000-000037640000}"/>
    <cellStyle name="Comma 10 2 2 6" xfId="27578" xr:uid="{00000000-0005-0000-0000-0000BE6B0000}"/>
    <cellStyle name="Comma 10 2 2 7" xfId="7489" xr:uid="{00000000-0005-0000-0000-0000451D0000}"/>
    <cellStyle name="Comma 10 2 20" xfId="19747" xr:uid="{00000000-0005-0000-0000-0000274D0000}"/>
    <cellStyle name="Comma 10 2 20 2" xfId="26605" xr:uid="{00000000-0005-0000-0000-0000F1670000}"/>
    <cellStyle name="Comma 10 2 20 3" xfId="28533" xr:uid="{00000000-0005-0000-0000-0000796F0000}"/>
    <cellStyle name="Comma 10 2 21" xfId="25642" xr:uid="{00000000-0005-0000-0000-00002E640000}"/>
    <cellStyle name="Comma 10 2 22" xfId="27569" xr:uid="{00000000-0005-0000-0000-0000B56B0000}"/>
    <cellStyle name="Comma 10 2 23" xfId="7480" xr:uid="{00000000-0005-0000-0000-00003C1D0000}"/>
    <cellStyle name="Comma 10 2 3" xfId="621" xr:uid="{00000000-0005-0000-0000-000071020000}"/>
    <cellStyle name="Comma 10 2 3 2" xfId="1891" xr:uid="{00000000-0005-0000-0000-000067070000}"/>
    <cellStyle name="Comma 10 2 3 2 2" xfId="3751" xr:uid="{00000000-0005-0000-0000-0000AB0E0000}"/>
    <cellStyle name="Comma 10 2 3 2 2 2" xfId="26843" xr:uid="{00000000-0005-0000-0000-0000DF680000}"/>
    <cellStyle name="Comma 10 2 3 2 2 3" xfId="28771" xr:uid="{00000000-0005-0000-0000-000067700000}"/>
    <cellStyle name="Comma 10 2 3 2 2 4" xfId="20737" xr:uid="{00000000-0005-0000-0000-000005510000}"/>
    <cellStyle name="Comma 10 2 3 2 3" xfId="25880" xr:uid="{00000000-0005-0000-0000-00001C650000}"/>
    <cellStyle name="Comma 10 2 3 2 4" xfId="27807" xr:uid="{00000000-0005-0000-0000-0000A36C0000}"/>
    <cellStyle name="Comma 10 2 3 2 5" xfId="8532" xr:uid="{00000000-0005-0000-0000-000058210000}"/>
    <cellStyle name="Comma 10 2 3 3" xfId="3452" xr:uid="{00000000-0005-0000-0000-0000800D0000}"/>
    <cellStyle name="Comma 10 2 3 3 2" xfId="23276" xr:uid="{00000000-0005-0000-0000-0000F05A0000}"/>
    <cellStyle name="Comma 10 2 3 3 2 2" xfId="27283" xr:uid="{00000000-0005-0000-0000-0000976A0000}"/>
    <cellStyle name="Comma 10 2 3 3 2 3" xfId="29211" xr:uid="{00000000-0005-0000-0000-00001F720000}"/>
    <cellStyle name="Comma 10 2 3 3 3" xfId="26320" xr:uid="{00000000-0005-0000-0000-0000D4660000}"/>
    <cellStyle name="Comma 10 2 3 3 4" xfId="28248" xr:uid="{00000000-0005-0000-0000-00005C6E0000}"/>
    <cellStyle name="Comma 10 2 3 3 5" xfId="16417" xr:uid="{00000000-0005-0000-0000-000025400000}"/>
    <cellStyle name="Comma 10 2 3 4" xfId="19757" xr:uid="{00000000-0005-0000-0000-0000314D0000}"/>
    <cellStyle name="Comma 10 2 3 4 2" xfId="26615" xr:uid="{00000000-0005-0000-0000-0000FB670000}"/>
    <cellStyle name="Comma 10 2 3 4 3" xfId="28543" xr:uid="{00000000-0005-0000-0000-0000836F0000}"/>
    <cellStyle name="Comma 10 2 3 5" xfId="25652" xr:uid="{00000000-0005-0000-0000-000038640000}"/>
    <cellStyle name="Comma 10 2 3 6" xfId="27579" xr:uid="{00000000-0005-0000-0000-0000BF6B0000}"/>
    <cellStyle name="Comma 10 2 3 7" xfId="7490" xr:uid="{00000000-0005-0000-0000-0000461D0000}"/>
    <cellStyle name="Comma 10 2 4" xfId="622" xr:uid="{00000000-0005-0000-0000-000072020000}"/>
    <cellStyle name="Comma 10 2 4 2" xfId="1892" xr:uid="{00000000-0005-0000-0000-000068070000}"/>
    <cellStyle name="Comma 10 2 4 2 2" xfId="3752" xr:uid="{00000000-0005-0000-0000-0000AC0E0000}"/>
    <cellStyle name="Comma 10 2 4 2 2 2" xfId="26844" xr:uid="{00000000-0005-0000-0000-0000E0680000}"/>
    <cellStyle name="Comma 10 2 4 2 2 3" xfId="28772" xr:uid="{00000000-0005-0000-0000-000068700000}"/>
    <cellStyle name="Comma 10 2 4 2 2 4" xfId="20738" xr:uid="{00000000-0005-0000-0000-000006510000}"/>
    <cellStyle name="Comma 10 2 4 2 3" xfId="25881" xr:uid="{00000000-0005-0000-0000-00001D650000}"/>
    <cellStyle name="Comma 10 2 4 2 4" xfId="27808" xr:uid="{00000000-0005-0000-0000-0000A46C0000}"/>
    <cellStyle name="Comma 10 2 4 2 5" xfId="8533" xr:uid="{00000000-0005-0000-0000-000059210000}"/>
    <cellStyle name="Comma 10 2 4 3" xfId="3453" xr:uid="{00000000-0005-0000-0000-0000810D0000}"/>
    <cellStyle name="Comma 10 2 4 3 2" xfId="23277" xr:uid="{00000000-0005-0000-0000-0000F15A0000}"/>
    <cellStyle name="Comma 10 2 4 3 2 2" xfId="27284" xr:uid="{00000000-0005-0000-0000-0000986A0000}"/>
    <cellStyle name="Comma 10 2 4 3 2 3" xfId="29212" xr:uid="{00000000-0005-0000-0000-000020720000}"/>
    <cellStyle name="Comma 10 2 4 3 3" xfId="26321" xr:uid="{00000000-0005-0000-0000-0000D5660000}"/>
    <cellStyle name="Comma 10 2 4 3 4" xfId="28249" xr:uid="{00000000-0005-0000-0000-00005D6E0000}"/>
    <cellStyle name="Comma 10 2 4 3 5" xfId="16418" xr:uid="{00000000-0005-0000-0000-000026400000}"/>
    <cellStyle name="Comma 10 2 4 4" xfId="19758" xr:uid="{00000000-0005-0000-0000-0000324D0000}"/>
    <cellStyle name="Comma 10 2 4 4 2" xfId="26616" xr:uid="{00000000-0005-0000-0000-0000FC670000}"/>
    <cellStyle name="Comma 10 2 4 4 3" xfId="28544" xr:uid="{00000000-0005-0000-0000-0000846F0000}"/>
    <cellStyle name="Comma 10 2 4 5" xfId="25653" xr:uid="{00000000-0005-0000-0000-000039640000}"/>
    <cellStyle name="Comma 10 2 4 6" xfId="27580" xr:uid="{00000000-0005-0000-0000-0000C06B0000}"/>
    <cellStyle name="Comma 10 2 4 7" xfId="7491" xr:uid="{00000000-0005-0000-0000-0000471D0000}"/>
    <cellStyle name="Comma 10 2 5" xfId="623" xr:uid="{00000000-0005-0000-0000-000073020000}"/>
    <cellStyle name="Comma 10 2 5 2" xfId="1893" xr:uid="{00000000-0005-0000-0000-000069070000}"/>
    <cellStyle name="Comma 10 2 5 2 2" xfId="3753" xr:uid="{00000000-0005-0000-0000-0000AD0E0000}"/>
    <cellStyle name="Comma 10 2 5 2 2 2" xfId="26845" xr:uid="{00000000-0005-0000-0000-0000E1680000}"/>
    <cellStyle name="Comma 10 2 5 2 2 3" xfId="28773" xr:uid="{00000000-0005-0000-0000-000069700000}"/>
    <cellStyle name="Comma 10 2 5 2 2 4" xfId="20739" xr:uid="{00000000-0005-0000-0000-000007510000}"/>
    <cellStyle name="Comma 10 2 5 2 3" xfId="25882" xr:uid="{00000000-0005-0000-0000-00001E650000}"/>
    <cellStyle name="Comma 10 2 5 2 4" xfId="27809" xr:uid="{00000000-0005-0000-0000-0000A56C0000}"/>
    <cellStyle name="Comma 10 2 5 2 5" xfId="8534" xr:uid="{00000000-0005-0000-0000-00005A210000}"/>
    <cellStyle name="Comma 10 2 5 3" xfId="3454" xr:uid="{00000000-0005-0000-0000-0000820D0000}"/>
    <cellStyle name="Comma 10 2 5 3 2" xfId="23278" xr:uid="{00000000-0005-0000-0000-0000F25A0000}"/>
    <cellStyle name="Comma 10 2 5 3 2 2" xfId="27285" xr:uid="{00000000-0005-0000-0000-0000996A0000}"/>
    <cellStyle name="Comma 10 2 5 3 2 3" xfId="29213" xr:uid="{00000000-0005-0000-0000-000021720000}"/>
    <cellStyle name="Comma 10 2 5 3 3" xfId="26322" xr:uid="{00000000-0005-0000-0000-0000D6660000}"/>
    <cellStyle name="Comma 10 2 5 3 4" xfId="28250" xr:uid="{00000000-0005-0000-0000-00005E6E0000}"/>
    <cellStyle name="Comma 10 2 5 3 5" xfId="16419" xr:uid="{00000000-0005-0000-0000-000027400000}"/>
    <cellStyle name="Comma 10 2 5 4" xfId="19759" xr:uid="{00000000-0005-0000-0000-0000334D0000}"/>
    <cellStyle name="Comma 10 2 5 4 2" xfId="26617" xr:uid="{00000000-0005-0000-0000-0000FD670000}"/>
    <cellStyle name="Comma 10 2 5 4 3" xfId="28545" xr:uid="{00000000-0005-0000-0000-0000856F0000}"/>
    <cellStyle name="Comma 10 2 5 5" xfId="25654" xr:uid="{00000000-0005-0000-0000-00003A640000}"/>
    <cellStyle name="Comma 10 2 5 6" xfId="27581" xr:uid="{00000000-0005-0000-0000-0000C16B0000}"/>
    <cellStyle name="Comma 10 2 5 7" xfId="7492" xr:uid="{00000000-0005-0000-0000-0000481D0000}"/>
    <cellStyle name="Comma 10 2 6" xfId="624" xr:uid="{00000000-0005-0000-0000-000074020000}"/>
    <cellStyle name="Comma 10 2 6 2" xfId="1894" xr:uid="{00000000-0005-0000-0000-00006A070000}"/>
    <cellStyle name="Comma 10 2 6 2 2" xfId="3754" xr:uid="{00000000-0005-0000-0000-0000AE0E0000}"/>
    <cellStyle name="Comma 10 2 6 2 2 2" xfId="26846" xr:uid="{00000000-0005-0000-0000-0000E2680000}"/>
    <cellStyle name="Comma 10 2 6 2 2 3" xfId="28774" xr:uid="{00000000-0005-0000-0000-00006A700000}"/>
    <cellStyle name="Comma 10 2 6 2 2 4" xfId="20740" xr:uid="{00000000-0005-0000-0000-000008510000}"/>
    <cellStyle name="Comma 10 2 6 2 3" xfId="25883" xr:uid="{00000000-0005-0000-0000-00001F650000}"/>
    <cellStyle name="Comma 10 2 6 2 4" xfId="27810" xr:uid="{00000000-0005-0000-0000-0000A66C0000}"/>
    <cellStyle name="Comma 10 2 6 2 5" xfId="8535" xr:uid="{00000000-0005-0000-0000-00005B210000}"/>
    <cellStyle name="Comma 10 2 6 3" xfId="3455" xr:uid="{00000000-0005-0000-0000-0000830D0000}"/>
    <cellStyle name="Comma 10 2 6 3 2" xfId="23279" xr:uid="{00000000-0005-0000-0000-0000F35A0000}"/>
    <cellStyle name="Comma 10 2 6 3 2 2" xfId="27286" xr:uid="{00000000-0005-0000-0000-00009A6A0000}"/>
    <cellStyle name="Comma 10 2 6 3 2 3" xfId="29214" xr:uid="{00000000-0005-0000-0000-000022720000}"/>
    <cellStyle name="Comma 10 2 6 3 3" xfId="26323" xr:uid="{00000000-0005-0000-0000-0000D7660000}"/>
    <cellStyle name="Comma 10 2 6 3 4" xfId="28251" xr:uid="{00000000-0005-0000-0000-00005F6E0000}"/>
    <cellStyle name="Comma 10 2 6 3 5" xfId="16420" xr:uid="{00000000-0005-0000-0000-000028400000}"/>
    <cellStyle name="Comma 10 2 6 4" xfId="19760" xr:uid="{00000000-0005-0000-0000-0000344D0000}"/>
    <cellStyle name="Comma 10 2 6 4 2" xfId="26618" xr:uid="{00000000-0005-0000-0000-0000FE670000}"/>
    <cellStyle name="Comma 10 2 6 4 3" xfId="28546" xr:uid="{00000000-0005-0000-0000-0000866F0000}"/>
    <cellStyle name="Comma 10 2 6 5" xfId="25655" xr:uid="{00000000-0005-0000-0000-00003B640000}"/>
    <cellStyle name="Comma 10 2 6 6" xfId="27582" xr:uid="{00000000-0005-0000-0000-0000C26B0000}"/>
    <cellStyle name="Comma 10 2 6 7" xfId="7493" xr:uid="{00000000-0005-0000-0000-0000491D0000}"/>
    <cellStyle name="Comma 10 2 7" xfId="625" xr:uid="{00000000-0005-0000-0000-000075020000}"/>
    <cellStyle name="Comma 10 2 7 2" xfId="1895" xr:uid="{00000000-0005-0000-0000-00006B070000}"/>
    <cellStyle name="Comma 10 2 7 2 2" xfId="3755" xr:uid="{00000000-0005-0000-0000-0000AF0E0000}"/>
    <cellStyle name="Comma 10 2 7 2 2 2" xfId="26847" xr:uid="{00000000-0005-0000-0000-0000E3680000}"/>
    <cellStyle name="Comma 10 2 7 2 2 3" xfId="28775" xr:uid="{00000000-0005-0000-0000-00006B700000}"/>
    <cellStyle name="Comma 10 2 7 2 2 4" xfId="20741" xr:uid="{00000000-0005-0000-0000-000009510000}"/>
    <cellStyle name="Comma 10 2 7 2 3" xfId="25884" xr:uid="{00000000-0005-0000-0000-000020650000}"/>
    <cellStyle name="Comma 10 2 7 2 4" xfId="27811" xr:uid="{00000000-0005-0000-0000-0000A76C0000}"/>
    <cellStyle name="Comma 10 2 7 2 5" xfId="8536" xr:uid="{00000000-0005-0000-0000-00005C210000}"/>
    <cellStyle name="Comma 10 2 7 3" xfId="3456" xr:uid="{00000000-0005-0000-0000-0000840D0000}"/>
    <cellStyle name="Comma 10 2 7 3 2" xfId="23280" xr:uid="{00000000-0005-0000-0000-0000F45A0000}"/>
    <cellStyle name="Comma 10 2 7 3 2 2" xfId="27287" xr:uid="{00000000-0005-0000-0000-00009B6A0000}"/>
    <cellStyle name="Comma 10 2 7 3 2 3" xfId="29215" xr:uid="{00000000-0005-0000-0000-000023720000}"/>
    <cellStyle name="Comma 10 2 7 3 3" xfId="26324" xr:uid="{00000000-0005-0000-0000-0000D8660000}"/>
    <cellStyle name="Comma 10 2 7 3 4" xfId="28252" xr:uid="{00000000-0005-0000-0000-0000606E0000}"/>
    <cellStyle name="Comma 10 2 7 3 5" xfId="16421" xr:uid="{00000000-0005-0000-0000-000029400000}"/>
    <cellStyle name="Comma 10 2 7 4" xfId="19761" xr:uid="{00000000-0005-0000-0000-0000354D0000}"/>
    <cellStyle name="Comma 10 2 7 4 2" xfId="26619" xr:uid="{00000000-0005-0000-0000-0000FF670000}"/>
    <cellStyle name="Comma 10 2 7 4 3" xfId="28547" xr:uid="{00000000-0005-0000-0000-0000876F0000}"/>
    <cellStyle name="Comma 10 2 7 5" xfId="25656" xr:uid="{00000000-0005-0000-0000-00003C640000}"/>
    <cellStyle name="Comma 10 2 7 6" xfId="27583" xr:uid="{00000000-0005-0000-0000-0000C36B0000}"/>
    <cellStyle name="Comma 10 2 7 7" xfId="7494" xr:uid="{00000000-0005-0000-0000-00004A1D0000}"/>
    <cellStyle name="Comma 10 2 8" xfId="626" xr:uid="{00000000-0005-0000-0000-000076020000}"/>
    <cellStyle name="Comma 10 2 8 2" xfId="1896" xr:uid="{00000000-0005-0000-0000-00006C070000}"/>
    <cellStyle name="Comma 10 2 8 2 2" xfId="3756" xr:uid="{00000000-0005-0000-0000-0000B00E0000}"/>
    <cellStyle name="Comma 10 2 8 2 2 2" xfId="26848" xr:uid="{00000000-0005-0000-0000-0000E4680000}"/>
    <cellStyle name="Comma 10 2 8 2 2 3" xfId="28776" xr:uid="{00000000-0005-0000-0000-00006C700000}"/>
    <cellStyle name="Comma 10 2 8 2 2 4" xfId="20742" xr:uid="{00000000-0005-0000-0000-00000A510000}"/>
    <cellStyle name="Comma 10 2 8 2 3" xfId="25885" xr:uid="{00000000-0005-0000-0000-000021650000}"/>
    <cellStyle name="Comma 10 2 8 2 4" xfId="27812" xr:uid="{00000000-0005-0000-0000-0000A86C0000}"/>
    <cellStyle name="Comma 10 2 8 2 5" xfId="8537" xr:uid="{00000000-0005-0000-0000-00005D210000}"/>
    <cellStyle name="Comma 10 2 8 3" xfId="3457" xr:uid="{00000000-0005-0000-0000-0000850D0000}"/>
    <cellStyle name="Comma 10 2 8 3 2" xfId="23281" xr:uid="{00000000-0005-0000-0000-0000F55A0000}"/>
    <cellStyle name="Comma 10 2 8 3 2 2" xfId="27288" xr:uid="{00000000-0005-0000-0000-00009C6A0000}"/>
    <cellStyle name="Comma 10 2 8 3 2 3" xfId="29216" xr:uid="{00000000-0005-0000-0000-000024720000}"/>
    <cellStyle name="Comma 10 2 8 3 3" xfId="26325" xr:uid="{00000000-0005-0000-0000-0000D9660000}"/>
    <cellStyle name="Comma 10 2 8 3 4" xfId="28253" xr:uid="{00000000-0005-0000-0000-0000616E0000}"/>
    <cellStyle name="Comma 10 2 8 3 5" xfId="16422" xr:uid="{00000000-0005-0000-0000-00002A400000}"/>
    <cellStyle name="Comma 10 2 8 4" xfId="19762" xr:uid="{00000000-0005-0000-0000-0000364D0000}"/>
    <cellStyle name="Comma 10 2 8 4 2" xfId="26620" xr:uid="{00000000-0005-0000-0000-000000680000}"/>
    <cellStyle name="Comma 10 2 8 4 3" xfId="28548" xr:uid="{00000000-0005-0000-0000-0000886F0000}"/>
    <cellStyle name="Comma 10 2 8 5" xfId="25657" xr:uid="{00000000-0005-0000-0000-00003D640000}"/>
    <cellStyle name="Comma 10 2 8 6" xfId="27584" xr:uid="{00000000-0005-0000-0000-0000C46B0000}"/>
    <cellStyle name="Comma 10 2 8 7" xfId="7495" xr:uid="{00000000-0005-0000-0000-00004B1D0000}"/>
    <cellStyle name="Comma 10 2 9" xfId="627" xr:uid="{00000000-0005-0000-0000-000077020000}"/>
    <cellStyle name="Comma 10 2 9 2" xfId="1897" xr:uid="{00000000-0005-0000-0000-00006D070000}"/>
    <cellStyle name="Comma 10 2 9 2 2" xfId="3757" xr:uid="{00000000-0005-0000-0000-0000B10E0000}"/>
    <cellStyle name="Comma 10 2 9 2 2 2" xfId="26849" xr:uid="{00000000-0005-0000-0000-0000E5680000}"/>
    <cellStyle name="Comma 10 2 9 2 2 3" xfId="28777" xr:uid="{00000000-0005-0000-0000-00006D700000}"/>
    <cellStyle name="Comma 10 2 9 2 2 4" xfId="20743" xr:uid="{00000000-0005-0000-0000-00000B510000}"/>
    <cellStyle name="Comma 10 2 9 2 3" xfId="25886" xr:uid="{00000000-0005-0000-0000-000022650000}"/>
    <cellStyle name="Comma 10 2 9 2 4" xfId="27813" xr:uid="{00000000-0005-0000-0000-0000A96C0000}"/>
    <cellStyle name="Comma 10 2 9 2 5" xfId="8538" xr:uid="{00000000-0005-0000-0000-00005E210000}"/>
    <cellStyle name="Comma 10 2 9 3" xfId="3458" xr:uid="{00000000-0005-0000-0000-0000860D0000}"/>
    <cellStyle name="Comma 10 2 9 3 2" xfId="23282" xr:uid="{00000000-0005-0000-0000-0000F65A0000}"/>
    <cellStyle name="Comma 10 2 9 3 2 2" xfId="27289" xr:uid="{00000000-0005-0000-0000-00009D6A0000}"/>
    <cellStyle name="Comma 10 2 9 3 2 3" xfId="29217" xr:uid="{00000000-0005-0000-0000-000025720000}"/>
    <cellStyle name="Comma 10 2 9 3 3" xfId="26326" xr:uid="{00000000-0005-0000-0000-0000DA660000}"/>
    <cellStyle name="Comma 10 2 9 3 4" xfId="28254" xr:uid="{00000000-0005-0000-0000-0000626E0000}"/>
    <cellStyle name="Comma 10 2 9 3 5" xfId="16423" xr:uid="{00000000-0005-0000-0000-00002B400000}"/>
    <cellStyle name="Comma 10 2 9 4" xfId="19763" xr:uid="{00000000-0005-0000-0000-0000374D0000}"/>
    <cellStyle name="Comma 10 2 9 4 2" xfId="26621" xr:uid="{00000000-0005-0000-0000-000001680000}"/>
    <cellStyle name="Comma 10 2 9 4 3" xfId="28549" xr:uid="{00000000-0005-0000-0000-0000896F0000}"/>
    <cellStyle name="Comma 10 2 9 5" xfId="25658" xr:uid="{00000000-0005-0000-0000-00003E640000}"/>
    <cellStyle name="Comma 10 2 9 6" xfId="27585" xr:uid="{00000000-0005-0000-0000-0000C56B0000}"/>
    <cellStyle name="Comma 10 2 9 7" xfId="7496" xr:uid="{00000000-0005-0000-0000-00004C1D0000}"/>
    <cellStyle name="Comma 10 3" xfId="628" xr:uid="{00000000-0005-0000-0000-000078020000}"/>
    <cellStyle name="Comma 10 3 10" xfId="629" xr:uid="{00000000-0005-0000-0000-000079020000}"/>
    <cellStyle name="Comma 10 3 10 2" xfId="1899" xr:uid="{00000000-0005-0000-0000-00006F070000}"/>
    <cellStyle name="Comma 10 3 10 2 2" xfId="3759" xr:uid="{00000000-0005-0000-0000-0000B30E0000}"/>
    <cellStyle name="Comma 10 3 10 2 2 2" xfId="26851" xr:uid="{00000000-0005-0000-0000-0000E7680000}"/>
    <cellStyle name="Comma 10 3 10 2 2 3" xfId="28779" xr:uid="{00000000-0005-0000-0000-00006F700000}"/>
    <cellStyle name="Comma 10 3 10 2 2 4" xfId="20745" xr:uid="{00000000-0005-0000-0000-00000D510000}"/>
    <cellStyle name="Comma 10 3 10 2 3" xfId="25888" xr:uid="{00000000-0005-0000-0000-000024650000}"/>
    <cellStyle name="Comma 10 3 10 2 4" xfId="27815" xr:uid="{00000000-0005-0000-0000-0000AB6C0000}"/>
    <cellStyle name="Comma 10 3 10 2 5" xfId="8540" xr:uid="{00000000-0005-0000-0000-000060210000}"/>
    <cellStyle name="Comma 10 3 10 3" xfId="3460" xr:uid="{00000000-0005-0000-0000-0000880D0000}"/>
    <cellStyle name="Comma 10 3 10 3 2" xfId="23284" xr:uid="{00000000-0005-0000-0000-0000F85A0000}"/>
    <cellStyle name="Comma 10 3 10 3 2 2" xfId="27291" xr:uid="{00000000-0005-0000-0000-00009F6A0000}"/>
    <cellStyle name="Comma 10 3 10 3 2 3" xfId="29219" xr:uid="{00000000-0005-0000-0000-000027720000}"/>
    <cellStyle name="Comma 10 3 10 3 3" xfId="26328" xr:uid="{00000000-0005-0000-0000-0000DC660000}"/>
    <cellStyle name="Comma 10 3 10 3 4" xfId="28256" xr:uid="{00000000-0005-0000-0000-0000646E0000}"/>
    <cellStyle name="Comma 10 3 10 3 5" xfId="16425" xr:uid="{00000000-0005-0000-0000-00002D400000}"/>
    <cellStyle name="Comma 10 3 10 4" xfId="19765" xr:uid="{00000000-0005-0000-0000-0000394D0000}"/>
    <cellStyle name="Comma 10 3 10 4 2" xfId="26623" xr:uid="{00000000-0005-0000-0000-000003680000}"/>
    <cellStyle name="Comma 10 3 10 4 3" xfId="28551" xr:uid="{00000000-0005-0000-0000-00008B6F0000}"/>
    <cellStyle name="Comma 10 3 10 5" xfId="25660" xr:uid="{00000000-0005-0000-0000-000040640000}"/>
    <cellStyle name="Comma 10 3 10 6" xfId="27587" xr:uid="{00000000-0005-0000-0000-0000C76B0000}"/>
    <cellStyle name="Comma 10 3 10 7" xfId="7498" xr:uid="{00000000-0005-0000-0000-00004E1D0000}"/>
    <cellStyle name="Comma 10 3 11" xfId="630" xr:uid="{00000000-0005-0000-0000-00007A020000}"/>
    <cellStyle name="Comma 10 3 11 2" xfId="1900" xr:uid="{00000000-0005-0000-0000-000070070000}"/>
    <cellStyle name="Comma 10 3 11 2 2" xfId="3760" xr:uid="{00000000-0005-0000-0000-0000B40E0000}"/>
    <cellStyle name="Comma 10 3 11 2 2 2" xfId="26852" xr:uid="{00000000-0005-0000-0000-0000E8680000}"/>
    <cellStyle name="Comma 10 3 11 2 2 3" xfId="28780" xr:uid="{00000000-0005-0000-0000-000070700000}"/>
    <cellStyle name="Comma 10 3 11 2 2 4" xfId="20746" xr:uid="{00000000-0005-0000-0000-00000E510000}"/>
    <cellStyle name="Comma 10 3 11 2 3" xfId="25889" xr:uid="{00000000-0005-0000-0000-000025650000}"/>
    <cellStyle name="Comma 10 3 11 2 4" xfId="27816" xr:uid="{00000000-0005-0000-0000-0000AC6C0000}"/>
    <cellStyle name="Comma 10 3 11 2 5" xfId="8541" xr:uid="{00000000-0005-0000-0000-000061210000}"/>
    <cellStyle name="Comma 10 3 11 3" xfId="3461" xr:uid="{00000000-0005-0000-0000-0000890D0000}"/>
    <cellStyle name="Comma 10 3 11 3 2" xfId="23285" xr:uid="{00000000-0005-0000-0000-0000F95A0000}"/>
    <cellStyle name="Comma 10 3 11 3 2 2" xfId="27292" xr:uid="{00000000-0005-0000-0000-0000A06A0000}"/>
    <cellStyle name="Comma 10 3 11 3 2 3" xfId="29220" xr:uid="{00000000-0005-0000-0000-000028720000}"/>
    <cellStyle name="Comma 10 3 11 3 3" xfId="26329" xr:uid="{00000000-0005-0000-0000-0000DD660000}"/>
    <cellStyle name="Comma 10 3 11 3 4" xfId="28257" xr:uid="{00000000-0005-0000-0000-0000656E0000}"/>
    <cellStyle name="Comma 10 3 11 3 5" xfId="16426" xr:uid="{00000000-0005-0000-0000-00002E400000}"/>
    <cellStyle name="Comma 10 3 11 4" xfId="19766" xr:uid="{00000000-0005-0000-0000-00003A4D0000}"/>
    <cellStyle name="Comma 10 3 11 4 2" xfId="26624" xr:uid="{00000000-0005-0000-0000-000004680000}"/>
    <cellStyle name="Comma 10 3 11 4 3" xfId="28552" xr:uid="{00000000-0005-0000-0000-00008C6F0000}"/>
    <cellStyle name="Comma 10 3 11 5" xfId="25661" xr:uid="{00000000-0005-0000-0000-000041640000}"/>
    <cellStyle name="Comma 10 3 11 6" xfId="27588" xr:uid="{00000000-0005-0000-0000-0000C86B0000}"/>
    <cellStyle name="Comma 10 3 11 7" xfId="7499" xr:uid="{00000000-0005-0000-0000-00004F1D0000}"/>
    <cellStyle name="Comma 10 3 12" xfId="631" xr:uid="{00000000-0005-0000-0000-00007B020000}"/>
    <cellStyle name="Comma 10 3 12 2" xfId="1901" xr:uid="{00000000-0005-0000-0000-000071070000}"/>
    <cellStyle name="Comma 10 3 12 2 2" xfId="3761" xr:uid="{00000000-0005-0000-0000-0000B50E0000}"/>
    <cellStyle name="Comma 10 3 12 2 2 2" xfId="26853" xr:uid="{00000000-0005-0000-0000-0000E9680000}"/>
    <cellStyle name="Comma 10 3 12 2 2 3" xfId="28781" xr:uid="{00000000-0005-0000-0000-000071700000}"/>
    <cellStyle name="Comma 10 3 12 2 2 4" xfId="20747" xr:uid="{00000000-0005-0000-0000-00000F510000}"/>
    <cellStyle name="Comma 10 3 12 2 3" xfId="25890" xr:uid="{00000000-0005-0000-0000-000026650000}"/>
    <cellStyle name="Comma 10 3 12 2 4" xfId="27817" xr:uid="{00000000-0005-0000-0000-0000AD6C0000}"/>
    <cellStyle name="Comma 10 3 12 2 5" xfId="8542" xr:uid="{00000000-0005-0000-0000-000062210000}"/>
    <cellStyle name="Comma 10 3 12 3" xfId="3462" xr:uid="{00000000-0005-0000-0000-00008A0D0000}"/>
    <cellStyle name="Comma 10 3 12 3 2" xfId="23286" xr:uid="{00000000-0005-0000-0000-0000FA5A0000}"/>
    <cellStyle name="Comma 10 3 12 3 2 2" xfId="27293" xr:uid="{00000000-0005-0000-0000-0000A16A0000}"/>
    <cellStyle name="Comma 10 3 12 3 2 3" xfId="29221" xr:uid="{00000000-0005-0000-0000-000029720000}"/>
    <cellStyle name="Comma 10 3 12 3 3" xfId="26330" xr:uid="{00000000-0005-0000-0000-0000DE660000}"/>
    <cellStyle name="Comma 10 3 12 3 4" xfId="28258" xr:uid="{00000000-0005-0000-0000-0000666E0000}"/>
    <cellStyle name="Comma 10 3 12 3 5" xfId="16427" xr:uid="{00000000-0005-0000-0000-00002F400000}"/>
    <cellStyle name="Comma 10 3 12 4" xfId="19767" xr:uid="{00000000-0005-0000-0000-00003B4D0000}"/>
    <cellStyle name="Comma 10 3 12 4 2" xfId="26625" xr:uid="{00000000-0005-0000-0000-000005680000}"/>
    <cellStyle name="Comma 10 3 12 4 3" xfId="28553" xr:uid="{00000000-0005-0000-0000-00008D6F0000}"/>
    <cellStyle name="Comma 10 3 12 5" xfId="25662" xr:uid="{00000000-0005-0000-0000-000042640000}"/>
    <cellStyle name="Comma 10 3 12 6" xfId="27589" xr:uid="{00000000-0005-0000-0000-0000C96B0000}"/>
    <cellStyle name="Comma 10 3 12 7" xfId="7500" xr:uid="{00000000-0005-0000-0000-0000501D0000}"/>
    <cellStyle name="Comma 10 3 13" xfId="632" xr:uid="{00000000-0005-0000-0000-00007C020000}"/>
    <cellStyle name="Comma 10 3 13 2" xfId="1902" xr:uid="{00000000-0005-0000-0000-000072070000}"/>
    <cellStyle name="Comma 10 3 13 2 2" xfId="3762" xr:uid="{00000000-0005-0000-0000-0000B60E0000}"/>
    <cellStyle name="Comma 10 3 13 2 2 2" xfId="26854" xr:uid="{00000000-0005-0000-0000-0000EA680000}"/>
    <cellStyle name="Comma 10 3 13 2 2 3" xfId="28782" xr:uid="{00000000-0005-0000-0000-000072700000}"/>
    <cellStyle name="Comma 10 3 13 2 2 4" xfId="20748" xr:uid="{00000000-0005-0000-0000-000010510000}"/>
    <cellStyle name="Comma 10 3 13 2 3" xfId="25891" xr:uid="{00000000-0005-0000-0000-000027650000}"/>
    <cellStyle name="Comma 10 3 13 2 4" xfId="27818" xr:uid="{00000000-0005-0000-0000-0000AE6C0000}"/>
    <cellStyle name="Comma 10 3 13 2 5" xfId="8543" xr:uid="{00000000-0005-0000-0000-000063210000}"/>
    <cellStyle name="Comma 10 3 13 3" xfId="3463" xr:uid="{00000000-0005-0000-0000-00008B0D0000}"/>
    <cellStyle name="Comma 10 3 13 3 2" xfId="23287" xr:uid="{00000000-0005-0000-0000-0000FB5A0000}"/>
    <cellStyle name="Comma 10 3 13 3 2 2" xfId="27294" xr:uid="{00000000-0005-0000-0000-0000A26A0000}"/>
    <cellStyle name="Comma 10 3 13 3 2 3" xfId="29222" xr:uid="{00000000-0005-0000-0000-00002A720000}"/>
    <cellStyle name="Comma 10 3 13 3 3" xfId="26331" xr:uid="{00000000-0005-0000-0000-0000DF660000}"/>
    <cellStyle name="Comma 10 3 13 3 4" xfId="28259" xr:uid="{00000000-0005-0000-0000-0000676E0000}"/>
    <cellStyle name="Comma 10 3 13 3 5" xfId="16428" xr:uid="{00000000-0005-0000-0000-000030400000}"/>
    <cellStyle name="Comma 10 3 13 4" xfId="19768" xr:uid="{00000000-0005-0000-0000-00003C4D0000}"/>
    <cellStyle name="Comma 10 3 13 4 2" xfId="26626" xr:uid="{00000000-0005-0000-0000-000006680000}"/>
    <cellStyle name="Comma 10 3 13 4 3" xfId="28554" xr:uid="{00000000-0005-0000-0000-00008E6F0000}"/>
    <cellStyle name="Comma 10 3 13 5" xfId="25663" xr:uid="{00000000-0005-0000-0000-000043640000}"/>
    <cellStyle name="Comma 10 3 13 6" xfId="27590" xr:uid="{00000000-0005-0000-0000-0000CA6B0000}"/>
    <cellStyle name="Comma 10 3 13 7" xfId="7501" xr:uid="{00000000-0005-0000-0000-0000511D0000}"/>
    <cellStyle name="Comma 10 3 14" xfId="633" xr:uid="{00000000-0005-0000-0000-00007D020000}"/>
    <cellStyle name="Comma 10 3 14 2" xfId="1903" xr:uid="{00000000-0005-0000-0000-000073070000}"/>
    <cellStyle name="Comma 10 3 14 2 2" xfId="3763" xr:uid="{00000000-0005-0000-0000-0000B70E0000}"/>
    <cellStyle name="Comma 10 3 14 2 2 2" xfId="26855" xr:uid="{00000000-0005-0000-0000-0000EB680000}"/>
    <cellStyle name="Comma 10 3 14 2 2 3" xfId="28783" xr:uid="{00000000-0005-0000-0000-000073700000}"/>
    <cellStyle name="Comma 10 3 14 2 2 4" xfId="20749" xr:uid="{00000000-0005-0000-0000-000011510000}"/>
    <cellStyle name="Comma 10 3 14 2 3" xfId="25892" xr:uid="{00000000-0005-0000-0000-000028650000}"/>
    <cellStyle name="Comma 10 3 14 2 4" xfId="27819" xr:uid="{00000000-0005-0000-0000-0000AF6C0000}"/>
    <cellStyle name="Comma 10 3 14 2 5" xfId="8544" xr:uid="{00000000-0005-0000-0000-000064210000}"/>
    <cellStyle name="Comma 10 3 14 3" xfId="3464" xr:uid="{00000000-0005-0000-0000-00008C0D0000}"/>
    <cellStyle name="Comma 10 3 14 3 2" xfId="23288" xr:uid="{00000000-0005-0000-0000-0000FC5A0000}"/>
    <cellStyle name="Comma 10 3 14 3 2 2" xfId="27295" xr:uid="{00000000-0005-0000-0000-0000A36A0000}"/>
    <cellStyle name="Comma 10 3 14 3 2 3" xfId="29223" xr:uid="{00000000-0005-0000-0000-00002B720000}"/>
    <cellStyle name="Comma 10 3 14 3 3" xfId="26332" xr:uid="{00000000-0005-0000-0000-0000E0660000}"/>
    <cellStyle name="Comma 10 3 14 3 4" xfId="28260" xr:uid="{00000000-0005-0000-0000-0000686E0000}"/>
    <cellStyle name="Comma 10 3 14 3 5" xfId="16429" xr:uid="{00000000-0005-0000-0000-000031400000}"/>
    <cellStyle name="Comma 10 3 14 4" xfId="19769" xr:uid="{00000000-0005-0000-0000-00003D4D0000}"/>
    <cellStyle name="Comma 10 3 14 4 2" xfId="26627" xr:uid="{00000000-0005-0000-0000-000007680000}"/>
    <cellStyle name="Comma 10 3 14 4 3" xfId="28555" xr:uid="{00000000-0005-0000-0000-00008F6F0000}"/>
    <cellStyle name="Comma 10 3 14 5" xfId="25664" xr:uid="{00000000-0005-0000-0000-000044640000}"/>
    <cellStyle name="Comma 10 3 14 6" xfId="27591" xr:uid="{00000000-0005-0000-0000-0000CB6B0000}"/>
    <cellStyle name="Comma 10 3 14 7" xfId="7502" xr:uid="{00000000-0005-0000-0000-0000521D0000}"/>
    <cellStyle name="Comma 10 3 15" xfId="634" xr:uid="{00000000-0005-0000-0000-00007E020000}"/>
    <cellStyle name="Comma 10 3 15 2" xfId="1904" xr:uid="{00000000-0005-0000-0000-000074070000}"/>
    <cellStyle name="Comma 10 3 15 2 2" xfId="3764" xr:uid="{00000000-0005-0000-0000-0000B80E0000}"/>
    <cellStyle name="Comma 10 3 15 2 2 2" xfId="26856" xr:uid="{00000000-0005-0000-0000-0000EC680000}"/>
    <cellStyle name="Comma 10 3 15 2 2 3" xfId="28784" xr:uid="{00000000-0005-0000-0000-000074700000}"/>
    <cellStyle name="Comma 10 3 15 2 2 4" xfId="20750" xr:uid="{00000000-0005-0000-0000-000012510000}"/>
    <cellStyle name="Comma 10 3 15 2 3" xfId="25893" xr:uid="{00000000-0005-0000-0000-000029650000}"/>
    <cellStyle name="Comma 10 3 15 2 4" xfId="27820" xr:uid="{00000000-0005-0000-0000-0000B06C0000}"/>
    <cellStyle name="Comma 10 3 15 2 5" xfId="8545" xr:uid="{00000000-0005-0000-0000-000065210000}"/>
    <cellStyle name="Comma 10 3 15 3" xfId="3465" xr:uid="{00000000-0005-0000-0000-00008D0D0000}"/>
    <cellStyle name="Comma 10 3 15 3 2" xfId="23289" xr:uid="{00000000-0005-0000-0000-0000FD5A0000}"/>
    <cellStyle name="Comma 10 3 15 3 2 2" xfId="27296" xr:uid="{00000000-0005-0000-0000-0000A46A0000}"/>
    <cellStyle name="Comma 10 3 15 3 2 3" xfId="29224" xr:uid="{00000000-0005-0000-0000-00002C720000}"/>
    <cellStyle name="Comma 10 3 15 3 3" xfId="26333" xr:uid="{00000000-0005-0000-0000-0000E1660000}"/>
    <cellStyle name="Comma 10 3 15 3 4" xfId="28261" xr:uid="{00000000-0005-0000-0000-0000696E0000}"/>
    <cellStyle name="Comma 10 3 15 3 5" xfId="16430" xr:uid="{00000000-0005-0000-0000-000032400000}"/>
    <cellStyle name="Comma 10 3 15 4" xfId="19770" xr:uid="{00000000-0005-0000-0000-00003E4D0000}"/>
    <cellStyle name="Comma 10 3 15 4 2" xfId="26628" xr:uid="{00000000-0005-0000-0000-000008680000}"/>
    <cellStyle name="Comma 10 3 15 4 3" xfId="28556" xr:uid="{00000000-0005-0000-0000-0000906F0000}"/>
    <cellStyle name="Comma 10 3 15 5" xfId="25665" xr:uid="{00000000-0005-0000-0000-000045640000}"/>
    <cellStyle name="Comma 10 3 15 6" xfId="27592" xr:uid="{00000000-0005-0000-0000-0000CC6B0000}"/>
    <cellStyle name="Comma 10 3 15 7" xfId="7503" xr:uid="{00000000-0005-0000-0000-0000531D0000}"/>
    <cellStyle name="Comma 10 3 16" xfId="635" xr:uid="{00000000-0005-0000-0000-00007F020000}"/>
    <cellStyle name="Comma 10 3 16 2" xfId="1905" xr:uid="{00000000-0005-0000-0000-000075070000}"/>
    <cellStyle name="Comma 10 3 16 2 2" xfId="3765" xr:uid="{00000000-0005-0000-0000-0000B90E0000}"/>
    <cellStyle name="Comma 10 3 16 2 2 2" xfId="26857" xr:uid="{00000000-0005-0000-0000-0000ED680000}"/>
    <cellStyle name="Comma 10 3 16 2 2 3" xfId="28785" xr:uid="{00000000-0005-0000-0000-000075700000}"/>
    <cellStyle name="Comma 10 3 16 2 2 4" xfId="20751" xr:uid="{00000000-0005-0000-0000-000013510000}"/>
    <cellStyle name="Comma 10 3 16 2 3" xfId="25894" xr:uid="{00000000-0005-0000-0000-00002A650000}"/>
    <cellStyle name="Comma 10 3 16 2 4" xfId="27821" xr:uid="{00000000-0005-0000-0000-0000B16C0000}"/>
    <cellStyle name="Comma 10 3 16 2 5" xfId="8546" xr:uid="{00000000-0005-0000-0000-000066210000}"/>
    <cellStyle name="Comma 10 3 16 3" xfId="3466" xr:uid="{00000000-0005-0000-0000-00008E0D0000}"/>
    <cellStyle name="Comma 10 3 16 3 2" xfId="23290" xr:uid="{00000000-0005-0000-0000-0000FE5A0000}"/>
    <cellStyle name="Comma 10 3 16 3 2 2" xfId="27297" xr:uid="{00000000-0005-0000-0000-0000A56A0000}"/>
    <cellStyle name="Comma 10 3 16 3 2 3" xfId="29225" xr:uid="{00000000-0005-0000-0000-00002D720000}"/>
    <cellStyle name="Comma 10 3 16 3 3" xfId="26334" xr:uid="{00000000-0005-0000-0000-0000E2660000}"/>
    <cellStyle name="Comma 10 3 16 3 4" xfId="28262" xr:uid="{00000000-0005-0000-0000-00006A6E0000}"/>
    <cellStyle name="Comma 10 3 16 3 5" xfId="16431" xr:uid="{00000000-0005-0000-0000-000033400000}"/>
    <cellStyle name="Comma 10 3 16 4" xfId="19771" xr:uid="{00000000-0005-0000-0000-00003F4D0000}"/>
    <cellStyle name="Comma 10 3 16 4 2" xfId="26629" xr:uid="{00000000-0005-0000-0000-000009680000}"/>
    <cellStyle name="Comma 10 3 16 4 3" xfId="28557" xr:uid="{00000000-0005-0000-0000-0000916F0000}"/>
    <cellStyle name="Comma 10 3 16 5" xfId="25666" xr:uid="{00000000-0005-0000-0000-000046640000}"/>
    <cellStyle name="Comma 10 3 16 6" xfId="27593" xr:uid="{00000000-0005-0000-0000-0000CD6B0000}"/>
    <cellStyle name="Comma 10 3 16 7" xfId="7504" xr:uid="{00000000-0005-0000-0000-0000541D0000}"/>
    <cellStyle name="Comma 10 3 17" xfId="636" xr:uid="{00000000-0005-0000-0000-000080020000}"/>
    <cellStyle name="Comma 10 3 17 2" xfId="1906" xr:uid="{00000000-0005-0000-0000-000076070000}"/>
    <cellStyle name="Comma 10 3 17 2 2" xfId="3766" xr:uid="{00000000-0005-0000-0000-0000BA0E0000}"/>
    <cellStyle name="Comma 10 3 17 2 2 2" xfId="26858" xr:uid="{00000000-0005-0000-0000-0000EE680000}"/>
    <cellStyle name="Comma 10 3 17 2 2 3" xfId="28786" xr:uid="{00000000-0005-0000-0000-000076700000}"/>
    <cellStyle name="Comma 10 3 17 2 2 4" xfId="20752" xr:uid="{00000000-0005-0000-0000-000014510000}"/>
    <cellStyle name="Comma 10 3 17 2 3" xfId="25895" xr:uid="{00000000-0005-0000-0000-00002B650000}"/>
    <cellStyle name="Comma 10 3 17 2 4" xfId="27822" xr:uid="{00000000-0005-0000-0000-0000B26C0000}"/>
    <cellStyle name="Comma 10 3 17 2 5" xfId="8547" xr:uid="{00000000-0005-0000-0000-000067210000}"/>
    <cellStyle name="Comma 10 3 17 3" xfId="3467" xr:uid="{00000000-0005-0000-0000-00008F0D0000}"/>
    <cellStyle name="Comma 10 3 17 3 2" xfId="23291" xr:uid="{00000000-0005-0000-0000-0000FF5A0000}"/>
    <cellStyle name="Comma 10 3 17 3 2 2" xfId="27298" xr:uid="{00000000-0005-0000-0000-0000A66A0000}"/>
    <cellStyle name="Comma 10 3 17 3 2 3" xfId="29226" xr:uid="{00000000-0005-0000-0000-00002E720000}"/>
    <cellStyle name="Comma 10 3 17 3 3" xfId="26335" xr:uid="{00000000-0005-0000-0000-0000E3660000}"/>
    <cellStyle name="Comma 10 3 17 3 4" xfId="28263" xr:uid="{00000000-0005-0000-0000-00006B6E0000}"/>
    <cellStyle name="Comma 10 3 17 3 5" xfId="16432" xr:uid="{00000000-0005-0000-0000-000034400000}"/>
    <cellStyle name="Comma 10 3 17 4" xfId="19772" xr:uid="{00000000-0005-0000-0000-0000404D0000}"/>
    <cellStyle name="Comma 10 3 17 4 2" xfId="26630" xr:uid="{00000000-0005-0000-0000-00000A680000}"/>
    <cellStyle name="Comma 10 3 17 4 3" xfId="28558" xr:uid="{00000000-0005-0000-0000-0000926F0000}"/>
    <cellStyle name="Comma 10 3 17 5" xfId="25667" xr:uid="{00000000-0005-0000-0000-000047640000}"/>
    <cellStyle name="Comma 10 3 17 6" xfId="27594" xr:uid="{00000000-0005-0000-0000-0000CE6B0000}"/>
    <cellStyle name="Comma 10 3 17 7" xfId="7505" xr:uid="{00000000-0005-0000-0000-0000551D0000}"/>
    <cellStyle name="Comma 10 3 18" xfId="1898" xr:uid="{00000000-0005-0000-0000-00006E070000}"/>
    <cellStyle name="Comma 10 3 18 2" xfId="3758" xr:uid="{00000000-0005-0000-0000-0000B20E0000}"/>
    <cellStyle name="Comma 10 3 18 2 2" xfId="26850" xr:uid="{00000000-0005-0000-0000-0000E6680000}"/>
    <cellStyle name="Comma 10 3 18 2 3" xfId="28778" xr:uid="{00000000-0005-0000-0000-00006E700000}"/>
    <cellStyle name="Comma 10 3 18 2 4" xfId="20744" xr:uid="{00000000-0005-0000-0000-00000C510000}"/>
    <cellStyle name="Comma 10 3 18 3" xfId="25887" xr:uid="{00000000-0005-0000-0000-000023650000}"/>
    <cellStyle name="Comma 10 3 18 4" xfId="27814" xr:uid="{00000000-0005-0000-0000-0000AA6C0000}"/>
    <cellStyle name="Comma 10 3 18 5" xfId="8539" xr:uid="{00000000-0005-0000-0000-00005F210000}"/>
    <cellStyle name="Comma 10 3 19" xfId="3459" xr:uid="{00000000-0005-0000-0000-0000870D0000}"/>
    <cellStyle name="Comma 10 3 19 2" xfId="23283" xr:uid="{00000000-0005-0000-0000-0000F75A0000}"/>
    <cellStyle name="Comma 10 3 19 2 2" xfId="27290" xr:uid="{00000000-0005-0000-0000-00009E6A0000}"/>
    <cellStyle name="Comma 10 3 19 2 3" xfId="29218" xr:uid="{00000000-0005-0000-0000-000026720000}"/>
    <cellStyle name="Comma 10 3 19 3" xfId="26327" xr:uid="{00000000-0005-0000-0000-0000DB660000}"/>
    <cellStyle name="Comma 10 3 19 4" xfId="28255" xr:uid="{00000000-0005-0000-0000-0000636E0000}"/>
    <cellStyle name="Comma 10 3 19 5" xfId="16424" xr:uid="{00000000-0005-0000-0000-00002C400000}"/>
    <cellStyle name="Comma 10 3 2" xfId="637" xr:uid="{00000000-0005-0000-0000-000081020000}"/>
    <cellStyle name="Comma 10 3 2 2" xfId="1907" xr:uid="{00000000-0005-0000-0000-000077070000}"/>
    <cellStyle name="Comma 10 3 2 2 2" xfId="3767" xr:uid="{00000000-0005-0000-0000-0000BB0E0000}"/>
    <cellStyle name="Comma 10 3 2 2 2 2" xfId="26859" xr:uid="{00000000-0005-0000-0000-0000EF680000}"/>
    <cellStyle name="Comma 10 3 2 2 2 3" xfId="28787" xr:uid="{00000000-0005-0000-0000-000077700000}"/>
    <cellStyle name="Comma 10 3 2 2 2 4" xfId="20753" xr:uid="{00000000-0005-0000-0000-000015510000}"/>
    <cellStyle name="Comma 10 3 2 2 3" xfId="25896" xr:uid="{00000000-0005-0000-0000-00002C650000}"/>
    <cellStyle name="Comma 10 3 2 2 4" xfId="27823" xr:uid="{00000000-0005-0000-0000-0000B36C0000}"/>
    <cellStyle name="Comma 10 3 2 2 5" xfId="8548" xr:uid="{00000000-0005-0000-0000-000068210000}"/>
    <cellStyle name="Comma 10 3 2 3" xfId="3468" xr:uid="{00000000-0005-0000-0000-0000900D0000}"/>
    <cellStyle name="Comma 10 3 2 3 2" xfId="23292" xr:uid="{00000000-0005-0000-0000-0000005B0000}"/>
    <cellStyle name="Comma 10 3 2 3 2 2" xfId="27299" xr:uid="{00000000-0005-0000-0000-0000A76A0000}"/>
    <cellStyle name="Comma 10 3 2 3 2 3" xfId="29227" xr:uid="{00000000-0005-0000-0000-00002F720000}"/>
    <cellStyle name="Comma 10 3 2 3 3" xfId="26336" xr:uid="{00000000-0005-0000-0000-0000E4660000}"/>
    <cellStyle name="Comma 10 3 2 3 4" xfId="28264" xr:uid="{00000000-0005-0000-0000-00006C6E0000}"/>
    <cellStyle name="Comma 10 3 2 3 5" xfId="16433" xr:uid="{00000000-0005-0000-0000-000035400000}"/>
    <cellStyle name="Comma 10 3 2 4" xfId="19773" xr:uid="{00000000-0005-0000-0000-0000414D0000}"/>
    <cellStyle name="Comma 10 3 2 4 2" xfId="26631" xr:uid="{00000000-0005-0000-0000-00000B680000}"/>
    <cellStyle name="Comma 10 3 2 4 3" xfId="28559" xr:uid="{00000000-0005-0000-0000-0000936F0000}"/>
    <cellStyle name="Comma 10 3 2 5" xfId="25668" xr:uid="{00000000-0005-0000-0000-000048640000}"/>
    <cellStyle name="Comma 10 3 2 6" xfId="27595" xr:uid="{00000000-0005-0000-0000-0000CF6B0000}"/>
    <cellStyle name="Comma 10 3 2 7" xfId="7506" xr:uid="{00000000-0005-0000-0000-0000561D0000}"/>
    <cellStyle name="Comma 10 3 20" xfId="19764" xr:uid="{00000000-0005-0000-0000-0000384D0000}"/>
    <cellStyle name="Comma 10 3 20 2" xfId="26622" xr:uid="{00000000-0005-0000-0000-000002680000}"/>
    <cellStyle name="Comma 10 3 20 3" xfId="28550" xr:uid="{00000000-0005-0000-0000-00008A6F0000}"/>
    <cellStyle name="Comma 10 3 21" xfId="25659" xr:uid="{00000000-0005-0000-0000-00003F640000}"/>
    <cellStyle name="Comma 10 3 22" xfId="27586" xr:uid="{00000000-0005-0000-0000-0000C66B0000}"/>
    <cellStyle name="Comma 10 3 23" xfId="7497" xr:uid="{00000000-0005-0000-0000-00004D1D0000}"/>
    <cellStyle name="Comma 10 3 3" xfId="638" xr:uid="{00000000-0005-0000-0000-000082020000}"/>
    <cellStyle name="Comma 10 3 3 2" xfId="1908" xr:uid="{00000000-0005-0000-0000-000078070000}"/>
    <cellStyle name="Comma 10 3 3 2 2" xfId="3768" xr:uid="{00000000-0005-0000-0000-0000BC0E0000}"/>
    <cellStyle name="Comma 10 3 3 2 2 2" xfId="26860" xr:uid="{00000000-0005-0000-0000-0000F0680000}"/>
    <cellStyle name="Comma 10 3 3 2 2 3" xfId="28788" xr:uid="{00000000-0005-0000-0000-000078700000}"/>
    <cellStyle name="Comma 10 3 3 2 2 4" xfId="20754" xr:uid="{00000000-0005-0000-0000-000016510000}"/>
    <cellStyle name="Comma 10 3 3 2 3" xfId="25897" xr:uid="{00000000-0005-0000-0000-00002D650000}"/>
    <cellStyle name="Comma 10 3 3 2 4" xfId="27824" xr:uid="{00000000-0005-0000-0000-0000B46C0000}"/>
    <cellStyle name="Comma 10 3 3 2 5" xfId="8549" xr:uid="{00000000-0005-0000-0000-000069210000}"/>
    <cellStyle name="Comma 10 3 3 3" xfId="3469" xr:uid="{00000000-0005-0000-0000-0000910D0000}"/>
    <cellStyle name="Comma 10 3 3 3 2" xfId="23293" xr:uid="{00000000-0005-0000-0000-0000015B0000}"/>
    <cellStyle name="Comma 10 3 3 3 2 2" xfId="27300" xr:uid="{00000000-0005-0000-0000-0000A86A0000}"/>
    <cellStyle name="Comma 10 3 3 3 2 3" xfId="29228" xr:uid="{00000000-0005-0000-0000-000030720000}"/>
    <cellStyle name="Comma 10 3 3 3 3" xfId="26337" xr:uid="{00000000-0005-0000-0000-0000E5660000}"/>
    <cellStyle name="Comma 10 3 3 3 4" xfId="28265" xr:uid="{00000000-0005-0000-0000-00006D6E0000}"/>
    <cellStyle name="Comma 10 3 3 3 5" xfId="16434" xr:uid="{00000000-0005-0000-0000-000036400000}"/>
    <cellStyle name="Comma 10 3 3 4" xfId="19774" xr:uid="{00000000-0005-0000-0000-0000424D0000}"/>
    <cellStyle name="Comma 10 3 3 4 2" xfId="26632" xr:uid="{00000000-0005-0000-0000-00000C680000}"/>
    <cellStyle name="Comma 10 3 3 4 3" xfId="28560" xr:uid="{00000000-0005-0000-0000-0000946F0000}"/>
    <cellStyle name="Comma 10 3 3 5" xfId="25669" xr:uid="{00000000-0005-0000-0000-000049640000}"/>
    <cellStyle name="Comma 10 3 3 6" xfId="27596" xr:uid="{00000000-0005-0000-0000-0000D06B0000}"/>
    <cellStyle name="Comma 10 3 3 7" xfId="7507" xr:uid="{00000000-0005-0000-0000-0000571D0000}"/>
    <cellStyle name="Comma 10 3 4" xfId="639" xr:uid="{00000000-0005-0000-0000-000083020000}"/>
    <cellStyle name="Comma 10 3 4 2" xfId="1909" xr:uid="{00000000-0005-0000-0000-000079070000}"/>
    <cellStyle name="Comma 10 3 4 2 2" xfId="3769" xr:uid="{00000000-0005-0000-0000-0000BD0E0000}"/>
    <cellStyle name="Comma 10 3 4 2 2 2" xfId="26861" xr:uid="{00000000-0005-0000-0000-0000F1680000}"/>
    <cellStyle name="Comma 10 3 4 2 2 3" xfId="28789" xr:uid="{00000000-0005-0000-0000-000079700000}"/>
    <cellStyle name="Comma 10 3 4 2 2 4" xfId="20755" xr:uid="{00000000-0005-0000-0000-000017510000}"/>
    <cellStyle name="Comma 10 3 4 2 3" xfId="25898" xr:uid="{00000000-0005-0000-0000-00002E650000}"/>
    <cellStyle name="Comma 10 3 4 2 4" xfId="27825" xr:uid="{00000000-0005-0000-0000-0000B56C0000}"/>
    <cellStyle name="Comma 10 3 4 2 5" xfId="8550" xr:uid="{00000000-0005-0000-0000-00006A210000}"/>
    <cellStyle name="Comma 10 3 4 3" xfId="3470" xr:uid="{00000000-0005-0000-0000-0000920D0000}"/>
    <cellStyle name="Comma 10 3 4 3 2" xfId="23294" xr:uid="{00000000-0005-0000-0000-0000025B0000}"/>
    <cellStyle name="Comma 10 3 4 3 2 2" xfId="27301" xr:uid="{00000000-0005-0000-0000-0000A96A0000}"/>
    <cellStyle name="Comma 10 3 4 3 2 3" xfId="29229" xr:uid="{00000000-0005-0000-0000-000031720000}"/>
    <cellStyle name="Comma 10 3 4 3 3" xfId="26338" xr:uid="{00000000-0005-0000-0000-0000E6660000}"/>
    <cellStyle name="Comma 10 3 4 3 4" xfId="28266" xr:uid="{00000000-0005-0000-0000-00006E6E0000}"/>
    <cellStyle name="Comma 10 3 4 3 5" xfId="16435" xr:uid="{00000000-0005-0000-0000-000037400000}"/>
    <cellStyle name="Comma 10 3 4 4" xfId="19775" xr:uid="{00000000-0005-0000-0000-0000434D0000}"/>
    <cellStyle name="Comma 10 3 4 4 2" xfId="26633" xr:uid="{00000000-0005-0000-0000-00000D680000}"/>
    <cellStyle name="Comma 10 3 4 4 3" xfId="28561" xr:uid="{00000000-0005-0000-0000-0000956F0000}"/>
    <cellStyle name="Comma 10 3 4 5" xfId="25670" xr:uid="{00000000-0005-0000-0000-00004A640000}"/>
    <cellStyle name="Comma 10 3 4 6" xfId="27597" xr:uid="{00000000-0005-0000-0000-0000D16B0000}"/>
    <cellStyle name="Comma 10 3 4 7" xfId="7508" xr:uid="{00000000-0005-0000-0000-0000581D0000}"/>
    <cellStyle name="Comma 10 3 5" xfId="640" xr:uid="{00000000-0005-0000-0000-000084020000}"/>
    <cellStyle name="Comma 10 3 5 2" xfId="1910" xr:uid="{00000000-0005-0000-0000-00007A070000}"/>
    <cellStyle name="Comma 10 3 5 2 2" xfId="3770" xr:uid="{00000000-0005-0000-0000-0000BE0E0000}"/>
    <cellStyle name="Comma 10 3 5 2 2 2" xfId="26862" xr:uid="{00000000-0005-0000-0000-0000F2680000}"/>
    <cellStyle name="Comma 10 3 5 2 2 3" xfId="28790" xr:uid="{00000000-0005-0000-0000-00007A700000}"/>
    <cellStyle name="Comma 10 3 5 2 2 4" xfId="20756" xr:uid="{00000000-0005-0000-0000-000018510000}"/>
    <cellStyle name="Comma 10 3 5 2 3" xfId="25899" xr:uid="{00000000-0005-0000-0000-00002F650000}"/>
    <cellStyle name="Comma 10 3 5 2 4" xfId="27826" xr:uid="{00000000-0005-0000-0000-0000B66C0000}"/>
    <cellStyle name="Comma 10 3 5 2 5" xfId="8551" xr:uid="{00000000-0005-0000-0000-00006B210000}"/>
    <cellStyle name="Comma 10 3 5 3" xfId="3471" xr:uid="{00000000-0005-0000-0000-0000930D0000}"/>
    <cellStyle name="Comma 10 3 5 3 2" xfId="23295" xr:uid="{00000000-0005-0000-0000-0000035B0000}"/>
    <cellStyle name="Comma 10 3 5 3 2 2" xfId="27302" xr:uid="{00000000-0005-0000-0000-0000AA6A0000}"/>
    <cellStyle name="Comma 10 3 5 3 2 3" xfId="29230" xr:uid="{00000000-0005-0000-0000-000032720000}"/>
    <cellStyle name="Comma 10 3 5 3 3" xfId="26339" xr:uid="{00000000-0005-0000-0000-0000E7660000}"/>
    <cellStyle name="Comma 10 3 5 3 4" xfId="28267" xr:uid="{00000000-0005-0000-0000-00006F6E0000}"/>
    <cellStyle name="Comma 10 3 5 3 5" xfId="16436" xr:uid="{00000000-0005-0000-0000-000038400000}"/>
    <cellStyle name="Comma 10 3 5 4" xfId="19776" xr:uid="{00000000-0005-0000-0000-0000444D0000}"/>
    <cellStyle name="Comma 10 3 5 4 2" xfId="26634" xr:uid="{00000000-0005-0000-0000-00000E680000}"/>
    <cellStyle name="Comma 10 3 5 4 3" xfId="28562" xr:uid="{00000000-0005-0000-0000-0000966F0000}"/>
    <cellStyle name="Comma 10 3 5 5" xfId="25671" xr:uid="{00000000-0005-0000-0000-00004B640000}"/>
    <cellStyle name="Comma 10 3 5 6" xfId="27598" xr:uid="{00000000-0005-0000-0000-0000D26B0000}"/>
    <cellStyle name="Comma 10 3 5 7" xfId="7509" xr:uid="{00000000-0005-0000-0000-0000591D0000}"/>
    <cellStyle name="Comma 10 3 6" xfId="641" xr:uid="{00000000-0005-0000-0000-000085020000}"/>
    <cellStyle name="Comma 10 3 6 2" xfId="1911" xr:uid="{00000000-0005-0000-0000-00007B070000}"/>
    <cellStyle name="Comma 10 3 6 2 2" xfId="3771" xr:uid="{00000000-0005-0000-0000-0000BF0E0000}"/>
    <cellStyle name="Comma 10 3 6 2 2 2" xfId="26863" xr:uid="{00000000-0005-0000-0000-0000F3680000}"/>
    <cellStyle name="Comma 10 3 6 2 2 3" xfId="28791" xr:uid="{00000000-0005-0000-0000-00007B700000}"/>
    <cellStyle name="Comma 10 3 6 2 2 4" xfId="20757" xr:uid="{00000000-0005-0000-0000-000019510000}"/>
    <cellStyle name="Comma 10 3 6 2 3" xfId="25900" xr:uid="{00000000-0005-0000-0000-000030650000}"/>
    <cellStyle name="Comma 10 3 6 2 4" xfId="27827" xr:uid="{00000000-0005-0000-0000-0000B76C0000}"/>
    <cellStyle name="Comma 10 3 6 2 5" xfId="8552" xr:uid="{00000000-0005-0000-0000-00006C210000}"/>
    <cellStyle name="Comma 10 3 6 3" xfId="3472" xr:uid="{00000000-0005-0000-0000-0000940D0000}"/>
    <cellStyle name="Comma 10 3 6 3 2" xfId="23296" xr:uid="{00000000-0005-0000-0000-0000045B0000}"/>
    <cellStyle name="Comma 10 3 6 3 2 2" xfId="27303" xr:uid="{00000000-0005-0000-0000-0000AB6A0000}"/>
    <cellStyle name="Comma 10 3 6 3 2 3" xfId="29231" xr:uid="{00000000-0005-0000-0000-000033720000}"/>
    <cellStyle name="Comma 10 3 6 3 3" xfId="26340" xr:uid="{00000000-0005-0000-0000-0000E8660000}"/>
    <cellStyle name="Comma 10 3 6 3 4" xfId="28268" xr:uid="{00000000-0005-0000-0000-0000706E0000}"/>
    <cellStyle name="Comma 10 3 6 3 5" xfId="16437" xr:uid="{00000000-0005-0000-0000-000039400000}"/>
    <cellStyle name="Comma 10 3 6 4" xfId="19777" xr:uid="{00000000-0005-0000-0000-0000454D0000}"/>
    <cellStyle name="Comma 10 3 6 4 2" xfId="26635" xr:uid="{00000000-0005-0000-0000-00000F680000}"/>
    <cellStyle name="Comma 10 3 6 4 3" xfId="28563" xr:uid="{00000000-0005-0000-0000-0000976F0000}"/>
    <cellStyle name="Comma 10 3 6 5" xfId="25672" xr:uid="{00000000-0005-0000-0000-00004C640000}"/>
    <cellStyle name="Comma 10 3 6 6" xfId="27599" xr:uid="{00000000-0005-0000-0000-0000D36B0000}"/>
    <cellStyle name="Comma 10 3 6 7" xfId="7510" xr:uid="{00000000-0005-0000-0000-00005A1D0000}"/>
    <cellStyle name="Comma 10 3 7" xfId="642" xr:uid="{00000000-0005-0000-0000-000086020000}"/>
    <cellStyle name="Comma 10 3 7 2" xfId="1912" xr:uid="{00000000-0005-0000-0000-00007C070000}"/>
    <cellStyle name="Comma 10 3 7 2 2" xfId="3772" xr:uid="{00000000-0005-0000-0000-0000C00E0000}"/>
    <cellStyle name="Comma 10 3 7 2 2 2" xfId="26864" xr:uid="{00000000-0005-0000-0000-0000F4680000}"/>
    <cellStyle name="Comma 10 3 7 2 2 3" xfId="28792" xr:uid="{00000000-0005-0000-0000-00007C700000}"/>
    <cellStyle name="Comma 10 3 7 2 2 4" xfId="20758" xr:uid="{00000000-0005-0000-0000-00001A510000}"/>
    <cellStyle name="Comma 10 3 7 2 3" xfId="25901" xr:uid="{00000000-0005-0000-0000-000031650000}"/>
    <cellStyle name="Comma 10 3 7 2 4" xfId="27828" xr:uid="{00000000-0005-0000-0000-0000B86C0000}"/>
    <cellStyle name="Comma 10 3 7 2 5" xfId="8553" xr:uid="{00000000-0005-0000-0000-00006D210000}"/>
    <cellStyle name="Comma 10 3 7 3" xfId="3473" xr:uid="{00000000-0005-0000-0000-0000950D0000}"/>
    <cellStyle name="Comma 10 3 7 3 2" xfId="23297" xr:uid="{00000000-0005-0000-0000-0000055B0000}"/>
    <cellStyle name="Comma 10 3 7 3 2 2" xfId="27304" xr:uid="{00000000-0005-0000-0000-0000AC6A0000}"/>
    <cellStyle name="Comma 10 3 7 3 2 3" xfId="29232" xr:uid="{00000000-0005-0000-0000-000034720000}"/>
    <cellStyle name="Comma 10 3 7 3 3" xfId="26341" xr:uid="{00000000-0005-0000-0000-0000E9660000}"/>
    <cellStyle name="Comma 10 3 7 3 4" xfId="28269" xr:uid="{00000000-0005-0000-0000-0000716E0000}"/>
    <cellStyle name="Comma 10 3 7 3 5" xfId="16438" xr:uid="{00000000-0005-0000-0000-00003A400000}"/>
    <cellStyle name="Comma 10 3 7 4" xfId="19778" xr:uid="{00000000-0005-0000-0000-0000464D0000}"/>
    <cellStyle name="Comma 10 3 7 4 2" xfId="26636" xr:uid="{00000000-0005-0000-0000-000010680000}"/>
    <cellStyle name="Comma 10 3 7 4 3" xfId="28564" xr:uid="{00000000-0005-0000-0000-0000986F0000}"/>
    <cellStyle name="Comma 10 3 7 5" xfId="25673" xr:uid="{00000000-0005-0000-0000-00004D640000}"/>
    <cellStyle name="Comma 10 3 7 6" xfId="27600" xr:uid="{00000000-0005-0000-0000-0000D46B0000}"/>
    <cellStyle name="Comma 10 3 7 7" xfId="7511" xr:uid="{00000000-0005-0000-0000-00005B1D0000}"/>
    <cellStyle name="Comma 10 3 8" xfId="643" xr:uid="{00000000-0005-0000-0000-000087020000}"/>
    <cellStyle name="Comma 10 3 8 2" xfId="1913" xr:uid="{00000000-0005-0000-0000-00007D070000}"/>
    <cellStyle name="Comma 10 3 8 2 2" xfId="3773" xr:uid="{00000000-0005-0000-0000-0000C10E0000}"/>
    <cellStyle name="Comma 10 3 8 2 2 2" xfId="26865" xr:uid="{00000000-0005-0000-0000-0000F5680000}"/>
    <cellStyle name="Comma 10 3 8 2 2 3" xfId="28793" xr:uid="{00000000-0005-0000-0000-00007D700000}"/>
    <cellStyle name="Comma 10 3 8 2 2 4" xfId="20759" xr:uid="{00000000-0005-0000-0000-00001B510000}"/>
    <cellStyle name="Comma 10 3 8 2 3" xfId="25902" xr:uid="{00000000-0005-0000-0000-000032650000}"/>
    <cellStyle name="Comma 10 3 8 2 4" xfId="27829" xr:uid="{00000000-0005-0000-0000-0000B96C0000}"/>
    <cellStyle name="Comma 10 3 8 2 5" xfId="8554" xr:uid="{00000000-0005-0000-0000-00006E210000}"/>
    <cellStyle name="Comma 10 3 8 3" xfId="3474" xr:uid="{00000000-0005-0000-0000-0000960D0000}"/>
    <cellStyle name="Comma 10 3 8 3 2" xfId="23298" xr:uid="{00000000-0005-0000-0000-0000065B0000}"/>
    <cellStyle name="Comma 10 3 8 3 2 2" xfId="27305" xr:uid="{00000000-0005-0000-0000-0000AD6A0000}"/>
    <cellStyle name="Comma 10 3 8 3 2 3" xfId="29233" xr:uid="{00000000-0005-0000-0000-000035720000}"/>
    <cellStyle name="Comma 10 3 8 3 3" xfId="26342" xr:uid="{00000000-0005-0000-0000-0000EA660000}"/>
    <cellStyle name="Comma 10 3 8 3 4" xfId="28270" xr:uid="{00000000-0005-0000-0000-0000726E0000}"/>
    <cellStyle name="Comma 10 3 8 3 5" xfId="16439" xr:uid="{00000000-0005-0000-0000-00003B400000}"/>
    <cellStyle name="Comma 10 3 8 4" xfId="19779" xr:uid="{00000000-0005-0000-0000-0000474D0000}"/>
    <cellStyle name="Comma 10 3 8 4 2" xfId="26637" xr:uid="{00000000-0005-0000-0000-000011680000}"/>
    <cellStyle name="Comma 10 3 8 4 3" xfId="28565" xr:uid="{00000000-0005-0000-0000-0000996F0000}"/>
    <cellStyle name="Comma 10 3 8 5" xfId="25674" xr:uid="{00000000-0005-0000-0000-00004E640000}"/>
    <cellStyle name="Comma 10 3 8 6" xfId="27601" xr:uid="{00000000-0005-0000-0000-0000D56B0000}"/>
    <cellStyle name="Comma 10 3 8 7" xfId="7512" xr:uid="{00000000-0005-0000-0000-00005C1D0000}"/>
    <cellStyle name="Comma 10 3 9" xfId="644" xr:uid="{00000000-0005-0000-0000-000088020000}"/>
    <cellStyle name="Comma 10 3 9 2" xfId="1914" xr:uid="{00000000-0005-0000-0000-00007E070000}"/>
    <cellStyle name="Comma 10 3 9 2 2" xfId="3774" xr:uid="{00000000-0005-0000-0000-0000C20E0000}"/>
    <cellStyle name="Comma 10 3 9 2 2 2" xfId="26866" xr:uid="{00000000-0005-0000-0000-0000F6680000}"/>
    <cellStyle name="Comma 10 3 9 2 2 3" xfId="28794" xr:uid="{00000000-0005-0000-0000-00007E700000}"/>
    <cellStyle name="Comma 10 3 9 2 2 4" xfId="20760" xr:uid="{00000000-0005-0000-0000-00001C510000}"/>
    <cellStyle name="Comma 10 3 9 2 3" xfId="25903" xr:uid="{00000000-0005-0000-0000-000033650000}"/>
    <cellStyle name="Comma 10 3 9 2 4" xfId="27830" xr:uid="{00000000-0005-0000-0000-0000BA6C0000}"/>
    <cellStyle name="Comma 10 3 9 2 5" xfId="8555" xr:uid="{00000000-0005-0000-0000-00006F210000}"/>
    <cellStyle name="Comma 10 3 9 3" xfId="3475" xr:uid="{00000000-0005-0000-0000-0000970D0000}"/>
    <cellStyle name="Comma 10 3 9 3 2" xfId="23299" xr:uid="{00000000-0005-0000-0000-0000075B0000}"/>
    <cellStyle name="Comma 10 3 9 3 2 2" xfId="27306" xr:uid="{00000000-0005-0000-0000-0000AE6A0000}"/>
    <cellStyle name="Comma 10 3 9 3 2 3" xfId="29234" xr:uid="{00000000-0005-0000-0000-000036720000}"/>
    <cellStyle name="Comma 10 3 9 3 3" xfId="26343" xr:uid="{00000000-0005-0000-0000-0000EB660000}"/>
    <cellStyle name="Comma 10 3 9 3 4" xfId="28271" xr:uid="{00000000-0005-0000-0000-0000736E0000}"/>
    <cellStyle name="Comma 10 3 9 3 5" xfId="16440" xr:uid="{00000000-0005-0000-0000-00003C400000}"/>
    <cellStyle name="Comma 10 3 9 4" xfId="19780" xr:uid="{00000000-0005-0000-0000-0000484D0000}"/>
    <cellStyle name="Comma 10 3 9 4 2" xfId="26638" xr:uid="{00000000-0005-0000-0000-000012680000}"/>
    <cellStyle name="Comma 10 3 9 4 3" xfId="28566" xr:uid="{00000000-0005-0000-0000-00009A6F0000}"/>
    <cellStyle name="Comma 10 3 9 5" xfId="25675" xr:uid="{00000000-0005-0000-0000-00004F640000}"/>
    <cellStyle name="Comma 10 3 9 6" xfId="27602" xr:uid="{00000000-0005-0000-0000-0000D66B0000}"/>
    <cellStyle name="Comma 10 3 9 7" xfId="7513" xr:uid="{00000000-0005-0000-0000-00005D1D0000}"/>
    <cellStyle name="Comma 10 4" xfId="645" xr:uid="{00000000-0005-0000-0000-000089020000}"/>
    <cellStyle name="Comma 10 4 10" xfId="646" xr:uid="{00000000-0005-0000-0000-00008A020000}"/>
    <cellStyle name="Comma 10 4 10 2" xfId="1916" xr:uid="{00000000-0005-0000-0000-000080070000}"/>
    <cellStyle name="Comma 10 4 10 2 2" xfId="3776" xr:uid="{00000000-0005-0000-0000-0000C40E0000}"/>
    <cellStyle name="Comma 10 4 10 2 2 2" xfId="26868" xr:uid="{00000000-0005-0000-0000-0000F8680000}"/>
    <cellStyle name="Comma 10 4 10 2 2 3" xfId="28796" xr:uid="{00000000-0005-0000-0000-000080700000}"/>
    <cellStyle name="Comma 10 4 10 2 2 4" xfId="20762" xr:uid="{00000000-0005-0000-0000-00001E510000}"/>
    <cellStyle name="Comma 10 4 10 2 3" xfId="25905" xr:uid="{00000000-0005-0000-0000-000035650000}"/>
    <cellStyle name="Comma 10 4 10 2 4" xfId="27832" xr:uid="{00000000-0005-0000-0000-0000BC6C0000}"/>
    <cellStyle name="Comma 10 4 10 2 5" xfId="8557" xr:uid="{00000000-0005-0000-0000-000071210000}"/>
    <cellStyle name="Comma 10 4 10 3" xfId="3477" xr:uid="{00000000-0005-0000-0000-0000990D0000}"/>
    <cellStyle name="Comma 10 4 10 3 2" xfId="23301" xr:uid="{00000000-0005-0000-0000-0000095B0000}"/>
    <cellStyle name="Comma 10 4 10 3 2 2" xfId="27308" xr:uid="{00000000-0005-0000-0000-0000B06A0000}"/>
    <cellStyle name="Comma 10 4 10 3 2 3" xfId="29236" xr:uid="{00000000-0005-0000-0000-000038720000}"/>
    <cellStyle name="Comma 10 4 10 3 3" xfId="26345" xr:uid="{00000000-0005-0000-0000-0000ED660000}"/>
    <cellStyle name="Comma 10 4 10 3 4" xfId="28273" xr:uid="{00000000-0005-0000-0000-0000756E0000}"/>
    <cellStyle name="Comma 10 4 10 3 5" xfId="16442" xr:uid="{00000000-0005-0000-0000-00003E400000}"/>
    <cellStyle name="Comma 10 4 10 4" xfId="19782" xr:uid="{00000000-0005-0000-0000-00004A4D0000}"/>
    <cellStyle name="Comma 10 4 10 4 2" xfId="26640" xr:uid="{00000000-0005-0000-0000-000014680000}"/>
    <cellStyle name="Comma 10 4 10 4 3" xfId="28568" xr:uid="{00000000-0005-0000-0000-00009C6F0000}"/>
    <cellStyle name="Comma 10 4 10 5" xfId="25677" xr:uid="{00000000-0005-0000-0000-000051640000}"/>
    <cellStyle name="Comma 10 4 10 6" xfId="27604" xr:uid="{00000000-0005-0000-0000-0000D86B0000}"/>
    <cellStyle name="Comma 10 4 10 7" xfId="7515" xr:uid="{00000000-0005-0000-0000-00005F1D0000}"/>
    <cellStyle name="Comma 10 4 11" xfId="647" xr:uid="{00000000-0005-0000-0000-00008B020000}"/>
    <cellStyle name="Comma 10 4 11 2" xfId="1917" xr:uid="{00000000-0005-0000-0000-000081070000}"/>
    <cellStyle name="Comma 10 4 11 2 2" xfId="3777" xr:uid="{00000000-0005-0000-0000-0000C50E0000}"/>
    <cellStyle name="Comma 10 4 11 2 2 2" xfId="26869" xr:uid="{00000000-0005-0000-0000-0000F9680000}"/>
    <cellStyle name="Comma 10 4 11 2 2 3" xfId="28797" xr:uid="{00000000-0005-0000-0000-000081700000}"/>
    <cellStyle name="Comma 10 4 11 2 2 4" xfId="20763" xr:uid="{00000000-0005-0000-0000-00001F510000}"/>
    <cellStyle name="Comma 10 4 11 2 3" xfId="25906" xr:uid="{00000000-0005-0000-0000-000036650000}"/>
    <cellStyle name="Comma 10 4 11 2 4" xfId="27833" xr:uid="{00000000-0005-0000-0000-0000BD6C0000}"/>
    <cellStyle name="Comma 10 4 11 2 5" xfId="8558" xr:uid="{00000000-0005-0000-0000-000072210000}"/>
    <cellStyle name="Comma 10 4 11 3" xfId="3478" xr:uid="{00000000-0005-0000-0000-00009A0D0000}"/>
    <cellStyle name="Comma 10 4 11 3 2" xfId="23302" xr:uid="{00000000-0005-0000-0000-00000A5B0000}"/>
    <cellStyle name="Comma 10 4 11 3 2 2" xfId="27309" xr:uid="{00000000-0005-0000-0000-0000B16A0000}"/>
    <cellStyle name="Comma 10 4 11 3 2 3" xfId="29237" xr:uid="{00000000-0005-0000-0000-000039720000}"/>
    <cellStyle name="Comma 10 4 11 3 3" xfId="26346" xr:uid="{00000000-0005-0000-0000-0000EE660000}"/>
    <cellStyle name="Comma 10 4 11 3 4" xfId="28274" xr:uid="{00000000-0005-0000-0000-0000766E0000}"/>
    <cellStyle name="Comma 10 4 11 3 5" xfId="16443" xr:uid="{00000000-0005-0000-0000-00003F400000}"/>
    <cellStyle name="Comma 10 4 11 4" xfId="19783" xr:uid="{00000000-0005-0000-0000-00004B4D0000}"/>
    <cellStyle name="Comma 10 4 11 4 2" xfId="26641" xr:uid="{00000000-0005-0000-0000-000015680000}"/>
    <cellStyle name="Comma 10 4 11 4 3" xfId="28569" xr:uid="{00000000-0005-0000-0000-00009D6F0000}"/>
    <cellStyle name="Comma 10 4 11 5" xfId="25678" xr:uid="{00000000-0005-0000-0000-000052640000}"/>
    <cellStyle name="Comma 10 4 11 6" xfId="27605" xr:uid="{00000000-0005-0000-0000-0000D96B0000}"/>
    <cellStyle name="Comma 10 4 11 7" xfId="7516" xr:uid="{00000000-0005-0000-0000-0000601D0000}"/>
    <cellStyle name="Comma 10 4 12" xfId="648" xr:uid="{00000000-0005-0000-0000-00008C020000}"/>
    <cellStyle name="Comma 10 4 12 2" xfId="1918" xr:uid="{00000000-0005-0000-0000-000082070000}"/>
    <cellStyle name="Comma 10 4 12 2 2" xfId="3778" xr:uid="{00000000-0005-0000-0000-0000C60E0000}"/>
    <cellStyle name="Comma 10 4 12 2 2 2" xfId="26870" xr:uid="{00000000-0005-0000-0000-0000FA680000}"/>
    <cellStyle name="Comma 10 4 12 2 2 3" xfId="28798" xr:uid="{00000000-0005-0000-0000-000082700000}"/>
    <cellStyle name="Comma 10 4 12 2 2 4" xfId="20764" xr:uid="{00000000-0005-0000-0000-000020510000}"/>
    <cellStyle name="Comma 10 4 12 2 3" xfId="25907" xr:uid="{00000000-0005-0000-0000-000037650000}"/>
    <cellStyle name="Comma 10 4 12 2 4" xfId="27834" xr:uid="{00000000-0005-0000-0000-0000BE6C0000}"/>
    <cellStyle name="Comma 10 4 12 2 5" xfId="8559" xr:uid="{00000000-0005-0000-0000-000073210000}"/>
    <cellStyle name="Comma 10 4 12 3" xfId="3479" xr:uid="{00000000-0005-0000-0000-00009B0D0000}"/>
    <cellStyle name="Comma 10 4 12 3 2" xfId="23303" xr:uid="{00000000-0005-0000-0000-00000B5B0000}"/>
    <cellStyle name="Comma 10 4 12 3 2 2" xfId="27310" xr:uid="{00000000-0005-0000-0000-0000B26A0000}"/>
    <cellStyle name="Comma 10 4 12 3 2 3" xfId="29238" xr:uid="{00000000-0005-0000-0000-00003A720000}"/>
    <cellStyle name="Comma 10 4 12 3 3" xfId="26347" xr:uid="{00000000-0005-0000-0000-0000EF660000}"/>
    <cellStyle name="Comma 10 4 12 3 4" xfId="28275" xr:uid="{00000000-0005-0000-0000-0000776E0000}"/>
    <cellStyle name="Comma 10 4 12 3 5" xfId="16444" xr:uid="{00000000-0005-0000-0000-000040400000}"/>
    <cellStyle name="Comma 10 4 12 4" xfId="19784" xr:uid="{00000000-0005-0000-0000-00004C4D0000}"/>
    <cellStyle name="Comma 10 4 12 4 2" xfId="26642" xr:uid="{00000000-0005-0000-0000-000016680000}"/>
    <cellStyle name="Comma 10 4 12 4 3" xfId="28570" xr:uid="{00000000-0005-0000-0000-00009E6F0000}"/>
    <cellStyle name="Comma 10 4 12 5" xfId="25679" xr:uid="{00000000-0005-0000-0000-000053640000}"/>
    <cellStyle name="Comma 10 4 12 6" xfId="27606" xr:uid="{00000000-0005-0000-0000-0000DA6B0000}"/>
    <cellStyle name="Comma 10 4 12 7" xfId="7517" xr:uid="{00000000-0005-0000-0000-0000611D0000}"/>
    <cellStyle name="Comma 10 4 13" xfId="649" xr:uid="{00000000-0005-0000-0000-00008D020000}"/>
    <cellStyle name="Comma 10 4 13 2" xfId="1919" xr:uid="{00000000-0005-0000-0000-000083070000}"/>
    <cellStyle name="Comma 10 4 13 2 2" xfId="3779" xr:uid="{00000000-0005-0000-0000-0000C70E0000}"/>
    <cellStyle name="Comma 10 4 13 2 2 2" xfId="26871" xr:uid="{00000000-0005-0000-0000-0000FB680000}"/>
    <cellStyle name="Comma 10 4 13 2 2 3" xfId="28799" xr:uid="{00000000-0005-0000-0000-000083700000}"/>
    <cellStyle name="Comma 10 4 13 2 2 4" xfId="20765" xr:uid="{00000000-0005-0000-0000-000021510000}"/>
    <cellStyle name="Comma 10 4 13 2 3" xfId="25908" xr:uid="{00000000-0005-0000-0000-000038650000}"/>
    <cellStyle name="Comma 10 4 13 2 4" xfId="27835" xr:uid="{00000000-0005-0000-0000-0000BF6C0000}"/>
    <cellStyle name="Comma 10 4 13 2 5" xfId="8560" xr:uid="{00000000-0005-0000-0000-000074210000}"/>
    <cellStyle name="Comma 10 4 13 3" xfId="3480" xr:uid="{00000000-0005-0000-0000-00009C0D0000}"/>
    <cellStyle name="Comma 10 4 13 3 2" xfId="23304" xr:uid="{00000000-0005-0000-0000-00000C5B0000}"/>
    <cellStyle name="Comma 10 4 13 3 2 2" xfId="27311" xr:uid="{00000000-0005-0000-0000-0000B36A0000}"/>
    <cellStyle name="Comma 10 4 13 3 2 3" xfId="29239" xr:uid="{00000000-0005-0000-0000-00003B720000}"/>
    <cellStyle name="Comma 10 4 13 3 3" xfId="26348" xr:uid="{00000000-0005-0000-0000-0000F0660000}"/>
    <cellStyle name="Comma 10 4 13 3 4" xfId="28276" xr:uid="{00000000-0005-0000-0000-0000786E0000}"/>
    <cellStyle name="Comma 10 4 13 3 5" xfId="16445" xr:uid="{00000000-0005-0000-0000-000041400000}"/>
    <cellStyle name="Comma 10 4 13 4" xfId="19785" xr:uid="{00000000-0005-0000-0000-00004D4D0000}"/>
    <cellStyle name="Comma 10 4 13 4 2" xfId="26643" xr:uid="{00000000-0005-0000-0000-000017680000}"/>
    <cellStyle name="Comma 10 4 13 4 3" xfId="28571" xr:uid="{00000000-0005-0000-0000-00009F6F0000}"/>
    <cellStyle name="Comma 10 4 13 5" xfId="25680" xr:uid="{00000000-0005-0000-0000-000054640000}"/>
    <cellStyle name="Comma 10 4 13 6" xfId="27607" xr:uid="{00000000-0005-0000-0000-0000DB6B0000}"/>
    <cellStyle name="Comma 10 4 13 7" xfId="7518" xr:uid="{00000000-0005-0000-0000-0000621D0000}"/>
    <cellStyle name="Comma 10 4 14" xfId="650" xr:uid="{00000000-0005-0000-0000-00008E020000}"/>
    <cellStyle name="Comma 10 4 14 2" xfId="1920" xr:uid="{00000000-0005-0000-0000-000084070000}"/>
    <cellStyle name="Comma 10 4 14 2 2" xfId="3780" xr:uid="{00000000-0005-0000-0000-0000C80E0000}"/>
    <cellStyle name="Comma 10 4 14 2 2 2" xfId="26872" xr:uid="{00000000-0005-0000-0000-0000FC680000}"/>
    <cellStyle name="Comma 10 4 14 2 2 3" xfId="28800" xr:uid="{00000000-0005-0000-0000-000084700000}"/>
    <cellStyle name="Comma 10 4 14 2 2 4" xfId="20766" xr:uid="{00000000-0005-0000-0000-000022510000}"/>
    <cellStyle name="Comma 10 4 14 2 3" xfId="25909" xr:uid="{00000000-0005-0000-0000-000039650000}"/>
    <cellStyle name="Comma 10 4 14 2 4" xfId="27836" xr:uid="{00000000-0005-0000-0000-0000C06C0000}"/>
    <cellStyle name="Comma 10 4 14 2 5" xfId="8561" xr:uid="{00000000-0005-0000-0000-000075210000}"/>
    <cellStyle name="Comma 10 4 14 3" xfId="3481" xr:uid="{00000000-0005-0000-0000-00009D0D0000}"/>
    <cellStyle name="Comma 10 4 14 3 2" xfId="23305" xr:uid="{00000000-0005-0000-0000-00000D5B0000}"/>
    <cellStyle name="Comma 10 4 14 3 2 2" xfId="27312" xr:uid="{00000000-0005-0000-0000-0000B46A0000}"/>
    <cellStyle name="Comma 10 4 14 3 2 3" xfId="29240" xr:uid="{00000000-0005-0000-0000-00003C720000}"/>
    <cellStyle name="Comma 10 4 14 3 3" xfId="26349" xr:uid="{00000000-0005-0000-0000-0000F1660000}"/>
    <cellStyle name="Comma 10 4 14 3 4" xfId="28277" xr:uid="{00000000-0005-0000-0000-0000796E0000}"/>
    <cellStyle name="Comma 10 4 14 3 5" xfId="16446" xr:uid="{00000000-0005-0000-0000-000042400000}"/>
    <cellStyle name="Comma 10 4 14 4" xfId="19786" xr:uid="{00000000-0005-0000-0000-00004E4D0000}"/>
    <cellStyle name="Comma 10 4 14 4 2" xfId="26644" xr:uid="{00000000-0005-0000-0000-000018680000}"/>
    <cellStyle name="Comma 10 4 14 4 3" xfId="28572" xr:uid="{00000000-0005-0000-0000-0000A06F0000}"/>
    <cellStyle name="Comma 10 4 14 5" xfId="25681" xr:uid="{00000000-0005-0000-0000-000055640000}"/>
    <cellStyle name="Comma 10 4 14 6" xfId="27608" xr:uid="{00000000-0005-0000-0000-0000DC6B0000}"/>
    <cellStyle name="Comma 10 4 14 7" xfId="7519" xr:uid="{00000000-0005-0000-0000-0000631D0000}"/>
    <cellStyle name="Comma 10 4 15" xfId="651" xr:uid="{00000000-0005-0000-0000-00008F020000}"/>
    <cellStyle name="Comma 10 4 15 2" xfId="1921" xr:uid="{00000000-0005-0000-0000-000085070000}"/>
    <cellStyle name="Comma 10 4 15 2 2" xfId="3781" xr:uid="{00000000-0005-0000-0000-0000C90E0000}"/>
    <cellStyle name="Comma 10 4 15 2 2 2" xfId="26873" xr:uid="{00000000-0005-0000-0000-0000FD680000}"/>
    <cellStyle name="Comma 10 4 15 2 2 3" xfId="28801" xr:uid="{00000000-0005-0000-0000-000085700000}"/>
    <cellStyle name="Comma 10 4 15 2 2 4" xfId="20767" xr:uid="{00000000-0005-0000-0000-000023510000}"/>
    <cellStyle name="Comma 10 4 15 2 3" xfId="25910" xr:uid="{00000000-0005-0000-0000-00003A650000}"/>
    <cellStyle name="Comma 10 4 15 2 4" xfId="27837" xr:uid="{00000000-0005-0000-0000-0000C16C0000}"/>
    <cellStyle name="Comma 10 4 15 2 5" xfId="8562" xr:uid="{00000000-0005-0000-0000-000076210000}"/>
    <cellStyle name="Comma 10 4 15 3" xfId="3482" xr:uid="{00000000-0005-0000-0000-00009E0D0000}"/>
    <cellStyle name="Comma 10 4 15 3 2" xfId="23306" xr:uid="{00000000-0005-0000-0000-00000E5B0000}"/>
    <cellStyle name="Comma 10 4 15 3 2 2" xfId="27313" xr:uid="{00000000-0005-0000-0000-0000B56A0000}"/>
    <cellStyle name="Comma 10 4 15 3 2 3" xfId="29241" xr:uid="{00000000-0005-0000-0000-00003D720000}"/>
    <cellStyle name="Comma 10 4 15 3 3" xfId="26350" xr:uid="{00000000-0005-0000-0000-0000F2660000}"/>
    <cellStyle name="Comma 10 4 15 3 4" xfId="28278" xr:uid="{00000000-0005-0000-0000-00007A6E0000}"/>
    <cellStyle name="Comma 10 4 15 3 5" xfId="16447" xr:uid="{00000000-0005-0000-0000-000043400000}"/>
    <cellStyle name="Comma 10 4 15 4" xfId="19787" xr:uid="{00000000-0005-0000-0000-00004F4D0000}"/>
    <cellStyle name="Comma 10 4 15 4 2" xfId="26645" xr:uid="{00000000-0005-0000-0000-000019680000}"/>
    <cellStyle name="Comma 10 4 15 4 3" xfId="28573" xr:uid="{00000000-0005-0000-0000-0000A16F0000}"/>
    <cellStyle name="Comma 10 4 15 5" xfId="25682" xr:uid="{00000000-0005-0000-0000-000056640000}"/>
    <cellStyle name="Comma 10 4 15 6" xfId="27609" xr:uid="{00000000-0005-0000-0000-0000DD6B0000}"/>
    <cellStyle name="Comma 10 4 15 7" xfId="7520" xr:uid="{00000000-0005-0000-0000-0000641D0000}"/>
    <cellStyle name="Comma 10 4 16" xfId="652" xr:uid="{00000000-0005-0000-0000-000090020000}"/>
    <cellStyle name="Comma 10 4 16 2" xfId="1922" xr:uid="{00000000-0005-0000-0000-000086070000}"/>
    <cellStyle name="Comma 10 4 16 2 2" xfId="3782" xr:uid="{00000000-0005-0000-0000-0000CA0E0000}"/>
    <cellStyle name="Comma 10 4 16 2 2 2" xfId="26874" xr:uid="{00000000-0005-0000-0000-0000FE680000}"/>
    <cellStyle name="Comma 10 4 16 2 2 3" xfId="28802" xr:uid="{00000000-0005-0000-0000-000086700000}"/>
    <cellStyle name="Comma 10 4 16 2 2 4" xfId="20768" xr:uid="{00000000-0005-0000-0000-000024510000}"/>
    <cellStyle name="Comma 10 4 16 2 3" xfId="25911" xr:uid="{00000000-0005-0000-0000-00003B650000}"/>
    <cellStyle name="Comma 10 4 16 2 4" xfId="27838" xr:uid="{00000000-0005-0000-0000-0000C26C0000}"/>
    <cellStyle name="Comma 10 4 16 2 5" xfId="8563" xr:uid="{00000000-0005-0000-0000-000077210000}"/>
    <cellStyle name="Comma 10 4 16 3" xfId="3483" xr:uid="{00000000-0005-0000-0000-00009F0D0000}"/>
    <cellStyle name="Comma 10 4 16 3 2" xfId="23307" xr:uid="{00000000-0005-0000-0000-00000F5B0000}"/>
    <cellStyle name="Comma 10 4 16 3 2 2" xfId="27314" xr:uid="{00000000-0005-0000-0000-0000B66A0000}"/>
    <cellStyle name="Comma 10 4 16 3 2 3" xfId="29242" xr:uid="{00000000-0005-0000-0000-00003E720000}"/>
    <cellStyle name="Comma 10 4 16 3 3" xfId="26351" xr:uid="{00000000-0005-0000-0000-0000F3660000}"/>
    <cellStyle name="Comma 10 4 16 3 4" xfId="28279" xr:uid="{00000000-0005-0000-0000-00007B6E0000}"/>
    <cellStyle name="Comma 10 4 16 3 5" xfId="16448" xr:uid="{00000000-0005-0000-0000-000044400000}"/>
    <cellStyle name="Comma 10 4 16 4" xfId="19788" xr:uid="{00000000-0005-0000-0000-0000504D0000}"/>
    <cellStyle name="Comma 10 4 16 4 2" xfId="26646" xr:uid="{00000000-0005-0000-0000-00001A680000}"/>
    <cellStyle name="Comma 10 4 16 4 3" xfId="28574" xr:uid="{00000000-0005-0000-0000-0000A26F0000}"/>
    <cellStyle name="Comma 10 4 16 5" xfId="25683" xr:uid="{00000000-0005-0000-0000-000057640000}"/>
    <cellStyle name="Comma 10 4 16 6" xfId="27610" xr:uid="{00000000-0005-0000-0000-0000DE6B0000}"/>
    <cellStyle name="Comma 10 4 16 7" xfId="7521" xr:uid="{00000000-0005-0000-0000-0000651D0000}"/>
    <cellStyle name="Comma 10 4 17" xfId="653" xr:uid="{00000000-0005-0000-0000-000091020000}"/>
    <cellStyle name="Comma 10 4 17 2" xfId="1923" xr:uid="{00000000-0005-0000-0000-000087070000}"/>
    <cellStyle name="Comma 10 4 17 2 2" xfId="3783" xr:uid="{00000000-0005-0000-0000-0000CB0E0000}"/>
    <cellStyle name="Comma 10 4 17 2 2 2" xfId="26875" xr:uid="{00000000-0005-0000-0000-0000FF680000}"/>
    <cellStyle name="Comma 10 4 17 2 2 3" xfId="28803" xr:uid="{00000000-0005-0000-0000-000087700000}"/>
    <cellStyle name="Comma 10 4 17 2 2 4" xfId="20769" xr:uid="{00000000-0005-0000-0000-000025510000}"/>
    <cellStyle name="Comma 10 4 17 2 3" xfId="25912" xr:uid="{00000000-0005-0000-0000-00003C650000}"/>
    <cellStyle name="Comma 10 4 17 2 4" xfId="27839" xr:uid="{00000000-0005-0000-0000-0000C36C0000}"/>
    <cellStyle name="Comma 10 4 17 2 5" xfId="8564" xr:uid="{00000000-0005-0000-0000-000078210000}"/>
    <cellStyle name="Comma 10 4 17 3" xfId="3484" xr:uid="{00000000-0005-0000-0000-0000A00D0000}"/>
    <cellStyle name="Comma 10 4 17 3 2" xfId="23308" xr:uid="{00000000-0005-0000-0000-0000105B0000}"/>
    <cellStyle name="Comma 10 4 17 3 2 2" xfId="27315" xr:uid="{00000000-0005-0000-0000-0000B76A0000}"/>
    <cellStyle name="Comma 10 4 17 3 2 3" xfId="29243" xr:uid="{00000000-0005-0000-0000-00003F720000}"/>
    <cellStyle name="Comma 10 4 17 3 3" xfId="26352" xr:uid="{00000000-0005-0000-0000-0000F4660000}"/>
    <cellStyle name="Comma 10 4 17 3 4" xfId="28280" xr:uid="{00000000-0005-0000-0000-00007C6E0000}"/>
    <cellStyle name="Comma 10 4 17 3 5" xfId="16449" xr:uid="{00000000-0005-0000-0000-000045400000}"/>
    <cellStyle name="Comma 10 4 17 4" xfId="19789" xr:uid="{00000000-0005-0000-0000-0000514D0000}"/>
    <cellStyle name="Comma 10 4 17 4 2" xfId="26647" xr:uid="{00000000-0005-0000-0000-00001B680000}"/>
    <cellStyle name="Comma 10 4 17 4 3" xfId="28575" xr:uid="{00000000-0005-0000-0000-0000A36F0000}"/>
    <cellStyle name="Comma 10 4 17 5" xfId="25684" xr:uid="{00000000-0005-0000-0000-000058640000}"/>
    <cellStyle name="Comma 10 4 17 6" xfId="27611" xr:uid="{00000000-0005-0000-0000-0000DF6B0000}"/>
    <cellStyle name="Comma 10 4 17 7" xfId="7522" xr:uid="{00000000-0005-0000-0000-0000661D0000}"/>
    <cellStyle name="Comma 10 4 18" xfId="1915" xr:uid="{00000000-0005-0000-0000-00007F070000}"/>
    <cellStyle name="Comma 10 4 18 2" xfId="3775" xr:uid="{00000000-0005-0000-0000-0000C30E0000}"/>
    <cellStyle name="Comma 10 4 18 2 2" xfId="26867" xr:uid="{00000000-0005-0000-0000-0000F7680000}"/>
    <cellStyle name="Comma 10 4 18 2 3" xfId="28795" xr:uid="{00000000-0005-0000-0000-00007F700000}"/>
    <cellStyle name="Comma 10 4 18 2 4" xfId="20761" xr:uid="{00000000-0005-0000-0000-00001D510000}"/>
    <cellStyle name="Comma 10 4 18 3" xfId="25904" xr:uid="{00000000-0005-0000-0000-000034650000}"/>
    <cellStyle name="Comma 10 4 18 4" xfId="27831" xr:uid="{00000000-0005-0000-0000-0000BB6C0000}"/>
    <cellStyle name="Comma 10 4 18 5" xfId="8556" xr:uid="{00000000-0005-0000-0000-000070210000}"/>
    <cellStyle name="Comma 10 4 19" xfId="3476" xr:uid="{00000000-0005-0000-0000-0000980D0000}"/>
    <cellStyle name="Comma 10 4 19 2" xfId="23300" xr:uid="{00000000-0005-0000-0000-0000085B0000}"/>
    <cellStyle name="Comma 10 4 19 2 2" xfId="27307" xr:uid="{00000000-0005-0000-0000-0000AF6A0000}"/>
    <cellStyle name="Comma 10 4 19 2 3" xfId="29235" xr:uid="{00000000-0005-0000-0000-000037720000}"/>
    <cellStyle name="Comma 10 4 19 3" xfId="26344" xr:uid="{00000000-0005-0000-0000-0000EC660000}"/>
    <cellStyle name="Comma 10 4 19 4" xfId="28272" xr:uid="{00000000-0005-0000-0000-0000746E0000}"/>
    <cellStyle name="Comma 10 4 19 5" xfId="16441" xr:uid="{00000000-0005-0000-0000-00003D400000}"/>
    <cellStyle name="Comma 10 4 2" xfId="654" xr:uid="{00000000-0005-0000-0000-000092020000}"/>
    <cellStyle name="Comma 10 4 2 2" xfId="1924" xr:uid="{00000000-0005-0000-0000-000088070000}"/>
    <cellStyle name="Comma 10 4 2 2 2" xfId="3784" xr:uid="{00000000-0005-0000-0000-0000CC0E0000}"/>
    <cellStyle name="Comma 10 4 2 2 2 2" xfId="26876" xr:uid="{00000000-0005-0000-0000-000000690000}"/>
    <cellStyle name="Comma 10 4 2 2 2 3" xfId="28804" xr:uid="{00000000-0005-0000-0000-000088700000}"/>
    <cellStyle name="Comma 10 4 2 2 2 4" xfId="20770" xr:uid="{00000000-0005-0000-0000-000026510000}"/>
    <cellStyle name="Comma 10 4 2 2 3" xfId="25913" xr:uid="{00000000-0005-0000-0000-00003D650000}"/>
    <cellStyle name="Comma 10 4 2 2 4" xfId="27840" xr:uid="{00000000-0005-0000-0000-0000C46C0000}"/>
    <cellStyle name="Comma 10 4 2 2 5" xfId="8565" xr:uid="{00000000-0005-0000-0000-000079210000}"/>
    <cellStyle name="Comma 10 4 2 3" xfId="3485" xr:uid="{00000000-0005-0000-0000-0000A10D0000}"/>
    <cellStyle name="Comma 10 4 2 3 2" xfId="23309" xr:uid="{00000000-0005-0000-0000-0000115B0000}"/>
    <cellStyle name="Comma 10 4 2 3 2 2" xfId="27316" xr:uid="{00000000-0005-0000-0000-0000B86A0000}"/>
    <cellStyle name="Comma 10 4 2 3 2 3" xfId="29244" xr:uid="{00000000-0005-0000-0000-000040720000}"/>
    <cellStyle name="Comma 10 4 2 3 3" xfId="26353" xr:uid="{00000000-0005-0000-0000-0000F5660000}"/>
    <cellStyle name="Comma 10 4 2 3 4" xfId="28281" xr:uid="{00000000-0005-0000-0000-00007D6E0000}"/>
    <cellStyle name="Comma 10 4 2 3 5" xfId="16450" xr:uid="{00000000-0005-0000-0000-000046400000}"/>
    <cellStyle name="Comma 10 4 2 4" xfId="19790" xr:uid="{00000000-0005-0000-0000-0000524D0000}"/>
    <cellStyle name="Comma 10 4 2 4 2" xfId="26648" xr:uid="{00000000-0005-0000-0000-00001C680000}"/>
    <cellStyle name="Comma 10 4 2 4 3" xfId="28576" xr:uid="{00000000-0005-0000-0000-0000A46F0000}"/>
    <cellStyle name="Comma 10 4 2 5" xfId="25685" xr:uid="{00000000-0005-0000-0000-000059640000}"/>
    <cellStyle name="Comma 10 4 2 6" xfId="27612" xr:uid="{00000000-0005-0000-0000-0000E06B0000}"/>
    <cellStyle name="Comma 10 4 2 7" xfId="7523" xr:uid="{00000000-0005-0000-0000-0000671D0000}"/>
    <cellStyle name="Comma 10 4 20" xfId="19781" xr:uid="{00000000-0005-0000-0000-0000494D0000}"/>
    <cellStyle name="Comma 10 4 20 2" xfId="26639" xr:uid="{00000000-0005-0000-0000-000013680000}"/>
    <cellStyle name="Comma 10 4 20 3" xfId="28567" xr:uid="{00000000-0005-0000-0000-00009B6F0000}"/>
    <cellStyle name="Comma 10 4 21" xfId="25676" xr:uid="{00000000-0005-0000-0000-000050640000}"/>
    <cellStyle name="Comma 10 4 22" xfId="27603" xr:uid="{00000000-0005-0000-0000-0000D76B0000}"/>
    <cellStyle name="Comma 10 4 23" xfId="7514" xr:uid="{00000000-0005-0000-0000-00005E1D0000}"/>
    <cellStyle name="Comma 10 4 3" xfId="655" xr:uid="{00000000-0005-0000-0000-000093020000}"/>
    <cellStyle name="Comma 10 4 3 2" xfId="1925" xr:uid="{00000000-0005-0000-0000-000089070000}"/>
    <cellStyle name="Comma 10 4 3 2 2" xfId="3785" xr:uid="{00000000-0005-0000-0000-0000CD0E0000}"/>
    <cellStyle name="Comma 10 4 3 2 2 2" xfId="26877" xr:uid="{00000000-0005-0000-0000-000001690000}"/>
    <cellStyle name="Comma 10 4 3 2 2 3" xfId="28805" xr:uid="{00000000-0005-0000-0000-000089700000}"/>
    <cellStyle name="Comma 10 4 3 2 2 4" xfId="20771" xr:uid="{00000000-0005-0000-0000-000027510000}"/>
    <cellStyle name="Comma 10 4 3 2 3" xfId="25914" xr:uid="{00000000-0005-0000-0000-00003E650000}"/>
    <cellStyle name="Comma 10 4 3 2 4" xfId="27841" xr:uid="{00000000-0005-0000-0000-0000C56C0000}"/>
    <cellStyle name="Comma 10 4 3 2 5" xfId="8566" xr:uid="{00000000-0005-0000-0000-00007A210000}"/>
    <cellStyle name="Comma 10 4 3 3" xfId="3486" xr:uid="{00000000-0005-0000-0000-0000A20D0000}"/>
    <cellStyle name="Comma 10 4 3 3 2" xfId="23310" xr:uid="{00000000-0005-0000-0000-0000125B0000}"/>
    <cellStyle name="Comma 10 4 3 3 2 2" xfId="27317" xr:uid="{00000000-0005-0000-0000-0000B96A0000}"/>
    <cellStyle name="Comma 10 4 3 3 2 3" xfId="29245" xr:uid="{00000000-0005-0000-0000-000041720000}"/>
    <cellStyle name="Comma 10 4 3 3 3" xfId="26354" xr:uid="{00000000-0005-0000-0000-0000F6660000}"/>
    <cellStyle name="Comma 10 4 3 3 4" xfId="28282" xr:uid="{00000000-0005-0000-0000-00007E6E0000}"/>
    <cellStyle name="Comma 10 4 3 3 5" xfId="16451" xr:uid="{00000000-0005-0000-0000-000047400000}"/>
    <cellStyle name="Comma 10 4 3 4" xfId="19791" xr:uid="{00000000-0005-0000-0000-0000534D0000}"/>
    <cellStyle name="Comma 10 4 3 4 2" xfId="26649" xr:uid="{00000000-0005-0000-0000-00001D680000}"/>
    <cellStyle name="Comma 10 4 3 4 3" xfId="28577" xr:uid="{00000000-0005-0000-0000-0000A56F0000}"/>
    <cellStyle name="Comma 10 4 3 5" xfId="25686" xr:uid="{00000000-0005-0000-0000-00005A640000}"/>
    <cellStyle name="Comma 10 4 3 6" xfId="27613" xr:uid="{00000000-0005-0000-0000-0000E16B0000}"/>
    <cellStyle name="Comma 10 4 3 7" xfId="7524" xr:uid="{00000000-0005-0000-0000-0000681D0000}"/>
    <cellStyle name="Comma 10 4 4" xfId="656" xr:uid="{00000000-0005-0000-0000-000094020000}"/>
    <cellStyle name="Comma 10 4 4 2" xfId="1926" xr:uid="{00000000-0005-0000-0000-00008A070000}"/>
    <cellStyle name="Comma 10 4 4 2 2" xfId="3786" xr:uid="{00000000-0005-0000-0000-0000CE0E0000}"/>
    <cellStyle name="Comma 10 4 4 2 2 2" xfId="26878" xr:uid="{00000000-0005-0000-0000-000002690000}"/>
    <cellStyle name="Comma 10 4 4 2 2 3" xfId="28806" xr:uid="{00000000-0005-0000-0000-00008A700000}"/>
    <cellStyle name="Comma 10 4 4 2 2 4" xfId="20772" xr:uid="{00000000-0005-0000-0000-000028510000}"/>
    <cellStyle name="Comma 10 4 4 2 3" xfId="25915" xr:uid="{00000000-0005-0000-0000-00003F650000}"/>
    <cellStyle name="Comma 10 4 4 2 4" xfId="27842" xr:uid="{00000000-0005-0000-0000-0000C66C0000}"/>
    <cellStyle name="Comma 10 4 4 2 5" xfId="8567" xr:uid="{00000000-0005-0000-0000-00007B210000}"/>
    <cellStyle name="Comma 10 4 4 3" xfId="3487" xr:uid="{00000000-0005-0000-0000-0000A30D0000}"/>
    <cellStyle name="Comma 10 4 4 3 2" xfId="23311" xr:uid="{00000000-0005-0000-0000-0000135B0000}"/>
    <cellStyle name="Comma 10 4 4 3 2 2" xfId="27318" xr:uid="{00000000-0005-0000-0000-0000BA6A0000}"/>
    <cellStyle name="Comma 10 4 4 3 2 3" xfId="29246" xr:uid="{00000000-0005-0000-0000-000042720000}"/>
    <cellStyle name="Comma 10 4 4 3 3" xfId="26355" xr:uid="{00000000-0005-0000-0000-0000F7660000}"/>
    <cellStyle name="Comma 10 4 4 3 4" xfId="28283" xr:uid="{00000000-0005-0000-0000-00007F6E0000}"/>
    <cellStyle name="Comma 10 4 4 3 5" xfId="16452" xr:uid="{00000000-0005-0000-0000-000048400000}"/>
    <cellStyle name="Comma 10 4 4 4" xfId="19792" xr:uid="{00000000-0005-0000-0000-0000544D0000}"/>
    <cellStyle name="Comma 10 4 4 4 2" xfId="26650" xr:uid="{00000000-0005-0000-0000-00001E680000}"/>
    <cellStyle name="Comma 10 4 4 4 3" xfId="28578" xr:uid="{00000000-0005-0000-0000-0000A66F0000}"/>
    <cellStyle name="Comma 10 4 4 5" xfId="25687" xr:uid="{00000000-0005-0000-0000-00005B640000}"/>
    <cellStyle name="Comma 10 4 4 6" xfId="27614" xr:uid="{00000000-0005-0000-0000-0000E26B0000}"/>
    <cellStyle name="Comma 10 4 4 7" xfId="7525" xr:uid="{00000000-0005-0000-0000-0000691D0000}"/>
    <cellStyle name="Comma 10 4 5" xfId="657" xr:uid="{00000000-0005-0000-0000-000095020000}"/>
    <cellStyle name="Comma 10 4 5 2" xfId="1927" xr:uid="{00000000-0005-0000-0000-00008B070000}"/>
    <cellStyle name="Comma 10 4 5 2 2" xfId="3787" xr:uid="{00000000-0005-0000-0000-0000CF0E0000}"/>
    <cellStyle name="Comma 10 4 5 2 2 2" xfId="26879" xr:uid="{00000000-0005-0000-0000-000003690000}"/>
    <cellStyle name="Comma 10 4 5 2 2 3" xfId="28807" xr:uid="{00000000-0005-0000-0000-00008B700000}"/>
    <cellStyle name="Comma 10 4 5 2 2 4" xfId="20773" xr:uid="{00000000-0005-0000-0000-000029510000}"/>
    <cellStyle name="Comma 10 4 5 2 3" xfId="25916" xr:uid="{00000000-0005-0000-0000-000040650000}"/>
    <cellStyle name="Comma 10 4 5 2 4" xfId="27843" xr:uid="{00000000-0005-0000-0000-0000C76C0000}"/>
    <cellStyle name="Comma 10 4 5 2 5" xfId="8568" xr:uid="{00000000-0005-0000-0000-00007C210000}"/>
    <cellStyle name="Comma 10 4 5 3" xfId="3488" xr:uid="{00000000-0005-0000-0000-0000A40D0000}"/>
    <cellStyle name="Comma 10 4 5 3 2" xfId="23312" xr:uid="{00000000-0005-0000-0000-0000145B0000}"/>
    <cellStyle name="Comma 10 4 5 3 2 2" xfId="27319" xr:uid="{00000000-0005-0000-0000-0000BB6A0000}"/>
    <cellStyle name="Comma 10 4 5 3 2 3" xfId="29247" xr:uid="{00000000-0005-0000-0000-000043720000}"/>
    <cellStyle name="Comma 10 4 5 3 3" xfId="26356" xr:uid="{00000000-0005-0000-0000-0000F8660000}"/>
    <cellStyle name="Comma 10 4 5 3 4" xfId="28284" xr:uid="{00000000-0005-0000-0000-0000806E0000}"/>
    <cellStyle name="Comma 10 4 5 3 5" xfId="16453" xr:uid="{00000000-0005-0000-0000-000049400000}"/>
    <cellStyle name="Comma 10 4 5 4" xfId="19793" xr:uid="{00000000-0005-0000-0000-0000554D0000}"/>
    <cellStyle name="Comma 10 4 5 4 2" xfId="26651" xr:uid="{00000000-0005-0000-0000-00001F680000}"/>
    <cellStyle name="Comma 10 4 5 4 3" xfId="28579" xr:uid="{00000000-0005-0000-0000-0000A76F0000}"/>
    <cellStyle name="Comma 10 4 5 5" xfId="25688" xr:uid="{00000000-0005-0000-0000-00005C640000}"/>
    <cellStyle name="Comma 10 4 5 6" xfId="27615" xr:uid="{00000000-0005-0000-0000-0000E36B0000}"/>
    <cellStyle name="Comma 10 4 5 7" xfId="7526" xr:uid="{00000000-0005-0000-0000-00006A1D0000}"/>
    <cellStyle name="Comma 10 4 6" xfId="658" xr:uid="{00000000-0005-0000-0000-000096020000}"/>
    <cellStyle name="Comma 10 4 6 2" xfId="1928" xr:uid="{00000000-0005-0000-0000-00008C070000}"/>
    <cellStyle name="Comma 10 4 6 2 2" xfId="3788" xr:uid="{00000000-0005-0000-0000-0000D00E0000}"/>
    <cellStyle name="Comma 10 4 6 2 2 2" xfId="26880" xr:uid="{00000000-0005-0000-0000-000004690000}"/>
    <cellStyle name="Comma 10 4 6 2 2 3" xfId="28808" xr:uid="{00000000-0005-0000-0000-00008C700000}"/>
    <cellStyle name="Comma 10 4 6 2 2 4" xfId="20774" xr:uid="{00000000-0005-0000-0000-00002A510000}"/>
    <cellStyle name="Comma 10 4 6 2 3" xfId="25917" xr:uid="{00000000-0005-0000-0000-000041650000}"/>
    <cellStyle name="Comma 10 4 6 2 4" xfId="27844" xr:uid="{00000000-0005-0000-0000-0000C86C0000}"/>
    <cellStyle name="Comma 10 4 6 2 5" xfId="8569" xr:uid="{00000000-0005-0000-0000-00007D210000}"/>
    <cellStyle name="Comma 10 4 6 3" xfId="3489" xr:uid="{00000000-0005-0000-0000-0000A50D0000}"/>
    <cellStyle name="Comma 10 4 6 3 2" xfId="23313" xr:uid="{00000000-0005-0000-0000-0000155B0000}"/>
    <cellStyle name="Comma 10 4 6 3 2 2" xfId="27320" xr:uid="{00000000-0005-0000-0000-0000BC6A0000}"/>
    <cellStyle name="Comma 10 4 6 3 2 3" xfId="29248" xr:uid="{00000000-0005-0000-0000-000044720000}"/>
    <cellStyle name="Comma 10 4 6 3 3" xfId="26357" xr:uid="{00000000-0005-0000-0000-0000F9660000}"/>
    <cellStyle name="Comma 10 4 6 3 4" xfId="28285" xr:uid="{00000000-0005-0000-0000-0000816E0000}"/>
    <cellStyle name="Comma 10 4 6 3 5" xfId="16454" xr:uid="{00000000-0005-0000-0000-00004A400000}"/>
    <cellStyle name="Comma 10 4 6 4" xfId="19794" xr:uid="{00000000-0005-0000-0000-0000564D0000}"/>
    <cellStyle name="Comma 10 4 6 4 2" xfId="26652" xr:uid="{00000000-0005-0000-0000-000020680000}"/>
    <cellStyle name="Comma 10 4 6 4 3" xfId="28580" xr:uid="{00000000-0005-0000-0000-0000A86F0000}"/>
    <cellStyle name="Comma 10 4 6 5" xfId="25689" xr:uid="{00000000-0005-0000-0000-00005D640000}"/>
    <cellStyle name="Comma 10 4 6 6" xfId="27616" xr:uid="{00000000-0005-0000-0000-0000E46B0000}"/>
    <cellStyle name="Comma 10 4 6 7" xfId="7527" xr:uid="{00000000-0005-0000-0000-00006B1D0000}"/>
    <cellStyle name="Comma 10 4 7" xfId="659" xr:uid="{00000000-0005-0000-0000-000097020000}"/>
    <cellStyle name="Comma 10 4 7 2" xfId="1929" xr:uid="{00000000-0005-0000-0000-00008D070000}"/>
    <cellStyle name="Comma 10 4 7 2 2" xfId="3789" xr:uid="{00000000-0005-0000-0000-0000D10E0000}"/>
    <cellStyle name="Comma 10 4 7 2 2 2" xfId="26881" xr:uid="{00000000-0005-0000-0000-000005690000}"/>
    <cellStyle name="Comma 10 4 7 2 2 3" xfId="28809" xr:uid="{00000000-0005-0000-0000-00008D700000}"/>
    <cellStyle name="Comma 10 4 7 2 2 4" xfId="20775" xr:uid="{00000000-0005-0000-0000-00002B510000}"/>
    <cellStyle name="Comma 10 4 7 2 3" xfId="25918" xr:uid="{00000000-0005-0000-0000-000042650000}"/>
    <cellStyle name="Comma 10 4 7 2 4" xfId="27845" xr:uid="{00000000-0005-0000-0000-0000C96C0000}"/>
    <cellStyle name="Comma 10 4 7 2 5" xfId="8570" xr:uid="{00000000-0005-0000-0000-00007E210000}"/>
    <cellStyle name="Comma 10 4 7 3" xfId="3490" xr:uid="{00000000-0005-0000-0000-0000A60D0000}"/>
    <cellStyle name="Comma 10 4 7 3 2" xfId="23314" xr:uid="{00000000-0005-0000-0000-0000165B0000}"/>
    <cellStyle name="Comma 10 4 7 3 2 2" xfId="27321" xr:uid="{00000000-0005-0000-0000-0000BD6A0000}"/>
    <cellStyle name="Comma 10 4 7 3 2 3" xfId="29249" xr:uid="{00000000-0005-0000-0000-000045720000}"/>
    <cellStyle name="Comma 10 4 7 3 3" xfId="26358" xr:uid="{00000000-0005-0000-0000-0000FA660000}"/>
    <cellStyle name="Comma 10 4 7 3 4" xfId="28286" xr:uid="{00000000-0005-0000-0000-0000826E0000}"/>
    <cellStyle name="Comma 10 4 7 3 5" xfId="16455" xr:uid="{00000000-0005-0000-0000-00004B400000}"/>
    <cellStyle name="Comma 10 4 7 4" xfId="19795" xr:uid="{00000000-0005-0000-0000-0000574D0000}"/>
    <cellStyle name="Comma 10 4 7 4 2" xfId="26653" xr:uid="{00000000-0005-0000-0000-000021680000}"/>
    <cellStyle name="Comma 10 4 7 4 3" xfId="28581" xr:uid="{00000000-0005-0000-0000-0000A96F0000}"/>
    <cellStyle name="Comma 10 4 7 5" xfId="25690" xr:uid="{00000000-0005-0000-0000-00005E640000}"/>
    <cellStyle name="Comma 10 4 7 6" xfId="27617" xr:uid="{00000000-0005-0000-0000-0000E56B0000}"/>
    <cellStyle name="Comma 10 4 7 7" xfId="7528" xr:uid="{00000000-0005-0000-0000-00006C1D0000}"/>
    <cellStyle name="Comma 10 4 8" xfId="660" xr:uid="{00000000-0005-0000-0000-000098020000}"/>
    <cellStyle name="Comma 10 4 8 2" xfId="1930" xr:uid="{00000000-0005-0000-0000-00008E070000}"/>
    <cellStyle name="Comma 10 4 8 2 2" xfId="3790" xr:uid="{00000000-0005-0000-0000-0000D20E0000}"/>
    <cellStyle name="Comma 10 4 8 2 2 2" xfId="26882" xr:uid="{00000000-0005-0000-0000-000006690000}"/>
    <cellStyle name="Comma 10 4 8 2 2 3" xfId="28810" xr:uid="{00000000-0005-0000-0000-00008E700000}"/>
    <cellStyle name="Comma 10 4 8 2 2 4" xfId="20776" xr:uid="{00000000-0005-0000-0000-00002C510000}"/>
    <cellStyle name="Comma 10 4 8 2 3" xfId="25919" xr:uid="{00000000-0005-0000-0000-000043650000}"/>
    <cellStyle name="Comma 10 4 8 2 4" xfId="27846" xr:uid="{00000000-0005-0000-0000-0000CA6C0000}"/>
    <cellStyle name="Comma 10 4 8 2 5" xfId="8571" xr:uid="{00000000-0005-0000-0000-00007F210000}"/>
    <cellStyle name="Comma 10 4 8 3" xfId="3491" xr:uid="{00000000-0005-0000-0000-0000A70D0000}"/>
    <cellStyle name="Comma 10 4 8 3 2" xfId="23315" xr:uid="{00000000-0005-0000-0000-0000175B0000}"/>
    <cellStyle name="Comma 10 4 8 3 2 2" xfId="27322" xr:uid="{00000000-0005-0000-0000-0000BE6A0000}"/>
    <cellStyle name="Comma 10 4 8 3 2 3" xfId="29250" xr:uid="{00000000-0005-0000-0000-000046720000}"/>
    <cellStyle name="Comma 10 4 8 3 3" xfId="26359" xr:uid="{00000000-0005-0000-0000-0000FB660000}"/>
    <cellStyle name="Comma 10 4 8 3 4" xfId="28287" xr:uid="{00000000-0005-0000-0000-0000836E0000}"/>
    <cellStyle name="Comma 10 4 8 3 5" xfId="16456" xr:uid="{00000000-0005-0000-0000-00004C400000}"/>
    <cellStyle name="Comma 10 4 8 4" xfId="19796" xr:uid="{00000000-0005-0000-0000-0000584D0000}"/>
    <cellStyle name="Comma 10 4 8 4 2" xfId="26654" xr:uid="{00000000-0005-0000-0000-000022680000}"/>
    <cellStyle name="Comma 10 4 8 4 3" xfId="28582" xr:uid="{00000000-0005-0000-0000-0000AA6F0000}"/>
    <cellStyle name="Comma 10 4 8 5" xfId="25691" xr:uid="{00000000-0005-0000-0000-00005F640000}"/>
    <cellStyle name="Comma 10 4 8 6" xfId="27618" xr:uid="{00000000-0005-0000-0000-0000E66B0000}"/>
    <cellStyle name="Comma 10 4 8 7" xfId="7529" xr:uid="{00000000-0005-0000-0000-00006D1D0000}"/>
    <cellStyle name="Comma 10 4 9" xfId="661" xr:uid="{00000000-0005-0000-0000-000099020000}"/>
    <cellStyle name="Comma 10 4 9 2" xfId="1931" xr:uid="{00000000-0005-0000-0000-00008F070000}"/>
    <cellStyle name="Comma 10 4 9 2 2" xfId="3791" xr:uid="{00000000-0005-0000-0000-0000D30E0000}"/>
    <cellStyle name="Comma 10 4 9 2 2 2" xfId="26883" xr:uid="{00000000-0005-0000-0000-000007690000}"/>
    <cellStyle name="Comma 10 4 9 2 2 3" xfId="28811" xr:uid="{00000000-0005-0000-0000-00008F700000}"/>
    <cellStyle name="Comma 10 4 9 2 2 4" xfId="20777" xr:uid="{00000000-0005-0000-0000-00002D510000}"/>
    <cellStyle name="Comma 10 4 9 2 3" xfId="25920" xr:uid="{00000000-0005-0000-0000-000044650000}"/>
    <cellStyle name="Comma 10 4 9 2 4" xfId="27847" xr:uid="{00000000-0005-0000-0000-0000CB6C0000}"/>
    <cellStyle name="Comma 10 4 9 2 5" xfId="8572" xr:uid="{00000000-0005-0000-0000-000080210000}"/>
    <cellStyle name="Comma 10 4 9 3" xfId="3492" xr:uid="{00000000-0005-0000-0000-0000A80D0000}"/>
    <cellStyle name="Comma 10 4 9 3 2" xfId="23316" xr:uid="{00000000-0005-0000-0000-0000185B0000}"/>
    <cellStyle name="Comma 10 4 9 3 2 2" xfId="27323" xr:uid="{00000000-0005-0000-0000-0000BF6A0000}"/>
    <cellStyle name="Comma 10 4 9 3 2 3" xfId="29251" xr:uid="{00000000-0005-0000-0000-000047720000}"/>
    <cellStyle name="Comma 10 4 9 3 3" xfId="26360" xr:uid="{00000000-0005-0000-0000-0000FC660000}"/>
    <cellStyle name="Comma 10 4 9 3 4" xfId="28288" xr:uid="{00000000-0005-0000-0000-0000846E0000}"/>
    <cellStyle name="Comma 10 4 9 3 5" xfId="16457" xr:uid="{00000000-0005-0000-0000-00004D400000}"/>
    <cellStyle name="Comma 10 4 9 4" xfId="19797" xr:uid="{00000000-0005-0000-0000-0000594D0000}"/>
    <cellStyle name="Comma 10 4 9 4 2" xfId="26655" xr:uid="{00000000-0005-0000-0000-000023680000}"/>
    <cellStyle name="Comma 10 4 9 4 3" xfId="28583" xr:uid="{00000000-0005-0000-0000-0000AB6F0000}"/>
    <cellStyle name="Comma 10 4 9 5" xfId="25692" xr:uid="{00000000-0005-0000-0000-000060640000}"/>
    <cellStyle name="Comma 10 4 9 6" xfId="27619" xr:uid="{00000000-0005-0000-0000-0000E76B0000}"/>
    <cellStyle name="Comma 10 4 9 7" xfId="7530" xr:uid="{00000000-0005-0000-0000-00006E1D0000}"/>
    <cellStyle name="Comma 10 5" xfId="662" xr:uid="{00000000-0005-0000-0000-00009A020000}"/>
    <cellStyle name="Comma 10 5 10" xfId="663" xr:uid="{00000000-0005-0000-0000-00009B020000}"/>
    <cellStyle name="Comma 10 5 10 2" xfId="1933" xr:uid="{00000000-0005-0000-0000-000091070000}"/>
    <cellStyle name="Comma 10 5 10 2 2" xfId="3793" xr:uid="{00000000-0005-0000-0000-0000D50E0000}"/>
    <cellStyle name="Comma 10 5 10 2 2 2" xfId="26885" xr:uid="{00000000-0005-0000-0000-000009690000}"/>
    <cellStyle name="Comma 10 5 10 2 2 3" xfId="28813" xr:uid="{00000000-0005-0000-0000-000091700000}"/>
    <cellStyle name="Comma 10 5 10 2 2 4" xfId="20779" xr:uid="{00000000-0005-0000-0000-00002F510000}"/>
    <cellStyle name="Comma 10 5 10 2 3" xfId="25922" xr:uid="{00000000-0005-0000-0000-000046650000}"/>
    <cellStyle name="Comma 10 5 10 2 4" xfId="27849" xr:uid="{00000000-0005-0000-0000-0000CD6C0000}"/>
    <cellStyle name="Comma 10 5 10 2 5" xfId="8574" xr:uid="{00000000-0005-0000-0000-000082210000}"/>
    <cellStyle name="Comma 10 5 10 3" xfId="3494" xr:uid="{00000000-0005-0000-0000-0000AA0D0000}"/>
    <cellStyle name="Comma 10 5 10 3 2" xfId="23318" xr:uid="{00000000-0005-0000-0000-00001A5B0000}"/>
    <cellStyle name="Comma 10 5 10 3 2 2" xfId="27325" xr:uid="{00000000-0005-0000-0000-0000C16A0000}"/>
    <cellStyle name="Comma 10 5 10 3 2 3" xfId="29253" xr:uid="{00000000-0005-0000-0000-000049720000}"/>
    <cellStyle name="Comma 10 5 10 3 3" xfId="26362" xr:uid="{00000000-0005-0000-0000-0000FE660000}"/>
    <cellStyle name="Comma 10 5 10 3 4" xfId="28290" xr:uid="{00000000-0005-0000-0000-0000866E0000}"/>
    <cellStyle name="Comma 10 5 10 3 5" xfId="16459" xr:uid="{00000000-0005-0000-0000-00004F400000}"/>
    <cellStyle name="Comma 10 5 10 4" xfId="19799" xr:uid="{00000000-0005-0000-0000-00005B4D0000}"/>
    <cellStyle name="Comma 10 5 10 4 2" xfId="26657" xr:uid="{00000000-0005-0000-0000-000025680000}"/>
    <cellStyle name="Comma 10 5 10 4 3" xfId="28585" xr:uid="{00000000-0005-0000-0000-0000AD6F0000}"/>
    <cellStyle name="Comma 10 5 10 5" xfId="25694" xr:uid="{00000000-0005-0000-0000-000062640000}"/>
    <cellStyle name="Comma 10 5 10 6" xfId="27621" xr:uid="{00000000-0005-0000-0000-0000E96B0000}"/>
    <cellStyle name="Comma 10 5 10 7" xfId="7532" xr:uid="{00000000-0005-0000-0000-0000701D0000}"/>
    <cellStyle name="Comma 10 5 11" xfId="664" xr:uid="{00000000-0005-0000-0000-00009C020000}"/>
    <cellStyle name="Comma 10 5 11 2" xfId="1934" xr:uid="{00000000-0005-0000-0000-000092070000}"/>
    <cellStyle name="Comma 10 5 11 2 2" xfId="3794" xr:uid="{00000000-0005-0000-0000-0000D60E0000}"/>
    <cellStyle name="Comma 10 5 11 2 2 2" xfId="26886" xr:uid="{00000000-0005-0000-0000-00000A690000}"/>
    <cellStyle name="Comma 10 5 11 2 2 3" xfId="28814" xr:uid="{00000000-0005-0000-0000-000092700000}"/>
    <cellStyle name="Comma 10 5 11 2 2 4" xfId="20780" xr:uid="{00000000-0005-0000-0000-000030510000}"/>
    <cellStyle name="Comma 10 5 11 2 3" xfId="25923" xr:uid="{00000000-0005-0000-0000-000047650000}"/>
    <cellStyle name="Comma 10 5 11 2 4" xfId="27850" xr:uid="{00000000-0005-0000-0000-0000CE6C0000}"/>
    <cellStyle name="Comma 10 5 11 2 5" xfId="8575" xr:uid="{00000000-0005-0000-0000-000083210000}"/>
    <cellStyle name="Comma 10 5 11 3" xfId="3495" xr:uid="{00000000-0005-0000-0000-0000AB0D0000}"/>
    <cellStyle name="Comma 10 5 11 3 2" xfId="23319" xr:uid="{00000000-0005-0000-0000-00001B5B0000}"/>
    <cellStyle name="Comma 10 5 11 3 2 2" xfId="27326" xr:uid="{00000000-0005-0000-0000-0000C26A0000}"/>
    <cellStyle name="Comma 10 5 11 3 2 3" xfId="29254" xr:uid="{00000000-0005-0000-0000-00004A720000}"/>
    <cellStyle name="Comma 10 5 11 3 3" xfId="26363" xr:uid="{00000000-0005-0000-0000-0000FF660000}"/>
    <cellStyle name="Comma 10 5 11 3 4" xfId="28291" xr:uid="{00000000-0005-0000-0000-0000876E0000}"/>
    <cellStyle name="Comma 10 5 11 3 5" xfId="16460" xr:uid="{00000000-0005-0000-0000-000050400000}"/>
    <cellStyle name="Comma 10 5 11 4" xfId="19800" xr:uid="{00000000-0005-0000-0000-00005C4D0000}"/>
    <cellStyle name="Comma 10 5 11 4 2" xfId="26658" xr:uid="{00000000-0005-0000-0000-000026680000}"/>
    <cellStyle name="Comma 10 5 11 4 3" xfId="28586" xr:uid="{00000000-0005-0000-0000-0000AE6F0000}"/>
    <cellStyle name="Comma 10 5 11 5" xfId="25695" xr:uid="{00000000-0005-0000-0000-000063640000}"/>
    <cellStyle name="Comma 10 5 11 6" xfId="27622" xr:uid="{00000000-0005-0000-0000-0000EA6B0000}"/>
    <cellStyle name="Comma 10 5 11 7" xfId="7533" xr:uid="{00000000-0005-0000-0000-0000711D0000}"/>
    <cellStyle name="Comma 10 5 12" xfId="665" xr:uid="{00000000-0005-0000-0000-00009D020000}"/>
    <cellStyle name="Comma 10 5 12 2" xfId="1935" xr:uid="{00000000-0005-0000-0000-000093070000}"/>
    <cellStyle name="Comma 10 5 12 2 2" xfId="3795" xr:uid="{00000000-0005-0000-0000-0000D70E0000}"/>
    <cellStyle name="Comma 10 5 12 2 2 2" xfId="26887" xr:uid="{00000000-0005-0000-0000-00000B690000}"/>
    <cellStyle name="Comma 10 5 12 2 2 3" xfId="28815" xr:uid="{00000000-0005-0000-0000-000093700000}"/>
    <cellStyle name="Comma 10 5 12 2 2 4" xfId="20781" xr:uid="{00000000-0005-0000-0000-000031510000}"/>
    <cellStyle name="Comma 10 5 12 2 3" xfId="25924" xr:uid="{00000000-0005-0000-0000-000048650000}"/>
    <cellStyle name="Comma 10 5 12 2 4" xfId="27851" xr:uid="{00000000-0005-0000-0000-0000CF6C0000}"/>
    <cellStyle name="Comma 10 5 12 2 5" xfId="8576" xr:uid="{00000000-0005-0000-0000-000084210000}"/>
    <cellStyle name="Comma 10 5 12 3" xfId="3496" xr:uid="{00000000-0005-0000-0000-0000AC0D0000}"/>
    <cellStyle name="Comma 10 5 12 3 2" xfId="23320" xr:uid="{00000000-0005-0000-0000-00001C5B0000}"/>
    <cellStyle name="Comma 10 5 12 3 2 2" xfId="27327" xr:uid="{00000000-0005-0000-0000-0000C36A0000}"/>
    <cellStyle name="Comma 10 5 12 3 2 3" xfId="29255" xr:uid="{00000000-0005-0000-0000-00004B720000}"/>
    <cellStyle name="Comma 10 5 12 3 3" xfId="26364" xr:uid="{00000000-0005-0000-0000-000000670000}"/>
    <cellStyle name="Comma 10 5 12 3 4" xfId="28292" xr:uid="{00000000-0005-0000-0000-0000886E0000}"/>
    <cellStyle name="Comma 10 5 12 3 5" xfId="16461" xr:uid="{00000000-0005-0000-0000-000051400000}"/>
    <cellStyle name="Comma 10 5 12 4" xfId="19801" xr:uid="{00000000-0005-0000-0000-00005D4D0000}"/>
    <cellStyle name="Comma 10 5 12 4 2" xfId="26659" xr:uid="{00000000-0005-0000-0000-000027680000}"/>
    <cellStyle name="Comma 10 5 12 4 3" xfId="28587" xr:uid="{00000000-0005-0000-0000-0000AF6F0000}"/>
    <cellStyle name="Comma 10 5 12 5" xfId="25696" xr:uid="{00000000-0005-0000-0000-000064640000}"/>
    <cellStyle name="Comma 10 5 12 6" xfId="27623" xr:uid="{00000000-0005-0000-0000-0000EB6B0000}"/>
    <cellStyle name="Comma 10 5 12 7" xfId="7534" xr:uid="{00000000-0005-0000-0000-0000721D0000}"/>
    <cellStyle name="Comma 10 5 13" xfId="666" xr:uid="{00000000-0005-0000-0000-00009E020000}"/>
    <cellStyle name="Comma 10 5 13 2" xfId="1936" xr:uid="{00000000-0005-0000-0000-000094070000}"/>
    <cellStyle name="Comma 10 5 13 2 2" xfId="3796" xr:uid="{00000000-0005-0000-0000-0000D80E0000}"/>
    <cellStyle name="Comma 10 5 13 2 2 2" xfId="26888" xr:uid="{00000000-0005-0000-0000-00000C690000}"/>
    <cellStyle name="Comma 10 5 13 2 2 3" xfId="28816" xr:uid="{00000000-0005-0000-0000-000094700000}"/>
    <cellStyle name="Comma 10 5 13 2 2 4" xfId="20782" xr:uid="{00000000-0005-0000-0000-000032510000}"/>
    <cellStyle name="Comma 10 5 13 2 3" xfId="25925" xr:uid="{00000000-0005-0000-0000-000049650000}"/>
    <cellStyle name="Comma 10 5 13 2 4" xfId="27852" xr:uid="{00000000-0005-0000-0000-0000D06C0000}"/>
    <cellStyle name="Comma 10 5 13 2 5" xfId="8577" xr:uid="{00000000-0005-0000-0000-000085210000}"/>
    <cellStyle name="Comma 10 5 13 3" xfId="3497" xr:uid="{00000000-0005-0000-0000-0000AD0D0000}"/>
    <cellStyle name="Comma 10 5 13 3 2" xfId="23321" xr:uid="{00000000-0005-0000-0000-00001D5B0000}"/>
    <cellStyle name="Comma 10 5 13 3 2 2" xfId="27328" xr:uid="{00000000-0005-0000-0000-0000C46A0000}"/>
    <cellStyle name="Comma 10 5 13 3 2 3" xfId="29256" xr:uid="{00000000-0005-0000-0000-00004C720000}"/>
    <cellStyle name="Comma 10 5 13 3 3" xfId="26365" xr:uid="{00000000-0005-0000-0000-000001670000}"/>
    <cellStyle name="Comma 10 5 13 3 4" xfId="28293" xr:uid="{00000000-0005-0000-0000-0000896E0000}"/>
    <cellStyle name="Comma 10 5 13 3 5" xfId="16462" xr:uid="{00000000-0005-0000-0000-000052400000}"/>
    <cellStyle name="Comma 10 5 13 4" xfId="19802" xr:uid="{00000000-0005-0000-0000-00005E4D0000}"/>
    <cellStyle name="Comma 10 5 13 4 2" xfId="26660" xr:uid="{00000000-0005-0000-0000-000028680000}"/>
    <cellStyle name="Comma 10 5 13 4 3" xfId="28588" xr:uid="{00000000-0005-0000-0000-0000B06F0000}"/>
    <cellStyle name="Comma 10 5 13 5" xfId="25697" xr:uid="{00000000-0005-0000-0000-000065640000}"/>
    <cellStyle name="Comma 10 5 13 6" xfId="27624" xr:uid="{00000000-0005-0000-0000-0000EC6B0000}"/>
    <cellStyle name="Comma 10 5 13 7" xfId="7535" xr:uid="{00000000-0005-0000-0000-0000731D0000}"/>
    <cellStyle name="Comma 10 5 14" xfId="667" xr:uid="{00000000-0005-0000-0000-00009F020000}"/>
    <cellStyle name="Comma 10 5 14 2" xfId="1937" xr:uid="{00000000-0005-0000-0000-000095070000}"/>
    <cellStyle name="Comma 10 5 14 2 2" xfId="3797" xr:uid="{00000000-0005-0000-0000-0000D90E0000}"/>
    <cellStyle name="Comma 10 5 14 2 2 2" xfId="26889" xr:uid="{00000000-0005-0000-0000-00000D690000}"/>
    <cellStyle name="Comma 10 5 14 2 2 3" xfId="28817" xr:uid="{00000000-0005-0000-0000-000095700000}"/>
    <cellStyle name="Comma 10 5 14 2 2 4" xfId="20783" xr:uid="{00000000-0005-0000-0000-000033510000}"/>
    <cellStyle name="Comma 10 5 14 2 3" xfId="25926" xr:uid="{00000000-0005-0000-0000-00004A650000}"/>
    <cellStyle name="Comma 10 5 14 2 4" xfId="27853" xr:uid="{00000000-0005-0000-0000-0000D16C0000}"/>
    <cellStyle name="Comma 10 5 14 2 5" xfId="8578" xr:uid="{00000000-0005-0000-0000-000086210000}"/>
    <cellStyle name="Comma 10 5 14 3" xfId="3498" xr:uid="{00000000-0005-0000-0000-0000AE0D0000}"/>
    <cellStyle name="Comma 10 5 14 3 2" xfId="23322" xr:uid="{00000000-0005-0000-0000-00001E5B0000}"/>
    <cellStyle name="Comma 10 5 14 3 2 2" xfId="27329" xr:uid="{00000000-0005-0000-0000-0000C56A0000}"/>
    <cellStyle name="Comma 10 5 14 3 2 3" xfId="29257" xr:uid="{00000000-0005-0000-0000-00004D720000}"/>
    <cellStyle name="Comma 10 5 14 3 3" xfId="26366" xr:uid="{00000000-0005-0000-0000-000002670000}"/>
    <cellStyle name="Comma 10 5 14 3 4" xfId="28294" xr:uid="{00000000-0005-0000-0000-00008A6E0000}"/>
    <cellStyle name="Comma 10 5 14 3 5" xfId="16463" xr:uid="{00000000-0005-0000-0000-000053400000}"/>
    <cellStyle name="Comma 10 5 14 4" xfId="19803" xr:uid="{00000000-0005-0000-0000-00005F4D0000}"/>
    <cellStyle name="Comma 10 5 14 4 2" xfId="26661" xr:uid="{00000000-0005-0000-0000-000029680000}"/>
    <cellStyle name="Comma 10 5 14 4 3" xfId="28589" xr:uid="{00000000-0005-0000-0000-0000B16F0000}"/>
    <cellStyle name="Comma 10 5 14 5" xfId="25698" xr:uid="{00000000-0005-0000-0000-000066640000}"/>
    <cellStyle name="Comma 10 5 14 6" xfId="27625" xr:uid="{00000000-0005-0000-0000-0000ED6B0000}"/>
    <cellStyle name="Comma 10 5 14 7" xfId="7536" xr:uid="{00000000-0005-0000-0000-0000741D0000}"/>
    <cellStyle name="Comma 10 5 15" xfId="668" xr:uid="{00000000-0005-0000-0000-0000A0020000}"/>
    <cellStyle name="Comma 10 5 15 2" xfId="1938" xr:uid="{00000000-0005-0000-0000-000096070000}"/>
    <cellStyle name="Comma 10 5 15 2 2" xfId="3798" xr:uid="{00000000-0005-0000-0000-0000DA0E0000}"/>
    <cellStyle name="Comma 10 5 15 2 2 2" xfId="26890" xr:uid="{00000000-0005-0000-0000-00000E690000}"/>
    <cellStyle name="Comma 10 5 15 2 2 3" xfId="28818" xr:uid="{00000000-0005-0000-0000-000096700000}"/>
    <cellStyle name="Comma 10 5 15 2 2 4" xfId="20784" xr:uid="{00000000-0005-0000-0000-000034510000}"/>
    <cellStyle name="Comma 10 5 15 2 3" xfId="25927" xr:uid="{00000000-0005-0000-0000-00004B650000}"/>
    <cellStyle name="Comma 10 5 15 2 4" xfId="27854" xr:uid="{00000000-0005-0000-0000-0000D26C0000}"/>
    <cellStyle name="Comma 10 5 15 2 5" xfId="8579" xr:uid="{00000000-0005-0000-0000-000087210000}"/>
    <cellStyle name="Comma 10 5 15 3" xfId="3499" xr:uid="{00000000-0005-0000-0000-0000AF0D0000}"/>
    <cellStyle name="Comma 10 5 15 3 2" xfId="23323" xr:uid="{00000000-0005-0000-0000-00001F5B0000}"/>
    <cellStyle name="Comma 10 5 15 3 2 2" xfId="27330" xr:uid="{00000000-0005-0000-0000-0000C66A0000}"/>
    <cellStyle name="Comma 10 5 15 3 2 3" xfId="29258" xr:uid="{00000000-0005-0000-0000-00004E720000}"/>
    <cellStyle name="Comma 10 5 15 3 3" xfId="26367" xr:uid="{00000000-0005-0000-0000-000003670000}"/>
    <cellStyle name="Comma 10 5 15 3 4" xfId="28295" xr:uid="{00000000-0005-0000-0000-00008B6E0000}"/>
    <cellStyle name="Comma 10 5 15 3 5" xfId="16464" xr:uid="{00000000-0005-0000-0000-000054400000}"/>
    <cellStyle name="Comma 10 5 15 4" xfId="19804" xr:uid="{00000000-0005-0000-0000-0000604D0000}"/>
    <cellStyle name="Comma 10 5 15 4 2" xfId="26662" xr:uid="{00000000-0005-0000-0000-00002A680000}"/>
    <cellStyle name="Comma 10 5 15 4 3" xfId="28590" xr:uid="{00000000-0005-0000-0000-0000B26F0000}"/>
    <cellStyle name="Comma 10 5 15 5" xfId="25699" xr:uid="{00000000-0005-0000-0000-000067640000}"/>
    <cellStyle name="Comma 10 5 15 6" xfId="27626" xr:uid="{00000000-0005-0000-0000-0000EE6B0000}"/>
    <cellStyle name="Comma 10 5 15 7" xfId="7537" xr:uid="{00000000-0005-0000-0000-0000751D0000}"/>
    <cellStyle name="Comma 10 5 16" xfId="669" xr:uid="{00000000-0005-0000-0000-0000A1020000}"/>
    <cellStyle name="Comma 10 5 16 2" xfId="1939" xr:uid="{00000000-0005-0000-0000-000097070000}"/>
    <cellStyle name="Comma 10 5 16 2 2" xfId="3799" xr:uid="{00000000-0005-0000-0000-0000DB0E0000}"/>
    <cellStyle name="Comma 10 5 16 2 2 2" xfId="26891" xr:uid="{00000000-0005-0000-0000-00000F690000}"/>
    <cellStyle name="Comma 10 5 16 2 2 3" xfId="28819" xr:uid="{00000000-0005-0000-0000-000097700000}"/>
    <cellStyle name="Comma 10 5 16 2 2 4" xfId="20785" xr:uid="{00000000-0005-0000-0000-000035510000}"/>
    <cellStyle name="Comma 10 5 16 2 3" xfId="25928" xr:uid="{00000000-0005-0000-0000-00004C650000}"/>
    <cellStyle name="Comma 10 5 16 2 4" xfId="27855" xr:uid="{00000000-0005-0000-0000-0000D36C0000}"/>
    <cellStyle name="Comma 10 5 16 2 5" xfId="8580" xr:uid="{00000000-0005-0000-0000-000088210000}"/>
    <cellStyle name="Comma 10 5 16 3" xfId="3500" xr:uid="{00000000-0005-0000-0000-0000B00D0000}"/>
    <cellStyle name="Comma 10 5 16 3 2" xfId="23324" xr:uid="{00000000-0005-0000-0000-0000205B0000}"/>
    <cellStyle name="Comma 10 5 16 3 2 2" xfId="27331" xr:uid="{00000000-0005-0000-0000-0000C76A0000}"/>
    <cellStyle name="Comma 10 5 16 3 2 3" xfId="29259" xr:uid="{00000000-0005-0000-0000-00004F720000}"/>
    <cellStyle name="Comma 10 5 16 3 3" xfId="26368" xr:uid="{00000000-0005-0000-0000-000004670000}"/>
    <cellStyle name="Comma 10 5 16 3 4" xfId="28296" xr:uid="{00000000-0005-0000-0000-00008C6E0000}"/>
    <cellStyle name="Comma 10 5 16 3 5" xfId="16465" xr:uid="{00000000-0005-0000-0000-000055400000}"/>
    <cellStyle name="Comma 10 5 16 4" xfId="19805" xr:uid="{00000000-0005-0000-0000-0000614D0000}"/>
    <cellStyle name="Comma 10 5 16 4 2" xfId="26663" xr:uid="{00000000-0005-0000-0000-00002B680000}"/>
    <cellStyle name="Comma 10 5 16 4 3" xfId="28591" xr:uid="{00000000-0005-0000-0000-0000B36F0000}"/>
    <cellStyle name="Comma 10 5 16 5" xfId="25700" xr:uid="{00000000-0005-0000-0000-000068640000}"/>
    <cellStyle name="Comma 10 5 16 6" xfId="27627" xr:uid="{00000000-0005-0000-0000-0000EF6B0000}"/>
    <cellStyle name="Comma 10 5 16 7" xfId="7538" xr:uid="{00000000-0005-0000-0000-0000761D0000}"/>
    <cellStyle name="Comma 10 5 17" xfId="670" xr:uid="{00000000-0005-0000-0000-0000A2020000}"/>
    <cellStyle name="Comma 10 5 17 2" xfId="1940" xr:uid="{00000000-0005-0000-0000-000098070000}"/>
    <cellStyle name="Comma 10 5 17 2 2" xfId="3800" xr:uid="{00000000-0005-0000-0000-0000DC0E0000}"/>
    <cellStyle name="Comma 10 5 17 2 2 2" xfId="26892" xr:uid="{00000000-0005-0000-0000-000010690000}"/>
    <cellStyle name="Comma 10 5 17 2 2 3" xfId="28820" xr:uid="{00000000-0005-0000-0000-000098700000}"/>
    <cellStyle name="Comma 10 5 17 2 2 4" xfId="20786" xr:uid="{00000000-0005-0000-0000-000036510000}"/>
    <cellStyle name="Comma 10 5 17 2 3" xfId="25929" xr:uid="{00000000-0005-0000-0000-00004D650000}"/>
    <cellStyle name="Comma 10 5 17 2 4" xfId="27856" xr:uid="{00000000-0005-0000-0000-0000D46C0000}"/>
    <cellStyle name="Comma 10 5 17 2 5" xfId="8581" xr:uid="{00000000-0005-0000-0000-000089210000}"/>
    <cellStyle name="Comma 10 5 17 3" xfId="3501" xr:uid="{00000000-0005-0000-0000-0000B10D0000}"/>
    <cellStyle name="Comma 10 5 17 3 2" xfId="23325" xr:uid="{00000000-0005-0000-0000-0000215B0000}"/>
    <cellStyle name="Comma 10 5 17 3 2 2" xfId="27332" xr:uid="{00000000-0005-0000-0000-0000C86A0000}"/>
    <cellStyle name="Comma 10 5 17 3 2 3" xfId="29260" xr:uid="{00000000-0005-0000-0000-000050720000}"/>
    <cellStyle name="Comma 10 5 17 3 3" xfId="26369" xr:uid="{00000000-0005-0000-0000-000005670000}"/>
    <cellStyle name="Comma 10 5 17 3 4" xfId="28297" xr:uid="{00000000-0005-0000-0000-00008D6E0000}"/>
    <cellStyle name="Comma 10 5 17 3 5" xfId="16466" xr:uid="{00000000-0005-0000-0000-000056400000}"/>
    <cellStyle name="Comma 10 5 17 4" xfId="19806" xr:uid="{00000000-0005-0000-0000-0000624D0000}"/>
    <cellStyle name="Comma 10 5 17 4 2" xfId="26664" xr:uid="{00000000-0005-0000-0000-00002C680000}"/>
    <cellStyle name="Comma 10 5 17 4 3" xfId="28592" xr:uid="{00000000-0005-0000-0000-0000B46F0000}"/>
    <cellStyle name="Comma 10 5 17 5" xfId="25701" xr:uid="{00000000-0005-0000-0000-000069640000}"/>
    <cellStyle name="Comma 10 5 17 6" xfId="27628" xr:uid="{00000000-0005-0000-0000-0000F06B0000}"/>
    <cellStyle name="Comma 10 5 17 7" xfId="7539" xr:uid="{00000000-0005-0000-0000-0000771D0000}"/>
    <cellStyle name="Comma 10 5 18" xfId="1932" xr:uid="{00000000-0005-0000-0000-000090070000}"/>
    <cellStyle name="Comma 10 5 18 2" xfId="3792" xr:uid="{00000000-0005-0000-0000-0000D40E0000}"/>
    <cellStyle name="Comma 10 5 18 2 2" xfId="26884" xr:uid="{00000000-0005-0000-0000-000008690000}"/>
    <cellStyle name="Comma 10 5 18 2 3" xfId="28812" xr:uid="{00000000-0005-0000-0000-000090700000}"/>
    <cellStyle name="Comma 10 5 18 2 4" xfId="20778" xr:uid="{00000000-0005-0000-0000-00002E510000}"/>
    <cellStyle name="Comma 10 5 18 3" xfId="25921" xr:uid="{00000000-0005-0000-0000-000045650000}"/>
    <cellStyle name="Comma 10 5 18 4" xfId="27848" xr:uid="{00000000-0005-0000-0000-0000CC6C0000}"/>
    <cellStyle name="Comma 10 5 18 5" xfId="8573" xr:uid="{00000000-0005-0000-0000-000081210000}"/>
    <cellStyle name="Comma 10 5 19" xfId="3493" xr:uid="{00000000-0005-0000-0000-0000A90D0000}"/>
    <cellStyle name="Comma 10 5 19 2" xfId="23317" xr:uid="{00000000-0005-0000-0000-0000195B0000}"/>
    <cellStyle name="Comma 10 5 19 2 2" xfId="27324" xr:uid="{00000000-0005-0000-0000-0000C06A0000}"/>
    <cellStyle name="Comma 10 5 19 2 3" xfId="29252" xr:uid="{00000000-0005-0000-0000-000048720000}"/>
    <cellStyle name="Comma 10 5 19 3" xfId="26361" xr:uid="{00000000-0005-0000-0000-0000FD660000}"/>
    <cellStyle name="Comma 10 5 19 4" xfId="28289" xr:uid="{00000000-0005-0000-0000-0000856E0000}"/>
    <cellStyle name="Comma 10 5 19 5" xfId="16458" xr:uid="{00000000-0005-0000-0000-00004E400000}"/>
    <cellStyle name="Comma 10 5 2" xfId="671" xr:uid="{00000000-0005-0000-0000-0000A3020000}"/>
    <cellStyle name="Comma 10 5 2 2" xfId="1941" xr:uid="{00000000-0005-0000-0000-000099070000}"/>
    <cellStyle name="Comma 10 5 2 2 2" xfId="3801" xr:uid="{00000000-0005-0000-0000-0000DD0E0000}"/>
    <cellStyle name="Comma 10 5 2 2 2 2" xfId="26893" xr:uid="{00000000-0005-0000-0000-000011690000}"/>
    <cellStyle name="Comma 10 5 2 2 2 3" xfId="28821" xr:uid="{00000000-0005-0000-0000-000099700000}"/>
    <cellStyle name="Comma 10 5 2 2 2 4" xfId="20787" xr:uid="{00000000-0005-0000-0000-000037510000}"/>
    <cellStyle name="Comma 10 5 2 2 3" xfId="25930" xr:uid="{00000000-0005-0000-0000-00004E650000}"/>
    <cellStyle name="Comma 10 5 2 2 4" xfId="27857" xr:uid="{00000000-0005-0000-0000-0000D56C0000}"/>
    <cellStyle name="Comma 10 5 2 2 5" xfId="8582" xr:uid="{00000000-0005-0000-0000-00008A210000}"/>
    <cellStyle name="Comma 10 5 2 3" xfId="3502" xr:uid="{00000000-0005-0000-0000-0000B20D0000}"/>
    <cellStyle name="Comma 10 5 2 3 2" xfId="23326" xr:uid="{00000000-0005-0000-0000-0000225B0000}"/>
    <cellStyle name="Comma 10 5 2 3 2 2" xfId="27333" xr:uid="{00000000-0005-0000-0000-0000C96A0000}"/>
    <cellStyle name="Comma 10 5 2 3 2 3" xfId="29261" xr:uid="{00000000-0005-0000-0000-000051720000}"/>
    <cellStyle name="Comma 10 5 2 3 3" xfId="26370" xr:uid="{00000000-0005-0000-0000-000006670000}"/>
    <cellStyle name="Comma 10 5 2 3 4" xfId="28298" xr:uid="{00000000-0005-0000-0000-00008E6E0000}"/>
    <cellStyle name="Comma 10 5 2 3 5" xfId="16467" xr:uid="{00000000-0005-0000-0000-000057400000}"/>
    <cellStyle name="Comma 10 5 2 4" xfId="19807" xr:uid="{00000000-0005-0000-0000-0000634D0000}"/>
    <cellStyle name="Comma 10 5 2 4 2" xfId="26665" xr:uid="{00000000-0005-0000-0000-00002D680000}"/>
    <cellStyle name="Comma 10 5 2 4 3" xfId="28593" xr:uid="{00000000-0005-0000-0000-0000B56F0000}"/>
    <cellStyle name="Comma 10 5 2 5" xfId="25702" xr:uid="{00000000-0005-0000-0000-00006A640000}"/>
    <cellStyle name="Comma 10 5 2 6" xfId="27629" xr:uid="{00000000-0005-0000-0000-0000F16B0000}"/>
    <cellStyle name="Comma 10 5 2 7" xfId="7540" xr:uid="{00000000-0005-0000-0000-0000781D0000}"/>
    <cellStyle name="Comma 10 5 20" xfId="19798" xr:uid="{00000000-0005-0000-0000-00005A4D0000}"/>
    <cellStyle name="Comma 10 5 20 2" xfId="26656" xr:uid="{00000000-0005-0000-0000-000024680000}"/>
    <cellStyle name="Comma 10 5 20 3" xfId="28584" xr:uid="{00000000-0005-0000-0000-0000AC6F0000}"/>
    <cellStyle name="Comma 10 5 21" xfId="25693" xr:uid="{00000000-0005-0000-0000-000061640000}"/>
    <cellStyle name="Comma 10 5 22" xfId="27620" xr:uid="{00000000-0005-0000-0000-0000E86B0000}"/>
    <cellStyle name="Comma 10 5 23" xfId="7531" xr:uid="{00000000-0005-0000-0000-00006F1D0000}"/>
    <cellStyle name="Comma 10 5 3" xfId="672" xr:uid="{00000000-0005-0000-0000-0000A4020000}"/>
    <cellStyle name="Comma 10 5 3 2" xfId="1942" xr:uid="{00000000-0005-0000-0000-00009A070000}"/>
    <cellStyle name="Comma 10 5 3 2 2" xfId="3802" xr:uid="{00000000-0005-0000-0000-0000DE0E0000}"/>
    <cellStyle name="Comma 10 5 3 2 2 2" xfId="26894" xr:uid="{00000000-0005-0000-0000-000012690000}"/>
    <cellStyle name="Comma 10 5 3 2 2 3" xfId="28822" xr:uid="{00000000-0005-0000-0000-00009A700000}"/>
    <cellStyle name="Comma 10 5 3 2 2 4" xfId="20788" xr:uid="{00000000-0005-0000-0000-000038510000}"/>
    <cellStyle name="Comma 10 5 3 2 3" xfId="25931" xr:uid="{00000000-0005-0000-0000-00004F650000}"/>
    <cellStyle name="Comma 10 5 3 2 4" xfId="27858" xr:uid="{00000000-0005-0000-0000-0000D66C0000}"/>
    <cellStyle name="Comma 10 5 3 2 5" xfId="8583" xr:uid="{00000000-0005-0000-0000-00008B210000}"/>
    <cellStyle name="Comma 10 5 3 3" xfId="3503" xr:uid="{00000000-0005-0000-0000-0000B30D0000}"/>
    <cellStyle name="Comma 10 5 3 3 2" xfId="23327" xr:uid="{00000000-0005-0000-0000-0000235B0000}"/>
    <cellStyle name="Comma 10 5 3 3 2 2" xfId="27334" xr:uid="{00000000-0005-0000-0000-0000CA6A0000}"/>
    <cellStyle name="Comma 10 5 3 3 2 3" xfId="29262" xr:uid="{00000000-0005-0000-0000-000052720000}"/>
    <cellStyle name="Comma 10 5 3 3 3" xfId="26371" xr:uid="{00000000-0005-0000-0000-000007670000}"/>
    <cellStyle name="Comma 10 5 3 3 4" xfId="28299" xr:uid="{00000000-0005-0000-0000-00008F6E0000}"/>
    <cellStyle name="Comma 10 5 3 3 5" xfId="16468" xr:uid="{00000000-0005-0000-0000-000058400000}"/>
    <cellStyle name="Comma 10 5 3 4" xfId="19808" xr:uid="{00000000-0005-0000-0000-0000644D0000}"/>
    <cellStyle name="Comma 10 5 3 4 2" xfId="26666" xr:uid="{00000000-0005-0000-0000-00002E680000}"/>
    <cellStyle name="Comma 10 5 3 4 3" xfId="28594" xr:uid="{00000000-0005-0000-0000-0000B66F0000}"/>
    <cellStyle name="Comma 10 5 3 5" xfId="25703" xr:uid="{00000000-0005-0000-0000-00006B640000}"/>
    <cellStyle name="Comma 10 5 3 6" xfId="27630" xr:uid="{00000000-0005-0000-0000-0000F26B0000}"/>
    <cellStyle name="Comma 10 5 3 7" xfId="7541" xr:uid="{00000000-0005-0000-0000-0000791D0000}"/>
    <cellStyle name="Comma 10 5 4" xfId="673" xr:uid="{00000000-0005-0000-0000-0000A5020000}"/>
    <cellStyle name="Comma 10 5 4 2" xfId="1943" xr:uid="{00000000-0005-0000-0000-00009B070000}"/>
    <cellStyle name="Comma 10 5 4 2 2" xfId="3803" xr:uid="{00000000-0005-0000-0000-0000DF0E0000}"/>
    <cellStyle name="Comma 10 5 4 2 2 2" xfId="26895" xr:uid="{00000000-0005-0000-0000-000013690000}"/>
    <cellStyle name="Comma 10 5 4 2 2 3" xfId="28823" xr:uid="{00000000-0005-0000-0000-00009B700000}"/>
    <cellStyle name="Comma 10 5 4 2 2 4" xfId="20789" xr:uid="{00000000-0005-0000-0000-000039510000}"/>
    <cellStyle name="Comma 10 5 4 2 3" xfId="25932" xr:uid="{00000000-0005-0000-0000-000050650000}"/>
    <cellStyle name="Comma 10 5 4 2 4" xfId="27859" xr:uid="{00000000-0005-0000-0000-0000D76C0000}"/>
    <cellStyle name="Comma 10 5 4 2 5" xfId="8584" xr:uid="{00000000-0005-0000-0000-00008C210000}"/>
    <cellStyle name="Comma 10 5 4 3" xfId="3504" xr:uid="{00000000-0005-0000-0000-0000B40D0000}"/>
    <cellStyle name="Comma 10 5 4 3 2" xfId="23328" xr:uid="{00000000-0005-0000-0000-0000245B0000}"/>
    <cellStyle name="Comma 10 5 4 3 2 2" xfId="27335" xr:uid="{00000000-0005-0000-0000-0000CB6A0000}"/>
    <cellStyle name="Comma 10 5 4 3 2 3" xfId="29263" xr:uid="{00000000-0005-0000-0000-000053720000}"/>
    <cellStyle name="Comma 10 5 4 3 3" xfId="26372" xr:uid="{00000000-0005-0000-0000-000008670000}"/>
    <cellStyle name="Comma 10 5 4 3 4" xfId="28300" xr:uid="{00000000-0005-0000-0000-0000906E0000}"/>
    <cellStyle name="Comma 10 5 4 3 5" xfId="16469" xr:uid="{00000000-0005-0000-0000-000059400000}"/>
    <cellStyle name="Comma 10 5 4 4" xfId="19809" xr:uid="{00000000-0005-0000-0000-0000654D0000}"/>
    <cellStyle name="Comma 10 5 4 4 2" xfId="26667" xr:uid="{00000000-0005-0000-0000-00002F680000}"/>
    <cellStyle name="Comma 10 5 4 4 3" xfId="28595" xr:uid="{00000000-0005-0000-0000-0000B76F0000}"/>
    <cellStyle name="Comma 10 5 4 5" xfId="25704" xr:uid="{00000000-0005-0000-0000-00006C640000}"/>
    <cellStyle name="Comma 10 5 4 6" xfId="27631" xr:uid="{00000000-0005-0000-0000-0000F36B0000}"/>
    <cellStyle name="Comma 10 5 4 7" xfId="7542" xr:uid="{00000000-0005-0000-0000-00007A1D0000}"/>
    <cellStyle name="Comma 10 5 5" xfId="674" xr:uid="{00000000-0005-0000-0000-0000A6020000}"/>
    <cellStyle name="Comma 10 5 5 2" xfId="1944" xr:uid="{00000000-0005-0000-0000-00009C070000}"/>
    <cellStyle name="Comma 10 5 5 2 2" xfId="3804" xr:uid="{00000000-0005-0000-0000-0000E00E0000}"/>
    <cellStyle name="Comma 10 5 5 2 2 2" xfId="26896" xr:uid="{00000000-0005-0000-0000-000014690000}"/>
    <cellStyle name="Comma 10 5 5 2 2 3" xfId="28824" xr:uid="{00000000-0005-0000-0000-00009C700000}"/>
    <cellStyle name="Comma 10 5 5 2 2 4" xfId="20790" xr:uid="{00000000-0005-0000-0000-00003A510000}"/>
    <cellStyle name="Comma 10 5 5 2 3" xfId="25933" xr:uid="{00000000-0005-0000-0000-000051650000}"/>
    <cellStyle name="Comma 10 5 5 2 4" xfId="27860" xr:uid="{00000000-0005-0000-0000-0000D86C0000}"/>
    <cellStyle name="Comma 10 5 5 2 5" xfId="8585" xr:uid="{00000000-0005-0000-0000-00008D210000}"/>
    <cellStyle name="Comma 10 5 5 3" xfId="3505" xr:uid="{00000000-0005-0000-0000-0000B50D0000}"/>
    <cellStyle name="Comma 10 5 5 3 2" xfId="23329" xr:uid="{00000000-0005-0000-0000-0000255B0000}"/>
    <cellStyle name="Comma 10 5 5 3 2 2" xfId="27336" xr:uid="{00000000-0005-0000-0000-0000CC6A0000}"/>
    <cellStyle name="Comma 10 5 5 3 2 3" xfId="29264" xr:uid="{00000000-0005-0000-0000-000054720000}"/>
    <cellStyle name="Comma 10 5 5 3 3" xfId="26373" xr:uid="{00000000-0005-0000-0000-000009670000}"/>
    <cellStyle name="Comma 10 5 5 3 4" xfId="28301" xr:uid="{00000000-0005-0000-0000-0000916E0000}"/>
    <cellStyle name="Comma 10 5 5 3 5" xfId="16470" xr:uid="{00000000-0005-0000-0000-00005A400000}"/>
    <cellStyle name="Comma 10 5 5 4" xfId="19810" xr:uid="{00000000-0005-0000-0000-0000664D0000}"/>
    <cellStyle name="Comma 10 5 5 4 2" xfId="26668" xr:uid="{00000000-0005-0000-0000-000030680000}"/>
    <cellStyle name="Comma 10 5 5 4 3" xfId="28596" xr:uid="{00000000-0005-0000-0000-0000B86F0000}"/>
    <cellStyle name="Comma 10 5 5 5" xfId="25705" xr:uid="{00000000-0005-0000-0000-00006D640000}"/>
    <cellStyle name="Comma 10 5 5 6" xfId="27632" xr:uid="{00000000-0005-0000-0000-0000F46B0000}"/>
    <cellStyle name="Comma 10 5 5 7" xfId="7543" xr:uid="{00000000-0005-0000-0000-00007B1D0000}"/>
    <cellStyle name="Comma 10 5 6" xfId="675" xr:uid="{00000000-0005-0000-0000-0000A7020000}"/>
    <cellStyle name="Comma 10 5 6 2" xfId="1945" xr:uid="{00000000-0005-0000-0000-00009D070000}"/>
    <cellStyle name="Comma 10 5 6 2 2" xfId="3805" xr:uid="{00000000-0005-0000-0000-0000E10E0000}"/>
    <cellStyle name="Comma 10 5 6 2 2 2" xfId="26897" xr:uid="{00000000-0005-0000-0000-000015690000}"/>
    <cellStyle name="Comma 10 5 6 2 2 3" xfId="28825" xr:uid="{00000000-0005-0000-0000-00009D700000}"/>
    <cellStyle name="Comma 10 5 6 2 2 4" xfId="20791" xr:uid="{00000000-0005-0000-0000-00003B510000}"/>
    <cellStyle name="Comma 10 5 6 2 3" xfId="25934" xr:uid="{00000000-0005-0000-0000-000052650000}"/>
    <cellStyle name="Comma 10 5 6 2 4" xfId="27861" xr:uid="{00000000-0005-0000-0000-0000D96C0000}"/>
    <cellStyle name="Comma 10 5 6 2 5" xfId="8586" xr:uid="{00000000-0005-0000-0000-00008E210000}"/>
    <cellStyle name="Comma 10 5 6 3" xfId="3506" xr:uid="{00000000-0005-0000-0000-0000B60D0000}"/>
    <cellStyle name="Comma 10 5 6 3 2" xfId="23330" xr:uid="{00000000-0005-0000-0000-0000265B0000}"/>
    <cellStyle name="Comma 10 5 6 3 2 2" xfId="27337" xr:uid="{00000000-0005-0000-0000-0000CD6A0000}"/>
    <cellStyle name="Comma 10 5 6 3 2 3" xfId="29265" xr:uid="{00000000-0005-0000-0000-000055720000}"/>
    <cellStyle name="Comma 10 5 6 3 3" xfId="26374" xr:uid="{00000000-0005-0000-0000-00000A670000}"/>
    <cellStyle name="Comma 10 5 6 3 4" xfId="28302" xr:uid="{00000000-0005-0000-0000-0000926E0000}"/>
    <cellStyle name="Comma 10 5 6 3 5" xfId="16471" xr:uid="{00000000-0005-0000-0000-00005B400000}"/>
    <cellStyle name="Comma 10 5 6 4" xfId="19811" xr:uid="{00000000-0005-0000-0000-0000674D0000}"/>
    <cellStyle name="Comma 10 5 6 4 2" xfId="26669" xr:uid="{00000000-0005-0000-0000-000031680000}"/>
    <cellStyle name="Comma 10 5 6 4 3" xfId="28597" xr:uid="{00000000-0005-0000-0000-0000B96F0000}"/>
    <cellStyle name="Comma 10 5 6 5" xfId="25706" xr:uid="{00000000-0005-0000-0000-00006E640000}"/>
    <cellStyle name="Comma 10 5 6 6" xfId="27633" xr:uid="{00000000-0005-0000-0000-0000F56B0000}"/>
    <cellStyle name="Comma 10 5 6 7" xfId="7544" xr:uid="{00000000-0005-0000-0000-00007C1D0000}"/>
    <cellStyle name="Comma 10 5 7" xfId="676" xr:uid="{00000000-0005-0000-0000-0000A8020000}"/>
    <cellStyle name="Comma 10 5 7 2" xfId="1946" xr:uid="{00000000-0005-0000-0000-00009E070000}"/>
    <cellStyle name="Comma 10 5 7 2 2" xfId="3806" xr:uid="{00000000-0005-0000-0000-0000E20E0000}"/>
    <cellStyle name="Comma 10 5 7 2 2 2" xfId="26898" xr:uid="{00000000-0005-0000-0000-000016690000}"/>
    <cellStyle name="Comma 10 5 7 2 2 3" xfId="28826" xr:uid="{00000000-0005-0000-0000-00009E700000}"/>
    <cellStyle name="Comma 10 5 7 2 2 4" xfId="20792" xr:uid="{00000000-0005-0000-0000-00003C510000}"/>
    <cellStyle name="Comma 10 5 7 2 3" xfId="25935" xr:uid="{00000000-0005-0000-0000-000053650000}"/>
    <cellStyle name="Comma 10 5 7 2 4" xfId="27862" xr:uid="{00000000-0005-0000-0000-0000DA6C0000}"/>
    <cellStyle name="Comma 10 5 7 2 5" xfId="8587" xr:uid="{00000000-0005-0000-0000-00008F210000}"/>
    <cellStyle name="Comma 10 5 7 3" xfId="3507" xr:uid="{00000000-0005-0000-0000-0000B70D0000}"/>
    <cellStyle name="Comma 10 5 7 3 2" xfId="23331" xr:uid="{00000000-0005-0000-0000-0000275B0000}"/>
    <cellStyle name="Comma 10 5 7 3 2 2" xfId="27338" xr:uid="{00000000-0005-0000-0000-0000CE6A0000}"/>
    <cellStyle name="Comma 10 5 7 3 2 3" xfId="29266" xr:uid="{00000000-0005-0000-0000-000056720000}"/>
    <cellStyle name="Comma 10 5 7 3 3" xfId="26375" xr:uid="{00000000-0005-0000-0000-00000B670000}"/>
    <cellStyle name="Comma 10 5 7 3 4" xfId="28303" xr:uid="{00000000-0005-0000-0000-0000936E0000}"/>
    <cellStyle name="Comma 10 5 7 3 5" xfId="16472" xr:uid="{00000000-0005-0000-0000-00005C400000}"/>
    <cellStyle name="Comma 10 5 7 4" xfId="19812" xr:uid="{00000000-0005-0000-0000-0000684D0000}"/>
    <cellStyle name="Comma 10 5 7 4 2" xfId="26670" xr:uid="{00000000-0005-0000-0000-000032680000}"/>
    <cellStyle name="Comma 10 5 7 4 3" xfId="28598" xr:uid="{00000000-0005-0000-0000-0000BA6F0000}"/>
    <cellStyle name="Comma 10 5 7 5" xfId="25707" xr:uid="{00000000-0005-0000-0000-00006F640000}"/>
    <cellStyle name="Comma 10 5 7 6" xfId="27634" xr:uid="{00000000-0005-0000-0000-0000F66B0000}"/>
    <cellStyle name="Comma 10 5 7 7" xfId="7545" xr:uid="{00000000-0005-0000-0000-00007D1D0000}"/>
    <cellStyle name="Comma 10 5 8" xfId="677" xr:uid="{00000000-0005-0000-0000-0000A9020000}"/>
    <cellStyle name="Comma 10 5 8 2" xfId="1947" xr:uid="{00000000-0005-0000-0000-00009F070000}"/>
    <cellStyle name="Comma 10 5 8 2 2" xfId="3807" xr:uid="{00000000-0005-0000-0000-0000E30E0000}"/>
    <cellStyle name="Comma 10 5 8 2 2 2" xfId="26899" xr:uid="{00000000-0005-0000-0000-000017690000}"/>
    <cellStyle name="Comma 10 5 8 2 2 3" xfId="28827" xr:uid="{00000000-0005-0000-0000-00009F700000}"/>
    <cellStyle name="Comma 10 5 8 2 2 4" xfId="20793" xr:uid="{00000000-0005-0000-0000-00003D510000}"/>
    <cellStyle name="Comma 10 5 8 2 3" xfId="25936" xr:uid="{00000000-0005-0000-0000-000054650000}"/>
    <cellStyle name="Comma 10 5 8 2 4" xfId="27863" xr:uid="{00000000-0005-0000-0000-0000DB6C0000}"/>
    <cellStyle name="Comma 10 5 8 2 5" xfId="8588" xr:uid="{00000000-0005-0000-0000-000090210000}"/>
    <cellStyle name="Comma 10 5 8 3" xfId="3508" xr:uid="{00000000-0005-0000-0000-0000B80D0000}"/>
    <cellStyle name="Comma 10 5 8 3 2" xfId="23332" xr:uid="{00000000-0005-0000-0000-0000285B0000}"/>
    <cellStyle name="Comma 10 5 8 3 2 2" xfId="27339" xr:uid="{00000000-0005-0000-0000-0000CF6A0000}"/>
    <cellStyle name="Comma 10 5 8 3 2 3" xfId="29267" xr:uid="{00000000-0005-0000-0000-000057720000}"/>
    <cellStyle name="Comma 10 5 8 3 3" xfId="26376" xr:uid="{00000000-0005-0000-0000-00000C670000}"/>
    <cellStyle name="Comma 10 5 8 3 4" xfId="28304" xr:uid="{00000000-0005-0000-0000-0000946E0000}"/>
    <cellStyle name="Comma 10 5 8 3 5" xfId="16473" xr:uid="{00000000-0005-0000-0000-00005D400000}"/>
    <cellStyle name="Comma 10 5 8 4" xfId="19813" xr:uid="{00000000-0005-0000-0000-0000694D0000}"/>
    <cellStyle name="Comma 10 5 8 4 2" xfId="26671" xr:uid="{00000000-0005-0000-0000-000033680000}"/>
    <cellStyle name="Comma 10 5 8 4 3" xfId="28599" xr:uid="{00000000-0005-0000-0000-0000BB6F0000}"/>
    <cellStyle name="Comma 10 5 8 5" xfId="25708" xr:uid="{00000000-0005-0000-0000-000070640000}"/>
    <cellStyle name="Comma 10 5 8 6" xfId="27635" xr:uid="{00000000-0005-0000-0000-0000F76B0000}"/>
    <cellStyle name="Comma 10 5 8 7" xfId="7546" xr:uid="{00000000-0005-0000-0000-00007E1D0000}"/>
    <cellStyle name="Comma 10 5 9" xfId="678" xr:uid="{00000000-0005-0000-0000-0000AA020000}"/>
    <cellStyle name="Comma 10 5 9 2" xfId="1948" xr:uid="{00000000-0005-0000-0000-0000A0070000}"/>
    <cellStyle name="Comma 10 5 9 2 2" xfId="3808" xr:uid="{00000000-0005-0000-0000-0000E40E0000}"/>
    <cellStyle name="Comma 10 5 9 2 2 2" xfId="26900" xr:uid="{00000000-0005-0000-0000-000018690000}"/>
    <cellStyle name="Comma 10 5 9 2 2 3" xfId="28828" xr:uid="{00000000-0005-0000-0000-0000A0700000}"/>
    <cellStyle name="Comma 10 5 9 2 2 4" xfId="20794" xr:uid="{00000000-0005-0000-0000-00003E510000}"/>
    <cellStyle name="Comma 10 5 9 2 3" xfId="25937" xr:uid="{00000000-0005-0000-0000-000055650000}"/>
    <cellStyle name="Comma 10 5 9 2 4" xfId="27864" xr:uid="{00000000-0005-0000-0000-0000DC6C0000}"/>
    <cellStyle name="Comma 10 5 9 2 5" xfId="8589" xr:uid="{00000000-0005-0000-0000-000091210000}"/>
    <cellStyle name="Comma 10 5 9 3" xfId="3509" xr:uid="{00000000-0005-0000-0000-0000B90D0000}"/>
    <cellStyle name="Comma 10 5 9 3 2" xfId="23333" xr:uid="{00000000-0005-0000-0000-0000295B0000}"/>
    <cellStyle name="Comma 10 5 9 3 2 2" xfId="27340" xr:uid="{00000000-0005-0000-0000-0000D06A0000}"/>
    <cellStyle name="Comma 10 5 9 3 2 3" xfId="29268" xr:uid="{00000000-0005-0000-0000-000058720000}"/>
    <cellStyle name="Comma 10 5 9 3 3" xfId="26377" xr:uid="{00000000-0005-0000-0000-00000D670000}"/>
    <cellStyle name="Comma 10 5 9 3 4" xfId="28305" xr:uid="{00000000-0005-0000-0000-0000956E0000}"/>
    <cellStyle name="Comma 10 5 9 3 5" xfId="16474" xr:uid="{00000000-0005-0000-0000-00005E400000}"/>
    <cellStyle name="Comma 10 5 9 4" xfId="19814" xr:uid="{00000000-0005-0000-0000-00006A4D0000}"/>
    <cellStyle name="Comma 10 5 9 4 2" xfId="26672" xr:uid="{00000000-0005-0000-0000-000034680000}"/>
    <cellStyle name="Comma 10 5 9 4 3" xfId="28600" xr:uid="{00000000-0005-0000-0000-0000BC6F0000}"/>
    <cellStyle name="Comma 10 5 9 5" xfId="25709" xr:uid="{00000000-0005-0000-0000-000071640000}"/>
    <cellStyle name="Comma 10 5 9 6" xfId="27636" xr:uid="{00000000-0005-0000-0000-0000F86B0000}"/>
    <cellStyle name="Comma 10 5 9 7" xfId="7547" xr:uid="{00000000-0005-0000-0000-00007F1D0000}"/>
    <cellStyle name="Comma 10 6" xfId="679" xr:uid="{00000000-0005-0000-0000-0000AB020000}"/>
    <cellStyle name="Comma 10 6 10" xfId="680" xr:uid="{00000000-0005-0000-0000-0000AC020000}"/>
    <cellStyle name="Comma 10 6 10 2" xfId="1950" xr:uid="{00000000-0005-0000-0000-0000A2070000}"/>
    <cellStyle name="Comma 10 6 10 2 2" xfId="3810" xr:uid="{00000000-0005-0000-0000-0000E60E0000}"/>
    <cellStyle name="Comma 10 6 10 2 2 2" xfId="26902" xr:uid="{00000000-0005-0000-0000-00001A690000}"/>
    <cellStyle name="Comma 10 6 10 2 2 3" xfId="28830" xr:uid="{00000000-0005-0000-0000-0000A2700000}"/>
    <cellStyle name="Comma 10 6 10 2 2 4" xfId="20796" xr:uid="{00000000-0005-0000-0000-000040510000}"/>
    <cellStyle name="Comma 10 6 10 2 3" xfId="25939" xr:uid="{00000000-0005-0000-0000-000057650000}"/>
    <cellStyle name="Comma 10 6 10 2 4" xfId="27866" xr:uid="{00000000-0005-0000-0000-0000DE6C0000}"/>
    <cellStyle name="Comma 10 6 10 2 5" xfId="8591" xr:uid="{00000000-0005-0000-0000-000093210000}"/>
    <cellStyle name="Comma 10 6 10 3" xfId="3511" xr:uid="{00000000-0005-0000-0000-0000BB0D0000}"/>
    <cellStyle name="Comma 10 6 10 3 2" xfId="23335" xr:uid="{00000000-0005-0000-0000-00002B5B0000}"/>
    <cellStyle name="Comma 10 6 10 3 2 2" xfId="27342" xr:uid="{00000000-0005-0000-0000-0000D26A0000}"/>
    <cellStyle name="Comma 10 6 10 3 2 3" xfId="29270" xr:uid="{00000000-0005-0000-0000-00005A720000}"/>
    <cellStyle name="Comma 10 6 10 3 3" xfId="26379" xr:uid="{00000000-0005-0000-0000-00000F670000}"/>
    <cellStyle name="Comma 10 6 10 3 4" xfId="28307" xr:uid="{00000000-0005-0000-0000-0000976E0000}"/>
    <cellStyle name="Comma 10 6 10 3 5" xfId="16476" xr:uid="{00000000-0005-0000-0000-000060400000}"/>
    <cellStyle name="Comma 10 6 10 4" xfId="19816" xr:uid="{00000000-0005-0000-0000-00006C4D0000}"/>
    <cellStyle name="Comma 10 6 10 4 2" xfId="26674" xr:uid="{00000000-0005-0000-0000-000036680000}"/>
    <cellStyle name="Comma 10 6 10 4 3" xfId="28602" xr:uid="{00000000-0005-0000-0000-0000BE6F0000}"/>
    <cellStyle name="Comma 10 6 10 5" xfId="25711" xr:uid="{00000000-0005-0000-0000-000073640000}"/>
    <cellStyle name="Comma 10 6 10 6" xfId="27638" xr:uid="{00000000-0005-0000-0000-0000FA6B0000}"/>
    <cellStyle name="Comma 10 6 10 7" xfId="7549" xr:uid="{00000000-0005-0000-0000-0000811D0000}"/>
    <cellStyle name="Comma 10 6 11" xfId="681" xr:uid="{00000000-0005-0000-0000-0000AD020000}"/>
    <cellStyle name="Comma 10 6 11 2" xfId="1951" xr:uid="{00000000-0005-0000-0000-0000A3070000}"/>
    <cellStyle name="Comma 10 6 11 2 2" xfId="3811" xr:uid="{00000000-0005-0000-0000-0000E70E0000}"/>
    <cellStyle name="Comma 10 6 11 2 2 2" xfId="26903" xr:uid="{00000000-0005-0000-0000-00001B690000}"/>
    <cellStyle name="Comma 10 6 11 2 2 3" xfId="28831" xr:uid="{00000000-0005-0000-0000-0000A3700000}"/>
    <cellStyle name="Comma 10 6 11 2 2 4" xfId="20797" xr:uid="{00000000-0005-0000-0000-000041510000}"/>
    <cellStyle name="Comma 10 6 11 2 3" xfId="25940" xr:uid="{00000000-0005-0000-0000-000058650000}"/>
    <cellStyle name="Comma 10 6 11 2 4" xfId="27867" xr:uid="{00000000-0005-0000-0000-0000DF6C0000}"/>
    <cellStyle name="Comma 10 6 11 2 5" xfId="8592" xr:uid="{00000000-0005-0000-0000-000094210000}"/>
    <cellStyle name="Comma 10 6 11 3" xfId="3512" xr:uid="{00000000-0005-0000-0000-0000BC0D0000}"/>
    <cellStyle name="Comma 10 6 11 3 2" xfId="23336" xr:uid="{00000000-0005-0000-0000-00002C5B0000}"/>
    <cellStyle name="Comma 10 6 11 3 2 2" xfId="27343" xr:uid="{00000000-0005-0000-0000-0000D36A0000}"/>
    <cellStyle name="Comma 10 6 11 3 2 3" xfId="29271" xr:uid="{00000000-0005-0000-0000-00005B720000}"/>
    <cellStyle name="Comma 10 6 11 3 3" xfId="26380" xr:uid="{00000000-0005-0000-0000-000010670000}"/>
    <cellStyle name="Comma 10 6 11 3 4" xfId="28308" xr:uid="{00000000-0005-0000-0000-0000986E0000}"/>
    <cellStyle name="Comma 10 6 11 3 5" xfId="16477" xr:uid="{00000000-0005-0000-0000-000061400000}"/>
    <cellStyle name="Comma 10 6 11 4" xfId="19817" xr:uid="{00000000-0005-0000-0000-00006D4D0000}"/>
    <cellStyle name="Comma 10 6 11 4 2" xfId="26675" xr:uid="{00000000-0005-0000-0000-000037680000}"/>
    <cellStyle name="Comma 10 6 11 4 3" xfId="28603" xr:uid="{00000000-0005-0000-0000-0000BF6F0000}"/>
    <cellStyle name="Comma 10 6 11 5" xfId="25712" xr:uid="{00000000-0005-0000-0000-000074640000}"/>
    <cellStyle name="Comma 10 6 11 6" xfId="27639" xr:uid="{00000000-0005-0000-0000-0000FB6B0000}"/>
    <cellStyle name="Comma 10 6 11 7" xfId="7550" xr:uid="{00000000-0005-0000-0000-0000821D0000}"/>
    <cellStyle name="Comma 10 6 12" xfId="682" xr:uid="{00000000-0005-0000-0000-0000AE020000}"/>
    <cellStyle name="Comma 10 6 12 2" xfId="1952" xr:uid="{00000000-0005-0000-0000-0000A4070000}"/>
    <cellStyle name="Comma 10 6 12 2 2" xfId="3812" xr:uid="{00000000-0005-0000-0000-0000E80E0000}"/>
    <cellStyle name="Comma 10 6 12 2 2 2" xfId="26904" xr:uid="{00000000-0005-0000-0000-00001C690000}"/>
    <cellStyle name="Comma 10 6 12 2 2 3" xfId="28832" xr:uid="{00000000-0005-0000-0000-0000A4700000}"/>
    <cellStyle name="Comma 10 6 12 2 2 4" xfId="20798" xr:uid="{00000000-0005-0000-0000-000042510000}"/>
    <cellStyle name="Comma 10 6 12 2 3" xfId="25941" xr:uid="{00000000-0005-0000-0000-000059650000}"/>
    <cellStyle name="Comma 10 6 12 2 4" xfId="27868" xr:uid="{00000000-0005-0000-0000-0000E06C0000}"/>
    <cellStyle name="Comma 10 6 12 2 5" xfId="8593" xr:uid="{00000000-0005-0000-0000-000095210000}"/>
    <cellStyle name="Comma 10 6 12 3" xfId="3513" xr:uid="{00000000-0005-0000-0000-0000BD0D0000}"/>
    <cellStyle name="Comma 10 6 12 3 2" xfId="23337" xr:uid="{00000000-0005-0000-0000-00002D5B0000}"/>
    <cellStyle name="Comma 10 6 12 3 2 2" xfId="27344" xr:uid="{00000000-0005-0000-0000-0000D46A0000}"/>
    <cellStyle name="Comma 10 6 12 3 2 3" xfId="29272" xr:uid="{00000000-0005-0000-0000-00005C720000}"/>
    <cellStyle name="Comma 10 6 12 3 3" xfId="26381" xr:uid="{00000000-0005-0000-0000-000011670000}"/>
    <cellStyle name="Comma 10 6 12 3 4" xfId="28309" xr:uid="{00000000-0005-0000-0000-0000996E0000}"/>
    <cellStyle name="Comma 10 6 12 3 5" xfId="16478" xr:uid="{00000000-0005-0000-0000-000062400000}"/>
    <cellStyle name="Comma 10 6 12 4" xfId="19818" xr:uid="{00000000-0005-0000-0000-00006E4D0000}"/>
    <cellStyle name="Comma 10 6 12 4 2" xfId="26676" xr:uid="{00000000-0005-0000-0000-000038680000}"/>
    <cellStyle name="Comma 10 6 12 4 3" xfId="28604" xr:uid="{00000000-0005-0000-0000-0000C06F0000}"/>
    <cellStyle name="Comma 10 6 12 5" xfId="25713" xr:uid="{00000000-0005-0000-0000-000075640000}"/>
    <cellStyle name="Comma 10 6 12 6" xfId="27640" xr:uid="{00000000-0005-0000-0000-0000FC6B0000}"/>
    <cellStyle name="Comma 10 6 12 7" xfId="7551" xr:uid="{00000000-0005-0000-0000-0000831D0000}"/>
    <cellStyle name="Comma 10 6 13" xfId="683" xr:uid="{00000000-0005-0000-0000-0000AF020000}"/>
    <cellStyle name="Comma 10 6 13 2" xfId="1953" xr:uid="{00000000-0005-0000-0000-0000A5070000}"/>
    <cellStyle name="Comma 10 6 13 2 2" xfId="3813" xr:uid="{00000000-0005-0000-0000-0000E90E0000}"/>
    <cellStyle name="Comma 10 6 13 2 2 2" xfId="26905" xr:uid="{00000000-0005-0000-0000-00001D690000}"/>
    <cellStyle name="Comma 10 6 13 2 2 3" xfId="28833" xr:uid="{00000000-0005-0000-0000-0000A5700000}"/>
    <cellStyle name="Comma 10 6 13 2 2 4" xfId="20799" xr:uid="{00000000-0005-0000-0000-000043510000}"/>
    <cellStyle name="Comma 10 6 13 2 3" xfId="25942" xr:uid="{00000000-0005-0000-0000-00005A650000}"/>
    <cellStyle name="Comma 10 6 13 2 4" xfId="27869" xr:uid="{00000000-0005-0000-0000-0000E16C0000}"/>
    <cellStyle name="Comma 10 6 13 2 5" xfId="8594" xr:uid="{00000000-0005-0000-0000-000096210000}"/>
    <cellStyle name="Comma 10 6 13 3" xfId="3514" xr:uid="{00000000-0005-0000-0000-0000BE0D0000}"/>
    <cellStyle name="Comma 10 6 13 3 2" xfId="23338" xr:uid="{00000000-0005-0000-0000-00002E5B0000}"/>
    <cellStyle name="Comma 10 6 13 3 2 2" xfId="27345" xr:uid="{00000000-0005-0000-0000-0000D56A0000}"/>
    <cellStyle name="Comma 10 6 13 3 2 3" xfId="29273" xr:uid="{00000000-0005-0000-0000-00005D720000}"/>
    <cellStyle name="Comma 10 6 13 3 3" xfId="26382" xr:uid="{00000000-0005-0000-0000-000012670000}"/>
    <cellStyle name="Comma 10 6 13 3 4" xfId="28310" xr:uid="{00000000-0005-0000-0000-00009A6E0000}"/>
    <cellStyle name="Comma 10 6 13 3 5" xfId="16479" xr:uid="{00000000-0005-0000-0000-000063400000}"/>
    <cellStyle name="Comma 10 6 13 4" xfId="19819" xr:uid="{00000000-0005-0000-0000-00006F4D0000}"/>
    <cellStyle name="Comma 10 6 13 4 2" xfId="26677" xr:uid="{00000000-0005-0000-0000-000039680000}"/>
    <cellStyle name="Comma 10 6 13 4 3" xfId="28605" xr:uid="{00000000-0005-0000-0000-0000C16F0000}"/>
    <cellStyle name="Comma 10 6 13 5" xfId="25714" xr:uid="{00000000-0005-0000-0000-000076640000}"/>
    <cellStyle name="Comma 10 6 13 6" xfId="27641" xr:uid="{00000000-0005-0000-0000-0000FD6B0000}"/>
    <cellStyle name="Comma 10 6 13 7" xfId="7552" xr:uid="{00000000-0005-0000-0000-0000841D0000}"/>
    <cellStyle name="Comma 10 6 14" xfId="684" xr:uid="{00000000-0005-0000-0000-0000B0020000}"/>
    <cellStyle name="Comma 10 6 14 2" xfId="1954" xr:uid="{00000000-0005-0000-0000-0000A6070000}"/>
    <cellStyle name="Comma 10 6 14 2 2" xfId="3814" xr:uid="{00000000-0005-0000-0000-0000EA0E0000}"/>
    <cellStyle name="Comma 10 6 14 2 2 2" xfId="26906" xr:uid="{00000000-0005-0000-0000-00001E690000}"/>
    <cellStyle name="Comma 10 6 14 2 2 3" xfId="28834" xr:uid="{00000000-0005-0000-0000-0000A6700000}"/>
    <cellStyle name="Comma 10 6 14 2 2 4" xfId="20800" xr:uid="{00000000-0005-0000-0000-000044510000}"/>
    <cellStyle name="Comma 10 6 14 2 3" xfId="25943" xr:uid="{00000000-0005-0000-0000-00005B650000}"/>
    <cellStyle name="Comma 10 6 14 2 4" xfId="27870" xr:uid="{00000000-0005-0000-0000-0000E26C0000}"/>
    <cellStyle name="Comma 10 6 14 2 5" xfId="8595" xr:uid="{00000000-0005-0000-0000-000097210000}"/>
    <cellStyle name="Comma 10 6 14 3" xfId="3515" xr:uid="{00000000-0005-0000-0000-0000BF0D0000}"/>
    <cellStyle name="Comma 10 6 14 3 2" xfId="23339" xr:uid="{00000000-0005-0000-0000-00002F5B0000}"/>
    <cellStyle name="Comma 10 6 14 3 2 2" xfId="27346" xr:uid="{00000000-0005-0000-0000-0000D66A0000}"/>
    <cellStyle name="Comma 10 6 14 3 2 3" xfId="29274" xr:uid="{00000000-0005-0000-0000-00005E720000}"/>
    <cellStyle name="Comma 10 6 14 3 3" xfId="26383" xr:uid="{00000000-0005-0000-0000-000013670000}"/>
    <cellStyle name="Comma 10 6 14 3 4" xfId="28311" xr:uid="{00000000-0005-0000-0000-00009B6E0000}"/>
    <cellStyle name="Comma 10 6 14 3 5" xfId="16480" xr:uid="{00000000-0005-0000-0000-000064400000}"/>
    <cellStyle name="Comma 10 6 14 4" xfId="19820" xr:uid="{00000000-0005-0000-0000-0000704D0000}"/>
    <cellStyle name="Comma 10 6 14 4 2" xfId="26678" xr:uid="{00000000-0005-0000-0000-00003A680000}"/>
    <cellStyle name="Comma 10 6 14 4 3" xfId="28606" xr:uid="{00000000-0005-0000-0000-0000C26F0000}"/>
    <cellStyle name="Comma 10 6 14 5" xfId="25715" xr:uid="{00000000-0005-0000-0000-000077640000}"/>
    <cellStyle name="Comma 10 6 14 6" xfId="27642" xr:uid="{00000000-0005-0000-0000-0000FE6B0000}"/>
    <cellStyle name="Comma 10 6 14 7" xfId="7553" xr:uid="{00000000-0005-0000-0000-0000851D0000}"/>
    <cellStyle name="Comma 10 6 15" xfId="685" xr:uid="{00000000-0005-0000-0000-0000B1020000}"/>
    <cellStyle name="Comma 10 6 15 2" xfId="1955" xr:uid="{00000000-0005-0000-0000-0000A7070000}"/>
    <cellStyle name="Comma 10 6 15 2 2" xfId="3815" xr:uid="{00000000-0005-0000-0000-0000EB0E0000}"/>
    <cellStyle name="Comma 10 6 15 2 2 2" xfId="26907" xr:uid="{00000000-0005-0000-0000-00001F690000}"/>
    <cellStyle name="Comma 10 6 15 2 2 3" xfId="28835" xr:uid="{00000000-0005-0000-0000-0000A7700000}"/>
    <cellStyle name="Comma 10 6 15 2 2 4" xfId="20801" xr:uid="{00000000-0005-0000-0000-000045510000}"/>
    <cellStyle name="Comma 10 6 15 2 3" xfId="25944" xr:uid="{00000000-0005-0000-0000-00005C650000}"/>
    <cellStyle name="Comma 10 6 15 2 4" xfId="27871" xr:uid="{00000000-0005-0000-0000-0000E36C0000}"/>
    <cellStyle name="Comma 10 6 15 2 5" xfId="8596" xr:uid="{00000000-0005-0000-0000-000098210000}"/>
    <cellStyle name="Comma 10 6 15 3" xfId="3516" xr:uid="{00000000-0005-0000-0000-0000C00D0000}"/>
    <cellStyle name="Comma 10 6 15 3 2" xfId="23340" xr:uid="{00000000-0005-0000-0000-0000305B0000}"/>
    <cellStyle name="Comma 10 6 15 3 2 2" xfId="27347" xr:uid="{00000000-0005-0000-0000-0000D76A0000}"/>
    <cellStyle name="Comma 10 6 15 3 2 3" xfId="29275" xr:uid="{00000000-0005-0000-0000-00005F720000}"/>
    <cellStyle name="Comma 10 6 15 3 3" xfId="26384" xr:uid="{00000000-0005-0000-0000-000014670000}"/>
    <cellStyle name="Comma 10 6 15 3 4" xfId="28312" xr:uid="{00000000-0005-0000-0000-00009C6E0000}"/>
    <cellStyle name="Comma 10 6 15 3 5" xfId="16481" xr:uid="{00000000-0005-0000-0000-000065400000}"/>
    <cellStyle name="Comma 10 6 15 4" xfId="19821" xr:uid="{00000000-0005-0000-0000-0000714D0000}"/>
    <cellStyle name="Comma 10 6 15 4 2" xfId="26679" xr:uid="{00000000-0005-0000-0000-00003B680000}"/>
    <cellStyle name="Comma 10 6 15 4 3" xfId="28607" xr:uid="{00000000-0005-0000-0000-0000C36F0000}"/>
    <cellStyle name="Comma 10 6 15 5" xfId="25716" xr:uid="{00000000-0005-0000-0000-000078640000}"/>
    <cellStyle name="Comma 10 6 15 6" xfId="27643" xr:uid="{00000000-0005-0000-0000-0000FF6B0000}"/>
    <cellStyle name="Comma 10 6 15 7" xfId="7554" xr:uid="{00000000-0005-0000-0000-0000861D0000}"/>
    <cellStyle name="Comma 10 6 16" xfId="686" xr:uid="{00000000-0005-0000-0000-0000B2020000}"/>
    <cellStyle name="Comma 10 6 16 2" xfId="1956" xr:uid="{00000000-0005-0000-0000-0000A8070000}"/>
    <cellStyle name="Comma 10 6 16 2 2" xfId="3816" xr:uid="{00000000-0005-0000-0000-0000EC0E0000}"/>
    <cellStyle name="Comma 10 6 16 2 2 2" xfId="26908" xr:uid="{00000000-0005-0000-0000-000020690000}"/>
    <cellStyle name="Comma 10 6 16 2 2 3" xfId="28836" xr:uid="{00000000-0005-0000-0000-0000A8700000}"/>
    <cellStyle name="Comma 10 6 16 2 2 4" xfId="20802" xr:uid="{00000000-0005-0000-0000-000046510000}"/>
    <cellStyle name="Comma 10 6 16 2 3" xfId="25945" xr:uid="{00000000-0005-0000-0000-00005D650000}"/>
    <cellStyle name="Comma 10 6 16 2 4" xfId="27872" xr:uid="{00000000-0005-0000-0000-0000E46C0000}"/>
    <cellStyle name="Comma 10 6 16 2 5" xfId="8597" xr:uid="{00000000-0005-0000-0000-000099210000}"/>
    <cellStyle name="Comma 10 6 16 3" xfId="3517" xr:uid="{00000000-0005-0000-0000-0000C10D0000}"/>
    <cellStyle name="Comma 10 6 16 3 2" xfId="23341" xr:uid="{00000000-0005-0000-0000-0000315B0000}"/>
    <cellStyle name="Comma 10 6 16 3 2 2" xfId="27348" xr:uid="{00000000-0005-0000-0000-0000D86A0000}"/>
    <cellStyle name="Comma 10 6 16 3 2 3" xfId="29276" xr:uid="{00000000-0005-0000-0000-000060720000}"/>
    <cellStyle name="Comma 10 6 16 3 3" xfId="26385" xr:uid="{00000000-0005-0000-0000-000015670000}"/>
    <cellStyle name="Comma 10 6 16 3 4" xfId="28313" xr:uid="{00000000-0005-0000-0000-00009D6E0000}"/>
    <cellStyle name="Comma 10 6 16 3 5" xfId="16482" xr:uid="{00000000-0005-0000-0000-000066400000}"/>
    <cellStyle name="Comma 10 6 16 4" xfId="19822" xr:uid="{00000000-0005-0000-0000-0000724D0000}"/>
    <cellStyle name="Comma 10 6 16 4 2" xfId="26680" xr:uid="{00000000-0005-0000-0000-00003C680000}"/>
    <cellStyle name="Comma 10 6 16 4 3" xfId="28608" xr:uid="{00000000-0005-0000-0000-0000C46F0000}"/>
    <cellStyle name="Comma 10 6 16 5" xfId="25717" xr:uid="{00000000-0005-0000-0000-000079640000}"/>
    <cellStyle name="Comma 10 6 16 6" xfId="27644" xr:uid="{00000000-0005-0000-0000-0000006C0000}"/>
    <cellStyle name="Comma 10 6 16 7" xfId="7555" xr:uid="{00000000-0005-0000-0000-0000871D0000}"/>
    <cellStyle name="Comma 10 6 17" xfId="687" xr:uid="{00000000-0005-0000-0000-0000B3020000}"/>
    <cellStyle name="Comma 10 6 17 2" xfId="1957" xr:uid="{00000000-0005-0000-0000-0000A9070000}"/>
    <cellStyle name="Comma 10 6 17 2 2" xfId="3817" xr:uid="{00000000-0005-0000-0000-0000ED0E0000}"/>
    <cellStyle name="Comma 10 6 17 2 2 2" xfId="26909" xr:uid="{00000000-0005-0000-0000-000021690000}"/>
    <cellStyle name="Comma 10 6 17 2 2 3" xfId="28837" xr:uid="{00000000-0005-0000-0000-0000A9700000}"/>
    <cellStyle name="Comma 10 6 17 2 2 4" xfId="20803" xr:uid="{00000000-0005-0000-0000-000047510000}"/>
    <cellStyle name="Comma 10 6 17 2 3" xfId="25946" xr:uid="{00000000-0005-0000-0000-00005E650000}"/>
    <cellStyle name="Comma 10 6 17 2 4" xfId="27873" xr:uid="{00000000-0005-0000-0000-0000E56C0000}"/>
    <cellStyle name="Comma 10 6 17 2 5" xfId="8598" xr:uid="{00000000-0005-0000-0000-00009A210000}"/>
    <cellStyle name="Comma 10 6 17 3" xfId="3518" xr:uid="{00000000-0005-0000-0000-0000C20D0000}"/>
    <cellStyle name="Comma 10 6 17 3 2" xfId="23342" xr:uid="{00000000-0005-0000-0000-0000325B0000}"/>
    <cellStyle name="Comma 10 6 17 3 2 2" xfId="27349" xr:uid="{00000000-0005-0000-0000-0000D96A0000}"/>
    <cellStyle name="Comma 10 6 17 3 2 3" xfId="29277" xr:uid="{00000000-0005-0000-0000-000061720000}"/>
    <cellStyle name="Comma 10 6 17 3 3" xfId="26386" xr:uid="{00000000-0005-0000-0000-000016670000}"/>
    <cellStyle name="Comma 10 6 17 3 4" xfId="28314" xr:uid="{00000000-0005-0000-0000-00009E6E0000}"/>
    <cellStyle name="Comma 10 6 17 3 5" xfId="16483" xr:uid="{00000000-0005-0000-0000-000067400000}"/>
    <cellStyle name="Comma 10 6 17 4" xfId="19823" xr:uid="{00000000-0005-0000-0000-0000734D0000}"/>
    <cellStyle name="Comma 10 6 17 4 2" xfId="26681" xr:uid="{00000000-0005-0000-0000-00003D680000}"/>
    <cellStyle name="Comma 10 6 17 4 3" xfId="28609" xr:uid="{00000000-0005-0000-0000-0000C56F0000}"/>
    <cellStyle name="Comma 10 6 17 5" xfId="25718" xr:uid="{00000000-0005-0000-0000-00007A640000}"/>
    <cellStyle name="Comma 10 6 17 6" xfId="27645" xr:uid="{00000000-0005-0000-0000-0000016C0000}"/>
    <cellStyle name="Comma 10 6 17 7" xfId="7556" xr:uid="{00000000-0005-0000-0000-0000881D0000}"/>
    <cellStyle name="Comma 10 6 18" xfId="1949" xr:uid="{00000000-0005-0000-0000-0000A1070000}"/>
    <cellStyle name="Comma 10 6 18 2" xfId="3809" xr:uid="{00000000-0005-0000-0000-0000E50E0000}"/>
    <cellStyle name="Comma 10 6 18 2 2" xfId="26901" xr:uid="{00000000-0005-0000-0000-000019690000}"/>
    <cellStyle name="Comma 10 6 18 2 3" xfId="28829" xr:uid="{00000000-0005-0000-0000-0000A1700000}"/>
    <cellStyle name="Comma 10 6 18 2 4" xfId="20795" xr:uid="{00000000-0005-0000-0000-00003F510000}"/>
    <cellStyle name="Comma 10 6 18 3" xfId="25938" xr:uid="{00000000-0005-0000-0000-000056650000}"/>
    <cellStyle name="Comma 10 6 18 4" xfId="27865" xr:uid="{00000000-0005-0000-0000-0000DD6C0000}"/>
    <cellStyle name="Comma 10 6 18 5" xfId="8590" xr:uid="{00000000-0005-0000-0000-000092210000}"/>
    <cellStyle name="Comma 10 6 19" xfId="3510" xr:uid="{00000000-0005-0000-0000-0000BA0D0000}"/>
    <cellStyle name="Comma 10 6 19 2" xfId="23334" xr:uid="{00000000-0005-0000-0000-00002A5B0000}"/>
    <cellStyle name="Comma 10 6 19 2 2" xfId="27341" xr:uid="{00000000-0005-0000-0000-0000D16A0000}"/>
    <cellStyle name="Comma 10 6 19 2 3" xfId="29269" xr:uid="{00000000-0005-0000-0000-000059720000}"/>
    <cellStyle name="Comma 10 6 19 3" xfId="26378" xr:uid="{00000000-0005-0000-0000-00000E670000}"/>
    <cellStyle name="Comma 10 6 19 4" xfId="28306" xr:uid="{00000000-0005-0000-0000-0000966E0000}"/>
    <cellStyle name="Comma 10 6 19 5" xfId="16475" xr:uid="{00000000-0005-0000-0000-00005F400000}"/>
    <cellStyle name="Comma 10 6 2" xfId="688" xr:uid="{00000000-0005-0000-0000-0000B4020000}"/>
    <cellStyle name="Comma 10 6 2 2" xfId="1958" xr:uid="{00000000-0005-0000-0000-0000AA070000}"/>
    <cellStyle name="Comma 10 6 2 2 2" xfId="3818" xr:uid="{00000000-0005-0000-0000-0000EE0E0000}"/>
    <cellStyle name="Comma 10 6 2 2 2 2" xfId="26910" xr:uid="{00000000-0005-0000-0000-000022690000}"/>
    <cellStyle name="Comma 10 6 2 2 2 3" xfId="28838" xr:uid="{00000000-0005-0000-0000-0000AA700000}"/>
    <cellStyle name="Comma 10 6 2 2 2 4" xfId="20804" xr:uid="{00000000-0005-0000-0000-000048510000}"/>
    <cellStyle name="Comma 10 6 2 2 3" xfId="25947" xr:uid="{00000000-0005-0000-0000-00005F650000}"/>
    <cellStyle name="Comma 10 6 2 2 4" xfId="27874" xr:uid="{00000000-0005-0000-0000-0000E66C0000}"/>
    <cellStyle name="Comma 10 6 2 2 5" xfId="8599" xr:uid="{00000000-0005-0000-0000-00009B210000}"/>
    <cellStyle name="Comma 10 6 2 3" xfId="3519" xr:uid="{00000000-0005-0000-0000-0000C30D0000}"/>
    <cellStyle name="Comma 10 6 2 3 2" xfId="23343" xr:uid="{00000000-0005-0000-0000-0000335B0000}"/>
    <cellStyle name="Comma 10 6 2 3 2 2" xfId="27350" xr:uid="{00000000-0005-0000-0000-0000DA6A0000}"/>
    <cellStyle name="Comma 10 6 2 3 2 3" xfId="29278" xr:uid="{00000000-0005-0000-0000-000062720000}"/>
    <cellStyle name="Comma 10 6 2 3 3" xfId="26387" xr:uid="{00000000-0005-0000-0000-000017670000}"/>
    <cellStyle name="Comma 10 6 2 3 4" xfId="28315" xr:uid="{00000000-0005-0000-0000-00009F6E0000}"/>
    <cellStyle name="Comma 10 6 2 3 5" xfId="16484" xr:uid="{00000000-0005-0000-0000-000068400000}"/>
    <cellStyle name="Comma 10 6 2 4" xfId="19824" xr:uid="{00000000-0005-0000-0000-0000744D0000}"/>
    <cellStyle name="Comma 10 6 2 4 2" xfId="26682" xr:uid="{00000000-0005-0000-0000-00003E680000}"/>
    <cellStyle name="Comma 10 6 2 4 3" xfId="28610" xr:uid="{00000000-0005-0000-0000-0000C66F0000}"/>
    <cellStyle name="Comma 10 6 2 5" xfId="25719" xr:uid="{00000000-0005-0000-0000-00007B640000}"/>
    <cellStyle name="Comma 10 6 2 6" xfId="27646" xr:uid="{00000000-0005-0000-0000-0000026C0000}"/>
    <cellStyle name="Comma 10 6 2 7" xfId="7557" xr:uid="{00000000-0005-0000-0000-0000891D0000}"/>
    <cellStyle name="Comma 10 6 20" xfId="19815" xr:uid="{00000000-0005-0000-0000-00006B4D0000}"/>
    <cellStyle name="Comma 10 6 20 2" xfId="26673" xr:uid="{00000000-0005-0000-0000-000035680000}"/>
    <cellStyle name="Comma 10 6 20 3" xfId="28601" xr:uid="{00000000-0005-0000-0000-0000BD6F0000}"/>
    <cellStyle name="Comma 10 6 21" xfId="25710" xr:uid="{00000000-0005-0000-0000-000072640000}"/>
    <cellStyle name="Comma 10 6 22" xfId="27637" xr:uid="{00000000-0005-0000-0000-0000F96B0000}"/>
    <cellStyle name="Comma 10 6 23" xfId="7548" xr:uid="{00000000-0005-0000-0000-0000801D0000}"/>
    <cellStyle name="Comma 10 6 3" xfId="689" xr:uid="{00000000-0005-0000-0000-0000B5020000}"/>
    <cellStyle name="Comma 10 6 3 2" xfId="1959" xr:uid="{00000000-0005-0000-0000-0000AB070000}"/>
    <cellStyle name="Comma 10 6 3 2 2" xfId="3819" xr:uid="{00000000-0005-0000-0000-0000EF0E0000}"/>
    <cellStyle name="Comma 10 6 3 2 2 2" xfId="26911" xr:uid="{00000000-0005-0000-0000-000023690000}"/>
    <cellStyle name="Comma 10 6 3 2 2 3" xfId="28839" xr:uid="{00000000-0005-0000-0000-0000AB700000}"/>
    <cellStyle name="Comma 10 6 3 2 2 4" xfId="20805" xr:uid="{00000000-0005-0000-0000-000049510000}"/>
    <cellStyle name="Comma 10 6 3 2 3" xfId="25948" xr:uid="{00000000-0005-0000-0000-000060650000}"/>
    <cellStyle name="Comma 10 6 3 2 4" xfId="27875" xr:uid="{00000000-0005-0000-0000-0000E76C0000}"/>
    <cellStyle name="Comma 10 6 3 2 5" xfId="8600" xr:uid="{00000000-0005-0000-0000-00009C210000}"/>
    <cellStyle name="Comma 10 6 3 3" xfId="3520" xr:uid="{00000000-0005-0000-0000-0000C40D0000}"/>
    <cellStyle name="Comma 10 6 3 3 2" xfId="23344" xr:uid="{00000000-0005-0000-0000-0000345B0000}"/>
    <cellStyle name="Comma 10 6 3 3 2 2" xfId="27351" xr:uid="{00000000-0005-0000-0000-0000DB6A0000}"/>
    <cellStyle name="Comma 10 6 3 3 2 3" xfId="29279" xr:uid="{00000000-0005-0000-0000-000063720000}"/>
    <cellStyle name="Comma 10 6 3 3 3" xfId="26388" xr:uid="{00000000-0005-0000-0000-000018670000}"/>
    <cellStyle name="Comma 10 6 3 3 4" xfId="28316" xr:uid="{00000000-0005-0000-0000-0000A06E0000}"/>
    <cellStyle name="Comma 10 6 3 3 5" xfId="16485" xr:uid="{00000000-0005-0000-0000-000069400000}"/>
    <cellStyle name="Comma 10 6 3 4" xfId="19825" xr:uid="{00000000-0005-0000-0000-0000754D0000}"/>
    <cellStyle name="Comma 10 6 3 4 2" xfId="26683" xr:uid="{00000000-0005-0000-0000-00003F680000}"/>
    <cellStyle name="Comma 10 6 3 4 3" xfId="28611" xr:uid="{00000000-0005-0000-0000-0000C76F0000}"/>
    <cellStyle name="Comma 10 6 3 5" xfId="25720" xr:uid="{00000000-0005-0000-0000-00007C640000}"/>
    <cellStyle name="Comma 10 6 3 6" xfId="27647" xr:uid="{00000000-0005-0000-0000-0000036C0000}"/>
    <cellStyle name="Comma 10 6 3 7" xfId="7558" xr:uid="{00000000-0005-0000-0000-00008A1D0000}"/>
    <cellStyle name="Comma 10 6 4" xfId="690" xr:uid="{00000000-0005-0000-0000-0000B6020000}"/>
    <cellStyle name="Comma 10 6 4 2" xfId="1960" xr:uid="{00000000-0005-0000-0000-0000AC070000}"/>
    <cellStyle name="Comma 10 6 4 2 2" xfId="3820" xr:uid="{00000000-0005-0000-0000-0000F00E0000}"/>
    <cellStyle name="Comma 10 6 4 2 2 2" xfId="26912" xr:uid="{00000000-0005-0000-0000-000024690000}"/>
    <cellStyle name="Comma 10 6 4 2 2 3" xfId="28840" xr:uid="{00000000-0005-0000-0000-0000AC700000}"/>
    <cellStyle name="Comma 10 6 4 2 2 4" xfId="20806" xr:uid="{00000000-0005-0000-0000-00004A510000}"/>
    <cellStyle name="Comma 10 6 4 2 3" xfId="25949" xr:uid="{00000000-0005-0000-0000-000061650000}"/>
    <cellStyle name="Comma 10 6 4 2 4" xfId="27876" xr:uid="{00000000-0005-0000-0000-0000E86C0000}"/>
    <cellStyle name="Comma 10 6 4 2 5" xfId="8601" xr:uid="{00000000-0005-0000-0000-00009D210000}"/>
    <cellStyle name="Comma 10 6 4 3" xfId="3521" xr:uid="{00000000-0005-0000-0000-0000C50D0000}"/>
    <cellStyle name="Comma 10 6 4 3 2" xfId="23345" xr:uid="{00000000-0005-0000-0000-0000355B0000}"/>
    <cellStyle name="Comma 10 6 4 3 2 2" xfId="27352" xr:uid="{00000000-0005-0000-0000-0000DC6A0000}"/>
    <cellStyle name="Comma 10 6 4 3 2 3" xfId="29280" xr:uid="{00000000-0005-0000-0000-000064720000}"/>
    <cellStyle name="Comma 10 6 4 3 3" xfId="26389" xr:uid="{00000000-0005-0000-0000-000019670000}"/>
    <cellStyle name="Comma 10 6 4 3 4" xfId="28317" xr:uid="{00000000-0005-0000-0000-0000A16E0000}"/>
    <cellStyle name="Comma 10 6 4 3 5" xfId="16486" xr:uid="{00000000-0005-0000-0000-00006A400000}"/>
    <cellStyle name="Comma 10 6 4 4" xfId="19826" xr:uid="{00000000-0005-0000-0000-0000764D0000}"/>
    <cellStyle name="Comma 10 6 4 4 2" xfId="26684" xr:uid="{00000000-0005-0000-0000-000040680000}"/>
    <cellStyle name="Comma 10 6 4 4 3" xfId="28612" xr:uid="{00000000-0005-0000-0000-0000C86F0000}"/>
    <cellStyle name="Comma 10 6 4 5" xfId="25721" xr:uid="{00000000-0005-0000-0000-00007D640000}"/>
    <cellStyle name="Comma 10 6 4 6" xfId="27648" xr:uid="{00000000-0005-0000-0000-0000046C0000}"/>
    <cellStyle name="Comma 10 6 4 7" xfId="7559" xr:uid="{00000000-0005-0000-0000-00008B1D0000}"/>
    <cellStyle name="Comma 10 6 5" xfId="691" xr:uid="{00000000-0005-0000-0000-0000B7020000}"/>
    <cellStyle name="Comma 10 6 5 2" xfId="1961" xr:uid="{00000000-0005-0000-0000-0000AD070000}"/>
    <cellStyle name="Comma 10 6 5 2 2" xfId="3821" xr:uid="{00000000-0005-0000-0000-0000F10E0000}"/>
    <cellStyle name="Comma 10 6 5 2 2 2" xfId="26913" xr:uid="{00000000-0005-0000-0000-000025690000}"/>
    <cellStyle name="Comma 10 6 5 2 2 3" xfId="28841" xr:uid="{00000000-0005-0000-0000-0000AD700000}"/>
    <cellStyle name="Comma 10 6 5 2 2 4" xfId="20807" xr:uid="{00000000-0005-0000-0000-00004B510000}"/>
    <cellStyle name="Comma 10 6 5 2 3" xfId="25950" xr:uid="{00000000-0005-0000-0000-000062650000}"/>
    <cellStyle name="Comma 10 6 5 2 4" xfId="27877" xr:uid="{00000000-0005-0000-0000-0000E96C0000}"/>
    <cellStyle name="Comma 10 6 5 2 5" xfId="8602" xr:uid="{00000000-0005-0000-0000-00009E210000}"/>
    <cellStyle name="Comma 10 6 5 3" xfId="3522" xr:uid="{00000000-0005-0000-0000-0000C60D0000}"/>
    <cellStyle name="Comma 10 6 5 3 2" xfId="23346" xr:uid="{00000000-0005-0000-0000-0000365B0000}"/>
    <cellStyle name="Comma 10 6 5 3 2 2" xfId="27353" xr:uid="{00000000-0005-0000-0000-0000DD6A0000}"/>
    <cellStyle name="Comma 10 6 5 3 2 3" xfId="29281" xr:uid="{00000000-0005-0000-0000-000065720000}"/>
    <cellStyle name="Comma 10 6 5 3 3" xfId="26390" xr:uid="{00000000-0005-0000-0000-00001A670000}"/>
    <cellStyle name="Comma 10 6 5 3 4" xfId="28318" xr:uid="{00000000-0005-0000-0000-0000A26E0000}"/>
    <cellStyle name="Comma 10 6 5 3 5" xfId="16487" xr:uid="{00000000-0005-0000-0000-00006B400000}"/>
    <cellStyle name="Comma 10 6 5 4" xfId="19827" xr:uid="{00000000-0005-0000-0000-0000774D0000}"/>
    <cellStyle name="Comma 10 6 5 4 2" xfId="26685" xr:uid="{00000000-0005-0000-0000-000041680000}"/>
    <cellStyle name="Comma 10 6 5 4 3" xfId="28613" xr:uid="{00000000-0005-0000-0000-0000C96F0000}"/>
    <cellStyle name="Comma 10 6 5 5" xfId="25722" xr:uid="{00000000-0005-0000-0000-00007E640000}"/>
    <cellStyle name="Comma 10 6 5 6" xfId="27649" xr:uid="{00000000-0005-0000-0000-0000056C0000}"/>
    <cellStyle name="Comma 10 6 5 7" xfId="7560" xr:uid="{00000000-0005-0000-0000-00008C1D0000}"/>
    <cellStyle name="Comma 10 6 6" xfId="692" xr:uid="{00000000-0005-0000-0000-0000B8020000}"/>
    <cellStyle name="Comma 10 6 6 2" xfId="1962" xr:uid="{00000000-0005-0000-0000-0000AE070000}"/>
    <cellStyle name="Comma 10 6 6 2 2" xfId="3822" xr:uid="{00000000-0005-0000-0000-0000F20E0000}"/>
    <cellStyle name="Comma 10 6 6 2 2 2" xfId="26914" xr:uid="{00000000-0005-0000-0000-000026690000}"/>
    <cellStyle name="Comma 10 6 6 2 2 3" xfId="28842" xr:uid="{00000000-0005-0000-0000-0000AE700000}"/>
    <cellStyle name="Comma 10 6 6 2 2 4" xfId="20808" xr:uid="{00000000-0005-0000-0000-00004C510000}"/>
    <cellStyle name="Comma 10 6 6 2 3" xfId="25951" xr:uid="{00000000-0005-0000-0000-000063650000}"/>
    <cellStyle name="Comma 10 6 6 2 4" xfId="27878" xr:uid="{00000000-0005-0000-0000-0000EA6C0000}"/>
    <cellStyle name="Comma 10 6 6 2 5" xfId="8603" xr:uid="{00000000-0005-0000-0000-00009F210000}"/>
    <cellStyle name="Comma 10 6 6 3" xfId="3523" xr:uid="{00000000-0005-0000-0000-0000C70D0000}"/>
    <cellStyle name="Comma 10 6 6 3 2" xfId="23347" xr:uid="{00000000-0005-0000-0000-0000375B0000}"/>
    <cellStyle name="Comma 10 6 6 3 2 2" xfId="27354" xr:uid="{00000000-0005-0000-0000-0000DE6A0000}"/>
    <cellStyle name="Comma 10 6 6 3 2 3" xfId="29282" xr:uid="{00000000-0005-0000-0000-000066720000}"/>
    <cellStyle name="Comma 10 6 6 3 3" xfId="26391" xr:uid="{00000000-0005-0000-0000-00001B670000}"/>
    <cellStyle name="Comma 10 6 6 3 4" xfId="28319" xr:uid="{00000000-0005-0000-0000-0000A36E0000}"/>
    <cellStyle name="Comma 10 6 6 3 5" xfId="16488" xr:uid="{00000000-0005-0000-0000-00006C400000}"/>
    <cellStyle name="Comma 10 6 6 4" xfId="19828" xr:uid="{00000000-0005-0000-0000-0000784D0000}"/>
    <cellStyle name="Comma 10 6 6 4 2" xfId="26686" xr:uid="{00000000-0005-0000-0000-000042680000}"/>
    <cellStyle name="Comma 10 6 6 4 3" xfId="28614" xr:uid="{00000000-0005-0000-0000-0000CA6F0000}"/>
    <cellStyle name="Comma 10 6 6 5" xfId="25723" xr:uid="{00000000-0005-0000-0000-00007F640000}"/>
    <cellStyle name="Comma 10 6 6 6" xfId="27650" xr:uid="{00000000-0005-0000-0000-0000066C0000}"/>
    <cellStyle name="Comma 10 6 6 7" xfId="7561" xr:uid="{00000000-0005-0000-0000-00008D1D0000}"/>
    <cellStyle name="Comma 10 6 7" xfId="693" xr:uid="{00000000-0005-0000-0000-0000B9020000}"/>
    <cellStyle name="Comma 10 6 7 2" xfId="1963" xr:uid="{00000000-0005-0000-0000-0000AF070000}"/>
    <cellStyle name="Comma 10 6 7 2 2" xfId="3823" xr:uid="{00000000-0005-0000-0000-0000F30E0000}"/>
    <cellStyle name="Comma 10 6 7 2 2 2" xfId="26915" xr:uid="{00000000-0005-0000-0000-000027690000}"/>
    <cellStyle name="Comma 10 6 7 2 2 3" xfId="28843" xr:uid="{00000000-0005-0000-0000-0000AF700000}"/>
    <cellStyle name="Comma 10 6 7 2 2 4" xfId="20809" xr:uid="{00000000-0005-0000-0000-00004D510000}"/>
    <cellStyle name="Comma 10 6 7 2 3" xfId="25952" xr:uid="{00000000-0005-0000-0000-000064650000}"/>
    <cellStyle name="Comma 10 6 7 2 4" xfId="27879" xr:uid="{00000000-0005-0000-0000-0000EB6C0000}"/>
    <cellStyle name="Comma 10 6 7 2 5" xfId="8604" xr:uid="{00000000-0005-0000-0000-0000A0210000}"/>
    <cellStyle name="Comma 10 6 7 3" xfId="3524" xr:uid="{00000000-0005-0000-0000-0000C80D0000}"/>
    <cellStyle name="Comma 10 6 7 3 2" xfId="23348" xr:uid="{00000000-0005-0000-0000-0000385B0000}"/>
    <cellStyle name="Comma 10 6 7 3 2 2" xfId="27355" xr:uid="{00000000-0005-0000-0000-0000DF6A0000}"/>
    <cellStyle name="Comma 10 6 7 3 2 3" xfId="29283" xr:uid="{00000000-0005-0000-0000-000067720000}"/>
    <cellStyle name="Comma 10 6 7 3 3" xfId="26392" xr:uid="{00000000-0005-0000-0000-00001C670000}"/>
    <cellStyle name="Comma 10 6 7 3 4" xfId="28320" xr:uid="{00000000-0005-0000-0000-0000A46E0000}"/>
    <cellStyle name="Comma 10 6 7 3 5" xfId="16489" xr:uid="{00000000-0005-0000-0000-00006D400000}"/>
    <cellStyle name="Comma 10 6 7 4" xfId="19829" xr:uid="{00000000-0005-0000-0000-0000794D0000}"/>
    <cellStyle name="Comma 10 6 7 4 2" xfId="26687" xr:uid="{00000000-0005-0000-0000-000043680000}"/>
    <cellStyle name="Comma 10 6 7 4 3" xfId="28615" xr:uid="{00000000-0005-0000-0000-0000CB6F0000}"/>
    <cellStyle name="Comma 10 6 7 5" xfId="25724" xr:uid="{00000000-0005-0000-0000-000080640000}"/>
    <cellStyle name="Comma 10 6 7 6" xfId="27651" xr:uid="{00000000-0005-0000-0000-0000076C0000}"/>
    <cellStyle name="Comma 10 6 7 7" xfId="7562" xr:uid="{00000000-0005-0000-0000-00008E1D0000}"/>
    <cellStyle name="Comma 10 6 8" xfId="694" xr:uid="{00000000-0005-0000-0000-0000BA020000}"/>
    <cellStyle name="Comma 10 6 8 2" xfId="1964" xr:uid="{00000000-0005-0000-0000-0000B0070000}"/>
    <cellStyle name="Comma 10 6 8 2 2" xfId="3824" xr:uid="{00000000-0005-0000-0000-0000F40E0000}"/>
    <cellStyle name="Comma 10 6 8 2 2 2" xfId="26916" xr:uid="{00000000-0005-0000-0000-000028690000}"/>
    <cellStyle name="Comma 10 6 8 2 2 3" xfId="28844" xr:uid="{00000000-0005-0000-0000-0000B0700000}"/>
    <cellStyle name="Comma 10 6 8 2 2 4" xfId="20810" xr:uid="{00000000-0005-0000-0000-00004E510000}"/>
    <cellStyle name="Comma 10 6 8 2 3" xfId="25953" xr:uid="{00000000-0005-0000-0000-000065650000}"/>
    <cellStyle name="Comma 10 6 8 2 4" xfId="27880" xr:uid="{00000000-0005-0000-0000-0000EC6C0000}"/>
    <cellStyle name="Comma 10 6 8 2 5" xfId="8605" xr:uid="{00000000-0005-0000-0000-0000A1210000}"/>
    <cellStyle name="Comma 10 6 8 3" xfId="3525" xr:uid="{00000000-0005-0000-0000-0000C90D0000}"/>
    <cellStyle name="Comma 10 6 8 3 2" xfId="23349" xr:uid="{00000000-0005-0000-0000-0000395B0000}"/>
    <cellStyle name="Comma 10 6 8 3 2 2" xfId="27356" xr:uid="{00000000-0005-0000-0000-0000E06A0000}"/>
    <cellStyle name="Comma 10 6 8 3 2 3" xfId="29284" xr:uid="{00000000-0005-0000-0000-000068720000}"/>
    <cellStyle name="Comma 10 6 8 3 3" xfId="26393" xr:uid="{00000000-0005-0000-0000-00001D670000}"/>
    <cellStyle name="Comma 10 6 8 3 4" xfId="28321" xr:uid="{00000000-0005-0000-0000-0000A56E0000}"/>
    <cellStyle name="Comma 10 6 8 3 5" xfId="16490" xr:uid="{00000000-0005-0000-0000-00006E400000}"/>
    <cellStyle name="Comma 10 6 8 4" xfId="19830" xr:uid="{00000000-0005-0000-0000-00007A4D0000}"/>
    <cellStyle name="Comma 10 6 8 4 2" xfId="26688" xr:uid="{00000000-0005-0000-0000-000044680000}"/>
    <cellStyle name="Comma 10 6 8 4 3" xfId="28616" xr:uid="{00000000-0005-0000-0000-0000CC6F0000}"/>
    <cellStyle name="Comma 10 6 8 5" xfId="25725" xr:uid="{00000000-0005-0000-0000-000081640000}"/>
    <cellStyle name="Comma 10 6 8 6" xfId="27652" xr:uid="{00000000-0005-0000-0000-0000086C0000}"/>
    <cellStyle name="Comma 10 6 8 7" xfId="7563" xr:uid="{00000000-0005-0000-0000-00008F1D0000}"/>
    <cellStyle name="Comma 10 6 9" xfId="695" xr:uid="{00000000-0005-0000-0000-0000BB020000}"/>
    <cellStyle name="Comma 10 6 9 2" xfId="1965" xr:uid="{00000000-0005-0000-0000-0000B1070000}"/>
    <cellStyle name="Comma 10 6 9 2 2" xfId="3825" xr:uid="{00000000-0005-0000-0000-0000F50E0000}"/>
    <cellStyle name="Comma 10 6 9 2 2 2" xfId="26917" xr:uid="{00000000-0005-0000-0000-000029690000}"/>
    <cellStyle name="Comma 10 6 9 2 2 3" xfId="28845" xr:uid="{00000000-0005-0000-0000-0000B1700000}"/>
    <cellStyle name="Comma 10 6 9 2 2 4" xfId="20811" xr:uid="{00000000-0005-0000-0000-00004F510000}"/>
    <cellStyle name="Comma 10 6 9 2 3" xfId="25954" xr:uid="{00000000-0005-0000-0000-000066650000}"/>
    <cellStyle name="Comma 10 6 9 2 4" xfId="27881" xr:uid="{00000000-0005-0000-0000-0000ED6C0000}"/>
    <cellStyle name="Comma 10 6 9 2 5" xfId="8606" xr:uid="{00000000-0005-0000-0000-0000A2210000}"/>
    <cellStyle name="Comma 10 6 9 3" xfId="3526" xr:uid="{00000000-0005-0000-0000-0000CA0D0000}"/>
    <cellStyle name="Comma 10 6 9 3 2" xfId="23350" xr:uid="{00000000-0005-0000-0000-00003A5B0000}"/>
    <cellStyle name="Comma 10 6 9 3 2 2" xfId="27357" xr:uid="{00000000-0005-0000-0000-0000E16A0000}"/>
    <cellStyle name="Comma 10 6 9 3 2 3" xfId="29285" xr:uid="{00000000-0005-0000-0000-000069720000}"/>
    <cellStyle name="Comma 10 6 9 3 3" xfId="26394" xr:uid="{00000000-0005-0000-0000-00001E670000}"/>
    <cellStyle name="Comma 10 6 9 3 4" xfId="28322" xr:uid="{00000000-0005-0000-0000-0000A66E0000}"/>
    <cellStyle name="Comma 10 6 9 3 5" xfId="16491" xr:uid="{00000000-0005-0000-0000-00006F400000}"/>
    <cellStyle name="Comma 10 6 9 4" xfId="19831" xr:uid="{00000000-0005-0000-0000-00007B4D0000}"/>
    <cellStyle name="Comma 10 6 9 4 2" xfId="26689" xr:uid="{00000000-0005-0000-0000-000045680000}"/>
    <cellStyle name="Comma 10 6 9 4 3" xfId="28617" xr:uid="{00000000-0005-0000-0000-0000CD6F0000}"/>
    <cellStyle name="Comma 10 6 9 5" xfId="25726" xr:uid="{00000000-0005-0000-0000-000082640000}"/>
    <cellStyle name="Comma 10 6 9 6" xfId="27653" xr:uid="{00000000-0005-0000-0000-0000096C0000}"/>
    <cellStyle name="Comma 10 6 9 7" xfId="7564" xr:uid="{00000000-0005-0000-0000-0000901D0000}"/>
    <cellStyle name="Comma 10 7" xfId="696" xr:uid="{00000000-0005-0000-0000-0000BC020000}"/>
    <cellStyle name="Comma 10 7 10" xfId="697" xr:uid="{00000000-0005-0000-0000-0000BD020000}"/>
    <cellStyle name="Comma 10 7 10 2" xfId="1967" xr:uid="{00000000-0005-0000-0000-0000B3070000}"/>
    <cellStyle name="Comma 10 7 10 2 2" xfId="3827" xr:uid="{00000000-0005-0000-0000-0000F70E0000}"/>
    <cellStyle name="Comma 10 7 10 2 2 2" xfId="26919" xr:uid="{00000000-0005-0000-0000-00002B690000}"/>
    <cellStyle name="Comma 10 7 10 2 2 3" xfId="28847" xr:uid="{00000000-0005-0000-0000-0000B3700000}"/>
    <cellStyle name="Comma 10 7 10 2 2 4" xfId="20813" xr:uid="{00000000-0005-0000-0000-000051510000}"/>
    <cellStyle name="Comma 10 7 10 2 3" xfId="25956" xr:uid="{00000000-0005-0000-0000-000068650000}"/>
    <cellStyle name="Comma 10 7 10 2 4" xfId="27883" xr:uid="{00000000-0005-0000-0000-0000EF6C0000}"/>
    <cellStyle name="Comma 10 7 10 2 5" xfId="8608" xr:uid="{00000000-0005-0000-0000-0000A4210000}"/>
    <cellStyle name="Comma 10 7 10 3" xfId="3528" xr:uid="{00000000-0005-0000-0000-0000CC0D0000}"/>
    <cellStyle name="Comma 10 7 10 3 2" xfId="23352" xr:uid="{00000000-0005-0000-0000-00003C5B0000}"/>
    <cellStyle name="Comma 10 7 10 3 2 2" xfId="27359" xr:uid="{00000000-0005-0000-0000-0000E36A0000}"/>
    <cellStyle name="Comma 10 7 10 3 2 3" xfId="29287" xr:uid="{00000000-0005-0000-0000-00006B720000}"/>
    <cellStyle name="Comma 10 7 10 3 3" xfId="26396" xr:uid="{00000000-0005-0000-0000-000020670000}"/>
    <cellStyle name="Comma 10 7 10 3 4" xfId="28324" xr:uid="{00000000-0005-0000-0000-0000A86E0000}"/>
    <cellStyle name="Comma 10 7 10 3 5" xfId="16493" xr:uid="{00000000-0005-0000-0000-000071400000}"/>
    <cellStyle name="Comma 10 7 10 4" xfId="19833" xr:uid="{00000000-0005-0000-0000-00007D4D0000}"/>
    <cellStyle name="Comma 10 7 10 4 2" xfId="26691" xr:uid="{00000000-0005-0000-0000-000047680000}"/>
    <cellStyle name="Comma 10 7 10 4 3" xfId="28619" xr:uid="{00000000-0005-0000-0000-0000CF6F0000}"/>
    <cellStyle name="Comma 10 7 10 5" xfId="25728" xr:uid="{00000000-0005-0000-0000-000084640000}"/>
    <cellStyle name="Comma 10 7 10 6" xfId="27655" xr:uid="{00000000-0005-0000-0000-00000B6C0000}"/>
    <cellStyle name="Comma 10 7 10 7" xfId="7566" xr:uid="{00000000-0005-0000-0000-0000921D0000}"/>
    <cellStyle name="Comma 10 7 11" xfId="698" xr:uid="{00000000-0005-0000-0000-0000BE020000}"/>
    <cellStyle name="Comma 10 7 11 2" xfId="1968" xr:uid="{00000000-0005-0000-0000-0000B4070000}"/>
    <cellStyle name="Comma 10 7 11 2 2" xfId="3828" xr:uid="{00000000-0005-0000-0000-0000F80E0000}"/>
    <cellStyle name="Comma 10 7 11 2 2 2" xfId="26920" xr:uid="{00000000-0005-0000-0000-00002C690000}"/>
    <cellStyle name="Comma 10 7 11 2 2 3" xfId="28848" xr:uid="{00000000-0005-0000-0000-0000B4700000}"/>
    <cellStyle name="Comma 10 7 11 2 2 4" xfId="20814" xr:uid="{00000000-0005-0000-0000-000052510000}"/>
    <cellStyle name="Comma 10 7 11 2 3" xfId="25957" xr:uid="{00000000-0005-0000-0000-000069650000}"/>
    <cellStyle name="Comma 10 7 11 2 4" xfId="27884" xr:uid="{00000000-0005-0000-0000-0000F06C0000}"/>
    <cellStyle name="Comma 10 7 11 2 5" xfId="8609" xr:uid="{00000000-0005-0000-0000-0000A5210000}"/>
    <cellStyle name="Comma 10 7 11 3" xfId="3529" xr:uid="{00000000-0005-0000-0000-0000CD0D0000}"/>
    <cellStyle name="Comma 10 7 11 3 2" xfId="23353" xr:uid="{00000000-0005-0000-0000-00003D5B0000}"/>
    <cellStyle name="Comma 10 7 11 3 2 2" xfId="27360" xr:uid="{00000000-0005-0000-0000-0000E46A0000}"/>
    <cellStyle name="Comma 10 7 11 3 2 3" xfId="29288" xr:uid="{00000000-0005-0000-0000-00006C720000}"/>
    <cellStyle name="Comma 10 7 11 3 3" xfId="26397" xr:uid="{00000000-0005-0000-0000-000021670000}"/>
    <cellStyle name="Comma 10 7 11 3 4" xfId="28325" xr:uid="{00000000-0005-0000-0000-0000A96E0000}"/>
    <cellStyle name="Comma 10 7 11 3 5" xfId="16494" xr:uid="{00000000-0005-0000-0000-000072400000}"/>
    <cellStyle name="Comma 10 7 11 4" xfId="19834" xr:uid="{00000000-0005-0000-0000-00007E4D0000}"/>
    <cellStyle name="Comma 10 7 11 4 2" xfId="26692" xr:uid="{00000000-0005-0000-0000-000048680000}"/>
    <cellStyle name="Comma 10 7 11 4 3" xfId="28620" xr:uid="{00000000-0005-0000-0000-0000D06F0000}"/>
    <cellStyle name="Comma 10 7 11 5" xfId="25729" xr:uid="{00000000-0005-0000-0000-000085640000}"/>
    <cellStyle name="Comma 10 7 11 6" xfId="27656" xr:uid="{00000000-0005-0000-0000-00000C6C0000}"/>
    <cellStyle name="Comma 10 7 11 7" xfId="7567" xr:uid="{00000000-0005-0000-0000-0000931D0000}"/>
    <cellStyle name="Comma 10 7 12" xfId="699" xr:uid="{00000000-0005-0000-0000-0000BF020000}"/>
    <cellStyle name="Comma 10 7 12 2" xfId="1969" xr:uid="{00000000-0005-0000-0000-0000B5070000}"/>
    <cellStyle name="Comma 10 7 12 2 2" xfId="3829" xr:uid="{00000000-0005-0000-0000-0000F90E0000}"/>
    <cellStyle name="Comma 10 7 12 2 2 2" xfId="26921" xr:uid="{00000000-0005-0000-0000-00002D690000}"/>
    <cellStyle name="Comma 10 7 12 2 2 3" xfId="28849" xr:uid="{00000000-0005-0000-0000-0000B5700000}"/>
    <cellStyle name="Comma 10 7 12 2 2 4" xfId="20815" xr:uid="{00000000-0005-0000-0000-000053510000}"/>
    <cellStyle name="Comma 10 7 12 2 3" xfId="25958" xr:uid="{00000000-0005-0000-0000-00006A650000}"/>
    <cellStyle name="Comma 10 7 12 2 4" xfId="27885" xr:uid="{00000000-0005-0000-0000-0000F16C0000}"/>
    <cellStyle name="Comma 10 7 12 2 5" xfId="8610" xr:uid="{00000000-0005-0000-0000-0000A6210000}"/>
    <cellStyle name="Comma 10 7 12 3" xfId="3530" xr:uid="{00000000-0005-0000-0000-0000CE0D0000}"/>
    <cellStyle name="Comma 10 7 12 3 2" xfId="23354" xr:uid="{00000000-0005-0000-0000-00003E5B0000}"/>
    <cellStyle name="Comma 10 7 12 3 2 2" xfId="27361" xr:uid="{00000000-0005-0000-0000-0000E56A0000}"/>
    <cellStyle name="Comma 10 7 12 3 2 3" xfId="29289" xr:uid="{00000000-0005-0000-0000-00006D720000}"/>
    <cellStyle name="Comma 10 7 12 3 3" xfId="26398" xr:uid="{00000000-0005-0000-0000-000022670000}"/>
    <cellStyle name="Comma 10 7 12 3 4" xfId="28326" xr:uid="{00000000-0005-0000-0000-0000AA6E0000}"/>
    <cellStyle name="Comma 10 7 12 3 5" xfId="16495" xr:uid="{00000000-0005-0000-0000-000073400000}"/>
    <cellStyle name="Comma 10 7 12 4" xfId="19835" xr:uid="{00000000-0005-0000-0000-00007F4D0000}"/>
    <cellStyle name="Comma 10 7 12 4 2" xfId="26693" xr:uid="{00000000-0005-0000-0000-000049680000}"/>
    <cellStyle name="Comma 10 7 12 4 3" xfId="28621" xr:uid="{00000000-0005-0000-0000-0000D16F0000}"/>
    <cellStyle name="Comma 10 7 12 5" xfId="25730" xr:uid="{00000000-0005-0000-0000-000086640000}"/>
    <cellStyle name="Comma 10 7 12 6" xfId="27657" xr:uid="{00000000-0005-0000-0000-00000D6C0000}"/>
    <cellStyle name="Comma 10 7 12 7" xfId="7568" xr:uid="{00000000-0005-0000-0000-0000941D0000}"/>
    <cellStyle name="Comma 10 7 13" xfId="700" xr:uid="{00000000-0005-0000-0000-0000C0020000}"/>
    <cellStyle name="Comma 10 7 13 2" xfId="1970" xr:uid="{00000000-0005-0000-0000-0000B6070000}"/>
    <cellStyle name="Comma 10 7 13 2 2" xfId="3830" xr:uid="{00000000-0005-0000-0000-0000FA0E0000}"/>
    <cellStyle name="Comma 10 7 13 2 2 2" xfId="26922" xr:uid="{00000000-0005-0000-0000-00002E690000}"/>
    <cellStyle name="Comma 10 7 13 2 2 3" xfId="28850" xr:uid="{00000000-0005-0000-0000-0000B6700000}"/>
    <cellStyle name="Comma 10 7 13 2 2 4" xfId="20816" xr:uid="{00000000-0005-0000-0000-000054510000}"/>
    <cellStyle name="Comma 10 7 13 2 3" xfId="25959" xr:uid="{00000000-0005-0000-0000-00006B650000}"/>
    <cellStyle name="Comma 10 7 13 2 4" xfId="27886" xr:uid="{00000000-0005-0000-0000-0000F26C0000}"/>
    <cellStyle name="Comma 10 7 13 2 5" xfId="8611" xr:uid="{00000000-0005-0000-0000-0000A7210000}"/>
    <cellStyle name="Comma 10 7 13 3" xfId="3531" xr:uid="{00000000-0005-0000-0000-0000CF0D0000}"/>
    <cellStyle name="Comma 10 7 13 3 2" xfId="23355" xr:uid="{00000000-0005-0000-0000-00003F5B0000}"/>
    <cellStyle name="Comma 10 7 13 3 2 2" xfId="27362" xr:uid="{00000000-0005-0000-0000-0000E66A0000}"/>
    <cellStyle name="Comma 10 7 13 3 2 3" xfId="29290" xr:uid="{00000000-0005-0000-0000-00006E720000}"/>
    <cellStyle name="Comma 10 7 13 3 3" xfId="26399" xr:uid="{00000000-0005-0000-0000-000023670000}"/>
    <cellStyle name="Comma 10 7 13 3 4" xfId="28327" xr:uid="{00000000-0005-0000-0000-0000AB6E0000}"/>
    <cellStyle name="Comma 10 7 13 3 5" xfId="16496" xr:uid="{00000000-0005-0000-0000-000074400000}"/>
    <cellStyle name="Comma 10 7 13 4" xfId="19836" xr:uid="{00000000-0005-0000-0000-0000804D0000}"/>
    <cellStyle name="Comma 10 7 13 4 2" xfId="26694" xr:uid="{00000000-0005-0000-0000-00004A680000}"/>
    <cellStyle name="Comma 10 7 13 4 3" xfId="28622" xr:uid="{00000000-0005-0000-0000-0000D26F0000}"/>
    <cellStyle name="Comma 10 7 13 5" xfId="25731" xr:uid="{00000000-0005-0000-0000-000087640000}"/>
    <cellStyle name="Comma 10 7 13 6" xfId="27658" xr:uid="{00000000-0005-0000-0000-00000E6C0000}"/>
    <cellStyle name="Comma 10 7 13 7" xfId="7569" xr:uid="{00000000-0005-0000-0000-0000951D0000}"/>
    <cellStyle name="Comma 10 7 14" xfId="701" xr:uid="{00000000-0005-0000-0000-0000C1020000}"/>
    <cellStyle name="Comma 10 7 14 2" xfId="1971" xr:uid="{00000000-0005-0000-0000-0000B7070000}"/>
    <cellStyle name="Comma 10 7 14 2 2" xfId="3831" xr:uid="{00000000-0005-0000-0000-0000FB0E0000}"/>
    <cellStyle name="Comma 10 7 14 2 2 2" xfId="26923" xr:uid="{00000000-0005-0000-0000-00002F690000}"/>
    <cellStyle name="Comma 10 7 14 2 2 3" xfId="28851" xr:uid="{00000000-0005-0000-0000-0000B7700000}"/>
    <cellStyle name="Comma 10 7 14 2 2 4" xfId="20817" xr:uid="{00000000-0005-0000-0000-000055510000}"/>
    <cellStyle name="Comma 10 7 14 2 3" xfId="25960" xr:uid="{00000000-0005-0000-0000-00006C650000}"/>
    <cellStyle name="Comma 10 7 14 2 4" xfId="27887" xr:uid="{00000000-0005-0000-0000-0000F36C0000}"/>
    <cellStyle name="Comma 10 7 14 2 5" xfId="8612" xr:uid="{00000000-0005-0000-0000-0000A8210000}"/>
    <cellStyle name="Comma 10 7 14 3" xfId="3532" xr:uid="{00000000-0005-0000-0000-0000D00D0000}"/>
    <cellStyle name="Comma 10 7 14 3 2" xfId="23356" xr:uid="{00000000-0005-0000-0000-0000405B0000}"/>
    <cellStyle name="Comma 10 7 14 3 2 2" xfId="27363" xr:uid="{00000000-0005-0000-0000-0000E76A0000}"/>
    <cellStyle name="Comma 10 7 14 3 2 3" xfId="29291" xr:uid="{00000000-0005-0000-0000-00006F720000}"/>
    <cellStyle name="Comma 10 7 14 3 3" xfId="26400" xr:uid="{00000000-0005-0000-0000-000024670000}"/>
    <cellStyle name="Comma 10 7 14 3 4" xfId="28328" xr:uid="{00000000-0005-0000-0000-0000AC6E0000}"/>
    <cellStyle name="Comma 10 7 14 3 5" xfId="16497" xr:uid="{00000000-0005-0000-0000-000075400000}"/>
    <cellStyle name="Comma 10 7 14 4" xfId="19837" xr:uid="{00000000-0005-0000-0000-0000814D0000}"/>
    <cellStyle name="Comma 10 7 14 4 2" xfId="26695" xr:uid="{00000000-0005-0000-0000-00004B680000}"/>
    <cellStyle name="Comma 10 7 14 4 3" xfId="28623" xr:uid="{00000000-0005-0000-0000-0000D36F0000}"/>
    <cellStyle name="Comma 10 7 14 5" xfId="25732" xr:uid="{00000000-0005-0000-0000-000088640000}"/>
    <cellStyle name="Comma 10 7 14 6" xfId="27659" xr:uid="{00000000-0005-0000-0000-00000F6C0000}"/>
    <cellStyle name="Comma 10 7 14 7" xfId="7570" xr:uid="{00000000-0005-0000-0000-0000961D0000}"/>
    <cellStyle name="Comma 10 7 15" xfId="702" xr:uid="{00000000-0005-0000-0000-0000C2020000}"/>
    <cellStyle name="Comma 10 7 15 2" xfId="1972" xr:uid="{00000000-0005-0000-0000-0000B8070000}"/>
    <cellStyle name="Comma 10 7 15 2 2" xfId="3832" xr:uid="{00000000-0005-0000-0000-0000FC0E0000}"/>
    <cellStyle name="Comma 10 7 15 2 2 2" xfId="26924" xr:uid="{00000000-0005-0000-0000-000030690000}"/>
    <cellStyle name="Comma 10 7 15 2 2 3" xfId="28852" xr:uid="{00000000-0005-0000-0000-0000B8700000}"/>
    <cellStyle name="Comma 10 7 15 2 2 4" xfId="20818" xr:uid="{00000000-0005-0000-0000-000056510000}"/>
    <cellStyle name="Comma 10 7 15 2 3" xfId="25961" xr:uid="{00000000-0005-0000-0000-00006D650000}"/>
    <cellStyle name="Comma 10 7 15 2 4" xfId="27888" xr:uid="{00000000-0005-0000-0000-0000F46C0000}"/>
    <cellStyle name="Comma 10 7 15 2 5" xfId="8613" xr:uid="{00000000-0005-0000-0000-0000A9210000}"/>
    <cellStyle name="Comma 10 7 15 3" xfId="3533" xr:uid="{00000000-0005-0000-0000-0000D10D0000}"/>
    <cellStyle name="Comma 10 7 15 3 2" xfId="23357" xr:uid="{00000000-0005-0000-0000-0000415B0000}"/>
    <cellStyle name="Comma 10 7 15 3 2 2" xfId="27364" xr:uid="{00000000-0005-0000-0000-0000E86A0000}"/>
    <cellStyle name="Comma 10 7 15 3 2 3" xfId="29292" xr:uid="{00000000-0005-0000-0000-000070720000}"/>
    <cellStyle name="Comma 10 7 15 3 3" xfId="26401" xr:uid="{00000000-0005-0000-0000-000025670000}"/>
    <cellStyle name="Comma 10 7 15 3 4" xfId="28329" xr:uid="{00000000-0005-0000-0000-0000AD6E0000}"/>
    <cellStyle name="Comma 10 7 15 3 5" xfId="16498" xr:uid="{00000000-0005-0000-0000-000076400000}"/>
    <cellStyle name="Comma 10 7 15 4" xfId="19838" xr:uid="{00000000-0005-0000-0000-0000824D0000}"/>
    <cellStyle name="Comma 10 7 15 4 2" xfId="26696" xr:uid="{00000000-0005-0000-0000-00004C680000}"/>
    <cellStyle name="Comma 10 7 15 4 3" xfId="28624" xr:uid="{00000000-0005-0000-0000-0000D46F0000}"/>
    <cellStyle name="Comma 10 7 15 5" xfId="25733" xr:uid="{00000000-0005-0000-0000-000089640000}"/>
    <cellStyle name="Comma 10 7 15 6" xfId="27660" xr:uid="{00000000-0005-0000-0000-0000106C0000}"/>
    <cellStyle name="Comma 10 7 15 7" xfId="7571" xr:uid="{00000000-0005-0000-0000-0000971D0000}"/>
    <cellStyle name="Comma 10 7 16" xfId="703" xr:uid="{00000000-0005-0000-0000-0000C3020000}"/>
    <cellStyle name="Comma 10 7 16 2" xfId="1973" xr:uid="{00000000-0005-0000-0000-0000B9070000}"/>
    <cellStyle name="Comma 10 7 16 2 2" xfId="3833" xr:uid="{00000000-0005-0000-0000-0000FD0E0000}"/>
    <cellStyle name="Comma 10 7 16 2 2 2" xfId="26925" xr:uid="{00000000-0005-0000-0000-000031690000}"/>
    <cellStyle name="Comma 10 7 16 2 2 3" xfId="28853" xr:uid="{00000000-0005-0000-0000-0000B9700000}"/>
    <cellStyle name="Comma 10 7 16 2 2 4" xfId="20819" xr:uid="{00000000-0005-0000-0000-000057510000}"/>
    <cellStyle name="Comma 10 7 16 2 3" xfId="25962" xr:uid="{00000000-0005-0000-0000-00006E650000}"/>
    <cellStyle name="Comma 10 7 16 2 4" xfId="27889" xr:uid="{00000000-0005-0000-0000-0000F56C0000}"/>
    <cellStyle name="Comma 10 7 16 2 5" xfId="8614" xr:uid="{00000000-0005-0000-0000-0000AA210000}"/>
    <cellStyle name="Comma 10 7 16 3" xfId="3534" xr:uid="{00000000-0005-0000-0000-0000D20D0000}"/>
    <cellStyle name="Comma 10 7 16 3 2" xfId="23358" xr:uid="{00000000-0005-0000-0000-0000425B0000}"/>
    <cellStyle name="Comma 10 7 16 3 2 2" xfId="27365" xr:uid="{00000000-0005-0000-0000-0000E96A0000}"/>
    <cellStyle name="Comma 10 7 16 3 2 3" xfId="29293" xr:uid="{00000000-0005-0000-0000-000071720000}"/>
    <cellStyle name="Comma 10 7 16 3 3" xfId="26402" xr:uid="{00000000-0005-0000-0000-000026670000}"/>
    <cellStyle name="Comma 10 7 16 3 4" xfId="28330" xr:uid="{00000000-0005-0000-0000-0000AE6E0000}"/>
    <cellStyle name="Comma 10 7 16 3 5" xfId="16499" xr:uid="{00000000-0005-0000-0000-000077400000}"/>
    <cellStyle name="Comma 10 7 16 4" xfId="19839" xr:uid="{00000000-0005-0000-0000-0000834D0000}"/>
    <cellStyle name="Comma 10 7 16 4 2" xfId="26697" xr:uid="{00000000-0005-0000-0000-00004D680000}"/>
    <cellStyle name="Comma 10 7 16 4 3" xfId="28625" xr:uid="{00000000-0005-0000-0000-0000D56F0000}"/>
    <cellStyle name="Comma 10 7 16 5" xfId="25734" xr:uid="{00000000-0005-0000-0000-00008A640000}"/>
    <cellStyle name="Comma 10 7 16 6" xfId="27661" xr:uid="{00000000-0005-0000-0000-0000116C0000}"/>
    <cellStyle name="Comma 10 7 16 7" xfId="7572" xr:uid="{00000000-0005-0000-0000-0000981D0000}"/>
    <cellStyle name="Comma 10 7 17" xfId="704" xr:uid="{00000000-0005-0000-0000-0000C4020000}"/>
    <cellStyle name="Comma 10 7 17 2" xfId="1974" xr:uid="{00000000-0005-0000-0000-0000BA070000}"/>
    <cellStyle name="Comma 10 7 17 2 2" xfId="3834" xr:uid="{00000000-0005-0000-0000-0000FE0E0000}"/>
    <cellStyle name="Comma 10 7 17 2 2 2" xfId="26926" xr:uid="{00000000-0005-0000-0000-000032690000}"/>
    <cellStyle name="Comma 10 7 17 2 2 3" xfId="28854" xr:uid="{00000000-0005-0000-0000-0000BA700000}"/>
    <cellStyle name="Comma 10 7 17 2 2 4" xfId="20820" xr:uid="{00000000-0005-0000-0000-000058510000}"/>
    <cellStyle name="Comma 10 7 17 2 3" xfId="25963" xr:uid="{00000000-0005-0000-0000-00006F650000}"/>
    <cellStyle name="Comma 10 7 17 2 4" xfId="27890" xr:uid="{00000000-0005-0000-0000-0000F66C0000}"/>
    <cellStyle name="Comma 10 7 17 2 5" xfId="8615" xr:uid="{00000000-0005-0000-0000-0000AB210000}"/>
    <cellStyle name="Comma 10 7 17 3" xfId="3535" xr:uid="{00000000-0005-0000-0000-0000D30D0000}"/>
    <cellStyle name="Comma 10 7 17 3 2" xfId="23359" xr:uid="{00000000-0005-0000-0000-0000435B0000}"/>
    <cellStyle name="Comma 10 7 17 3 2 2" xfId="27366" xr:uid="{00000000-0005-0000-0000-0000EA6A0000}"/>
    <cellStyle name="Comma 10 7 17 3 2 3" xfId="29294" xr:uid="{00000000-0005-0000-0000-000072720000}"/>
    <cellStyle name="Comma 10 7 17 3 3" xfId="26403" xr:uid="{00000000-0005-0000-0000-000027670000}"/>
    <cellStyle name="Comma 10 7 17 3 4" xfId="28331" xr:uid="{00000000-0005-0000-0000-0000AF6E0000}"/>
    <cellStyle name="Comma 10 7 17 3 5" xfId="16500" xr:uid="{00000000-0005-0000-0000-000078400000}"/>
    <cellStyle name="Comma 10 7 17 4" xfId="19840" xr:uid="{00000000-0005-0000-0000-0000844D0000}"/>
    <cellStyle name="Comma 10 7 17 4 2" xfId="26698" xr:uid="{00000000-0005-0000-0000-00004E680000}"/>
    <cellStyle name="Comma 10 7 17 4 3" xfId="28626" xr:uid="{00000000-0005-0000-0000-0000D66F0000}"/>
    <cellStyle name="Comma 10 7 17 5" xfId="25735" xr:uid="{00000000-0005-0000-0000-00008B640000}"/>
    <cellStyle name="Comma 10 7 17 6" xfId="27662" xr:uid="{00000000-0005-0000-0000-0000126C0000}"/>
    <cellStyle name="Comma 10 7 17 7" xfId="7573" xr:uid="{00000000-0005-0000-0000-0000991D0000}"/>
    <cellStyle name="Comma 10 7 18" xfId="1966" xr:uid="{00000000-0005-0000-0000-0000B2070000}"/>
    <cellStyle name="Comma 10 7 18 2" xfId="3826" xr:uid="{00000000-0005-0000-0000-0000F60E0000}"/>
    <cellStyle name="Comma 10 7 18 2 2" xfId="26918" xr:uid="{00000000-0005-0000-0000-00002A690000}"/>
    <cellStyle name="Comma 10 7 18 2 3" xfId="28846" xr:uid="{00000000-0005-0000-0000-0000B2700000}"/>
    <cellStyle name="Comma 10 7 18 2 4" xfId="20812" xr:uid="{00000000-0005-0000-0000-000050510000}"/>
    <cellStyle name="Comma 10 7 18 3" xfId="25955" xr:uid="{00000000-0005-0000-0000-000067650000}"/>
    <cellStyle name="Comma 10 7 18 4" xfId="27882" xr:uid="{00000000-0005-0000-0000-0000EE6C0000}"/>
    <cellStyle name="Comma 10 7 18 5" xfId="8607" xr:uid="{00000000-0005-0000-0000-0000A3210000}"/>
    <cellStyle name="Comma 10 7 19" xfId="3527" xr:uid="{00000000-0005-0000-0000-0000CB0D0000}"/>
    <cellStyle name="Comma 10 7 19 2" xfId="23351" xr:uid="{00000000-0005-0000-0000-00003B5B0000}"/>
    <cellStyle name="Comma 10 7 19 2 2" xfId="27358" xr:uid="{00000000-0005-0000-0000-0000E26A0000}"/>
    <cellStyle name="Comma 10 7 19 2 3" xfId="29286" xr:uid="{00000000-0005-0000-0000-00006A720000}"/>
    <cellStyle name="Comma 10 7 19 3" xfId="26395" xr:uid="{00000000-0005-0000-0000-00001F670000}"/>
    <cellStyle name="Comma 10 7 19 4" xfId="28323" xr:uid="{00000000-0005-0000-0000-0000A76E0000}"/>
    <cellStyle name="Comma 10 7 19 5" xfId="16492" xr:uid="{00000000-0005-0000-0000-000070400000}"/>
    <cellStyle name="Comma 10 7 2" xfId="705" xr:uid="{00000000-0005-0000-0000-0000C5020000}"/>
    <cellStyle name="Comma 10 7 2 2" xfId="1975" xr:uid="{00000000-0005-0000-0000-0000BB070000}"/>
    <cellStyle name="Comma 10 7 2 2 2" xfId="3835" xr:uid="{00000000-0005-0000-0000-0000FF0E0000}"/>
    <cellStyle name="Comma 10 7 2 2 2 2" xfId="26927" xr:uid="{00000000-0005-0000-0000-000033690000}"/>
    <cellStyle name="Comma 10 7 2 2 2 3" xfId="28855" xr:uid="{00000000-0005-0000-0000-0000BB700000}"/>
    <cellStyle name="Comma 10 7 2 2 2 4" xfId="20821" xr:uid="{00000000-0005-0000-0000-000059510000}"/>
    <cellStyle name="Comma 10 7 2 2 3" xfId="25964" xr:uid="{00000000-0005-0000-0000-000070650000}"/>
    <cellStyle name="Comma 10 7 2 2 4" xfId="27891" xr:uid="{00000000-0005-0000-0000-0000F76C0000}"/>
    <cellStyle name="Comma 10 7 2 2 5" xfId="8616" xr:uid="{00000000-0005-0000-0000-0000AC210000}"/>
    <cellStyle name="Comma 10 7 2 3" xfId="3536" xr:uid="{00000000-0005-0000-0000-0000D40D0000}"/>
    <cellStyle name="Comma 10 7 2 3 2" xfId="23360" xr:uid="{00000000-0005-0000-0000-0000445B0000}"/>
    <cellStyle name="Comma 10 7 2 3 2 2" xfId="27367" xr:uid="{00000000-0005-0000-0000-0000EB6A0000}"/>
    <cellStyle name="Comma 10 7 2 3 2 3" xfId="29295" xr:uid="{00000000-0005-0000-0000-000073720000}"/>
    <cellStyle name="Comma 10 7 2 3 3" xfId="26404" xr:uid="{00000000-0005-0000-0000-000028670000}"/>
    <cellStyle name="Comma 10 7 2 3 4" xfId="28332" xr:uid="{00000000-0005-0000-0000-0000B06E0000}"/>
    <cellStyle name="Comma 10 7 2 3 5" xfId="16501" xr:uid="{00000000-0005-0000-0000-000079400000}"/>
    <cellStyle name="Comma 10 7 2 4" xfId="19841" xr:uid="{00000000-0005-0000-0000-0000854D0000}"/>
    <cellStyle name="Comma 10 7 2 4 2" xfId="26699" xr:uid="{00000000-0005-0000-0000-00004F680000}"/>
    <cellStyle name="Comma 10 7 2 4 3" xfId="28627" xr:uid="{00000000-0005-0000-0000-0000D76F0000}"/>
    <cellStyle name="Comma 10 7 2 5" xfId="25736" xr:uid="{00000000-0005-0000-0000-00008C640000}"/>
    <cellStyle name="Comma 10 7 2 6" xfId="27663" xr:uid="{00000000-0005-0000-0000-0000136C0000}"/>
    <cellStyle name="Comma 10 7 2 7" xfId="7574" xr:uid="{00000000-0005-0000-0000-00009A1D0000}"/>
    <cellStyle name="Comma 10 7 20" xfId="19832" xr:uid="{00000000-0005-0000-0000-00007C4D0000}"/>
    <cellStyle name="Comma 10 7 20 2" xfId="26690" xr:uid="{00000000-0005-0000-0000-000046680000}"/>
    <cellStyle name="Comma 10 7 20 3" xfId="28618" xr:uid="{00000000-0005-0000-0000-0000CE6F0000}"/>
    <cellStyle name="Comma 10 7 21" xfId="25727" xr:uid="{00000000-0005-0000-0000-000083640000}"/>
    <cellStyle name="Comma 10 7 22" xfId="27654" xr:uid="{00000000-0005-0000-0000-00000A6C0000}"/>
    <cellStyle name="Comma 10 7 23" xfId="7565" xr:uid="{00000000-0005-0000-0000-0000911D0000}"/>
    <cellStyle name="Comma 10 7 3" xfId="706" xr:uid="{00000000-0005-0000-0000-0000C6020000}"/>
    <cellStyle name="Comma 10 7 3 2" xfId="1976" xr:uid="{00000000-0005-0000-0000-0000BC070000}"/>
    <cellStyle name="Comma 10 7 3 2 2" xfId="3836" xr:uid="{00000000-0005-0000-0000-0000000F0000}"/>
    <cellStyle name="Comma 10 7 3 2 2 2" xfId="26928" xr:uid="{00000000-0005-0000-0000-000034690000}"/>
    <cellStyle name="Comma 10 7 3 2 2 3" xfId="28856" xr:uid="{00000000-0005-0000-0000-0000BC700000}"/>
    <cellStyle name="Comma 10 7 3 2 2 4" xfId="20822" xr:uid="{00000000-0005-0000-0000-00005A510000}"/>
    <cellStyle name="Comma 10 7 3 2 3" xfId="25965" xr:uid="{00000000-0005-0000-0000-000071650000}"/>
    <cellStyle name="Comma 10 7 3 2 4" xfId="27892" xr:uid="{00000000-0005-0000-0000-0000F86C0000}"/>
    <cellStyle name="Comma 10 7 3 2 5" xfId="8617" xr:uid="{00000000-0005-0000-0000-0000AD210000}"/>
    <cellStyle name="Comma 10 7 3 3" xfId="3537" xr:uid="{00000000-0005-0000-0000-0000D50D0000}"/>
    <cellStyle name="Comma 10 7 3 3 2" xfId="23361" xr:uid="{00000000-0005-0000-0000-0000455B0000}"/>
    <cellStyle name="Comma 10 7 3 3 2 2" xfId="27368" xr:uid="{00000000-0005-0000-0000-0000EC6A0000}"/>
    <cellStyle name="Comma 10 7 3 3 2 3" xfId="29296" xr:uid="{00000000-0005-0000-0000-000074720000}"/>
    <cellStyle name="Comma 10 7 3 3 3" xfId="26405" xr:uid="{00000000-0005-0000-0000-000029670000}"/>
    <cellStyle name="Comma 10 7 3 3 4" xfId="28333" xr:uid="{00000000-0005-0000-0000-0000B16E0000}"/>
    <cellStyle name="Comma 10 7 3 3 5" xfId="16502" xr:uid="{00000000-0005-0000-0000-00007A400000}"/>
    <cellStyle name="Comma 10 7 3 4" xfId="19842" xr:uid="{00000000-0005-0000-0000-0000864D0000}"/>
    <cellStyle name="Comma 10 7 3 4 2" xfId="26700" xr:uid="{00000000-0005-0000-0000-000050680000}"/>
    <cellStyle name="Comma 10 7 3 4 3" xfId="28628" xr:uid="{00000000-0005-0000-0000-0000D86F0000}"/>
    <cellStyle name="Comma 10 7 3 5" xfId="25737" xr:uid="{00000000-0005-0000-0000-00008D640000}"/>
    <cellStyle name="Comma 10 7 3 6" xfId="27664" xr:uid="{00000000-0005-0000-0000-0000146C0000}"/>
    <cellStyle name="Comma 10 7 3 7" xfId="7575" xr:uid="{00000000-0005-0000-0000-00009B1D0000}"/>
    <cellStyle name="Comma 10 7 4" xfId="707" xr:uid="{00000000-0005-0000-0000-0000C7020000}"/>
    <cellStyle name="Comma 10 7 4 2" xfId="1977" xr:uid="{00000000-0005-0000-0000-0000BD070000}"/>
    <cellStyle name="Comma 10 7 4 2 2" xfId="3837" xr:uid="{00000000-0005-0000-0000-0000010F0000}"/>
    <cellStyle name="Comma 10 7 4 2 2 2" xfId="26929" xr:uid="{00000000-0005-0000-0000-000035690000}"/>
    <cellStyle name="Comma 10 7 4 2 2 3" xfId="28857" xr:uid="{00000000-0005-0000-0000-0000BD700000}"/>
    <cellStyle name="Comma 10 7 4 2 2 4" xfId="20823" xr:uid="{00000000-0005-0000-0000-00005B510000}"/>
    <cellStyle name="Comma 10 7 4 2 3" xfId="25966" xr:uid="{00000000-0005-0000-0000-000072650000}"/>
    <cellStyle name="Comma 10 7 4 2 4" xfId="27893" xr:uid="{00000000-0005-0000-0000-0000F96C0000}"/>
    <cellStyle name="Comma 10 7 4 2 5" xfId="8618" xr:uid="{00000000-0005-0000-0000-0000AE210000}"/>
    <cellStyle name="Comma 10 7 4 3" xfId="3538" xr:uid="{00000000-0005-0000-0000-0000D60D0000}"/>
    <cellStyle name="Comma 10 7 4 3 2" xfId="23362" xr:uid="{00000000-0005-0000-0000-0000465B0000}"/>
    <cellStyle name="Comma 10 7 4 3 2 2" xfId="27369" xr:uid="{00000000-0005-0000-0000-0000ED6A0000}"/>
    <cellStyle name="Comma 10 7 4 3 2 3" xfId="29297" xr:uid="{00000000-0005-0000-0000-000075720000}"/>
    <cellStyle name="Comma 10 7 4 3 3" xfId="26406" xr:uid="{00000000-0005-0000-0000-00002A670000}"/>
    <cellStyle name="Comma 10 7 4 3 4" xfId="28334" xr:uid="{00000000-0005-0000-0000-0000B26E0000}"/>
    <cellStyle name="Comma 10 7 4 3 5" xfId="16503" xr:uid="{00000000-0005-0000-0000-00007B400000}"/>
    <cellStyle name="Comma 10 7 4 4" xfId="19843" xr:uid="{00000000-0005-0000-0000-0000874D0000}"/>
    <cellStyle name="Comma 10 7 4 4 2" xfId="26701" xr:uid="{00000000-0005-0000-0000-000051680000}"/>
    <cellStyle name="Comma 10 7 4 4 3" xfId="28629" xr:uid="{00000000-0005-0000-0000-0000D96F0000}"/>
    <cellStyle name="Comma 10 7 4 5" xfId="25738" xr:uid="{00000000-0005-0000-0000-00008E640000}"/>
    <cellStyle name="Comma 10 7 4 6" xfId="27665" xr:uid="{00000000-0005-0000-0000-0000156C0000}"/>
    <cellStyle name="Comma 10 7 4 7" xfId="7576" xr:uid="{00000000-0005-0000-0000-00009C1D0000}"/>
    <cellStyle name="Comma 10 7 5" xfId="708" xr:uid="{00000000-0005-0000-0000-0000C8020000}"/>
    <cellStyle name="Comma 10 7 5 2" xfId="1978" xr:uid="{00000000-0005-0000-0000-0000BE070000}"/>
    <cellStyle name="Comma 10 7 5 2 2" xfId="3838" xr:uid="{00000000-0005-0000-0000-0000020F0000}"/>
    <cellStyle name="Comma 10 7 5 2 2 2" xfId="26930" xr:uid="{00000000-0005-0000-0000-000036690000}"/>
    <cellStyle name="Comma 10 7 5 2 2 3" xfId="28858" xr:uid="{00000000-0005-0000-0000-0000BE700000}"/>
    <cellStyle name="Comma 10 7 5 2 2 4" xfId="20824" xr:uid="{00000000-0005-0000-0000-00005C510000}"/>
    <cellStyle name="Comma 10 7 5 2 3" xfId="25967" xr:uid="{00000000-0005-0000-0000-000073650000}"/>
    <cellStyle name="Comma 10 7 5 2 4" xfId="27894" xr:uid="{00000000-0005-0000-0000-0000FA6C0000}"/>
    <cellStyle name="Comma 10 7 5 2 5" xfId="8619" xr:uid="{00000000-0005-0000-0000-0000AF210000}"/>
    <cellStyle name="Comma 10 7 5 3" xfId="3539" xr:uid="{00000000-0005-0000-0000-0000D70D0000}"/>
    <cellStyle name="Comma 10 7 5 3 2" xfId="23363" xr:uid="{00000000-0005-0000-0000-0000475B0000}"/>
    <cellStyle name="Comma 10 7 5 3 2 2" xfId="27370" xr:uid="{00000000-0005-0000-0000-0000EE6A0000}"/>
    <cellStyle name="Comma 10 7 5 3 2 3" xfId="29298" xr:uid="{00000000-0005-0000-0000-000076720000}"/>
    <cellStyle name="Comma 10 7 5 3 3" xfId="26407" xr:uid="{00000000-0005-0000-0000-00002B670000}"/>
    <cellStyle name="Comma 10 7 5 3 4" xfId="28335" xr:uid="{00000000-0005-0000-0000-0000B36E0000}"/>
    <cellStyle name="Comma 10 7 5 3 5" xfId="16504" xr:uid="{00000000-0005-0000-0000-00007C400000}"/>
    <cellStyle name="Comma 10 7 5 4" xfId="19844" xr:uid="{00000000-0005-0000-0000-0000884D0000}"/>
    <cellStyle name="Comma 10 7 5 4 2" xfId="26702" xr:uid="{00000000-0005-0000-0000-000052680000}"/>
    <cellStyle name="Comma 10 7 5 4 3" xfId="28630" xr:uid="{00000000-0005-0000-0000-0000DA6F0000}"/>
    <cellStyle name="Comma 10 7 5 5" xfId="25739" xr:uid="{00000000-0005-0000-0000-00008F640000}"/>
    <cellStyle name="Comma 10 7 5 6" xfId="27666" xr:uid="{00000000-0005-0000-0000-0000166C0000}"/>
    <cellStyle name="Comma 10 7 5 7" xfId="7577" xr:uid="{00000000-0005-0000-0000-00009D1D0000}"/>
    <cellStyle name="Comma 10 7 6" xfId="709" xr:uid="{00000000-0005-0000-0000-0000C9020000}"/>
    <cellStyle name="Comma 10 7 6 2" xfId="1979" xr:uid="{00000000-0005-0000-0000-0000BF070000}"/>
    <cellStyle name="Comma 10 7 6 2 2" xfId="3839" xr:uid="{00000000-0005-0000-0000-0000030F0000}"/>
    <cellStyle name="Comma 10 7 6 2 2 2" xfId="26931" xr:uid="{00000000-0005-0000-0000-000037690000}"/>
    <cellStyle name="Comma 10 7 6 2 2 3" xfId="28859" xr:uid="{00000000-0005-0000-0000-0000BF700000}"/>
    <cellStyle name="Comma 10 7 6 2 2 4" xfId="20825" xr:uid="{00000000-0005-0000-0000-00005D510000}"/>
    <cellStyle name="Comma 10 7 6 2 3" xfId="25968" xr:uid="{00000000-0005-0000-0000-000074650000}"/>
    <cellStyle name="Comma 10 7 6 2 4" xfId="27895" xr:uid="{00000000-0005-0000-0000-0000FB6C0000}"/>
    <cellStyle name="Comma 10 7 6 2 5" xfId="8620" xr:uid="{00000000-0005-0000-0000-0000B0210000}"/>
    <cellStyle name="Comma 10 7 6 3" xfId="3540" xr:uid="{00000000-0005-0000-0000-0000D80D0000}"/>
    <cellStyle name="Comma 10 7 6 3 2" xfId="23364" xr:uid="{00000000-0005-0000-0000-0000485B0000}"/>
    <cellStyle name="Comma 10 7 6 3 2 2" xfId="27371" xr:uid="{00000000-0005-0000-0000-0000EF6A0000}"/>
    <cellStyle name="Comma 10 7 6 3 2 3" xfId="29299" xr:uid="{00000000-0005-0000-0000-000077720000}"/>
    <cellStyle name="Comma 10 7 6 3 3" xfId="26408" xr:uid="{00000000-0005-0000-0000-00002C670000}"/>
    <cellStyle name="Comma 10 7 6 3 4" xfId="28336" xr:uid="{00000000-0005-0000-0000-0000B46E0000}"/>
    <cellStyle name="Comma 10 7 6 3 5" xfId="16505" xr:uid="{00000000-0005-0000-0000-00007D400000}"/>
    <cellStyle name="Comma 10 7 6 4" xfId="19845" xr:uid="{00000000-0005-0000-0000-0000894D0000}"/>
    <cellStyle name="Comma 10 7 6 4 2" xfId="26703" xr:uid="{00000000-0005-0000-0000-000053680000}"/>
    <cellStyle name="Comma 10 7 6 4 3" xfId="28631" xr:uid="{00000000-0005-0000-0000-0000DB6F0000}"/>
    <cellStyle name="Comma 10 7 6 5" xfId="25740" xr:uid="{00000000-0005-0000-0000-000090640000}"/>
    <cellStyle name="Comma 10 7 6 6" xfId="27667" xr:uid="{00000000-0005-0000-0000-0000176C0000}"/>
    <cellStyle name="Comma 10 7 6 7" xfId="7578" xr:uid="{00000000-0005-0000-0000-00009E1D0000}"/>
    <cellStyle name="Comma 10 7 7" xfId="710" xr:uid="{00000000-0005-0000-0000-0000CA020000}"/>
    <cellStyle name="Comma 10 7 7 2" xfId="1980" xr:uid="{00000000-0005-0000-0000-0000C0070000}"/>
    <cellStyle name="Comma 10 7 7 2 2" xfId="3840" xr:uid="{00000000-0005-0000-0000-0000040F0000}"/>
    <cellStyle name="Comma 10 7 7 2 2 2" xfId="26932" xr:uid="{00000000-0005-0000-0000-000038690000}"/>
    <cellStyle name="Comma 10 7 7 2 2 3" xfId="28860" xr:uid="{00000000-0005-0000-0000-0000C0700000}"/>
    <cellStyle name="Comma 10 7 7 2 2 4" xfId="20826" xr:uid="{00000000-0005-0000-0000-00005E510000}"/>
    <cellStyle name="Comma 10 7 7 2 3" xfId="25969" xr:uid="{00000000-0005-0000-0000-000075650000}"/>
    <cellStyle name="Comma 10 7 7 2 4" xfId="27896" xr:uid="{00000000-0005-0000-0000-0000FC6C0000}"/>
    <cellStyle name="Comma 10 7 7 2 5" xfId="8621" xr:uid="{00000000-0005-0000-0000-0000B1210000}"/>
    <cellStyle name="Comma 10 7 7 3" xfId="3541" xr:uid="{00000000-0005-0000-0000-0000D90D0000}"/>
    <cellStyle name="Comma 10 7 7 3 2" xfId="23365" xr:uid="{00000000-0005-0000-0000-0000495B0000}"/>
    <cellStyle name="Comma 10 7 7 3 2 2" xfId="27372" xr:uid="{00000000-0005-0000-0000-0000F06A0000}"/>
    <cellStyle name="Comma 10 7 7 3 2 3" xfId="29300" xr:uid="{00000000-0005-0000-0000-000078720000}"/>
    <cellStyle name="Comma 10 7 7 3 3" xfId="26409" xr:uid="{00000000-0005-0000-0000-00002D670000}"/>
    <cellStyle name="Comma 10 7 7 3 4" xfId="28337" xr:uid="{00000000-0005-0000-0000-0000B56E0000}"/>
    <cellStyle name="Comma 10 7 7 3 5" xfId="16506" xr:uid="{00000000-0005-0000-0000-00007E400000}"/>
    <cellStyle name="Comma 10 7 7 4" xfId="19846" xr:uid="{00000000-0005-0000-0000-00008A4D0000}"/>
    <cellStyle name="Comma 10 7 7 4 2" xfId="26704" xr:uid="{00000000-0005-0000-0000-000054680000}"/>
    <cellStyle name="Comma 10 7 7 4 3" xfId="28632" xr:uid="{00000000-0005-0000-0000-0000DC6F0000}"/>
    <cellStyle name="Comma 10 7 7 5" xfId="25741" xr:uid="{00000000-0005-0000-0000-000091640000}"/>
    <cellStyle name="Comma 10 7 7 6" xfId="27668" xr:uid="{00000000-0005-0000-0000-0000186C0000}"/>
    <cellStyle name="Comma 10 7 7 7" xfId="7579" xr:uid="{00000000-0005-0000-0000-00009F1D0000}"/>
    <cellStyle name="Comma 10 7 8" xfId="711" xr:uid="{00000000-0005-0000-0000-0000CB020000}"/>
    <cellStyle name="Comma 10 7 8 2" xfId="1981" xr:uid="{00000000-0005-0000-0000-0000C1070000}"/>
    <cellStyle name="Comma 10 7 8 2 2" xfId="3841" xr:uid="{00000000-0005-0000-0000-0000050F0000}"/>
    <cellStyle name="Comma 10 7 8 2 2 2" xfId="26933" xr:uid="{00000000-0005-0000-0000-000039690000}"/>
    <cellStyle name="Comma 10 7 8 2 2 3" xfId="28861" xr:uid="{00000000-0005-0000-0000-0000C1700000}"/>
    <cellStyle name="Comma 10 7 8 2 2 4" xfId="20827" xr:uid="{00000000-0005-0000-0000-00005F510000}"/>
    <cellStyle name="Comma 10 7 8 2 3" xfId="25970" xr:uid="{00000000-0005-0000-0000-000076650000}"/>
    <cellStyle name="Comma 10 7 8 2 4" xfId="27897" xr:uid="{00000000-0005-0000-0000-0000FD6C0000}"/>
    <cellStyle name="Comma 10 7 8 2 5" xfId="8622" xr:uid="{00000000-0005-0000-0000-0000B2210000}"/>
    <cellStyle name="Comma 10 7 8 3" xfId="3542" xr:uid="{00000000-0005-0000-0000-0000DA0D0000}"/>
    <cellStyle name="Comma 10 7 8 3 2" xfId="23366" xr:uid="{00000000-0005-0000-0000-00004A5B0000}"/>
    <cellStyle name="Comma 10 7 8 3 2 2" xfId="27373" xr:uid="{00000000-0005-0000-0000-0000F16A0000}"/>
    <cellStyle name="Comma 10 7 8 3 2 3" xfId="29301" xr:uid="{00000000-0005-0000-0000-000079720000}"/>
    <cellStyle name="Comma 10 7 8 3 3" xfId="26410" xr:uid="{00000000-0005-0000-0000-00002E670000}"/>
    <cellStyle name="Comma 10 7 8 3 4" xfId="28338" xr:uid="{00000000-0005-0000-0000-0000B66E0000}"/>
    <cellStyle name="Comma 10 7 8 3 5" xfId="16507" xr:uid="{00000000-0005-0000-0000-00007F400000}"/>
    <cellStyle name="Comma 10 7 8 4" xfId="19847" xr:uid="{00000000-0005-0000-0000-00008B4D0000}"/>
    <cellStyle name="Comma 10 7 8 4 2" xfId="26705" xr:uid="{00000000-0005-0000-0000-000055680000}"/>
    <cellStyle name="Comma 10 7 8 4 3" xfId="28633" xr:uid="{00000000-0005-0000-0000-0000DD6F0000}"/>
    <cellStyle name="Comma 10 7 8 5" xfId="25742" xr:uid="{00000000-0005-0000-0000-000092640000}"/>
    <cellStyle name="Comma 10 7 8 6" xfId="27669" xr:uid="{00000000-0005-0000-0000-0000196C0000}"/>
    <cellStyle name="Comma 10 7 8 7" xfId="7580" xr:uid="{00000000-0005-0000-0000-0000A01D0000}"/>
    <cellStyle name="Comma 10 7 9" xfId="712" xr:uid="{00000000-0005-0000-0000-0000CC020000}"/>
    <cellStyle name="Comma 10 7 9 2" xfId="1982" xr:uid="{00000000-0005-0000-0000-0000C2070000}"/>
    <cellStyle name="Comma 10 7 9 2 2" xfId="3842" xr:uid="{00000000-0005-0000-0000-0000060F0000}"/>
    <cellStyle name="Comma 10 7 9 2 2 2" xfId="26934" xr:uid="{00000000-0005-0000-0000-00003A690000}"/>
    <cellStyle name="Comma 10 7 9 2 2 3" xfId="28862" xr:uid="{00000000-0005-0000-0000-0000C2700000}"/>
    <cellStyle name="Comma 10 7 9 2 2 4" xfId="20828" xr:uid="{00000000-0005-0000-0000-000060510000}"/>
    <cellStyle name="Comma 10 7 9 2 3" xfId="25971" xr:uid="{00000000-0005-0000-0000-000077650000}"/>
    <cellStyle name="Comma 10 7 9 2 4" xfId="27898" xr:uid="{00000000-0005-0000-0000-0000FE6C0000}"/>
    <cellStyle name="Comma 10 7 9 2 5" xfId="8623" xr:uid="{00000000-0005-0000-0000-0000B3210000}"/>
    <cellStyle name="Comma 10 7 9 3" xfId="3543" xr:uid="{00000000-0005-0000-0000-0000DB0D0000}"/>
    <cellStyle name="Comma 10 7 9 3 2" xfId="23367" xr:uid="{00000000-0005-0000-0000-00004B5B0000}"/>
    <cellStyle name="Comma 10 7 9 3 2 2" xfId="27374" xr:uid="{00000000-0005-0000-0000-0000F26A0000}"/>
    <cellStyle name="Comma 10 7 9 3 2 3" xfId="29302" xr:uid="{00000000-0005-0000-0000-00007A720000}"/>
    <cellStyle name="Comma 10 7 9 3 3" xfId="26411" xr:uid="{00000000-0005-0000-0000-00002F670000}"/>
    <cellStyle name="Comma 10 7 9 3 4" xfId="28339" xr:uid="{00000000-0005-0000-0000-0000B76E0000}"/>
    <cellStyle name="Comma 10 7 9 3 5" xfId="16508" xr:uid="{00000000-0005-0000-0000-000080400000}"/>
    <cellStyle name="Comma 10 7 9 4" xfId="19848" xr:uid="{00000000-0005-0000-0000-00008C4D0000}"/>
    <cellStyle name="Comma 10 7 9 4 2" xfId="26706" xr:uid="{00000000-0005-0000-0000-000056680000}"/>
    <cellStyle name="Comma 10 7 9 4 3" xfId="28634" xr:uid="{00000000-0005-0000-0000-0000DE6F0000}"/>
    <cellStyle name="Comma 10 7 9 5" xfId="25743" xr:uid="{00000000-0005-0000-0000-000093640000}"/>
    <cellStyle name="Comma 10 7 9 6" xfId="27670" xr:uid="{00000000-0005-0000-0000-00001A6C0000}"/>
    <cellStyle name="Comma 10 7 9 7" xfId="7581" xr:uid="{00000000-0005-0000-0000-0000A11D0000}"/>
    <cellStyle name="Comma 10 8" xfId="713" xr:uid="{00000000-0005-0000-0000-0000CD020000}"/>
    <cellStyle name="Comma 10 8 10" xfId="714" xr:uid="{00000000-0005-0000-0000-0000CE020000}"/>
    <cellStyle name="Comma 10 8 10 2" xfId="1984" xr:uid="{00000000-0005-0000-0000-0000C4070000}"/>
    <cellStyle name="Comma 10 8 10 2 2" xfId="3844" xr:uid="{00000000-0005-0000-0000-0000080F0000}"/>
    <cellStyle name="Comma 10 8 10 2 2 2" xfId="26936" xr:uid="{00000000-0005-0000-0000-00003C690000}"/>
    <cellStyle name="Comma 10 8 10 2 2 3" xfId="28864" xr:uid="{00000000-0005-0000-0000-0000C4700000}"/>
    <cellStyle name="Comma 10 8 10 2 2 4" xfId="20830" xr:uid="{00000000-0005-0000-0000-000062510000}"/>
    <cellStyle name="Comma 10 8 10 2 3" xfId="25973" xr:uid="{00000000-0005-0000-0000-000079650000}"/>
    <cellStyle name="Comma 10 8 10 2 4" xfId="27900" xr:uid="{00000000-0005-0000-0000-0000006D0000}"/>
    <cellStyle name="Comma 10 8 10 2 5" xfId="8625" xr:uid="{00000000-0005-0000-0000-0000B5210000}"/>
    <cellStyle name="Comma 10 8 10 3" xfId="3545" xr:uid="{00000000-0005-0000-0000-0000DD0D0000}"/>
    <cellStyle name="Comma 10 8 10 3 2" xfId="23369" xr:uid="{00000000-0005-0000-0000-00004D5B0000}"/>
    <cellStyle name="Comma 10 8 10 3 2 2" xfId="27376" xr:uid="{00000000-0005-0000-0000-0000F46A0000}"/>
    <cellStyle name="Comma 10 8 10 3 2 3" xfId="29304" xr:uid="{00000000-0005-0000-0000-00007C720000}"/>
    <cellStyle name="Comma 10 8 10 3 3" xfId="26413" xr:uid="{00000000-0005-0000-0000-000031670000}"/>
    <cellStyle name="Comma 10 8 10 3 4" xfId="28341" xr:uid="{00000000-0005-0000-0000-0000B96E0000}"/>
    <cellStyle name="Comma 10 8 10 3 5" xfId="16510" xr:uid="{00000000-0005-0000-0000-000082400000}"/>
    <cellStyle name="Comma 10 8 10 4" xfId="19850" xr:uid="{00000000-0005-0000-0000-00008E4D0000}"/>
    <cellStyle name="Comma 10 8 10 4 2" xfId="26708" xr:uid="{00000000-0005-0000-0000-000058680000}"/>
    <cellStyle name="Comma 10 8 10 4 3" xfId="28636" xr:uid="{00000000-0005-0000-0000-0000E06F0000}"/>
    <cellStyle name="Comma 10 8 10 5" xfId="25745" xr:uid="{00000000-0005-0000-0000-000095640000}"/>
    <cellStyle name="Comma 10 8 10 6" xfId="27672" xr:uid="{00000000-0005-0000-0000-00001C6C0000}"/>
    <cellStyle name="Comma 10 8 10 7" xfId="7583" xr:uid="{00000000-0005-0000-0000-0000A31D0000}"/>
    <cellStyle name="Comma 10 8 11" xfId="715" xr:uid="{00000000-0005-0000-0000-0000CF020000}"/>
    <cellStyle name="Comma 10 8 11 2" xfId="1985" xr:uid="{00000000-0005-0000-0000-0000C5070000}"/>
    <cellStyle name="Comma 10 8 11 2 2" xfId="3845" xr:uid="{00000000-0005-0000-0000-0000090F0000}"/>
    <cellStyle name="Comma 10 8 11 2 2 2" xfId="26937" xr:uid="{00000000-0005-0000-0000-00003D690000}"/>
    <cellStyle name="Comma 10 8 11 2 2 3" xfId="28865" xr:uid="{00000000-0005-0000-0000-0000C5700000}"/>
    <cellStyle name="Comma 10 8 11 2 2 4" xfId="20831" xr:uid="{00000000-0005-0000-0000-000063510000}"/>
    <cellStyle name="Comma 10 8 11 2 3" xfId="25974" xr:uid="{00000000-0005-0000-0000-00007A650000}"/>
    <cellStyle name="Comma 10 8 11 2 4" xfId="27901" xr:uid="{00000000-0005-0000-0000-0000016D0000}"/>
    <cellStyle name="Comma 10 8 11 2 5" xfId="8626" xr:uid="{00000000-0005-0000-0000-0000B6210000}"/>
    <cellStyle name="Comma 10 8 11 3" xfId="3546" xr:uid="{00000000-0005-0000-0000-0000DE0D0000}"/>
    <cellStyle name="Comma 10 8 11 3 2" xfId="23370" xr:uid="{00000000-0005-0000-0000-00004E5B0000}"/>
    <cellStyle name="Comma 10 8 11 3 2 2" xfId="27377" xr:uid="{00000000-0005-0000-0000-0000F56A0000}"/>
    <cellStyle name="Comma 10 8 11 3 2 3" xfId="29305" xr:uid="{00000000-0005-0000-0000-00007D720000}"/>
    <cellStyle name="Comma 10 8 11 3 3" xfId="26414" xr:uid="{00000000-0005-0000-0000-000032670000}"/>
    <cellStyle name="Comma 10 8 11 3 4" xfId="28342" xr:uid="{00000000-0005-0000-0000-0000BA6E0000}"/>
    <cellStyle name="Comma 10 8 11 3 5" xfId="16511" xr:uid="{00000000-0005-0000-0000-000083400000}"/>
    <cellStyle name="Comma 10 8 11 4" xfId="19851" xr:uid="{00000000-0005-0000-0000-00008F4D0000}"/>
    <cellStyle name="Comma 10 8 11 4 2" xfId="26709" xr:uid="{00000000-0005-0000-0000-000059680000}"/>
    <cellStyle name="Comma 10 8 11 4 3" xfId="28637" xr:uid="{00000000-0005-0000-0000-0000E16F0000}"/>
    <cellStyle name="Comma 10 8 11 5" xfId="25746" xr:uid="{00000000-0005-0000-0000-000096640000}"/>
    <cellStyle name="Comma 10 8 11 6" xfId="27673" xr:uid="{00000000-0005-0000-0000-00001D6C0000}"/>
    <cellStyle name="Comma 10 8 11 7" xfId="7584" xr:uid="{00000000-0005-0000-0000-0000A41D0000}"/>
    <cellStyle name="Comma 10 8 12" xfId="716" xr:uid="{00000000-0005-0000-0000-0000D0020000}"/>
    <cellStyle name="Comma 10 8 12 2" xfId="1986" xr:uid="{00000000-0005-0000-0000-0000C6070000}"/>
    <cellStyle name="Comma 10 8 12 2 2" xfId="3846" xr:uid="{00000000-0005-0000-0000-00000A0F0000}"/>
    <cellStyle name="Comma 10 8 12 2 2 2" xfId="26938" xr:uid="{00000000-0005-0000-0000-00003E690000}"/>
    <cellStyle name="Comma 10 8 12 2 2 3" xfId="28866" xr:uid="{00000000-0005-0000-0000-0000C6700000}"/>
    <cellStyle name="Comma 10 8 12 2 2 4" xfId="20832" xr:uid="{00000000-0005-0000-0000-000064510000}"/>
    <cellStyle name="Comma 10 8 12 2 3" xfId="25975" xr:uid="{00000000-0005-0000-0000-00007B650000}"/>
    <cellStyle name="Comma 10 8 12 2 4" xfId="27902" xr:uid="{00000000-0005-0000-0000-0000026D0000}"/>
    <cellStyle name="Comma 10 8 12 2 5" xfId="8627" xr:uid="{00000000-0005-0000-0000-0000B7210000}"/>
    <cellStyle name="Comma 10 8 12 3" xfId="3547" xr:uid="{00000000-0005-0000-0000-0000DF0D0000}"/>
    <cellStyle name="Comma 10 8 12 3 2" xfId="23371" xr:uid="{00000000-0005-0000-0000-00004F5B0000}"/>
    <cellStyle name="Comma 10 8 12 3 2 2" xfId="27378" xr:uid="{00000000-0005-0000-0000-0000F66A0000}"/>
    <cellStyle name="Comma 10 8 12 3 2 3" xfId="29306" xr:uid="{00000000-0005-0000-0000-00007E720000}"/>
    <cellStyle name="Comma 10 8 12 3 3" xfId="26415" xr:uid="{00000000-0005-0000-0000-000033670000}"/>
    <cellStyle name="Comma 10 8 12 3 4" xfId="28343" xr:uid="{00000000-0005-0000-0000-0000BB6E0000}"/>
    <cellStyle name="Comma 10 8 12 3 5" xfId="16512" xr:uid="{00000000-0005-0000-0000-000084400000}"/>
    <cellStyle name="Comma 10 8 12 4" xfId="19852" xr:uid="{00000000-0005-0000-0000-0000904D0000}"/>
    <cellStyle name="Comma 10 8 12 4 2" xfId="26710" xr:uid="{00000000-0005-0000-0000-00005A680000}"/>
    <cellStyle name="Comma 10 8 12 4 3" xfId="28638" xr:uid="{00000000-0005-0000-0000-0000E26F0000}"/>
    <cellStyle name="Comma 10 8 12 5" xfId="25747" xr:uid="{00000000-0005-0000-0000-000097640000}"/>
    <cellStyle name="Comma 10 8 12 6" xfId="27674" xr:uid="{00000000-0005-0000-0000-00001E6C0000}"/>
    <cellStyle name="Comma 10 8 12 7" xfId="7585" xr:uid="{00000000-0005-0000-0000-0000A51D0000}"/>
    <cellStyle name="Comma 10 8 13" xfId="717" xr:uid="{00000000-0005-0000-0000-0000D1020000}"/>
    <cellStyle name="Comma 10 8 13 2" xfId="1987" xr:uid="{00000000-0005-0000-0000-0000C7070000}"/>
    <cellStyle name="Comma 10 8 13 2 2" xfId="3847" xr:uid="{00000000-0005-0000-0000-00000B0F0000}"/>
    <cellStyle name="Comma 10 8 13 2 2 2" xfId="26939" xr:uid="{00000000-0005-0000-0000-00003F690000}"/>
    <cellStyle name="Comma 10 8 13 2 2 3" xfId="28867" xr:uid="{00000000-0005-0000-0000-0000C7700000}"/>
    <cellStyle name="Comma 10 8 13 2 2 4" xfId="20833" xr:uid="{00000000-0005-0000-0000-000065510000}"/>
    <cellStyle name="Comma 10 8 13 2 3" xfId="25976" xr:uid="{00000000-0005-0000-0000-00007C650000}"/>
    <cellStyle name="Comma 10 8 13 2 4" xfId="27903" xr:uid="{00000000-0005-0000-0000-0000036D0000}"/>
    <cellStyle name="Comma 10 8 13 2 5" xfId="8628" xr:uid="{00000000-0005-0000-0000-0000B8210000}"/>
    <cellStyle name="Comma 10 8 13 3" xfId="3548" xr:uid="{00000000-0005-0000-0000-0000E00D0000}"/>
    <cellStyle name="Comma 10 8 13 3 2" xfId="23372" xr:uid="{00000000-0005-0000-0000-0000505B0000}"/>
    <cellStyle name="Comma 10 8 13 3 2 2" xfId="27379" xr:uid="{00000000-0005-0000-0000-0000F76A0000}"/>
    <cellStyle name="Comma 10 8 13 3 2 3" xfId="29307" xr:uid="{00000000-0005-0000-0000-00007F720000}"/>
    <cellStyle name="Comma 10 8 13 3 3" xfId="26416" xr:uid="{00000000-0005-0000-0000-000034670000}"/>
    <cellStyle name="Comma 10 8 13 3 4" xfId="28344" xr:uid="{00000000-0005-0000-0000-0000BC6E0000}"/>
    <cellStyle name="Comma 10 8 13 3 5" xfId="16513" xr:uid="{00000000-0005-0000-0000-000085400000}"/>
    <cellStyle name="Comma 10 8 13 4" xfId="19853" xr:uid="{00000000-0005-0000-0000-0000914D0000}"/>
    <cellStyle name="Comma 10 8 13 4 2" xfId="26711" xr:uid="{00000000-0005-0000-0000-00005B680000}"/>
    <cellStyle name="Comma 10 8 13 4 3" xfId="28639" xr:uid="{00000000-0005-0000-0000-0000E36F0000}"/>
    <cellStyle name="Comma 10 8 13 5" xfId="25748" xr:uid="{00000000-0005-0000-0000-000098640000}"/>
    <cellStyle name="Comma 10 8 13 6" xfId="27675" xr:uid="{00000000-0005-0000-0000-00001F6C0000}"/>
    <cellStyle name="Comma 10 8 13 7" xfId="7586" xr:uid="{00000000-0005-0000-0000-0000A61D0000}"/>
    <cellStyle name="Comma 10 8 14" xfId="718" xr:uid="{00000000-0005-0000-0000-0000D2020000}"/>
    <cellStyle name="Comma 10 8 14 2" xfId="1988" xr:uid="{00000000-0005-0000-0000-0000C8070000}"/>
    <cellStyle name="Comma 10 8 14 2 2" xfId="3848" xr:uid="{00000000-0005-0000-0000-00000C0F0000}"/>
    <cellStyle name="Comma 10 8 14 2 2 2" xfId="26940" xr:uid="{00000000-0005-0000-0000-000040690000}"/>
    <cellStyle name="Comma 10 8 14 2 2 3" xfId="28868" xr:uid="{00000000-0005-0000-0000-0000C8700000}"/>
    <cellStyle name="Comma 10 8 14 2 2 4" xfId="20834" xr:uid="{00000000-0005-0000-0000-000066510000}"/>
    <cellStyle name="Comma 10 8 14 2 3" xfId="25977" xr:uid="{00000000-0005-0000-0000-00007D650000}"/>
    <cellStyle name="Comma 10 8 14 2 4" xfId="27904" xr:uid="{00000000-0005-0000-0000-0000046D0000}"/>
    <cellStyle name="Comma 10 8 14 2 5" xfId="8629" xr:uid="{00000000-0005-0000-0000-0000B9210000}"/>
    <cellStyle name="Comma 10 8 14 3" xfId="3549" xr:uid="{00000000-0005-0000-0000-0000E10D0000}"/>
    <cellStyle name="Comma 10 8 14 3 2" xfId="23373" xr:uid="{00000000-0005-0000-0000-0000515B0000}"/>
    <cellStyle name="Comma 10 8 14 3 2 2" xfId="27380" xr:uid="{00000000-0005-0000-0000-0000F86A0000}"/>
    <cellStyle name="Comma 10 8 14 3 2 3" xfId="29308" xr:uid="{00000000-0005-0000-0000-000080720000}"/>
    <cellStyle name="Comma 10 8 14 3 3" xfId="26417" xr:uid="{00000000-0005-0000-0000-000035670000}"/>
    <cellStyle name="Comma 10 8 14 3 4" xfId="28345" xr:uid="{00000000-0005-0000-0000-0000BD6E0000}"/>
    <cellStyle name="Comma 10 8 14 3 5" xfId="16514" xr:uid="{00000000-0005-0000-0000-000086400000}"/>
    <cellStyle name="Comma 10 8 14 4" xfId="19854" xr:uid="{00000000-0005-0000-0000-0000924D0000}"/>
    <cellStyle name="Comma 10 8 14 4 2" xfId="26712" xr:uid="{00000000-0005-0000-0000-00005C680000}"/>
    <cellStyle name="Comma 10 8 14 4 3" xfId="28640" xr:uid="{00000000-0005-0000-0000-0000E46F0000}"/>
    <cellStyle name="Comma 10 8 14 5" xfId="25749" xr:uid="{00000000-0005-0000-0000-000099640000}"/>
    <cellStyle name="Comma 10 8 14 6" xfId="27676" xr:uid="{00000000-0005-0000-0000-0000206C0000}"/>
    <cellStyle name="Comma 10 8 14 7" xfId="7587" xr:uid="{00000000-0005-0000-0000-0000A71D0000}"/>
    <cellStyle name="Comma 10 8 15" xfId="719" xr:uid="{00000000-0005-0000-0000-0000D3020000}"/>
    <cellStyle name="Comma 10 8 15 2" xfId="1989" xr:uid="{00000000-0005-0000-0000-0000C9070000}"/>
    <cellStyle name="Comma 10 8 15 2 2" xfId="3849" xr:uid="{00000000-0005-0000-0000-00000D0F0000}"/>
    <cellStyle name="Comma 10 8 15 2 2 2" xfId="26941" xr:uid="{00000000-0005-0000-0000-000041690000}"/>
    <cellStyle name="Comma 10 8 15 2 2 3" xfId="28869" xr:uid="{00000000-0005-0000-0000-0000C9700000}"/>
    <cellStyle name="Comma 10 8 15 2 2 4" xfId="20835" xr:uid="{00000000-0005-0000-0000-000067510000}"/>
    <cellStyle name="Comma 10 8 15 2 3" xfId="25978" xr:uid="{00000000-0005-0000-0000-00007E650000}"/>
    <cellStyle name="Comma 10 8 15 2 4" xfId="27905" xr:uid="{00000000-0005-0000-0000-0000056D0000}"/>
    <cellStyle name="Comma 10 8 15 2 5" xfId="8630" xr:uid="{00000000-0005-0000-0000-0000BA210000}"/>
    <cellStyle name="Comma 10 8 15 3" xfId="3550" xr:uid="{00000000-0005-0000-0000-0000E20D0000}"/>
    <cellStyle name="Comma 10 8 15 3 2" xfId="23374" xr:uid="{00000000-0005-0000-0000-0000525B0000}"/>
    <cellStyle name="Comma 10 8 15 3 2 2" xfId="27381" xr:uid="{00000000-0005-0000-0000-0000F96A0000}"/>
    <cellStyle name="Comma 10 8 15 3 2 3" xfId="29309" xr:uid="{00000000-0005-0000-0000-000081720000}"/>
    <cellStyle name="Comma 10 8 15 3 3" xfId="26418" xr:uid="{00000000-0005-0000-0000-000036670000}"/>
    <cellStyle name="Comma 10 8 15 3 4" xfId="28346" xr:uid="{00000000-0005-0000-0000-0000BE6E0000}"/>
    <cellStyle name="Comma 10 8 15 3 5" xfId="16515" xr:uid="{00000000-0005-0000-0000-000087400000}"/>
    <cellStyle name="Comma 10 8 15 4" xfId="19855" xr:uid="{00000000-0005-0000-0000-0000934D0000}"/>
    <cellStyle name="Comma 10 8 15 4 2" xfId="26713" xr:uid="{00000000-0005-0000-0000-00005D680000}"/>
    <cellStyle name="Comma 10 8 15 4 3" xfId="28641" xr:uid="{00000000-0005-0000-0000-0000E56F0000}"/>
    <cellStyle name="Comma 10 8 15 5" xfId="25750" xr:uid="{00000000-0005-0000-0000-00009A640000}"/>
    <cellStyle name="Comma 10 8 15 6" xfId="27677" xr:uid="{00000000-0005-0000-0000-0000216C0000}"/>
    <cellStyle name="Comma 10 8 15 7" xfId="7588" xr:uid="{00000000-0005-0000-0000-0000A81D0000}"/>
    <cellStyle name="Comma 10 8 16" xfId="720" xr:uid="{00000000-0005-0000-0000-0000D4020000}"/>
    <cellStyle name="Comma 10 8 16 2" xfId="1990" xr:uid="{00000000-0005-0000-0000-0000CA070000}"/>
    <cellStyle name="Comma 10 8 16 2 2" xfId="3850" xr:uid="{00000000-0005-0000-0000-00000E0F0000}"/>
    <cellStyle name="Comma 10 8 16 2 2 2" xfId="26942" xr:uid="{00000000-0005-0000-0000-000042690000}"/>
    <cellStyle name="Comma 10 8 16 2 2 3" xfId="28870" xr:uid="{00000000-0005-0000-0000-0000CA700000}"/>
    <cellStyle name="Comma 10 8 16 2 2 4" xfId="20836" xr:uid="{00000000-0005-0000-0000-000068510000}"/>
    <cellStyle name="Comma 10 8 16 2 3" xfId="25979" xr:uid="{00000000-0005-0000-0000-00007F650000}"/>
    <cellStyle name="Comma 10 8 16 2 4" xfId="27906" xr:uid="{00000000-0005-0000-0000-0000066D0000}"/>
    <cellStyle name="Comma 10 8 16 2 5" xfId="8631" xr:uid="{00000000-0005-0000-0000-0000BB210000}"/>
    <cellStyle name="Comma 10 8 16 3" xfId="3551" xr:uid="{00000000-0005-0000-0000-0000E30D0000}"/>
    <cellStyle name="Comma 10 8 16 3 2" xfId="23375" xr:uid="{00000000-0005-0000-0000-0000535B0000}"/>
    <cellStyle name="Comma 10 8 16 3 2 2" xfId="27382" xr:uid="{00000000-0005-0000-0000-0000FA6A0000}"/>
    <cellStyle name="Comma 10 8 16 3 2 3" xfId="29310" xr:uid="{00000000-0005-0000-0000-000082720000}"/>
    <cellStyle name="Comma 10 8 16 3 3" xfId="26419" xr:uid="{00000000-0005-0000-0000-000037670000}"/>
    <cellStyle name="Comma 10 8 16 3 4" xfId="28347" xr:uid="{00000000-0005-0000-0000-0000BF6E0000}"/>
    <cellStyle name="Comma 10 8 16 3 5" xfId="16516" xr:uid="{00000000-0005-0000-0000-000088400000}"/>
    <cellStyle name="Comma 10 8 16 4" xfId="19856" xr:uid="{00000000-0005-0000-0000-0000944D0000}"/>
    <cellStyle name="Comma 10 8 16 4 2" xfId="26714" xr:uid="{00000000-0005-0000-0000-00005E680000}"/>
    <cellStyle name="Comma 10 8 16 4 3" xfId="28642" xr:uid="{00000000-0005-0000-0000-0000E66F0000}"/>
    <cellStyle name="Comma 10 8 16 5" xfId="25751" xr:uid="{00000000-0005-0000-0000-00009B640000}"/>
    <cellStyle name="Comma 10 8 16 6" xfId="27678" xr:uid="{00000000-0005-0000-0000-0000226C0000}"/>
    <cellStyle name="Comma 10 8 16 7" xfId="7589" xr:uid="{00000000-0005-0000-0000-0000A91D0000}"/>
    <cellStyle name="Comma 10 8 17" xfId="721" xr:uid="{00000000-0005-0000-0000-0000D5020000}"/>
    <cellStyle name="Comma 10 8 17 2" xfId="1991" xr:uid="{00000000-0005-0000-0000-0000CB070000}"/>
    <cellStyle name="Comma 10 8 17 2 2" xfId="3851" xr:uid="{00000000-0005-0000-0000-00000F0F0000}"/>
    <cellStyle name="Comma 10 8 17 2 2 2" xfId="26943" xr:uid="{00000000-0005-0000-0000-000043690000}"/>
    <cellStyle name="Comma 10 8 17 2 2 3" xfId="28871" xr:uid="{00000000-0005-0000-0000-0000CB700000}"/>
    <cellStyle name="Comma 10 8 17 2 2 4" xfId="20837" xr:uid="{00000000-0005-0000-0000-000069510000}"/>
    <cellStyle name="Comma 10 8 17 2 3" xfId="25980" xr:uid="{00000000-0005-0000-0000-000080650000}"/>
    <cellStyle name="Comma 10 8 17 2 4" xfId="27907" xr:uid="{00000000-0005-0000-0000-0000076D0000}"/>
    <cellStyle name="Comma 10 8 17 2 5" xfId="8632" xr:uid="{00000000-0005-0000-0000-0000BC210000}"/>
    <cellStyle name="Comma 10 8 17 3" xfId="3552" xr:uid="{00000000-0005-0000-0000-0000E40D0000}"/>
    <cellStyle name="Comma 10 8 17 3 2" xfId="23376" xr:uid="{00000000-0005-0000-0000-0000545B0000}"/>
    <cellStyle name="Comma 10 8 17 3 2 2" xfId="27383" xr:uid="{00000000-0005-0000-0000-0000FB6A0000}"/>
    <cellStyle name="Comma 10 8 17 3 2 3" xfId="29311" xr:uid="{00000000-0005-0000-0000-000083720000}"/>
    <cellStyle name="Comma 10 8 17 3 3" xfId="26420" xr:uid="{00000000-0005-0000-0000-000038670000}"/>
    <cellStyle name="Comma 10 8 17 3 4" xfId="28348" xr:uid="{00000000-0005-0000-0000-0000C06E0000}"/>
    <cellStyle name="Comma 10 8 17 3 5" xfId="16517" xr:uid="{00000000-0005-0000-0000-000089400000}"/>
    <cellStyle name="Comma 10 8 17 4" xfId="19857" xr:uid="{00000000-0005-0000-0000-0000954D0000}"/>
    <cellStyle name="Comma 10 8 17 4 2" xfId="26715" xr:uid="{00000000-0005-0000-0000-00005F680000}"/>
    <cellStyle name="Comma 10 8 17 4 3" xfId="28643" xr:uid="{00000000-0005-0000-0000-0000E76F0000}"/>
    <cellStyle name="Comma 10 8 17 5" xfId="25752" xr:uid="{00000000-0005-0000-0000-00009C640000}"/>
    <cellStyle name="Comma 10 8 17 6" xfId="27679" xr:uid="{00000000-0005-0000-0000-0000236C0000}"/>
    <cellStyle name="Comma 10 8 17 7" xfId="7590" xr:uid="{00000000-0005-0000-0000-0000AA1D0000}"/>
    <cellStyle name="Comma 10 8 18" xfId="1983" xr:uid="{00000000-0005-0000-0000-0000C3070000}"/>
    <cellStyle name="Comma 10 8 18 2" xfId="3843" xr:uid="{00000000-0005-0000-0000-0000070F0000}"/>
    <cellStyle name="Comma 10 8 18 2 2" xfId="26935" xr:uid="{00000000-0005-0000-0000-00003B690000}"/>
    <cellStyle name="Comma 10 8 18 2 3" xfId="28863" xr:uid="{00000000-0005-0000-0000-0000C3700000}"/>
    <cellStyle name="Comma 10 8 18 2 4" xfId="20829" xr:uid="{00000000-0005-0000-0000-000061510000}"/>
    <cellStyle name="Comma 10 8 18 3" xfId="25972" xr:uid="{00000000-0005-0000-0000-000078650000}"/>
    <cellStyle name="Comma 10 8 18 4" xfId="27899" xr:uid="{00000000-0005-0000-0000-0000FF6C0000}"/>
    <cellStyle name="Comma 10 8 18 5" xfId="8624" xr:uid="{00000000-0005-0000-0000-0000B4210000}"/>
    <cellStyle name="Comma 10 8 19" xfId="3544" xr:uid="{00000000-0005-0000-0000-0000DC0D0000}"/>
    <cellStyle name="Comma 10 8 19 2" xfId="23368" xr:uid="{00000000-0005-0000-0000-00004C5B0000}"/>
    <cellStyle name="Comma 10 8 19 2 2" xfId="27375" xr:uid="{00000000-0005-0000-0000-0000F36A0000}"/>
    <cellStyle name="Comma 10 8 19 2 3" xfId="29303" xr:uid="{00000000-0005-0000-0000-00007B720000}"/>
    <cellStyle name="Comma 10 8 19 3" xfId="26412" xr:uid="{00000000-0005-0000-0000-000030670000}"/>
    <cellStyle name="Comma 10 8 19 4" xfId="28340" xr:uid="{00000000-0005-0000-0000-0000B86E0000}"/>
    <cellStyle name="Comma 10 8 19 5" xfId="16509" xr:uid="{00000000-0005-0000-0000-000081400000}"/>
    <cellStyle name="Comma 10 8 2" xfId="722" xr:uid="{00000000-0005-0000-0000-0000D6020000}"/>
    <cellStyle name="Comma 10 8 2 2" xfId="1992" xr:uid="{00000000-0005-0000-0000-0000CC070000}"/>
    <cellStyle name="Comma 10 8 2 2 2" xfId="3852" xr:uid="{00000000-0005-0000-0000-0000100F0000}"/>
    <cellStyle name="Comma 10 8 2 2 2 2" xfId="26944" xr:uid="{00000000-0005-0000-0000-000044690000}"/>
    <cellStyle name="Comma 10 8 2 2 2 3" xfId="28872" xr:uid="{00000000-0005-0000-0000-0000CC700000}"/>
    <cellStyle name="Comma 10 8 2 2 2 4" xfId="20838" xr:uid="{00000000-0005-0000-0000-00006A510000}"/>
    <cellStyle name="Comma 10 8 2 2 3" xfId="25981" xr:uid="{00000000-0005-0000-0000-000081650000}"/>
    <cellStyle name="Comma 10 8 2 2 4" xfId="27908" xr:uid="{00000000-0005-0000-0000-0000086D0000}"/>
    <cellStyle name="Comma 10 8 2 2 5" xfId="8633" xr:uid="{00000000-0005-0000-0000-0000BD210000}"/>
    <cellStyle name="Comma 10 8 2 3" xfId="3553" xr:uid="{00000000-0005-0000-0000-0000E50D0000}"/>
    <cellStyle name="Comma 10 8 2 3 2" xfId="23377" xr:uid="{00000000-0005-0000-0000-0000555B0000}"/>
    <cellStyle name="Comma 10 8 2 3 2 2" xfId="27384" xr:uid="{00000000-0005-0000-0000-0000FC6A0000}"/>
    <cellStyle name="Comma 10 8 2 3 2 3" xfId="29312" xr:uid="{00000000-0005-0000-0000-000084720000}"/>
    <cellStyle name="Comma 10 8 2 3 3" xfId="26421" xr:uid="{00000000-0005-0000-0000-000039670000}"/>
    <cellStyle name="Comma 10 8 2 3 4" xfId="28349" xr:uid="{00000000-0005-0000-0000-0000C16E0000}"/>
    <cellStyle name="Comma 10 8 2 3 5" xfId="16518" xr:uid="{00000000-0005-0000-0000-00008A400000}"/>
    <cellStyle name="Comma 10 8 2 4" xfId="19858" xr:uid="{00000000-0005-0000-0000-0000964D0000}"/>
    <cellStyle name="Comma 10 8 2 4 2" xfId="26716" xr:uid="{00000000-0005-0000-0000-000060680000}"/>
    <cellStyle name="Comma 10 8 2 4 3" xfId="28644" xr:uid="{00000000-0005-0000-0000-0000E86F0000}"/>
    <cellStyle name="Comma 10 8 2 5" xfId="25753" xr:uid="{00000000-0005-0000-0000-00009D640000}"/>
    <cellStyle name="Comma 10 8 2 6" xfId="27680" xr:uid="{00000000-0005-0000-0000-0000246C0000}"/>
    <cellStyle name="Comma 10 8 2 7" xfId="7591" xr:uid="{00000000-0005-0000-0000-0000AB1D0000}"/>
    <cellStyle name="Comma 10 8 20" xfId="19849" xr:uid="{00000000-0005-0000-0000-00008D4D0000}"/>
    <cellStyle name="Comma 10 8 20 2" xfId="26707" xr:uid="{00000000-0005-0000-0000-000057680000}"/>
    <cellStyle name="Comma 10 8 20 3" xfId="28635" xr:uid="{00000000-0005-0000-0000-0000DF6F0000}"/>
    <cellStyle name="Comma 10 8 21" xfId="25744" xr:uid="{00000000-0005-0000-0000-000094640000}"/>
    <cellStyle name="Comma 10 8 22" xfId="27671" xr:uid="{00000000-0005-0000-0000-00001B6C0000}"/>
    <cellStyle name="Comma 10 8 23" xfId="7582" xr:uid="{00000000-0005-0000-0000-0000A21D0000}"/>
    <cellStyle name="Comma 10 8 3" xfId="723" xr:uid="{00000000-0005-0000-0000-0000D7020000}"/>
    <cellStyle name="Comma 10 8 3 2" xfId="1993" xr:uid="{00000000-0005-0000-0000-0000CD070000}"/>
    <cellStyle name="Comma 10 8 3 2 2" xfId="3853" xr:uid="{00000000-0005-0000-0000-0000110F0000}"/>
    <cellStyle name="Comma 10 8 3 2 2 2" xfId="26945" xr:uid="{00000000-0005-0000-0000-000045690000}"/>
    <cellStyle name="Comma 10 8 3 2 2 3" xfId="28873" xr:uid="{00000000-0005-0000-0000-0000CD700000}"/>
    <cellStyle name="Comma 10 8 3 2 2 4" xfId="20839" xr:uid="{00000000-0005-0000-0000-00006B510000}"/>
    <cellStyle name="Comma 10 8 3 2 3" xfId="25982" xr:uid="{00000000-0005-0000-0000-000082650000}"/>
    <cellStyle name="Comma 10 8 3 2 4" xfId="27909" xr:uid="{00000000-0005-0000-0000-0000096D0000}"/>
    <cellStyle name="Comma 10 8 3 2 5" xfId="8634" xr:uid="{00000000-0005-0000-0000-0000BE210000}"/>
    <cellStyle name="Comma 10 8 3 3" xfId="3554" xr:uid="{00000000-0005-0000-0000-0000E60D0000}"/>
    <cellStyle name="Comma 10 8 3 3 2" xfId="23378" xr:uid="{00000000-0005-0000-0000-0000565B0000}"/>
    <cellStyle name="Comma 10 8 3 3 2 2" xfId="27385" xr:uid="{00000000-0005-0000-0000-0000FD6A0000}"/>
    <cellStyle name="Comma 10 8 3 3 2 3" xfId="29313" xr:uid="{00000000-0005-0000-0000-000085720000}"/>
    <cellStyle name="Comma 10 8 3 3 3" xfId="26422" xr:uid="{00000000-0005-0000-0000-00003A670000}"/>
    <cellStyle name="Comma 10 8 3 3 4" xfId="28350" xr:uid="{00000000-0005-0000-0000-0000C26E0000}"/>
    <cellStyle name="Comma 10 8 3 3 5" xfId="16519" xr:uid="{00000000-0005-0000-0000-00008B400000}"/>
    <cellStyle name="Comma 10 8 3 4" xfId="19859" xr:uid="{00000000-0005-0000-0000-0000974D0000}"/>
    <cellStyle name="Comma 10 8 3 4 2" xfId="26717" xr:uid="{00000000-0005-0000-0000-000061680000}"/>
    <cellStyle name="Comma 10 8 3 4 3" xfId="28645" xr:uid="{00000000-0005-0000-0000-0000E96F0000}"/>
    <cellStyle name="Comma 10 8 3 5" xfId="25754" xr:uid="{00000000-0005-0000-0000-00009E640000}"/>
    <cellStyle name="Comma 10 8 3 6" xfId="27681" xr:uid="{00000000-0005-0000-0000-0000256C0000}"/>
    <cellStyle name="Comma 10 8 3 7" xfId="7592" xr:uid="{00000000-0005-0000-0000-0000AC1D0000}"/>
    <cellStyle name="Comma 10 8 4" xfId="724" xr:uid="{00000000-0005-0000-0000-0000D8020000}"/>
    <cellStyle name="Comma 10 8 4 2" xfId="1994" xr:uid="{00000000-0005-0000-0000-0000CE070000}"/>
    <cellStyle name="Comma 10 8 4 2 2" xfId="3854" xr:uid="{00000000-0005-0000-0000-0000120F0000}"/>
    <cellStyle name="Comma 10 8 4 2 2 2" xfId="26946" xr:uid="{00000000-0005-0000-0000-000046690000}"/>
    <cellStyle name="Comma 10 8 4 2 2 3" xfId="28874" xr:uid="{00000000-0005-0000-0000-0000CE700000}"/>
    <cellStyle name="Comma 10 8 4 2 2 4" xfId="20840" xr:uid="{00000000-0005-0000-0000-00006C510000}"/>
    <cellStyle name="Comma 10 8 4 2 3" xfId="25983" xr:uid="{00000000-0005-0000-0000-000083650000}"/>
    <cellStyle name="Comma 10 8 4 2 4" xfId="27910" xr:uid="{00000000-0005-0000-0000-00000A6D0000}"/>
    <cellStyle name="Comma 10 8 4 2 5" xfId="8635" xr:uid="{00000000-0005-0000-0000-0000BF210000}"/>
    <cellStyle name="Comma 10 8 4 3" xfId="3555" xr:uid="{00000000-0005-0000-0000-0000E70D0000}"/>
    <cellStyle name="Comma 10 8 4 3 2" xfId="23379" xr:uid="{00000000-0005-0000-0000-0000575B0000}"/>
    <cellStyle name="Comma 10 8 4 3 2 2" xfId="27386" xr:uid="{00000000-0005-0000-0000-0000FE6A0000}"/>
    <cellStyle name="Comma 10 8 4 3 2 3" xfId="29314" xr:uid="{00000000-0005-0000-0000-000086720000}"/>
    <cellStyle name="Comma 10 8 4 3 3" xfId="26423" xr:uid="{00000000-0005-0000-0000-00003B670000}"/>
    <cellStyle name="Comma 10 8 4 3 4" xfId="28351" xr:uid="{00000000-0005-0000-0000-0000C36E0000}"/>
    <cellStyle name="Comma 10 8 4 3 5" xfId="16520" xr:uid="{00000000-0005-0000-0000-00008C400000}"/>
    <cellStyle name="Comma 10 8 4 4" xfId="19860" xr:uid="{00000000-0005-0000-0000-0000984D0000}"/>
    <cellStyle name="Comma 10 8 4 4 2" xfId="26718" xr:uid="{00000000-0005-0000-0000-000062680000}"/>
    <cellStyle name="Comma 10 8 4 4 3" xfId="28646" xr:uid="{00000000-0005-0000-0000-0000EA6F0000}"/>
    <cellStyle name="Comma 10 8 4 5" xfId="25755" xr:uid="{00000000-0005-0000-0000-00009F640000}"/>
    <cellStyle name="Comma 10 8 4 6" xfId="27682" xr:uid="{00000000-0005-0000-0000-0000266C0000}"/>
    <cellStyle name="Comma 10 8 4 7" xfId="7593" xr:uid="{00000000-0005-0000-0000-0000AD1D0000}"/>
    <cellStyle name="Comma 10 8 5" xfId="725" xr:uid="{00000000-0005-0000-0000-0000D9020000}"/>
    <cellStyle name="Comma 10 8 5 2" xfId="1995" xr:uid="{00000000-0005-0000-0000-0000CF070000}"/>
    <cellStyle name="Comma 10 8 5 2 2" xfId="3855" xr:uid="{00000000-0005-0000-0000-0000130F0000}"/>
    <cellStyle name="Comma 10 8 5 2 2 2" xfId="26947" xr:uid="{00000000-0005-0000-0000-000047690000}"/>
    <cellStyle name="Comma 10 8 5 2 2 3" xfId="28875" xr:uid="{00000000-0005-0000-0000-0000CF700000}"/>
    <cellStyle name="Comma 10 8 5 2 2 4" xfId="20841" xr:uid="{00000000-0005-0000-0000-00006D510000}"/>
    <cellStyle name="Comma 10 8 5 2 3" xfId="25984" xr:uid="{00000000-0005-0000-0000-000084650000}"/>
    <cellStyle name="Comma 10 8 5 2 4" xfId="27911" xr:uid="{00000000-0005-0000-0000-00000B6D0000}"/>
    <cellStyle name="Comma 10 8 5 2 5" xfId="8636" xr:uid="{00000000-0005-0000-0000-0000C0210000}"/>
    <cellStyle name="Comma 10 8 5 3" xfId="3556" xr:uid="{00000000-0005-0000-0000-0000E80D0000}"/>
    <cellStyle name="Comma 10 8 5 3 2" xfId="23380" xr:uid="{00000000-0005-0000-0000-0000585B0000}"/>
    <cellStyle name="Comma 10 8 5 3 2 2" xfId="27387" xr:uid="{00000000-0005-0000-0000-0000FF6A0000}"/>
    <cellStyle name="Comma 10 8 5 3 2 3" xfId="29315" xr:uid="{00000000-0005-0000-0000-000087720000}"/>
    <cellStyle name="Comma 10 8 5 3 3" xfId="26424" xr:uid="{00000000-0005-0000-0000-00003C670000}"/>
    <cellStyle name="Comma 10 8 5 3 4" xfId="28352" xr:uid="{00000000-0005-0000-0000-0000C46E0000}"/>
    <cellStyle name="Comma 10 8 5 3 5" xfId="16521" xr:uid="{00000000-0005-0000-0000-00008D400000}"/>
    <cellStyle name="Comma 10 8 5 4" xfId="19861" xr:uid="{00000000-0005-0000-0000-0000994D0000}"/>
    <cellStyle name="Comma 10 8 5 4 2" xfId="26719" xr:uid="{00000000-0005-0000-0000-000063680000}"/>
    <cellStyle name="Comma 10 8 5 4 3" xfId="28647" xr:uid="{00000000-0005-0000-0000-0000EB6F0000}"/>
    <cellStyle name="Comma 10 8 5 5" xfId="25756" xr:uid="{00000000-0005-0000-0000-0000A0640000}"/>
    <cellStyle name="Comma 10 8 5 6" xfId="27683" xr:uid="{00000000-0005-0000-0000-0000276C0000}"/>
    <cellStyle name="Comma 10 8 5 7" xfId="7594" xr:uid="{00000000-0005-0000-0000-0000AE1D0000}"/>
    <cellStyle name="Comma 10 8 6" xfId="726" xr:uid="{00000000-0005-0000-0000-0000DA020000}"/>
    <cellStyle name="Comma 10 8 6 2" xfId="1996" xr:uid="{00000000-0005-0000-0000-0000D0070000}"/>
    <cellStyle name="Comma 10 8 6 2 2" xfId="3856" xr:uid="{00000000-0005-0000-0000-0000140F0000}"/>
    <cellStyle name="Comma 10 8 6 2 2 2" xfId="26948" xr:uid="{00000000-0005-0000-0000-000048690000}"/>
    <cellStyle name="Comma 10 8 6 2 2 3" xfId="28876" xr:uid="{00000000-0005-0000-0000-0000D0700000}"/>
    <cellStyle name="Comma 10 8 6 2 2 4" xfId="20842" xr:uid="{00000000-0005-0000-0000-00006E510000}"/>
    <cellStyle name="Comma 10 8 6 2 3" xfId="25985" xr:uid="{00000000-0005-0000-0000-000085650000}"/>
    <cellStyle name="Comma 10 8 6 2 4" xfId="27912" xr:uid="{00000000-0005-0000-0000-00000C6D0000}"/>
    <cellStyle name="Comma 10 8 6 2 5" xfId="8637" xr:uid="{00000000-0005-0000-0000-0000C1210000}"/>
    <cellStyle name="Comma 10 8 6 3" xfId="3557" xr:uid="{00000000-0005-0000-0000-0000E90D0000}"/>
    <cellStyle name="Comma 10 8 6 3 2" xfId="23381" xr:uid="{00000000-0005-0000-0000-0000595B0000}"/>
    <cellStyle name="Comma 10 8 6 3 2 2" xfId="27388" xr:uid="{00000000-0005-0000-0000-0000006B0000}"/>
    <cellStyle name="Comma 10 8 6 3 2 3" xfId="29316" xr:uid="{00000000-0005-0000-0000-000088720000}"/>
    <cellStyle name="Comma 10 8 6 3 3" xfId="26425" xr:uid="{00000000-0005-0000-0000-00003D670000}"/>
    <cellStyle name="Comma 10 8 6 3 4" xfId="28353" xr:uid="{00000000-0005-0000-0000-0000C56E0000}"/>
    <cellStyle name="Comma 10 8 6 3 5" xfId="16522" xr:uid="{00000000-0005-0000-0000-00008E400000}"/>
    <cellStyle name="Comma 10 8 6 4" xfId="19862" xr:uid="{00000000-0005-0000-0000-00009A4D0000}"/>
    <cellStyle name="Comma 10 8 6 4 2" xfId="26720" xr:uid="{00000000-0005-0000-0000-000064680000}"/>
    <cellStyle name="Comma 10 8 6 4 3" xfId="28648" xr:uid="{00000000-0005-0000-0000-0000EC6F0000}"/>
    <cellStyle name="Comma 10 8 6 5" xfId="25757" xr:uid="{00000000-0005-0000-0000-0000A1640000}"/>
    <cellStyle name="Comma 10 8 6 6" xfId="27684" xr:uid="{00000000-0005-0000-0000-0000286C0000}"/>
    <cellStyle name="Comma 10 8 6 7" xfId="7595" xr:uid="{00000000-0005-0000-0000-0000AF1D0000}"/>
    <cellStyle name="Comma 10 8 7" xfId="727" xr:uid="{00000000-0005-0000-0000-0000DB020000}"/>
    <cellStyle name="Comma 10 8 7 2" xfId="1997" xr:uid="{00000000-0005-0000-0000-0000D1070000}"/>
    <cellStyle name="Comma 10 8 7 2 2" xfId="3857" xr:uid="{00000000-0005-0000-0000-0000150F0000}"/>
    <cellStyle name="Comma 10 8 7 2 2 2" xfId="26949" xr:uid="{00000000-0005-0000-0000-000049690000}"/>
    <cellStyle name="Comma 10 8 7 2 2 3" xfId="28877" xr:uid="{00000000-0005-0000-0000-0000D1700000}"/>
    <cellStyle name="Comma 10 8 7 2 2 4" xfId="20843" xr:uid="{00000000-0005-0000-0000-00006F510000}"/>
    <cellStyle name="Comma 10 8 7 2 3" xfId="25986" xr:uid="{00000000-0005-0000-0000-000086650000}"/>
    <cellStyle name="Comma 10 8 7 2 4" xfId="27913" xr:uid="{00000000-0005-0000-0000-00000D6D0000}"/>
    <cellStyle name="Comma 10 8 7 2 5" xfId="8638" xr:uid="{00000000-0005-0000-0000-0000C2210000}"/>
    <cellStyle name="Comma 10 8 7 3" xfId="3558" xr:uid="{00000000-0005-0000-0000-0000EA0D0000}"/>
    <cellStyle name="Comma 10 8 7 3 2" xfId="23382" xr:uid="{00000000-0005-0000-0000-00005A5B0000}"/>
    <cellStyle name="Comma 10 8 7 3 2 2" xfId="27389" xr:uid="{00000000-0005-0000-0000-0000016B0000}"/>
    <cellStyle name="Comma 10 8 7 3 2 3" xfId="29317" xr:uid="{00000000-0005-0000-0000-000089720000}"/>
    <cellStyle name="Comma 10 8 7 3 3" xfId="26426" xr:uid="{00000000-0005-0000-0000-00003E670000}"/>
    <cellStyle name="Comma 10 8 7 3 4" xfId="28354" xr:uid="{00000000-0005-0000-0000-0000C66E0000}"/>
    <cellStyle name="Comma 10 8 7 3 5" xfId="16523" xr:uid="{00000000-0005-0000-0000-00008F400000}"/>
    <cellStyle name="Comma 10 8 7 4" xfId="19863" xr:uid="{00000000-0005-0000-0000-00009B4D0000}"/>
    <cellStyle name="Comma 10 8 7 4 2" xfId="26721" xr:uid="{00000000-0005-0000-0000-000065680000}"/>
    <cellStyle name="Comma 10 8 7 4 3" xfId="28649" xr:uid="{00000000-0005-0000-0000-0000ED6F0000}"/>
    <cellStyle name="Comma 10 8 7 5" xfId="25758" xr:uid="{00000000-0005-0000-0000-0000A2640000}"/>
    <cellStyle name="Comma 10 8 7 6" xfId="27685" xr:uid="{00000000-0005-0000-0000-0000296C0000}"/>
    <cellStyle name="Comma 10 8 7 7" xfId="7596" xr:uid="{00000000-0005-0000-0000-0000B01D0000}"/>
    <cellStyle name="Comma 10 8 8" xfId="728" xr:uid="{00000000-0005-0000-0000-0000DC020000}"/>
    <cellStyle name="Comma 10 8 8 2" xfId="1998" xr:uid="{00000000-0005-0000-0000-0000D2070000}"/>
    <cellStyle name="Comma 10 8 8 2 2" xfId="3858" xr:uid="{00000000-0005-0000-0000-0000160F0000}"/>
    <cellStyle name="Comma 10 8 8 2 2 2" xfId="26950" xr:uid="{00000000-0005-0000-0000-00004A690000}"/>
    <cellStyle name="Comma 10 8 8 2 2 3" xfId="28878" xr:uid="{00000000-0005-0000-0000-0000D2700000}"/>
    <cellStyle name="Comma 10 8 8 2 2 4" xfId="20844" xr:uid="{00000000-0005-0000-0000-000070510000}"/>
    <cellStyle name="Comma 10 8 8 2 3" xfId="25987" xr:uid="{00000000-0005-0000-0000-000087650000}"/>
    <cellStyle name="Comma 10 8 8 2 4" xfId="27914" xr:uid="{00000000-0005-0000-0000-00000E6D0000}"/>
    <cellStyle name="Comma 10 8 8 2 5" xfId="8639" xr:uid="{00000000-0005-0000-0000-0000C3210000}"/>
    <cellStyle name="Comma 10 8 8 3" xfId="3559" xr:uid="{00000000-0005-0000-0000-0000EB0D0000}"/>
    <cellStyle name="Comma 10 8 8 3 2" xfId="23383" xr:uid="{00000000-0005-0000-0000-00005B5B0000}"/>
    <cellStyle name="Comma 10 8 8 3 2 2" xfId="27390" xr:uid="{00000000-0005-0000-0000-0000026B0000}"/>
    <cellStyle name="Comma 10 8 8 3 2 3" xfId="29318" xr:uid="{00000000-0005-0000-0000-00008A720000}"/>
    <cellStyle name="Comma 10 8 8 3 3" xfId="26427" xr:uid="{00000000-0005-0000-0000-00003F670000}"/>
    <cellStyle name="Comma 10 8 8 3 4" xfId="28355" xr:uid="{00000000-0005-0000-0000-0000C76E0000}"/>
    <cellStyle name="Comma 10 8 8 3 5" xfId="16524" xr:uid="{00000000-0005-0000-0000-000090400000}"/>
    <cellStyle name="Comma 10 8 8 4" xfId="19864" xr:uid="{00000000-0005-0000-0000-00009C4D0000}"/>
    <cellStyle name="Comma 10 8 8 4 2" xfId="26722" xr:uid="{00000000-0005-0000-0000-000066680000}"/>
    <cellStyle name="Comma 10 8 8 4 3" xfId="28650" xr:uid="{00000000-0005-0000-0000-0000EE6F0000}"/>
    <cellStyle name="Comma 10 8 8 5" xfId="25759" xr:uid="{00000000-0005-0000-0000-0000A3640000}"/>
    <cellStyle name="Comma 10 8 8 6" xfId="27686" xr:uid="{00000000-0005-0000-0000-00002A6C0000}"/>
    <cellStyle name="Comma 10 8 8 7" xfId="7597" xr:uid="{00000000-0005-0000-0000-0000B11D0000}"/>
    <cellStyle name="Comma 10 8 9" xfId="729" xr:uid="{00000000-0005-0000-0000-0000DD020000}"/>
    <cellStyle name="Comma 10 8 9 2" xfId="1999" xr:uid="{00000000-0005-0000-0000-0000D3070000}"/>
    <cellStyle name="Comma 10 8 9 2 2" xfId="3859" xr:uid="{00000000-0005-0000-0000-0000170F0000}"/>
    <cellStyle name="Comma 10 8 9 2 2 2" xfId="26951" xr:uid="{00000000-0005-0000-0000-00004B690000}"/>
    <cellStyle name="Comma 10 8 9 2 2 3" xfId="28879" xr:uid="{00000000-0005-0000-0000-0000D3700000}"/>
    <cellStyle name="Comma 10 8 9 2 2 4" xfId="20845" xr:uid="{00000000-0005-0000-0000-000071510000}"/>
    <cellStyle name="Comma 10 8 9 2 3" xfId="25988" xr:uid="{00000000-0005-0000-0000-000088650000}"/>
    <cellStyle name="Comma 10 8 9 2 4" xfId="27915" xr:uid="{00000000-0005-0000-0000-00000F6D0000}"/>
    <cellStyle name="Comma 10 8 9 2 5" xfId="8640" xr:uid="{00000000-0005-0000-0000-0000C4210000}"/>
    <cellStyle name="Comma 10 8 9 3" xfId="3560" xr:uid="{00000000-0005-0000-0000-0000EC0D0000}"/>
    <cellStyle name="Comma 10 8 9 3 2" xfId="23384" xr:uid="{00000000-0005-0000-0000-00005C5B0000}"/>
    <cellStyle name="Comma 10 8 9 3 2 2" xfId="27391" xr:uid="{00000000-0005-0000-0000-0000036B0000}"/>
    <cellStyle name="Comma 10 8 9 3 2 3" xfId="29319" xr:uid="{00000000-0005-0000-0000-00008B720000}"/>
    <cellStyle name="Comma 10 8 9 3 3" xfId="26428" xr:uid="{00000000-0005-0000-0000-000040670000}"/>
    <cellStyle name="Comma 10 8 9 3 4" xfId="28356" xr:uid="{00000000-0005-0000-0000-0000C86E0000}"/>
    <cellStyle name="Comma 10 8 9 3 5" xfId="16525" xr:uid="{00000000-0005-0000-0000-000091400000}"/>
    <cellStyle name="Comma 10 8 9 4" xfId="19865" xr:uid="{00000000-0005-0000-0000-00009D4D0000}"/>
    <cellStyle name="Comma 10 8 9 4 2" xfId="26723" xr:uid="{00000000-0005-0000-0000-000067680000}"/>
    <cellStyle name="Comma 10 8 9 4 3" xfId="28651" xr:uid="{00000000-0005-0000-0000-0000EF6F0000}"/>
    <cellStyle name="Comma 10 8 9 5" xfId="25760" xr:uid="{00000000-0005-0000-0000-0000A4640000}"/>
    <cellStyle name="Comma 10 8 9 6" xfId="27687" xr:uid="{00000000-0005-0000-0000-00002B6C0000}"/>
    <cellStyle name="Comma 10 8 9 7" xfId="7598" xr:uid="{00000000-0005-0000-0000-0000B21D0000}"/>
    <cellStyle name="Comma 10 9" xfId="8957" xr:uid="{00000000-0005-0000-0000-000001230000}"/>
    <cellStyle name="Comma 10 9 2" xfId="17289" xr:uid="{00000000-0005-0000-0000-00008D430000}"/>
    <cellStyle name="Comma 10 9 2 2" xfId="23877" xr:uid="{00000000-0005-0000-0000-0000495D0000}"/>
    <cellStyle name="Comma 10 9 2 2 2" xfId="27469" xr:uid="{00000000-0005-0000-0000-0000516B0000}"/>
    <cellStyle name="Comma 10 9 2 2 3" xfId="29397" xr:uid="{00000000-0005-0000-0000-0000D9720000}"/>
    <cellStyle name="Comma 10 9 2 3" xfId="26506" xr:uid="{00000000-0005-0000-0000-00008E670000}"/>
    <cellStyle name="Comma 10 9 2 4" xfId="28434" xr:uid="{00000000-0005-0000-0000-0000166F0000}"/>
    <cellStyle name="Comma 10 9 3" xfId="12652" xr:uid="{00000000-0005-0000-0000-000070310000}"/>
    <cellStyle name="Comma 10 9 3 2" xfId="23125" xr:uid="{00000000-0005-0000-0000-0000595A0000}"/>
    <cellStyle name="Comma 10 9 3 2 2" xfId="27142" xr:uid="{00000000-0005-0000-0000-00000A6A0000}"/>
    <cellStyle name="Comma 10 9 3 2 3" xfId="29070" xr:uid="{00000000-0005-0000-0000-000092710000}"/>
    <cellStyle name="Comma 10 9 3 3" xfId="26179" xr:uid="{00000000-0005-0000-0000-000047660000}"/>
    <cellStyle name="Comma 10 9 3 4" xfId="28107" xr:uid="{00000000-0005-0000-0000-0000CF6D0000}"/>
    <cellStyle name="Comma 10 9 4" xfId="20959" xr:uid="{00000000-0005-0000-0000-0000E3510000}"/>
    <cellStyle name="Comma 10 9 4 2" xfId="27045" xr:uid="{00000000-0005-0000-0000-0000A9690000}"/>
    <cellStyle name="Comma 10 9 4 3" xfId="28973" xr:uid="{00000000-0005-0000-0000-000031710000}"/>
    <cellStyle name="Comma 10 9 5" xfId="26082" xr:uid="{00000000-0005-0000-0000-0000E6650000}"/>
    <cellStyle name="Comma 10 9 6" xfId="28009" xr:uid="{00000000-0005-0000-0000-00006D6D0000}"/>
    <cellStyle name="Comma 11" xfId="7599" xr:uid="{00000000-0005-0000-0000-0000B31D0000}"/>
    <cellStyle name="Comma 11 2" xfId="8958" xr:uid="{00000000-0005-0000-0000-000002230000}"/>
    <cellStyle name="Comma 11 2 2" xfId="20960" xr:uid="{00000000-0005-0000-0000-0000E4510000}"/>
    <cellStyle name="Comma 11 2 2 2" xfId="27046" xr:uid="{00000000-0005-0000-0000-0000AA690000}"/>
    <cellStyle name="Comma 11 2 2 3" xfId="28974" xr:uid="{00000000-0005-0000-0000-000032710000}"/>
    <cellStyle name="Comma 11 2 3" xfId="26083" xr:uid="{00000000-0005-0000-0000-0000E7650000}"/>
    <cellStyle name="Comma 11 2 4" xfId="28010" xr:uid="{00000000-0005-0000-0000-00006E6D0000}"/>
    <cellStyle name="Comma 11 3" xfId="19866" xr:uid="{00000000-0005-0000-0000-00009E4D0000}"/>
    <cellStyle name="Comma 11 3 2" xfId="26724" xr:uid="{00000000-0005-0000-0000-000068680000}"/>
    <cellStyle name="Comma 11 3 3" xfId="28652" xr:uid="{00000000-0005-0000-0000-0000F06F0000}"/>
    <cellStyle name="Comma 11 4" xfId="25761" xr:uid="{00000000-0005-0000-0000-0000A5640000}"/>
    <cellStyle name="Comma 11 5" xfId="27688" xr:uid="{00000000-0005-0000-0000-00002C6C0000}"/>
    <cellStyle name="Comma 12" xfId="7600" xr:uid="{00000000-0005-0000-0000-0000B41D0000}"/>
    <cellStyle name="Comma 12 2" xfId="8959" xr:uid="{00000000-0005-0000-0000-000003230000}"/>
    <cellStyle name="Comma 12 2 2" xfId="20961" xr:uid="{00000000-0005-0000-0000-0000E5510000}"/>
    <cellStyle name="Comma 12 2 2 2" xfId="27047" xr:uid="{00000000-0005-0000-0000-0000AB690000}"/>
    <cellStyle name="Comma 12 2 2 3" xfId="28975" xr:uid="{00000000-0005-0000-0000-000033710000}"/>
    <cellStyle name="Comma 12 2 3" xfId="26084" xr:uid="{00000000-0005-0000-0000-0000E8650000}"/>
    <cellStyle name="Comma 12 2 4" xfId="28011" xr:uid="{00000000-0005-0000-0000-00006F6D0000}"/>
    <cellStyle name="Comma 12 3" xfId="19867" xr:uid="{00000000-0005-0000-0000-00009F4D0000}"/>
    <cellStyle name="Comma 12 3 2" xfId="26725" xr:uid="{00000000-0005-0000-0000-000069680000}"/>
    <cellStyle name="Comma 12 3 3" xfId="28653" xr:uid="{00000000-0005-0000-0000-0000F16F0000}"/>
    <cellStyle name="Comma 12 4" xfId="25762" xr:uid="{00000000-0005-0000-0000-0000A6640000}"/>
    <cellStyle name="Comma 12 5" xfId="27689" xr:uid="{00000000-0005-0000-0000-00002D6C0000}"/>
    <cellStyle name="Comma 13" xfId="7601" xr:uid="{00000000-0005-0000-0000-0000B51D0000}"/>
    <cellStyle name="Comma 13 2" xfId="8960" xr:uid="{00000000-0005-0000-0000-000004230000}"/>
    <cellStyle name="Comma 13 2 2" xfId="20962" xr:uid="{00000000-0005-0000-0000-0000E6510000}"/>
    <cellStyle name="Comma 13 2 2 2" xfId="27048" xr:uid="{00000000-0005-0000-0000-0000AC690000}"/>
    <cellStyle name="Comma 13 2 2 3" xfId="28976" xr:uid="{00000000-0005-0000-0000-000034710000}"/>
    <cellStyle name="Comma 13 2 3" xfId="26085" xr:uid="{00000000-0005-0000-0000-0000E9650000}"/>
    <cellStyle name="Comma 13 2 4" xfId="28012" xr:uid="{00000000-0005-0000-0000-0000706D0000}"/>
    <cellStyle name="Comma 13 3" xfId="19868" xr:uid="{00000000-0005-0000-0000-0000A04D0000}"/>
    <cellStyle name="Comma 13 3 2" xfId="26726" xr:uid="{00000000-0005-0000-0000-00006A680000}"/>
    <cellStyle name="Comma 13 3 3" xfId="28654" xr:uid="{00000000-0005-0000-0000-0000F26F0000}"/>
    <cellStyle name="Comma 13 4" xfId="25763" xr:uid="{00000000-0005-0000-0000-0000A7640000}"/>
    <cellStyle name="Comma 13 5" xfId="27690" xr:uid="{00000000-0005-0000-0000-00002E6C0000}"/>
    <cellStyle name="Comma 14" xfId="5725" xr:uid="{00000000-0005-0000-0000-000061160000}"/>
    <cellStyle name="Comma 14 2" xfId="7602" xr:uid="{00000000-0005-0000-0000-0000B61D0000}"/>
    <cellStyle name="Comma 14 2 2" xfId="8961" xr:uid="{00000000-0005-0000-0000-000005230000}"/>
    <cellStyle name="Comma 14 2 2 2" xfId="20963" xr:uid="{00000000-0005-0000-0000-0000E7510000}"/>
    <cellStyle name="Comma 14 2 2 2 2" xfId="27049" xr:uid="{00000000-0005-0000-0000-0000AD690000}"/>
    <cellStyle name="Comma 14 2 2 2 3" xfId="28977" xr:uid="{00000000-0005-0000-0000-000035710000}"/>
    <cellStyle name="Comma 14 2 2 3" xfId="26086" xr:uid="{00000000-0005-0000-0000-0000EA650000}"/>
    <cellStyle name="Comma 14 2 2 4" xfId="28013" xr:uid="{00000000-0005-0000-0000-0000716D0000}"/>
    <cellStyle name="Comma 14 2 3" xfId="16527" xr:uid="{00000000-0005-0000-0000-000093400000}"/>
    <cellStyle name="Comma 14 2 3 2" xfId="23385" xr:uid="{00000000-0005-0000-0000-00005D5B0000}"/>
    <cellStyle name="Comma 14 2 3 2 2" xfId="27392" xr:uid="{00000000-0005-0000-0000-0000046B0000}"/>
    <cellStyle name="Comma 14 2 3 2 3" xfId="29320" xr:uid="{00000000-0005-0000-0000-00008C720000}"/>
    <cellStyle name="Comma 14 2 3 3" xfId="26429" xr:uid="{00000000-0005-0000-0000-000041670000}"/>
    <cellStyle name="Comma 14 2 3 4" xfId="28357" xr:uid="{00000000-0005-0000-0000-0000C96E0000}"/>
    <cellStyle name="Comma 14 2 4" xfId="19869" xr:uid="{00000000-0005-0000-0000-0000A14D0000}"/>
    <cellStyle name="Comma 14 2 4 2" xfId="26727" xr:uid="{00000000-0005-0000-0000-00006B680000}"/>
    <cellStyle name="Comma 14 2 4 3" xfId="28655" xr:uid="{00000000-0005-0000-0000-0000F36F0000}"/>
    <cellStyle name="Comma 14 2 5" xfId="25764" xr:uid="{00000000-0005-0000-0000-0000A8640000}"/>
    <cellStyle name="Comma 14 2 6" xfId="27691" xr:uid="{00000000-0005-0000-0000-00002F6C0000}"/>
    <cellStyle name="Comma 14 3" xfId="10800" xr:uid="{00000000-0005-0000-0000-0000342A0000}"/>
    <cellStyle name="Comma 15" xfId="7603" xr:uid="{00000000-0005-0000-0000-0000B71D0000}"/>
    <cellStyle name="Comma 15 2" xfId="8962" xr:uid="{00000000-0005-0000-0000-000006230000}"/>
    <cellStyle name="Comma 15 2 2" xfId="15048" xr:uid="{00000000-0005-0000-0000-0000CC3A0000}"/>
    <cellStyle name="Comma 15 2 2 2" xfId="23144" xr:uid="{00000000-0005-0000-0000-00006C5A0000}"/>
    <cellStyle name="Comma 15 2 2 2 2" xfId="27156" xr:uid="{00000000-0005-0000-0000-0000186A0000}"/>
    <cellStyle name="Comma 15 2 2 2 3" xfId="29084" xr:uid="{00000000-0005-0000-0000-0000A0710000}"/>
    <cellStyle name="Comma 15 2 2 3" xfId="26193" xr:uid="{00000000-0005-0000-0000-000055660000}"/>
    <cellStyle name="Comma 15 2 2 4" xfId="28121" xr:uid="{00000000-0005-0000-0000-0000DD6D0000}"/>
    <cellStyle name="Comma 15 2 3" xfId="15047" xr:uid="{00000000-0005-0000-0000-0000CB3A0000}"/>
    <cellStyle name="Comma 15 2 3 2" xfId="23143" xr:uid="{00000000-0005-0000-0000-00006B5A0000}"/>
    <cellStyle name="Comma 15 2 3 2 2" xfId="27155" xr:uid="{00000000-0005-0000-0000-0000176A0000}"/>
    <cellStyle name="Comma 15 2 3 2 3" xfId="29083" xr:uid="{00000000-0005-0000-0000-00009F710000}"/>
    <cellStyle name="Comma 15 2 3 3" xfId="26192" xr:uid="{00000000-0005-0000-0000-000054660000}"/>
    <cellStyle name="Comma 15 2 3 4" xfId="28120" xr:uid="{00000000-0005-0000-0000-0000DC6D0000}"/>
    <cellStyle name="Comma 15 2 4" xfId="20964" xr:uid="{00000000-0005-0000-0000-0000E8510000}"/>
    <cellStyle name="Comma 15 2 4 2" xfId="27050" xr:uid="{00000000-0005-0000-0000-0000AE690000}"/>
    <cellStyle name="Comma 15 2 4 3" xfId="28978" xr:uid="{00000000-0005-0000-0000-000036710000}"/>
    <cellStyle name="Comma 15 2 5" xfId="26087" xr:uid="{00000000-0005-0000-0000-0000EB650000}"/>
    <cellStyle name="Comma 15 2 6" xfId="28014" xr:uid="{00000000-0005-0000-0000-0000726D0000}"/>
    <cellStyle name="Comma 15 3" xfId="15049" xr:uid="{00000000-0005-0000-0000-0000CD3A0000}"/>
    <cellStyle name="Comma 15 3 2" xfId="15050" xr:uid="{00000000-0005-0000-0000-0000CE3A0000}"/>
    <cellStyle name="Comma 15 3 2 2" xfId="23146" xr:uid="{00000000-0005-0000-0000-00006E5A0000}"/>
    <cellStyle name="Comma 15 3 2 2 2" xfId="27158" xr:uid="{00000000-0005-0000-0000-00001A6A0000}"/>
    <cellStyle name="Comma 15 3 2 2 3" xfId="29086" xr:uid="{00000000-0005-0000-0000-0000A2710000}"/>
    <cellStyle name="Comma 15 3 2 3" xfId="26195" xr:uid="{00000000-0005-0000-0000-000057660000}"/>
    <cellStyle name="Comma 15 3 2 4" xfId="28123" xr:uid="{00000000-0005-0000-0000-0000DF6D0000}"/>
    <cellStyle name="Comma 15 3 3" xfId="23145" xr:uid="{00000000-0005-0000-0000-00006D5A0000}"/>
    <cellStyle name="Comma 15 3 3 2" xfId="27157" xr:uid="{00000000-0005-0000-0000-0000196A0000}"/>
    <cellStyle name="Comma 15 3 3 3" xfId="29085" xr:uid="{00000000-0005-0000-0000-0000A1710000}"/>
    <cellStyle name="Comma 15 3 4" xfId="26194" xr:uid="{00000000-0005-0000-0000-000056660000}"/>
    <cellStyle name="Comma 15 3 5" xfId="28122" xr:uid="{00000000-0005-0000-0000-0000DE6D0000}"/>
    <cellStyle name="Comma 15 4" xfId="15051" xr:uid="{00000000-0005-0000-0000-0000CF3A0000}"/>
    <cellStyle name="Comma 15 4 2" xfId="23147" xr:uid="{00000000-0005-0000-0000-00006F5A0000}"/>
    <cellStyle name="Comma 15 4 2 2" xfId="27159" xr:uid="{00000000-0005-0000-0000-00001B6A0000}"/>
    <cellStyle name="Comma 15 4 2 3" xfId="29087" xr:uid="{00000000-0005-0000-0000-0000A3710000}"/>
    <cellStyle name="Comma 15 4 3" xfId="26196" xr:uid="{00000000-0005-0000-0000-000058660000}"/>
    <cellStyle name="Comma 15 4 4" xfId="28124" xr:uid="{00000000-0005-0000-0000-0000E06D0000}"/>
    <cellStyle name="Comma 15 5" xfId="15046" xr:uid="{00000000-0005-0000-0000-0000CA3A0000}"/>
    <cellStyle name="Comma 15 5 2" xfId="23142" xr:uid="{00000000-0005-0000-0000-00006A5A0000}"/>
    <cellStyle name="Comma 15 5 2 2" xfId="27154" xr:uid="{00000000-0005-0000-0000-0000166A0000}"/>
    <cellStyle name="Comma 15 5 2 3" xfId="29082" xr:uid="{00000000-0005-0000-0000-00009E710000}"/>
    <cellStyle name="Comma 15 5 3" xfId="26191" xr:uid="{00000000-0005-0000-0000-000053660000}"/>
    <cellStyle name="Comma 15 5 4" xfId="28119" xr:uid="{00000000-0005-0000-0000-0000DB6D0000}"/>
    <cellStyle name="Comma 15 6" xfId="19870" xr:uid="{00000000-0005-0000-0000-0000A24D0000}"/>
    <cellStyle name="Comma 15 6 2" xfId="26728" xr:uid="{00000000-0005-0000-0000-00006C680000}"/>
    <cellStyle name="Comma 15 6 3" xfId="28656" xr:uid="{00000000-0005-0000-0000-0000F46F0000}"/>
    <cellStyle name="Comma 15 7" xfId="25765" xr:uid="{00000000-0005-0000-0000-0000A9640000}"/>
    <cellStyle name="Comma 15 8" xfId="27692" xr:uid="{00000000-0005-0000-0000-0000306C0000}"/>
    <cellStyle name="Comma 16" xfId="7604" xr:uid="{00000000-0005-0000-0000-0000B81D0000}"/>
    <cellStyle name="Comma 16 2" xfId="8963" xr:uid="{00000000-0005-0000-0000-000007230000}"/>
    <cellStyle name="Comma 16 2 2" xfId="15054" xr:uid="{00000000-0005-0000-0000-0000D23A0000}"/>
    <cellStyle name="Comma 16 2 2 2" xfId="23150" xr:uid="{00000000-0005-0000-0000-0000725A0000}"/>
    <cellStyle name="Comma 16 2 2 2 2" xfId="27162" xr:uid="{00000000-0005-0000-0000-00001E6A0000}"/>
    <cellStyle name="Comma 16 2 2 2 3" xfId="29090" xr:uid="{00000000-0005-0000-0000-0000A6710000}"/>
    <cellStyle name="Comma 16 2 2 3" xfId="26199" xr:uid="{00000000-0005-0000-0000-00005B660000}"/>
    <cellStyle name="Comma 16 2 2 4" xfId="28127" xr:uid="{00000000-0005-0000-0000-0000E36D0000}"/>
    <cellStyle name="Comma 16 2 3" xfId="15053" xr:uid="{00000000-0005-0000-0000-0000D13A0000}"/>
    <cellStyle name="Comma 16 2 3 2" xfId="23149" xr:uid="{00000000-0005-0000-0000-0000715A0000}"/>
    <cellStyle name="Comma 16 2 3 2 2" xfId="27161" xr:uid="{00000000-0005-0000-0000-00001D6A0000}"/>
    <cellStyle name="Comma 16 2 3 2 3" xfId="29089" xr:uid="{00000000-0005-0000-0000-0000A5710000}"/>
    <cellStyle name="Comma 16 2 3 3" xfId="26198" xr:uid="{00000000-0005-0000-0000-00005A660000}"/>
    <cellStyle name="Comma 16 2 3 4" xfId="28126" xr:uid="{00000000-0005-0000-0000-0000E26D0000}"/>
    <cellStyle name="Comma 16 2 4" xfId="20965" xr:uid="{00000000-0005-0000-0000-0000E9510000}"/>
    <cellStyle name="Comma 16 2 4 2" xfId="27051" xr:uid="{00000000-0005-0000-0000-0000AF690000}"/>
    <cellStyle name="Comma 16 2 4 3" xfId="28979" xr:uid="{00000000-0005-0000-0000-000037710000}"/>
    <cellStyle name="Comma 16 2 5" xfId="26088" xr:uid="{00000000-0005-0000-0000-0000EC650000}"/>
    <cellStyle name="Comma 16 2 6" xfId="28015" xr:uid="{00000000-0005-0000-0000-0000736D0000}"/>
    <cellStyle name="Comma 16 3" xfId="15055" xr:uid="{00000000-0005-0000-0000-0000D33A0000}"/>
    <cellStyle name="Comma 16 3 2" xfId="15056" xr:uid="{00000000-0005-0000-0000-0000D43A0000}"/>
    <cellStyle name="Comma 16 3 2 2" xfId="23152" xr:uid="{00000000-0005-0000-0000-0000745A0000}"/>
    <cellStyle name="Comma 16 3 2 2 2" xfId="27164" xr:uid="{00000000-0005-0000-0000-0000206A0000}"/>
    <cellStyle name="Comma 16 3 2 2 3" xfId="29092" xr:uid="{00000000-0005-0000-0000-0000A8710000}"/>
    <cellStyle name="Comma 16 3 2 3" xfId="26201" xr:uid="{00000000-0005-0000-0000-00005D660000}"/>
    <cellStyle name="Comma 16 3 2 4" xfId="28129" xr:uid="{00000000-0005-0000-0000-0000E56D0000}"/>
    <cellStyle name="Comma 16 3 3" xfId="23151" xr:uid="{00000000-0005-0000-0000-0000735A0000}"/>
    <cellStyle name="Comma 16 3 3 2" xfId="27163" xr:uid="{00000000-0005-0000-0000-00001F6A0000}"/>
    <cellStyle name="Comma 16 3 3 3" xfId="29091" xr:uid="{00000000-0005-0000-0000-0000A7710000}"/>
    <cellStyle name="Comma 16 3 4" xfId="26200" xr:uid="{00000000-0005-0000-0000-00005C660000}"/>
    <cellStyle name="Comma 16 3 5" xfId="28128" xr:uid="{00000000-0005-0000-0000-0000E46D0000}"/>
    <cellStyle name="Comma 16 4" xfId="15057" xr:uid="{00000000-0005-0000-0000-0000D53A0000}"/>
    <cellStyle name="Comma 16 4 2" xfId="23153" xr:uid="{00000000-0005-0000-0000-0000755A0000}"/>
    <cellStyle name="Comma 16 4 2 2" xfId="27165" xr:uid="{00000000-0005-0000-0000-0000216A0000}"/>
    <cellStyle name="Comma 16 4 2 3" xfId="29093" xr:uid="{00000000-0005-0000-0000-0000A9710000}"/>
    <cellStyle name="Comma 16 4 3" xfId="26202" xr:uid="{00000000-0005-0000-0000-00005E660000}"/>
    <cellStyle name="Comma 16 4 4" xfId="28130" xr:uid="{00000000-0005-0000-0000-0000E66D0000}"/>
    <cellStyle name="Comma 16 5" xfId="15052" xr:uid="{00000000-0005-0000-0000-0000D03A0000}"/>
    <cellStyle name="Comma 16 5 2" xfId="23148" xr:uid="{00000000-0005-0000-0000-0000705A0000}"/>
    <cellStyle name="Comma 16 5 2 2" xfId="27160" xr:uid="{00000000-0005-0000-0000-00001C6A0000}"/>
    <cellStyle name="Comma 16 5 2 3" xfId="29088" xr:uid="{00000000-0005-0000-0000-0000A4710000}"/>
    <cellStyle name="Comma 16 5 3" xfId="26197" xr:uid="{00000000-0005-0000-0000-000059660000}"/>
    <cellStyle name="Comma 16 5 4" xfId="28125" xr:uid="{00000000-0005-0000-0000-0000E16D0000}"/>
    <cellStyle name="Comma 16 6" xfId="19871" xr:uid="{00000000-0005-0000-0000-0000A34D0000}"/>
    <cellStyle name="Comma 16 6 2" xfId="26729" xr:uid="{00000000-0005-0000-0000-00006D680000}"/>
    <cellStyle name="Comma 16 6 3" xfId="28657" xr:uid="{00000000-0005-0000-0000-0000F56F0000}"/>
    <cellStyle name="Comma 16 7" xfId="25766" xr:uid="{00000000-0005-0000-0000-0000AA640000}"/>
    <cellStyle name="Comma 16 8" xfId="27693" xr:uid="{00000000-0005-0000-0000-0000316C0000}"/>
    <cellStyle name="Comma 17" xfId="7605" xr:uid="{00000000-0005-0000-0000-0000B91D0000}"/>
    <cellStyle name="Comma 17 2" xfId="8964" xr:uid="{00000000-0005-0000-0000-000008230000}"/>
    <cellStyle name="Comma 17 2 2" xfId="15060" xr:uid="{00000000-0005-0000-0000-0000D83A0000}"/>
    <cellStyle name="Comma 17 2 2 2" xfId="23156" xr:uid="{00000000-0005-0000-0000-0000785A0000}"/>
    <cellStyle name="Comma 17 2 2 2 2" xfId="27168" xr:uid="{00000000-0005-0000-0000-0000246A0000}"/>
    <cellStyle name="Comma 17 2 2 2 3" xfId="29096" xr:uid="{00000000-0005-0000-0000-0000AC710000}"/>
    <cellStyle name="Comma 17 2 2 3" xfId="26205" xr:uid="{00000000-0005-0000-0000-000061660000}"/>
    <cellStyle name="Comma 17 2 2 4" xfId="28133" xr:uid="{00000000-0005-0000-0000-0000E96D0000}"/>
    <cellStyle name="Comma 17 2 3" xfId="15059" xr:uid="{00000000-0005-0000-0000-0000D73A0000}"/>
    <cellStyle name="Comma 17 2 3 2" xfId="23155" xr:uid="{00000000-0005-0000-0000-0000775A0000}"/>
    <cellStyle name="Comma 17 2 3 2 2" xfId="27167" xr:uid="{00000000-0005-0000-0000-0000236A0000}"/>
    <cellStyle name="Comma 17 2 3 2 3" xfId="29095" xr:uid="{00000000-0005-0000-0000-0000AB710000}"/>
    <cellStyle name="Comma 17 2 3 3" xfId="26204" xr:uid="{00000000-0005-0000-0000-000060660000}"/>
    <cellStyle name="Comma 17 2 3 4" xfId="28132" xr:uid="{00000000-0005-0000-0000-0000E86D0000}"/>
    <cellStyle name="Comma 17 2 4" xfId="20966" xr:uid="{00000000-0005-0000-0000-0000EA510000}"/>
    <cellStyle name="Comma 17 2 4 2" xfId="27052" xr:uid="{00000000-0005-0000-0000-0000B0690000}"/>
    <cellStyle name="Comma 17 2 4 3" xfId="28980" xr:uid="{00000000-0005-0000-0000-000038710000}"/>
    <cellStyle name="Comma 17 2 5" xfId="26089" xr:uid="{00000000-0005-0000-0000-0000ED650000}"/>
    <cellStyle name="Comma 17 2 6" xfId="28016" xr:uid="{00000000-0005-0000-0000-0000746D0000}"/>
    <cellStyle name="Comma 17 3" xfId="15061" xr:uid="{00000000-0005-0000-0000-0000D93A0000}"/>
    <cellStyle name="Comma 17 3 2" xfId="23157" xr:uid="{00000000-0005-0000-0000-0000795A0000}"/>
    <cellStyle name="Comma 17 3 2 2" xfId="27169" xr:uid="{00000000-0005-0000-0000-0000256A0000}"/>
    <cellStyle name="Comma 17 3 2 3" xfId="29097" xr:uid="{00000000-0005-0000-0000-0000AD710000}"/>
    <cellStyle name="Comma 17 3 3" xfId="26206" xr:uid="{00000000-0005-0000-0000-000062660000}"/>
    <cellStyle name="Comma 17 3 4" xfId="28134" xr:uid="{00000000-0005-0000-0000-0000EA6D0000}"/>
    <cellStyle name="Comma 17 4" xfId="15058" xr:uid="{00000000-0005-0000-0000-0000D63A0000}"/>
    <cellStyle name="Comma 17 4 2" xfId="23154" xr:uid="{00000000-0005-0000-0000-0000765A0000}"/>
    <cellStyle name="Comma 17 4 2 2" xfId="27166" xr:uid="{00000000-0005-0000-0000-0000226A0000}"/>
    <cellStyle name="Comma 17 4 2 3" xfId="29094" xr:uid="{00000000-0005-0000-0000-0000AA710000}"/>
    <cellStyle name="Comma 17 4 3" xfId="26203" xr:uid="{00000000-0005-0000-0000-00005F660000}"/>
    <cellStyle name="Comma 17 4 4" xfId="28131" xr:uid="{00000000-0005-0000-0000-0000E76D0000}"/>
    <cellStyle name="Comma 17 5" xfId="19872" xr:uid="{00000000-0005-0000-0000-0000A44D0000}"/>
    <cellStyle name="Comma 17 5 2" xfId="26730" xr:uid="{00000000-0005-0000-0000-00006E680000}"/>
    <cellStyle name="Comma 17 5 3" xfId="28658" xr:uid="{00000000-0005-0000-0000-0000F66F0000}"/>
    <cellStyle name="Comma 17 6" xfId="25767" xr:uid="{00000000-0005-0000-0000-0000AB640000}"/>
    <cellStyle name="Comma 17 7" xfId="27694" xr:uid="{00000000-0005-0000-0000-0000326C0000}"/>
    <cellStyle name="Comma 18" xfId="7606" xr:uid="{00000000-0005-0000-0000-0000BA1D0000}"/>
    <cellStyle name="Comma 18 2" xfId="8965" xr:uid="{00000000-0005-0000-0000-000009230000}"/>
    <cellStyle name="Comma 18 2 2" xfId="15063" xr:uid="{00000000-0005-0000-0000-0000DB3A0000}"/>
    <cellStyle name="Comma 18 2 2 2" xfId="23159" xr:uid="{00000000-0005-0000-0000-00007B5A0000}"/>
    <cellStyle name="Comma 18 2 2 2 2" xfId="27171" xr:uid="{00000000-0005-0000-0000-0000276A0000}"/>
    <cellStyle name="Comma 18 2 2 2 3" xfId="29099" xr:uid="{00000000-0005-0000-0000-0000AF710000}"/>
    <cellStyle name="Comma 18 2 2 3" xfId="26208" xr:uid="{00000000-0005-0000-0000-000064660000}"/>
    <cellStyle name="Comma 18 2 2 4" xfId="28136" xr:uid="{00000000-0005-0000-0000-0000EC6D0000}"/>
    <cellStyle name="Comma 18 2 3" xfId="20967" xr:uid="{00000000-0005-0000-0000-0000EB510000}"/>
    <cellStyle name="Comma 18 2 3 2" xfId="27053" xr:uid="{00000000-0005-0000-0000-0000B1690000}"/>
    <cellStyle name="Comma 18 2 3 3" xfId="28981" xr:uid="{00000000-0005-0000-0000-000039710000}"/>
    <cellStyle name="Comma 18 2 4" xfId="26090" xr:uid="{00000000-0005-0000-0000-0000EE650000}"/>
    <cellStyle name="Comma 18 2 5" xfId="28017" xr:uid="{00000000-0005-0000-0000-0000756D0000}"/>
    <cellStyle name="Comma 18 3" xfId="15062" xr:uid="{00000000-0005-0000-0000-0000DA3A0000}"/>
    <cellStyle name="Comma 18 3 2" xfId="23158" xr:uid="{00000000-0005-0000-0000-00007A5A0000}"/>
    <cellStyle name="Comma 18 3 2 2" xfId="27170" xr:uid="{00000000-0005-0000-0000-0000266A0000}"/>
    <cellStyle name="Comma 18 3 2 3" xfId="29098" xr:uid="{00000000-0005-0000-0000-0000AE710000}"/>
    <cellStyle name="Comma 18 3 3" xfId="26207" xr:uid="{00000000-0005-0000-0000-000063660000}"/>
    <cellStyle name="Comma 18 3 4" xfId="28135" xr:uid="{00000000-0005-0000-0000-0000EB6D0000}"/>
    <cellStyle name="Comma 18 4" xfId="19873" xr:uid="{00000000-0005-0000-0000-0000A54D0000}"/>
    <cellStyle name="Comma 18 4 2" xfId="26731" xr:uid="{00000000-0005-0000-0000-00006F680000}"/>
    <cellStyle name="Comma 18 4 3" xfId="28659" xr:uid="{00000000-0005-0000-0000-0000F76F0000}"/>
    <cellStyle name="Comma 18 5" xfId="25768" xr:uid="{00000000-0005-0000-0000-0000AC640000}"/>
    <cellStyle name="Comma 18 6" xfId="27695" xr:uid="{00000000-0005-0000-0000-0000336C0000}"/>
    <cellStyle name="Comma 19" xfId="7607" xr:uid="{00000000-0005-0000-0000-0000BB1D0000}"/>
    <cellStyle name="Comma 19 2" xfId="8966" xr:uid="{00000000-0005-0000-0000-00000A230000}"/>
    <cellStyle name="Comma 19 2 2" xfId="15065" xr:uid="{00000000-0005-0000-0000-0000DD3A0000}"/>
    <cellStyle name="Comma 19 2 2 2" xfId="23161" xr:uid="{00000000-0005-0000-0000-00007D5A0000}"/>
    <cellStyle name="Comma 19 2 2 2 2" xfId="27173" xr:uid="{00000000-0005-0000-0000-0000296A0000}"/>
    <cellStyle name="Comma 19 2 2 2 3" xfId="29101" xr:uid="{00000000-0005-0000-0000-0000B1710000}"/>
    <cellStyle name="Comma 19 2 2 3" xfId="26210" xr:uid="{00000000-0005-0000-0000-000066660000}"/>
    <cellStyle name="Comma 19 2 2 4" xfId="28138" xr:uid="{00000000-0005-0000-0000-0000EE6D0000}"/>
    <cellStyle name="Comma 19 2 3" xfId="20968" xr:uid="{00000000-0005-0000-0000-0000EC510000}"/>
    <cellStyle name="Comma 19 2 3 2" xfId="27054" xr:uid="{00000000-0005-0000-0000-0000B2690000}"/>
    <cellStyle name="Comma 19 2 3 3" xfId="28982" xr:uid="{00000000-0005-0000-0000-00003A710000}"/>
    <cellStyle name="Comma 19 2 4" xfId="26091" xr:uid="{00000000-0005-0000-0000-0000EF650000}"/>
    <cellStyle name="Comma 19 2 5" xfId="28018" xr:uid="{00000000-0005-0000-0000-0000766D0000}"/>
    <cellStyle name="Comma 19 3" xfId="15064" xr:uid="{00000000-0005-0000-0000-0000DC3A0000}"/>
    <cellStyle name="Comma 19 3 2" xfId="23160" xr:uid="{00000000-0005-0000-0000-00007C5A0000}"/>
    <cellStyle name="Comma 19 3 2 2" xfId="27172" xr:uid="{00000000-0005-0000-0000-0000286A0000}"/>
    <cellStyle name="Comma 19 3 2 3" xfId="29100" xr:uid="{00000000-0005-0000-0000-0000B0710000}"/>
    <cellStyle name="Comma 19 3 3" xfId="26209" xr:uid="{00000000-0005-0000-0000-000065660000}"/>
    <cellStyle name="Comma 19 3 4" xfId="28137" xr:uid="{00000000-0005-0000-0000-0000ED6D0000}"/>
    <cellStyle name="Comma 19 4" xfId="19874" xr:uid="{00000000-0005-0000-0000-0000A64D0000}"/>
    <cellStyle name="Comma 19 4 2" xfId="26732" xr:uid="{00000000-0005-0000-0000-000070680000}"/>
    <cellStyle name="Comma 19 4 3" xfId="28660" xr:uid="{00000000-0005-0000-0000-0000F86F0000}"/>
    <cellStyle name="Comma 19 5" xfId="25769" xr:uid="{00000000-0005-0000-0000-0000AD640000}"/>
    <cellStyle name="Comma 19 6" xfId="27696" xr:uid="{00000000-0005-0000-0000-0000346C0000}"/>
    <cellStyle name="Comma 2" xfId="18" xr:uid="{00000000-0005-0000-0000-000016000000}"/>
    <cellStyle name="Comma 2 10" xfId="731" xr:uid="{00000000-0005-0000-0000-0000DF020000}"/>
    <cellStyle name="Comma 2 10 2" xfId="2001" xr:uid="{00000000-0005-0000-0000-0000D5070000}"/>
    <cellStyle name="Comma 2 10 3" xfId="8967" xr:uid="{00000000-0005-0000-0000-00000B230000}"/>
    <cellStyle name="Comma 2 10 3 2" xfId="20969" xr:uid="{00000000-0005-0000-0000-0000ED510000}"/>
    <cellStyle name="Comma 2 10 3 2 2" xfId="27055" xr:uid="{00000000-0005-0000-0000-0000B3690000}"/>
    <cellStyle name="Comma 2 10 3 2 3" xfId="28983" xr:uid="{00000000-0005-0000-0000-00003B710000}"/>
    <cellStyle name="Comma 2 10 3 3" xfId="26092" xr:uid="{00000000-0005-0000-0000-0000F0650000}"/>
    <cellStyle name="Comma 2 10 3 4" xfId="28019" xr:uid="{00000000-0005-0000-0000-0000776D0000}"/>
    <cellStyle name="Comma 2 10 4" xfId="15554" xr:uid="{00000000-0005-0000-0000-0000C63C0000}"/>
    <cellStyle name="Comma 2 10 4 2" xfId="23218" xr:uid="{00000000-0005-0000-0000-0000B65A0000}"/>
    <cellStyle name="Comma 2 10 4 2 2" xfId="27226" xr:uid="{00000000-0005-0000-0000-00005E6A0000}"/>
    <cellStyle name="Comma 2 10 4 2 3" xfId="29154" xr:uid="{00000000-0005-0000-0000-0000E6710000}"/>
    <cellStyle name="Comma 2 10 4 3" xfId="26263" xr:uid="{00000000-0005-0000-0000-00009B660000}"/>
    <cellStyle name="Comma 2 10 4 4" xfId="28191" xr:uid="{00000000-0005-0000-0000-0000236E0000}"/>
    <cellStyle name="Comma 2 10 5" xfId="19655" xr:uid="{00000000-0005-0000-0000-0000CB4C0000}"/>
    <cellStyle name="Comma 2 10 5 2" xfId="26553" xr:uid="{00000000-0005-0000-0000-0000BD670000}"/>
    <cellStyle name="Comma 2 10 5 3" xfId="28481" xr:uid="{00000000-0005-0000-0000-0000456F0000}"/>
    <cellStyle name="Comma 2 10 6" xfId="25590" xr:uid="{00000000-0005-0000-0000-0000FA630000}"/>
    <cellStyle name="Comma 2 10 7" xfId="27517" xr:uid="{00000000-0005-0000-0000-0000816B0000}"/>
    <cellStyle name="Comma 2 10 8" xfId="5726" xr:uid="{00000000-0005-0000-0000-000062160000}"/>
    <cellStyle name="Comma 2 11" xfId="732" xr:uid="{00000000-0005-0000-0000-0000E0020000}"/>
    <cellStyle name="Comma 2 11 2" xfId="2002" xr:uid="{00000000-0005-0000-0000-0000D6070000}"/>
    <cellStyle name="Comma 2 11 3" xfId="8968" xr:uid="{00000000-0005-0000-0000-00000C230000}"/>
    <cellStyle name="Comma 2 11 3 2" xfId="20970" xr:uid="{00000000-0005-0000-0000-0000EE510000}"/>
    <cellStyle name="Comma 2 11 3 2 2" xfId="27056" xr:uid="{00000000-0005-0000-0000-0000B4690000}"/>
    <cellStyle name="Comma 2 11 3 2 3" xfId="28984" xr:uid="{00000000-0005-0000-0000-00003C710000}"/>
    <cellStyle name="Comma 2 11 3 3" xfId="26093" xr:uid="{00000000-0005-0000-0000-0000F1650000}"/>
    <cellStyle name="Comma 2 11 3 4" xfId="28020" xr:uid="{00000000-0005-0000-0000-0000786D0000}"/>
    <cellStyle name="Comma 2 11 4" xfId="15555" xr:uid="{00000000-0005-0000-0000-0000C73C0000}"/>
    <cellStyle name="Comma 2 11 4 2" xfId="23219" xr:uid="{00000000-0005-0000-0000-0000B75A0000}"/>
    <cellStyle name="Comma 2 11 4 2 2" xfId="27227" xr:uid="{00000000-0005-0000-0000-00005F6A0000}"/>
    <cellStyle name="Comma 2 11 4 2 3" xfId="29155" xr:uid="{00000000-0005-0000-0000-0000E7710000}"/>
    <cellStyle name="Comma 2 11 4 3" xfId="26264" xr:uid="{00000000-0005-0000-0000-00009C660000}"/>
    <cellStyle name="Comma 2 11 4 4" xfId="28192" xr:uid="{00000000-0005-0000-0000-0000246E0000}"/>
    <cellStyle name="Comma 2 11 5" xfId="19656" xr:uid="{00000000-0005-0000-0000-0000CC4C0000}"/>
    <cellStyle name="Comma 2 11 5 2" xfId="26554" xr:uid="{00000000-0005-0000-0000-0000BE670000}"/>
    <cellStyle name="Comma 2 11 5 3" xfId="28482" xr:uid="{00000000-0005-0000-0000-0000466F0000}"/>
    <cellStyle name="Comma 2 11 6" xfId="25591" xr:uid="{00000000-0005-0000-0000-0000FB630000}"/>
    <cellStyle name="Comma 2 11 7" xfId="27518" xr:uid="{00000000-0005-0000-0000-0000826B0000}"/>
    <cellStyle name="Comma 2 11 8" xfId="5727" xr:uid="{00000000-0005-0000-0000-000063160000}"/>
    <cellStyle name="Comma 2 12" xfId="733" xr:uid="{00000000-0005-0000-0000-0000E1020000}"/>
    <cellStyle name="Comma 2 12 2" xfId="2003" xr:uid="{00000000-0005-0000-0000-0000D7070000}"/>
    <cellStyle name="Comma 2 12 3" xfId="8969" xr:uid="{00000000-0005-0000-0000-00000D230000}"/>
    <cellStyle name="Comma 2 12 3 2" xfId="20971" xr:uid="{00000000-0005-0000-0000-0000EF510000}"/>
    <cellStyle name="Comma 2 12 3 2 2" xfId="27057" xr:uid="{00000000-0005-0000-0000-0000B5690000}"/>
    <cellStyle name="Comma 2 12 3 2 3" xfId="28985" xr:uid="{00000000-0005-0000-0000-00003D710000}"/>
    <cellStyle name="Comma 2 12 3 3" xfId="26094" xr:uid="{00000000-0005-0000-0000-0000F2650000}"/>
    <cellStyle name="Comma 2 12 3 4" xfId="28021" xr:uid="{00000000-0005-0000-0000-0000796D0000}"/>
    <cellStyle name="Comma 2 12 4" xfId="15556" xr:uid="{00000000-0005-0000-0000-0000C83C0000}"/>
    <cellStyle name="Comma 2 12 4 2" xfId="23220" xr:uid="{00000000-0005-0000-0000-0000B85A0000}"/>
    <cellStyle name="Comma 2 12 4 2 2" xfId="27228" xr:uid="{00000000-0005-0000-0000-0000606A0000}"/>
    <cellStyle name="Comma 2 12 4 2 3" xfId="29156" xr:uid="{00000000-0005-0000-0000-0000E8710000}"/>
    <cellStyle name="Comma 2 12 4 3" xfId="26265" xr:uid="{00000000-0005-0000-0000-00009D660000}"/>
    <cellStyle name="Comma 2 12 4 4" xfId="28193" xr:uid="{00000000-0005-0000-0000-0000256E0000}"/>
    <cellStyle name="Comma 2 12 5" xfId="19657" xr:uid="{00000000-0005-0000-0000-0000CD4C0000}"/>
    <cellStyle name="Comma 2 12 5 2" xfId="26555" xr:uid="{00000000-0005-0000-0000-0000BF670000}"/>
    <cellStyle name="Comma 2 12 5 3" xfId="28483" xr:uid="{00000000-0005-0000-0000-0000476F0000}"/>
    <cellStyle name="Comma 2 12 6" xfId="25592" xr:uid="{00000000-0005-0000-0000-0000FC630000}"/>
    <cellStyle name="Comma 2 12 7" xfId="27519" xr:uid="{00000000-0005-0000-0000-0000836B0000}"/>
    <cellStyle name="Comma 2 12 8" xfId="5728" xr:uid="{00000000-0005-0000-0000-000064160000}"/>
    <cellStyle name="Comma 2 13" xfId="734" xr:uid="{00000000-0005-0000-0000-0000E2020000}"/>
    <cellStyle name="Comma 2 13 2" xfId="2004" xr:uid="{00000000-0005-0000-0000-0000D8070000}"/>
    <cellStyle name="Comma 2 13 3" xfId="8970" xr:uid="{00000000-0005-0000-0000-00000E230000}"/>
    <cellStyle name="Comma 2 13 3 2" xfId="20972" xr:uid="{00000000-0005-0000-0000-0000F0510000}"/>
    <cellStyle name="Comma 2 13 3 2 2" xfId="27058" xr:uid="{00000000-0005-0000-0000-0000B6690000}"/>
    <cellStyle name="Comma 2 13 3 2 3" xfId="28986" xr:uid="{00000000-0005-0000-0000-00003E710000}"/>
    <cellStyle name="Comma 2 13 3 3" xfId="26095" xr:uid="{00000000-0005-0000-0000-0000F3650000}"/>
    <cellStyle name="Comma 2 13 3 4" xfId="28022" xr:uid="{00000000-0005-0000-0000-00007A6D0000}"/>
    <cellStyle name="Comma 2 13 4" xfId="15557" xr:uid="{00000000-0005-0000-0000-0000C93C0000}"/>
    <cellStyle name="Comma 2 13 4 2" xfId="23221" xr:uid="{00000000-0005-0000-0000-0000B95A0000}"/>
    <cellStyle name="Comma 2 13 4 2 2" xfId="27229" xr:uid="{00000000-0005-0000-0000-0000616A0000}"/>
    <cellStyle name="Comma 2 13 4 2 3" xfId="29157" xr:uid="{00000000-0005-0000-0000-0000E9710000}"/>
    <cellStyle name="Comma 2 13 4 3" xfId="26266" xr:uid="{00000000-0005-0000-0000-00009E660000}"/>
    <cellStyle name="Comma 2 13 4 4" xfId="28194" xr:uid="{00000000-0005-0000-0000-0000266E0000}"/>
    <cellStyle name="Comma 2 13 5" xfId="19658" xr:uid="{00000000-0005-0000-0000-0000CE4C0000}"/>
    <cellStyle name="Comma 2 13 5 2" xfId="26556" xr:uid="{00000000-0005-0000-0000-0000C0670000}"/>
    <cellStyle name="Comma 2 13 5 3" xfId="28484" xr:uid="{00000000-0005-0000-0000-0000486F0000}"/>
    <cellStyle name="Comma 2 13 6" xfId="25593" xr:uid="{00000000-0005-0000-0000-0000FD630000}"/>
    <cellStyle name="Comma 2 13 7" xfId="27520" xr:uid="{00000000-0005-0000-0000-0000846B0000}"/>
    <cellStyle name="Comma 2 13 8" xfId="5729" xr:uid="{00000000-0005-0000-0000-000065160000}"/>
    <cellStyle name="Comma 2 14" xfId="735" xr:uid="{00000000-0005-0000-0000-0000E3020000}"/>
    <cellStyle name="Comma 2 14 2" xfId="2005" xr:uid="{00000000-0005-0000-0000-0000D9070000}"/>
    <cellStyle name="Comma 2 15" xfId="736" xr:uid="{00000000-0005-0000-0000-0000E4020000}"/>
    <cellStyle name="Comma 2 15 2" xfId="2006" xr:uid="{00000000-0005-0000-0000-0000DA070000}"/>
    <cellStyle name="Comma 2 16" xfId="737" xr:uid="{00000000-0005-0000-0000-0000E5020000}"/>
    <cellStyle name="Comma 2 16 2" xfId="2007" xr:uid="{00000000-0005-0000-0000-0000DB070000}"/>
    <cellStyle name="Comma 2 17" xfId="2000" xr:uid="{00000000-0005-0000-0000-0000D4070000}"/>
    <cellStyle name="Comma 2 17 2" xfId="3055" xr:uid="{00000000-0005-0000-0000-0000F30B0000}"/>
    <cellStyle name="Comma 2 17 2 2" xfId="20973" xr:uid="{00000000-0005-0000-0000-0000F1510000}"/>
    <cellStyle name="Comma 2 17 2 2 2" xfId="27059" xr:uid="{00000000-0005-0000-0000-0000B7690000}"/>
    <cellStyle name="Comma 2 17 2 2 3" xfId="28987" xr:uid="{00000000-0005-0000-0000-00003F710000}"/>
    <cellStyle name="Comma 2 17 2 3" xfId="26096" xr:uid="{00000000-0005-0000-0000-0000F4650000}"/>
    <cellStyle name="Comma 2 17 2 4" xfId="28023" xr:uid="{00000000-0005-0000-0000-00007B6D0000}"/>
    <cellStyle name="Comma 2 17 2 5" xfId="8971" xr:uid="{00000000-0005-0000-0000-00000F230000}"/>
    <cellStyle name="Comma 2 17 3" xfId="3281" xr:uid="{00000000-0005-0000-0000-0000D50C0000}"/>
    <cellStyle name="Comma 2 17 3 2" xfId="26733" xr:uid="{00000000-0005-0000-0000-000071680000}"/>
    <cellStyle name="Comma 2 17 3 3" xfId="28661" xr:uid="{00000000-0005-0000-0000-0000F96F0000}"/>
    <cellStyle name="Comma 2 17 3 4" xfId="19875" xr:uid="{00000000-0005-0000-0000-0000A74D0000}"/>
    <cellStyle name="Comma 2 17 4" xfId="25770" xr:uid="{00000000-0005-0000-0000-0000AE640000}"/>
    <cellStyle name="Comma 2 17 5" xfId="27697" xr:uid="{00000000-0005-0000-0000-0000356C0000}"/>
    <cellStyle name="Comma 2 17 6" xfId="7608" xr:uid="{00000000-0005-0000-0000-0000BC1D0000}"/>
    <cellStyle name="Comma 2 18" xfId="730" xr:uid="{00000000-0005-0000-0000-0000DE020000}"/>
    <cellStyle name="Comma 2 18 2" xfId="8972" xr:uid="{00000000-0005-0000-0000-000010230000}"/>
    <cellStyle name="Comma 2 18 2 2" xfId="20974" xr:uid="{00000000-0005-0000-0000-0000F2510000}"/>
    <cellStyle name="Comma 2 18 2 2 2" xfId="27060" xr:uid="{00000000-0005-0000-0000-0000B8690000}"/>
    <cellStyle name="Comma 2 18 2 2 3" xfId="28988" xr:uid="{00000000-0005-0000-0000-000040710000}"/>
    <cellStyle name="Comma 2 18 2 3" xfId="26097" xr:uid="{00000000-0005-0000-0000-0000F5650000}"/>
    <cellStyle name="Comma 2 18 2 4" xfId="28024" xr:uid="{00000000-0005-0000-0000-00007C6D0000}"/>
    <cellStyle name="Comma 2 18 3" xfId="19876" xr:uid="{00000000-0005-0000-0000-0000A84D0000}"/>
    <cellStyle name="Comma 2 18 3 2" xfId="26734" xr:uid="{00000000-0005-0000-0000-000072680000}"/>
    <cellStyle name="Comma 2 18 3 3" xfId="28662" xr:uid="{00000000-0005-0000-0000-0000FA6F0000}"/>
    <cellStyle name="Comma 2 18 4" xfId="25771" xr:uid="{00000000-0005-0000-0000-0000AF640000}"/>
    <cellStyle name="Comma 2 18 5" xfId="27698" xr:uid="{00000000-0005-0000-0000-0000366C0000}"/>
    <cellStyle name="Comma 2 18 6" xfId="7609" xr:uid="{00000000-0005-0000-0000-0000BD1D0000}"/>
    <cellStyle name="Comma 2 19" xfId="3407" xr:uid="{00000000-0005-0000-0000-0000530D0000}"/>
    <cellStyle name="Comma 2 19 2" xfId="7611" xr:uid="{00000000-0005-0000-0000-0000BF1D0000}"/>
    <cellStyle name="Comma 2 19 2 2" xfId="8974" xr:uid="{00000000-0005-0000-0000-000012230000}"/>
    <cellStyle name="Comma 2 19 2 2 2" xfId="20976" xr:uid="{00000000-0005-0000-0000-0000F4510000}"/>
    <cellStyle name="Comma 2 19 2 2 2 2" xfId="27062" xr:uid="{00000000-0005-0000-0000-0000BA690000}"/>
    <cellStyle name="Comma 2 19 2 2 2 3" xfId="28990" xr:uid="{00000000-0005-0000-0000-000042710000}"/>
    <cellStyle name="Comma 2 19 2 2 3" xfId="26099" xr:uid="{00000000-0005-0000-0000-0000F7650000}"/>
    <cellStyle name="Comma 2 19 2 2 4" xfId="28026" xr:uid="{00000000-0005-0000-0000-00007E6D0000}"/>
    <cellStyle name="Comma 2 19 2 3" xfId="19878" xr:uid="{00000000-0005-0000-0000-0000AA4D0000}"/>
    <cellStyle name="Comma 2 19 2 3 2" xfId="26736" xr:uid="{00000000-0005-0000-0000-000074680000}"/>
    <cellStyle name="Comma 2 19 2 3 3" xfId="28664" xr:uid="{00000000-0005-0000-0000-0000FC6F0000}"/>
    <cellStyle name="Comma 2 19 2 4" xfId="25773" xr:uid="{00000000-0005-0000-0000-0000B1640000}"/>
    <cellStyle name="Comma 2 19 2 5" xfId="27700" xr:uid="{00000000-0005-0000-0000-0000386C0000}"/>
    <cellStyle name="Comma 2 19 3" xfId="8973" xr:uid="{00000000-0005-0000-0000-000011230000}"/>
    <cellStyle name="Comma 2 19 3 2" xfId="12654" xr:uid="{00000000-0005-0000-0000-000072310000}"/>
    <cellStyle name="Comma 2 19 3 2 2" xfId="15066" xr:uid="{00000000-0005-0000-0000-0000DE3A0000}"/>
    <cellStyle name="Comma 2 19 3 2 2 2" xfId="23162" xr:uid="{00000000-0005-0000-0000-00007E5A0000}"/>
    <cellStyle name="Comma 2 19 3 2 2 2 2" xfId="27174" xr:uid="{00000000-0005-0000-0000-00002A6A0000}"/>
    <cellStyle name="Comma 2 19 3 2 2 2 3" xfId="29102" xr:uid="{00000000-0005-0000-0000-0000B2710000}"/>
    <cellStyle name="Comma 2 19 3 2 2 3" xfId="26211" xr:uid="{00000000-0005-0000-0000-000067660000}"/>
    <cellStyle name="Comma 2 19 3 2 2 4" xfId="28139" xr:uid="{00000000-0005-0000-0000-0000EF6D0000}"/>
    <cellStyle name="Comma 2 19 3 2 3" xfId="23127" xr:uid="{00000000-0005-0000-0000-00005B5A0000}"/>
    <cellStyle name="Comma 2 19 3 2 3 2" xfId="27144" xr:uid="{00000000-0005-0000-0000-00000C6A0000}"/>
    <cellStyle name="Comma 2 19 3 2 3 3" xfId="29072" xr:uid="{00000000-0005-0000-0000-000094710000}"/>
    <cellStyle name="Comma 2 19 3 2 4" xfId="26181" xr:uid="{00000000-0005-0000-0000-000049660000}"/>
    <cellStyle name="Comma 2 19 3 2 5" xfId="28109" xr:uid="{00000000-0005-0000-0000-0000D16D0000}"/>
    <cellStyle name="Comma 2 19 3 3" xfId="20975" xr:uid="{00000000-0005-0000-0000-0000F3510000}"/>
    <cellStyle name="Comma 2 19 3 3 2" xfId="27061" xr:uid="{00000000-0005-0000-0000-0000B9690000}"/>
    <cellStyle name="Comma 2 19 3 3 3" xfId="28989" xr:uid="{00000000-0005-0000-0000-000041710000}"/>
    <cellStyle name="Comma 2 19 3 4" xfId="26098" xr:uid="{00000000-0005-0000-0000-0000F6650000}"/>
    <cellStyle name="Comma 2 19 3 5" xfId="28025" xr:uid="{00000000-0005-0000-0000-00007D6D0000}"/>
    <cellStyle name="Comma 2 19 4" xfId="12655" xr:uid="{00000000-0005-0000-0000-000073310000}"/>
    <cellStyle name="Comma 2 19 4 2" xfId="15067" xr:uid="{00000000-0005-0000-0000-0000DF3A0000}"/>
    <cellStyle name="Comma 2 19 4 2 2" xfId="23163" xr:uid="{00000000-0005-0000-0000-00007F5A0000}"/>
    <cellStyle name="Comma 2 19 4 2 2 2" xfId="27175" xr:uid="{00000000-0005-0000-0000-00002B6A0000}"/>
    <cellStyle name="Comma 2 19 4 2 2 3" xfId="29103" xr:uid="{00000000-0005-0000-0000-0000B3710000}"/>
    <cellStyle name="Comma 2 19 4 2 3" xfId="26212" xr:uid="{00000000-0005-0000-0000-000068660000}"/>
    <cellStyle name="Comma 2 19 4 2 4" xfId="28140" xr:uid="{00000000-0005-0000-0000-0000F06D0000}"/>
    <cellStyle name="Comma 2 19 4 3" xfId="23128" xr:uid="{00000000-0005-0000-0000-00005C5A0000}"/>
    <cellStyle name="Comma 2 19 4 3 2" xfId="27145" xr:uid="{00000000-0005-0000-0000-00000D6A0000}"/>
    <cellStyle name="Comma 2 19 4 3 3" xfId="29073" xr:uid="{00000000-0005-0000-0000-000095710000}"/>
    <cellStyle name="Comma 2 19 4 4" xfId="26182" xr:uid="{00000000-0005-0000-0000-00004A660000}"/>
    <cellStyle name="Comma 2 19 4 5" xfId="28110" xr:uid="{00000000-0005-0000-0000-0000D26D0000}"/>
    <cellStyle name="Comma 2 19 5" xfId="19877" xr:uid="{00000000-0005-0000-0000-0000A94D0000}"/>
    <cellStyle name="Comma 2 19 5 2" xfId="26735" xr:uid="{00000000-0005-0000-0000-000073680000}"/>
    <cellStyle name="Comma 2 19 5 3" xfId="28663" xr:uid="{00000000-0005-0000-0000-0000FB6F0000}"/>
    <cellStyle name="Comma 2 19 6" xfId="25772" xr:uid="{00000000-0005-0000-0000-0000B0640000}"/>
    <cellStyle name="Comma 2 19 7" xfId="27699" xr:uid="{00000000-0005-0000-0000-0000376C0000}"/>
    <cellStyle name="Comma 2 19 8" xfId="7610" xr:uid="{00000000-0005-0000-0000-0000BE1D0000}"/>
    <cellStyle name="Comma 2 2" xfId="25" xr:uid="{00000000-0005-0000-0000-00001D000000}"/>
    <cellStyle name="Comma 2 2 10" xfId="19581" xr:uid="{00000000-0005-0000-0000-0000814C0000}"/>
    <cellStyle name="Comma 2 2 10 2" xfId="26517" xr:uid="{00000000-0005-0000-0000-000099670000}"/>
    <cellStyle name="Comma 2 2 10 3" xfId="28445" xr:uid="{00000000-0005-0000-0000-0000216F0000}"/>
    <cellStyle name="Comma 2 2 11" xfId="25554" xr:uid="{00000000-0005-0000-0000-0000D6630000}"/>
    <cellStyle name="Comma 2 2 12" xfId="27481" xr:uid="{00000000-0005-0000-0000-00005D6B0000}"/>
    <cellStyle name="Comma 2 2 13" xfId="4462" xr:uid="{00000000-0005-0000-0000-000072110000}"/>
    <cellStyle name="Comma 2 2 14" xfId="29415" xr:uid="{00000000-0005-0000-0000-0000EB720000}"/>
    <cellStyle name="Comma 2 2 15" xfId="85" xr:uid="{00000000-0005-0000-0000-000059000000}"/>
    <cellStyle name="Comma 2 2 2" xfId="28" xr:uid="{00000000-0005-0000-0000-000020000000}"/>
    <cellStyle name="Comma 2 2 2 10" xfId="25555" xr:uid="{00000000-0005-0000-0000-0000D7630000}"/>
    <cellStyle name="Comma 2 2 2 11" xfId="27482" xr:uid="{00000000-0005-0000-0000-00005E6B0000}"/>
    <cellStyle name="Comma 2 2 2 12" xfId="4463" xr:uid="{00000000-0005-0000-0000-000073110000}"/>
    <cellStyle name="Comma 2 2 2 13" xfId="29418" xr:uid="{00000000-0005-0000-0000-0000EE720000}"/>
    <cellStyle name="Comma 2 2 2 14" xfId="2008" xr:uid="{00000000-0005-0000-0000-0000DC070000}"/>
    <cellStyle name="Comma 2 2 2 2" xfId="4464" xr:uid="{00000000-0005-0000-0000-000074110000}"/>
    <cellStyle name="Comma 2 2 2 2 2" xfId="8832" xr:uid="{00000000-0005-0000-0000-000084220000}"/>
    <cellStyle name="Comma 2 2 2 2 2 2" xfId="20919" xr:uid="{00000000-0005-0000-0000-0000BB510000}"/>
    <cellStyle name="Comma 2 2 2 2 2 2 2" xfId="27021" xr:uid="{00000000-0005-0000-0000-000091690000}"/>
    <cellStyle name="Comma 2 2 2 2 2 2 3" xfId="28949" xr:uid="{00000000-0005-0000-0000-000019710000}"/>
    <cellStyle name="Comma 2 2 2 2 2 3" xfId="26058" xr:uid="{00000000-0005-0000-0000-0000CE650000}"/>
    <cellStyle name="Comma 2 2 2 2 2 4" xfId="27985" xr:uid="{00000000-0005-0000-0000-0000556D0000}"/>
    <cellStyle name="Comma 2 2 2 2 3" xfId="15279" xr:uid="{00000000-0005-0000-0000-0000B33B0000}"/>
    <cellStyle name="Comma 2 2 2 2 3 2" xfId="23186" xr:uid="{00000000-0005-0000-0000-0000965A0000}"/>
    <cellStyle name="Comma 2 2 2 2 3 2 2" xfId="27196" xr:uid="{00000000-0005-0000-0000-0000406A0000}"/>
    <cellStyle name="Comma 2 2 2 2 3 2 3" xfId="29124" xr:uid="{00000000-0005-0000-0000-0000C8710000}"/>
    <cellStyle name="Comma 2 2 2 2 3 3" xfId="26233" xr:uid="{00000000-0005-0000-0000-00007D660000}"/>
    <cellStyle name="Comma 2 2 2 2 3 4" xfId="28161" xr:uid="{00000000-0005-0000-0000-0000056E0000}"/>
    <cellStyle name="Comma 2 2 2 2 4" xfId="19583" xr:uid="{00000000-0005-0000-0000-0000834C0000}"/>
    <cellStyle name="Comma 2 2 2 2 4 2" xfId="26519" xr:uid="{00000000-0005-0000-0000-00009B670000}"/>
    <cellStyle name="Comma 2 2 2 2 4 3" xfId="28447" xr:uid="{00000000-0005-0000-0000-0000236F0000}"/>
    <cellStyle name="Comma 2 2 2 2 5" xfId="25556" xr:uid="{00000000-0005-0000-0000-0000D8630000}"/>
    <cellStyle name="Comma 2 2 2 2 6" xfId="27483" xr:uid="{00000000-0005-0000-0000-00005F6B0000}"/>
    <cellStyle name="Comma 2 2 2 3" xfId="4465" xr:uid="{00000000-0005-0000-0000-000075110000}"/>
    <cellStyle name="Comma 2 2 2 3 2" xfId="8833" xr:uid="{00000000-0005-0000-0000-000085220000}"/>
    <cellStyle name="Comma 2 2 2 3 2 2" xfId="20920" xr:uid="{00000000-0005-0000-0000-0000BC510000}"/>
    <cellStyle name="Comma 2 2 2 3 2 2 2" xfId="27022" xr:uid="{00000000-0005-0000-0000-000092690000}"/>
    <cellStyle name="Comma 2 2 2 3 2 2 3" xfId="28950" xr:uid="{00000000-0005-0000-0000-00001A710000}"/>
    <cellStyle name="Comma 2 2 2 3 2 3" xfId="26059" xr:uid="{00000000-0005-0000-0000-0000CF650000}"/>
    <cellStyle name="Comma 2 2 2 3 2 4" xfId="27986" xr:uid="{00000000-0005-0000-0000-0000566D0000}"/>
    <cellStyle name="Comma 2 2 2 3 3" xfId="15280" xr:uid="{00000000-0005-0000-0000-0000B43B0000}"/>
    <cellStyle name="Comma 2 2 2 3 3 2" xfId="23187" xr:uid="{00000000-0005-0000-0000-0000975A0000}"/>
    <cellStyle name="Comma 2 2 2 3 3 2 2" xfId="27197" xr:uid="{00000000-0005-0000-0000-0000416A0000}"/>
    <cellStyle name="Comma 2 2 2 3 3 2 3" xfId="29125" xr:uid="{00000000-0005-0000-0000-0000C9710000}"/>
    <cellStyle name="Comma 2 2 2 3 3 3" xfId="26234" xr:uid="{00000000-0005-0000-0000-00007E660000}"/>
    <cellStyle name="Comma 2 2 2 3 3 4" xfId="28162" xr:uid="{00000000-0005-0000-0000-0000066E0000}"/>
    <cellStyle name="Comma 2 2 2 3 4" xfId="19584" xr:uid="{00000000-0005-0000-0000-0000844C0000}"/>
    <cellStyle name="Comma 2 2 2 3 4 2" xfId="26520" xr:uid="{00000000-0005-0000-0000-00009C670000}"/>
    <cellStyle name="Comma 2 2 2 3 4 3" xfId="28448" xr:uid="{00000000-0005-0000-0000-0000246F0000}"/>
    <cellStyle name="Comma 2 2 2 3 5" xfId="25557" xr:uid="{00000000-0005-0000-0000-0000D9630000}"/>
    <cellStyle name="Comma 2 2 2 3 6" xfId="27484" xr:uid="{00000000-0005-0000-0000-0000606B0000}"/>
    <cellStyle name="Comma 2 2 2 4" xfId="5730" xr:uid="{00000000-0005-0000-0000-000066160000}"/>
    <cellStyle name="Comma 2 2 2 4 2" xfId="5731" xr:uid="{00000000-0005-0000-0000-000067160000}"/>
    <cellStyle name="Comma 2 2 2 4 2 2" xfId="8976" xr:uid="{00000000-0005-0000-0000-000014230000}"/>
    <cellStyle name="Comma 2 2 2 4 2 2 2" xfId="20978" xr:uid="{00000000-0005-0000-0000-0000F6510000}"/>
    <cellStyle name="Comma 2 2 2 4 2 2 2 2" xfId="27064" xr:uid="{00000000-0005-0000-0000-0000BC690000}"/>
    <cellStyle name="Comma 2 2 2 4 2 2 2 3" xfId="28992" xr:uid="{00000000-0005-0000-0000-000044710000}"/>
    <cellStyle name="Comma 2 2 2 4 2 2 3" xfId="26101" xr:uid="{00000000-0005-0000-0000-0000F9650000}"/>
    <cellStyle name="Comma 2 2 2 4 2 2 4" xfId="28028" xr:uid="{00000000-0005-0000-0000-0000806D0000}"/>
    <cellStyle name="Comma 2 2 2 4 2 3" xfId="15559" xr:uid="{00000000-0005-0000-0000-0000CB3C0000}"/>
    <cellStyle name="Comma 2 2 2 4 2 3 2" xfId="23223" xr:uid="{00000000-0005-0000-0000-0000BB5A0000}"/>
    <cellStyle name="Comma 2 2 2 4 2 3 2 2" xfId="27231" xr:uid="{00000000-0005-0000-0000-0000636A0000}"/>
    <cellStyle name="Comma 2 2 2 4 2 3 2 3" xfId="29159" xr:uid="{00000000-0005-0000-0000-0000EB710000}"/>
    <cellStyle name="Comma 2 2 2 4 2 3 3" xfId="26268" xr:uid="{00000000-0005-0000-0000-0000A0660000}"/>
    <cellStyle name="Comma 2 2 2 4 2 3 4" xfId="28196" xr:uid="{00000000-0005-0000-0000-0000286E0000}"/>
    <cellStyle name="Comma 2 2 2 4 2 4" xfId="19660" xr:uid="{00000000-0005-0000-0000-0000D04C0000}"/>
    <cellStyle name="Comma 2 2 2 4 2 4 2" xfId="26558" xr:uid="{00000000-0005-0000-0000-0000C2670000}"/>
    <cellStyle name="Comma 2 2 2 4 2 4 3" xfId="28486" xr:uid="{00000000-0005-0000-0000-00004A6F0000}"/>
    <cellStyle name="Comma 2 2 2 4 2 5" xfId="25595" xr:uid="{00000000-0005-0000-0000-0000FF630000}"/>
    <cellStyle name="Comma 2 2 2 4 2 6" xfId="27522" xr:uid="{00000000-0005-0000-0000-0000866B0000}"/>
    <cellStyle name="Comma 2 2 2 4 3" xfId="5732" xr:uid="{00000000-0005-0000-0000-000068160000}"/>
    <cellStyle name="Comma 2 2 2 4 3 2" xfId="8977" xr:uid="{00000000-0005-0000-0000-000015230000}"/>
    <cellStyle name="Comma 2 2 2 4 3 2 2" xfId="20979" xr:uid="{00000000-0005-0000-0000-0000F7510000}"/>
    <cellStyle name="Comma 2 2 2 4 3 2 2 2" xfId="27065" xr:uid="{00000000-0005-0000-0000-0000BD690000}"/>
    <cellStyle name="Comma 2 2 2 4 3 2 2 3" xfId="28993" xr:uid="{00000000-0005-0000-0000-000045710000}"/>
    <cellStyle name="Comma 2 2 2 4 3 2 3" xfId="26102" xr:uid="{00000000-0005-0000-0000-0000FA650000}"/>
    <cellStyle name="Comma 2 2 2 4 3 2 4" xfId="28029" xr:uid="{00000000-0005-0000-0000-0000816D0000}"/>
    <cellStyle name="Comma 2 2 2 4 3 3" xfId="15560" xr:uid="{00000000-0005-0000-0000-0000CC3C0000}"/>
    <cellStyle name="Comma 2 2 2 4 3 3 2" xfId="23224" xr:uid="{00000000-0005-0000-0000-0000BC5A0000}"/>
    <cellStyle name="Comma 2 2 2 4 3 3 2 2" xfId="27232" xr:uid="{00000000-0005-0000-0000-0000646A0000}"/>
    <cellStyle name="Comma 2 2 2 4 3 3 2 3" xfId="29160" xr:uid="{00000000-0005-0000-0000-0000EC710000}"/>
    <cellStyle name="Comma 2 2 2 4 3 3 3" xfId="26269" xr:uid="{00000000-0005-0000-0000-0000A1660000}"/>
    <cellStyle name="Comma 2 2 2 4 3 3 4" xfId="28197" xr:uid="{00000000-0005-0000-0000-0000296E0000}"/>
    <cellStyle name="Comma 2 2 2 4 3 4" xfId="19661" xr:uid="{00000000-0005-0000-0000-0000D14C0000}"/>
    <cellStyle name="Comma 2 2 2 4 3 4 2" xfId="26559" xr:uid="{00000000-0005-0000-0000-0000C3670000}"/>
    <cellStyle name="Comma 2 2 2 4 3 4 3" xfId="28487" xr:uid="{00000000-0005-0000-0000-00004B6F0000}"/>
    <cellStyle name="Comma 2 2 2 4 3 5" xfId="25596" xr:uid="{00000000-0005-0000-0000-000000640000}"/>
    <cellStyle name="Comma 2 2 2 4 3 6" xfId="27523" xr:uid="{00000000-0005-0000-0000-0000876B0000}"/>
    <cellStyle name="Comma 2 2 2 4 4" xfId="8975" xr:uid="{00000000-0005-0000-0000-000013230000}"/>
    <cellStyle name="Comma 2 2 2 4 4 2" xfId="20977" xr:uid="{00000000-0005-0000-0000-0000F5510000}"/>
    <cellStyle name="Comma 2 2 2 4 4 2 2" xfId="27063" xr:uid="{00000000-0005-0000-0000-0000BB690000}"/>
    <cellStyle name="Comma 2 2 2 4 4 2 3" xfId="28991" xr:uid="{00000000-0005-0000-0000-000043710000}"/>
    <cellStyle name="Comma 2 2 2 4 4 3" xfId="26100" xr:uid="{00000000-0005-0000-0000-0000F8650000}"/>
    <cellStyle name="Comma 2 2 2 4 4 4" xfId="28027" xr:uid="{00000000-0005-0000-0000-00007F6D0000}"/>
    <cellStyle name="Comma 2 2 2 4 5" xfId="15558" xr:uid="{00000000-0005-0000-0000-0000CA3C0000}"/>
    <cellStyle name="Comma 2 2 2 4 5 2" xfId="23222" xr:uid="{00000000-0005-0000-0000-0000BA5A0000}"/>
    <cellStyle name="Comma 2 2 2 4 5 2 2" xfId="27230" xr:uid="{00000000-0005-0000-0000-0000626A0000}"/>
    <cellStyle name="Comma 2 2 2 4 5 2 3" xfId="29158" xr:uid="{00000000-0005-0000-0000-0000EA710000}"/>
    <cellStyle name="Comma 2 2 2 4 5 3" xfId="26267" xr:uid="{00000000-0005-0000-0000-00009F660000}"/>
    <cellStyle name="Comma 2 2 2 4 5 4" xfId="28195" xr:uid="{00000000-0005-0000-0000-0000276E0000}"/>
    <cellStyle name="Comma 2 2 2 4 6" xfId="19659" xr:uid="{00000000-0005-0000-0000-0000CF4C0000}"/>
    <cellStyle name="Comma 2 2 2 4 6 2" xfId="26557" xr:uid="{00000000-0005-0000-0000-0000C1670000}"/>
    <cellStyle name="Comma 2 2 2 4 6 3" xfId="28485" xr:uid="{00000000-0005-0000-0000-0000496F0000}"/>
    <cellStyle name="Comma 2 2 2 4 7" xfId="25594" xr:uid="{00000000-0005-0000-0000-0000FE630000}"/>
    <cellStyle name="Comma 2 2 2 4 8" xfId="27521" xr:uid="{00000000-0005-0000-0000-0000856B0000}"/>
    <cellStyle name="Comma 2 2 2 5" xfId="5733" xr:uid="{00000000-0005-0000-0000-000069160000}"/>
    <cellStyle name="Comma 2 2 2 5 2" xfId="8978" xr:uid="{00000000-0005-0000-0000-000016230000}"/>
    <cellStyle name="Comma 2 2 2 5 2 2" xfId="20980" xr:uid="{00000000-0005-0000-0000-0000F8510000}"/>
    <cellStyle name="Comma 2 2 2 5 2 2 2" xfId="27066" xr:uid="{00000000-0005-0000-0000-0000BE690000}"/>
    <cellStyle name="Comma 2 2 2 5 2 2 3" xfId="28994" xr:uid="{00000000-0005-0000-0000-000046710000}"/>
    <cellStyle name="Comma 2 2 2 5 2 3" xfId="26103" xr:uid="{00000000-0005-0000-0000-0000FB650000}"/>
    <cellStyle name="Comma 2 2 2 5 2 4" xfId="28030" xr:uid="{00000000-0005-0000-0000-0000826D0000}"/>
    <cellStyle name="Comma 2 2 2 5 3" xfId="15561" xr:uid="{00000000-0005-0000-0000-0000CD3C0000}"/>
    <cellStyle name="Comma 2 2 2 5 3 2" xfId="23225" xr:uid="{00000000-0005-0000-0000-0000BD5A0000}"/>
    <cellStyle name="Comma 2 2 2 5 3 2 2" xfId="27233" xr:uid="{00000000-0005-0000-0000-0000656A0000}"/>
    <cellStyle name="Comma 2 2 2 5 3 2 3" xfId="29161" xr:uid="{00000000-0005-0000-0000-0000ED710000}"/>
    <cellStyle name="Comma 2 2 2 5 3 3" xfId="26270" xr:uid="{00000000-0005-0000-0000-0000A2660000}"/>
    <cellStyle name="Comma 2 2 2 5 3 4" xfId="28198" xr:uid="{00000000-0005-0000-0000-00002A6E0000}"/>
    <cellStyle name="Comma 2 2 2 5 4" xfId="19662" xr:uid="{00000000-0005-0000-0000-0000D24C0000}"/>
    <cellStyle name="Comma 2 2 2 5 4 2" xfId="26560" xr:uid="{00000000-0005-0000-0000-0000C4670000}"/>
    <cellStyle name="Comma 2 2 2 5 4 3" xfId="28488" xr:uid="{00000000-0005-0000-0000-00004C6F0000}"/>
    <cellStyle name="Comma 2 2 2 5 5" xfId="25597" xr:uid="{00000000-0005-0000-0000-000001640000}"/>
    <cellStyle name="Comma 2 2 2 5 6" xfId="27524" xr:uid="{00000000-0005-0000-0000-0000886B0000}"/>
    <cellStyle name="Comma 2 2 2 6" xfId="7613" xr:uid="{00000000-0005-0000-0000-0000C11D0000}"/>
    <cellStyle name="Comma 2 2 2 7" xfId="8831" xr:uid="{00000000-0005-0000-0000-000083220000}"/>
    <cellStyle name="Comma 2 2 2 7 2" xfId="20918" xr:uid="{00000000-0005-0000-0000-0000BA510000}"/>
    <cellStyle name="Comma 2 2 2 7 2 2" xfId="27020" xr:uid="{00000000-0005-0000-0000-000090690000}"/>
    <cellStyle name="Comma 2 2 2 7 2 3" xfId="28948" xr:uid="{00000000-0005-0000-0000-000018710000}"/>
    <cellStyle name="Comma 2 2 2 7 3" xfId="26057" xr:uid="{00000000-0005-0000-0000-0000CD650000}"/>
    <cellStyle name="Comma 2 2 2 7 4" xfId="27984" xr:uid="{00000000-0005-0000-0000-0000546D0000}"/>
    <cellStyle name="Comma 2 2 2 8" xfId="15278" xr:uid="{00000000-0005-0000-0000-0000B23B0000}"/>
    <cellStyle name="Comma 2 2 2 8 2" xfId="23185" xr:uid="{00000000-0005-0000-0000-0000955A0000}"/>
    <cellStyle name="Comma 2 2 2 8 2 2" xfId="27195" xr:uid="{00000000-0005-0000-0000-00003F6A0000}"/>
    <cellStyle name="Comma 2 2 2 8 2 3" xfId="29123" xr:uid="{00000000-0005-0000-0000-0000C7710000}"/>
    <cellStyle name="Comma 2 2 2 8 3" xfId="26232" xr:uid="{00000000-0005-0000-0000-00007C660000}"/>
    <cellStyle name="Comma 2 2 2 8 4" xfId="28160" xr:uid="{00000000-0005-0000-0000-0000046E0000}"/>
    <cellStyle name="Comma 2 2 2 9" xfId="19582" xr:uid="{00000000-0005-0000-0000-0000824C0000}"/>
    <cellStyle name="Comma 2 2 2 9 2" xfId="26518" xr:uid="{00000000-0005-0000-0000-00009A670000}"/>
    <cellStyle name="Comma 2 2 2 9 3" xfId="28446" xr:uid="{00000000-0005-0000-0000-0000226F0000}"/>
    <cellStyle name="Comma 2 2 3" xfId="738" xr:uid="{00000000-0005-0000-0000-0000E6020000}"/>
    <cellStyle name="Comma 2 2 3 10" xfId="4466" xr:uid="{00000000-0005-0000-0000-000076110000}"/>
    <cellStyle name="Comma 2 2 3 2" xfId="4467" xr:uid="{00000000-0005-0000-0000-000077110000}"/>
    <cellStyle name="Comma 2 2 3 2 2" xfId="8835" xr:uid="{00000000-0005-0000-0000-000087220000}"/>
    <cellStyle name="Comma 2 2 3 2 2 2" xfId="20922" xr:uid="{00000000-0005-0000-0000-0000BE510000}"/>
    <cellStyle name="Comma 2 2 3 2 2 2 2" xfId="27024" xr:uid="{00000000-0005-0000-0000-000094690000}"/>
    <cellStyle name="Comma 2 2 3 2 2 2 3" xfId="28952" xr:uid="{00000000-0005-0000-0000-00001C710000}"/>
    <cellStyle name="Comma 2 2 3 2 2 3" xfId="26061" xr:uid="{00000000-0005-0000-0000-0000D1650000}"/>
    <cellStyle name="Comma 2 2 3 2 2 4" xfId="27988" xr:uid="{00000000-0005-0000-0000-0000586D0000}"/>
    <cellStyle name="Comma 2 2 3 2 3" xfId="15281" xr:uid="{00000000-0005-0000-0000-0000B53B0000}"/>
    <cellStyle name="Comma 2 2 3 2 3 2" xfId="23188" xr:uid="{00000000-0005-0000-0000-0000985A0000}"/>
    <cellStyle name="Comma 2 2 3 2 3 2 2" xfId="27198" xr:uid="{00000000-0005-0000-0000-0000426A0000}"/>
    <cellStyle name="Comma 2 2 3 2 3 2 3" xfId="29126" xr:uid="{00000000-0005-0000-0000-0000CA710000}"/>
    <cellStyle name="Comma 2 2 3 2 3 3" xfId="26235" xr:uid="{00000000-0005-0000-0000-00007F660000}"/>
    <cellStyle name="Comma 2 2 3 2 3 4" xfId="28163" xr:uid="{00000000-0005-0000-0000-0000076E0000}"/>
    <cellStyle name="Comma 2 2 3 2 4" xfId="19586" xr:uid="{00000000-0005-0000-0000-0000864C0000}"/>
    <cellStyle name="Comma 2 2 3 2 4 2" xfId="26522" xr:uid="{00000000-0005-0000-0000-00009E670000}"/>
    <cellStyle name="Comma 2 2 3 2 4 3" xfId="28450" xr:uid="{00000000-0005-0000-0000-0000266F0000}"/>
    <cellStyle name="Comma 2 2 3 2 5" xfId="25559" xr:uid="{00000000-0005-0000-0000-0000DB630000}"/>
    <cellStyle name="Comma 2 2 3 2 6" xfId="27486" xr:uid="{00000000-0005-0000-0000-0000626B0000}"/>
    <cellStyle name="Comma 2 2 3 3" xfId="4468" xr:uid="{00000000-0005-0000-0000-000078110000}"/>
    <cellStyle name="Comma 2 2 3 3 2" xfId="8836" xr:uid="{00000000-0005-0000-0000-000088220000}"/>
    <cellStyle name="Comma 2 2 3 3 2 2" xfId="20923" xr:uid="{00000000-0005-0000-0000-0000BF510000}"/>
    <cellStyle name="Comma 2 2 3 3 2 2 2" xfId="27025" xr:uid="{00000000-0005-0000-0000-000095690000}"/>
    <cellStyle name="Comma 2 2 3 3 2 2 3" xfId="28953" xr:uid="{00000000-0005-0000-0000-00001D710000}"/>
    <cellStyle name="Comma 2 2 3 3 2 3" xfId="26062" xr:uid="{00000000-0005-0000-0000-0000D2650000}"/>
    <cellStyle name="Comma 2 2 3 3 2 4" xfId="27989" xr:uid="{00000000-0005-0000-0000-0000596D0000}"/>
    <cellStyle name="Comma 2 2 3 3 3" xfId="15282" xr:uid="{00000000-0005-0000-0000-0000B63B0000}"/>
    <cellStyle name="Comma 2 2 3 3 3 2" xfId="23189" xr:uid="{00000000-0005-0000-0000-0000995A0000}"/>
    <cellStyle name="Comma 2 2 3 3 3 2 2" xfId="27199" xr:uid="{00000000-0005-0000-0000-0000436A0000}"/>
    <cellStyle name="Comma 2 2 3 3 3 2 3" xfId="29127" xr:uid="{00000000-0005-0000-0000-0000CB710000}"/>
    <cellStyle name="Comma 2 2 3 3 3 3" xfId="26236" xr:uid="{00000000-0005-0000-0000-000080660000}"/>
    <cellStyle name="Comma 2 2 3 3 3 4" xfId="28164" xr:uid="{00000000-0005-0000-0000-0000086E0000}"/>
    <cellStyle name="Comma 2 2 3 3 4" xfId="19587" xr:uid="{00000000-0005-0000-0000-0000874C0000}"/>
    <cellStyle name="Comma 2 2 3 3 4 2" xfId="26523" xr:uid="{00000000-0005-0000-0000-00009F670000}"/>
    <cellStyle name="Comma 2 2 3 3 4 3" xfId="28451" xr:uid="{00000000-0005-0000-0000-0000276F0000}"/>
    <cellStyle name="Comma 2 2 3 3 5" xfId="25560" xr:uid="{00000000-0005-0000-0000-0000DC630000}"/>
    <cellStyle name="Comma 2 2 3 3 6" xfId="27487" xr:uid="{00000000-0005-0000-0000-0000636B0000}"/>
    <cellStyle name="Comma 2 2 3 4" xfId="4546" xr:uid="{00000000-0005-0000-0000-0000C6110000}"/>
    <cellStyle name="Comma 2 2 3 4 2" xfId="5734" xr:uid="{00000000-0005-0000-0000-00006A160000}"/>
    <cellStyle name="Comma 2 2 3 4 2 2" xfId="8980" xr:uid="{00000000-0005-0000-0000-000018230000}"/>
    <cellStyle name="Comma 2 2 3 4 2 2 2" xfId="20982" xr:uid="{00000000-0005-0000-0000-0000FA510000}"/>
    <cellStyle name="Comma 2 2 3 4 2 2 2 2" xfId="27068" xr:uid="{00000000-0005-0000-0000-0000C0690000}"/>
    <cellStyle name="Comma 2 2 3 4 2 2 2 3" xfId="28996" xr:uid="{00000000-0005-0000-0000-000048710000}"/>
    <cellStyle name="Comma 2 2 3 4 2 2 3" xfId="26105" xr:uid="{00000000-0005-0000-0000-0000FD650000}"/>
    <cellStyle name="Comma 2 2 3 4 2 2 4" xfId="28032" xr:uid="{00000000-0005-0000-0000-0000846D0000}"/>
    <cellStyle name="Comma 2 2 3 4 2 3" xfId="15562" xr:uid="{00000000-0005-0000-0000-0000CE3C0000}"/>
    <cellStyle name="Comma 2 2 3 4 2 3 2" xfId="23226" xr:uid="{00000000-0005-0000-0000-0000BE5A0000}"/>
    <cellStyle name="Comma 2 2 3 4 2 3 2 2" xfId="27234" xr:uid="{00000000-0005-0000-0000-0000666A0000}"/>
    <cellStyle name="Comma 2 2 3 4 2 3 2 3" xfId="29162" xr:uid="{00000000-0005-0000-0000-0000EE710000}"/>
    <cellStyle name="Comma 2 2 3 4 2 3 3" xfId="26271" xr:uid="{00000000-0005-0000-0000-0000A3660000}"/>
    <cellStyle name="Comma 2 2 3 4 2 3 4" xfId="28199" xr:uid="{00000000-0005-0000-0000-00002B6E0000}"/>
    <cellStyle name="Comma 2 2 3 4 2 4" xfId="19663" xr:uid="{00000000-0005-0000-0000-0000D34C0000}"/>
    <cellStyle name="Comma 2 2 3 4 2 4 2" xfId="26561" xr:uid="{00000000-0005-0000-0000-0000C5670000}"/>
    <cellStyle name="Comma 2 2 3 4 2 4 3" xfId="28489" xr:uid="{00000000-0005-0000-0000-00004D6F0000}"/>
    <cellStyle name="Comma 2 2 3 4 2 5" xfId="25598" xr:uid="{00000000-0005-0000-0000-000002640000}"/>
    <cellStyle name="Comma 2 2 3 4 2 6" xfId="27525" xr:uid="{00000000-0005-0000-0000-0000896B0000}"/>
    <cellStyle name="Comma 2 2 3 4 3" xfId="8979" xr:uid="{00000000-0005-0000-0000-000017230000}"/>
    <cellStyle name="Comma 2 2 3 4 3 2" xfId="20981" xr:uid="{00000000-0005-0000-0000-0000F9510000}"/>
    <cellStyle name="Comma 2 2 3 4 3 2 2" xfId="27067" xr:uid="{00000000-0005-0000-0000-0000BF690000}"/>
    <cellStyle name="Comma 2 2 3 4 3 2 3" xfId="28995" xr:uid="{00000000-0005-0000-0000-000047710000}"/>
    <cellStyle name="Comma 2 2 3 4 3 3" xfId="26104" xr:uid="{00000000-0005-0000-0000-0000FC650000}"/>
    <cellStyle name="Comma 2 2 3 4 3 4" xfId="28031" xr:uid="{00000000-0005-0000-0000-0000836D0000}"/>
    <cellStyle name="Comma 2 2 3 4 4" xfId="15352" xr:uid="{00000000-0005-0000-0000-0000FC3B0000}"/>
    <cellStyle name="Comma 2 2 3 4 4 2" xfId="23210" xr:uid="{00000000-0005-0000-0000-0000AE5A0000}"/>
    <cellStyle name="Comma 2 2 3 4 4 2 2" xfId="27218" xr:uid="{00000000-0005-0000-0000-0000566A0000}"/>
    <cellStyle name="Comma 2 2 3 4 4 2 3" xfId="29146" xr:uid="{00000000-0005-0000-0000-0000DE710000}"/>
    <cellStyle name="Comma 2 2 3 4 4 3" xfId="26255" xr:uid="{00000000-0005-0000-0000-000093660000}"/>
    <cellStyle name="Comma 2 2 3 4 4 4" xfId="28183" xr:uid="{00000000-0005-0000-0000-00001B6E0000}"/>
    <cellStyle name="Comma 2 2 3 4 5" xfId="19626" xr:uid="{00000000-0005-0000-0000-0000AE4C0000}"/>
    <cellStyle name="Comma 2 2 3 4 5 2" xfId="26545" xr:uid="{00000000-0005-0000-0000-0000B5670000}"/>
    <cellStyle name="Comma 2 2 3 4 5 3" xfId="28473" xr:uid="{00000000-0005-0000-0000-00003D6F0000}"/>
    <cellStyle name="Comma 2 2 3 4 6" xfId="25582" xr:uid="{00000000-0005-0000-0000-0000F2630000}"/>
    <cellStyle name="Comma 2 2 3 4 7" xfId="27509" xr:uid="{00000000-0005-0000-0000-0000796B0000}"/>
    <cellStyle name="Comma 2 2 3 5" xfId="7614" xr:uid="{00000000-0005-0000-0000-0000C21D0000}"/>
    <cellStyle name="Comma 2 2 3 5 2" xfId="8981" xr:uid="{00000000-0005-0000-0000-000019230000}"/>
    <cellStyle name="Comma 2 2 3 5 2 2" xfId="20983" xr:uid="{00000000-0005-0000-0000-0000FB510000}"/>
    <cellStyle name="Comma 2 2 3 5 2 2 2" xfId="27069" xr:uid="{00000000-0005-0000-0000-0000C1690000}"/>
    <cellStyle name="Comma 2 2 3 5 2 2 3" xfId="28997" xr:uid="{00000000-0005-0000-0000-000049710000}"/>
    <cellStyle name="Comma 2 2 3 5 2 3" xfId="26106" xr:uid="{00000000-0005-0000-0000-0000FE650000}"/>
    <cellStyle name="Comma 2 2 3 5 2 4" xfId="28033" xr:uid="{00000000-0005-0000-0000-0000856D0000}"/>
    <cellStyle name="Comma 2 2 3 5 3" xfId="16530" xr:uid="{00000000-0005-0000-0000-000096400000}"/>
    <cellStyle name="Comma 2 2 3 5 3 2" xfId="23386" xr:uid="{00000000-0005-0000-0000-00005E5B0000}"/>
    <cellStyle name="Comma 2 2 3 5 3 2 2" xfId="27393" xr:uid="{00000000-0005-0000-0000-0000056B0000}"/>
    <cellStyle name="Comma 2 2 3 5 3 2 3" xfId="29321" xr:uid="{00000000-0005-0000-0000-00008D720000}"/>
    <cellStyle name="Comma 2 2 3 5 3 3" xfId="26430" xr:uid="{00000000-0005-0000-0000-000042670000}"/>
    <cellStyle name="Comma 2 2 3 5 3 4" xfId="28358" xr:uid="{00000000-0005-0000-0000-0000CA6E0000}"/>
    <cellStyle name="Comma 2 2 3 5 4" xfId="19879" xr:uid="{00000000-0005-0000-0000-0000AB4D0000}"/>
    <cellStyle name="Comma 2 2 3 5 4 2" xfId="26737" xr:uid="{00000000-0005-0000-0000-000075680000}"/>
    <cellStyle name="Comma 2 2 3 5 4 3" xfId="28665" xr:uid="{00000000-0005-0000-0000-0000FD6F0000}"/>
    <cellStyle name="Comma 2 2 3 5 5" xfId="25774" xr:uid="{00000000-0005-0000-0000-0000B2640000}"/>
    <cellStyle name="Comma 2 2 3 5 6" xfId="27701" xr:uid="{00000000-0005-0000-0000-0000396C0000}"/>
    <cellStyle name="Comma 2 2 3 6" xfId="8834" xr:uid="{00000000-0005-0000-0000-000086220000}"/>
    <cellStyle name="Comma 2 2 3 6 2" xfId="20921" xr:uid="{00000000-0005-0000-0000-0000BD510000}"/>
    <cellStyle name="Comma 2 2 3 6 2 2" xfId="27023" xr:uid="{00000000-0005-0000-0000-000093690000}"/>
    <cellStyle name="Comma 2 2 3 6 2 3" xfId="28951" xr:uid="{00000000-0005-0000-0000-00001B710000}"/>
    <cellStyle name="Comma 2 2 3 6 3" xfId="26060" xr:uid="{00000000-0005-0000-0000-0000D0650000}"/>
    <cellStyle name="Comma 2 2 3 6 4" xfId="27987" xr:uid="{00000000-0005-0000-0000-0000576D0000}"/>
    <cellStyle name="Comma 2 2 3 7" xfId="19585" xr:uid="{00000000-0005-0000-0000-0000854C0000}"/>
    <cellStyle name="Comma 2 2 3 7 2" xfId="26521" xr:uid="{00000000-0005-0000-0000-00009D670000}"/>
    <cellStyle name="Comma 2 2 3 7 3" xfId="28449" xr:uid="{00000000-0005-0000-0000-0000256F0000}"/>
    <cellStyle name="Comma 2 2 3 8" xfId="25558" xr:uid="{00000000-0005-0000-0000-0000DA630000}"/>
    <cellStyle name="Comma 2 2 3 9" xfId="27485" xr:uid="{00000000-0005-0000-0000-0000616B0000}"/>
    <cellStyle name="Comma 2 2 4" xfId="3408" xr:uid="{00000000-0005-0000-0000-0000540D0000}"/>
    <cellStyle name="Comma 2 2 4 2" xfId="5735" xr:uid="{00000000-0005-0000-0000-00006B160000}"/>
    <cellStyle name="Comma 2 2 4 2 2" xfId="8982" xr:uid="{00000000-0005-0000-0000-00001A230000}"/>
    <cellStyle name="Comma 2 2 4 2 2 2" xfId="20984" xr:uid="{00000000-0005-0000-0000-0000FC510000}"/>
    <cellStyle name="Comma 2 2 4 2 2 2 2" xfId="27070" xr:uid="{00000000-0005-0000-0000-0000C2690000}"/>
    <cellStyle name="Comma 2 2 4 2 2 2 3" xfId="28998" xr:uid="{00000000-0005-0000-0000-00004A710000}"/>
    <cellStyle name="Comma 2 2 4 2 2 3" xfId="26107" xr:uid="{00000000-0005-0000-0000-0000FF650000}"/>
    <cellStyle name="Comma 2 2 4 2 2 4" xfId="28034" xr:uid="{00000000-0005-0000-0000-0000866D0000}"/>
    <cellStyle name="Comma 2 2 4 2 3" xfId="15563" xr:uid="{00000000-0005-0000-0000-0000CF3C0000}"/>
    <cellStyle name="Comma 2 2 4 2 3 2" xfId="23227" xr:uid="{00000000-0005-0000-0000-0000BF5A0000}"/>
    <cellStyle name="Comma 2 2 4 2 3 2 2" xfId="27235" xr:uid="{00000000-0005-0000-0000-0000676A0000}"/>
    <cellStyle name="Comma 2 2 4 2 3 2 3" xfId="29163" xr:uid="{00000000-0005-0000-0000-0000EF710000}"/>
    <cellStyle name="Comma 2 2 4 2 3 3" xfId="26272" xr:uid="{00000000-0005-0000-0000-0000A4660000}"/>
    <cellStyle name="Comma 2 2 4 2 3 4" xfId="28200" xr:uid="{00000000-0005-0000-0000-00002C6E0000}"/>
    <cellStyle name="Comma 2 2 4 2 4" xfId="19664" xr:uid="{00000000-0005-0000-0000-0000D44C0000}"/>
    <cellStyle name="Comma 2 2 4 2 4 2" xfId="26562" xr:uid="{00000000-0005-0000-0000-0000C6670000}"/>
    <cellStyle name="Comma 2 2 4 2 4 3" xfId="28490" xr:uid="{00000000-0005-0000-0000-00004E6F0000}"/>
    <cellStyle name="Comma 2 2 4 2 5" xfId="25599" xr:uid="{00000000-0005-0000-0000-000003640000}"/>
    <cellStyle name="Comma 2 2 4 2 6" xfId="27526" xr:uid="{00000000-0005-0000-0000-00008A6B0000}"/>
    <cellStyle name="Comma 2 2 4 3" xfId="8837" xr:uid="{00000000-0005-0000-0000-000089220000}"/>
    <cellStyle name="Comma 2 2 4 3 2" xfId="20924" xr:uid="{00000000-0005-0000-0000-0000C0510000}"/>
    <cellStyle name="Comma 2 2 4 3 2 2" xfId="27026" xr:uid="{00000000-0005-0000-0000-000096690000}"/>
    <cellStyle name="Comma 2 2 4 3 2 3" xfId="28954" xr:uid="{00000000-0005-0000-0000-00001E710000}"/>
    <cellStyle name="Comma 2 2 4 3 3" xfId="26063" xr:uid="{00000000-0005-0000-0000-0000D3650000}"/>
    <cellStyle name="Comma 2 2 4 3 4" xfId="27990" xr:uid="{00000000-0005-0000-0000-00005A6D0000}"/>
    <cellStyle name="Comma 2 2 4 4" xfId="15283" xr:uid="{00000000-0005-0000-0000-0000B73B0000}"/>
    <cellStyle name="Comma 2 2 4 4 2" xfId="23190" xr:uid="{00000000-0005-0000-0000-00009A5A0000}"/>
    <cellStyle name="Comma 2 2 4 4 2 2" xfId="27200" xr:uid="{00000000-0005-0000-0000-0000446A0000}"/>
    <cellStyle name="Comma 2 2 4 4 2 3" xfId="29128" xr:uid="{00000000-0005-0000-0000-0000CC710000}"/>
    <cellStyle name="Comma 2 2 4 4 3" xfId="26237" xr:uid="{00000000-0005-0000-0000-000081660000}"/>
    <cellStyle name="Comma 2 2 4 4 4" xfId="28165" xr:uid="{00000000-0005-0000-0000-0000096E0000}"/>
    <cellStyle name="Comma 2 2 4 5" xfId="19588" xr:uid="{00000000-0005-0000-0000-0000884C0000}"/>
    <cellStyle name="Comma 2 2 4 5 2" xfId="26524" xr:uid="{00000000-0005-0000-0000-0000A0670000}"/>
    <cellStyle name="Comma 2 2 4 5 3" xfId="28452" xr:uid="{00000000-0005-0000-0000-0000286F0000}"/>
    <cellStyle name="Comma 2 2 4 6" xfId="25561" xr:uid="{00000000-0005-0000-0000-0000DD630000}"/>
    <cellStyle name="Comma 2 2 4 7" xfId="27488" xr:uid="{00000000-0005-0000-0000-0000646B0000}"/>
    <cellStyle name="Comma 2 2 4 8" xfId="4469" xr:uid="{00000000-0005-0000-0000-000079110000}"/>
    <cellStyle name="Comma 2 2 5" xfId="4470" xr:uid="{00000000-0005-0000-0000-00007A110000}"/>
    <cellStyle name="Comma 2 2 5 2" xfId="8838" xr:uid="{00000000-0005-0000-0000-00008A220000}"/>
    <cellStyle name="Comma 2 2 5 2 2" xfId="20925" xr:uid="{00000000-0005-0000-0000-0000C1510000}"/>
    <cellStyle name="Comma 2 2 5 2 2 2" xfId="27027" xr:uid="{00000000-0005-0000-0000-000097690000}"/>
    <cellStyle name="Comma 2 2 5 2 2 3" xfId="28955" xr:uid="{00000000-0005-0000-0000-00001F710000}"/>
    <cellStyle name="Comma 2 2 5 2 3" xfId="26064" xr:uid="{00000000-0005-0000-0000-0000D4650000}"/>
    <cellStyle name="Comma 2 2 5 2 4" xfId="27991" xr:uid="{00000000-0005-0000-0000-00005B6D0000}"/>
    <cellStyle name="Comma 2 2 5 3" xfId="15284" xr:uid="{00000000-0005-0000-0000-0000B83B0000}"/>
    <cellStyle name="Comma 2 2 5 3 2" xfId="23191" xr:uid="{00000000-0005-0000-0000-00009B5A0000}"/>
    <cellStyle name="Comma 2 2 5 3 2 2" xfId="27201" xr:uid="{00000000-0005-0000-0000-0000456A0000}"/>
    <cellStyle name="Comma 2 2 5 3 2 3" xfId="29129" xr:uid="{00000000-0005-0000-0000-0000CD710000}"/>
    <cellStyle name="Comma 2 2 5 3 3" xfId="26238" xr:uid="{00000000-0005-0000-0000-000082660000}"/>
    <cellStyle name="Comma 2 2 5 3 4" xfId="28166" xr:uid="{00000000-0005-0000-0000-00000A6E0000}"/>
    <cellStyle name="Comma 2 2 5 4" xfId="19589" xr:uid="{00000000-0005-0000-0000-0000894C0000}"/>
    <cellStyle name="Comma 2 2 5 4 2" xfId="26525" xr:uid="{00000000-0005-0000-0000-0000A1670000}"/>
    <cellStyle name="Comma 2 2 5 4 3" xfId="28453" xr:uid="{00000000-0005-0000-0000-0000296F0000}"/>
    <cellStyle name="Comma 2 2 5 5" xfId="25562" xr:uid="{00000000-0005-0000-0000-0000DE630000}"/>
    <cellStyle name="Comma 2 2 5 6" xfId="27489" xr:uid="{00000000-0005-0000-0000-0000656B0000}"/>
    <cellStyle name="Comma 2 2 6" xfId="4545" xr:uid="{00000000-0005-0000-0000-0000C5110000}"/>
    <cellStyle name="Comma 2 2 6 2" xfId="5736" xr:uid="{00000000-0005-0000-0000-00006C160000}"/>
    <cellStyle name="Comma 2 2 6 2 2" xfId="8984" xr:uid="{00000000-0005-0000-0000-00001C230000}"/>
    <cellStyle name="Comma 2 2 6 2 2 2" xfId="20986" xr:uid="{00000000-0005-0000-0000-0000FE510000}"/>
    <cellStyle name="Comma 2 2 6 2 2 2 2" xfId="27072" xr:uid="{00000000-0005-0000-0000-0000C4690000}"/>
    <cellStyle name="Comma 2 2 6 2 2 2 3" xfId="29000" xr:uid="{00000000-0005-0000-0000-00004C710000}"/>
    <cellStyle name="Comma 2 2 6 2 2 3" xfId="26109" xr:uid="{00000000-0005-0000-0000-000001660000}"/>
    <cellStyle name="Comma 2 2 6 2 2 4" xfId="28036" xr:uid="{00000000-0005-0000-0000-0000886D0000}"/>
    <cellStyle name="Comma 2 2 6 2 3" xfId="15564" xr:uid="{00000000-0005-0000-0000-0000D03C0000}"/>
    <cellStyle name="Comma 2 2 6 2 3 2" xfId="23228" xr:uid="{00000000-0005-0000-0000-0000C05A0000}"/>
    <cellStyle name="Comma 2 2 6 2 3 2 2" xfId="27236" xr:uid="{00000000-0005-0000-0000-0000686A0000}"/>
    <cellStyle name="Comma 2 2 6 2 3 2 3" xfId="29164" xr:uid="{00000000-0005-0000-0000-0000F0710000}"/>
    <cellStyle name="Comma 2 2 6 2 3 3" xfId="26273" xr:uid="{00000000-0005-0000-0000-0000A5660000}"/>
    <cellStyle name="Comma 2 2 6 2 3 4" xfId="28201" xr:uid="{00000000-0005-0000-0000-00002D6E0000}"/>
    <cellStyle name="Comma 2 2 6 2 4" xfId="19665" xr:uid="{00000000-0005-0000-0000-0000D54C0000}"/>
    <cellStyle name="Comma 2 2 6 2 4 2" xfId="26563" xr:uid="{00000000-0005-0000-0000-0000C7670000}"/>
    <cellStyle name="Comma 2 2 6 2 4 3" xfId="28491" xr:uid="{00000000-0005-0000-0000-00004F6F0000}"/>
    <cellStyle name="Comma 2 2 6 2 5" xfId="25600" xr:uid="{00000000-0005-0000-0000-000004640000}"/>
    <cellStyle name="Comma 2 2 6 2 6" xfId="27527" xr:uid="{00000000-0005-0000-0000-00008B6B0000}"/>
    <cellStyle name="Comma 2 2 6 3" xfId="5737" xr:uid="{00000000-0005-0000-0000-00006D160000}"/>
    <cellStyle name="Comma 2 2 6 3 2" xfId="8985" xr:uid="{00000000-0005-0000-0000-00001D230000}"/>
    <cellStyle name="Comma 2 2 6 3 2 2" xfId="20987" xr:uid="{00000000-0005-0000-0000-0000FF510000}"/>
    <cellStyle name="Comma 2 2 6 3 2 2 2" xfId="27073" xr:uid="{00000000-0005-0000-0000-0000C5690000}"/>
    <cellStyle name="Comma 2 2 6 3 2 2 3" xfId="29001" xr:uid="{00000000-0005-0000-0000-00004D710000}"/>
    <cellStyle name="Comma 2 2 6 3 2 3" xfId="26110" xr:uid="{00000000-0005-0000-0000-000002660000}"/>
    <cellStyle name="Comma 2 2 6 3 2 4" xfId="28037" xr:uid="{00000000-0005-0000-0000-0000896D0000}"/>
    <cellStyle name="Comma 2 2 6 3 3" xfId="15565" xr:uid="{00000000-0005-0000-0000-0000D13C0000}"/>
    <cellStyle name="Comma 2 2 6 3 3 2" xfId="23229" xr:uid="{00000000-0005-0000-0000-0000C15A0000}"/>
    <cellStyle name="Comma 2 2 6 3 3 2 2" xfId="27237" xr:uid="{00000000-0005-0000-0000-0000696A0000}"/>
    <cellStyle name="Comma 2 2 6 3 3 2 3" xfId="29165" xr:uid="{00000000-0005-0000-0000-0000F1710000}"/>
    <cellStyle name="Comma 2 2 6 3 3 3" xfId="26274" xr:uid="{00000000-0005-0000-0000-0000A6660000}"/>
    <cellStyle name="Comma 2 2 6 3 3 4" xfId="28202" xr:uid="{00000000-0005-0000-0000-00002E6E0000}"/>
    <cellStyle name="Comma 2 2 6 3 4" xfId="19666" xr:uid="{00000000-0005-0000-0000-0000D64C0000}"/>
    <cellStyle name="Comma 2 2 6 3 4 2" xfId="26564" xr:uid="{00000000-0005-0000-0000-0000C8670000}"/>
    <cellStyle name="Comma 2 2 6 3 4 3" xfId="28492" xr:uid="{00000000-0005-0000-0000-0000506F0000}"/>
    <cellStyle name="Comma 2 2 6 3 5" xfId="25601" xr:uid="{00000000-0005-0000-0000-000005640000}"/>
    <cellStyle name="Comma 2 2 6 3 6" xfId="27528" xr:uid="{00000000-0005-0000-0000-00008C6B0000}"/>
    <cellStyle name="Comma 2 2 6 4" xfId="8983" xr:uid="{00000000-0005-0000-0000-00001B230000}"/>
    <cellStyle name="Comma 2 2 6 4 2" xfId="20985" xr:uid="{00000000-0005-0000-0000-0000FD510000}"/>
    <cellStyle name="Comma 2 2 6 4 2 2" xfId="27071" xr:uid="{00000000-0005-0000-0000-0000C3690000}"/>
    <cellStyle name="Comma 2 2 6 4 2 3" xfId="28999" xr:uid="{00000000-0005-0000-0000-00004B710000}"/>
    <cellStyle name="Comma 2 2 6 4 3" xfId="26108" xr:uid="{00000000-0005-0000-0000-000000660000}"/>
    <cellStyle name="Comma 2 2 6 4 4" xfId="28035" xr:uid="{00000000-0005-0000-0000-0000876D0000}"/>
    <cellStyle name="Comma 2 2 6 5" xfId="15351" xr:uid="{00000000-0005-0000-0000-0000FB3B0000}"/>
    <cellStyle name="Comma 2 2 6 5 2" xfId="23209" xr:uid="{00000000-0005-0000-0000-0000AD5A0000}"/>
    <cellStyle name="Comma 2 2 6 5 2 2" xfId="27217" xr:uid="{00000000-0005-0000-0000-0000556A0000}"/>
    <cellStyle name="Comma 2 2 6 5 2 3" xfId="29145" xr:uid="{00000000-0005-0000-0000-0000DD710000}"/>
    <cellStyle name="Comma 2 2 6 5 3" xfId="26254" xr:uid="{00000000-0005-0000-0000-000092660000}"/>
    <cellStyle name="Comma 2 2 6 5 4" xfId="28182" xr:uid="{00000000-0005-0000-0000-00001A6E0000}"/>
    <cellStyle name="Comma 2 2 6 6" xfId="19625" xr:uid="{00000000-0005-0000-0000-0000AD4C0000}"/>
    <cellStyle name="Comma 2 2 6 6 2" xfId="26544" xr:uid="{00000000-0005-0000-0000-0000B4670000}"/>
    <cellStyle name="Comma 2 2 6 6 3" xfId="28472" xr:uid="{00000000-0005-0000-0000-00003C6F0000}"/>
    <cellStyle name="Comma 2 2 6 7" xfId="25581" xr:uid="{00000000-0005-0000-0000-0000F1630000}"/>
    <cellStyle name="Comma 2 2 6 8" xfId="27508" xr:uid="{00000000-0005-0000-0000-0000786B0000}"/>
    <cellStyle name="Comma 2 2 7" xfId="5738" xr:uid="{00000000-0005-0000-0000-00006E160000}"/>
    <cellStyle name="Comma 2 2 7 2" xfId="8986" xr:uid="{00000000-0005-0000-0000-00001E230000}"/>
    <cellStyle name="Comma 2 2 7 2 2" xfId="20988" xr:uid="{00000000-0005-0000-0000-000000520000}"/>
    <cellStyle name="Comma 2 2 7 2 2 2" xfId="27074" xr:uid="{00000000-0005-0000-0000-0000C6690000}"/>
    <cellStyle name="Comma 2 2 7 2 2 3" xfId="29002" xr:uid="{00000000-0005-0000-0000-00004E710000}"/>
    <cellStyle name="Comma 2 2 7 2 3" xfId="26111" xr:uid="{00000000-0005-0000-0000-000003660000}"/>
    <cellStyle name="Comma 2 2 7 2 4" xfId="28038" xr:uid="{00000000-0005-0000-0000-00008A6D0000}"/>
    <cellStyle name="Comma 2 2 7 3" xfId="15566" xr:uid="{00000000-0005-0000-0000-0000D23C0000}"/>
    <cellStyle name="Comma 2 2 7 3 2" xfId="23230" xr:uid="{00000000-0005-0000-0000-0000C25A0000}"/>
    <cellStyle name="Comma 2 2 7 3 2 2" xfId="27238" xr:uid="{00000000-0005-0000-0000-00006A6A0000}"/>
    <cellStyle name="Comma 2 2 7 3 2 3" xfId="29166" xr:uid="{00000000-0005-0000-0000-0000F2710000}"/>
    <cellStyle name="Comma 2 2 7 3 3" xfId="26275" xr:uid="{00000000-0005-0000-0000-0000A7660000}"/>
    <cellStyle name="Comma 2 2 7 3 4" xfId="28203" xr:uid="{00000000-0005-0000-0000-00002F6E0000}"/>
    <cellStyle name="Comma 2 2 7 4" xfId="19667" xr:uid="{00000000-0005-0000-0000-0000D74C0000}"/>
    <cellStyle name="Comma 2 2 7 4 2" xfId="26565" xr:uid="{00000000-0005-0000-0000-0000C9670000}"/>
    <cellStyle name="Comma 2 2 7 4 3" xfId="28493" xr:uid="{00000000-0005-0000-0000-0000516F0000}"/>
    <cellStyle name="Comma 2 2 7 5" xfId="25602" xr:uid="{00000000-0005-0000-0000-000006640000}"/>
    <cellStyle name="Comma 2 2 7 6" xfId="27529" xr:uid="{00000000-0005-0000-0000-00008D6B0000}"/>
    <cellStyle name="Comma 2 2 8" xfId="7612" xr:uid="{00000000-0005-0000-0000-0000C01D0000}"/>
    <cellStyle name="Comma 2 2 9" xfId="8830" xr:uid="{00000000-0005-0000-0000-000082220000}"/>
    <cellStyle name="Comma 2 2 9 2" xfId="20917" xr:uid="{00000000-0005-0000-0000-0000B9510000}"/>
    <cellStyle name="Comma 2 2 9 2 2" xfId="27019" xr:uid="{00000000-0005-0000-0000-00008F690000}"/>
    <cellStyle name="Comma 2 2 9 2 3" xfId="28947" xr:uid="{00000000-0005-0000-0000-000017710000}"/>
    <cellStyle name="Comma 2 2 9 3" xfId="26056" xr:uid="{00000000-0005-0000-0000-0000CC650000}"/>
    <cellStyle name="Comma 2 2 9 4" xfId="27983" xr:uid="{00000000-0005-0000-0000-0000536D0000}"/>
    <cellStyle name="Comma 2 20" xfId="7615" xr:uid="{00000000-0005-0000-0000-0000C31D0000}"/>
    <cellStyle name="Comma 2 20 2" xfId="8987" xr:uid="{00000000-0005-0000-0000-00001F230000}"/>
    <cellStyle name="Comma 2 20 2 2" xfId="20989" xr:uid="{00000000-0005-0000-0000-000001520000}"/>
    <cellStyle name="Comma 2 20 2 2 2" xfId="27075" xr:uid="{00000000-0005-0000-0000-0000C7690000}"/>
    <cellStyle name="Comma 2 20 2 2 3" xfId="29003" xr:uid="{00000000-0005-0000-0000-00004F710000}"/>
    <cellStyle name="Comma 2 20 2 3" xfId="26112" xr:uid="{00000000-0005-0000-0000-000004660000}"/>
    <cellStyle name="Comma 2 20 2 4" xfId="28039" xr:uid="{00000000-0005-0000-0000-00008B6D0000}"/>
    <cellStyle name="Comma 2 20 3" xfId="19880" xr:uid="{00000000-0005-0000-0000-0000AC4D0000}"/>
    <cellStyle name="Comma 2 20 3 2" xfId="26738" xr:uid="{00000000-0005-0000-0000-000076680000}"/>
    <cellStyle name="Comma 2 20 3 3" xfId="28666" xr:uid="{00000000-0005-0000-0000-0000FE6F0000}"/>
    <cellStyle name="Comma 2 20 4" xfId="25775" xr:uid="{00000000-0005-0000-0000-0000B3640000}"/>
    <cellStyle name="Comma 2 20 5" xfId="27702" xr:uid="{00000000-0005-0000-0000-00003A6C0000}"/>
    <cellStyle name="Comma 2 21" xfId="7616" xr:uid="{00000000-0005-0000-0000-0000C41D0000}"/>
    <cellStyle name="Comma 2 21 2" xfId="8988" xr:uid="{00000000-0005-0000-0000-000020230000}"/>
    <cellStyle name="Comma 2 21 2 2" xfId="20990" xr:uid="{00000000-0005-0000-0000-000002520000}"/>
    <cellStyle name="Comma 2 21 2 2 2" xfId="27076" xr:uid="{00000000-0005-0000-0000-0000C8690000}"/>
    <cellStyle name="Comma 2 21 2 2 3" xfId="29004" xr:uid="{00000000-0005-0000-0000-000050710000}"/>
    <cellStyle name="Comma 2 21 2 3" xfId="26113" xr:uid="{00000000-0005-0000-0000-000005660000}"/>
    <cellStyle name="Comma 2 21 2 4" xfId="28040" xr:uid="{00000000-0005-0000-0000-00008C6D0000}"/>
    <cellStyle name="Comma 2 21 3" xfId="19881" xr:uid="{00000000-0005-0000-0000-0000AD4D0000}"/>
    <cellStyle name="Comma 2 21 3 2" xfId="26739" xr:uid="{00000000-0005-0000-0000-000077680000}"/>
    <cellStyle name="Comma 2 21 3 3" xfId="28667" xr:uid="{00000000-0005-0000-0000-0000FF6F0000}"/>
    <cellStyle name="Comma 2 21 4" xfId="25776" xr:uid="{00000000-0005-0000-0000-0000B4640000}"/>
    <cellStyle name="Comma 2 21 5" xfId="27703" xr:uid="{00000000-0005-0000-0000-00003B6C0000}"/>
    <cellStyle name="Comma 2 22" xfId="8829" xr:uid="{00000000-0005-0000-0000-000081220000}"/>
    <cellStyle name="Comma 2 22 2" xfId="17238" xr:uid="{00000000-0005-0000-0000-00005A430000}"/>
    <cellStyle name="Comma 2 22 2 2" xfId="23856" xr:uid="{00000000-0005-0000-0000-0000345D0000}"/>
    <cellStyle name="Comma 2 22 2 2 2" xfId="27464" xr:uid="{00000000-0005-0000-0000-00004C6B0000}"/>
    <cellStyle name="Comma 2 22 2 2 3" xfId="29392" xr:uid="{00000000-0005-0000-0000-0000D4720000}"/>
    <cellStyle name="Comma 2 22 2 3" xfId="26501" xr:uid="{00000000-0005-0000-0000-000089670000}"/>
    <cellStyle name="Comma 2 22 2 4" xfId="28429" xr:uid="{00000000-0005-0000-0000-0000116F0000}"/>
    <cellStyle name="Comma 2 22 3" xfId="12653" xr:uid="{00000000-0005-0000-0000-000071310000}"/>
    <cellStyle name="Comma 2 22 3 2" xfId="23126" xr:uid="{00000000-0005-0000-0000-00005A5A0000}"/>
    <cellStyle name="Comma 2 22 3 2 2" xfId="27143" xr:uid="{00000000-0005-0000-0000-00000B6A0000}"/>
    <cellStyle name="Comma 2 22 3 2 3" xfId="29071" xr:uid="{00000000-0005-0000-0000-000093710000}"/>
    <cellStyle name="Comma 2 22 3 3" xfId="26180" xr:uid="{00000000-0005-0000-0000-000048660000}"/>
    <cellStyle name="Comma 2 22 3 4" xfId="28108" xr:uid="{00000000-0005-0000-0000-0000D06D0000}"/>
    <cellStyle name="Comma 2 22 4" xfId="20916" xr:uid="{00000000-0005-0000-0000-0000B8510000}"/>
    <cellStyle name="Comma 2 22 4 2" xfId="27018" xr:uid="{00000000-0005-0000-0000-00008E690000}"/>
    <cellStyle name="Comma 2 22 4 3" xfId="28946" xr:uid="{00000000-0005-0000-0000-000016710000}"/>
    <cellStyle name="Comma 2 22 5" xfId="26055" xr:uid="{00000000-0005-0000-0000-0000CB650000}"/>
    <cellStyle name="Comma 2 22 6" xfId="27982" xr:uid="{00000000-0005-0000-0000-0000526D0000}"/>
    <cellStyle name="Comma 2 23" xfId="19580" xr:uid="{00000000-0005-0000-0000-0000804C0000}"/>
    <cellStyle name="Comma 2 23 2" xfId="26516" xr:uid="{00000000-0005-0000-0000-000098670000}"/>
    <cellStyle name="Comma 2 23 3" xfId="28444" xr:uid="{00000000-0005-0000-0000-0000206F0000}"/>
    <cellStyle name="Comma 2 24" xfId="25553" xr:uid="{00000000-0005-0000-0000-0000D5630000}"/>
    <cellStyle name="Comma 2 25" xfId="27480" xr:uid="{00000000-0005-0000-0000-00005C6B0000}"/>
    <cellStyle name="Comma 2 26" xfId="4461" xr:uid="{00000000-0005-0000-0000-000071110000}"/>
    <cellStyle name="Comma 2 27" xfId="29410" xr:uid="{00000000-0005-0000-0000-0000E6720000}"/>
    <cellStyle name="Comma 2 28" xfId="84" xr:uid="{00000000-0005-0000-0000-000058000000}"/>
    <cellStyle name="Comma 2 3" xfId="739" xr:uid="{00000000-0005-0000-0000-0000E7020000}"/>
    <cellStyle name="Comma 2 3 10" xfId="25563" xr:uid="{00000000-0005-0000-0000-0000DF630000}"/>
    <cellStyle name="Comma 2 3 11" xfId="27490" xr:uid="{00000000-0005-0000-0000-0000666B0000}"/>
    <cellStyle name="Comma 2 3 12" xfId="4471" xr:uid="{00000000-0005-0000-0000-00007B110000}"/>
    <cellStyle name="Comma 2 3 2" xfId="2009" xr:uid="{00000000-0005-0000-0000-0000DD070000}"/>
    <cellStyle name="Comma 2 3 2 10" xfId="27491" xr:uid="{00000000-0005-0000-0000-0000676B0000}"/>
    <cellStyle name="Comma 2 3 2 11" xfId="4472" xr:uid="{00000000-0005-0000-0000-00007C110000}"/>
    <cellStyle name="Comma 2 3 2 2" xfId="4473" xr:uid="{00000000-0005-0000-0000-00007D110000}"/>
    <cellStyle name="Comma 2 3 2 2 2" xfId="8841" xr:uid="{00000000-0005-0000-0000-00008D220000}"/>
    <cellStyle name="Comma 2 3 2 2 2 2" xfId="20928" xr:uid="{00000000-0005-0000-0000-0000C4510000}"/>
    <cellStyle name="Comma 2 3 2 2 2 2 2" xfId="27030" xr:uid="{00000000-0005-0000-0000-00009A690000}"/>
    <cellStyle name="Comma 2 3 2 2 2 2 3" xfId="28958" xr:uid="{00000000-0005-0000-0000-000022710000}"/>
    <cellStyle name="Comma 2 3 2 2 2 3" xfId="26067" xr:uid="{00000000-0005-0000-0000-0000D7650000}"/>
    <cellStyle name="Comma 2 3 2 2 2 4" xfId="27994" xr:uid="{00000000-0005-0000-0000-00005E6D0000}"/>
    <cellStyle name="Comma 2 3 2 2 3" xfId="15286" xr:uid="{00000000-0005-0000-0000-0000BA3B0000}"/>
    <cellStyle name="Comma 2 3 2 2 3 2" xfId="23193" xr:uid="{00000000-0005-0000-0000-00009D5A0000}"/>
    <cellStyle name="Comma 2 3 2 2 3 2 2" xfId="27203" xr:uid="{00000000-0005-0000-0000-0000476A0000}"/>
    <cellStyle name="Comma 2 3 2 2 3 2 3" xfId="29131" xr:uid="{00000000-0005-0000-0000-0000CF710000}"/>
    <cellStyle name="Comma 2 3 2 2 3 3" xfId="26240" xr:uid="{00000000-0005-0000-0000-000084660000}"/>
    <cellStyle name="Comma 2 3 2 2 3 4" xfId="28168" xr:uid="{00000000-0005-0000-0000-00000C6E0000}"/>
    <cellStyle name="Comma 2 3 2 2 4" xfId="19592" xr:uid="{00000000-0005-0000-0000-00008C4C0000}"/>
    <cellStyle name="Comma 2 3 2 2 4 2" xfId="26528" xr:uid="{00000000-0005-0000-0000-0000A4670000}"/>
    <cellStyle name="Comma 2 3 2 2 4 3" xfId="28456" xr:uid="{00000000-0005-0000-0000-00002C6F0000}"/>
    <cellStyle name="Comma 2 3 2 2 5" xfId="25565" xr:uid="{00000000-0005-0000-0000-0000E1630000}"/>
    <cellStyle name="Comma 2 3 2 2 6" xfId="27492" xr:uid="{00000000-0005-0000-0000-0000686B0000}"/>
    <cellStyle name="Comma 2 3 2 3" xfId="4474" xr:uid="{00000000-0005-0000-0000-00007E110000}"/>
    <cellStyle name="Comma 2 3 2 3 2" xfId="8842" xr:uid="{00000000-0005-0000-0000-00008E220000}"/>
    <cellStyle name="Comma 2 3 2 3 2 2" xfId="20929" xr:uid="{00000000-0005-0000-0000-0000C5510000}"/>
    <cellStyle name="Comma 2 3 2 3 2 2 2" xfId="27031" xr:uid="{00000000-0005-0000-0000-00009B690000}"/>
    <cellStyle name="Comma 2 3 2 3 2 2 3" xfId="28959" xr:uid="{00000000-0005-0000-0000-000023710000}"/>
    <cellStyle name="Comma 2 3 2 3 2 3" xfId="26068" xr:uid="{00000000-0005-0000-0000-0000D8650000}"/>
    <cellStyle name="Comma 2 3 2 3 2 4" xfId="27995" xr:uid="{00000000-0005-0000-0000-00005F6D0000}"/>
    <cellStyle name="Comma 2 3 2 3 3" xfId="15287" xr:uid="{00000000-0005-0000-0000-0000BB3B0000}"/>
    <cellStyle name="Comma 2 3 2 3 3 2" xfId="23194" xr:uid="{00000000-0005-0000-0000-00009E5A0000}"/>
    <cellStyle name="Comma 2 3 2 3 3 2 2" xfId="27204" xr:uid="{00000000-0005-0000-0000-0000486A0000}"/>
    <cellStyle name="Comma 2 3 2 3 3 2 3" xfId="29132" xr:uid="{00000000-0005-0000-0000-0000D0710000}"/>
    <cellStyle name="Comma 2 3 2 3 3 3" xfId="26241" xr:uid="{00000000-0005-0000-0000-000085660000}"/>
    <cellStyle name="Comma 2 3 2 3 3 4" xfId="28169" xr:uid="{00000000-0005-0000-0000-00000D6E0000}"/>
    <cellStyle name="Comma 2 3 2 3 4" xfId="19593" xr:uid="{00000000-0005-0000-0000-00008D4C0000}"/>
    <cellStyle name="Comma 2 3 2 3 4 2" xfId="26529" xr:uid="{00000000-0005-0000-0000-0000A5670000}"/>
    <cellStyle name="Comma 2 3 2 3 4 3" xfId="28457" xr:uid="{00000000-0005-0000-0000-00002D6F0000}"/>
    <cellStyle name="Comma 2 3 2 3 5" xfId="25566" xr:uid="{00000000-0005-0000-0000-0000E2630000}"/>
    <cellStyle name="Comma 2 3 2 3 6" xfId="27493" xr:uid="{00000000-0005-0000-0000-0000696B0000}"/>
    <cellStyle name="Comma 2 3 2 4" xfId="4548" xr:uid="{00000000-0005-0000-0000-0000C8110000}"/>
    <cellStyle name="Comma 2 3 2 4 2" xfId="5740" xr:uid="{00000000-0005-0000-0000-000070160000}"/>
    <cellStyle name="Comma 2 3 2 4 2 2" xfId="8990" xr:uid="{00000000-0005-0000-0000-000022230000}"/>
    <cellStyle name="Comma 2 3 2 4 2 2 2" xfId="20992" xr:uid="{00000000-0005-0000-0000-000004520000}"/>
    <cellStyle name="Comma 2 3 2 4 2 2 2 2" xfId="27078" xr:uid="{00000000-0005-0000-0000-0000CA690000}"/>
    <cellStyle name="Comma 2 3 2 4 2 2 2 3" xfId="29006" xr:uid="{00000000-0005-0000-0000-000052710000}"/>
    <cellStyle name="Comma 2 3 2 4 2 2 3" xfId="26115" xr:uid="{00000000-0005-0000-0000-000007660000}"/>
    <cellStyle name="Comma 2 3 2 4 2 2 4" xfId="28042" xr:uid="{00000000-0005-0000-0000-00008E6D0000}"/>
    <cellStyle name="Comma 2 3 2 4 2 3" xfId="15568" xr:uid="{00000000-0005-0000-0000-0000D43C0000}"/>
    <cellStyle name="Comma 2 3 2 4 2 3 2" xfId="23232" xr:uid="{00000000-0005-0000-0000-0000C45A0000}"/>
    <cellStyle name="Comma 2 3 2 4 2 3 2 2" xfId="27240" xr:uid="{00000000-0005-0000-0000-00006C6A0000}"/>
    <cellStyle name="Comma 2 3 2 4 2 3 2 3" xfId="29168" xr:uid="{00000000-0005-0000-0000-0000F4710000}"/>
    <cellStyle name="Comma 2 3 2 4 2 3 3" xfId="26277" xr:uid="{00000000-0005-0000-0000-0000A9660000}"/>
    <cellStyle name="Comma 2 3 2 4 2 3 4" xfId="28205" xr:uid="{00000000-0005-0000-0000-0000316E0000}"/>
    <cellStyle name="Comma 2 3 2 4 2 4" xfId="19669" xr:uid="{00000000-0005-0000-0000-0000D94C0000}"/>
    <cellStyle name="Comma 2 3 2 4 2 4 2" xfId="26567" xr:uid="{00000000-0005-0000-0000-0000CB670000}"/>
    <cellStyle name="Comma 2 3 2 4 2 4 3" xfId="28495" xr:uid="{00000000-0005-0000-0000-0000536F0000}"/>
    <cellStyle name="Comma 2 3 2 4 2 5" xfId="25604" xr:uid="{00000000-0005-0000-0000-000008640000}"/>
    <cellStyle name="Comma 2 3 2 4 2 6" xfId="27531" xr:uid="{00000000-0005-0000-0000-00008F6B0000}"/>
    <cellStyle name="Comma 2 3 2 4 3" xfId="5741" xr:uid="{00000000-0005-0000-0000-000071160000}"/>
    <cellStyle name="Comma 2 3 2 4 3 2" xfId="8991" xr:uid="{00000000-0005-0000-0000-000023230000}"/>
    <cellStyle name="Comma 2 3 2 4 3 2 2" xfId="20993" xr:uid="{00000000-0005-0000-0000-000005520000}"/>
    <cellStyle name="Comma 2 3 2 4 3 2 2 2" xfId="27079" xr:uid="{00000000-0005-0000-0000-0000CB690000}"/>
    <cellStyle name="Comma 2 3 2 4 3 2 2 3" xfId="29007" xr:uid="{00000000-0005-0000-0000-000053710000}"/>
    <cellStyle name="Comma 2 3 2 4 3 2 3" xfId="26116" xr:uid="{00000000-0005-0000-0000-000008660000}"/>
    <cellStyle name="Comma 2 3 2 4 3 2 4" xfId="28043" xr:uid="{00000000-0005-0000-0000-00008F6D0000}"/>
    <cellStyle name="Comma 2 3 2 4 3 3" xfId="15569" xr:uid="{00000000-0005-0000-0000-0000D53C0000}"/>
    <cellStyle name="Comma 2 3 2 4 3 3 2" xfId="23233" xr:uid="{00000000-0005-0000-0000-0000C55A0000}"/>
    <cellStyle name="Comma 2 3 2 4 3 3 2 2" xfId="27241" xr:uid="{00000000-0005-0000-0000-00006D6A0000}"/>
    <cellStyle name="Comma 2 3 2 4 3 3 2 3" xfId="29169" xr:uid="{00000000-0005-0000-0000-0000F5710000}"/>
    <cellStyle name="Comma 2 3 2 4 3 3 3" xfId="26278" xr:uid="{00000000-0005-0000-0000-0000AA660000}"/>
    <cellStyle name="Comma 2 3 2 4 3 3 4" xfId="28206" xr:uid="{00000000-0005-0000-0000-0000326E0000}"/>
    <cellStyle name="Comma 2 3 2 4 3 4" xfId="19670" xr:uid="{00000000-0005-0000-0000-0000DA4C0000}"/>
    <cellStyle name="Comma 2 3 2 4 3 4 2" xfId="26568" xr:uid="{00000000-0005-0000-0000-0000CC670000}"/>
    <cellStyle name="Comma 2 3 2 4 3 4 3" xfId="28496" xr:uid="{00000000-0005-0000-0000-0000546F0000}"/>
    <cellStyle name="Comma 2 3 2 4 3 5" xfId="25605" xr:uid="{00000000-0005-0000-0000-000009640000}"/>
    <cellStyle name="Comma 2 3 2 4 3 6" xfId="27532" xr:uid="{00000000-0005-0000-0000-0000906B0000}"/>
    <cellStyle name="Comma 2 3 2 4 4" xfId="5739" xr:uid="{00000000-0005-0000-0000-00006F160000}"/>
    <cellStyle name="Comma 2 3 2 4 4 2" xfId="8992" xr:uid="{00000000-0005-0000-0000-000024230000}"/>
    <cellStyle name="Comma 2 3 2 4 4 2 2" xfId="20994" xr:uid="{00000000-0005-0000-0000-000006520000}"/>
    <cellStyle name="Comma 2 3 2 4 4 2 2 2" xfId="27080" xr:uid="{00000000-0005-0000-0000-0000CC690000}"/>
    <cellStyle name="Comma 2 3 2 4 4 2 2 3" xfId="29008" xr:uid="{00000000-0005-0000-0000-000054710000}"/>
    <cellStyle name="Comma 2 3 2 4 4 2 3" xfId="26117" xr:uid="{00000000-0005-0000-0000-000009660000}"/>
    <cellStyle name="Comma 2 3 2 4 4 2 4" xfId="28044" xr:uid="{00000000-0005-0000-0000-0000906D0000}"/>
    <cellStyle name="Comma 2 3 2 4 4 3" xfId="15567" xr:uid="{00000000-0005-0000-0000-0000D33C0000}"/>
    <cellStyle name="Comma 2 3 2 4 4 3 2" xfId="23231" xr:uid="{00000000-0005-0000-0000-0000C35A0000}"/>
    <cellStyle name="Comma 2 3 2 4 4 3 2 2" xfId="27239" xr:uid="{00000000-0005-0000-0000-00006B6A0000}"/>
    <cellStyle name="Comma 2 3 2 4 4 3 2 3" xfId="29167" xr:uid="{00000000-0005-0000-0000-0000F3710000}"/>
    <cellStyle name="Comma 2 3 2 4 4 3 3" xfId="26276" xr:uid="{00000000-0005-0000-0000-0000A8660000}"/>
    <cellStyle name="Comma 2 3 2 4 4 3 4" xfId="28204" xr:uid="{00000000-0005-0000-0000-0000306E0000}"/>
    <cellStyle name="Comma 2 3 2 4 4 4" xfId="19668" xr:uid="{00000000-0005-0000-0000-0000D84C0000}"/>
    <cellStyle name="Comma 2 3 2 4 4 4 2" xfId="26566" xr:uid="{00000000-0005-0000-0000-0000CA670000}"/>
    <cellStyle name="Comma 2 3 2 4 4 4 3" xfId="28494" xr:uid="{00000000-0005-0000-0000-0000526F0000}"/>
    <cellStyle name="Comma 2 3 2 4 4 5" xfId="25603" xr:uid="{00000000-0005-0000-0000-000007640000}"/>
    <cellStyle name="Comma 2 3 2 4 4 6" xfId="27530" xr:uid="{00000000-0005-0000-0000-00008E6B0000}"/>
    <cellStyle name="Comma 2 3 2 4 5" xfId="8989" xr:uid="{00000000-0005-0000-0000-000021230000}"/>
    <cellStyle name="Comma 2 3 2 4 5 2" xfId="20991" xr:uid="{00000000-0005-0000-0000-000003520000}"/>
    <cellStyle name="Comma 2 3 2 4 5 2 2" xfId="27077" xr:uid="{00000000-0005-0000-0000-0000C9690000}"/>
    <cellStyle name="Comma 2 3 2 4 5 2 3" xfId="29005" xr:uid="{00000000-0005-0000-0000-000051710000}"/>
    <cellStyle name="Comma 2 3 2 4 5 3" xfId="26114" xr:uid="{00000000-0005-0000-0000-000006660000}"/>
    <cellStyle name="Comma 2 3 2 4 5 4" xfId="28041" xr:uid="{00000000-0005-0000-0000-00008D6D0000}"/>
    <cellStyle name="Comma 2 3 2 4 6" xfId="15354" xr:uid="{00000000-0005-0000-0000-0000FE3B0000}"/>
    <cellStyle name="Comma 2 3 2 4 6 2" xfId="23212" xr:uid="{00000000-0005-0000-0000-0000B05A0000}"/>
    <cellStyle name="Comma 2 3 2 4 6 2 2" xfId="27220" xr:uid="{00000000-0005-0000-0000-0000586A0000}"/>
    <cellStyle name="Comma 2 3 2 4 6 2 3" xfId="29148" xr:uid="{00000000-0005-0000-0000-0000E0710000}"/>
    <cellStyle name="Comma 2 3 2 4 6 3" xfId="26257" xr:uid="{00000000-0005-0000-0000-000095660000}"/>
    <cellStyle name="Comma 2 3 2 4 6 4" xfId="28185" xr:uid="{00000000-0005-0000-0000-00001D6E0000}"/>
    <cellStyle name="Comma 2 3 2 4 7" xfId="19628" xr:uid="{00000000-0005-0000-0000-0000B04C0000}"/>
    <cellStyle name="Comma 2 3 2 4 7 2" xfId="26547" xr:uid="{00000000-0005-0000-0000-0000B7670000}"/>
    <cellStyle name="Comma 2 3 2 4 7 3" xfId="28475" xr:uid="{00000000-0005-0000-0000-00003F6F0000}"/>
    <cellStyle name="Comma 2 3 2 4 8" xfId="25584" xr:uid="{00000000-0005-0000-0000-0000F4630000}"/>
    <cellStyle name="Comma 2 3 2 4 9" xfId="27511" xr:uid="{00000000-0005-0000-0000-00007B6B0000}"/>
    <cellStyle name="Comma 2 3 2 5" xfId="5742" xr:uid="{00000000-0005-0000-0000-000072160000}"/>
    <cellStyle name="Comma 2 3 2 5 2" xfId="8993" xr:uid="{00000000-0005-0000-0000-000025230000}"/>
    <cellStyle name="Comma 2 3 2 5 2 2" xfId="20995" xr:uid="{00000000-0005-0000-0000-000007520000}"/>
    <cellStyle name="Comma 2 3 2 5 2 2 2" xfId="27081" xr:uid="{00000000-0005-0000-0000-0000CD690000}"/>
    <cellStyle name="Comma 2 3 2 5 2 2 3" xfId="29009" xr:uid="{00000000-0005-0000-0000-000055710000}"/>
    <cellStyle name="Comma 2 3 2 5 2 3" xfId="26118" xr:uid="{00000000-0005-0000-0000-00000A660000}"/>
    <cellStyle name="Comma 2 3 2 5 2 4" xfId="28045" xr:uid="{00000000-0005-0000-0000-0000916D0000}"/>
    <cellStyle name="Comma 2 3 2 5 3" xfId="15570" xr:uid="{00000000-0005-0000-0000-0000D63C0000}"/>
    <cellStyle name="Comma 2 3 2 5 3 2" xfId="23234" xr:uid="{00000000-0005-0000-0000-0000C65A0000}"/>
    <cellStyle name="Comma 2 3 2 5 3 2 2" xfId="27242" xr:uid="{00000000-0005-0000-0000-00006E6A0000}"/>
    <cellStyle name="Comma 2 3 2 5 3 2 3" xfId="29170" xr:uid="{00000000-0005-0000-0000-0000F6710000}"/>
    <cellStyle name="Comma 2 3 2 5 3 3" xfId="26279" xr:uid="{00000000-0005-0000-0000-0000AB660000}"/>
    <cellStyle name="Comma 2 3 2 5 3 4" xfId="28207" xr:uid="{00000000-0005-0000-0000-0000336E0000}"/>
    <cellStyle name="Comma 2 3 2 5 4" xfId="19671" xr:uid="{00000000-0005-0000-0000-0000DB4C0000}"/>
    <cellStyle name="Comma 2 3 2 5 4 2" xfId="26569" xr:uid="{00000000-0005-0000-0000-0000CD670000}"/>
    <cellStyle name="Comma 2 3 2 5 4 3" xfId="28497" xr:uid="{00000000-0005-0000-0000-0000556F0000}"/>
    <cellStyle name="Comma 2 3 2 5 5" xfId="25606" xr:uid="{00000000-0005-0000-0000-00000A640000}"/>
    <cellStyle name="Comma 2 3 2 5 6" xfId="27533" xr:uid="{00000000-0005-0000-0000-0000916B0000}"/>
    <cellStyle name="Comma 2 3 2 6" xfId="8840" xr:uid="{00000000-0005-0000-0000-00008C220000}"/>
    <cellStyle name="Comma 2 3 2 6 2" xfId="17240" xr:uid="{00000000-0005-0000-0000-00005C430000}"/>
    <cellStyle name="Comma 2 3 2 6 2 2" xfId="23858" xr:uid="{00000000-0005-0000-0000-0000365D0000}"/>
    <cellStyle name="Comma 2 3 2 6 2 2 2" xfId="27466" xr:uid="{00000000-0005-0000-0000-00004E6B0000}"/>
    <cellStyle name="Comma 2 3 2 6 2 2 3" xfId="29394" xr:uid="{00000000-0005-0000-0000-0000D6720000}"/>
    <cellStyle name="Comma 2 3 2 6 2 3" xfId="26503" xr:uid="{00000000-0005-0000-0000-00008B670000}"/>
    <cellStyle name="Comma 2 3 2 6 2 4" xfId="28431" xr:uid="{00000000-0005-0000-0000-0000136F0000}"/>
    <cellStyle name="Comma 2 3 2 6 3" xfId="12657" xr:uid="{00000000-0005-0000-0000-000075310000}"/>
    <cellStyle name="Comma 2 3 2 6 4" xfId="20927" xr:uid="{00000000-0005-0000-0000-0000C3510000}"/>
    <cellStyle name="Comma 2 3 2 6 4 2" xfId="27029" xr:uid="{00000000-0005-0000-0000-000099690000}"/>
    <cellStyle name="Comma 2 3 2 6 4 3" xfId="28957" xr:uid="{00000000-0005-0000-0000-000021710000}"/>
    <cellStyle name="Comma 2 3 2 6 5" xfId="26066" xr:uid="{00000000-0005-0000-0000-0000D6650000}"/>
    <cellStyle name="Comma 2 3 2 6 6" xfId="27993" xr:uid="{00000000-0005-0000-0000-00005D6D0000}"/>
    <cellStyle name="Comma 2 3 2 7" xfId="15285" xr:uid="{00000000-0005-0000-0000-0000B93B0000}"/>
    <cellStyle name="Comma 2 3 2 7 2" xfId="23192" xr:uid="{00000000-0005-0000-0000-00009C5A0000}"/>
    <cellStyle name="Comma 2 3 2 7 2 2" xfId="27202" xr:uid="{00000000-0005-0000-0000-0000466A0000}"/>
    <cellStyle name="Comma 2 3 2 7 2 3" xfId="29130" xr:uid="{00000000-0005-0000-0000-0000CE710000}"/>
    <cellStyle name="Comma 2 3 2 7 3" xfId="26239" xr:uid="{00000000-0005-0000-0000-000083660000}"/>
    <cellStyle name="Comma 2 3 2 7 4" xfId="28167" xr:uid="{00000000-0005-0000-0000-00000B6E0000}"/>
    <cellStyle name="Comma 2 3 2 8" xfId="19591" xr:uid="{00000000-0005-0000-0000-00008B4C0000}"/>
    <cellStyle name="Comma 2 3 2 8 2" xfId="26527" xr:uid="{00000000-0005-0000-0000-0000A3670000}"/>
    <cellStyle name="Comma 2 3 2 8 3" xfId="28455" xr:uid="{00000000-0005-0000-0000-00002B6F0000}"/>
    <cellStyle name="Comma 2 3 2 9" xfId="25564" xr:uid="{00000000-0005-0000-0000-0000E0630000}"/>
    <cellStyle name="Comma 2 3 3" xfId="4475" xr:uid="{00000000-0005-0000-0000-00007F110000}"/>
    <cellStyle name="Comma 2 3 3 2" xfId="4476" xr:uid="{00000000-0005-0000-0000-000080110000}"/>
    <cellStyle name="Comma 2 3 3 2 2" xfId="8844" xr:uid="{00000000-0005-0000-0000-000090220000}"/>
    <cellStyle name="Comma 2 3 3 2 2 2" xfId="20931" xr:uid="{00000000-0005-0000-0000-0000C7510000}"/>
    <cellStyle name="Comma 2 3 3 2 2 2 2" xfId="27033" xr:uid="{00000000-0005-0000-0000-00009D690000}"/>
    <cellStyle name="Comma 2 3 3 2 2 2 3" xfId="28961" xr:uid="{00000000-0005-0000-0000-000025710000}"/>
    <cellStyle name="Comma 2 3 3 2 2 3" xfId="26070" xr:uid="{00000000-0005-0000-0000-0000DA650000}"/>
    <cellStyle name="Comma 2 3 3 2 2 4" xfId="27997" xr:uid="{00000000-0005-0000-0000-0000616D0000}"/>
    <cellStyle name="Comma 2 3 3 2 3" xfId="15289" xr:uid="{00000000-0005-0000-0000-0000BD3B0000}"/>
    <cellStyle name="Comma 2 3 3 2 3 2" xfId="23196" xr:uid="{00000000-0005-0000-0000-0000A05A0000}"/>
    <cellStyle name="Comma 2 3 3 2 3 2 2" xfId="27206" xr:uid="{00000000-0005-0000-0000-00004A6A0000}"/>
    <cellStyle name="Comma 2 3 3 2 3 2 3" xfId="29134" xr:uid="{00000000-0005-0000-0000-0000D2710000}"/>
    <cellStyle name="Comma 2 3 3 2 3 3" xfId="26243" xr:uid="{00000000-0005-0000-0000-000087660000}"/>
    <cellStyle name="Comma 2 3 3 2 3 4" xfId="28171" xr:uid="{00000000-0005-0000-0000-00000F6E0000}"/>
    <cellStyle name="Comma 2 3 3 2 4" xfId="19595" xr:uid="{00000000-0005-0000-0000-00008F4C0000}"/>
    <cellStyle name="Comma 2 3 3 2 4 2" xfId="26531" xr:uid="{00000000-0005-0000-0000-0000A7670000}"/>
    <cellStyle name="Comma 2 3 3 2 4 3" xfId="28459" xr:uid="{00000000-0005-0000-0000-00002F6F0000}"/>
    <cellStyle name="Comma 2 3 3 2 5" xfId="25568" xr:uid="{00000000-0005-0000-0000-0000E4630000}"/>
    <cellStyle name="Comma 2 3 3 2 6" xfId="27495" xr:uid="{00000000-0005-0000-0000-00006B6B0000}"/>
    <cellStyle name="Comma 2 3 3 3" xfId="4477" xr:uid="{00000000-0005-0000-0000-000081110000}"/>
    <cellStyle name="Comma 2 3 3 3 2" xfId="8845" xr:uid="{00000000-0005-0000-0000-000091220000}"/>
    <cellStyle name="Comma 2 3 3 3 2 2" xfId="20932" xr:uid="{00000000-0005-0000-0000-0000C8510000}"/>
    <cellStyle name="Comma 2 3 3 3 2 2 2" xfId="27034" xr:uid="{00000000-0005-0000-0000-00009E690000}"/>
    <cellStyle name="Comma 2 3 3 3 2 2 3" xfId="28962" xr:uid="{00000000-0005-0000-0000-000026710000}"/>
    <cellStyle name="Comma 2 3 3 3 2 3" xfId="26071" xr:uid="{00000000-0005-0000-0000-0000DB650000}"/>
    <cellStyle name="Comma 2 3 3 3 2 4" xfId="27998" xr:uid="{00000000-0005-0000-0000-0000626D0000}"/>
    <cellStyle name="Comma 2 3 3 3 3" xfId="15290" xr:uid="{00000000-0005-0000-0000-0000BE3B0000}"/>
    <cellStyle name="Comma 2 3 3 3 3 2" xfId="23197" xr:uid="{00000000-0005-0000-0000-0000A15A0000}"/>
    <cellStyle name="Comma 2 3 3 3 3 2 2" xfId="27207" xr:uid="{00000000-0005-0000-0000-00004B6A0000}"/>
    <cellStyle name="Comma 2 3 3 3 3 2 3" xfId="29135" xr:uid="{00000000-0005-0000-0000-0000D3710000}"/>
    <cellStyle name="Comma 2 3 3 3 3 3" xfId="26244" xr:uid="{00000000-0005-0000-0000-000088660000}"/>
    <cellStyle name="Comma 2 3 3 3 3 4" xfId="28172" xr:uid="{00000000-0005-0000-0000-0000106E0000}"/>
    <cellStyle name="Comma 2 3 3 3 4" xfId="19596" xr:uid="{00000000-0005-0000-0000-0000904C0000}"/>
    <cellStyle name="Comma 2 3 3 3 4 2" xfId="26532" xr:uid="{00000000-0005-0000-0000-0000A8670000}"/>
    <cellStyle name="Comma 2 3 3 3 4 3" xfId="28460" xr:uid="{00000000-0005-0000-0000-0000306F0000}"/>
    <cellStyle name="Comma 2 3 3 3 5" xfId="25569" xr:uid="{00000000-0005-0000-0000-0000E5630000}"/>
    <cellStyle name="Comma 2 3 3 3 6" xfId="27496" xr:uid="{00000000-0005-0000-0000-00006C6B0000}"/>
    <cellStyle name="Comma 2 3 3 4" xfId="4549" xr:uid="{00000000-0005-0000-0000-0000C9110000}"/>
    <cellStyle name="Comma 2 3 3 4 2" xfId="5743" xr:uid="{00000000-0005-0000-0000-000073160000}"/>
    <cellStyle name="Comma 2 3 3 4 2 2" xfId="8995" xr:uid="{00000000-0005-0000-0000-000027230000}"/>
    <cellStyle name="Comma 2 3 3 4 2 2 2" xfId="20997" xr:uid="{00000000-0005-0000-0000-000009520000}"/>
    <cellStyle name="Comma 2 3 3 4 2 2 2 2" xfId="27083" xr:uid="{00000000-0005-0000-0000-0000CF690000}"/>
    <cellStyle name="Comma 2 3 3 4 2 2 2 3" xfId="29011" xr:uid="{00000000-0005-0000-0000-000057710000}"/>
    <cellStyle name="Comma 2 3 3 4 2 2 3" xfId="26120" xr:uid="{00000000-0005-0000-0000-00000C660000}"/>
    <cellStyle name="Comma 2 3 3 4 2 2 4" xfId="28047" xr:uid="{00000000-0005-0000-0000-0000936D0000}"/>
    <cellStyle name="Comma 2 3 3 4 2 3" xfId="15571" xr:uid="{00000000-0005-0000-0000-0000D73C0000}"/>
    <cellStyle name="Comma 2 3 3 4 2 3 2" xfId="23235" xr:uid="{00000000-0005-0000-0000-0000C75A0000}"/>
    <cellStyle name="Comma 2 3 3 4 2 3 2 2" xfId="27243" xr:uid="{00000000-0005-0000-0000-00006F6A0000}"/>
    <cellStyle name="Comma 2 3 3 4 2 3 2 3" xfId="29171" xr:uid="{00000000-0005-0000-0000-0000F7710000}"/>
    <cellStyle name="Comma 2 3 3 4 2 3 3" xfId="26280" xr:uid="{00000000-0005-0000-0000-0000AC660000}"/>
    <cellStyle name="Comma 2 3 3 4 2 3 4" xfId="28208" xr:uid="{00000000-0005-0000-0000-0000346E0000}"/>
    <cellStyle name="Comma 2 3 3 4 2 4" xfId="19672" xr:uid="{00000000-0005-0000-0000-0000DC4C0000}"/>
    <cellStyle name="Comma 2 3 3 4 2 4 2" xfId="26570" xr:uid="{00000000-0005-0000-0000-0000CE670000}"/>
    <cellStyle name="Comma 2 3 3 4 2 4 3" xfId="28498" xr:uid="{00000000-0005-0000-0000-0000566F0000}"/>
    <cellStyle name="Comma 2 3 3 4 2 5" xfId="25607" xr:uid="{00000000-0005-0000-0000-00000B640000}"/>
    <cellStyle name="Comma 2 3 3 4 2 6" xfId="27534" xr:uid="{00000000-0005-0000-0000-0000926B0000}"/>
    <cellStyle name="Comma 2 3 3 4 3" xfId="8994" xr:uid="{00000000-0005-0000-0000-000026230000}"/>
    <cellStyle name="Comma 2 3 3 4 3 2" xfId="20996" xr:uid="{00000000-0005-0000-0000-000008520000}"/>
    <cellStyle name="Comma 2 3 3 4 3 2 2" xfId="27082" xr:uid="{00000000-0005-0000-0000-0000CE690000}"/>
    <cellStyle name="Comma 2 3 3 4 3 2 3" xfId="29010" xr:uid="{00000000-0005-0000-0000-000056710000}"/>
    <cellStyle name="Comma 2 3 3 4 3 3" xfId="26119" xr:uid="{00000000-0005-0000-0000-00000B660000}"/>
    <cellStyle name="Comma 2 3 3 4 3 4" xfId="28046" xr:uid="{00000000-0005-0000-0000-0000926D0000}"/>
    <cellStyle name="Comma 2 3 3 4 4" xfId="15355" xr:uid="{00000000-0005-0000-0000-0000FF3B0000}"/>
    <cellStyle name="Comma 2 3 3 4 4 2" xfId="23213" xr:uid="{00000000-0005-0000-0000-0000B15A0000}"/>
    <cellStyle name="Comma 2 3 3 4 4 2 2" xfId="27221" xr:uid="{00000000-0005-0000-0000-0000596A0000}"/>
    <cellStyle name="Comma 2 3 3 4 4 2 3" xfId="29149" xr:uid="{00000000-0005-0000-0000-0000E1710000}"/>
    <cellStyle name="Comma 2 3 3 4 4 3" xfId="26258" xr:uid="{00000000-0005-0000-0000-000096660000}"/>
    <cellStyle name="Comma 2 3 3 4 4 4" xfId="28186" xr:uid="{00000000-0005-0000-0000-00001E6E0000}"/>
    <cellStyle name="Comma 2 3 3 4 5" xfId="19629" xr:uid="{00000000-0005-0000-0000-0000B14C0000}"/>
    <cellStyle name="Comma 2 3 3 4 5 2" xfId="26548" xr:uid="{00000000-0005-0000-0000-0000B8670000}"/>
    <cellStyle name="Comma 2 3 3 4 5 3" xfId="28476" xr:uid="{00000000-0005-0000-0000-0000406F0000}"/>
    <cellStyle name="Comma 2 3 3 4 6" xfId="25585" xr:uid="{00000000-0005-0000-0000-0000F5630000}"/>
    <cellStyle name="Comma 2 3 3 4 7" xfId="27512" xr:uid="{00000000-0005-0000-0000-00007C6B0000}"/>
    <cellStyle name="Comma 2 3 3 5" xfId="8843" xr:uid="{00000000-0005-0000-0000-00008F220000}"/>
    <cellStyle name="Comma 2 3 3 5 2" xfId="20930" xr:uid="{00000000-0005-0000-0000-0000C6510000}"/>
    <cellStyle name="Comma 2 3 3 5 2 2" xfId="27032" xr:uid="{00000000-0005-0000-0000-00009C690000}"/>
    <cellStyle name="Comma 2 3 3 5 2 3" xfId="28960" xr:uid="{00000000-0005-0000-0000-000024710000}"/>
    <cellStyle name="Comma 2 3 3 5 3" xfId="26069" xr:uid="{00000000-0005-0000-0000-0000D9650000}"/>
    <cellStyle name="Comma 2 3 3 5 4" xfId="27996" xr:uid="{00000000-0005-0000-0000-0000606D0000}"/>
    <cellStyle name="Comma 2 3 3 6" xfId="15288" xr:uid="{00000000-0005-0000-0000-0000BC3B0000}"/>
    <cellStyle name="Comma 2 3 3 6 2" xfId="23195" xr:uid="{00000000-0005-0000-0000-00009F5A0000}"/>
    <cellStyle name="Comma 2 3 3 6 2 2" xfId="27205" xr:uid="{00000000-0005-0000-0000-0000496A0000}"/>
    <cellStyle name="Comma 2 3 3 6 2 3" xfId="29133" xr:uid="{00000000-0005-0000-0000-0000D1710000}"/>
    <cellStyle name="Comma 2 3 3 6 3" xfId="26242" xr:uid="{00000000-0005-0000-0000-000086660000}"/>
    <cellStyle name="Comma 2 3 3 6 4" xfId="28170" xr:uid="{00000000-0005-0000-0000-00000E6E0000}"/>
    <cellStyle name="Comma 2 3 3 7" xfId="19594" xr:uid="{00000000-0005-0000-0000-00008E4C0000}"/>
    <cellStyle name="Comma 2 3 3 7 2" xfId="26530" xr:uid="{00000000-0005-0000-0000-0000A6670000}"/>
    <cellStyle name="Comma 2 3 3 7 3" xfId="28458" xr:uid="{00000000-0005-0000-0000-00002E6F0000}"/>
    <cellStyle name="Comma 2 3 3 8" xfId="25567" xr:uid="{00000000-0005-0000-0000-0000E3630000}"/>
    <cellStyle name="Comma 2 3 3 9" xfId="27494" xr:uid="{00000000-0005-0000-0000-00006A6B0000}"/>
    <cellStyle name="Comma 2 3 4" xfId="4478" xr:uid="{00000000-0005-0000-0000-000082110000}"/>
    <cellStyle name="Comma 2 3 4 2" xfId="5744" xr:uid="{00000000-0005-0000-0000-000074160000}"/>
    <cellStyle name="Comma 2 3 4 2 2" xfId="8996" xr:uid="{00000000-0005-0000-0000-000028230000}"/>
    <cellStyle name="Comma 2 3 4 2 2 2" xfId="20998" xr:uid="{00000000-0005-0000-0000-00000A520000}"/>
    <cellStyle name="Comma 2 3 4 2 2 2 2" xfId="27084" xr:uid="{00000000-0005-0000-0000-0000D0690000}"/>
    <cellStyle name="Comma 2 3 4 2 2 2 3" xfId="29012" xr:uid="{00000000-0005-0000-0000-000058710000}"/>
    <cellStyle name="Comma 2 3 4 2 2 3" xfId="26121" xr:uid="{00000000-0005-0000-0000-00000D660000}"/>
    <cellStyle name="Comma 2 3 4 2 2 4" xfId="28048" xr:uid="{00000000-0005-0000-0000-0000946D0000}"/>
    <cellStyle name="Comma 2 3 4 2 3" xfId="15572" xr:uid="{00000000-0005-0000-0000-0000D83C0000}"/>
    <cellStyle name="Comma 2 3 4 2 3 2" xfId="23236" xr:uid="{00000000-0005-0000-0000-0000C85A0000}"/>
    <cellStyle name="Comma 2 3 4 2 3 2 2" xfId="27244" xr:uid="{00000000-0005-0000-0000-0000706A0000}"/>
    <cellStyle name="Comma 2 3 4 2 3 2 3" xfId="29172" xr:uid="{00000000-0005-0000-0000-0000F8710000}"/>
    <cellStyle name="Comma 2 3 4 2 3 3" xfId="26281" xr:uid="{00000000-0005-0000-0000-0000AD660000}"/>
    <cellStyle name="Comma 2 3 4 2 3 4" xfId="28209" xr:uid="{00000000-0005-0000-0000-0000356E0000}"/>
    <cellStyle name="Comma 2 3 4 2 4" xfId="19673" xr:uid="{00000000-0005-0000-0000-0000DD4C0000}"/>
    <cellStyle name="Comma 2 3 4 2 4 2" xfId="26571" xr:uid="{00000000-0005-0000-0000-0000CF670000}"/>
    <cellStyle name="Comma 2 3 4 2 4 3" xfId="28499" xr:uid="{00000000-0005-0000-0000-0000576F0000}"/>
    <cellStyle name="Comma 2 3 4 2 5" xfId="25608" xr:uid="{00000000-0005-0000-0000-00000C640000}"/>
    <cellStyle name="Comma 2 3 4 2 6" xfId="27535" xr:uid="{00000000-0005-0000-0000-0000936B0000}"/>
    <cellStyle name="Comma 2 3 4 3" xfId="8846" xr:uid="{00000000-0005-0000-0000-000092220000}"/>
    <cellStyle name="Comma 2 3 4 3 2" xfId="20933" xr:uid="{00000000-0005-0000-0000-0000C9510000}"/>
    <cellStyle name="Comma 2 3 4 3 2 2" xfId="27035" xr:uid="{00000000-0005-0000-0000-00009F690000}"/>
    <cellStyle name="Comma 2 3 4 3 2 3" xfId="28963" xr:uid="{00000000-0005-0000-0000-000027710000}"/>
    <cellStyle name="Comma 2 3 4 3 3" xfId="26072" xr:uid="{00000000-0005-0000-0000-0000DC650000}"/>
    <cellStyle name="Comma 2 3 4 3 4" xfId="27999" xr:uid="{00000000-0005-0000-0000-0000636D0000}"/>
    <cellStyle name="Comma 2 3 4 4" xfId="15291" xr:uid="{00000000-0005-0000-0000-0000BF3B0000}"/>
    <cellStyle name="Comma 2 3 4 4 2" xfId="23198" xr:uid="{00000000-0005-0000-0000-0000A25A0000}"/>
    <cellStyle name="Comma 2 3 4 4 2 2" xfId="27208" xr:uid="{00000000-0005-0000-0000-00004C6A0000}"/>
    <cellStyle name="Comma 2 3 4 4 2 3" xfId="29136" xr:uid="{00000000-0005-0000-0000-0000D4710000}"/>
    <cellStyle name="Comma 2 3 4 4 3" xfId="26245" xr:uid="{00000000-0005-0000-0000-000089660000}"/>
    <cellStyle name="Comma 2 3 4 4 4" xfId="28173" xr:uid="{00000000-0005-0000-0000-0000116E0000}"/>
    <cellStyle name="Comma 2 3 4 5" xfId="19597" xr:uid="{00000000-0005-0000-0000-0000914C0000}"/>
    <cellStyle name="Comma 2 3 4 5 2" xfId="26533" xr:uid="{00000000-0005-0000-0000-0000A9670000}"/>
    <cellStyle name="Comma 2 3 4 5 3" xfId="28461" xr:uid="{00000000-0005-0000-0000-0000316F0000}"/>
    <cellStyle name="Comma 2 3 4 6" xfId="25570" xr:uid="{00000000-0005-0000-0000-0000E6630000}"/>
    <cellStyle name="Comma 2 3 4 7" xfId="27497" xr:uid="{00000000-0005-0000-0000-00006D6B0000}"/>
    <cellStyle name="Comma 2 3 5" xfId="4479" xr:uid="{00000000-0005-0000-0000-000083110000}"/>
    <cellStyle name="Comma 2 3 5 2" xfId="8847" xr:uid="{00000000-0005-0000-0000-000093220000}"/>
    <cellStyle name="Comma 2 3 5 2 2" xfId="20934" xr:uid="{00000000-0005-0000-0000-0000CA510000}"/>
    <cellStyle name="Comma 2 3 5 2 2 2" xfId="27036" xr:uid="{00000000-0005-0000-0000-0000A0690000}"/>
    <cellStyle name="Comma 2 3 5 2 2 3" xfId="28964" xr:uid="{00000000-0005-0000-0000-000028710000}"/>
    <cellStyle name="Comma 2 3 5 2 3" xfId="26073" xr:uid="{00000000-0005-0000-0000-0000DD650000}"/>
    <cellStyle name="Comma 2 3 5 2 4" xfId="28000" xr:uid="{00000000-0005-0000-0000-0000646D0000}"/>
    <cellStyle name="Comma 2 3 5 3" xfId="15292" xr:uid="{00000000-0005-0000-0000-0000C03B0000}"/>
    <cellStyle name="Comma 2 3 5 3 2" xfId="23199" xr:uid="{00000000-0005-0000-0000-0000A35A0000}"/>
    <cellStyle name="Comma 2 3 5 3 2 2" xfId="27209" xr:uid="{00000000-0005-0000-0000-00004D6A0000}"/>
    <cellStyle name="Comma 2 3 5 3 2 3" xfId="29137" xr:uid="{00000000-0005-0000-0000-0000D5710000}"/>
    <cellStyle name="Comma 2 3 5 3 3" xfId="26246" xr:uid="{00000000-0005-0000-0000-00008A660000}"/>
    <cellStyle name="Comma 2 3 5 3 4" xfId="28174" xr:uid="{00000000-0005-0000-0000-0000126E0000}"/>
    <cellStyle name="Comma 2 3 5 4" xfId="19598" xr:uid="{00000000-0005-0000-0000-0000924C0000}"/>
    <cellStyle name="Comma 2 3 5 4 2" xfId="26534" xr:uid="{00000000-0005-0000-0000-0000AA670000}"/>
    <cellStyle name="Comma 2 3 5 4 3" xfId="28462" xr:uid="{00000000-0005-0000-0000-0000326F0000}"/>
    <cellStyle name="Comma 2 3 5 5" xfId="25571" xr:uid="{00000000-0005-0000-0000-0000E7630000}"/>
    <cellStyle name="Comma 2 3 5 6" xfId="27498" xr:uid="{00000000-0005-0000-0000-00006E6B0000}"/>
    <cellStyle name="Comma 2 3 6" xfId="4547" xr:uid="{00000000-0005-0000-0000-0000C7110000}"/>
    <cellStyle name="Comma 2 3 6 2" xfId="5745" xr:uid="{00000000-0005-0000-0000-000075160000}"/>
    <cellStyle name="Comma 2 3 6 2 2" xfId="8998" xr:uid="{00000000-0005-0000-0000-00002A230000}"/>
    <cellStyle name="Comma 2 3 6 2 2 2" xfId="21000" xr:uid="{00000000-0005-0000-0000-00000C520000}"/>
    <cellStyle name="Comma 2 3 6 2 2 2 2" xfId="27086" xr:uid="{00000000-0005-0000-0000-0000D2690000}"/>
    <cellStyle name="Comma 2 3 6 2 2 2 3" xfId="29014" xr:uid="{00000000-0005-0000-0000-00005A710000}"/>
    <cellStyle name="Comma 2 3 6 2 2 3" xfId="26123" xr:uid="{00000000-0005-0000-0000-00000F660000}"/>
    <cellStyle name="Comma 2 3 6 2 2 4" xfId="28050" xr:uid="{00000000-0005-0000-0000-0000966D0000}"/>
    <cellStyle name="Comma 2 3 6 2 3" xfId="15573" xr:uid="{00000000-0005-0000-0000-0000D93C0000}"/>
    <cellStyle name="Comma 2 3 6 2 3 2" xfId="23237" xr:uid="{00000000-0005-0000-0000-0000C95A0000}"/>
    <cellStyle name="Comma 2 3 6 2 3 2 2" xfId="27245" xr:uid="{00000000-0005-0000-0000-0000716A0000}"/>
    <cellStyle name="Comma 2 3 6 2 3 2 3" xfId="29173" xr:uid="{00000000-0005-0000-0000-0000F9710000}"/>
    <cellStyle name="Comma 2 3 6 2 3 3" xfId="26282" xr:uid="{00000000-0005-0000-0000-0000AE660000}"/>
    <cellStyle name="Comma 2 3 6 2 3 4" xfId="28210" xr:uid="{00000000-0005-0000-0000-0000366E0000}"/>
    <cellStyle name="Comma 2 3 6 2 4" xfId="19674" xr:uid="{00000000-0005-0000-0000-0000DE4C0000}"/>
    <cellStyle name="Comma 2 3 6 2 4 2" xfId="26572" xr:uid="{00000000-0005-0000-0000-0000D0670000}"/>
    <cellStyle name="Comma 2 3 6 2 4 3" xfId="28500" xr:uid="{00000000-0005-0000-0000-0000586F0000}"/>
    <cellStyle name="Comma 2 3 6 2 5" xfId="25609" xr:uid="{00000000-0005-0000-0000-00000D640000}"/>
    <cellStyle name="Comma 2 3 6 2 6" xfId="27536" xr:uid="{00000000-0005-0000-0000-0000946B0000}"/>
    <cellStyle name="Comma 2 3 6 3" xfId="8997" xr:uid="{00000000-0005-0000-0000-000029230000}"/>
    <cellStyle name="Comma 2 3 6 3 2" xfId="20999" xr:uid="{00000000-0005-0000-0000-00000B520000}"/>
    <cellStyle name="Comma 2 3 6 3 2 2" xfId="27085" xr:uid="{00000000-0005-0000-0000-0000D1690000}"/>
    <cellStyle name="Comma 2 3 6 3 2 3" xfId="29013" xr:uid="{00000000-0005-0000-0000-000059710000}"/>
    <cellStyle name="Comma 2 3 6 3 3" xfId="26122" xr:uid="{00000000-0005-0000-0000-00000E660000}"/>
    <cellStyle name="Comma 2 3 6 3 4" xfId="28049" xr:uid="{00000000-0005-0000-0000-0000956D0000}"/>
    <cellStyle name="Comma 2 3 6 4" xfId="15353" xr:uid="{00000000-0005-0000-0000-0000FD3B0000}"/>
    <cellStyle name="Comma 2 3 6 4 2" xfId="23211" xr:uid="{00000000-0005-0000-0000-0000AF5A0000}"/>
    <cellStyle name="Comma 2 3 6 4 2 2" xfId="27219" xr:uid="{00000000-0005-0000-0000-0000576A0000}"/>
    <cellStyle name="Comma 2 3 6 4 2 3" xfId="29147" xr:uid="{00000000-0005-0000-0000-0000DF710000}"/>
    <cellStyle name="Comma 2 3 6 4 3" xfId="26256" xr:uid="{00000000-0005-0000-0000-000094660000}"/>
    <cellStyle name="Comma 2 3 6 4 4" xfId="28184" xr:uid="{00000000-0005-0000-0000-00001C6E0000}"/>
    <cellStyle name="Comma 2 3 6 5" xfId="19627" xr:uid="{00000000-0005-0000-0000-0000AF4C0000}"/>
    <cellStyle name="Comma 2 3 6 5 2" xfId="26546" xr:uid="{00000000-0005-0000-0000-0000B6670000}"/>
    <cellStyle name="Comma 2 3 6 5 3" xfId="28474" xr:uid="{00000000-0005-0000-0000-00003E6F0000}"/>
    <cellStyle name="Comma 2 3 6 6" xfId="25583" xr:uid="{00000000-0005-0000-0000-0000F3630000}"/>
    <cellStyle name="Comma 2 3 6 7" xfId="27510" xr:uid="{00000000-0005-0000-0000-00007A6B0000}"/>
    <cellStyle name="Comma 2 3 7" xfId="7617" xr:uid="{00000000-0005-0000-0000-0000C51D0000}"/>
    <cellStyle name="Comma 2 3 8" xfId="8839" xr:uid="{00000000-0005-0000-0000-00008B220000}"/>
    <cellStyle name="Comma 2 3 8 2" xfId="17239" xr:uid="{00000000-0005-0000-0000-00005B430000}"/>
    <cellStyle name="Comma 2 3 8 2 2" xfId="23857" xr:uid="{00000000-0005-0000-0000-0000355D0000}"/>
    <cellStyle name="Comma 2 3 8 2 2 2" xfId="27465" xr:uid="{00000000-0005-0000-0000-00004D6B0000}"/>
    <cellStyle name="Comma 2 3 8 2 2 3" xfId="29393" xr:uid="{00000000-0005-0000-0000-0000D5720000}"/>
    <cellStyle name="Comma 2 3 8 2 3" xfId="26502" xr:uid="{00000000-0005-0000-0000-00008A670000}"/>
    <cellStyle name="Comma 2 3 8 2 4" xfId="28430" xr:uid="{00000000-0005-0000-0000-0000126F0000}"/>
    <cellStyle name="Comma 2 3 8 3" xfId="12656" xr:uid="{00000000-0005-0000-0000-000074310000}"/>
    <cellStyle name="Comma 2 3 8 3 2" xfId="23129" xr:uid="{00000000-0005-0000-0000-00005D5A0000}"/>
    <cellStyle name="Comma 2 3 8 3 2 2" xfId="27146" xr:uid="{00000000-0005-0000-0000-00000E6A0000}"/>
    <cellStyle name="Comma 2 3 8 3 2 3" xfId="29074" xr:uid="{00000000-0005-0000-0000-000096710000}"/>
    <cellStyle name="Comma 2 3 8 3 3" xfId="26183" xr:uid="{00000000-0005-0000-0000-00004B660000}"/>
    <cellStyle name="Comma 2 3 8 3 4" xfId="28111" xr:uid="{00000000-0005-0000-0000-0000D36D0000}"/>
    <cellStyle name="Comma 2 3 8 4" xfId="20926" xr:uid="{00000000-0005-0000-0000-0000C2510000}"/>
    <cellStyle name="Comma 2 3 8 4 2" xfId="27028" xr:uid="{00000000-0005-0000-0000-000098690000}"/>
    <cellStyle name="Comma 2 3 8 4 3" xfId="28956" xr:uid="{00000000-0005-0000-0000-000020710000}"/>
    <cellStyle name="Comma 2 3 8 5" xfId="26065" xr:uid="{00000000-0005-0000-0000-0000D5650000}"/>
    <cellStyle name="Comma 2 3 8 6" xfId="27992" xr:uid="{00000000-0005-0000-0000-00005C6D0000}"/>
    <cellStyle name="Comma 2 3 9" xfId="19590" xr:uid="{00000000-0005-0000-0000-00008A4C0000}"/>
    <cellStyle name="Comma 2 3 9 2" xfId="26526" xr:uid="{00000000-0005-0000-0000-0000A2670000}"/>
    <cellStyle name="Comma 2 3 9 3" xfId="28454" xr:uid="{00000000-0005-0000-0000-00002A6F0000}"/>
    <cellStyle name="Comma 2 4" xfId="740" xr:uid="{00000000-0005-0000-0000-0000E8020000}"/>
    <cellStyle name="Comma 2 4 10" xfId="25572" xr:uid="{00000000-0005-0000-0000-0000E8630000}"/>
    <cellStyle name="Comma 2 4 11" xfId="27499" xr:uid="{00000000-0005-0000-0000-00006F6B0000}"/>
    <cellStyle name="Comma 2 4 12" xfId="4480" xr:uid="{00000000-0005-0000-0000-000084110000}"/>
    <cellStyle name="Comma 2 4 2" xfId="2010" xr:uid="{00000000-0005-0000-0000-0000DE070000}"/>
    <cellStyle name="Comma 2 4 2 2" xfId="8849" xr:uid="{00000000-0005-0000-0000-000095220000}"/>
    <cellStyle name="Comma 2 4 2 2 2" xfId="17241" xr:uid="{00000000-0005-0000-0000-00005D430000}"/>
    <cellStyle name="Comma 2 4 2 2 2 2" xfId="23859" xr:uid="{00000000-0005-0000-0000-0000375D0000}"/>
    <cellStyle name="Comma 2 4 2 2 2 2 2" xfId="27467" xr:uid="{00000000-0005-0000-0000-00004F6B0000}"/>
    <cellStyle name="Comma 2 4 2 2 2 2 3" xfId="29395" xr:uid="{00000000-0005-0000-0000-0000D7720000}"/>
    <cellStyle name="Comma 2 4 2 2 2 3" xfId="26504" xr:uid="{00000000-0005-0000-0000-00008C670000}"/>
    <cellStyle name="Comma 2 4 2 2 2 4" xfId="28432" xr:uid="{00000000-0005-0000-0000-0000146F0000}"/>
    <cellStyle name="Comma 2 4 2 2 3" xfId="12659" xr:uid="{00000000-0005-0000-0000-000077310000}"/>
    <cellStyle name="Comma 2 4 2 2 4" xfId="20936" xr:uid="{00000000-0005-0000-0000-0000CC510000}"/>
    <cellStyle name="Comma 2 4 2 2 4 2" xfId="27038" xr:uid="{00000000-0005-0000-0000-0000A2690000}"/>
    <cellStyle name="Comma 2 4 2 2 4 3" xfId="28966" xr:uid="{00000000-0005-0000-0000-00002A710000}"/>
    <cellStyle name="Comma 2 4 2 2 5" xfId="26075" xr:uid="{00000000-0005-0000-0000-0000DF650000}"/>
    <cellStyle name="Comma 2 4 2 2 6" xfId="28002" xr:uid="{00000000-0005-0000-0000-0000666D0000}"/>
    <cellStyle name="Comma 2 4 2 3" xfId="15293" xr:uid="{00000000-0005-0000-0000-0000C13B0000}"/>
    <cellStyle name="Comma 2 4 2 3 2" xfId="23200" xr:uid="{00000000-0005-0000-0000-0000A45A0000}"/>
    <cellStyle name="Comma 2 4 2 3 2 2" xfId="27210" xr:uid="{00000000-0005-0000-0000-00004E6A0000}"/>
    <cellStyle name="Comma 2 4 2 3 2 3" xfId="29138" xr:uid="{00000000-0005-0000-0000-0000D6710000}"/>
    <cellStyle name="Comma 2 4 2 3 3" xfId="26247" xr:uid="{00000000-0005-0000-0000-00008B660000}"/>
    <cellStyle name="Comma 2 4 2 3 4" xfId="28175" xr:uid="{00000000-0005-0000-0000-0000136E0000}"/>
    <cellStyle name="Comma 2 4 2 4" xfId="19600" xr:uid="{00000000-0005-0000-0000-0000944C0000}"/>
    <cellStyle name="Comma 2 4 2 4 2" xfId="26536" xr:uid="{00000000-0005-0000-0000-0000AC670000}"/>
    <cellStyle name="Comma 2 4 2 4 3" xfId="28464" xr:uid="{00000000-0005-0000-0000-0000346F0000}"/>
    <cellStyle name="Comma 2 4 2 5" xfId="25573" xr:uid="{00000000-0005-0000-0000-0000E9630000}"/>
    <cellStyle name="Comma 2 4 2 6" xfId="27500" xr:uid="{00000000-0005-0000-0000-0000706B0000}"/>
    <cellStyle name="Comma 2 4 2 7" xfId="4481" xr:uid="{00000000-0005-0000-0000-000085110000}"/>
    <cellStyle name="Comma 2 4 3" xfId="4482" xr:uid="{00000000-0005-0000-0000-000086110000}"/>
    <cellStyle name="Comma 2 4 3 2" xfId="8850" xr:uid="{00000000-0005-0000-0000-000096220000}"/>
    <cellStyle name="Comma 2 4 3 2 2" xfId="17242" xr:uid="{00000000-0005-0000-0000-00005E430000}"/>
    <cellStyle name="Comma 2 4 3 2 2 2" xfId="23860" xr:uid="{00000000-0005-0000-0000-0000385D0000}"/>
    <cellStyle name="Comma 2 4 3 2 2 2 2" xfId="27468" xr:uid="{00000000-0005-0000-0000-0000506B0000}"/>
    <cellStyle name="Comma 2 4 3 2 2 2 3" xfId="29396" xr:uid="{00000000-0005-0000-0000-0000D8720000}"/>
    <cellStyle name="Comma 2 4 3 2 2 3" xfId="26505" xr:uid="{00000000-0005-0000-0000-00008D670000}"/>
    <cellStyle name="Comma 2 4 3 2 2 4" xfId="28433" xr:uid="{00000000-0005-0000-0000-0000156F0000}"/>
    <cellStyle name="Comma 2 4 3 2 3" xfId="12660" xr:uid="{00000000-0005-0000-0000-000078310000}"/>
    <cellStyle name="Comma 2 4 3 2 3 2" xfId="23131" xr:uid="{00000000-0005-0000-0000-00005F5A0000}"/>
    <cellStyle name="Comma 2 4 3 2 3 2 2" xfId="27148" xr:uid="{00000000-0005-0000-0000-0000106A0000}"/>
    <cellStyle name="Comma 2 4 3 2 3 2 3" xfId="29076" xr:uid="{00000000-0005-0000-0000-000098710000}"/>
    <cellStyle name="Comma 2 4 3 2 3 3" xfId="26185" xr:uid="{00000000-0005-0000-0000-00004D660000}"/>
    <cellStyle name="Comma 2 4 3 2 3 4" xfId="28113" xr:uid="{00000000-0005-0000-0000-0000D56D0000}"/>
    <cellStyle name="Comma 2 4 3 2 4" xfId="20937" xr:uid="{00000000-0005-0000-0000-0000CD510000}"/>
    <cellStyle name="Comma 2 4 3 2 4 2" xfId="27039" xr:uid="{00000000-0005-0000-0000-0000A3690000}"/>
    <cellStyle name="Comma 2 4 3 2 4 3" xfId="28967" xr:uid="{00000000-0005-0000-0000-00002B710000}"/>
    <cellStyle name="Comma 2 4 3 2 5" xfId="26076" xr:uid="{00000000-0005-0000-0000-0000E0650000}"/>
    <cellStyle name="Comma 2 4 3 2 6" xfId="28003" xr:uid="{00000000-0005-0000-0000-0000676D0000}"/>
    <cellStyle name="Comma 2 4 3 3" xfId="19601" xr:uid="{00000000-0005-0000-0000-0000954C0000}"/>
    <cellStyle name="Comma 2 4 3 3 2" xfId="26537" xr:uid="{00000000-0005-0000-0000-0000AD670000}"/>
    <cellStyle name="Comma 2 4 3 3 3" xfId="28465" xr:uid="{00000000-0005-0000-0000-0000356F0000}"/>
    <cellStyle name="Comma 2 4 3 4" xfId="25574" xr:uid="{00000000-0005-0000-0000-0000EA630000}"/>
    <cellStyle name="Comma 2 4 3 5" xfId="27501" xr:uid="{00000000-0005-0000-0000-0000716B0000}"/>
    <cellStyle name="Comma 2 4 4" xfId="4550" xr:uid="{00000000-0005-0000-0000-0000CA110000}"/>
    <cellStyle name="Comma 2 4 4 2" xfId="5747" xr:uid="{00000000-0005-0000-0000-000077160000}"/>
    <cellStyle name="Comma 2 4 4 2 2" xfId="9000" xr:uid="{00000000-0005-0000-0000-00002C230000}"/>
    <cellStyle name="Comma 2 4 4 2 2 2" xfId="21002" xr:uid="{00000000-0005-0000-0000-00000E520000}"/>
    <cellStyle name="Comma 2 4 4 2 2 2 2" xfId="27088" xr:uid="{00000000-0005-0000-0000-0000D4690000}"/>
    <cellStyle name="Comma 2 4 4 2 2 2 3" xfId="29016" xr:uid="{00000000-0005-0000-0000-00005C710000}"/>
    <cellStyle name="Comma 2 4 4 2 2 3" xfId="26125" xr:uid="{00000000-0005-0000-0000-000011660000}"/>
    <cellStyle name="Comma 2 4 4 2 2 4" xfId="28052" xr:uid="{00000000-0005-0000-0000-0000986D0000}"/>
    <cellStyle name="Comma 2 4 4 2 3" xfId="15575" xr:uid="{00000000-0005-0000-0000-0000DB3C0000}"/>
    <cellStyle name="Comma 2 4 4 2 3 2" xfId="23239" xr:uid="{00000000-0005-0000-0000-0000CB5A0000}"/>
    <cellStyle name="Comma 2 4 4 2 3 2 2" xfId="27247" xr:uid="{00000000-0005-0000-0000-0000736A0000}"/>
    <cellStyle name="Comma 2 4 4 2 3 2 3" xfId="29175" xr:uid="{00000000-0005-0000-0000-0000FB710000}"/>
    <cellStyle name="Comma 2 4 4 2 3 3" xfId="26284" xr:uid="{00000000-0005-0000-0000-0000B0660000}"/>
    <cellStyle name="Comma 2 4 4 2 3 4" xfId="28212" xr:uid="{00000000-0005-0000-0000-0000386E0000}"/>
    <cellStyle name="Comma 2 4 4 2 4" xfId="19676" xr:uid="{00000000-0005-0000-0000-0000E04C0000}"/>
    <cellStyle name="Comma 2 4 4 2 4 2" xfId="26574" xr:uid="{00000000-0005-0000-0000-0000D2670000}"/>
    <cellStyle name="Comma 2 4 4 2 4 3" xfId="28502" xr:uid="{00000000-0005-0000-0000-00005A6F0000}"/>
    <cellStyle name="Comma 2 4 4 2 5" xfId="25611" xr:uid="{00000000-0005-0000-0000-00000F640000}"/>
    <cellStyle name="Comma 2 4 4 2 6" xfId="27538" xr:uid="{00000000-0005-0000-0000-0000966B0000}"/>
    <cellStyle name="Comma 2 4 4 3" xfId="5748" xr:uid="{00000000-0005-0000-0000-000078160000}"/>
    <cellStyle name="Comma 2 4 4 3 2" xfId="9001" xr:uid="{00000000-0005-0000-0000-00002D230000}"/>
    <cellStyle name="Comma 2 4 4 3 2 2" xfId="21003" xr:uid="{00000000-0005-0000-0000-00000F520000}"/>
    <cellStyle name="Comma 2 4 4 3 2 2 2" xfId="27089" xr:uid="{00000000-0005-0000-0000-0000D5690000}"/>
    <cellStyle name="Comma 2 4 4 3 2 2 3" xfId="29017" xr:uid="{00000000-0005-0000-0000-00005D710000}"/>
    <cellStyle name="Comma 2 4 4 3 2 3" xfId="26126" xr:uid="{00000000-0005-0000-0000-000012660000}"/>
    <cellStyle name="Comma 2 4 4 3 2 4" xfId="28053" xr:uid="{00000000-0005-0000-0000-0000996D0000}"/>
    <cellStyle name="Comma 2 4 4 3 3" xfId="15576" xr:uid="{00000000-0005-0000-0000-0000DC3C0000}"/>
    <cellStyle name="Comma 2 4 4 3 3 2" xfId="23240" xr:uid="{00000000-0005-0000-0000-0000CC5A0000}"/>
    <cellStyle name="Comma 2 4 4 3 3 2 2" xfId="27248" xr:uid="{00000000-0005-0000-0000-0000746A0000}"/>
    <cellStyle name="Comma 2 4 4 3 3 2 3" xfId="29176" xr:uid="{00000000-0005-0000-0000-0000FC710000}"/>
    <cellStyle name="Comma 2 4 4 3 3 3" xfId="26285" xr:uid="{00000000-0005-0000-0000-0000B1660000}"/>
    <cellStyle name="Comma 2 4 4 3 3 4" xfId="28213" xr:uid="{00000000-0005-0000-0000-0000396E0000}"/>
    <cellStyle name="Comma 2 4 4 3 4" xfId="19677" xr:uid="{00000000-0005-0000-0000-0000E14C0000}"/>
    <cellStyle name="Comma 2 4 4 3 4 2" xfId="26575" xr:uid="{00000000-0005-0000-0000-0000D3670000}"/>
    <cellStyle name="Comma 2 4 4 3 4 3" xfId="28503" xr:uid="{00000000-0005-0000-0000-00005B6F0000}"/>
    <cellStyle name="Comma 2 4 4 3 5" xfId="25612" xr:uid="{00000000-0005-0000-0000-000010640000}"/>
    <cellStyle name="Comma 2 4 4 3 6" xfId="27539" xr:uid="{00000000-0005-0000-0000-0000976B0000}"/>
    <cellStyle name="Comma 2 4 4 4" xfId="5746" xr:uid="{00000000-0005-0000-0000-000076160000}"/>
    <cellStyle name="Comma 2 4 4 4 2" xfId="9002" xr:uid="{00000000-0005-0000-0000-00002E230000}"/>
    <cellStyle name="Comma 2 4 4 4 2 2" xfId="21004" xr:uid="{00000000-0005-0000-0000-000010520000}"/>
    <cellStyle name="Comma 2 4 4 4 2 2 2" xfId="27090" xr:uid="{00000000-0005-0000-0000-0000D6690000}"/>
    <cellStyle name="Comma 2 4 4 4 2 2 3" xfId="29018" xr:uid="{00000000-0005-0000-0000-00005E710000}"/>
    <cellStyle name="Comma 2 4 4 4 2 3" xfId="26127" xr:uid="{00000000-0005-0000-0000-000013660000}"/>
    <cellStyle name="Comma 2 4 4 4 2 4" xfId="28054" xr:uid="{00000000-0005-0000-0000-00009A6D0000}"/>
    <cellStyle name="Comma 2 4 4 4 3" xfId="15574" xr:uid="{00000000-0005-0000-0000-0000DA3C0000}"/>
    <cellStyle name="Comma 2 4 4 4 3 2" xfId="23238" xr:uid="{00000000-0005-0000-0000-0000CA5A0000}"/>
    <cellStyle name="Comma 2 4 4 4 3 2 2" xfId="27246" xr:uid="{00000000-0005-0000-0000-0000726A0000}"/>
    <cellStyle name="Comma 2 4 4 4 3 2 3" xfId="29174" xr:uid="{00000000-0005-0000-0000-0000FA710000}"/>
    <cellStyle name="Comma 2 4 4 4 3 3" xfId="26283" xr:uid="{00000000-0005-0000-0000-0000AF660000}"/>
    <cellStyle name="Comma 2 4 4 4 3 4" xfId="28211" xr:uid="{00000000-0005-0000-0000-0000376E0000}"/>
    <cellStyle name="Comma 2 4 4 4 4" xfId="19675" xr:uid="{00000000-0005-0000-0000-0000DF4C0000}"/>
    <cellStyle name="Comma 2 4 4 4 4 2" xfId="26573" xr:uid="{00000000-0005-0000-0000-0000D1670000}"/>
    <cellStyle name="Comma 2 4 4 4 4 3" xfId="28501" xr:uid="{00000000-0005-0000-0000-0000596F0000}"/>
    <cellStyle name="Comma 2 4 4 4 5" xfId="25610" xr:uid="{00000000-0005-0000-0000-00000E640000}"/>
    <cellStyle name="Comma 2 4 4 4 6" xfId="27537" xr:uid="{00000000-0005-0000-0000-0000956B0000}"/>
    <cellStyle name="Comma 2 4 4 5" xfId="8999" xr:uid="{00000000-0005-0000-0000-00002B230000}"/>
    <cellStyle name="Comma 2 4 4 5 2" xfId="21001" xr:uid="{00000000-0005-0000-0000-00000D520000}"/>
    <cellStyle name="Comma 2 4 4 5 2 2" xfId="27087" xr:uid="{00000000-0005-0000-0000-0000D3690000}"/>
    <cellStyle name="Comma 2 4 4 5 2 3" xfId="29015" xr:uid="{00000000-0005-0000-0000-00005B710000}"/>
    <cellStyle name="Comma 2 4 4 5 3" xfId="26124" xr:uid="{00000000-0005-0000-0000-000010660000}"/>
    <cellStyle name="Comma 2 4 4 5 4" xfId="28051" xr:uid="{00000000-0005-0000-0000-0000976D0000}"/>
    <cellStyle name="Comma 2 4 4 6" xfId="15356" xr:uid="{00000000-0005-0000-0000-0000003C0000}"/>
    <cellStyle name="Comma 2 4 4 6 2" xfId="23214" xr:uid="{00000000-0005-0000-0000-0000B25A0000}"/>
    <cellStyle name="Comma 2 4 4 6 2 2" xfId="27222" xr:uid="{00000000-0005-0000-0000-00005A6A0000}"/>
    <cellStyle name="Comma 2 4 4 6 2 3" xfId="29150" xr:uid="{00000000-0005-0000-0000-0000E2710000}"/>
    <cellStyle name="Comma 2 4 4 6 3" xfId="26259" xr:uid="{00000000-0005-0000-0000-000097660000}"/>
    <cellStyle name="Comma 2 4 4 6 4" xfId="28187" xr:uid="{00000000-0005-0000-0000-00001F6E0000}"/>
    <cellStyle name="Comma 2 4 4 7" xfId="19630" xr:uid="{00000000-0005-0000-0000-0000B24C0000}"/>
    <cellStyle name="Comma 2 4 4 7 2" xfId="26549" xr:uid="{00000000-0005-0000-0000-0000B9670000}"/>
    <cellStyle name="Comma 2 4 4 7 3" xfId="28477" xr:uid="{00000000-0005-0000-0000-0000416F0000}"/>
    <cellStyle name="Comma 2 4 4 8" xfId="25586" xr:uid="{00000000-0005-0000-0000-0000F6630000}"/>
    <cellStyle name="Comma 2 4 4 9" xfId="27513" xr:uid="{00000000-0005-0000-0000-00007D6B0000}"/>
    <cellStyle name="Comma 2 4 5" xfId="5749" xr:uid="{00000000-0005-0000-0000-000079160000}"/>
    <cellStyle name="Comma 2 4 5 2" xfId="9003" xr:uid="{00000000-0005-0000-0000-00002F230000}"/>
    <cellStyle name="Comma 2 4 5 2 2" xfId="21005" xr:uid="{00000000-0005-0000-0000-000011520000}"/>
    <cellStyle name="Comma 2 4 5 2 2 2" xfId="27091" xr:uid="{00000000-0005-0000-0000-0000D7690000}"/>
    <cellStyle name="Comma 2 4 5 2 2 3" xfId="29019" xr:uid="{00000000-0005-0000-0000-00005F710000}"/>
    <cellStyle name="Comma 2 4 5 2 3" xfId="26128" xr:uid="{00000000-0005-0000-0000-000014660000}"/>
    <cellStyle name="Comma 2 4 5 2 4" xfId="28055" xr:uid="{00000000-0005-0000-0000-00009B6D0000}"/>
    <cellStyle name="Comma 2 4 5 3" xfId="15577" xr:uid="{00000000-0005-0000-0000-0000DD3C0000}"/>
    <cellStyle name="Comma 2 4 5 3 2" xfId="23241" xr:uid="{00000000-0005-0000-0000-0000CD5A0000}"/>
    <cellStyle name="Comma 2 4 5 3 2 2" xfId="27249" xr:uid="{00000000-0005-0000-0000-0000756A0000}"/>
    <cellStyle name="Comma 2 4 5 3 2 3" xfId="29177" xr:uid="{00000000-0005-0000-0000-0000FD710000}"/>
    <cellStyle name="Comma 2 4 5 3 3" xfId="26286" xr:uid="{00000000-0005-0000-0000-0000B2660000}"/>
    <cellStyle name="Comma 2 4 5 3 4" xfId="28214" xr:uid="{00000000-0005-0000-0000-00003A6E0000}"/>
    <cellStyle name="Comma 2 4 5 4" xfId="19678" xr:uid="{00000000-0005-0000-0000-0000E24C0000}"/>
    <cellStyle name="Comma 2 4 5 4 2" xfId="26576" xr:uid="{00000000-0005-0000-0000-0000D4670000}"/>
    <cellStyle name="Comma 2 4 5 4 3" xfId="28504" xr:uid="{00000000-0005-0000-0000-00005C6F0000}"/>
    <cellStyle name="Comma 2 4 5 5" xfId="25613" xr:uid="{00000000-0005-0000-0000-000011640000}"/>
    <cellStyle name="Comma 2 4 5 6" xfId="27540" xr:uid="{00000000-0005-0000-0000-0000986B0000}"/>
    <cellStyle name="Comma 2 4 6" xfId="7618" xr:uid="{00000000-0005-0000-0000-0000C61D0000}"/>
    <cellStyle name="Comma 2 4 7" xfId="8848" xr:uid="{00000000-0005-0000-0000-000094220000}"/>
    <cellStyle name="Comma 2 4 7 2" xfId="20935" xr:uid="{00000000-0005-0000-0000-0000CB510000}"/>
    <cellStyle name="Comma 2 4 7 2 2" xfId="27037" xr:uid="{00000000-0005-0000-0000-0000A1690000}"/>
    <cellStyle name="Comma 2 4 7 2 3" xfId="28965" xr:uid="{00000000-0005-0000-0000-000029710000}"/>
    <cellStyle name="Comma 2 4 7 3" xfId="26074" xr:uid="{00000000-0005-0000-0000-0000DE650000}"/>
    <cellStyle name="Comma 2 4 7 4" xfId="28001" xr:uid="{00000000-0005-0000-0000-0000656D0000}"/>
    <cellStyle name="Comma 2 4 8" xfId="12658" xr:uid="{00000000-0005-0000-0000-000076310000}"/>
    <cellStyle name="Comma 2 4 8 2" xfId="23130" xr:uid="{00000000-0005-0000-0000-00005E5A0000}"/>
    <cellStyle name="Comma 2 4 8 2 2" xfId="27147" xr:uid="{00000000-0005-0000-0000-00000F6A0000}"/>
    <cellStyle name="Comma 2 4 8 2 3" xfId="29075" xr:uid="{00000000-0005-0000-0000-000097710000}"/>
    <cellStyle name="Comma 2 4 8 3" xfId="26184" xr:uid="{00000000-0005-0000-0000-00004C660000}"/>
    <cellStyle name="Comma 2 4 8 4" xfId="28112" xr:uid="{00000000-0005-0000-0000-0000D46D0000}"/>
    <cellStyle name="Comma 2 4 9" xfId="19599" xr:uid="{00000000-0005-0000-0000-0000934C0000}"/>
    <cellStyle name="Comma 2 4 9 2" xfId="26535" xr:uid="{00000000-0005-0000-0000-0000AB670000}"/>
    <cellStyle name="Comma 2 4 9 3" xfId="28463" xr:uid="{00000000-0005-0000-0000-0000336F0000}"/>
    <cellStyle name="Comma 2 5" xfId="741" xr:uid="{00000000-0005-0000-0000-0000E9020000}"/>
    <cellStyle name="Comma 2 5 10" xfId="27502" xr:uid="{00000000-0005-0000-0000-0000726B0000}"/>
    <cellStyle name="Comma 2 5 11" xfId="4483" xr:uid="{00000000-0005-0000-0000-000087110000}"/>
    <cellStyle name="Comma 2 5 2" xfId="2011" xr:uid="{00000000-0005-0000-0000-0000DF070000}"/>
    <cellStyle name="Comma 2 5 2 2" xfId="8852" xr:uid="{00000000-0005-0000-0000-000098220000}"/>
    <cellStyle name="Comma 2 5 2 2 2" xfId="20939" xr:uid="{00000000-0005-0000-0000-0000CF510000}"/>
    <cellStyle name="Comma 2 5 2 2 2 2" xfId="27041" xr:uid="{00000000-0005-0000-0000-0000A5690000}"/>
    <cellStyle name="Comma 2 5 2 2 2 3" xfId="28969" xr:uid="{00000000-0005-0000-0000-00002D710000}"/>
    <cellStyle name="Comma 2 5 2 2 3" xfId="26078" xr:uid="{00000000-0005-0000-0000-0000E2650000}"/>
    <cellStyle name="Comma 2 5 2 2 4" xfId="28005" xr:uid="{00000000-0005-0000-0000-0000696D0000}"/>
    <cellStyle name="Comma 2 5 2 3" xfId="15295" xr:uid="{00000000-0005-0000-0000-0000C33B0000}"/>
    <cellStyle name="Comma 2 5 2 3 2" xfId="23202" xr:uid="{00000000-0005-0000-0000-0000A65A0000}"/>
    <cellStyle name="Comma 2 5 2 3 2 2" xfId="27212" xr:uid="{00000000-0005-0000-0000-0000506A0000}"/>
    <cellStyle name="Comma 2 5 2 3 2 3" xfId="29140" xr:uid="{00000000-0005-0000-0000-0000D8710000}"/>
    <cellStyle name="Comma 2 5 2 3 3" xfId="26249" xr:uid="{00000000-0005-0000-0000-00008D660000}"/>
    <cellStyle name="Comma 2 5 2 3 4" xfId="28177" xr:uid="{00000000-0005-0000-0000-0000156E0000}"/>
    <cellStyle name="Comma 2 5 2 4" xfId="19603" xr:uid="{00000000-0005-0000-0000-0000974C0000}"/>
    <cellStyle name="Comma 2 5 2 4 2" xfId="26539" xr:uid="{00000000-0005-0000-0000-0000AF670000}"/>
    <cellStyle name="Comma 2 5 2 4 3" xfId="28467" xr:uid="{00000000-0005-0000-0000-0000376F0000}"/>
    <cellStyle name="Comma 2 5 2 5" xfId="25576" xr:uid="{00000000-0005-0000-0000-0000EC630000}"/>
    <cellStyle name="Comma 2 5 2 6" xfId="27503" xr:uid="{00000000-0005-0000-0000-0000736B0000}"/>
    <cellStyle name="Comma 2 5 2 7" xfId="4484" xr:uid="{00000000-0005-0000-0000-000088110000}"/>
    <cellStyle name="Comma 2 5 3" xfId="4485" xr:uid="{00000000-0005-0000-0000-000089110000}"/>
    <cellStyle name="Comma 2 5 3 2" xfId="8853" xr:uid="{00000000-0005-0000-0000-000099220000}"/>
    <cellStyle name="Comma 2 5 3 2 2" xfId="20940" xr:uid="{00000000-0005-0000-0000-0000D0510000}"/>
    <cellStyle name="Comma 2 5 3 2 2 2" xfId="27042" xr:uid="{00000000-0005-0000-0000-0000A6690000}"/>
    <cellStyle name="Comma 2 5 3 2 2 3" xfId="28970" xr:uid="{00000000-0005-0000-0000-00002E710000}"/>
    <cellStyle name="Comma 2 5 3 2 3" xfId="26079" xr:uid="{00000000-0005-0000-0000-0000E3650000}"/>
    <cellStyle name="Comma 2 5 3 2 4" xfId="28006" xr:uid="{00000000-0005-0000-0000-00006A6D0000}"/>
    <cellStyle name="Comma 2 5 3 3" xfId="15296" xr:uid="{00000000-0005-0000-0000-0000C43B0000}"/>
    <cellStyle name="Comma 2 5 3 3 2" xfId="23203" xr:uid="{00000000-0005-0000-0000-0000A75A0000}"/>
    <cellStyle name="Comma 2 5 3 3 2 2" xfId="27213" xr:uid="{00000000-0005-0000-0000-0000516A0000}"/>
    <cellStyle name="Comma 2 5 3 3 2 3" xfId="29141" xr:uid="{00000000-0005-0000-0000-0000D9710000}"/>
    <cellStyle name="Comma 2 5 3 3 3" xfId="26250" xr:uid="{00000000-0005-0000-0000-00008E660000}"/>
    <cellStyle name="Comma 2 5 3 3 4" xfId="28178" xr:uid="{00000000-0005-0000-0000-0000166E0000}"/>
    <cellStyle name="Comma 2 5 3 4" xfId="19604" xr:uid="{00000000-0005-0000-0000-0000984C0000}"/>
    <cellStyle name="Comma 2 5 3 4 2" xfId="26540" xr:uid="{00000000-0005-0000-0000-0000B0670000}"/>
    <cellStyle name="Comma 2 5 3 4 3" xfId="28468" xr:uid="{00000000-0005-0000-0000-0000386F0000}"/>
    <cellStyle name="Comma 2 5 3 5" xfId="25577" xr:uid="{00000000-0005-0000-0000-0000ED630000}"/>
    <cellStyle name="Comma 2 5 3 6" xfId="27504" xr:uid="{00000000-0005-0000-0000-0000746B0000}"/>
    <cellStyle name="Comma 2 5 4" xfId="4551" xr:uid="{00000000-0005-0000-0000-0000CB110000}"/>
    <cellStyle name="Comma 2 5 4 2" xfId="5750" xr:uid="{00000000-0005-0000-0000-00007A160000}"/>
    <cellStyle name="Comma 2 5 4 2 2" xfId="9005" xr:uid="{00000000-0005-0000-0000-000031230000}"/>
    <cellStyle name="Comma 2 5 4 2 2 2" xfId="21007" xr:uid="{00000000-0005-0000-0000-000013520000}"/>
    <cellStyle name="Comma 2 5 4 2 2 2 2" xfId="27093" xr:uid="{00000000-0005-0000-0000-0000D9690000}"/>
    <cellStyle name="Comma 2 5 4 2 2 2 3" xfId="29021" xr:uid="{00000000-0005-0000-0000-000061710000}"/>
    <cellStyle name="Comma 2 5 4 2 2 3" xfId="26130" xr:uid="{00000000-0005-0000-0000-000016660000}"/>
    <cellStyle name="Comma 2 5 4 2 2 4" xfId="28057" xr:uid="{00000000-0005-0000-0000-00009D6D0000}"/>
    <cellStyle name="Comma 2 5 4 2 3" xfId="15578" xr:uid="{00000000-0005-0000-0000-0000DE3C0000}"/>
    <cellStyle name="Comma 2 5 4 2 3 2" xfId="23242" xr:uid="{00000000-0005-0000-0000-0000CE5A0000}"/>
    <cellStyle name="Comma 2 5 4 2 3 2 2" xfId="27250" xr:uid="{00000000-0005-0000-0000-0000766A0000}"/>
    <cellStyle name="Comma 2 5 4 2 3 2 3" xfId="29178" xr:uid="{00000000-0005-0000-0000-0000FE710000}"/>
    <cellStyle name="Comma 2 5 4 2 3 3" xfId="26287" xr:uid="{00000000-0005-0000-0000-0000B3660000}"/>
    <cellStyle name="Comma 2 5 4 2 3 4" xfId="28215" xr:uid="{00000000-0005-0000-0000-00003B6E0000}"/>
    <cellStyle name="Comma 2 5 4 2 4" xfId="19679" xr:uid="{00000000-0005-0000-0000-0000E34C0000}"/>
    <cellStyle name="Comma 2 5 4 2 4 2" xfId="26577" xr:uid="{00000000-0005-0000-0000-0000D5670000}"/>
    <cellStyle name="Comma 2 5 4 2 4 3" xfId="28505" xr:uid="{00000000-0005-0000-0000-00005D6F0000}"/>
    <cellStyle name="Comma 2 5 4 2 5" xfId="25614" xr:uid="{00000000-0005-0000-0000-000012640000}"/>
    <cellStyle name="Comma 2 5 4 2 6" xfId="27541" xr:uid="{00000000-0005-0000-0000-0000996B0000}"/>
    <cellStyle name="Comma 2 5 4 3" xfId="9004" xr:uid="{00000000-0005-0000-0000-000030230000}"/>
    <cellStyle name="Comma 2 5 4 3 2" xfId="21006" xr:uid="{00000000-0005-0000-0000-000012520000}"/>
    <cellStyle name="Comma 2 5 4 3 2 2" xfId="27092" xr:uid="{00000000-0005-0000-0000-0000D8690000}"/>
    <cellStyle name="Comma 2 5 4 3 2 3" xfId="29020" xr:uid="{00000000-0005-0000-0000-000060710000}"/>
    <cellStyle name="Comma 2 5 4 3 3" xfId="26129" xr:uid="{00000000-0005-0000-0000-000015660000}"/>
    <cellStyle name="Comma 2 5 4 3 4" xfId="28056" xr:uid="{00000000-0005-0000-0000-00009C6D0000}"/>
    <cellStyle name="Comma 2 5 4 4" xfId="15357" xr:uid="{00000000-0005-0000-0000-0000013C0000}"/>
    <cellStyle name="Comma 2 5 4 4 2" xfId="23215" xr:uid="{00000000-0005-0000-0000-0000B35A0000}"/>
    <cellStyle name="Comma 2 5 4 4 2 2" xfId="27223" xr:uid="{00000000-0005-0000-0000-00005B6A0000}"/>
    <cellStyle name="Comma 2 5 4 4 2 3" xfId="29151" xr:uid="{00000000-0005-0000-0000-0000E3710000}"/>
    <cellStyle name="Comma 2 5 4 4 3" xfId="26260" xr:uid="{00000000-0005-0000-0000-000098660000}"/>
    <cellStyle name="Comma 2 5 4 4 4" xfId="28188" xr:uid="{00000000-0005-0000-0000-0000206E0000}"/>
    <cellStyle name="Comma 2 5 4 5" xfId="19631" xr:uid="{00000000-0005-0000-0000-0000B34C0000}"/>
    <cellStyle name="Comma 2 5 4 5 2" xfId="26550" xr:uid="{00000000-0005-0000-0000-0000BA670000}"/>
    <cellStyle name="Comma 2 5 4 5 3" xfId="28478" xr:uid="{00000000-0005-0000-0000-0000426F0000}"/>
    <cellStyle name="Comma 2 5 4 6" xfId="25587" xr:uid="{00000000-0005-0000-0000-0000F7630000}"/>
    <cellStyle name="Comma 2 5 4 7" xfId="27514" xr:uid="{00000000-0005-0000-0000-00007E6B0000}"/>
    <cellStyle name="Comma 2 5 5" xfId="7619" xr:uid="{00000000-0005-0000-0000-0000C71D0000}"/>
    <cellStyle name="Comma 2 5 6" xfId="8851" xr:uid="{00000000-0005-0000-0000-000097220000}"/>
    <cellStyle name="Comma 2 5 6 2" xfId="20938" xr:uid="{00000000-0005-0000-0000-0000CE510000}"/>
    <cellStyle name="Comma 2 5 6 2 2" xfId="27040" xr:uid="{00000000-0005-0000-0000-0000A4690000}"/>
    <cellStyle name="Comma 2 5 6 2 3" xfId="28968" xr:uid="{00000000-0005-0000-0000-00002C710000}"/>
    <cellStyle name="Comma 2 5 6 3" xfId="26077" xr:uid="{00000000-0005-0000-0000-0000E1650000}"/>
    <cellStyle name="Comma 2 5 6 4" xfId="28004" xr:uid="{00000000-0005-0000-0000-0000686D0000}"/>
    <cellStyle name="Comma 2 5 7" xfId="15294" xr:uid="{00000000-0005-0000-0000-0000C23B0000}"/>
    <cellStyle name="Comma 2 5 7 2" xfId="23201" xr:uid="{00000000-0005-0000-0000-0000A55A0000}"/>
    <cellStyle name="Comma 2 5 7 2 2" xfId="27211" xr:uid="{00000000-0005-0000-0000-00004F6A0000}"/>
    <cellStyle name="Comma 2 5 7 2 3" xfId="29139" xr:uid="{00000000-0005-0000-0000-0000D7710000}"/>
    <cellStyle name="Comma 2 5 7 3" xfId="26248" xr:uid="{00000000-0005-0000-0000-00008C660000}"/>
    <cellStyle name="Comma 2 5 7 4" xfId="28176" xr:uid="{00000000-0005-0000-0000-0000146E0000}"/>
    <cellStyle name="Comma 2 5 8" xfId="19602" xr:uid="{00000000-0005-0000-0000-0000964C0000}"/>
    <cellStyle name="Comma 2 5 8 2" xfId="26538" xr:uid="{00000000-0005-0000-0000-0000AE670000}"/>
    <cellStyle name="Comma 2 5 8 3" xfId="28466" xr:uid="{00000000-0005-0000-0000-0000366F0000}"/>
    <cellStyle name="Comma 2 5 9" xfId="25575" xr:uid="{00000000-0005-0000-0000-0000EB630000}"/>
    <cellStyle name="Comma 2 6" xfId="742" xr:uid="{00000000-0005-0000-0000-0000EA020000}"/>
    <cellStyle name="Comma 2 6 2" xfId="2012" xr:uid="{00000000-0005-0000-0000-0000E0070000}"/>
    <cellStyle name="Comma 2 6 2 2" xfId="5751" xr:uid="{00000000-0005-0000-0000-00007B160000}"/>
    <cellStyle name="Comma 2 6 2 2 2" xfId="9007" xr:uid="{00000000-0005-0000-0000-000033230000}"/>
    <cellStyle name="Comma 2 6 2 2 2 2" xfId="21009" xr:uid="{00000000-0005-0000-0000-000015520000}"/>
    <cellStyle name="Comma 2 6 2 2 2 2 2" xfId="27095" xr:uid="{00000000-0005-0000-0000-0000DB690000}"/>
    <cellStyle name="Comma 2 6 2 2 2 2 3" xfId="29023" xr:uid="{00000000-0005-0000-0000-000063710000}"/>
    <cellStyle name="Comma 2 6 2 2 2 3" xfId="26132" xr:uid="{00000000-0005-0000-0000-000018660000}"/>
    <cellStyle name="Comma 2 6 2 2 2 4" xfId="28059" xr:uid="{00000000-0005-0000-0000-00009F6D0000}"/>
    <cellStyle name="Comma 2 6 2 2 3" xfId="15579" xr:uid="{00000000-0005-0000-0000-0000DF3C0000}"/>
    <cellStyle name="Comma 2 6 2 2 3 2" xfId="23243" xr:uid="{00000000-0005-0000-0000-0000CF5A0000}"/>
    <cellStyle name="Comma 2 6 2 2 3 2 2" xfId="27251" xr:uid="{00000000-0005-0000-0000-0000776A0000}"/>
    <cellStyle name="Comma 2 6 2 2 3 2 3" xfId="29179" xr:uid="{00000000-0005-0000-0000-0000FF710000}"/>
    <cellStyle name="Comma 2 6 2 2 3 3" xfId="26288" xr:uid="{00000000-0005-0000-0000-0000B4660000}"/>
    <cellStyle name="Comma 2 6 2 2 3 4" xfId="28216" xr:uid="{00000000-0005-0000-0000-00003C6E0000}"/>
    <cellStyle name="Comma 2 6 2 2 4" xfId="19680" xr:uid="{00000000-0005-0000-0000-0000E44C0000}"/>
    <cellStyle name="Comma 2 6 2 2 4 2" xfId="26578" xr:uid="{00000000-0005-0000-0000-0000D6670000}"/>
    <cellStyle name="Comma 2 6 2 2 4 3" xfId="28506" xr:uid="{00000000-0005-0000-0000-00005E6F0000}"/>
    <cellStyle name="Comma 2 6 2 2 5" xfId="25615" xr:uid="{00000000-0005-0000-0000-000013640000}"/>
    <cellStyle name="Comma 2 6 2 2 6" xfId="27542" xr:uid="{00000000-0005-0000-0000-00009A6B0000}"/>
    <cellStyle name="Comma 2 6 2 3" xfId="9006" xr:uid="{00000000-0005-0000-0000-000032230000}"/>
    <cellStyle name="Comma 2 6 2 3 2" xfId="21008" xr:uid="{00000000-0005-0000-0000-000014520000}"/>
    <cellStyle name="Comma 2 6 2 3 2 2" xfId="27094" xr:uid="{00000000-0005-0000-0000-0000DA690000}"/>
    <cellStyle name="Comma 2 6 2 3 2 3" xfId="29022" xr:uid="{00000000-0005-0000-0000-000062710000}"/>
    <cellStyle name="Comma 2 6 2 3 3" xfId="26131" xr:uid="{00000000-0005-0000-0000-000017660000}"/>
    <cellStyle name="Comma 2 6 2 3 4" xfId="28058" xr:uid="{00000000-0005-0000-0000-00009E6D0000}"/>
    <cellStyle name="Comma 2 6 2 4" xfId="15358" xr:uid="{00000000-0005-0000-0000-0000023C0000}"/>
    <cellStyle name="Comma 2 6 2 4 2" xfId="23216" xr:uid="{00000000-0005-0000-0000-0000B45A0000}"/>
    <cellStyle name="Comma 2 6 2 4 2 2" xfId="27224" xr:uid="{00000000-0005-0000-0000-00005C6A0000}"/>
    <cellStyle name="Comma 2 6 2 4 2 3" xfId="29152" xr:uid="{00000000-0005-0000-0000-0000E4710000}"/>
    <cellStyle name="Comma 2 6 2 4 3" xfId="26261" xr:uid="{00000000-0005-0000-0000-000099660000}"/>
    <cellStyle name="Comma 2 6 2 4 4" xfId="28189" xr:uid="{00000000-0005-0000-0000-0000216E0000}"/>
    <cellStyle name="Comma 2 6 2 5" xfId="19632" xr:uid="{00000000-0005-0000-0000-0000B44C0000}"/>
    <cellStyle name="Comma 2 6 2 5 2" xfId="26551" xr:uid="{00000000-0005-0000-0000-0000BB670000}"/>
    <cellStyle name="Comma 2 6 2 5 3" xfId="28479" xr:uid="{00000000-0005-0000-0000-0000436F0000}"/>
    <cellStyle name="Comma 2 6 2 6" xfId="25588" xr:uid="{00000000-0005-0000-0000-0000F8630000}"/>
    <cellStyle name="Comma 2 6 2 7" xfId="27515" xr:uid="{00000000-0005-0000-0000-00007F6B0000}"/>
    <cellStyle name="Comma 2 6 2 8" xfId="4552" xr:uid="{00000000-0005-0000-0000-0000CC110000}"/>
    <cellStyle name="Comma 2 6 3" xfId="7620" xr:uid="{00000000-0005-0000-0000-0000C81D0000}"/>
    <cellStyle name="Comma 2 6 4" xfId="8854" xr:uid="{00000000-0005-0000-0000-00009A220000}"/>
    <cellStyle name="Comma 2 6 4 2" xfId="20941" xr:uid="{00000000-0005-0000-0000-0000D1510000}"/>
    <cellStyle name="Comma 2 6 4 2 2" xfId="27043" xr:uid="{00000000-0005-0000-0000-0000A7690000}"/>
    <cellStyle name="Comma 2 6 4 2 3" xfId="28971" xr:uid="{00000000-0005-0000-0000-00002F710000}"/>
    <cellStyle name="Comma 2 6 4 3" xfId="26080" xr:uid="{00000000-0005-0000-0000-0000E4650000}"/>
    <cellStyle name="Comma 2 6 4 4" xfId="28007" xr:uid="{00000000-0005-0000-0000-00006B6D0000}"/>
    <cellStyle name="Comma 2 6 5" xfId="15297" xr:uid="{00000000-0005-0000-0000-0000C53B0000}"/>
    <cellStyle name="Comma 2 6 5 2" xfId="23204" xr:uid="{00000000-0005-0000-0000-0000A85A0000}"/>
    <cellStyle name="Comma 2 6 5 2 2" xfId="27214" xr:uid="{00000000-0005-0000-0000-0000526A0000}"/>
    <cellStyle name="Comma 2 6 5 2 3" xfId="29142" xr:uid="{00000000-0005-0000-0000-0000DA710000}"/>
    <cellStyle name="Comma 2 6 5 3" xfId="26251" xr:uid="{00000000-0005-0000-0000-00008F660000}"/>
    <cellStyle name="Comma 2 6 5 4" xfId="28179" xr:uid="{00000000-0005-0000-0000-0000176E0000}"/>
    <cellStyle name="Comma 2 6 6" xfId="19605" xr:uid="{00000000-0005-0000-0000-0000994C0000}"/>
    <cellStyle name="Comma 2 6 6 2" xfId="26541" xr:uid="{00000000-0005-0000-0000-0000B1670000}"/>
    <cellStyle name="Comma 2 6 6 3" xfId="28469" xr:uid="{00000000-0005-0000-0000-0000396F0000}"/>
    <cellStyle name="Comma 2 6 7" xfId="25578" xr:uid="{00000000-0005-0000-0000-0000EE630000}"/>
    <cellStyle name="Comma 2 6 8" xfId="27505" xr:uid="{00000000-0005-0000-0000-0000756B0000}"/>
    <cellStyle name="Comma 2 6 9" xfId="4486" xr:uid="{00000000-0005-0000-0000-00008A110000}"/>
    <cellStyle name="Comma 2 7" xfId="743" xr:uid="{00000000-0005-0000-0000-0000EB020000}"/>
    <cellStyle name="Comma 2 7 2" xfId="2013" xr:uid="{00000000-0005-0000-0000-0000E1070000}"/>
    <cellStyle name="Comma 2 7 2 2" xfId="5752" xr:uid="{00000000-0005-0000-0000-00007C160000}"/>
    <cellStyle name="Comma 2 7 2 2 2" xfId="9009" xr:uid="{00000000-0005-0000-0000-000035230000}"/>
    <cellStyle name="Comma 2 7 2 2 2 2" xfId="21011" xr:uid="{00000000-0005-0000-0000-000017520000}"/>
    <cellStyle name="Comma 2 7 2 2 2 2 2" xfId="27097" xr:uid="{00000000-0005-0000-0000-0000DD690000}"/>
    <cellStyle name="Comma 2 7 2 2 2 2 3" xfId="29025" xr:uid="{00000000-0005-0000-0000-000065710000}"/>
    <cellStyle name="Comma 2 7 2 2 2 3" xfId="26134" xr:uid="{00000000-0005-0000-0000-00001A660000}"/>
    <cellStyle name="Comma 2 7 2 2 2 4" xfId="28061" xr:uid="{00000000-0005-0000-0000-0000A16D0000}"/>
    <cellStyle name="Comma 2 7 2 2 3" xfId="15580" xr:uid="{00000000-0005-0000-0000-0000E03C0000}"/>
    <cellStyle name="Comma 2 7 2 2 3 2" xfId="23244" xr:uid="{00000000-0005-0000-0000-0000D05A0000}"/>
    <cellStyle name="Comma 2 7 2 2 3 2 2" xfId="27252" xr:uid="{00000000-0005-0000-0000-0000786A0000}"/>
    <cellStyle name="Comma 2 7 2 2 3 2 3" xfId="29180" xr:uid="{00000000-0005-0000-0000-000000720000}"/>
    <cellStyle name="Comma 2 7 2 2 3 3" xfId="26289" xr:uid="{00000000-0005-0000-0000-0000B5660000}"/>
    <cellStyle name="Comma 2 7 2 2 3 4" xfId="28217" xr:uid="{00000000-0005-0000-0000-00003D6E0000}"/>
    <cellStyle name="Comma 2 7 2 2 4" xfId="19681" xr:uid="{00000000-0005-0000-0000-0000E54C0000}"/>
    <cellStyle name="Comma 2 7 2 2 4 2" xfId="26579" xr:uid="{00000000-0005-0000-0000-0000D7670000}"/>
    <cellStyle name="Comma 2 7 2 2 4 3" xfId="28507" xr:uid="{00000000-0005-0000-0000-00005F6F0000}"/>
    <cellStyle name="Comma 2 7 2 2 5" xfId="25616" xr:uid="{00000000-0005-0000-0000-000014640000}"/>
    <cellStyle name="Comma 2 7 2 2 6" xfId="27543" xr:uid="{00000000-0005-0000-0000-00009B6B0000}"/>
    <cellStyle name="Comma 2 7 2 3" xfId="9008" xr:uid="{00000000-0005-0000-0000-000034230000}"/>
    <cellStyle name="Comma 2 7 2 3 2" xfId="21010" xr:uid="{00000000-0005-0000-0000-000016520000}"/>
    <cellStyle name="Comma 2 7 2 3 2 2" xfId="27096" xr:uid="{00000000-0005-0000-0000-0000DC690000}"/>
    <cellStyle name="Comma 2 7 2 3 2 3" xfId="29024" xr:uid="{00000000-0005-0000-0000-000064710000}"/>
    <cellStyle name="Comma 2 7 2 3 3" xfId="26133" xr:uid="{00000000-0005-0000-0000-000019660000}"/>
    <cellStyle name="Comma 2 7 2 3 4" xfId="28060" xr:uid="{00000000-0005-0000-0000-0000A06D0000}"/>
    <cellStyle name="Comma 2 7 2 4" xfId="15359" xr:uid="{00000000-0005-0000-0000-0000033C0000}"/>
    <cellStyle name="Comma 2 7 2 4 2" xfId="23217" xr:uid="{00000000-0005-0000-0000-0000B55A0000}"/>
    <cellStyle name="Comma 2 7 2 4 2 2" xfId="27225" xr:uid="{00000000-0005-0000-0000-00005D6A0000}"/>
    <cellStyle name="Comma 2 7 2 4 2 3" xfId="29153" xr:uid="{00000000-0005-0000-0000-0000E5710000}"/>
    <cellStyle name="Comma 2 7 2 4 3" xfId="26262" xr:uid="{00000000-0005-0000-0000-00009A660000}"/>
    <cellStyle name="Comma 2 7 2 4 4" xfId="28190" xr:uid="{00000000-0005-0000-0000-0000226E0000}"/>
    <cellStyle name="Comma 2 7 2 5" xfId="19633" xr:uid="{00000000-0005-0000-0000-0000B54C0000}"/>
    <cellStyle name="Comma 2 7 2 5 2" xfId="26552" xr:uid="{00000000-0005-0000-0000-0000BC670000}"/>
    <cellStyle name="Comma 2 7 2 5 3" xfId="28480" xr:uid="{00000000-0005-0000-0000-0000446F0000}"/>
    <cellStyle name="Comma 2 7 2 6" xfId="25589" xr:uid="{00000000-0005-0000-0000-0000F9630000}"/>
    <cellStyle name="Comma 2 7 2 7" xfId="27516" xr:uid="{00000000-0005-0000-0000-0000806B0000}"/>
    <cellStyle name="Comma 2 7 2 8" xfId="4553" xr:uid="{00000000-0005-0000-0000-0000CD110000}"/>
    <cellStyle name="Comma 2 7 3" xfId="7621" xr:uid="{00000000-0005-0000-0000-0000C91D0000}"/>
    <cellStyle name="Comma 2 7 4" xfId="8855" xr:uid="{00000000-0005-0000-0000-00009B220000}"/>
    <cellStyle name="Comma 2 7 4 2" xfId="20942" xr:uid="{00000000-0005-0000-0000-0000D2510000}"/>
    <cellStyle name="Comma 2 7 4 2 2" xfId="27044" xr:uid="{00000000-0005-0000-0000-0000A8690000}"/>
    <cellStyle name="Comma 2 7 4 2 3" xfId="28972" xr:uid="{00000000-0005-0000-0000-000030710000}"/>
    <cellStyle name="Comma 2 7 4 3" xfId="26081" xr:uid="{00000000-0005-0000-0000-0000E5650000}"/>
    <cellStyle name="Comma 2 7 4 4" xfId="28008" xr:uid="{00000000-0005-0000-0000-00006C6D0000}"/>
    <cellStyle name="Comma 2 7 5" xfId="15298" xr:uid="{00000000-0005-0000-0000-0000C63B0000}"/>
    <cellStyle name="Comma 2 7 5 2" xfId="23205" xr:uid="{00000000-0005-0000-0000-0000A95A0000}"/>
    <cellStyle name="Comma 2 7 5 2 2" xfId="27215" xr:uid="{00000000-0005-0000-0000-0000536A0000}"/>
    <cellStyle name="Comma 2 7 5 2 3" xfId="29143" xr:uid="{00000000-0005-0000-0000-0000DB710000}"/>
    <cellStyle name="Comma 2 7 5 3" xfId="26252" xr:uid="{00000000-0005-0000-0000-000090660000}"/>
    <cellStyle name="Comma 2 7 5 4" xfId="28180" xr:uid="{00000000-0005-0000-0000-0000186E0000}"/>
    <cellStyle name="Comma 2 7 6" xfId="19606" xr:uid="{00000000-0005-0000-0000-00009A4C0000}"/>
    <cellStyle name="Comma 2 7 6 2" xfId="26542" xr:uid="{00000000-0005-0000-0000-0000B2670000}"/>
    <cellStyle name="Comma 2 7 6 3" xfId="28470" xr:uid="{00000000-0005-0000-0000-00003A6F0000}"/>
    <cellStyle name="Comma 2 7 7" xfId="25579" xr:uid="{00000000-0005-0000-0000-0000EF630000}"/>
    <cellStyle name="Comma 2 7 8" xfId="27506" xr:uid="{00000000-0005-0000-0000-0000766B0000}"/>
    <cellStyle name="Comma 2 7 9" xfId="4487" xr:uid="{00000000-0005-0000-0000-00008B110000}"/>
    <cellStyle name="Comma 2 8" xfId="744" xr:uid="{00000000-0005-0000-0000-0000EC020000}"/>
    <cellStyle name="Comma 2 8 10" xfId="27507" xr:uid="{00000000-0005-0000-0000-0000776B0000}"/>
    <cellStyle name="Comma 2 8 11" xfId="4544" xr:uid="{00000000-0005-0000-0000-0000C4110000}"/>
    <cellStyle name="Comma 2 8 2" xfId="2014" xr:uid="{00000000-0005-0000-0000-0000E2070000}"/>
    <cellStyle name="Comma 2 8 2 2" xfId="9011" xr:uid="{00000000-0005-0000-0000-000037230000}"/>
    <cellStyle name="Comma 2 8 2 2 2" xfId="21013" xr:uid="{00000000-0005-0000-0000-000019520000}"/>
    <cellStyle name="Comma 2 8 2 2 2 2" xfId="27099" xr:uid="{00000000-0005-0000-0000-0000DF690000}"/>
    <cellStyle name="Comma 2 8 2 2 2 3" xfId="29027" xr:uid="{00000000-0005-0000-0000-000067710000}"/>
    <cellStyle name="Comma 2 8 2 2 3" xfId="26136" xr:uid="{00000000-0005-0000-0000-00001C660000}"/>
    <cellStyle name="Comma 2 8 2 2 4" xfId="28063" xr:uid="{00000000-0005-0000-0000-0000A36D0000}"/>
    <cellStyle name="Comma 2 8 2 3" xfId="15582" xr:uid="{00000000-0005-0000-0000-0000E23C0000}"/>
    <cellStyle name="Comma 2 8 2 3 2" xfId="23246" xr:uid="{00000000-0005-0000-0000-0000D25A0000}"/>
    <cellStyle name="Comma 2 8 2 3 2 2" xfId="27254" xr:uid="{00000000-0005-0000-0000-00007A6A0000}"/>
    <cellStyle name="Comma 2 8 2 3 2 3" xfId="29182" xr:uid="{00000000-0005-0000-0000-000002720000}"/>
    <cellStyle name="Comma 2 8 2 3 3" xfId="26291" xr:uid="{00000000-0005-0000-0000-0000B7660000}"/>
    <cellStyle name="Comma 2 8 2 3 4" xfId="28219" xr:uid="{00000000-0005-0000-0000-00003F6E0000}"/>
    <cellStyle name="Comma 2 8 2 4" xfId="19683" xr:uid="{00000000-0005-0000-0000-0000E74C0000}"/>
    <cellStyle name="Comma 2 8 2 4 2" xfId="26581" xr:uid="{00000000-0005-0000-0000-0000D9670000}"/>
    <cellStyle name="Comma 2 8 2 4 3" xfId="28509" xr:uid="{00000000-0005-0000-0000-0000616F0000}"/>
    <cellStyle name="Comma 2 8 2 5" xfId="25618" xr:uid="{00000000-0005-0000-0000-000016640000}"/>
    <cellStyle name="Comma 2 8 2 6" xfId="27545" xr:uid="{00000000-0005-0000-0000-00009D6B0000}"/>
    <cellStyle name="Comma 2 8 2 7" xfId="5754" xr:uid="{00000000-0005-0000-0000-00007E160000}"/>
    <cellStyle name="Comma 2 8 3" xfId="5755" xr:uid="{00000000-0005-0000-0000-00007F160000}"/>
    <cellStyle name="Comma 2 8 3 2" xfId="9012" xr:uid="{00000000-0005-0000-0000-000038230000}"/>
    <cellStyle name="Comma 2 8 3 2 2" xfId="21014" xr:uid="{00000000-0005-0000-0000-00001A520000}"/>
    <cellStyle name="Comma 2 8 3 2 2 2" xfId="27100" xr:uid="{00000000-0005-0000-0000-0000E0690000}"/>
    <cellStyle name="Comma 2 8 3 2 2 3" xfId="29028" xr:uid="{00000000-0005-0000-0000-000068710000}"/>
    <cellStyle name="Comma 2 8 3 2 3" xfId="26137" xr:uid="{00000000-0005-0000-0000-00001D660000}"/>
    <cellStyle name="Comma 2 8 3 2 4" xfId="28064" xr:uid="{00000000-0005-0000-0000-0000A46D0000}"/>
    <cellStyle name="Comma 2 8 3 3" xfId="15583" xr:uid="{00000000-0005-0000-0000-0000E33C0000}"/>
    <cellStyle name="Comma 2 8 3 3 2" xfId="23247" xr:uid="{00000000-0005-0000-0000-0000D35A0000}"/>
    <cellStyle name="Comma 2 8 3 3 2 2" xfId="27255" xr:uid="{00000000-0005-0000-0000-00007B6A0000}"/>
    <cellStyle name="Comma 2 8 3 3 2 3" xfId="29183" xr:uid="{00000000-0005-0000-0000-000003720000}"/>
    <cellStyle name="Comma 2 8 3 3 3" xfId="26292" xr:uid="{00000000-0005-0000-0000-0000B8660000}"/>
    <cellStyle name="Comma 2 8 3 3 4" xfId="28220" xr:uid="{00000000-0005-0000-0000-0000406E0000}"/>
    <cellStyle name="Comma 2 8 3 4" xfId="19684" xr:uid="{00000000-0005-0000-0000-0000E84C0000}"/>
    <cellStyle name="Comma 2 8 3 4 2" xfId="26582" xr:uid="{00000000-0005-0000-0000-0000DA670000}"/>
    <cellStyle name="Comma 2 8 3 4 3" xfId="28510" xr:uid="{00000000-0005-0000-0000-0000626F0000}"/>
    <cellStyle name="Comma 2 8 3 5" xfId="25619" xr:uid="{00000000-0005-0000-0000-000017640000}"/>
    <cellStyle name="Comma 2 8 3 6" xfId="27546" xr:uid="{00000000-0005-0000-0000-00009E6B0000}"/>
    <cellStyle name="Comma 2 8 4" xfId="5753" xr:uid="{00000000-0005-0000-0000-00007D160000}"/>
    <cellStyle name="Comma 2 8 4 2" xfId="9013" xr:uid="{00000000-0005-0000-0000-000039230000}"/>
    <cellStyle name="Comma 2 8 4 2 2" xfId="21015" xr:uid="{00000000-0005-0000-0000-00001B520000}"/>
    <cellStyle name="Comma 2 8 4 2 2 2" xfId="27101" xr:uid="{00000000-0005-0000-0000-0000E1690000}"/>
    <cellStyle name="Comma 2 8 4 2 2 3" xfId="29029" xr:uid="{00000000-0005-0000-0000-000069710000}"/>
    <cellStyle name="Comma 2 8 4 2 3" xfId="26138" xr:uid="{00000000-0005-0000-0000-00001E660000}"/>
    <cellStyle name="Comma 2 8 4 2 4" xfId="28065" xr:uid="{00000000-0005-0000-0000-0000A56D0000}"/>
    <cellStyle name="Comma 2 8 4 3" xfId="15581" xr:uid="{00000000-0005-0000-0000-0000E13C0000}"/>
    <cellStyle name="Comma 2 8 4 3 2" xfId="23245" xr:uid="{00000000-0005-0000-0000-0000D15A0000}"/>
    <cellStyle name="Comma 2 8 4 3 2 2" xfId="27253" xr:uid="{00000000-0005-0000-0000-0000796A0000}"/>
    <cellStyle name="Comma 2 8 4 3 2 3" xfId="29181" xr:uid="{00000000-0005-0000-0000-000001720000}"/>
    <cellStyle name="Comma 2 8 4 3 3" xfId="26290" xr:uid="{00000000-0005-0000-0000-0000B6660000}"/>
    <cellStyle name="Comma 2 8 4 3 4" xfId="28218" xr:uid="{00000000-0005-0000-0000-00003E6E0000}"/>
    <cellStyle name="Comma 2 8 4 4" xfId="19682" xr:uid="{00000000-0005-0000-0000-0000E64C0000}"/>
    <cellStyle name="Comma 2 8 4 4 2" xfId="26580" xr:uid="{00000000-0005-0000-0000-0000D8670000}"/>
    <cellStyle name="Comma 2 8 4 4 3" xfId="28508" xr:uid="{00000000-0005-0000-0000-0000606F0000}"/>
    <cellStyle name="Comma 2 8 4 5" xfId="25617" xr:uid="{00000000-0005-0000-0000-000015640000}"/>
    <cellStyle name="Comma 2 8 4 6" xfId="27544" xr:uid="{00000000-0005-0000-0000-00009C6B0000}"/>
    <cellStyle name="Comma 2 8 5" xfId="7622" xr:uid="{00000000-0005-0000-0000-0000CA1D0000}"/>
    <cellStyle name="Comma 2 8 6" xfId="9010" xr:uid="{00000000-0005-0000-0000-000036230000}"/>
    <cellStyle name="Comma 2 8 6 2" xfId="21012" xr:uid="{00000000-0005-0000-0000-000018520000}"/>
    <cellStyle name="Comma 2 8 6 2 2" xfId="27098" xr:uid="{00000000-0005-0000-0000-0000DE690000}"/>
    <cellStyle name="Comma 2 8 6 2 3" xfId="29026" xr:uid="{00000000-0005-0000-0000-000066710000}"/>
    <cellStyle name="Comma 2 8 6 3" xfId="26135" xr:uid="{00000000-0005-0000-0000-00001B660000}"/>
    <cellStyle name="Comma 2 8 6 4" xfId="28062" xr:uid="{00000000-0005-0000-0000-0000A26D0000}"/>
    <cellStyle name="Comma 2 8 7" xfId="15350" xr:uid="{00000000-0005-0000-0000-0000FA3B0000}"/>
    <cellStyle name="Comma 2 8 7 2" xfId="23208" xr:uid="{00000000-0005-0000-0000-0000AC5A0000}"/>
    <cellStyle name="Comma 2 8 7 2 2" xfId="27216" xr:uid="{00000000-0005-0000-0000-0000546A0000}"/>
    <cellStyle name="Comma 2 8 7 2 3" xfId="29144" xr:uid="{00000000-0005-0000-0000-0000DC710000}"/>
    <cellStyle name="Comma 2 8 7 3" xfId="26253" xr:uid="{00000000-0005-0000-0000-000091660000}"/>
    <cellStyle name="Comma 2 8 7 4" xfId="28181" xr:uid="{00000000-0005-0000-0000-0000196E0000}"/>
    <cellStyle name="Comma 2 8 8" xfId="19624" xr:uid="{00000000-0005-0000-0000-0000AC4C0000}"/>
    <cellStyle name="Comma 2 8 8 2" xfId="26543" xr:uid="{00000000-0005-0000-0000-0000B3670000}"/>
    <cellStyle name="Comma 2 8 8 3" xfId="28471" xr:uid="{00000000-0005-0000-0000-00003B6F0000}"/>
    <cellStyle name="Comma 2 8 9" xfId="25580" xr:uid="{00000000-0005-0000-0000-0000F0630000}"/>
    <cellStyle name="Comma 2 9" xfId="745" xr:uid="{00000000-0005-0000-0000-0000ED020000}"/>
    <cellStyle name="Comma 2 9 2" xfId="2015" xr:uid="{00000000-0005-0000-0000-0000E3070000}"/>
    <cellStyle name="Comma 2 9 3" xfId="9014" xr:uid="{00000000-0005-0000-0000-00003A230000}"/>
    <cellStyle name="Comma 2 9 3 2" xfId="21016" xr:uid="{00000000-0005-0000-0000-00001C520000}"/>
    <cellStyle name="Comma 2 9 3 2 2" xfId="27102" xr:uid="{00000000-0005-0000-0000-0000E2690000}"/>
    <cellStyle name="Comma 2 9 3 2 3" xfId="29030" xr:uid="{00000000-0005-0000-0000-00006A710000}"/>
    <cellStyle name="Comma 2 9 3 3" xfId="26139" xr:uid="{00000000-0005-0000-0000-00001F660000}"/>
    <cellStyle name="Comma 2 9 3 4" xfId="28066" xr:uid="{00000000-0005-0000-0000-0000A66D0000}"/>
    <cellStyle name="Comma 2 9 4" xfId="15584" xr:uid="{00000000-0005-0000-0000-0000E43C0000}"/>
    <cellStyle name="Comma 2 9 4 2" xfId="23248" xr:uid="{00000000-0005-0000-0000-0000D45A0000}"/>
    <cellStyle name="Comma 2 9 4 2 2" xfId="27256" xr:uid="{00000000-0005-0000-0000-00007C6A0000}"/>
    <cellStyle name="Comma 2 9 4 2 3" xfId="29184" xr:uid="{00000000-0005-0000-0000-000004720000}"/>
    <cellStyle name="Comma 2 9 4 3" xfId="26293" xr:uid="{00000000-0005-0000-0000-0000B9660000}"/>
    <cellStyle name="Comma 2 9 4 4" xfId="28221" xr:uid="{00000000-0005-0000-0000-0000416E0000}"/>
    <cellStyle name="Comma 2 9 5" xfId="19685" xr:uid="{00000000-0005-0000-0000-0000E94C0000}"/>
    <cellStyle name="Comma 2 9 5 2" xfId="26583" xr:uid="{00000000-0005-0000-0000-0000DB670000}"/>
    <cellStyle name="Comma 2 9 5 3" xfId="28511" xr:uid="{00000000-0005-0000-0000-0000636F0000}"/>
    <cellStyle name="Comma 2 9 6" xfId="25620" xr:uid="{00000000-0005-0000-0000-000018640000}"/>
    <cellStyle name="Comma 2 9 7" xfId="27547" xr:uid="{00000000-0005-0000-0000-00009F6B0000}"/>
    <cellStyle name="Comma 2 9 8" xfId="5756" xr:uid="{00000000-0005-0000-0000-000080160000}"/>
    <cellStyle name="Comma 2_PrimaryEnergyPrices_TIMES" xfId="12661" xr:uid="{00000000-0005-0000-0000-000079310000}"/>
    <cellStyle name="Comma 20" xfId="15068" xr:uid="{00000000-0005-0000-0000-0000E03A0000}"/>
    <cellStyle name="Comma 20 2" xfId="15069" xr:uid="{00000000-0005-0000-0000-0000E13A0000}"/>
    <cellStyle name="Comma 20 2 2" xfId="23165" xr:uid="{00000000-0005-0000-0000-0000815A0000}"/>
    <cellStyle name="Comma 20 2 2 2" xfId="27177" xr:uid="{00000000-0005-0000-0000-00002D6A0000}"/>
    <cellStyle name="Comma 20 2 2 3" xfId="29105" xr:uid="{00000000-0005-0000-0000-0000B5710000}"/>
    <cellStyle name="Comma 20 2 3" xfId="26214" xr:uid="{00000000-0005-0000-0000-00006A660000}"/>
    <cellStyle name="Comma 20 2 4" xfId="28142" xr:uid="{00000000-0005-0000-0000-0000F26D0000}"/>
    <cellStyle name="Comma 20 3" xfId="23164" xr:uid="{00000000-0005-0000-0000-0000805A0000}"/>
    <cellStyle name="Comma 20 3 2" xfId="27176" xr:uid="{00000000-0005-0000-0000-00002C6A0000}"/>
    <cellStyle name="Comma 20 3 3" xfId="29104" xr:uid="{00000000-0005-0000-0000-0000B4710000}"/>
    <cellStyle name="Comma 20 4" xfId="26213" xr:uid="{00000000-0005-0000-0000-000069660000}"/>
    <cellStyle name="Comma 20 5" xfId="28141" xr:uid="{00000000-0005-0000-0000-0000F16D0000}"/>
    <cellStyle name="Comma 21" xfId="15070" xr:uid="{00000000-0005-0000-0000-0000E23A0000}"/>
    <cellStyle name="Comma 21 2" xfId="15071" xr:uid="{00000000-0005-0000-0000-0000E33A0000}"/>
    <cellStyle name="Comma 21 2 2" xfId="23167" xr:uid="{00000000-0005-0000-0000-0000835A0000}"/>
    <cellStyle name="Comma 21 2 2 2" xfId="27179" xr:uid="{00000000-0005-0000-0000-00002F6A0000}"/>
    <cellStyle name="Comma 21 2 2 3" xfId="29107" xr:uid="{00000000-0005-0000-0000-0000B7710000}"/>
    <cellStyle name="Comma 21 2 3" xfId="26216" xr:uid="{00000000-0005-0000-0000-00006C660000}"/>
    <cellStyle name="Comma 21 2 4" xfId="28144" xr:uid="{00000000-0005-0000-0000-0000F46D0000}"/>
    <cellStyle name="Comma 21 3" xfId="23166" xr:uid="{00000000-0005-0000-0000-0000825A0000}"/>
    <cellStyle name="Comma 21 3 2" xfId="27178" xr:uid="{00000000-0005-0000-0000-00002E6A0000}"/>
    <cellStyle name="Comma 21 3 3" xfId="29106" xr:uid="{00000000-0005-0000-0000-0000B6710000}"/>
    <cellStyle name="Comma 21 4" xfId="26215" xr:uid="{00000000-0005-0000-0000-00006B660000}"/>
    <cellStyle name="Comma 21 5" xfId="28143" xr:uid="{00000000-0005-0000-0000-0000F36D0000}"/>
    <cellStyle name="Comma 22" xfId="15072" xr:uid="{00000000-0005-0000-0000-0000E43A0000}"/>
    <cellStyle name="Comma 22 2" xfId="15073" xr:uid="{00000000-0005-0000-0000-0000E53A0000}"/>
    <cellStyle name="Comma 22 2 2" xfId="23169" xr:uid="{00000000-0005-0000-0000-0000855A0000}"/>
    <cellStyle name="Comma 22 2 2 2" xfId="27181" xr:uid="{00000000-0005-0000-0000-0000316A0000}"/>
    <cellStyle name="Comma 22 2 2 3" xfId="29109" xr:uid="{00000000-0005-0000-0000-0000B9710000}"/>
    <cellStyle name="Comma 22 2 3" xfId="26218" xr:uid="{00000000-0005-0000-0000-00006E660000}"/>
    <cellStyle name="Comma 22 2 4" xfId="28146" xr:uid="{00000000-0005-0000-0000-0000F66D0000}"/>
    <cellStyle name="Comma 22 3" xfId="23168" xr:uid="{00000000-0005-0000-0000-0000845A0000}"/>
    <cellStyle name="Comma 22 3 2" xfId="27180" xr:uid="{00000000-0005-0000-0000-0000306A0000}"/>
    <cellStyle name="Comma 22 3 3" xfId="29108" xr:uid="{00000000-0005-0000-0000-0000B8710000}"/>
    <cellStyle name="Comma 22 4" xfId="26217" xr:uid="{00000000-0005-0000-0000-00006D660000}"/>
    <cellStyle name="Comma 22 5" xfId="28145" xr:uid="{00000000-0005-0000-0000-0000F56D0000}"/>
    <cellStyle name="Comma 23" xfId="15074" xr:uid="{00000000-0005-0000-0000-0000E63A0000}"/>
    <cellStyle name="Comma 23 2" xfId="15075" xr:uid="{00000000-0005-0000-0000-0000E73A0000}"/>
    <cellStyle name="Comma 23 2 2" xfId="23171" xr:uid="{00000000-0005-0000-0000-0000875A0000}"/>
    <cellStyle name="Comma 23 2 2 2" xfId="27183" xr:uid="{00000000-0005-0000-0000-0000336A0000}"/>
    <cellStyle name="Comma 23 2 2 3" xfId="29111" xr:uid="{00000000-0005-0000-0000-0000BB710000}"/>
    <cellStyle name="Comma 23 2 3" xfId="26220" xr:uid="{00000000-0005-0000-0000-000070660000}"/>
    <cellStyle name="Comma 23 2 4" xfId="28148" xr:uid="{00000000-0005-0000-0000-0000F86D0000}"/>
    <cellStyle name="Comma 23 3" xfId="23170" xr:uid="{00000000-0005-0000-0000-0000865A0000}"/>
    <cellStyle name="Comma 23 3 2" xfId="27182" xr:uid="{00000000-0005-0000-0000-0000326A0000}"/>
    <cellStyle name="Comma 23 3 3" xfId="29110" xr:uid="{00000000-0005-0000-0000-0000BA710000}"/>
    <cellStyle name="Comma 23 4" xfId="26219" xr:uid="{00000000-0005-0000-0000-00006F660000}"/>
    <cellStyle name="Comma 23 5" xfId="28147" xr:uid="{00000000-0005-0000-0000-0000F76D0000}"/>
    <cellStyle name="Comma 24" xfId="15076" xr:uid="{00000000-0005-0000-0000-0000E83A0000}"/>
    <cellStyle name="Comma 24 2" xfId="15077" xr:uid="{00000000-0005-0000-0000-0000E93A0000}"/>
    <cellStyle name="Comma 24 2 2" xfId="23173" xr:uid="{00000000-0005-0000-0000-0000895A0000}"/>
    <cellStyle name="Comma 24 2 2 2" xfId="27185" xr:uid="{00000000-0005-0000-0000-0000356A0000}"/>
    <cellStyle name="Comma 24 2 2 3" xfId="29113" xr:uid="{00000000-0005-0000-0000-0000BD710000}"/>
    <cellStyle name="Comma 24 2 3" xfId="26222" xr:uid="{00000000-0005-0000-0000-000072660000}"/>
    <cellStyle name="Comma 24 2 4" xfId="28150" xr:uid="{00000000-0005-0000-0000-0000FA6D0000}"/>
    <cellStyle name="Comma 24 3" xfId="23172" xr:uid="{00000000-0005-0000-0000-0000885A0000}"/>
    <cellStyle name="Comma 24 3 2" xfId="27184" xr:uid="{00000000-0005-0000-0000-0000346A0000}"/>
    <cellStyle name="Comma 24 3 3" xfId="29112" xr:uid="{00000000-0005-0000-0000-0000BC710000}"/>
    <cellStyle name="Comma 24 4" xfId="26221" xr:uid="{00000000-0005-0000-0000-000071660000}"/>
    <cellStyle name="Comma 24 5" xfId="28149" xr:uid="{00000000-0005-0000-0000-0000F96D0000}"/>
    <cellStyle name="Comma 25" xfId="15078" xr:uid="{00000000-0005-0000-0000-0000EA3A0000}"/>
    <cellStyle name="Comma 25 2" xfId="15079" xr:uid="{00000000-0005-0000-0000-0000EB3A0000}"/>
    <cellStyle name="Comma 25 2 2" xfId="23175" xr:uid="{00000000-0005-0000-0000-00008B5A0000}"/>
    <cellStyle name="Comma 25 2 2 2" xfId="27187" xr:uid="{00000000-0005-0000-0000-0000376A0000}"/>
    <cellStyle name="Comma 25 2 2 3" xfId="29115" xr:uid="{00000000-0005-0000-0000-0000BF710000}"/>
    <cellStyle name="Comma 25 2 3" xfId="26224" xr:uid="{00000000-0005-0000-0000-000074660000}"/>
    <cellStyle name="Comma 25 2 4" xfId="28152" xr:uid="{00000000-0005-0000-0000-0000FC6D0000}"/>
    <cellStyle name="Comma 25 3" xfId="23174" xr:uid="{00000000-0005-0000-0000-00008A5A0000}"/>
    <cellStyle name="Comma 25 3 2" xfId="27186" xr:uid="{00000000-0005-0000-0000-0000366A0000}"/>
    <cellStyle name="Comma 25 3 3" xfId="29114" xr:uid="{00000000-0005-0000-0000-0000BE710000}"/>
    <cellStyle name="Comma 25 4" xfId="26223" xr:uid="{00000000-0005-0000-0000-000073660000}"/>
    <cellStyle name="Comma 25 5" xfId="28151" xr:uid="{00000000-0005-0000-0000-0000FB6D0000}"/>
    <cellStyle name="Comma 26" xfId="15080" xr:uid="{00000000-0005-0000-0000-0000EC3A0000}"/>
    <cellStyle name="Comma 26 2" xfId="15081" xr:uid="{00000000-0005-0000-0000-0000ED3A0000}"/>
    <cellStyle name="Comma 26 2 2" xfId="23177" xr:uid="{00000000-0005-0000-0000-00008D5A0000}"/>
    <cellStyle name="Comma 26 2 2 2" xfId="27189" xr:uid="{00000000-0005-0000-0000-0000396A0000}"/>
    <cellStyle name="Comma 26 2 2 3" xfId="29117" xr:uid="{00000000-0005-0000-0000-0000C1710000}"/>
    <cellStyle name="Comma 26 2 3" xfId="26226" xr:uid="{00000000-0005-0000-0000-000076660000}"/>
    <cellStyle name="Comma 26 2 4" xfId="28154" xr:uid="{00000000-0005-0000-0000-0000FE6D0000}"/>
    <cellStyle name="Comma 26 3" xfId="23176" xr:uid="{00000000-0005-0000-0000-00008C5A0000}"/>
    <cellStyle name="Comma 26 3 2" xfId="27188" xr:uid="{00000000-0005-0000-0000-0000386A0000}"/>
    <cellStyle name="Comma 26 3 3" xfId="29116" xr:uid="{00000000-0005-0000-0000-0000C0710000}"/>
    <cellStyle name="Comma 26 4" xfId="26225" xr:uid="{00000000-0005-0000-0000-000075660000}"/>
    <cellStyle name="Comma 26 5" xfId="28153" xr:uid="{00000000-0005-0000-0000-0000FD6D0000}"/>
    <cellStyle name="Comma 27" xfId="15082" xr:uid="{00000000-0005-0000-0000-0000EE3A0000}"/>
    <cellStyle name="Comma 27 2" xfId="23178" xr:uid="{00000000-0005-0000-0000-00008E5A0000}"/>
    <cellStyle name="Comma 27 2 2" xfId="27190" xr:uid="{00000000-0005-0000-0000-00003A6A0000}"/>
    <cellStyle name="Comma 27 2 3" xfId="29118" xr:uid="{00000000-0005-0000-0000-0000C2710000}"/>
    <cellStyle name="Comma 27 3" xfId="26227" xr:uid="{00000000-0005-0000-0000-000077660000}"/>
    <cellStyle name="Comma 27 4" xfId="28155" xr:uid="{00000000-0005-0000-0000-0000FF6D0000}"/>
    <cellStyle name="Comma 28" xfId="15045" xr:uid="{00000000-0005-0000-0000-0000C93A0000}"/>
    <cellStyle name="Comma 28 2" xfId="23141" xr:uid="{00000000-0005-0000-0000-0000695A0000}"/>
    <cellStyle name="Comma 28 2 2" xfId="27153" xr:uid="{00000000-0005-0000-0000-0000156A0000}"/>
    <cellStyle name="Comma 28 2 3" xfId="29081" xr:uid="{00000000-0005-0000-0000-00009D710000}"/>
    <cellStyle name="Comma 28 3" xfId="26190" xr:uid="{00000000-0005-0000-0000-000052660000}"/>
    <cellStyle name="Comma 28 4" xfId="28118" xr:uid="{00000000-0005-0000-0000-0000DA6D0000}"/>
    <cellStyle name="Comma 29" xfId="15088" xr:uid="{00000000-0005-0000-0000-0000F43A0000}"/>
    <cellStyle name="Comma 29 2" xfId="23182" xr:uid="{00000000-0005-0000-0000-0000925A0000}"/>
    <cellStyle name="Comma 29 2 2" xfId="27194" xr:uid="{00000000-0005-0000-0000-00003E6A0000}"/>
    <cellStyle name="Comma 29 2 3" xfId="29122" xr:uid="{00000000-0005-0000-0000-0000C6710000}"/>
    <cellStyle name="Comma 29 3" xfId="26231" xr:uid="{00000000-0005-0000-0000-00007B660000}"/>
    <cellStyle name="Comma 29 4" xfId="28159" xr:uid="{00000000-0005-0000-0000-0000036E0000}"/>
    <cellStyle name="Comma 3" xfId="746" xr:uid="{00000000-0005-0000-0000-0000EE020000}"/>
    <cellStyle name="Comma 3 10" xfId="3561" xr:uid="{00000000-0005-0000-0000-0000ED0D0000}"/>
    <cellStyle name="Comma 3 10 2" xfId="9016" xr:uid="{00000000-0005-0000-0000-00003C230000}"/>
    <cellStyle name="Comma 3 10 2 2" xfId="15084" xr:uid="{00000000-0005-0000-0000-0000F03A0000}"/>
    <cellStyle name="Comma 3 10 2 2 2" xfId="23180" xr:uid="{00000000-0005-0000-0000-0000905A0000}"/>
    <cellStyle name="Comma 3 10 2 2 2 2" xfId="27192" xr:uid="{00000000-0005-0000-0000-00003C6A0000}"/>
    <cellStyle name="Comma 3 10 2 2 2 3" xfId="29120" xr:uid="{00000000-0005-0000-0000-0000C4710000}"/>
    <cellStyle name="Comma 3 10 2 2 3" xfId="26229" xr:uid="{00000000-0005-0000-0000-000079660000}"/>
    <cellStyle name="Comma 3 10 2 2 4" xfId="28157" xr:uid="{00000000-0005-0000-0000-0000016E0000}"/>
    <cellStyle name="Comma 3 10 2 3" xfId="21017" xr:uid="{00000000-0005-0000-0000-00001D520000}"/>
    <cellStyle name="Comma 3 10 2 3 2" xfId="27103" xr:uid="{00000000-0005-0000-0000-0000E3690000}"/>
    <cellStyle name="Comma 3 10 2 3 3" xfId="29031" xr:uid="{00000000-0005-0000-0000-00006B710000}"/>
    <cellStyle name="Comma 3 10 2 4" xfId="26140" xr:uid="{00000000-0005-0000-0000-000020660000}"/>
    <cellStyle name="Comma 3 10 2 5" xfId="28067" xr:uid="{00000000-0005-0000-0000-0000A76D0000}"/>
    <cellStyle name="Comma 3 10 3" xfId="15083" xr:uid="{00000000-0005-0000-0000-0000EF3A0000}"/>
    <cellStyle name="Comma 3 10 3 2" xfId="23179" xr:uid="{00000000-0005-0000-0000-00008F5A0000}"/>
    <cellStyle name="Comma 3 10 3 2 2" xfId="27191" xr:uid="{00000000-0005-0000-0000-00003B6A0000}"/>
    <cellStyle name="Comma 3 10 3 2 3" xfId="29119" xr:uid="{00000000-0005-0000-0000-0000C3710000}"/>
    <cellStyle name="Comma 3 10 3 3" xfId="26228" xr:uid="{00000000-0005-0000-0000-000078660000}"/>
    <cellStyle name="Comma 3 10 3 4" xfId="28156" xr:uid="{00000000-0005-0000-0000-0000006E0000}"/>
    <cellStyle name="Comma 3 10 4" xfId="19883" xr:uid="{00000000-0005-0000-0000-0000AF4D0000}"/>
    <cellStyle name="Comma 3 10 4 2" xfId="26741" xr:uid="{00000000-0005-0000-0000-000079680000}"/>
    <cellStyle name="Comma 3 10 4 3" xfId="28669" xr:uid="{00000000-0005-0000-0000-000001700000}"/>
    <cellStyle name="Comma 3 10 5" xfId="25778" xr:uid="{00000000-0005-0000-0000-0000B6640000}"/>
    <cellStyle name="Comma 3 10 6" xfId="27705" xr:uid="{00000000-0005-0000-0000-00003D6C0000}"/>
    <cellStyle name="Comma 3 10 7" xfId="7624" xr:uid="{00000000-0005-0000-0000-0000CC1D0000}"/>
    <cellStyle name="Comma 3 11" xfId="7623" xr:uid="{00000000-0005-0000-0000-0000CB1D0000}"/>
    <cellStyle name="Comma 3 11 2" xfId="9017" xr:uid="{00000000-0005-0000-0000-00003D230000}"/>
    <cellStyle name="Comma 3 11 2 2" xfId="21018" xr:uid="{00000000-0005-0000-0000-00001E520000}"/>
    <cellStyle name="Comma 3 11 2 2 2" xfId="27104" xr:uid="{00000000-0005-0000-0000-0000E4690000}"/>
    <cellStyle name="Comma 3 11 2 2 3" xfId="29032" xr:uid="{00000000-0005-0000-0000-00006C710000}"/>
    <cellStyle name="Comma 3 11 2 3" xfId="26141" xr:uid="{00000000-0005-0000-0000-000021660000}"/>
    <cellStyle name="Comma 3 11 2 4" xfId="28068" xr:uid="{00000000-0005-0000-0000-0000A86D0000}"/>
    <cellStyle name="Comma 3 11 3" xfId="16532" xr:uid="{00000000-0005-0000-0000-000098400000}"/>
    <cellStyle name="Comma 3 11 3 2" xfId="23387" xr:uid="{00000000-0005-0000-0000-00005F5B0000}"/>
    <cellStyle name="Comma 3 11 3 2 2" xfId="27394" xr:uid="{00000000-0005-0000-0000-0000066B0000}"/>
    <cellStyle name="Comma 3 11 3 2 3" xfId="29322" xr:uid="{00000000-0005-0000-0000-00008E720000}"/>
    <cellStyle name="Comma 3 11 3 3" xfId="26431" xr:uid="{00000000-0005-0000-0000-000043670000}"/>
    <cellStyle name="Comma 3 11 3 4" xfId="28359" xr:uid="{00000000-0005-0000-0000-0000CB6E0000}"/>
    <cellStyle name="Comma 3 11 4" xfId="19882" xr:uid="{00000000-0005-0000-0000-0000AE4D0000}"/>
    <cellStyle name="Comma 3 11 4 2" xfId="26740" xr:uid="{00000000-0005-0000-0000-000078680000}"/>
    <cellStyle name="Comma 3 11 4 3" xfId="28668" xr:uid="{00000000-0005-0000-0000-000000700000}"/>
    <cellStyle name="Comma 3 11 5" xfId="25777" xr:uid="{00000000-0005-0000-0000-0000B5640000}"/>
    <cellStyle name="Comma 3 11 6" xfId="27704" xr:uid="{00000000-0005-0000-0000-00003C6C0000}"/>
    <cellStyle name="Comma 3 12" xfId="9015" xr:uid="{00000000-0005-0000-0000-00003B230000}"/>
    <cellStyle name="Comma 3 13" xfId="8641" xr:uid="{00000000-0005-0000-0000-0000C5210000}"/>
    <cellStyle name="Comma 3 13 2" xfId="17213" xr:uid="{00000000-0005-0000-0000-000041430000}"/>
    <cellStyle name="Comma 3 13 2 2" xfId="23850" xr:uid="{00000000-0005-0000-0000-00002E5D0000}"/>
    <cellStyle name="Comma 3 13 2 2 2" xfId="27462" xr:uid="{00000000-0005-0000-0000-00004A6B0000}"/>
    <cellStyle name="Comma 3 13 2 2 3" xfId="29390" xr:uid="{00000000-0005-0000-0000-0000D2720000}"/>
    <cellStyle name="Comma 3 13 2 3" xfId="26499" xr:uid="{00000000-0005-0000-0000-000087670000}"/>
    <cellStyle name="Comma 3 13 2 4" xfId="28427" xr:uid="{00000000-0005-0000-0000-00000F6F0000}"/>
    <cellStyle name="Comma 3 13 3" xfId="12662" xr:uid="{00000000-0005-0000-0000-00007A310000}"/>
    <cellStyle name="Comma 3 13 3 2" xfId="23132" xr:uid="{00000000-0005-0000-0000-0000605A0000}"/>
    <cellStyle name="Comma 3 13 3 2 2" xfId="27149" xr:uid="{00000000-0005-0000-0000-0000116A0000}"/>
    <cellStyle name="Comma 3 13 3 2 3" xfId="29077" xr:uid="{00000000-0005-0000-0000-000099710000}"/>
    <cellStyle name="Comma 3 13 3 3" xfId="26186" xr:uid="{00000000-0005-0000-0000-00004E660000}"/>
    <cellStyle name="Comma 3 13 3 4" xfId="28114" xr:uid="{00000000-0005-0000-0000-0000D66D0000}"/>
    <cellStyle name="Comma 3 13 4" xfId="20846" xr:uid="{00000000-0005-0000-0000-000072510000}"/>
    <cellStyle name="Comma 3 13 4 2" xfId="26952" xr:uid="{00000000-0005-0000-0000-00004C690000}"/>
    <cellStyle name="Comma 3 13 4 3" xfId="28880" xr:uid="{00000000-0005-0000-0000-0000D4700000}"/>
    <cellStyle name="Comma 3 13 5" xfId="25989" xr:uid="{00000000-0005-0000-0000-000089650000}"/>
    <cellStyle name="Comma 3 13 6" xfId="27916" xr:uid="{00000000-0005-0000-0000-0000106D0000}"/>
    <cellStyle name="Comma 3 14" xfId="5757" xr:uid="{00000000-0005-0000-0000-000081160000}"/>
    <cellStyle name="Comma 3 2" xfId="747" xr:uid="{00000000-0005-0000-0000-0000EF020000}"/>
    <cellStyle name="Comma 3 2 2" xfId="2017" xr:uid="{00000000-0005-0000-0000-0000E5070000}"/>
    <cellStyle name="Comma 3 2 2 2" xfId="3861" xr:uid="{00000000-0005-0000-0000-0000190F0000}"/>
    <cellStyle name="Comma 3 2 2 2 2" xfId="21019" xr:uid="{00000000-0005-0000-0000-00001F520000}"/>
    <cellStyle name="Comma 3 2 2 2 2 2" xfId="27105" xr:uid="{00000000-0005-0000-0000-0000E5690000}"/>
    <cellStyle name="Comma 3 2 2 2 2 3" xfId="29033" xr:uid="{00000000-0005-0000-0000-00006D710000}"/>
    <cellStyle name="Comma 3 2 2 2 3" xfId="26142" xr:uid="{00000000-0005-0000-0000-000022660000}"/>
    <cellStyle name="Comma 3 2 2 2 4" xfId="28069" xr:uid="{00000000-0005-0000-0000-0000A96D0000}"/>
    <cellStyle name="Comma 3 2 2 2 5" xfId="9019" xr:uid="{00000000-0005-0000-0000-00003F230000}"/>
    <cellStyle name="Comma 3 2 2 3" xfId="15585" xr:uid="{00000000-0005-0000-0000-0000E53C0000}"/>
    <cellStyle name="Comma 3 2 2 3 2" xfId="23249" xr:uid="{00000000-0005-0000-0000-0000D55A0000}"/>
    <cellStyle name="Comma 3 2 2 3 2 2" xfId="27257" xr:uid="{00000000-0005-0000-0000-00007D6A0000}"/>
    <cellStyle name="Comma 3 2 2 3 2 3" xfId="29185" xr:uid="{00000000-0005-0000-0000-000005720000}"/>
    <cellStyle name="Comma 3 2 2 3 3" xfId="26294" xr:uid="{00000000-0005-0000-0000-0000BA660000}"/>
    <cellStyle name="Comma 3 2 2 3 4" xfId="28222" xr:uid="{00000000-0005-0000-0000-0000426E0000}"/>
    <cellStyle name="Comma 3 2 2 4" xfId="19686" xr:uid="{00000000-0005-0000-0000-0000EA4C0000}"/>
    <cellStyle name="Comma 3 2 2 4 2" xfId="26584" xr:uid="{00000000-0005-0000-0000-0000DC670000}"/>
    <cellStyle name="Comma 3 2 2 4 3" xfId="28512" xr:uid="{00000000-0005-0000-0000-0000646F0000}"/>
    <cellStyle name="Comma 3 2 2 5" xfId="25621" xr:uid="{00000000-0005-0000-0000-000019640000}"/>
    <cellStyle name="Comma 3 2 2 6" xfId="27548" xr:uid="{00000000-0005-0000-0000-0000A06B0000}"/>
    <cellStyle name="Comma 3 2 2 7" xfId="5759" xr:uid="{00000000-0005-0000-0000-000083160000}"/>
    <cellStyle name="Comma 3 2 3" xfId="3562" xr:uid="{00000000-0005-0000-0000-0000EE0D0000}"/>
    <cellStyle name="Comma 3 2 3 2" xfId="9020" xr:uid="{00000000-0005-0000-0000-000040230000}"/>
    <cellStyle name="Comma 3 2 3 2 2" xfId="21020" xr:uid="{00000000-0005-0000-0000-000020520000}"/>
    <cellStyle name="Comma 3 2 3 2 2 2" xfId="27106" xr:uid="{00000000-0005-0000-0000-0000E6690000}"/>
    <cellStyle name="Comma 3 2 3 2 2 3" xfId="29034" xr:uid="{00000000-0005-0000-0000-00006E710000}"/>
    <cellStyle name="Comma 3 2 3 2 3" xfId="26143" xr:uid="{00000000-0005-0000-0000-000023660000}"/>
    <cellStyle name="Comma 3 2 3 2 4" xfId="28070" xr:uid="{00000000-0005-0000-0000-0000AA6D0000}"/>
    <cellStyle name="Comma 3 2 3 3" xfId="16533" xr:uid="{00000000-0005-0000-0000-000099400000}"/>
    <cellStyle name="Comma 3 2 3 3 2" xfId="23388" xr:uid="{00000000-0005-0000-0000-0000605B0000}"/>
    <cellStyle name="Comma 3 2 3 3 2 2" xfId="27395" xr:uid="{00000000-0005-0000-0000-0000076B0000}"/>
    <cellStyle name="Comma 3 2 3 3 2 3" xfId="29323" xr:uid="{00000000-0005-0000-0000-00008F720000}"/>
    <cellStyle name="Comma 3 2 3 3 3" xfId="26432" xr:uid="{00000000-0005-0000-0000-000044670000}"/>
    <cellStyle name="Comma 3 2 3 3 4" xfId="28360" xr:uid="{00000000-0005-0000-0000-0000CC6E0000}"/>
    <cellStyle name="Comma 3 2 3 4" xfId="19884" xr:uid="{00000000-0005-0000-0000-0000B04D0000}"/>
    <cellStyle name="Comma 3 2 3 4 2" xfId="26742" xr:uid="{00000000-0005-0000-0000-00007A680000}"/>
    <cellStyle name="Comma 3 2 3 4 3" xfId="28670" xr:uid="{00000000-0005-0000-0000-000002700000}"/>
    <cellStyle name="Comma 3 2 3 5" xfId="25779" xr:uid="{00000000-0005-0000-0000-0000B7640000}"/>
    <cellStyle name="Comma 3 2 3 6" xfId="27706" xr:uid="{00000000-0005-0000-0000-00003E6C0000}"/>
    <cellStyle name="Comma 3 2 3 7" xfId="7625" xr:uid="{00000000-0005-0000-0000-0000CD1D0000}"/>
    <cellStyle name="Comma 3 2 4" xfId="9018" xr:uid="{00000000-0005-0000-0000-00003E230000}"/>
    <cellStyle name="Comma 3 2 5" xfId="8642" xr:uid="{00000000-0005-0000-0000-0000C6210000}"/>
    <cellStyle name="Comma 3 2 5 2" xfId="17214" xr:uid="{00000000-0005-0000-0000-000042430000}"/>
    <cellStyle name="Comma 3 2 5 2 2" xfId="23851" xr:uid="{00000000-0005-0000-0000-00002F5D0000}"/>
    <cellStyle name="Comma 3 2 5 2 2 2" xfId="27463" xr:uid="{00000000-0005-0000-0000-00004B6B0000}"/>
    <cellStyle name="Comma 3 2 5 2 2 3" xfId="29391" xr:uid="{00000000-0005-0000-0000-0000D3720000}"/>
    <cellStyle name="Comma 3 2 5 2 3" xfId="26500" xr:uid="{00000000-0005-0000-0000-000088670000}"/>
    <cellStyle name="Comma 3 2 5 2 4" xfId="28428" xr:uid="{00000000-0005-0000-0000-0000106F0000}"/>
    <cellStyle name="Comma 3 2 5 3" xfId="12663" xr:uid="{00000000-0005-0000-0000-00007B310000}"/>
    <cellStyle name="Comma 3 2 5 3 2" xfId="23133" xr:uid="{00000000-0005-0000-0000-0000615A0000}"/>
    <cellStyle name="Comma 3 2 5 3 2 2" xfId="27150" xr:uid="{00000000-0005-0000-0000-0000126A0000}"/>
    <cellStyle name="Comma 3 2 5 3 2 3" xfId="29078" xr:uid="{00000000-0005-0000-0000-00009A710000}"/>
    <cellStyle name="Comma 3 2 5 3 3" xfId="26187" xr:uid="{00000000-0005-0000-0000-00004F660000}"/>
    <cellStyle name="Comma 3 2 5 3 4" xfId="28115" xr:uid="{00000000-0005-0000-0000-0000D76D0000}"/>
    <cellStyle name="Comma 3 2 5 4" xfId="20847" xr:uid="{00000000-0005-0000-0000-000073510000}"/>
    <cellStyle name="Comma 3 2 5 4 2" xfId="26953" xr:uid="{00000000-0005-0000-0000-00004D690000}"/>
    <cellStyle name="Comma 3 2 5 4 3" xfId="28881" xr:uid="{00000000-0005-0000-0000-0000D5700000}"/>
    <cellStyle name="Comma 3 2 5 5" xfId="25990" xr:uid="{00000000-0005-0000-0000-00008A650000}"/>
    <cellStyle name="Comma 3 2 5 6" xfId="27917" xr:uid="{00000000-0005-0000-0000-0000116D0000}"/>
    <cellStyle name="Comma 3 2 6" xfId="5758" xr:uid="{00000000-0005-0000-0000-000082160000}"/>
    <cellStyle name="Comma 3 3" xfId="748" xr:uid="{00000000-0005-0000-0000-0000F0020000}"/>
    <cellStyle name="Comma 3 3 10" xfId="27549" xr:uid="{00000000-0005-0000-0000-0000A16B0000}"/>
    <cellStyle name="Comma 3 3 11" xfId="5760" xr:uid="{00000000-0005-0000-0000-000084160000}"/>
    <cellStyle name="Comma 3 3 2" xfId="2018" xr:uid="{00000000-0005-0000-0000-0000E6070000}"/>
    <cellStyle name="Comma 3 3 2 2" xfId="3862" xr:uid="{00000000-0005-0000-0000-00001A0F0000}"/>
    <cellStyle name="Comma 3 3 2 2 2" xfId="21022" xr:uid="{00000000-0005-0000-0000-000022520000}"/>
    <cellStyle name="Comma 3 3 2 2 2 2" xfId="27108" xr:uid="{00000000-0005-0000-0000-0000E8690000}"/>
    <cellStyle name="Comma 3 3 2 2 2 3" xfId="29036" xr:uid="{00000000-0005-0000-0000-000070710000}"/>
    <cellStyle name="Comma 3 3 2 2 3" xfId="26145" xr:uid="{00000000-0005-0000-0000-000025660000}"/>
    <cellStyle name="Comma 3 3 2 2 4" xfId="28072" xr:uid="{00000000-0005-0000-0000-0000AC6D0000}"/>
    <cellStyle name="Comma 3 3 2 2 5" xfId="9022" xr:uid="{00000000-0005-0000-0000-000042230000}"/>
    <cellStyle name="Comma 3 3 2 3" xfId="16534" xr:uid="{00000000-0005-0000-0000-00009A400000}"/>
    <cellStyle name="Comma 3 3 2 3 2" xfId="23389" xr:uid="{00000000-0005-0000-0000-0000615B0000}"/>
    <cellStyle name="Comma 3 3 2 3 2 2" xfId="27396" xr:uid="{00000000-0005-0000-0000-0000086B0000}"/>
    <cellStyle name="Comma 3 3 2 3 2 3" xfId="29324" xr:uid="{00000000-0005-0000-0000-000090720000}"/>
    <cellStyle name="Comma 3 3 2 3 3" xfId="26433" xr:uid="{00000000-0005-0000-0000-000045670000}"/>
    <cellStyle name="Comma 3 3 2 3 4" xfId="28361" xr:uid="{00000000-0005-0000-0000-0000CD6E0000}"/>
    <cellStyle name="Comma 3 3 2 4" xfId="19885" xr:uid="{00000000-0005-0000-0000-0000B14D0000}"/>
    <cellStyle name="Comma 3 3 2 4 2" xfId="26743" xr:uid="{00000000-0005-0000-0000-00007B680000}"/>
    <cellStyle name="Comma 3 3 2 4 3" xfId="28671" xr:uid="{00000000-0005-0000-0000-000003700000}"/>
    <cellStyle name="Comma 3 3 2 5" xfId="25780" xr:uid="{00000000-0005-0000-0000-0000B8640000}"/>
    <cellStyle name="Comma 3 3 2 6" xfId="27707" xr:uid="{00000000-0005-0000-0000-00003F6C0000}"/>
    <cellStyle name="Comma 3 3 2 7" xfId="7626" xr:uid="{00000000-0005-0000-0000-0000CE1D0000}"/>
    <cellStyle name="Comma 3 3 3" xfId="3563" xr:uid="{00000000-0005-0000-0000-0000EF0D0000}"/>
    <cellStyle name="Comma 3 3 3 10" xfId="7925" xr:uid="{00000000-0005-0000-0000-0000F91E0000}"/>
    <cellStyle name="Comma 3 3 3 2" xfId="8344" xr:uid="{00000000-0005-0000-0000-00009C200000}"/>
    <cellStyle name="Comma 3 3 3 2 2" xfId="10206" xr:uid="{00000000-0005-0000-0000-0000E2270000}"/>
    <cellStyle name="Comma 3 3 3 2 2 2" xfId="18434" xr:uid="{00000000-0005-0000-0000-000006480000}"/>
    <cellStyle name="Comma 3 3 3 2 2 2 2" xfId="24946" xr:uid="{00000000-0005-0000-0000-000076610000}"/>
    <cellStyle name="Comma 3 3 3 2 2 2 2 2" xfId="27476" xr:uid="{00000000-0005-0000-0000-0000586B0000}"/>
    <cellStyle name="Comma 3 3 3 2 2 2 2 3" xfId="29404" xr:uid="{00000000-0005-0000-0000-0000E0720000}"/>
    <cellStyle name="Comma 3 3 3 2 2 2 3" xfId="26513" xr:uid="{00000000-0005-0000-0000-000095670000}"/>
    <cellStyle name="Comma 3 3 3 2 2 2 4" xfId="28441" xr:uid="{00000000-0005-0000-0000-00001D6F0000}"/>
    <cellStyle name="Comma 3 3 3 2 2 3" xfId="22111" xr:uid="{00000000-0005-0000-0000-000063560000}"/>
    <cellStyle name="Comma 3 3 3 2 2 3 2" xfId="27135" xr:uid="{00000000-0005-0000-0000-0000036A0000}"/>
    <cellStyle name="Comma 3 3 3 2 2 3 3" xfId="29063" xr:uid="{00000000-0005-0000-0000-00008B710000}"/>
    <cellStyle name="Comma 3 3 3 2 2 4" xfId="26172" xr:uid="{00000000-0005-0000-0000-000040660000}"/>
    <cellStyle name="Comma 3 3 3 2 2 5" xfId="28099" xr:uid="{00000000-0005-0000-0000-0000C76D0000}"/>
    <cellStyle name="Comma 3 3 3 2 3" xfId="17024" xr:uid="{00000000-0005-0000-0000-000084420000}"/>
    <cellStyle name="Comma 3 3 3 2 3 2" xfId="23681" xr:uid="{00000000-0005-0000-0000-0000855C0000}"/>
    <cellStyle name="Comma 3 3 3 2 3 2 2" xfId="27461" xr:uid="{00000000-0005-0000-0000-0000496B0000}"/>
    <cellStyle name="Comma 3 3 3 2 3 2 3" xfId="29389" xr:uid="{00000000-0005-0000-0000-0000D1720000}"/>
    <cellStyle name="Comma 3 3 3 2 3 3" xfId="26498" xr:uid="{00000000-0005-0000-0000-000086670000}"/>
    <cellStyle name="Comma 3 3 3 2 3 4" xfId="28426" xr:uid="{00000000-0005-0000-0000-00000E6F0000}"/>
    <cellStyle name="Comma 3 3 3 2 4" xfId="20549" xr:uid="{00000000-0005-0000-0000-000049500000}"/>
    <cellStyle name="Comma 3 3 3 2 4 2" xfId="26823" xr:uid="{00000000-0005-0000-0000-0000CB680000}"/>
    <cellStyle name="Comma 3 3 3 2 4 3" xfId="28751" xr:uid="{00000000-0005-0000-0000-000053700000}"/>
    <cellStyle name="Comma 3 3 3 2 5" xfId="25860" xr:uid="{00000000-0005-0000-0000-000008650000}"/>
    <cellStyle name="Comma 3 3 3 2 6" xfId="27787" xr:uid="{00000000-0005-0000-0000-00008F6C0000}"/>
    <cellStyle name="Comma 3 3 3 3" xfId="9023" xr:uid="{00000000-0005-0000-0000-000043230000}"/>
    <cellStyle name="Comma 3 3 3 3 2" xfId="10396" xr:uid="{00000000-0005-0000-0000-0000A0280000}"/>
    <cellStyle name="Comma 3 3 3 3 2 2" xfId="18624" xr:uid="{00000000-0005-0000-0000-0000C4480000}"/>
    <cellStyle name="Comma 3 3 3 3 2 2 2" xfId="25136" xr:uid="{00000000-0005-0000-0000-000034620000}"/>
    <cellStyle name="Comma 3 3 3 3 2 2 2 2" xfId="27478" xr:uid="{00000000-0005-0000-0000-00005A6B0000}"/>
    <cellStyle name="Comma 3 3 3 3 2 2 2 3" xfId="29406" xr:uid="{00000000-0005-0000-0000-0000E2720000}"/>
    <cellStyle name="Comma 3 3 3 3 2 2 3" xfId="26515" xr:uid="{00000000-0005-0000-0000-000097670000}"/>
    <cellStyle name="Comma 3 3 3 3 2 2 4" xfId="28443" xr:uid="{00000000-0005-0000-0000-00001F6F0000}"/>
    <cellStyle name="Comma 3 3 3 3 2 3" xfId="22301" xr:uid="{00000000-0005-0000-0000-000021570000}"/>
    <cellStyle name="Comma 3 3 3 3 2 3 2" xfId="27137" xr:uid="{00000000-0005-0000-0000-0000056A0000}"/>
    <cellStyle name="Comma 3 3 3 3 2 3 3" xfId="29065" xr:uid="{00000000-0005-0000-0000-00008D710000}"/>
    <cellStyle name="Comma 3 3 3 3 2 4" xfId="26174" xr:uid="{00000000-0005-0000-0000-000042660000}"/>
    <cellStyle name="Comma 3 3 3 3 2 5" xfId="28101" xr:uid="{00000000-0005-0000-0000-0000C96D0000}"/>
    <cellStyle name="Comma 3 3 3 3 3" xfId="17293" xr:uid="{00000000-0005-0000-0000-000091430000}"/>
    <cellStyle name="Comma 3 3 3 3 3 2" xfId="23879" xr:uid="{00000000-0005-0000-0000-00004B5D0000}"/>
    <cellStyle name="Comma 3 3 3 3 3 2 2" xfId="27471" xr:uid="{00000000-0005-0000-0000-0000536B0000}"/>
    <cellStyle name="Comma 3 3 3 3 3 2 3" xfId="29399" xr:uid="{00000000-0005-0000-0000-0000DB720000}"/>
    <cellStyle name="Comma 3 3 3 3 3 3" xfId="26508" xr:uid="{00000000-0005-0000-0000-000090670000}"/>
    <cellStyle name="Comma 3 3 3 3 3 4" xfId="28436" xr:uid="{00000000-0005-0000-0000-0000186F0000}"/>
    <cellStyle name="Comma 3 3 3 3 4" xfId="21023" xr:uid="{00000000-0005-0000-0000-000023520000}"/>
    <cellStyle name="Comma 3 3 3 3 4 2" xfId="27109" xr:uid="{00000000-0005-0000-0000-0000E9690000}"/>
    <cellStyle name="Comma 3 3 3 3 4 3" xfId="29037" xr:uid="{00000000-0005-0000-0000-000071710000}"/>
    <cellStyle name="Comma 3 3 3 3 5" xfId="26146" xr:uid="{00000000-0005-0000-0000-000026660000}"/>
    <cellStyle name="Comma 3 3 3 3 6" xfId="28073" xr:uid="{00000000-0005-0000-0000-0000AD6D0000}"/>
    <cellStyle name="Comma 3 3 3 4" xfId="9788" xr:uid="{00000000-0005-0000-0000-000040260000}"/>
    <cellStyle name="Comma 3 3 3 4 2" xfId="18016" xr:uid="{00000000-0005-0000-0000-000064460000}"/>
    <cellStyle name="Comma 3 3 3 4 2 2" xfId="24528" xr:uid="{00000000-0005-0000-0000-0000D45F0000}"/>
    <cellStyle name="Comma 3 3 3 4 2 2 2" xfId="27474" xr:uid="{00000000-0005-0000-0000-0000566B0000}"/>
    <cellStyle name="Comma 3 3 3 4 2 2 3" xfId="29402" xr:uid="{00000000-0005-0000-0000-0000DE720000}"/>
    <cellStyle name="Comma 3 3 3 4 2 3" xfId="26511" xr:uid="{00000000-0005-0000-0000-000093670000}"/>
    <cellStyle name="Comma 3 3 3 4 2 4" xfId="28439" xr:uid="{00000000-0005-0000-0000-00001B6F0000}"/>
    <cellStyle name="Comma 3 3 3 4 3" xfId="21693" xr:uid="{00000000-0005-0000-0000-0000C1540000}"/>
    <cellStyle name="Comma 3 3 3 4 3 2" xfId="27133" xr:uid="{00000000-0005-0000-0000-0000016A0000}"/>
    <cellStyle name="Comma 3 3 3 4 3 3" xfId="29061" xr:uid="{00000000-0005-0000-0000-000089710000}"/>
    <cellStyle name="Comma 3 3 3 4 4" xfId="26170" xr:uid="{00000000-0005-0000-0000-00003E660000}"/>
    <cellStyle name="Comma 3 3 3 4 5" xfId="28097" xr:uid="{00000000-0005-0000-0000-0000C56D0000}"/>
    <cellStyle name="Comma 3 3 3 5" xfId="16769" xr:uid="{00000000-0005-0000-0000-000085410000}"/>
    <cellStyle name="Comma 3 3 3 5 2" xfId="23456" xr:uid="{00000000-0005-0000-0000-0000A45B0000}"/>
    <cellStyle name="Comma 3 3 3 5 2 2" xfId="27459" xr:uid="{00000000-0005-0000-0000-0000476B0000}"/>
    <cellStyle name="Comma 3 3 3 5 2 3" xfId="29387" xr:uid="{00000000-0005-0000-0000-0000CF720000}"/>
    <cellStyle name="Comma 3 3 3 5 3" xfId="26496" xr:uid="{00000000-0005-0000-0000-000084670000}"/>
    <cellStyle name="Comma 3 3 3 5 4" xfId="28424" xr:uid="{00000000-0005-0000-0000-00000C6F0000}"/>
    <cellStyle name="Comma 3 3 3 6" xfId="10801" xr:uid="{00000000-0005-0000-0000-0000352A0000}"/>
    <cellStyle name="Comma 3 3 3 6 2" xfId="22704" xr:uid="{00000000-0005-0000-0000-0000B4580000}"/>
    <cellStyle name="Comma 3 3 3 6 2 2" xfId="27138" xr:uid="{00000000-0005-0000-0000-0000066A0000}"/>
    <cellStyle name="Comma 3 3 3 6 2 3" xfId="29066" xr:uid="{00000000-0005-0000-0000-00008E710000}"/>
    <cellStyle name="Comma 3 3 3 6 3" xfId="26175" xr:uid="{00000000-0005-0000-0000-000043660000}"/>
    <cellStyle name="Comma 3 3 3 6 4" xfId="28102" xr:uid="{00000000-0005-0000-0000-0000CA6D0000}"/>
    <cellStyle name="Comma 3 3 3 7" xfId="20131" xr:uid="{00000000-0005-0000-0000-0000A74E0000}"/>
    <cellStyle name="Comma 3 3 3 7 2" xfId="26821" xr:uid="{00000000-0005-0000-0000-0000C9680000}"/>
    <cellStyle name="Comma 3 3 3 7 3" xfId="28749" xr:uid="{00000000-0005-0000-0000-000051700000}"/>
    <cellStyle name="Comma 3 3 3 8" xfId="25858" xr:uid="{00000000-0005-0000-0000-000006650000}"/>
    <cellStyle name="Comma 3 3 3 9" xfId="27785" xr:uid="{00000000-0005-0000-0000-00008D6C0000}"/>
    <cellStyle name="Comma 3 3 4" xfId="8135" xr:uid="{00000000-0005-0000-0000-0000CB1F0000}"/>
    <cellStyle name="Comma 3 3 4 2" xfId="9021" xr:uid="{00000000-0005-0000-0000-000041230000}"/>
    <cellStyle name="Comma 3 3 4 2 2" xfId="10395" xr:uid="{00000000-0005-0000-0000-00009F280000}"/>
    <cellStyle name="Comma 3 3 4 2 2 2" xfId="18623" xr:uid="{00000000-0005-0000-0000-0000C3480000}"/>
    <cellStyle name="Comma 3 3 4 2 2 2 2" xfId="25135" xr:uid="{00000000-0005-0000-0000-000033620000}"/>
    <cellStyle name="Comma 3 3 4 2 2 2 2 2" xfId="27477" xr:uid="{00000000-0005-0000-0000-0000596B0000}"/>
    <cellStyle name="Comma 3 3 4 2 2 2 2 3" xfId="29405" xr:uid="{00000000-0005-0000-0000-0000E1720000}"/>
    <cellStyle name="Comma 3 3 4 2 2 2 3" xfId="26514" xr:uid="{00000000-0005-0000-0000-000096670000}"/>
    <cellStyle name="Comma 3 3 4 2 2 2 4" xfId="28442" xr:uid="{00000000-0005-0000-0000-00001E6F0000}"/>
    <cellStyle name="Comma 3 3 4 2 2 3" xfId="22300" xr:uid="{00000000-0005-0000-0000-000020570000}"/>
    <cellStyle name="Comma 3 3 4 2 2 3 2" xfId="27136" xr:uid="{00000000-0005-0000-0000-0000046A0000}"/>
    <cellStyle name="Comma 3 3 4 2 2 3 3" xfId="29064" xr:uid="{00000000-0005-0000-0000-00008C710000}"/>
    <cellStyle name="Comma 3 3 4 2 2 4" xfId="26173" xr:uid="{00000000-0005-0000-0000-000041660000}"/>
    <cellStyle name="Comma 3 3 4 2 2 5" xfId="28100" xr:uid="{00000000-0005-0000-0000-0000C86D0000}"/>
    <cellStyle name="Comma 3 3 4 2 3" xfId="17292" xr:uid="{00000000-0005-0000-0000-000090430000}"/>
    <cellStyle name="Comma 3 3 4 2 3 2" xfId="23878" xr:uid="{00000000-0005-0000-0000-00004A5D0000}"/>
    <cellStyle name="Comma 3 3 4 2 3 2 2" xfId="27470" xr:uid="{00000000-0005-0000-0000-0000526B0000}"/>
    <cellStyle name="Comma 3 3 4 2 3 2 3" xfId="29398" xr:uid="{00000000-0005-0000-0000-0000DA720000}"/>
    <cellStyle name="Comma 3 3 4 2 3 3" xfId="26507" xr:uid="{00000000-0005-0000-0000-00008F670000}"/>
    <cellStyle name="Comma 3 3 4 2 3 4" xfId="28435" xr:uid="{00000000-0005-0000-0000-0000176F0000}"/>
    <cellStyle name="Comma 3 3 4 2 4" xfId="21021" xr:uid="{00000000-0005-0000-0000-000021520000}"/>
    <cellStyle name="Comma 3 3 4 2 4 2" xfId="27107" xr:uid="{00000000-0005-0000-0000-0000E7690000}"/>
    <cellStyle name="Comma 3 3 4 2 4 3" xfId="29035" xr:uid="{00000000-0005-0000-0000-00006F710000}"/>
    <cellStyle name="Comma 3 3 4 2 5" xfId="26144" xr:uid="{00000000-0005-0000-0000-000024660000}"/>
    <cellStyle name="Comma 3 3 4 2 6" xfId="28071" xr:uid="{00000000-0005-0000-0000-0000AB6D0000}"/>
    <cellStyle name="Comma 3 3 4 3" xfId="9997" xr:uid="{00000000-0005-0000-0000-000011270000}"/>
    <cellStyle name="Comma 3 3 4 3 2" xfId="18225" xr:uid="{00000000-0005-0000-0000-000035470000}"/>
    <cellStyle name="Comma 3 3 4 3 2 2" xfId="24737" xr:uid="{00000000-0005-0000-0000-0000A5600000}"/>
    <cellStyle name="Comma 3 3 4 3 2 2 2" xfId="27475" xr:uid="{00000000-0005-0000-0000-0000576B0000}"/>
    <cellStyle name="Comma 3 3 4 3 2 2 3" xfId="29403" xr:uid="{00000000-0005-0000-0000-0000DF720000}"/>
    <cellStyle name="Comma 3 3 4 3 2 3" xfId="26512" xr:uid="{00000000-0005-0000-0000-000094670000}"/>
    <cellStyle name="Comma 3 3 4 3 2 4" xfId="28440" xr:uid="{00000000-0005-0000-0000-00001C6F0000}"/>
    <cellStyle name="Comma 3 3 4 3 3" xfId="21902" xr:uid="{00000000-0005-0000-0000-000092550000}"/>
    <cellStyle name="Comma 3 3 4 3 3 2" xfId="27134" xr:uid="{00000000-0005-0000-0000-0000026A0000}"/>
    <cellStyle name="Comma 3 3 4 3 3 3" xfId="29062" xr:uid="{00000000-0005-0000-0000-00008A710000}"/>
    <cellStyle name="Comma 3 3 4 3 4" xfId="26171" xr:uid="{00000000-0005-0000-0000-00003F660000}"/>
    <cellStyle name="Comma 3 3 4 3 5" xfId="28098" xr:uid="{00000000-0005-0000-0000-0000C66D0000}"/>
    <cellStyle name="Comma 3 3 4 4" xfId="16825" xr:uid="{00000000-0005-0000-0000-0000BD410000}"/>
    <cellStyle name="Comma 3 3 4 4 2" xfId="23484" xr:uid="{00000000-0005-0000-0000-0000C05B0000}"/>
    <cellStyle name="Comma 3 3 4 4 2 2" xfId="27460" xr:uid="{00000000-0005-0000-0000-0000486B0000}"/>
    <cellStyle name="Comma 3 3 4 4 2 3" xfId="29388" xr:uid="{00000000-0005-0000-0000-0000D0720000}"/>
    <cellStyle name="Comma 3 3 4 4 3" xfId="26497" xr:uid="{00000000-0005-0000-0000-000085670000}"/>
    <cellStyle name="Comma 3 3 4 4 4" xfId="28425" xr:uid="{00000000-0005-0000-0000-00000D6F0000}"/>
    <cellStyle name="Comma 3 3 4 5" xfId="10802" xr:uid="{00000000-0005-0000-0000-0000362A0000}"/>
    <cellStyle name="Comma 3 3 4 5 2" xfId="22705" xr:uid="{00000000-0005-0000-0000-0000B5580000}"/>
    <cellStyle name="Comma 3 3 4 5 2 2" xfId="27139" xr:uid="{00000000-0005-0000-0000-0000076A0000}"/>
    <cellStyle name="Comma 3 3 4 5 2 3" xfId="29067" xr:uid="{00000000-0005-0000-0000-00008F710000}"/>
    <cellStyle name="Comma 3 3 4 5 3" xfId="26176" xr:uid="{00000000-0005-0000-0000-000044660000}"/>
    <cellStyle name="Comma 3 3 4 5 4" xfId="28103" xr:uid="{00000000-0005-0000-0000-0000CB6D0000}"/>
    <cellStyle name="Comma 3 3 4 6" xfId="20340" xr:uid="{00000000-0005-0000-0000-0000784F0000}"/>
    <cellStyle name="Comma 3 3 4 6 2" xfId="26822" xr:uid="{00000000-0005-0000-0000-0000CA680000}"/>
    <cellStyle name="Comma 3 3 4 6 3" xfId="28750" xr:uid="{00000000-0005-0000-0000-000052700000}"/>
    <cellStyle name="Comma 3 3 4 7" xfId="25859" xr:uid="{00000000-0005-0000-0000-000007650000}"/>
    <cellStyle name="Comma 3 3 4 8" xfId="27786" xr:uid="{00000000-0005-0000-0000-00008E6C0000}"/>
    <cellStyle name="Comma 3 3 5" xfId="8643" xr:uid="{00000000-0005-0000-0000-0000C7210000}"/>
    <cellStyle name="Comma 3 3 5 2" xfId="20848" xr:uid="{00000000-0005-0000-0000-000074510000}"/>
    <cellStyle name="Comma 3 3 5 2 2" xfId="26954" xr:uid="{00000000-0005-0000-0000-00004E690000}"/>
    <cellStyle name="Comma 3 3 5 2 3" xfId="28882" xr:uid="{00000000-0005-0000-0000-0000D6700000}"/>
    <cellStyle name="Comma 3 3 5 3" xfId="25991" xr:uid="{00000000-0005-0000-0000-00008B650000}"/>
    <cellStyle name="Comma 3 3 5 4" xfId="27918" xr:uid="{00000000-0005-0000-0000-0000126D0000}"/>
    <cellStyle name="Comma 3 3 6" xfId="9579" xr:uid="{00000000-0005-0000-0000-00006F250000}"/>
    <cellStyle name="Comma 3 3 6 2" xfId="17807" xr:uid="{00000000-0005-0000-0000-000093450000}"/>
    <cellStyle name="Comma 3 3 6 2 2" xfId="24319" xr:uid="{00000000-0005-0000-0000-0000035F0000}"/>
    <cellStyle name="Comma 3 3 6 2 2 2" xfId="27473" xr:uid="{00000000-0005-0000-0000-0000556B0000}"/>
    <cellStyle name="Comma 3 3 6 2 2 3" xfId="29401" xr:uid="{00000000-0005-0000-0000-0000DD720000}"/>
    <cellStyle name="Comma 3 3 6 2 3" xfId="26510" xr:uid="{00000000-0005-0000-0000-000092670000}"/>
    <cellStyle name="Comma 3 3 6 2 4" xfId="28438" xr:uid="{00000000-0005-0000-0000-00001A6F0000}"/>
    <cellStyle name="Comma 3 3 6 3" xfId="21484" xr:uid="{00000000-0005-0000-0000-0000F0530000}"/>
    <cellStyle name="Comma 3 3 6 3 2" xfId="27132" xr:uid="{00000000-0005-0000-0000-0000006A0000}"/>
    <cellStyle name="Comma 3 3 6 3 3" xfId="29060" xr:uid="{00000000-0005-0000-0000-000088710000}"/>
    <cellStyle name="Comma 3 3 6 4" xfId="26169" xr:uid="{00000000-0005-0000-0000-00003D660000}"/>
    <cellStyle name="Comma 3 3 6 5" xfId="28096" xr:uid="{00000000-0005-0000-0000-0000C46D0000}"/>
    <cellStyle name="Comma 3 3 7" xfId="15586" xr:uid="{00000000-0005-0000-0000-0000E63C0000}"/>
    <cellStyle name="Comma 3 3 7 2" xfId="23250" xr:uid="{00000000-0005-0000-0000-0000D65A0000}"/>
    <cellStyle name="Comma 3 3 7 2 2" xfId="27258" xr:uid="{00000000-0005-0000-0000-00007E6A0000}"/>
    <cellStyle name="Comma 3 3 7 2 3" xfId="29186" xr:uid="{00000000-0005-0000-0000-000006720000}"/>
    <cellStyle name="Comma 3 3 7 3" xfId="26295" xr:uid="{00000000-0005-0000-0000-0000BB660000}"/>
    <cellStyle name="Comma 3 3 7 4" xfId="28223" xr:uid="{00000000-0005-0000-0000-0000436E0000}"/>
    <cellStyle name="Comma 3 3 8" xfId="19687" xr:uid="{00000000-0005-0000-0000-0000EB4C0000}"/>
    <cellStyle name="Comma 3 3 8 2" xfId="26585" xr:uid="{00000000-0005-0000-0000-0000DD670000}"/>
    <cellStyle name="Comma 3 3 8 3" xfId="28513" xr:uid="{00000000-0005-0000-0000-0000656F0000}"/>
    <cellStyle name="Comma 3 3 9" xfId="25622" xr:uid="{00000000-0005-0000-0000-00001A640000}"/>
    <cellStyle name="Comma 3 4" xfId="749" xr:uid="{00000000-0005-0000-0000-0000F1020000}"/>
    <cellStyle name="Comma 3 4 2" xfId="2019" xr:uid="{00000000-0005-0000-0000-0000E7070000}"/>
    <cellStyle name="Comma 3 4 2 2" xfId="3863" xr:uid="{00000000-0005-0000-0000-00001B0F0000}"/>
    <cellStyle name="Comma 3 4 2 2 2" xfId="21024" xr:uid="{00000000-0005-0000-0000-000024520000}"/>
    <cellStyle name="Comma 3 4 2 2 2 2" xfId="27110" xr:uid="{00000000-0005-0000-0000-0000EA690000}"/>
    <cellStyle name="Comma 3 4 2 2 2 3" xfId="29038" xr:uid="{00000000-0005-0000-0000-000072710000}"/>
    <cellStyle name="Comma 3 4 2 2 3" xfId="26147" xr:uid="{00000000-0005-0000-0000-000027660000}"/>
    <cellStyle name="Comma 3 4 2 2 4" xfId="28074" xr:uid="{00000000-0005-0000-0000-0000AE6D0000}"/>
    <cellStyle name="Comma 3 4 2 2 5" xfId="9024" xr:uid="{00000000-0005-0000-0000-000044230000}"/>
    <cellStyle name="Comma 3 4 2 3" xfId="16535" xr:uid="{00000000-0005-0000-0000-00009B400000}"/>
    <cellStyle name="Comma 3 4 2 3 2" xfId="23390" xr:uid="{00000000-0005-0000-0000-0000625B0000}"/>
    <cellStyle name="Comma 3 4 2 3 2 2" xfId="27397" xr:uid="{00000000-0005-0000-0000-0000096B0000}"/>
    <cellStyle name="Comma 3 4 2 3 2 3" xfId="29325" xr:uid="{00000000-0005-0000-0000-000091720000}"/>
    <cellStyle name="Comma 3 4 2 3 3" xfId="26434" xr:uid="{00000000-0005-0000-0000-000046670000}"/>
    <cellStyle name="Comma 3 4 2 3 4" xfId="28362" xr:uid="{00000000-0005-0000-0000-0000CE6E0000}"/>
    <cellStyle name="Comma 3 4 2 4" xfId="19886" xr:uid="{00000000-0005-0000-0000-0000B24D0000}"/>
    <cellStyle name="Comma 3 4 2 4 2" xfId="26744" xr:uid="{00000000-0005-0000-0000-00007C680000}"/>
    <cellStyle name="Comma 3 4 2 4 3" xfId="28672" xr:uid="{00000000-0005-0000-0000-000004700000}"/>
    <cellStyle name="Comma 3 4 2 5" xfId="25781" xr:uid="{00000000-0005-0000-0000-0000B9640000}"/>
    <cellStyle name="Comma 3 4 2 6" xfId="27708" xr:uid="{00000000-0005-0000-0000-0000406C0000}"/>
    <cellStyle name="Comma 3 4 2 7" xfId="7627" xr:uid="{00000000-0005-0000-0000-0000CF1D0000}"/>
    <cellStyle name="Comma 3 4 3" xfId="3564" xr:uid="{00000000-0005-0000-0000-0000F00D0000}"/>
    <cellStyle name="Comma 3 4 3 2" xfId="20849" xr:uid="{00000000-0005-0000-0000-000075510000}"/>
    <cellStyle name="Comma 3 4 3 2 2" xfId="26955" xr:uid="{00000000-0005-0000-0000-00004F690000}"/>
    <cellStyle name="Comma 3 4 3 2 3" xfId="28883" xr:uid="{00000000-0005-0000-0000-0000D7700000}"/>
    <cellStyle name="Comma 3 4 3 3" xfId="25992" xr:uid="{00000000-0005-0000-0000-00008C650000}"/>
    <cellStyle name="Comma 3 4 3 4" xfId="27919" xr:uid="{00000000-0005-0000-0000-0000136D0000}"/>
    <cellStyle name="Comma 3 4 3 5" xfId="8644" xr:uid="{00000000-0005-0000-0000-0000C8210000}"/>
    <cellStyle name="Comma 3 4 4" xfId="15587" xr:uid="{00000000-0005-0000-0000-0000E73C0000}"/>
    <cellStyle name="Comma 3 4 4 2" xfId="23251" xr:uid="{00000000-0005-0000-0000-0000D75A0000}"/>
    <cellStyle name="Comma 3 4 4 2 2" xfId="27259" xr:uid="{00000000-0005-0000-0000-00007F6A0000}"/>
    <cellStyle name="Comma 3 4 4 2 3" xfId="29187" xr:uid="{00000000-0005-0000-0000-000007720000}"/>
    <cellStyle name="Comma 3 4 4 3" xfId="26296" xr:uid="{00000000-0005-0000-0000-0000BC660000}"/>
    <cellStyle name="Comma 3 4 4 4" xfId="28224" xr:uid="{00000000-0005-0000-0000-0000446E0000}"/>
    <cellStyle name="Comma 3 4 5" xfId="19688" xr:uid="{00000000-0005-0000-0000-0000EC4C0000}"/>
    <cellStyle name="Comma 3 4 5 2" xfId="26586" xr:uid="{00000000-0005-0000-0000-0000DE670000}"/>
    <cellStyle name="Comma 3 4 5 3" xfId="28514" xr:uid="{00000000-0005-0000-0000-0000666F0000}"/>
    <cellStyle name="Comma 3 4 6" xfId="25623" xr:uid="{00000000-0005-0000-0000-00001B640000}"/>
    <cellStyle name="Comma 3 4 7" xfId="27550" xr:uid="{00000000-0005-0000-0000-0000A26B0000}"/>
    <cellStyle name="Comma 3 4 8" xfId="5761" xr:uid="{00000000-0005-0000-0000-000085160000}"/>
    <cellStyle name="Comma 3 5" xfId="750" xr:uid="{00000000-0005-0000-0000-0000F2020000}"/>
    <cellStyle name="Comma 3 5 2" xfId="2020" xr:uid="{00000000-0005-0000-0000-0000E8070000}"/>
    <cellStyle name="Comma 3 5 2 2" xfId="3864" xr:uid="{00000000-0005-0000-0000-00001C0F0000}"/>
    <cellStyle name="Comma 3 5 2 2 2" xfId="26956" xr:uid="{00000000-0005-0000-0000-000050690000}"/>
    <cellStyle name="Comma 3 5 2 2 3" xfId="28884" xr:uid="{00000000-0005-0000-0000-0000D8700000}"/>
    <cellStyle name="Comma 3 5 2 2 4" xfId="20850" xr:uid="{00000000-0005-0000-0000-000076510000}"/>
    <cellStyle name="Comma 3 5 2 3" xfId="25993" xr:uid="{00000000-0005-0000-0000-00008D650000}"/>
    <cellStyle name="Comma 3 5 2 4" xfId="27920" xr:uid="{00000000-0005-0000-0000-0000146D0000}"/>
    <cellStyle name="Comma 3 5 2 5" xfId="8645" xr:uid="{00000000-0005-0000-0000-0000C9210000}"/>
    <cellStyle name="Comma 3 5 3" xfId="3565" xr:uid="{00000000-0005-0000-0000-0000F10D0000}"/>
    <cellStyle name="Comma 3 5 3 2" xfId="23391" xr:uid="{00000000-0005-0000-0000-0000635B0000}"/>
    <cellStyle name="Comma 3 5 3 2 2" xfId="27398" xr:uid="{00000000-0005-0000-0000-00000A6B0000}"/>
    <cellStyle name="Comma 3 5 3 2 3" xfId="29326" xr:uid="{00000000-0005-0000-0000-000092720000}"/>
    <cellStyle name="Comma 3 5 3 3" xfId="26435" xr:uid="{00000000-0005-0000-0000-000047670000}"/>
    <cellStyle name="Comma 3 5 3 4" xfId="28363" xr:uid="{00000000-0005-0000-0000-0000CF6E0000}"/>
    <cellStyle name="Comma 3 5 3 5" xfId="16536" xr:uid="{00000000-0005-0000-0000-00009C400000}"/>
    <cellStyle name="Comma 3 5 4" xfId="19887" xr:uid="{00000000-0005-0000-0000-0000B34D0000}"/>
    <cellStyle name="Comma 3 5 4 2" xfId="26745" xr:uid="{00000000-0005-0000-0000-00007D680000}"/>
    <cellStyle name="Comma 3 5 4 3" xfId="28673" xr:uid="{00000000-0005-0000-0000-000005700000}"/>
    <cellStyle name="Comma 3 5 5" xfId="25782" xr:uid="{00000000-0005-0000-0000-0000BA640000}"/>
    <cellStyle name="Comma 3 5 6" xfId="27709" xr:uid="{00000000-0005-0000-0000-0000416C0000}"/>
    <cellStyle name="Comma 3 5 7" xfId="7628" xr:uid="{00000000-0005-0000-0000-0000D01D0000}"/>
    <cellStyle name="Comma 3 6" xfId="751" xr:uid="{00000000-0005-0000-0000-0000F3020000}"/>
    <cellStyle name="Comma 3 6 2" xfId="2021" xr:uid="{00000000-0005-0000-0000-0000E9070000}"/>
    <cellStyle name="Comma 3 6 2 2" xfId="3865" xr:uid="{00000000-0005-0000-0000-00001D0F0000}"/>
    <cellStyle name="Comma 3 6 2 2 2" xfId="26957" xr:uid="{00000000-0005-0000-0000-000051690000}"/>
    <cellStyle name="Comma 3 6 2 2 3" xfId="28885" xr:uid="{00000000-0005-0000-0000-0000D9700000}"/>
    <cellStyle name="Comma 3 6 2 2 4" xfId="20851" xr:uid="{00000000-0005-0000-0000-000077510000}"/>
    <cellStyle name="Comma 3 6 2 3" xfId="25994" xr:uid="{00000000-0005-0000-0000-00008E650000}"/>
    <cellStyle name="Comma 3 6 2 4" xfId="27921" xr:uid="{00000000-0005-0000-0000-0000156D0000}"/>
    <cellStyle name="Comma 3 6 2 5" xfId="8646" xr:uid="{00000000-0005-0000-0000-0000CA210000}"/>
    <cellStyle name="Comma 3 6 3" xfId="3566" xr:uid="{00000000-0005-0000-0000-0000F20D0000}"/>
    <cellStyle name="Comma 3 6 3 2" xfId="23392" xr:uid="{00000000-0005-0000-0000-0000645B0000}"/>
    <cellStyle name="Comma 3 6 3 2 2" xfId="27399" xr:uid="{00000000-0005-0000-0000-00000B6B0000}"/>
    <cellStyle name="Comma 3 6 3 2 3" xfId="29327" xr:uid="{00000000-0005-0000-0000-000093720000}"/>
    <cellStyle name="Comma 3 6 3 3" xfId="26436" xr:uid="{00000000-0005-0000-0000-000048670000}"/>
    <cellStyle name="Comma 3 6 3 4" xfId="28364" xr:uid="{00000000-0005-0000-0000-0000D06E0000}"/>
    <cellStyle name="Comma 3 6 3 5" xfId="16537" xr:uid="{00000000-0005-0000-0000-00009D400000}"/>
    <cellStyle name="Comma 3 6 4" xfId="19888" xr:uid="{00000000-0005-0000-0000-0000B44D0000}"/>
    <cellStyle name="Comma 3 6 4 2" xfId="26746" xr:uid="{00000000-0005-0000-0000-00007E680000}"/>
    <cellStyle name="Comma 3 6 4 3" xfId="28674" xr:uid="{00000000-0005-0000-0000-000006700000}"/>
    <cellStyle name="Comma 3 6 5" xfId="25783" xr:uid="{00000000-0005-0000-0000-0000BB640000}"/>
    <cellStyle name="Comma 3 6 6" xfId="27710" xr:uid="{00000000-0005-0000-0000-0000426C0000}"/>
    <cellStyle name="Comma 3 6 7" xfId="7629" xr:uid="{00000000-0005-0000-0000-0000D11D0000}"/>
    <cellStyle name="Comma 3 7" xfId="752" xr:uid="{00000000-0005-0000-0000-0000F4020000}"/>
    <cellStyle name="Comma 3 7 2" xfId="2022" xr:uid="{00000000-0005-0000-0000-0000EA070000}"/>
    <cellStyle name="Comma 3 7 2 2" xfId="3866" xr:uid="{00000000-0005-0000-0000-00001E0F0000}"/>
    <cellStyle name="Comma 3 7 2 2 2" xfId="26958" xr:uid="{00000000-0005-0000-0000-000052690000}"/>
    <cellStyle name="Comma 3 7 2 2 3" xfId="28886" xr:uid="{00000000-0005-0000-0000-0000DA700000}"/>
    <cellStyle name="Comma 3 7 2 2 4" xfId="20852" xr:uid="{00000000-0005-0000-0000-000078510000}"/>
    <cellStyle name="Comma 3 7 2 3" xfId="25995" xr:uid="{00000000-0005-0000-0000-00008F650000}"/>
    <cellStyle name="Comma 3 7 2 4" xfId="27922" xr:uid="{00000000-0005-0000-0000-0000166D0000}"/>
    <cellStyle name="Comma 3 7 2 5" xfId="8647" xr:uid="{00000000-0005-0000-0000-0000CB210000}"/>
    <cellStyle name="Comma 3 7 3" xfId="3567" xr:uid="{00000000-0005-0000-0000-0000F30D0000}"/>
    <cellStyle name="Comma 3 7 3 2" xfId="23393" xr:uid="{00000000-0005-0000-0000-0000655B0000}"/>
    <cellStyle name="Comma 3 7 3 2 2" xfId="27400" xr:uid="{00000000-0005-0000-0000-00000C6B0000}"/>
    <cellStyle name="Comma 3 7 3 2 3" xfId="29328" xr:uid="{00000000-0005-0000-0000-000094720000}"/>
    <cellStyle name="Comma 3 7 3 3" xfId="26437" xr:uid="{00000000-0005-0000-0000-000049670000}"/>
    <cellStyle name="Comma 3 7 3 4" xfId="28365" xr:uid="{00000000-0005-0000-0000-0000D16E0000}"/>
    <cellStyle name="Comma 3 7 3 5" xfId="16538" xr:uid="{00000000-0005-0000-0000-00009E400000}"/>
    <cellStyle name="Comma 3 7 4" xfId="19889" xr:uid="{00000000-0005-0000-0000-0000B54D0000}"/>
    <cellStyle name="Comma 3 7 4 2" xfId="26747" xr:uid="{00000000-0005-0000-0000-00007F680000}"/>
    <cellStyle name="Comma 3 7 4 3" xfId="28675" xr:uid="{00000000-0005-0000-0000-000007700000}"/>
    <cellStyle name="Comma 3 7 5" xfId="25784" xr:uid="{00000000-0005-0000-0000-0000BC640000}"/>
    <cellStyle name="Comma 3 7 6" xfId="27711" xr:uid="{00000000-0005-0000-0000-0000436C0000}"/>
    <cellStyle name="Comma 3 7 7" xfId="7630" xr:uid="{00000000-0005-0000-0000-0000D21D0000}"/>
    <cellStyle name="Comma 3 8" xfId="753" xr:uid="{00000000-0005-0000-0000-0000F5020000}"/>
    <cellStyle name="Comma 3 8 2" xfId="2023" xr:uid="{00000000-0005-0000-0000-0000EB070000}"/>
    <cellStyle name="Comma 3 8 2 2" xfId="3867" xr:uid="{00000000-0005-0000-0000-00001F0F0000}"/>
    <cellStyle name="Comma 3 8 2 2 2" xfId="26959" xr:uid="{00000000-0005-0000-0000-000053690000}"/>
    <cellStyle name="Comma 3 8 2 2 3" xfId="28887" xr:uid="{00000000-0005-0000-0000-0000DB700000}"/>
    <cellStyle name="Comma 3 8 2 2 4" xfId="20853" xr:uid="{00000000-0005-0000-0000-000079510000}"/>
    <cellStyle name="Comma 3 8 2 3" xfId="25996" xr:uid="{00000000-0005-0000-0000-000090650000}"/>
    <cellStyle name="Comma 3 8 2 4" xfId="27923" xr:uid="{00000000-0005-0000-0000-0000176D0000}"/>
    <cellStyle name="Comma 3 8 2 5" xfId="8648" xr:uid="{00000000-0005-0000-0000-0000CC210000}"/>
    <cellStyle name="Comma 3 8 3" xfId="3568" xr:uid="{00000000-0005-0000-0000-0000F40D0000}"/>
    <cellStyle name="Comma 3 8 3 2" xfId="23394" xr:uid="{00000000-0005-0000-0000-0000665B0000}"/>
    <cellStyle name="Comma 3 8 3 2 2" xfId="27401" xr:uid="{00000000-0005-0000-0000-00000D6B0000}"/>
    <cellStyle name="Comma 3 8 3 2 3" xfId="29329" xr:uid="{00000000-0005-0000-0000-000095720000}"/>
    <cellStyle name="Comma 3 8 3 3" xfId="26438" xr:uid="{00000000-0005-0000-0000-00004A670000}"/>
    <cellStyle name="Comma 3 8 3 4" xfId="28366" xr:uid="{00000000-0005-0000-0000-0000D26E0000}"/>
    <cellStyle name="Comma 3 8 3 5" xfId="16539" xr:uid="{00000000-0005-0000-0000-00009F400000}"/>
    <cellStyle name="Comma 3 8 4" xfId="19890" xr:uid="{00000000-0005-0000-0000-0000B64D0000}"/>
    <cellStyle name="Comma 3 8 4 2" xfId="26748" xr:uid="{00000000-0005-0000-0000-000080680000}"/>
    <cellStyle name="Comma 3 8 4 3" xfId="28676" xr:uid="{00000000-0005-0000-0000-000008700000}"/>
    <cellStyle name="Comma 3 8 5" xfId="25785" xr:uid="{00000000-0005-0000-0000-0000BD640000}"/>
    <cellStyle name="Comma 3 8 6" xfId="27712" xr:uid="{00000000-0005-0000-0000-0000446C0000}"/>
    <cellStyle name="Comma 3 8 7" xfId="7631" xr:uid="{00000000-0005-0000-0000-0000D31D0000}"/>
    <cellStyle name="Comma 3 9" xfId="2016" xr:uid="{00000000-0005-0000-0000-0000E4070000}"/>
    <cellStyle name="Comma 3 9 2" xfId="3860" xr:uid="{00000000-0005-0000-0000-0000180F0000}"/>
    <cellStyle name="Comma 3 9 2 2" xfId="21025" xr:uid="{00000000-0005-0000-0000-000025520000}"/>
    <cellStyle name="Comma 3 9 2 2 2" xfId="27111" xr:uid="{00000000-0005-0000-0000-0000EB690000}"/>
    <cellStyle name="Comma 3 9 2 2 3" xfId="29039" xr:uid="{00000000-0005-0000-0000-000073710000}"/>
    <cellStyle name="Comma 3 9 2 3" xfId="26148" xr:uid="{00000000-0005-0000-0000-000028660000}"/>
    <cellStyle name="Comma 3 9 2 4" xfId="28075" xr:uid="{00000000-0005-0000-0000-0000AF6D0000}"/>
    <cellStyle name="Comma 3 9 2 5" xfId="9025" xr:uid="{00000000-0005-0000-0000-000045230000}"/>
    <cellStyle name="Comma 3 9 3" xfId="16540" xr:uid="{00000000-0005-0000-0000-0000A0400000}"/>
    <cellStyle name="Comma 3 9 3 2" xfId="23395" xr:uid="{00000000-0005-0000-0000-0000675B0000}"/>
    <cellStyle name="Comma 3 9 3 2 2" xfId="27402" xr:uid="{00000000-0005-0000-0000-00000E6B0000}"/>
    <cellStyle name="Comma 3 9 3 2 3" xfId="29330" xr:uid="{00000000-0005-0000-0000-000096720000}"/>
    <cellStyle name="Comma 3 9 3 3" xfId="26439" xr:uid="{00000000-0005-0000-0000-00004B670000}"/>
    <cellStyle name="Comma 3 9 3 4" xfId="28367" xr:uid="{00000000-0005-0000-0000-0000D36E0000}"/>
    <cellStyle name="Comma 3 9 4" xfId="19891" xr:uid="{00000000-0005-0000-0000-0000B74D0000}"/>
    <cellStyle name="Comma 3 9 4 2" xfId="26749" xr:uid="{00000000-0005-0000-0000-000081680000}"/>
    <cellStyle name="Comma 3 9 4 3" xfId="28677" xr:uid="{00000000-0005-0000-0000-000009700000}"/>
    <cellStyle name="Comma 3 9 5" xfId="25786" xr:uid="{00000000-0005-0000-0000-0000BE640000}"/>
    <cellStyle name="Comma 3 9 6" xfId="27713" xr:uid="{00000000-0005-0000-0000-0000456C0000}"/>
    <cellStyle name="Comma 3 9 7" xfId="7632" xr:uid="{00000000-0005-0000-0000-0000D41D0000}"/>
    <cellStyle name="Comma 4" xfId="24" xr:uid="{00000000-0005-0000-0000-00001C000000}"/>
    <cellStyle name="Comma 4 10" xfId="3569" xr:uid="{00000000-0005-0000-0000-0000F50D0000}"/>
    <cellStyle name="Comma 4 10 2" xfId="21026" xr:uid="{00000000-0005-0000-0000-000026520000}"/>
    <cellStyle name="Comma 4 10 2 2" xfId="27112" xr:uid="{00000000-0005-0000-0000-0000EC690000}"/>
    <cellStyle name="Comma 4 10 2 3" xfId="29040" xr:uid="{00000000-0005-0000-0000-000074710000}"/>
    <cellStyle name="Comma 4 10 3" xfId="26149" xr:uid="{00000000-0005-0000-0000-000029660000}"/>
    <cellStyle name="Comma 4 10 4" xfId="28076" xr:uid="{00000000-0005-0000-0000-0000B06D0000}"/>
    <cellStyle name="Comma 4 10 5" xfId="9026" xr:uid="{00000000-0005-0000-0000-000046230000}"/>
    <cellStyle name="Comma 4 11" xfId="8649" xr:uid="{00000000-0005-0000-0000-0000CD210000}"/>
    <cellStyle name="Comma 4 11 2" xfId="20854" xr:uid="{00000000-0005-0000-0000-00007A510000}"/>
    <cellStyle name="Comma 4 11 2 2" xfId="26960" xr:uid="{00000000-0005-0000-0000-000054690000}"/>
    <cellStyle name="Comma 4 11 2 3" xfId="28888" xr:uid="{00000000-0005-0000-0000-0000DC700000}"/>
    <cellStyle name="Comma 4 11 3" xfId="25997" xr:uid="{00000000-0005-0000-0000-000091650000}"/>
    <cellStyle name="Comma 4 11 4" xfId="27924" xr:uid="{00000000-0005-0000-0000-0000186D0000}"/>
    <cellStyle name="Comma 4 12" xfId="15588" xr:uid="{00000000-0005-0000-0000-0000E83C0000}"/>
    <cellStyle name="Comma 4 12 2" xfId="23252" xr:uid="{00000000-0005-0000-0000-0000D85A0000}"/>
    <cellStyle name="Comma 4 12 2 2" xfId="27260" xr:uid="{00000000-0005-0000-0000-0000806A0000}"/>
    <cellStyle name="Comma 4 12 2 3" xfId="29188" xr:uid="{00000000-0005-0000-0000-000008720000}"/>
    <cellStyle name="Comma 4 12 3" xfId="26297" xr:uid="{00000000-0005-0000-0000-0000BD660000}"/>
    <cellStyle name="Comma 4 12 4" xfId="28225" xr:uid="{00000000-0005-0000-0000-0000456E0000}"/>
    <cellStyle name="Comma 4 13" xfId="19689" xr:uid="{00000000-0005-0000-0000-0000ED4C0000}"/>
    <cellStyle name="Comma 4 13 2" xfId="26587" xr:uid="{00000000-0005-0000-0000-0000DF670000}"/>
    <cellStyle name="Comma 4 13 3" xfId="28515" xr:uid="{00000000-0005-0000-0000-0000676F0000}"/>
    <cellStyle name="Comma 4 14" xfId="25624" xr:uid="{00000000-0005-0000-0000-00001C640000}"/>
    <cellStyle name="Comma 4 15" xfId="27551" xr:uid="{00000000-0005-0000-0000-0000A36B0000}"/>
    <cellStyle name="Comma 4 16" xfId="5762" xr:uid="{00000000-0005-0000-0000-000086160000}"/>
    <cellStyle name="Comma 4 17" xfId="29414" xr:uid="{00000000-0005-0000-0000-0000EA720000}"/>
    <cellStyle name="Comma 4 18" xfId="754" xr:uid="{00000000-0005-0000-0000-0000F6020000}"/>
    <cellStyle name="Comma 4 2" xfId="27" xr:uid="{00000000-0005-0000-0000-00001F000000}"/>
    <cellStyle name="Comma 4 2 2" xfId="2025" xr:uid="{00000000-0005-0000-0000-0000ED070000}"/>
    <cellStyle name="Comma 4 2 2 2" xfId="3869" xr:uid="{00000000-0005-0000-0000-0000210F0000}"/>
    <cellStyle name="Comma 4 2 2 2 2" xfId="21027" xr:uid="{00000000-0005-0000-0000-000027520000}"/>
    <cellStyle name="Comma 4 2 2 2 2 2" xfId="27113" xr:uid="{00000000-0005-0000-0000-0000ED690000}"/>
    <cellStyle name="Comma 4 2 2 2 2 3" xfId="29041" xr:uid="{00000000-0005-0000-0000-000075710000}"/>
    <cellStyle name="Comma 4 2 2 2 3" xfId="26150" xr:uid="{00000000-0005-0000-0000-00002A660000}"/>
    <cellStyle name="Comma 4 2 2 2 4" xfId="28077" xr:uid="{00000000-0005-0000-0000-0000B16D0000}"/>
    <cellStyle name="Comma 4 2 2 2 5" xfId="9028" xr:uid="{00000000-0005-0000-0000-000048230000}"/>
    <cellStyle name="Comma 4 2 2 3" xfId="16542" xr:uid="{00000000-0005-0000-0000-0000A2400000}"/>
    <cellStyle name="Comma 4 2 2 3 2" xfId="23397" xr:uid="{00000000-0005-0000-0000-0000695B0000}"/>
    <cellStyle name="Comma 4 2 2 3 2 2" xfId="27404" xr:uid="{00000000-0005-0000-0000-0000106B0000}"/>
    <cellStyle name="Comma 4 2 2 3 2 3" xfId="29332" xr:uid="{00000000-0005-0000-0000-000098720000}"/>
    <cellStyle name="Comma 4 2 2 3 3" xfId="26441" xr:uid="{00000000-0005-0000-0000-00004D670000}"/>
    <cellStyle name="Comma 4 2 2 3 4" xfId="28369" xr:uid="{00000000-0005-0000-0000-0000D56E0000}"/>
    <cellStyle name="Comma 4 2 2 4" xfId="19893" xr:uid="{00000000-0005-0000-0000-0000B94D0000}"/>
    <cellStyle name="Comma 4 2 2 4 2" xfId="26751" xr:uid="{00000000-0005-0000-0000-000083680000}"/>
    <cellStyle name="Comma 4 2 2 4 3" xfId="28679" xr:uid="{00000000-0005-0000-0000-00000B700000}"/>
    <cellStyle name="Comma 4 2 2 5" xfId="25788" xr:uid="{00000000-0005-0000-0000-0000C0640000}"/>
    <cellStyle name="Comma 4 2 2 6" xfId="27715" xr:uid="{00000000-0005-0000-0000-0000476C0000}"/>
    <cellStyle name="Comma 4 2 2 7" xfId="7634" xr:uid="{00000000-0005-0000-0000-0000D61D0000}"/>
    <cellStyle name="Comma 4 2 3" xfId="3570" xr:uid="{00000000-0005-0000-0000-0000F60D0000}"/>
    <cellStyle name="Comma 4 2 3 2" xfId="9027" xr:uid="{00000000-0005-0000-0000-000047230000}"/>
    <cellStyle name="Comma 4 2 4" xfId="8650" xr:uid="{00000000-0005-0000-0000-0000CE210000}"/>
    <cellStyle name="Comma 4 2 4 2" xfId="20855" xr:uid="{00000000-0005-0000-0000-00007B510000}"/>
    <cellStyle name="Comma 4 2 4 2 2" xfId="26961" xr:uid="{00000000-0005-0000-0000-000055690000}"/>
    <cellStyle name="Comma 4 2 4 2 3" xfId="28889" xr:uid="{00000000-0005-0000-0000-0000DD700000}"/>
    <cellStyle name="Comma 4 2 4 3" xfId="25998" xr:uid="{00000000-0005-0000-0000-000092650000}"/>
    <cellStyle name="Comma 4 2 4 4" xfId="27925" xr:uid="{00000000-0005-0000-0000-0000196D0000}"/>
    <cellStyle name="Comma 4 2 5" xfId="5763" xr:uid="{00000000-0005-0000-0000-000087160000}"/>
    <cellStyle name="Comma 4 2 6" xfId="29417" xr:uid="{00000000-0005-0000-0000-0000ED720000}"/>
    <cellStyle name="Comma 4 2 7" xfId="755" xr:uid="{00000000-0005-0000-0000-0000F7020000}"/>
    <cellStyle name="Comma 4 3" xfId="756" xr:uid="{00000000-0005-0000-0000-0000F8020000}"/>
    <cellStyle name="Comma 4 3 2" xfId="2026" xr:uid="{00000000-0005-0000-0000-0000EE070000}"/>
    <cellStyle name="Comma 4 3 2 2" xfId="3870" xr:uid="{00000000-0005-0000-0000-0000220F0000}"/>
    <cellStyle name="Comma 4 3 2 2 2" xfId="26962" xr:uid="{00000000-0005-0000-0000-000056690000}"/>
    <cellStyle name="Comma 4 3 2 2 3" xfId="28890" xr:uid="{00000000-0005-0000-0000-0000DE700000}"/>
    <cellStyle name="Comma 4 3 2 2 4" xfId="20856" xr:uid="{00000000-0005-0000-0000-00007C510000}"/>
    <cellStyle name="Comma 4 3 2 3" xfId="25999" xr:uid="{00000000-0005-0000-0000-000093650000}"/>
    <cellStyle name="Comma 4 3 2 4" xfId="27926" xr:uid="{00000000-0005-0000-0000-00001A6D0000}"/>
    <cellStyle name="Comma 4 3 2 5" xfId="8651" xr:uid="{00000000-0005-0000-0000-0000CF210000}"/>
    <cellStyle name="Comma 4 3 3" xfId="3571" xr:uid="{00000000-0005-0000-0000-0000F70D0000}"/>
    <cellStyle name="Comma 4 3 3 2" xfId="23398" xr:uid="{00000000-0005-0000-0000-00006A5B0000}"/>
    <cellStyle name="Comma 4 3 3 2 2" xfId="27405" xr:uid="{00000000-0005-0000-0000-0000116B0000}"/>
    <cellStyle name="Comma 4 3 3 2 3" xfId="29333" xr:uid="{00000000-0005-0000-0000-000099720000}"/>
    <cellStyle name="Comma 4 3 3 3" xfId="26442" xr:uid="{00000000-0005-0000-0000-00004E670000}"/>
    <cellStyle name="Comma 4 3 3 4" xfId="28370" xr:uid="{00000000-0005-0000-0000-0000D66E0000}"/>
    <cellStyle name="Comma 4 3 3 5" xfId="16543" xr:uid="{00000000-0005-0000-0000-0000A3400000}"/>
    <cellStyle name="Comma 4 3 4" xfId="19894" xr:uid="{00000000-0005-0000-0000-0000BA4D0000}"/>
    <cellStyle name="Comma 4 3 4 2" xfId="26752" xr:uid="{00000000-0005-0000-0000-000084680000}"/>
    <cellStyle name="Comma 4 3 4 3" xfId="28680" xr:uid="{00000000-0005-0000-0000-00000C700000}"/>
    <cellStyle name="Comma 4 3 5" xfId="25789" xr:uid="{00000000-0005-0000-0000-0000C1640000}"/>
    <cellStyle name="Comma 4 3 6" xfId="27716" xr:uid="{00000000-0005-0000-0000-0000486C0000}"/>
    <cellStyle name="Comma 4 3 7" xfId="7635" xr:uid="{00000000-0005-0000-0000-0000D71D0000}"/>
    <cellStyle name="Comma 4 4" xfId="757" xr:uid="{00000000-0005-0000-0000-0000F9020000}"/>
    <cellStyle name="Comma 4 4 2" xfId="2027" xr:uid="{00000000-0005-0000-0000-0000EF070000}"/>
    <cellStyle name="Comma 4 4 2 2" xfId="3871" xr:uid="{00000000-0005-0000-0000-0000230F0000}"/>
    <cellStyle name="Comma 4 4 2 2 2" xfId="26963" xr:uid="{00000000-0005-0000-0000-000057690000}"/>
    <cellStyle name="Comma 4 4 2 2 3" xfId="28891" xr:uid="{00000000-0005-0000-0000-0000DF700000}"/>
    <cellStyle name="Comma 4 4 2 2 4" xfId="20857" xr:uid="{00000000-0005-0000-0000-00007D510000}"/>
    <cellStyle name="Comma 4 4 2 3" xfId="26000" xr:uid="{00000000-0005-0000-0000-000094650000}"/>
    <cellStyle name="Comma 4 4 2 4" xfId="27927" xr:uid="{00000000-0005-0000-0000-00001B6D0000}"/>
    <cellStyle name="Comma 4 4 2 5" xfId="8652" xr:uid="{00000000-0005-0000-0000-0000D0210000}"/>
    <cellStyle name="Comma 4 4 3" xfId="3572" xr:uid="{00000000-0005-0000-0000-0000F80D0000}"/>
    <cellStyle name="Comma 4 4 3 2" xfId="23399" xr:uid="{00000000-0005-0000-0000-00006B5B0000}"/>
    <cellStyle name="Comma 4 4 3 2 2" xfId="27406" xr:uid="{00000000-0005-0000-0000-0000126B0000}"/>
    <cellStyle name="Comma 4 4 3 2 3" xfId="29334" xr:uid="{00000000-0005-0000-0000-00009A720000}"/>
    <cellStyle name="Comma 4 4 3 3" xfId="26443" xr:uid="{00000000-0005-0000-0000-00004F670000}"/>
    <cellStyle name="Comma 4 4 3 4" xfId="28371" xr:uid="{00000000-0005-0000-0000-0000D76E0000}"/>
    <cellStyle name="Comma 4 4 3 5" xfId="16544" xr:uid="{00000000-0005-0000-0000-0000A4400000}"/>
    <cellStyle name="Comma 4 4 4" xfId="19895" xr:uid="{00000000-0005-0000-0000-0000BB4D0000}"/>
    <cellStyle name="Comma 4 4 4 2" xfId="26753" xr:uid="{00000000-0005-0000-0000-000085680000}"/>
    <cellStyle name="Comma 4 4 4 3" xfId="28681" xr:uid="{00000000-0005-0000-0000-00000D700000}"/>
    <cellStyle name="Comma 4 4 5" xfId="25790" xr:uid="{00000000-0005-0000-0000-0000C2640000}"/>
    <cellStyle name="Comma 4 4 6" xfId="27717" xr:uid="{00000000-0005-0000-0000-0000496C0000}"/>
    <cellStyle name="Comma 4 4 7" xfId="7636" xr:uid="{00000000-0005-0000-0000-0000D81D0000}"/>
    <cellStyle name="Comma 4 5" xfId="758" xr:uid="{00000000-0005-0000-0000-0000FA020000}"/>
    <cellStyle name="Comma 4 5 2" xfId="2028" xr:uid="{00000000-0005-0000-0000-0000F0070000}"/>
    <cellStyle name="Comma 4 5 2 2" xfId="3872" xr:uid="{00000000-0005-0000-0000-0000240F0000}"/>
    <cellStyle name="Comma 4 5 2 2 2" xfId="26964" xr:uid="{00000000-0005-0000-0000-000058690000}"/>
    <cellStyle name="Comma 4 5 2 2 3" xfId="28892" xr:uid="{00000000-0005-0000-0000-0000E0700000}"/>
    <cellStyle name="Comma 4 5 2 2 4" xfId="20858" xr:uid="{00000000-0005-0000-0000-00007E510000}"/>
    <cellStyle name="Comma 4 5 2 3" xfId="26001" xr:uid="{00000000-0005-0000-0000-000095650000}"/>
    <cellStyle name="Comma 4 5 2 4" xfId="27928" xr:uid="{00000000-0005-0000-0000-00001C6D0000}"/>
    <cellStyle name="Comma 4 5 2 5" xfId="8653" xr:uid="{00000000-0005-0000-0000-0000D1210000}"/>
    <cellStyle name="Comma 4 5 3" xfId="3573" xr:uid="{00000000-0005-0000-0000-0000F90D0000}"/>
    <cellStyle name="Comma 4 5 3 2" xfId="23400" xr:uid="{00000000-0005-0000-0000-00006C5B0000}"/>
    <cellStyle name="Comma 4 5 3 2 2" xfId="27407" xr:uid="{00000000-0005-0000-0000-0000136B0000}"/>
    <cellStyle name="Comma 4 5 3 2 3" xfId="29335" xr:uid="{00000000-0005-0000-0000-00009B720000}"/>
    <cellStyle name="Comma 4 5 3 3" xfId="26444" xr:uid="{00000000-0005-0000-0000-000050670000}"/>
    <cellStyle name="Comma 4 5 3 4" xfId="28372" xr:uid="{00000000-0005-0000-0000-0000D86E0000}"/>
    <cellStyle name="Comma 4 5 3 5" xfId="16545" xr:uid="{00000000-0005-0000-0000-0000A5400000}"/>
    <cellStyle name="Comma 4 5 4" xfId="19896" xr:uid="{00000000-0005-0000-0000-0000BC4D0000}"/>
    <cellStyle name="Comma 4 5 4 2" xfId="26754" xr:uid="{00000000-0005-0000-0000-000086680000}"/>
    <cellStyle name="Comma 4 5 4 3" xfId="28682" xr:uid="{00000000-0005-0000-0000-00000E700000}"/>
    <cellStyle name="Comma 4 5 5" xfId="25791" xr:uid="{00000000-0005-0000-0000-0000C3640000}"/>
    <cellStyle name="Comma 4 5 6" xfId="27718" xr:uid="{00000000-0005-0000-0000-00004A6C0000}"/>
    <cellStyle name="Comma 4 5 7" xfId="7637" xr:uid="{00000000-0005-0000-0000-0000D91D0000}"/>
    <cellStyle name="Comma 4 6" xfId="759" xr:uid="{00000000-0005-0000-0000-0000FB020000}"/>
    <cellStyle name="Comma 4 6 2" xfId="2029" xr:uid="{00000000-0005-0000-0000-0000F1070000}"/>
    <cellStyle name="Comma 4 6 2 2" xfId="3873" xr:uid="{00000000-0005-0000-0000-0000250F0000}"/>
    <cellStyle name="Comma 4 6 2 2 2" xfId="26965" xr:uid="{00000000-0005-0000-0000-000059690000}"/>
    <cellStyle name="Comma 4 6 2 2 3" xfId="28893" xr:uid="{00000000-0005-0000-0000-0000E1700000}"/>
    <cellStyle name="Comma 4 6 2 2 4" xfId="20859" xr:uid="{00000000-0005-0000-0000-00007F510000}"/>
    <cellStyle name="Comma 4 6 2 3" xfId="26002" xr:uid="{00000000-0005-0000-0000-000096650000}"/>
    <cellStyle name="Comma 4 6 2 4" xfId="27929" xr:uid="{00000000-0005-0000-0000-00001D6D0000}"/>
    <cellStyle name="Comma 4 6 2 5" xfId="8654" xr:uid="{00000000-0005-0000-0000-0000D2210000}"/>
    <cellStyle name="Comma 4 6 3" xfId="3574" xr:uid="{00000000-0005-0000-0000-0000FA0D0000}"/>
    <cellStyle name="Comma 4 6 3 2" xfId="23401" xr:uid="{00000000-0005-0000-0000-00006D5B0000}"/>
    <cellStyle name="Comma 4 6 3 2 2" xfId="27408" xr:uid="{00000000-0005-0000-0000-0000146B0000}"/>
    <cellStyle name="Comma 4 6 3 2 3" xfId="29336" xr:uid="{00000000-0005-0000-0000-00009C720000}"/>
    <cellStyle name="Comma 4 6 3 3" xfId="26445" xr:uid="{00000000-0005-0000-0000-000051670000}"/>
    <cellStyle name="Comma 4 6 3 4" xfId="28373" xr:uid="{00000000-0005-0000-0000-0000D96E0000}"/>
    <cellStyle name="Comma 4 6 3 5" xfId="16546" xr:uid="{00000000-0005-0000-0000-0000A6400000}"/>
    <cellStyle name="Comma 4 6 4" xfId="19897" xr:uid="{00000000-0005-0000-0000-0000BD4D0000}"/>
    <cellStyle name="Comma 4 6 4 2" xfId="26755" xr:uid="{00000000-0005-0000-0000-000087680000}"/>
    <cellStyle name="Comma 4 6 4 3" xfId="28683" xr:uid="{00000000-0005-0000-0000-00000F700000}"/>
    <cellStyle name="Comma 4 6 5" xfId="25792" xr:uid="{00000000-0005-0000-0000-0000C4640000}"/>
    <cellStyle name="Comma 4 6 6" xfId="27719" xr:uid="{00000000-0005-0000-0000-00004B6C0000}"/>
    <cellStyle name="Comma 4 6 7" xfId="7638" xr:uid="{00000000-0005-0000-0000-0000DA1D0000}"/>
    <cellStyle name="Comma 4 7" xfId="760" xr:uid="{00000000-0005-0000-0000-0000FC020000}"/>
    <cellStyle name="Comma 4 7 2" xfId="2030" xr:uid="{00000000-0005-0000-0000-0000F2070000}"/>
    <cellStyle name="Comma 4 7 2 2" xfId="3874" xr:uid="{00000000-0005-0000-0000-0000260F0000}"/>
    <cellStyle name="Comma 4 7 2 2 2" xfId="26966" xr:uid="{00000000-0005-0000-0000-00005A690000}"/>
    <cellStyle name="Comma 4 7 2 2 3" xfId="28894" xr:uid="{00000000-0005-0000-0000-0000E2700000}"/>
    <cellStyle name="Comma 4 7 2 2 4" xfId="20860" xr:uid="{00000000-0005-0000-0000-000080510000}"/>
    <cellStyle name="Comma 4 7 2 3" xfId="26003" xr:uid="{00000000-0005-0000-0000-000097650000}"/>
    <cellStyle name="Comma 4 7 2 4" xfId="27930" xr:uid="{00000000-0005-0000-0000-00001E6D0000}"/>
    <cellStyle name="Comma 4 7 2 5" xfId="8655" xr:uid="{00000000-0005-0000-0000-0000D3210000}"/>
    <cellStyle name="Comma 4 7 3" xfId="3575" xr:uid="{00000000-0005-0000-0000-0000FB0D0000}"/>
    <cellStyle name="Comma 4 7 3 2" xfId="23402" xr:uid="{00000000-0005-0000-0000-00006E5B0000}"/>
    <cellStyle name="Comma 4 7 3 2 2" xfId="27409" xr:uid="{00000000-0005-0000-0000-0000156B0000}"/>
    <cellStyle name="Comma 4 7 3 2 3" xfId="29337" xr:uid="{00000000-0005-0000-0000-00009D720000}"/>
    <cellStyle name="Comma 4 7 3 3" xfId="26446" xr:uid="{00000000-0005-0000-0000-000052670000}"/>
    <cellStyle name="Comma 4 7 3 4" xfId="28374" xr:uid="{00000000-0005-0000-0000-0000DA6E0000}"/>
    <cellStyle name="Comma 4 7 3 5" xfId="16547" xr:uid="{00000000-0005-0000-0000-0000A7400000}"/>
    <cellStyle name="Comma 4 7 4" xfId="19898" xr:uid="{00000000-0005-0000-0000-0000BE4D0000}"/>
    <cellStyle name="Comma 4 7 4 2" xfId="26756" xr:uid="{00000000-0005-0000-0000-000088680000}"/>
    <cellStyle name="Comma 4 7 4 3" xfId="28684" xr:uid="{00000000-0005-0000-0000-000010700000}"/>
    <cellStyle name="Comma 4 7 5" xfId="25793" xr:uid="{00000000-0005-0000-0000-0000C5640000}"/>
    <cellStyle name="Comma 4 7 6" xfId="27720" xr:uid="{00000000-0005-0000-0000-00004C6C0000}"/>
    <cellStyle name="Comma 4 7 7" xfId="7639" xr:uid="{00000000-0005-0000-0000-0000DB1D0000}"/>
    <cellStyle name="Comma 4 8" xfId="761" xr:uid="{00000000-0005-0000-0000-0000FD020000}"/>
    <cellStyle name="Comma 4 8 2" xfId="2031" xr:uid="{00000000-0005-0000-0000-0000F3070000}"/>
    <cellStyle name="Comma 4 8 2 2" xfId="3875" xr:uid="{00000000-0005-0000-0000-0000270F0000}"/>
    <cellStyle name="Comma 4 8 2 2 2" xfId="26967" xr:uid="{00000000-0005-0000-0000-00005B690000}"/>
    <cellStyle name="Comma 4 8 2 2 3" xfId="28895" xr:uid="{00000000-0005-0000-0000-0000E3700000}"/>
    <cellStyle name="Comma 4 8 2 2 4" xfId="20861" xr:uid="{00000000-0005-0000-0000-000081510000}"/>
    <cellStyle name="Comma 4 8 2 3" xfId="26004" xr:uid="{00000000-0005-0000-0000-000098650000}"/>
    <cellStyle name="Comma 4 8 2 4" xfId="27931" xr:uid="{00000000-0005-0000-0000-00001F6D0000}"/>
    <cellStyle name="Comma 4 8 2 5" xfId="8656" xr:uid="{00000000-0005-0000-0000-0000D4210000}"/>
    <cellStyle name="Comma 4 8 3" xfId="3576" xr:uid="{00000000-0005-0000-0000-0000FC0D0000}"/>
    <cellStyle name="Comma 4 8 3 2" xfId="23403" xr:uid="{00000000-0005-0000-0000-00006F5B0000}"/>
    <cellStyle name="Comma 4 8 3 2 2" xfId="27410" xr:uid="{00000000-0005-0000-0000-0000166B0000}"/>
    <cellStyle name="Comma 4 8 3 2 3" xfId="29338" xr:uid="{00000000-0005-0000-0000-00009E720000}"/>
    <cellStyle name="Comma 4 8 3 3" xfId="26447" xr:uid="{00000000-0005-0000-0000-000053670000}"/>
    <cellStyle name="Comma 4 8 3 4" xfId="28375" xr:uid="{00000000-0005-0000-0000-0000DB6E0000}"/>
    <cellStyle name="Comma 4 8 3 5" xfId="16548" xr:uid="{00000000-0005-0000-0000-0000A8400000}"/>
    <cellStyle name="Comma 4 8 4" xfId="19899" xr:uid="{00000000-0005-0000-0000-0000BF4D0000}"/>
    <cellStyle name="Comma 4 8 4 2" xfId="26757" xr:uid="{00000000-0005-0000-0000-000089680000}"/>
    <cellStyle name="Comma 4 8 4 3" xfId="28685" xr:uid="{00000000-0005-0000-0000-000011700000}"/>
    <cellStyle name="Comma 4 8 5" xfId="25794" xr:uid="{00000000-0005-0000-0000-0000C6640000}"/>
    <cellStyle name="Comma 4 8 6" xfId="27721" xr:uid="{00000000-0005-0000-0000-00004D6C0000}"/>
    <cellStyle name="Comma 4 8 7" xfId="7640" xr:uid="{00000000-0005-0000-0000-0000DC1D0000}"/>
    <cellStyle name="Comma 4 9" xfId="2024" xr:uid="{00000000-0005-0000-0000-0000EC070000}"/>
    <cellStyle name="Comma 4 9 2" xfId="3868" xr:uid="{00000000-0005-0000-0000-0000200F0000}"/>
    <cellStyle name="Comma 4 9 2 2" xfId="21028" xr:uid="{00000000-0005-0000-0000-000028520000}"/>
    <cellStyle name="Comma 4 9 2 2 2" xfId="27114" xr:uid="{00000000-0005-0000-0000-0000EE690000}"/>
    <cellStyle name="Comma 4 9 2 2 3" xfId="29042" xr:uid="{00000000-0005-0000-0000-000076710000}"/>
    <cellStyle name="Comma 4 9 2 3" xfId="26151" xr:uid="{00000000-0005-0000-0000-00002B660000}"/>
    <cellStyle name="Comma 4 9 2 4" xfId="28078" xr:uid="{00000000-0005-0000-0000-0000B26D0000}"/>
    <cellStyle name="Comma 4 9 2 5" xfId="9029" xr:uid="{00000000-0005-0000-0000-000049230000}"/>
    <cellStyle name="Comma 4 9 3" xfId="16541" xr:uid="{00000000-0005-0000-0000-0000A1400000}"/>
    <cellStyle name="Comma 4 9 3 2" xfId="23396" xr:uid="{00000000-0005-0000-0000-0000685B0000}"/>
    <cellStyle name="Comma 4 9 3 2 2" xfId="27403" xr:uid="{00000000-0005-0000-0000-00000F6B0000}"/>
    <cellStyle name="Comma 4 9 3 2 3" xfId="29331" xr:uid="{00000000-0005-0000-0000-000097720000}"/>
    <cellStyle name="Comma 4 9 3 3" xfId="26440" xr:uid="{00000000-0005-0000-0000-00004C670000}"/>
    <cellStyle name="Comma 4 9 3 4" xfId="28368" xr:uid="{00000000-0005-0000-0000-0000D46E0000}"/>
    <cellStyle name="Comma 4 9 4" xfId="19892" xr:uid="{00000000-0005-0000-0000-0000B84D0000}"/>
    <cellStyle name="Comma 4 9 4 2" xfId="26750" xr:uid="{00000000-0005-0000-0000-000082680000}"/>
    <cellStyle name="Comma 4 9 4 3" xfId="28678" xr:uid="{00000000-0005-0000-0000-00000A700000}"/>
    <cellStyle name="Comma 4 9 5" xfId="25787" xr:uid="{00000000-0005-0000-0000-0000BF640000}"/>
    <cellStyle name="Comma 4 9 6" xfId="27714" xr:uid="{00000000-0005-0000-0000-0000466C0000}"/>
    <cellStyle name="Comma 4 9 7" xfId="7633" xr:uid="{00000000-0005-0000-0000-0000D51D0000}"/>
    <cellStyle name="Comma 5" xfId="762" xr:uid="{00000000-0005-0000-0000-0000FE020000}"/>
    <cellStyle name="Comma 5 10" xfId="3577" xr:uid="{00000000-0005-0000-0000-0000FD0D0000}"/>
    <cellStyle name="Comma 5 10 2" xfId="23404" xr:uid="{00000000-0005-0000-0000-0000705B0000}"/>
    <cellStyle name="Comma 5 10 2 2" xfId="27411" xr:uid="{00000000-0005-0000-0000-0000176B0000}"/>
    <cellStyle name="Comma 5 10 2 3" xfId="29339" xr:uid="{00000000-0005-0000-0000-00009F720000}"/>
    <cellStyle name="Comma 5 10 3" xfId="26448" xr:uid="{00000000-0005-0000-0000-000054670000}"/>
    <cellStyle name="Comma 5 10 4" xfId="28376" xr:uid="{00000000-0005-0000-0000-0000DC6E0000}"/>
    <cellStyle name="Comma 5 10 5" xfId="16549" xr:uid="{00000000-0005-0000-0000-0000A9400000}"/>
    <cellStyle name="Comma 5 11" xfId="19900" xr:uid="{00000000-0005-0000-0000-0000C04D0000}"/>
    <cellStyle name="Comma 5 11 2" xfId="26758" xr:uid="{00000000-0005-0000-0000-00008A680000}"/>
    <cellStyle name="Comma 5 11 3" xfId="28686" xr:uid="{00000000-0005-0000-0000-000012700000}"/>
    <cellStyle name="Comma 5 12" xfId="25795" xr:uid="{00000000-0005-0000-0000-0000C7640000}"/>
    <cellStyle name="Comma 5 13" xfId="27722" xr:uid="{00000000-0005-0000-0000-00004E6C0000}"/>
    <cellStyle name="Comma 5 14" xfId="7641" xr:uid="{00000000-0005-0000-0000-0000DD1D0000}"/>
    <cellStyle name="Comma 5 2" xfId="763" xr:uid="{00000000-0005-0000-0000-0000FF020000}"/>
    <cellStyle name="Comma 5 2 2" xfId="2033" xr:uid="{00000000-0005-0000-0000-0000F5070000}"/>
    <cellStyle name="Comma 5 2 2 2" xfId="3877" xr:uid="{00000000-0005-0000-0000-0000290F0000}"/>
    <cellStyle name="Comma 5 2 2 2 2" xfId="26969" xr:uid="{00000000-0005-0000-0000-00005D690000}"/>
    <cellStyle name="Comma 5 2 2 2 3" xfId="28897" xr:uid="{00000000-0005-0000-0000-0000E5700000}"/>
    <cellStyle name="Comma 5 2 2 2 4" xfId="20863" xr:uid="{00000000-0005-0000-0000-000083510000}"/>
    <cellStyle name="Comma 5 2 2 3" xfId="26006" xr:uid="{00000000-0005-0000-0000-00009A650000}"/>
    <cellStyle name="Comma 5 2 2 4" xfId="27933" xr:uid="{00000000-0005-0000-0000-0000216D0000}"/>
    <cellStyle name="Comma 5 2 2 5" xfId="8658" xr:uid="{00000000-0005-0000-0000-0000D6210000}"/>
    <cellStyle name="Comma 5 2 3" xfId="3578" xr:uid="{00000000-0005-0000-0000-0000FE0D0000}"/>
    <cellStyle name="Comma 5 2 3 2" xfId="23253" xr:uid="{00000000-0005-0000-0000-0000D95A0000}"/>
    <cellStyle name="Comma 5 2 3 2 2" xfId="27261" xr:uid="{00000000-0005-0000-0000-0000816A0000}"/>
    <cellStyle name="Comma 5 2 3 2 3" xfId="29189" xr:uid="{00000000-0005-0000-0000-000009720000}"/>
    <cellStyle name="Comma 5 2 3 3" xfId="26298" xr:uid="{00000000-0005-0000-0000-0000BE660000}"/>
    <cellStyle name="Comma 5 2 3 4" xfId="28226" xr:uid="{00000000-0005-0000-0000-0000466E0000}"/>
    <cellStyle name="Comma 5 2 3 5" xfId="15589" xr:uid="{00000000-0005-0000-0000-0000E93C0000}"/>
    <cellStyle name="Comma 5 2 4" xfId="19690" xr:uid="{00000000-0005-0000-0000-0000EE4C0000}"/>
    <cellStyle name="Comma 5 2 4 2" xfId="26588" xr:uid="{00000000-0005-0000-0000-0000E0670000}"/>
    <cellStyle name="Comma 5 2 4 3" xfId="28516" xr:uid="{00000000-0005-0000-0000-0000686F0000}"/>
    <cellStyle name="Comma 5 2 5" xfId="25625" xr:uid="{00000000-0005-0000-0000-00001D640000}"/>
    <cellStyle name="Comma 5 2 6" xfId="27552" xr:uid="{00000000-0005-0000-0000-0000A46B0000}"/>
    <cellStyle name="Comma 5 2 7" xfId="5764" xr:uid="{00000000-0005-0000-0000-000088160000}"/>
    <cellStyle name="Comma 5 3" xfId="764" xr:uid="{00000000-0005-0000-0000-000000030000}"/>
    <cellStyle name="Comma 5 3 2" xfId="2034" xr:uid="{00000000-0005-0000-0000-0000F6070000}"/>
    <cellStyle name="Comma 5 3 2 2" xfId="3878" xr:uid="{00000000-0005-0000-0000-00002A0F0000}"/>
    <cellStyle name="Comma 5 3 2 2 2" xfId="21029" xr:uid="{00000000-0005-0000-0000-000029520000}"/>
    <cellStyle name="Comma 5 3 2 2 2 2" xfId="27115" xr:uid="{00000000-0005-0000-0000-0000EF690000}"/>
    <cellStyle name="Comma 5 3 2 2 2 3" xfId="29043" xr:uid="{00000000-0005-0000-0000-000077710000}"/>
    <cellStyle name="Comma 5 3 2 2 3" xfId="26152" xr:uid="{00000000-0005-0000-0000-00002C660000}"/>
    <cellStyle name="Comma 5 3 2 2 4" xfId="28079" xr:uid="{00000000-0005-0000-0000-0000B36D0000}"/>
    <cellStyle name="Comma 5 3 2 2 5" xfId="9030" xr:uid="{00000000-0005-0000-0000-00004A230000}"/>
    <cellStyle name="Comma 5 3 2 3" xfId="15591" xr:uid="{00000000-0005-0000-0000-0000EB3C0000}"/>
    <cellStyle name="Comma 5 3 2 3 2" xfId="23255" xr:uid="{00000000-0005-0000-0000-0000DB5A0000}"/>
    <cellStyle name="Comma 5 3 2 3 2 2" xfId="27263" xr:uid="{00000000-0005-0000-0000-0000836A0000}"/>
    <cellStyle name="Comma 5 3 2 3 2 3" xfId="29191" xr:uid="{00000000-0005-0000-0000-00000B720000}"/>
    <cellStyle name="Comma 5 3 2 3 3" xfId="26300" xr:uid="{00000000-0005-0000-0000-0000C0660000}"/>
    <cellStyle name="Comma 5 3 2 3 4" xfId="28228" xr:uid="{00000000-0005-0000-0000-0000486E0000}"/>
    <cellStyle name="Comma 5 3 2 4" xfId="19692" xr:uid="{00000000-0005-0000-0000-0000F04C0000}"/>
    <cellStyle name="Comma 5 3 2 4 2" xfId="26590" xr:uid="{00000000-0005-0000-0000-0000E2670000}"/>
    <cellStyle name="Comma 5 3 2 4 3" xfId="28518" xr:uid="{00000000-0005-0000-0000-00006A6F0000}"/>
    <cellStyle name="Comma 5 3 2 5" xfId="25627" xr:uid="{00000000-0005-0000-0000-00001F640000}"/>
    <cellStyle name="Comma 5 3 2 6" xfId="27554" xr:uid="{00000000-0005-0000-0000-0000A66B0000}"/>
    <cellStyle name="Comma 5 3 2 7" xfId="5766" xr:uid="{00000000-0005-0000-0000-00008A160000}"/>
    <cellStyle name="Comma 5 3 3" xfId="3579" xr:uid="{00000000-0005-0000-0000-0000FF0D0000}"/>
    <cellStyle name="Comma 5 3 3 2" xfId="20864" xr:uid="{00000000-0005-0000-0000-000084510000}"/>
    <cellStyle name="Comma 5 3 3 2 2" xfId="26970" xr:uid="{00000000-0005-0000-0000-00005E690000}"/>
    <cellStyle name="Comma 5 3 3 2 3" xfId="28898" xr:uid="{00000000-0005-0000-0000-0000E6700000}"/>
    <cellStyle name="Comma 5 3 3 3" xfId="26007" xr:uid="{00000000-0005-0000-0000-00009B650000}"/>
    <cellStyle name="Comma 5 3 3 4" xfId="27934" xr:uid="{00000000-0005-0000-0000-0000226D0000}"/>
    <cellStyle name="Comma 5 3 3 5" xfId="8659" xr:uid="{00000000-0005-0000-0000-0000D7210000}"/>
    <cellStyle name="Comma 5 3 4" xfId="15590" xr:uid="{00000000-0005-0000-0000-0000EA3C0000}"/>
    <cellStyle name="Comma 5 3 4 2" xfId="23254" xr:uid="{00000000-0005-0000-0000-0000DA5A0000}"/>
    <cellStyle name="Comma 5 3 4 2 2" xfId="27262" xr:uid="{00000000-0005-0000-0000-0000826A0000}"/>
    <cellStyle name="Comma 5 3 4 2 3" xfId="29190" xr:uid="{00000000-0005-0000-0000-00000A720000}"/>
    <cellStyle name="Comma 5 3 4 3" xfId="26299" xr:uid="{00000000-0005-0000-0000-0000BF660000}"/>
    <cellStyle name="Comma 5 3 4 4" xfId="28227" xr:uid="{00000000-0005-0000-0000-0000476E0000}"/>
    <cellStyle name="Comma 5 3 5" xfId="19691" xr:uid="{00000000-0005-0000-0000-0000EF4C0000}"/>
    <cellStyle name="Comma 5 3 5 2" xfId="26589" xr:uid="{00000000-0005-0000-0000-0000E1670000}"/>
    <cellStyle name="Comma 5 3 5 3" xfId="28517" xr:uid="{00000000-0005-0000-0000-0000696F0000}"/>
    <cellStyle name="Comma 5 3 6" xfId="25626" xr:uid="{00000000-0005-0000-0000-00001E640000}"/>
    <cellStyle name="Comma 5 3 7" xfId="27553" xr:uid="{00000000-0005-0000-0000-0000A56B0000}"/>
    <cellStyle name="Comma 5 3 8" xfId="5765" xr:uid="{00000000-0005-0000-0000-000089160000}"/>
    <cellStyle name="Comma 5 4" xfId="765" xr:uid="{00000000-0005-0000-0000-000001030000}"/>
    <cellStyle name="Comma 5 4 2" xfId="2035" xr:uid="{00000000-0005-0000-0000-0000F7070000}"/>
    <cellStyle name="Comma 5 4 2 2" xfId="3879" xr:uid="{00000000-0005-0000-0000-00002B0F0000}"/>
    <cellStyle name="Comma 5 4 2 2 2" xfId="26971" xr:uid="{00000000-0005-0000-0000-00005F690000}"/>
    <cellStyle name="Comma 5 4 2 2 3" xfId="28899" xr:uid="{00000000-0005-0000-0000-0000E7700000}"/>
    <cellStyle name="Comma 5 4 2 2 4" xfId="20865" xr:uid="{00000000-0005-0000-0000-000085510000}"/>
    <cellStyle name="Comma 5 4 2 3" xfId="26008" xr:uid="{00000000-0005-0000-0000-00009C650000}"/>
    <cellStyle name="Comma 5 4 2 4" xfId="27935" xr:uid="{00000000-0005-0000-0000-0000236D0000}"/>
    <cellStyle name="Comma 5 4 2 5" xfId="8660" xr:uid="{00000000-0005-0000-0000-0000D8210000}"/>
    <cellStyle name="Comma 5 4 3" xfId="3580" xr:uid="{00000000-0005-0000-0000-0000000E0000}"/>
    <cellStyle name="Comma 5 4 3 2" xfId="23405" xr:uid="{00000000-0005-0000-0000-0000715B0000}"/>
    <cellStyle name="Comma 5 4 3 2 2" xfId="27412" xr:uid="{00000000-0005-0000-0000-0000186B0000}"/>
    <cellStyle name="Comma 5 4 3 2 3" xfId="29340" xr:uid="{00000000-0005-0000-0000-0000A0720000}"/>
    <cellStyle name="Comma 5 4 3 3" xfId="26449" xr:uid="{00000000-0005-0000-0000-000055670000}"/>
    <cellStyle name="Comma 5 4 3 4" xfId="28377" xr:uid="{00000000-0005-0000-0000-0000DD6E0000}"/>
    <cellStyle name="Comma 5 4 3 5" xfId="16550" xr:uid="{00000000-0005-0000-0000-0000AA400000}"/>
    <cellStyle name="Comma 5 4 4" xfId="19901" xr:uid="{00000000-0005-0000-0000-0000C14D0000}"/>
    <cellStyle name="Comma 5 4 4 2" xfId="26759" xr:uid="{00000000-0005-0000-0000-00008B680000}"/>
    <cellStyle name="Comma 5 4 4 3" xfId="28687" xr:uid="{00000000-0005-0000-0000-000013700000}"/>
    <cellStyle name="Comma 5 4 5" xfId="25796" xr:uid="{00000000-0005-0000-0000-0000C8640000}"/>
    <cellStyle name="Comma 5 4 6" xfId="27723" xr:uid="{00000000-0005-0000-0000-00004F6C0000}"/>
    <cellStyle name="Comma 5 4 7" xfId="7642" xr:uid="{00000000-0005-0000-0000-0000DE1D0000}"/>
    <cellStyle name="Comma 5 5" xfId="766" xr:uid="{00000000-0005-0000-0000-000002030000}"/>
    <cellStyle name="Comma 5 5 2" xfId="2036" xr:uid="{00000000-0005-0000-0000-0000F8070000}"/>
    <cellStyle name="Comma 5 5 2 2" xfId="3880" xr:uid="{00000000-0005-0000-0000-00002C0F0000}"/>
    <cellStyle name="Comma 5 5 2 2 2" xfId="26972" xr:uid="{00000000-0005-0000-0000-000060690000}"/>
    <cellStyle name="Comma 5 5 2 2 3" xfId="28900" xr:uid="{00000000-0005-0000-0000-0000E8700000}"/>
    <cellStyle name="Comma 5 5 2 2 4" xfId="20866" xr:uid="{00000000-0005-0000-0000-000086510000}"/>
    <cellStyle name="Comma 5 5 2 3" xfId="26009" xr:uid="{00000000-0005-0000-0000-00009D650000}"/>
    <cellStyle name="Comma 5 5 2 4" xfId="27936" xr:uid="{00000000-0005-0000-0000-0000246D0000}"/>
    <cellStyle name="Comma 5 5 2 5" xfId="8661" xr:uid="{00000000-0005-0000-0000-0000D9210000}"/>
    <cellStyle name="Comma 5 5 3" xfId="3581" xr:uid="{00000000-0005-0000-0000-0000010E0000}"/>
    <cellStyle name="Comma 5 5 3 2" xfId="23406" xr:uid="{00000000-0005-0000-0000-0000725B0000}"/>
    <cellStyle name="Comma 5 5 3 2 2" xfId="27413" xr:uid="{00000000-0005-0000-0000-0000196B0000}"/>
    <cellStyle name="Comma 5 5 3 2 3" xfId="29341" xr:uid="{00000000-0005-0000-0000-0000A1720000}"/>
    <cellStyle name="Comma 5 5 3 3" xfId="26450" xr:uid="{00000000-0005-0000-0000-000056670000}"/>
    <cellStyle name="Comma 5 5 3 4" xfId="28378" xr:uid="{00000000-0005-0000-0000-0000DE6E0000}"/>
    <cellStyle name="Comma 5 5 3 5" xfId="16551" xr:uid="{00000000-0005-0000-0000-0000AB400000}"/>
    <cellStyle name="Comma 5 5 4" xfId="19902" xr:uid="{00000000-0005-0000-0000-0000C24D0000}"/>
    <cellStyle name="Comma 5 5 4 2" xfId="26760" xr:uid="{00000000-0005-0000-0000-00008C680000}"/>
    <cellStyle name="Comma 5 5 4 3" xfId="28688" xr:uid="{00000000-0005-0000-0000-000014700000}"/>
    <cellStyle name="Comma 5 5 5" xfId="25797" xr:uid="{00000000-0005-0000-0000-0000C9640000}"/>
    <cellStyle name="Comma 5 5 6" xfId="27724" xr:uid="{00000000-0005-0000-0000-0000506C0000}"/>
    <cellStyle name="Comma 5 5 7" xfId="7643" xr:uid="{00000000-0005-0000-0000-0000DF1D0000}"/>
    <cellStyle name="Comma 5 6" xfId="767" xr:uid="{00000000-0005-0000-0000-000003030000}"/>
    <cellStyle name="Comma 5 6 2" xfId="2037" xr:uid="{00000000-0005-0000-0000-0000F9070000}"/>
    <cellStyle name="Comma 5 6 2 2" xfId="3881" xr:uid="{00000000-0005-0000-0000-00002D0F0000}"/>
    <cellStyle name="Comma 5 6 2 2 2" xfId="26973" xr:uid="{00000000-0005-0000-0000-000061690000}"/>
    <cellStyle name="Comma 5 6 2 2 3" xfId="28901" xr:uid="{00000000-0005-0000-0000-0000E9700000}"/>
    <cellStyle name="Comma 5 6 2 2 4" xfId="20867" xr:uid="{00000000-0005-0000-0000-000087510000}"/>
    <cellStyle name="Comma 5 6 2 3" xfId="26010" xr:uid="{00000000-0005-0000-0000-00009E650000}"/>
    <cellStyle name="Comma 5 6 2 4" xfId="27937" xr:uid="{00000000-0005-0000-0000-0000256D0000}"/>
    <cellStyle name="Comma 5 6 2 5" xfId="8662" xr:uid="{00000000-0005-0000-0000-0000DA210000}"/>
    <cellStyle name="Comma 5 6 3" xfId="3582" xr:uid="{00000000-0005-0000-0000-0000020E0000}"/>
    <cellStyle name="Comma 5 6 3 2" xfId="23407" xr:uid="{00000000-0005-0000-0000-0000735B0000}"/>
    <cellStyle name="Comma 5 6 3 2 2" xfId="27414" xr:uid="{00000000-0005-0000-0000-00001A6B0000}"/>
    <cellStyle name="Comma 5 6 3 2 3" xfId="29342" xr:uid="{00000000-0005-0000-0000-0000A2720000}"/>
    <cellStyle name="Comma 5 6 3 3" xfId="26451" xr:uid="{00000000-0005-0000-0000-000057670000}"/>
    <cellStyle name="Comma 5 6 3 4" xfId="28379" xr:uid="{00000000-0005-0000-0000-0000DF6E0000}"/>
    <cellStyle name="Comma 5 6 3 5" xfId="16552" xr:uid="{00000000-0005-0000-0000-0000AC400000}"/>
    <cellStyle name="Comma 5 6 4" xfId="19903" xr:uid="{00000000-0005-0000-0000-0000C34D0000}"/>
    <cellStyle name="Comma 5 6 4 2" xfId="26761" xr:uid="{00000000-0005-0000-0000-00008D680000}"/>
    <cellStyle name="Comma 5 6 4 3" xfId="28689" xr:uid="{00000000-0005-0000-0000-000015700000}"/>
    <cellStyle name="Comma 5 6 5" xfId="25798" xr:uid="{00000000-0005-0000-0000-0000CA640000}"/>
    <cellStyle name="Comma 5 6 6" xfId="27725" xr:uid="{00000000-0005-0000-0000-0000516C0000}"/>
    <cellStyle name="Comma 5 6 7" xfId="7644" xr:uid="{00000000-0005-0000-0000-0000E01D0000}"/>
    <cellStyle name="Comma 5 7" xfId="768" xr:uid="{00000000-0005-0000-0000-000004030000}"/>
    <cellStyle name="Comma 5 7 2" xfId="2038" xr:uid="{00000000-0005-0000-0000-0000FA070000}"/>
    <cellStyle name="Comma 5 7 2 2" xfId="3882" xr:uid="{00000000-0005-0000-0000-00002E0F0000}"/>
    <cellStyle name="Comma 5 7 2 2 2" xfId="26974" xr:uid="{00000000-0005-0000-0000-000062690000}"/>
    <cellStyle name="Comma 5 7 2 2 3" xfId="28902" xr:uid="{00000000-0005-0000-0000-0000EA700000}"/>
    <cellStyle name="Comma 5 7 2 2 4" xfId="20868" xr:uid="{00000000-0005-0000-0000-000088510000}"/>
    <cellStyle name="Comma 5 7 2 3" xfId="26011" xr:uid="{00000000-0005-0000-0000-00009F650000}"/>
    <cellStyle name="Comma 5 7 2 4" xfId="27938" xr:uid="{00000000-0005-0000-0000-0000266D0000}"/>
    <cellStyle name="Comma 5 7 2 5" xfId="8663" xr:uid="{00000000-0005-0000-0000-0000DB210000}"/>
    <cellStyle name="Comma 5 7 3" xfId="3583" xr:uid="{00000000-0005-0000-0000-0000030E0000}"/>
    <cellStyle name="Comma 5 7 3 2" xfId="23408" xr:uid="{00000000-0005-0000-0000-0000745B0000}"/>
    <cellStyle name="Comma 5 7 3 2 2" xfId="27415" xr:uid="{00000000-0005-0000-0000-00001B6B0000}"/>
    <cellStyle name="Comma 5 7 3 2 3" xfId="29343" xr:uid="{00000000-0005-0000-0000-0000A3720000}"/>
    <cellStyle name="Comma 5 7 3 3" xfId="26452" xr:uid="{00000000-0005-0000-0000-000058670000}"/>
    <cellStyle name="Comma 5 7 3 4" xfId="28380" xr:uid="{00000000-0005-0000-0000-0000E06E0000}"/>
    <cellStyle name="Comma 5 7 3 5" xfId="16553" xr:uid="{00000000-0005-0000-0000-0000AD400000}"/>
    <cellStyle name="Comma 5 7 4" xfId="19904" xr:uid="{00000000-0005-0000-0000-0000C44D0000}"/>
    <cellStyle name="Comma 5 7 4 2" xfId="26762" xr:uid="{00000000-0005-0000-0000-00008E680000}"/>
    <cellStyle name="Comma 5 7 4 3" xfId="28690" xr:uid="{00000000-0005-0000-0000-000016700000}"/>
    <cellStyle name="Comma 5 7 5" xfId="25799" xr:uid="{00000000-0005-0000-0000-0000CB640000}"/>
    <cellStyle name="Comma 5 7 6" xfId="27726" xr:uid="{00000000-0005-0000-0000-0000526C0000}"/>
    <cellStyle name="Comma 5 7 7" xfId="7645" xr:uid="{00000000-0005-0000-0000-0000E11D0000}"/>
    <cellStyle name="Comma 5 8" xfId="769" xr:uid="{00000000-0005-0000-0000-000005030000}"/>
    <cellStyle name="Comma 5 8 2" xfId="2039" xr:uid="{00000000-0005-0000-0000-0000FB070000}"/>
    <cellStyle name="Comma 5 8 2 2" xfId="3883" xr:uid="{00000000-0005-0000-0000-00002F0F0000}"/>
    <cellStyle name="Comma 5 8 2 2 2" xfId="26975" xr:uid="{00000000-0005-0000-0000-000063690000}"/>
    <cellStyle name="Comma 5 8 2 2 3" xfId="28903" xr:uid="{00000000-0005-0000-0000-0000EB700000}"/>
    <cellStyle name="Comma 5 8 2 2 4" xfId="20869" xr:uid="{00000000-0005-0000-0000-000089510000}"/>
    <cellStyle name="Comma 5 8 2 3" xfId="26012" xr:uid="{00000000-0005-0000-0000-0000A0650000}"/>
    <cellStyle name="Comma 5 8 2 4" xfId="27939" xr:uid="{00000000-0005-0000-0000-0000276D0000}"/>
    <cellStyle name="Comma 5 8 2 5" xfId="8664" xr:uid="{00000000-0005-0000-0000-0000DC210000}"/>
    <cellStyle name="Comma 5 8 3" xfId="3584" xr:uid="{00000000-0005-0000-0000-0000040E0000}"/>
    <cellStyle name="Comma 5 8 3 2" xfId="23409" xr:uid="{00000000-0005-0000-0000-0000755B0000}"/>
    <cellStyle name="Comma 5 8 3 2 2" xfId="27416" xr:uid="{00000000-0005-0000-0000-00001C6B0000}"/>
    <cellStyle name="Comma 5 8 3 2 3" xfId="29344" xr:uid="{00000000-0005-0000-0000-0000A4720000}"/>
    <cellStyle name="Comma 5 8 3 3" xfId="26453" xr:uid="{00000000-0005-0000-0000-000059670000}"/>
    <cellStyle name="Comma 5 8 3 4" xfId="28381" xr:uid="{00000000-0005-0000-0000-0000E16E0000}"/>
    <cellStyle name="Comma 5 8 3 5" xfId="16554" xr:uid="{00000000-0005-0000-0000-0000AE400000}"/>
    <cellStyle name="Comma 5 8 4" xfId="19905" xr:uid="{00000000-0005-0000-0000-0000C54D0000}"/>
    <cellStyle name="Comma 5 8 4 2" xfId="26763" xr:uid="{00000000-0005-0000-0000-00008F680000}"/>
    <cellStyle name="Comma 5 8 4 3" xfId="28691" xr:uid="{00000000-0005-0000-0000-000017700000}"/>
    <cellStyle name="Comma 5 8 5" xfId="25800" xr:uid="{00000000-0005-0000-0000-0000CC640000}"/>
    <cellStyle name="Comma 5 8 6" xfId="27727" xr:uid="{00000000-0005-0000-0000-0000536C0000}"/>
    <cellStyle name="Comma 5 8 7" xfId="7646" xr:uid="{00000000-0005-0000-0000-0000E21D0000}"/>
    <cellStyle name="Comma 5 9" xfId="2032" xr:uid="{00000000-0005-0000-0000-0000F4070000}"/>
    <cellStyle name="Comma 5 9 2" xfId="3876" xr:uid="{00000000-0005-0000-0000-0000280F0000}"/>
    <cellStyle name="Comma 5 9 2 2" xfId="26968" xr:uid="{00000000-0005-0000-0000-00005C690000}"/>
    <cellStyle name="Comma 5 9 2 3" xfId="28896" xr:uid="{00000000-0005-0000-0000-0000E4700000}"/>
    <cellStyle name="Comma 5 9 2 4" xfId="20862" xr:uid="{00000000-0005-0000-0000-000082510000}"/>
    <cellStyle name="Comma 5 9 3" xfId="26005" xr:uid="{00000000-0005-0000-0000-000099650000}"/>
    <cellStyle name="Comma 5 9 4" xfId="27932" xr:uid="{00000000-0005-0000-0000-0000206D0000}"/>
    <cellStyle name="Comma 5 9 5" xfId="8657" xr:uid="{00000000-0005-0000-0000-0000D5210000}"/>
    <cellStyle name="Comma 6" xfId="770" xr:uid="{00000000-0005-0000-0000-000006030000}"/>
    <cellStyle name="Comma 6 10" xfId="3585" xr:uid="{00000000-0005-0000-0000-0000050E0000}"/>
    <cellStyle name="Comma 6 10 2" xfId="23410" xr:uid="{00000000-0005-0000-0000-0000765B0000}"/>
    <cellStyle name="Comma 6 10 2 2" xfId="27417" xr:uid="{00000000-0005-0000-0000-00001D6B0000}"/>
    <cellStyle name="Comma 6 10 2 3" xfId="29345" xr:uid="{00000000-0005-0000-0000-0000A5720000}"/>
    <cellStyle name="Comma 6 10 3" xfId="26454" xr:uid="{00000000-0005-0000-0000-00005A670000}"/>
    <cellStyle name="Comma 6 10 4" xfId="28382" xr:uid="{00000000-0005-0000-0000-0000E26E0000}"/>
    <cellStyle name="Comma 6 10 5" xfId="16555" xr:uid="{00000000-0005-0000-0000-0000AF400000}"/>
    <cellStyle name="Comma 6 11" xfId="19906" xr:uid="{00000000-0005-0000-0000-0000C64D0000}"/>
    <cellStyle name="Comma 6 11 2" xfId="26764" xr:uid="{00000000-0005-0000-0000-000090680000}"/>
    <cellStyle name="Comma 6 11 3" xfId="28692" xr:uid="{00000000-0005-0000-0000-000018700000}"/>
    <cellStyle name="Comma 6 12" xfId="25801" xr:uid="{00000000-0005-0000-0000-0000CD640000}"/>
    <cellStyle name="Comma 6 13" xfId="27728" xr:uid="{00000000-0005-0000-0000-0000546C0000}"/>
    <cellStyle name="Comma 6 14" xfId="7647" xr:uid="{00000000-0005-0000-0000-0000E31D0000}"/>
    <cellStyle name="Comma 6 2" xfId="771" xr:uid="{00000000-0005-0000-0000-000007030000}"/>
    <cellStyle name="Comma 6 2 2" xfId="2041" xr:uid="{00000000-0005-0000-0000-0000FD070000}"/>
    <cellStyle name="Comma 6 2 2 2" xfId="3885" xr:uid="{00000000-0005-0000-0000-0000310F0000}"/>
    <cellStyle name="Comma 6 2 2 2 2" xfId="26977" xr:uid="{00000000-0005-0000-0000-000065690000}"/>
    <cellStyle name="Comma 6 2 2 2 3" xfId="28905" xr:uid="{00000000-0005-0000-0000-0000ED700000}"/>
    <cellStyle name="Comma 6 2 2 2 4" xfId="20871" xr:uid="{00000000-0005-0000-0000-00008B510000}"/>
    <cellStyle name="Comma 6 2 2 3" xfId="26014" xr:uid="{00000000-0005-0000-0000-0000A2650000}"/>
    <cellStyle name="Comma 6 2 2 4" xfId="27941" xr:uid="{00000000-0005-0000-0000-0000296D0000}"/>
    <cellStyle name="Comma 6 2 2 5" xfId="8666" xr:uid="{00000000-0005-0000-0000-0000DE210000}"/>
    <cellStyle name="Comma 6 2 3" xfId="3586" xr:uid="{00000000-0005-0000-0000-0000060E0000}"/>
    <cellStyle name="Comma 6 2 3 2" xfId="23411" xr:uid="{00000000-0005-0000-0000-0000775B0000}"/>
    <cellStyle name="Comma 6 2 3 2 2" xfId="27418" xr:uid="{00000000-0005-0000-0000-00001E6B0000}"/>
    <cellStyle name="Comma 6 2 3 2 3" xfId="29346" xr:uid="{00000000-0005-0000-0000-0000A6720000}"/>
    <cellStyle name="Comma 6 2 3 3" xfId="26455" xr:uid="{00000000-0005-0000-0000-00005B670000}"/>
    <cellStyle name="Comma 6 2 3 4" xfId="28383" xr:uid="{00000000-0005-0000-0000-0000E36E0000}"/>
    <cellStyle name="Comma 6 2 3 5" xfId="16556" xr:uid="{00000000-0005-0000-0000-0000B0400000}"/>
    <cellStyle name="Comma 6 2 4" xfId="19907" xr:uid="{00000000-0005-0000-0000-0000C74D0000}"/>
    <cellStyle name="Comma 6 2 4 2" xfId="26765" xr:uid="{00000000-0005-0000-0000-000091680000}"/>
    <cellStyle name="Comma 6 2 4 3" xfId="28693" xr:uid="{00000000-0005-0000-0000-000019700000}"/>
    <cellStyle name="Comma 6 2 5" xfId="25802" xr:uid="{00000000-0005-0000-0000-0000CE640000}"/>
    <cellStyle name="Comma 6 2 6" xfId="27729" xr:uid="{00000000-0005-0000-0000-0000556C0000}"/>
    <cellStyle name="Comma 6 2 7" xfId="7648" xr:uid="{00000000-0005-0000-0000-0000E41D0000}"/>
    <cellStyle name="Comma 6 3" xfId="772" xr:uid="{00000000-0005-0000-0000-000008030000}"/>
    <cellStyle name="Comma 6 3 2" xfId="2042" xr:uid="{00000000-0005-0000-0000-0000FE070000}"/>
    <cellStyle name="Comma 6 3 2 2" xfId="3886" xr:uid="{00000000-0005-0000-0000-0000320F0000}"/>
    <cellStyle name="Comma 6 3 2 2 2" xfId="26978" xr:uid="{00000000-0005-0000-0000-000066690000}"/>
    <cellStyle name="Comma 6 3 2 2 3" xfId="28906" xr:uid="{00000000-0005-0000-0000-0000EE700000}"/>
    <cellStyle name="Comma 6 3 2 2 4" xfId="20872" xr:uid="{00000000-0005-0000-0000-00008C510000}"/>
    <cellStyle name="Comma 6 3 2 3" xfId="26015" xr:uid="{00000000-0005-0000-0000-0000A3650000}"/>
    <cellStyle name="Comma 6 3 2 4" xfId="27942" xr:uid="{00000000-0005-0000-0000-00002A6D0000}"/>
    <cellStyle name="Comma 6 3 2 5" xfId="8667" xr:uid="{00000000-0005-0000-0000-0000DF210000}"/>
    <cellStyle name="Comma 6 3 3" xfId="3587" xr:uid="{00000000-0005-0000-0000-0000070E0000}"/>
    <cellStyle name="Comma 6 3 3 2" xfId="23412" xr:uid="{00000000-0005-0000-0000-0000785B0000}"/>
    <cellStyle name="Comma 6 3 3 2 2" xfId="27419" xr:uid="{00000000-0005-0000-0000-00001F6B0000}"/>
    <cellStyle name="Comma 6 3 3 2 3" xfId="29347" xr:uid="{00000000-0005-0000-0000-0000A7720000}"/>
    <cellStyle name="Comma 6 3 3 3" xfId="26456" xr:uid="{00000000-0005-0000-0000-00005C670000}"/>
    <cellStyle name="Comma 6 3 3 4" xfId="28384" xr:uid="{00000000-0005-0000-0000-0000E46E0000}"/>
    <cellStyle name="Comma 6 3 3 5" xfId="16557" xr:uid="{00000000-0005-0000-0000-0000B1400000}"/>
    <cellStyle name="Comma 6 3 4" xfId="19908" xr:uid="{00000000-0005-0000-0000-0000C84D0000}"/>
    <cellStyle name="Comma 6 3 4 2" xfId="26766" xr:uid="{00000000-0005-0000-0000-000092680000}"/>
    <cellStyle name="Comma 6 3 4 3" xfId="28694" xr:uid="{00000000-0005-0000-0000-00001A700000}"/>
    <cellStyle name="Comma 6 3 5" xfId="25803" xr:uid="{00000000-0005-0000-0000-0000CF640000}"/>
    <cellStyle name="Comma 6 3 6" xfId="27730" xr:uid="{00000000-0005-0000-0000-0000566C0000}"/>
    <cellStyle name="Comma 6 3 7" xfId="7649" xr:uid="{00000000-0005-0000-0000-0000E51D0000}"/>
    <cellStyle name="Comma 6 4" xfId="773" xr:uid="{00000000-0005-0000-0000-000009030000}"/>
    <cellStyle name="Comma 6 4 2" xfId="2043" xr:uid="{00000000-0005-0000-0000-0000FF070000}"/>
    <cellStyle name="Comma 6 4 2 2" xfId="3887" xr:uid="{00000000-0005-0000-0000-0000330F0000}"/>
    <cellStyle name="Comma 6 4 2 2 2" xfId="26979" xr:uid="{00000000-0005-0000-0000-000067690000}"/>
    <cellStyle name="Comma 6 4 2 2 3" xfId="28907" xr:uid="{00000000-0005-0000-0000-0000EF700000}"/>
    <cellStyle name="Comma 6 4 2 2 4" xfId="20873" xr:uid="{00000000-0005-0000-0000-00008D510000}"/>
    <cellStyle name="Comma 6 4 2 3" xfId="26016" xr:uid="{00000000-0005-0000-0000-0000A4650000}"/>
    <cellStyle name="Comma 6 4 2 4" xfId="27943" xr:uid="{00000000-0005-0000-0000-00002B6D0000}"/>
    <cellStyle name="Comma 6 4 2 5" xfId="8668" xr:uid="{00000000-0005-0000-0000-0000E0210000}"/>
    <cellStyle name="Comma 6 4 3" xfId="3588" xr:uid="{00000000-0005-0000-0000-0000080E0000}"/>
    <cellStyle name="Comma 6 4 3 2" xfId="23413" xr:uid="{00000000-0005-0000-0000-0000795B0000}"/>
    <cellStyle name="Comma 6 4 3 2 2" xfId="27420" xr:uid="{00000000-0005-0000-0000-0000206B0000}"/>
    <cellStyle name="Comma 6 4 3 2 3" xfId="29348" xr:uid="{00000000-0005-0000-0000-0000A8720000}"/>
    <cellStyle name="Comma 6 4 3 3" xfId="26457" xr:uid="{00000000-0005-0000-0000-00005D670000}"/>
    <cellStyle name="Comma 6 4 3 4" xfId="28385" xr:uid="{00000000-0005-0000-0000-0000E56E0000}"/>
    <cellStyle name="Comma 6 4 3 5" xfId="16558" xr:uid="{00000000-0005-0000-0000-0000B2400000}"/>
    <cellStyle name="Comma 6 4 4" xfId="19909" xr:uid="{00000000-0005-0000-0000-0000C94D0000}"/>
    <cellStyle name="Comma 6 4 4 2" xfId="26767" xr:uid="{00000000-0005-0000-0000-000093680000}"/>
    <cellStyle name="Comma 6 4 4 3" xfId="28695" xr:uid="{00000000-0005-0000-0000-00001B700000}"/>
    <cellStyle name="Comma 6 4 5" xfId="25804" xr:uid="{00000000-0005-0000-0000-0000D0640000}"/>
    <cellStyle name="Comma 6 4 6" xfId="27731" xr:uid="{00000000-0005-0000-0000-0000576C0000}"/>
    <cellStyle name="Comma 6 4 7" xfId="7650" xr:uid="{00000000-0005-0000-0000-0000E61D0000}"/>
    <cellStyle name="Comma 6 5" xfId="774" xr:uid="{00000000-0005-0000-0000-00000A030000}"/>
    <cellStyle name="Comma 6 5 2" xfId="2044" xr:uid="{00000000-0005-0000-0000-000000080000}"/>
    <cellStyle name="Comma 6 5 2 2" xfId="3888" xr:uid="{00000000-0005-0000-0000-0000340F0000}"/>
    <cellStyle name="Comma 6 5 2 2 2" xfId="26980" xr:uid="{00000000-0005-0000-0000-000068690000}"/>
    <cellStyle name="Comma 6 5 2 2 3" xfId="28908" xr:uid="{00000000-0005-0000-0000-0000F0700000}"/>
    <cellStyle name="Comma 6 5 2 2 4" xfId="20874" xr:uid="{00000000-0005-0000-0000-00008E510000}"/>
    <cellStyle name="Comma 6 5 2 3" xfId="26017" xr:uid="{00000000-0005-0000-0000-0000A5650000}"/>
    <cellStyle name="Comma 6 5 2 4" xfId="27944" xr:uid="{00000000-0005-0000-0000-00002C6D0000}"/>
    <cellStyle name="Comma 6 5 2 5" xfId="8669" xr:uid="{00000000-0005-0000-0000-0000E1210000}"/>
    <cellStyle name="Comma 6 5 3" xfId="3589" xr:uid="{00000000-0005-0000-0000-0000090E0000}"/>
    <cellStyle name="Comma 6 5 3 2" xfId="23414" xr:uid="{00000000-0005-0000-0000-00007A5B0000}"/>
    <cellStyle name="Comma 6 5 3 2 2" xfId="27421" xr:uid="{00000000-0005-0000-0000-0000216B0000}"/>
    <cellStyle name="Comma 6 5 3 2 3" xfId="29349" xr:uid="{00000000-0005-0000-0000-0000A9720000}"/>
    <cellStyle name="Comma 6 5 3 3" xfId="26458" xr:uid="{00000000-0005-0000-0000-00005E670000}"/>
    <cellStyle name="Comma 6 5 3 4" xfId="28386" xr:uid="{00000000-0005-0000-0000-0000E66E0000}"/>
    <cellStyle name="Comma 6 5 3 5" xfId="16559" xr:uid="{00000000-0005-0000-0000-0000B3400000}"/>
    <cellStyle name="Comma 6 5 4" xfId="19910" xr:uid="{00000000-0005-0000-0000-0000CA4D0000}"/>
    <cellStyle name="Comma 6 5 4 2" xfId="26768" xr:uid="{00000000-0005-0000-0000-000094680000}"/>
    <cellStyle name="Comma 6 5 4 3" xfId="28696" xr:uid="{00000000-0005-0000-0000-00001C700000}"/>
    <cellStyle name="Comma 6 5 5" xfId="25805" xr:uid="{00000000-0005-0000-0000-0000D1640000}"/>
    <cellStyle name="Comma 6 5 6" xfId="27732" xr:uid="{00000000-0005-0000-0000-0000586C0000}"/>
    <cellStyle name="Comma 6 5 7" xfId="7651" xr:uid="{00000000-0005-0000-0000-0000E71D0000}"/>
    <cellStyle name="Comma 6 6" xfId="775" xr:uid="{00000000-0005-0000-0000-00000B030000}"/>
    <cellStyle name="Comma 6 6 2" xfId="2045" xr:uid="{00000000-0005-0000-0000-000001080000}"/>
    <cellStyle name="Comma 6 6 2 2" xfId="3889" xr:uid="{00000000-0005-0000-0000-0000350F0000}"/>
    <cellStyle name="Comma 6 6 2 2 2" xfId="26981" xr:uid="{00000000-0005-0000-0000-000069690000}"/>
    <cellStyle name="Comma 6 6 2 2 3" xfId="28909" xr:uid="{00000000-0005-0000-0000-0000F1700000}"/>
    <cellStyle name="Comma 6 6 2 2 4" xfId="20875" xr:uid="{00000000-0005-0000-0000-00008F510000}"/>
    <cellStyle name="Comma 6 6 2 3" xfId="26018" xr:uid="{00000000-0005-0000-0000-0000A6650000}"/>
    <cellStyle name="Comma 6 6 2 4" xfId="27945" xr:uid="{00000000-0005-0000-0000-00002D6D0000}"/>
    <cellStyle name="Comma 6 6 2 5" xfId="8670" xr:uid="{00000000-0005-0000-0000-0000E2210000}"/>
    <cellStyle name="Comma 6 6 3" xfId="3590" xr:uid="{00000000-0005-0000-0000-00000A0E0000}"/>
    <cellStyle name="Comma 6 6 3 2" xfId="23415" xr:uid="{00000000-0005-0000-0000-00007B5B0000}"/>
    <cellStyle name="Comma 6 6 3 2 2" xfId="27422" xr:uid="{00000000-0005-0000-0000-0000226B0000}"/>
    <cellStyle name="Comma 6 6 3 2 3" xfId="29350" xr:uid="{00000000-0005-0000-0000-0000AA720000}"/>
    <cellStyle name="Comma 6 6 3 3" xfId="26459" xr:uid="{00000000-0005-0000-0000-00005F670000}"/>
    <cellStyle name="Comma 6 6 3 4" xfId="28387" xr:uid="{00000000-0005-0000-0000-0000E76E0000}"/>
    <cellStyle name="Comma 6 6 3 5" xfId="16560" xr:uid="{00000000-0005-0000-0000-0000B4400000}"/>
    <cellStyle name="Comma 6 6 4" xfId="19911" xr:uid="{00000000-0005-0000-0000-0000CB4D0000}"/>
    <cellStyle name="Comma 6 6 4 2" xfId="26769" xr:uid="{00000000-0005-0000-0000-000095680000}"/>
    <cellStyle name="Comma 6 6 4 3" xfId="28697" xr:uid="{00000000-0005-0000-0000-00001D700000}"/>
    <cellStyle name="Comma 6 6 5" xfId="25806" xr:uid="{00000000-0005-0000-0000-0000D2640000}"/>
    <cellStyle name="Comma 6 6 6" xfId="27733" xr:uid="{00000000-0005-0000-0000-0000596C0000}"/>
    <cellStyle name="Comma 6 6 7" xfId="7652" xr:uid="{00000000-0005-0000-0000-0000E81D0000}"/>
    <cellStyle name="Comma 6 7" xfId="776" xr:uid="{00000000-0005-0000-0000-00000C030000}"/>
    <cellStyle name="Comma 6 7 2" xfId="2046" xr:uid="{00000000-0005-0000-0000-000002080000}"/>
    <cellStyle name="Comma 6 7 2 2" xfId="3890" xr:uid="{00000000-0005-0000-0000-0000360F0000}"/>
    <cellStyle name="Comma 6 7 2 2 2" xfId="26982" xr:uid="{00000000-0005-0000-0000-00006A690000}"/>
    <cellStyle name="Comma 6 7 2 2 3" xfId="28910" xr:uid="{00000000-0005-0000-0000-0000F2700000}"/>
    <cellStyle name="Comma 6 7 2 2 4" xfId="20876" xr:uid="{00000000-0005-0000-0000-000090510000}"/>
    <cellStyle name="Comma 6 7 2 3" xfId="26019" xr:uid="{00000000-0005-0000-0000-0000A7650000}"/>
    <cellStyle name="Comma 6 7 2 4" xfId="27946" xr:uid="{00000000-0005-0000-0000-00002E6D0000}"/>
    <cellStyle name="Comma 6 7 2 5" xfId="8671" xr:uid="{00000000-0005-0000-0000-0000E3210000}"/>
    <cellStyle name="Comma 6 7 3" xfId="3591" xr:uid="{00000000-0005-0000-0000-00000B0E0000}"/>
    <cellStyle name="Comma 6 7 3 2" xfId="23416" xr:uid="{00000000-0005-0000-0000-00007C5B0000}"/>
    <cellStyle name="Comma 6 7 3 2 2" xfId="27423" xr:uid="{00000000-0005-0000-0000-0000236B0000}"/>
    <cellStyle name="Comma 6 7 3 2 3" xfId="29351" xr:uid="{00000000-0005-0000-0000-0000AB720000}"/>
    <cellStyle name="Comma 6 7 3 3" xfId="26460" xr:uid="{00000000-0005-0000-0000-000060670000}"/>
    <cellStyle name="Comma 6 7 3 4" xfId="28388" xr:uid="{00000000-0005-0000-0000-0000E86E0000}"/>
    <cellStyle name="Comma 6 7 3 5" xfId="16561" xr:uid="{00000000-0005-0000-0000-0000B5400000}"/>
    <cellStyle name="Comma 6 7 4" xfId="19912" xr:uid="{00000000-0005-0000-0000-0000CC4D0000}"/>
    <cellStyle name="Comma 6 7 4 2" xfId="26770" xr:uid="{00000000-0005-0000-0000-000096680000}"/>
    <cellStyle name="Comma 6 7 4 3" xfId="28698" xr:uid="{00000000-0005-0000-0000-00001E700000}"/>
    <cellStyle name="Comma 6 7 5" xfId="25807" xr:uid="{00000000-0005-0000-0000-0000D3640000}"/>
    <cellStyle name="Comma 6 7 6" xfId="27734" xr:uid="{00000000-0005-0000-0000-00005A6C0000}"/>
    <cellStyle name="Comma 6 7 7" xfId="7653" xr:uid="{00000000-0005-0000-0000-0000E91D0000}"/>
    <cellStyle name="Comma 6 8" xfId="777" xr:uid="{00000000-0005-0000-0000-00000D030000}"/>
    <cellStyle name="Comma 6 8 2" xfId="2047" xr:uid="{00000000-0005-0000-0000-000003080000}"/>
    <cellStyle name="Comma 6 8 2 2" xfId="3891" xr:uid="{00000000-0005-0000-0000-0000370F0000}"/>
    <cellStyle name="Comma 6 8 2 2 2" xfId="26983" xr:uid="{00000000-0005-0000-0000-00006B690000}"/>
    <cellStyle name="Comma 6 8 2 2 3" xfId="28911" xr:uid="{00000000-0005-0000-0000-0000F3700000}"/>
    <cellStyle name="Comma 6 8 2 2 4" xfId="20877" xr:uid="{00000000-0005-0000-0000-000091510000}"/>
    <cellStyle name="Comma 6 8 2 3" xfId="26020" xr:uid="{00000000-0005-0000-0000-0000A8650000}"/>
    <cellStyle name="Comma 6 8 2 4" xfId="27947" xr:uid="{00000000-0005-0000-0000-00002F6D0000}"/>
    <cellStyle name="Comma 6 8 2 5" xfId="8672" xr:uid="{00000000-0005-0000-0000-0000E4210000}"/>
    <cellStyle name="Comma 6 8 3" xfId="3592" xr:uid="{00000000-0005-0000-0000-00000C0E0000}"/>
    <cellStyle name="Comma 6 8 3 2" xfId="23417" xr:uid="{00000000-0005-0000-0000-00007D5B0000}"/>
    <cellStyle name="Comma 6 8 3 2 2" xfId="27424" xr:uid="{00000000-0005-0000-0000-0000246B0000}"/>
    <cellStyle name="Comma 6 8 3 2 3" xfId="29352" xr:uid="{00000000-0005-0000-0000-0000AC720000}"/>
    <cellStyle name="Comma 6 8 3 3" xfId="26461" xr:uid="{00000000-0005-0000-0000-000061670000}"/>
    <cellStyle name="Comma 6 8 3 4" xfId="28389" xr:uid="{00000000-0005-0000-0000-0000E96E0000}"/>
    <cellStyle name="Comma 6 8 3 5" xfId="16562" xr:uid="{00000000-0005-0000-0000-0000B6400000}"/>
    <cellStyle name="Comma 6 8 4" xfId="19913" xr:uid="{00000000-0005-0000-0000-0000CD4D0000}"/>
    <cellStyle name="Comma 6 8 4 2" xfId="26771" xr:uid="{00000000-0005-0000-0000-000097680000}"/>
    <cellStyle name="Comma 6 8 4 3" xfId="28699" xr:uid="{00000000-0005-0000-0000-00001F700000}"/>
    <cellStyle name="Comma 6 8 5" xfId="25808" xr:uid="{00000000-0005-0000-0000-0000D4640000}"/>
    <cellStyle name="Comma 6 8 6" xfId="27735" xr:uid="{00000000-0005-0000-0000-00005B6C0000}"/>
    <cellStyle name="Comma 6 8 7" xfId="7654" xr:uid="{00000000-0005-0000-0000-0000EA1D0000}"/>
    <cellStyle name="Comma 6 9" xfId="2040" xr:uid="{00000000-0005-0000-0000-0000FC070000}"/>
    <cellStyle name="Comma 6 9 2" xfId="3884" xr:uid="{00000000-0005-0000-0000-0000300F0000}"/>
    <cellStyle name="Comma 6 9 2 2" xfId="26976" xr:uid="{00000000-0005-0000-0000-000064690000}"/>
    <cellStyle name="Comma 6 9 2 3" xfId="28904" xr:uid="{00000000-0005-0000-0000-0000EC700000}"/>
    <cellStyle name="Comma 6 9 2 4" xfId="20870" xr:uid="{00000000-0005-0000-0000-00008A510000}"/>
    <cellStyle name="Comma 6 9 3" xfId="26013" xr:uid="{00000000-0005-0000-0000-0000A1650000}"/>
    <cellStyle name="Comma 6 9 4" xfId="27940" xr:uid="{00000000-0005-0000-0000-0000286D0000}"/>
    <cellStyle name="Comma 6 9 5" xfId="8665" xr:uid="{00000000-0005-0000-0000-0000DD210000}"/>
    <cellStyle name="Comma 7" xfId="778" xr:uid="{00000000-0005-0000-0000-00000E030000}"/>
    <cellStyle name="Comma 7 10" xfId="779" xr:uid="{00000000-0005-0000-0000-00000F030000}"/>
    <cellStyle name="Comma 7 10 2" xfId="2048" xr:uid="{00000000-0005-0000-0000-000004080000}"/>
    <cellStyle name="Comma 7 10 2 2" xfId="3892" xr:uid="{00000000-0005-0000-0000-0000380F0000}"/>
    <cellStyle name="Comma 7 10 2 2 2" xfId="26984" xr:uid="{00000000-0005-0000-0000-00006C690000}"/>
    <cellStyle name="Comma 7 10 2 2 3" xfId="28912" xr:uid="{00000000-0005-0000-0000-0000F4700000}"/>
    <cellStyle name="Comma 7 10 2 2 4" xfId="20878" xr:uid="{00000000-0005-0000-0000-000092510000}"/>
    <cellStyle name="Comma 7 10 2 3" xfId="26021" xr:uid="{00000000-0005-0000-0000-0000A9650000}"/>
    <cellStyle name="Comma 7 10 2 4" xfId="27948" xr:uid="{00000000-0005-0000-0000-0000306D0000}"/>
    <cellStyle name="Comma 7 10 2 5" xfId="8673" xr:uid="{00000000-0005-0000-0000-0000E5210000}"/>
    <cellStyle name="Comma 7 10 3" xfId="3593" xr:uid="{00000000-0005-0000-0000-00000D0E0000}"/>
    <cellStyle name="Comma 7 10 3 2" xfId="23418" xr:uid="{00000000-0005-0000-0000-00007E5B0000}"/>
    <cellStyle name="Comma 7 10 3 2 2" xfId="27425" xr:uid="{00000000-0005-0000-0000-0000256B0000}"/>
    <cellStyle name="Comma 7 10 3 2 3" xfId="29353" xr:uid="{00000000-0005-0000-0000-0000AD720000}"/>
    <cellStyle name="Comma 7 10 3 3" xfId="26462" xr:uid="{00000000-0005-0000-0000-000062670000}"/>
    <cellStyle name="Comma 7 10 3 4" xfId="28390" xr:uid="{00000000-0005-0000-0000-0000EA6E0000}"/>
    <cellStyle name="Comma 7 10 3 5" xfId="16563" xr:uid="{00000000-0005-0000-0000-0000B7400000}"/>
    <cellStyle name="Comma 7 10 4" xfId="19914" xr:uid="{00000000-0005-0000-0000-0000CE4D0000}"/>
    <cellStyle name="Comma 7 10 4 2" xfId="26772" xr:uid="{00000000-0005-0000-0000-000098680000}"/>
    <cellStyle name="Comma 7 10 4 3" xfId="28700" xr:uid="{00000000-0005-0000-0000-000020700000}"/>
    <cellStyle name="Comma 7 10 5" xfId="25809" xr:uid="{00000000-0005-0000-0000-0000D5640000}"/>
    <cellStyle name="Comma 7 10 6" xfId="27736" xr:uid="{00000000-0005-0000-0000-00005C6C0000}"/>
    <cellStyle name="Comma 7 10 7" xfId="7655" xr:uid="{00000000-0005-0000-0000-0000EB1D0000}"/>
    <cellStyle name="Comma 7 11" xfId="780" xr:uid="{00000000-0005-0000-0000-000010030000}"/>
    <cellStyle name="Comma 7 11 2" xfId="2049" xr:uid="{00000000-0005-0000-0000-000005080000}"/>
    <cellStyle name="Comma 7 11 2 2" xfId="3056" xr:uid="{00000000-0005-0000-0000-0000F40B0000}"/>
    <cellStyle name="Comma 7 11 2 2 2" xfId="27116" xr:uid="{00000000-0005-0000-0000-0000F0690000}"/>
    <cellStyle name="Comma 7 11 2 2 3" xfId="29044" xr:uid="{00000000-0005-0000-0000-000078710000}"/>
    <cellStyle name="Comma 7 11 2 2 4" xfId="21030" xr:uid="{00000000-0005-0000-0000-00002A520000}"/>
    <cellStyle name="Comma 7 11 2 3" xfId="3282" xr:uid="{00000000-0005-0000-0000-0000D60C0000}"/>
    <cellStyle name="Comma 7 11 2 3 2" xfId="26153" xr:uid="{00000000-0005-0000-0000-00002D660000}"/>
    <cellStyle name="Comma 7 11 2 4" xfId="28080" xr:uid="{00000000-0005-0000-0000-0000B46D0000}"/>
    <cellStyle name="Comma 7 11 2 5" xfId="9031" xr:uid="{00000000-0005-0000-0000-00004B230000}"/>
    <cellStyle name="Comma 7 11 3" xfId="19915" xr:uid="{00000000-0005-0000-0000-0000CF4D0000}"/>
    <cellStyle name="Comma 7 11 3 2" xfId="26773" xr:uid="{00000000-0005-0000-0000-000099680000}"/>
    <cellStyle name="Comma 7 11 3 3" xfId="28701" xr:uid="{00000000-0005-0000-0000-000021700000}"/>
    <cellStyle name="Comma 7 11 4" xfId="25810" xr:uid="{00000000-0005-0000-0000-0000D6640000}"/>
    <cellStyle name="Comma 7 11 5" xfId="27737" xr:uid="{00000000-0005-0000-0000-00005D6C0000}"/>
    <cellStyle name="Comma 7 11 6" xfId="7656" xr:uid="{00000000-0005-0000-0000-0000EC1D0000}"/>
    <cellStyle name="Comma 7 12" xfId="781" xr:uid="{00000000-0005-0000-0000-000011030000}"/>
    <cellStyle name="Comma 7 12 2" xfId="2050" xr:uid="{00000000-0005-0000-0000-000006080000}"/>
    <cellStyle name="Comma 7 12 2 2" xfId="3893" xr:uid="{00000000-0005-0000-0000-0000390F0000}"/>
    <cellStyle name="Comma 7 12 2 2 2" xfId="26985" xr:uid="{00000000-0005-0000-0000-00006D690000}"/>
    <cellStyle name="Comma 7 12 2 2 3" xfId="28913" xr:uid="{00000000-0005-0000-0000-0000F5700000}"/>
    <cellStyle name="Comma 7 12 2 2 4" xfId="20879" xr:uid="{00000000-0005-0000-0000-000093510000}"/>
    <cellStyle name="Comma 7 12 2 3" xfId="26022" xr:uid="{00000000-0005-0000-0000-0000AA650000}"/>
    <cellStyle name="Comma 7 12 2 4" xfId="27949" xr:uid="{00000000-0005-0000-0000-0000316D0000}"/>
    <cellStyle name="Comma 7 12 2 5" xfId="8674" xr:uid="{00000000-0005-0000-0000-0000E6210000}"/>
    <cellStyle name="Comma 7 12 3" xfId="3594" xr:uid="{00000000-0005-0000-0000-00000E0E0000}"/>
    <cellStyle name="Comma 7 12 3 2" xfId="23419" xr:uid="{00000000-0005-0000-0000-00007F5B0000}"/>
    <cellStyle name="Comma 7 12 3 2 2" xfId="27426" xr:uid="{00000000-0005-0000-0000-0000266B0000}"/>
    <cellStyle name="Comma 7 12 3 2 3" xfId="29354" xr:uid="{00000000-0005-0000-0000-0000AE720000}"/>
    <cellStyle name="Comma 7 12 3 3" xfId="26463" xr:uid="{00000000-0005-0000-0000-000063670000}"/>
    <cellStyle name="Comma 7 12 3 4" xfId="28391" xr:uid="{00000000-0005-0000-0000-0000EB6E0000}"/>
    <cellStyle name="Comma 7 12 3 5" xfId="16564" xr:uid="{00000000-0005-0000-0000-0000B8400000}"/>
    <cellStyle name="Comma 7 12 4" xfId="19916" xr:uid="{00000000-0005-0000-0000-0000D04D0000}"/>
    <cellStyle name="Comma 7 12 4 2" xfId="26774" xr:uid="{00000000-0005-0000-0000-00009A680000}"/>
    <cellStyle name="Comma 7 12 4 3" xfId="28702" xr:uid="{00000000-0005-0000-0000-000022700000}"/>
    <cellStyle name="Comma 7 12 5" xfId="25811" xr:uid="{00000000-0005-0000-0000-0000D7640000}"/>
    <cellStyle name="Comma 7 12 6" xfId="27738" xr:uid="{00000000-0005-0000-0000-00005E6C0000}"/>
    <cellStyle name="Comma 7 12 7" xfId="7657" xr:uid="{00000000-0005-0000-0000-0000ED1D0000}"/>
    <cellStyle name="Comma 7 13" xfId="782" xr:uid="{00000000-0005-0000-0000-000012030000}"/>
    <cellStyle name="Comma 7 13 2" xfId="2051" xr:uid="{00000000-0005-0000-0000-000007080000}"/>
    <cellStyle name="Comma 7 13 2 2" xfId="3894" xr:uid="{00000000-0005-0000-0000-00003A0F0000}"/>
    <cellStyle name="Comma 7 13 2 2 2" xfId="26986" xr:uid="{00000000-0005-0000-0000-00006E690000}"/>
    <cellStyle name="Comma 7 13 2 2 3" xfId="28914" xr:uid="{00000000-0005-0000-0000-0000F6700000}"/>
    <cellStyle name="Comma 7 13 2 2 4" xfId="20880" xr:uid="{00000000-0005-0000-0000-000094510000}"/>
    <cellStyle name="Comma 7 13 2 3" xfId="26023" xr:uid="{00000000-0005-0000-0000-0000AB650000}"/>
    <cellStyle name="Comma 7 13 2 4" xfId="27950" xr:uid="{00000000-0005-0000-0000-0000326D0000}"/>
    <cellStyle name="Comma 7 13 2 5" xfId="8675" xr:uid="{00000000-0005-0000-0000-0000E7210000}"/>
    <cellStyle name="Comma 7 13 3" xfId="3595" xr:uid="{00000000-0005-0000-0000-00000F0E0000}"/>
    <cellStyle name="Comma 7 13 3 2" xfId="23420" xr:uid="{00000000-0005-0000-0000-0000805B0000}"/>
    <cellStyle name="Comma 7 13 3 2 2" xfId="27427" xr:uid="{00000000-0005-0000-0000-0000276B0000}"/>
    <cellStyle name="Comma 7 13 3 2 3" xfId="29355" xr:uid="{00000000-0005-0000-0000-0000AF720000}"/>
    <cellStyle name="Comma 7 13 3 3" xfId="26464" xr:uid="{00000000-0005-0000-0000-000064670000}"/>
    <cellStyle name="Comma 7 13 3 4" xfId="28392" xr:uid="{00000000-0005-0000-0000-0000EC6E0000}"/>
    <cellStyle name="Comma 7 13 3 5" xfId="16565" xr:uid="{00000000-0005-0000-0000-0000B9400000}"/>
    <cellStyle name="Comma 7 13 4" xfId="19917" xr:uid="{00000000-0005-0000-0000-0000D14D0000}"/>
    <cellStyle name="Comma 7 13 4 2" xfId="26775" xr:uid="{00000000-0005-0000-0000-00009B680000}"/>
    <cellStyle name="Comma 7 13 4 3" xfId="28703" xr:uid="{00000000-0005-0000-0000-000023700000}"/>
    <cellStyle name="Comma 7 13 5" xfId="25812" xr:uid="{00000000-0005-0000-0000-0000D8640000}"/>
    <cellStyle name="Comma 7 13 6" xfId="27739" xr:uid="{00000000-0005-0000-0000-00005F6C0000}"/>
    <cellStyle name="Comma 7 13 7" xfId="7658" xr:uid="{00000000-0005-0000-0000-0000EE1D0000}"/>
    <cellStyle name="Comma 7 14" xfId="783" xr:uid="{00000000-0005-0000-0000-000013030000}"/>
    <cellStyle name="Comma 7 14 2" xfId="2052" xr:uid="{00000000-0005-0000-0000-000008080000}"/>
    <cellStyle name="Comma 7 14 2 2" xfId="3895" xr:uid="{00000000-0005-0000-0000-00003B0F0000}"/>
    <cellStyle name="Comma 7 14 2 2 2" xfId="26987" xr:uid="{00000000-0005-0000-0000-00006F690000}"/>
    <cellStyle name="Comma 7 14 2 2 3" xfId="28915" xr:uid="{00000000-0005-0000-0000-0000F7700000}"/>
    <cellStyle name="Comma 7 14 2 2 4" xfId="20881" xr:uid="{00000000-0005-0000-0000-000095510000}"/>
    <cellStyle name="Comma 7 14 2 3" xfId="26024" xr:uid="{00000000-0005-0000-0000-0000AC650000}"/>
    <cellStyle name="Comma 7 14 2 4" xfId="27951" xr:uid="{00000000-0005-0000-0000-0000336D0000}"/>
    <cellStyle name="Comma 7 14 2 5" xfId="8676" xr:uid="{00000000-0005-0000-0000-0000E8210000}"/>
    <cellStyle name="Comma 7 14 3" xfId="3596" xr:uid="{00000000-0005-0000-0000-0000100E0000}"/>
    <cellStyle name="Comma 7 14 3 2" xfId="23421" xr:uid="{00000000-0005-0000-0000-0000815B0000}"/>
    <cellStyle name="Comma 7 14 3 2 2" xfId="27428" xr:uid="{00000000-0005-0000-0000-0000286B0000}"/>
    <cellStyle name="Comma 7 14 3 2 3" xfId="29356" xr:uid="{00000000-0005-0000-0000-0000B0720000}"/>
    <cellStyle name="Comma 7 14 3 3" xfId="26465" xr:uid="{00000000-0005-0000-0000-000065670000}"/>
    <cellStyle name="Comma 7 14 3 4" xfId="28393" xr:uid="{00000000-0005-0000-0000-0000ED6E0000}"/>
    <cellStyle name="Comma 7 14 3 5" xfId="16566" xr:uid="{00000000-0005-0000-0000-0000BA400000}"/>
    <cellStyle name="Comma 7 14 4" xfId="19918" xr:uid="{00000000-0005-0000-0000-0000D24D0000}"/>
    <cellStyle name="Comma 7 14 4 2" xfId="26776" xr:uid="{00000000-0005-0000-0000-00009C680000}"/>
    <cellStyle name="Comma 7 14 4 3" xfId="28704" xr:uid="{00000000-0005-0000-0000-000024700000}"/>
    <cellStyle name="Comma 7 14 5" xfId="25813" xr:uid="{00000000-0005-0000-0000-0000D9640000}"/>
    <cellStyle name="Comma 7 14 6" xfId="27740" xr:uid="{00000000-0005-0000-0000-0000606C0000}"/>
    <cellStyle name="Comma 7 14 7" xfId="7659" xr:uid="{00000000-0005-0000-0000-0000EF1D0000}"/>
    <cellStyle name="Comma 7 15" xfId="784" xr:uid="{00000000-0005-0000-0000-000014030000}"/>
    <cellStyle name="Comma 7 15 2" xfId="2053" xr:uid="{00000000-0005-0000-0000-000009080000}"/>
    <cellStyle name="Comma 7 15 2 2" xfId="3896" xr:uid="{00000000-0005-0000-0000-00003C0F0000}"/>
    <cellStyle name="Comma 7 15 2 2 2" xfId="26988" xr:uid="{00000000-0005-0000-0000-000070690000}"/>
    <cellStyle name="Comma 7 15 2 2 3" xfId="28916" xr:uid="{00000000-0005-0000-0000-0000F8700000}"/>
    <cellStyle name="Comma 7 15 2 2 4" xfId="20882" xr:uid="{00000000-0005-0000-0000-000096510000}"/>
    <cellStyle name="Comma 7 15 2 3" xfId="26025" xr:uid="{00000000-0005-0000-0000-0000AD650000}"/>
    <cellStyle name="Comma 7 15 2 4" xfId="27952" xr:uid="{00000000-0005-0000-0000-0000346D0000}"/>
    <cellStyle name="Comma 7 15 2 5" xfId="8677" xr:uid="{00000000-0005-0000-0000-0000E9210000}"/>
    <cellStyle name="Comma 7 15 3" xfId="3597" xr:uid="{00000000-0005-0000-0000-0000110E0000}"/>
    <cellStyle name="Comma 7 15 3 2" xfId="23422" xr:uid="{00000000-0005-0000-0000-0000825B0000}"/>
    <cellStyle name="Comma 7 15 3 2 2" xfId="27429" xr:uid="{00000000-0005-0000-0000-0000296B0000}"/>
    <cellStyle name="Comma 7 15 3 2 3" xfId="29357" xr:uid="{00000000-0005-0000-0000-0000B1720000}"/>
    <cellStyle name="Comma 7 15 3 3" xfId="26466" xr:uid="{00000000-0005-0000-0000-000066670000}"/>
    <cellStyle name="Comma 7 15 3 4" xfId="28394" xr:uid="{00000000-0005-0000-0000-0000EE6E0000}"/>
    <cellStyle name="Comma 7 15 3 5" xfId="16567" xr:uid="{00000000-0005-0000-0000-0000BB400000}"/>
    <cellStyle name="Comma 7 15 4" xfId="19919" xr:uid="{00000000-0005-0000-0000-0000D34D0000}"/>
    <cellStyle name="Comma 7 15 4 2" xfId="26777" xr:uid="{00000000-0005-0000-0000-00009D680000}"/>
    <cellStyle name="Comma 7 15 4 3" xfId="28705" xr:uid="{00000000-0005-0000-0000-000025700000}"/>
    <cellStyle name="Comma 7 15 5" xfId="25814" xr:uid="{00000000-0005-0000-0000-0000DA640000}"/>
    <cellStyle name="Comma 7 15 6" xfId="27741" xr:uid="{00000000-0005-0000-0000-0000616C0000}"/>
    <cellStyle name="Comma 7 15 7" xfId="7660" xr:uid="{00000000-0005-0000-0000-0000F01D0000}"/>
    <cellStyle name="Comma 7 16" xfId="785" xr:uid="{00000000-0005-0000-0000-000015030000}"/>
    <cellStyle name="Comma 7 16 2" xfId="2054" xr:uid="{00000000-0005-0000-0000-00000A080000}"/>
    <cellStyle name="Comma 7 16 2 2" xfId="3057" xr:uid="{00000000-0005-0000-0000-0000F50B0000}"/>
    <cellStyle name="Comma 7 16 2 2 2" xfId="27117" xr:uid="{00000000-0005-0000-0000-0000F1690000}"/>
    <cellStyle name="Comma 7 16 2 2 3" xfId="29045" xr:uid="{00000000-0005-0000-0000-000079710000}"/>
    <cellStyle name="Comma 7 16 2 2 4" xfId="21031" xr:uid="{00000000-0005-0000-0000-00002B520000}"/>
    <cellStyle name="Comma 7 16 2 3" xfId="3283" xr:uid="{00000000-0005-0000-0000-0000D70C0000}"/>
    <cellStyle name="Comma 7 16 2 3 2" xfId="26154" xr:uid="{00000000-0005-0000-0000-00002E660000}"/>
    <cellStyle name="Comma 7 16 2 4" xfId="28081" xr:uid="{00000000-0005-0000-0000-0000B56D0000}"/>
    <cellStyle name="Comma 7 16 2 5" xfId="9032" xr:uid="{00000000-0005-0000-0000-00004C230000}"/>
    <cellStyle name="Comma 7 16 3" xfId="19920" xr:uid="{00000000-0005-0000-0000-0000D44D0000}"/>
    <cellStyle name="Comma 7 16 3 2" xfId="26778" xr:uid="{00000000-0005-0000-0000-00009E680000}"/>
    <cellStyle name="Comma 7 16 3 3" xfId="28706" xr:uid="{00000000-0005-0000-0000-000026700000}"/>
    <cellStyle name="Comma 7 16 4" xfId="25815" xr:uid="{00000000-0005-0000-0000-0000DB640000}"/>
    <cellStyle name="Comma 7 16 5" xfId="27742" xr:uid="{00000000-0005-0000-0000-0000626C0000}"/>
    <cellStyle name="Comma 7 16 6" xfId="7661" xr:uid="{00000000-0005-0000-0000-0000F11D0000}"/>
    <cellStyle name="Comma 7 17" xfId="786" xr:uid="{00000000-0005-0000-0000-000016030000}"/>
    <cellStyle name="Comma 7 17 2" xfId="2055" xr:uid="{00000000-0005-0000-0000-00000B080000}"/>
    <cellStyle name="Comma 7 17 2 2" xfId="3058" xr:uid="{00000000-0005-0000-0000-0000F60B0000}"/>
    <cellStyle name="Comma 7 17 2 2 2" xfId="27118" xr:uid="{00000000-0005-0000-0000-0000F2690000}"/>
    <cellStyle name="Comma 7 17 2 2 3" xfId="29046" xr:uid="{00000000-0005-0000-0000-00007A710000}"/>
    <cellStyle name="Comma 7 17 2 2 4" xfId="21032" xr:uid="{00000000-0005-0000-0000-00002C520000}"/>
    <cellStyle name="Comma 7 17 2 3" xfId="3284" xr:uid="{00000000-0005-0000-0000-0000D80C0000}"/>
    <cellStyle name="Comma 7 17 2 3 2" xfId="26155" xr:uid="{00000000-0005-0000-0000-00002F660000}"/>
    <cellStyle name="Comma 7 17 2 4" xfId="28082" xr:uid="{00000000-0005-0000-0000-0000B66D0000}"/>
    <cellStyle name="Comma 7 17 2 5" xfId="9033" xr:uid="{00000000-0005-0000-0000-00004D230000}"/>
    <cellStyle name="Comma 7 17 3" xfId="19921" xr:uid="{00000000-0005-0000-0000-0000D54D0000}"/>
    <cellStyle name="Comma 7 17 3 2" xfId="26779" xr:uid="{00000000-0005-0000-0000-00009F680000}"/>
    <cellStyle name="Comma 7 17 3 3" xfId="28707" xr:uid="{00000000-0005-0000-0000-000027700000}"/>
    <cellStyle name="Comma 7 17 4" xfId="25816" xr:uid="{00000000-0005-0000-0000-0000DC640000}"/>
    <cellStyle name="Comma 7 17 5" xfId="27743" xr:uid="{00000000-0005-0000-0000-0000636C0000}"/>
    <cellStyle name="Comma 7 17 6" xfId="7662" xr:uid="{00000000-0005-0000-0000-0000F21D0000}"/>
    <cellStyle name="Comma 7 18" xfId="787" xr:uid="{00000000-0005-0000-0000-000017030000}"/>
    <cellStyle name="Comma 7 18 2" xfId="2056" xr:uid="{00000000-0005-0000-0000-00000C080000}"/>
    <cellStyle name="Comma 7 18 2 2" xfId="3059" xr:uid="{00000000-0005-0000-0000-0000F70B0000}"/>
    <cellStyle name="Comma 7 18 2 2 2" xfId="27119" xr:uid="{00000000-0005-0000-0000-0000F3690000}"/>
    <cellStyle name="Comma 7 18 2 2 3" xfId="29047" xr:uid="{00000000-0005-0000-0000-00007B710000}"/>
    <cellStyle name="Comma 7 18 2 2 4" xfId="21033" xr:uid="{00000000-0005-0000-0000-00002D520000}"/>
    <cellStyle name="Comma 7 18 2 3" xfId="3285" xr:uid="{00000000-0005-0000-0000-0000D90C0000}"/>
    <cellStyle name="Comma 7 18 2 3 2" xfId="26156" xr:uid="{00000000-0005-0000-0000-000030660000}"/>
    <cellStyle name="Comma 7 18 2 4" xfId="28083" xr:uid="{00000000-0005-0000-0000-0000B76D0000}"/>
    <cellStyle name="Comma 7 18 2 5" xfId="9034" xr:uid="{00000000-0005-0000-0000-00004E230000}"/>
    <cellStyle name="Comma 7 18 3" xfId="19922" xr:uid="{00000000-0005-0000-0000-0000D64D0000}"/>
    <cellStyle name="Comma 7 18 3 2" xfId="26780" xr:uid="{00000000-0005-0000-0000-0000A0680000}"/>
    <cellStyle name="Comma 7 18 3 3" xfId="28708" xr:uid="{00000000-0005-0000-0000-000028700000}"/>
    <cellStyle name="Comma 7 18 4" xfId="25817" xr:uid="{00000000-0005-0000-0000-0000DD640000}"/>
    <cellStyle name="Comma 7 18 5" xfId="27744" xr:uid="{00000000-0005-0000-0000-0000646C0000}"/>
    <cellStyle name="Comma 7 18 6" xfId="7663" xr:uid="{00000000-0005-0000-0000-0000F31D0000}"/>
    <cellStyle name="Comma 7 19" xfId="788" xr:uid="{00000000-0005-0000-0000-000018030000}"/>
    <cellStyle name="Comma 7 19 2" xfId="2057" xr:uid="{00000000-0005-0000-0000-00000D080000}"/>
    <cellStyle name="Comma 7 19 2 2" xfId="3060" xr:uid="{00000000-0005-0000-0000-0000F80B0000}"/>
    <cellStyle name="Comma 7 19 2 2 2" xfId="27120" xr:uid="{00000000-0005-0000-0000-0000F4690000}"/>
    <cellStyle name="Comma 7 19 2 2 3" xfId="29048" xr:uid="{00000000-0005-0000-0000-00007C710000}"/>
    <cellStyle name="Comma 7 19 2 2 4" xfId="21034" xr:uid="{00000000-0005-0000-0000-00002E520000}"/>
    <cellStyle name="Comma 7 19 2 3" xfId="3286" xr:uid="{00000000-0005-0000-0000-0000DA0C0000}"/>
    <cellStyle name="Comma 7 19 2 3 2" xfId="26157" xr:uid="{00000000-0005-0000-0000-000031660000}"/>
    <cellStyle name="Comma 7 19 2 4" xfId="28084" xr:uid="{00000000-0005-0000-0000-0000B86D0000}"/>
    <cellStyle name="Comma 7 19 2 5" xfId="9035" xr:uid="{00000000-0005-0000-0000-00004F230000}"/>
    <cellStyle name="Comma 7 19 3" xfId="19923" xr:uid="{00000000-0005-0000-0000-0000D74D0000}"/>
    <cellStyle name="Comma 7 19 3 2" xfId="26781" xr:uid="{00000000-0005-0000-0000-0000A1680000}"/>
    <cellStyle name="Comma 7 19 3 3" xfId="28709" xr:uid="{00000000-0005-0000-0000-000029700000}"/>
    <cellStyle name="Comma 7 19 4" xfId="25818" xr:uid="{00000000-0005-0000-0000-0000DE640000}"/>
    <cellStyle name="Comma 7 19 5" xfId="27745" xr:uid="{00000000-0005-0000-0000-0000656C0000}"/>
    <cellStyle name="Comma 7 19 6" xfId="7664" xr:uid="{00000000-0005-0000-0000-0000F41D0000}"/>
    <cellStyle name="Comma 7 2" xfId="789" xr:uid="{00000000-0005-0000-0000-000019030000}"/>
    <cellStyle name="Comma 7 2 2" xfId="2058" xr:uid="{00000000-0005-0000-0000-00000E080000}"/>
    <cellStyle name="Comma 7 2 2 2" xfId="3897" xr:uid="{00000000-0005-0000-0000-00003D0F0000}"/>
    <cellStyle name="Comma 7 2 2 2 2" xfId="26989" xr:uid="{00000000-0005-0000-0000-000071690000}"/>
    <cellStyle name="Comma 7 2 2 2 3" xfId="28917" xr:uid="{00000000-0005-0000-0000-0000F9700000}"/>
    <cellStyle name="Comma 7 2 2 2 4" xfId="20883" xr:uid="{00000000-0005-0000-0000-000097510000}"/>
    <cellStyle name="Comma 7 2 2 3" xfId="26026" xr:uid="{00000000-0005-0000-0000-0000AE650000}"/>
    <cellStyle name="Comma 7 2 2 4" xfId="27953" xr:uid="{00000000-0005-0000-0000-0000356D0000}"/>
    <cellStyle name="Comma 7 2 2 5" xfId="8678" xr:uid="{00000000-0005-0000-0000-0000EA210000}"/>
    <cellStyle name="Comma 7 2 3" xfId="3598" xr:uid="{00000000-0005-0000-0000-0000120E0000}"/>
    <cellStyle name="Comma 7 2 3 2" xfId="23423" xr:uid="{00000000-0005-0000-0000-0000835B0000}"/>
    <cellStyle name="Comma 7 2 3 2 2" xfId="27430" xr:uid="{00000000-0005-0000-0000-00002A6B0000}"/>
    <cellStyle name="Comma 7 2 3 2 3" xfId="29358" xr:uid="{00000000-0005-0000-0000-0000B2720000}"/>
    <cellStyle name="Comma 7 2 3 3" xfId="26467" xr:uid="{00000000-0005-0000-0000-000067670000}"/>
    <cellStyle name="Comma 7 2 3 4" xfId="28395" xr:uid="{00000000-0005-0000-0000-0000EF6E0000}"/>
    <cellStyle name="Comma 7 2 3 5" xfId="16568" xr:uid="{00000000-0005-0000-0000-0000BC400000}"/>
    <cellStyle name="Comma 7 2 4" xfId="19924" xr:uid="{00000000-0005-0000-0000-0000D84D0000}"/>
    <cellStyle name="Comma 7 2 4 2" xfId="26782" xr:uid="{00000000-0005-0000-0000-0000A2680000}"/>
    <cellStyle name="Comma 7 2 4 3" xfId="28710" xr:uid="{00000000-0005-0000-0000-00002A700000}"/>
    <cellStyle name="Comma 7 2 5" xfId="25819" xr:uid="{00000000-0005-0000-0000-0000DF640000}"/>
    <cellStyle name="Comma 7 2 6" xfId="27746" xr:uid="{00000000-0005-0000-0000-0000666C0000}"/>
    <cellStyle name="Comma 7 2 7" xfId="7665" xr:uid="{00000000-0005-0000-0000-0000F51D0000}"/>
    <cellStyle name="Comma 7 20" xfId="790" xr:uid="{00000000-0005-0000-0000-00001A030000}"/>
    <cellStyle name="Comma 7 20 2" xfId="2059" xr:uid="{00000000-0005-0000-0000-00000F080000}"/>
    <cellStyle name="Comma 7 20 2 2" xfId="3061" xr:uid="{00000000-0005-0000-0000-0000F90B0000}"/>
    <cellStyle name="Comma 7 20 2 2 2" xfId="27121" xr:uid="{00000000-0005-0000-0000-0000F5690000}"/>
    <cellStyle name="Comma 7 20 2 2 3" xfId="29049" xr:uid="{00000000-0005-0000-0000-00007D710000}"/>
    <cellStyle name="Comma 7 20 2 2 4" xfId="21035" xr:uid="{00000000-0005-0000-0000-00002F520000}"/>
    <cellStyle name="Comma 7 20 2 3" xfId="3287" xr:uid="{00000000-0005-0000-0000-0000DB0C0000}"/>
    <cellStyle name="Comma 7 20 2 3 2" xfId="26158" xr:uid="{00000000-0005-0000-0000-000032660000}"/>
    <cellStyle name="Comma 7 20 2 4" xfId="28085" xr:uid="{00000000-0005-0000-0000-0000B96D0000}"/>
    <cellStyle name="Comma 7 20 2 5" xfId="9036" xr:uid="{00000000-0005-0000-0000-000050230000}"/>
    <cellStyle name="Comma 7 20 3" xfId="19925" xr:uid="{00000000-0005-0000-0000-0000D94D0000}"/>
    <cellStyle name="Comma 7 20 3 2" xfId="26783" xr:uid="{00000000-0005-0000-0000-0000A3680000}"/>
    <cellStyle name="Comma 7 20 3 3" xfId="28711" xr:uid="{00000000-0005-0000-0000-00002B700000}"/>
    <cellStyle name="Comma 7 20 4" xfId="25820" xr:uid="{00000000-0005-0000-0000-0000E0640000}"/>
    <cellStyle name="Comma 7 20 5" xfId="27747" xr:uid="{00000000-0005-0000-0000-0000676C0000}"/>
    <cellStyle name="Comma 7 20 6" xfId="7666" xr:uid="{00000000-0005-0000-0000-0000F61D0000}"/>
    <cellStyle name="Comma 7 21" xfId="791" xr:uid="{00000000-0005-0000-0000-00001B030000}"/>
    <cellStyle name="Comma 7 21 2" xfId="2060" xr:uid="{00000000-0005-0000-0000-000010080000}"/>
    <cellStyle name="Comma 7 21 2 2" xfId="3062" xr:uid="{00000000-0005-0000-0000-0000FA0B0000}"/>
    <cellStyle name="Comma 7 21 2 2 2" xfId="27122" xr:uid="{00000000-0005-0000-0000-0000F6690000}"/>
    <cellStyle name="Comma 7 21 2 2 3" xfId="29050" xr:uid="{00000000-0005-0000-0000-00007E710000}"/>
    <cellStyle name="Comma 7 21 2 2 4" xfId="21036" xr:uid="{00000000-0005-0000-0000-000030520000}"/>
    <cellStyle name="Comma 7 21 2 3" xfId="3288" xr:uid="{00000000-0005-0000-0000-0000DC0C0000}"/>
    <cellStyle name="Comma 7 21 2 3 2" xfId="26159" xr:uid="{00000000-0005-0000-0000-000033660000}"/>
    <cellStyle name="Comma 7 21 2 4" xfId="28086" xr:uid="{00000000-0005-0000-0000-0000BA6D0000}"/>
    <cellStyle name="Comma 7 21 2 5" xfId="9037" xr:uid="{00000000-0005-0000-0000-000051230000}"/>
    <cellStyle name="Comma 7 21 3" xfId="19926" xr:uid="{00000000-0005-0000-0000-0000DA4D0000}"/>
    <cellStyle name="Comma 7 21 3 2" xfId="26784" xr:uid="{00000000-0005-0000-0000-0000A4680000}"/>
    <cellStyle name="Comma 7 21 3 3" xfId="28712" xr:uid="{00000000-0005-0000-0000-00002C700000}"/>
    <cellStyle name="Comma 7 21 4" xfId="25821" xr:uid="{00000000-0005-0000-0000-0000E1640000}"/>
    <cellStyle name="Comma 7 21 5" xfId="27748" xr:uid="{00000000-0005-0000-0000-0000686C0000}"/>
    <cellStyle name="Comma 7 21 6" xfId="7667" xr:uid="{00000000-0005-0000-0000-0000F71D0000}"/>
    <cellStyle name="Comma 7 3" xfId="792" xr:uid="{00000000-0005-0000-0000-00001C030000}"/>
    <cellStyle name="Comma 7 3 10" xfId="793" xr:uid="{00000000-0005-0000-0000-00001D030000}"/>
    <cellStyle name="Comma 7 3 10 2" xfId="2062" xr:uid="{00000000-0005-0000-0000-000012080000}"/>
    <cellStyle name="Comma 7 3 10 2 2" xfId="3898" xr:uid="{00000000-0005-0000-0000-00003E0F0000}"/>
    <cellStyle name="Comma 7 3 10 2 2 2" xfId="26990" xr:uid="{00000000-0005-0000-0000-000072690000}"/>
    <cellStyle name="Comma 7 3 10 2 2 3" xfId="28918" xr:uid="{00000000-0005-0000-0000-0000FA700000}"/>
    <cellStyle name="Comma 7 3 10 2 2 4" xfId="20884" xr:uid="{00000000-0005-0000-0000-000098510000}"/>
    <cellStyle name="Comma 7 3 10 2 3" xfId="26027" xr:uid="{00000000-0005-0000-0000-0000AF650000}"/>
    <cellStyle name="Comma 7 3 10 2 4" xfId="27954" xr:uid="{00000000-0005-0000-0000-0000366D0000}"/>
    <cellStyle name="Comma 7 3 10 2 5" xfId="8679" xr:uid="{00000000-0005-0000-0000-0000EB210000}"/>
    <cellStyle name="Comma 7 3 10 3" xfId="3599" xr:uid="{00000000-0005-0000-0000-0000130E0000}"/>
    <cellStyle name="Comma 7 3 10 3 2" xfId="23424" xr:uid="{00000000-0005-0000-0000-0000845B0000}"/>
    <cellStyle name="Comma 7 3 10 3 2 2" xfId="27431" xr:uid="{00000000-0005-0000-0000-00002B6B0000}"/>
    <cellStyle name="Comma 7 3 10 3 2 3" xfId="29359" xr:uid="{00000000-0005-0000-0000-0000B3720000}"/>
    <cellStyle name="Comma 7 3 10 3 3" xfId="26468" xr:uid="{00000000-0005-0000-0000-000068670000}"/>
    <cellStyle name="Comma 7 3 10 3 4" xfId="28396" xr:uid="{00000000-0005-0000-0000-0000F06E0000}"/>
    <cellStyle name="Comma 7 3 10 3 5" xfId="16569" xr:uid="{00000000-0005-0000-0000-0000BD400000}"/>
    <cellStyle name="Comma 7 3 10 4" xfId="19928" xr:uid="{00000000-0005-0000-0000-0000DC4D0000}"/>
    <cellStyle name="Comma 7 3 10 4 2" xfId="26786" xr:uid="{00000000-0005-0000-0000-0000A6680000}"/>
    <cellStyle name="Comma 7 3 10 4 3" xfId="28714" xr:uid="{00000000-0005-0000-0000-00002E700000}"/>
    <cellStyle name="Comma 7 3 10 5" xfId="25823" xr:uid="{00000000-0005-0000-0000-0000E3640000}"/>
    <cellStyle name="Comma 7 3 10 6" xfId="27750" xr:uid="{00000000-0005-0000-0000-00006A6C0000}"/>
    <cellStyle name="Comma 7 3 10 7" xfId="7669" xr:uid="{00000000-0005-0000-0000-0000F91D0000}"/>
    <cellStyle name="Comma 7 3 11" xfId="794" xr:uid="{00000000-0005-0000-0000-00001E030000}"/>
    <cellStyle name="Comma 7 3 11 2" xfId="2063" xr:uid="{00000000-0005-0000-0000-000013080000}"/>
    <cellStyle name="Comma 7 3 11 2 2" xfId="3899" xr:uid="{00000000-0005-0000-0000-00003F0F0000}"/>
    <cellStyle name="Comma 7 3 11 2 2 2" xfId="26991" xr:uid="{00000000-0005-0000-0000-000073690000}"/>
    <cellStyle name="Comma 7 3 11 2 2 3" xfId="28919" xr:uid="{00000000-0005-0000-0000-0000FB700000}"/>
    <cellStyle name="Comma 7 3 11 2 2 4" xfId="20885" xr:uid="{00000000-0005-0000-0000-000099510000}"/>
    <cellStyle name="Comma 7 3 11 2 3" xfId="26028" xr:uid="{00000000-0005-0000-0000-0000B0650000}"/>
    <cellStyle name="Comma 7 3 11 2 4" xfId="27955" xr:uid="{00000000-0005-0000-0000-0000376D0000}"/>
    <cellStyle name="Comma 7 3 11 2 5" xfId="8680" xr:uid="{00000000-0005-0000-0000-0000EC210000}"/>
    <cellStyle name="Comma 7 3 11 3" xfId="3600" xr:uid="{00000000-0005-0000-0000-0000140E0000}"/>
    <cellStyle name="Comma 7 3 11 3 2" xfId="23425" xr:uid="{00000000-0005-0000-0000-0000855B0000}"/>
    <cellStyle name="Comma 7 3 11 3 2 2" xfId="27432" xr:uid="{00000000-0005-0000-0000-00002C6B0000}"/>
    <cellStyle name="Comma 7 3 11 3 2 3" xfId="29360" xr:uid="{00000000-0005-0000-0000-0000B4720000}"/>
    <cellStyle name="Comma 7 3 11 3 3" xfId="26469" xr:uid="{00000000-0005-0000-0000-000069670000}"/>
    <cellStyle name="Comma 7 3 11 3 4" xfId="28397" xr:uid="{00000000-0005-0000-0000-0000F16E0000}"/>
    <cellStyle name="Comma 7 3 11 3 5" xfId="16570" xr:uid="{00000000-0005-0000-0000-0000BE400000}"/>
    <cellStyle name="Comma 7 3 11 4" xfId="19929" xr:uid="{00000000-0005-0000-0000-0000DD4D0000}"/>
    <cellStyle name="Comma 7 3 11 4 2" xfId="26787" xr:uid="{00000000-0005-0000-0000-0000A7680000}"/>
    <cellStyle name="Comma 7 3 11 4 3" xfId="28715" xr:uid="{00000000-0005-0000-0000-00002F700000}"/>
    <cellStyle name="Comma 7 3 11 5" xfId="25824" xr:uid="{00000000-0005-0000-0000-0000E4640000}"/>
    <cellStyle name="Comma 7 3 11 6" xfId="27751" xr:uid="{00000000-0005-0000-0000-00006B6C0000}"/>
    <cellStyle name="Comma 7 3 11 7" xfId="7670" xr:uid="{00000000-0005-0000-0000-0000FA1D0000}"/>
    <cellStyle name="Comma 7 3 12" xfId="795" xr:uid="{00000000-0005-0000-0000-00001F030000}"/>
    <cellStyle name="Comma 7 3 12 2" xfId="2064" xr:uid="{00000000-0005-0000-0000-000014080000}"/>
    <cellStyle name="Comma 7 3 12 2 2" xfId="3900" xr:uid="{00000000-0005-0000-0000-0000400F0000}"/>
    <cellStyle name="Comma 7 3 12 2 2 2" xfId="26992" xr:uid="{00000000-0005-0000-0000-000074690000}"/>
    <cellStyle name="Comma 7 3 12 2 2 3" xfId="28920" xr:uid="{00000000-0005-0000-0000-0000FC700000}"/>
    <cellStyle name="Comma 7 3 12 2 2 4" xfId="20886" xr:uid="{00000000-0005-0000-0000-00009A510000}"/>
    <cellStyle name="Comma 7 3 12 2 3" xfId="26029" xr:uid="{00000000-0005-0000-0000-0000B1650000}"/>
    <cellStyle name="Comma 7 3 12 2 4" xfId="27956" xr:uid="{00000000-0005-0000-0000-0000386D0000}"/>
    <cellStyle name="Comma 7 3 12 2 5" xfId="8681" xr:uid="{00000000-0005-0000-0000-0000ED210000}"/>
    <cellStyle name="Comma 7 3 12 3" xfId="3601" xr:uid="{00000000-0005-0000-0000-0000150E0000}"/>
    <cellStyle name="Comma 7 3 12 3 2" xfId="23426" xr:uid="{00000000-0005-0000-0000-0000865B0000}"/>
    <cellStyle name="Comma 7 3 12 3 2 2" xfId="27433" xr:uid="{00000000-0005-0000-0000-00002D6B0000}"/>
    <cellStyle name="Comma 7 3 12 3 2 3" xfId="29361" xr:uid="{00000000-0005-0000-0000-0000B5720000}"/>
    <cellStyle name="Comma 7 3 12 3 3" xfId="26470" xr:uid="{00000000-0005-0000-0000-00006A670000}"/>
    <cellStyle name="Comma 7 3 12 3 4" xfId="28398" xr:uid="{00000000-0005-0000-0000-0000F26E0000}"/>
    <cellStyle name="Comma 7 3 12 3 5" xfId="16571" xr:uid="{00000000-0005-0000-0000-0000BF400000}"/>
    <cellStyle name="Comma 7 3 12 4" xfId="19930" xr:uid="{00000000-0005-0000-0000-0000DE4D0000}"/>
    <cellStyle name="Comma 7 3 12 4 2" xfId="26788" xr:uid="{00000000-0005-0000-0000-0000A8680000}"/>
    <cellStyle name="Comma 7 3 12 4 3" xfId="28716" xr:uid="{00000000-0005-0000-0000-000030700000}"/>
    <cellStyle name="Comma 7 3 12 5" xfId="25825" xr:uid="{00000000-0005-0000-0000-0000E5640000}"/>
    <cellStyle name="Comma 7 3 12 6" xfId="27752" xr:uid="{00000000-0005-0000-0000-00006C6C0000}"/>
    <cellStyle name="Comma 7 3 12 7" xfId="7671" xr:uid="{00000000-0005-0000-0000-0000FB1D0000}"/>
    <cellStyle name="Comma 7 3 13" xfId="796" xr:uid="{00000000-0005-0000-0000-000020030000}"/>
    <cellStyle name="Comma 7 3 13 2" xfId="2065" xr:uid="{00000000-0005-0000-0000-000015080000}"/>
    <cellStyle name="Comma 7 3 13 2 2" xfId="3901" xr:uid="{00000000-0005-0000-0000-0000410F0000}"/>
    <cellStyle name="Comma 7 3 13 2 2 2" xfId="26993" xr:uid="{00000000-0005-0000-0000-000075690000}"/>
    <cellStyle name="Comma 7 3 13 2 2 3" xfId="28921" xr:uid="{00000000-0005-0000-0000-0000FD700000}"/>
    <cellStyle name="Comma 7 3 13 2 2 4" xfId="20887" xr:uid="{00000000-0005-0000-0000-00009B510000}"/>
    <cellStyle name="Comma 7 3 13 2 3" xfId="26030" xr:uid="{00000000-0005-0000-0000-0000B2650000}"/>
    <cellStyle name="Comma 7 3 13 2 4" xfId="27957" xr:uid="{00000000-0005-0000-0000-0000396D0000}"/>
    <cellStyle name="Comma 7 3 13 2 5" xfId="8682" xr:uid="{00000000-0005-0000-0000-0000EE210000}"/>
    <cellStyle name="Comma 7 3 13 3" xfId="3602" xr:uid="{00000000-0005-0000-0000-0000160E0000}"/>
    <cellStyle name="Comma 7 3 13 3 2" xfId="23427" xr:uid="{00000000-0005-0000-0000-0000875B0000}"/>
    <cellStyle name="Comma 7 3 13 3 2 2" xfId="27434" xr:uid="{00000000-0005-0000-0000-00002E6B0000}"/>
    <cellStyle name="Comma 7 3 13 3 2 3" xfId="29362" xr:uid="{00000000-0005-0000-0000-0000B6720000}"/>
    <cellStyle name="Comma 7 3 13 3 3" xfId="26471" xr:uid="{00000000-0005-0000-0000-00006B670000}"/>
    <cellStyle name="Comma 7 3 13 3 4" xfId="28399" xr:uid="{00000000-0005-0000-0000-0000F36E0000}"/>
    <cellStyle name="Comma 7 3 13 3 5" xfId="16572" xr:uid="{00000000-0005-0000-0000-0000C0400000}"/>
    <cellStyle name="Comma 7 3 13 4" xfId="19931" xr:uid="{00000000-0005-0000-0000-0000DF4D0000}"/>
    <cellStyle name="Comma 7 3 13 4 2" xfId="26789" xr:uid="{00000000-0005-0000-0000-0000A9680000}"/>
    <cellStyle name="Comma 7 3 13 4 3" xfId="28717" xr:uid="{00000000-0005-0000-0000-000031700000}"/>
    <cellStyle name="Comma 7 3 13 5" xfId="25826" xr:uid="{00000000-0005-0000-0000-0000E6640000}"/>
    <cellStyle name="Comma 7 3 13 6" xfId="27753" xr:uid="{00000000-0005-0000-0000-00006D6C0000}"/>
    <cellStyle name="Comma 7 3 13 7" xfId="7672" xr:uid="{00000000-0005-0000-0000-0000FC1D0000}"/>
    <cellStyle name="Comma 7 3 14" xfId="797" xr:uid="{00000000-0005-0000-0000-000021030000}"/>
    <cellStyle name="Comma 7 3 14 2" xfId="2066" xr:uid="{00000000-0005-0000-0000-000016080000}"/>
    <cellStyle name="Comma 7 3 14 2 2" xfId="3902" xr:uid="{00000000-0005-0000-0000-0000420F0000}"/>
    <cellStyle name="Comma 7 3 14 2 2 2" xfId="26994" xr:uid="{00000000-0005-0000-0000-000076690000}"/>
    <cellStyle name="Comma 7 3 14 2 2 3" xfId="28922" xr:uid="{00000000-0005-0000-0000-0000FE700000}"/>
    <cellStyle name="Comma 7 3 14 2 2 4" xfId="20888" xr:uid="{00000000-0005-0000-0000-00009C510000}"/>
    <cellStyle name="Comma 7 3 14 2 3" xfId="26031" xr:uid="{00000000-0005-0000-0000-0000B3650000}"/>
    <cellStyle name="Comma 7 3 14 2 4" xfId="27958" xr:uid="{00000000-0005-0000-0000-00003A6D0000}"/>
    <cellStyle name="Comma 7 3 14 2 5" xfId="8683" xr:uid="{00000000-0005-0000-0000-0000EF210000}"/>
    <cellStyle name="Comma 7 3 14 3" xfId="3603" xr:uid="{00000000-0005-0000-0000-0000170E0000}"/>
    <cellStyle name="Comma 7 3 14 3 2" xfId="23428" xr:uid="{00000000-0005-0000-0000-0000885B0000}"/>
    <cellStyle name="Comma 7 3 14 3 2 2" xfId="27435" xr:uid="{00000000-0005-0000-0000-00002F6B0000}"/>
    <cellStyle name="Comma 7 3 14 3 2 3" xfId="29363" xr:uid="{00000000-0005-0000-0000-0000B7720000}"/>
    <cellStyle name="Comma 7 3 14 3 3" xfId="26472" xr:uid="{00000000-0005-0000-0000-00006C670000}"/>
    <cellStyle name="Comma 7 3 14 3 4" xfId="28400" xr:uid="{00000000-0005-0000-0000-0000F46E0000}"/>
    <cellStyle name="Comma 7 3 14 3 5" xfId="16573" xr:uid="{00000000-0005-0000-0000-0000C1400000}"/>
    <cellStyle name="Comma 7 3 14 4" xfId="19932" xr:uid="{00000000-0005-0000-0000-0000E04D0000}"/>
    <cellStyle name="Comma 7 3 14 4 2" xfId="26790" xr:uid="{00000000-0005-0000-0000-0000AA680000}"/>
    <cellStyle name="Comma 7 3 14 4 3" xfId="28718" xr:uid="{00000000-0005-0000-0000-000032700000}"/>
    <cellStyle name="Comma 7 3 14 5" xfId="25827" xr:uid="{00000000-0005-0000-0000-0000E7640000}"/>
    <cellStyle name="Comma 7 3 14 6" xfId="27754" xr:uid="{00000000-0005-0000-0000-00006E6C0000}"/>
    <cellStyle name="Comma 7 3 14 7" xfId="7673" xr:uid="{00000000-0005-0000-0000-0000FD1D0000}"/>
    <cellStyle name="Comma 7 3 15" xfId="798" xr:uid="{00000000-0005-0000-0000-000022030000}"/>
    <cellStyle name="Comma 7 3 15 2" xfId="2067" xr:uid="{00000000-0005-0000-0000-000017080000}"/>
    <cellStyle name="Comma 7 3 15 2 2" xfId="3903" xr:uid="{00000000-0005-0000-0000-0000430F0000}"/>
    <cellStyle name="Comma 7 3 15 2 2 2" xfId="26995" xr:uid="{00000000-0005-0000-0000-000077690000}"/>
    <cellStyle name="Comma 7 3 15 2 2 3" xfId="28923" xr:uid="{00000000-0005-0000-0000-0000FF700000}"/>
    <cellStyle name="Comma 7 3 15 2 2 4" xfId="20889" xr:uid="{00000000-0005-0000-0000-00009D510000}"/>
    <cellStyle name="Comma 7 3 15 2 3" xfId="26032" xr:uid="{00000000-0005-0000-0000-0000B4650000}"/>
    <cellStyle name="Comma 7 3 15 2 4" xfId="27959" xr:uid="{00000000-0005-0000-0000-00003B6D0000}"/>
    <cellStyle name="Comma 7 3 15 2 5" xfId="8684" xr:uid="{00000000-0005-0000-0000-0000F0210000}"/>
    <cellStyle name="Comma 7 3 15 3" xfId="3604" xr:uid="{00000000-0005-0000-0000-0000180E0000}"/>
    <cellStyle name="Comma 7 3 15 3 2" xfId="23429" xr:uid="{00000000-0005-0000-0000-0000895B0000}"/>
    <cellStyle name="Comma 7 3 15 3 2 2" xfId="27436" xr:uid="{00000000-0005-0000-0000-0000306B0000}"/>
    <cellStyle name="Comma 7 3 15 3 2 3" xfId="29364" xr:uid="{00000000-0005-0000-0000-0000B8720000}"/>
    <cellStyle name="Comma 7 3 15 3 3" xfId="26473" xr:uid="{00000000-0005-0000-0000-00006D670000}"/>
    <cellStyle name="Comma 7 3 15 3 4" xfId="28401" xr:uid="{00000000-0005-0000-0000-0000F56E0000}"/>
    <cellStyle name="Comma 7 3 15 3 5" xfId="16574" xr:uid="{00000000-0005-0000-0000-0000C2400000}"/>
    <cellStyle name="Comma 7 3 15 4" xfId="19933" xr:uid="{00000000-0005-0000-0000-0000E14D0000}"/>
    <cellStyle name="Comma 7 3 15 4 2" xfId="26791" xr:uid="{00000000-0005-0000-0000-0000AB680000}"/>
    <cellStyle name="Comma 7 3 15 4 3" xfId="28719" xr:uid="{00000000-0005-0000-0000-000033700000}"/>
    <cellStyle name="Comma 7 3 15 5" xfId="25828" xr:uid="{00000000-0005-0000-0000-0000E8640000}"/>
    <cellStyle name="Comma 7 3 15 6" xfId="27755" xr:uid="{00000000-0005-0000-0000-00006F6C0000}"/>
    <cellStyle name="Comma 7 3 15 7" xfId="7674" xr:uid="{00000000-0005-0000-0000-0000FE1D0000}"/>
    <cellStyle name="Comma 7 3 16" xfId="2061" xr:uid="{00000000-0005-0000-0000-000011080000}"/>
    <cellStyle name="Comma 7 3 16 2" xfId="3063" xr:uid="{00000000-0005-0000-0000-0000FB0B0000}"/>
    <cellStyle name="Comma 7 3 16 2 2" xfId="26785" xr:uid="{00000000-0005-0000-0000-0000A5680000}"/>
    <cellStyle name="Comma 7 3 16 3" xfId="3289" xr:uid="{00000000-0005-0000-0000-0000DD0C0000}"/>
    <cellStyle name="Comma 7 3 16 3 2" xfId="28713" xr:uid="{00000000-0005-0000-0000-00002D700000}"/>
    <cellStyle name="Comma 7 3 16 4" xfId="19927" xr:uid="{00000000-0005-0000-0000-0000DB4D0000}"/>
    <cellStyle name="Comma 7 3 17" xfId="25822" xr:uid="{00000000-0005-0000-0000-0000E2640000}"/>
    <cellStyle name="Comma 7 3 18" xfId="27749" xr:uid="{00000000-0005-0000-0000-0000696C0000}"/>
    <cellStyle name="Comma 7 3 19" xfId="7668" xr:uid="{00000000-0005-0000-0000-0000F81D0000}"/>
    <cellStyle name="Comma 7 3 2" xfId="799" xr:uid="{00000000-0005-0000-0000-000023030000}"/>
    <cellStyle name="Comma 7 3 2 2" xfId="2068" xr:uid="{00000000-0005-0000-0000-000018080000}"/>
    <cellStyle name="Comma 7 3 2 2 2" xfId="3904" xr:uid="{00000000-0005-0000-0000-0000440F0000}"/>
    <cellStyle name="Comma 7 3 2 2 2 2" xfId="26996" xr:uid="{00000000-0005-0000-0000-000078690000}"/>
    <cellStyle name="Comma 7 3 2 2 2 3" xfId="28924" xr:uid="{00000000-0005-0000-0000-000000710000}"/>
    <cellStyle name="Comma 7 3 2 2 2 4" xfId="20890" xr:uid="{00000000-0005-0000-0000-00009E510000}"/>
    <cellStyle name="Comma 7 3 2 2 3" xfId="26033" xr:uid="{00000000-0005-0000-0000-0000B5650000}"/>
    <cellStyle name="Comma 7 3 2 2 4" xfId="27960" xr:uid="{00000000-0005-0000-0000-00003C6D0000}"/>
    <cellStyle name="Comma 7 3 2 2 5" xfId="8685" xr:uid="{00000000-0005-0000-0000-0000F1210000}"/>
    <cellStyle name="Comma 7 3 2 3" xfId="3605" xr:uid="{00000000-0005-0000-0000-0000190E0000}"/>
    <cellStyle name="Comma 7 3 2 3 2" xfId="23430" xr:uid="{00000000-0005-0000-0000-00008A5B0000}"/>
    <cellStyle name="Comma 7 3 2 3 2 2" xfId="27437" xr:uid="{00000000-0005-0000-0000-0000316B0000}"/>
    <cellStyle name="Comma 7 3 2 3 2 3" xfId="29365" xr:uid="{00000000-0005-0000-0000-0000B9720000}"/>
    <cellStyle name="Comma 7 3 2 3 3" xfId="26474" xr:uid="{00000000-0005-0000-0000-00006E670000}"/>
    <cellStyle name="Comma 7 3 2 3 4" xfId="28402" xr:uid="{00000000-0005-0000-0000-0000F66E0000}"/>
    <cellStyle name="Comma 7 3 2 3 5" xfId="16575" xr:uid="{00000000-0005-0000-0000-0000C3400000}"/>
    <cellStyle name="Comma 7 3 2 4" xfId="19934" xr:uid="{00000000-0005-0000-0000-0000E24D0000}"/>
    <cellStyle name="Comma 7 3 2 4 2" xfId="26792" xr:uid="{00000000-0005-0000-0000-0000AC680000}"/>
    <cellStyle name="Comma 7 3 2 4 3" xfId="28720" xr:uid="{00000000-0005-0000-0000-000034700000}"/>
    <cellStyle name="Comma 7 3 2 5" xfId="25829" xr:uid="{00000000-0005-0000-0000-0000E9640000}"/>
    <cellStyle name="Comma 7 3 2 6" xfId="27756" xr:uid="{00000000-0005-0000-0000-0000706C0000}"/>
    <cellStyle name="Comma 7 3 2 7" xfId="7675" xr:uid="{00000000-0005-0000-0000-0000FF1D0000}"/>
    <cellStyle name="Comma 7 3 3" xfId="800" xr:uid="{00000000-0005-0000-0000-000024030000}"/>
    <cellStyle name="Comma 7 3 3 2" xfId="2069" xr:uid="{00000000-0005-0000-0000-000019080000}"/>
    <cellStyle name="Comma 7 3 3 2 2" xfId="3905" xr:uid="{00000000-0005-0000-0000-0000450F0000}"/>
    <cellStyle name="Comma 7 3 3 2 2 2" xfId="26997" xr:uid="{00000000-0005-0000-0000-000079690000}"/>
    <cellStyle name="Comma 7 3 3 2 2 3" xfId="28925" xr:uid="{00000000-0005-0000-0000-000001710000}"/>
    <cellStyle name="Comma 7 3 3 2 2 4" xfId="20891" xr:uid="{00000000-0005-0000-0000-00009F510000}"/>
    <cellStyle name="Comma 7 3 3 2 3" xfId="26034" xr:uid="{00000000-0005-0000-0000-0000B6650000}"/>
    <cellStyle name="Comma 7 3 3 2 4" xfId="27961" xr:uid="{00000000-0005-0000-0000-00003D6D0000}"/>
    <cellStyle name="Comma 7 3 3 2 5" xfId="8686" xr:uid="{00000000-0005-0000-0000-0000F2210000}"/>
    <cellStyle name="Comma 7 3 3 3" xfId="3606" xr:uid="{00000000-0005-0000-0000-00001A0E0000}"/>
    <cellStyle name="Comma 7 3 3 3 2" xfId="23431" xr:uid="{00000000-0005-0000-0000-00008B5B0000}"/>
    <cellStyle name="Comma 7 3 3 3 2 2" xfId="27438" xr:uid="{00000000-0005-0000-0000-0000326B0000}"/>
    <cellStyle name="Comma 7 3 3 3 2 3" xfId="29366" xr:uid="{00000000-0005-0000-0000-0000BA720000}"/>
    <cellStyle name="Comma 7 3 3 3 3" xfId="26475" xr:uid="{00000000-0005-0000-0000-00006F670000}"/>
    <cellStyle name="Comma 7 3 3 3 4" xfId="28403" xr:uid="{00000000-0005-0000-0000-0000F76E0000}"/>
    <cellStyle name="Comma 7 3 3 3 5" xfId="16576" xr:uid="{00000000-0005-0000-0000-0000C4400000}"/>
    <cellStyle name="Comma 7 3 3 4" xfId="19935" xr:uid="{00000000-0005-0000-0000-0000E34D0000}"/>
    <cellStyle name="Comma 7 3 3 4 2" xfId="26793" xr:uid="{00000000-0005-0000-0000-0000AD680000}"/>
    <cellStyle name="Comma 7 3 3 4 3" xfId="28721" xr:uid="{00000000-0005-0000-0000-000035700000}"/>
    <cellStyle name="Comma 7 3 3 5" xfId="25830" xr:uid="{00000000-0005-0000-0000-0000EA640000}"/>
    <cellStyle name="Comma 7 3 3 6" xfId="27757" xr:uid="{00000000-0005-0000-0000-0000716C0000}"/>
    <cellStyle name="Comma 7 3 3 7" xfId="7676" xr:uid="{00000000-0005-0000-0000-0000001E0000}"/>
    <cellStyle name="Comma 7 3 4" xfId="801" xr:uid="{00000000-0005-0000-0000-000025030000}"/>
    <cellStyle name="Comma 7 3 4 2" xfId="2070" xr:uid="{00000000-0005-0000-0000-00001A080000}"/>
    <cellStyle name="Comma 7 3 4 2 2" xfId="3906" xr:uid="{00000000-0005-0000-0000-0000460F0000}"/>
    <cellStyle name="Comma 7 3 4 2 2 2" xfId="26998" xr:uid="{00000000-0005-0000-0000-00007A690000}"/>
    <cellStyle name="Comma 7 3 4 2 2 3" xfId="28926" xr:uid="{00000000-0005-0000-0000-000002710000}"/>
    <cellStyle name="Comma 7 3 4 2 2 4" xfId="20892" xr:uid="{00000000-0005-0000-0000-0000A0510000}"/>
    <cellStyle name="Comma 7 3 4 2 3" xfId="26035" xr:uid="{00000000-0005-0000-0000-0000B7650000}"/>
    <cellStyle name="Comma 7 3 4 2 4" xfId="27962" xr:uid="{00000000-0005-0000-0000-00003E6D0000}"/>
    <cellStyle name="Comma 7 3 4 2 5" xfId="8687" xr:uid="{00000000-0005-0000-0000-0000F3210000}"/>
    <cellStyle name="Comma 7 3 4 3" xfId="3607" xr:uid="{00000000-0005-0000-0000-00001B0E0000}"/>
    <cellStyle name="Comma 7 3 4 3 2" xfId="23432" xr:uid="{00000000-0005-0000-0000-00008C5B0000}"/>
    <cellStyle name="Comma 7 3 4 3 2 2" xfId="27439" xr:uid="{00000000-0005-0000-0000-0000336B0000}"/>
    <cellStyle name="Comma 7 3 4 3 2 3" xfId="29367" xr:uid="{00000000-0005-0000-0000-0000BB720000}"/>
    <cellStyle name="Comma 7 3 4 3 3" xfId="26476" xr:uid="{00000000-0005-0000-0000-000070670000}"/>
    <cellStyle name="Comma 7 3 4 3 4" xfId="28404" xr:uid="{00000000-0005-0000-0000-0000F86E0000}"/>
    <cellStyle name="Comma 7 3 4 3 5" xfId="16577" xr:uid="{00000000-0005-0000-0000-0000C5400000}"/>
    <cellStyle name="Comma 7 3 4 4" xfId="19936" xr:uid="{00000000-0005-0000-0000-0000E44D0000}"/>
    <cellStyle name="Comma 7 3 4 4 2" xfId="26794" xr:uid="{00000000-0005-0000-0000-0000AE680000}"/>
    <cellStyle name="Comma 7 3 4 4 3" xfId="28722" xr:uid="{00000000-0005-0000-0000-000036700000}"/>
    <cellStyle name="Comma 7 3 4 5" xfId="25831" xr:uid="{00000000-0005-0000-0000-0000EB640000}"/>
    <cellStyle name="Comma 7 3 4 6" xfId="27758" xr:uid="{00000000-0005-0000-0000-0000726C0000}"/>
    <cellStyle name="Comma 7 3 4 7" xfId="7677" xr:uid="{00000000-0005-0000-0000-0000011E0000}"/>
    <cellStyle name="Comma 7 3 5" xfId="802" xr:uid="{00000000-0005-0000-0000-000026030000}"/>
    <cellStyle name="Comma 7 3 5 2" xfId="2071" xr:uid="{00000000-0005-0000-0000-00001B080000}"/>
    <cellStyle name="Comma 7 3 5 2 2" xfId="3907" xr:uid="{00000000-0005-0000-0000-0000470F0000}"/>
    <cellStyle name="Comma 7 3 5 2 2 2" xfId="26999" xr:uid="{00000000-0005-0000-0000-00007B690000}"/>
    <cellStyle name="Comma 7 3 5 2 2 3" xfId="28927" xr:uid="{00000000-0005-0000-0000-000003710000}"/>
    <cellStyle name="Comma 7 3 5 2 2 4" xfId="20893" xr:uid="{00000000-0005-0000-0000-0000A1510000}"/>
    <cellStyle name="Comma 7 3 5 2 3" xfId="26036" xr:uid="{00000000-0005-0000-0000-0000B8650000}"/>
    <cellStyle name="Comma 7 3 5 2 4" xfId="27963" xr:uid="{00000000-0005-0000-0000-00003F6D0000}"/>
    <cellStyle name="Comma 7 3 5 2 5" xfId="8688" xr:uid="{00000000-0005-0000-0000-0000F4210000}"/>
    <cellStyle name="Comma 7 3 5 3" xfId="3608" xr:uid="{00000000-0005-0000-0000-00001C0E0000}"/>
    <cellStyle name="Comma 7 3 5 3 2" xfId="23433" xr:uid="{00000000-0005-0000-0000-00008D5B0000}"/>
    <cellStyle name="Comma 7 3 5 3 2 2" xfId="27440" xr:uid="{00000000-0005-0000-0000-0000346B0000}"/>
    <cellStyle name="Comma 7 3 5 3 2 3" xfId="29368" xr:uid="{00000000-0005-0000-0000-0000BC720000}"/>
    <cellStyle name="Comma 7 3 5 3 3" xfId="26477" xr:uid="{00000000-0005-0000-0000-000071670000}"/>
    <cellStyle name="Comma 7 3 5 3 4" xfId="28405" xr:uid="{00000000-0005-0000-0000-0000F96E0000}"/>
    <cellStyle name="Comma 7 3 5 3 5" xfId="16578" xr:uid="{00000000-0005-0000-0000-0000C6400000}"/>
    <cellStyle name="Comma 7 3 5 4" xfId="19937" xr:uid="{00000000-0005-0000-0000-0000E54D0000}"/>
    <cellStyle name="Comma 7 3 5 4 2" xfId="26795" xr:uid="{00000000-0005-0000-0000-0000AF680000}"/>
    <cellStyle name="Comma 7 3 5 4 3" xfId="28723" xr:uid="{00000000-0005-0000-0000-000037700000}"/>
    <cellStyle name="Comma 7 3 5 5" xfId="25832" xr:uid="{00000000-0005-0000-0000-0000EC640000}"/>
    <cellStyle name="Comma 7 3 5 6" xfId="27759" xr:uid="{00000000-0005-0000-0000-0000736C0000}"/>
    <cellStyle name="Comma 7 3 5 7" xfId="7678" xr:uid="{00000000-0005-0000-0000-0000021E0000}"/>
    <cellStyle name="Comma 7 3 6" xfId="803" xr:uid="{00000000-0005-0000-0000-000027030000}"/>
    <cellStyle name="Comma 7 3 6 2" xfId="2072" xr:uid="{00000000-0005-0000-0000-00001C080000}"/>
    <cellStyle name="Comma 7 3 6 2 2" xfId="3908" xr:uid="{00000000-0005-0000-0000-0000480F0000}"/>
    <cellStyle name="Comma 7 3 6 2 2 2" xfId="27000" xr:uid="{00000000-0005-0000-0000-00007C690000}"/>
    <cellStyle name="Comma 7 3 6 2 2 3" xfId="28928" xr:uid="{00000000-0005-0000-0000-000004710000}"/>
    <cellStyle name="Comma 7 3 6 2 2 4" xfId="20894" xr:uid="{00000000-0005-0000-0000-0000A2510000}"/>
    <cellStyle name="Comma 7 3 6 2 3" xfId="26037" xr:uid="{00000000-0005-0000-0000-0000B9650000}"/>
    <cellStyle name="Comma 7 3 6 2 4" xfId="27964" xr:uid="{00000000-0005-0000-0000-0000406D0000}"/>
    <cellStyle name="Comma 7 3 6 2 5" xfId="8689" xr:uid="{00000000-0005-0000-0000-0000F5210000}"/>
    <cellStyle name="Comma 7 3 6 3" xfId="3609" xr:uid="{00000000-0005-0000-0000-00001D0E0000}"/>
    <cellStyle name="Comma 7 3 6 3 2" xfId="23434" xr:uid="{00000000-0005-0000-0000-00008E5B0000}"/>
    <cellStyle name="Comma 7 3 6 3 2 2" xfId="27441" xr:uid="{00000000-0005-0000-0000-0000356B0000}"/>
    <cellStyle name="Comma 7 3 6 3 2 3" xfId="29369" xr:uid="{00000000-0005-0000-0000-0000BD720000}"/>
    <cellStyle name="Comma 7 3 6 3 3" xfId="26478" xr:uid="{00000000-0005-0000-0000-000072670000}"/>
    <cellStyle name="Comma 7 3 6 3 4" xfId="28406" xr:uid="{00000000-0005-0000-0000-0000FA6E0000}"/>
    <cellStyle name="Comma 7 3 6 3 5" xfId="16579" xr:uid="{00000000-0005-0000-0000-0000C7400000}"/>
    <cellStyle name="Comma 7 3 6 4" xfId="19938" xr:uid="{00000000-0005-0000-0000-0000E64D0000}"/>
    <cellStyle name="Comma 7 3 6 4 2" xfId="26796" xr:uid="{00000000-0005-0000-0000-0000B0680000}"/>
    <cellStyle name="Comma 7 3 6 4 3" xfId="28724" xr:uid="{00000000-0005-0000-0000-000038700000}"/>
    <cellStyle name="Comma 7 3 6 5" xfId="25833" xr:uid="{00000000-0005-0000-0000-0000ED640000}"/>
    <cellStyle name="Comma 7 3 6 6" xfId="27760" xr:uid="{00000000-0005-0000-0000-0000746C0000}"/>
    <cellStyle name="Comma 7 3 6 7" xfId="7679" xr:uid="{00000000-0005-0000-0000-0000031E0000}"/>
    <cellStyle name="Comma 7 3 7" xfId="804" xr:uid="{00000000-0005-0000-0000-000028030000}"/>
    <cellStyle name="Comma 7 3 7 2" xfId="2073" xr:uid="{00000000-0005-0000-0000-00001D080000}"/>
    <cellStyle name="Comma 7 3 7 2 2" xfId="3909" xr:uid="{00000000-0005-0000-0000-0000490F0000}"/>
    <cellStyle name="Comma 7 3 7 2 2 2" xfId="27001" xr:uid="{00000000-0005-0000-0000-00007D690000}"/>
    <cellStyle name="Comma 7 3 7 2 2 3" xfId="28929" xr:uid="{00000000-0005-0000-0000-000005710000}"/>
    <cellStyle name="Comma 7 3 7 2 2 4" xfId="20895" xr:uid="{00000000-0005-0000-0000-0000A3510000}"/>
    <cellStyle name="Comma 7 3 7 2 3" xfId="26038" xr:uid="{00000000-0005-0000-0000-0000BA650000}"/>
    <cellStyle name="Comma 7 3 7 2 4" xfId="27965" xr:uid="{00000000-0005-0000-0000-0000416D0000}"/>
    <cellStyle name="Comma 7 3 7 2 5" xfId="8690" xr:uid="{00000000-0005-0000-0000-0000F6210000}"/>
    <cellStyle name="Comma 7 3 7 3" xfId="3610" xr:uid="{00000000-0005-0000-0000-00001E0E0000}"/>
    <cellStyle name="Comma 7 3 7 3 2" xfId="23435" xr:uid="{00000000-0005-0000-0000-00008F5B0000}"/>
    <cellStyle name="Comma 7 3 7 3 2 2" xfId="27442" xr:uid="{00000000-0005-0000-0000-0000366B0000}"/>
    <cellStyle name="Comma 7 3 7 3 2 3" xfId="29370" xr:uid="{00000000-0005-0000-0000-0000BE720000}"/>
    <cellStyle name="Comma 7 3 7 3 3" xfId="26479" xr:uid="{00000000-0005-0000-0000-000073670000}"/>
    <cellStyle name="Comma 7 3 7 3 4" xfId="28407" xr:uid="{00000000-0005-0000-0000-0000FB6E0000}"/>
    <cellStyle name="Comma 7 3 7 3 5" xfId="16580" xr:uid="{00000000-0005-0000-0000-0000C8400000}"/>
    <cellStyle name="Comma 7 3 7 4" xfId="19939" xr:uid="{00000000-0005-0000-0000-0000E74D0000}"/>
    <cellStyle name="Comma 7 3 7 4 2" xfId="26797" xr:uid="{00000000-0005-0000-0000-0000B1680000}"/>
    <cellStyle name="Comma 7 3 7 4 3" xfId="28725" xr:uid="{00000000-0005-0000-0000-000039700000}"/>
    <cellStyle name="Comma 7 3 7 5" xfId="25834" xr:uid="{00000000-0005-0000-0000-0000EE640000}"/>
    <cellStyle name="Comma 7 3 7 6" xfId="27761" xr:uid="{00000000-0005-0000-0000-0000756C0000}"/>
    <cellStyle name="Comma 7 3 7 7" xfId="7680" xr:uid="{00000000-0005-0000-0000-0000041E0000}"/>
    <cellStyle name="Comma 7 3 8" xfId="805" xr:uid="{00000000-0005-0000-0000-000029030000}"/>
    <cellStyle name="Comma 7 3 8 2" xfId="2074" xr:uid="{00000000-0005-0000-0000-00001E080000}"/>
    <cellStyle name="Comma 7 3 8 2 2" xfId="3910" xr:uid="{00000000-0005-0000-0000-00004A0F0000}"/>
    <cellStyle name="Comma 7 3 8 2 2 2" xfId="27002" xr:uid="{00000000-0005-0000-0000-00007E690000}"/>
    <cellStyle name="Comma 7 3 8 2 2 3" xfId="28930" xr:uid="{00000000-0005-0000-0000-000006710000}"/>
    <cellStyle name="Comma 7 3 8 2 2 4" xfId="20896" xr:uid="{00000000-0005-0000-0000-0000A4510000}"/>
    <cellStyle name="Comma 7 3 8 2 3" xfId="26039" xr:uid="{00000000-0005-0000-0000-0000BB650000}"/>
    <cellStyle name="Comma 7 3 8 2 4" xfId="27966" xr:uid="{00000000-0005-0000-0000-0000426D0000}"/>
    <cellStyle name="Comma 7 3 8 2 5" xfId="8691" xr:uid="{00000000-0005-0000-0000-0000F7210000}"/>
    <cellStyle name="Comma 7 3 8 3" xfId="3611" xr:uid="{00000000-0005-0000-0000-00001F0E0000}"/>
    <cellStyle name="Comma 7 3 8 3 2" xfId="23436" xr:uid="{00000000-0005-0000-0000-0000905B0000}"/>
    <cellStyle name="Comma 7 3 8 3 2 2" xfId="27443" xr:uid="{00000000-0005-0000-0000-0000376B0000}"/>
    <cellStyle name="Comma 7 3 8 3 2 3" xfId="29371" xr:uid="{00000000-0005-0000-0000-0000BF720000}"/>
    <cellStyle name="Comma 7 3 8 3 3" xfId="26480" xr:uid="{00000000-0005-0000-0000-000074670000}"/>
    <cellStyle name="Comma 7 3 8 3 4" xfId="28408" xr:uid="{00000000-0005-0000-0000-0000FC6E0000}"/>
    <cellStyle name="Comma 7 3 8 3 5" xfId="16581" xr:uid="{00000000-0005-0000-0000-0000C9400000}"/>
    <cellStyle name="Comma 7 3 8 4" xfId="19940" xr:uid="{00000000-0005-0000-0000-0000E84D0000}"/>
    <cellStyle name="Comma 7 3 8 4 2" xfId="26798" xr:uid="{00000000-0005-0000-0000-0000B2680000}"/>
    <cellStyle name="Comma 7 3 8 4 3" xfId="28726" xr:uid="{00000000-0005-0000-0000-00003A700000}"/>
    <cellStyle name="Comma 7 3 8 5" xfId="25835" xr:uid="{00000000-0005-0000-0000-0000EF640000}"/>
    <cellStyle name="Comma 7 3 8 6" xfId="27762" xr:uid="{00000000-0005-0000-0000-0000766C0000}"/>
    <cellStyle name="Comma 7 3 8 7" xfId="7681" xr:uid="{00000000-0005-0000-0000-0000051E0000}"/>
    <cellStyle name="Comma 7 3 9" xfId="806" xr:uid="{00000000-0005-0000-0000-00002A030000}"/>
    <cellStyle name="Comma 7 3 9 2" xfId="2075" xr:uid="{00000000-0005-0000-0000-00001F080000}"/>
    <cellStyle name="Comma 7 3 9 2 2" xfId="3911" xr:uid="{00000000-0005-0000-0000-00004B0F0000}"/>
    <cellStyle name="Comma 7 3 9 2 2 2" xfId="27003" xr:uid="{00000000-0005-0000-0000-00007F690000}"/>
    <cellStyle name="Comma 7 3 9 2 2 3" xfId="28931" xr:uid="{00000000-0005-0000-0000-000007710000}"/>
    <cellStyle name="Comma 7 3 9 2 2 4" xfId="20897" xr:uid="{00000000-0005-0000-0000-0000A5510000}"/>
    <cellStyle name="Comma 7 3 9 2 3" xfId="26040" xr:uid="{00000000-0005-0000-0000-0000BC650000}"/>
    <cellStyle name="Comma 7 3 9 2 4" xfId="27967" xr:uid="{00000000-0005-0000-0000-0000436D0000}"/>
    <cellStyle name="Comma 7 3 9 2 5" xfId="8692" xr:uid="{00000000-0005-0000-0000-0000F8210000}"/>
    <cellStyle name="Comma 7 3 9 3" xfId="3612" xr:uid="{00000000-0005-0000-0000-0000200E0000}"/>
    <cellStyle name="Comma 7 3 9 3 2" xfId="23437" xr:uid="{00000000-0005-0000-0000-0000915B0000}"/>
    <cellStyle name="Comma 7 3 9 3 2 2" xfId="27444" xr:uid="{00000000-0005-0000-0000-0000386B0000}"/>
    <cellStyle name="Comma 7 3 9 3 2 3" xfId="29372" xr:uid="{00000000-0005-0000-0000-0000C0720000}"/>
    <cellStyle name="Comma 7 3 9 3 3" xfId="26481" xr:uid="{00000000-0005-0000-0000-000075670000}"/>
    <cellStyle name="Comma 7 3 9 3 4" xfId="28409" xr:uid="{00000000-0005-0000-0000-0000FD6E0000}"/>
    <cellStyle name="Comma 7 3 9 3 5" xfId="16582" xr:uid="{00000000-0005-0000-0000-0000CA400000}"/>
    <cellStyle name="Comma 7 3 9 4" xfId="19941" xr:uid="{00000000-0005-0000-0000-0000E94D0000}"/>
    <cellStyle name="Comma 7 3 9 4 2" xfId="26799" xr:uid="{00000000-0005-0000-0000-0000B3680000}"/>
    <cellStyle name="Comma 7 3 9 4 3" xfId="28727" xr:uid="{00000000-0005-0000-0000-00003B700000}"/>
    <cellStyle name="Comma 7 3 9 5" xfId="25836" xr:uid="{00000000-0005-0000-0000-0000F0640000}"/>
    <cellStyle name="Comma 7 3 9 6" xfId="27763" xr:uid="{00000000-0005-0000-0000-0000776C0000}"/>
    <cellStyle name="Comma 7 3 9 7" xfId="7682" xr:uid="{00000000-0005-0000-0000-0000061E0000}"/>
    <cellStyle name="Comma 7 4" xfId="807" xr:uid="{00000000-0005-0000-0000-00002B030000}"/>
    <cellStyle name="Comma 7 4 2" xfId="2076" xr:uid="{00000000-0005-0000-0000-000020080000}"/>
    <cellStyle name="Comma 7 4 2 2" xfId="3912" xr:uid="{00000000-0005-0000-0000-00004C0F0000}"/>
    <cellStyle name="Comma 7 4 2 2 2" xfId="27004" xr:uid="{00000000-0005-0000-0000-000080690000}"/>
    <cellStyle name="Comma 7 4 2 2 3" xfId="28932" xr:uid="{00000000-0005-0000-0000-000008710000}"/>
    <cellStyle name="Comma 7 4 2 2 4" xfId="20898" xr:uid="{00000000-0005-0000-0000-0000A6510000}"/>
    <cellStyle name="Comma 7 4 2 3" xfId="26041" xr:uid="{00000000-0005-0000-0000-0000BD650000}"/>
    <cellStyle name="Comma 7 4 2 4" xfId="27968" xr:uid="{00000000-0005-0000-0000-0000446D0000}"/>
    <cellStyle name="Comma 7 4 2 5" xfId="8693" xr:uid="{00000000-0005-0000-0000-0000F9210000}"/>
    <cellStyle name="Comma 7 4 3" xfId="3613" xr:uid="{00000000-0005-0000-0000-0000210E0000}"/>
    <cellStyle name="Comma 7 4 3 2" xfId="23438" xr:uid="{00000000-0005-0000-0000-0000925B0000}"/>
    <cellStyle name="Comma 7 4 3 2 2" xfId="27445" xr:uid="{00000000-0005-0000-0000-0000396B0000}"/>
    <cellStyle name="Comma 7 4 3 2 3" xfId="29373" xr:uid="{00000000-0005-0000-0000-0000C1720000}"/>
    <cellStyle name="Comma 7 4 3 3" xfId="26482" xr:uid="{00000000-0005-0000-0000-000076670000}"/>
    <cellStyle name="Comma 7 4 3 4" xfId="28410" xr:uid="{00000000-0005-0000-0000-0000FE6E0000}"/>
    <cellStyle name="Comma 7 4 3 5" xfId="16583" xr:uid="{00000000-0005-0000-0000-0000CB400000}"/>
    <cellStyle name="Comma 7 4 4" xfId="19942" xr:uid="{00000000-0005-0000-0000-0000EA4D0000}"/>
    <cellStyle name="Comma 7 4 4 2" xfId="26800" xr:uid="{00000000-0005-0000-0000-0000B4680000}"/>
    <cellStyle name="Comma 7 4 4 3" xfId="28728" xr:uid="{00000000-0005-0000-0000-00003C700000}"/>
    <cellStyle name="Comma 7 4 5" xfId="25837" xr:uid="{00000000-0005-0000-0000-0000F1640000}"/>
    <cellStyle name="Comma 7 4 6" xfId="27764" xr:uid="{00000000-0005-0000-0000-0000786C0000}"/>
    <cellStyle name="Comma 7 4 7" xfId="7683" xr:uid="{00000000-0005-0000-0000-0000071E0000}"/>
    <cellStyle name="Comma 7 5" xfId="808" xr:uid="{00000000-0005-0000-0000-00002C030000}"/>
    <cellStyle name="Comma 7 5 2" xfId="2077" xr:uid="{00000000-0005-0000-0000-000021080000}"/>
    <cellStyle name="Comma 7 5 2 2" xfId="3913" xr:uid="{00000000-0005-0000-0000-00004D0F0000}"/>
    <cellStyle name="Comma 7 5 2 2 2" xfId="27005" xr:uid="{00000000-0005-0000-0000-000081690000}"/>
    <cellStyle name="Comma 7 5 2 2 3" xfId="28933" xr:uid="{00000000-0005-0000-0000-000009710000}"/>
    <cellStyle name="Comma 7 5 2 2 4" xfId="20899" xr:uid="{00000000-0005-0000-0000-0000A7510000}"/>
    <cellStyle name="Comma 7 5 2 3" xfId="26042" xr:uid="{00000000-0005-0000-0000-0000BE650000}"/>
    <cellStyle name="Comma 7 5 2 4" xfId="27969" xr:uid="{00000000-0005-0000-0000-0000456D0000}"/>
    <cellStyle name="Comma 7 5 2 5" xfId="8694" xr:uid="{00000000-0005-0000-0000-0000FA210000}"/>
    <cellStyle name="Comma 7 5 3" xfId="3614" xr:uid="{00000000-0005-0000-0000-0000220E0000}"/>
    <cellStyle name="Comma 7 5 3 2" xfId="23439" xr:uid="{00000000-0005-0000-0000-0000935B0000}"/>
    <cellStyle name="Comma 7 5 3 2 2" xfId="27446" xr:uid="{00000000-0005-0000-0000-00003A6B0000}"/>
    <cellStyle name="Comma 7 5 3 2 3" xfId="29374" xr:uid="{00000000-0005-0000-0000-0000C2720000}"/>
    <cellStyle name="Comma 7 5 3 3" xfId="26483" xr:uid="{00000000-0005-0000-0000-000077670000}"/>
    <cellStyle name="Comma 7 5 3 4" xfId="28411" xr:uid="{00000000-0005-0000-0000-0000FF6E0000}"/>
    <cellStyle name="Comma 7 5 3 5" xfId="16584" xr:uid="{00000000-0005-0000-0000-0000CC400000}"/>
    <cellStyle name="Comma 7 5 4" xfId="19943" xr:uid="{00000000-0005-0000-0000-0000EB4D0000}"/>
    <cellStyle name="Comma 7 5 4 2" xfId="26801" xr:uid="{00000000-0005-0000-0000-0000B5680000}"/>
    <cellStyle name="Comma 7 5 4 3" xfId="28729" xr:uid="{00000000-0005-0000-0000-00003D700000}"/>
    <cellStyle name="Comma 7 5 5" xfId="25838" xr:uid="{00000000-0005-0000-0000-0000F2640000}"/>
    <cellStyle name="Comma 7 5 6" xfId="27765" xr:uid="{00000000-0005-0000-0000-0000796C0000}"/>
    <cellStyle name="Comma 7 5 7" xfId="7684" xr:uid="{00000000-0005-0000-0000-0000081E0000}"/>
    <cellStyle name="Comma 7 6" xfId="809" xr:uid="{00000000-0005-0000-0000-00002D030000}"/>
    <cellStyle name="Comma 7 6 2" xfId="2078" xr:uid="{00000000-0005-0000-0000-000022080000}"/>
    <cellStyle name="Comma 7 6 2 2" xfId="3914" xr:uid="{00000000-0005-0000-0000-00004E0F0000}"/>
    <cellStyle name="Comma 7 6 2 2 2" xfId="27006" xr:uid="{00000000-0005-0000-0000-000082690000}"/>
    <cellStyle name="Comma 7 6 2 2 3" xfId="28934" xr:uid="{00000000-0005-0000-0000-00000A710000}"/>
    <cellStyle name="Comma 7 6 2 2 4" xfId="20900" xr:uid="{00000000-0005-0000-0000-0000A8510000}"/>
    <cellStyle name="Comma 7 6 2 3" xfId="26043" xr:uid="{00000000-0005-0000-0000-0000BF650000}"/>
    <cellStyle name="Comma 7 6 2 4" xfId="27970" xr:uid="{00000000-0005-0000-0000-0000466D0000}"/>
    <cellStyle name="Comma 7 6 2 5" xfId="8695" xr:uid="{00000000-0005-0000-0000-0000FB210000}"/>
    <cellStyle name="Comma 7 6 3" xfId="3615" xr:uid="{00000000-0005-0000-0000-0000230E0000}"/>
    <cellStyle name="Comma 7 6 3 2" xfId="23440" xr:uid="{00000000-0005-0000-0000-0000945B0000}"/>
    <cellStyle name="Comma 7 6 3 2 2" xfId="27447" xr:uid="{00000000-0005-0000-0000-00003B6B0000}"/>
    <cellStyle name="Comma 7 6 3 2 3" xfId="29375" xr:uid="{00000000-0005-0000-0000-0000C3720000}"/>
    <cellStyle name="Comma 7 6 3 3" xfId="26484" xr:uid="{00000000-0005-0000-0000-000078670000}"/>
    <cellStyle name="Comma 7 6 3 4" xfId="28412" xr:uid="{00000000-0005-0000-0000-0000006F0000}"/>
    <cellStyle name="Comma 7 6 3 5" xfId="16585" xr:uid="{00000000-0005-0000-0000-0000CD400000}"/>
    <cellStyle name="Comma 7 6 4" xfId="19944" xr:uid="{00000000-0005-0000-0000-0000EC4D0000}"/>
    <cellStyle name="Comma 7 6 4 2" xfId="26802" xr:uid="{00000000-0005-0000-0000-0000B6680000}"/>
    <cellStyle name="Comma 7 6 4 3" xfId="28730" xr:uid="{00000000-0005-0000-0000-00003E700000}"/>
    <cellStyle name="Comma 7 6 5" xfId="25839" xr:uid="{00000000-0005-0000-0000-0000F3640000}"/>
    <cellStyle name="Comma 7 6 6" xfId="27766" xr:uid="{00000000-0005-0000-0000-00007A6C0000}"/>
    <cellStyle name="Comma 7 6 7" xfId="7685" xr:uid="{00000000-0005-0000-0000-0000091E0000}"/>
    <cellStyle name="Comma 7 7" xfId="810" xr:uid="{00000000-0005-0000-0000-00002E030000}"/>
    <cellStyle name="Comma 7 7 2" xfId="2079" xr:uid="{00000000-0005-0000-0000-000023080000}"/>
    <cellStyle name="Comma 7 7 2 2" xfId="3915" xr:uid="{00000000-0005-0000-0000-00004F0F0000}"/>
    <cellStyle name="Comma 7 7 2 2 2" xfId="27007" xr:uid="{00000000-0005-0000-0000-000083690000}"/>
    <cellStyle name="Comma 7 7 2 2 3" xfId="28935" xr:uid="{00000000-0005-0000-0000-00000B710000}"/>
    <cellStyle name="Comma 7 7 2 2 4" xfId="20901" xr:uid="{00000000-0005-0000-0000-0000A9510000}"/>
    <cellStyle name="Comma 7 7 2 3" xfId="26044" xr:uid="{00000000-0005-0000-0000-0000C0650000}"/>
    <cellStyle name="Comma 7 7 2 4" xfId="27971" xr:uid="{00000000-0005-0000-0000-0000476D0000}"/>
    <cellStyle name="Comma 7 7 2 5" xfId="8696" xr:uid="{00000000-0005-0000-0000-0000FC210000}"/>
    <cellStyle name="Comma 7 7 3" xfId="3616" xr:uid="{00000000-0005-0000-0000-0000240E0000}"/>
    <cellStyle name="Comma 7 7 3 2" xfId="23441" xr:uid="{00000000-0005-0000-0000-0000955B0000}"/>
    <cellStyle name="Comma 7 7 3 2 2" xfId="27448" xr:uid="{00000000-0005-0000-0000-00003C6B0000}"/>
    <cellStyle name="Comma 7 7 3 2 3" xfId="29376" xr:uid="{00000000-0005-0000-0000-0000C4720000}"/>
    <cellStyle name="Comma 7 7 3 3" xfId="26485" xr:uid="{00000000-0005-0000-0000-000079670000}"/>
    <cellStyle name="Comma 7 7 3 4" xfId="28413" xr:uid="{00000000-0005-0000-0000-0000016F0000}"/>
    <cellStyle name="Comma 7 7 3 5" xfId="16586" xr:uid="{00000000-0005-0000-0000-0000CE400000}"/>
    <cellStyle name="Comma 7 7 4" xfId="19945" xr:uid="{00000000-0005-0000-0000-0000ED4D0000}"/>
    <cellStyle name="Comma 7 7 4 2" xfId="26803" xr:uid="{00000000-0005-0000-0000-0000B7680000}"/>
    <cellStyle name="Comma 7 7 4 3" xfId="28731" xr:uid="{00000000-0005-0000-0000-00003F700000}"/>
    <cellStyle name="Comma 7 7 5" xfId="25840" xr:uid="{00000000-0005-0000-0000-0000F4640000}"/>
    <cellStyle name="Comma 7 7 6" xfId="27767" xr:uid="{00000000-0005-0000-0000-00007B6C0000}"/>
    <cellStyle name="Comma 7 7 7" xfId="7686" xr:uid="{00000000-0005-0000-0000-00000A1E0000}"/>
    <cellStyle name="Comma 7 8" xfId="811" xr:uid="{00000000-0005-0000-0000-00002F030000}"/>
    <cellStyle name="Comma 7 8 2" xfId="2080" xr:uid="{00000000-0005-0000-0000-000024080000}"/>
    <cellStyle name="Comma 7 8 2 2" xfId="3916" xr:uid="{00000000-0005-0000-0000-0000500F0000}"/>
    <cellStyle name="Comma 7 8 2 2 2" xfId="27008" xr:uid="{00000000-0005-0000-0000-000084690000}"/>
    <cellStyle name="Comma 7 8 2 2 3" xfId="28936" xr:uid="{00000000-0005-0000-0000-00000C710000}"/>
    <cellStyle name="Comma 7 8 2 2 4" xfId="20902" xr:uid="{00000000-0005-0000-0000-0000AA510000}"/>
    <cellStyle name="Comma 7 8 2 3" xfId="26045" xr:uid="{00000000-0005-0000-0000-0000C1650000}"/>
    <cellStyle name="Comma 7 8 2 4" xfId="27972" xr:uid="{00000000-0005-0000-0000-0000486D0000}"/>
    <cellStyle name="Comma 7 8 2 5" xfId="8697" xr:uid="{00000000-0005-0000-0000-0000FD210000}"/>
    <cellStyle name="Comma 7 8 3" xfId="3617" xr:uid="{00000000-0005-0000-0000-0000250E0000}"/>
    <cellStyle name="Comma 7 8 3 2" xfId="23442" xr:uid="{00000000-0005-0000-0000-0000965B0000}"/>
    <cellStyle name="Comma 7 8 3 2 2" xfId="27449" xr:uid="{00000000-0005-0000-0000-00003D6B0000}"/>
    <cellStyle name="Comma 7 8 3 2 3" xfId="29377" xr:uid="{00000000-0005-0000-0000-0000C5720000}"/>
    <cellStyle name="Comma 7 8 3 3" xfId="26486" xr:uid="{00000000-0005-0000-0000-00007A670000}"/>
    <cellStyle name="Comma 7 8 3 4" xfId="28414" xr:uid="{00000000-0005-0000-0000-0000026F0000}"/>
    <cellStyle name="Comma 7 8 3 5" xfId="16587" xr:uid="{00000000-0005-0000-0000-0000CF400000}"/>
    <cellStyle name="Comma 7 8 4" xfId="19946" xr:uid="{00000000-0005-0000-0000-0000EE4D0000}"/>
    <cellStyle name="Comma 7 8 4 2" xfId="26804" xr:uid="{00000000-0005-0000-0000-0000B8680000}"/>
    <cellStyle name="Comma 7 8 4 3" xfId="28732" xr:uid="{00000000-0005-0000-0000-000040700000}"/>
    <cellStyle name="Comma 7 8 5" xfId="25841" xr:uid="{00000000-0005-0000-0000-0000F5640000}"/>
    <cellStyle name="Comma 7 8 6" xfId="27768" xr:uid="{00000000-0005-0000-0000-00007C6C0000}"/>
    <cellStyle name="Comma 7 8 7" xfId="7687" xr:uid="{00000000-0005-0000-0000-00000B1E0000}"/>
    <cellStyle name="Comma 7 9" xfId="812" xr:uid="{00000000-0005-0000-0000-000030030000}"/>
    <cellStyle name="Comma 7 9 2" xfId="2081" xr:uid="{00000000-0005-0000-0000-000025080000}"/>
    <cellStyle name="Comma 7 9 2 2" xfId="3917" xr:uid="{00000000-0005-0000-0000-0000510F0000}"/>
    <cellStyle name="Comma 7 9 2 2 2" xfId="27009" xr:uid="{00000000-0005-0000-0000-000085690000}"/>
    <cellStyle name="Comma 7 9 2 2 3" xfId="28937" xr:uid="{00000000-0005-0000-0000-00000D710000}"/>
    <cellStyle name="Comma 7 9 2 2 4" xfId="20903" xr:uid="{00000000-0005-0000-0000-0000AB510000}"/>
    <cellStyle name="Comma 7 9 2 3" xfId="26046" xr:uid="{00000000-0005-0000-0000-0000C2650000}"/>
    <cellStyle name="Comma 7 9 2 4" xfId="27973" xr:uid="{00000000-0005-0000-0000-0000496D0000}"/>
    <cellStyle name="Comma 7 9 2 5" xfId="8698" xr:uid="{00000000-0005-0000-0000-0000FE210000}"/>
    <cellStyle name="Comma 7 9 3" xfId="3618" xr:uid="{00000000-0005-0000-0000-0000260E0000}"/>
    <cellStyle name="Comma 7 9 3 2" xfId="23443" xr:uid="{00000000-0005-0000-0000-0000975B0000}"/>
    <cellStyle name="Comma 7 9 3 2 2" xfId="27450" xr:uid="{00000000-0005-0000-0000-00003E6B0000}"/>
    <cellStyle name="Comma 7 9 3 2 3" xfId="29378" xr:uid="{00000000-0005-0000-0000-0000C6720000}"/>
    <cellStyle name="Comma 7 9 3 3" xfId="26487" xr:uid="{00000000-0005-0000-0000-00007B670000}"/>
    <cellStyle name="Comma 7 9 3 4" xfId="28415" xr:uid="{00000000-0005-0000-0000-0000036F0000}"/>
    <cellStyle name="Comma 7 9 3 5" xfId="16588" xr:uid="{00000000-0005-0000-0000-0000D0400000}"/>
    <cellStyle name="Comma 7 9 4" xfId="19947" xr:uid="{00000000-0005-0000-0000-0000EF4D0000}"/>
    <cellStyle name="Comma 7 9 4 2" xfId="26805" xr:uid="{00000000-0005-0000-0000-0000B9680000}"/>
    <cellStyle name="Comma 7 9 4 3" xfId="28733" xr:uid="{00000000-0005-0000-0000-000041700000}"/>
    <cellStyle name="Comma 7 9 5" xfId="25842" xr:uid="{00000000-0005-0000-0000-0000F6640000}"/>
    <cellStyle name="Comma 7 9 6" xfId="27769" xr:uid="{00000000-0005-0000-0000-00007D6C0000}"/>
    <cellStyle name="Comma 7 9 7" xfId="7688" xr:uid="{00000000-0005-0000-0000-00000C1E0000}"/>
    <cellStyle name="Comma 8" xfId="813" xr:uid="{00000000-0005-0000-0000-000031030000}"/>
    <cellStyle name="Comma 8 2" xfId="814" xr:uid="{00000000-0005-0000-0000-000032030000}"/>
    <cellStyle name="Comma 8 2 2" xfId="2082" xr:uid="{00000000-0005-0000-0000-000026080000}"/>
    <cellStyle name="Comma 8 2 2 2" xfId="3064" xr:uid="{00000000-0005-0000-0000-0000FC0B0000}"/>
    <cellStyle name="Comma 8 2 2 2 2" xfId="17300" xr:uid="{00000000-0005-0000-0000-000098430000}"/>
    <cellStyle name="Comma 8 2 2 2 2 2" xfId="23880" xr:uid="{00000000-0005-0000-0000-00004C5D0000}"/>
    <cellStyle name="Comma 8 2 2 2 2 2 2" xfId="27472" xr:uid="{00000000-0005-0000-0000-0000546B0000}"/>
    <cellStyle name="Comma 8 2 2 2 2 2 3" xfId="29400" xr:uid="{00000000-0005-0000-0000-0000DC720000}"/>
    <cellStyle name="Comma 8 2 2 2 2 3" xfId="26509" xr:uid="{00000000-0005-0000-0000-000091670000}"/>
    <cellStyle name="Comma 8 2 2 2 2 4" xfId="28437" xr:uid="{00000000-0005-0000-0000-0000196F0000}"/>
    <cellStyle name="Comma 8 2 2 2 3" xfId="12664" xr:uid="{00000000-0005-0000-0000-00007C310000}"/>
    <cellStyle name="Comma 8 2 2 2 3 2" xfId="23134" xr:uid="{00000000-0005-0000-0000-0000625A0000}"/>
    <cellStyle name="Comma 8 2 2 2 3 2 2" xfId="27151" xr:uid="{00000000-0005-0000-0000-0000136A0000}"/>
    <cellStyle name="Comma 8 2 2 2 3 2 3" xfId="29079" xr:uid="{00000000-0005-0000-0000-00009B710000}"/>
    <cellStyle name="Comma 8 2 2 2 3 3" xfId="26188" xr:uid="{00000000-0005-0000-0000-000050660000}"/>
    <cellStyle name="Comma 8 2 2 2 3 4" xfId="28116" xr:uid="{00000000-0005-0000-0000-0000D86D0000}"/>
    <cellStyle name="Comma 8 2 2 2 4" xfId="21038" xr:uid="{00000000-0005-0000-0000-000032520000}"/>
    <cellStyle name="Comma 8 2 2 2 4 2" xfId="27124" xr:uid="{00000000-0005-0000-0000-0000F8690000}"/>
    <cellStyle name="Comma 8 2 2 2 4 3" xfId="29052" xr:uid="{00000000-0005-0000-0000-000080710000}"/>
    <cellStyle name="Comma 8 2 2 2 5" xfId="26161" xr:uid="{00000000-0005-0000-0000-000035660000}"/>
    <cellStyle name="Comma 8 2 2 2 6" xfId="28088" xr:uid="{00000000-0005-0000-0000-0000BC6D0000}"/>
    <cellStyle name="Comma 8 2 2 2 7" xfId="9039" xr:uid="{00000000-0005-0000-0000-000053230000}"/>
    <cellStyle name="Comma 8 2 2 3" xfId="3290" xr:uid="{00000000-0005-0000-0000-0000DE0C0000}"/>
    <cellStyle name="Comma 8 2 2 3 2" xfId="26592" xr:uid="{00000000-0005-0000-0000-0000E4670000}"/>
    <cellStyle name="Comma 8 2 2 3 3" xfId="28520" xr:uid="{00000000-0005-0000-0000-00006C6F0000}"/>
    <cellStyle name="Comma 8 2 2 3 4" xfId="19694" xr:uid="{00000000-0005-0000-0000-0000F24C0000}"/>
    <cellStyle name="Comma 8 2 2 4" xfId="25629" xr:uid="{00000000-0005-0000-0000-000021640000}"/>
    <cellStyle name="Comma 8 2 2 5" xfId="27556" xr:uid="{00000000-0005-0000-0000-0000A86B0000}"/>
    <cellStyle name="Comma 8 2 2 6" xfId="5768" xr:uid="{00000000-0005-0000-0000-00008C160000}"/>
    <cellStyle name="Comma 8 2 3" xfId="9038" xr:uid="{00000000-0005-0000-0000-000052230000}"/>
    <cellStyle name="Comma 8 2 3 2" xfId="21037" xr:uid="{00000000-0005-0000-0000-000031520000}"/>
    <cellStyle name="Comma 8 2 3 2 2" xfId="27123" xr:uid="{00000000-0005-0000-0000-0000F7690000}"/>
    <cellStyle name="Comma 8 2 3 2 3" xfId="29051" xr:uid="{00000000-0005-0000-0000-00007F710000}"/>
    <cellStyle name="Comma 8 2 3 3" xfId="26160" xr:uid="{00000000-0005-0000-0000-000034660000}"/>
    <cellStyle name="Comma 8 2 3 4" xfId="28087" xr:uid="{00000000-0005-0000-0000-0000BB6D0000}"/>
    <cellStyle name="Comma 8 2 4" xfId="19693" xr:uid="{00000000-0005-0000-0000-0000F14C0000}"/>
    <cellStyle name="Comma 8 2 4 2" xfId="26591" xr:uid="{00000000-0005-0000-0000-0000E3670000}"/>
    <cellStyle name="Comma 8 2 4 3" xfId="28519" xr:uid="{00000000-0005-0000-0000-00006B6F0000}"/>
    <cellStyle name="Comma 8 2 5" xfId="25628" xr:uid="{00000000-0005-0000-0000-000020640000}"/>
    <cellStyle name="Comma 8 2 6" xfId="27555" xr:uid="{00000000-0005-0000-0000-0000A76B0000}"/>
    <cellStyle name="Comma 8 2 7" xfId="5767" xr:uid="{00000000-0005-0000-0000-00008B160000}"/>
    <cellStyle name="Comma 8 3" xfId="815" xr:uid="{00000000-0005-0000-0000-000033030000}"/>
    <cellStyle name="Comma 8 3 2" xfId="2083" xr:uid="{00000000-0005-0000-0000-000027080000}"/>
    <cellStyle name="Comma 8 3 2 2" xfId="3065" xr:uid="{00000000-0005-0000-0000-0000FD0B0000}"/>
    <cellStyle name="Comma 8 3 2 2 2" xfId="27125" xr:uid="{00000000-0005-0000-0000-0000F9690000}"/>
    <cellStyle name="Comma 8 3 2 2 3" xfId="29053" xr:uid="{00000000-0005-0000-0000-000081710000}"/>
    <cellStyle name="Comma 8 3 2 2 4" xfId="21039" xr:uid="{00000000-0005-0000-0000-000033520000}"/>
    <cellStyle name="Comma 8 3 2 3" xfId="3291" xr:uid="{00000000-0005-0000-0000-0000DF0C0000}"/>
    <cellStyle name="Comma 8 3 2 3 2" xfId="26162" xr:uid="{00000000-0005-0000-0000-000036660000}"/>
    <cellStyle name="Comma 8 3 2 4" xfId="28089" xr:uid="{00000000-0005-0000-0000-0000BD6D0000}"/>
    <cellStyle name="Comma 8 3 2 5" xfId="9040" xr:uid="{00000000-0005-0000-0000-000054230000}"/>
    <cellStyle name="Comma 8 3 3" xfId="19948" xr:uid="{00000000-0005-0000-0000-0000F04D0000}"/>
    <cellStyle name="Comma 8 3 3 2" xfId="26806" xr:uid="{00000000-0005-0000-0000-0000BA680000}"/>
    <cellStyle name="Comma 8 3 3 3" xfId="28734" xr:uid="{00000000-0005-0000-0000-000042700000}"/>
    <cellStyle name="Comma 8 3 4" xfId="25843" xr:uid="{00000000-0005-0000-0000-0000F7640000}"/>
    <cellStyle name="Comma 8 3 5" xfId="27770" xr:uid="{00000000-0005-0000-0000-00007E6C0000}"/>
    <cellStyle name="Comma 8 3 6" xfId="7689" xr:uid="{00000000-0005-0000-0000-00000D1E0000}"/>
    <cellStyle name="Comma 8 4" xfId="816" xr:uid="{00000000-0005-0000-0000-000034030000}"/>
    <cellStyle name="Comma 8 4 2" xfId="2084" xr:uid="{00000000-0005-0000-0000-000028080000}"/>
    <cellStyle name="Comma 8 4 2 2" xfId="3066" xr:uid="{00000000-0005-0000-0000-0000FE0B0000}"/>
    <cellStyle name="Comma 8 4 2 2 2" xfId="27126" xr:uid="{00000000-0005-0000-0000-0000FA690000}"/>
    <cellStyle name="Comma 8 4 2 2 3" xfId="29054" xr:uid="{00000000-0005-0000-0000-000082710000}"/>
    <cellStyle name="Comma 8 4 2 2 4" xfId="21040" xr:uid="{00000000-0005-0000-0000-000034520000}"/>
    <cellStyle name="Comma 8 4 2 3" xfId="3292" xr:uid="{00000000-0005-0000-0000-0000E00C0000}"/>
    <cellStyle name="Comma 8 4 2 3 2" xfId="26163" xr:uid="{00000000-0005-0000-0000-000037660000}"/>
    <cellStyle name="Comma 8 4 2 4" xfId="28090" xr:uid="{00000000-0005-0000-0000-0000BE6D0000}"/>
    <cellStyle name="Comma 8 4 2 5" xfId="9041" xr:uid="{00000000-0005-0000-0000-000055230000}"/>
    <cellStyle name="Comma 8 4 3" xfId="19949" xr:uid="{00000000-0005-0000-0000-0000F14D0000}"/>
    <cellStyle name="Comma 8 4 3 2" xfId="26807" xr:uid="{00000000-0005-0000-0000-0000BB680000}"/>
    <cellStyle name="Comma 8 4 3 3" xfId="28735" xr:uid="{00000000-0005-0000-0000-000043700000}"/>
    <cellStyle name="Comma 8 4 4" xfId="25844" xr:uid="{00000000-0005-0000-0000-0000F8640000}"/>
    <cellStyle name="Comma 8 4 5" xfId="27771" xr:uid="{00000000-0005-0000-0000-00007F6C0000}"/>
    <cellStyle name="Comma 8 4 6" xfId="7690" xr:uid="{00000000-0005-0000-0000-00000E1E0000}"/>
    <cellStyle name="Comma 8 5" xfId="817" xr:uid="{00000000-0005-0000-0000-000035030000}"/>
    <cellStyle name="Comma 8 5 2" xfId="2085" xr:uid="{00000000-0005-0000-0000-000029080000}"/>
    <cellStyle name="Comma 8 5 2 2" xfId="3067" xr:uid="{00000000-0005-0000-0000-0000FF0B0000}"/>
    <cellStyle name="Comma 8 5 2 2 2" xfId="27127" xr:uid="{00000000-0005-0000-0000-0000FB690000}"/>
    <cellStyle name="Comma 8 5 2 2 3" xfId="29055" xr:uid="{00000000-0005-0000-0000-000083710000}"/>
    <cellStyle name="Comma 8 5 2 2 4" xfId="21041" xr:uid="{00000000-0005-0000-0000-000035520000}"/>
    <cellStyle name="Comma 8 5 2 3" xfId="3293" xr:uid="{00000000-0005-0000-0000-0000E10C0000}"/>
    <cellStyle name="Comma 8 5 2 3 2" xfId="26164" xr:uid="{00000000-0005-0000-0000-000038660000}"/>
    <cellStyle name="Comma 8 5 2 4" xfId="28091" xr:uid="{00000000-0005-0000-0000-0000BF6D0000}"/>
    <cellStyle name="Comma 8 5 2 5" xfId="9042" xr:uid="{00000000-0005-0000-0000-000056230000}"/>
    <cellStyle name="Comma 8 5 3" xfId="19950" xr:uid="{00000000-0005-0000-0000-0000F24D0000}"/>
    <cellStyle name="Comma 8 5 3 2" xfId="26808" xr:uid="{00000000-0005-0000-0000-0000BC680000}"/>
    <cellStyle name="Comma 8 5 3 3" xfId="28736" xr:uid="{00000000-0005-0000-0000-000044700000}"/>
    <cellStyle name="Comma 8 5 4" xfId="25845" xr:uid="{00000000-0005-0000-0000-0000F9640000}"/>
    <cellStyle name="Comma 8 5 5" xfId="27772" xr:uid="{00000000-0005-0000-0000-0000806C0000}"/>
    <cellStyle name="Comma 8 5 6" xfId="7691" xr:uid="{00000000-0005-0000-0000-00000F1E0000}"/>
    <cellStyle name="Comma 8 6" xfId="818" xr:uid="{00000000-0005-0000-0000-000036030000}"/>
    <cellStyle name="Comma 8 6 2" xfId="2086" xr:uid="{00000000-0005-0000-0000-00002A080000}"/>
    <cellStyle name="Comma 8 6 2 2" xfId="3068" xr:uid="{00000000-0005-0000-0000-0000000C0000}"/>
    <cellStyle name="Comma 8 6 2 2 2" xfId="27128" xr:uid="{00000000-0005-0000-0000-0000FC690000}"/>
    <cellStyle name="Comma 8 6 2 2 3" xfId="29056" xr:uid="{00000000-0005-0000-0000-000084710000}"/>
    <cellStyle name="Comma 8 6 2 2 4" xfId="21042" xr:uid="{00000000-0005-0000-0000-000036520000}"/>
    <cellStyle name="Comma 8 6 2 3" xfId="3294" xr:uid="{00000000-0005-0000-0000-0000E20C0000}"/>
    <cellStyle name="Comma 8 6 2 3 2" xfId="26165" xr:uid="{00000000-0005-0000-0000-000039660000}"/>
    <cellStyle name="Comma 8 6 2 4" xfId="28092" xr:uid="{00000000-0005-0000-0000-0000C06D0000}"/>
    <cellStyle name="Comma 8 6 2 5" xfId="9043" xr:uid="{00000000-0005-0000-0000-000057230000}"/>
    <cellStyle name="Comma 8 6 3" xfId="19951" xr:uid="{00000000-0005-0000-0000-0000F34D0000}"/>
    <cellStyle name="Comma 8 6 3 2" xfId="26809" xr:uid="{00000000-0005-0000-0000-0000BD680000}"/>
    <cellStyle name="Comma 8 6 3 3" xfId="28737" xr:uid="{00000000-0005-0000-0000-000045700000}"/>
    <cellStyle name="Comma 8 6 4" xfId="25846" xr:uid="{00000000-0005-0000-0000-0000FA640000}"/>
    <cellStyle name="Comma 8 6 5" xfId="27773" xr:uid="{00000000-0005-0000-0000-0000816C0000}"/>
    <cellStyle name="Comma 8 6 6" xfId="7692" xr:uid="{00000000-0005-0000-0000-0000101E0000}"/>
    <cellStyle name="Comma 8 7" xfId="819" xr:uid="{00000000-0005-0000-0000-000037030000}"/>
    <cellStyle name="Comma 8 7 2" xfId="2087" xr:uid="{00000000-0005-0000-0000-00002B080000}"/>
    <cellStyle name="Comma 8 7 2 2" xfId="3069" xr:uid="{00000000-0005-0000-0000-0000010C0000}"/>
    <cellStyle name="Comma 8 7 2 2 2" xfId="27129" xr:uid="{00000000-0005-0000-0000-0000FD690000}"/>
    <cellStyle name="Comma 8 7 2 2 3" xfId="29057" xr:uid="{00000000-0005-0000-0000-000085710000}"/>
    <cellStyle name="Comma 8 7 2 2 4" xfId="21043" xr:uid="{00000000-0005-0000-0000-000037520000}"/>
    <cellStyle name="Comma 8 7 2 3" xfId="3295" xr:uid="{00000000-0005-0000-0000-0000E30C0000}"/>
    <cellStyle name="Comma 8 7 2 3 2" xfId="26166" xr:uid="{00000000-0005-0000-0000-00003A660000}"/>
    <cellStyle name="Comma 8 7 2 4" xfId="28093" xr:uid="{00000000-0005-0000-0000-0000C16D0000}"/>
    <cellStyle name="Comma 8 7 2 5" xfId="9044" xr:uid="{00000000-0005-0000-0000-000058230000}"/>
    <cellStyle name="Comma 8 7 3" xfId="19952" xr:uid="{00000000-0005-0000-0000-0000F44D0000}"/>
    <cellStyle name="Comma 8 7 3 2" xfId="26810" xr:uid="{00000000-0005-0000-0000-0000BE680000}"/>
    <cellStyle name="Comma 8 7 3 3" xfId="28738" xr:uid="{00000000-0005-0000-0000-000046700000}"/>
    <cellStyle name="Comma 8 7 4" xfId="25847" xr:uid="{00000000-0005-0000-0000-0000FB640000}"/>
    <cellStyle name="Comma 8 7 5" xfId="27774" xr:uid="{00000000-0005-0000-0000-0000826C0000}"/>
    <cellStyle name="Comma 8 7 6" xfId="7693" xr:uid="{00000000-0005-0000-0000-0000111E0000}"/>
    <cellStyle name="Comma 8 8" xfId="820" xr:uid="{00000000-0005-0000-0000-000038030000}"/>
    <cellStyle name="Comma 8 8 2" xfId="2088" xr:uid="{00000000-0005-0000-0000-00002C080000}"/>
    <cellStyle name="Comma 8 8 2 2" xfId="3070" xr:uid="{00000000-0005-0000-0000-0000020C0000}"/>
    <cellStyle name="Comma 8 8 2 2 2" xfId="27130" xr:uid="{00000000-0005-0000-0000-0000FE690000}"/>
    <cellStyle name="Comma 8 8 2 2 3" xfId="29058" xr:uid="{00000000-0005-0000-0000-000086710000}"/>
    <cellStyle name="Comma 8 8 2 2 4" xfId="21044" xr:uid="{00000000-0005-0000-0000-000038520000}"/>
    <cellStyle name="Comma 8 8 2 3" xfId="3296" xr:uid="{00000000-0005-0000-0000-0000E40C0000}"/>
    <cellStyle name="Comma 8 8 2 3 2" xfId="26167" xr:uid="{00000000-0005-0000-0000-00003B660000}"/>
    <cellStyle name="Comma 8 8 2 4" xfId="28094" xr:uid="{00000000-0005-0000-0000-0000C26D0000}"/>
    <cellStyle name="Comma 8 8 2 5" xfId="9045" xr:uid="{00000000-0005-0000-0000-000059230000}"/>
    <cellStyle name="Comma 8 8 3" xfId="19953" xr:uid="{00000000-0005-0000-0000-0000F54D0000}"/>
    <cellStyle name="Comma 8 8 3 2" xfId="26811" xr:uid="{00000000-0005-0000-0000-0000BF680000}"/>
    <cellStyle name="Comma 8 8 3 3" xfId="28739" xr:uid="{00000000-0005-0000-0000-000047700000}"/>
    <cellStyle name="Comma 8 8 4" xfId="25848" xr:uid="{00000000-0005-0000-0000-0000FC640000}"/>
    <cellStyle name="Comma 8 8 5" xfId="27775" xr:uid="{00000000-0005-0000-0000-0000836C0000}"/>
    <cellStyle name="Comma 8 8 6" xfId="7694" xr:uid="{00000000-0005-0000-0000-0000121E0000}"/>
    <cellStyle name="Comma 9" xfId="3402" xr:uid="{00000000-0005-0000-0000-00004E0D0000}"/>
    <cellStyle name="Comma 9 10" xfId="9046" xr:uid="{00000000-0005-0000-0000-00005A230000}"/>
    <cellStyle name="Comma 9 10 2" xfId="15085" xr:uid="{00000000-0005-0000-0000-0000F13A0000}"/>
    <cellStyle name="Comma 9 10 2 2" xfId="23181" xr:uid="{00000000-0005-0000-0000-0000915A0000}"/>
    <cellStyle name="Comma 9 10 2 2 2" xfId="27193" xr:uid="{00000000-0005-0000-0000-00003D6A0000}"/>
    <cellStyle name="Comma 9 10 2 2 3" xfId="29121" xr:uid="{00000000-0005-0000-0000-0000C5710000}"/>
    <cellStyle name="Comma 9 10 2 3" xfId="26230" xr:uid="{00000000-0005-0000-0000-00007A660000}"/>
    <cellStyle name="Comma 9 10 2 4" xfId="28158" xr:uid="{00000000-0005-0000-0000-0000026E0000}"/>
    <cellStyle name="Comma 9 10 3" xfId="12665" xr:uid="{00000000-0005-0000-0000-00007D310000}"/>
    <cellStyle name="Comma 9 10 3 2" xfId="23135" xr:uid="{00000000-0005-0000-0000-0000635A0000}"/>
    <cellStyle name="Comma 9 10 3 2 2" xfId="27152" xr:uid="{00000000-0005-0000-0000-0000146A0000}"/>
    <cellStyle name="Comma 9 10 3 2 3" xfId="29080" xr:uid="{00000000-0005-0000-0000-00009C710000}"/>
    <cellStyle name="Comma 9 10 3 3" xfId="26189" xr:uid="{00000000-0005-0000-0000-000051660000}"/>
    <cellStyle name="Comma 9 10 3 4" xfId="28117" xr:uid="{00000000-0005-0000-0000-0000D96D0000}"/>
    <cellStyle name="Comma 9 10 4" xfId="21045" xr:uid="{00000000-0005-0000-0000-000039520000}"/>
    <cellStyle name="Comma 9 10 4 2" xfId="27131" xr:uid="{00000000-0005-0000-0000-0000FF690000}"/>
    <cellStyle name="Comma 9 10 4 3" xfId="29059" xr:uid="{00000000-0005-0000-0000-000087710000}"/>
    <cellStyle name="Comma 9 10 5" xfId="26168" xr:uid="{00000000-0005-0000-0000-00003C660000}"/>
    <cellStyle name="Comma 9 10 6" xfId="28095" xr:uid="{00000000-0005-0000-0000-0000C36D0000}"/>
    <cellStyle name="Comma 9 11" xfId="19954" xr:uid="{00000000-0005-0000-0000-0000F64D0000}"/>
    <cellStyle name="Comma 9 11 2" xfId="26812" xr:uid="{00000000-0005-0000-0000-0000C0680000}"/>
    <cellStyle name="Comma 9 11 3" xfId="28740" xr:uid="{00000000-0005-0000-0000-000048700000}"/>
    <cellStyle name="Comma 9 12" xfId="25849" xr:uid="{00000000-0005-0000-0000-0000FD640000}"/>
    <cellStyle name="Comma 9 13" xfId="27776" xr:uid="{00000000-0005-0000-0000-0000846C0000}"/>
    <cellStyle name="Comma 9 14" xfId="7695" xr:uid="{00000000-0005-0000-0000-0000131E0000}"/>
    <cellStyle name="Comma 9 2" xfId="821" xr:uid="{00000000-0005-0000-0000-000039030000}"/>
    <cellStyle name="Comma 9 2 2" xfId="2089" xr:uid="{00000000-0005-0000-0000-00002D080000}"/>
    <cellStyle name="Comma 9 2 2 2" xfId="3918" xr:uid="{00000000-0005-0000-0000-0000520F0000}"/>
    <cellStyle name="Comma 9 2 2 2 2" xfId="27010" xr:uid="{00000000-0005-0000-0000-000086690000}"/>
    <cellStyle name="Comma 9 2 2 2 3" xfId="28938" xr:uid="{00000000-0005-0000-0000-00000E710000}"/>
    <cellStyle name="Comma 9 2 2 2 4" xfId="20904" xr:uid="{00000000-0005-0000-0000-0000AC510000}"/>
    <cellStyle name="Comma 9 2 2 3" xfId="26047" xr:uid="{00000000-0005-0000-0000-0000C3650000}"/>
    <cellStyle name="Comma 9 2 2 4" xfId="27974" xr:uid="{00000000-0005-0000-0000-00004A6D0000}"/>
    <cellStyle name="Comma 9 2 2 5" xfId="8699" xr:uid="{00000000-0005-0000-0000-0000FF210000}"/>
    <cellStyle name="Comma 9 2 3" xfId="3619" xr:uid="{00000000-0005-0000-0000-0000270E0000}"/>
    <cellStyle name="Comma 9 2 3 2" xfId="23444" xr:uid="{00000000-0005-0000-0000-0000985B0000}"/>
    <cellStyle name="Comma 9 2 3 2 2" xfId="27451" xr:uid="{00000000-0005-0000-0000-00003F6B0000}"/>
    <cellStyle name="Comma 9 2 3 2 3" xfId="29379" xr:uid="{00000000-0005-0000-0000-0000C7720000}"/>
    <cellStyle name="Comma 9 2 3 3" xfId="26488" xr:uid="{00000000-0005-0000-0000-00007C670000}"/>
    <cellStyle name="Comma 9 2 3 4" xfId="28416" xr:uid="{00000000-0005-0000-0000-0000046F0000}"/>
    <cellStyle name="Comma 9 2 3 5" xfId="16591" xr:uid="{00000000-0005-0000-0000-0000D3400000}"/>
    <cellStyle name="Comma 9 2 4" xfId="19955" xr:uid="{00000000-0005-0000-0000-0000F74D0000}"/>
    <cellStyle name="Comma 9 2 4 2" xfId="26813" xr:uid="{00000000-0005-0000-0000-0000C1680000}"/>
    <cellStyle name="Comma 9 2 4 3" xfId="28741" xr:uid="{00000000-0005-0000-0000-000049700000}"/>
    <cellStyle name="Comma 9 2 5" xfId="25850" xr:uid="{00000000-0005-0000-0000-0000FE640000}"/>
    <cellStyle name="Comma 9 2 6" xfId="27777" xr:uid="{00000000-0005-0000-0000-0000856C0000}"/>
    <cellStyle name="Comma 9 2 7" xfId="7696" xr:uid="{00000000-0005-0000-0000-0000141E0000}"/>
    <cellStyle name="Comma 9 3" xfId="822" xr:uid="{00000000-0005-0000-0000-00003A030000}"/>
    <cellStyle name="Comma 9 3 2" xfId="3620" xr:uid="{00000000-0005-0000-0000-0000280E0000}"/>
    <cellStyle name="Comma 9 3 2 2" xfId="20905" xr:uid="{00000000-0005-0000-0000-0000AD510000}"/>
    <cellStyle name="Comma 9 3 2 2 2" xfId="27011" xr:uid="{00000000-0005-0000-0000-000087690000}"/>
    <cellStyle name="Comma 9 3 2 2 3" xfId="28939" xr:uid="{00000000-0005-0000-0000-00000F710000}"/>
    <cellStyle name="Comma 9 3 2 3" xfId="26048" xr:uid="{00000000-0005-0000-0000-0000C4650000}"/>
    <cellStyle name="Comma 9 3 2 4" xfId="27975" xr:uid="{00000000-0005-0000-0000-00004B6D0000}"/>
    <cellStyle name="Comma 9 3 2 5" xfId="8700" xr:uid="{00000000-0005-0000-0000-000000220000}"/>
    <cellStyle name="Comma 9 3 3" xfId="16592" xr:uid="{00000000-0005-0000-0000-0000D4400000}"/>
    <cellStyle name="Comma 9 3 3 2" xfId="23445" xr:uid="{00000000-0005-0000-0000-0000995B0000}"/>
    <cellStyle name="Comma 9 3 3 2 2" xfId="27452" xr:uid="{00000000-0005-0000-0000-0000406B0000}"/>
    <cellStyle name="Comma 9 3 3 2 3" xfId="29380" xr:uid="{00000000-0005-0000-0000-0000C8720000}"/>
    <cellStyle name="Comma 9 3 3 3" xfId="26489" xr:uid="{00000000-0005-0000-0000-00007D670000}"/>
    <cellStyle name="Comma 9 3 3 4" xfId="28417" xr:uid="{00000000-0005-0000-0000-0000056F0000}"/>
    <cellStyle name="Comma 9 3 4" xfId="19956" xr:uid="{00000000-0005-0000-0000-0000F84D0000}"/>
    <cellStyle name="Comma 9 3 4 2" xfId="26814" xr:uid="{00000000-0005-0000-0000-0000C2680000}"/>
    <cellStyle name="Comma 9 3 4 3" xfId="28742" xr:uid="{00000000-0005-0000-0000-00004A700000}"/>
    <cellStyle name="Comma 9 3 5" xfId="25851" xr:uid="{00000000-0005-0000-0000-0000FF640000}"/>
    <cellStyle name="Comma 9 3 6" xfId="27778" xr:uid="{00000000-0005-0000-0000-0000866C0000}"/>
    <cellStyle name="Comma 9 3 7" xfId="7697" xr:uid="{00000000-0005-0000-0000-0000151E0000}"/>
    <cellStyle name="Comma 9 4" xfId="823" xr:uid="{00000000-0005-0000-0000-00003B030000}"/>
    <cellStyle name="Comma 9 4 2" xfId="3621" xr:uid="{00000000-0005-0000-0000-0000290E0000}"/>
    <cellStyle name="Comma 9 4 2 2" xfId="20906" xr:uid="{00000000-0005-0000-0000-0000AE510000}"/>
    <cellStyle name="Comma 9 4 2 2 2" xfId="27012" xr:uid="{00000000-0005-0000-0000-000088690000}"/>
    <cellStyle name="Comma 9 4 2 2 3" xfId="28940" xr:uid="{00000000-0005-0000-0000-000010710000}"/>
    <cellStyle name="Comma 9 4 2 3" xfId="26049" xr:uid="{00000000-0005-0000-0000-0000C5650000}"/>
    <cellStyle name="Comma 9 4 2 4" xfId="27976" xr:uid="{00000000-0005-0000-0000-00004C6D0000}"/>
    <cellStyle name="Comma 9 4 2 5" xfId="8701" xr:uid="{00000000-0005-0000-0000-000001220000}"/>
    <cellStyle name="Comma 9 4 3" xfId="16593" xr:uid="{00000000-0005-0000-0000-0000D5400000}"/>
    <cellStyle name="Comma 9 4 3 2" xfId="23446" xr:uid="{00000000-0005-0000-0000-00009A5B0000}"/>
    <cellStyle name="Comma 9 4 3 2 2" xfId="27453" xr:uid="{00000000-0005-0000-0000-0000416B0000}"/>
    <cellStyle name="Comma 9 4 3 2 3" xfId="29381" xr:uid="{00000000-0005-0000-0000-0000C9720000}"/>
    <cellStyle name="Comma 9 4 3 3" xfId="26490" xr:uid="{00000000-0005-0000-0000-00007E670000}"/>
    <cellStyle name="Comma 9 4 3 4" xfId="28418" xr:uid="{00000000-0005-0000-0000-0000066F0000}"/>
    <cellStyle name="Comma 9 4 4" xfId="19957" xr:uid="{00000000-0005-0000-0000-0000F94D0000}"/>
    <cellStyle name="Comma 9 4 4 2" xfId="26815" xr:uid="{00000000-0005-0000-0000-0000C3680000}"/>
    <cellStyle name="Comma 9 4 4 3" xfId="28743" xr:uid="{00000000-0005-0000-0000-00004B700000}"/>
    <cellStyle name="Comma 9 4 5" xfId="25852" xr:uid="{00000000-0005-0000-0000-000000650000}"/>
    <cellStyle name="Comma 9 4 6" xfId="27779" xr:uid="{00000000-0005-0000-0000-0000876C0000}"/>
    <cellStyle name="Comma 9 4 7" xfId="7698" xr:uid="{00000000-0005-0000-0000-0000161E0000}"/>
    <cellStyle name="Comma 9 5" xfId="824" xr:uid="{00000000-0005-0000-0000-00003C030000}"/>
    <cellStyle name="Comma 9 5 2" xfId="3622" xr:uid="{00000000-0005-0000-0000-00002A0E0000}"/>
    <cellStyle name="Comma 9 5 2 2" xfId="20907" xr:uid="{00000000-0005-0000-0000-0000AF510000}"/>
    <cellStyle name="Comma 9 5 2 2 2" xfId="27013" xr:uid="{00000000-0005-0000-0000-000089690000}"/>
    <cellStyle name="Comma 9 5 2 2 3" xfId="28941" xr:uid="{00000000-0005-0000-0000-000011710000}"/>
    <cellStyle name="Comma 9 5 2 3" xfId="26050" xr:uid="{00000000-0005-0000-0000-0000C6650000}"/>
    <cellStyle name="Comma 9 5 2 4" xfId="27977" xr:uid="{00000000-0005-0000-0000-00004D6D0000}"/>
    <cellStyle name="Comma 9 5 2 5" xfId="8702" xr:uid="{00000000-0005-0000-0000-000002220000}"/>
    <cellStyle name="Comma 9 5 3" xfId="16594" xr:uid="{00000000-0005-0000-0000-0000D6400000}"/>
    <cellStyle name="Comma 9 5 3 2" xfId="23447" xr:uid="{00000000-0005-0000-0000-00009B5B0000}"/>
    <cellStyle name="Comma 9 5 3 2 2" xfId="27454" xr:uid="{00000000-0005-0000-0000-0000426B0000}"/>
    <cellStyle name="Comma 9 5 3 2 3" xfId="29382" xr:uid="{00000000-0005-0000-0000-0000CA720000}"/>
    <cellStyle name="Comma 9 5 3 3" xfId="26491" xr:uid="{00000000-0005-0000-0000-00007F670000}"/>
    <cellStyle name="Comma 9 5 3 4" xfId="28419" xr:uid="{00000000-0005-0000-0000-0000076F0000}"/>
    <cellStyle name="Comma 9 5 4" xfId="19958" xr:uid="{00000000-0005-0000-0000-0000FA4D0000}"/>
    <cellStyle name="Comma 9 5 4 2" xfId="26816" xr:uid="{00000000-0005-0000-0000-0000C4680000}"/>
    <cellStyle name="Comma 9 5 4 3" xfId="28744" xr:uid="{00000000-0005-0000-0000-00004C700000}"/>
    <cellStyle name="Comma 9 5 5" xfId="25853" xr:uid="{00000000-0005-0000-0000-000001650000}"/>
    <cellStyle name="Comma 9 5 6" xfId="27780" xr:uid="{00000000-0005-0000-0000-0000886C0000}"/>
    <cellStyle name="Comma 9 5 7" xfId="7699" xr:uid="{00000000-0005-0000-0000-0000171E0000}"/>
    <cellStyle name="Comma 9 6" xfId="825" xr:uid="{00000000-0005-0000-0000-00003D030000}"/>
    <cellStyle name="Comma 9 6 2" xfId="3623" xr:uid="{00000000-0005-0000-0000-00002B0E0000}"/>
    <cellStyle name="Comma 9 6 2 2" xfId="20908" xr:uid="{00000000-0005-0000-0000-0000B0510000}"/>
    <cellStyle name="Comma 9 6 2 2 2" xfId="27014" xr:uid="{00000000-0005-0000-0000-00008A690000}"/>
    <cellStyle name="Comma 9 6 2 2 3" xfId="28942" xr:uid="{00000000-0005-0000-0000-000012710000}"/>
    <cellStyle name="Comma 9 6 2 3" xfId="26051" xr:uid="{00000000-0005-0000-0000-0000C7650000}"/>
    <cellStyle name="Comma 9 6 2 4" xfId="27978" xr:uid="{00000000-0005-0000-0000-00004E6D0000}"/>
    <cellStyle name="Comma 9 6 2 5" xfId="8703" xr:uid="{00000000-0005-0000-0000-000003220000}"/>
    <cellStyle name="Comma 9 6 3" xfId="16595" xr:uid="{00000000-0005-0000-0000-0000D7400000}"/>
    <cellStyle name="Comma 9 6 3 2" xfId="23448" xr:uid="{00000000-0005-0000-0000-00009C5B0000}"/>
    <cellStyle name="Comma 9 6 3 2 2" xfId="27455" xr:uid="{00000000-0005-0000-0000-0000436B0000}"/>
    <cellStyle name="Comma 9 6 3 2 3" xfId="29383" xr:uid="{00000000-0005-0000-0000-0000CB720000}"/>
    <cellStyle name="Comma 9 6 3 3" xfId="26492" xr:uid="{00000000-0005-0000-0000-000080670000}"/>
    <cellStyle name="Comma 9 6 3 4" xfId="28420" xr:uid="{00000000-0005-0000-0000-0000086F0000}"/>
    <cellStyle name="Comma 9 6 4" xfId="19959" xr:uid="{00000000-0005-0000-0000-0000FB4D0000}"/>
    <cellStyle name="Comma 9 6 4 2" xfId="26817" xr:uid="{00000000-0005-0000-0000-0000C5680000}"/>
    <cellStyle name="Comma 9 6 4 3" xfId="28745" xr:uid="{00000000-0005-0000-0000-00004D700000}"/>
    <cellStyle name="Comma 9 6 5" xfId="25854" xr:uid="{00000000-0005-0000-0000-000002650000}"/>
    <cellStyle name="Comma 9 6 6" xfId="27781" xr:uid="{00000000-0005-0000-0000-0000896C0000}"/>
    <cellStyle name="Comma 9 6 7" xfId="7700" xr:uid="{00000000-0005-0000-0000-0000181E0000}"/>
    <cellStyle name="Comma 9 7" xfId="826" xr:uid="{00000000-0005-0000-0000-00003E030000}"/>
    <cellStyle name="Comma 9 7 2" xfId="3624" xr:uid="{00000000-0005-0000-0000-00002C0E0000}"/>
    <cellStyle name="Comma 9 7 2 2" xfId="20909" xr:uid="{00000000-0005-0000-0000-0000B1510000}"/>
    <cellStyle name="Comma 9 7 2 2 2" xfId="27015" xr:uid="{00000000-0005-0000-0000-00008B690000}"/>
    <cellStyle name="Comma 9 7 2 2 3" xfId="28943" xr:uid="{00000000-0005-0000-0000-000013710000}"/>
    <cellStyle name="Comma 9 7 2 3" xfId="26052" xr:uid="{00000000-0005-0000-0000-0000C8650000}"/>
    <cellStyle name="Comma 9 7 2 4" xfId="27979" xr:uid="{00000000-0005-0000-0000-00004F6D0000}"/>
    <cellStyle name="Comma 9 7 2 5" xfId="8704" xr:uid="{00000000-0005-0000-0000-000004220000}"/>
    <cellStyle name="Comma 9 7 3" xfId="16596" xr:uid="{00000000-0005-0000-0000-0000D8400000}"/>
    <cellStyle name="Comma 9 7 3 2" xfId="23449" xr:uid="{00000000-0005-0000-0000-00009D5B0000}"/>
    <cellStyle name="Comma 9 7 3 2 2" xfId="27456" xr:uid="{00000000-0005-0000-0000-0000446B0000}"/>
    <cellStyle name="Comma 9 7 3 2 3" xfId="29384" xr:uid="{00000000-0005-0000-0000-0000CC720000}"/>
    <cellStyle name="Comma 9 7 3 3" xfId="26493" xr:uid="{00000000-0005-0000-0000-000081670000}"/>
    <cellStyle name="Comma 9 7 3 4" xfId="28421" xr:uid="{00000000-0005-0000-0000-0000096F0000}"/>
    <cellStyle name="Comma 9 7 4" xfId="19960" xr:uid="{00000000-0005-0000-0000-0000FC4D0000}"/>
    <cellStyle name="Comma 9 7 4 2" xfId="26818" xr:uid="{00000000-0005-0000-0000-0000C6680000}"/>
    <cellStyle name="Comma 9 7 4 3" xfId="28746" xr:uid="{00000000-0005-0000-0000-00004E700000}"/>
    <cellStyle name="Comma 9 7 5" xfId="25855" xr:uid="{00000000-0005-0000-0000-000003650000}"/>
    <cellStyle name="Comma 9 7 6" xfId="27782" xr:uid="{00000000-0005-0000-0000-00008A6C0000}"/>
    <cellStyle name="Comma 9 7 7" xfId="7701" xr:uid="{00000000-0005-0000-0000-0000191E0000}"/>
    <cellStyle name="Comma 9 8" xfId="827" xr:uid="{00000000-0005-0000-0000-00003F030000}"/>
    <cellStyle name="Comma 9 8 2" xfId="3625" xr:uid="{00000000-0005-0000-0000-00002D0E0000}"/>
    <cellStyle name="Comma 9 8 2 2" xfId="20910" xr:uid="{00000000-0005-0000-0000-0000B2510000}"/>
    <cellStyle name="Comma 9 8 2 2 2" xfId="27016" xr:uid="{00000000-0005-0000-0000-00008C690000}"/>
    <cellStyle name="Comma 9 8 2 2 3" xfId="28944" xr:uid="{00000000-0005-0000-0000-000014710000}"/>
    <cellStyle name="Comma 9 8 2 3" xfId="26053" xr:uid="{00000000-0005-0000-0000-0000C9650000}"/>
    <cellStyle name="Comma 9 8 2 4" xfId="27980" xr:uid="{00000000-0005-0000-0000-0000506D0000}"/>
    <cellStyle name="Comma 9 8 2 5" xfId="8705" xr:uid="{00000000-0005-0000-0000-000005220000}"/>
    <cellStyle name="Comma 9 8 3" xfId="16597" xr:uid="{00000000-0005-0000-0000-0000D9400000}"/>
    <cellStyle name="Comma 9 8 3 2" xfId="23450" xr:uid="{00000000-0005-0000-0000-00009E5B0000}"/>
    <cellStyle name="Comma 9 8 3 2 2" xfId="27457" xr:uid="{00000000-0005-0000-0000-0000456B0000}"/>
    <cellStyle name="Comma 9 8 3 2 3" xfId="29385" xr:uid="{00000000-0005-0000-0000-0000CD720000}"/>
    <cellStyle name="Comma 9 8 3 3" xfId="26494" xr:uid="{00000000-0005-0000-0000-000082670000}"/>
    <cellStyle name="Comma 9 8 3 4" xfId="28422" xr:uid="{00000000-0005-0000-0000-00000A6F0000}"/>
    <cellStyle name="Comma 9 8 4" xfId="19961" xr:uid="{00000000-0005-0000-0000-0000FD4D0000}"/>
    <cellStyle name="Comma 9 8 4 2" xfId="26819" xr:uid="{00000000-0005-0000-0000-0000C7680000}"/>
    <cellStyle name="Comma 9 8 4 3" xfId="28747" xr:uid="{00000000-0005-0000-0000-00004F700000}"/>
    <cellStyle name="Comma 9 8 5" xfId="25856" xr:uid="{00000000-0005-0000-0000-000004650000}"/>
    <cellStyle name="Comma 9 8 6" xfId="27783" xr:uid="{00000000-0005-0000-0000-00008B6C0000}"/>
    <cellStyle name="Comma 9 8 7" xfId="7702" xr:uid="{00000000-0005-0000-0000-00001A1E0000}"/>
    <cellStyle name="Comma 9 9" xfId="828" xr:uid="{00000000-0005-0000-0000-000040030000}"/>
    <cellStyle name="Comma 9 9 2" xfId="3626" xr:uid="{00000000-0005-0000-0000-00002E0E0000}"/>
    <cellStyle name="Comma 9 9 2 2" xfId="20911" xr:uid="{00000000-0005-0000-0000-0000B3510000}"/>
    <cellStyle name="Comma 9 9 2 2 2" xfId="27017" xr:uid="{00000000-0005-0000-0000-00008D690000}"/>
    <cellStyle name="Comma 9 9 2 2 3" xfId="28945" xr:uid="{00000000-0005-0000-0000-000015710000}"/>
    <cellStyle name="Comma 9 9 2 3" xfId="26054" xr:uid="{00000000-0005-0000-0000-0000CA650000}"/>
    <cellStyle name="Comma 9 9 2 4" xfId="27981" xr:uid="{00000000-0005-0000-0000-0000516D0000}"/>
    <cellStyle name="Comma 9 9 2 5" xfId="8706" xr:uid="{00000000-0005-0000-0000-000006220000}"/>
    <cellStyle name="Comma 9 9 3" xfId="16598" xr:uid="{00000000-0005-0000-0000-0000DA400000}"/>
    <cellStyle name="Comma 9 9 3 2" xfId="23451" xr:uid="{00000000-0005-0000-0000-00009F5B0000}"/>
    <cellStyle name="Comma 9 9 3 2 2" xfId="27458" xr:uid="{00000000-0005-0000-0000-0000466B0000}"/>
    <cellStyle name="Comma 9 9 3 2 3" xfId="29386" xr:uid="{00000000-0005-0000-0000-0000CE720000}"/>
    <cellStyle name="Comma 9 9 3 3" xfId="26495" xr:uid="{00000000-0005-0000-0000-000083670000}"/>
    <cellStyle name="Comma 9 9 3 4" xfId="28423" xr:uid="{00000000-0005-0000-0000-00000B6F0000}"/>
    <cellStyle name="Comma 9 9 4" xfId="19962" xr:uid="{00000000-0005-0000-0000-0000FE4D0000}"/>
    <cellStyle name="Comma 9 9 4 2" xfId="26820" xr:uid="{00000000-0005-0000-0000-0000C8680000}"/>
    <cellStyle name="Comma 9 9 4 3" xfId="28748" xr:uid="{00000000-0005-0000-0000-000050700000}"/>
    <cellStyle name="Comma 9 9 5" xfId="25857" xr:uid="{00000000-0005-0000-0000-000005650000}"/>
    <cellStyle name="Comma 9 9 6" xfId="27784" xr:uid="{00000000-0005-0000-0000-00008C6C0000}"/>
    <cellStyle name="Comma 9 9 7" xfId="7703" xr:uid="{00000000-0005-0000-0000-00001B1E0000}"/>
    <cellStyle name="Constants" xfId="5769" xr:uid="{00000000-0005-0000-0000-00008D160000}"/>
    <cellStyle name="Currency 2" xfId="5770" xr:uid="{00000000-0005-0000-0000-00008E160000}"/>
    <cellStyle name="Currency 2 2" xfId="829" xr:uid="{00000000-0005-0000-0000-000041030000}"/>
    <cellStyle name="Currency 2 2 2" xfId="2090" xr:uid="{00000000-0005-0000-0000-00002E080000}"/>
    <cellStyle name="Currency 2 3" xfId="12666" xr:uid="{00000000-0005-0000-0000-00007E310000}"/>
    <cellStyle name="CustomCellsOrange" xfId="5771" xr:uid="{00000000-0005-0000-0000-00008F160000}"/>
    <cellStyle name="CustomizationCells" xfId="206" xr:uid="{00000000-0005-0000-0000-0000D2000000}"/>
    <cellStyle name="CustomizationGreenCells" xfId="5772" xr:uid="{00000000-0005-0000-0000-000090160000}"/>
    <cellStyle name="Date" xfId="830" xr:uid="{00000000-0005-0000-0000-000042030000}"/>
    <cellStyle name="Date 2" xfId="831" xr:uid="{00000000-0005-0000-0000-000043030000}"/>
    <cellStyle name="DocBox_EmptyRow" xfId="5773" xr:uid="{00000000-0005-0000-0000-000091160000}"/>
    <cellStyle name="donn_normal" xfId="832" xr:uid="{00000000-0005-0000-0000-000044030000}"/>
    <cellStyle name="Eingabe" xfId="5774" xr:uid="{00000000-0005-0000-0000-000092160000}"/>
    <cellStyle name="Empty_B_border" xfId="5775" xr:uid="{00000000-0005-0000-0000-000093160000}"/>
    <cellStyle name="ent_col_ser" xfId="833" xr:uid="{00000000-0005-0000-0000-000045030000}"/>
    <cellStyle name="entete_source" xfId="834" xr:uid="{00000000-0005-0000-0000-000046030000}"/>
    <cellStyle name="Entrée 2" xfId="5" xr:uid="{00000000-0005-0000-0000-000009000000}"/>
    <cellStyle name="Entrée 3" xfId="4449" xr:uid="{00000000-0005-0000-0000-000065110000}"/>
    <cellStyle name="Ergebnis" xfId="5776" xr:uid="{00000000-0005-0000-0000-000094160000}"/>
    <cellStyle name="Erklärender Text" xfId="5777" xr:uid="{00000000-0005-0000-0000-000095160000}"/>
    <cellStyle name="Estilo 1" xfId="5778" xr:uid="{00000000-0005-0000-0000-000096160000}"/>
    <cellStyle name="Euro" xfId="86" xr:uid="{00000000-0005-0000-0000-00005A000000}"/>
    <cellStyle name="Euro 10" xfId="5780" xr:uid="{00000000-0005-0000-0000-000098160000}"/>
    <cellStyle name="Euro 10 2" xfId="5781" xr:uid="{00000000-0005-0000-0000-000099160000}"/>
    <cellStyle name="Euro 11" xfId="5782" xr:uid="{00000000-0005-0000-0000-00009A160000}"/>
    <cellStyle name="Euro 11 2" xfId="5783" xr:uid="{00000000-0005-0000-0000-00009B160000}"/>
    <cellStyle name="Euro 12" xfId="5784" xr:uid="{00000000-0005-0000-0000-00009C160000}"/>
    <cellStyle name="Euro 13" xfId="5785" xr:uid="{00000000-0005-0000-0000-00009D160000}"/>
    <cellStyle name="Euro 14" xfId="5786" xr:uid="{00000000-0005-0000-0000-00009E160000}"/>
    <cellStyle name="Euro 15" xfId="5787" xr:uid="{00000000-0005-0000-0000-00009F160000}"/>
    <cellStyle name="Euro 16" xfId="5788" xr:uid="{00000000-0005-0000-0000-0000A0160000}"/>
    <cellStyle name="Euro 17" xfId="5789" xr:uid="{00000000-0005-0000-0000-0000A1160000}"/>
    <cellStyle name="Euro 18" xfId="5790" xr:uid="{00000000-0005-0000-0000-0000A2160000}"/>
    <cellStyle name="Euro 19" xfId="5791" xr:uid="{00000000-0005-0000-0000-0000A3160000}"/>
    <cellStyle name="Euro 2" xfId="87" xr:uid="{00000000-0005-0000-0000-00005B000000}"/>
    <cellStyle name="Euro 2 2" xfId="88" xr:uid="{00000000-0005-0000-0000-00005C000000}"/>
    <cellStyle name="Euro 2 2 2" xfId="89" xr:uid="{00000000-0005-0000-0000-00005D000000}"/>
    <cellStyle name="Euro 2 2 2 2" xfId="2093" xr:uid="{00000000-0005-0000-0000-000031080000}"/>
    <cellStyle name="Euro 2 2 2 3" xfId="837" xr:uid="{00000000-0005-0000-0000-000049030000}"/>
    <cellStyle name="Euro 2 2 3" xfId="2092" xr:uid="{00000000-0005-0000-0000-000030080000}"/>
    <cellStyle name="Euro 2 2 4" xfId="836" xr:uid="{00000000-0005-0000-0000-000048030000}"/>
    <cellStyle name="Euro 2 2 4 2" xfId="5794" xr:uid="{00000000-0005-0000-0000-0000A6160000}"/>
    <cellStyle name="Euro 2 2 4 3" xfId="7901" xr:uid="{00000000-0005-0000-0000-0000E11E0000}"/>
    <cellStyle name="Euro 2 2 5" xfId="5795" xr:uid="{00000000-0005-0000-0000-0000A7160000}"/>
    <cellStyle name="Euro 2 2 6" xfId="5793" xr:uid="{00000000-0005-0000-0000-0000A5160000}"/>
    <cellStyle name="Euro 2 3" xfId="838" xr:uid="{00000000-0005-0000-0000-00004A030000}"/>
    <cellStyle name="Euro 2 3 2" xfId="2094" xr:uid="{00000000-0005-0000-0000-000032080000}"/>
    <cellStyle name="Euro 2 3 3" xfId="19695" xr:uid="{00000000-0005-0000-0000-0000F34C0000}"/>
    <cellStyle name="Euro 2 3 3 2" xfId="26593" xr:uid="{00000000-0005-0000-0000-0000E5670000}"/>
    <cellStyle name="Euro 2 3 3 3" xfId="28521" xr:uid="{00000000-0005-0000-0000-00006D6F0000}"/>
    <cellStyle name="Euro 2 3 4" xfId="25630" xr:uid="{00000000-0005-0000-0000-000022640000}"/>
    <cellStyle name="Euro 2 3 5" xfId="27557" xr:uid="{00000000-0005-0000-0000-0000A96B0000}"/>
    <cellStyle name="Euro 2 3 6" xfId="5796" xr:uid="{00000000-0005-0000-0000-0000A8160000}"/>
    <cellStyle name="Euro 2 4" xfId="2091" xr:uid="{00000000-0005-0000-0000-00002F080000}"/>
    <cellStyle name="Euro 2 4 2" xfId="12667" xr:uid="{00000000-0005-0000-0000-00007F310000}"/>
    <cellStyle name="Euro 2 4 3" xfId="12668" xr:uid="{00000000-0005-0000-0000-000080310000}"/>
    <cellStyle name="Euro 2 4 4" xfId="12669" xr:uid="{00000000-0005-0000-0000-000081310000}"/>
    <cellStyle name="Euro 2 5" xfId="835" xr:uid="{00000000-0005-0000-0000-000047030000}"/>
    <cellStyle name="Euro 2 6" xfId="3409" xr:uid="{00000000-0005-0000-0000-0000550D0000}"/>
    <cellStyle name="Euro 2 7" xfId="5792" xr:uid="{00000000-0005-0000-0000-0000A4160000}"/>
    <cellStyle name="Euro 2 8" xfId="8856" xr:uid="{00000000-0005-0000-0000-00009C220000}"/>
    <cellStyle name="Euro 20" xfId="5797" xr:uid="{00000000-0005-0000-0000-0000A9160000}"/>
    <cellStyle name="Euro 21" xfId="5798" xr:uid="{00000000-0005-0000-0000-0000AA160000}"/>
    <cellStyle name="Euro 22" xfId="5799" xr:uid="{00000000-0005-0000-0000-0000AB160000}"/>
    <cellStyle name="Euro 23" xfId="5800" xr:uid="{00000000-0005-0000-0000-0000AC160000}"/>
    <cellStyle name="Euro 24" xfId="5801" xr:uid="{00000000-0005-0000-0000-0000AD160000}"/>
    <cellStyle name="Euro 25" xfId="5802" xr:uid="{00000000-0005-0000-0000-0000AE160000}"/>
    <cellStyle name="Euro 26" xfId="5803" xr:uid="{00000000-0005-0000-0000-0000AF160000}"/>
    <cellStyle name="Euro 27" xfId="5804" xr:uid="{00000000-0005-0000-0000-0000B0160000}"/>
    <cellStyle name="Euro 28" xfId="5805" xr:uid="{00000000-0005-0000-0000-0000B1160000}"/>
    <cellStyle name="Euro 29" xfId="5806" xr:uid="{00000000-0005-0000-0000-0000B2160000}"/>
    <cellStyle name="Euro 3" xfId="90" xr:uid="{00000000-0005-0000-0000-00005E000000}"/>
    <cellStyle name="Euro 3 10" xfId="8857" xr:uid="{00000000-0005-0000-0000-00009D220000}"/>
    <cellStyle name="Euro 3 11" xfId="4488" xr:uid="{00000000-0005-0000-0000-00008C110000}"/>
    <cellStyle name="Euro 3 2" xfId="2095" xr:uid="{00000000-0005-0000-0000-000033080000}"/>
    <cellStyle name="Euro 3 2 2" xfId="5808" xr:uid="{00000000-0005-0000-0000-0000B4160000}"/>
    <cellStyle name="Euro 3 2 2 2" xfId="12670" xr:uid="{00000000-0005-0000-0000-000082310000}"/>
    <cellStyle name="Euro 3 2 3" xfId="4489" xr:uid="{00000000-0005-0000-0000-00008D110000}"/>
    <cellStyle name="Euro 3 3" xfId="839" xr:uid="{00000000-0005-0000-0000-00004B030000}"/>
    <cellStyle name="Euro 3 3 2" xfId="4491" xr:uid="{00000000-0005-0000-0000-00008F110000}"/>
    <cellStyle name="Euro 3 3 3" xfId="4492" xr:uid="{00000000-0005-0000-0000-000090110000}"/>
    <cellStyle name="Euro 3 3 4" xfId="4554" xr:uid="{00000000-0005-0000-0000-0000CE110000}"/>
    <cellStyle name="Euro 3 3 4 2" xfId="5809" xr:uid="{00000000-0005-0000-0000-0000B5160000}"/>
    <cellStyle name="Euro 3 3 5" xfId="12671" xr:uid="{00000000-0005-0000-0000-000083310000}"/>
    <cellStyle name="Euro 3 3 6" xfId="4490" xr:uid="{00000000-0005-0000-0000-00008E110000}"/>
    <cellStyle name="Euro 3 4" xfId="3410" xr:uid="{00000000-0005-0000-0000-0000560D0000}"/>
    <cellStyle name="Euro 3 4 2" xfId="12672" xr:uid="{00000000-0005-0000-0000-000084310000}"/>
    <cellStyle name="Euro 3 4 3" xfId="4493" xr:uid="{00000000-0005-0000-0000-000091110000}"/>
    <cellStyle name="Euro 3 5" xfId="5810" xr:uid="{00000000-0005-0000-0000-0000B6160000}"/>
    <cellStyle name="Euro 3 6" xfId="5811" xr:uid="{00000000-0005-0000-0000-0000B7160000}"/>
    <cellStyle name="Euro 3 7" xfId="5812" xr:uid="{00000000-0005-0000-0000-0000B8160000}"/>
    <cellStyle name="Euro 3 8" xfId="5807" xr:uid="{00000000-0005-0000-0000-0000B3160000}"/>
    <cellStyle name="Euro 3 9" xfId="7704" xr:uid="{00000000-0005-0000-0000-00001C1E0000}"/>
    <cellStyle name="Euro 3_PrimaryEnergyPrices_TIMES" xfId="5813" xr:uid="{00000000-0005-0000-0000-0000B9160000}"/>
    <cellStyle name="Euro 30" xfId="5814" xr:uid="{00000000-0005-0000-0000-0000BA160000}"/>
    <cellStyle name="Euro 31" xfId="5815" xr:uid="{00000000-0005-0000-0000-0000BB160000}"/>
    <cellStyle name="Euro 32" xfId="5816" xr:uid="{00000000-0005-0000-0000-0000BC160000}"/>
    <cellStyle name="Euro 33" xfId="5817" xr:uid="{00000000-0005-0000-0000-0000BD160000}"/>
    <cellStyle name="Euro 34" xfId="5818" xr:uid="{00000000-0005-0000-0000-0000BE160000}"/>
    <cellStyle name="Euro 35" xfId="5819" xr:uid="{00000000-0005-0000-0000-0000BF160000}"/>
    <cellStyle name="Euro 36" xfId="5820" xr:uid="{00000000-0005-0000-0000-0000C0160000}"/>
    <cellStyle name="Euro 37" xfId="5821" xr:uid="{00000000-0005-0000-0000-0000C1160000}"/>
    <cellStyle name="Euro 38" xfId="5822" xr:uid="{00000000-0005-0000-0000-0000C2160000}"/>
    <cellStyle name="Euro 39" xfId="5823" xr:uid="{00000000-0005-0000-0000-0000C3160000}"/>
    <cellStyle name="Euro 4" xfId="91" xr:uid="{00000000-0005-0000-0000-00005F000000}"/>
    <cellStyle name="Euro 4 2" xfId="2096" xr:uid="{00000000-0005-0000-0000-000034080000}"/>
    <cellStyle name="Euro 4 2 2" xfId="5824" xr:uid="{00000000-0005-0000-0000-0000C4160000}"/>
    <cellStyle name="Euro 4 2 2 2" xfId="12673" xr:uid="{00000000-0005-0000-0000-000085310000}"/>
    <cellStyle name="Euro 4 2 3" xfId="4495" xr:uid="{00000000-0005-0000-0000-000093110000}"/>
    <cellStyle name="Euro 4 3" xfId="840" xr:uid="{00000000-0005-0000-0000-00004C030000}"/>
    <cellStyle name="Euro 4 3 2" xfId="4497" xr:uid="{00000000-0005-0000-0000-000095110000}"/>
    <cellStyle name="Euro 4 3 3" xfId="4498" xr:uid="{00000000-0005-0000-0000-000096110000}"/>
    <cellStyle name="Euro 4 3 4" xfId="4555" xr:uid="{00000000-0005-0000-0000-0000CF110000}"/>
    <cellStyle name="Euro 4 3 4 2" xfId="5825" xr:uid="{00000000-0005-0000-0000-0000C5160000}"/>
    <cellStyle name="Euro 4 3 5" xfId="12674" xr:uid="{00000000-0005-0000-0000-000086310000}"/>
    <cellStyle name="Euro 4 3 6" xfId="4496" xr:uid="{00000000-0005-0000-0000-000094110000}"/>
    <cellStyle name="Euro 4 4" xfId="3411" xr:uid="{00000000-0005-0000-0000-0000570D0000}"/>
    <cellStyle name="Euro 4 4 2" xfId="7705" xr:uid="{00000000-0005-0000-0000-00001D1E0000}"/>
    <cellStyle name="Euro 4 4 3" xfId="10803" xr:uid="{00000000-0005-0000-0000-0000372A0000}"/>
    <cellStyle name="Euro 4 4 4" xfId="12675" xr:uid="{00000000-0005-0000-0000-000087310000}"/>
    <cellStyle name="Euro 4 4 5" xfId="4499" xr:uid="{00000000-0005-0000-0000-000097110000}"/>
    <cellStyle name="Euro 4 5" xfId="5826" xr:uid="{00000000-0005-0000-0000-0000C6160000}"/>
    <cellStyle name="Euro 4 6" xfId="4494" xr:uid="{00000000-0005-0000-0000-000092110000}"/>
    <cellStyle name="Euro 40" xfId="5827" xr:uid="{00000000-0005-0000-0000-0000C7160000}"/>
    <cellStyle name="Euro 41" xfId="5828" xr:uid="{00000000-0005-0000-0000-0000C8160000}"/>
    <cellStyle name="Euro 42" xfId="5829" xr:uid="{00000000-0005-0000-0000-0000C9160000}"/>
    <cellStyle name="Euro 43" xfId="5830" xr:uid="{00000000-0005-0000-0000-0000CA160000}"/>
    <cellStyle name="Euro 44" xfId="5831" xr:uid="{00000000-0005-0000-0000-0000CB160000}"/>
    <cellStyle name="Euro 45" xfId="5832" xr:uid="{00000000-0005-0000-0000-0000CC160000}"/>
    <cellStyle name="Euro 46" xfId="5833" xr:uid="{00000000-0005-0000-0000-0000CD160000}"/>
    <cellStyle name="Euro 47" xfId="5834" xr:uid="{00000000-0005-0000-0000-0000CE160000}"/>
    <cellStyle name="Euro 48" xfId="5835" xr:uid="{00000000-0005-0000-0000-0000CF160000}"/>
    <cellStyle name="Euro 48 2" xfId="5836" xr:uid="{00000000-0005-0000-0000-0000D0160000}"/>
    <cellStyle name="Euro 49" xfId="5837" xr:uid="{00000000-0005-0000-0000-0000D1160000}"/>
    <cellStyle name="Euro 49 2" xfId="5838" xr:uid="{00000000-0005-0000-0000-0000D2160000}"/>
    <cellStyle name="Euro 5" xfId="207" xr:uid="{00000000-0005-0000-0000-0000D3000000}"/>
    <cellStyle name="Euro 5 2" xfId="4501" xr:uid="{00000000-0005-0000-0000-000099110000}"/>
    <cellStyle name="Euro 5 2 2" xfId="12676" xr:uid="{00000000-0005-0000-0000-000088310000}"/>
    <cellStyle name="Euro 5 3" xfId="4502" xr:uid="{00000000-0005-0000-0000-00009A110000}"/>
    <cellStyle name="Euro 5 3 2" xfId="12677" xr:uid="{00000000-0005-0000-0000-000089310000}"/>
    <cellStyle name="Euro 5 4" xfId="4556" xr:uid="{00000000-0005-0000-0000-0000D0110000}"/>
    <cellStyle name="Euro 5 4 2" xfId="5839" xr:uid="{00000000-0005-0000-0000-0000D3160000}"/>
    <cellStyle name="Euro 5 5" xfId="4500" xr:uid="{00000000-0005-0000-0000-000098110000}"/>
    <cellStyle name="Euro 50" xfId="5840" xr:uid="{00000000-0005-0000-0000-0000D4160000}"/>
    <cellStyle name="Euro 50 2" xfId="5841" xr:uid="{00000000-0005-0000-0000-0000D5160000}"/>
    <cellStyle name="Euro 51" xfId="5842" xr:uid="{00000000-0005-0000-0000-0000D6160000}"/>
    <cellStyle name="Euro 51 2" xfId="5843" xr:uid="{00000000-0005-0000-0000-0000D7160000}"/>
    <cellStyle name="Euro 52" xfId="5844" xr:uid="{00000000-0005-0000-0000-0000D8160000}"/>
    <cellStyle name="Euro 52 2" xfId="5845" xr:uid="{00000000-0005-0000-0000-0000D9160000}"/>
    <cellStyle name="Euro 53" xfId="5846" xr:uid="{00000000-0005-0000-0000-0000DA160000}"/>
    <cellStyle name="Euro 53 2" xfId="5847" xr:uid="{00000000-0005-0000-0000-0000DB160000}"/>
    <cellStyle name="Euro 54" xfId="5848" xr:uid="{00000000-0005-0000-0000-0000DC160000}"/>
    <cellStyle name="Euro 54 2" xfId="5849" xr:uid="{00000000-0005-0000-0000-0000DD160000}"/>
    <cellStyle name="Euro 55" xfId="5850" xr:uid="{00000000-0005-0000-0000-0000DE160000}"/>
    <cellStyle name="Euro 55 2" xfId="5851" xr:uid="{00000000-0005-0000-0000-0000DF160000}"/>
    <cellStyle name="Euro 56" xfId="5852" xr:uid="{00000000-0005-0000-0000-0000E0160000}"/>
    <cellStyle name="Euro 56 2" xfId="5853" xr:uid="{00000000-0005-0000-0000-0000E1160000}"/>
    <cellStyle name="Euro 57" xfId="5854" xr:uid="{00000000-0005-0000-0000-0000E2160000}"/>
    <cellStyle name="Euro 57 2" xfId="19696" xr:uid="{00000000-0005-0000-0000-0000F44C0000}"/>
    <cellStyle name="Euro 57 2 2" xfId="26594" xr:uid="{00000000-0005-0000-0000-0000E6670000}"/>
    <cellStyle name="Euro 57 2 3" xfId="28522" xr:uid="{00000000-0005-0000-0000-00006E6F0000}"/>
    <cellStyle name="Euro 57 3" xfId="25631" xr:uid="{00000000-0005-0000-0000-000023640000}"/>
    <cellStyle name="Euro 57 4" xfId="27558" xr:uid="{00000000-0005-0000-0000-0000AA6B0000}"/>
    <cellStyle name="Euro 58" xfId="5855" xr:uid="{00000000-0005-0000-0000-0000E3160000}"/>
    <cellStyle name="Euro 58 2" xfId="12679" xr:uid="{00000000-0005-0000-0000-00008B310000}"/>
    <cellStyle name="Euro 58 3" xfId="12680" xr:uid="{00000000-0005-0000-0000-00008C310000}"/>
    <cellStyle name="Euro 58 4" xfId="12681" xr:uid="{00000000-0005-0000-0000-00008D310000}"/>
    <cellStyle name="Euro 58 5" xfId="12678" xr:uid="{00000000-0005-0000-0000-00008A310000}"/>
    <cellStyle name="Euro 59" xfId="5856" xr:uid="{00000000-0005-0000-0000-0000E4160000}"/>
    <cellStyle name="Euro 6" xfId="4503" xr:uid="{00000000-0005-0000-0000-00009B110000}"/>
    <cellStyle name="Euro 6 2" xfId="5857" xr:uid="{00000000-0005-0000-0000-0000E5160000}"/>
    <cellStyle name="Euro 6 2 2" xfId="12682" xr:uid="{00000000-0005-0000-0000-00008E310000}"/>
    <cellStyle name="Euro 6 2 3" xfId="15087" xr:uid="{00000000-0005-0000-0000-0000F33A0000}"/>
    <cellStyle name="Euro 6 3" xfId="5858" xr:uid="{00000000-0005-0000-0000-0000E6160000}"/>
    <cellStyle name="Euro 6 3 2" xfId="12683" xr:uid="{00000000-0005-0000-0000-00008F310000}"/>
    <cellStyle name="Euro 6 4" xfId="7706" xr:uid="{00000000-0005-0000-0000-00001E1E0000}"/>
    <cellStyle name="Euro 6 5" xfId="10804" xr:uid="{00000000-0005-0000-0000-0000382A0000}"/>
    <cellStyle name="Euro 60" xfId="5779" xr:uid="{00000000-0005-0000-0000-000097160000}"/>
    <cellStyle name="Euro 61" xfId="8707" xr:uid="{00000000-0005-0000-0000-000007220000}"/>
    <cellStyle name="Euro 61 2" xfId="17224" xr:uid="{00000000-0005-0000-0000-00004C430000}"/>
    <cellStyle name="Euro 61 3" xfId="15086" xr:uid="{00000000-0005-0000-0000-0000F23A0000}"/>
    <cellStyle name="Euro 62" xfId="9516" xr:uid="{00000000-0005-0000-0000-000030250000}"/>
    <cellStyle name="Euro 62 2" xfId="17746" xr:uid="{00000000-0005-0000-0000-000056450000}"/>
    <cellStyle name="Euro 7" xfId="5859" xr:uid="{00000000-0005-0000-0000-0000E7160000}"/>
    <cellStyle name="Euro 7 2" xfId="5860" xr:uid="{00000000-0005-0000-0000-0000E8160000}"/>
    <cellStyle name="Euro 7 3" xfId="5861" xr:uid="{00000000-0005-0000-0000-0000E9160000}"/>
    <cellStyle name="Euro 7 3 2" xfId="12684" xr:uid="{00000000-0005-0000-0000-000090310000}"/>
    <cellStyle name="Euro 8" xfId="5862" xr:uid="{00000000-0005-0000-0000-0000EA160000}"/>
    <cellStyle name="Euro 8 2" xfId="5863" xr:uid="{00000000-0005-0000-0000-0000EB160000}"/>
    <cellStyle name="Euro 9" xfId="5864" xr:uid="{00000000-0005-0000-0000-0000EC160000}"/>
    <cellStyle name="Euro 9 2" xfId="5865" xr:uid="{00000000-0005-0000-0000-0000ED160000}"/>
    <cellStyle name="Euro_Potentials in TIMES" xfId="5866" xr:uid="{00000000-0005-0000-0000-0000EE160000}"/>
    <cellStyle name="Explanatory Text 10" xfId="5867" xr:uid="{00000000-0005-0000-0000-0000EF160000}"/>
    <cellStyle name="Explanatory Text 11" xfId="5868" xr:uid="{00000000-0005-0000-0000-0000F0160000}"/>
    <cellStyle name="Explanatory Text 12" xfId="5869" xr:uid="{00000000-0005-0000-0000-0000F1160000}"/>
    <cellStyle name="Explanatory Text 13" xfId="5870" xr:uid="{00000000-0005-0000-0000-0000F2160000}"/>
    <cellStyle name="Explanatory Text 14" xfId="5871" xr:uid="{00000000-0005-0000-0000-0000F3160000}"/>
    <cellStyle name="Explanatory Text 15" xfId="5872" xr:uid="{00000000-0005-0000-0000-0000F4160000}"/>
    <cellStyle name="Explanatory Text 16" xfId="5873" xr:uid="{00000000-0005-0000-0000-0000F5160000}"/>
    <cellStyle name="Explanatory Text 17" xfId="5874" xr:uid="{00000000-0005-0000-0000-0000F6160000}"/>
    <cellStyle name="Explanatory Text 18" xfId="5875" xr:uid="{00000000-0005-0000-0000-0000F7160000}"/>
    <cellStyle name="Explanatory Text 19" xfId="5876" xr:uid="{00000000-0005-0000-0000-0000F8160000}"/>
    <cellStyle name="Explanatory Text 2" xfId="92" xr:uid="{00000000-0005-0000-0000-000060000000}"/>
    <cellStyle name="Explanatory Text 2 10" xfId="841" xr:uid="{00000000-0005-0000-0000-00004D030000}"/>
    <cellStyle name="Explanatory Text 2 2" xfId="842" xr:uid="{00000000-0005-0000-0000-00004E030000}"/>
    <cellStyle name="Explanatory Text 2 3" xfId="843" xr:uid="{00000000-0005-0000-0000-00004F030000}"/>
    <cellStyle name="Explanatory Text 2 4" xfId="844" xr:uid="{00000000-0005-0000-0000-000050030000}"/>
    <cellStyle name="Explanatory Text 2 5" xfId="845" xr:uid="{00000000-0005-0000-0000-000051030000}"/>
    <cellStyle name="Explanatory Text 2 6" xfId="846" xr:uid="{00000000-0005-0000-0000-000052030000}"/>
    <cellStyle name="Explanatory Text 2 7" xfId="847" xr:uid="{00000000-0005-0000-0000-000053030000}"/>
    <cellStyle name="Explanatory Text 2 8" xfId="848" xr:uid="{00000000-0005-0000-0000-000054030000}"/>
    <cellStyle name="Explanatory Text 2 9" xfId="849" xr:uid="{00000000-0005-0000-0000-000055030000}"/>
    <cellStyle name="Explanatory Text 20" xfId="5877" xr:uid="{00000000-0005-0000-0000-0000F9160000}"/>
    <cellStyle name="Explanatory Text 21" xfId="5878" xr:uid="{00000000-0005-0000-0000-0000FA160000}"/>
    <cellStyle name="Explanatory Text 22" xfId="5879" xr:uid="{00000000-0005-0000-0000-0000FB160000}"/>
    <cellStyle name="Explanatory Text 23" xfId="5880" xr:uid="{00000000-0005-0000-0000-0000FC160000}"/>
    <cellStyle name="Explanatory Text 24" xfId="5881" xr:uid="{00000000-0005-0000-0000-0000FD160000}"/>
    <cellStyle name="Explanatory Text 25" xfId="5882" xr:uid="{00000000-0005-0000-0000-0000FE160000}"/>
    <cellStyle name="Explanatory Text 26" xfId="5883" xr:uid="{00000000-0005-0000-0000-0000FF160000}"/>
    <cellStyle name="Explanatory Text 27" xfId="5884" xr:uid="{00000000-0005-0000-0000-000000170000}"/>
    <cellStyle name="Explanatory Text 28" xfId="5885" xr:uid="{00000000-0005-0000-0000-000001170000}"/>
    <cellStyle name="Explanatory Text 29" xfId="5886" xr:uid="{00000000-0005-0000-0000-000002170000}"/>
    <cellStyle name="Explanatory Text 3" xfId="93" xr:uid="{00000000-0005-0000-0000-000061000000}"/>
    <cellStyle name="Explanatory Text 3 2" xfId="5887" xr:uid="{00000000-0005-0000-0000-000003170000}"/>
    <cellStyle name="Explanatory Text 30" xfId="5888" xr:uid="{00000000-0005-0000-0000-000004170000}"/>
    <cellStyle name="Explanatory Text 31" xfId="5889" xr:uid="{00000000-0005-0000-0000-000005170000}"/>
    <cellStyle name="Explanatory Text 32" xfId="5890" xr:uid="{00000000-0005-0000-0000-000006170000}"/>
    <cellStyle name="Explanatory Text 33" xfId="5891" xr:uid="{00000000-0005-0000-0000-000007170000}"/>
    <cellStyle name="Explanatory Text 34" xfId="5892" xr:uid="{00000000-0005-0000-0000-000008170000}"/>
    <cellStyle name="Explanatory Text 35" xfId="5893" xr:uid="{00000000-0005-0000-0000-000009170000}"/>
    <cellStyle name="Explanatory Text 36" xfId="5894" xr:uid="{00000000-0005-0000-0000-00000A170000}"/>
    <cellStyle name="Explanatory Text 37" xfId="5895" xr:uid="{00000000-0005-0000-0000-00000B170000}"/>
    <cellStyle name="Explanatory Text 38" xfId="5896" xr:uid="{00000000-0005-0000-0000-00000C170000}"/>
    <cellStyle name="Explanatory Text 39" xfId="5897" xr:uid="{00000000-0005-0000-0000-00000D170000}"/>
    <cellStyle name="Explanatory Text 4" xfId="5898" xr:uid="{00000000-0005-0000-0000-00000E170000}"/>
    <cellStyle name="Explanatory Text 4 2" xfId="12685" xr:uid="{00000000-0005-0000-0000-000091310000}"/>
    <cellStyle name="Explanatory Text 40" xfId="5899" xr:uid="{00000000-0005-0000-0000-00000F170000}"/>
    <cellStyle name="Explanatory Text 41" xfId="5900" xr:uid="{00000000-0005-0000-0000-000010170000}"/>
    <cellStyle name="Explanatory Text 42" xfId="5901" xr:uid="{00000000-0005-0000-0000-000011170000}"/>
    <cellStyle name="Explanatory Text 43" xfId="5902" xr:uid="{00000000-0005-0000-0000-000012170000}"/>
    <cellStyle name="Explanatory Text 5" xfId="5903" xr:uid="{00000000-0005-0000-0000-000013170000}"/>
    <cellStyle name="Explanatory Text 5 2" xfId="12686" xr:uid="{00000000-0005-0000-0000-000092310000}"/>
    <cellStyle name="Explanatory Text 6" xfId="5904" xr:uid="{00000000-0005-0000-0000-000014170000}"/>
    <cellStyle name="Explanatory Text 6 2" xfId="12687" xr:uid="{00000000-0005-0000-0000-000093310000}"/>
    <cellStyle name="Explanatory Text 7" xfId="5905" xr:uid="{00000000-0005-0000-0000-000015170000}"/>
    <cellStyle name="Explanatory Text 8" xfId="5906" xr:uid="{00000000-0005-0000-0000-000016170000}"/>
    <cellStyle name="Explanatory Text 9" xfId="5907" xr:uid="{00000000-0005-0000-0000-000017170000}"/>
    <cellStyle name="Fixed" xfId="850" xr:uid="{00000000-0005-0000-0000-000056030000}"/>
    <cellStyle name="Fixed 2" xfId="851" xr:uid="{00000000-0005-0000-0000-000057030000}"/>
    <cellStyle name="Float" xfId="94" xr:uid="{00000000-0005-0000-0000-000062000000}"/>
    <cellStyle name="Float 2" xfId="95" xr:uid="{00000000-0005-0000-0000-000063000000}"/>
    <cellStyle name="Float 2 2" xfId="3413" xr:uid="{00000000-0005-0000-0000-0000590D0000}"/>
    <cellStyle name="Float 3" xfId="3412" xr:uid="{00000000-0005-0000-0000-0000580D0000}"/>
    <cellStyle name="Float 3 2" xfId="7707" xr:uid="{00000000-0005-0000-0000-00001F1E0000}"/>
    <cellStyle name="Float 3 3" xfId="10805" xr:uid="{00000000-0005-0000-0000-0000392A0000}"/>
    <cellStyle name="Float 3 4" xfId="5909" xr:uid="{00000000-0005-0000-0000-000019170000}"/>
    <cellStyle name="Float 4" xfId="5908" xr:uid="{00000000-0005-0000-0000-000018170000}"/>
    <cellStyle name="Font: Calibri, 9pt regular" xfId="13" xr:uid="{00000000-0005-0000-0000-000011000000}"/>
    <cellStyle name="Footnotes: top row" xfId="17" xr:uid="{00000000-0005-0000-0000-000015000000}"/>
    <cellStyle name="Good 10" xfId="5910" xr:uid="{00000000-0005-0000-0000-00001A170000}"/>
    <cellStyle name="Good 11" xfId="5911" xr:uid="{00000000-0005-0000-0000-00001B170000}"/>
    <cellStyle name="Good 12" xfId="5912" xr:uid="{00000000-0005-0000-0000-00001C170000}"/>
    <cellStyle name="Good 13" xfId="5913" xr:uid="{00000000-0005-0000-0000-00001D170000}"/>
    <cellStyle name="Good 14" xfId="5914" xr:uid="{00000000-0005-0000-0000-00001E170000}"/>
    <cellStyle name="Good 15" xfId="5915" xr:uid="{00000000-0005-0000-0000-00001F170000}"/>
    <cellStyle name="Good 16" xfId="5916" xr:uid="{00000000-0005-0000-0000-000020170000}"/>
    <cellStyle name="Good 17" xfId="5917" xr:uid="{00000000-0005-0000-0000-000021170000}"/>
    <cellStyle name="Good 18" xfId="5918" xr:uid="{00000000-0005-0000-0000-000022170000}"/>
    <cellStyle name="Good 19" xfId="5919" xr:uid="{00000000-0005-0000-0000-000023170000}"/>
    <cellStyle name="Good 2" xfId="96" xr:uid="{00000000-0005-0000-0000-000064000000}"/>
    <cellStyle name="Good 2 10" xfId="852" xr:uid="{00000000-0005-0000-0000-000058030000}"/>
    <cellStyle name="Good 2 11" xfId="12688" xr:uid="{00000000-0005-0000-0000-000094310000}"/>
    <cellStyle name="Good 2 12" xfId="12689" xr:uid="{00000000-0005-0000-0000-000095310000}"/>
    <cellStyle name="Good 2 2" xfId="853" xr:uid="{00000000-0005-0000-0000-000059030000}"/>
    <cellStyle name="Good 2 2 2" xfId="7708" xr:uid="{00000000-0005-0000-0000-0000201E0000}"/>
    <cellStyle name="Good 2 2 2 2" xfId="12690" xr:uid="{00000000-0005-0000-0000-000096310000}"/>
    <cellStyle name="Good 2 2 3" xfId="9047" xr:uid="{00000000-0005-0000-0000-00005B230000}"/>
    <cellStyle name="Good 2 2 4" xfId="5920" xr:uid="{00000000-0005-0000-0000-000024170000}"/>
    <cellStyle name="Good 2 3" xfId="854" xr:uid="{00000000-0005-0000-0000-00005A030000}"/>
    <cellStyle name="Good 2 3 2" xfId="7709" xr:uid="{00000000-0005-0000-0000-0000211E0000}"/>
    <cellStyle name="Good 2 3 3" xfId="9048" xr:uid="{00000000-0005-0000-0000-00005C230000}"/>
    <cellStyle name="Good 2 3 4" xfId="5921" xr:uid="{00000000-0005-0000-0000-000025170000}"/>
    <cellStyle name="Good 2 4" xfId="855" xr:uid="{00000000-0005-0000-0000-00005B030000}"/>
    <cellStyle name="Good 2 5" xfId="856" xr:uid="{00000000-0005-0000-0000-00005C030000}"/>
    <cellStyle name="Good 2 6" xfId="857" xr:uid="{00000000-0005-0000-0000-00005D030000}"/>
    <cellStyle name="Good 2 7" xfId="858" xr:uid="{00000000-0005-0000-0000-00005E030000}"/>
    <cellStyle name="Good 2 8" xfId="859" xr:uid="{00000000-0005-0000-0000-00005F030000}"/>
    <cellStyle name="Good 2 9" xfId="860" xr:uid="{00000000-0005-0000-0000-000060030000}"/>
    <cellStyle name="Good 20" xfId="5922" xr:uid="{00000000-0005-0000-0000-000026170000}"/>
    <cellStyle name="Good 21" xfId="5923" xr:uid="{00000000-0005-0000-0000-000027170000}"/>
    <cellStyle name="Good 22" xfId="5924" xr:uid="{00000000-0005-0000-0000-000028170000}"/>
    <cellStyle name="Good 23" xfId="5925" xr:uid="{00000000-0005-0000-0000-000029170000}"/>
    <cellStyle name="Good 24" xfId="5926" xr:uid="{00000000-0005-0000-0000-00002A170000}"/>
    <cellStyle name="Good 25" xfId="5927" xr:uid="{00000000-0005-0000-0000-00002B170000}"/>
    <cellStyle name="Good 26" xfId="5928" xr:uid="{00000000-0005-0000-0000-00002C170000}"/>
    <cellStyle name="Good 27" xfId="5929" xr:uid="{00000000-0005-0000-0000-00002D170000}"/>
    <cellStyle name="Good 28" xfId="5930" xr:uid="{00000000-0005-0000-0000-00002E170000}"/>
    <cellStyle name="Good 29" xfId="5931" xr:uid="{00000000-0005-0000-0000-00002F170000}"/>
    <cellStyle name="Good 3" xfId="97" xr:uid="{00000000-0005-0000-0000-000065000000}"/>
    <cellStyle name="Good 3 2" xfId="861" xr:uid="{00000000-0005-0000-0000-000061030000}"/>
    <cellStyle name="Good 3 2 2" xfId="12691" xr:uid="{00000000-0005-0000-0000-000097310000}"/>
    <cellStyle name="Good 3 2 3" xfId="5932" xr:uid="{00000000-0005-0000-0000-000030170000}"/>
    <cellStyle name="Good 3 3" xfId="7710" xr:uid="{00000000-0005-0000-0000-0000221E0000}"/>
    <cellStyle name="Good 3 4" xfId="8858" xr:uid="{00000000-0005-0000-0000-00009E220000}"/>
    <cellStyle name="Good 30" xfId="5933" xr:uid="{00000000-0005-0000-0000-000031170000}"/>
    <cellStyle name="Good 31" xfId="5934" xr:uid="{00000000-0005-0000-0000-000032170000}"/>
    <cellStyle name="Good 32" xfId="5935" xr:uid="{00000000-0005-0000-0000-000033170000}"/>
    <cellStyle name="Good 33" xfId="5936" xr:uid="{00000000-0005-0000-0000-000034170000}"/>
    <cellStyle name="Good 34" xfId="5937" xr:uid="{00000000-0005-0000-0000-000035170000}"/>
    <cellStyle name="Good 35" xfId="5938" xr:uid="{00000000-0005-0000-0000-000036170000}"/>
    <cellStyle name="Good 36" xfId="5939" xr:uid="{00000000-0005-0000-0000-000037170000}"/>
    <cellStyle name="Good 37" xfId="5940" xr:uid="{00000000-0005-0000-0000-000038170000}"/>
    <cellStyle name="Good 38" xfId="5941" xr:uid="{00000000-0005-0000-0000-000039170000}"/>
    <cellStyle name="Good 39" xfId="5942" xr:uid="{00000000-0005-0000-0000-00003A170000}"/>
    <cellStyle name="Good 4" xfId="5943" xr:uid="{00000000-0005-0000-0000-00003B170000}"/>
    <cellStyle name="Good 4 2" xfId="12692" xr:uid="{00000000-0005-0000-0000-000098310000}"/>
    <cellStyle name="Good 40" xfId="5944" xr:uid="{00000000-0005-0000-0000-00003C170000}"/>
    <cellStyle name="Good 41" xfId="5945" xr:uid="{00000000-0005-0000-0000-00003D170000}"/>
    <cellStyle name="Good 42" xfId="5946" xr:uid="{00000000-0005-0000-0000-00003E170000}"/>
    <cellStyle name="Good 5" xfId="5947" xr:uid="{00000000-0005-0000-0000-00003F170000}"/>
    <cellStyle name="Good 5 2" xfId="12693" xr:uid="{00000000-0005-0000-0000-000099310000}"/>
    <cellStyle name="Good 6" xfId="5948" xr:uid="{00000000-0005-0000-0000-000040170000}"/>
    <cellStyle name="Good 6 2" xfId="12694" xr:uid="{00000000-0005-0000-0000-00009A310000}"/>
    <cellStyle name="Good 7" xfId="5949" xr:uid="{00000000-0005-0000-0000-000041170000}"/>
    <cellStyle name="Good 8" xfId="5950" xr:uid="{00000000-0005-0000-0000-000042170000}"/>
    <cellStyle name="Good 9" xfId="5951" xr:uid="{00000000-0005-0000-0000-000043170000}"/>
    <cellStyle name="Gut" xfId="5952" xr:uid="{00000000-0005-0000-0000-000044170000}"/>
    <cellStyle name="Heading 1 10" xfId="5953" xr:uid="{00000000-0005-0000-0000-000045170000}"/>
    <cellStyle name="Heading 1 11" xfId="5954" xr:uid="{00000000-0005-0000-0000-000046170000}"/>
    <cellStyle name="Heading 1 12" xfId="5955" xr:uid="{00000000-0005-0000-0000-000047170000}"/>
    <cellStyle name="Heading 1 13" xfId="5956" xr:uid="{00000000-0005-0000-0000-000048170000}"/>
    <cellStyle name="Heading 1 14" xfId="5957" xr:uid="{00000000-0005-0000-0000-000049170000}"/>
    <cellStyle name="Heading 1 15" xfId="5958" xr:uid="{00000000-0005-0000-0000-00004A170000}"/>
    <cellStyle name="Heading 1 16" xfId="5959" xr:uid="{00000000-0005-0000-0000-00004B170000}"/>
    <cellStyle name="Heading 1 17" xfId="5960" xr:uid="{00000000-0005-0000-0000-00004C170000}"/>
    <cellStyle name="Heading 1 18" xfId="5961" xr:uid="{00000000-0005-0000-0000-00004D170000}"/>
    <cellStyle name="Heading 1 19" xfId="5962" xr:uid="{00000000-0005-0000-0000-00004E170000}"/>
    <cellStyle name="Heading 1 2" xfId="98" xr:uid="{00000000-0005-0000-0000-000066000000}"/>
    <cellStyle name="Heading 1 2 10" xfId="862" xr:uid="{00000000-0005-0000-0000-000062030000}"/>
    <cellStyle name="Heading 1 2 11" xfId="12695" xr:uid="{00000000-0005-0000-0000-00009B310000}"/>
    <cellStyle name="Heading 1 2 2" xfId="863" xr:uid="{00000000-0005-0000-0000-000063030000}"/>
    <cellStyle name="Heading 1 2 3" xfId="864" xr:uid="{00000000-0005-0000-0000-000064030000}"/>
    <cellStyle name="Heading 1 2 4" xfId="865" xr:uid="{00000000-0005-0000-0000-000065030000}"/>
    <cellStyle name="Heading 1 2 5" xfId="866" xr:uid="{00000000-0005-0000-0000-000066030000}"/>
    <cellStyle name="Heading 1 2 6" xfId="867" xr:uid="{00000000-0005-0000-0000-000067030000}"/>
    <cellStyle name="Heading 1 2 7" xfId="868" xr:uid="{00000000-0005-0000-0000-000068030000}"/>
    <cellStyle name="Heading 1 2 8" xfId="869" xr:uid="{00000000-0005-0000-0000-000069030000}"/>
    <cellStyle name="Heading 1 2 9" xfId="870" xr:uid="{00000000-0005-0000-0000-00006A030000}"/>
    <cellStyle name="Heading 1 20" xfId="5963" xr:uid="{00000000-0005-0000-0000-00004F170000}"/>
    <cellStyle name="Heading 1 21" xfId="5964" xr:uid="{00000000-0005-0000-0000-000050170000}"/>
    <cellStyle name="Heading 1 22" xfId="5965" xr:uid="{00000000-0005-0000-0000-000051170000}"/>
    <cellStyle name="Heading 1 23" xfId="5966" xr:uid="{00000000-0005-0000-0000-000052170000}"/>
    <cellStyle name="Heading 1 24" xfId="5967" xr:uid="{00000000-0005-0000-0000-000053170000}"/>
    <cellStyle name="Heading 1 25" xfId="5968" xr:uid="{00000000-0005-0000-0000-000054170000}"/>
    <cellStyle name="Heading 1 26" xfId="5969" xr:uid="{00000000-0005-0000-0000-000055170000}"/>
    <cellStyle name="Heading 1 27" xfId="5970" xr:uid="{00000000-0005-0000-0000-000056170000}"/>
    <cellStyle name="Heading 1 28" xfId="5971" xr:uid="{00000000-0005-0000-0000-000057170000}"/>
    <cellStyle name="Heading 1 29" xfId="5972" xr:uid="{00000000-0005-0000-0000-000058170000}"/>
    <cellStyle name="Heading 1 3" xfId="99" xr:uid="{00000000-0005-0000-0000-000067000000}"/>
    <cellStyle name="Heading 1 3 2" xfId="871" xr:uid="{00000000-0005-0000-0000-00006B030000}"/>
    <cellStyle name="Heading 1 3 2 2" xfId="12696" xr:uid="{00000000-0005-0000-0000-00009C310000}"/>
    <cellStyle name="Heading 1 3 2 3" xfId="5973" xr:uid="{00000000-0005-0000-0000-000059170000}"/>
    <cellStyle name="Heading 1 3 3" xfId="7711" xr:uid="{00000000-0005-0000-0000-0000231E0000}"/>
    <cellStyle name="Heading 1 3 4" xfId="8859" xr:uid="{00000000-0005-0000-0000-00009F220000}"/>
    <cellStyle name="Heading 1 30" xfId="5974" xr:uid="{00000000-0005-0000-0000-00005A170000}"/>
    <cellStyle name="Heading 1 31" xfId="5975" xr:uid="{00000000-0005-0000-0000-00005B170000}"/>
    <cellStyle name="Heading 1 32" xfId="5976" xr:uid="{00000000-0005-0000-0000-00005C170000}"/>
    <cellStyle name="Heading 1 33" xfId="5977" xr:uid="{00000000-0005-0000-0000-00005D170000}"/>
    <cellStyle name="Heading 1 34" xfId="5978" xr:uid="{00000000-0005-0000-0000-00005E170000}"/>
    <cellStyle name="Heading 1 35" xfId="5979" xr:uid="{00000000-0005-0000-0000-00005F170000}"/>
    <cellStyle name="Heading 1 36" xfId="5980" xr:uid="{00000000-0005-0000-0000-000060170000}"/>
    <cellStyle name="Heading 1 37" xfId="5981" xr:uid="{00000000-0005-0000-0000-000061170000}"/>
    <cellStyle name="Heading 1 38" xfId="5982" xr:uid="{00000000-0005-0000-0000-000062170000}"/>
    <cellStyle name="Heading 1 39" xfId="5983" xr:uid="{00000000-0005-0000-0000-000063170000}"/>
    <cellStyle name="Heading 1 4" xfId="5984" xr:uid="{00000000-0005-0000-0000-000064170000}"/>
    <cellStyle name="Heading 1 4 2" xfId="12697" xr:uid="{00000000-0005-0000-0000-00009D310000}"/>
    <cellStyle name="Heading 1 40" xfId="5985" xr:uid="{00000000-0005-0000-0000-000065170000}"/>
    <cellStyle name="Heading 1 41" xfId="5986" xr:uid="{00000000-0005-0000-0000-000066170000}"/>
    <cellStyle name="Heading 1 5" xfId="5987" xr:uid="{00000000-0005-0000-0000-000067170000}"/>
    <cellStyle name="Heading 1 5 2" xfId="12698" xr:uid="{00000000-0005-0000-0000-00009E310000}"/>
    <cellStyle name="Heading 1 6" xfId="5988" xr:uid="{00000000-0005-0000-0000-000068170000}"/>
    <cellStyle name="Heading 1 6 2" xfId="12699" xr:uid="{00000000-0005-0000-0000-00009F310000}"/>
    <cellStyle name="Heading 1 7" xfId="5989" xr:uid="{00000000-0005-0000-0000-000069170000}"/>
    <cellStyle name="Heading 1 8" xfId="5990" xr:uid="{00000000-0005-0000-0000-00006A170000}"/>
    <cellStyle name="Heading 1 9" xfId="5991" xr:uid="{00000000-0005-0000-0000-00006B170000}"/>
    <cellStyle name="Heading 2 10" xfId="5992" xr:uid="{00000000-0005-0000-0000-00006C170000}"/>
    <cellStyle name="Heading 2 11" xfId="5993" xr:uid="{00000000-0005-0000-0000-00006D170000}"/>
    <cellStyle name="Heading 2 12" xfId="5994" xr:uid="{00000000-0005-0000-0000-00006E170000}"/>
    <cellStyle name="Heading 2 13" xfId="5995" xr:uid="{00000000-0005-0000-0000-00006F170000}"/>
    <cellStyle name="Heading 2 14" xfId="5996" xr:uid="{00000000-0005-0000-0000-000070170000}"/>
    <cellStyle name="Heading 2 15" xfId="5997" xr:uid="{00000000-0005-0000-0000-000071170000}"/>
    <cellStyle name="Heading 2 16" xfId="5998" xr:uid="{00000000-0005-0000-0000-000072170000}"/>
    <cellStyle name="Heading 2 17" xfId="5999" xr:uid="{00000000-0005-0000-0000-000073170000}"/>
    <cellStyle name="Heading 2 18" xfId="6000" xr:uid="{00000000-0005-0000-0000-000074170000}"/>
    <cellStyle name="Heading 2 19" xfId="6001" xr:uid="{00000000-0005-0000-0000-000075170000}"/>
    <cellStyle name="Heading 2 2" xfId="100" xr:uid="{00000000-0005-0000-0000-000068000000}"/>
    <cellStyle name="Heading 2 2 10" xfId="872" xr:uid="{00000000-0005-0000-0000-00006C030000}"/>
    <cellStyle name="Heading 2 2 11" xfId="12700" xr:uid="{00000000-0005-0000-0000-0000A0310000}"/>
    <cellStyle name="Heading 2 2 2" xfId="873" xr:uid="{00000000-0005-0000-0000-00006D030000}"/>
    <cellStyle name="Heading 2 2 3" xfId="874" xr:uid="{00000000-0005-0000-0000-00006E030000}"/>
    <cellStyle name="Heading 2 2 4" xfId="875" xr:uid="{00000000-0005-0000-0000-00006F030000}"/>
    <cellStyle name="Heading 2 2 5" xfId="876" xr:uid="{00000000-0005-0000-0000-000070030000}"/>
    <cellStyle name="Heading 2 2 6" xfId="877" xr:uid="{00000000-0005-0000-0000-000071030000}"/>
    <cellStyle name="Heading 2 2 7" xfId="878" xr:uid="{00000000-0005-0000-0000-000072030000}"/>
    <cellStyle name="Heading 2 2 8" xfId="879" xr:uid="{00000000-0005-0000-0000-000073030000}"/>
    <cellStyle name="Heading 2 2 9" xfId="880" xr:uid="{00000000-0005-0000-0000-000074030000}"/>
    <cellStyle name="Heading 2 20" xfId="6002" xr:uid="{00000000-0005-0000-0000-000076170000}"/>
    <cellStyle name="Heading 2 21" xfId="6003" xr:uid="{00000000-0005-0000-0000-000077170000}"/>
    <cellStyle name="Heading 2 22" xfId="6004" xr:uid="{00000000-0005-0000-0000-000078170000}"/>
    <cellStyle name="Heading 2 23" xfId="6005" xr:uid="{00000000-0005-0000-0000-000079170000}"/>
    <cellStyle name="Heading 2 24" xfId="6006" xr:uid="{00000000-0005-0000-0000-00007A170000}"/>
    <cellStyle name="Heading 2 25" xfId="6007" xr:uid="{00000000-0005-0000-0000-00007B170000}"/>
    <cellStyle name="Heading 2 26" xfId="6008" xr:uid="{00000000-0005-0000-0000-00007C170000}"/>
    <cellStyle name="Heading 2 27" xfId="6009" xr:uid="{00000000-0005-0000-0000-00007D170000}"/>
    <cellStyle name="Heading 2 28" xfId="6010" xr:uid="{00000000-0005-0000-0000-00007E170000}"/>
    <cellStyle name="Heading 2 29" xfId="6011" xr:uid="{00000000-0005-0000-0000-00007F170000}"/>
    <cellStyle name="Heading 2 3" xfId="101" xr:uid="{00000000-0005-0000-0000-000069000000}"/>
    <cellStyle name="Heading 2 3 2" xfId="881" xr:uid="{00000000-0005-0000-0000-000075030000}"/>
    <cellStyle name="Heading 2 3 2 2" xfId="12701" xr:uid="{00000000-0005-0000-0000-0000A1310000}"/>
    <cellStyle name="Heading 2 3 2 3" xfId="6012" xr:uid="{00000000-0005-0000-0000-000080170000}"/>
    <cellStyle name="Heading 2 3 3" xfId="7712" xr:uid="{00000000-0005-0000-0000-0000241E0000}"/>
    <cellStyle name="Heading 2 3 4" xfId="8860" xr:uid="{00000000-0005-0000-0000-0000A0220000}"/>
    <cellStyle name="Heading 2 30" xfId="6013" xr:uid="{00000000-0005-0000-0000-000081170000}"/>
    <cellStyle name="Heading 2 31" xfId="6014" xr:uid="{00000000-0005-0000-0000-000082170000}"/>
    <cellStyle name="Heading 2 32" xfId="6015" xr:uid="{00000000-0005-0000-0000-000083170000}"/>
    <cellStyle name="Heading 2 33" xfId="6016" xr:uid="{00000000-0005-0000-0000-000084170000}"/>
    <cellStyle name="Heading 2 34" xfId="6017" xr:uid="{00000000-0005-0000-0000-000085170000}"/>
    <cellStyle name="Heading 2 35" xfId="6018" xr:uid="{00000000-0005-0000-0000-000086170000}"/>
    <cellStyle name="Heading 2 36" xfId="6019" xr:uid="{00000000-0005-0000-0000-000087170000}"/>
    <cellStyle name="Heading 2 37" xfId="6020" xr:uid="{00000000-0005-0000-0000-000088170000}"/>
    <cellStyle name="Heading 2 38" xfId="6021" xr:uid="{00000000-0005-0000-0000-000089170000}"/>
    <cellStyle name="Heading 2 39" xfId="6022" xr:uid="{00000000-0005-0000-0000-00008A170000}"/>
    <cellStyle name="Heading 2 4" xfId="6023" xr:uid="{00000000-0005-0000-0000-00008B170000}"/>
    <cellStyle name="Heading 2 4 2" xfId="12702" xr:uid="{00000000-0005-0000-0000-0000A2310000}"/>
    <cellStyle name="Heading 2 40" xfId="6024" xr:uid="{00000000-0005-0000-0000-00008C170000}"/>
    <cellStyle name="Heading 2 41" xfId="6025" xr:uid="{00000000-0005-0000-0000-00008D170000}"/>
    <cellStyle name="Heading 2 5" xfId="6026" xr:uid="{00000000-0005-0000-0000-00008E170000}"/>
    <cellStyle name="Heading 2 5 2" xfId="12703" xr:uid="{00000000-0005-0000-0000-0000A3310000}"/>
    <cellStyle name="Heading 2 6" xfId="6027" xr:uid="{00000000-0005-0000-0000-00008F170000}"/>
    <cellStyle name="Heading 2 6 2" xfId="12704" xr:uid="{00000000-0005-0000-0000-0000A4310000}"/>
    <cellStyle name="Heading 2 7" xfId="6028" xr:uid="{00000000-0005-0000-0000-000090170000}"/>
    <cellStyle name="Heading 2 8" xfId="6029" xr:uid="{00000000-0005-0000-0000-000091170000}"/>
    <cellStyle name="Heading 2 9" xfId="6030" xr:uid="{00000000-0005-0000-0000-000092170000}"/>
    <cellStyle name="Heading 3 10" xfId="6031" xr:uid="{00000000-0005-0000-0000-000093170000}"/>
    <cellStyle name="Heading 3 11" xfId="6032" xr:uid="{00000000-0005-0000-0000-000094170000}"/>
    <cellStyle name="Heading 3 12" xfId="6033" xr:uid="{00000000-0005-0000-0000-000095170000}"/>
    <cellStyle name="Heading 3 13" xfId="6034" xr:uid="{00000000-0005-0000-0000-000096170000}"/>
    <cellStyle name="Heading 3 14" xfId="6035" xr:uid="{00000000-0005-0000-0000-000097170000}"/>
    <cellStyle name="Heading 3 15" xfId="6036" xr:uid="{00000000-0005-0000-0000-000098170000}"/>
    <cellStyle name="Heading 3 16" xfId="6037" xr:uid="{00000000-0005-0000-0000-000099170000}"/>
    <cellStyle name="Heading 3 17" xfId="6038" xr:uid="{00000000-0005-0000-0000-00009A170000}"/>
    <cellStyle name="Heading 3 18" xfId="6039" xr:uid="{00000000-0005-0000-0000-00009B170000}"/>
    <cellStyle name="Heading 3 19" xfId="6040" xr:uid="{00000000-0005-0000-0000-00009C170000}"/>
    <cellStyle name="Heading 3 2" xfId="102" xr:uid="{00000000-0005-0000-0000-00006A000000}"/>
    <cellStyle name="Heading 3 2 10" xfId="882" xr:uid="{00000000-0005-0000-0000-000076030000}"/>
    <cellStyle name="Heading 3 2 11" xfId="12705" xr:uid="{00000000-0005-0000-0000-0000A5310000}"/>
    <cellStyle name="Heading 3 2 2" xfId="883" xr:uid="{00000000-0005-0000-0000-000077030000}"/>
    <cellStyle name="Heading 3 2 3" xfId="884" xr:uid="{00000000-0005-0000-0000-000078030000}"/>
    <cellStyle name="Heading 3 2 4" xfId="885" xr:uid="{00000000-0005-0000-0000-000079030000}"/>
    <cellStyle name="Heading 3 2 5" xfId="886" xr:uid="{00000000-0005-0000-0000-00007A030000}"/>
    <cellStyle name="Heading 3 2 6" xfId="887" xr:uid="{00000000-0005-0000-0000-00007B030000}"/>
    <cellStyle name="Heading 3 2 7" xfId="888" xr:uid="{00000000-0005-0000-0000-00007C030000}"/>
    <cellStyle name="Heading 3 2 8" xfId="889" xr:uid="{00000000-0005-0000-0000-00007D030000}"/>
    <cellStyle name="Heading 3 2 9" xfId="890" xr:uid="{00000000-0005-0000-0000-00007E030000}"/>
    <cellStyle name="Heading 3 20" xfId="6041" xr:uid="{00000000-0005-0000-0000-00009D170000}"/>
    <cellStyle name="Heading 3 21" xfId="6042" xr:uid="{00000000-0005-0000-0000-00009E170000}"/>
    <cellStyle name="Heading 3 22" xfId="6043" xr:uid="{00000000-0005-0000-0000-00009F170000}"/>
    <cellStyle name="Heading 3 23" xfId="6044" xr:uid="{00000000-0005-0000-0000-0000A0170000}"/>
    <cellStyle name="Heading 3 24" xfId="6045" xr:uid="{00000000-0005-0000-0000-0000A1170000}"/>
    <cellStyle name="Heading 3 25" xfId="6046" xr:uid="{00000000-0005-0000-0000-0000A2170000}"/>
    <cellStyle name="Heading 3 26" xfId="6047" xr:uid="{00000000-0005-0000-0000-0000A3170000}"/>
    <cellStyle name="Heading 3 27" xfId="6048" xr:uid="{00000000-0005-0000-0000-0000A4170000}"/>
    <cellStyle name="Heading 3 28" xfId="6049" xr:uid="{00000000-0005-0000-0000-0000A5170000}"/>
    <cellStyle name="Heading 3 29" xfId="6050" xr:uid="{00000000-0005-0000-0000-0000A6170000}"/>
    <cellStyle name="Heading 3 3" xfId="103" xr:uid="{00000000-0005-0000-0000-00006B000000}"/>
    <cellStyle name="Heading 3 3 2" xfId="891" xr:uid="{00000000-0005-0000-0000-00007F030000}"/>
    <cellStyle name="Heading 3 3 2 2" xfId="12706" xr:uid="{00000000-0005-0000-0000-0000A6310000}"/>
    <cellStyle name="Heading 3 3 2 3" xfId="6051" xr:uid="{00000000-0005-0000-0000-0000A7170000}"/>
    <cellStyle name="Heading 3 3 3" xfId="7713" xr:uid="{00000000-0005-0000-0000-0000251E0000}"/>
    <cellStyle name="Heading 3 3 4" xfId="8861" xr:uid="{00000000-0005-0000-0000-0000A1220000}"/>
    <cellStyle name="Heading 3 30" xfId="6052" xr:uid="{00000000-0005-0000-0000-0000A8170000}"/>
    <cellStyle name="Heading 3 31" xfId="6053" xr:uid="{00000000-0005-0000-0000-0000A9170000}"/>
    <cellStyle name="Heading 3 32" xfId="6054" xr:uid="{00000000-0005-0000-0000-0000AA170000}"/>
    <cellStyle name="Heading 3 33" xfId="6055" xr:uid="{00000000-0005-0000-0000-0000AB170000}"/>
    <cellStyle name="Heading 3 34" xfId="6056" xr:uid="{00000000-0005-0000-0000-0000AC170000}"/>
    <cellStyle name="Heading 3 35" xfId="6057" xr:uid="{00000000-0005-0000-0000-0000AD170000}"/>
    <cellStyle name="Heading 3 36" xfId="6058" xr:uid="{00000000-0005-0000-0000-0000AE170000}"/>
    <cellStyle name="Heading 3 37" xfId="6059" xr:uid="{00000000-0005-0000-0000-0000AF170000}"/>
    <cellStyle name="Heading 3 38" xfId="6060" xr:uid="{00000000-0005-0000-0000-0000B0170000}"/>
    <cellStyle name="Heading 3 39" xfId="6061" xr:uid="{00000000-0005-0000-0000-0000B1170000}"/>
    <cellStyle name="Heading 3 4" xfId="6062" xr:uid="{00000000-0005-0000-0000-0000B2170000}"/>
    <cellStyle name="Heading 3 4 2" xfId="12707" xr:uid="{00000000-0005-0000-0000-0000A7310000}"/>
    <cellStyle name="Heading 3 40" xfId="6063" xr:uid="{00000000-0005-0000-0000-0000B3170000}"/>
    <cellStyle name="Heading 3 41" xfId="6064" xr:uid="{00000000-0005-0000-0000-0000B4170000}"/>
    <cellStyle name="Heading 3 5" xfId="6065" xr:uid="{00000000-0005-0000-0000-0000B5170000}"/>
    <cellStyle name="Heading 3 5 2" xfId="12708" xr:uid="{00000000-0005-0000-0000-0000A8310000}"/>
    <cellStyle name="Heading 3 6" xfId="6066" xr:uid="{00000000-0005-0000-0000-0000B6170000}"/>
    <cellStyle name="Heading 3 6 2" xfId="12709" xr:uid="{00000000-0005-0000-0000-0000A9310000}"/>
    <cellStyle name="Heading 3 7" xfId="6067" xr:uid="{00000000-0005-0000-0000-0000B7170000}"/>
    <cellStyle name="Heading 3 8" xfId="6068" xr:uid="{00000000-0005-0000-0000-0000B8170000}"/>
    <cellStyle name="Heading 3 9" xfId="6069" xr:uid="{00000000-0005-0000-0000-0000B9170000}"/>
    <cellStyle name="Heading 4 10" xfId="6070" xr:uid="{00000000-0005-0000-0000-0000BA170000}"/>
    <cellStyle name="Heading 4 11" xfId="6071" xr:uid="{00000000-0005-0000-0000-0000BB170000}"/>
    <cellStyle name="Heading 4 12" xfId="6072" xr:uid="{00000000-0005-0000-0000-0000BC170000}"/>
    <cellStyle name="Heading 4 13" xfId="6073" xr:uid="{00000000-0005-0000-0000-0000BD170000}"/>
    <cellStyle name="Heading 4 14" xfId="6074" xr:uid="{00000000-0005-0000-0000-0000BE170000}"/>
    <cellStyle name="Heading 4 15" xfId="6075" xr:uid="{00000000-0005-0000-0000-0000BF170000}"/>
    <cellStyle name="Heading 4 16" xfId="6076" xr:uid="{00000000-0005-0000-0000-0000C0170000}"/>
    <cellStyle name="Heading 4 17" xfId="6077" xr:uid="{00000000-0005-0000-0000-0000C1170000}"/>
    <cellStyle name="Heading 4 18" xfId="6078" xr:uid="{00000000-0005-0000-0000-0000C2170000}"/>
    <cellStyle name="Heading 4 19" xfId="6079" xr:uid="{00000000-0005-0000-0000-0000C3170000}"/>
    <cellStyle name="Heading 4 2" xfId="104" xr:uid="{00000000-0005-0000-0000-00006C000000}"/>
    <cellStyle name="Heading 4 2 10" xfId="892" xr:uid="{00000000-0005-0000-0000-000080030000}"/>
    <cellStyle name="Heading 4 2 11" xfId="12710" xr:uid="{00000000-0005-0000-0000-0000AA310000}"/>
    <cellStyle name="Heading 4 2 2" xfId="893" xr:uid="{00000000-0005-0000-0000-000081030000}"/>
    <cellStyle name="Heading 4 2 3" xfId="894" xr:uid="{00000000-0005-0000-0000-000082030000}"/>
    <cellStyle name="Heading 4 2 4" xfId="895" xr:uid="{00000000-0005-0000-0000-000083030000}"/>
    <cellStyle name="Heading 4 2 5" xfId="896" xr:uid="{00000000-0005-0000-0000-000084030000}"/>
    <cellStyle name="Heading 4 2 6" xfId="897" xr:uid="{00000000-0005-0000-0000-000085030000}"/>
    <cellStyle name="Heading 4 2 7" xfId="898" xr:uid="{00000000-0005-0000-0000-000086030000}"/>
    <cellStyle name="Heading 4 2 8" xfId="899" xr:uid="{00000000-0005-0000-0000-000087030000}"/>
    <cellStyle name="Heading 4 2 9" xfId="900" xr:uid="{00000000-0005-0000-0000-000088030000}"/>
    <cellStyle name="Heading 4 20" xfId="6080" xr:uid="{00000000-0005-0000-0000-0000C4170000}"/>
    <cellStyle name="Heading 4 21" xfId="6081" xr:uid="{00000000-0005-0000-0000-0000C5170000}"/>
    <cellStyle name="Heading 4 22" xfId="6082" xr:uid="{00000000-0005-0000-0000-0000C6170000}"/>
    <cellStyle name="Heading 4 23" xfId="6083" xr:uid="{00000000-0005-0000-0000-0000C7170000}"/>
    <cellStyle name="Heading 4 24" xfId="6084" xr:uid="{00000000-0005-0000-0000-0000C8170000}"/>
    <cellStyle name="Heading 4 25" xfId="6085" xr:uid="{00000000-0005-0000-0000-0000C9170000}"/>
    <cellStyle name="Heading 4 26" xfId="6086" xr:uid="{00000000-0005-0000-0000-0000CA170000}"/>
    <cellStyle name="Heading 4 27" xfId="6087" xr:uid="{00000000-0005-0000-0000-0000CB170000}"/>
    <cellStyle name="Heading 4 28" xfId="6088" xr:uid="{00000000-0005-0000-0000-0000CC170000}"/>
    <cellStyle name="Heading 4 29" xfId="6089" xr:uid="{00000000-0005-0000-0000-0000CD170000}"/>
    <cellStyle name="Heading 4 3" xfId="105" xr:uid="{00000000-0005-0000-0000-00006D000000}"/>
    <cellStyle name="Heading 4 3 2" xfId="901" xr:uid="{00000000-0005-0000-0000-000089030000}"/>
    <cellStyle name="Heading 4 3 2 2" xfId="12711" xr:uid="{00000000-0005-0000-0000-0000AB310000}"/>
    <cellStyle name="Heading 4 3 2 3" xfId="6090" xr:uid="{00000000-0005-0000-0000-0000CE170000}"/>
    <cellStyle name="Heading 4 3 3" xfId="7714" xr:uid="{00000000-0005-0000-0000-0000261E0000}"/>
    <cellStyle name="Heading 4 3 4" xfId="8862" xr:uid="{00000000-0005-0000-0000-0000A2220000}"/>
    <cellStyle name="Heading 4 30" xfId="6091" xr:uid="{00000000-0005-0000-0000-0000CF170000}"/>
    <cellStyle name="Heading 4 31" xfId="6092" xr:uid="{00000000-0005-0000-0000-0000D0170000}"/>
    <cellStyle name="Heading 4 32" xfId="6093" xr:uid="{00000000-0005-0000-0000-0000D1170000}"/>
    <cellStyle name="Heading 4 33" xfId="6094" xr:uid="{00000000-0005-0000-0000-0000D2170000}"/>
    <cellStyle name="Heading 4 34" xfId="6095" xr:uid="{00000000-0005-0000-0000-0000D3170000}"/>
    <cellStyle name="Heading 4 35" xfId="6096" xr:uid="{00000000-0005-0000-0000-0000D4170000}"/>
    <cellStyle name="Heading 4 36" xfId="6097" xr:uid="{00000000-0005-0000-0000-0000D5170000}"/>
    <cellStyle name="Heading 4 37" xfId="6098" xr:uid="{00000000-0005-0000-0000-0000D6170000}"/>
    <cellStyle name="Heading 4 38" xfId="6099" xr:uid="{00000000-0005-0000-0000-0000D7170000}"/>
    <cellStyle name="Heading 4 39" xfId="6100" xr:uid="{00000000-0005-0000-0000-0000D8170000}"/>
    <cellStyle name="Heading 4 4" xfId="6101" xr:uid="{00000000-0005-0000-0000-0000D9170000}"/>
    <cellStyle name="Heading 4 4 2" xfId="12712" xr:uid="{00000000-0005-0000-0000-0000AC310000}"/>
    <cellStyle name="Heading 4 40" xfId="6102" xr:uid="{00000000-0005-0000-0000-0000DA170000}"/>
    <cellStyle name="Heading 4 41" xfId="6103" xr:uid="{00000000-0005-0000-0000-0000DB170000}"/>
    <cellStyle name="Heading 4 5" xfId="6104" xr:uid="{00000000-0005-0000-0000-0000DC170000}"/>
    <cellStyle name="Heading 4 5 2" xfId="12713" xr:uid="{00000000-0005-0000-0000-0000AD310000}"/>
    <cellStyle name="Heading 4 6" xfId="6105" xr:uid="{00000000-0005-0000-0000-0000DD170000}"/>
    <cellStyle name="Heading 4 6 2" xfId="12714" xr:uid="{00000000-0005-0000-0000-0000AE310000}"/>
    <cellStyle name="Heading 4 7" xfId="6106" xr:uid="{00000000-0005-0000-0000-0000DE170000}"/>
    <cellStyle name="Heading 4 8" xfId="6107" xr:uid="{00000000-0005-0000-0000-0000DF170000}"/>
    <cellStyle name="Heading 4 9" xfId="6108" xr:uid="{00000000-0005-0000-0000-0000E0170000}"/>
    <cellStyle name="Heading1" xfId="902" xr:uid="{00000000-0005-0000-0000-00008A030000}"/>
    <cellStyle name="Heading1 2" xfId="903" xr:uid="{00000000-0005-0000-0000-00008B030000}"/>
    <cellStyle name="Heading2" xfId="904" xr:uid="{00000000-0005-0000-0000-00008C030000}"/>
    <cellStyle name="Heading2 2" xfId="905" xr:uid="{00000000-0005-0000-0000-00008D030000}"/>
    <cellStyle name="Headline" xfId="6109" xr:uid="{00000000-0005-0000-0000-0000E1170000}"/>
    <cellStyle name="Hyperlink 2" xfId="906" xr:uid="{00000000-0005-0000-0000-00008E030000}"/>
    <cellStyle name="Hyperlink 2 2" xfId="10806" xr:uid="{00000000-0005-0000-0000-00003A2A0000}"/>
    <cellStyle name="Hyperlink 3" xfId="8901" xr:uid="{00000000-0005-0000-0000-0000C9220000}"/>
    <cellStyle name="Input" xfId="4" builtinId="20"/>
    <cellStyle name="Input 10 2" xfId="6110" xr:uid="{00000000-0005-0000-0000-0000E2170000}"/>
    <cellStyle name="Input 11 2" xfId="6111" xr:uid="{00000000-0005-0000-0000-0000E3170000}"/>
    <cellStyle name="Input 12 2" xfId="6112" xr:uid="{00000000-0005-0000-0000-0000E4170000}"/>
    <cellStyle name="Input 13 2" xfId="6113" xr:uid="{00000000-0005-0000-0000-0000E5170000}"/>
    <cellStyle name="Input 14 2" xfId="6114" xr:uid="{00000000-0005-0000-0000-0000E6170000}"/>
    <cellStyle name="Input 15 2" xfId="6115" xr:uid="{00000000-0005-0000-0000-0000E7170000}"/>
    <cellStyle name="Input 16 2" xfId="6116" xr:uid="{00000000-0005-0000-0000-0000E8170000}"/>
    <cellStyle name="Input 17 2" xfId="6117" xr:uid="{00000000-0005-0000-0000-0000E9170000}"/>
    <cellStyle name="Input 18 2" xfId="6118" xr:uid="{00000000-0005-0000-0000-0000EA170000}"/>
    <cellStyle name="Input 19 2" xfId="6119" xr:uid="{00000000-0005-0000-0000-0000EB170000}"/>
    <cellStyle name="Input 2" xfId="106" xr:uid="{00000000-0005-0000-0000-00006E000000}"/>
    <cellStyle name="Input 2 10" xfId="907" xr:uid="{00000000-0005-0000-0000-00008F030000}"/>
    <cellStyle name="Input 2 11" xfId="12715" xr:uid="{00000000-0005-0000-0000-0000AF310000}"/>
    <cellStyle name="Input 2 12" xfId="12716" xr:uid="{00000000-0005-0000-0000-0000B0310000}"/>
    <cellStyle name="Input 2 2" xfId="908" xr:uid="{00000000-0005-0000-0000-000090030000}"/>
    <cellStyle name="Input 2 2 2" xfId="7715" xr:uid="{00000000-0005-0000-0000-0000271E0000}"/>
    <cellStyle name="Input 2 2 3" xfId="9049" xr:uid="{00000000-0005-0000-0000-00005D230000}"/>
    <cellStyle name="Input 2 2 4" xfId="6120" xr:uid="{00000000-0005-0000-0000-0000EC170000}"/>
    <cellStyle name="Input 2 3" xfId="909" xr:uid="{00000000-0005-0000-0000-000091030000}"/>
    <cellStyle name="Input 2 3 2" xfId="7716" xr:uid="{00000000-0005-0000-0000-0000281E0000}"/>
    <cellStyle name="Input 2 3 2 2" xfId="12717" xr:uid="{00000000-0005-0000-0000-0000B1310000}"/>
    <cellStyle name="Input 2 3 3" xfId="9050" xr:uid="{00000000-0005-0000-0000-00005E230000}"/>
    <cellStyle name="Input 2 3 4" xfId="6121" xr:uid="{00000000-0005-0000-0000-0000ED170000}"/>
    <cellStyle name="Input 2 4" xfId="910" xr:uid="{00000000-0005-0000-0000-000092030000}"/>
    <cellStyle name="Input 2 5" xfId="911" xr:uid="{00000000-0005-0000-0000-000093030000}"/>
    <cellStyle name="Input 2 6" xfId="912" xr:uid="{00000000-0005-0000-0000-000094030000}"/>
    <cellStyle name="Input 2 7" xfId="913" xr:uid="{00000000-0005-0000-0000-000095030000}"/>
    <cellStyle name="Input 2 8" xfId="914" xr:uid="{00000000-0005-0000-0000-000096030000}"/>
    <cellStyle name="Input 2 9" xfId="915" xr:uid="{00000000-0005-0000-0000-000097030000}"/>
    <cellStyle name="Input 2_PrimaryEnergyPrices_TIMES" xfId="6122" xr:uid="{00000000-0005-0000-0000-0000EE170000}"/>
    <cellStyle name="Input 20 2" xfId="6123" xr:uid="{00000000-0005-0000-0000-0000EF170000}"/>
    <cellStyle name="Input 21 2" xfId="6124" xr:uid="{00000000-0005-0000-0000-0000F0170000}"/>
    <cellStyle name="Input 22 2" xfId="6125" xr:uid="{00000000-0005-0000-0000-0000F1170000}"/>
    <cellStyle name="Input 23 2" xfId="6126" xr:uid="{00000000-0005-0000-0000-0000F2170000}"/>
    <cellStyle name="Input 24 2" xfId="6127" xr:uid="{00000000-0005-0000-0000-0000F3170000}"/>
    <cellStyle name="Input 25 2" xfId="6128" xr:uid="{00000000-0005-0000-0000-0000F4170000}"/>
    <cellStyle name="Input 26 2" xfId="6129" xr:uid="{00000000-0005-0000-0000-0000F5170000}"/>
    <cellStyle name="Input 27 2" xfId="6130" xr:uid="{00000000-0005-0000-0000-0000F6170000}"/>
    <cellStyle name="Input 28 2" xfId="6131" xr:uid="{00000000-0005-0000-0000-0000F7170000}"/>
    <cellStyle name="Input 29 2" xfId="6132" xr:uid="{00000000-0005-0000-0000-0000F8170000}"/>
    <cellStyle name="Input 3" xfId="107" xr:uid="{00000000-0005-0000-0000-00006F000000}"/>
    <cellStyle name="Input 3 2" xfId="916" xr:uid="{00000000-0005-0000-0000-000098030000}"/>
    <cellStyle name="Input 3 2 2" xfId="6133" xr:uid="{00000000-0005-0000-0000-0000F9170000}"/>
    <cellStyle name="Input 3 3" xfId="6134" xr:uid="{00000000-0005-0000-0000-0000FA170000}"/>
    <cellStyle name="Input 3 3 2" xfId="12718" xr:uid="{00000000-0005-0000-0000-0000B2310000}"/>
    <cellStyle name="Input 3 4" xfId="7717" xr:uid="{00000000-0005-0000-0000-0000291E0000}"/>
    <cellStyle name="Input 3 5" xfId="8863" xr:uid="{00000000-0005-0000-0000-0000A3220000}"/>
    <cellStyle name="Input 30 2" xfId="6135" xr:uid="{00000000-0005-0000-0000-0000FB170000}"/>
    <cellStyle name="Input 31 2" xfId="6136" xr:uid="{00000000-0005-0000-0000-0000FC170000}"/>
    <cellStyle name="Input 32 2" xfId="6137" xr:uid="{00000000-0005-0000-0000-0000FD170000}"/>
    <cellStyle name="Input 33 2" xfId="6138" xr:uid="{00000000-0005-0000-0000-0000FE170000}"/>
    <cellStyle name="Input 34" xfId="6139" xr:uid="{00000000-0005-0000-0000-0000FF170000}"/>
    <cellStyle name="Input 34 2" xfId="6140" xr:uid="{00000000-0005-0000-0000-000000180000}"/>
    <cellStyle name="Input 34_ELC_final" xfId="6141" xr:uid="{00000000-0005-0000-0000-000001180000}"/>
    <cellStyle name="Input 35" xfId="6142" xr:uid="{00000000-0005-0000-0000-000002180000}"/>
    <cellStyle name="Input 36" xfId="6143" xr:uid="{00000000-0005-0000-0000-000003180000}"/>
    <cellStyle name="Input 37" xfId="6144" xr:uid="{00000000-0005-0000-0000-000004180000}"/>
    <cellStyle name="Input 38" xfId="6145" xr:uid="{00000000-0005-0000-0000-000005180000}"/>
    <cellStyle name="Input 39" xfId="6146" xr:uid="{00000000-0005-0000-0000-000006180000}"/>
    <cellStyle name="Input 4" xfId="12719" xr:uid="{00000000-0005-0000-0000-0000B3310000}"/>
    <cellStyle name="Input 4 2" xfId="6147" xr:uid="{00000000-0005-0000-0000-000007180000}"/>
    <cellStyle name="Input 40" xfId="6148" xr:uid="{00000000-0005-0000-0000-000008180000}"/>
    <cellStyle name="Input 5" xfId="12720" xr:uid="{00000000-0005-0000-0000-0000B4310000}"/>
    <cellStyle name="Input 5 2" xfId="6149" xr:uid="{00000000-0005-0000-0000-000009180000}"/>
    <cellStyle name="Input 6" xfId="12721" xr:uid="{00000000-0005-0000-0000-0000B5310000}"/>
    <cellStyle name="Input 6 2" xfId="6150" xr:uid="{00000000-0005-0000-0000-00000A180000}"/>
    <cellStyle name="Input 7 2" xfId="6151" xr:uid="{00000000-0005-0000-0000-00000B180000}"/>
    <cellStyle name="Input 8 2" xfId="6152" xr:uid="{00000000-0005-0000-0000-00000C180000}"/>
    <cellStyle name="Input 9 2" xfId="6153" xr:uid="{00000000-0005-0000-0000-00000D180000}"/>
    <cellStyle name="InputCells" xfId="208" xr:uid="{00000000-0005-0000-0000-0000D4000000}"/>
    <cellStyle name="InputCells12" xfId="6154" xr:uid="{00000000-0005-0000-0000-00000E180000}"/>
    <cellStyle name="IntCells" xfId="6155" xr:uid="{00000000-0005-0000-0000-00000F180000}"/>
    <cellStyle name="ligne_titre_0" xfId="917" xr:uid="{00000000-0005-0000-0000-000099030000}"/>
    <cellStyle name="Linked Cell 10" xfId="6156" xr:uid="{00000000-0005-0000-0000-000010180000}"/>
    <cellStyle name="Linked Cell 11" xfId="6157" xr:uid="{00000000-0005-0000-0000-000011180000}"/>
    <cellStyle name="Linked Cell 12" xfId="6158" xr:uid="{00000000-0005-0000-0000-000012180000}"/>
    <cellStyle name="Linked Cell 13" xfId="6159" xr:uid="{00000000-0005-0000-0000-000013180000}"/>
    <cellStyle name="Linked Cell 14" xfId="6160" xr:uid="{00000000-0005-0000-0000-000014180000}"/>
    <cellStyle name="Linked Cell 15" xfId="6161" xr:uid="{00000000-0005-0000-0000-000015180000}"/>
    <cellStyle name="Linked Cell 16" xfId="6162" xr:uid="{00000000-0005-0000-0000-000016180000}"/>
    <cellStyle name="Linked Cell 17" xfId="6163" xr:uid="{00000000-0005-0000-0000-000017180000}"/>
    <cellStyle name="Linked Cell 18" xfId="6164" xr:uid="{00000000-0005-0000-0000-000018180000}"/>
    <cellStyle name="Linked Cell 19" xfId="6165" xr:uid="{00000000-0005-0000-0000-000019180000}"/>
    <cellStyle name="Linked Cell 2" xfId="108" xr:uid="{00000000-0005-0000-0000-000070000000}"/>
    <cellStyle name="Linked Cell 2 10" xfId="918" xr:uid="{00000000-0005-0000-0000-00009A030000}"/>
    <cellStyle name="Linked Cell 2 11" xfId="12722" xr:uid="{00000000-0005-0000-0000-0000B6310000}"/>
    <cellStyle name="Linked Cell 2 2" xfId="919" xr:uid="{00000000-0005-0000-0000-00009B030000}"/>
    <cellStyle name="Linked Cell 2 3" xfId="920" xr:uid="{00000000-0005-0000-0000-00009C030000}"/>
    <cellStyle name="Linked Cell 2 4" xfId="921" xr:uid="{00000000-0005-0000-0000-00009D030000}"/>
    <cellStyle name="Linked Cell 2 5" xfId="922" xr:uid="{00000000-0005-0000-0000-00009E030000}"/>
    <cellStyle name="Linked Cell 2 6" xfId="923" xr:uid="{00000000-0005-0000-0000-00009F030000}"/>
    <cellStyle name="Linked Cell 2 7" xfId="924" xr:uid="{00000000-0005-0000-0000-0000A0030000}"/>
    <cellStyle name="Linked Cell 2 8" xfId="925" xr:uid="{00000000-0005-0000-0000-0000A1030000}"/>
    <cellStyle name="Linked Cell 2 9" xfId="926" xr:uid="{00000000-0005-0000-0000-0000A2030000}"/>
    <cellStyle name="Linked Cell 20" xfId="6166" xr:uid="{00000000-0005-0000-0000-00001A180000}"/>
    <cellStyle name="Linked Cell 21" xfId="6167" xr:uid="{00000000-0005-0000-0000-00001B180000}"/>
    <cellStyle name="Linked Cell 22" xfId="6168" xr:uid="{00000000-0005-0000-0000-00001C180000}"/>
    <cellStyle name="Linked Cell 23" xfId="6169" xr:uid="{00000000-0005-0000-0000-00001D180000}"/>
    <cellStyle name="Linked Cell 24" xfId="6170" xr:uid="{00000000-0005-0000-0000-00001E180000}"/>
    <cellStyle name="Linked Cell 25" xfId="6171" xr:uid="{00000000-0005-0000-0000-00001F180000}"/>
    <cellStyle name="Linked Cell 26" xfId="6172" xr:uid="{00000000-0005-0000-0000-000020180000}"/>
    <cellStyle name="Linked Cell 27" xfId="6173" xr:uid="{00000000-0005-0000-0000-000021180000}"/>
    <cellStyle name="Linked Cell 28" xfId="6174" xr:uid="{00000000-0005-0000-0000-000022180000}"/>
    <cellStyle name="Linked Cell 29" xfId="6175" xr:uid="{00000000-0005-0000-0000-000023180000}"/>
    <cellStyle name="Linked Cell 3" xfId="109" xr:uid="{00000000-0005-0000-0000-000071000000}"/>
    <cellStyle name="Linked Cell 3 2" xfId="927" xr:uid="{00000000-0005-0000-0000-0000A3030000}"/>
    <cellStyle name="Linked Cell 3 2 2" xfId="12723" xr:uid="{00000000-0005-0000-0000-0000B7310000}"/>
    <cellStyle name="Linked Cell 3 2 3" xfId="6176" xr:uid="{00000000-0005-0000-0000-000024180000}"/>
    <cellStyle name="Linked Cell 3 3" xfId="7718" xr:uid="{00000000-0005-0000-0000-00002A1E0000}"/>
    <cellStyle name="Linked Cell 3 4" xfId="8864" xr:uid="{00000000-0005-0000-0000-0000A4220000}"/>
    <cellStyle name="Linked Cell 30" xfId="6177" xr:uid="{00000000-0005-0000-0000-000025180000}"/>
    <cellStyle name="Linked Cell 31" xfId="6178" xr:uid="{00000000-0005-0000-0000-000026180000}"/>
    <cellStyle name="Linked Cell 32" xfId="6179" xr:uid="{00000000-0005-0000-0000-000027180000}"/>
    <cellStyle name="Linked Cell 33" xfId="6180" xr:uid="{00000000-0005-0000-0000-000028180000}"/>
    <cellStyle name="Linked Cell 34" xfId="6181" xr:uid="{00000000-0005-0000-0000-000029180000}"/>
    <cellStyle name="Linked Cell 35" xfId="6182" xr:uid="{00000000-0005-0000-0000-00002A180000}"/>
    <cellStyle name="Linked Cell 36" xfId="6183" xr:uid="{00000000-0005-0000-0000-00002B180000}"/>
    <cellStyle name="Linked Cell 37" xfId="6184" xr:uid="{00000000-0005-0000-0000-00002C180000}"/>
    <cellStyle name="Linked Cell 38" xfId="6185" xr:uid="{00000000-0005-0000-0000-00002D180000}"/>
    <cellStyle name="Linked Cell 39" xfId="6186" xr:uid="{00000000-0005-0000-0000-00002E180000}"/>
    <cellStyle name="Linked Cell 4" xfId="6187" xr:uid="{00000000-0005-0000-0000-00002F180000}"/>
    <cellStyle name="Linked Cell 4 2" xfId="12724" xr:uid="{00000000-0005-0000-0000-0000B8310000}"/>
    <cellStyle name="Linked Cell 40" xfId="6188" xr:uid="{00000000-0005-0000-0000-000030180000}"/>
    <cellStyle name="Linked Cell 41" xfId="6189" xr:uid="{00000000-0005-0000-0000-000031180000}"/>
    <cellStyle name="Linked Cell 5" xfId="6190" xr:uid="{00000000-0005-0000-0000-000032180000}"/>
    <cellStyle name="Linked Cell 5 2" xfId="12725" xr:uid="{00000000-0005-0000-0000-0000B9310000}"/>
    <cellStyle name="Linked Cell 6" xfId="6191" xr:uid="{00000000-0005-0000-0000-000033180000}"/>
    <cellStyle name="Linked Cell 6 2" xfId="12726" xr:uid="{00000000-0005-0000-0000-0000BA310000}"/>
    <cellStyle name="Linked Cell 7" xfId="6192" xr:uid="{00000000-0005-0000-0000-000034180000}"/>
    <cellStyle name="Linked Cell 8" xfId="6193" xr:uid="{00000000-0005-0000-0000-000035180000}"/>
    <cellStyle name="Linked Cell 9" xfId="6194" xr:uid="{00000000-0005-0000-0000-000036180000}"/>
    <cellStyle name="Migliaia_Oil&amp;Gas IFE ARC POLITO" xfId="928" xr:uid="{00000000-0005-0000-0000-0000A4030000}"/>
    <cellStyle name="Milliers 2" xfId="29" xr:uid="{00000000-0005-0000-0000-000021000000}"/>
    <cellStyle name="Milliers 2 2" xfId="29419" xr:uid="{00000000-0005-0000-0000-0000EF720000}"/>
    <cellStyle name="Milliers 2 3" xfId="4458" xr:uid="{00000000-0005-0000-0000-00006E110000}"/>
    <cellStyle name="Milliers 3" xfId="26" xr:uid="{00000000-0005-0000-0000-00001E000000}"/>
    <cellStyle name="Milliers 3 2" xfId="4456" xr:uid="{00000000-0005-0000-0000-00006C110000}"/>
    <cellStyle name="Milliers 4" xfId="29416" xr:uid="{00000000-0005-0000-0000-0000EC720000}"/>
    <cellStyle name="Neutral" xfId="3" builtinId="28"/>
    <cellStyle name="Neutral 10" xfId="6195" xr:uid="{00000000-0005-0000-0000-000037180000}"/>
    <cellStyle name="Neutral 11" xfId="6196" xr:uid="{00000000-0005-0000-0000-000038180000}"/>
    <cellStyle name="Neutral 12" xfId="6197" xr:uid="{00000000-0005-0000-0000-000039180000}"/>
    <cellStyle name="Neutral 13" xfId="6198" xr:uid="{00000000-0005-0000-0000-00003A180000}"/>
    <cellStyle name="Neutral 14" xfId="6199" xr:uid="{00000000-0005-0000-0000-00003B180000}"/>
    <cellStyle name="Neutral 15" xfId="6200" xr:uid="{00000000-0005-0000-0000-00003C180000}"/>
    <cellStyle name="Neutral 16" xfId="6201" xr:uid="{00000000-0005-0000-0000-00003D180000}"/>
    <cellStyle name="Neutral 17" xfId="6202" xr:uid="{00000000-0005-0000-0000-00003E180000}"/>
    <cellStyle name="Neutral 18" xfId="6203" xr:uid="{00000000-0005-0000-0000-00003F180000}"/>
    <cellStyle name="Neutral 19" xfId="6204" xr:uid="{00000000-0005-0000-0000-000040180000}"/>
    <cellStyle name="Neutral 2" xfId="110" xr:uid="{00000000-0005-0000-0000-000072000000}"/>
    <cellStyle name="Neutral 2 10" xfId="929" xr:uid="{00000000-0005-0000-0000-0000A5030000}"/>
    <cellStyle name="Neutral 2 11" xfId="12727" xr:uid="{00000000-0005-0000-0000-0000BB310000}"/>
    <cellStyle name="Neutral 2 12" xfId="29421" xr:uid="{00000000-0005-0000-0000-0000F1720000}"/>
    <cellStyle name="Neutral 2 2" xfId="930" xr:uid="{00000000-0005-0000-0000-0000A6030000}"/>
    <cellStyle name="Neutral 2 3" xfId="931" xr:uid="{00000000-0005-0000-0000-0000A7030000}"/>
    <cellStyle name="Neutral 2 4" xfId="932" xr:uid="{00000000-0005-0000-0000-0000A8030000}"/>
    <cellStyle name="Neutral 2 5" xfId="933" xr:uid="{00000000-0005-0000-0000-0000A9030000}"/>
    <cellStyle name="Neutral 2 6" xfId="934" xr:uid="{00000000-0005-0000-0000-0000AA030000}"/>
    <cellStyle name="Neutral 2 7" xfId="935" xr:uid="{00000000-0005-0000-0000-0000AB030000}"/>
    <cellStyle name="Neutral 2 8" xfId="936" xr:uid="{00000000-0005-0000-0000-0000AC030000}"/>
    <cellStyle name="Neutral 2 9" xfId="937" xr:uid="{00000000-0005-0000-0000-0000AD030000}"/>
    <cellStyle name="Neutral 20" xfId="6205" xr:uid="{00000000-0005-0000-0000-000041180000}"/>
    <cellStyle name="Neutral 21" xfId="6206" xr:uid="{00000000-0005-0000-0000-000042180000}"/>
    <cellStyle name="Neutral 22" xfId="6207" xr:uid="{00000000-0005-0000-0000-000043180000}"/>
    <cellStyle name="Neutral 23" xfId="6208" xr:uid="{00000000-0005-0000-0000-000044180000}"/>
    <cellStyle name="Neutral 24" xfId="6209" xr:uid="{00000000-0005-0000-0000-000045180000}"/>
    <cellStyle name="Neutral 25" xfId="6210" xr:uid="{00000000-0005-0000-0000-000046180000}"/>
    <cellStyle name="Neutral 26" xfId="6211" xr:uid="{00000000-0005-0000-0000-000047180000}"/>
    <cellStyle name="Neutral 27" xfId="6212" xr:uid="{00000000-0005-0000-0000-000048180000}"/>
    <cellStyle name="Neutral 28" xfId="6213" xr:uid="{00000000-0005-0000-0000-000049180000}"/>
    <cellStyle name="Neutral 29" xfId="6214" xr:uid="{00000000-0005-0000-0000-00004A180000}"/>
    <cellStyle name="Neutral 3" xfId="111" xr:uid="{00000000-0005-0000-0000-000073000000}"/>
    <cellStyle name="Neutral 3 2" xfId="939" xr:uid="{00000000-0005-0000-0000-0000AF030000}"/>
    <cellStyle name="Neutral 3 2 2" xfId="12728" xr:uid="{00000000-0005-0000-0000-0000BC310000}"/>
    <cellStyle name="Neutral 3 2 3" xfId="6216" xr:uid="{00000000-0005-0000-0000-00004C180000}"/>
    <cellStyle name="Neutral 3 3" xfId="938" xr:uid="{00000000-0005-0000-0000-0000AE030000}"/>
    <cellStyle name="Neutral 3 3 2" xfId="12729" xr:uid="{00000000-0005-0000-0000-0000BD310000}"/>
    <cellStyle name="Neutral 3 3 3" xfId="6217" xr:uid="{00000000-0005-0000-0000-00004D180000}"/>
    <cellStyle name="Neutral 3 4" xfId="6218" xr:uid="{00000000-0005-0000-0000-00004E180000}"/>
    <cellStyle name="Neutral 3 5" xfId="6215" xr:uid="{00000000-0005-0000-0000-00004B180000}"/>
    <cellStyle name="Neutral 3 6" xfId="7719" xr:uid="{00000000-0005-0000-0000-00002B1E0000}"/>
    <cellStyle name="Neutral 3 7" xfId="8865" xr:uid="{00000000-0005-0000-0000-0000A5220000}"/>
    <cellStyle name="Neutral 30" xfId="6219" xr:uid="{00000000-0005-0000-0000-00004F180000}"/>
    <cellStyle name="Neutral 31" xfId="6220" xr:uid="{00000000-0005-0000-0000-000050180000}"/>
    <cellStyle name="Neutral 32" xfId="6221" xr:uid="{00000000-0005-0000-0000-000051180000}"/>
    <cellStyle name="Neutral 33" xfId="6222" xr:uid="{00000000-0005-0000-0000-000052180000}"/>
    <cellStyle name="Neutral 34" xfId="6223" xr:uid="{00000000-0005-0000-0000-000053180000}"/>
    <cellStyle name="Neutral 35" xfId="6224" xr:uid="{00000000-0005-0000-0000-000054180000}"/>
    <cellStyle name="Neutral 36" xfId="6225" xr:uid="{00000000-0005-0000-0000-000055180000}"/>
    <cellStyle name="Neutral 37" xfId="6226" xr:uid="{00000000-0005-0000-0000-000056180000}"/>
    <cellStyle name="Neutral 38" xfId="6227" xr:uid="{00000000-0005-0000-0000-000057180000}"/>
    <cellStyle name="Neutral 39" xfId="6228" xr:uid="{00000000-0005-0000-0000-000058180000}"/>
    <cellStyle name="Neutral 4" xfId="6229" xr:uid="{00000000-0005-0000-0000-000059180000}"/>
    <cellStyle name="Neutral 4 2" xfId="6230" xr:uid="{00000000-0005-0000-0000-00005A180000}"/>
    <cellStyle name="Neutral 40" xfId="6231" xr:uid="{00000000-0005-0000-0000-00005B180000}"/>
    <cellStyle name="Neutral 41" xfId="6232" xr:uid="{00000000-0005-0000-0000-00005C180000}"/>
    <cellStyle name="Neutral 42" xfId="6233" xr:uid="{00000000-0005-0000-0000-00005D180000}"/>
    <cellStyle name="Neutral 43" xfId="6234" xr:uid="{00000000-0005-0000-0000-00005E180000}"/>
    <cellStyle name="Neutral 5" xfId="6235" xr:uid="{00000000-0005-0000-0000-00005F180000}"/>
    <cellStyle name="Neutral 5 2" xfId="12730" xr:uid="{00000000-0005-0000-0000-0000BE310000}"/>
    <cellStyle name="Neutral 6" xfId="6236" xr:uid="{00000000-0005-0000-0000-000060180000}"/>
    <cellStyle name="Neutral 6 2" xfId="12731" xr:uid="{00000000-0005-0000-0000-0000BF310000}"/>
    <cellStyle name="Neutral 7" xfId="6237" xr:uid="{00000000-0005-0000-0000-000061180000}"/>
    <cellStyle name="Neutral 8" xfId="6238" xr:uid="{00000000-0005-0000-0000-000062180000}"/>
    <cellStyle name="Neutral 9" xfId="6239" xr:uid="{00000000-0005-0000-0000-000063180000}"/>
    <cellStyle name="Neutre 2" xfId="6" xr:uid="{00000000-0005-0000-0000-00000A000000}"/>
    <cellStyle name="Neutre 3" xfId="4448" xr:uid="{00000000-0005-0000-0000-000064110000}"/>
    <cellStyle name="Normal" xfId="0" builtinId="0"/>
    <cellStyle name="Normal 10" xfId="2" xr:uid="{00000000-0005-0000-0000-000006000000}"/>
    <cellStyle name="Normal 10 2" xfId="209" xr:uid="{00000000-0005-0000-0000-0000D5000000}"/>
    <cellStyle name="Normal 10 2 10" xfId="4504" xr:uid="{00000000-0005-0000-0000-00009C110000}"/>
    <cellStyle name="Normal 10 2 2" xfId="2098" xr:uid="{00000000-0005-0000-0000-000036080000}"/>
    <cellStyle name="Normal 10 2 2 2" xfId="6241" xr:uid="{00000000-0005-0000-0000-000065180000}"/>
    <cellStyle name="Normal 10 2 2 3" xfId="7902" xr:uid="{00000000-0005-0000-0000-0000E21E0000}"/>
    <cellStyle name="Normal 10 2 2 3 2" xfId="8323" xr:uid="{00000000-0005-0000-0000-000087200000}"/>
    <cellStyle name="Normal 10 2 2 3 2 2" xfId="10185" xr:uid="{00000000-0005-0000-0000-0000CD270000}"/>
    <cellStyle name="Normal 10 2 2 3 2 2 2" xfId="18413" xr:uid="{00000000-0005-0000-0000-0000F1470000}"/>
    <cellStyle name="Normal 10 2 2 3 2 2 2 2" xfId="24925" xr:uid="{00000000-0005-0000-0000-000061610000}"/>
    <cellStyle name="Normal 10 2 2 3 2 2 3" xfId="22090" xr:uid="{00000000-0005-0000-0000-00004E560000}"/>
    <cellStyle name="Normal 10 2 2 3 2 3" xfId="17003" xr:uid="{00000000-0005-0000-0000-00006F420000}"/>
    <cellStyle name="Normal 10 2 2 3 2 3 2" xfId="23660" xr:uid="{00000000-0005-0000-0000-0000705C0000}"/>
    <cellStyle name="Normal 10 2 2 3 2 4" xfId="20528" xr:uid="{00000000-0005-0000-0000-000034500000}"/>
    <cellStyle name="Normal 10 2 2 3 3" xfId="9052" xr:uid="{00000000-0005-0000-0000-000060230000}"/>
    <cellStyle name="Normal 10 2 2 3 3 2" xfId="10398" xr:uid="{00000000-0005-0000-0000-0000A2280000}"/>
    <cellStyle name="Normal 10 2 2 3 3 2 2" xfId="18626" xr:uid="{00000000-0005-0000-0000-0000C6480000}"/>
    <cellStyle name="Normal 10 2 2 3 3 2 2 2" xfId="25138" xr:uid="{00000000-0005-0000-0000-000036620000}"/>
    <cellStyle name="Normal 10 2 2 3 3 2 3" xfId="22303" xr:uid="{00000000-0005-0000-0000-000023570000}"/>
    <cellStyle name="Normal 10 2 2 3 3 3" xfId="17305" xr:uid="{00000000-0005-0000-0000-00009D430000}"/>
    <cellStyle name="Normal 10 2 2 3 3 3 2" xfId="23882" xr:uid="{00000000-0005-0000-0000-00004E5D0000}"/>
    <cellStyle name="Normal 10 2 2 3 3 4" xfId="21047" xr:uid="{00000000-0005-0000-0000-00003B520000}"/>
    <cellStyle name="Normal 10 2 2 3 4" xfId="9767" xr:uid="{00000000-0005-0000-0000-00002B260000}"/>
    <cellStyle name="Normal 10 2 2 3 4 2" xfId="17995" xr:uid="{00000000-0005-0000-0000-00004F460000}"/>
    <cellStyle name="Normal 10 2 2 3 4 2 2" xfId="24507" xr:uid="{00000000-0005-0000-0000-0000BF5F0000}"/>
    <cellStyle name="Normal 10 2 2 3 4 3" xfId="21672" xr:uid="{00000000-0005-0000-0000-0000AC540000}"/>
    <cellStyle name="Normal 10 2 2 3 5" xfId="10808" xr:uid="{00000000-0005-0000-0000-00003C2A0000}"/>
    <cellStyle name="Normal 10 2 2 3 5 2" xfId="22707" xr:uid="{00000000-0005-0000-0000-0000B7580000}"/>
    <cellStyle name="Normal 10 2 2 3 6" xfId="20110" xr:uid="{00000000-0005-0000-0000-0000924E0000}"/>
    <cellStyle name="Normal 10 2 2 4" xfId="8114" xr:uid="{00000000-0005-0000-0000-0000B61F0000}"/>
    <cellStyle name="Normal 10 2 2 4 2" xfId="9976" xr:uid="{00000000-0005-0000-0000-0000FC260000}"/>
    <cellStyle name="Normal 10 2 2 4 2 2" xfId="18204" xr:uid="{00000000-0005-0000-0000-000020470000}"/>
    <cellStyle name="Normal 10 2 2 4 2 2 2" xfId="24716" xr:uid="{00000000-0005-0000-0000-000090600000}"/>
    <cellStyle name="Normal 10 2 2 4 2 3" xfId="21881" xr:uid="{00000000-0005-0000-0000-00007D550000}"/>
    <cellStyle name="Normal 10 2 2 4 3" xfId="16812" xr:uid="{00000000-0005-0000-0000-0000B0410000}"/>
    <cellStyle name="Normal 10 2 2 4 3 2" xfId="23471" xr:uid="{00000000-0005-0000-0000-0000B35B0000}"/>
    <cellStyle name="Normal 10 2 2 4 4" xfId="4451" xr:uid="{00000000-0005-0000-0000-000067110000}"/>
    <cellStyle name="Normal 10 2 2 4 5" xfId="20319" xr:uid="{00000000-0005-0000-0000-0000634F0000}"/>
    <cellStyle name="Normal 10 2 2 5" xfId="9051" xr:uid="{00000000-0005-0000-0000-00005F230000}"/>
    <cellStyle name="Normal 10 2 2 5 2" xfId="10397" xr:uid="{00000000-0005-0000-0000-0000A1280000}"/>
    <cellStyle name="Normal 10 2 2 5 2 2" xfId="18625" xr:uid="{00000000-0005-0000-0000-0000C5480000}"/>
    <cellStyle name="Normal 10 2 2 5 2 2 2" xfId="25137" xr:uid="{00000000-0005-0000-0000-000035620000}"/>
    <cellStyle name="Normal 10 2 2 5 2 3" xfId="22302" xr:uid="{00000000-0005-0000-0000-000022570000}"/>
    <cellStyle name="Normal 10 2 2 5 3" xfId="17304" xr:uid="{00000000-0005-0000-0000-00009C430000}"/>
    <cellStyle name="Normal 10 2 2 5 3 2" xfId="23881" xr:uid="{00000000-0005-0000-0000-00004D5D0000}"/>
    <cellStyle name="Normal 10 2 2 5 4" xfId="21046" xr:uid="{00000000-0005-0000-0000-00003A520000}"/>
    <cellStyle name="Normal 10 2 2 6" xfId="9558" xr:uid="{00000000-0005-0000-0000-00005A250000}"/>
    <cellStyle name="Normal 10 2 2 6 2" xfId="17786" xr:uid="{00000000-0005-0000-0000-00007E450000}"/>
    <cellStyle name="Normal 10 2 2 6 2 2" xfId="24298" xr:uid="{00000000-0005-0000-0000-0000EE5E0000}"/>
    <cellStyle name="Normal 10 2 2 6 3" xfId="21463" xr:uid="{00000000-0005-0000-0000-0000DB530000}"/>
    <cellStyle name="Normal 10 2 2 7" xfId="10807" xr:uid="{00000000-0005-0000-0000-00003B2A0000}"/>
    <cellStyle name="Normal 10 2 2 7 2" xfId="22706" xr:uid="{00000000-0005-0000-0000-0000B6580000}"/>
    <cellStyle name="Normal 10 2 2 8" xfId="19634" xr:uid="{00000000-0005-0000-0000-0000B64C0000}"/>
    <cellStyle name="Normal 10 2 2 9" xfId="4557" xr:uid="{00000000-0005-0000-0000-0000D1110000}"/>
    <cellStyle name="Normal 10 2 3" xfId="6240" xr:uid="{00000000-0005-0000-0000-000064180000}"/>
    <cellStyle name="Normal 10 2 3 2" xfId="7926" xr:uid="{00000000-0005-0000-0000-0000FA1E0000}"/>
    <cellStyle name="Normal 10 2 3 2 2" xfId="8345" xr:uid="{00000000-0005-0000-0000-00009D200000}"/>
    <cellStyle name="Normal 10 2 3 2 2 2" xfId="10207" xr:uid="{00000000-0005-0000-0000-0000E3270000}"/>
    <cellStyle name="Normal 10 2 3 2 2 2 2" xfId="18435" xr:uid="{00000000-0005-0000-0000-000007480000}"/>
    <cellStyle name="Normal 10 2 3 2 2 2 2 2" xfId="24947" xr:uid="{00000000-0005-0000-0000-000077610000}"/>
    <cellStyle name="Normal 10 2 3 2 2 2 3" xfId="22112" xr:uid="{00000000-0005-0000-0000-000064560000}"/>
    <cellStyle name="Normal 10 2 3 2 2 3" xfId="17025" xr:uid="{00000000-0005-0000-0000-000085420000}"/>
    <cellStyle name="Normal 10 2 3 2 2 3 2" xfId="23682" xr:uid="{00000000-0005-0000-0000-0000865C0000}"/>
    <cellStyle name="Normal 10 2 3 2 2 4" xfId="20550" xr:uid="{00000000-0005-0000-0000-00004A500000}"/>
    <cellStyle name="Normal 10 2 3 2 3" xfId="9054" xr:uid="{00000000-0005-0000-0000-000062230000}"/>
    <cellStyle name="Normal 10 2 3 2 3 2" xfId="10400" xr:uid="{00000000-0005-0000-0000-0000A4280000}"/>
    <cellStyle name="Normal 10 2 3 2 3 2 2" xfId="18628" xr:uid="{00000000-0005-0000-0000-0000C8480000}"/>
    <cellStyle name="Normal 10 2 3 2 3 2 2 2" xfId="25140" xr:uid="{00000000-0005-0000-0000-000038620000}"/>
    <cellStyle name="Normal 10 2 3 2 3 2 3" xfId="22305" xr:uid="{00000000-0005-0000-0000-000025570000}"/>
    <cellStyle name="Normal 10 2 3 2 3 3" xfId="17307" xr:uid="{00000000-0005-0000-0000-00009F430000}"/>
    <cellStyle name="Normal 10 2 3 2 3 3 2" xfId="23884" xr:uid="{00000000-0005-0000-0000-0000505D0000}"/>
    <cellStyle name="Normal 10 2 3 2 3 4" xfId="21049" xr:uid="{00000000-0005-0000-0000-00003D520000}"/>
    <cellStyle name="Normal 10 2 3 2 4" xfId="9789" xr:uid="{00000000-0005-0000-0000-000041260000}"/>
    <cellStyle name="Normal 10 2 3 2 4 2" xfId="18017" xr:uid="{00000000-0005-0000-0000-000065460000}"/>
    <cellStyle name="Normal 10 2 3 2 4 2 2" xfId="24529" xr:uid="{00000000-0005-0000-0000-0000D55F0000}"/>
    <cellStyle name="Normal 10 2 3 2 4 3" xfId="21694" xr:uid="{00000000-0005-0000-0000-0000C2540000}"/>
    <cellStyle name="Normal 10 2 3 2 5" xfId="10810" xr:uid="{00000000-0005-0000-0000-00003E2A0000}"/>
    <cellStyle name="Normal 10 2 3 2 5 2" xfId="22709" xr:uid="{00000000-0005-0000-0000-0000B9580000}"/>
    <cellStyle name="Normal 10 2 3 2 6" xfId="20132" xr:uid="{00000000-0005-0000-0000-0000A84E0000}"/>
    <cellStyle name="Normal 10 2 3 3" xfId="8136" xr:uid="{00000000-0005-0000-0000-0000CC1F0000}"/>
    <cellStyle name="Normal 10 2 3 3 2" xfId="9998" xr:uid="{00000000-0005-0000-0000-000012270000}"/>
    <cellStyle name="Normal 10 2 3 3 2 2" xfId="18226" xr:uid="{00000000-0005-0000-0000-000036470000}"/>
    <cellStyle name="Normal 10 2 3 3 2 2 2" xfId="24738" xr:uid="{00000000-0005-0000-0000-0000A6600000}"/>
    <cellStyle name="Normal 10 2 3 3 2 3" xfId="21903" xr:uid="{00000000-0005-0000-0000-000093550000}"/>
    <cellStyle name="Normal 10 2 3 3 3" xfId="16826" xr:uid="{00000000-0005-0000-0000-0000BE410000}"/>
    <cellStyle name="Normal 10 2 3 3 3 2" xfId="23485" xr:uid="{00000000-0005-0000-0000-0000C15B0000}"/>
    <cellStyle name="Normal 10 2 3 3 4" xfId="20341" xr:uid="{00000000-0005-0000-0000-0000794F0000}"/>
    <cellStyle name="Normal 10 2 3 4" xfId="9053" xr:uid="{00000000-0005-0000-0000-000061230000}"/>
    <cellStyle name="Normal 10 2 3 4 2" xfId="10399" xr:uid="{00000000-0005-0000-0000-0000A3280000}"/>
    <cellStyle name="Normal 10 2 3 4 2 2" xfId="18627" xr:uid="{00000000-0005-0000-0000-0000C7480000}"/>
    <cellStyle name="Normal 10 2 3 4 2 2 2" xfId="25139" xr:uid="{00000000-0005-0000-0000-000037620000}"/>
    <cellStyle name="Normal 10 2 3 4 2 3" xfId="22304" xr:uid="{00000000-0005-0000-0000-000024570000}"/>
    <cellStyle name="Normal 10 2 3 4 3" xfId="17306" xr:uid="{00000000-0005-0000-0000-00009E430000}"/>
    <cellStyle name="Normal 10 2 3 4 3 2" xfId="23883" xr:uid="{00000000-0005-0000-0000-00004F5D0000}"/>
    <cellStyle name="Normal 10 2 3 4 4" xfId="21048" xr:uid="{00000000-0005-0000-0000-00003C520000}"/>
    <cellStyle name="Normal 10 2 3 5" xfId="9580" xr:uid="{00000000-0005-0000-0000-000070250000}"/>
    <cellStyle name="Normal 10 2 3 5 2" xfId="17808" xr:uid="{00000000-0005-0000-0000-000094450000}"/>
    <cellStyle name="Normal 10 2 3 5 2 2" xfId="24320" xr:uid="{00000000-0005-0000-0000-0000045F0000}"/>
    <cellStyle name="Normal 10 2 3 5 3" xfId="21485" xr:uid="{00000000-0005-0000-0000-0000F1530000}"/>
    <cellStyle name="Normal 10 2 3 6" xfId="10809" xr:uid="{00000000-0005-0000-0000-00003D2A0000}"/>
    <cellStyle name="Normal 10 2 3 6 2" xfId="22708" xr:uid="{00000000-0005-0000-0000-0000B8580000}"/>
    <cellStyle name="Normal 10 2 3 7" xfId="19697" xr:uid="{00000000-0005-0000-0000-0000F54C0000}"/>
    <cellStyle name="Normal 10 2 4" xfId="7720" xr:uid="{00000000-0005-0000-0000-00002C1E0000}"/>
    <cellStyle name="Normal 10 2 5" xfId="7868" xr:uid="{00000000-0005-0000-0000-0000C01E0000}"/>
    <cellStyle name="Normal 10 2 5 2" xfId="8081" xr:uid="{00000000-0005-0000-0000-0000951F0000}"/>
    <cellStyle name="Normal 10 2 5 2 2" xfId="8499" xr:uid="{00000000-0005-0000-0000-000037210000}"/>
    <cellStyle name="Normal 10 2 5 2 2 2" xfId="10361" xr:uid="{00000000-0005-0000-0000-00007D280000}"/>
    <cellStyle name="Normal 10 2 5 2 2 2 2" xfId="18589" xr:uid="{00000000-0005-0000-0000-0000A1480000}"/>
    <cellStyle name="Normal 10 2 5 2 2 2 2 2" xfId="25101" xr:uid="{00000000-0005-0000-0000-000011620000}"/>
    <cellStyle name="Normal 10 2 5 2 2 2 3" xfId="22266" xr:uid="{00000000-0005-0000-0000-0000FE560000}"/>
    <cellStyle name="Normal 10 2 5 2 2 3" xfId="17179" xr:uid="{00000000-0005-0000-0000-00001F430000}"/>
    <cellStyle name="Normal 10 2 5 2 2 3 2" xfId="23836" xr:uid="{00000000-0005-0000-0000-0000205D0000}"/>
    <cellStyle name="Normal 10 2 5 2 2 4" xfId="20704" xr:uid="{00000000-0005-0000-0000-0000E4500000}"/>
    <cellStyle name="Normal 10 2 5 2 3" xfId="9056" xr:uid="{00000000-0005-0000-0000-000064230000}"/>
    <cellStyle name="Normal 10 2 5 2 3 2" xfId="10402" xr:uid="{00000000-0005-0000-0000-0000A6280000}"/>
    <cellStyle name="Normal 10 2 5 2 3 2 2" xfId="18630" xr:uid="{00000000-0005-0000-0000-0000CA480000}"/>
    <cellStyle name="Normal 10 2 5 2 3 2 2 2" xfId="25142" xr:uid="{00000000-0005-0000-0000-00003A620000}"/>
    <cellStyle name="Normal 10 2 5 2 3 2 3" xfId="22307" xr:uid="{00000000-0005-0000-0000-000027570000}"/>
    <cellStyle name="Normal 10 2 5 2 3 3" xfId="17309" xr:uid="{00000000-0005-0000-0000-0000A1430000}"/>
    <cellStyle name="Normal 10 2 5 2 3 3 2" xfId="23886" xr:uid="{00000000-0005-0000-0000-0000525D0000}"/>
    <cellStyle name="Normal 10 2 5 2 3 4" xfId="21051" xr:uid="{00000000-0005-0000-0000-00003F520000}"/>
    <cellStyle name="Normal 10 2 5 2 4" xfId="9943" xr:uid="{00000000-0005-0000-0000-0000DB260000}"/>
    <cellStyle name="Normal 10 2 5 2 4 2" xfId="18171" xr:uid="{00000000-0005-0000-0000-0000FF460000}"/>
    <cellStyle name="Normal 10 2 5 2 4 2 2" xfId="24683" xr:uid="{00000000-0005-0000-0000-00006F600000}"/>
    <cellStyle name="Normal 10 2 5 2 4 3" xfId="21848" xr:uid="{00000000-0005-0000-0000-00005C550000}"/>
    <cellStyle name="Normal 10 2 5 2 5" xfId="10812" xr:uid="{00000000-0005-0000-0000-0000402A0000}"/>
    <cellStyle name="Normal 10 2 5 2 5 2" xfId="22711" xr:uid="{00000000-0005-0000-0000-0000BB580000}"/>
    <cellStyle name="Normal 10 2 5 2 6" xfId="20286" xr:uid="{00000000-0005-0000-0000-0000424F0000}"/>
    <cellStyle name="Normal 10 2 5 3" xfId="8290" xr:uid="{00000000-0005-0000-0000-000066200000}"/>
    <cellStyle name="Normal 10 2 5 3 2" xfId="10152" xr:uid="{00000000-0005-0000-0000-0000AC270000}"/>
    <cellStyle name="Normal 10 2 5 3 2 2" xfId="18380" xr:uid="{00000000-0005-0000-0000-0000D0470000}"/>
    <cellStyle name="Normal 10 2 5 3 2 2 2" xfId="24892" xr:uid="{00000000-0005-0000-0000-000040610000}"/>
    <cellStyle name="Normal 10 2 5 3 2 3" xfId="22057" xr:uid="{00000000-0005-0000-0000-00002D560000}"/>
    <cellStyle name="Normal 10 2 5 3 3" xfId="16970" xr:uid="{00000000-0005-0000-0000-00004E420000}"/>
    <cellStyle name="Normal 10 2 5 3 3 2" xfId="23627" xr:uid="{00000000-0005-0000-0000-00004F5C0000}"/>
    <cellStyle name="Normal 10 2 5 3 4" xfId="20495" xr:uid="{00000000-0005-0000-0000-000013500000}"/>
    <cellStyle name="Normal 10 2 5 4" xfId="9055" xr:uid="{00000000-0005-0000-0000-000063230000}"/>
    <cellStyle name="Normal 10 2 5 4 2" xfId="10401" xr:uid="{00000000-0005-0000-0000-0000A5280000}"/>
    <cellStyle name="Normal 10 2 5 4 2 2" xfId="18629" xr:uid="{00000000-0005-0000-0000-0000C9480000}"/>
    <cellStyle name="Normal 10 2 5 4 2 2 2" xfId="25141" xr:uid="{00000000-0005-0000-0000-000039620000}"/>
    <cellStyle name="Normal 10 2 5 4 2 3" xfId="22306" xr:uid="{00000000-0005-0000-0000-000026570000}"/>
    <cellStyle name="Normal 10 2 5 4 3" xfId="17308" xr:uid="{00000000-0005-0000-0000-0000A0430000}"/>
    <cellStyle name="Normal 10 2 5 4 3 2" xfId="23885" xr:uid="{00000000-0005-0000-0000-0000515D0000}"/>
    <cellStyle name="Normal 10 2 5 4 4" xfId="21050" xr:uid="{00000000-0005-0000-0000-00003E520000}"/>
    <cellStyle name="Normal 10 2 5 5" xfId="9734" xr:uid="{00000000-0005-0000-0000-00000A260000}"/>
    <cellStyle name="Normal 10 2 5 5 2" xfId="17962" xr:uid="{00000000-0005-0000-0000-00002E460000}"/>
    <cellStyle name="Normal 10 2 5 5 2 2" xfId="24474" xr:uid="{00000000-0005-0000-0000-00009E5F0000}"/>
    <cellStyle name="Normal 10 2 5 5 3" xfId="21639" xr:uid="{00000000-0005-0000-0000-00008B540000}"/>
    <cellStyle name="Normal 10 2 5 6" xfId="10811" xr:uid="{00000000-0005-0000-0000-00003F2A0000}"/>
    <cellStyle name="Normal 10 2 5 6 2" xfId="22710" xr:uid="{00000000-0005-0000-0000-0000BA580000}"/>
    <cellStyle name="Normal 10 2 5 7" xfId="20077" xr:uid="{00000000-0005-0000-0000-0000714E0000}"/>
    <cellStyle name="Normal 10 2 6" xfId="7884" xr:uid="{00000000-0005-0000-0000-0000D01E0000}"/>
    <cellStyle name="Normal 10 2 6 2" xfId="8306" xr:uid="{00000000-0005-0000-0000-000076200000}"/>
    <cellStyle name="Normal 10 2 6 2 2" xfId="10168" xr:uid="{00000000-0005-0000-0000-0000BC270000}"/>
    <cellStyle name="Normal 10 2 6 2 2 2" xfId="18396" xr:uid="{00000000-0005-0000-0000-0000E0470000}"/>
    <cellStyle name="Normal 10 2 6 2 2 2 2" xfId="24908" xr:uid="{00000000-0005-0000-0000-000050610000}"/>
    <cellStyle name="Normal 10 2 6 2 2 3" xfId="22073" xr:uid="{00000000-0005-0000-0000-00003D560000}"/>
    <cellStyle name="Normal 10 2 6 2 3" xfId="16986" xr:uid="{00000000-0005-0000-0000-00005E420000}"/>
    <cellStyle name="Normal 10 2 6 2 3 2" xfId="23643" xr:uid="{00000000-0005-0000-0000-00005F5C0000}"/>
    <cellStyle name="Normal 10 2 6 2 4" xfId="20511" xr:uid="{00000000-0005-0000-0000-000023500000}"/>
    <cellStyle name="Normal 10 2 6 3" xfId="9057" xr:uid="{00000000-0005-0000-0000-000065230000}"/>
    <cellStyle name="Normal 10 2 6 3 2" xfId="10403" xr:uid="{00000000-0005-0000-0000-0000A7280000}"/>
    <cellStyle name="Normal 10 2 6 3 2 2" xfId="18631" xr:uid="{00000000-0005-0000-0000-0000CB480000}"/>
    <cellStyle name="Normal 10 2 6 3 2 2 2" xfId="25143" xr:uid="{00000000-0005-0000-0000-00003B620000}"/>
    <cellStyle name="Normal 10 2 6 3 2 3" xfId="22308" xr:uid="{00000000-0005-0000-0000-000028570000}"/>
    <cellStyle name="Normal 10 2 6 3 3" xfId="17310" xr:uid="{00000000-0005-0000-0000-0000A2430000}"/>
    <cellStyle name="Normal 10 2 6 3 3 2" xfId="23887" xr:uid="{00000000-0005-0000-0000-0000535D0000}"/>
    <cellStyle name="Normal 10 2 6 3 4" xfId="21052" xr:uid="{00000000-0005-0000-0000-000040520000}"/>
    <cellStyle name="Normal 10 2 6 4" xfId="9750" xr:uid="{00000000-0005-0000-0000-00001A260000}"/>
    <cellStyle name="Normal 10 2 6 4 2" xfId="17978" xr:uid="{00000000-0005-0000-0000-00003E460000}"/>
    <cellStyle name="Normal 10 2 6 4 2 2" xfId="24490" xr:uid="{00000000-0005-0000-0000-0000AE5F0000}"/>
    <cellStyle name="Normal 10 2 6 4 3" xfId="21655" xr:uid="{00000000-0005-0000-0000-00009B540000}"/>
    <cellStyle name="Normal 10 2 6 5" xfId="10813" xr:uid="{00000000-0005-0000-0000-0000412A0000}"/>
    <cellStyle name="Normal 10 2 6 5 2" xfId="22712" xr:uid="{00000000-0005-0000-0000-0000BC580000}"/>
    <cellStyle name="Normal 10 2 6 6" xfId="20093" xr:uid="{00000000-0005-0000-0000-0000814E0000}"/>
    <cellStyle name="Normal 10 2 7" xfId="8097" xr:uid="{00000000-0005-0000-0000-0000A51F0000}"/>
    <cellStyle name="Normal 10 2 7 2" xfId="8866" xr:uid="{00000000-0005-0000-0000-0000A6220000}"/>
    <cellStyle name="Normal 10 2 7 2 2" xfId="10379" xr:uid="{00000000-0005-0000-0000-00008F280000}"/>
    <cellStyle name="Normal 10 2 7 2 2 2" xfId="18607" xr:uid="{00000000-0005-0000-0000-0000B3480000}"/>
    <cellStyle name="Normal 10 2 7 2 2 2 2" xfId="25119" xr:uid="{00000000-0005-0000-0000-000023620000}"/>
    <cellStyle name="Normal 10 2 7 2 2 3" xfId="22284" xr:uid="{00000000-0005-0000-0000-000010570000}"/>
    <cellStyle name="Normal 10 2 7 2 3" xfId="17247" xr:uid="{00000000-0005-0000-0000-000063430000}"/>
    <cellStyle name="Normal 10 2 7 2 3 2" xfId="23861" xr:uid="{00000000-0005-0000-0000-0000395D0000}"/>
    <cellStyle name="Normal 10 2 7 2 4" xfId="20943" xr:uid="{00000000-0005-0000-0000-0000D3510000}"/>
    <cellStyle name="Normal 10 2 7 3" xfId="9959" xr:uid="{00000000-0005-0000-0000-0000EB260000}"/>
    <cellStyle name="Normal 10 2 7 3 2" xfId="18187" xr:uid="{00000000-0005-0000-0000-00000F470000}"/>
    <cellStyle name="Normal 10 2 7 3 2 2" xfId="24699" xr:uid="{00000000-0005-0000-0000-00007F600000}"/>
    <cellStyle name="Normal 10 2 7 3 3" xfId="21864" xr:uid="{00000000-0005-0000-0000-00006C550000}"/>
    <cellStyle name="Normal 10 2 7 4" xfId="10814" xr:uid="{00000000-0005-0000-0000-0000422A0000}"/>
    <cellStyle name="Normal 10 2 7 4 2" xfId="22713" xr:uid="{00000000-0005-0000-0000-0000BD580000}"/>
    <cellStyle name="Normal 10 2 7 5" xfId="20302" xr:uid="{00000000-0005-0000-0000-0000524F0000}"/>
    <cellStyle name="Normal 10 2 8" xfId="9541" xr:uid="{00000000-0005-0000-0000-000049250000}"/>
    <cellStyle name="Normal 10 2 8 2" xfId="17769" xr:uid="{00000000-0005-0000-0000-00006D450000}"/>
    <cellStyle name="Normal 10 2 8 2 2" xfId="24281" xr:uid="{00000000-0005-0000-0000-0000DD5E0000}"/>
    <cellStyle name="Normal 10 2 8 3" xfId="21446" xr:uid="{00000000-0005-0000-0000-0000CA530000}"/>
    <cellStyle name="Normal 10 2 9" xfId="19607" xr:uid="{00000000-0005-0000-0000-00009B4C0000}"/>
    <cellStyle name="Normal 10 3" xfId="940" xr:uid="{00000000-0005-0000-0000-0000B0030000}"/>
    <cellStyle name="Normal 10 3 2" xfId="2099" xr:uid="{00000000-0005-0000-0000-000037080000}"/>
    <cellStyle name="Normal 10 4" xfId="941" xr:uid="{00000000-0005-0000-0000-0000B1030000}"/>
    <cellStyle name="Normal 10 4 2" xfId="2100" xr:uid="{00000000-0005-0000-0000-000038080000}"/>
    <cellStyle name="Normal 10 5" xfId="942" xr:uid="{00000000-0005-0000-0000-0000B2030000}"/>
    <cellStyle name="Normal 10 5 2" xfId="2101" xr:uid="{00000000-0005-0000-0000-000039080000}"/>
    <cellStyle name="Normal 10 6" xfId="943" xr:uid="{00000000-0005-0000-0000-0000B3030000}"/>
    <cellStyle name="Normal 10 6 2" xfId="2102" xr:uid="{00000000-0005-0000-0000-00003A080000}"/>
    <cellStyle name="Normal 10 7" xfId="944" xr:uid="{00000000-0005-0000-0000-0000B4030000}"/>
    <cellStyle name="Normal 10 7 2" xfId="2103" xr:uid="{00000000-0005-0000-0000-00003B080000}"/>
    <cellStyle name="Normal 10 8" xfId="945" xr:uid="{00000000-0005-0000-0000-0000B5030000}"/>
    <cellStyle name="Normal 10 8 2" xfId="2104" xr:uid="{00000000-0005-0000-0000-00003C080000}"/>
    <cellStyle name="Normal 10 9" xfId="2097" xr:uid="{00000000-0005-0000-0000-000035080000}"/>
    <cellStyle name="Normal 11" xfId="202" xr:uid="{00000000-0005-0000-0000-0000CE000000}"/>
    <cellStyle name="Normal 11 10" xfId="946" xr:uid="{00000000-0005-0000-0000-0000B6030000}"/>
    <cellStyle name="Normal 11 11" xfId="3430" xr:uid="{00000000-0005-0000-0000-00006A0D0000}"/>
    <cellStyle name="Normal 11 2" xfId="947" xr:uid="{00000000-0005-0000-0000-0000B7030000}"/>
    <cellStyle name="Normal 11 2 2" xfId="2106" xr:uid="{00000000-0005-0000-0000-00003E080000}"/>
    <cellStyle name="Normal 11 2 2 2" xfId="12732" xr:uid="{00000000-0005-0000-0000-0000C0310000}"/>
    <cellStyle name="Normal 11 2 2 3" xfId="6242" xr:uid="{00000000-0005-0000-0000-000066180000}"/>
    <cellStyle name="Normal 11 3" xfId="948" xr:uid="{00000000-0005-0000-0000-0000B8030000}"/>
    <cellStyle name="Normal 11 3 2" xfId="2107" xr:uid="{00000000-0005-0000-0000-00003F080000}"/>
    <cellStyle name="Normal 11 4" xfId="949" xr:uid="{00000000-0005-0000-0000-0000B9030000}"/>
    <cellStyle name="Normal 11 4 2" xfId="2108" xr:uid="{00000000-0005-0000-0000-000040080000}"/>
    <cellStyle name="Normal 11 5" xfId="950" xr:uid="{00000000-0005-0000-0000-0000BA030000}"/>
    <cellStyle name="Normal 11 5 2" xfId="2109" xr:uid="{00000000-0005-0000-0000-000041080000}"/>
    <cellStyle name="Normal 11 5 3" xfId="7927" xr:uid="{00000000-0005-0000-0000-0000FB1E0000}"/>
    <cellStyle name="Normal 11 5 3 2" xfId="8346" xr:uid="{00000000-0005-0000-0000-00009E200000}"/>
    <cellStyle name="Normal 11 5 3 2 2" xfId="10208" xr:uid="{00000000-0005-0000-0000-0000E4270000}"/>
    <cellStyle name="Normal 11 5 3 2 2 2" xfId="18436" xr:uid="{00000000-0005-0000-0000-000008480000}"/>
    <cellStyle name="Normal 11 5 3 2 2 2 2" xfId="24948" xr:uid="{00000000-0005-0000-0000-000078610000}"/>
    <cellStyle name="Normal 11 5 3 2 2 3" xfId="22113" xr:uid="{00000000-0005-0000-0000-000065560000}"/>
    <cellStyle name="Normal 11 5 3 2 3" xfId="17026" xr:uid="{00000000-0005-0000-0000-000086420000}"/>
    <cellStyle name="Normal 11 5 3 2 3 2" xfId="23683" xr:uid="{00000000-0005-0000-0000-0000875C0000}"/>
    <cellStyle name="Normal 11 5 3 2 4" xfId="20551" xr:uid="{00000000-0005-0000-0000-00004B500000}"/>
    <cellStyle name="Normal 11 5 3 3" xfId="9059" xr:uid="{00000000-0005-0000-0000-000067230000}"/>
    <cellStyle name="Normal 11 5 3 3 2" xfId="10405" xr:uid="{00000000-0005-0000-0000-0000A9280000}"/>
    <cellStyle name="Normal 11 5 3 3 2 2" xfId="18633" xr:uid="{00000000-0005-0000-0000-0000CD480000}"/>
    <cellStyle name="Normal 11 5 3 3 2 2 2" xfId="25145" xr:uid="{00000000-0005-0000-0000-00003D620000}"/>
    <cellStyle name="Normal 11 5 3 3 2 3" xfId="22310" xr:uid="{00000000-0005-0000-0000-00002A570000}"/>
    <cellStyle name="Normal 11 5 3 3 3" xfId="17312" xr:uid="{00000000-0005-0000-0000-0000A4430000}"/>
    <cellStyle name="Normal 11 5 3 3 3 2" xfId="23889" xr:uid="{00000000-0005-0000-0000-0000555D0000}"/>
    <cellStyle name="Normal 11 5 3 3 4" xfId="21054" xr:uid="{00000000-0005-0000-0000-000042520000}"/>
    <cellStyle name="Normal 11 5 3 4" xfId="9790" xr:uid="{00000000-0005-0000-0000-000042260000}"/>
    <cellStyle name="Normal 11 5 3 4 2" xfId="18018" xr:uid="{00000000-0005-0000-0000-000066460000}"/>
    <cellStyle name="Normal 11 5 3 4 2 2" xfId="24530" xr:uid="{00000000-0005-0000-0000-0000D65F0000}"/>
    <cellStyle name="Normal 11 5 3 4 3" xfId="21695" xr:uid="{00000000-0005-0000-0000-0000C3540000}"/>
    <cellStyle name="Normal 11 5 3 5" xfId="10815" xr:uid="{00000000-0005-0000-0000-0000432A0000}"/>
    <cellStyle name="Normal 11 5 3 5 2" xfId="22714" xr:uid="{00000000-0005-0000-0000-0000BE580000}"/>
    <cellStyle name="Normal 11 5 3 6" xfId="20133" xr:uid="{00000000-0005-0000-0000-0000A94E0000}"/>
    <cellStyle name="Normal 11 5 4" xfId="8137" xr:uid="{00000000-0005-0000-0000-0000CD1F0000}"/>
    <cellStyle name="Normal 11 5 4 2" xfId="9058" xr:uid="{00000000-0005-0000-0000-000066230000}"/>
    <cellStyle name="Normal 11 5 4 2 2" xfId="10404" xr:uid="{00000000-0005-0000-0000-0000A8280000}"/>
    <cellStyle name="Normal 11 5 4 2 2 2" xfId="18632" xr:uid="{00000000-0005-0000-0000-0000CC480000}"/>
    <cellStyle name="Normal 11 5 4 2 2 2 2" xfId="25144" xr:uid="{00000000-0005-0000-0000-00003C620000}"/>
    <cellStyle name="Normal 11 5 4 2 2 3" xfId="22309" xr:uid="{00000000-0005-0000-0000-000029570000}"/>
    <cellStyle name="Normal 11 5 4 2 3" xfId="17311" xr:uid="{00000000-0005-0000-0000-0000A3430000}"/>
    <cellStyle name="Normal 11 5 4 2 3 2" xfId="23888" xr:uid="{00000000-0005-0000-0000-0000545D0000}"/>
    <cellStyle name="Normal 11 5 4 2 4" xfId="21053" xr:uid="{00000000-0005-0000-0000-000041520000}"/>
    <cellStyle name="Normal 11 5 4 3" xfId="9999" xr:uid="{00000000-0005-0000-0000-000013270000}"/>
    <cellStyle name="Normal 11 5 4 3 2" xfId="18227" xr:uid="{00000000-0005-0000-0000-000037470000}"/>
    <cellStyle name="Normal 11 5 4 3 2 2" xfId="24739" xr:uid="{00000000-0005-0000-0000-0000A7600000}"/>
    <cellStyle name="Normal 11 5 4 3 3" xfId="21904" xr:uid="{00000000-0005-0000-0000-000094550000}"/>
    <cellStyle name="Normal 11 5 4 4" xfId="10816" xr:uid="{00000000-0005-0000-0000-0000442A0000}"/>
    <cellStyle name="Normal 11 5 4 4 2" xfId="22715" xr:uid="{00000000-0005-0000-0000-0000BF580000}"/>
    <cellStyle name="Normal 11 5 4 5" xfId="20342" xr:uid="{00000000-0005-0000-0000-00007A4F0000}"/>
    <cellStyle name="Normal 11 5 5" xfId="9581" xr:uid="{00000000-0005-0000-0000-000071250000}"/>
    <cellStyle name="Normal 11 5 5 2" xfId="17809" xr:uid="{00000000-0005-0000-0000-000095450000}"/>
    <cellStyle name="Normal 11 5 5 2 2" xfId="24321" xr:uid="{00000000-0005-0000-0000-0000055F0000}"/>
    <cellStyle name="Normal 11 5 5 3" xfId="21486" xr:uid="{00000000-0005-0000-0000-0000F2530000}"/>
    <cellStyle name="Normal 11 5 6" xfId="19698" xr:uid="{00000000-0005-0000-0000-0000F64C0000}"/>
    <cellStyle name="Normal 11 5 7" xfId="6243" xr:uid="{00000000-0005-0000-0000-000067180000}"/>
    <cellStyle name="Normal 11 6" xfId="951" xr:uid="{00000000-0005-0000-0000-0000BB030000}"/>
    <cellStyle name="Normal 11 6 2" xfId="2110" xr:uid="{00000000-0005-0000-0000-000042080000}"/>
    <cellStyle name="Normal 11 7" xfId="952" xr:uid="{00000000-0005-0000-0000-0000BC030000}"/>
    <cellStyle name="Normal 11 7 2" xfId="2111" xr:uid="{00000000-0005-0000-0000-000043080000}"/>
    <cellStyle name="Normal 11 8" xfId="953" xr:uid="{00000000-0005-0000-0000-0000BD030000}"/>
    <cellStyle name="Normal 11 8 2" xfId="2112" xr:uid="{00000000-0005-0000-0000-000044080000}"/>
    <cellStyle name="Normal 11 9" xfId="2105" xr:uid="{00000000-0005-0000-0000-00003D080000}"/>
    <cellStyle name="Normal 12" xfId="203" xr:uid="{00000000-0005-0000-0000-0000CF000000}"/>
    <cellStyle name="Normal 12 10" xfId="954" xr:uid="{00000000-0005-0000-0000-0000BE030000}"/>
    <cellStyle name="Normal 12 11" xfId="3431" xr:uid="{00000000-0005-0000-0000-00006B0D0000}"/>
    <cellStyle name="Normal 12 2" xfId="955" xr:uid="{00000000-0005-0000-0000-0000BF030000}"/>
    <cellStyle name="Normal 12 2 2" xfId="2114" xr:uid="{00000000-0005-0000-0000-000046080000}"/>
    <cellStyle name="Normal 12 3" xfId="956" xr:uid="{00000000-0005-0000-0000-0000C0030000}"/>
    <cellStyle name="Normal 12 3 2" xfId="2115" xr:uid="{00000000-0005-0000-0000-000047080000}"/>
    <cellStyle name="Normal 12 4" xfId="957" xr:uid="{00000000-0005-0000-0000-0000C1030000}"/>
    <cellStyle name="Normal 12 4 2" xfId="2116" xr:uid="{00000000-0005-0000-0000-000048080000}"/>
    <cellStyle name="Normal 12 5" xfId="958" xr:uid="{00000000-0005-0000-0000-0000C2030000}"/>
    <cellStyle name="Normal 12 5 2" xfId="2117" xr:uid="{00000000-0005-0000-0000-000049080000}"/>
    <cellStyle name="Normal 12 6" xfId="959" xr:uid="{00000000-0005-0000-0000-0000C3030000}"/>
    <cellStyle name="Normal 12 6 2" xfId="2118" xr:uid="{00000000-0005-0000-0000-00004A080000}"/>
    <cellStyle name="Normal 12 7" xfId="960" xr:uid="{00000000-0005-0000-0000-0000C4030000}"/>
    <cellStyle name="Normal 12 7 2" xfId="2119" xr:uid="{00000000-0005-0000-0000-00004B080000}"/>
    <cellStyle name="Normal 12 8" xfId="961" xr:uid="{00000000-0005-0000-0000-0000C5030000}"/>
    <cellStyle name="Normal 12 8 2" xfId="2120" xr:uid="{00000000-0005-0000-0000-00004C080000}"/>
    <cellStyle name="Normal 12 9" xfId="2113" xr:uid="{00000000-0005-0000-0000-000045080000}"/>
    <cellStyle name="Normal 13" xfId="962" xr:uid="{00000000-0005-0000-0000-0000C6030000}"/>
    <cellStyle name="Normal 13 10" xfId="963" xr:uid="{00000000-0005-0000-0000-0000C7030000}"/>
    <cellStyle name="Normal 13 10 2" xfId="2122" xr:uid="{00000000-0005-0000-0000-00004E080000}"/>
    <cellStyle name="Normal 13 10 2 2" xfId="3071" xr:uid="{00000000-0005-0000-0000-0000030C0000}"/>
    <cellStyle name="Normal 13 10 2 2 2" xfId="4129" xr:uid="{00000000-0005-0000-0000-000025100000}"/>
    <cellStyle name="Normal 13 10 2 2 2 2" xfId="18475" xr:uid="{00000000-0005-0000-0000-00002F480000}"/>
    <cellStyle name="Normal 13 10 2 2 2 2 2" xfId="24987" xr:uid="{00000000-0005-0000-0000-00009F610000}"/>
    <cellStyle name="Normal 13 10 2 2 2 3" xfId="22152" xr:uid="{00000000-0005-0000-0000-00008C560000}"/>
    <cellStyle name="Normal 13 10 2 2 2 4" xfId="10247" xr:uid="{00000000-0005-0000-0000-00000B280000}"/>
    <cellStyle name="Normal 13 10 2 2 3" xfId="17065" xr:uid="{00000000-0005-0000-0000-0000AD420000}"/>
    <cellStyle name="Normal 13 10 2 2 3 2" xfId="23722" xr:uid="{00000000-0005-0000-0000-0000AE5C0000}"/>
    <cellStyle name="Normal 13 10 2 2 4" xfId="20590" xr:uid="{00000000-0005-0000-0000-000072500000}"/>
    <cellStyle name="Normal 13 10 2 2 5" xfId="8385" xr:uid="{00000000-0005-0000-0000-0000C5200000}"/>
    <cellStyle name="Normal 13 10 2 3" xfId="3297" xr:uid="{00000000-0005-0000-0000-0000E50C0000}"/>
    <cellStyle name="Normal 13 10 2 3 2" xfId="4339" xr:uid="{00000000-0005-0000-0000-0000F7100000}"/>
    <cellStyle name="Normal 13 10 2 3 2 2" xfId="18636" xr:uid="{00000000-0005-0000-0000-0000D0480000}"/>
    <cellStyle name="Normal 13 10 2 3 2 2 2" xfId="25148" xr:uid="{00000000-0005-0000-0000-000040620000}"/>
    <cellStyle name="Normal 13 10 2 3 2 3" xfId="22313" xr:uid="{00000000-0005-0000-0000-00002D570000}"/>
    <cellStyle name="Normal 13 10 2 3 2 4" xfId="10408" xr:uid="{00000000-0005-0000-0000-0000AC280000}"/>
    <cellStyle name="Normal 13 10 2 3 3" xfId="17315" xr:uid="{00000000-0005-0000-0000-0000A7430000}"/>
    <cellStyle name="Normal 13 10 2 3 3 2" xfId="23892" xr:uid="{00000000-0005-0000-0000-0000585D0000}"/>
    <cellStyle name="Normal 13 10 2 3 4" xfId="21057" xr:uid="{00000000-0005-0000-0000-000045520000}"/>
    <cellStyle name="Normal 13 10 2 3 5" xfId="9062" xr:uid="{00000000-0005-0000-0000-00006A230000}"/>
    <cellStyle name="Normal 13 10 2 4" xfId="3919" xr:uid="{00000000-0005-0000-0000-0000530F0000}"/>
    <cellStyle name="Normal 13 10 2 4 2" xfId="18057" xr:uid="{00000000-0005-0000-0000-00008D460000}"/>
    <cellStyle name="Normal 13 10 2 4 2 2" xfId="24569" xr:uid="{00000000-0005-0000-0000-0000FD5F0000}"/>
    <cellStyle name="Normal 13 10 2 4 3" xfId="21734" xr:uid="{00000000-0005-0000-0000-0000EA540000}"/>
    <cellStyle name="Normal 13 10 2 4 4" xfId="9829" xr:uid="{00000000-0005-0000-0000-000069260000}"/>
    <cellStyle name="Normal 13 10 2 5" xfId="10818" xr:uid="{00000000-0005-0000-0000-0000462A0000}"/>
    <cellStyle name="Normal 13 10 2 5 2" xfId="22717" xr:uid="{00000000-0005-0000-0000-0000C1580000}"/>
    <cellStyle name="Normal 13 10 2 6" xfId="20172" xr:uid="{00000000-0005-0000-0000-0000D04E0000}"/>
    <cellStyle name="Normal 13 10 2 7" xfId="7966" xr:uid="{00000000-0005-0000-0000-0000221F0000}"/>
    <cellStyle name="Normal 13 10 3" xfId="2950" xr:uid="{00000000-0005-0000-0000-00008A0B0000}"/>
    <cellStyle name="Normal 13 10 3 2" xfId="4024" xr:uid="{00000000-0005-0000-0000-0000BC0F0000}"/>
    <cellStyle name="Normal 13 10 3 2 2" xfId="10407" xr:uid="{00000000-0005-0000-0000-0000AB280000}"/>
    <cellStyle name="Normal 13 10 3 2 2 2" xfId="18635" xr:uid="{00000000-0005-0000-0000-0000CF480000}"/>
    <cellStyle name="Normal 13 10 3 2 2 2 2" xfId="25147" xr:uid="{00000000-0005-0000-0000-00003F620000}"/>
    <cellStyle name="Normal 13 10 3 2 2 3" xfId="22312" xr:uid="{00000000-0005-0000-0000-00002C570000}"/>
    <cellStyle name="Normal 13 10 3 2 3" xfId="17314" xr:uid="{00000000-0005-0000-0000-0000A6430000}"/>
    <cellStyle name="Normal 13 10 3 2 3 2" xfId="23891" xr:uid="{00000000-0005-0000-0000-0000575D0000}"/>
    <cellStyle name="Normal 13 10 3 2 4" xfId="21056" xr:uid="{00000000-0005-0000-0000-000044520000}"/>
    <cellStyle name="Normal 13 10 3 2 5" xfId="9061" xr:uid="{00000000-0005-0000-0000-000069230000}"/>
    <cellStyle name="Normal 13 10 3 3" xfId="10038" xr:uid="{00000000-0005-0000-0000-00003A270000}"/>
    <cellStyle name="Normal 13 10 3 3 2" xfId="18266" xr:uid="{00000000-0005-0000-0000-00005E470000}"/>
    <cellStyle name="Normal 13 10 3 3 2 2" xfId="24778" xr:uid="{00000000-0005-0000-0000-0000CE600000}"/>
    <cellStyle name="Normal 13 10 3 3 3" xfId="21943" xr:uid="{00000000-0005-0000-0000-0000BB550000}"/>
    <cellStyle name="Normal 13 10 3 4" xfId="16857" xr:uid="{00000000-0005-0000-0000-0000DD410000}"/>
    <cellStyle name="Normal 13 10 3 4 2" xfId="23514" xr:uid="{00000000-0005-0000-0000-0000DE5B0000}"/>
    <cellStyle name="Normal 13 10 3 5" xfId="20381" xr:uid="{00000000-0005-0000-0000-0000A14F0000}"/>
    <cellStyle name="Normal 13 10 3 6" xfId="8176" xr:uid="{00000000-0005-0000-0000-0000F41F0000}"/>
    <cellStyle name="Normal 13 10 4" xfId="3176" xr:uid="{00000000-0005-0000-0000-00006C0C0000}"/>
    <cellStyle name="Normal 13 10 4 2" xfId="4234" xr:uid="{00000000-0005-0000-0000-00008E100000}"/>
    <cellStyle name="Normal 13 10 4 3" xfId="8708" xr:uid="{00000000-0005-0000-0000-000008220000}"/>
    <cellStyle name="Normal 13 10 5" xfId="3627" xr:uid="{00000000-0005-0000-0000-00002F0E0000}"/>
    <cellStyle name="Normal 13 10 5 2" xfId="17848" xr:uid="{00000000-0005-0000-0000-0000BC450000}"/>
    <cellStyle name="Normal 13 10 5 2 2" xfId="24360" xr:uid="{00000000-0005-0000-0000-00002C5F0000}"/>
    <cellStyle name="Normal 13 10 5 3" xfId="21525" xr:uid="{00000000-0005-0000-0000-000019540000}"/>
    <cellStyle name="Normal 13 10 5 4" xfId="9620" xr:uid="{00000000-0005-0000-0000-000098250000}"/>
    <cellStyle name="Normal 13 10 6" xfId="10817" xr:uid="{00000000-0005-0000-0000-0000452A0000}"/>
    <cellStyle name="Normal 13 10 6 2" xfId="22716" xr:uid="{00000000-0005-0000-0000-0000C0580000}"/>
    <cellStyle name="Normal 13 10 7" xfId="19963" xr:uid="{00000000-0005-0000-0000-0000FF4D0000}"/>
    <cellStyle name="Normal 13 10 8" xfId="7721" xr:uid="{00000000-0005-0000-0000-00002D1E0000}"/>
    <cellStyle name="Normal 13 11" xfId="964" xr:uid="{00000000-0005-0000-0000-0000C8030000}"/>
    <cellStyle name="Normal 13 11 2" xfId="2123" xr:uid="{00000000-0005-0000-0000-00004F080000}"/>
    <cellStyle name="Normal 13 11 2 2" xfId="3072" xr:uid="{00000000-0005-0000-0000-0000040C0000}"/>
    <cellStyle name="Normal 13 11 2 2 2" xfId="4130" xr:uid="{00000000-0005-0000-0000-000026100000}"/>
    <cellStyle name="Normal 13 11 2 2 2 2" xfId="18476" xr:uid="{00000000-0005-0000-0000-000030480000}"/>
    <cellStyle name="Normal 13 11 2 2 2 2 2" xfId="24988" xr:uid="{00000000-0005-0000-0000-0000A0610000}"/>
    <cellStyle name="Normal 13 11 2 2 2 3" xfId="22153" xr:uid="{00000000-0005-0000-0000-00008D560000}"/>
    <cellStyle name="Normal 13 11 2 2 2 4" xfId="10248" xr:uid="{00000000-0005-0000-0000-00000C280000}"/>
    <cellStyle name="Normal 13 11 2 2 3" xfId="17066" xr:uid="{00000000-0005-0000-0000-0000AE420000}"/>
    <cellStyle name="Normal 13 11 2 2 3 2" xfId="23723" xr:uid="{00000000-0005-0000-0000-0000AF5C0000}"/>
    <cellStyle name="Normal 13 11 2 2 4" xfId="20591" xr:uid="{00000000-0005-0000-0000-000073500000}"/>
    <cellStyle name="Normal 13 11 2 2 5" xfId="8386" xr:uid="{00000000-0005-0000-0000-0000C6200000}"/>
    <cellStyle name="Normal 13 11 2 3" xfId="3298" xr:uid="{00000000-0005-0000-0000-0000E60C0000}"/>
    <cellStyle name="Normal 13 11 2 3 2" xfId="4340" xr:uid="{00000000-0005-0000-0000-0000F8100000}"/>
    <cellStyle name="Normal 13 11 2 3 2 2" xfId="18638" xr:uid="{00000000-0005-0000-0000-0000D2480000}"/>
    <cellStyle name="Normal 13 11 2 3 2 2 2" xfId="25150" xr:uid="{00000000-0005-0000-0000-000042620000}"/>
    <cellStyle name="Normal 13 11 2 3 2 3" xfId="22315" xr:uid="{00000000-0005-0000-0000-00002F570000}"/>
    <cellStyle name="Normal 13 11 2 3 2 4" xfId="10410" xr:uid="{00000000-0005-0000-0000-0000AE280000}"/>
    <cellStyle name="Normal 13 11 2 3 3" xfId="17317" xr:uid="{00000000-0005-0000-0000-0000A9430000}"/>
    <cellStyle name="Normal 13 11 2 3 3 2" xfId="23894" xr:uid="{00000000-0005-0000-0000-00005A5D0000}"/>
    <cellStyle name="Normal 13 11 2 3 4" xfId="21059" xr:uid="{00000000-0005-0000-0000-000047520000}"/>
    <cellStyle name="Normal 13 11 2 3 5" xfId="9064" xr:uid="{00000000-0005-0000-0000-00006C230000}"/>
    <cellStyle name="Normal 13 11 2 4" xfId="3920" xr:uid="{00000000-0005-0000-0000-0000540F0000}"/>
    <cellStyle name="Normal 13 11 2 4 2" xfId="18058" xr:uid="{00000000-0005-0000-0000-00008E460000}"/>
    <cellStyle name="Normal 13 11 2 4 2 2" xfId="24570" xr:uid="{00000000-0005-0000-0000-0000FE5F0000}"/>
    <cellStyle name="Normal 13 11 2 4 3" xfId="21735" xr:uid="{00000000-0005-0000-0000-0000EB540000}"/>
    <cellStyle name="Normal 13 11 2 4 4" xfId="9830" xr:uid="{00000000-0005-0000-0000-00006A260000}"/>
    <cellStyle name="Normal 13 11 2 5" xfId="10820" xr:uid="{00000000-0005-0000-0000-0000482A0000}"/>
    <cellStyle name="Normal 13 11 2 5 2" xfId="22719" xr:uid="{00000000-0005-0000-0000-0000C3580000}"/>
    <cellStyle name="Normal 13 11 2 6" xfId="20173" xr:uid="{00000000-0005-0000-0000-0000D14E0000}"/>
    <cellStyle name="Normal 13 11 2 7" xfId="7967" xr:uid="{00000000-0005-0000-0000-0000231F0000}"/>
    <cellStyle name="Normal 13 11 3" xfId="2951" xr:uid="{00000000-0005-0000-0000-00008B0B0000}"/>
    <cellStyle name="Normal 13 11 3 2" xfId="4025" xr:uid="{00000000-0005-0000-0000-0000BD0F0000}"/>
    <cellStyle name="Normal 13 11 3 2 2" xfId="10409" xr:uid="{00000000-0005-0000-0000-0000AD280000}"/>
    <cellStyle name="Normal 13 11 3 2 2 2" xfId="18637" xr:uid="{00000000-0005-0000-0000-0000D1480000}"/>
    <cellStyle name="Normal 13 11 3 2 2 2 2" xfId="25149" xr:uid="{00000000-0005-0000-0000-000041620000}"/>
    <cellStyle name="Normal 13 11 3 2 2 3" xfId="22314" xr:uid="{00000000-0005-0000-0000-00002E570000}"/>
    <cellStyle name="Normal 13 11 3 2 3" xfId="17316" xr:uid="{00000000-0005-0000-0000-0000A8430000}"/>
    <cellStyle name="Normal 13 11 3 2 3 2" xfId="23893" xr:uid="{00000000-0005-0000-0000-0000595D0000}"/>
    <cellStyle name="Normal 13 11 3 2 4" xfId="21058" xr:uid="{00000000-0005-0000-0000-000046520000}"/>
    <cellStyle name="Normal 13 11 3 2 5" xfId="9063" xr:uid="{00000000-0005-0000-0000-00006B230000}"/>
    <cellStyle name="Normal 13 11 3 3" xfId="10039" xr:uid="{00000000-0005-0000-0000-00003B270000}"/>
    <cellStyle name="Normal 13 11 3 3 2" xfId="18267" xr:uid="{00000000-0005-0000-0000-00005F470000}"/>
    <cellStyle name="Normal 13 11 3 3 2 2" xfId="24779" xr:uid="{00000000-0005-0000-0000-0000CF600000}"/>
    <cellStyle name="Normal 13 11 3 3 3" xfId="21944" xr:uid="{00000000-0005-0000-0000-0000BC550000}"/>
    <cellStyle name="Normal 13 11 3 4" xfId="16858" xr:uid="{00000000-0005-0000-0000-0000DE410000}"/>
    <cellStyle name="Normal 13 11 3 4 2" xfId="23515" xr:uid="{00000000-0005-0000-0000-0000DF5B0000}"/>
    <cellStyle name="Normal 13 11 3 5" xfId="20382" xr:uid="{00000000-0005-0000-0000-0000A24F0000}"/>
    <cellStyle name="Normal 13 11 3 6" xfId="8177" xr:uid="{00000000-0005-0000-0000-0000F51F0000}"/>
    <cellStyle name="Normal 13 11 4" xfId="3177" xr:uid="{00000000-0005-0000-0000-00006D0C0000}"/>
    <cellStyle name="Normal 13 11 4 2" xfId="4235" xr:uid="{00000000-0005-0000-0000-00008F100000}"/>
    <cellStyle name="Normal 13 11 4 3" xfId="8709" xr:uid="{00000000-0005-0000-0000-000009220000}"/>
    <cellStyle name="Normal 13 11 5" xfId="3628" xr:uid="{00000000-0005-0000-0000-0000300E0000}"/>
    <cellStyle name="Normal 13 11 5 2" xfId="17849" xr:uid="{00000000-0005-0000-0000-0000BD450000}"/>
    <cellStyle name="Normal 13 11 5 2 2" xfId="24361" xr:uid="{00000000-0005-0000-0000-00002D5F0000}"/>
    <cellStyle name="Normal 13 11 5 3" xfId="21526" xr:uid="{00000000-0005-0000-0000-00001A540000}"/>
    <cellStyle name="Normal 13 11 5 4" xfId="9621" xr:uid="{00000000-0005-0000-0000-000099250000}"/>
    <cellStyle name="Normal 13 11 6" xfId="10819" xr:uid="{00000000-0005-0000-0000-0000472A0000}"/>
    <cellStyle name="Normal 13 11 6 2" xfId="22718" xr:uid="{00000000-0005-0000-0000-0000C2580000}"/>
    <cellStyle name="Normal 13 11 7" xfId="19964" xr:uid="{00000000-0005-0000-0000-0000004E0000}"/>
    <cellStyle name="Normal 13 11 8" xfId="7722" xr:uid="{00000000-0005-0000-0000-00002E1E0000}"/>
    <cellStyle name="Normal 13 12" xfId="965" xr:uid="{00000000-0005-0000-0000-0000C9030000}"/>
    <cellStyle name="Normal 13 13" xfId="966" xr:uid="{00000000-0005-0000-0000-0000CA030000}"/>
    <cellStyle name="Normal 13 13 2" xfId="2124" xr:uid="{00000000-0005-0000-0000-000050080000}"/>
    <cellStyle name="Normal 13 13 2 2" xfId="3073" xr:uid="{00000000-0005-0000-0000-0000050C0000}"/>
    <cellStyle name="Normal 13 13 2 2 2" xfId="4131" xr:uid="{00000000-0005-0000-0000-000027100000}"/>
    <cellStyle name="Normal 13 13 2 2 2 2" xfId="18477" xr:uid="{00000000-0005-0000-0000-000031480000}"/>
    <cellStyle name="Normal 13 13 2 2 2 2 2" xfId="24989" xr:uid="{00000000-0005-0000-0000-0000A1610000}"/>
    <cellStyle name="Normal 13 13 2 2 2 3" xfId="22154" xr:uid="{00000000-0005-0000-0000-00008E560000}"/>
    <cellStyle name="Normal 13 13 2 2 2 4" xfId="10249" xr:uid="{00000000-0005-0000-0000-00000D280000}"/>
    <cellStyle name="Normal 13 13 2 2 3" xfId="17067" xr:uid="{00000000-0005-0000-0000-0000AF420000}"/>
    <cellStyle name="Normal 13 13 2 2 3 2" xfId="23724" xr:uid="{00000000-0005-0000-0000-0000B05C0000}"/>
    <cellStyle name="Normal 13 13 2 2 4" xfId="20592" xr:uid="{00000000-0005-0000-0000-000074500000}"/>
    <cellStyle name="Normal 13 13 2 2 5" xfId="8387" xr:uid="{00000000-0005-0000-0000-0000C7200000}"/>
    <cellStyle name="Normal 13 13 2 3" xfId="3299" xr:uid="{00000000-0005-0000-0000-0000E70C0000}"/>
    <cellStyle name="Normal 13 13 2 3 2" xfId="4341" xr:uid="{00000000-0005-0000-0000-0000F9100000}"/>
    <cellStyle name="Normal 13 13 2 3 2 2" xfId="18640" xr:uid="{00000000-0005-0000-0000-0000D4480000}"/>
    <cellStyle name="Normal 13 13 2 3 2 2 2" xfId="25152" xr:uid="{00000000-0005-0000-0000-000044620000}"/>
    <cellStyle name="Normal 13 13 2 3 2 3" xfId="22317" xr:uid="{00000000-0005-0000-0000-000031570000}"/>
    <cellStyle name="Normal 13 13 2 3 2 4" xfId="10412" xr:uid="{00000000-0005-0000-0000-0000B0280000}"/>
    <cellStyle name="Normal 13 13 2 3 3" xfId="17319" xr:uid="{00000000-0005-0000-0000-0000AB430000}"/>
    <cellStyle name="Normal 13 13 2 3 3 2" xfId="23896" xr:uid="{00000000-0005-0000-0000-00005C5D0000}"/>
    <cellStyle name="Normal 13 13 2 3 4" xfId="21061" xr:uid="{00000000-0005-0000-0000-000049520000}"/>
    <cellStyle name="Normal 13 13 2 3 5" xfId="9066" xr:uid="{00000000-0005-0000-0000-00006E230000}"/>
    <cellStyle name="Normal 13 13 2 4" xfId="3921" xr:uid="{00000000-0005-0000-0000-0000550F0000}"/>
    <cellStyle name="Normal 13 13 2 4 2" xfId="18059" xr:uid="{00000000-0005-0000-0000-00008F460000}"/>
    <cellStyle name="Normal 13 13 2 4 2 2" xfId="24571" xr:uid="{00000000-0005-0000-0000-0000FF5F0000}"/>
    <cellStyle name="Normal 13 13 2 4 3" xfId="21736" xr:uid="{00000000-0005-0000-0000-0000EC540000}"/>
    <cellStyle name="Normal 13 13 2 4 4" xfId="9831" xr:uid="{00000000-0005-0000-0000-00006B260000}"/>
    <cellStyle name="Normal 13 13 2 5" xfId="10822" xr:uid="{00000000-0005-0000-0000-00004A2A0000}"/>
    <cellStyle name="Normal 13 13 2 5 2" xfId="22721" xr:uid="{00000000-0005-0000-0000-0000C5580000}"/>
    <cellStyle name="Normal 13 13 2 6" xfId="20174" xr:uid="{00000000-0005-0000-0000-0000D24E0000}"/>
    <cellStyle name="Normal 13 13 2 7" xfId="7968" xr:uid="{00000000-0005-0000-0000-0000241F0000}"/>
    <cellStyle name="Normal 13 13 3" xfId="2952" xr:uid="{00000000-0005-0000-0000-00008C0B0000}"/>
    <cellStyle name="Normal 13 13 3 2" xfId="4026" xr:uid="{00000000-0005-0000-0000-0000BE0F0000}"/>
    <cellStyle name="Normal 13 13 3 2 2" xfId="10411" xr:uid="{00000000-0005-0000-0000-0000AF280000}"/>
    <cellStyle name="Normal 13 13 3 2 2 2" xfId="18639" xr:uid="{00000000-0005-0000-0000-0000D3480000}"/>
    <cellStyle name="Normal 13 13 3 2 2 2 2" xfId="25151" xr:uid="{00000000-0005-0000-0000-000043620000}"/>
    <cellStyle name="Normal 13 13 3 2 2 3" xfId="22316" xr:uid="{00000000-0005-0000-0000-000030570000}"/>
    <cellStyle name="Normal 13 13 3 2 3" xfId="17318" xr:uid="{00000000-0005-0000-0000-0000AA430000}"/>
    <cellStyle name="Normal 13 13 3 2 3 2" xfId="23895" xr:uid="{00000000-0005-0000-0000-00005B5D0000}"/>
    <cellStyle name="Normal 13 13 3 2 4" xfId="21060" xr:uid="{00000000-0005-0000-0000-000048520000}"/>
    <cellStyle name="Normal 13 13 3 2 5" xfId="9065" xr:uid="{00000000-0005-0000-0000-00006D230000}"/>
    <cellStyle name="Normal 13 13 3 3" xfId="10040" xr:uid="{00000000-0005-0000-0000-00003C270000}"/>
    <cellStyle name="Normal 13 13 3 3 2" xfId="18268" xr:uid="{00000000-0005-0000-0000-000060470000}"/>
    <cellStyle name="Normal 13 13 3 3 2 2" xfId="24780" xr:uid="{00000000-0005-0000-0000-0000D0600000}"/>
    <cellStyle name="Normal 13 13 3 3 3" xfId="21945" xr:uid="{00000000-0005-0000-0000-0000BD550000}"/>
    <cellStyle name="Normal 13 13 3 4" xfId="16859" xr:uid="{00000000-0005-0000-0000-0000DF410000}"/>
    <cellStyle name="Normal 13 13 3 4 2" xfId="23516" xr:uid="{00000000-0005-0000-0000-0000E05B0000}"/>
    <cellStyle name="Normal 13 13 3 5" xfId="20383" xr:uid="{00000000-0005-0000-0000-0000A34F0000}"/>
    <cellStyle name="Normal 13 13 3 6" xfId="8178" xr:uid="{00000000-0005-0000-0000-0000F61F0000}"/>
    <cellStyle name="Normal 13 13 4" xfId="3178" xr:uid="{00000000-0005-0000-0000-00006E0C0000}"/>
    <cellStyle name="Normal 13 13 4 2" xfId="4236" xr:uid="{00000000-0005-0000-0000-000090100000}"/>
    <cellStyle name="Normal 13 13 4 3" xfId="8710" xr:uid="{00000000-0005-0000-0000-00000A220000}"/>
    <cellStyle name="Normal 13 13 5" xfId="3629" xr:uid="{00000000-0005-0000-0000-0000310E0000}"/>
    <cellStyle name="Normal 13 13 5 2" xfId="17850" xr:uid="{00000000-0005-0000-0000-0000BE450000}"/>
    <cellStyle name="Normal 13 13 5 2 2" xfId="24362" xr:uid="{00000000-0005-0000-0000-00002E5F0000}"/>
    <cellStyle name="Normal 13 13 5 3" xfId="21527" xr:uid="{00000000-0005-0000-0000-00001B540000}"/>
    <cellStyle name="Normal 13 13 5 4" xfId="9622" xr:uid="{00000000-0005-0000-0000-00009A250000}"/>
    <cellStyle name="Normal 13 13 6" xfId="10821" xr:uid="{00000000-0005-0000-0000-0000492A0000}"/>
    <cellStyle name="Normal 13 13 6 2" xfId="22720" xr:uid="{00000000-0005-0000-0000-0000C4580000}"/>
    <cellStyle name="Normal 13 13 7" xfId="19965" xr:uid="{00000000-0005-0000-0000-0000014E0000}"/>
    <cellStyle name="Normal 13 13 8" xfId="7723" xr:uid="{00000000-0005-0000-0000-00002F1E0000}"/>
    <cellStyle name="Normal 13 14" xfId="967" xr:uid="{00000000-0005-0000-0000-0000CB030000}"/>
    <cellStyle name="Normal 13 14 2" xfId="2125" xr:uid="{00000000-0005-0000-0000-000051080000}"/>
    <cellStyle name="Normal 13 14 2 2" xfId="3074" xr:uid="{00000000-0005-0000-0000-0000060C0000}"/>
    <cellStyle name="Normal 13 14 2 2 2" xfId="4132" xr:uid="{00000000-0005-0000-0000-000028100000}"/>
    <cellStyle name="Normal 13 14 2 2 2 2" xfId="18478" xr:uid="{00000000-0005-0000-0000-000032480000}"/>
    <cellStyle name="Normal 13 14 2 2 2 2 2" xfId="24990" xr:uid="{00000000-0005-0000-0000-0000A2610000}"/>
    <cellStyle name="Normal 13 14 2 2 2 3" xfId="22155" xr:uid="{00000000-0005-0000-0000-00008F560000}"/>
    <cellStyle name="Normal 13 14 2 2 2 4" xfId="10250" xr:uid="{00000000-0005-0000-0000-00000E280000}"/>
    <cellStyle name="Normal 13 14 2 2 3" xfId="17068" xr:uid="{00000000-0005-0000-0000-0000B0420000}"/>
    <cellStyle name="Normal 13 14 2 2 3 2" xfId="23725" xr:uid="{00000000-0005-0000-0000-0000B15C0000}"/>
    <cellStyle name="Normal 13 14 2 2 4" xfId="20593" xr:uid="{00000000-0005-0000-0000-000075500000}"/>
    <cellStyle name="Normal 13 14 2 2 5" xfId="8388" xr:uid="{00000000-0005-0000-0000-0000C8200000}"/>
    <cellStyle name="Normal 13 14 2 3" xfId="3300" xr:uid="{00000000-0005-0000-0000-0000E80C0000}"/>
    <cellStyle name="Normal 13 14 2 3 2" xfId="4342" xr:uid="{00000000-0005-0000-0000-0000FA100000}"/>
    <cellStyle name="Normal 13 14 2 3 2 2" xfId="18642" xr:uid="{00000000-0005-0000-0000-0000D6480000}"/>
    <cellStyle name="Normal 13 14 2 3 2 2 2" xfId="25154" xr:uid="{00000000-0005-0000-0000-000046620000}"/>
    <cellStyle name="Normal 13 14 2 3 2 3" xfId="22319" xr:uid="{00000000-0005-0000-0000-000033570000}"/>
    <cellStyle name="Normal 13 14 2 3 2 4" xfId="10414" xr:uid="{00000000-0005-0000-0000-0000B2280000}"/>
    <cellStyle name="Normal 13 14 2 3 3" xfId="17321" xr:uid="{00000000-0005-0000-0000-0000AD430000}"/>
    <cellStyle name="Normal 13 14 2 3 3 2" xfId="23898" xr:uid="{00000000-0005-0000-0000-00005E5D0000}"/>
    <cellStyle name="Normal 13 14 2 3 4" xfId="21063" xr:uid="{00000000-0005-0000-0000-00004B520000}"/>
    <cellStyle name="Normal 13 14 2 3 5" xfId="9068" xr:uid="{00000000-0005-0000-0000-000070230000}"/>
    <cellStyle name="Normal 13 14 2 4" xfId="3922" xr:uid="{00000000-0005-0000-0000-0000560F0000}"/>
    <cellStyle name="Normal 13 14 2 4 2" xfId="18060" xr:uid="{00000000-0005-0000-0000-000090460000}"/>
    <cellStyle name="Normal 13 14 2 4 2 2" xfId="24572" xr:uid="{00000000-0005-0000-0000-000000600000}"/>
    <cellStyle name="Normal 13 14 2 4 3" xfId="21737" xr:uid="{00000000-0005-0000-0000-0000ED540000}"/>
    <cellStyle name="Normal 13 14 2 4 4" xfId="9832" xr:uid="{00000000-0005-0000-0000-00006C260000}"/>
    <cellStyle name="Normal 13 14 2 5" xfId="10824" xr:uid="{00000000-0005-0000-0000-00004C2A0000}"/>
    <cellStyle name="Normal 13 14 2 5 2" xfId="22723" xr:uid="{00000000-0005-0000-0000-0000C7580000}"/>
    <cellStyle name="Normal 13 14 2 6" xfId="20175" xr:uid="{00000000-0005-0000-0000-0000D34E0000}"/>
    <cellStyle name="Normal 13 14 2 7" xfId="7969" xr:uid="{00000000-0005-0000-0000-0000251F0000}"/>
    <cellStyle name="Normal 13 14 3" xfId="2953" xr:uid="{00000000-0005-0000-0000-00008D0B0000}"/>
    <cellStyle name="Normal 13 14 3 2" xfId="4027" xr:uid="{00000000-0005-0000-0000-0000BF0F0000}"/>
    <cellStyle name="Normal 13 14 3 2 2" xfId="10413" xr:uid="{00000000-0005-0000-0000-0000B1280000}"/>
    <cellStyle name="Normal 13 14 3 2 2 2" xfId="18641" xr:uid="{00000000-0005-0000-0000-0000D5480000}"/>
    <cellStyle name="Normal 13 14 3 2 2 2 2" xfId="25153" xr:uid="{00000000-0005-0000-0000-000045620000}"/>
    <cellStyle name="Normal 13 14 3 2 2 3" xfId="22318" xr:uid="{00000000-0005-0000-0000-000032570000}"/>
    <cellStyle name="Normal 13 14 3 2 3" xfId="17320" xr:uid="{00000000-0005-0000-0000-0000AC430000}"/>
    <cellStyle name="Normal 13 14 3 2 3 2" xfId="23897" xr:uid="{00000000-0005-0000-0000-00005D5D0000}"/>
    <cellStyle name="Normal 13 14 3 2 4" xfId="21062" xr:uid="{00000000-0005-0000-0000-00004A520000}"/>
    <cellStyle name="Normal 13 14 3 2 5" xfId="9067" xr:uid="{00000000-0005-0000-0000-00006F230000}"/>
    <cellStyle name="Normal 13 14 3 3" xfId="10041" xr:uid="{00000000-0005-0000-0000-00003D270000}"/>
    <cellStyle name="Normal 13 14 3 3 2" xfId="18269" xr:uid="{00000000-0005-0000-0000-000061470000}"/>
    <cellStyle name="Normal 13 14 3 3 2 2" xfId="24781" xr:uid="{00000000-0005-0000-0000-0000D1600000}"/>
    <cellStyle name="Normal 13 14 3 3 3" xfId="21946" xr:uid="{00000000-0005-0000-0000-0000BE550000}"/>
    <cellStyle name="Normal 13 14 3 4" xfId="16860" xr:uid="{00000000-0005-0000-0000-0000E0410000}"/>
    <cellStyle name="Normal 13 14 3 4 2" xfId="23517" xr:uid="{00000000-0005-0000-0000-0000E15B0000}"/>
    <cellStyle name="Normal 13 14 3 5" xfId="20384" xr:uid="{00000000-0005-0000-0000-0000A44F0000}"/>
    <cellStyle name="Normal 13 14 3 6" xfId="8179" xr:uid="{00000000-0005-0000-0000-0000F71F0000}"/>
    <cellStyle name="Normal 13 14 4" xfId="3179" xr:uid="{00000000-0005-0000-0000-00006F0C0000}"/>
    <cellStyle name="Normal 13 14 4 2" xfId="4237" xr:uid="{00000000-0005-0000-0000-000091100000}"/>
    <cellStyle name="Normal 13 14 4 3" xfId="8711" xr:uid="{00000000-0005-0000-0000-00000B220000}"/>
    <cellStyle name="Normal 13 14 5" xfId="3630" xr:uid="{00000000-0005-0000-0000-0000320E0000}"/>
    <cellStyle name="Normal 13 14 5 2" xfId="17851" xr:uid="{00000000-0005-0000-0000-0000BF450000}"/>
    <cellStyle name="Normal 13 14 5 2 2" xfId="24363" xr:uid="{00000000-0005-0000-0000-00002F5F0000}"/>
    <cellStyle name="Normal 13 14 5 3" xfId="21528" xr:uid="{00000000-0005-0000-0000-00001C540000}"/>
    <cellStyle name="Normal 13 14 5 4" xfId="9623" xr:uid="{00000000-0005-0000-0000-00009B250000}"/>
    <cellStyle name="Normal 13 14 6" xfId="10823" xr:uid="{00000000-0005-0000-0000-00004B2A0000}"/>
    <cellStyle name="Normal 13 14 6 2" xfId="22722" xr:uid="{00000000-0005-0000-0000-0000C6580000}"/>
    <cellStyle name="Normal 13 14 7" xfId="19966" xr:uid="{00000000-0005-0000-0000-0000024E0000}"/>
    <cellStyle name="Normal 13 14 8" xfId="7724" xr:uid="{00000000-0005-0000-0000-0000301E0000}"/>
    <cellStyle name="Normal 13 15" xfId="968" xr:uid="{00000000-0005-0000-0000-0000CC030000}"/>
    <cellStyle name="Normal 13 15 2" xfId="2126" xr:uid="{00000000-0005-0000-0000-000052080000}"/>
    <cellStyle name="Normal 13 15 2 2" xfId="3075" xr:uid="{00000000-0005-0000-0000-0000070C0000}"/>
    <cellStyle name="Normal 13 15 2 2 2" xfId="4133" xr:uid="{00000000-0005-0000-0000-000029100000}"/>
    <cellStyle name="Normal 13 15 2 2 2 2" xfId="18479" xr:uid="{00000000-0005-0000-0000-000033480000}"/>
    <cellStyle name="Normal 13 15 2 2 2 2 2" xfId="24991" xr:uid="{00000000-0005-0000-0000-0000A3610000}"/>
    <cellStyle name="Normal 13 15 2 2 2 3" xfId="22156" xr:uid="{00000000-0005-0000-0000-000090560000}"/>
    <cellStyle name="Normal 13 15 2 2 2 4" xfId="10251" xr:uid="{00000000-0005-0000-0000-00000F280000}"/>
    <cellStyle name="Normal 13 15 2 2 3" xfId="17069" xr:uid="{00000000-0005-0000-0000-0000B1420000}"/>
    <cellStyle name="Normal 13 15 2 2 3 2" xfId="23726" xr:uid="{00000000-0005-0000-0000-0000B25C0000}"/>
    <cellStyle name="Normal 13 15 2 2 4" xfId="20594" xr:uid="{00000000-0005-0000-0000-000076500000}"/>
    <cellStyle name="Normal 13 15 2 2 5" xfId="8389" xr:uid="{00000000-0005-0000-0000-0000C9200000}"/>
    <cellStyle name="Normal 13 15 2 3" xfId="3301" xr:uid="{00000000-0005-0000-0000-0000E90C0000}"/>
    <cellStyle name="Normal 13 15 2 3 2" xfId="4343" xr:uid="{00000000-0005-0000-0000-0000FB100000}"/>
    <cellStyle name="Normal 13 15 2 3 2 2" xfId="18644" xr:uid="{00000000-0005-0000-0000-0000D8480000}"/>
    <cellStyle name="Normal 13 15 2 3 2 2 2" xfId="25156" xr:uid="{00000000-0005-0000-0000-000048620000}"/>
    <cellStyle name="Normal 13 15 2 3 2 3" xfId="22321" xr:uid="{00000000-0005-0000-0000-000035570000}"/>
    <cellStyle name="Normal 13 15 2 3 2 4" xfId="10416" xr:uid="{00000000-0005-0000-0000-0000B4280000}"/>
    <cellStyle name="Normal 13 15 2 3 3" xfId="17323" xr:uid="{00000000-0005-0000-0000-0000AF430000}"/>
    <cellStyle name="Normal 13 15 2 3 3 2" xfId="23900" xr:uid="{00000000-0005-0000-0000-0000605D0000}"/>
    <cellStyle name="Normal 13 15 2 3 4" xfId="21065" xr:uid="{00000000-0005-0000-0000-00004D520000}"/>
    <cellStyle name="Normal 13 15 2 3 5" xfId="9070" xr:uid="{00000000-0005-0000-0000-000072230000}"/>
    <cellStyle name="Normal 13 15 2 4" xfId="3923" xr:uid="{00000000-0005-0000-0000-0000570F0000}"/>
    <cellStyle name="Normal 13 15 2 4 2" xfId="18061" xr:uid="{00000000-0005-0000-0000-000091460000}"/>
    <cellStyle name="Normal 13 15 2 4 2 2" xfId="24573" xr:uid="{00000000-0005-0000-0000-000001600000}"/>
    <cellStyle name="Normal 13 15 2 4 3" xfId="21738" xr:uid="{00000000-0005-0000-0000-0000EE540000}"/>
    <cellStyle name="Normal 13 15 2 4 4" xfId="9833" xr:uid="{00000000-0005-0000-0000-00006D260000}"/>
    <cellStyle name="Normal 13 15 2 5" xfId="10826" xr:uid="{00000000-0005-0000-0000-00004E2A0000}"/>
    <cellStyle name="Normal 13 15 2 5 2" xfId="22725" xr:uid="{00000000-0005-0000-0000-0000C9580000}"/>
    <cellStyle name="Normal 13 15 2 6" xfId="20176" xr:uid="{00000000-0005-0000-0000-0000D44E0000}"/>
    <cellStyle name="Normal 13 15 2 7" xfId="7970" xr:uid="{00000000-0005-0000-0000-0000261F0000}"/>
    <cellStyle name="Normal 13 15 3" xfId="2954" xr:uid="{00000000-0005-0000-0000-00008E0B0000}"/>
    <cellStyle name="Normal 13 15 3 2" xfId="4028" xr:uid="{00000000-0005-0000-0000-0000C00F0000}"/>
    <cellStyle name="Normal 13 15 3 2 2" xfId="10415" xr:uid="{00000000-0005-0000-0000-0000B3280000}"/>
    <cellStyle name="Normal 13 15 3 2 2 2" xfId="18643" xr:uid="{00000000-0005-0000-0000-0000D7480000}"/>
    <cellStyle name="Normal 13 15 3 2 2 2 2" xfId="25155" xr:uid="{00000000-0005-0000-0000-000047620000}"/>
    <cellStyle name="Normal 13 15 3 2 2 3" xfId="22320" xr:uid="{00000000-0005-0000-0000-000034570000}"/>
    <cellStyle name="Normal 13 15 3 2 3" xfId="17322" xr:uid="{00000000-0005-0000-0000-0000AE430000}"/>
    <cellStyle name="Normal 13 15 3 2 3 2" xfId="23899" xr:uid="{00000000-0005-0000-0000-00005F5D0000}"/>
    <cellStyle name="Normal 13 15 3 2 4" xfId="21064" xr:uid="{00000000-0005-0000-0000-00004C520000}"/>
    <cellStyle name="Normal 13 15 3 2 5" xfId="9069" xr:uid="{00000000-0005-0000-0000-000071230000}"/>
    <cellStyle name="Normal 13 15 3 3" xfId="10042" xr:uid="{00000000-0005-0000-0000-00003E270000}"/>
    <cellStyle name="Normal 13 15 3 3 2" xfId="18270" xr:uid="{00000000-0005-0000-0000-000062470000}"/>
    <cellStyle name="Normal 13 15 3 3 2 2" xfId="24782" xr:uid="{00000000-0005-0000-0000-0000D2600000}"/>
    <cellStyle name="Normal 13 15 3 3 3" xfId="21947" xr:uid="{00000000-0005-0000-0000-0000BF550000}"/>
    <cellStyle name="Normal 13 15 3 4" xfId="16861" xr:uid="{00000000-0005-0000-0000-0000E1410000}"/>
    <cellStyle name="Normal 13 15 3 4 2" xfId="23518" xr:uid="{00000000-0005-0000-0000-0000E25B0000}"/>
    <cellStyle name="Normal 13 15 3 5" xfId="20385" xr:uid="{00000000-0005-0000-0000-0000A54F0000}"/>
    <cellStyle name="Normal 13 15 3 6" xfId="8180" xr:uid="{00000000-0005-0000-0000-0000F81F0000}"/>
    <cellStyle name="Normal 13 15 4" xfId="3180" xr:uid="{00000000-0005-0000-0000-0000700C0000}"/>
    <cellStyle name="Normal 13 15 4 2" xfId="4238" xr:uid="{00000000-0005-0000-0000-000092100000}"/>
    <cellStyle name="Normal 13 15 4 3" xfId="8712" xr:uid="{00000000-0005-0000-0000-00000C220000}"/>
    <cellStyle name="Normal 13 15 5" xfId="3631" xr:uid="{00000000-0005-0000-0000-0000330E0000}"/>
    <cellStyle name="Normal 13 15 5 2" xfId="17852" xr:uid="{00000000-0005-0000-0000-0000C0450000}"/>
    <cellStyle name="Normal 13 15 5 2 2" xfId="24364" xr:uid="{00000000-0005-0000-0000-0000305F0000}"/>
    <cellStyle name="Normal 13 15 5 3" xfId="21529" xr:uid="{00000000-0005-0000-0000-00001D540000}"/>
    <cellStyle name="Normal 13 15 5 4" xfId="9624" xr:uid="{00000000-0005-0000-0000-00009C250000}"/>
    <cellStyle name="Normal 13 15 6" xfId="10825" xr:uid="{00000000-0005-0000-0000-00004D2A0000}"/>
    <cellStyle name="Normal 13 15 6 2" xfId="22724" xr:uid="{00000000-0005-0000-0000-0000C8580000}"/>
    <cellStyle name="Normal 13 15 7" xfId="19967" xr:uid="{00000000-0005-0000-0000-0000034E0000}"/>
    <cellStyle name="Normal 13 15 8" xfId="7725" xr:uid="{00000000-0005-0000-0000-0000311E0000}"/>
    <cellStyle name="Normal 13 16" xfId="969" xr:uid="{00000000-0005-0000-0000-0000CD030000}"/>
    <cellStyle name="Normal 13 16 2" xfId="2127" xr:uid="{00000000-0005-0000-0000-000053080000}"/>
    <cellStyle name="Normal 13 16 2 2" xfId="3076" xr:uid="{00000000-0005-0000-0000-0000080C0000}"/>
    <cellStyle name="Normal 13 16 2 2 2" xfId="4134" xr:uid="{00000000-0005-0000-0000-00002A100000}"/>
    <cellStyle name="Normal 13 16 2 2 2 2" xfId="18480" xr:uid="{00000000-0005-0000-0000-000034480000}"/>
    <cellStyle name="Normal 13 16 2 2 2 2 2" xfId="24992" xr:uid="{00000000-0005-0000-0000-0000A4610000}"/>
    <cellStyle name="Normal 13 16 2 2 2 3" xfId="22157" xr:uid="{00000000-0005-0000-0000-000091560000}"/>
    <cellStyle name="Normal 13 16 2 2 2 4" xfId="10252" xr:uid="{00000000-0005-0000-0000-000010280000}"/>
    <cellStyle name="Normal 13 16 2 2 3" xfId="17070" xr:uid="{00000000-0005-0000-0000-0000B2420000}"/>
    <cellStyle name="Normal 13 16 2 2 3 2" xfId="23727" xr:uid="{00000000-0005-0000-0000-0000B35C0000}"/>
    <cellStyle name="Normal 13 16 2 2 4" xfId="20595" xr:uid="{00000000-0005-0000-0000-000077500000}"/>
    <cellStyle name="Normal 13 16 2 2 5" xfId="8390" xr:uid="{00000000-0005-0000-0000-0000CA200000}"/>
    <cellStyle name="Normal 13 16 2 3" xfId="3302" xr:uid="{00000000-0005-0000-0000-0000EA0C0000}"/>
    <cellStyle name="Normal 13 16 2 3 2" xfId="4344" xr:uid="{00000000-0005-0000-0000-0000FC100000}"/>
    <cellStyle name="Normal 13 16 2 3 2 2" xfId="18646" xr:uid="{00000000-0005-0000-0000-0000DA480000}"/>
    <cellStyle name="Normal 13 16 2 3 2 2 2" xfId="25158" xr:uid="{00000000-0005-0000-0000-00004A620000}"/>
    <cellStyle name="Normal 13 16 2 3 2 3" xfId="22323" xr:uid="{00000000-0005-0000-0000-000037570000}"/>
    <cellStyle name="Normal 13 16 2 3 2 4" xfId="10418" xr:uid="{00000000-0005-0000-0000-0000B6280000}"/>
    <cellStyle name="Normal 13 16 2 3 3" xfId="17325" xr:uid="{00000000-0005-0000-0000-0000B1430000}"/>
    <cellStyle name="Normal 13 16 2 3 3 2" xfId="23902" xr:uid="{00000000-0005-0000-0000-0000625D0000}"/>
    <cellStyle name="Normal 13 16 2 3 4" xfId="21067" xr:uid="{00000000-0005-0000-0000-00004F520000}"/>
    <cellStyle name="Normal 13 16 2 3 5" xfId="9072" xr:uid="{00000000-0005-0000-0000-000074230000}"/>
    <cellStyle name="Normal 13 16 2 4" xfId="3924" xr:uid="{00000000-0005-0000-0000-0000580F0000}"/>
    <cellStyle name="Normal 13 16 2 4 2" xfId="18062" xr:uid="{00000000-0005-0000-0000-000092460000}"/>
    <cellStyle name="Normal 13 16 2 4 2 2" xfId="24574" xr:uid="{00000000-0005-0000-0000-000002600000}"/>
    <cellStyle name="Normal 13 16 2 4 3" xfId="21739" xr:uid="{00000000-0005-0000-0000-0000EF540000}"/>
    <cellStyle name="Normal 13 16 2 4 4" xfId="9834" xr:uid="{00000000-0005-0000-0000-00006E260000}"/>
    <cellStyle name="Normal 13 16 2 5" xfId="10828" xr:uid="{00000000-0005-0000-0000-0000502A0000}"/>
    <cellStyle name="Normal 13 16 2 5 2" xfId="22727" xr:uid="{00000000-0005-0000-0000-0000CB580000}"/>
    <cellStyle name="Normal 13 16 2 6" xfId="20177" xr:uid="{00000000-0005-0000-0000-0000D54E0000}"/>
    <cellStyle name="Normal 13 16 2 7" xfId="7971" xr:uid="{00000000-0005-0000-0000-0000271F0000}"/>
    <cellStyle name="Normal 13 16 3" xfId="2955" xr:uid="{00000000-0005-0000-0000-00008F0B0000}"/>
    <cellStyle name="Normal 13 16 3 2" xfId="4029" xr:uid="{00000000-0005-0000-0000-0000C10F0000}"/>
    <cellStyle name="Normal 13 16 3 2 2" xfId="10417" xr:uid="{00000000-0005-0000-0000-0000B5280000}"/>
    <cellStyle name="Normal 13 16 3 2 2 2" xfId="18645" xr:uid="{00000000-0005-0000-0000-0000D9480000}"/>
    <cellStyle name="Normal 13 16 3 2 2 2 2" xfId="25157" xr:uid="{00000000-0005-0000-0000-000049620000}"/>
    <cellStyle name="Normal 13 16 3 2 2 3" xfId="22322" xr:uid="{00000000-0005-0000-0000-000036570000}"/>
    <cellStyle name="Normal 13 16 3 2 3" xfId="17324" xr:uid="{00000000-0005-0000-0000-0000B0430000}"/>
    <cellStyle name="Normal 13 16 3 2 3 2" xfId="23901" xr:uid="{00000000-0005-0000-0000-0000615D0000}"/>
    <cellStyle name="Normal 13 16 3 2 4" xfId="21066" xr:uid="{00000000-0005-0000-0000-00004E520000}"/>
    <cellStyle name="Normal 13 16 3 2 5" xfId="9071" xr:uid="{00000000-0005-0000-0000-000073230000}"/>
    <cellStyle name="Normal 13 16 3 3" xfId="10043" xr:uid="{00000000-0005-0000-0000-00003F270000}"/>
    <cellStyle name="Normal 13 16 3 3 2" xfId="18271" xr:uid="{00000000-0005-0000-0000-000063470000}"/>
    <cellStyle name="Normal 13 16 3 3 2 2" xfId="24783" xr:uid="{00000000-0005-0000-0000-0000D3600000}"/>
    <cellStyle name="Normal 13 16 3 3 3" xfId="21948" xr:uid="{00000000-0005-0000-0000-0000C0550000}"/>
    <cellStyle name="Normal 13 16 3 4" xfId="16862" xr:uid="{00000000-0005-0000-0000-0000E2410000}"/>
    <cellStyle name="Normal 13 16 3 4 2" xfId="23519" xr:uid="{00000000-0005-0000-0000-0000E35B0000}"/>
    <cellStyle name="Normal 13 16 3 5" xfId="20386" xr:uid="{00000000-0005-0000-0000-0000A64F0000}"/>
    <cellStyle name="Normal 13 16 3 6" xfId="8181" xr:uid="{00000000-0005-0000-0000-0000F91F0000}"/>
    <cellStyle name="Normal 13 16 4" xfId="3181" xr:uid="{00000000-0005-0000-0000-0000710C0000}"/>
    <cellStyle name="Normal 13 16 4 2" xfId="4239" xr:uid="{00000000-0005-0000-0000-000093100000}"/>
    <cellStyle name="Normal 13 16 4 3" xfId="8713" xr:uid="{00000000-0005-0000-0000-00000D220000}"/>
    <cellStyle name="Normal 13 16 5" xfId="3632" xr:uid="{00000000-0005-0000-0000-0000340E0000}"/>
    <cellStyle name="Normal 13 16 5 2" xfId="17853" xr:uid="{00000000-0005-0000-0000-0000C1450000}"/>
    <cellStyle name="Normal 13 16 5 2 2" xfId="24365" xr:uid="{00000000-0005-0000-0000-0000315F0000}"/>
    <cellStyle name="Normal 13 16 5 3" xfId="21530" xr:uid="{00000000-0005-0000-0000-00001E540000}"/>
    <cellStyle name="Normal 13 16 5 4" xfId="9625" xr:uid="{00000000-0005-0000-0000-00009D250000}"/>
    <cellStyle name="Normal 13 16 6" xfId="10827" xr:uid="{00000000-0005-0000-0000-00004F2A0000}"/>
    <cellStyle name="Normal 13 16 6 2" xfId="22726" xr:uid="{00000000-0005-0000-0000-0000CA580000}"/>
    <cellStyle name="Normal 13 16 7" xfId="19968" xr:uid="{00000000-0005-0000-0000-0000044E0000}"/>
    <cellStyle name="Normal 13 16 8" xfId="7726" xr:uid="{00000000-0005-0000-0000-0000321E0000}"/>
    <cellStyle name="Normal 13 17" xfId="970" xr:uid="{00000000-0005-0000-0000-0000CE030000}"/>
    <cellStyle name="Normal 13 18" xfId="971" xr:uid="{00000000-0005-0000-0000-0000CF030000}"/>
    <cellStyle name="Normal 13 19" xfId="972" xr:uid="{00000000-0005-0000-0000-0000D0030000}"/>
    <cellStyle name="Normal 13 2" xfId="973" xr:uid="{00000000-0005-0000-0000-0000D1030000}"/>
    <cellStyle name="Normal 13 2 10" xfId="10829" xr:uid="{00000000-0005-0000-0000-0000512A0000}"/>
    <cellStyle name="Normal 13 2 11" xfId="6245" xr:uid="{00000000-0005-0000-0000-000069180000}"/>
    <cellStyle name="Normal 13 2 2" xfId="974" xr:uid="{00000000-0005-0000-0000-0000D2030000}"/>
    <cellStyle name="Normal 13 2 2 2" xfId="2128" xr:uid="{00000000-0005-0000-0000-000054080000}"/>
    <cellStyle name="Normal 13 2 2 2 2" xfId="3077" xr:uid="{00000000-0005-0000-0000-0000090C0000}"/>
    <cellStyle name="Normal 13 2 2 2 2 2" xfId="4135" xr:uid="{00000000-0005-0000-0000-00002B100000}"/>
    <cellStyle name="Normal 13 2 2 2 2 2 2" xfId="18481" xr:uid="{00000000-0005-0000-0000-000035480000}"/>
    <cellStyle name="Normal 13 2 2 2 2 2 2 2" xfId="24993" xr:uid="{00000000-0005-0000-0000-0000A5610000}"/>
    <cellStyle name="Normal 13 2 2 2 2 2 3" xfId="22158" xr:uid="{00000000-0005-0000-0000-000092560000}"/>
    <cellStyle name="Normal 13 2 2 2 2 2 4" xfId="10253" xr:uid="{00000000-0005-0000-0000-000011280000}"/>
    <cellStyle name="Normal 13 2 2 2 2 3" xfId="17071" xr:uid="{00000000-0005-0000-0000-0000B3420000}"/>
    <cellStyle name="Normal 13 2 2 2 2 3 2" xfId="23728" xr:uid="{00000000-0005-0000-0000-0000B45C0000}"/>
    <cellStyle name="Normal 13 2 2 2 2 4" xfId="20596" xr:uid="{00000000-0005-0000-0000-000078500000}"/>
    <cellStyle name="Normal 13 2 2 2 2 5" xfId="8391" xr:uid="{00000000-0005-0000-0000-0000CB200000}"/>
    <cellStyle name="Normal 13 2 2 2 3" xfId="3303" xr:uid="{00000000-0005-0000-0000-0000EB0C0000}"/>
    <cellStyle name="Normal 13 2 2 2 3 2" xfId="4345" xr:uid="{00000000-0005-0000-0000-0000FD100000}"/>
    <cellStyle name="Normal 13 2 2 2 3 2 2" xfId="18648" xr:uid="{00000000-0005-0000-0000-0000DC480000}"/>
    <cellStyle name="Normal 13 2 2 2 3 2 2 2" xfId="25160" xr:uid="{00000000-0005-0000-0000-00004C620000}"/>
    <cellStyle name="Normal 13 2 2 2 3 2 3" xfId="22325" xr:uid="{00000000-0005-0000-0000-000039570000}"/>
    <cellStyle name="Normal 13 2 2 2 3 2 4" xfId="10420" xr:uid="{00000000-0005-0000-0000-0000B8280000}"/>
    <cellStyle name="Normal 13 2 2 2 3 3" xfId="17327" xr:uid="{00000000-0005-0000-0000-0000B3430000}"/>
    <cellStyle name="Normal 13 2 2 2 3 3 2" xfId="23904" xr:uid="{00000000-0005-0000-0000-0000645D0000}"/>
    <cellStyle name="Normal 13 2 2 2 3 4" xfId="21069" xr:uid="{00000000-0005-0000-0000-000051520000}"/>
    <cellStyle name="Normal 13 2 2 2 3 5" xfId="9074" xr:uid="{00000000-0005-0000-0000-000076230000}"/>
    <cellStyle name="Normal 13 2 2 2 4" xfId="3925" xr:uid="{00000000-0005-0000-0000-0000590F0000}"/>
    <cellStyle name="Normal 13 2 2 2 4 2" xfId="18063" xr:uid="{00000000-0005-0000-0000-000093460000}"/>
    <cellStyle name="Normal 13 2 2 2 4 2 2" xfId="24575" xr:uid="{00000000-0005-0000-0000-000003600000}"/>
    <cellStyle name="Normal 13 2 2 2 4 3" xfId="21740" xr:uid="{00000000-0005-0000-0000-0000F0540000}"/>
    <cellStyle name="Normal 13 2 2 2 4 4" xfId="9835" xr:uid="{00000000-0005-0000-0000-00006F260000}"/>
    <cellStyle name="Normal 13 2 2 2 5" xfId="10831" xr:uid="{00000000-0005-0000-0000-0000532A0000}"/>
    <cellStyle name="Normal 13 2 2 2 5 2" xfId="22729" xr:uid="{00000000-0005-0000-0000-0000CD580000}"/>
    <cellStyle name="Normal 13 2 2 2 6" xfId="20178" xr:uid="{00000000-0005-0000-0000-0000D64E0000}"/>
    <cellStyle name="Normal 13 2 2 2 7" xfId="7972" xr:uid="{00000000-0005-0000-0000-0000281F0000}"/>
    <cellStyle name="Normal 13 2 2 3" xfId="2956" xr:uid="{00000000-0005-0000-0000-0000900B0000}"/>
    <cellStyle name="Normal 13 2 2 3 2" xfId="4030" xr:uid="{00000000-0005-0000-0000-0000C20F0000}"/>
    <cellStyle name="Normal 13 2 2 3 2 2" xfId="10419" xr:uid="{00000000-0005-0000-0000-0000B7280000}"/>
    <cellStyle name="Normal 13 2 2 3 2 2 2" xfId="18647" xr:uid="{00000000-0005-0000-0000-0000DB480000}"/>
    <cellStyle name="Normal 13 2 2 3 2 2 2 2" xfId="25159" xr:uid="{00000000-0005-0000-0000-00004B620000}"/>
    <cellStyle name="Normal 13 2 2 3 2 2 3" xfId="22324" xr:uid="{00000000-0005-0000-0000-000038570000}"/>
    <cellStyle name="Normal 13 2 2 3 2 3" xfId="17326" xr:uid="{00000000-0005-0000-0000-0000B2430000}"/>
    <cellStyle name="Normal 13 2 2 3 2 3 2" xfId="23903" xr:uid="{00000000-0005-0000-0000-0000635D0000}"/>
    <cellStyle name="Normal 13 2 2 3 2 4" xfId="21068" xr:uid="{00000000-0005-0000-0000-000050520000}"/>
    <cellStyle name="Normal 13 2 2 3 2 5" xfId="9073" xr:uid="{00000000-0005-0000-0000-000075230000}"/>
    <cellStyle name="Normal 13 2 2 3 3" xfId="10044" xr:uid="{00000000-0005-0000-0000-000040270000}"/>
    <cellStyle name="Normal 13 2 2 3 3 2" xfId="18272" xr:uid="{00000000-0005-0000-0000-000064470000}"/>
    <cellStyle name="Normal 13 2 2 3 3 2 2" xfId="24784" xr:uid="{00000000-0005-0000-0000-0000D4600000}"/>
    <cellStyle name="Normal 13 2 2 3 3 3" xfId="21949" xr:uid="{00000000-0005-0000-0000-0000C1550000}"/>
    <cellStyle name="Normal 13 2 2 3 4" xfId="16863" xr:uid="{00000000-0005-0000-0000-0000E3410000}"/>
    <cellStyle name="Normal 13 2 2 3 4 2" xfId="23520" xr:uid="{00000000-0005-0000-0000-0000E45B0000}"/>
    <cellStyle name="Normal 13 2 2 3 5" xfId="20387" xr:uid="{00000000-0005-0000-0000-0000A74F0000}"/>
    <cellStyle name="Normal 13 2 2 3 6" xfId="8182" xr:uid="{00000000-0005-0000-0000-0000FA1F0000}"/>
    <cellStyle name="Normal 13 2 2 4" xfId="3182" xr:uid="{00000000-0005-0000-0000-0000720C0000}"/>
    <cellStyle name="Normal 13 2 2 4 2" xfId="4240" xr:uid="{00000000-0005-0000-0000-000094100000}"/>
    <cellStyle name="Normal 13 2 2 4 3" xfId="8714" xr:uid="{00000000-0005-0000-0000-00000E220000}"/>
    <cellStyle name="Normal 13 2 2 5" xfId="3633" xr:uid="{00000000-0005-0000-0000-0000350E0000}"/>
    <cellStyle name="Normal 13 2 2 5 2" xfId="17854" xr:uid="{00000000-0005-0000-0000-0000C2450000}"/>
    <cellStyle name="Normal 13 2 2 5 2 2" xfId="24366" xr:uid="{00000000-0005-0000-0000-0000325F0000}"/>
    <cellStyle name="Normal 13 2 2 5 3" xfId="21531" xr:uid="{00000000-0005-0000-0000-00001F540000}"/>
    <cellStyle name="Normal 13 2 2 5 4" xfId="9626" xr:uid="{00000000-0005-0000-0000-00009E250000}"/>
    <cellStyle name="Normal 13 2 2 6" xfId="10830" xr:uid="{00000000-0005-0000-0000-0000522A0000}"/>
    <cellStyle name="Normal 13 2 2 6 2" xfId="22728" xr:uid="{00000000-0005-0000-0000-0000CC580000}"/>
    <cellStyle name="Normal 13 2 2 7" xfId="19969" xr:uid="{00000000-0005-0000-0000-0000054E0000}"/>
    <cellStyle name="Normal 13 2 2 8" xfId="7728" xr:uid="{00000000-0005-0000-0000-0000341E0000}"/>
    <cellStyle name="Normal 13 2 3" xfId="975" xr:uid="{00000000-0005-0000-0000-0000D3030000}"/>
    <cellStyle name="Normal 13 2 3 2" xfId="2129" xr:uid="{00000000-0005-0000-0000-000055080000}"/>
    <cellStyle name="Normal 13 2 3 2 2" xfId="3078" xr:uid="{00000000-0005-0000-0000-00000A0C0000}"/>
    <cellStyle name="Normal 13 2 3 2 2 2" xfId="4136" xr:uid="{00000000-0005-0000-0000-00002C100000}"/>
    <cellStyle name="Normal 13 2 3 2 2 2 2" xfId="18482" xr:uid="{00000000-0005-0000-0000-000036480000}"/>
    <cellStyle name="Normal 13 2 3 2 2 2 2 2" xfId="24994" xr:uid="{00000000-0005-0000-0000-0000A6610000}"/>
    <cellStyle name="Normal 13 2 3 2 2 2 3" xfId="22159" xr:uid="{00000000-0005-0000-0000-000093560000}"/>
    <cellStyle name="Normal 13 2 3 2 2 2 4" xfId="10254" xr:uid="{00000000-0005-0000-0000-000012280000}"/>
    <cellStyle name="Normal 13 2 3 2 2 3" xfId="17072" xr:uid="{00000000-0005-0000-0000-0000B4420000}"/>
    <cellStyle name="Normal 13 2 3 2 2 3 2" xfId="23729" xr:uid="{00000000-0005-0000-0000-0000B55C0000}"/>
    <cellStyle name="Normal 13 2 3 2 2 4" xfId="20597" xr:uid="{00000000-0005-0000-0000-000079500000}"/>
    <cellStyle name="Normal 13 2 3 2 2 5" xfId="8392" xr:uid="{00000000-0005-0000-0000-0000CC200000}"/>
    <cellStyle name="Normal 13 2 3 2 3" xfId="3304" xr:uid="{00000000-0005-0000-0000-0000EC0C0000}"/>
    <cellStyle name="Normal 13 2 3 2 3 2" xfId="4346" xr:uid="{00000000-0005-0000-0000-0000FE100000}"/>
    <cellStyle name="Normal 13 2 3 2 3 2 2" xfId="18650" xr:uid="{00000000-0005-0000-0000-0000DE480000}"/>
    <cellStyle name="Normal 13 2 3 2 3 2 2 2" xfId="25162" xr:uid="{00000000-0005-0000-0000-00004E620000}"/>
    <cellStyle name="Normal 13 2 3 2 3 2 3" xfId="22327" xr:uid="{00000000-0005-0000-0000-00003B570000}"/>
    <cellStyle name="Normal 13 2 3 2 3 2 4" xfId="10422" xr:uid="{00000000-0005-0000-0000-0000BA280000}"/>
    <cellStyle name="Normal 13 2 3 2 3 3" xfId="17329" xr:uid="{00000000-0005-0000-0000-0000B5430000}"/>
    <cellStyle name="Normal 13 2 3 2 3 3 2" xfId="23906" xr:uid="{00000000-0005-0000-0000-0000665D0000}"/>
    <cellStyle name="Normal 13 2 3 2 3 4" xfId="21071" xr:uid="{00000000-0005-0000-0000-000053520000}"/>
    <cellStyle name="Normal 13 2 3 2 3 5" xfId="9076" xr:uid="{00000000-0005-0000-0000-000078230000}"/>
    <cellStyle name="Normal 13 2 3 2 4" xfId="3926" xr:uid="{00000000-0005-0000-0000-00005A0F0000}"/>
    <cellStyle name="Normal 13 2 3 2 4 2" xfId="18064" xr:uid="{00000000-0005-0000-0000-000094460000}"/>
    <cellStyle name="Normal 13 2 3 2 4 2 2" xfId="24576" xr:uid="{00000000-0005-0000-0000-000004600000}"/>
    <cellStyle name="Normal 13 2 3 2 4 3" xfId="21741" xr:uid="{00000000-0005-0000-0000-0000F1540000}"/>
    <cellStyle name="Normal 13 2 3 2 4 4" xfId="9836" xr:uid="{00000000-0005-0000-0000-000070260000}"/>
    <cellStyle name="Normal 13 2 3 2 5" xfId="10833" xr:uid="{00000000-0005-0000-0000-0000552A0000}"/>
    <cellStyle name="Normal 13 2 3 2 5 2" xfId="22731" xr:uid="{00000000-0005-0000-0000-0000CF580000}"/>
    <cellStyle name="Normal 13 2 3 2 6" xfId="20179" xr:uid="{00000000-0005-0000-0000-0000D74E0000}"/>
    <cellStyle name="Normal 13 2 3 2 7" xfId="7973" xr:uid="{00000000-0005-0000-0000-0000291F0000}"/>
    <cellStyle name="Normal 13 2 3 3" xfId="2957" xr:uid="{00000000-0005-0000-0000-0000910B0000}"/>
    <cellStyle name="Normal 13 2 3 3 2" xfId="4031" xr:uid="{00000000-0005-0000-0000-0000C30F0000}"/>
    <cellStyle name="Normal 13 2 3 3 2 2" xfId="10421" xr:uid="{00000000-0005-0000-0000-0000B9280000}"/>
    <cellStyle name="Normal 13 2 3 3 2 2 2" xfId="18649" xr:uid="{00000000-0005-0000-0000-0000DD480000}"/>
    <cellStyle name="Normal 13 2 3 3 2 2 2 2" xfId="25161" xr:uid="{00000000-0005-0000-0000-00004D620000}"/>
    <cellStyle name="Normal 13 2 3 3 2 2 3" xfId="22326" xr:uid="{00000000-0005-0000-0000-00003A570000}"/>
    <cellStyle name="Normal 13 2 3 3 2 3" xfId="17328" xr:uid="{00000000-0005-0000-0000-0000B4430000}"/>
    <cellStyle name="Normal 13 2 3 3 2 3 2" xfId="23905" xr:uid="{00000000-0005-0000-0000-0000655D0000}"/>
    <cellStyle name="Normal 13 2 3 3 2 4" xfId="21070" xr:uid="{00000000-0005-0000-0000-000052520000}"/>
    <cellStyle name="Normal 13 2 3 3 2 5" xfId="9075" xr:uid="{00000000-0005-0000-0000-000077230000}"/>
    <cellStyle name="Normal 13 2 3 3 3" xfId="10045" xr:uid="{00000000-0005-0000-0000-000041270000}"/>
    <cellStyle name="Normal 13 2 3 3 3 2" xfId="18273" xr:uid="{00000000-0005-0000-0000-000065470000}"/>
    <cellStyle name="Normal 13 2 3 3 3 2 2" xfId="24785" xr:uid="{00000000-0005-0000-0000-0000D5600000}"/>
    <cellStyle name="Normal 13 2 3 3 3 3" xfId="21950" xr:uid="{00000000-0005-0000-0000-0000C2550000}"/>
    <cellStyle name="Normal 13 2 3 3 4" xfId="16864" xr:uid="{00000000-0005-0000-0000-0000E4410000}"/>
    <cellStyle name="Normal 13 2 3 3 4 2" xfId="23521" xr:uid="{00000000-0005-0000-0000-0000E55B0000}"/>
    <cellStyle name="Normal 13 2 3 3 5" xfId="20388" xr:uid="{00000000-0005-0000-0000-0000A84F0000}"/>
    <cellStyle name="Normal 13 2 3 3 6" xfId="8183" xr:uid="{00000000-0005-0000-0000-0000FB1F0000}"/>
    <cellStyle name="Normal 13 2 3 4" xfId="3183" xr:uid="{00000000-0005-0000-0000-0000730C0000}"/>
    <cellStyle name="Normal 13 2 3 4 2" xfId="4241" xr:uid="{00000000-0005-0000-0000-000095100000}"/>
    <cellStyle name="Normal 13 2 3 4 3" xfId="8715" xr:uid="{00000000-0005-0000-0000-00000F220000}"/>
    <cellStyle name="Normal 13 2 3 5" xfId="3634" xr:uid="{00000000-0005-0000-0000-0000360E0000}"/>
    <cellStyle name="Normal 13 2 3 5 2" xfId="17855" xr:uid="{00000000-0005-0000-0000-0000C3450000}"/>
    <cellStyle name="Normal 13 2 3 5 2 2" xfId="24367" xr:uid="{00000000-0005-0000-0000-0000335F0000}"/>
    <cellStyle name="Normal 13 2 3 5 3" xfId="21532" xr:uid="{00000000-0005-0000-0000-000020540000}"/>
    <cellStyle name="Normal 13 2 3 5 4" xfId="9627" xr:uid="{00000000-0005-0000-0000-00009F250000}"/>
    <cellStyle name="Normal 13 2 3 6" xfId="10832" xr:uid="{00000000-0005-0000-0000-0000542A0000}"/>
    <cellStyle name="Normal 13 2 3 6 2" xfId="22730" xr:uid="{00000000-0005-0000-0000-0000CE580000}"/>
    <cellStyle name="Normal 13 2 3 7" xfId="19970" xr:uid="{00000000-0005-0000-0000-0000064E0000}"/>
    <cellStyle name="Normal 13 2 3 8" xfId="7729" xr:uid="{00000000-0005-0000-0000-0000351E0000}"/>
    <cellStyle name="Normal 13 2 4" xfId="976" xr:uid="{00000000-0005-0000-0000-0000D4030000}"/>
    <cellStyle name="Normal 13 2 4 2" xfId="2130" xr:uid="{00000000-0005-0000-0000-000056080000}"/>
    <cellStyle name="Normal 13 2 4 2 2" xfId="3079" xr:uid="{00000000-0005-0000-0000-00000B0C0000}"/>
    <cellStyle name="Normal 13 2 4 2 2 2" xfId="4137" xr:uid="{00000000-0005-0000-0000-00002D100000}"/>
    <cellStyle name="Normal 13 2 4 2 2 2 2" xfId="18483" xr:uid="{00000000-0005-0000-0000-000037480000}"/>
    <cellStyle name="Normal 13 2 4 2 2 2 2 2" xfId="24995" xr:uid="{00000000-0005-0000-0000-0000A7610000}"/>
    <cellStyle name="Normal 13 2 4 2 2 2 3" xfId="22160" xr:uid="{00000000-0005-0000-0000-000094560000}"/>
    <cellStyle name="Normal 13 2 4 2 2 2 4" xfId="10255" xr:uid="{00000000-0005-0000-0000-000013280000}"/>
    <cellStyle name="Normal 13 2 4 2 2 3" xfId="17073" xr:uid="{00000000-0005-0000-0000-0000B5420000}"/>
    <cellStyle name="Normal 13 2 4 2 2 3 2" xfId="23730" xr:uid="{00000000-0005-0000-0000-0000B65C0000}"/>
    <cellStyle name="Normal 13 2 4 2 2 4" xfId="20598" xr:uid="{00000000-0005-0000-0000-00007A500000}"/>
    <cellStyle name="Normal 13 2 4 2 2 5" xfId="8393" xr:uid="{00000000-0005-0000-0000-0000CD200000}"/>
    <cellStyle name="Normal 13 2 4 2 3" xfId="3305" xr:uid="{00000000-0005-0000-0000-0000ED0C0000}"/>
    <cellStyle name="Normal 13 2 4 2 3 2" xfId="4347" xr:uid="{00000000-0005-0000-0000-0000FF100000}"/>
    <cellStyle name="Normal 13 2 4 2 3 2 2" xfId="18652" xr:uid="{00000000-0005-0000-0000-0000E0480000}"/>
    <cellStyle name="Normal 13 2 4 2 3 2 2 2" xfId="25164" xr:uid="{00000000-0005-0000-0000-000050620000}"/>
    <cellStyle name="Normal 13 2 4 2 3 2 3" xfId="22329" xr:uid="{00000000-0005-0000-0000-00003D570000}"/>
    <cellStyle name="Normal 13 2 4 2 3 2 4" xfId="10424" xr:uid="{00000000-0005-0000-0000-0000BC280000}"/>
    <cellStyle name="Normal 13 2 4 2 3 3" xfId="17331" xr:uid="{00000000-0005-0000-0000-0000B7430000}"/>
    <cellStyle name="Normal 13 2 4 2 3 3 2" xfId="23908" xr:uid="{00000000-0005-0000-0000-0000685D0000}"/>
    <cellStyle name="Normal 13 2 4 2 3 4" xfId="21073" xr:uid="{00000000-0005-0000-0000-000055520000}"/>
    <cellStyle name="Normal 13 2 4 2 3 5" xfId="9078" xr:uid="{00000000-0005-0000-0000-00007A230000}"/>
    <cellStyle name="Normal 13 2 4 2 4" xfId="3927" xr:uid="{00000000-0005-0000-0000-00005B0F0000}"/>
    <cellStyle name="Normal 13 2 4 2 4 2" xfId="18065" xr:uid="{00000000-0005-0000-0000-000095460000}"/>
    <cellStyle name="Normal 13 2 4 2 4 2 2" xfId="24577" xr:uid="{00000000-0005-0000-0000-000005600000}"/>
    <cellStyle name="Normal 13 2 4 2 4 3" xfId="21742" xr:uid="{00000000-0005-0000-0000-0000F2540000}"/>
    <cellStyle name="Normal 13 2 4 2 4 4" xfId="9837" xr:uid="{00000000-0005-0000-0000-000071260000}"/>
    <cellStyle name="Normal 13 2 4 2 5" xfId="10835" xr:uid="{00000000-0005-0000-0000-0000572A0000}"/>
    <cellStyle name="Normal 13 2 4 2 5 2" xfId="22733" xr:uid="{00000000-0005-0000-0000-0000D1580000}"/>
    <cellStyle name="Normal 13 2 4 2 6" xfId="20180" xr:uid="{00000000-0005-0000-0000-0000D84E0000}"/>
    <cellStyle name="Normal 13 2 4 2 7" xfId="7974" xr:uid="{00000000-0005-0000-0000-00002A1F0000}"/>
    <cellStyle name="Normal 13 2 4 3" xfId="2958" xr:uid="{00000000-0005-0000-0000-0000920B0000}"/>
    <cellStyle name="Normal 13 2 4 3 2" xfId="4032" xr:uid="{00000000-0005-0000-0000-0000C40F0000}"/>
    <cellStyle name="Normal 13 2 4 3 2 2" xfId="10423" xr:uid="{00000000-0005-0000-0000-0000BB280000}"/>
    <cellStyle name="Normal 13 2 4 3 2 2 2" xfId="18651" xr:uid="{00000000-0005-0000-0000-0000DF480000}"/>
    <cellStyle name="Normal 13 2 4 3 2 2 2 2" xfId="25163" xr:uid="{00000000-0005-0000-0000-00004F620000}"/>
    <cellStyle name="Normal 13 2 4 3 2 2 3" xfId="22328" xr:uid="{00000000-0005-0000-0000-00003C570000}"/>
    <cellStyle name="Normal 13 2 4 3 2 3" xfId="17330" xr:uid="{00000000-0005-0000-0000-0000B6430000}"/>
    <cellStyle name="Normal 13 2 4 3 2 3 2" xfId="23907" xr:uid="{00000000-0005-0000-0000-0000675D0000}"/>
    <cellStyle name="Normal 13 2 4 3 2 4" xfId="21072" xr:uid="{00000000-0005-0000-0000-000054520000}"/>
    <cellStyle name="Normal 13 2 4 3 2 5" xfId="9077" xr:uid="{00000000-0005-0000-0000-000079230000}"/>
    <cellStyle name="Normal 13 2 4 3 3" xfId="10046" xr:uid="{00000000-0005-0000-0000-000042270000}"/>
    <cellStyle name="Normal 13 2 4 3 3 2" xfId="18274" xr:uid="{00000000-0005-0000-0000-000066470000}"/>
    <cellStyle name="Normal 13 2 4 3 3 2 2" xfId="24786" xr:uid="{00000000-0005-0000-0000-0000D6600000}"/>
    <cellStyle name="Normal 13 2 4 3 3 3" xfId="21951" xr:uid="{00000000-0005-0000-0000-0000C3550000}"/>
    <cellStyle name="Normal 13 2 4 3 4" xfId="16865" xr:uid="{00000000-0005-0000-0000-0000E5410000}"/>
    <cellStyle name="Normal 13 2 4 3 4 2" xfId="23522" xr:uid="{00000000-0005-0000-0000-0000E65B0000}"/>
    <cellStyle name="Normal 13 2 4 3 5" xfId="20389" xr:uid="{00000000-0005-0000-0000-0000A94F0000}"/>
    <cellStyle name="Normal 13 2 4 3 6" xfId="8184" xr:uid="{00000000-0005-0000-0000-0000FC1F0000}"/>
    <cellStyle name="Normal 13 2 4 4" xfId="3184" xr:uid="{00000000-0005-0000-0000-0000740C0000}"/>
    <cellStyle name="Normal 13 2 4 4 2" xfId="4242" xr:uid="{00000000-0005-0000-0000-000096100000}"/>
    <cellStyle name="Normal 13 2 4 4 3" xfId="8716" xr:uid="{00000000-0005-0000-0000-000010220000}"/>
    <cellStyle name="Normal 13 2 4 5" xfId="3635" xr:uid="{00000000-0005-0000-0000-0000370E0000}"/>
    <cellStyle name="Normal 13 2 4 5 2" xfId="17856" xr:uid="{00000000-0005-0000-0000-0000C4450000}"/>
    <cellStyle name="Normal 13 2 4 5 2 2" xfId="24368" xr:uid="{00000000-0005-0000-0000-0000345F0000}"/>
    <cellStyle name="Normal 13 2 4 5 3" xfId="21533" xr:uid="{00000000-0005-0000-0000-000021540000}"/>
    <cellStyle name="Normal 13 2 4 5 4" xfId="9628" xr:uid="{00000000-0005-0000-0000-0000A0250000}"/>
    <cellStyle name="Normal 13 2 4 6" xfId="10834" xr:uid="{00000000-0005-0000-0000-0000562A0000}"/>
    <cellStyle name="Normal 13 2 4 6 2" xfId="22732" xr:uid="{00000000-0005-0000-0000-0000D0580000}"/>
    <cellStyle name="Normal 13 2 4 7" xfId="19971" xr:uid="{00000000-0005-0000-0000-0000074E0000}"/>
    <cellStyle name="Normal 13 2 4 8" xfId="7730" xr:uid="{00000000-0005-0000-0000-0000361E0000}"/>
    <cellStyle name="Normal 13 2 5" xfId="977" xr:uid="{00000000-0005-0000-0000-0000D5030000}"/>
    <cellStyle name="Normal 13 2 5 2" xfId="2131" xr:uid="{00000000-0005-0000-0000-000057080000}"/>
    <cellStyle name="Normal 13 2 5 2 2" xfId="3080" xr:uid="{00000000-0005-0000-0000-00000C0C0000}"/>
    <cellStyle name="Normal 13 2 5 2 2 2" xfId="4138" xr:uid="{00000000-0005-0000-0000-00002E100000}"/>
    <cellStyle name="Normal 13 2 5 2 2 2 2" xfId="18484" xr:uid="{00000000-0005-0000-0000-000038480000}"/>
    <cellStyle name="Normal 13 2 5 2 2 2 2 2" xfId="24996" xr:uid="{00000000-0005-0000-0000-0000A8610000}"/>
    <cellStyle name="Normal 13 2 5 2 2 2 3" xfId="22161" xr:uid="{00000000-0005-0000-0000-000095560000}"/>
    <cellStyle name="Normal 13 2 5 2 2 2 4" xfId="10256" xr:uid="{00000000-0005-0000-0000-000014280000}"/>
    <cellStyle name="Normal 13 2 5 2 2 3" xfId="17074" xr:uid="{00000000-0005-0000-0000-0000B6420000}"/>
    <cellStyle name="Normal 13 2 5 2 2 3 2" xfId="23731" xr:uid="{00000000-0005-0000-0000-0000B75C0000}"/>
    <cellStyle name="Normal 13 2 5 2 2 4" xfId="20599" xr:uid="{00000000-0005-0000-0000-00007B500000}"/>
    <cellStyle name="Normal 13 2 5 2 2 5" xfId="8394" xr:uid="{00000000-0005-0000-0000-0000CE200000}"/>
    <cellStyle name="Normal 13 2 5 2 3" xfId="3306" xr:uid="{00000000-0005-0000-0000-0000EE0C0000}"/>
    <cellStyle name="Normal 13 2 5 2 3 2" xfId="4348" xr:uid="{00000000-0005-0000-0000-000000110000}"/>
    <cellStyle name="Normal 13 2 5 2 3 2 2" xfId="18654" xr:uid="{00000000-0005-0000-0000-0000E2480000}"/>
    <cellStyle name="Normal 13 2 5 2 3 2 2 2" xfId="25166" xr:uid="{00000000-0005-0000-0000-000052620000}"/>
    <cellStyle name="Normal 13 2 5 2 3 2 3" xfId="22331" xr:uid="{00000000-0005-0000-0000-00003F570000}"/>
    <cellStyle name="Normal 13 2 5 2 3 2 4" xfId="10426" xr:uid="{00000000-0005-0000-0000-0000BE280000}"/>
    <cellStyle name="Normal 13 2 5 2 3 3" xfId="17333" xr:uid="{00000000-0005-0000-0000-0000B9430000}"/>
    <cellStyle name="Normal 13 2 5 2 3 3 2" xfId="23910" xr:uid="{00000000-0005-0000-0000-00006A5D0000}"/>
    <cellStyle name="Normal 13 2 5 2 3 4" xfId="21075" xr:uid="{00000000-0005-0000-0000-000057520000}"/>
    <cellStyle name="Normal 13 2 5 2 3 5" xfId="9080" xr:uid="{00000000-0005-0000-0000-00007C230000}"/>
    <cellStyle name="Normal 13 2 5 2 4" xfId="3928" xr:uid="{00000000-0005-0000-0000-00005C0F0000}"/>
    <cellStyle name="Normal 13 2 5 2 4 2" xfId="18066" xr:uid="{00000000-0005-0000-0000-000096460000}"/>
    <cellStyle name="Normal 13 2 5 2 4 2 2" xfId="24578" xr:uid="{00000000-0005-0000-0000-000006600000}"/>
    <cellStyle name="Normal 13 2 5 2 4 3" xfId="21743" xr:uid="{00000000-0005-0000-0000-0000F3540000}"/>
    <cellStyle name="Normal 13 2 5 2 4 4" xfId="9838" xr:uid="{00000000-0005-0000-0000-000072260000}"/>
    <cellStyle name="Normal 13 2 5 2 5" xfId="10837" xr:uid="{00000000-0005-0000-0000-0000592A0000}"/>
    <cellStyle name="Normal 13 2 5 2 5 2" xfId="22735" xr:uid="{00000000-0005-0000-0000-0000D3580000}"/>
    <cellStyle name="Normal 13 2 5 2 6" xfId="20181" xr:uid="{00000000-0005-0000-0000-0000D94E0000}"/>
    <cellStyle name="Normal 13 2 5 2 7" xfId="7975" xr:uid="{00000000-0005-0000-0000-00002B1F0000}"/>
    <cellStyle name="Normal 13 2 5 3" xfId="2959" xr:uid="{00000000-0005-0000-0000-0000930B0000}"/>
    <cellStyle name="Normal 13 2 5 3 2" xfId="4033" xr:uid="{00000000-0005-0000-0000-0000C50F0000}"/>
    <cellStyle name="Normal 13 2 5 3 2 2" xfId="10425" xr:uid="{00000000-0005-0000-0000-0000BD280000}"/>
    <cellStyle name="Normal 13 2 5 3 2 2 2" xfId="18653" xr:uid="{00000000-0005-0000-0000-0000E1480000}"/>
    <cellStyle name="Normal 13 2 5 3 2 2 2 2" xfId="25165" xr:uid="{00000000-0005-0000-0000-000051620000}"/>
    <cellStyle name="Normal 13 2 5 3 2 2 3" xfId="22330" xr:uid="{00000000-0005-0000-0000-00003E570000}"/>
    <cellStyle name="Normal 13 2 5 3 2 3" xfId="17332" xr:uid="{00000000-0005-0000-0000-0000B8430000}"/>
    <cellStyle name="Normal 13 2 5 3 2 3 2" xfId="23909" xr:uid="{00000000-0005-0000-0000-0000695D0000}"/>
    <cellStyle name="Normal 13 2 5 3 2 4" xfId="21074" xr:uid="{00000000-0005-0000-0000-000056520000}"/>
    <cellStyle name="Normal 13 2 5 3 2 5" xfId="9079" xr:uid="{00000000-0005-0000-0000-00007B230000}"/>
    <cellStyle name="Normal 13 2 5 3 3" xfId="10047" xr:uid="{00000000-0005-0000-0000-000043270000}"/>
    <cellStyle name="Normal 13 2 5 3 3 2" xfId="18275" xr:uid="{00000000-0005-0000-0000-000067470000}"/>
    <cellStyle name="Normal 13 2 5 3 3 2 2" xfId="24787" xr:uid="{00000000-0005-0000-0000-0000D7600000}"/>
    <cellStyle name="Normal 13 2 5 3 3 3" xfId="21952" xr:uid="{00000000-0005-0000-0000-0000C4550000}"/>
    <cellStyle name="Normal 13 2 5 3 4" xfId="16866" xr:uid="{00000000-0005-0000-0000-0000E6410000}"/>
    <cellStyle name="Normal 13 2 5 3 4 2" xfId="23523" xr:uid="{00000000-0005-0000-0000-0000E75B0000}"/>
    <cellStyle name="Normal 13 2 5 3 5" xfId="20390" xr:uid="{00000000-0005-0000-0000-0000AA4F0000}"/>
    <cellStyle name="Normal 13 2 5 3 6" xfId="8185" xr:uid="{00000000-0005-0000-0000-0000FD1F0000}"/>
    <cellStyle name="Normal 13 2 5 4" xfId="3185" xr:uid="{00000000-0005-0000-0000-0000750C0000}"/>
    <cellStyle name="Normal 13 2 5 4 2" xfId="4243" xr:uid="{00000000-0005-0000-0000-000097100000}"/>
    <cellStyle name="Normal 13 2 5 4 3" xfId="8717" xr:uid="{00000000-0005-0000-0000-000011220000}"/>
    <cellStyle name="Normal 13 2 5 5" xfId="3636" xr:uid="{00000000-0005-0000-0000-0000380E0000}"/>
    <cellStyle name="Normal 13 2 5 5 2" xfId="17857" xr:uid="{00000000-0005-0000-0000-0000C5450000}"/>
    <cellStyle name="Normal 13 2 5 5 2 2" xfId="24369" xr:uid="{00000000-0005-0000-0000-0000355F0000}"/>
    <cellStyle name="Normal 13 2 5 5 3" xfId="21534" xr:uid="{00000000-0005-0000-0000-000022540000}"/>
    <cellStyle name="Normal 13 2 5 5 4" xfId="9629" xr:uid="{00000000-0005-0000-0000-0000A1250000}"/>
    <cellStyle name="Normal 13 2 5 6" xfId="10836" xr:uid="{00000000-0005-0000-0000-0000582A0000}"/>
    <cellStyle name="Normal 13 2 5 6 2" xfId="22734" xr:uid="{00000000-0005-0000-0000-0000D2580000}"/>
    <cellStyle name="Normal 13 2 5 7" xfId="19972" xr:uid="{00000000-0005-0000-0000-0000084E0000}"/>
    <cellStyle name="Normal 13 2 5 8" xfId="7731" xr:uid="{00000000-0005-0000-0000-0000371E0000}"/>
    <cellStyle name="Normal 13 2 6" xfId="978" xr:uid="{00000000-0005-0000-0000-0000D6030000}"/>
    <cellStyle name="Normal 13 2 6 2" xfId="2132" xr:uid="{00000000-0005-0000-0000-000058080000}"/>
    <cellStyle name="Normal 13 2 6 2 2" xfId="3081" xr:uid="{00000000-0005-0000-0000-00000D0C0000}"/>
    <cellStyle name="Normal 13 2 6 2 2 2" xfId="4139" xr:uid="{00000000-0005-0000-0000-00002F100000}"/>
    <cellStyle name="Normal 13 2 6 2 2 2 2" xfId="18485" xr:uid="{00000000-0005-0000-0000-000039480000}"/>
    <cellStyle name="Normal 13 2 6 2 2 2 2 2" xfId="24997" xr:uid="{00000000-0005-0000-0000-0000A9610000}"/>
    <cellStyle name="Normal 13 2 6 2 2 2 3" xfId="22162" xr:uid="{00000000-0005-0000-0000-000096560000}"/>
    <cellStyle name="Normal 13 2 6 2 2 2 4" xfId="10257" xr:uid="{00000000-0005-0000-0000-000015280000}"/>
    <cellStyle name="Normal 13 2 6 2 2 3" xfId="17075" xr:uid="{00000000-0005-0000-0000-0000B7420000}"/>
    <cellStyle name="Normal 13 2 6 2 2 3 2" xfId="23732" xr:uid="{00000000-0005-0000-0000-0000B85C0000}"/>
    <cellStyle name="Normal 13 2 6 2 2 4" xfId="20600" xr:uid="{00000000-0005-0000-0000-00007C500000}"/>
    <cellStyle name="Normal 13 2 6 2 2 5" xfId="8395" xr:uid="{00000000-0005-0000-0000-0000CF200000}"/>
    <cellStyle name="Normal 13 2 6 2 3" xfId="3307" xr:uid="{00000000-0005-0000-0000-0000EF0C0000}"/>
    <cellStyle name="Normal 13 2 6 2 3 2" xfId="4349" xr:uid="{00000000-0005-0000-0000-000001110000}"/>
    <cellStyle name="Normal 13 2 6 2 3 2 2" xfId="18656" xr:uid="{00000000-0005-0000-0000-0000E4480000}"/>
    <cellStyle name="Normal 13 2 6 2 3 2 2 2" xfId="25168" xr:uid="{00000000-0005-0000-0000-000054620000}"/>
    <cellStyle name="Normal 13 2 6 2 3 2 3" xfId="22333" xr:uid="{00000000-0005-0000-0000-000041570000}"/>
    <cellStyle name="Normal 13 2 6 2 3 2 4" xfId="10428" xr:uid="{00000000-0005-0000-0000-0000C0280000}"/>
    <cellStyle name="Normal 13 2 6 2 3 3" xfId="17335" xr:uid="{00000000-0005-0000-0000-0000BB430000}"/>
    <cellStyle name="Normal 13 2 6 2 3 3 2" xfId="23912" xr:uid="{00000000-0005-0000-0000-00006C5D0000}"/>
    <cellStyle name="Normal 13 2 6 2 3 4" xfId="21077" xr:uid="{00000000-0005-0000-0000-000059520000}"/>
    <cellStyle name="Normal 13 2 6 2 3 5" xfId="9082" xr:uid="{00000000-0005-0000-0000-00007E230000}"/>
    <cellStyle name="Normal 13 2 6 2 4" xfId="3929" xr:uid="{00000000-0005-0000-0000-00005D0F0000}"/>
    <cellStyle name="Normal 13 2 6 2 4 2" xfId="18067" xr:uid="{00000000-0005-0000-0000-000097460000}"/>
    <cellStyle name="Normal 13 2 6 2 4 2 2" xfId="24579" xr:uid="{00000000-0005-0000-0000-000007600000}"/>
    <cellStyle name="Normal 13 2 6 2 4 3" xfId="21744" xr:uid="{00000000-0005-0000-0000-0000F4540000}"/>
    <cellStyle name="Normal 13 2 6 2 4 4" xfId="9839" xr:uid="{00000000-0005-0000-0000-000073260000}"/>
    <cellStyle name="Normal 13 2 6 2 5" xfId="10839" xr:uid="{00000000-0005-0000-0000-00005B2A0000}"/>
    <cellStyle name="Normal 13 2 6 2 5 2" xfId="22737" xr:uid="{00000000-0005-0000-0000-0000D5580000}"/>
    <cellStyle name="Normal 13 2 6 2 6" xfId="20182" xr:uid="{00000000-0005-0000-0000-0000DA4E0000}"/>
    <cellStyle name="Normal 13 2 6 2 7" xfId="7976" xr:uid="{00000000-0005-0000-0000-00002C1F0000}"/>
    <cellStyle name="Normal 13 2 6 3" xfId="2960" xr:uid="{00000000-0005-0000-0000-0000940B0000}"/>
    <cellStyle name="Normal 13 2 6 3 2" xfId="4034" xr:uid="{00000000-0005-0000-0000-0000C60F0000}"/>
    <cellStyle name="Normal 13 2 6 3 2 2" xfId="10427" xr:uid="{00000000-0005-0000-0000-0000BF280000}"/>
    <cellStyle name="Normal 13 2 6 3 2 2 2" xfId="18655" xr:uid="{00000000-0005-0000-0000-0000E3480000}"/>
    <cellStyle name="Normal 13 2 6 3 2 2 2 2" xfId="25167" xr:uid="{00000000-0005-0000-0000-000053620000}"/>
    <cellStyle name="Normal 13 2 6 3 2 2 3" xfId="22332" xr:uid="{00000000-0005-0000-0000-000040570000}"/>
    <cellStyle name="Normal 13 2 6 3 2 3" xfId="17334" xr:uid="{00000000-0005-0000-0000-0000BA430000}"/>
    <cellStyle name="Normal 13 2 6 3 2 3 2" xfId="23911" xr:uid="{00000000-0005-0000-0000-00006B5D0000}"/>
    <cellStyle name="Normal 13 2 6 3 2 4" xfId="21076" xr:uid="{00000000-0005-0000-0000-000058520000}"/>
    <cellStyle name="Normal 13 2 6 3 2 5" xfId="9081" xr:uid="{00000000-0005-0000-0000-00007D230000}"/>
    <cellStyle name="Normal 13 2 6 3 3" xfId="10048" xr:uid="{00000000-0005-0000-0000-000044270000}"/>
    <cellStyle name="Normal 13 2 6 3 3 2" xfId="18276" xr:uid="{00000000-0005-0000-0000-000068470000}"/>
    <cellStyle name="Normal 13 2 6 3 3 2 2" xfId="24788" xr:uid="{00000000-0005-0000-0000-0000D8600000}"/>
    <cellStyle name="Normal 13 2 6 3 3 3" xfId="21953" xr:uid="{00000000-0005-0000-0000-0000C5550000}"/>
    <cellStyle name="Normal 13 2 6 3 4" xfId="16867" xr:uid="{00000000-0005-0000-0000-0000E7410000}"/>
    <cellStyle name="Normal 13 2 6 3 4 2" xfId="23524" xr:uid="{00000000-0005-0000-0000-0000E85B0000}"/>
    <cellStyle name="Normal 13 2 6 3 5" xfId="20391" xr:uid="{00000000-0005-0000-0000-0000AB4F0000}"/>
    <cellStyle name="Normal 13 2 6 3 6" xfId="8186" xr:uid="{00000000-0005-0000-0000-0000FE1F0000}"/>
    <cellStyle name="Normal 13 2 6 4" xfId="3186" xr:uid="{00000000-0005-0000-0000-0000760C0000}"/>
    <cellStyle name="Normal 13 2 6 4 2" xfId="4244" xr:uid="{00000000-0005-0000-0000-000098100000}"/>
    <cellStyle name="Normal 13 2 6 4 3" xfId="8718" xr:uid="{00000000-0005-0000-0000-000012220000}"/>
    <cellStyle name="Normal 13 2 6 5" xfId="3637" xr:uid="{00000000-0005-0000-0000-0000390E0000}"/>
    <cellStyle name="Normal 13 2 6 5 2" xfId="17858" xr:uid="{00000000-0005-0000-0000-0000C6450000}"/>
    <cellStyle name="Normal 13 2 6 5 2 2" xfId="24370" xr:uid="{00000000-0005-0000-0000-0000365F0000}"/>
    <cellStyle name="Normal 13 2 6 5 3" xfId="21535" xr:uid="{00000000-0005-0000-0000-000023540000}"/>
    <cellStyle name="Normal 13 2 6 5 4" xfId="9630" xr:uid="{00000000-0005-0000-0000-0000A2250000}"/>
    <cellStyle name="Normal 13 2 6 6" xfId="10838" xr:uid="{00000000-0005-0000-0000-00005A2A0000}"/>
    <cellStyle name="Normal 13 2 6 6 2" xfId="22736" xr:uid="{00000000-0005-0000-0000-0000D4580000}"/>
    <cellStyle name="Normal 13 2 6 7" xfId="19973" xr:uid="{00000000-0005-0000-0000-0000094E0000}"/>
    <cellStyle name="Normal 13 2 6 8" xfId="7732" xr:uid="{00000000-0005-0000-0000-0000381E0000}"/>
    <cellStyle name="Normal 13 2 7" xfId="979" xr:uid="{00000000-0005-0000-0000-0000D7030000}"/>
    <cellStyle name="Normal 13 2 7 2" xfId="2133" xr:uid="{00000000-0005-0000-0000-000059080000}"/>
    <cellStyle name="Normal 13 2 7 2 2" xfId="3082" xr:uid="{00000000-0005-0000-0000-00000E0C0000}"/>
    <cellStyle name="Normal 13 2 7 2 2 2" xfId="4140" xr:uid="{00000000-0005-0000-0000-000030100000}"/>
    <cellStyle name="Normal 13 2 7 2 2 2 2" xfId="18486" xr:uid="{00000000-0005-0000-0000-00003A480000}"/>
    <cellStyle name="Normal 13 2 7 2 2 2 2 2" xfId="24998" xr:uid="{00000000-0005-0000-0000-0000AA610000}"/>
    <cellStyle name="Normal 13 2 7 2 2 2 3" xfId="22163" xr:uid="{00000000-0005-0000-0000-000097560000}"/>
    <cellStyle name="Normal 13 2 7 2 2 2 4" xfId="10258" xr:uid="{00000000-0005-0000-0000-000016280000}"/>
    <cellStyle name="Normal 13 2 7 2 2 3" xfId="17076" xr:uid="{00000000-0005-0000-0000-0000B8420000}"/>
    <cellStyle name="Normal 13 2 7 2 2 3 2" xfId="23733" xr:uid="{00000000-0005-0000-0000-0000B95C0000}"/>
    <cellStyle name="Normal 13 2 7 2 2 4" xfId="20601" xr:uid="{00000000-0005-0000-0000-00007D500000}"/>
    <cellStyle name="Normal 13 2 7 2 2 5" xfId="8396" xr:uid="{00000000-0005-0000-0000-0000D0200000}"/>
    <cellStyle name="Normal 13 2 7 2 3" xfId="3308" xr:uid="{00000000-0005-0000-0000-0000F00C0000}"/>
    <cellStyle name="Normal 13 2 7 2 3 2" xfId="4350" xr:uid="{00000000-0005-0000-0000-000002110000}"/>
    <cellStyle name="Normal 13 2 7 2 3 2 2" xfId="18658" xr:uid="{00000000-0005-0000-0000-0000E6480000}"/>
    <cellStyle name="Normal 13 2 7 2 3 2 2 2" xfId="25170" xr:uid="{00000000-0005-0000-0000-000056620000}"/>
    <cellStyle name="Normal 13 2 7 2 3 2 3" xfId="22335" xr:uid="{00000000-0005-0000-0000-000043570000}"/>
    <cellStyle name="Normal 13 2 7 2 3 2 4" xfId="10430" xr:uid="{00000000-0005-0000-0000-0000C2280000}"/>
    <cellStyle name="Normal 13 2 7 2 3 3" xfId="17337" xr:uid="{00000000-0005-0000-0000-0000BD430000}"/>
    <cellStyle name="Normal 13 2 7 2 3 3 2" xfId="23914" xr:uid="{00000000-0005-0000-0000-00006E5D0000}"/>
    <cellStyle name="Normal 13 2 7 2 3 4" xfId="21079" xr:uid="{00000000-0005-0000-0000-00005B520000}"/>
    <cellStyle name="Normal 13 2 7 2 3 5" xfId="9084" xr:uid="{00000000-0005-0000-0000-000080230000}"/>
    <cellStyle name="Normal 13 2 7 2 4" xfId="3930" xr:uid="{00000000-0005-0000-0000-00005E0F0000}"/>
    <cellStyle name="Normal 13 2 7 2 4 2" xfId="18068" xr:uid="{00000000-0005-0000-0000-000098460000}"/>
    <cellStyle name="Normal 13 2 7 2 4 2 2" xfId="24580" xr:uid="{00000000-0005-0000-0000-000008600000}"/>
    <cellStyle name="Normal 13 2 7 2 4 3" xfId="21745" xr:uid="{00000000-0005-0000-0000-0000F5540000}"/>
    <cellStyle name="Normal 13 2 7 2 4 4" xfId="9840" xr:uid="{00000000-0005-0000-0000-000074260000}"/>
    <cellStyle name="Normal 13 2 7 2 5" xfId="10841" xr:uid="{00000000-0005-0000-0000-00005D2A0000}"/>
    <cellStyle name="Normal 13 2 7 2 5 2" xfId="22739" xr:uid="{00000000-0005-0000-0000-0000D7580000}"/>
    <cellStyle name="Normal 13 2 7 2 6" xfId="20183" xr:uid="{00000000-0005-0000-0000-0000DB4E0000}"/>
    <cellStyle name="Normal 13 2 7 2 7" xfId="7977" xr:uid="{00000000-0005-0000-0000-00002D1F0000}"/>
    <cellStyle name="Normal 13 2 7 3" xfId="2961" xr:uid="{00000000-0005-0000-0000-0000950B0000}"/>
    <cellStyle name="Normal 13 2 7 3 2" xfId="4035" xr:uid="{00000000-0005-0000-0000-0000C70F0000}"/>
    <cellStyle name="Normal 13 2 7 3 2 2" xfId="10429" xr:uid="{00000000-0005-0000-0000-0000C1280000}"/>
    <cellStyle name="Normal 13 2 7 3 2 2 2" xfId="18657" xr:uid="{00000000-0005-0000-0000-0000E5480000}"/>
    <cellStyle name="Normal 13 2 7 3 2 2 2 2" xfId="25169" xr:uid="{00000000-0005-0000-0000-000055620000}"/>
    <cellStyle name="Normal 13 2 7 3 2 2 3" xfId="22334" xr:uid="{00000000-0005-0000-0000-000042570000}"/>
    <cellStyle name="Normal 13 2 7 3 2 3" xfId="17336" xr:uid="{00000000-0005-0000-0000-0000BC430000}"/>
    <cellStyle name="Normal 13 2 7 3 2 3 2" xfId="23913" xr:uid="{00000000-0005-0000-0000-00006D5D0000}"/>
    <cellStyle name="Normal 13 2 7 3 2 4" xfId="21078" xr:uid="{00000000-0005-0000-0000-00005A520000}"/>
    <cellStyle name="Normal 13 2 7 3 2 5" xfId="9083" xr:uid="{00000000-0005-0000-0000-00007F230000}"/>
    <cellStyle name="Normal 13 2 7 3 3" xfId="10049" xr:uid="{00000000-0005-0000-0000-000045270000}"/>
    <cellStyle name="Normal 13 2 7 3 3 2" xfId="18277" xr:uid="{00000000-0005-0000-0000-000069470000}"/>
    <cellStyle name="Normal 13 2 7 3 3 2 2" xfId="24789" xr:uid="{00000000-0005-0000-0000-0000D9600000}"/>
    <cellStyle name="Normal 13 2 7 3 3 3" xfId="21954" xr:uid="{00000000-0005-0000-0000-0000C6550000}"/>
    <cellStyle name="Normal 13 2 7 3 4" xfId="16868" xr:uid="{00000000-0005-0000-0000-0000E8410000}"/>
    <cellStyle name="Normal 13 2 7 3 4 2" xfId="23525" xr:uid="{00000000-0005-0000-0000-0000E95B0000}"/>
    <cellStyle name="Normal 13 2 7 3 5" xfId="20392" xr:uid="{00000000-0005-0000-0000-0000AC4F0000}"/>
    <cellStyle name="Normal 13 2 7 3 6" xfId="8187" xr:uid="{00000000-0005-0000-0000-0000FF1F0000}"/>
    <cellStyle name="Normal 13 2 7 4" xfId="3187" xr:uid="{00000000-0005-0000-0000-0000770C0000}"/>
    <cellStyle name="Normal 13 2 7 4 2" xfId="4245" xr:uid="{00000000-0005-0000-0000-000099100000}"/>
    <cellStyle name="Normal 13 2 7 4 3" xfId="8719" xr:uid="{00000000-0005-0000-0000-000013220000}"/>
    <cellStyle name="Normal 13 2 7 5" xfId="3638" xr:uid="{00000000-0005-0000-0000-00003A0E0000}"/>
    <cellStyle name="Normal 13 2 7 5 2" xfId="17859" xr:uid="{00000000-0005-0000-0000-0000C7450000}"/>
    <cellStyle name="Normal 13 2 7 5 2 2" xfId="24371" xr:uid="{00000000-0005-0000-0000-0000375F0000}"/>
    <cellStyle name="Normal 13 2 7 5 3" xfId="21536" xr:uid="{00000000-0005-0000-0000-000024540000}"/>
    <cellStyle name="Normal 13 2 7 5 4" xfId="9631" xr:uid="{00000000-0005-0000-0000-0000A3250000}"/>
    <cellStyle name="Normal 13 2 7 6" xfId="10840" xr:uid="{00000000-0005-0000-0000-00005C2A0000}"/>
    <cellStyle name="Normal 13 2 7 6 2" xfId="22738" xr:uid="{00000000-0005-0000-0000-0000D6580000}"/>
    <cellStyle name="Normal 13 2 7 7" xfId="19974" xr:uid="{00000000-0005-0000-0000-00000A4E0000}"/>
    <cellStyle name="Normal 13 2 7 8" xfId="7733" xr:uid="{00000000-0005-0000-0000-0000391E0000}"/>
    <cellStyle name="Normal 13 2 8" xfId="980" xr:uid="{00000000-0005-0000-0000-0000D8030000}"/>
    <cellStyle name="Normal 13 2 8 2" xfId="2134" xr:uid="{00000000-0005-0000-0000-00005A080000}"/>
    <cellStyle name="Normal 13 2 8 2 2" xfId="3083" xr:uid="{00000000-0005-0000-0000-00000F0C0000}"/>
    <cellStyle name="Normal 13 2 8 2 2 2" xfId="4141" xr:uid="{00000000-0005-0000-0000-000031100000}"/>
    <cellStyle name="Normal 13 2 8 2 2 2 2" xfId="18487" xr:uid="{00000000-0005-0000-0000-00003B480000}"/>
    <cellStyle name="Normal 13 2 8 2 2 2 2 2" xfId="24999" xr:uid="{00000000-0005-0000-0000-0000AB610000}"/>
    <cellStyle name="Normal 13 2 8 2 2 2 3" xfId="22164" xr:uid="{00000000-0005-0000-0000-000098560000}"/>
    <cellStyle name="Normal 13 2 8 2 2 2 4" xfId="10259" xr:uid="{00000000-0005-0000-0000-000017280000}"/>
    <cellStyle name="Normal 13 2 8 2 2 3" xfId="17077" xr:uid="{00000000-0005-0000-0000-0000B9420000}"/>
    <cellStyle name="Normal 13 2 8 2 2 3 2" xfId="23734" xr:uid="{00000000-0005-0000-0000-0000BA5C0000}"/>
    <cellStyle name="Normal 13 2 8 2 2 4" xfId="20602" xr:uid="{00000000-0005-0000-0000-00007E500000}"/>
    <cellStyle name="Normal 13 2 8 2 2 5" xfId="8397" xr:uid="{00000000-0005-0000-0000-0000D1200000}"/>
    <cellStyle name="Normal 13 2 8 2 3" xfId="3309" xr:uid="{00000000-0005-0000-0000-0000F10C0000}"/>
    <cellStyle name="Normal 13 2 8 2 3 2" xfId="4351" xr:uid="{00000000-0005-0000-0000-000003110000}"/>
    <cellStyle name="Normal 13 2 8 2 3 2 2" xfId="18660" xr:uid="{00000000-0005-0000-0000-0000E8480000}"/>
    <cellStyle name="Normal 13 2 8 2 3 2 2 2" xfId="25172" xr:uid="{00000000-0005-0000-0000-000058620000}"/>
    <cellStyle name="Normal 13 2 8 2 3 2 3" xfId="22337" xr:uid="{00000000-0005-0000-0000-000045570000}"/>
    <cellStyle name="Normal 13 2 8 2 3 2 4" xfId="10432" xr:uid="{00000000-0005-0000-0000-0000C4280000}"/>
    <cellStyle name="Normal 13 2 8 2 3 3" xfId="17339" xr:uid="{00000000-0005-0000-0000-0000BF430000}"/>
    <cellStyle name="Normal 13 2 8 2 3 3 2" xfId="23916" xr:uid="{00000000-0005-0000-0000-0000705D0000}"/>
    <cellStyle name="Normal 13 2 8 2 3 4" xfId="21081" xr:uid="{00000000-0005-0000-0000-00005D520000}"/>
    <cellStyle name="Normal 13 2 8 2 3 5" xfId="9086" xr:uid="{00000000-0005-0000-0000-000082230000}"/>
    <cellStyle name="Normal 13 2 8 2 4" xfId="3931" xr:uid="{00000000-0005-0000-0000-00005F0F0000}"/>
    <cellStyle name="Normal 13 2 8 2 4 2" xfId="18069" xr:uid="{00000000-0005-0000-0000-000099460000}"/>
    <cellStyle name="Normal 13 2 8 2 4 2 2" xfId="24581" xr:uid="{00000000-0005-0000-0000-000009600000}"/>
    <cellStyle name="Normal 13 2 8 2 4 3" xfId="21746" xr:uid="{00000000-0005-0000-0000-0000F6540000}"/>
    <cellStyle name="Normal 13 2 8 2 4 4" xfId="9841" xr:uid="{00000000-0005-0000-0000-000075260000}"/>
    <cellStyle name="Normal 13 2 8 2 5" xfId="10843" xr:uid="{00000000-0005-0000-0000-00005F2A0000}"/>
    <cellStyle name="Normal 13 2 8 2 5 2" xfId="22741" xr:uid="{00000000-0005-0000-0000-0000D9580000}"/>
    <cellStyle name="Normal 13 2 8 2 6" xfId="20184" xr:uid="{00000000-0005-0000-0000-0000DC4E0000}"/>
    <cellStyle name="Normal 13 2 8 2 7" xfId="7978" xr:uid="{00000000-0005-0000-0000-00002E1F0000}"/>
    <cellStyle name="Normal 13 2 8 3" xfId="2962" xr:uid="{00000000-0005-0000-0000-0000960B0000}"/>
    <cellStyle name="Normal 13 2 8 3 2" xfId="4036" xr:uid="{00000000-0005-0000-0000-0000C80F0000}"/>
    <cellStyle name="Normal 13 2 8 3 2 2" xfId="10431" xr:uid="{00000000-0005-0000-0000-0000C3280000}"/>
    <cellStyle name="Normal 13 2 8 3 2 2 2" xfId="18659" xr:uid="{00000000-0005-0000-0000-0000E7480000}"/>
    <cellStyle name="Normal 13 2 8 3 2 2 2 2" xfId="25171" xr:uid="{00000000-0005-0000-0000-000057620000}"/>
    <cellStyle name="Normal 13 2 8 3 2 2 3" xfId="22336" xr:uid="{00000000-0005-0000-0000-000044570000}"/>
    <cellStyle name="Normal 13 2 8 3 2 3" xfId="17338" xr:uid="{00000000-0005-0000-0000-0000BE430000}"/>
    <cellStyle name="Normal 13 2 8 3 2 3 2" xfId="23915" xr:uid="{00000000-0005-0000-0000-00006F5D0000}"/>
    <cellStyle name="Normal 13 2 8 3 2 4" xfId="21080" xr:uid="{00000000-0005-0000-0000-00005C520000}"/>
    <cellStyle name="Normal 13 2 8 3 2 5" xfId="9085" xr:uid="{00000000-0005-0000-0000-000081230000}"/>
    <cellStyle name="Normal 13 2 8 3 3" xfId="10050" xr:uid="{00000000-0005-0000-0000-000046270000}"/>
    <cellStyle name="Normal 13 2 8 3 3 2" xfId="18278" xr:uid="{00000000-0005-0000-0000-00006A470000}"/>
    <cellStyle name="Normal 13 2 8 3 3 2 2" xfId="24790" xr:uid="{00000000-0005-0000-0000-0000DA600000}"/>
    <cellStyle name="Normal 13 2 8 3 3 3" xfId="21955" xr:uid="{00000000-0005-0000-0000-0000C7550000}"/>
    <cellStyle name="Normal 13 2 8 3 4" xfId="16869" xr:uid="{00000000-0005-0000-0000-0000E9410000}"/>
    <cellStyle name="Normal 13 2 8 3 4 2" xfId="23526" xr:uid="{00000000-0005-0000-0000-0000EA5B0000}"/>
    <cellStyle name="Normal 13 2 8 3 5" xfId="20393" xr:uid="{00000000-0005-0000-0000-0000AD4F0000}"/>
    <cellStyle name="Normal 13 2 8 3 6" xfId="8188" xr:uid="{00000000-0005-0000-0000-000000200000}"/>
    <cellStyle name="Normal 13 2 8 4" xfId="3188" xr:uid="{00000000-0005-0000-0000-0000780C0000}"/>
    <cellStyle name="Normal 13 2 8 4 2" xfId="4246" xr:uid="{00000000-0005-0000-0000-00009A100000}"/>
    <cellStyle name="Normal 13 2 8 4 3" xfId="8720" xr:uid="{00000000-0005-0000-0000-000014220000}"/>
    <cellStyle name="Normal 13 2 8 5" xfId="3639" xr:uid="{00000000-0005-0000-0000-00003B0E0000}"/>
    <cellStyle name="Normal 13 2 8 5 2" xfId="17860" xr:uid="{00000000-0005-0000-0000-0000C8450000}"/>
    <cellStyle name="Normal 13 2 8 5 2 2" xfId="24372" xr:uid="{00000000-0005-0000-0000-0000385F0000}"/>
    <cellStyle name="Normal 13 2 8 5 3" xfId="21537" xr:uid="{00000000-0005-0000-0000-000025540000}"/>
    <cellStyle name="Normal 13 2 8 5 4" xfId="9632" xr:uid="{00000000-0005-0000-0000-0000A4250000}"/>
    <cellStyle name="Normal 13 2 8 6" xfId="10842" xr:uid="{00000000-0005-0000-0000-00005E2A0000}"/>
    <cellStyle name="Normal 13 2 8 6 2" xfId="22740" xr:uid="{00000000-0005-0000-0000-0000D8580000}"/>
    <cellStyle name="Normal 13 2 8 7" xfId="19975" xr:uid="{00000000-0005-0000-0000-00000B4E0000}"/>
    <cellStyle name="Normal 13 2 8 8" xfId="7734" xr:uid="{00000000-0005-0000-0000-00003A1E0000}"/>
    <cellStyle name="Normal 13 2 9" xfId="7727" xr:uid="{00000000-0005-0000-0000-0000331E0000}"/>
    <cellStyle name="Normal 13 20" xfId="981" xr:uid="{00000000-0005-0000-0000-0000D9030000}"/>
    <cellStyle name="Normal 13 21" xfId="982" xr:uid="{00000000-0005-0000-0000-0000DA030000}"/>
    <cellStyle name="Normal 13 22" xfId="983" xr:uid="{00000000-0005-0000-0000-0000DB030000}"/>
    <cellStyle name="Normal 13 23" xfId="984" xr:uid="{00000000-0005-0000-0000-0000DC030000}"/>
    <cellStyle name="Normal 13 23 2" xfId="2135" xr:uid="{00000000-0005-0000-0000-00005B080000}"/>
    <cellStyle name="Normal 13 24" xfId="985" xr:uid="{00000000-0005-0000-0000-0000DD030000}"/>
    <cellStyle name="Normal 13 24 2" xfId="2136" xr:uid="{00000000-0005-0000-0000-00005C080000}"/>
    <cellStyle name="Normal 13 25" xfId="986" xr:uid="{00000000-0005-0000-0000-0000DE030000}"/>
    <cellStyle name="Normal 13 25 2" xfId="2137" xr:uid="{00000000-0005-0000-0000-00005D080000}"/>
    <cellStyle name="Normal 13 26" xfId="987" xr:uid="{00000000-0005-0000-0000-0000DF030000}"/>
    <cellStyle name="Normal 13 26 2" xfId="2138" xr:uid="{00000000-0005-0000-0000-00005E080000}"/>
    <cellStyle name="Normal 13 27" xfId="988" xr:uid="{00000000-0005-0000-0000-0000E0030000}"/>
    <cellStyle name="Normal 13 27 2" xfId="2139" xr:uid="{00000000-0005-0000-0000-00005F080000}"/>
    <cellStyle name="Normal 13 28" xfId="989" xr:uid="{00000000-0005-0000-0000-0000E1030000}"/>
    <cellStyle name="Normal 13 28 2" xfId="2140" xr:uid="{00000000-0005-0000-0000-000060080000}"/>
    <cellStyle name="Normal 13 29" xfId="990" xr:uid="{00000000-0005-0000-0000-0000E2030000}"/>
    <cellStyle name="Normal 13 29 2" xfId="2141" xr:uid="{00000000-0005-0000-0000-000061080000}"/>
    <cellStyle name="Normal 13 3" xfId="991" xr:uid="{00000000-0005-0000-0000-0000E3030000}"/>
    <cellStyle name="Normal 13 3 2" xfId="2142" xr:uid="{00000000-0005-0000-0000-000062080000}"/>
    <cellStyle name="Normal 13 3 2 2" xfId="3084" xr:uid="{00000000-0005-0000-0000-0000100C0000}"/>
    <cellStyle name="Normal 13 3 2 2 2" xfId="4142" xr:uid="{00000000-0005-0000-0000-000032100000}"/>
    <cellStyle name="Normal 13 3 2 2 2 2" xfId="10260" xr:uid="{00000000-0005-0000-0000-000018280000}"/>
    <cellStyle name="Normal 13 3 2 2 2 2 2" xfId="18488" xr:uid="{00000000-0005-0000-0000-00003C480000}"/>
    <cellStyle name="Normal 13 3 2 2 2 2 2 2" xfId="25000" xr:uid="{00000000-0005-0000-0000-0000AC610000}"/>
    <cellStyle name="Normal 13 3 2 2 2 2 3" xfId="22165" xr:uid="{00000000-0005-0000-0000-000099560000}"/>
    <cellStyle name="Normal 13 3 2 2 2 3" xfId="17078" xr:uid="{00000000-0005-0000-0000-0000BA420000}"/>
    <cellStyle name="Normal 13 3 2 2 2 3 2" xfId="23735" xr:uid="{00000000-0005-0000-0000-0000BB5C0000}"/>
    <cellStyle name="Normal 13 3 2 2 2 4" xfId="20603" xr:uid="{00000000-0005-0000-0000-00007F500000}"/>
    <cellStyle name="Normal 13 3 2 2 2 5" xfId="8398" xr:uid="{00000000-0005-0000-0000-0000D2200000}"/>
    <cellStyle name="Normal 13 3 2 2 3" xfId="9089" xr:uid="{00000000-0005-0000-0000-000085230000}"/>
    <cellStyle name="Normal 13 3 2 2 3 2" xfId="10434" xr:uid="{00000000-0005-0000-0000-0000C6280000}"/>
    <cellStyle name="Normal 13 3 2 2 3 2 2" xfId="18662" xr:uid="{00000000-0005-0000-0000-0000EA480000}"/>
    <cellStyle name="Normal 13 3 2 2 3 2 2 2" xfId="25174" xr:uid="{00000000-0005-0000-0000-00005A620000}"/>
    <cellStyle name="Normal 13 3 2 2 3 2 3" xfId="22339" xr:uid="{00000000-0005-0000-0000-000047570000}"/>
    <cellStyle name="Normal 13 3 2 2 3 3" xfId="17341" xr:uid="{00000000-0005-0000-0000-0000C1430000}"/>
    <cellStyle name="Normal 13 3 2 2 3 3 2" xfId="23918" xr:uid="{00000000-0005-0000-0000-0000725D0000}"/>
    <cellStyle name="Normal 13 3 2 2 3 4" xfId="21083" xr:uid="{00000000-0005-0000-0000-00005F520000}"/>
    <cellStyle name="Normal 13 3 2 2 4" xfId="9842" xr:uid="{00000000-0005-0000-0000-000076260000}"/>
    <cellStyle name="Normal 13 3 2 2 4 2" xfId="18070" xr:uid="{00000000-0005-0000-0000-00009A460000}"/>
    <cellStyle name="Normal 13 3 2 2 4 2 2" xfId="24582" xr:uid="{00000000-0005-0000-0000-00000A600000}"/>
    <cellStyle name="Normal 13 3 2 2 4 3" xfId="21747" xr:uid="{00000000-0005-0000-0000-0000F7540000}"/>
    <cellStyle name="Normal 13 3 2 2 5" xfId="10846" xr:uid="{00000000-0005-0000-0000-0000622A0000}"/>
    <cellStyle name="Normal 13 3 2 2 5 2" xfId="22744" xr:uid="{00000000-0005-0000-0000-0000DC580000}"/>
    <cellStyle name="Normal 13 3 2 2 6" xfId="20185" xr:uid="{00000000-0005-0000-0000-0000DD4E0000}"/>
    <cellStyle name="Normal 13 3 2 2 7" xfId="7979" xr:uid="{00000000-0005-0000-0000-00002F1F0000}"/>
    <cellStyle name="Normal 13 3 2 3" xfId="3310" xr:uid="{00000000-0005-0000-0000-0000F20C0000}"/>
    <cellStyle name="Normal 13 3 2 3 2" xfId="4352" xr:uid="{00000000-0005-0000-0000-000004110000}"/>
    <cellStyle name="Normal 13 3 2 3 2 2" xfId="18279" xr:uid="{00000000-0005-0000-0000-00006B470000}"/>
    <cellStyle name="Normal 13 3 2 3 2 2 2" xfId="24791" xr:uid="{00000000-0005-0000-0000-0000DB600000}"/>
    <cellStyle name="Normal 13 3 2 3 2 3" xfId="21956" xr:uid="{00000000-0005-0000-0000-0000C8550000}"/>
    <cellStyle name="Normal 13 3 2 3 2 4" xfId="10051" xr:uid="{00000000-0005-0000-0000-000047270000}"/>
    <cellStyle name="Normal 13 3 2 3 3" xfId="16870" xr:uid="{00000000-0005-0000-0000-0000EA410000}"/>
    <cellStyle name="Normal 13 3 2 3 3 2" xfId="23527" xr:uid="{00000000-0005-0000-0000-0000EB5B0000}"/>
    <cellStyle name="Normal 13 3 2 3 4" xfId="20394" xr:uid="{00000000-0005-0000-0000-0000AE4F0000}"/>
    <cellStyle name="Normal 13 3 2 3 5" xfId="8189" xr:uid="{00000000-0005-0000-0000-000001200000}"/>
    <cellStyle name="Normal 13 3 2 4" xfId="3932" xr:uid="{00000000-0005-0000-0000-0000600F0000}"/>
    <cellStyle name="Normal 13 3 2 4 2" xfId="10433" xr:uid="{00000000-0005-0000-0000-0000C5280000}"/>
    <cellStyle name="Normal 13 3 2 4 2 2" xfId="18661" xr:uid="{00000000-0005-0000-0000-0000E9480000}"/>
    <cellStyle name="Normal 13 3 2 4 2 2 2" xfId="25173" xr:uid="{00000000-0005-0000-0000-000059620000}"/>
    <cellStyle name="Normal 13 3 2 4 2 3" xfId="22338" xr:uid="{00000000-0005-0000-0000-000046570000}"/>
    <cellStyle name="Normal 13 3 2 4 3" xfId="17340" xr:uid="{00000000-0005-0000-0000-0000C0430000}"/>
    <cellStyle name="Normal 13 3 2 4 3 2" xfId="23917" xr:uid="{00000000-0005-0000-0000-0000715D0000}"/>
    <cellStyle name="Normal 13 3 2 4 4" xfId="21082" xr:uid="{00000000-0005-0000-0000-00005E520000}"/>
    <cellStyle name="Normal 13 3 2 4 5" xfId="9088" xr:uid="{00000000-0005-0000-0000-000084230000}"/>
    <cellStyle name="Normal 13 3 2 5" xfId="9633" xr:uid="{00000000-0005-0000-0000-0000A5250000}"/>
    <cellStyle name="Normal 13 3 2 5 2" xfId="17861" xr:uid="{00000000-0005-0000-0000-0000C9450000}"/>
    <cellStyle name="Normal 13 3 2 5 2 2" xfId="24373" xr:uid="{00000000-0005-0000-0000-0000395F0000}"/>
    <cellStyle name="Normal 13 3 2 5 3" xfId="21538" xr:uid="{00000000-0005-0000-0000-000026540000}"/>
    <cellStyle name="Normal 13 3 2 6" xfId="10845" xr:uid="{00000000-0005-0000-0000-0000612A0000}"/>
    <cellStyle name="Normal 13 3 2 6 2" xfId="22743" xr:uid="{00000000-0005-0000-0000-0000DB580000}"/>
    <cellStyle name="Normal 13 3 2 7" xfId="19976" xr:uid="{00000000-0005-0000-0000-00000C4E0000}"/>
    <cellStyle name="Normal 13 3 2 8" xfId="7735" xr:uid="{00000000-0005-0000-0000-00003B1E0000}"/>
    <cellStyle name="Normal 13 3 3" xfId="2963" xr:uid="{00000000-0005-0000-0000-0000970B0000}"/>
    <cellStyle name="Normal 13 3 3 2" xfId="4037" xr:uid="{00000000-0005-0000-0000-0000C90F0000}"/>
    <cellStyle name="Normal 13 3 3 3" xfId="9087" xr:uid="{00000000-0005-0000-0000-000083230000}"/>
    <cellStyle name="Normal 13 3 4" xfId="3189" xr:uid="{00000000-0005-0000-0000-0000790C0000}"/>
    <cellStyle name="Normal 13 3 4 2" xfId="4247" xr:uid="{00000000-0005-0000-0000-00009B100000}"/>
    <cellStyle name="Normal 13 3 4 3" xfId="8721" xr:uid="{00000000-0005-0000-0000-000015220000}"/>
    <cellStyle name="Normal 13 3 5" xfId="3640" xr:uid="{00000000-0005-0000-0000-00003C0E0000}"/>
    <cellStyle name="Normal 13 3 5 2" xfId="22742" xr:uid="{00000000-0005-0000-0000-0000DA580000}"/>
    <cellStyle name="Normal 13 3 5 3" xfId="10844" xr:uid="{00000000-0005-0000-0000-0000602A0000}"/>
    <cellStyle name="Normal 13 3 6" xfId="6246" xr:uid="{00000000-0005-0000-0000-00006A180000}"/>
    <cellStyle name="Normal 13 30" xfId="992" xr:uid="{00000000-0005-0000-0000-0000E4030000}"/>
    <cellStyle name="Normal 13 30 2" xfId="2143" xr:uid="{00000000-0005-0000-0000-000063080000}"/>
    <cellStyle name="Normal 13 31" xfId="993" xr:uid="{00000000-0005-0000-0000-0000E5030000}"/>
    <cellStyle name="Normal 13 31 2" xfId="2144" xr:uid="{00000000-0005-0000-0000-000064080000}"/>
    <cellStyle name="Normal 13 32" xfId="994" xr:uid="{00000000-0005-0000-0000-0000E6030000}"/>
    <cellStyle name="Normal 13 32 2" xfId="2145" xr:uid="{00000000-0005-0000-0000-000065080000}"/>
    <cellStyle name="Normal 13 33" xfId="995" xr:uid="{00000000-0005-0000-0000-0000E7030000}"/>
    <cellStyle name="Normal 13 33 2" xfId="2146" xr:uid="{00000000-0005-0000-0000-000066080000}"/>
    <cellStyle name="Normal 13 34" xfId="996" xr:uid="{00000000-0005-0000-0000-0000E8030000}"/>
    <cellStyle name="Normal 13 34 2" xfId="2147" xr:uid="{00000000-0005-0000-0000-000067080000}"/>
    <cellStyle name="Normal 13 35" xfId="997" xr:uid="{00000000-0005-0000-0000-0000E9030000}"/>
    <cellStyle name="Normal 13 35 2" xfId="2148" xr:uid="{00000000-0005-0000-0000-000068080000}"/>
    <cellStyle name="Normal 13 36" xfId="998" xr:uid="{00000000-0005-0000-0000-0000EA030000}"/>
    <cellStyle name="Normal 13 36 2" xfId="2149" xr:uid="{00000000-0005-0000-0000-000069080000}"/>
    <cellStyle name="Normal 13 37" xfId="999" xr:uid="{00000000-0005-0000-0000-0000EB030000}"/>
    <cellStyle name="Normal 13 37 2" xfId="2150" xr:uid="{00000000-0005-0000-0000-00006A080000}"/>
    <cellStyle name="Normal 13 38" xfId="1000" xr:uid="{00000000-0005-0000-0000-0000EC030000}"/>
    <cellStyle name="Normal 13 38 2" xfId="2151" xr:uid="{00000000-0005-0000-0000-00006B080000}"/>
    <cellStyle name="Normal 13 39" xfId="2121" xr:uid="{00000000-0005-0000-0000-00004D080000}"/>
    <cellStyle name="Normal 13 39 2" xfId="8319" xr:uid="{00000000-0005-0000-0000-000083200000}"/>
    <cellStyle name="Normal 13 39 2 2" xfId="10181" xr:uid="{00000000-0005-0000-0000-0000C9270000}"/>
    <cellStyle name="Normal 13 39 2 2 2" xfId="18409" xr:uid="{00000000-0005-0000-0000-0000ED470000}"/>
    <cellStyle name="Normal 13 39 2 2 2 2" xfId="24921" xr:uid="{00000000-0005-0000-0000-00005D610000}"/>
    <cellStyle name="Normal 13 39 2 2 3" xfId="22086" xr:uid="{00000000-0005-0000-0000-00004A560000}"/>
    <cellStyle name="Normal 13 39 2 3" xfId="16999" xr:uid="{00000000-0005-0000-0000-00006B420000}"/>
    <cellStyle name="Normal 13 39 2 3 2" xfId="23656" xr:uid="{00000000-0005-0000-0000-00006C5C0000}"/>
    <cellStyle name="Normal 13 39 2 4" xfId="20524" xr:uid="{00000000-0005-0000-0000-000030500000}"/>
    <cellStyle name="Normal 13 39 3" xfId="9090" xr:uid="{00000000-0005-0000-0000-000086230000}"/>
    <cellStyle name="Normal 13 39 3 2" xfId="10435" xr:uid="{00000000-0005-0000-0000-0000C7280000}"/>
    <cellStyle name="Normal 13 39 3 2 2" xfId="18663" xr:uid="{00000000-0005-0000-0000-0000EB480000}"/>
    <cellStyle name="Normal 13 39 3 2 2 2" xfId="25175" xr:uid="{00000000-0005-0000-0000-00005B620000}"/>
    <cellStyle name="Normal 13 39 3 2 3" xfId="22340" xr:uid="{00000000-0005-0000-0000-000048570000}"/>
    <cellStyle name="Normal 13 39 3 3" xfId="17342" xr:uid="{00000000-0005-0000-0000-0000C2430000}"/>
    <cellStyle name="Normal 13 39 3 3 2" xfId="23919" xr:uid="{00000000-0005-0000-0000-0000735D0000}"/>
    <cellStyle name="Normal 13 39 3 4" xfId="21084" xr:uid="{00000000-0005-0000-0000-000060520000}"/>
    <cellStyle name="Normal 13 39 4" xfId="9763" xr:uid="{00000000-0005-0000-0000-000027260000}"/>
    <cellStyle name="Normal 13 39 4 2" xfId="17991" xr:uid="{00000000-0005-0000-0000-00004B460000}"/>
    <cellStyle name="Normal 13 39 4 2 2" xfId="24503" xr:uid="{00000000-0005-0000-0000-0000BB5F0000}"/>
    <cellStyle name="Normal 13 39 4 3" xfId="21668" xr:uid="{00000000-0005-0000-0000-0000A8540000}"/>
    <cellStyle name="Normal 13 39 5" xfId="10847" xr:uid="{00000000-0005-0000-0000-0000632A0000}"/>
    <cellStyle name="Normal 13 39 5 2" xfId="22745" xr:uid="{00000000-0005-0000-0000-0000DD580000}"/>
    <cellStyle name="Normal 13 39 6" xfId="20106" xr:uid="{00000000-0005-0000-0000-00008E4E0000}"/>
    <cellStyle name="Normal 13 39 7" xfId="7897" xr:uid="{00000000-0005-0000-0000-0000DD1E0000}"/>
    <cellStyle name="Normal 13 4" xfId="1001" xr:uid="{00000000-0005-0000-0000-0000ED030000}"/>
    <cellStyle name="Normal 13 4 2" xfId="2152" xr:uid="{00000000-0005-0000-0000-00006C080000}"/>
    <cellStyle name="Normal 13 4 2 2" xfId="3085" xr:uid="{00000000-0005-0000-0000-0000110C0000}"/>
    <cellStyle name="Normal 13 4 2 2 2" xfId="4143" xr:uid="{00000000-0005-0000-0000-000033100000}"/>
    <cellStyle name="Normal 13 4 2 2 2 2" xfId="10261" xr:uid="{00000000-0005-0000-0000-000019280000}"/>
    <cellStyle name="Normal 13 4 2 2 2 2 2" xfId="18489" xr:uid="{00000000-0005-0000-0000-00003D480000}"/>
    <cellStyle name="Normal 13 4 2 2 2 2 2 2" xfId="25001" xr:uid="{00000000-0005-0000-0000-0000AD610000}"/>
    <cellStyle name="Normal 13 4 2 2 2 2 3" xfId="22166" xr:uid="{00000000-0005-0000-0000-00009A560000}"/>
    <cellStyle name="Normal 13 4 2 2 2 3" xfId="17079" xr:uid="{00000000-0005-0000-0000-0000BB420000}"/>
    <cellStyle name="Normal 13 4 2 2 2 3 2" xfId="23736" xr:uid="{00000000-0005-0000-0000-0000BC5C0000}"/>
    <cellStyle name="Normal 13 4 2 2 2 4" xfId="20604" xr:uid="{00000000-0005-0000-0000-000080500000}"/>
    <cellStyle name="Normal 13 4 2 2 2 5" xfId="8399" xr:uid="{00000000-0005-0000-0000-0000D3200000}"/>
    <cellStyle name="Normal 13 4 2 2 3" xfId="9093" xr:uid="{00000000-0005-0000-0000-000089230000}"/>
    <cellStyle name="Normal 13 4 2 2 3 2" xfId="10438" xr:uid="{00000000-0005-0000-0000-0000CA280000}"/>
    <cellStyle name="Normal 13 4 2 2 3 2 2" xfId="18666" xr:uid="{00000000-0005-0000-0000-0000EE480000}"/>
    <cellStyle name="Normal 13 4 2 2 3 2 2 2" xfId="25178" xr:uid="{00000000-0005-0000-0000-00005E620000}"/>
    <cellStyle name="Normal 13 4 2 2 3 2 3" xfId="22343" xr:uid="{00000000-0005-0000-0000-00004B570000}"/>
    <cellStyle name="Normal 13 4 2 2 3 3" xfId="17345" xr:uid="{00000000-0005-0000-0000-0000C5430000}"/>
    <cellStyle name="Normal 13 4 2 2 3 3 2" xfId="23922" xr:uid="{00000000-0005-0000-0000-0000765D0000}"/>
    <cellStyle name="Normal 13 4 2 2 3 4" xfId="21087" xr:uid="{00000000-0005-0000-0000-000063520000}"/>
    <cellStyle name="Normal 13 4 2 2 4" xfId="9843" xr:uid="{00000000-0005-0000-0000-000077260000}"/>
    <cellStyle name="Normal 13 4 2 2 4 2" xfId="18071" xr:uid="{00000000-0005-0000-0000-00009B460000}"/>
    <cellStyle name="Normal 13 4 2 2 4 2 2" xfId="24583" xr:uid="{00000000-0005-0000-0000-00000B600000}"/>
    <cellStyle name="Normal 13 4 2 2 4 3" xfId="21748" xr:uid="{00000000-0005-0000-0000-0000F8540000}"/>
    <cellStyle name="Normal 13 4 2 2 5" xfId="10850" xr:uid="{00000000-0005-0000-0000-0000662A0000}"/>
    <cellStyle name="Normal 13 4 2 2 5 2" xfId="22748" xr:uid="{00000000-0005-0000-0000-0000E0580000}"/>
    <cellStyle name="Normal 13 4 2 2 6" xfId="20186" xr:uid="{00000000-0005-0000-0000-0000DE4E0000}"/>
    <cellStyle name="Normal 13 4 2 2 7" xfId="7980" xr:uid="{00000000-0005-0000-0000-0000301F0000}"/>
    <cellStyle name="Normal 13 4 2 3" xfId="3311" xr:uid="{00000000-0005-0000-0000-0000F30C0000}"/>
    <cellStyle name="Normal 13 4 2 3 2" xfId="4353" xr:uid="{00000000-0005-0000-0000-000005110000}"/>
    <cellStyle name="Normal 13 4 2 3 2 2" xfId="18280" xr:uid="{00000000-0005-0000-0000-00006C470000}"/>
    <cellStyle name="Normal 13 4 2 3 2 2 2" xfId="24792" xr:uid="{00000000-0005-0000-0000-0000DC600000}"/>
    <cellStyle name="Normal 13 4 2 3 2 3" xfId="21957" xr:uid="{00000000-0005-0000-0000-0000C9550000}"/>
    <cellStyle name="Normal 13 4 2 3 2 4" xfId="10052" xr:uid="{00000000-0005-0000-0000-000048270000}"/>
    <cellStyle name="Normal 13 4 2 3 3" xfId="16871" xr:uid="{00000000-0005-0000-0000-0000EB410000}"/>
    <cellStyle name="Normal 13 4 2 3 3 2" xfId="23528" xr:uid="{00000000-0005-0000-0000-0000EC5B0000}"/>
    <cellStyle name="Normal 13 4 2 3 4" xfId="20395" xr:uid="{00000000-0005-0000-0000-0000AF4F0000}"/>
    <cellStyle name="Normal 13 4 2 3 5" xfId="8190" xr:uid="{00000000-0005-0000-0000-000002200000}"/>
    <cellStyle name="Normal 13 4 2 4" xfId="3933" xr:uid="{00000000-0005-0000-0000-0000610F0000}"/>
    <cellStyle name="Normal 13 4 2 4 2" xfId="10437" xr:uid="{00000000-0005-0000-0000-0000C9280000}"/>
    <cellStyle name="Normal 13 4 2 4 2 2" xfId="18665" xr:uid="{00000000-0005-0000-0000-0000ED480000}"/>
    <cellStyle name="Normal 13 4 2 4 2 2 2" xfId="25177" xr:uid="{00000000-0005-0000-0000-00005D620000}"/>
    <cellStyle name="Normal 13 4 2 4 2 3" xfId="22342" xr:uid="{00000000-0005-0000-0000-00004A570000}"/>
    <cellStyle name="Normal 13 4 2 4 3" xfId="17344" xr:uid="{00000000-0005-0000-0000-0000C4430000}"/>
    <cellStyle name="Normal 13 4 2 4 3 2" xfId="23921" xr:uid="{00000000-0005-0000-0000-0000755D0000}"/>
    <cellStyle name="Normal 13 4 2 4 4" xfId="21086" xr:uid="{00000000-0005-0000-0000-000062520000}"/>
    <cellStyle name="Normal 13 4 2 4 5" xfId="9092" xr:uid="{00000000-0005-0000-0000-000088230000}"/>
    <cellStyle name="Normal 13 4 2 5" xfId="9634" xr:uid="{00000000-0005-0000-0000-0000A6250000}"/>
    <cellStyle name="Normal 13 4 2 5 2" xfId="17862" xr:uid="{00000000-0005-0000-0000-0000CA450000}"/>
    <cellStyle name="Normal 13 4 2 5 2 2" xfId="24374" xr:uid="{00000000-0005-0000-0000-00003A5F0000}"/>
    <cellStyle name="Normal 13 4 2 5 3" xfId="21539" xr:uid="{00000000-0005-0000-0000-000027540000}"/>
    <cellStyle name="Normal 13 4 2 6" xfId="10849" xr:uid="{00000000-0005-0000-0000-0000652A0000}"/>
    <cellStyle name="Normal 13 4 2 6 2" xfId="22747" xr:uid="{00000000-0005-0000-0000-0000DF580000}"/>
    <cellStyle name="Normal 13 4 2 7" xfId="19977" xr:uid="{00000000-0005-0000-0000-00000D4E0000}"/>
    <cellStyle name="Normal 13 4 2 8" xfId="7736" xr:uid="{00000000-0005-0000-0000-00003C1E0000}"/>
    <cellStyle name="Normal 13 4 3" xfId="2964" xr:uid="{00000000-0005-0000-0000-0000980B0000}"/>
    <cellStyle name="Normal 13 4 3 2" xfId="4038" xr:uid="{00000000-0005-0000-0000-0000CA0F0000}"/>
    <cellStyle name="Normal 13 4 3 2 2" xfId="10209" xr:uid="{00000000-0005-0000-0000-0000E5270000}"/>
    <cellStyle name="Normal 13 4 3 2 2 2" xfId="18437" xr:uid="{00000000-0005-0000-0000-000009480000}"/>
    <cellStyle name="Normal 13 4 3 2 2 2 2" xfId="24949" xr:uid="{00000000-0005-0000-0000-000079610000}"/>
    <cellStyle name="Normal 13 4 3 2 2 3" xfId="22114" xr:uid="{00000000-0005-0000-0000-000066560000}"/>
    <cellStyle name="Normal 13 4 3 2 3" xfId="17027" xr:uid="{00000000-0005-0000-0000-000087420000}"/>
    <cellStyle name="Normal 13 4 3 2 3 2" xfId="23684" xr:uid="{00000000-0005-0000-0000-0000885C0000}"/>
    <cellStyle name="Normal 13 4 3 2 4" xfId="20552" xr:uid="{00000000-0005-0000-0000-00004C500000}"/>
    <cellStyle name="Normal 13 4 3 2 5" xfId="8347" xr:uid="{00000000-0005-0000-0000-00009F200000}"/>
    <cellStyle name="Normal 13 4 3 3" xfId="9094" xr:uid="{00000000-0005-0000-0000-00008A230000}"/>
    <cellStyle name="Normal 13 4 3 3 2" xfId="10439" xr:uid="{00000000-0005-0000-0000-0000CB280000}"/>
    <cellStyle name="Normal 13 4 3 3 2 2" xfId="18667" xr:uid="{00000000-0005-0000-0000-0000EF480000}"/>
    <cellStyle name="Normal 13 4 3 3 2 2 2" xfId="25179" xr:uid="{00000000-0005-0000-0000-00005F620000}"/>
    <cellStyle name="Normal 13 4 3 3 2 3" xfId="22344" xr:uid="{00000000-0005-0000-0000-00004C570000}"/>
    <cellStyle name="Normal 13 4 3 3 3" xfId="17346" xr:uid="{00000000-0005-0000-0000-0000C6430000}"/>
    <cellStyle name="Normal 13 4 3 3 3 2" xfId="23923" xr:uid="{00000000-0005-0000-0000-0000775D0000}"/>
    <cellStyle name="Normal 13 4 3 3 4" xfId="21088" xr:uid="{00000000-0005-0000-0000-000064520000}"/>
    <cellStyle name="Normal 13 4 3 4" xfId="9791" xr:uid="{00000000-0005-0000-0000-000043260000}"/>
    <cellStyle name="Normal 13 4 3 4 2" xfId="18019" xr:uid="{00000000-0005-0000-0000-000067460000}"/>
    <cellStyle name="Normal 13 4 3 4 2 2" xfId="24531" xr:uid="{00000000-0005-0000-0000-0000D75F0000}"/>
    <cellStyle name="Normal 13 4 3 4 3" xfId="21696" xr:uid="{00000000-0005-0000-0000-0000C4540000}"/>
    <cellStyle name="Normal 13 4 3 5" xfId="10851" xr:uid="{00000000-0005-0000-0000-0000672A0000}"/>
    <cellStyle name="Normal 13 4 3 5 2" xfId="22749" xr:uid="{00000000-0005-0000-0000-0000E1580000}"/>
    <cellStyle name="Normal 13 4 3 6" xfId="20134" xr:uid="{00000000-0005-0000-0000-0000AA4E0000}"/>
    <cellStyle name="Normal 13 4 3 7" xfId="7928" xr:uid="{00000000-0005-0000-0000-0000FC1E0000}"/>
    <cellStyle name="Normal 13 4 4" xfId="3190" xr:uid="{00000000-0005-0000-0000-00007A0C0000}"/>
    <cellStyle name="Normal 13 4 4 2" xfId="4248" xr:uid="{00000000-0005-0000-0000-00009C100000}"/>
    <cellStyle name="Normal 13 4 4 2 2" xfId="10436" xr:uid="{00000000-0005-0000-0000-0000C8280000}"/>
    <cellStyle name="Normal 13 4 4 2 2 2" xfId="18664" xr:uid="{00000000-0005-0000-0000-0000EC480000}"/>
    <cellStyle name="Normal 13 4 4 2 2 2 2" xfId="25176" xr:uid="{00000000-0005-0000-0000-00005C620000}"/>
    <cellStyle name="Normal 13 4 4 2 2 3" xfId="22341" xr:uid="{00000000-0005-0000-0000-000049570000}"/>
    <cellStyle name="Normal 13 4 4 2 3" xfId="17343" xr:uid="{00000000-0005-0000-0000-0000C3430000}"/>
    <cellStyle name="Normal 13 4 4 2 3 2" xfId="23920" xr:uid="{00000000-0005-0000-0000-0000745D0000}"/>
    <cellStyle name="Normal 13 4 4 2 4" xfId="21085" xr:uid="{00000000-0005-0000-0000-000061520000}"/>
    <cellStyle name="Normal 13 4 4 2 5" xfId="9091" xr:uid="{00000000-0005-0000-0000-000087230000}"/>
    <cellStyle name="Normal 13 4 4 3" xfId="10000" xr:uid="{00000000-0005-0000-0000-000014270000}"/>
    <cellStyle name="Normal 13 4 4 3 2" xfId="18228" xr:uid="{00000000-0005-0000-0000-000038470000}"/>
    <cellStyle name="Normal 13 4 4 3 2 2" xfId="24740" xr:uid="{00000000-0005-0000-0000-0000A8600000}"/>
    <cellStyle name="Normal 13 4 4 3 3" xfId="21905" xr:uid="{00000000-0005-0000-0000-000095550000}"/>
    <cellStyle name="Normal 13 4 4 4" xfId="16827" xr:uid="{00000000-0005-0000-0000-0000BF410000}"/>
    <cellStyle name="Normal 13 4 4 4 2" xfId="23486" xr:uid="{00000000-0005-0000-0000-0000C25B0000}"/>
    <cellStyle name="Normal 13 4 4 5" xfId="20343" xr:uid="{00000000-0005-0000-0000-00007B4F0000}"/>
    <cellStyle name="Normal 13 4 4 6" xfId="8138" xr:uid="{00000000-0005-0000-0000-0000CE1F0000}"/>
    <cellStyle name="Normal 13 4 5" xfId="3641" xr:uid="{00000000-0005-0000-0000-00003D0E0000}"/>
    <cellStyle name="Normal 13 4 5 2" xfId="8722" xr:uid="{00000000-0005-0000-0000-000016220000}"/>
    <cellStyle name="Normal 13 4 6" xfId="9582" xr:uid="{00000000-0005-0000-0000-000072250000}"/>
    <cellStyle name="Normal 13 4 6 2" xfId="17810" xr:uid="{00000000-0005-0000-0000-000096450000}"/>
    <cellStyle name="Normal 13 4 6 2 2" xfId="24322" xr:uid="{00000000-0005-0000-0000-0000065F0000}"/>
    <cellStyle name="Normal 13 4 6 3" xfId="21487" xr:uid="{00000000-0005-0000-0000-0000F3530000}"/>
    <cellStyle name="Normal 13 4 7" xfId="10848" xr:uid="{00000000-0005-0000-0000-0000642A0000}"/>
    <cellStyle name="Normal 13 4 7 2" xfId="22746" xr:uid="{00000000-0005-0000-0000-0000DE580000}"/>
    <cellStyle name="Normal 13 4 8" xfId="19699" xr:uid="{00000000-0005-0000-0000-0000F74C0000}"/>
    <cellStyle name="Normal 13 4 9" xfId="6244" xr:uid="{00000000-0005-0000-0000-000068180000}"/>
    <cellStyle name="Normal 13 40" xfId="8110" xr:uid="{00000000-0005-0000-0000-0000B21F0000}"/>
    <cellStyle name="Normal 13 40 2" xfId="9060" xr:uid="{00000000-0005-0000-0000-000068230000}"/>
    <cellStyle name="Normal 13 40 2 2" xfId="10406" xr:uid="{00000000-0005-0000-0000-0000AA280000}"/>
    <cellStyle name="Normal 13 40 2 2 2" xfId="18634" xr:uid="{00000000-0005-0000-0000-0000CE480000}"/>
    <cellStyle name="Normal 13 40 2 2 2 2" xfId="25146" xr:uid="{00000000-0005-0000-0000-00003E620000}"/>
    <cellStyle name="Normal 13 40 2 2 3" xfId="22311" xr:uid="{00000000-0005-0000-0000-00002B570000}"/>
    <cellStyle name="Normal 13 40 2 3" xfId="17313" xr:uid="{00000000-0005-0000-0000-0000A5430000}"/>
    <cellStyle name="Normal 13 40 2 3 2" xfId="23890" xr:uid="{00000000-0005-0000-0000-0000565D0000}"/>
    <cellStyle name="Normal 13 40 2 4" xfId="21055" xr:uid="{00000000-0005-0000-0000-000043520000}"/>
    <cellStyle name="Normal 13 40 3" xfId="9972" xr:uid="{00000000-0005-0000-0000-0000F8260000}"/>
    <cellStyle name="Normal 13 40 3 2" xfId="18200" xr:uid="{00000000-0005-0000-0000-00001C470000}"/>
    <cellStyle name="Normal 13 40 3 2 2" xfId="24712" xr:uid="{00000000-0005-0000-0000-00008C600000}"/>
    <cellStyle name="Normal 13 40 3 3" xfId="21877" xr:uid="{00000000-0005-0000-0000-000079550000}"/>
    <cellStyle name="Normal 13 40 4" xfId="16808" xr:uid="{00000000-0005-0000-0000-0000AC410000}"/>
    <cellStyle name="Normal 13 40 4 2" xfId="23467" xr:uid="{00000000-0005-0000-0000-0000AF5B0000}"/>
    <cellStyle name="Normal 13 40 5" xfId="20315" xr:uid="{00000000-0005-0000-0000-00005F4F0000}"/>
    <cellStyle name="Normal 13 41" xfId="9554" xr:uid="{00000000-0005-0000-0000-000056250000}"/>
    <cellStyle name="Normal 13 41 2" xfId="17782" xr:uid="{00000000-0005-0000-0000-00007A450000}"/>
    <cellStyle name="Normal 13 41 2 2" xfId="24294" xr:uid="{00000000-0005-0000-0000-0000EA5E0000}"/>
    <cellStyle name="Normal 13 41 3" xfId="21459" xr:uid="{00000000-0005-0000-0000-0000D7530000}"/>
    <cellStyle name="Normal 13 42" xfId="19620" xr:uid="{00000000-0005-0000-0000-0000A84C0000}"/>
    <cellStyle name="Normal 13 43" xfId="4540" xr:uid="{00000000-0005-0000-0000-0000C0110000}"/>
    <cellStyle name="Normal 13 5" xfId="1002" xr:uid="{00000000-0005-0000-0000-0000EE030000}"/>
    <cellStyle name="Normal 13 6" xfId="1003" xr:uid="{00000000-0005-0000-0000-0000EF030000}"/>
    <cellStyle name="Normal 13 7" xfId="1004" xr:uid="{00000000-0005-0000-0000-0000F0030000}"/>
    <cellStyle name="Normal 13 8" xfId="1005" xr:uid="{00000000-0005-0000-0000-0000F1030000}"/>
    <cellStyle name="Normal 13 9" xfId="1006" xr:uid="{00000000-0005-0000-0000-0000F2030000}"/>
    <cellStyle name="Normal 13 9 2" xfId="2153" xr:uid="{00000000-0005-0000-0000-00006D080000}"/>
    <cellStyle name="Normal 13 9 2 2" xfId="3086" xr:uid="{00000000-0005-0000-0000-0000120C0000}"/>
    <cellStyle name="Normal 13 9 2 2 2" xfId="4144" xr:uid="{00000000-0005-0000-0000-000034100000}"/>
    <cellStyle name="Normal 13 9 2 2 2 2" xfId="18490" xr:uid="{00000000-0005-0000-0000-00003E480000}"/>
    <cellStyle name="Normal 13 9 2 2 2 2 2" xfId="25002" xr:uid="{00000000-0005-0000-0000-0000AE610000}"/>
    <cellStyle name="Normal 13 9 2 2 2 3" xfId="22167" xr:uid="{00000000-0005-0000-0000-00009B560000}"/>
    <cellStyle name="Normal 13 9 2 2 2 4" xfId="10262" xr:uid="{00000000-0005-0000-0000-00001A280000}"/>
    <cellStyle name="Normal 13 9 2 2 3" xfId="17080" xr:uid="{00000000-0005-0000-0000-0000BC420000}"/>
    <cellStyle name="Normal 13 9 2 2 3 2" xfId="23737" xr:uid="{00000000-0005-0000-0000-0000BD5C0000}"/>
    <cellStyle name="Normal 13 9 2 2 4" xfId="20605" xr:uid="{00000000-0005-0000-0000-000081500000}"/>
    <cellStyle name="Normal 13 9 2 2 5" xfId="8400" xr:uid="{00000000-0005-0000-0000-0000D4200000}"/>
    <cellStyle name="Normal 13 9 2 3" xfId="3312" xr:uid="{00000000-0005-0000-0000-0000F40C0000}"/>
    <cellStyle name="Normal 13 9 2 3 2" xfId="4354" xr:uid="{00000000-0005-0000-0000-000006110000}"/>
    <cellStyle name="Normal 13 9 2 3 2 2" xfId="18669" xr:uid="{00000000-0005-0000-0000-0000F1480000}"/>
    <cellStyle name="Normal 13 9 2 3 2 2 2" xfId="25181" xr:uid="{00000000-0005-0000-0000-000061620000}"/>
    <cellStyle name="Normal 13 9 2 3 2 3" xfId="22346" xr:uid="{00000000-0005-0000-0000-00004E570000}"/>
    <cellStyle name="Normal 13 9 2 3 2 4" xfId="10441" xr:uid="{00000000-0005-0000-0000-0000CD280000}"/>
    <cellStyle name="Normal 13 9 2 3 3" xfId="17348" xr:uid="{00000000-0005-0000-0000-0000C8430000}"/>
    <cellStyle name="Normal 13 9 2 3 3 2" xfId="23925" xr:uid="{00000000-0005-0000-0000-0000795D0000}"/>
    <cellStyle name="Normal 13 9 2 3 4" xfId="21090" xr:uid="{00000000-0005-0000-0000-000066520000}"/>
    <cellStyle name="Normal 13 9 2 3 5" xfId="9096" xr:uid="{00000000-0005-0000-0000-00008C230000}"/>
    <cellStyle name="Normal 13 9 2 4" xfId="3934" xr:uid="{00000000-0005-0000-0000-0000620F0000}"/>
    <cellStyle name="Normal 13 9 2 4 2" xfId="18072" xr:uid="{00000000-0005-0000-0000-00009C460000}"/>
    <cellStyle name="Normal 13 9 2 4 2 2" xfId="24584" xr:uid="{00000000-0005-0000-0000-00000C600000}"/>
    <cellStyle name="Normal 13 9 2 4 3" xfId="21749" xr:uid="{00000000-0005-0000-0000-0000F9540000}"/>
    <cellStyle name="Normal 13 9 2 4 4" xfId="9844" xr:uid="{00000000-0005-0000-0000-000078260000}"/>
    <cellStyle name="Normal 13 9 2 5" xfId="10853" xr:uid="{00000000-0005-0000-0000-0000692A0000}"/>
    <cellStyle name="Normal 13 9 2 5 2" xfId="22751" xr:uid="{00000000-0005-0000-0000-0000E3580000}"/>
    <cellStyle name="Normal 13 9 2 6" xfId="20187" xr:uid="{00000000-0005-0000-0000-0000DF4E0000}"/>
    <cellStyle name="Normal 13 9 2 7" xfId="7981" xr:uid="{00000000-0005-0000-0000-0000311F0000}"/>
    <cellStyle name="Normal 13 9 3" xfId="2965" xr:uid="{00000000-0005-0000-0000-0000990B0000}"/>
    <cellStyle name="Normal 13 9 3 2" xfId="4039" xr:uid="{00000000-0005-0000-0000-0000CB0F0000}"/>
    <cellStyle name="Normal 13 9 3 2 2" xfId="10440" xr:uid="{00000000-0005-0000-0000-0000CC280000}"/>
    <cellStyle name="Normal 13 9 3 2 2 2" xfId="18668" xr:uid="{00000000-0005-0000-0000-0000F0480000}"/>
    <cellStyle name="Normal 13 9 3 2 2 2 2" xfId="25180" xr:uid="{00000000-0005-0000-0000-000060620000}"/>
    <cellStyle name="Normal 13 9 3 2 2 3" xfId="22345" xr:uid="{00000000-0005-0000-0000-00004D570000}"/>
    <cellStyle name="Normal 13 9 3 2 3" xfId="17347" xr:uid="{00000000-0005-0000-0000-0000C7430000}"/>
    <cellStyle name="Normal 13 9 3 2 3 2" xfId="23924" xr:uid="{00000000-0005-0000-0000-0000785D0000}"/>
    <cellStyle name="Normal 13 9 3 2 4" xfId="21089" xr:uid="{00000000-0005-0000-0000-000065520000}"/>
    <cellStyle name="Normal 13 9 3 2 5" xfId="9095" xr:uid="{00000000-0005-0000-0000-00008B230000}"/>
    <cellStyle name="Normal 13 9 3 3" xfId="10053" xr:uid="{00000000-0005-0000-0000-000049270000}"/>
    <cellStyle name="Normal 13 9 3 3 2" xfId="18281" xr:uid="{00000000-0005-0000-0000-00006D470000}"/>
    <cellStyle name="Normal 13 9 3 3 2 2" xfId="24793" xr:uid="{00000000-0005-0000-0000-0000DD600000}"/>
    <cellStyle name="Normal 13 9 3 3 3" xfId="21958" xr:uid="{00000000-0005-0000-0000-0000CA550000}"/>
    <cellStyle name="Normal 13 9 3 4" xfId="16872" xr:uid="{00000000-0005-0000-0000-0000EC410000}"/>
    <cellStyle name="Normal 13 9 3 4 2" xfId="23529" xr:uid="{00000000-0005-0000-0000-0000ED5B0000}"/>
    <cellStyle name="Normal 13 9 3 5" xfId="20396" xr:uid="{00000000-0005-0000-0000-0000B04F0000}"/>
    <cellStyle name="Normal 13 9 3 6" xfId="8191" xr:uid="{00000000-0005-0000-0000-000003200000}"/>
    <cellStyle name="Normal 13 9 4" xfId="3191" xr:uid="{00000000-0005-0000-0000-00007B0C0000}"/>
    <cellStyle name="Normal 13 9 4 2" xfId="4249" xr:uid="{00000000-0005-0000-0000-00009D100000}"/>
    <cellStyle name="Normal 13 9 4 3" xfId="8723" xr:uid="{00000000-0005-0000-0000-000017220000}"/>
    <cellStyle name="Normal 13 9 5" xfId="3642" xr:uid="{00000000-0005-0000-0000-00003E0E0000}"/>
    <cellStyle name="Normal 13 9 5 2" xfId="17863" xr:uid="{00000000-0005-0000-0000-0000CB450000}"/>
    <cellStyle name="Normal 13 9 5 2 2" xfId="24375" xr:uid="{00000000-0005-0000-0000-00003B5F0000}"/>
    <cellStyle name="Normal 13 9 5 3" xfId="21540" xr:uid="{00000000-0005-0000-0000-000028540000}"/>
    <cellStyle name="Normal 13 9 5 4" xfId="9635" xr:uid="{00000000-0005-0000-0000-0000A7250000}"/>
    <cellStyle name="Normal 13 9 6" xfId="10852" xr:uid="{00000000-0005-0000-0000-0000682A0000}"/>
    <cellStyle name="Normal 13 9 6 2" xfId="22750" xr:uid="{00000000-0005-0000-0000-0000E2580000}"/>
    <cellStyle name="Normal 13 9 7" xfId="19978" xr:uid="{00000000-0005-0000-0000-00000E4E0000}"/>
    <cellStyle name="Normal 13 9 8" xfId="7737" xr:uid="{00000000-0005-0000-0000-00003D1E0000}"/>
    <cellStyle name="Normal 14" xfId="1007" xr:uid="{00000000-0005-0000-0000-0000F3030000}"/>
    <cellStyle name="Normal 14 10" xfId="1008" xr:uid="{00000000-0005-0000-0000-0000F4030000}"/>
    <cellStyle name="Normal 14 10 2" xfId="2154" xr:uid="{00000000-0005-0000-0000-00006E080000}"/>
    <cellStyle name="Normal 14 10 2 2" xfId="3087" xr:uid="{00000000-0005-0000-0000-0000130C0000}"/>
    <cellStyle name="Normal 14 10 2 2 2" xfId="4145" xr:uid="{00000000-0005-0000-0000-000035100000}"/>
    <cellStyle name="Normal 14 10 2 2 2 2" xfId="18491" xr:uid="{00000000-0005-0000-0000-00003F480000}"/>
    <cellStyle name="Normal 14 10 2 2 2 2 2" xfId="25003" xr:uid="{00000000-0005-0000-0000-0000AF610000}"/>
    <cellStyle name="Normal 14 10 2 2 2 3" xfId="22168" xr:uid="{00000000-0005-0000-0000-00009C560000}"/>
    <cellStyle name="Normal 14 10 2 2 2 4" xfId="10263" xr:uid="{00000000-0005-0000-0000-00001B280000}"/>
    <cellStyle name="Normal 14 10 2 2 3" xfId="17081" xr:uid="{00000000-0005-0000-0000-0000BD420000}"/>
    <cellStyle name="Normal 14 10 2 2 3 2" xfId="23738" xr:uid="{00000000-0005-0000-0000-0000BE5C0000}"/>
    <cellStyle name="Normal 14 10 2 2 4" xfId="20606" xr:uid="{00000000-0005-0000-0000-000082500000}"/>
    <cellStyle name="Normal 14 10 2 2 5" xfId="8401" xr:uid="{00000000-0005-0000-0000-0000D5200000}"/>
    <cellStyle name="Normal 14 10 2 3" xfId="3313" xr:uid="{00000000-0005-0000-0000-0000F50C0000}"/>
    <cellStyle name="Normal 14 10 2 3 2" xfId="4355" xr:uid="{00000000-0005-0000-0000-000007110000}"/>
    <cellStyle name="Normal 14 10 2 3 2 2" xfId="18672" xr:uid="{00000000-0005-0000-0000-0000F4480000}"/>
    <cellStyle name="Normal 14 10 2 3 2 2 2" xfId="25184" xr:uid="{00000000-0005-0000-0000-000064620000}"/>
    <cellStyle name="Normal 14 10 2 3 2 3" xfId="22349" xr:uid="{00000000-0005-0000-0000-000051570000}"/>
    <cellStyle name="Normal 14 10 2 3 2 4" xfId="10444" xr:uid="{00000000-0005-0000-0000-0000D0280000}"/>
    <cellStyle name="Normal 14 10 2 3 3" xfId="17351" xr:uid="{00000000-0005-0000-0000-0000CB430000}"/>
    <cellStyle name="Normal 14 10 2 3 3 2" xfId="23928" xr:uid="{00000000-0005-0000-0000-00007C5D0000}"/>
    <cellStyle name="Normal 14 10 2 3 4" xfId="21093" xr:uid="{00000000-0005-0000-0000-000069520000}"/>
    <cellStyle name="Normal 14 10 2 3 5" xfId="9099" xr:uid="{00000000-0005-0000-0000-00008F230000}"/>
    <cellStyle name="Normal 14 10 2 4" xfId="3935" xr:uid="{00000000-0005-0000-0000-0000630F0000}"/>
    <cellStyle name="Normal 14 10 2 4 2" xfId="18073" xr:uid="{00000000-0005-0000-0000-00009D460000}"/>
    <cellStyle name="Normal 14 10 2 4 2 2" xfId="24585" xr:uid="{00000000-0005-0000-0000-00000D600000}"/>
    <cellStyle name="Normal 14 10 2 4 3" xfId="21750" xr:uid="{00000000-0005-0000-0000-0000FA540000}"/>
    <cellStyle name="Normal 14 10 2 4 4" xfId="9845" xr:uid="{00000000-0005-0000-0000-000079260000}"/>
    <cellStyle name="Normal 14 10 2 5" xfId="10855" xr:uid="{00000000-0005-0000-0000-00006B2A0000}"/>
    <cellStyle name="Normal 14 10 2 5 2" xfId="22753" xr:uid="{00000000-0005-0000-0000-0000E5580000}"/>
    <cellStyle name="Normal 14 10 2 6" xfId="20188" xr:uid="{00000000-0005-0000-0000-0000E04E0000}"/>
    <cellStyle name="Normal 14 10 2 7" xfId="7982" xr:uid="{00000000-0005-0000-0000-0000321F0000}"/>
    <cellStyle name="Normal 14 10 3" xfId="2966" xr:uid="{00000000-0005-0000-0000-00009A0B0000}"/>
    <cellStyle name="Normal 14 10 3 2" xfId="4040" xr:uid="{00000000-0005-0000-0000-0000CC0F0000}"/>
    <cellStyle name="Normal 14 10 3 2 2" xfId="10443" xr:uid="{00000000-0005-0000-0000-0000CF280000}"/>
    <cellStyle name="Normal 14 10 3 2 2 2" xfId="18671" xr:uid="{00000000-0005-0000-0000-0000F3480000}"/>
    <cellStyle name="Normal 14 10 3 2 2 2 2" xfId="25183" xr:uid="{00000000-0005-0000-0000-000063620000}"/>
    <cellStyle name="Normal 14 10 3 2 2 3" xfId="22348" xr:uid="{00000000-0005-0000-0000-000050570000}"/>
    <cellStyle name="Normal 14 10 3 2 3" xfId="17350" xr:uid="{00000000-0005-0000-0000-0000CA430000}"/>
    <cellStyle name="Normal 14 10 3 2 3 2" xfId="23927" xr:uid="{00000000-0005-0000-0000-00007B5D0000}"/>
    <cellStyle name="Normal 14 10 3 2 4" xfId="21092" xr:uid="{00000000-0005-0000-0000-000068520000}"/>
    <cellStyle name="Normal 14 10 3 2 5" xfId="9098" xr:uid="{00000000-0005-0000-0000-00008E230000}"/>
    <cellStyle name="Normal 14 10 3 3" xfId="10054" xr:uid="{00000000-0005-0000-0000-00004A270000}"/>
    <cellStyle name="Normal 14 10 3 3 2" xfId="18282" xr:uid="{00000000-0005-0000-0000-00006E470000}"/>
    <cellStyle name="Normal 14 10 3 3 2 2" xfId="24794" xr:uid="{00000000-0005-0000-0000-0000DE600000}"/>
    <cellStyle name="Normal 14 10 3 3 3" xfId="21959" xr:uid="{00000000-0005-0000-0000-0000CB550000}"/>
    <cellStyle name="Normal 14 10 3 4" xfId="16873" xr:uid="{00000000-0005-0000-0000-0000ED410000}"/>
    <cellStyle name="Normal 14 10 3 4 2" xfId="23530" xr:uid="{00000000-0005-0000-0000-0000EE5B0000}"/>
    <cellStyle name="Normal 14 10 3 5" xfId="20397" xr:uid="{00000000-0005-0000-0000-0000B14F0000}"/>
    <cellStyle name="Normal 14 10 3 6" xfId="8192" xr:uid="{00000000-0005-0000-0000-000004200000}"/>
    <cellStyle name="Normal 14 10 4" xfId="3192" xr:uid="{00000000-0005-0000-0000-00007C0C0000}"/>
    <cellStyle name="Normal 14 10 4 2" xfId="4250" xr:uid="{00000000-0005-0000-0000-00009E100000}"/>
    <cellStyle name="Normal 14 10 4 3" xfId="8724" xr:uid="{00000000-0005-0000-0000-000018220000}"/>
    <cellStyle name="Normal 14 10 5" xfId="3643" xr:uid="{00000000-0005-0000-0000-00003F0E0000}"/>
    <cellStyle name="Normal 14 10 5 2" xfId="17864" xr:uid="{00000000-0005-0000-0000-0000CC450000}"/>
    <cellStyle name="Normal 14 10 5 2 2" xfId="24376" xr:uid="{00000000-0005-0000-0000-00003C5F0000}"/>
    <cellStyle name="Normal 14 10 5 3" xfId="21541" xr:uid="{00000000-0005-0000-0000-000029540000}"/>
    <cellStyle name="Normal 14 10 5 4" xfId="9636" xr:uid="{00000000-0005-0000-0000-0000A8250000}"/>
    <cellStyle name="Normal 14 10 6" xfId="10854" xr:uid="{00000000-0005-0000-0000-00006A2A0000}"/>
    <cellStyle name="Normal 14 10 6 2" xfId="22752" xr:uid="{00000000-0005-0000-0000-0000E4580000}"/>
    <cellStyle name="Normal 14 10 7" xfId="19979" xr:uid="{00000000-0005-0000-0000-00000F4E0000}"/>
    <cellStyle name="Normal 14 10 8" xfId="7739" xr:uid="{00000000-0005-0000-0000-00003F1E0000}"/>
    <cellStyle name="Normal 14 11" xfId="1009" xr:uid="{00000000-0005-0000-0000-0000F5030000}"/>
    <cellStyle name="Normal 14 11 2" xfId="2155" xr:uid="{00000000-0005-0000-0000-00006F080000}"/>
    <cellStyle name="Normal 14 11 2 2" xfId="3088" xr:uid="{00000000-0005-0000-0000-0000140C0000}"/>
    <cellStyle name="Normal 14 11 2 2 2" xfId="4146" xr:uid="{00000000-0005-0000-0000-000036100000}"/>
    <cellStyle name="Normal 14 11 2 2 2 2" xfId="18492" xr:uid="{00000000-0005-0000-0000-000040480000}"/>
    <cellStyle name="Normal 14 11 2 2 2 2 2" xfId="25004" xr:uid="{00000000-0005-0000-0000-0000B0610000}"/>
    <cellStyle name="Normal 14 11 2 2 2 3" xfId="22169" xr:uid="{00000000-0005-0000-0000-00009D560000}"/>
    <cellStyle name="Normal 14 11 2 2 2 4" xfId="10264" xr:uid="{00000000-0005-0000-0000-00001C280000}"/>
    <cellStyle name="Normal 14 11 2 2 3" xfId="17082" xr:uid="{00000000-0005-0000-0000-0000BE420000}"/>
    <cellStyle name="Normal 14 11 2 2 3 2" xfId="23739" xr:uid="{00000000-0005-0000-0000-0000BF5C0000}"/>
    <cellStyle name="Normal 14 11 2 2 4" xfId="20607" xr:uid="{00000000-0005-0000-0000-000083500000}"/>
    <cellStyle name="Normal 14 11 2 2 5" xfId="8402" xr:uid="{00000000-0005-0000-0000-0000D6200000}"/>
    <cellStyle name="Normal 14 11 2 3" xfId="3314" xr:uid="{00000000-0005-0000-0000-0000F60C0000}"/>
    <cellStyle name="Normal 14 11 2 3 2" xfId="4356" xr:uid="{00000000-0005-0000-0000-000008110000}"/>
    <cellStyle name="Normal 14 11 2 3 2 2" xfId="18674" xr:uid="{00000000-0005-0000-0000-0000F6480000}"/>
    <cellStyle name="Normal 14 11 2 3 2 2 2" xfId="25186" xr:uid="{00000000-0005-0000-0000-000066620000}"/>
    <cellStyle name="Normal 14 11 2 3 2 3" xfId="22351" xr:uid="{00000000-0005-0000-0000-000053570000}"/>
    <cellStyle name="Normal 14 11 2 3 2 4" xfId="10446" xr:uid="{00000000-0005-0000-0000-0000D2280000}"/>
    <cellStyle name="Normal 14 11 2 3 3" xfId="17353" xr:uid="{00000000-0005-0000-0000-0000CD430000}"/>
    <cellStyle name="Normal 14 11 2 3 3 2" xfId="23930" xr:uid="{00000000-0005-0000-0000-00007E5D0000}"/>
    <cellStyle name="Normal 14 11 2 3 4" xfId="21095" xr:uid="{00000000-0005-0000-0000-00006B520000}"/>
    <cellStyle name="Normal 14 11 2 3 5" xfId="9101" xr:uid="{00000000-0005-0000-0000-000091230000}"/>
    <cellStyle name="Normal 14 11 2 4" xfId="3936" xr:uid="{00000000-0005-0000-0000-0000640F0000}"/>
    <cellStyle name="Normal 14 11 2 4 2" xfId="18074" xr:uid="{00000000-0005-0000-0000-00009E460000}"/>
    <cellStyle name="Normal 14 11 2 4 2 2" xfId="24586" xr:uid="{00000000-0005-0000-0000-00000E600000}"/>
    <cellStyle name="Normal 14 11 2 4 3" xfId="21751" xr:uid="{00000000-0005-0000-0000-0000FB540000}"/>
    <cellStyle name="Normal 14 11 2 4 4" xfId="9846" xr:uid="{00000000-0005-0000-0000-00007A260000}"/>
    <cellStyle name="Normal 14 11 2 5" xfId="10857" xr:uid="{00000000-0005-0000-0000-00006D2A0000}"/>
    <cellStyle name="Normal 14 11 2 5 2" xfId="22755" xr:uid="{00000000-0005-0000-0000-0000E7580000}"/>
    <cellStyle name="Normal 14 11 2 6" xfId="20189" xr:uid="{00000000-0005-0000-0000-0000E14E0000}"/>
    <cellStyle name="Normal 14 11 2 7" xfId="7983" xr:uid="{00000000-0005-0000-0000-0000331F0000}"/>
    <cellStyle name="Normal 14 11 3" xfId="2967" xr:uid="{00000000-0005-0000-0000-00009B0B0000}"/>
    <cellStyle name="Normal 14 11 3 2" xfId="4041" xr:uid="{00000000-0005-0000-0000-0000CD0F0000}"/>
    <cellStyle name="Normal 14 11 3 2 2" xfId="10445" xr:uid="{00000000-0005-0000-0000-0000D1280000}"/>
    <cellStyle name="Normal 14 11 3 2 2 2" xfId="18673" xr:uid="{00000000-0005-0000-0000-0000F5480000}"/>
    <cellStyle name="Normal 14 11 3 2 2 2 2" xfId="25185" xr:uid="{00000000-0005-0000-0000-000065620000}"/>
    <cellStyle name="Normal 14 11 3 2 2 3" xfId="22350" xr:uid="{00000000-0005-0000-0000-000052570000}"/>
    <cellStyle name="Normal 14 11 3 2 3" xfId="17352" xr:uid="{00000000-0005-0000-0000-0000CC430000}"/>
    <cellStyle name="Normal 14 11 3 2 3 2" xfId="23929" xr:uid="{00000000-0005-0000-0000-00007D5D0000}"/>
    <cellStyle name="Normal 14 11 3 2 4" xfId="21094" xr:uid="{00000000-0005-0000-0000-00006A520000}"/>
    <cellStyle name="Normal 14 11 3 2 5" xfId="9100" xr:uid="{00000000-0005-0000-0000-000090230000}"/>
    <cellStyle name="Normal 14 11 3 3" xfId="10055" xr:uid="{00000000-0005-0000-0000-00004B270000}"/>
    <cellStyle name="Normal 14 11 3 3 2" xfId="18283" xr:uid="{00000000-0005-0000-0000-00006F470000}"/>
    <cellStyle name="Normal 14 11 3 3 2 2" xfId="24795" xr:uid="{00000000-0005-0000-0000-0000DF600000}"/>
    <cellStyle name="Normal 14 11 3 3 3" xfId="21960" xr:uid="{00000000-0005-0000-0000-0000CC550000}"/>
    <cellStyle name="Normal 14 11 3 4" xfId="16874" xr:uid="{00000000-0005-0000-0000-0000EE410000}"/>
    <cellStyle name="Normal 14 11 3 4 2" xfId="23531" xr:uid="{00000000-0005-0000-0000-0000EF5B0000}"/>
    <cellStyle name="Normal 14 11 3 5" xfId="20398" xr:uid="{00000000-0005-0000-0000-0000B24F0000}"/>
    <cellStyle name="Normal 14 11 3 6" xfId="8193" xr:uid="{00000000-0005-0000-0000-000005200000}"/>
    <cellStyle name="Normal 14 11 4" xfId="3193" xr:uid="{00000000-0005-0000-0000-00007D0C0000}"/>
    <cellStyle name="Normal 14 11 4 2" xfId="4251" xr:uid="{00000000-0005-0000-0000-00009F100000}"/>
    <cellStyle name="Normal 14 11 4 3" xfId="8725" xr:uid="{00000000-0005-0000-0000-000019220000}"/>
    <cellStyle name="Normal 14 11 5" xfId="3644" xr:uid="{00000000-0005-0000-0000-0000400E0000}"/>
    <cellStyle name="Normal 14 11 5 2" xfId="17865" xr:uid="{00000000-0005-0000-0000-0000CD450000}"/>
    <cellStyle name="Normal 14 11 5 2 2" xfId="24377" xr:uid="{00000000-0005-0000-0000-00003D5F0000}"/>
    <cellStyle name="Normal 14 11 5 3" xfId="21542" xr:uid="{00000000-0005-0000-0000-00002A540000}"/>
    <cellStyle name="Normal 14 11 5 4" xfId="9637" xr:uid="{00000000-0005-0000-0000-0000A9250000}"/>
    <cellStyle name="Normal 14 11 6" xfId="10856" xr:uid="{00000000-0005-0000-0000-00006C2A0000}"/>
    <cellStyle name="Normal 14 11 6 2" xfId="22754" xr:uid="{00000000-0005-0000-0000-0000E6580000}"/>
    <cellStyle name="Normal 14 11 7" xfId="19980" xr:uid="{00000000-0005-0000-0000-0000104E0000}"/>
    <cellStyle name="Normal 14 11 8" xfId="7740" xr:uid="{00000000-0005-0000-0000-0000401E0000}"/>
    <cellStyle name="Normal 14 12" xfId="1010" xr:uid="{00000000-0005-0000-0000-0000F6030000}"/>
    <cellStyle name="Normal 14 12 2" xfId="2156" xr:uid="{00000000-0005-0000-0000-000070080000}"/>
    <cellStyle name="Normal 14 12 2 2" xfId="3089" xr:uid="{00000000-0005-0000-0000-0000150C0000}"/>
    <cellStyle name="Normal 14 12 2 2 2" xfId="4147" xr:uid="{00000000-0005-0000-0000-000037100000}"/>
    <cellStyle name="Normal 14 12 2 2 2 2" xfId="18493" xr:uid="{00000000-0005-0000-0000-000041480000}"/>
    <cellStyle name="Normal 14 12 2 2 2 2 2" xfId="25005" xr:uid="{00000000-0005-0000-0000-0000B1610000}"/>
    <cellStyle name="Normal 14 12 2 2 2 3" xfId="22170" xr:uid="{00000000-0005-0000-0000-00009E560000}"/>
    <cellStyle name="Normal 14 12 2 2 2 4" xfId="10265" xr:uid="{00000000-0005-0000-0000-00001D280000}"/>
    <cellStyle name="Normal 14 12 2 2 3" xfId="17083" xr:uid="{00000000-0005-0000-0000-0000BF420000}"/>
    <cellStyle name="Normal 14 12 2 2 3 2" xfId="23740" xr:uid="{00000000-0005-0000-0000-0000C05C0000}"/>
    <cellStyle name="Normal 14 12 2 2 4" xfId="20608" xr:uid="{00000000-0005-0000-0000-000084500000}"/>
    <cellStyle name="Normal 14 12 2 2 5" xfId="8403" xr:uid="{00000000-0005-0000-0000-0000D7200000}"/>
    <cellStyle name="Normal 14 12 2 3" xfId="3315" xr:uid="{00000000-0005-0000-0000-0000F70C0000}"/>
    <cellStyle name="Normal 14 12 2 3 2" xfId="4357" xr:uid="{00000000-0005-0000-0000-000009110000}"/>
    <cellStyle name="Normal 14 12 2 3 2 2" xfId="18676" xr:uid="{00000000-0005-0000-0000-0000F8480000}"/>
    <cellStyle name="Normal 14 12 2 3 2 2 2" xfId="25188" xr:uid="{00000000-0005-0000-0000-000068620000}"/>
    <cellStyle name="Normal 14 12 2 3 2 3" xfId="22353" xr:uid="{00000000-0005-0000-0000-000055570000}"/>
    <cellStyle name="Normal 14 12 2 3 2 4" xfId="10448" xr:uid="{00000000-0005-0000-0000-0000D4280000}"/>
    <cellStyle name="Normal 14 12 2 3 3" xfId="17355" xr:uid="{00000000-0005-0000-0000-0000CF430000}"/>
    <cellStyle name="Normal 14 12 2 3 3 2" xfId="23932" xr:uid="{00000000-0005-0000-0000-0000805D0000}"/>
    <cellStyle name="Normal 14 12 2 3 4" xfId="21097" xr:uid="{00000000-0005-0000-0000-00006D520000}"/>
    <cellStyle name="Normal 14 12 2 3 5" xfId="9103" xr:uid="{00000000-0005-0000-0000-000093230000}"/>
    <cellStyle name="Normal 14 12 2 4" xfId="3937" xr:uid="{00000000-0005-0000-0000-0000650F0000}"/>
    <cellStyle name="Normal 14 12 2 4 2" xfId="18075" xr:uid="{00000000-0005-0000-0000-00009F460000}"/>
    <cellStyle name="Normal 14 12 2 4 2 2" xfId="24587" xr:uid="{00000000-0005-0000-0000-00000F600000}"/>
    <cellStyle name="Normal 14 12 2 4 3" xfId="21752" xr:uid="{00000000-0005-0000-0000-0000FC540000}"/>
    <cellStyle name="Normal 14 12 2 4 4" xfId="9847" xr:uid="{00000000-0005-0000-0000-00007B260000}"/>
    <cellStyle name="Normal 14 12 2 5" xfId="10859" xr:uid="{00000000-0005-0000-0000-00006F2A0000}"/>
    <cellStyle name="Normal 14 12 2 5 2" xfId="22757" xr:uid="{00000000-0005-0000-0000-0000E9580000}"/>
    <cellStyle name="Normal 14 12 2 6" xfId="20190" xr:uid="{00000000-0005-0000-0000-0000E24E0000}"/>
    <cellStyle name="Normal 14 12 2 7" xfId="7984" xr:uid="{00000000-0005-0000-0000-0000341F0000}"/>
    <cellStyle name="Normal 14 12 3" xfId="2968" xr:uid="{00000000-0005-0000-0000-00009C0B0000}"/>
    <cellStyle name="Normal 14 12 3 2" xfId="4042" xr:uid="{00000000-0005-0000-0000-0000CE0F0000}"/>
    <cellStyle name="Normal 14 12 3 2 2" xfId="10447" xr:uid="{00000000-0005-0000-0000-0000D3280000}"/>
    <cellStyle name="Normal 14 12 3 2 2 2" xfId="18675" xr:uid="{00000000-0005-0000-0000-0000F7480000}"/>
    <cellStyle name="Normal 14 12 3 2 2 2 2" xfId="25187" xr:uid="{00000000-0005-0000-0000-000067620000}"/>
    <cellStyle name="Normal 14 12 3 2 2 3" xfId="22352" xr:uid="{00000000-0005-0000-0000-000054570000}"/>
    <cellStyle name="Normal 14 12 3 2 3" xfId="17354" xr:uid="{00000000-0005-0000-0000-0000CE430000}"/>
    <cellStyle name="Normal 14 12 3 2 3 2" xfId="23931" xr:uid="{00000000-0005-0000-0000-00007F5D0000}"/>
    <cellStyle name="Normal 14 12 3 2 4" xfId="21096" xr:uid="{00000000-0005-0000-0000-00006C520000}"/>
    <cellStyle name="Normal 14 12 3 2 5" xfId="9102" xr:uid="{00000000-0005-0000-0000-000092230000}"/>
    <cellStyle name="Normal 14 12 3 3" xfId="10056" xr:uid="{00000000-0005-0000-0000-00004C270000}"/>
    <cellStyle name="Normal 14 12 3 3 2" xfId="18284" xr:uid="{00000000-0005-0000-0000-000070470000}"/>
    <cellStyle name="Normal 14 12 3 3 2 2" xfId="24796" xr:uid="{00000000-0005-0000-0000-0000E0600000}"/>
    <cellStyle name="Normal 14 12 3 3 3" xfId="21961" xr:uid="{00000000-0005-0000-0000-0000CD550000}"/>
    <cellStyle name="Normal 14 12 3 4" xfId="16875" xr:uid="{00000000-0005-0000-0000-0000EF410000}"/>
    <cellStyle name="Normal 14 12 3 4 2" xfId="23532" xr:uid="{00000000-0005-0000-0000-0000F05B0000}"/>
    <cellStyle name="Normal 14 12 3 5" xfId="20399" xr:uid="{00000000-0005-0000-0000-0000B34F0000}"/>
    <cellStyle name="Normal 14 12 3 6" xfId="8194" xr:uid="{00000000-0005-0000-0000-000006200000}"/>
    <cellStyle name="Normal 14 12 4" xfId="3194" xr:uid="{00000000-0005-0000-0000-00007E0C0000}"/>
    <cellStyle name="Normal 14 12 4 2" xfId="4252" xr:uid="{00000000-0005-0000-0000-0000A0100000}"/>
    <cellStyle name="Normal 14 12 4 3" xfId="8726" xr:uid="{00000000-0005-0000-0000-00001A220000}"/>
    <cellStyle name="Normal 14 12 5" xfId="3645" xr:uid="{00000000-0005-0000-0000-0000410E0000}"/>
    <cellStyle name="Normal 14 12 5 2" xfId="17866" xr:uid="{00000000-0005-0000-0000-0000CE450000}"/>
    <cellStyle name="Normal 14 12 5 2 2" xfId="24378" xr:uid="{00000000-0005-0000-0000-00003E5F0000}"/>
    <cellStyle name="Normal 14 12 5 3" xfId="21543" xr:uid="{00000000-0005-0000-0000-00002B540000}"/>
    <cellStyle name="Normal 14 12 5 4" xfId="9638" xr:uid="{00000000-0005-0000-0000-0000AA250000}"/>
    <cellStyle name="Normal 14 12 6" xfId="10858" xr:uid="{00000000-0005-0000-0000-00006E2A0000}"/>
    <cellStyle name="Normal 14 12 6 2" xfId="22756" xr:uid="{00000000-0005-0000-0000-0000E8580000}"/>
    <cellStyle name="Normal 14 12 7" xfId="19981" xr:uid="{00000000-0005-0000-0000-0000114E0000}"/>
    <cellStyle name="Normal 14 12 8" xfId="7741" xr:uid="{00000000-0005-0000-0000-0000411E0000}"/>
    <cellStyle name="Normal 14 13" xfId="1011" xr:uid="{00000000-0005-0000-0000-0000F7030000}"/>
    <cellStyle name="Normal 14 13 2" xfId="2157" xr:uid="{00000000-0005-0000-0000-000071080000}"/>
    <cellStyle name="Normal 14 13 2 2" xfId="3090" xr:uid="{00000000-0005-0000-0000-0000160C0000}"/>
    <cellStyle name="Normal 14 13 2 2 2" xfId="4148" xr:uid="{00000000-0005-0000-0000-000038100000}"/>
    <cellStyle name="Normal 14 13 2 2 2 2" xfId="18494" xr:uid="{00000000-0005-0000-0000-000042480000}"/>
    <cellStyle name="Normal 14 13 2 2 2 2 2" xfId="25006" xr:uid="{00000000-0005-0000-0000-0000B2610000}"/>
    <cellStyle name="Normal 14 13 2 2 2 3" xfId="22171" xr:uid="{00000000-0005-0000-0000-00009F560000}"/>
    <cellStyle name="Normal 14 13 2 2 2 4" xfId="10266" xr:uid="{00000000-0005-0000-0000-00001E280000}"/>
    <cellStyle name="Normal 14 13 2 2 3" xfId="17084" xr:uid="{00000000-0005-0000-0000-0000C0420000}"/>
    <cellStyle name="Normal 14 13 2 2 3 2" xfId="23741" xr:uid="{00000000-0005-0000-0000-0000C15C0000}"/>
    <cellStyle name="Normal 14 13 2 2 4" xfId="20609" xr:uid="{00000000-0005-0000-0000-000085500000}"/>
    <cellStyle name="Normal 14 13 2 2 5" xfId="8404" xr:uid="{00000000-0005-0000-0000-0000D8200000}"/>
    <cellStyle name="Normal 14 13 2 3" xfId="3316" xr:uid="{00000000-0005-0000-0000-0000F80C0000}"/>
    <cellStyle name="Normal 14 13 2 3 2" xfId="4358" xr:uid="{00000000-0005-0000-0000-00000A110000}"/>
    <cellStyle name="Normal 14 13 2 3 2 2" xfId="18678" xr:uid="{00000000-0005-0000-0000-0000FA480000}"/>
    <cellStyle name="Normal 14 13 2 3 2 2 2" xfId="25190" xr:uid="{00000000-0005-0000-0000-00006A620000}"/>
    <cellStyle name="Normal 14 13 2 3 2 3" xfId="22355" xr:uid="{00000000-0005-0000-0000-000057570000}"/>
    <cellStyle name="Normal 14 13 2 3 2 4" xfId="10450" xr:uid="{00000000-0005-0000-0000-0000D6280000}"/>
    <cellStyle name="Normal 14 13 2 3 3" xfId="17357" xr:uid="{00000000-0005-0000-0000-0000D1430000}"/>
    <cellStyle name="Normal 14 13 2 3 3 2" xfId="23934" xr:uid="{00000000-0005-0000-0000-0000825D0000}"/>
    <cellStyle name="Normal 14 13 2 3 4" xfId="21099" xr:uid="{00000000-0005-0000-0000-00006F520000}"/>
    <cellStyle name="Normal 14 13 2 3 5" xfId="9105" xr:uid="{00000000-0005-0000-0000-000095230000}"/>
    <cellStyle name="Normal 14 13 2 4" xfId="3938" xr:uid="{00000000-0005-0000-0000-0000660F0000}"/>
    <cellStyle name="Normal 14 13 2 4 2" xfId="18076" xr:uid="{00000000-0005-0000-0000-0000A0460000}"/>
    <cellStyle name="Normal 14 13 2 4 2 2" xfId="24588" xr:uid="{00000000-0005-0000-0000-000010600000}"/>
    <cellStyle name="Normal 14 13 2 4 3" xfId="21753" xr:uid="{00000000-0005-0000-0000-0000FD540000}"/>
    <cellStyle name="Normal 14 13 2 4 4" xfId="9848" xr:uid="{00000000-0005-0000-0000-00007C260000}"/>
    <cellStyle name="Normal 14 13 2 5" xfId="10861" xr:uid="{00000000-0005-0000-0000-0000712A0000}"/>
    <cellStyle name="Normal 14 13 2 5 2" xfId="22759" xr:uid="{00000000-0005-0000-0000-0000EB580000}"/>
    <cellStyle name="Normal 14 13 2 6" xfId="20191" xr:uid="{00000000-0005-0000-0000-0000E34E0000}"/>
    <cellStyle name="Normal 14 13 2 7" xfId="7985" xr:uid="{00000000-0005-0000-0000-0000351F0000}"/>
    <cellStyle name="Normal 14 13 3" xfId="2969" xr:uid="{00000000-0005-0000-0000-00009D0B0000}"/>
    <cellStyle name="Normal 14 13 3 2" xfId="4043" xr:uid="{00000000-0005-0000-0000-0000CF0F0000}"/>
    <cellStyle name="Normal 14 13 3 2 2" xfId="10449" xr:uid="{00000000-0005-0000-0000-0000D5280000}"/>
    <cellStyle name="Normal 14 13 3 2 2 2" xfId="18677" xr:uid="{00000000-0005-0000-0000-0000F9480000}"/>
    <cellStyle name="Normal 14 13 3 2 2 2 2" xfId="25189" xr:uid="{00000000-0005-0000-0000-000069620000}"/>
    <cellStyle name="Normal 14 13 3 2 2 3" xfId="22354" xr:uid="{00000000-0005-0000-0000-000056570000}"/>
    <cellStyle name="Normal 14 13 3 2 3" xfId="17356" xr:uid="{00000000-0005-0000-0000-0000D0430000}"/>
    <cellStyle name="Normal 14 13 3 2 3 2" xfId="23933" xr:uid="{00000000-0005-0000-0000-0000815D0000}"/>
    <cellStyle name="Normal 14 13 3 2 4" xfId="21098" xr:uid="{00000000-0005-0000-0000-00006E520000}"/>
    <cellStyle name="Normal 14 13 3 2 5" xfId="9104" xr:uid="{00000000-0005-0000-0000-000094230000}"/>
    <cellStyle name="Normal 14 13 3 3" xfId="10057" xr:uid="{00000000-0005-0000-0000-00004D270000}"/>
    <cellStyle name="Normal 14 13 3 3 2" xfId="18285" xr:uid="{00000000-0005-0000-0000-000071470000}"/>
    <cellStyle name="Normal 14 13 3 3 2 2" xfId="24797" xr:uid="{00000000-0005-0000-0000-0000E1600000}"/>
    <cellStyle name="Normal 14 13 3 3 3" xfId="21962" xr:uid="{00000000-0005-0000-0000-0000CE550000}"/>
    <cellStyle name="Normal 14 13 3 4" xfId="16876" xr:uid="{00000000-0005-0000-0000-0000F0410000}"/>
    <cellStyle name="Normal 14 13 3 4 2" xfId="23533" xr:uid="{00000000-0005-0000-0000-0000F15B0000}"/>
    <cellStyle name="Normal 14 13 3 5" xfId="20400" xr:uid="{00000000-0005-0000-0000-0000B44F0000}"/>
    <cellStyle name="Normal 14 13 3 6" xfId="8195" xr:uid="{00000000-0005-0000-0000-000007200000}"/>
    <cellStyle name="Normal 14 13 4" xfId="3195" xr:uid="{00000000-0005-0000-0000-00007F0C0000}"/>
    <cellStyle name="Normal 14 13 4 2" xfId="4253" xr:uid="{00000000-0005-0000-0000-0000A1100000}"/>
    <cellStyle name="Normal 14 13 4 3" xfId="8727" xr:uid="{00000000-0005-0000-0000-00001B220000}"/>
    <cellStyle name="Normal 14 13 5" xfId="3646" xr:uid="{00000000-0005-0000-0000-0000420E0000}"/>
    <cellStyle name="Normal 14 13 5 2" xfId="17867" xr:uid="{00000000-0005-0000-0000-0000CF450000}"/>
    <cellStyle name="Normal 14 13 5 2 2" xfId="24379" xr:uid="{00000000-0005-0000-0000-00003F5F0000}"/>
    <cellStyle name="Normal 14 13 5 3" xfId="21544" xr:uid="{00000000-0005-0000-0000-00002C540000}"/>
    <cellStyle name="Normal 14 13 5 4" xfId="9639" xr:uid="{00000000-0005-0000-0000-0000AB250000}"/>
    <cellStyle name="Normal 14 13 6" xfId="10860" xr:uid="{00000000-0005-0000-0000-0000702A0000}"/>
    <cellStyle name="Normal 14 13 6 2" xfId="22758" xr:uid="{00000000-0005-0000-0000-0000EA580000}"/>
    <cellStyle name="Normal 14 13 7" xfId="19982" xr:uid="{00000000-0005-0000-0000-0000124E0000}"/>
    <cellStyle name="Normal 14 13 8" xfId="7742" xr:uid="{00000000-0005-0000-0000-0000421E0000}"/>
    <cellStyle name="Normal 14 14" xfId="1012" xr:uid="{00000000-0005-0000-0000-0000F8030000}"/>
    <cellStyle name="Normal 14 14 2" xfId="2158" xr:uid="{00000000-0005-0000-0000-000072080000}"/>
    <cellStyle name="Normal 14 14 2 2" xfId="3091" xr:uid="{00000000-0005-0000-0000-0000170C0000}"/>
    <cellStyle name="Normal 14 14 2 2 2" xfId="4149" xr:uid="{00000000-0005-0000-0000-000039100000}"/>
    <cellStyle name="Normal 14 14 2 2 2 2" xfId="18495" xr:uid="{00000000-0005-0000-0000-000043480000}"/>
    <cellStyle name="Normal 14 14 2 2 2 2 2" xfId="25007" xr:uid="{00000000-0005-0000-0000-0000B3610000}"/>
    <cellStyle name="Normal 14 14 2 2 2 3" xfId="22172" xr:uid="{00000000-0005-0000-0000-0000A0560000}"/>
    <cellStyle name="Normal 14 14 2 2 2 4" xfId="10267" xr:uid="{00000000-0005-0000-0000-00001F280000}"/>
    <cellStyle name="Normal 14 14 2 2 3" xfId="17085" xr:uid="{00000000-0005-0000-0000-0000C1420000}"/>
    <cellStyle name="Normal 14 14 2 2 3 2" xfId="23742" xr:uid="{00000000-0005-0000-0000-0000C25C0000}"/>
    <cellStyle name="Normal 14 14 2 2 4" xfId="20610" xr:uid="{00000000-0005-0000-0000-000086500000}"/>
    <cellStyle name="Normal 14 14 2 2 5" xfId="8405" xr:uid="{00000000-0005-0000-0000-0000D9200000}"/>
    <cellStyle name="Normal 14 14 2 3" xfId="3317" xr:uid="{00000000-0005-0000-0000-0000F90C0000}"/>
    <cellStyle name="Normal 14 14 2 3 2" xfId="4359" xr:uid="{00000000-0005-0000-0000-00000B110000}"/>
    <cellStyle name="Normal 14 14 2 3 2 2" xfId="18680" xr:uid="{00000000-0005-0000-0000-0000FC480000}"/>
    <cellStyle name="Normal 14 14 2 3 2 2 2" xfId="25192" xr:uid="{00000000-0005-0000-0000-00006C620000}"/>
    <cellStyle name="Normal 14 14 2 3 2 3" xfId="22357" xr:uid="{00000000-0005-0000-0000-000059570000}"/>
    <cellStyle name="Normal 14 14 2 3 2 4" xfId="10452" xr:uid="{00000000-0005-0000-0000-0000D8280000}"/>
    <cellStyle name="Normal 14 14 2 3 3" xfId="17359" xr:uid="{00000000-0005-0000-0000-0000D3430000}"/>
    <cellStyle name="Normal 14 14 2 3 3 2" xfId="23936" xr:uid="{00000000-0005-0000-0000-0000845D0000}"/>
    <cellStyle name="Normal 14 14 2 3 4" xfId="21101" xr:uid="{00000000-0005-0000-0000-000071520000}"/>
    <cellStyle name="Normal 14 14 2 3 5" xfId="9107" xr:uid="{00000000-0005-0000-0000-000097230000}"/>
    <cellStyle name="Normal 14 14 2 4" xfId="3939" xr:uid="{00000000-0005-0000-0000-0000670F0000}"/>
    <cellStyle name="Normal 14 14 2 4 2" xfId="18077" xr:uid="{00000000-0005-0000-0000-0000A1460000}"/>
    <cellStyle name="Normal 14 14 2 4 2 2" xfId="24589" xr:uid="{00000000-0005-0000-0000-000011600000}"/>
    <cellStyle name="Normal 14 14 2 4 3" xfId="21754" xr:uid="{00000000-0005-0000-0000-0000FE540000}"/>
    <cellStyle name="Normal 14 14 2 4 4" xfId="9849" xr:uid="{00000000-0005-0000-0000-00007D260000}"/>
    <cellStyle name="Normal 14 14 2 5" xfId="10863" xr:uid="{00000000-0005-0000-0000-0000732A0000}"/>
    <cellStyle name="Normal 14 14 2 5 2" xfId="22761" xr:uid="{00000000-0005-0000-0000-0000ED580000}"/>
    <cellStyle name="Normal 14 14 2 6" xfId="20192" xr:uid="{00000000-0005-0000-0000-0000E44E0000}"/>
    <cellStyle name="Normal 14 14 2 7" xfId="7986" xr:uid="{00000000-0005-0000-0000-0000361F0000}"/>
    <cellStyle name="Normal 14 14 3" xfId="2970" xr:uid="{00000000-0005-0000-0000-00009E0B0000}"/>
    <cellStyle name="Normal 14 14 3 2" xfId="4044" xr:uid="{00000000-0005-0000-0000-0000D00F0000}"/>
    <cellStyle name="Normal 14 14 3 2 2" xfId="10451" xr:uid="{00000000-0005-0000-0000-0000D7280000}"/>
    <cellStyle name="Normal 14 14 3 2 2 2" xfId="18679" xr:uid="{00000000-0005-0000-0000-0000FB480000}"/>
    <cellStyle name="Normal 14 14 3 2 2 2 2" xfId="25191" xr:uid="{00000000-0005-0000-0000-00006B620000}"/>
    <cellStyle name="Normal 14 14 3 2 2 3" xfId="22356" xr:uid="{00000000-0005-0000-0000-000058570000}"/>
    <cellStyle name="Normal 14 14 3 2 3" xfId="17358" xr:uid="{00000000-0005-0000-0000-0000D2430000}"/>
    <cellStyle name="Normal 14 14 3 2 3 2" xfId="23935" xr:uid="{00000000-0005-0000-0000-0000835D0000}"/>
    <cellStyle name="Normal 14 14 3 2 4" xfId="21100" xr:uid="{00000000-0005-0000-0000-000070520000}"/>
    <cellStyle name="Normal 14 14 3 2 5" xfId="9106" xr:uid="{00000000-0005-0000-0000-000096230000}"/>
    <cellStyle name="Normal 14 14 3 3" xfId="10058" xr:uid="{00000000-0005-0000-0000-00004E270000}"/>
    <cellStyle name="Normal 14 14 3 3 2" xfId="18286" xr:uid="{00000000-0005-0000-0000-000072470000}"/>
    <cellStyle name="Normal 14 14 3 3 2 2" xfId="24798" xr:uid="{00000000-0005-0000-0000-0000E2600000}"/>
    <cellStyle name="Normal 14 14 3 3 3" xfId="21963" xr:uid="{00000000-0005-0000-0000-0000CF550000}"/>
    <cellStyle name="Normal 14 14 3 4" xfId="16877" xr:uid="{00000000-0005-0000-0000-0000F1410000}"/>
    <cellStyle name="Normal 14 14 3 4 2" xfId="23534" xr:uid="{00000000-0005-0000-0000-0000F25B0000}"/>
    <cellStyle name="Normal 14 14 3 5" xfId="20401" xr:uid="{00000000-0005-0000-0000-0000B54F0000}"/>
    <cellStyle name="Normal 14 14 3 6" xfId="8196" xr:uid="{00000000-0005-0000-0000-000008200000}"/>
    <cellStyle name="Normal 14 14 4" xfId="3196" xr:uid="{00000000-0005-0000-0000-0000800C0000}"/>
    <cellStyle name="Normal 14 14 4 2" xfId="4254" xr:uid="{00000000-0005-0000-0000-0000A2100000}"/>
    <cellStyle name="Normal 14 14 4 3" xfId="8728" xr:uid="{00000000-0005-0000-0000-00001C220000}"/>
    <cellStyle name="Normal 14 14 5" xfId="3647" xr:uid="{00000000-0005-0000-0000-0000430E0000}"/>
    <cellStyle name="Normal 14 14 5 2" xfId="17868" xr:uid="{00000000-0005-0000-0000-0000D0450000}"/>
    <cellStyle name="Normal 14 14 5 2 2" xfId="24380" xr:uid="{00000000-0005-0000-0000-0000405F0000}"/>
    <cellStyle name="Normal 14 14 5 3" xfId="21545" xr:uid="{00000000-0005-0000-0000-00002D540000}"/>
    <cellStyle name="Normal 14 14 5 4" xfId="9640" xr:uid="{00000000-0005-0000-0000-0000AC250000}"/>
    <cellStyle name="Normal 14 14 6" xfId="10862" xr:uid="{00000000-0005-0000-0000-0000722A0000}"/>
    <cellStyle name="Normal 14 14 6 2" xfId="22760" xr:uid="{00000000-0005-0000-0000-0000EC580000}"/>
    <cellStyle name="Normal 14 14 7" xfId="19983" xr:uid="{00000000-0005-0000-0000-0000134E0000}"/>
    <cellStyle name="Normal 14 14 8" xfId="7743" xr:uid="{00000000-0005-0000-0000-0000431E0000}"/>
    <cellStyle name="Normal 14 15" xfId="1013" xr:uid="{00000000-0005-0000-0000-0000F9030000}"/>
    <cellStyle name="Normal 14 15 2" xfId="2159" xr:uid="{00000000-0005-0000-0000-000073080000}"/>
    <cellStyle name="Normal 14 15 2 2" xfId="3092" xr:uid="{00000000-0005-0000-0000-0000180C0000}"/>
    <cellStyle name="Normal 14 15 2 2 2" xfId="4150" xr:uid="{00000000-0005-0000-0000-00003A100000}"/>
    <cellStyle name="Normal 14 15 2 2 2 2" xfId="18496" xr:uid="{00000000-0005-0000-0000-000044480000}"/>
    <cellStyle name="Normal 14 15 2 2 2 2 2" xfId="25008" xr:uid="{00000000-0005-0000-0000-0000B4610000}"/>
    <cellStyle name="Normal 14 15 2 2 2 3" xfId="22173" xr:uid="{00000000-0005-0000-0000-0000A1560000}"/>
    <cellStyle name="Normal 14 15 2 2 2 4" xfId="10268" xr:uid="{00000000-0005-0000-0000-000020280000}"/>
    <cellStyle name="Normal 14 15 2 2 3" xfId="17086" xr:uid="{00000000-0005-0000-0000-0000C2420000}"/>
    <cellStyle name="Normal 14 15 2 2 3 2" xfId="23743" xr:uid="{00000000-0005-0000-0000-0000C35C0000}"/>
    <cellStyle name="Normal 14 15 2 2 4" xfId="20611" xr:uid="{00000000-0005-0000-0000-000087500000}"/>
    <cellStyle name="Normal 14 15 2 2 5" xfId="8406" xr:uid="{00000000-0005-0000-0000-0000DA200000}"/>
    <cellStyle name="Normal 14 15 2 3" xfId="3318" xr:uid="{00000000-0005-0000-0000-0000FA0C0000}"/>
    <cellStyle name="Normal 14 15 2 3 2" xfId="4360" xr:uid="{00000000-0005-0000-0000-00000C110000}"/>
    <cellStyle name="Normal 14 15 2 3 2 2" xfId="18682" xr:uid="{00000000-0005-0000-0000-0000FE480000}"/>
    <cellStyle name="Normal 14 15 2 3 2 2 2" xfId="25194" xr:uid="{00000000-0005-0000-0000-00006E620000}"/>
    <cellStyle name="Normal 14 15 2 3 2 3" xfId="22359" xr:uid="{00000000-0005-0000-0000-00005B570000}"/>
    <cellStyle name="Normal 14 15 2 3 2 4" xfId="10454" xr:uid="{00000000-0005-0000-0000-0000DA280000}"/>
    <cellStyle name="Normal 14 15 2 3 3" xfId="17361" xr:uid="{00000000-0005-0000-0000-0000D5430000}"/>
    <cellStyle name="Normal 14 15 2 3 3 2" xfId="23938" xr:uid="{00000000-0005-0000-0000-0000865D0000}"/>
    <cellStyle name="Normal 14 15 2 3 4" xfId="21103" xr:uid="{00000000-0005-0000-0000-000073520000}"/>
    <cellStyle name="Normal 14 15 2 3 5" xfId="9109" xr:uid="{00000000-0005-0000-0000-000099230000}"/>
    <cellStyle name="Normal 14 15 2 4" xfId="3940" xr:uid="{00000000-0005-0000-0000-0000680F0000}"/>
    <cellStyle name="Normal 14 15 2 4 2" xfId="18078" xr:uid="{00000000-0005-0000-0000-0000A2460000}"/>
    <cellStyle name="Normal 14 15 2 4 2 2" xfId="24590" xr:uid="{00000000-0005-0000-0000-000012600000}"/>
    <cellStyle name="Normal 14 15 2 4 3" xfId="21755" xr:uid="{00000000-0005-0000-0000-0000FF540000}"/>
    <cellStyle name="Normal 14 15 2 4 4" xfId="9850" xr:uid="{00000000-0005-0000-0000-00007E260000}"/>
    <cellStyle name="Normal 14 15 2 5" xfId="10865" xr:uid="{00000000-0005-0000-0000-0000752A0000}"/>
    <cellStyle name="Normal 14 15 2 5 2" xfId="22763" xr:uid="{00000000-0005-0000-0000-0000EF580000}"/>
    <cellStyle name="Normal 14 15 2 6" xfId="20193" xr:uid="{00000000-0005-0000-0000-0000E54E0000}"/>
    <cellStyle name="Normal 14 15 2 7" xfId="7987" xr:uid="{00000000-0005-0000-0000-0000371F0000}"/>
    <cellStyle name="Normal 14 15 3" xfId="2971" xr:uid="{00000000-0005-0000-0000-00009F0B0000}"/>
    <cellStyle name="Normal 14 15 3 2" xfId="4045" xr:uid="{00000000-0005-0000-0000-0000D10F0000}"/>
    <cellStyle name="Normal 14 15 3 2 2" xfId="10453" xr:uid="{00000000-0005-0000-0000-0000D9280000}"/>
    <cellStyle name="Normal 14 15 3 2 2 2" xfId="18681" xr:uid="{00000000-0005-0000-0000-0000FD480000}"/>
    <cellStyle name="Normal 14 15 3 2 2 2 2" xfId="25193" xr:uid="{00000000-0005-0000-0000-00006D620000}"/>
    <cellStyle name="Normal 14 15 3 2 2 3" xfId="22358" xr:uid="{00000000-0005-0000-0000-00005A570000}"/>
    <cellStyle name="Normal 14 15 3 2 3" xfId="17360" xr:uid="{00000000-0005-0000-0000-0000D4430000}"/>
    <cellStyle name="Normal 14 15 3 2 3 2" xfId="23937" xr:uid="{00000000-0005-0000-0000-0000855D0000}"/>
    <cellStyle name="Normal 14 15 3 2 4" xfId="21102" xr:uid="{00000000-0005-0000-0000-000072520000}"/>
    <cellStyle name="Normal 14 15 3 2 5" xfId="9108" xr:uid="{00000000-0005-0000-0000-000098230000}"/>
    <cellStyle name="Normal 14 15 3 3" xfId="10059" xr:uid="{00000000-0005-0000-0000-00004F270000}"/>
    <cellStyle name="Normal 14 15 3 3 2" xfId="18287" xr:uid="{00000000-0005-0000-0000-000073470000}"/>
    <cellStyle name="Normal 14 15 3 3 2 2" xfId="24799" xr:uid="{00000000-0005-0000-0000-0000E3600000}"/>
    <cellStyle name="Normal 14 15 3 3 3" xfId="21964" xr:uid="{00000000-0005-0000-0000-0000D0550000}"/>
    <cellStyle name="Normal 14 15 3 4" xfId="16878" xr:uid="{00000000-0005-0000-0000-0000F2410000}"/>
    <cellStyle name="Normal 14 15 3 4 2" xfId="23535" xr:uid="{00000000-0005-0000-0000-0000F35B0000}"/>
    <cellStyle name="Normal 14 15 3 5" xfId="20402" xr:uid="{00000000-0005-0000-0000-0000B64F0000}"/>
    <cellStyle name="Normal 14 15 3 6" xfId="8197" xr:uid="{00000000-0005-0000-0000-000009200000}"/>
    <cellStyle name="Normal 14 15 4" xfId="3197" xr:uid="{00000000-0005-0000-0000-0000810C0000}"/>
    <cellStyle name="Normal 14 15 4 2" xfId="4255" xr:uid="{00000000-0005-0000-0000-0000A3100000}"/>
    <cellStyle name="Normal 14 15 4 3" xfId="8729" xr:uid="{00000000-0005-0000-0000-00001D220000}"/>
    <cellStyle name="Normal 14 15 5" xfId="3648" xr:uid="{00000000-0005-0000-0000-0000440E0000}"/>
    <cellStyle name="Normal 14 15 5 2" xfId="17869" xr:uid="{00000000-0005-0000-0000-0000D1450000}"/>
    <cellStyle name="Normal 14 15 5 2 2" xfId="24381" xr:uid="{00000000-0005-0000-0000-0000415F0000}"/>
    <cellStyle name="Normal 14 15 5 3" xfId="21546" xr:uid="{00000000-0005-0000-0000-00002E540000}"/>
    <cellStyle name="Normal 14 15 5 4" xfId="9641" xr:uid="{00000000-0005-0000-0000-0000AD250000}"/>
    <cellStyle name="Normal 14 15 6" xfId="10864" xr:uid="{00000000-0005-0000-0000-0000742A0000}"/>
    <cellStyle name="Normal 14 15 6 2" xfId="22762" xr:uid="{00000000-0005-0000-0000-0000EE580000}"/>
    <cellStyle name="Normal 14 15 7" xfId="19984" xr:uid="{00000000-0005-0000-0000-0000144E0000}"/>
    <cellStyle name="Normal 14 15 8" xfId="7744" xr:uid="{00000000-0005-0000-0000-0000441E0000}"/>
    <cellStyle name="Normal 14 16" xfId="7738" xr:uid="{00000000-0005-0000-0000-00003E1E0000}"/>
    <cellStyle name="Normal 14 17" xfId="7899" xr:uid="{00000000-0005-0000-0000-0000DF1E0000}"/>
    <cellStyle name="Normal 14 17 2" xfId="8321" xr:uid="{00000000-0005-0000-0000-000085200000}"/>
    <cellStyle name="Normal 14 17 2 2" xfId="10183" xr:uid="{00000000-0005-0000-0000-0000CB270000}"/>
    <cellStyle name="Normal 14 17 2 2 2" xfId="18411" xr:uid="{00000000-0005-0000-0000-0000EF470000}"/>
    <cellStyle name="Normal 14 17 2 2 2 2" xfId="24923" xr:uid="{00000000-0005-0000-0000-00005F610000}"/>
    <cellStyle name="Normal 14 17 2 2 3" xfId="22088" xr:uid="{00000000-0005-0000-0000-00004C560000}"/>
    <cellStyle name="Normal 14 17 2 3" xfId="17001" xr:uid="{00000000-0005-0000-0000-00006D420000}"/>
    <cellStyle name="Normal 14 17 2 3 2" xfId="23658" xr:uid="{00000000-0005-0000-0000-00006E5C0000}"/>
    <cellStyle name="Normal 14 17 2 4" xfId="20526" xr:uid="{00000000-0005-0000-0000-000032500000}"/>
    <cellStyle name="Normal 14 17 3" xfId="9110" xr:uid="{00000000-0005-0000-0000-00009A230000}"/>
    <cellStyle name="Normal 14 17 3 2" xfId="10455" xr:uid="{00000000-0005-0000-0000-0000DB280000}"/>
    <cellStyle name="Normal 14 17 3 2 2" xfId="18683" xr:uid="{00000000-0005-0000-0000-0000FF480000}"/>
    <cellStyle name="Normal 14 17 3 2 2 2" xfId="25195" xr:uid="{00000000-0005-0000-0000-00006F620000}"/>
    <cellStyle name="Normal 14 17 3 2 3" xfId="22360" xr:uid="{00000000-0005-0000-0000-00005C570000}"/>
    <cellStyle name="Normal 14 17 3 3" xfId="17362" xr:uid="{00000000-0005-0000-0000-0000D6430000}"/>
    <cellStyle name="Normal 14 17 3 3 2" xfId="23939" xr:uid="{00000000-0005-0000-0000-0000875D0000}"/>
    <cellStyle name="Normal 14 17 3 4" xfId="21104" xr:uid="{00000000-0005-0000-0000-000074520000}"/>
    <cellStyle name="Normal 14 17 4" xfId="9765" xr:uid="{00000000-0005-0000-0000-000029260000}"/>
    <cellStyle name="Normal 14 17 4 2" xfId="17993" xr:uid="{00000000-0005-0000-0000-00004D460000}"/>
    <cellStyle name="Normal 14 17 4 2 2" xfId="24505" xr:uid="{00000000-0005-0000-0000-0000BD5F0000}"/>
    <cellStyle name="Normal 14 17 4 3" xfId="21670" xr:uid="{00000000-0005-0000-0000-0000AA540000}"/>
    <cellStyle name="Normal 14 17 5" xfId="10866" xr:uid="{00000000-0005-0000-0000-0000762A0000}"/>
    <cellStyle name="Normal 14 17 5 2" xfId="22764" xr:uid="{00000000-0005-0000-0000-0000F0580000}"/>
    <cellStyle name="Normal 14 17 6" xfId="20108" xr:uid="{00000000-0005-0000-0000-0000904E0000}"/>
    <cellStyle name="Normal 14 18" xfId="8112" xr:uid="{00000000-0005-0000-0000-0000B41F0000}"/>
    <cellStyle name="Normal 14 18 2" xfId="9097" xr:uid="{00000000-0005-0000-0000-00008D230000}"/>
    <cellStyle name="Normal 14 18 2 2" xfId="10442" xr:uid="{00000000-0005-0000-0000-0000CE280000}"/>
    <cellStyle name="Normal 14 18 2 2 2" xfId="18670" xr:uid="{00000000-0005-0000-0000-0000F2480000}"/>
    <cellStyle name="Normal 14 18 2 2 2 2" xfId="25182" xr:uid="{00000000-0005-0000-0000-000062620000}"/>
    <cellStyle name="Normal 14 18 2 2 3" xfId="22347" xr:uid="{00000000-0005-0000-0000-00004F570000}"/>
    <cellStyle name="Normal 14 18 2 3" xfId="17349" xr:uid="{00000000-0005-0000-0000-0000C9430000}"/>
    <cellStyle name="Normal 14 18 2 3 2" xfId="23926" xr:uid="{00000000-0005-0000-0000-00007A5D0000}"/>
    <cellStyle name="Normal 14 18 2 4" xfId="21091" xr:uid="{00000000-0005-0000-0000-000067520000}"/>
    <cellStyle name="Normal 14 18 3" xfId="9974" xr:uid="{00000000-0005-0000-0000-0000FA260000}"/>
    <cellStyle name="Normal 14 18 3 2" xfId="18202" xr:uid="{00000000-0005-0000-0000-00001E470000}"/>
    <cellStyle name="Normal 14 18 3 2 2" xfId="24714" xr:uid="{00000000-0005-0000-0000-00008E600000}"/>
    <cellStyle name="Normal 14 18 3 3" xfId="21879" xr:uid="{00000000-0005-0000-0000-00007B550000}"/>
    <cellStyle name="Normal 14 18 4" xfId="16810" xr:uid="{00000000-0005-0000-0000-0000AE410000}"/>
    <cellStyle name="Normal 14 18 4 2" xfId="23469" xr:uid="{00000000-0005-0000-0000-0000B15B0000}"/>
    <cellStyle name="Normal 14 18 5" xfId="20317" xr:uid="{00000000-0005-0000-0000-0000614F0000}"/>
    <cellStyle name="Normal 14 19" xfId="9556" xr:uid="{00000000-0005-0000-0000-000058250000}"/>
    <cellStyle name="Normal 14 19 2" xfId="17784" xr:uid="{00000000-0005-0000-0000-00007C450000}"/>
    <cellStyle name="Normal 14 19 2 2" xfId="24296" xr:uid="{00000000-0005-0000-0000-0000EC5E0000}"/>
    <cellStyle name="Normal 14 19 3" xfId="21461" xr:uid="{00000000-0005-0000-0000-0000D9530000}"/>
    <cellStyle name="Normal 14 2" xfId="1014" xr:uid="{00000000-0005-0000-0000-0000FA030000}"/>
    <cellStyle name="Normal 14 2 10" xfId="3198" xr:uid="{00000000-0005-0000-0000-0000820C0000}"/>
    <cellStyle name="Normal 14 2 10 2" xfId="4256" xr:uid="{00000000-0005-0000-0000-0000A4100000}"/>
    <cellStyle name="Normal 14 2 10 2 2" xfId="22765" xr:uid="{00000000-0005-0000-0000-0000F1580000}"/>
    <cellStyle name="Normal 14 2 10 3" xfId="10867" xr:uid="{00000000-0005-0000-0000-0000772A0000}"/>
    <cellStyle name="Normal 14 2 11" xfId="3649" xr:uid="{00000000-0005-0000-0000-0000450E0000}"/>
    <cellStyle name="Normal 14 2 12" xfId="6247" xr:uid="{00000000-0005-0000-0000-00006B180000}"/>
    <cellStyle name="Normal 14 2 2" xfId="1015" xr:uid="{00000000-0005-0000-0000-0000FB030000}"/>
    <cellStyle name="Normal 14 2 2 2" xfId="2161" xr:uid="{00000000-0005-0000-0000-000075080000}"/>
    <cellStyle name="Normal 14 2 3" xfId="1016" xr:uid="{00000000-0005-0000-0000-0000FC030000}"/>
    <cellStyle name="Normal 14 2 3 2" xfId="2162" xr:uid="{00000000-0005-0000-0000-000076080000}"/>
    <cellStyle name="Normal 14 2 4" xfId="1017" xr:uid="{00000000-0005-0000-0000-0000FD030000}"/>
    <cellStyle name="Normal 14 2 4 2" xfId="2163" xr:uid="{00000000-0005-0000-0000-000077080000}"/>
    <cellStyle name="Normal 14 2 5" xfId="1018" xr:uid="{00000000-0005-0000-0000-0000FE030000}"/>
    <cellStyle name="Normal 14 2 5 2" xfId="2164" xr:uid="{00000000-0005-0000-0000-000078080000}"/>
    <cellStyle name="Normal 14 2 6" xfId="1019" xr:uid="{00000000-0005-0000-0000-0000FF030000}"/>
    <cellStyle name="Normal 14 2 6 2" xfId="2165" xr:uid="{00000000-0005-0000-0000-000079080000}"/>
    <cellStyle name="Normal 14 2 7" xfId="1020" xr:uid="{00000000-0005-0000-0000-000000040000}"/>
    <cellStyle name="Normal 14 2 7 2" xfId="2166" xr:uid="{00000000-0005-0000-0000-00007A080000}"/>
    <cellStyle name="Normal 14 2 8" xfId="2160" xr:uid="{00000000-0005-0000-0000-000074080000}"/>
    <cellStyle name="Normal 14 2 8 2" xfId="3093" xr:uid="{00000000-0005-0000-0000-0000190C0000}"/>
    <cellStyle name="Normal 14 2 8 2 2" xfId="4151" xr:uid="{00000000-0005-0000-0000-00003B100000}"/>
    <cellStyle name="Normal 14 2 8 2 2 2" xfId="10269" xr:uid="{00000000-0005-0000-0000-000021280000}"/>
    <cellStyle name="Normal 14 2 8 2 2 2 2" xfId="18497" xr:uid="{00000000-0005-0000-0000-000045480000}"/>
    <cellStyle name="Normal 14 2 8 2 2 2 2 2" xfId="25009" xr:uid="{00000000-0005-0000-0000-0000B5610000}"/>
    <cellStyle name="Normal 14 2 8 2 2 2 3" xfId="22174" xr:uid="{00000000-0005-0000-0000-0000A2560000}"/>
    <cellStyle name="Normal 14 2 8 2 2 3" xfId="17087" xr:uid="{00000000-0005-0000-0000-0000C3420000}"/>
    <cellStyle name="Normal 14 2 8 2 2 3 2" xfId="23744" xr:uid="{00000000-0005-0000-0000-0000C45C0000}"/>
    <cellStyle name="Normal 14 2 8 2 2 4" xfId="20612" xr:uid="{00000000-0005-0000-0000-000088500000}"/>
    <cellStyle name="Normal 14 2 8 2 2 5" xfId="8407" xr:uid="{00000000-0005-0000-0000-0000DB200000}"/>
    <cellStyle name="Normal 14 2 8 2 3" xfId="9112" xr:uid="{00000000-0005-0000-0000-00009C230000}"/>
    <cellStyle name="Normal 14 2 8 2 3 2" xfId="10457" xr:uid="{00000000-0005-0000-0000-0000DD280000}"/>
    <cellStyle name="Normal 14 2 8 2 3 2 2" xfId="18685" xr:uid="{00000000-0005-0000-0000-000001490000}"/>
    <cellStyle name="Normal 14 2 8 2 3 2 2 2" xfId="25197" xr:uid="{00000000-0005-0000-0000-000071620000}"/>
    <cellStyle name="Normal 14 2 8 2 3 2 3" xfId="22362" xr:uid="{00000000-0005-0000-0000-00005E570000}"/>
    <cellStyle name="Normal 14 2 8 2 3 3" xfId="17364" xr:uid="{00000000-0005-0000-0000-0000D8430000}"/>
    <cellStyle name="Normal 14 2 8 2 3 3 2" xfId="23941" xr:uid="{00000000-0005-0000-0000-0000895D0000}"/>
    <cellStyle name="Normal 14 2 8 2 3 4" xfId="21106" xr:uid="{00000000-0005-0000-0000-000076520000}"/>
    <cellStyle name="Normal 14 2 8 2 4" xfId="9851" xr:uid="{00000000-0005-0000-0000-00007F260000}"/>
    <cellStyle name="Normal 14 2 8 2 4 2" xfId="18079" xr:uid="{00000000-0005-0000-0000-0000A3460000}"/>
    <cellStyle name="Normal 14 2 8 2 4 2 2" xfId="24591" xr:uid="{00000000-0005-0000-0000-000013600000}"/>
    <cellStyle name="Normal 14 2 8 2 4 3" xfId="21756" xr:uid="{00000000-0005-0000-0000-000000550000}"/>
    <cellStyle name="Normal 14 2 8 2 5" xfId="10869" xr:uid="{00000000-0005-0000-0000-0000792A0000}"/>
    <cellStyle name="Normal 14 2 8 2 5 2" xfId="22767" xr:uid="{00000000-0005-0000-0000-0000F3580000}"/>
    <cellStyle name="Normal 14 2 8 2 6" xfId="20194" xr:uid="{00000000-0005-0000-0000-0000E64E0000}"/>
    <cellStyle name="Normal 14 2 8 2 7" xfId="7988" xr:uid="{00000000-0005-0000-0000-0000381F0000}"/>
    <cellStyle name="Normal 14 2 8 3" xfId="3319" xr:uid="{00000000-0005-0000-0000-0000FB0C0000}"/>
    <cellStyle name="Normal 14 2 8 3 2" xfId="4361" xr:uid="{00000000-0005-0000-0000-00000D110000}"/>
    <cellStyle name="Normal 14 2 8 3 2 2" xfId="18288" xr:uid="{00000000-0005-0000-0000-000074470000}"/>
    <cellStyle name="Normal 14 2 8 3 2 2 2" xfId="24800" xr:uid="{00000000-0005-0000-0000-0000E4600000}"/>
    <cellStyle name="Normal 14 2 8 3 2 3" xfId="21965" xr:uid="{00000000-0005-0000-0000-0000D1550000}"/>
    <cellStyle name="Normal 14 2 8 3 2 4" xfId="10060" xr:uid="{00000000-0005-0000-0000-000050270000}"/>
    <cellStyle name="Normal 14 2 8 3 3" xfId="16879" xr:uid="{00000000-0005-0000-0000-0000F3410000}"/>
    <cellStyle name="Normal 14 2 8 3 3 2" xfId="23536" xr:uid="{00000000-0005-0000-0000-0000F45B0000}"/>
    <cellStyle name="Normal 14 2 8 3 4" xfId="20403" xr:uid="{00000000-0005-0000-0000-0000B74F0000}"/>
    <cellStyle name="Normal 14 2 8 3 5" xfId="8198" xr:uid="{00000000-0005-0000-0000-00000A200000}"/>
    <cellStyle name="Normal 14 2 8 4" xfId="3941" xr:uid="{00000000-0005-0000-0000-0000690F0000}"/>
    <cellStyle name="Normal 14 2 8 4 2" xfId="10456" xr:uid="{00000000-0005-0000-0000-0000DC280000}"/>
    <cellStyle name="Normal 14 2 8 4 2 2" xfId="18684" xr:uid="{00000000-0005-0000-0000-000000490000}"/>
    <cellStyle name="Normal 14 2 8 4 2 2 2" xfId="25196" xr:uid="{00000000-0005-0000-0000-000070620000}"/>
    <cellStyle name="Normal 14 2 8 4 2 3" xfId="22361" xr:uid="{00000000-0005-0000-0000-00005D570000}"/>
    <cellStyle name="Normal 14 2 8 4 3" xfId="17363" xr:uid="{00000000-0005-0000-0000-0000D7430000}"/>
    <cellStyle name="Normal 14 2 8 4 3 2" xfId="23940" xr:uid="{00000000-0005-0000-0000-0000885D0000}"/>
    <cellStyle name="Normal 14 2 8 4 4" xfId="21105" xr:uid="{00000000-0005-0000-0000-000075520000}"/>
    <cellStyle name="Normal 14 2 8 4 5" xfId="9111" xr:uid="{00000000-0005-0000-0000-00009B230000}"/>
    <cellStyle name="Normal 14 2 8 5" xfId="9642" xr:uid="{00000000-0005-0000-0000-0000AE250000}"/>
    <cellStyle name="Normal 14 2 8 5 2" xfId="17870" xr:uid="{00000000-0005-0000-0000-0000D2450000}"/>
    <cellStyle name="Normal 14 2 8 5 2 2" xfId="24382" xr:uid="{00000000-0005-0000-0000-0000425F0000}"/>
    <cellStyle name="Normal 14 2 8 5 3" xfId="21547" xr:uid="{00000000-0005-0000-0000-00002F540000}"/>
    <cellStyle name="Normal 14 2 8 6" xfId="10868" xr:uid="{00000000-0005-0000-0000-0000782A0000}"/>
    <cellStyle name="Normal 14 2 8 6 2" xfId="22766" xr:uid="{00000000-0005-0000-0000-0000F2580000}"/>
    <cellStyle name="Normal 14 2 8 7" xfId="19985" xr:uid="{00000000-0005-0000-0000-0000154E0000}"/>
    <cellStyle name="Normal 14 2 8 8" xfId="7745" xr:uid="{00000000-0005-0000-0000-0000451E0000}"/>
    <cellStyle name="Normal 14 2 9" xfId="2972" xr:uid="{00000000-0005-0000-0000-0000A00B0000}"/>
    <cellStyle name="Normal 14 2 9 2" xfId="4046" xr:uid="{00000000-0005-0000-0000-0000D20F0000}"/>
    <cellStyle name="Normal 14 2 9 3" xfId="10870" xr:uid="{00000000-0005-0000-0000-00007A2A0000}"/>
    <cellStyle name="Normal 14 20" xfId="19622" xr:uid="{00000000-0005-0000-0000-0000AA4C0000}"/>
    <cellStyle name="Normal 14 21" xfId="4542" xr:uid="{00000000-0005-0000-0000-0000C2110000}"/>
    <cellStyle name="Normal 14 3" xfId="1021" xr:uid="{00000000-0005-0000-0000-000001040000}"/>
    <cellStyle name="Normal 14 3 2" xfId="2167" xr:uid="{00000000-0005-0000-0000-00007B080000}"/>
    <cellStyle name="Normal 14 4" xfId="1022" xr:uid="{00000000-0005-0000-0000-000002040000}"/>
    <cellStyle name="Normal 14 4 2" xfId="2168" xr:uid="{00000000-0005-0000-0000-00007C080000}"/>
    <cellStyle name="Normal 14 4 2 2" xfId="3094" xr:uid="{00000000-0005-0000-0000-00001A0C0000}"/>
    <cellStyle name="Normal 14 4 2 2 2" xfId="4152" xr:uid="{00000000-0005-0000-0000-00003C100000}"/>
    <cellStyle name="Normal 14 4 2 2 2 2" xfId="18498" xr:uid="{00000000-0005-0000-0000-000046480000}"/>
    <cellStyle name="Normal 14 4 2 2 2 2 2" xfId="25010" xr:uid="{00000000-0005-0000-0000-0000B6610000}"/>
    <cellStyle name="Normal 14 4 2 2 2 3" xfId="22175" xr:uid="{00000000-0005-0000-0000-0000A3560000}"/>
    <cellStyle name="Normal 14 4 2 2 2 4" xfId="10270" xr:uid="{00000000-0005-0000-0000-000022280000}"/>
    <cellStyle name="Normal 14 4 2 2 3" xfId="17088" xr:uid="{00000000-0005-0000-0000-0000C4420000}"/>
    <cellStyle name="Normal 14 4 2 2 3 2" xfId="23745" xr:uid="{00000000-0005-0000-0000-0000C55C0000}"/>
    <cellStyle name="Normal 14 4 2 2 4" xfId="20613" xr:uid="{00000000-0005-0000-0000-000089500000}"/>
    <cellStyle name="Normal 14 4 2 2 5" xfId="8408" xr:uid="{00000000-0005-0000-0000-0000DC200000}"/>
    <cellStyle name="Normal 14 4 2 3" xfId="3320" xr:uid="{00000000-0005-0000-0000-0000FC0C0000}"/>
    <cellStyle name="Normal 14 4 2 3 2" xfId="4362" xr:uid="{00000000-0005-0000-0000-00000E110000}"/>
    <cellStyle name="Normal 14 4 2 3 2 2" xfId="18687" xr:uid="{00000000-0005-0000-0000-000003490000}"/>
    <cellStyle name="Normal 14 4 2 3 2 2 2" xfId="25199" xr:uid="{00000000-0005-0000-0000-000073620000}"/>
    <cellStyle name="Normal 14 4 2 3 2 3" xfId="22364" xr:uid="{00000000-0005-0000-0000-000060570000}"/>
    <cellStyle name="Normal 14 4 2 3 2 4" xfId="10459" xr:uid="{00000000-0005-0000-0000-0000DF280000}"/>
    <cellStyle name="Normal 14 4 2 3 3" xfId="17366" xr:uid="{00000000-0005-0000-0000-0000DA430000}"/>
    <cellStyle name="Normal 14 4 2 3 3 2" xfId="23943" xr:uid="{00000000-0005-0000-0000-00008B5D0000}"/>
    <cellStyle name="Normal 14 4 2 3 4" xfId="21108" xr:uid="{00000000-0005-0000-0000-000078520000}"/>
    <cellStyle name="Normal 14 4 2 3 5" xfId="9114" xr:uid="{00000000-0005-0000-0000-00009E230000}"/>
    <cellStyle name="Normal 14 4 2 4" xfId="3942" xr:uid="{00000000-0005-0000-0000-00006A0F0000}"/>
    <cellStyle name="Normal 14 4 2 4 2" xfId="18080" xr:uid="{00000000-0005-0000-0000-0000A4460000}"/>
    <cellStyle name="Normal 14 4 2 4 2 2" xfId="24592" xr:uid="{00000000-0005-0000-0000-000014600000}"/>
    <cellStyle name="Normal 14 4 2 4 3" xfId="21757" xr:uid="{00000000-0005-0000-0000-000001550000}"/>
    <cellStyle name="Normal 14 4 2 4 4" xfId="9852" xr:uid="{00000000-0005-0000-0000-000080260000}"/>
    <cellStyle name="Normal 14 4 2 5" xfId="10872" xr:uid="{00000000-0005-0000-0000-00007C2A0000}"/>
    <cellStyle name="Normal 14 4 2 5 2" xfId="22769" xr:uid="{00000000-0005-0000-0000-0000F5580000}"/>
    <cellStyle name="Normal 14 4 2 6" xfId="20195" xr:uid="{00000000-0005-0000-0000-0000E74E0000}"/>
    <cellStyle name="Normal 14 4 2 7" xfId="7989" xr:uid="{00000000-0005-0000-0000-0000391F0000}"/>
    <cellStyle name="Normal 14 4 3" xfId="2973" xr:uid="{00000000-0005-0000-0000-0000A10B0000}"/>
    <cellStyle name="Normal 14 4 3 2" xfId="4047" xr:uid="{00000000-0005-0000-0000-0000D30F0000}"/>
    <cellStyle name="Normal 14 4 3 2 2" xfId="10458" xr:uid="{00000000-0005-0000-0000-0000DE280000}"/>
    <cellStyle name="Normal 14 4 3 2 2 2" xfId="18686" xr:uid="{00000000-0005-0000-0000-000002490000}"/>
    <cellStyle name="Normal 14 4 3 2 2 2 2" xfId="25198" xr:uid="{00000000-0005-0000-0000-000072620000}"/>
    <cellStyle name="Normal 14 4 3 2 2 3" xfId="22363" xr:uid="{00000000-0005-0000-0000-00005F570000}"/>
    <cellStyle name="Normal 14 4 3 2 3" xfId="17365" xr:uid="{00000000-0005-0000-0000-0000D9430000}"/>
    <cellStyle name="Normal 14 4 3 2 3 2" xfId="23942" xr:uid="{00000000-0005-0000-0000-00008A5D0000}"/>
    <cellStyle name="Normal 14 4 3 2 4" xfId="21107" xr:uid="{00000000-0005-0000-0000-000077520000}"/>
    <cellStyle name="Normal 14 4 3 2 5" xfId="9113" xr:uid="{00000000-0005-0000-0000-00009D230000}"/>
    <cellStyle name="Normal 14 4 3 3" xfId="10061" xr:uid="{00000000-0005-0000-0000-000051270000}"/>
    <cellStyle name="Normal 14 4 3 3 2" xfId="18289" xr:uid="{00000000-0005-0000-0000-000075470000}"/>
    <cellStyle name="Normal 14 4 3 3 2 2" xfId="24801" xr:uid="{00000000-0005-0000-0000-0000E5600000}"/>
    <cellStyle name="Normal 14 4 3 3 3" xfId="21966" xr:uid="{00000000-0005-0000-0000-0000D2550000}"/>
    <cellStyle name="Normal 14 4 3 4" xfId="16880" xr:uid="{00000000-0005-0000-0000-0000F4410000}"/>
    <cellStyle name="Normal 14 4 3 4 2" xfId="23537" xr:uid="{00000000-0005-0000-0000-0000F55B0000}"/>
    <cellStyle name="Normal 14 4 3 5" xfId="20404" xr:uid="{00000000-0005-0000-0000-0000B84F0000}"/>
    <cellStyle name="Normal 14 4 3 6" xfId="8199" xr:uid="{00000000-0005-0000-0000-00000B200000}"/>
    <cellStyle name="Normal 14 4 4" xfId="3199" xr:uid="{00000000-0005-0000-0000-0000830C0000}"/>
    <cellStyle name="Normal 14 4 4 2" xfId="4257" xr:uid="{00000000-0005-0000-0000-0000A5100000}"/>
    <cellStyle name="Normal 14 4 4 3" xfId="8730" xr:uid="{00000000-0005-0000-0000-00001E220000}"/>
    <cellStyle name="Normal 14 4 5" xfId="3650" xr:uid="{00000000-0005-0000-0000-0000460E0000}"/>
    <cellStyle name="Normal 14 4 5 2" xfId="17871" xr:uid="{00000000-0005-0000-0000-0000D3450000}"/>
    <cellStyle name="Normal 14 4 5 2 2" xfId="24383" xr:uid="{00000000-0005-0000-0000-0000435F0000}"/>
    <cellStyle name="Normal 14 4 5 3" xfId="21548" xr:uid="{00000000-0005-0000-0000-000030540000}"/>
    <cellStyle name="Normal 14 4 5 4" xfId="9643" xr:uid="{00000000-0005-0000-0000-0000AF250000}"/>
    <cellStyle name="Normal 14 4 6" xfId="10871" xr:uid="{00000000-0005-0000-0000-00007B2A0000}"/>
    <cellStyle name="Normal 14 4 6 2" xfId="22768" xr:uid="{00000000-0005-0000-0000-0000F4580000}"/>
    <cellStyle name="Normal 14 4 7" xfId="19986" xr:uid="{00000000-0005-0000-0000-0000164E0000}"/>
    <cellStyle name="Normal 14 4 8" xfId="7746" xr:uid="{00000000-0005-0000-0000-0000461E0000}"/>
    <cellStyle name="Normal 14 5" xfId="1023" xr:uid="{00000000-0005-0000-0000-000003040000}"/>
    <cellStyle name="Normal 14 5 2" xfId="2169" xr:uid="{00000000-0005-0000-0000-00007D080000}"/>
    <cellStyle name="Normal 14 5 2 2" xfId="3095" xr:uid="{00000000-0005-0000-0000-00001B0C0000}"/>
    <cellStyle name="Normal 14 5 2 2 2" xfId="4153" xr:uid="{00000000-0005-0000-0000-00003D100000}"/>
    <cellStyle name="Normal 14 5 2 2 2 2" xfId="18499" xr:uid="{00000000-0005-0000-0000-000047480000}"/>
    <cellStyle name="Normal 14 5 2 2 2 2 2" xfId="25011" xr:uid="{00000000-0005-0000-0000-0000B7610000}"/>
    <cellStyle name="Normal 14 5 2 2 2 3" xfId="22176" xr:uid="{00000000-0005-0000-0000-0000A4560000}"/>
    <cellStyle name="Normal 14 5 2 2 2 4" xfId="10271" xr:uid="{00000000-0005-0000-0000-000023280000}"/>
    <cellStyle name="Normal 14 5 2 2 3" xfId="17089" xr:uid="{00000000-0005-0000-0000-0000C5420000}"/>
    <cellStyle name="Normal 14 5 2 2 3 2" xfId="23746" xr:uid="{00000000-0005-0000-0000-0000C65C0000}"/>
    <cellStyle name="Normal 14 5 2 2 4" xfId="20614" xr:uid="{00000000-0005-0000-0000-00008A500000}"/>
    <cellStyle name="Normal 14 5 2 2 5" xfId="8409" xr:uid="{00000000-0005-0000-0000-0000DD200000}"/>
    <cellStyle name="Normal 14 5 2 3" xfId="3321" xr:uid="{00000000-0005-0000-0000-0000FD0C0000}"/>
    <cellStyle name="Normal 14 5 2 3 2" xfId="4363" xr:uid="{00000000-0005-0000-0000-00000F110000}"/>
    <cellStyle name="Normal 14 5 2 3 2 2" xfId="18689" xr:uid="{00000000-0005-0000-0000-000005490000}"/>
    <cellStyle name="Normal 14 5 2 3 2 2 2" xfId="25201" xr:uid="{00000000-0005-0000-0000-000075620000}"/>
    <cellStyle name="Normal 14 5 2 3 2 3" xfId="22366" xr:uid="{00000000-0005-0000-0000-000062570000}"/>
    <cellStyle name="Normal 14 5 2 3 2 4" xfId="10461" xr:uid="{00000000-0005-0000-0000-0000E1280000}"/>
    <cellStyle name="Normal 14 5 2 3 3" xfId="17368" xr:uid="{00000000-0005-0000-0000-0000DC430000}"/>
    <cellStyle name="Normal 14 5 2 3 3 2" xfId="23945" xr:uid="{00000000-0005-0000-0000-00008D5D0000}"/>
    <cellStyle name="Normal 14 5 2 3 4" xfId="21110" xr:uid="{00000000-0005-0000-0000-00007A520000}"/>
    <cellStyle name="Normal 14 5 2 3 5" xfId="9116" xr:uid="{00000000-0005-0000-0000-0000A0230000}"/>
    <cellStyle name="Normal 14 5 2 4" xfId="3943" xr:uid="{00000000-0005-0000-0000-00006B0F0000}"/>
    <cellStyle name="Normal 14 5 2 4 2" xfId="18081" xr:uid="{00000000-0005-0000-0000-0000A5460000}"/>
    <cellStyle name="Normal 14 5 2 4 2 2" xfId="24593" xr:uid="{00000000-0005-0000-0000-000015600000}"/>
    <cellStyle name="Normal 14 5 2 4 3" xfId="21758" xr:uid="{00000000-0005-0000-0000-000002550000}"/>
    <cellStyle name="Normal 14 5 2 4 4" xfId="9853" xr:uid="{00000000-0005-0000-0000-000081260000}"/>
    <cellStyle name="Normal 14 5 2 5" xfId="10874" xr:uid="{00000000-0005-0000-0000-00007E2A0000}"/>
    <cellStyle name="Normal 14 5 2 5 2" xfId="22771" xr:uid="{00000000-0005-0000-0000-0000F7580000}"/>
    <cellStyle name="Normal 14 5 2 6" xfId="20196" xr:uid="{00000000-0005-0000-0000-0000E84E0000}"/>
    <cellStyle name="Normal 14 5 2 7" xfId="7990" xr:uid="{00000000-0005-0000-0000-00003A1F0000}"/>
    <cellStyle name="Normal 14 5 3" xfId="2974" xr:uid="{00000000-0005-0000-0000-0000A20B0000}"/>
    <cellStyle name="Normal 14 5 3 2" xfId="4048" xr:uid="{00000000-0005-0000-0000-0000D40F0000}"/>
    <cellStyle name="Normal 14 5 3 2 2" xfId="10460" xr:uid="{00000000-0005-0000-0000-0000E0280000}"/>
    <cellStyle name="Normal 14 5 3 2 2 2" xfId="18688" xr:uid="{00000000-0005-0000-0000-000004490000}"/>
    <cellStyle name="Normal 14 5 3 2 2 2 2" xfId="25200" xr:uid="{00000000-0005-0000-0000-000074620000}"/>
    <cellStyle name="Normal 14 5 3 2 2 3" xfId="22365" xr:uid="{00000000-0005-0000-0000-000061570000}"/>
    <cellStyle name="Normal 14 5 3 2 3" xfId="17367" xr:uid="{00000000-0005-0000-0000-0000DB430000}"/>
    <cellStyle name="Normal 14 5 3 2 3 2" xfId="23944" xr:uid="{00000000-0005-0000-0000-00008C5D0000}"/>
    <cellStyle name="Normal 14 5 3 2 4" xfId="21109" xr:uid="{00000000-0005-0000-0000-000079520000}"/>
    <cellStyle name="Normal 14 5 3 2 5" xfId="9115" xr:uid="{00000000-0005-0000-0000-00009F230000}"/>
    <cellStyle name="Normal 14 5 3 3" xfId="10062" xr:uid="{00000000-0005-0000-0000-000052270000}"/>
    <cellStyle name="Normal 14 5 3 3 2" xfId="18290" xr:uid="{00000000-0005-0000-0000-000076470000}"/>
    <cellStyle name="Normal 14 5 3 3 2 2" xfId="24802" xr:uid="{00000000-0005-0000-0000-0000E6600000}"/>
    <cellStyle name="Normal 14 5 3 3 3" xfId="21967" xr:uid="{00000000-0005-0000-0000-0000D3550000}"/>
    <cellStyle name="Normal 14 5 3 4" xfId="16881" xr:uid="{00000000-0005-0000-0000-0000F5410000}"/>
    <cellStyle name="Normal 14 5 3 4 2" xfId="23538" xr:uid="{00000000-0005-0000-0000-0000F65B0000}"/>
    <cellStyle name="Normal 14 5 3 5" xfId="20405" xr:uid="{00000000-0005-0000-0000-0000B94F0000}"/>
    <cellStyle name="Normal 14 5 3 6" xfId="8200" xr:uid="{00000000-0005-0000-0000-00000C200000}"/>
    <cellStyle name="Normal 14 5 4" xfId="3200" xr:uid="{00000000-0005-0000-0000-0000840C0000}"/>
    <cellStyle name="Normal 14 5 4 2" xfId="4258" xr:uid="{00000000-0005-0000-0000-0000A6100000}"/>
    <cellStyle name="Normal 14 5 4 3" xfId="8731" xr:uid="{00000000-0005-0000-0000-00001F220000}"/>
    <cellStyle name="Normal 14 5 5" xfId="3651" xr:uid="{00000000-0005-0000-0000-0000470E0000}"/>
    <cellStyle name="Normal 14 5 5 2" xfId="17872" xr:uid="{00000000-0005-0000-0000-0000D4450000}"/>
    <cellStyle name="Normal 14 5 5 2 2" xfId="24384" xr:uid="{00000000-0005-0000-0000-0000445F0000}"/>
    <cellStyle name="Normal 14 5 5 3" xfId="21549" xr:uid="{00000000-0005-0000-0000-000031540000}"/>
    <cellStyle name="Normal 14 5 5 4" xfId="9644" xr:uid="{00000000-0005-0000-0000-0000B0250000}"/>
    <cellStyle name="Normal 14 5 6" xfId="10873" xr:uid="{00000000-0005-0000-0000-00007D2A0000}"/>
    <cellStyle name="Normal 14 5 6 2" xfId="22770" xr:uid="{00000000-0005-0000-0000-0000F6580000}"/>
    <cellStyle name="Normal 14 5 7" xfId="19987" xr:uid="{00000000-0005-0000-0000-0000174E0000}"/>
    <cellStyle name="Normal 14 5 8" xfId="7747" xr:uid="{00000000-0005-0000-0000-0000471E0000}"/>
    <cellStyle name="Normal 14 6" xfId="1024" xr:uid="{00000000-0005-0000-0000-000004040000}"/>
    <cellStyle name="Normal 14 6 2" xfId="2170" xr:uid="{00000000-0005-0000-0000-00007E080000}"/>
    <cellStyle name="Normal 14 7" xfId="1025" xr:uid="{00000000-0005-0000-0000-000005040000}"/>
    <cellStyle name="Normal 14 7 2" xfId="2171" xr:uid="{00000000-0005-0000-0000-00007F080000}"/>
    <cellStyle name="Normal 14 8" xfId="1026" xr:uid="{00000000-0005-0000-0000-000006040000}"/>
    <cellStyle name="Normal 14 8 2" xfId="2172" xr:uid="{00000000-0005-0000-0000-000080080000}"/>
    <cellStyle name="Normal 14 9" xfId="1027" xr:uid="{00000000-0005-0000-0000-000007040000}"/>
    <cellStyle name="Normal 14 9 2" xfId="2173" xr:uid="{00000000-0005-0000-0000-000081080000}"/>
    <cellStyle name="Normal 15" xfId="1028" xr:uid="{00000000-0005-0000-0000-000008040000}"/>
    <cellStyle name="Normal 15 2" xfId="1029" xr:uid="{00000000-0005-0000-0000-000009040000}"/>
    <cellStyle name="Normal 15 2 2" xfId="2174" xr:uid="{00000000-0005-0000-0000-000082080000}"/>
    <cellStyle name="Normal 15 2 3" xfId="9117" xr:uid="{00000000-0005-0000-0000-0000A1230000}"/>
    <cellStyle name="Normal 15 2 4" xfId="6248" xr:uid="{00000000-0005-0000-0000-00006C180000}"/>
    <cellStyle name="Normal 15 3" xfId="1030" xr:uid="{00000000-0005-0000-0000-00000A040000}"/>
    <cellStyle name="Normal 15 3 2" xfId="2175" xr:uid="{00000000-0005-0000-0000-000083080000}"/>
    <cellStyle name="Normal 15 4" xfId="1031" xr:uid="{00000000-0005-0000-0000-00000B040000}"/>
    <cellStyle name="Normal 15 4 2" xfId="2176" xr:uid="{00000000-0005-0000-0000-000084080000}"/>
    <cellStyle name="Normal 15 5" xfId="1032" xr:uid="{00000000-0005-0000-0000-00000C040000}"/>
    <cellStyle name="Normal 15 5 2" xfId="2177" xr:uid="{00000000-0005-0000-0000-000085080000}"/>
    <cellStyle name="Normal 15 6" xfId="1033" xr:uid="{00000000-0005-0000-0000-00000D040000}"/>
    <cellStyle name="Normal 15 6 2" xfId="2178" xr:uid="{00000000-0005-0000-0000-000086080000}"/>
    <cellStyle name="Normal 15 7" xfId="7748" xr:uid="{00000000-0005-0000-0000-0000481E0000}"/>
    <cellStyle name="Normal 16" xfId="1034" xr:uid="{00000000-0005-0000-0000-00000E040000}"/>
    <cellStyle name="Normal 16 10" xfId="3652" xr:uid="{00000000-0005-0000-0000-0000480E0000}"/>
    <cellStyle name="Normal 16 2" xfId="1035" xr:uid="{00000000-0005-0000-0000-00000F040000}"/>
    <cellStyle name="Normal 16 2 2" xfId="2180" xr:uid="{00000000-0005-0000-0000-000088080000}"/>
    <cellStyle name="Normal 16 2 3" xfId="9118" xr:uid="{00000000-0005-0000-0000-0000A2230000}"/>
    <cellStyle name="Normal 16 2 4" xfId="6249" xr:uid="{00000000-0005-0000-0000-00006D180000}"/>
    <cellStyle name="Normal 16 3" xfId="1036" xr:uid="{00000000-0005-0000-0000-000010040000}"/>
    <cellStyle name="Normal 16 3 2" xfId="2181" xr:uid="{00000000-0005-0000-0000-000089080000}"/>
    <cellStyle name="Normal 16 4" xfId="1037" xr:uid="{00000000-0005-0000-0000-000011040000}"/>
    <cellStyle name="Normal 16 4 2" xfId="2182" xr:uid="{00000000-0005-0000-0000-00008A080000}"/>
    <cellStyle name="Normal 16 5" xfId="1038" xr:uid="{00000000-0005-0000-0000-000012040000}"/>
    <cellStyle name="Normal 16 5 2" xfId="2183" xr:uid="{00000000-0005-0000-0000-00008B080000}"/>
    <cellStyle name="Normal 16 6" xfId="1039" xr:uid="{00000000-0005-0000-0000-000013040000}"/>
    <cellStyle name="Normal 16 6 2" xfId="2184" xr:uid="{00000000-0005-0000-0000-00008C080000}"/>
    <cellStyle name="Normal 16 7" xfId="2179" xr:uid="{00000000-0005-0000-0000-000087080000}"/>
    <cellStyle name="Normal 16 7 2" xfId="3096" xr:uid="{00000000-0005-0000-0000-00001C0C0000}"/>
    <cellStyle name="Normal 16 7 2 2" xfId="4154" xr:uid="{00000000-0005-0000-0000-00003E100000}"/>
    <cellStyle name="Normal 16 7 2 2 2" xfId="10272" xr:uid="{00000000-0005-0000-0000-000024280000}"/>
    <cellStyle name="Normal 16 7 2 2 2 2" xfId="18500" xr:uid="{00000000-0005-0000-0000-000048480000}"/>
    <cellStyle name="Normal 16 7 2 2 2 2 2" xfId="25012" xr:uid="{00000000-0005-0000-0000-0000B8610000}"/>
    <cellStyle name="Normal 16 7 2 2 2 3" xfId="22177" xr:uid="{00000000-0005-0000-0000-0000A5560000}"/>
    <cellStyle name="Normal 16 7 2 2 3" xfId="17090" xr:uid="{00000000-0005-0000-0000-0000C6420000}"/>
    <cellStyle name="Normal 16 7 2 2 3 2" xfId="23747" xr:uid="{00000000-0005-0000-0000-0000C75C0000}"/>
    <cellStyle name="Normal 16 7 2 2 4" xfId="20615" xr:uid="{00000000-0005-0000-0000-00008B500000}"/>
    <cellStyle name="Normal 16 7 2 2 5" xfId="8410" xr:uid="{00000000-0005-0000-0000-0000DE200000}"/>
    <cellStyle name="Normal 16 7 2 3" xfId="9120" xr:uid="{00000000-0005-0000-0000-0000A4230000}"/>
    <cellStyle name="Normal 16 7 2 3 2" xfId="10463" xr:uid="{00000000-0005-0000-0000-0000E3280000}"/>
    <cellStyle name="Normal 16 7 2 3 2 2" xfId="18691" xr:uid="{00000000-0005-0000-0000-000007490000}"/>
    <cellStyle name="Normal 16 7 2 3 2 2 2" xfId="25203" xr:uid="{00000000-0005-0000-0000-000077620000}"/>
    <cellStyle name="Normal 16 7 2 3 2 3" xfId="22368" xr:uid="{00000000-0005-0000-0000-000064570000}"/>
    <cellStyle name="Normal 16 7 2 3 3" xfId="17370" xr:uid="{00000000-0005-0000-0000-0000DE430000}"/>
    <cellStyle name="Normal 16 7 2 3 3 2" xfId="23947" xr:uid="{00000000-0005-0000-0000-00008F5D0000}"/>
    <cellStyle name="Normal 16 7 2 3 4" xfId="21112" xr:uid="{00000000-0005-0000-0000-00007C520000}"/>
    <cellStyle name="Normal 16 7 2 4" xfId="9854" xr:uid="{00000000-0005-0000-0000-000082260000}"/>
    <cellStyle name="Normal 16 7 2 4 2" xfId="18082" xr:uid="{00000000-0005-0000-0000-0000A6460000}"/>
    <cellStyle name="Normal 16 7 2 4 2 2" xfId="24594" xr:uid="{00000000-0005-0000-0000-000016600000}"/>
    <cellStyle name="Normal 16 7 2 4 3" xfId="21759" xr:uid="{00000000-0005-0000-0000-000003550000}"/>
    <cellStyle name="Normal 16 7 2 5" xfId="10877" xr:uid="{00000000-0005-0000-0000-0000812A0000}"/>
    <cellStyle name="Normal 16 7 2 5 2" xfId="22774" xr:uid="{00000000-0005-0000-0000-0000FA580000}"/>
    <cellStyle name="Normal 16 7 2 6" xfId="20197" xr:uid="{00000000-0005-0000-0000-0000E94E0000}"/>
    <cellStyle name="Normal 16 7 2 7" xfId="7991" xr:uid="{00000000-0005-0000-0000-00003B1F0000}"/>
    <cellStyle name="Normal 16 7 3" xfId="3322" xr:uid="{00000000-0005-0000-0000-0000FE0C0000}"/>
    <cellStyle name="Normal 16 7 3 2" xfId="4364" xr:uid="{00000000-0005-0000-0000-000010110000}"/>
    <cellStyle name="Normal 16 7 3 2 2" xfId="18291" xr:uid="{00000000-0005-0000-0000-000077470000}"/>
    <cellStyle name="Normal 16 7 3 2 2 2" xfId="24803" xr:uid="{00000000-0005-0000-0000-0000E7600000}"/>
    <cellStyle name="Normal 16 7 3 2 3" xfId="21968" xr:uid="{00000000-0005-0000-0000-0000D4550000}"/>
    <cellStyle name="Normal 16 7 3 2 4" xfId="10063" xr:uid="{00000000-0005-0000-0000-000053270000}"/>
    <cellStyle name="Normal 16 7 3 3" xfId="16882" xr:uid="{00000000-0005-0000-0000-0000F6410000}"/>
    <cellStyle name="Normal 16 7 3 3 2" xfId="23539" xr:uid="{00000000-0005-0000-0000-0000F75B0000}"/>
    <cellStyle name="Normal 16 7 3 4" xfId="20406" xr:uid="{00000000-0005-0000-0000-0000BA4F0000}"/>
    <cellStyle name="Normal 16 7 3 5" xfId="8201" xr:uid="{00000000-0005-0000-0000-00000D200000}"/>
    <cellStyle name="Normal 16 7 4" xfId="3944" xr:uid="{00000000-0005-0000-0000-00006C0F0000}"/>
    <cellStyle name="Normal 16 7 4 2" xfId="10462" xr:uid="{00000000-0005-0000-0000-0000E2280000}"/>
    <cellStyle name="Normal 16 7 4 2 2" xfId="18690" xr:uid="{00000000-0005-0000-0000-000006490000}"/>
    <cellStyle name="Normal 16 7 4 2 2 2" xfId="25202" xr:uid="{00000000-0005-0000-0000-000076620000}"/>
    <cellStyle name="Normal 16 7 4 2 3" xfId="22367" xr:uid="{00000000-0005-0000-0000-000063570000}"/>
    <cellStyle name="Normal 16 7 4 3" xfId="17369" xr:uid="{00000000-0005-0000-0000-0000DD430000}"/>
    <cellStyle name="Normal 16 7 4 3 2" xfId="23946" xr:uid="{00000000-0005-0000-0000-00008E5D0000}"/>
    <cellStyle name="Normal 16 7 4 4" xfId="21111" xr:uid="{00000000-0005-0000-0000-00007B520000}"/>
    <cellStyle name="Normal 16 7 4 5" xfId="9119" xr:uid="{00000000-0005-0000-0000-0000A3230000}"/>
    <cellStyle name="Normal 16 7 5" xfId="9645" xr:uid="{00000000-0005-0000-0000-0000B1250000}"/>
    <cellStyle name="Normal 16 7 5 2" xfId="17873" xr:uid="{00000000-0005-0000-0000-0000D5450000}"/>
    <cellStyle name="Normal 16 7 5 2 2" xfId="24385" xr:uid="{00000000-0005-0000-0000-0000455F0000}"/>
    <cellStyle name="Normal 16 7 5 3" xfId="21550" xr:uid="{00000000-0005-0000-0000-000032540000}"/>
    <cellStyle name="Normal 16 7 6" xfId="10876" xr:uid="{00000000-0005-0000-0000-0000802A0000}"/>
    <cellStyle name="Normal 16 7 6 2" xfId="22773" xr:uid="{00000000-0005-0000-0000-0000F9580000}"/>
    <cellStyle name="Normal 16 7 7" xfId="19988" xr:uid="{00000000-0005-0000-0000-0000184E0000}"/>
    <cellStyle name="Normal 16 7 8" xfId="7749" xr:uid="{00000000-0005-0000-0000-0000491E0000}"/>
    <cellStyle name="Normal 16 8" xfId="2975" xr:uid="{00000000-0005-0000-0000-0000A30B0000}"/>
    <cellStyle name="Normal 16 8 2" xfId="4049" xr:uid="{00000000-0005-0000-0000-0000D50F0000}"/>
    <cellStyle name="Normal 16 8 2 2" xfId="22772" xr:uid="{00000000-0005-0000-0000-0000F8580000}"/>
    <cellStyle name="Normal 16 8 3" xfId="10875" xr:uid="{00000000-0005-0000-0000-00007F2A0000}"/>
    <cellStyle name="Normal 16 9" xfId="3201" xr:uid="{00000000-0005-0000-0000-0000850C0000}"/>
    <cellStyle name="Normal 16 9 2" xfId="4259" xr:uid="{00000000-0005-0000-0000-0000A7100000}"/>
    <cellStyle name="Normal 17" xfId="1040" xr:uid="{00000000-0005-0000-0000-000014040000}"/>
    <cellStyle name="Normal 17 10" xfId="1041" xr:uid="{00000000-0005-0000-0000-000015040000}"/>
    <cellStyle name="Normal 17 10 2" xfId="2186" xr:uid="{00000000-0005-0000-0000-00008E080000}"/>
    <cellStyle name="Normal 17 11" xfId="1042" xr:uid="{00000000-0005-0000-0000-000016040000}"/>
    <cellStyle name="Normal 17 11 2" xfId="2187" xr:uid="{00000000-0005-0000-0000-00008F080000}"/>
    <cellStyle name="Normal 17 12" xfId="1043" xr:uid="{00000000-0005-0000-0000-000017040000}"/>
    <cellStyle name="Normal 17 12 2" xfId="2188" xr:uid="{00000000-0005-0000-0000-000090080000}"/>
    <cellStyle name="Normal 17 13" xfId="1044" xr:uid="{00000000-0005-0000-0000-000018040000}"/>
    <cellStyle name="Normal 17 13 2" xfId="2189" xr:uid="{00000000-0005-0000-0000-000091080000}"/>
    <cellStyle name="Normal 17 14" xfId="2185" xr:uid="{00000000-0005-0000-0000-00008D080000}"/>
    <cellStyle name="Normal 17 14 2" xfId="3097" xr:uid="{00000000-0005-0000-0000-00001D0C0000}"/>
    <cellStyle name="Normal 17 14 2 2" xfId="4155" xr:uid="{00000000-0005-0000-0000-00003F100000}"/>
    <cellStyle name="Normal 17 14 2 2 2" xfId="10273" xr:uid="{00000000-0005-0000-0000-000025280000}"/>
    <cellStyle name="Normal 17 14 2 2 2 2" xfId="18501" xr:uid="{00000000-0005-0000-0000-000049480000}"/>
    <cellStyle name="Normal 17 14 2 2 2 2 2" xfId="25013" xr:uid="{00000000-0005-0000-0000-0000B9610000}"/>
    <cellStyle name="Normal 17 14 2 2 2 3" xfId="22178" xr:uid="{00000000-0005-0000-0000-0000A6560000}"/>
    <cellStyle name="Normal 17 14 2 2 3" xfId="17091" xr:uid="{00000000-0005-0000-0000-0000C7420000}"/>
    <cellStyle name="Normal 17 14 2 2 3 2" xfId="23748" xr:uid="{00000000-0005-0000-0000-0000C85C0000}"/>
    <cellStyle name="Normal 17 14 2 2 4" xfId="20616" xr:uid="{00000000-0005-0000-0000-00008C500000}"/>
    <cellStyle name="Normal 17 14 2 2 5" xfId="8411" xr:uid="{00000000-0005-0000-0000-0000DF200000}"/>
    <cellStyle name="Normal 17 14 2 3" xfId="9122" xr:uid="{00000000-0005-0000-0000-0000A6230000}"/>
    <cellStyle name="Normal 17 14 2 3 2" xfId="10465" xr:uid="{00000000-0005-0000-0000-0000E5280000}"/>
    <cellStyle name="Normal 17 14 2 3 2 2" xfId="18693" xr:uid="{00000000-0005-0000-0000-000009490000}"/>
    <cellStyle name="Normal 17 14 2 3 2 2 2" xfId="25205" xr:uid="{00000000-0005-0000-0000-000079620000}"/>
    <cellStyle name="Normal 17 14 2 3 2 3" xfId="22370" xr:uid="{00000000-0005-0000-0000-000066570000}"/>
    <cellStyle name="Normal 17 14 2 3 3" xfId="17372" xr:uid="{00000000-0005-0000-0000-0000E0430000}"/>
    <cellStyle name="Normal 17 14 2 3 3 2" xfId="23949" xr:uid="{00000000-0005-0000-0000-0000915D0000}"/>
    <cellStyle name="Normal 17 14 2 3 4" xfId="21114" xr:uid="{00000000-0005-0000-0000-00007E520000}"/>
    <cellStyle name="Normal 17 14 2 4" xfId="9855" xr:uid="{00000000-0005-0000-0000-000083260000}"/>
    <cellStyle name="Normal 17 14 2 4 2" xfId="18083" xr:uid="{00000000-0005-0000-0000-0000A7460000}"/>
    <cellStyle name="Normal 17 14 2 4 2 2" xfId="24595" xr:uid="{00000000-0005-0000-0000-000017600000}"/>
    <cellStyle name="Normal 17 14 2 4 3" xfId="21760" xr:uid="{00000000-0005-0000-0000-000004550000}"/>
    <cellStyle name="Normal 17 14 2 5" xfId="10880" xr:uid="{00000000-0005-0000-0000-0000842A0000}"/>
    <cellStyle name="Normal 17 14 2 5 2" xfId="22777" xr:uid="{00000000-0005-0000-0000-0000FD580000}"/>
    <cellStyle name="Normal 17 14 2 6" xfId="20198" xr:uid="{00000000-0005-0000-0000-0000EA4E0000}"/>
    <cellStyle name="Normal 17 14 2 7" xfId="7992" xr:uid="{00000000-0005-0000-0000-00003C1F0000}"/>
    <cellStyle name="Normal 17 14 3" xfId="3323" xr:uid="{00000000-0005-0000-0000-0000FF0C0000}"/>
    <cellStyle name="Normal 17 14 3 2" xfId="4365" xr:uid="{00000000-0005-0000-0000-000011110000}"/>
    <cellStyle name="Normal 17 14 3 2 2" xfId="18292" xr:uid="{00000000-0005-0000-0000-000078470000}"/>
    <cellStyle name="Normal 17 14 3 2 2 2" xfId="24804" xr:uid="{00000000-0005-0000-0000-0000E8600000}"/>
    <cellStyle name="Normal 17 14 3 2 3" xfId="21969" xr:uid="{00000000-0005-0000-0000-0000D5550000}"/>
    <cellStyle name="Normal 17 14 3 2 4" xfId="10064" xr:uid="{00000000-0005-0000-0000-000054270000}"/>
    <cellStyle name="Normal 17 14 3 3" xfId="16883" xr:uid="{00000000-0005-0000-0000-0000F7410000}"/>
    <cellStyle name="Normal 17 14 3 3 2" xfId="23540" xr:uid="{00000000-0005-0000-0000-0000F85B0000}"/>
    <cellStyle name="Normal 17 14 3 4" xfId="20407" xr:uid="{00000000-0005-0000-0000-0000BB4F0000}"/>
    <cellStyle name="Normal 17 14 3 5" xfId="8202" xr:uid="{00000000-0005-0000-0000-00000E200000}"/>
    <cellStyle name="Normal 17 14 4" xfId="3945" xr:uid="{00000000-0005-0000-0000-00006D0F0000}"/>
    <cellStyle name="Normal 17 14 4 2" xfId="10464" xr:uid="{00000000-0005-0000-0000-0000E4280000}"/>
    <cellStyle name="Normal 17 14 4 2 2" xfId="18692" xr:uid="{00000000-0005-0000-0000-000008490000}"/>
    <cellStyle name="Normal 17 14 4 2 2 2" xfId="25204" xr:uid="{00000000-0005-0000-0000-000078620000}"/>
    <cellStyle name="Normal 17 14 4 2 3" xfId="22369" xr:uid="{00000000-0005-0000-0000-000065570000}"/>
    <cellStyle name="Normal 17 14 4 3" xfId="17371" xr:uid="{00000000-0005-0000-0000-0000DF430000}"/>
    <cellStyle name="Normal 17 14 4 3 2" xfId="23948" xr:uid="{00000000-0005-0000-0000-0000905D0000}"/>
    <cellStyle name="Normal 17 14 4 4" xfId="21113" xr:uid="{00000000-0005-0000-0000-00007D520000}"/>
    <cellStyle name="Normal 17 14 4 5" xfId="9121" xr:uid="{00000000-0005-0000-0000-0000A5230000}"/>
    <cellStyle name="Normal 17 14 5" xfId="9646" xr:uid="{00000000-0005-0000-0000-0000B2250000}"/>
    <cellStyle name="Normal 17 14 5 2" xfId="17874" xr:uid="{00000000-0005-0000-0000-0000D6450000}"/>
    <cellStyle name="Normal 17 14 5 2 2" xfId="24386" xr:uid="{00000000-0005-0000-0000-0000465F0000}"/>
    <cellStyle name="Normal 17 14 5 3" xfId="21551" xr:uid="{00000000-0005-0000-0000-000033540000}"/>
    <cellStyle name="Normal 17 14 6" xfId="10879" xr:uid="{00000000-0005-0000-0000-0000832A0000}"/>
    <cellStyle name="Normal 17 14 6 2" xfId="22776" xr:uid="{00000000-0005-0000-0000-0000FC580000}"/>
    <cellStyle name="Normal 17 14 7" xfId="19989" xr:uid="{00000000-0005-0000-0000-0000194E0000}"/>
    <cellStyle name="Normal 17 14 8" xfId="7750" xr:uid="{00000000-0005-0000-0000-00004A1E0000}"/>
    <cellStyle name="Normal 17 15" xfId="2976" xr:uid="{00000000-0005-0000-0000-0000A40B0000}"/>
    <cellStyle name="Normal 17 15 2" xfId="4050" xr:uid="{00000000-0005-0000-0000-0000D60F0000}"/>
    <cellStyle name="Normal 17 15 2 2" xfId="22775" xr:uid="{00000000-0005-0000-0000-0000FB580000}"/>
    <cellStyle name="Normal 17 15 3" xfId="10878" xr:uid="{00000000-0005-0000-0000-0000822A0000}"/>
    <cellStyle name="Normal 17 16" xfId="3202" xr:uid="{00000000-0005-0000-0000-0000860C0000}"/>
    <cellStyle name="Normal 17 16 2" xfId="4260" xr:uid="{00000000-0005-0000-0000-0000A8100000}"/>
    <cellStyle name="Normal 17 17" xfId="3653" xr:uid="{00000000-0005-0000-0000-0000490E0000}"/>
    <cellStyle name="Normal 17 2" xfId="1045" xr:uid="{00000000-0005-0000-0000-000019040000}"/>
    <cellStyle name="Normal 17 2 2" xfId="2190" xr:uid="{00000000-0005-0000-0000-000092080000}"/>
    <cellStyle name="Normal 17 2 3" xfId="9123" xr:uid="{00000000-0005-0000-0000-0000A7230000}"/>
    <cellStyle name="Normal 17 2 4" xfId="6250" xr:uid="{00000000-0005-0000-0000-00006E180000}"/>
    <cellStyle name="Normal 17 3" xfId="1046" xr:uid="{00000000-0005-0000-0000-00001A040000}"/>
    <cellStyle name="Normal 17 3 2" xfId="2191" xr:uid="{00000000-0005-0000-0000-000093080000}"/>
    <cellStyle name="Normal 17 4" xfId="1047" xr:uid="{00000000-0005-0000-0000-00001B040000}"/>
    <cellStyle name="Normal 17 4 2" xfId="2192" xr:uid="{00000000-0005-0000-0000-000094080000}"/>
    <cellStyle name="Normal 17 5" xfId="1048" xr:uid="{00000000-0005-0000-0000-00001C040000}"/>
    <cellStyle name="Normal 17 5 2" xfId="2193" xr:uid="{00000000-0005-0000-0000-000095080000}"/>
    <cellStyle name="Normal 17 6" xfId="1049" xr:uid="{00000000-0005-0000-0000-00001D040000}"/>
    <cellStyle name="Normal 17 6 2" xfId="2194" xr:uid="{00000000-0005-0000-0000-000096080000}"/>
    <cellStyle name="Normal 17 7" xfId="1050" xr:uid="{00000000-0005-0000-0000-00001E040000}"/>
    <cellStyle name="Normal 17 7 2" xfId="2195" xr:uid="{00000000-0005-0000-0000-000097080000}"/>
    <cellStyle name="Normal 17 8" xfId="1051" xr:uid="{00000000-0005-0000-0000-00001F040000}"/>
    <cellStyle name="Normal 17 8 2" xfId="2196" xr:uid="{00000000-0005-0000-0000-000098080000}"/>
    <cellStyle name="Normal 17 9" xfId="1052" xr:uid="{00000000-0005-0000-0000-000020040000}"/>
    <cellStyle name="Normal 17 9 2" xfId="2197" xr:uid="{00000000-0005-0000-0000-000099080000}"/>
    <cellStyle name="Normal 18" xfId="1053" xr:uid="{00000000-0005-0000-0000-000021040000}"/>
    <cellStyle name="Normal 18 2" xfId="2198" xr:uid="{00000000-0005-0000-0000-00009A080000}"/>
    <cellStyle name="Normal 18 2 2" xfId="3098" xr:uid="{00000000-0005-0000-0000-00001E0C0000}"/>
    <cellStyle name="Normal 18 2 2 2" xfId="4156" xr:uid="{00000000-0005-0000-0000-000040100000}"/>
    <cellStyle name="Normal 18 2 3" xfId="3324" xr:uid="{00000000-0005-0000-0000-0000000D0000}"/>
    <cellStyle name="Normal 18 2 3 2" xfId="4366" xr:uid="{00000000-0005-0000-0000-000012110000}"/>
    <cellStyle name="Normal 18 2 4" xfId="3946" xr:uid="{00000000-0005-0000-0000-00006E0F0000}"/>
    <cellStyle name="Normal 18 2 5" xfId="6252" xr:uid="{00000000-0005-0000-0000-000070180000}"/>
    <cellStyle name="Normal 18 3" xfId="2977" xr:uid="{00000000-0005-0000-0000-0000A50B0000}"/>
    <cellStyle name="Normal 18 3 2" xfId="4051" xr:uid="{00000000-0005-0000-0000-0000D70F0000}"/>
    <cellStyle name="Normal 18 3 2 2" xfId="8412" xr:uid="{00000000-0005-0000-0000-0000E0200000}"/>
    <cellStyle name="Normal 18 3 2 2 2" xfId="10274" xr:uid="{00000000-0005-0000-0000-000026280000}"/>
    <cellStyle name="Normal 18 3 2 2 2 2" xfId="18502" xr:uid="{00000000-0005-0000-0000-00004A480000}"/>
    <cellStyle name="Normal 18 3 2 2 2 2 2" xfId="25014" xr:uid="{00000000-0005-0000-0000-0000BA610000}"/>
    <cellStyle name="Normal 18 3 2 2 2 3" xfId="22179" xr:uid="{00000000-0005-0000-0000-0000A7560000}"/>
    <cellStyle name="Normal 18 3 2 2 3" xfId="17092" xr:uid="{00000000-0005-0000-0000-0000C8420000}"/>
    <cellStyle name="Normal 18 3 2 2 3 2" xfId="23749" xr:uid="{00000000-0005-0000-0000-0000C95C0000}"/>
    <cellStyle name="Normal 18 3 2 2 4" xfId="20617" xr:uid="{00000000-0005-0000-0000-00008D500000}"/>
    <cellStyle name="Normal 18 3 2 3" xfId="9126" xr:uid="{00000000-0005-0000-0000-0000AA230000}"/>
    <cellStyle name="Normal 18 3 2 3 2" xfId="10467" xr:uid="{00000000-0005-0000-0000-0000E7280000}"/>
    <cellStyle name="Normal 18 3 2 3 2 2" xfId="18695" xr:uid="{00000000-0005-0000-0000-00000B490000}"/>
    <cellStyle name="Normal 18 3 2 3 2 2 2" xfId="25207" xr:uid="{00000000-0005-0000-0000-00007B620000}"/>
    <cellStyle name="Normal 18 3 2 3 2 3" xfId="22372" xr:uid="{00000000-0005-0000-0000-000068570000}"/>
    <cellStyle name="Normal 18 3 2 3 3" xfId="17375" xr:uid="{00000000-0005-0000-0000-0000E3430000}"/>
    <cellStyle name="Normal 18 3 2 3 3 2" xfId="23951" xr:uid="{00000000-0005-0000-0000-0000935D0000}"/>
    <cellStyle name="Normal 18 3 2 3 4" xfId="21116" xr:uid="{00000000-0005-0000-0000-000080520000}"/>
    <cellStyle name="Normal 18 3 2 4" xfId="9856" xr:uid="{00000000-0005-0000-0000-000084260000}"/>
    <cellStyle name="Normal 18 3 2 4 2" xfId="18084" xr:uid="{00000000-0005-0000-0000-0000A8460000}"/>
    <cellStyle name="Normal 18 3 2 4 2 2" xfId="24596" xr:uid="{00000000-0005-0000-0000-000018600000}"/>
    <cellStyle name="Normal 18 3 2 4 3" xfId="21761" xr:uid="{00000000-0005-0000-0000-000005550000}"/>
    <cellStyle name="Normal 18 3 2 5" xfId="10883" xr:uid="{00000000-0005-0000-0000-0000872A0000}"/>
    <cellStyle name="Normal 18 3 2 5 2" xfId="22780" xr:uid="{00000000-0005-0000-0000-000000590000}"/>
    <cellStyle name="Normal 18 3 2 6" xfId="20199" xr:uid="{00000000-0005-0000-0000-0000EB4E0000}"/>
    <cellStyle name="Normal 18 3 2 7" xfId="7993" xr:uid="{00000000-0005-0000-0000-00003D1F0000}"/>
    <cellStyle name="Normal 18 3 3" xfId="8203" xr:uid="{00000000-0005-0000-0000-00000F200000}"/>
    <cellStyle name="Normal 18 3 3 2" xfId="10065" xr:uid="{00000000-0005-0000-0000-000055270000}"/>
    <cellStyle name="Normal 18 3 3 2 2" xfId="18293" xr:uid="{00000000-0005-0000-0000-000079470000}"/>
    <cellStyle name="Normal 18 3 3 2 2 2" xfId="24805" xr:uid="{00000000-0005-0000-0000-0000E9600000}"/>
    <cellStyle name="Normal 18 3 3 2 3" xfId="21970" xr:uid="{00000000-0005-0000-0000-0000D6550000}"/>
    <cellStyle name="Normal 18 3 3 3" xfId="16884" xr:uid="{00000000-0005-0000-0000-0000F8410000}"/>
    <cellStyle name="Normal 18 3 3 3 2" xfId="23541" xr:uid="{00000000-0005-0000-0000-0000F95B0000}"/>
    <cellStyle name="Normal 18 3 3 4" xfId="20408" xr:uid="{00000000-0005-0000-0000-0000BC4F0000}"/>
    <cellStyle name="Normal 18 3 4" xfId="9125" xr:uid="{00000000-0005-0000-0000-0000A9230000}"/>
    <cellStyle name="Normal 18 3 4 2" xfId="10466" xr:uid="{00000000-0005-0000-0000-0000E6280000}"/>
    <cellStyle name="Normal 18 3 4 2 2" xfId="18694" xr:uid="{00000000-0005-0000-0000-00000A490000}"/>
    <cellStyle name="Normal 18 3 4 2 2 2" xfId="25206" xr:uid="{00000000-0005-0000-0000-00007A620000}"/>
    <cellStyle name="Normal 18 3 4 2 3" xfId="22371" xr:uid="{00000000-0005-0000-0000-000067570000}"/>
    <cellStyle name="Normal 18 3 4 3" xfId="17374" xr:uid="{00000000-0005-0000-0000-0000E2430000}"/>
    <cellStyle name="Normal 18 3 4 3 2" xfId="23950" xr:uid="{00000000-0005-0000-0000-0000925D0000}"/>
    <cellStyle name="Normal 18 3 4 4" xfId="21115" xr:uid="{00000000-0005-0000-0000-00007F520000}"/>
    <cellStyle name="Normal 18 3 5" xfId="9647" xr:uid="{00000000-0005-0000-0000-0000B3250000}"/>
    <cellStyle name="Normal 18 3 5 2" xfId="17875" xr:uid="{00000000-0005-0000-0000-0000D7450000}"/>
    <cellStyle name="Normal 18 3 5 2 2" xfId="24387" xr:uid="{00000000-0005-0000-0000-0000475F0000}"/>
    <cellStyle name="Normal 18 3 5 3" xfId="21552" xr:uid="{00000000-0005-0000-0000-000034540000}"/>
    <cellStyle name="Normal 18 3 6" xfId="10882" xr:uid="{00000000-0005-0000-0000-0000862A0000}"/>
    <cellStyle name="Normal 18 3 6 2" xfId="22779" xr:uid="{00000000-0005-0000-0000-0000FF580000}"/>
    <cellStyle name="Normal 18 3 7" xfId="19990" xr:uid="{00000000-0005-0000-0000-00001A4E0000}"/>
    <cellStyle name="Normal 18 3 8" xfId="7751" xr:uid="{00000000-0005-0000-0000-00004B1E0000}"/>
    <cellStyle name="Normal 18 4" xfId="3203" xr:uid="{00000000-0005-0000-0000-0000870C0000}"/>
    <cellStyle name="Normal 18 4 2" xfId="4261" xr:uid="{00000000-0005-0000-0000-0000A9100000}"/>
    <cellStyle name="Normal 18 4 3" xfId="9124" xr:uid="{00000000-0005-0000-0000-0000A8230000}"/>
    <cellStyle name="Normal 18 5" xfId="3654" xr:uid="{00000000-0005-0000-0000-00004A0E0000}"/>
    <cellStyle name="Normal 18 5 2" xfId="22778" xr:uid="{00000000-0005-0000-0000-0000FE580000}"/>
    <cellStyle name="Normal 18 5 3" xfId="10881" xr:uid="{00000000-0005-0000-0000-0000852A0000}"/>
    <cellStyle name="Normal 18 6" xfId="6251" xr:uid="{00000000-0005-0000-0000-00006F180000}"/>
    <cellStyle name="Normal 19" xfId="6253" xr:uid="{00000000-0005-0000-0000-000071180000}"/>
    <cellStyle name="Normal 19 2" xfId="12733" xr:uid="{00000000-0005-0000-0000-0000C1310000}"/>
    <cellStyle name="Normal 2" xfId="23" xr:uid="{00000000-0005-0000-0000-00001B000000}"/>
    <cellStyle name="Normal 2 10" xfId="1055" xr:uid="{00000000-0005-0000-0000-000023040000}"/>
    <cellStyle name="Normal 2 10 2" xfId="2200" xr:uid="{00000000-0005-0000-0000-00009C080000}"/>
    <cellStyle name="Normal 2 10 3" xfId="7896" xr:uid="{00000000-0005-0000-0000-0000DC1E0000}"/>
    <cellStyle name="Normal 2 10 3 2" xfId="8318" xr:uid="{00000000-0005-0000-0000-000082200000}"/>
    <cellStyle name="Normal 2 10 3 2 2" xfId="10180" xr:uid="{00000000-0005-0000-0000-0000C8270000}"/>
    <cellStyle name="Normal 2 10 3 2 2 2" xfId="18408" xr:uid="{00000000-0005-0000-0000-0000EC470000}"/>
    <cellStyle name="Normal 2 10 3 2 2 2 2" xfId="24920" xr:uid="{00000000-0005-0000-0000-00005C610000}"/>
    <cellStyle name="Normal 2 10 3 2 2 3" xfId="22085" xr:uid="{00000000-0005-0000-0000-000049560000}"/>
    <cellStyle name="Normal 2 10 3 2 3" xfId="16998" xr:uid="{00000000-0005-0000-0000-00006A420000}"/>
    <cellStyle name="Normal 2 10 3 2 3 2" xfId="23655" xr:uid="{00000000-0005-0000-0000-00006B5C0000}"/>
    <cellStyle name="Normal 2 10 3 2 4" xfId="20523" xr:uid="{00000000-0005-0000-0000-00002F500000}"/>
    <cellStyle name="Normal 2 10 3 3" xfId="9128" xr:uid="{00000000-0005-0000-0000-0000AC230000}"/>
    <cellStyle name="Normal 2 10 3 3 2" xfId="10469" xr:uid="{00000000-0005-0000-0000-0000E9280000}"/>
    <cellStyle name="Normal 2 10 3 3 2 2" xfId="18697" xr:uid="{00000000-0005-0000-0000-00000D490000}"/>
    <cellStyle name="Normal 2 10 3 3 2 2 2" xfId="25209" xr:uid="{00000000-0005-0000-0000-00007D620000}"/>
    <cellStyle name="Normal 2 10 3 3 2 3" xfId="22374" xr:uid="{00000000-0005-0000-0000-00006A570000}"/>
    <cellStyle name="Normal 2 10 3 3 3" xfId="17377" xr:uid="{00000000-0005-0000-0000-0000E5430000}"/>
    <cellStyle name="Normal 2 10 3 3 3 2" xfId="23953" xr:uid="{00000000-0005-0000-0000-0000955D0000}"/>
    <cellStyle name="Normal 2 10 3 3 4" xfId="21118" xr:uid="{00000000-0005-0000-0000-000082520000}"/>
    <cellStyle name="Normal 2 10 3 4" xfId="9762" xr:uid="{00000000-0005-0000-0000-000026260000}"/>
    <cellStyle name="Normal 2 10 3 4 2" xfId="17990" xr:uid="{00000000-0005-0000-0000-00004A460000}"/>
    <cellStyle name="Normal 2 10 3 4 2 2" xfId="24502" xr:uid="{00000000-0005-0000-0000-0000BA5F0000}"/>
    <cellStyle name="Normal 2 10 3 4 3" xfId="21667" xr:uid="{00000000-0005-0000-0000-0000A7540000}"/>
    <cellStyle name="Normal 2 10 3 5" xfId="10884" xr:uid="{00000000-0005-0000-0000-0000882A0000}"/>
    <cellStyle name="Normal 2 10 3 5 2" xfId="22781" xr:uid="{00000000-0005-0000-0000-000001590000}"/>
    <cellStyle name="Normal 2 10 3 6" xfId="20105" xr:uid="{00000000-0005-0000-0000-00008D4E0000}"/>
    <cellStyle name="Normal 2 10 4" xfId="8109" xr:uid="{00000000-0005-0000-0000-0000B11F0000}"/>
    <cellStyle name="Normal 2 10 4 2" xfId="9127" xr:uid="{00000000-0005-0000-0000-0000AB230000}"/>
    <cellStyle name="Normal 2 10 4 2 2" xfId="10468" xr:uid="{00000000-0005-0000-0000-0000E8280000}"/>
    <cellStyle name="Normal 2 10 4 2 2 2" xfId="18696" xr:uid="{00000000-0005-0000-0000-00000C490000}"/>
    <cellStyle name="Normal 2 10 4 2 2 2 2" xfId="25208" xr:uid="{00000000-0005-0000-0000-00007C620000}"/>
    <cellStyle name="Normal 2 10 4 2 2 3" xfId="22373" xr:uid="{00000000-0005-0000-0000-000069570000}"/>
    <cellStyle name="Normal 2 10 4 2 3" xfId="17376" xr:uid="{00000000-0005-0000-0000-0000E4430000}"/>
    <cellStyle name="Normal 2 10 4 2 3 2" xfId="23952" xr:uid="{00000000-0005-0000-0000-0000945D0000}"/>
    <cellStyle name="Normal 2 10 4 2 4" xfId="21117" xr:uid="{00000000-0005-0000-0000-000081520000}"/>
    <cellStyle name="Normal 2 10 4 3" xfId="9971" xr:uid="{00000000-0005-0000-0000-0000F7260000}"/>
    <cellStyle name="Normal 2 10 4 3 2" xfId="18199" xr:uid="{00000000-0005-0000-0000-00001B470000}"/>
    <cellStyle name="Normal 2 10 4 3 2 2" xfId="24711" xr:uid="{00000000-0005-0000-0000-00008B600000}"/>
    <cellStyle name="Normal 2 10 4 3 3" xfId="21876" xr:uid="{00000000-0005-0000-0000-000078550000}"/>
    <cellStyle name="Normal 2 10 4 4" xfId="10885" xr:uid="{00000000-0005-0000-0000-0000892A0000}"/>
    <cellStyle name="Normal 2 10 4 4 2" xfId="22782" xr:uid="{00000000-0005-0000-0000-000002590000}"/>
    <cellStyle name="Normal 2 10 4 5" xfId="20314" xr:uid="{00000000-0005-0000-0000-00005E4F0000}"/>
    <cellStyle name="Normal 2 10 5" xfId="9553" xr:uid="{00000000-0005-0000-0000-000055250000}"/>
    <cellStyle name="Normal 2 10 5 2" xfId="17781" xr:uid="{00000000-0005-0000-0000-000079450000}"/>
    <cellStyle name="Normal 2 10 5 2 2" xfId="24293" xr:uid="{00000000-0005-0000-0000-0000E95E0000}"/>
    <cellStyle name="Normal 2 10 5 3" xfId="21458" xr:uid="{00000000-0005-0000-0000-0000D6530000}"/>
    <cellStyle name="Normal 2 10 6" xfId="19619" xr:uid="{00000000-0005-0000-0000-0000A74C0000}"/>
    <cellStyle name="Normal 2 10 7" xfId="4539" xr:uid="{00000000-0005-0000-0000-0000BF110000}"/>
    <cellStyle name="Normal 2 11" xfId="1056" xr:uid="{00000000-0005-0000-0000-000024040000}"/>
    <cellStyle name="Normal 2 11 2" xfId="2201" xr:uid="{00000000-0005-0000-0000-00009D080000}"/>
    <cellStyle name="Normal 2 12" xfId="1057" xr:uid="{00000000-0005-0000-0000-000025040000}"/>
    <cellStyle name="Normal 2 12 2" xfId="2202" xr:uid="{00000000-0005-0000-0000-00009E080000}"/>
    <cellStyle name="Normal 2 13" xfId="1058" xr:uid="{00000000-0005-0000-0000-000026040000}"/>
    <cellStyle name="Normal 2 13 2" xfId="2203" xr:uid="{00000000-0005-0000-0000-00009F080000}"/>
    <cellStyle name="Normal 2 14" xfId="1059" xr:uid="{00000000-0005-0000-0000-000027040000}"/>
    <cellStyle name="Normal 2 14 2" xfId="2204" xr:uid="{00000000-0005-0000-0000-0000A0080000}"/>
    <cellStyle name="Normal 2 15" xfId="1060" xr:uid="{00000000-0005-0000-0000-000028040000}"/>
    <cellStyle name="Normal 2 15 2" xfId="2205" xr:uid="{00000000-0005-0000-0000-0000A1080000}"/>
    <cellStyle name="Normal 2 16" xfId="1061" xr:uid="{00000000-0005-0000-0000-000029040000}"/>
    <cellStyle name="Normal 2 16 2" xfId="2206" xr:uid="{00000000-0005-0000-0000-0000A2080000}"/>
    <cellStyle name="Normal 2 17" xfId="1062" xr:uid="{00000000-0005-0000-0000-00002A040000}"/>
    <cellStyle name="Normal 2 17 2" xfId="2207" xr:uid="{00000000-0005-0000-0000-0000A3080000}"/>
    <cellStyle name="Normal 2 18" xfId="2199" xr:uid="{00000000-0005-0000-0000-00009B080000}"/>
    <cellStyle name="Normal 2 18 2" xfId="3099" xr:uid="{00000000-0005-0000-0000-00001F0C0000}"/>
    <cellStyle name="Normal 2 18 2 2" xfId="4157" xr:uid="{00000000-0005-0000-0000-000041100000}"/>
    <cellStyle name="Normal 2 18 2 2 2" xfId="8413" xr:uid="{00000000-0005-0000-0000-0000E1200000}"/>
    <cellStyle name="Normal 2 18 2 2 2 2" xfId="10275" xr:uid="{00000000-0005-0000-0000-000027280000}"/>
    <cellStyle name="Normal 2 18 2 2 2 2 2" xfId="18503" xr:uid="{00000000-0005-0000-0000-00004B480000}"/>
    <cellStyle name="Normal 2 18 2 2 2 2 2 2" xfId="25015" xr:uid="{00000000-0005-0000-0000-0000BB610000}"/>
    <cellStyle name="Normal 2 18 2 2 2 2 3" xfId="22180" xr:uid="{00000000-0005-0000-0000-0000A8560000}"/>
    <cellStyle name="Normal 2 18 2 2 2 3" xfId="17093" xr:uid="{00000000-0005-0000-0000-0000C9420000}"/>
    <cellStyle name="Normal 2 18 2 2 2 3 2" xfId="23750" xr:uid="{00000000-0005-0000-0000-0000CA5C0000}"/>
    <cellStyle name="Normal 2 18 2 2 2 4" xfId="20618" xr:uid="{00000000-0005-0000-0000-00008E500000}"/>
    <cellStyle name="Normal 2 18 2 2 3" xfId="9130" xr:uid="{00000000-0005-0000-0000-0000AE230000}"/>
    <cellStyle name="Normal 2 18 2 2 3 2" xfId="10471" xr:uid="{00000000-0005-0000-0000-0000EB280000}"/>
    <cellStyle name="Normal 2 18 2 2 3 2 2" xfId="18699" xr:uid="{00000000-0005-0000-0000-00000F490000}"/>
    <cellStyle name="Normal 2 18 2 2 3 2 2 2" xfId="25211" xr:uid="{00000000-0005-0000-0000-00007F620000}"/>
    <cellStyle name="Normal 2 18 2 2 3 2 3" xfId="22376" xr:uid="{00000000-0005-0000-0000-00006C570000}"/>
    <cellStyle name="Normal 2 18 2 2 3 3" xfId="17379" xr:uid="{00000000-0005-0000-0000-0000E7430000}"/>
    <cellStyle name="Normal 2 18 2 2 3 3 2" xfId="23955" xr:uid="{00000000-0005-0000-0000-0000975D0000}"/>
    <cellStyle name="Normal 2 18 2 2 3 4" xfId="21120" xr:uid="{00000000-0005-0000-0000-000084520000}"/>
    <cellStyle name="Normal 2 18 2 2 4" xfId="9857" xr:uid="{00000000-0005-0000-0000-000085260000}"/>
    <cellStyle name="Normal 2 18 2 2 4 2" xfId="18085" xr:uid="{00000000-0005-0000-0000-0000A9460000}"/>
    <cellStyle name="Normal 2 18 2 2 4 2 2" xfId="24597" xr:uid="{00000000-0005-0000-0000-000019600000}"/>
    <cellStyle name="Normal 2 18 2 2 4 3" xfId="21762" xr:uid="{00000000-0005-0000-0000-000006550000}"/>
    <cellStyle name="Normal 2 18 2 2 5" xfId="10888" xr:uid="{00000000-0005-0000-0000-00008C2A0000}"/>
    <cellStyle name="Normal 2 18 2 2 5 2" xfId="22785" xr:uid="{00000000-0005-0000-0000-000005590000}"/>
    <cellStyle name="Normal 2 18 2 2 6" xfId="20200" xr:uid="{00000000-0005-0000-0000-0000EC4E0000}"/>
    <cellStyle name="Normal 2 18 2 2 7" xfId="7994" xr:uid="{00000000-0005-0000-0000-00003E1F0000}"/>
    <cellStyle name="Normal 2 18 2 3" xfId="8204" xr:uid="{00000000-0005-0000-0000-000010200000}"/>
    <cellStyle name="Normal 2 18 2 3 2" xfId="10066" xr:uid="{00000000-0005-0000-0000-000056270000}"/>
    <cellStyle name="Normal 2 18 2 3 2 2" xfId="18294" xr:uid="{00000000-0005-0000-0000-00007A470000}"/>
    <cellStyle name="Normal 2 18 2 3 2 2 2" xfId="24806" xr:uid="{00000000-0005-0000-0000-0000EA600000}"/>
    <cellStyle name="Normal 2 18 2 3 2 3" xfId="21971" xr:uid="{00000000-0005-0000-0000-0000D7550000}"/>
    <cellStyle name="Normal 2 18 2 3 3" xfId="16885" xr:uid="{00000000-0005-0000-0000-0000F9410000}"/>
    <cellStyle name="Normal 2 18 2 3 3 2" xfId="23542" xr:uid="{00000000-0005-0000-0000-0000FA5B0000}"/>
    <cellStyle name="Normal 2 18 2 3 4" xfId="20409" xr:uid="{00000000-0005-0000-0000-0000BD4F0000}"/>
    <cellStyle name="Normal 2 18 2 4" xfId="9129" xr:uid="{00000000-0005-0000-0000-0000AD230000}"/>
    <cellStyle name="Normal 2 18 2 4 2" xfId="10470" xr:uid="{00000000-0005-0000-0000-0000EA280000}"/>
    <cellStyle name="Normal 2 18 2 4 2 2" xfId="18698" xr:uid="{00000000-0005-0000-0000-00000E490000}"/>
    <cellStyle name="Normal 2 18 2 4 2 2 2" xfId="25210" xr:uid="{00000000-0005-0000-0000-00007E620000}"/>
    <cellStyle name="Normal 2 18 2 4 2 3" xfId="22375" xr:uid="{00000000-0005-0000-0000-00006B570000}"/>
    <cellStyle name="Normal 2 18 2 4 3" xfId="17378" xr:uid="{00000000-0005-0000-0000-0000E6430000}"/>
    <cellStyle name="Normal 2 18 2 4 3 2" xfId="23954" xr:uid="{00000000-0005-0000-0000-0000965D0000}"/>
    <cellStyle name="Normal 2 18 2 4 4" xfId="21119" xr:uid="{00000000-0005-0000-0000-000083520000}"/>
    <cellStyle name="Normal 2 18 2 5" xfId="9648" xr:uid="{00000000-0005-0000-0000-0000B4250000}"/>
    <cellStyle name="Normal 2 18 2 5 2" xfId="17876" xr:uid="{00000000-0005-0000-0000-0000D8450000}"/>
    <cellStyle name="Normal 2 18 2 5 2 2" xfId="24388" xr:uid="{00000000-0005-0000-0000-0000485F0000}"/>
    <cellStyle name="Normal 2 18 2 5 3" xfId="21553" xr:uid="{00000000-0005-0000-0000-000035540000}"/>
    <cellStyle name="Normal 2 18 2 6" xfId="10887" xr:uid="{00000000-0005-0000-0000-00008B2A0000}"/>
    <cellStyle name="Normal 2 18 2 6 2" xfId="22784" xr:uid="{00000000-0005-0000-0000-000004590000}"/>
    <cellStyle name="Normal 2 18 2 7" xfId="19991" xr:uid="{00000000-0005-0000-0000-00001B4E0000}"/>
    <cellStyle name="Normal 2 18 2 8" xfId="7752" xr:uid="{00000000-0005-0000-0000-00004C1E0000}"/>
    <cellStyle name="Normal 2 18 3" xfId="3325" xr:uid="{00000000-0005-0000-0000-0000010D0000}"/>
    <cellStyle name="Normal 2 18 3 2" xfId="4367" xr:uid="{00000000-0005-0000-0000-000013110000}"/>
    <cellStyle name="Normal 2 18 3 2 2" xfId="12734" xr:uid="{00000000-0005-0000-0000-0000C2310000}"/>
    <cellStyle name="Normal 2 18 3 3" xfId="10889" xr:uid="{00000000-0005-0000-0000-00008D2A0000}"/>
    <cellStyle name="Normal 2 18 4" xfId="3947" xr:uid="{00000000-0005-0000-0000-00006F0F0000}"/>
    <cellStyle name="Normal 2 18 4 2" xfId="22783" xr:uid="{00000000-0005-0000-0000-000003590000}"/>
    <cellStyle name="Normal 2 18 4 3" xfId="10886" xr:uid="{00000000-0005-0000-0000-00008A2A0000}"/>
    <cellStyle name="Normal 2 18 5" xfId="6255" xr:uid="{00000000-0005-0000-0000-000073180000}"/>
    <cellStyle name="Normal 2 19" xfId="1054" xr:uid="{00000000-0005-0000-0000-000022040000}"/>
    <cellStyle name="Normal 2 19 2" xfId="3655" xr:uid="{00000000-0005-0000-0000-00004B0E0000}"/>
    <cellStyle name="Normal 2 19 2 2" xfId="12735" xr:uid="{00000000-0005-0000-0000-0000C3310000}"/>
    <cellStyle name="Normal 2 19 3" xfId="6256" xr:uid="{00000000-0005-0000-0000-000074180000}"/>
    <cellStyle name="Normal 2 2" xfId="113" xr:uid="{00000000-0005-0000-0000-000075000000}"/>
    <cellStyle name="Normal 2 2 10" xfId="1064" xr:uid="{00000000-0005-0000-0000-00002C040000}"/>
    <cellStyle name="Normal 2 2 10 2" xfId="2209" xr:uid="{00000000-0005-0000-0000-0000A5080000}"/>
    <cellStyle name="Normal 2 2 10 2 2" xfId="3100" xr:uid="{00000000-0005-0000-0000-0000200C0000}"/>
    <cellStyle name="Normal 2 2 10 2 2 2" xfId="4158" xr:uid="{00000000-0005-0000-0000-000042100000}"/>
    <cellStyle name="Normal 2 2 10 2 2 2 2" xfId="18505" xr:uid="{00000000-0005-0000-0000-00004D480000}"/>
    <cellStyle name="Normal 2 2 10 2 2 2 2 2" xfId="25017" xr:uid="{00000000-0005-0000-0000-0000BD610000}"/>
    <cellStyle name="Normal 2 2 10 2 2 2 3" xfId="22182" xr:uid="{00000000-0005-0000-0000-0000AA560000}"/>
    <cellStyle name="Normal 2 2 10 2 2 2 4" xfId="10277" xr:uid="{00000000-0005-0000-0000-000029280000}"/>
    <cellStyle name="Normal 2 2 10 2 2 3" xfId="17095" xr:uid="{00000000-0005-0000-0000-0000CB420000}"/>
    <cellStyle name="Normal 2 2 10 2 2 3 2" xfId="23752" xr:uid="{00000000-0005-0000-0000-0000CC5C0000}"/>
    <cellStyle name="Normal 2 2 10 2 2 4" xfId="20620" xr:uid="{00000000-0005-0000-0000-000090500000}"/>
    <cellStyle name="Normal 2 2 10 2 2 5" xfId="8415" xr:uid="{00000000-0005-0000-0000-0000E3200000}"/>
    <cellStyle name="Normal 2 2 10 2 3" xfId="3326" xr:uid="{00000000-0005-0000-0000-0000020D0000}"/>
    <cellStyle name="Normal 2 2 10 2 3 2" xfId="4368" xr:uid="{00000000-0005-0000-0000-000014110000}"/>
    <cellStyle name="Normal 2 2 10 2 3 2 2" xfId="18701" xr:uid="{00000000-0005-0000-0000-000011490000}"/>
    <cellStyle name="Normal 2 2 10 2 3 2 2 2" xfId="25213" xr:uid="{00000000-0005-0000-0000-000081620000}"/>
    <cellStyle name="Normal 2 2 10 2 3 2 3" xfId="22378" xr:uid="{00000000-0005-0000-0000-00006E570000}"/>
    <cellStyle name="Normal 2 2 10 2 3 2 4" xfId="10473" xr:uid="{00000000-0005-0000-0000-0000ED280000}"/>
    <cellStyle name="Normal 2 2 10 2 3 3" xfId="17381" xr:uid="{00000000-0005-0000-0000-0000E9430000}"/>
    <cellStyle name="Normal 2 2 10 2 3 3 2" xfId="23957" xr:uid="{00000000-0005-0000-0000-0000995D0000}"/>
    <cellStyle name="Normal 2 2 10 2 3 4" xfId="21122" xr:uid="{00000000-0005-0000-0000-000086520000}"/>
    <cellStyle name="Normal 2 2 10 2 3 5" xfId="9132" xr:uid="{00000000-0005-0000-0000-0000B0230000}"/>
    <cellStyle name="Normal 2 2 10 2 4" xfId="3948" xr:uid="{00000000-0005-0000-0000-0000700F0000}"/>
    <cellStyle name="Normal 2 2 10 2 4 2" xfId="18087" xr:uid="{00000000-0005-0000-0000-0000AB460000}"/>
    <cellStyle name="Normal 2 2 10 2 4 2 2" xfId="24599" xr:uid="{00000000-0005-0000-0000-00001B600000}"/>
    <cellStyle name="Normal 2 2 10 2 4 3" xfId="21764" xr:uid="{00000000-0005-0000-0000-000008550000}"/>
    <cellStyle name="Normal 2 2 10 2 4 4" xfId="9859" xr:uid="{00000000-0005-0000-0000-000087260000}"/>
    <cellStyle name="Normal 2 2 10 2 5" xfId="10892" xr:uid="{00000000-0005-0000-0000-0000902A0000}"/>
    <cellStyle name="Normal 2 2 10 2 5 2" xfId="22788" xr:uid="{00000000-0005-0000-0000-000008590000}"/>
    <cellStyle name="Normal 2 2 10 2 6" xfId="20202" xr:uid="{00000000-0005-0000-0000-0000EE4E0000}"/>
    <cellStyle name="Normal 2 2 10 2 7" xfId="7996" xr:uid="{00000000-0005-0000-0000-0000401F0000}"/>
    <cellStyle name="Normal 2 2 10 3" xfId="2979" xr:uid="{00000000-0005-0000-0000-0000A70B0000}"/>
    <cellStyle name="Normal 2 2 10 3 2" xfId="4053" xr:uid="{00000000-0005-0000-0000-0000D90F0000}"/>
    <cellStyle name="Normal 2 2 10 3 2 2" xfId="10472" xr:uid="{00000000-0005-0000-0000-0000EC280000}"/>
    <cellStyle name="Normal 2 2 10 3 2 2 2" xfId="18700" xr:uid="{00000000-0005-0000-0000-000010490000}"/>
    <cellStyle name="Normal 2 2 10 3 2 2 2 2" xfId="25212" xr:uid="{00000000-0005-0000-0000-000080620000}"/>
    <cellStyle name="Normal 2 2 10 3 2 2 3" xfId="22377" xr:uid="{00000000-0005-0000-0000-00006D570000}"/>
    <cellStyle name="Normal 2 2 10 3 2 3" xfId="17380" xr:uid="{00000000-0005-0000-0000-0000E8430000}"/>
    <cellStyle name="Normal 2 2 10 3 2 3 2" xfId="23956" xr:uid="{00000000-0005-0000-0000-0000985D0000}"/>
    <cellStyle name="Normal 2 2 10 3 2 4" xfId="21121" xr:uid="{00000000-0005-0000-0000-000085520000}"/>
    <cellStyle name="Normal 2 2 10 3 2 5" xfId="9131" xr:uid="{00000000-0005-0000-0000-0000AF230000}"/>
    <cellStyle name="Normal 2 2 10 3 3" xfId="10068" xr:uid="{00000000-0005-0000-0000-000058270000}"/>
    <cellStyle name="Normal 2 2 10 3 3 2" xfId="18296" xr:uid="{00000000-0005-0000-0000-00007C470000}"/>
    <cellStyle name="Normal 2 2 10 3 3 2 2" xfId="24808" xr:uid="{00000000-0005-0000-0000-0000EC600000}"/>
    <cellStyle name="Normal 2 2 10 3 3 3" xfId="21973" xr:uid="{00000000-0005-0000-0000-0000D9550000}"/>
    <cellStyle name="Normal 2 2 10 3 4" xfId="16887" xr:uid="{00000000-0005-0000-0000-0000FB410000}"/>
    <cellStyle name="Normal 2 2 10 3 4 2" xfId="23544" xr:uid="{00000000-0005-0000-0000-0000FC5B0000}"/>
    <cellStyle name="Normal 2 2 10 3 5" xfId="20411" xr:uid="{00000000-0005-0000-0000-0000BF4F0000}"/>
    <cellStyle name="Normal 2 2 10 3 6" xfId="8206" xr:uid="{00000000-0005-0000-0000-000012200000}"/>
    <cellStyle name="Normal 2 2 10 4" xfId="3205" xr:uid="{00000000-0005-0000-0000-0000890C0000}"/>
    <cellStyle name="Normal 2 2 10 4 2" xfId="4263" xr:uid="{00000000-0005-0000-0000-0000AB100000}"/>
    <cellStyle name="Normal 2 2 10 4 3" xfId="8733" xr:uid="{00000000-0005-0000-0000-000021220000}"/>
    <cellStyle name="Normal 2 2 10 5" xfId="3656" xr:uid="{00000000-0005-0000-0000-00004C0E0000}"/>
    <cellStyle name="Normal 2 2 10 5 2" xfId="17878" xr:uid="{00000000-0005-0000-0000-0000DA450000}"/>
    <cellStyle name="Normal 2 2 10 5 2 2" xfId="24390" xr:uid="{00000000-0005-0000-0000-00004A5F0000}"/>
    <cellStyle name="Normal 2 2 10 5 3" xfId="21555" xr:uid="{00000000-0005-0000-0000-000037540000}"/>
    <cellStyle name="Normal 2 2 10 5 4" xfId="9650" xr:uid="{00000000-0005-0000-0000-0000B6250000}"/>
    <cellStyle name="Normal 2 2 10 6" xfId="10891" xr:uid="{00000000-0005-0000-0000-00008F2A0000}"/>
    <cellStyle name="Normal 2 2 10 6 2" xfId="22787" xr:uid="{00000000-0005-0000-0000-000007590000}"/>
    <cellStyle name="Normal 2 2 10 7" xfId="19993" xr:uid="{00000000-0005-0000-0000-00001D4E0000}"/>
    <cellStyle name="Normal 2 2 10 8" xfId="7754" xr:uid="{00000000-0005-0000-0000-00004E1E0000}"/>
    <cellStyle name="Normal 2 2 11" xfId="1065" xr:uid="{00000000-0005-0000-0000-00002D040000}"/>
    <cellStyle name="Normal 2 2 11 2" xfId="2210" xr:uid="{00000000-0005-0000-0000-0000A6080000}"/>
    <cellStyle name="Normal 2 2 11 2 2" xfId="3101" xr:uid="{00000000-0005-0000-0000-0000210C0000}"/>
    <cellStyle name="Normal 2 2 11 2 2 2" xfId="4159" xr:uid="{00000000-0005-0000-0000-000043100000}"/>
    <cellStyle name="Normal 2 2 11 2 2 2 2" xfId="18506" xr:uid="{00000000-0005-0000-0000-00004E480000}"/>
    <cellStyle name="Normal 2 2 11 2 2 2 2 2" xfId="25018" xr:uid="{00000000-0005-0000-0000-0000BE610000}"/>
    <cellStyle name="Normal 2 2 11 2 2 2 3" xfId="22183" xr:uid="{00000000-0005-0000-0000-0000AB560000}"/>
    <cellStyle name="Normal 2 2 11 2 2 2 4" xfId="10278" xr:uid="{00000000-0005-0000-0000-00002A280000}"/>
    <cellStyle name="Normal 2 2 11 2 2 3" xfId="17096" xr:uid="{00000000-0005-0000-0000-0000CC420000}"/>
    <cellStyle name="Normal 2 2 11 2 2 3 2" xfId="23753" xr:uid="{00000000-0005-0000-0000-0000CD5C0000}"/>
    <cellStyle name="Normal 2 2 11 2 2 4" xfId="20621" xr:uid="{00000000-0005-0000-0000-000091500000}"/>
    <cellStyle name="Normal 2 2 11 2 2 5" xfId="8416" xr:uid="{00000000-0005-0000-0000-0000E4200000}"/>
    <cellStyle name="Normal 2 2 11 2 3" xfId="3327" xr:uid="{00000000-0005-0000-0000-0000030D0000}"/>
    <cellStyle name="Normal 2 2 11 2 3 2" xfId="4369" xr:uid="{00000000-0005-0000-0000-000015110000}"/>
    <cellStyle name="Normal 2 2 11 2 3 2 2" xfId="18703" xr:uid="{00000000-0005-0000-0000-000013490000}"/>
    <cellStyle name="Normal 2 2 11 2 3 2 2 2" xfId="25215" xr:uid="{00000000-0005-0000-0000-000083620000}"/>
    <cellStyle name="Normal 2 2 11 2 3 2 3" xfId="22380" xr:uid="{00000000-0005-0000-0000-000070570000}"/>
    <cellStyle name="Normal 2 2 11 2 3 2 4" xfId="10475" xr:uid="{00000000-0005-0000-0000-0000EF280000}"/>
    <cellStyle name="Normal 2 2 11 2 3 3" xfId="17383" xr:uid="{00000000-0005-0000-0000-0000EB430000}"/>
    <cellStyle name="Normal 2 2 11 2 3 3 2" xfId="23959" xr:uid="{00000000-0005-0000-0000-00009B5D0000}"/>
    <cellStyle name="Normal 2 2 11 2 3 4" xfId="21124" xr:uid="{00000000-0005-0000-0000-000088520000}"/>
    <cellStyle name="Normal 2 2 11 2 3 5" xfId="9134" xr:uid="{00000000-0005-0000-0000-0000B2230000}"/>
    <cellStyle name="Normal 2 2 11 2 4" xfId="3949" xr:uid="{00000000-0005-0000-0000-0000710F0000}"/>
    <cellStyle name="Normal 2 2 11 2 4 2" xfId="18088" xr:uid="{00000000-0005-0000-0000-0000AC460000}"/>
    <cellStyle name="Normal 2 2 11 2 4 2 2" xfId="24600" xr:uid="{00000000-0005-0000-0000-00001C600000}"/>
    <cellStyle name="Normal 2 2 11 2 4 3" xfId="21765" xr:uid="{00000000-0005-0000-0000-000009550000}"/>
    <cellStyle name="Normal 2 2 11 2 4 4" xfId="9860" xr:uid="{00000000-0005-0000-0000-000088260000}"/>
    <cellStyle name="Normal 2 2 11 2 5" xfId="10894" xr:uid="{00000000-0005-0000-0000-0000922A0000}"/>
    <cellStyle name="Normal 2 2 11 2 5 2" xfId="22790" xr:uid="{00000000-0005-0000-0000-00000A590000}"/>
    <cellStyle name="Normal 2 2 11 2 6" xfId="20203" xr:uid="{00000000-0005-0000-0000-0000EF4E0000}"/>
    <cellStyle name="Normal 2 2 11 2 7" xfId="7997" xr:uid="{00000000-0005-0000-0000-0000411F0000}"/>
    <cellStyle name="Normal 2 2 11 3" xfId="2980" xr:uid="{00000000-0005-0000-0000-0000A80B0000}"/>
    <cellStyle name="Normal 2 2 11 3 2" xfId="4054" xr:uid="{00000000-0005-0000-0000-0000DA0F0000}"/>
    <cellStyle name="Normal 2 2 11 3 2 2" xfId="10474" xr:uid="{00000000-0005-0000-0000-0000EE280000}"/>
    <cellStyle name="Normal 2 2 11 3 2 2 2" xfId="18702" xr:uid="{00000000-0005-0000-0000-000012490000}"/>
    <cellStyle name="Normal 2 2 11 3 2 2 2 2" xfId="25214" xr:uid="{00000000-0005-0000-0000-000082620000}"/>
    <cellStyle name="Normal 2 2 11 3 2 2 3" xfId="22379" xr:uid="{00000000-0005-0000-0000-00006F570000}"/>
    <cellStyle name="Normal 2 2 11 3 2 3" xfId="17382" xr:uid="{00000000-0005-0000-0000-0000EA430000}"/>
    <cellStyle name="Normal 2 2 11 3 2 3 2" xfId="23958" xr:uid="{00000000-0005-0000-0000-00009A5D0000}"/>
    <cellStyle name="Normal 2 2 11 3 2 4" xfId="21123" xr:uid="{00000000-0005-0000-0000-000087520000}"/>
    <cellStyle name="Normal 2 2 11 3 2 5" xfId="9133" xr:uid="{00000000-0005-0000-0000-0000B1230000}"/>
    <cellStyle name="Normal 2 2 11 3 3" xfId="10069" xr:uid="{00000000-0005-0000-0000-000059270000}"/>
    <cellStyle name="Normal 2 2 11 3 3 2" xfId="18297" xr:uid="{00000000-0005-0000-0000-00007D470000}"/>
    <cellStyle name="Normal 2 2 11 3 3 2 2" xfId="24809" xr:uid="{00000000-0005-0000-0000-0000ED600000}"/>
    <cellStyle name="Normal 2 2 11 3 3 3" xfId="21974" xr:uid="{00000000-0005-0000-0000-0000DA550000}"/>
    <cellStyle name="Normal 2 2 11 3 4" xfId="16888" xr:uid="{00000000-0005-0000-0000-0000FC410000}"/>
    <cellStyle name="Normal 2 2 11 3 4 2" xfId="23545" xr:uid="{00000000-0005-0000-0000-0000FD5B0000}"/>
    <cellStyle name="Normal 2 2 11 3 5" xfId="20412" xr:uid="{00000000-0005-0000-0000-0000C04F0000}"/>
    <cellStyle name="Normal 2 2 11 3 6" xfId="8207" xr:uid="{00000000-0005-0000-0000-000013200000}"/>
    <cellStyle name="Normal 2 2 11 4" xfId="3206" xr:uid="{00000000-0005-0000-0000-00008A0C0000}"/>
    <cellStyle name="Normal 2 2 11 4 2" xfId="4264" xr:uid="{00000000-0005-0000-0000-0000AC100000}"/>
    <cellStyle name="Normal 2 2 11 4 3" xfId="8734" xr:uid="{00000000-0005-0000-0000-000022220000}"/>
    <cellStyle name="Normal 2 2 11 5" xfId="3657" xr:uid="{00000000-0005-0000-0000-00004D0E0000}"/>
    <cellStyle name="Normal 2 2 11 5 2" xfId="17879" xr:uid="{00000000-0005-0000-0000-0000DB450000}"/>
    <cellStyle name="Normal 2 2 11 5 2 2" xfId="24391" xr:uid="{00000000-0005-0000-0000-00004B5F0000}"/>
    <cellStyle name="Normal 2 2 11 5 3" xfId="21556" xr:uid="{00000000-0005-0000-0000-000038540000}"/>
    <cellStyle name="Normal 2 2 11 5 4" xfId="9651" xr:uid="{00000000-0005-0000-0000-0000B7250000}"/>
    <cellStyle name="Normal 2 2 11 6" xfId="10893" xr:uid="{00000000-0005-0000-0000-0000912A0000}"/>
    <cellStyle name="Normal 2 2 11 6 2" xfId="22789" xr:uid="{00000000-0005-0000-0000-000009590000}"/>
    <cellStyle name="Normal 2 2 11 7" xfId="19994" xr:uid="{00000000-0005-0000-0000-00001E4E0000}"/>
    <cellStyle name="Normal 2 2 11 8" xfId="7755" xr:uid="{00000000-0005-0000-0000-00004F1E0000}"/>
    <cellStyle name="Normal 2 2 12" xfId="1066" xr:uid="{00000000-0005-0000-0000-00002E040000}"/>
    <cellStyle name="Normal 2 2 12 2" xfId="2211" xr:uid="{00000000-0005-0000-0000-0000A7080000}"/>
    <cellStyle name="Normal 2 2 12 2 2" xfId="3102" xr:uid="{00000000-0005-0000-0000-0000220C0000}"/>
    <cellStyle name="Normal 2 2 12 2 2 2" xfId="4160" xr:uid="{00000000-0005-0000-0000-000044100000}"/>
    <cellStyle name="Normal 2 2 12 2 2 2 2" xfId="18507" xr:uid="{00000000-0005-0000-0000-00004F480000}"/>
    <cellStyle name="Normal 2 2 12 2 2 2 2 2" xfId="25019" xr:uid="{00000000-0005-0000-0000-0000BF610000}"/>
    <cellStyle name="Normal 2 2 12 2 2 2 3" xfId="22184" xr:uid="{00000000-0005-0000-0000-0000AC560000}"/>
    <cellStyle name="Normal 2 2 12 2 2 2 4" xfId="10279" xr:uid="{00000000-0005-0000-0000-00002B280000}"/>
    <cellStyle name="Normal 2 2 12 2 2 3" xfId="17097" xr:uid="{00000000-0005-0000-0000-0000CD420000}"/>
    <cellStyle name="Normal 2 2 12 2 2 3 2" xfId="23754" xr:uid="{00000000-0005-0000-0000-0000CE5C0000}"/>
    <cellStyle name="Normal 2 2 12 2 2 4" xfId="20622" xr:uid="{00000000-0005-0000-0000-000092500000}"/>
    <cellStyle name="Normal 2 2 12 2 2 5" xfId="8417" xr:uid="{00000000-0005-0000-0000-0000E5200000}"/>
    <cellStyle name="Normal 2 2 12 2 3" xfId="3328" xr:uid="{00000000-0005-0000-0000-0000040D0000}"/>
    <cellStyle name="Normal 2 2 12 2 3 2" xfId="4370" xr:uid="{00000000-0005-0000-0000-000016110000}"/>
    <cellStyle name="Normal 2 2 12 2 3 2 2" xfId="18705" xr:uid="{00000000-0005-0000-0000-000015490000}"/>
    <cellStyle name="Normal 2 2 12 2 3 2 2 2" xfId="25217" xr:uid="{00000000-0005-0000-0000-000085620000}"/>
    <cellStyle name="Normal 2 2 12 2 3 2 3" xfId="22382" xr:uid="{00000000-0005-0000-0000-000072570000}"/>
    <cellStyle name="Normal 2 2 12 2 3 2 4" xfId="10477" xr:uid="{00000000-0005-0000-0000-0000F1280000}"/>
    <cellStyle name="Normal 2 2 12 2 3 3" xfId="17385" xr:uid="{00000000-0005-0000-0000-0000ED430000}"/>
    <cellStyle name="Normal 2 2 12 2 3 3 2" xfId="23961" xr:uid="{00000000-0005-0000-0000-00009D5D0000}"/>
    <cellStyle name="Normal 2 2 12 2 3 4" xfId="21126" xr:uid="{00000000-0005-0000-0000-00008A520000}"/>
    <cellStyle name="Normal 2 2 12 2 3 5" xfId="9136" xr:uid="{00000000-0005-0000-0000-0000B4230000}"/>
    <cellStyle name="Normal 2 2 12 2 4" xfId="3950" xr:uid="{00000000-0005-0000-0000-0000720F0000}"/>
    <cellStyle name="Normal 2 2 12 2 4 2" xfId="18089" xr:uid="{00000000-0005-0000-0000-0000AD460000}"/>
    <cellStyle name="Normal 2 2 12 2 4 2 2" xfId="24601" xr:uid="{00000000-0005-0000-0000-00001D600000}"/>
    <cellStyle name="Normal 2 2 12 2 4 3" xfId="21766" xr:uid="{00000000-0005-0000-0000-00000A550000}"/>
    <cellStyle name="Normal 2 2 12 2 4 4" xfId="9861" xr:uid="{00000000-0005-0000-0000-000089260000}"/>
    <cellStyle name="Normal 2 2 12 2 5" xfId="10896" xr:uid="{00000000-0005-0000-0000-0000942A0000}"/>
    <cellStyle name="Normal 2 2 12 2 5 2" xfId="22792" xr:uid="{00000000-0005-0000-0000-00000C590000}"/>
    <cellStyle name="Normal 2 2 12 2 6" xfId="20204" xr:uid="{00000000-0005-0000-0000-0000F04E0000}"/>
    <cellStyle name="Normal 2 2 12 2 7" xfId="7998" xr:uid="{00000000-0005-0000-0000-0000421F0000}"/>
    <cellStyle name="Normal 2 2 12 3" xfId="2981" xr:uid="{00000000-0005-0000-0000-0000A90B0000}"/>
    <cellStyle name="Normal 2 2 12 3 2" xfId="4055" xr:uid="{00000000-0005-0000-0000-0000DB0F0000}"/>
    <cellStyle name="Normal 2 2 12 3 2 2" xfId="10476" xr:uid="{00000000-0005-0000-0000-0000F0280000}"/>
    <cellStyle name="Normal 2 2 12 3 2 2 2" xfId="18704" xr:uid="{00000000-0005-0000-0000-000014490000}"/>
    <cellStyle name="Normal 2 2 12 3 2 2 2 2" xfId="25216" xr:uid="{00000000-0005-0000-0000-000084620000}"/>
    <cellStyle name="Normal 2 2 12 3 2 2 3" xfId="22381" xr:uid="{00000000-0005-0000-0000-000071570000}"/>
    <cellStyle name="Normal 2 2 12 3 2 3" xfId="17384" xr:uid="{00000000-0005-0000-0000-0000EC430000}"/>
    <cellStyle name="Normal 2 2 12 3 2 3 2" xfId="23960" xr:uid="{00000000-0005-0000-0000-00009C5D0000}"/>
    <cellStyle name="Normal 2 2 12 3 2 4" xfId="21125" xr:uid="{00000000-0005-0000-0000-000089520000}"/>
    <cellStyle name="Normal 2 2 12 3 2 5" xfId="9135" xr:uid="{00000000-0005-0000-0000-0000B3230000}"/>
    <cellStyle name="Normal 2 2 12 3 3" xfId="10070" xr:uid="{00000000-0005-0000-0000-00005A270000}"/>
    <cellStyle name="Normal 2 2 12 3 3 2" xfId="18298" xr:uid="{00000000-0005-0000-0000-00007E470000}"/>
    <cellStyle name="Normal 2 2 12 3 3 2 2" xfId="24810" xr:uid="{00000000-0005-0000-0000-0000EE600000}"/>
    <cellStyle name="Normal 2 2 12 3 3 3" xfId="21975" xr:uid="{00000000-0005-0000-0000-0000DB550000}"/>
    <cellStyle name="Normal 2 2 12 3 4" xfId="16889" xr:uid="{00000000-0005-0000-0000-0000FD410000}"/>
    <cellStyle name="Normal 2 2 12 3 4 2" xfId="23546" xr:uid="{00000000-0005-0000-0000-0000FE5B0000}"/>
    <cellStyle name="Normal 2 2 12 3 5" xfId="20413" xr:uid="{00000000-0005-0000-0000-0000C14F0000}"/>
    <cellStyle name="Normal 2 2 12 3 6" xfId="8208" xr:uid="{00000000-0005-0000-0000-000014200000}"/>
    <cellStyle name="Normal 2 2 12 4" xfId="3207" xr:uid="{00000000-0005-0000-0000-00008B0C0000}"/>
    <cellStyle name="Normal 2 2 12 4 2" xfId="4265" xr:uid="{00000000-0005-0000-0000-0000AD100000}"/>
    <cellStyle name="Normal 2 2 12 4 3" xfId="8735" xr:uid="{00000000-0005-0000-0000-000023220000}"/>
    <cellStyle name="Normal 2 2 12 5" xfId="3658" xr:uid="{00000000-0005-0000-0000-00004E0E0000}"/>
    <cellStyle name="Normal 2 2 12 5 2" xfId="17880" xr:uid="{00000000-0005-0000-0000-0000DC450000}"/>
    <cellStyle name="Normal 2 2 12 5 2 2" xfId="24392" xr:uid="{00000000-0005-0000-0000-00004C5F0000}"/>
    <cellStyle name="Normal 2 2 12 5 3" xfId="21557" xr:uid="{00000000-0005-0000-0000-000039540000}"/>
    <cellStyle name="Normal 2 2 12 5 4" xfId="9652" xr:uid="{00000000-0005-0000-0000-0000B8250000}"/>
    <cellStyle name="Normal 2 2 12 6" xfId="10895" xr:uid="{00000000-0005-0000-0000-0000932A0000}"/>
    <cellStyle name="Normal 2 2 12 6 2" xfId="22791" xr:uid="{00000000-0005-0000-0000-00000B590000}"/>
    <cellStyle name="Normal 2 2 12 7" xfId="19995" xr:uid="{00000000-0005-0000-0000-00001F4E0000}"/>
    <cellStyle name="Normal 2 2 12 8" xfId="7756" xr:uid="{00000000-0005-0000-0000-0000501E0000}"/>
    <cellStyle name="Normal 2 2 13" xfId="1067" xr:uid="{00000000-0005-0000-0000-00002F040000}"/>
    <cellStyle name="Normal 2 2 13 2" xfId="2212" xr:uid="{00000000-0005-0000-0000-0000A8080000}"/>
    <cellStyle name="Normal 2 2 13 2 2" xfId="3103" xr:uid="{00000000-0005-0000-0000-0000230C0000}"/>
    <cellStyle name="Normal 2 2 13 2 2 2" xfId="4161" xr:uid="{00000000-0005-0000-0000-000045100000}"/>
    <cellStyle name="Normal 2 2 13 2 2 2 2" xfId="18508" xr:uid="{00000000-0005-0000-0000-000050480000}"/>
    <cellStyle name="Normal 2 2 13 2 2 2 2 2" xfId="25020" xr:uid="{00000000-0005-0000-0000-0000C0610000}"/>
    <cellStyle name="Normal 2 2 13 2 2 2 3" xfId="22185" xr:uid="{00000000-0005-0000-0000-0000AD560000}"/>
    <cellStyle name="Normal 2 2 13 2 2 2 4" xfId="10280" xr:uid="{00000000-0005-0000-0000-00002C280000}"/>
    <cellStyle name="Normal 2 2 13 2 2 3" xfId="17098" xr:uid="{00000000-0005-0000-0000-0000CE420000}"/>
    <cellStyle name="Normal 2 2 13 2 2 3 2" xfId="23755" xr:uid="{00000000-0005-0000-0000-0000CF5C0000}"/>
    <cellStyle name="Normal 2 2 13 2 2 4" xfId="20623" xr:uid="{00000000-0005-0000-0000-000093500000}"/>
    <cellStyle name="Normal 2 2 13 2 2 5" xfId="8418" xr:uid="{00000000-0005-0000-0000-0000E6200000}"/>
    <cellStyle name="Normal 2 2 13 2 3" xfId="3329" xr:uid="{00000000-0005-0000-0000-0000050D0000}"/>
    <cellStyle name="Normal 2 2 13 2 3 2" xfId="4371" xr:uid="{00000000-0005-0000-0000-000017110000}"/>
    <cellStyle name="Normal 2 2 13 2 3 2 2" xfId="18707" xr:uid="{00000000-0005-0000-0000-000017490000}"/>
    <cellStyle name="Normal 2 2 13 2 3 2 2 2" xfId="25219" xr:uid="{00000000-0005-0000-0000-000087620000}"/>
    <cellStyle name="Normal 2 2 13 2 3 2 3" xfId="22384" xr:uid="{00000000-0005-0000-0000-000074570000}"/>
    <cellStyle name="Normal 2 2 13 2 3 2 4" xfId="10479" xr:uid="{00000000-0005-0000-0000-0000F3280000}"/>
    <cellStyle name="Normal 2 2 13 2 3 3" xfId="17387" xr:uid="{00000000-0005-0000-0000-0000EF430000}"/>
    <cellStyle name="Normal 2 2 13 2 3 3 2" xfId="23963" xr:uid="{00000000-0005-0000-0000-00009F5D0000}"/>
    <cellStyle name="Normal 2 2 13 2 3 4" xfId="21128" xr:uid="{00000000-0005-0000-0000-00008C520000}"/>
    <cellStyle name="Normal 2 2 13 2 3 5" xfId="9138" xr:uid="{00000000-0005-0000-0000-0000B6230000}"/>
    <cellStyle name="Normal 2 2 13 2 4" xfId="3951" xr:uid="{00000000-0005-0000-0000-0000730F0000}"/>
    <cellStyle name="Normal 2 2 13 2 4 2" xfId="18090" xr:uid="{00000000-0005-0000-0000-0000AE460000}"/>
    <cellStyle name="Normal 2 2 13 2 4 2 2" xfId="24602" xr:uid="{00000000-0005-0000-0000-00001E600000}"/>
    <cellStyle name="Normal 2 2 13 2 4 3" xfId="21767" xr:uid="{00000000-0005-0000-0000-00000B550000}"/>
    <cellStyle name="Normal 2 2 13 2 4 4" xfId="9862" xr:uid="{00000000-0005-0000-0000-00008A260000}"/>
    <cellStyle name="Normal 2 2 13 2 5" xfId="10898" xr:uid="{00000000-0005-0000-0000-0000962A0000}"/>
    <cellStyle name="Normal 2 2 13 2 5 2" xfId="22794" xr:uid="{00000000-0005-0000-0000-00000E590000}"/>
    <cellStyle name="Normal 2 2 13 2 6" xfId="20205" xr:uid="{00000000-0005-0000-0000-0000F14E0000}"/>
    <cellStyle name="Normal 2 2 13 2 7" xfId="7999" xr:uid="{00000000-0005-0000-0000-0000431F0000}"/>
    <cellStyle name="Normal 2 2 13 3" xfId="2982" xr:uid="{00000000-0005-0000-0000-0000AA0B0000}"/>
    <cellStyle name="Normal 2 2 13 3 2" xfId="4056" xr:uid="{00000000-0005-0000-0000-0000DC0F0000}"/>
    <cellStyle name="Normal 2 2 13 3 2 2" xfId="10478" xr:uid="{00000000-0005-0000-0000-0000F2280000}"/>
    <cellStyle name="Normal 2 2 13 3 2 2 2" xfId="18706" xr:uid="{00000000-0005-0000-0000-000016490000}"/>
    <cellStyle name="Normal 2 2 13 3 2 2 2 2" xfId="25218" xr:uid="{00000000-0005-0000-0000-000086620000}"/>
    <cellStyle name="Normal 2 2 13 3 2 2 3" xfId="22383" xr:uid="{00000000-0005-0000-0000-000073570000}"/>
    <cellStyle name="Normal 2 2 13 3 2 3" xfId="17386" xr:uid="{00000000-0005-0000-0000-0000EE430000}"/>
    <cellStyle name="Normal 2 2 13 3 2 3 2" xfId="23962" xr:uid="{00000000-0005-0000-0000-00009E5D0000}"/>
    <cellStyle name="Normal 2 2 13 3 2 4" xfId="21127" xr:uid="{00000000-0005-0000-0000-00008B520000}"/>
    <cellStyle name="Normal 2 2 13 3 2 5" xfId="9137" xr:uid="{00000000-0005-0000-0000-0000B5230000}"/>
    <cellStyle name="Normal 2 2 13 3 3" xfId="10071" xr:uid="{00000000-0005-0000-0000-00005B270000}"/>
    <cellStyle name="Normal 2 2 13 3 3 2" xfId="18299" xr:uid="{00000000-0005-0000-0000-00007F470000}"/>
    <cellStyle name="Normal 2 2 13 3 3 2 2" xfId="24811" xr:uid="{00000000-0005-0000-0000-0000EF600000}"/>
    <cellStyle name="Normal 2 2 13 3 3 3" xfId="21976" xr:uid="{00000000-0005-0000-0000-0000DC550000}"/>
    <cellStyle name="Normal 2 2 13 3 4" xfId="16890" xr:uid="{00000000-0005-0000-0000-0000FE410000}"/>
    <cellStyle name="Normal 2 2 13 3 4 2" xfId="23547" xr:uid="{00000000-0005-0000-0000-0000FF5B0000}"/>
    <cellStyle name="Normal 2 2 13 3 5" xfId="20414" xr:uid="{00000000-0005-0000-0000-0000C24F0000}"/>
    <cellStyle name="Normal 2 2 13 3 6" xfId="8209" xr:uid="{00000000-0005-0000-0000-000015200000}"/>
    <cellStyle name="Normal 2 2 13 4" xfId="3208" xr:uid="{00000000-0005-0000-0000-00008C0C0000}"/>
    <cellStyle name="Normal 2 2 13 4 2" xfId="4266" xr:uid="{00000000-0005-0000-0000-0000AE100000}"/>
    <cellStyle name="Normal 2 2 13 4 3" xfId="8736" xr:uid="{00000000-0005-0000-0000-000024220000}"/>
    <cellStyle name="Normal 2 2 13 5" xfId="3659" xr:uid="{00000000-0005-0000-0000-00004F0E0000}"/>
    <cellStyle name="Normal 2 2 13 5 2" xfId="17881" xr:uid="{00000000-0005-0000-0000-0000DD450000}"/>
    <cellStyle name="Normal 2 2 13 5 2 2" xfId="24393" xr:uid="{00000000-0005-0000-0000-00004D5F0000}"/>
    <cellStyle name="Normal 2 2 13 5 3" xfId="21558" xr:uid="{00000000-0005-0000-0000-00003A540000}"/>
    <cellStyle name="Normal 2 2 13 5 4" xfId="9653" xr:uid="{00000000-0005-0000-0000-0000B9250000}"/>
    <cellStyle name="Normal 2 2 13 6" xfId="10897" xr:uid="{00000000-0005-0000-0000-0000952A0000}"/>
    <cellStyle name="Normal 2 2 13 6 2" xfId="22793" xr:uid="{00000000-0005-0000-0000-00000D590000}"/>
    <cellStyle name="Normal 2 2 13 7" xfId="19996" xr:uid="{00000000-0005-0000-0000-0000204E0000}"/>
    <cellStyle name="Normal 2 2 13 8" xfId="7757" xr:uid="{00000000-0005-0000-0000-0000511E0000}"/>
    <cellStyle name="Normal 2 2 14" xfId="1068" xr:uid="{00000000-0005-0000-0000-000030040000}"/>
    <cellStyle name="Normal 2 2 14 2" xfId="2213" xr:uid="{00000000-0005-0000-0000-0000A9080000}"/>
    <cellStyle name="Normal 2 2 14 3" xfId="8737" xr:uid="{00000000-0005-0000-0000-000025220000}"/>
    <cellStyle name="Normal 2 2 14 3 2" xfId="10375" xr:uid="{00000000-0005-0000-0000-00008B280000}"/>
    <cellStyle name="Normal 2 2 14 3 2 2" xfId="18603" xr:uid="{00000000-0005-0000-0000-0000AF480000}"/>
    <cellStyle name="Normal 2 2 14 3 2 2 2" xfId="25115" xr:uid="{00000000-0005-0000-0000-00001F620000}"/>
    <cellStyle name="Normal 2 2 14 3 2 3" xfId="22280" xr:uid="{00000000-0005-0000-0000-00000C570000}"/>
    <cellStyle name="Normal 2 2 14 3 3" xfId="17226" xr:uid="{00000000-0005-0000-0000-00004E430000}"/>
    <cellStyle name="Normal 2 2 14 3 3 2" xfId="23852" xr:uid="{00000000-0005-0000-0000-0000305D0000}"/>
    <cellStyle name="Normal 2 2 14 3 4" xfId="20912" xr:uid="{00000000-0005-0000-0000-0000B4510000}"/>
    <cellStyle name="Normal 2 2 15" xfId="2208" xr:uid="{00000000-0005-0000-0000-0000A4080000}"/>
    <cellStyle name="Normal 2 2 15 2" xfId="7995" xr:uid="{00000000-0005-0000-0000-00003F1F0000}"/>
    <cellStyle name="Normal 2 2 15 2 2" xfId="8414" xr:uid="{00000000-0005-0000-0000-0000E2200000}"/>
    <cellStyle name="Normal 2 2 15 2 2 2" xfId="10276" xr:uid="{00000000-0005-0000-0000-000028280000}"/>
    <cellStyle name="Normal 2 2 15 2 2 2 2" xfId="18504" xr:uid="{00000000-0005-0000-0000-00004C480000}"/>
    <cellStyle name="Normal 2 2 15 2 2 2 2 2" xfId="25016" xr:uid="{00000000-0005-0000-0000-0000BC610000}"/>
    <cellStyle name="Normal 2 2 15 2 2 2 3" xfId="22181" xr:uid="{00000000-0005-0000-0000-0000A9560000}"/>
    <cellStyle name="Normal 2 2 15 2 2 3" xfId="17094" xr:uid="{00000000-0005-0000-0000-0000CA420000}"/>
    <cellStyle name="Normal 2 2 15 2 2 3 2" xfId="23751" xr:uid="{00000000-0005-0000-0000-0000CB5C0000}"/>
    <cellStyle name="Normal 2 2 15 2 2 4" xfId="20619" xr:uid="{00000000-0005-0000-0000-00008F500000}"/>
    <cellStyle name="Normal 2 2 15 2 3" xfId="9140" xr:uid="{00000000-0005-0000-0000-0000B8230000}"/>
    <cellStyle name="Normal 2 2 15 2 3 2" xfId="10481" xr:uid="{00000000-0005-0000-0000-0000F5280000}"/>
    <cellStyle name="Normal 2 2 15 2 3 2 2" xfId="18709" xr:uid="{00000000-0005-0000-0000-000019490000}"/>
    <cellStyle name="Normal 2 2 15 2 3 2 2 2" xfId="25221" xr:uid="{00000000-0005-0000-0000-000089620000}"/>
    <cellStyle name="Normal 2 2 15 2 3 2 3" xfId="22386" xr:uid="{00000000-0005-0000-0000-000076570000}"/>
    <cellStyle name="Normal 2 2 15 2 3 3" xfId="17389" xr:uid="{00000000-0005-0000-0000-0000F1430000}"/>
    <cellStyle name="Normal 2 2 15 2 3 3 2" xfId="23965" xr:uid="{00000000-0005-0000-0000-0000A15D0000}"/>
    <cellStyle name="Normal 2 2 15 2 3 4" xfId="21130" xr:uid="{00000000-0005-0000-0000-00008E520000}"/>
    <cellStyle name="Normal 2 2 15 2 4" xfId="9858" xr:uid="{00000000-0005-0000-0000-000086260000}"/>
    <cellStyle name="Normal 2 2 15 2 4 2" xfId="18086" xr:uid="{00000000-0005-0000-0000-0000AA460000}"/>
    <cellStyle name="Normal 2 2 15 2 4 2 2" xfId="24598" xr:uid="{00000000-0005-0000-0000-00001A600000}"/>
    <cellStyle name="Normal 2 2 15 2 4 3" xfId="21763" xr:uid="{00000000-0005-0000-0000-000007550000}"/>
    <cellStyle name="Normal 2 2 15 2 5" xfId="10900" xr:uid="{00000000-0005-0000-0000-0000982A0000}"/>
    <cellStyle name="Normal 2 2 15 2 5 2" xfId="22796" xr:uid="{00000000-0005-0000-0000-000010590000}"/>
    <cellStyle name="Normal 2 2 15 2 6" xfId="20201" xr:uid="{00000000-0005-0000-0000-0000ED4E0000}"/>
    <cellStyle name="Normal 2 2 15 3" xfId="8205" xr:uid="{00000000-0005-0000-0000-000011200000}"/>
    <cellStyle name="Normal 2 2 15 3 2" xfId="10067" xr:uid="{00000000-0005-0000-0000-000057270000}"/>
    <cellStyle name="Normal 2 2 15 3 2 2" xfId="18295" xr:uid="{00000000-0005-0000-0000-00007B470000}"/>
    <cellStyle name="Normal 2 2 15 3 2 2 2" xfId="24807" xr:uid="{00000000-0005-0000-0000-0000EB600000}"/>
    <cellStyle name="Normal 2 2 15 3 2 3" xfId="21972" xr:uid="{00000000-0005-0000-0000-0000D8550000}"/>
    <cellStyle name="Normal 2 2 15 3 3" xfId="16886" xr:uid="{00000000-0005-0000-0000-0000FA410000}"/>
    <cellStyle name="Normal 2 2 15 3 3 2" xfId="23543" xr:uid="{00000000-0005-0000-0000-0000FB5B0000}"/>
    <cellStyle name="Normal 2 2 15 3 4" xfId="20410" xr:uid="{00000000-0005-0000-0000-0000BE4F0000}"/>
    <cellStyle name="Normal 2 2 15 4" xfId="9139" xr:uid="{00000000-0005-0000-0000-0000B7230000}"/>
    <cellStyle name="Normal 2 2 15 4 2" xfId="10480" xr:uid="{00000000-0005-0000-0000-0000F4280000}"/>
    <cellStyle name="Normal 2 2 15 4 2 2" xfId="18708" xr:uid="{00000000-0005-0000-0000-000018490000}"/>
    <cellStyle name="Normal 2 2 15 4 2 2 2" xfId="25220" xr:uid="{00000000-0005-0000-0000-000088620000}"/>
    <cellStyle name="Normal 2 2 15 4 2 3" xfId="22385" xr:uid="{00000000-0005-0000-0000-000075570000}"/>
    <cellStyle name="Normal 2 2 15 4 3" xfId="17388" xr:uid="{00000000-0005-0000-0000-0000F0430000}"/>
    <cellStyle name="Normal 2 2 15 4 3 2" xfId="23964" xr:uid="{00000000-0005-0000-0000-0000A05D0000}"/>
    <cellStyle name="Normal 2 2 15 4 4" xfId="21129" xr:uid="{00000000-0005-0000-0000-00008D520000}"/>
    <cellStyle name="Normal 2 2 15 5" xfId="9649" xr:uid="{00000000-0005-0000-0000-0000B5250000}"/>
    <cellStyle name="Normal 2 2 15 5 2" xfId="17877" xr:uid="{00000000-0005-0000-0000-0000D9450000}"/>
    <cellStyle name="Normal 2 2 15 5 2 2" xfId="24389" xr:uid="{00000000-0005-0000-0000-0000495F0000}"/>
    <cellStyle name="Normal 2 2 15 5 3" xfId="21554" xr:uid="{00000000-0005-0000-0000-000036540000}"/>
    <cellStyle name="Normal 2 2 15 6" xfId="10899" xr:uid="{00000000-0005-0000-0000-0000972A0000}"/>
    <cellStyle name="Normal 2 2 15 6 2" xfId="22795" xr:uid="{00000000-0005-0000-0000-00000F590000}"/>
    <cellStyle name="Normal 2 2 15 7" xfId="19992" xr:uid="{00000000-0005-0000-0000-00001C4E0000}"/>
    <cellStyle name="Normal 2 2 15 8" xfId="7753" xr:uid="{00000000-0005-0000-0000-00004D1E0000}"/>
    <cellStyle name="Normal 2 2 16" xfId="1063" xr:uid="{00000000-0005-0000-0000-00002B040000}"/>
    <cellStyle name="Normal 2 2 16 2" xfId="22786" xr:uid="{00000000-0005-0000-0000-000006590000}"/>
    <cellStyle name="Normal 2 2 16 3" xfId="10890" xr:uid="{00000000-0005-0000-0000-00008E2A0000}"/>
    <cellStyle name="Normal 2 2 17" xfId="4505" xr:uid="{00000000-0005-0000-0000-00009D110000}"/>
    <cellStyle name="Normal 2 2 18" xfId="4453" xr:uid="{00000000-0005-0000-0000-000069110000}"/>
    <cellStyle name="Normal 2 2 2" xfId="114" xr:uid="{00000000-0005-0000-0000-000076000000}"/>
    <cellStyle name="Normal 2 2 2 2" xfId="2214" xr:uid="{00000000-0005-0000-0000-0000AA080000}"/>
    <cellStyle name="Normal 2 2 2 2 2" xfId="3104" xr:uid="{00000000-0005-0000-0000-0000240C0000}"/>
    <cellStyle name="Normal 2 2 2 2 2 2" xfId="4162" xr:uid="{00000000-0005-0000-0000-000046100000}"/>
    <cellStyle name="Normal 2 2 2 2 2 3" xfId="6258" xr:uid="{00000000-0005-0000-0000-000076180000}"/>
    <cellStyle name="Normal 2 2 2 2 3" xfId="3330" xr:uid="{00000000-0005-0000-0000-0000060D0000}"/>
    <cellStyle name="Normal 2 2 2 2 3 2" xfId="4372" xr:uid="{00000000-0005-0000-0000-000018110000}"/>
    <cellStyle name="Normal 2 2 2 2 4" xfId="3952" xr:uid="{00000000-0005-0000-0000-0000740F0000}"/>
    <cellStyle name="Normal 2 2 2 2 5" xfId="4506" xr:uid="{00000000-0005-0000-0000-00009E110000}"/>
    <cellStyle name="Normal 2 2 2 3" xfId="1069" xr:uid="{00000000-0005-0000-0000-000031040000}"/>
    <cellStyle name="Normal 2 2 2 3 2" xfId="3660" xr:uid="{00000000-0005-0000-0000-0000500E0000}"/>
    <cellStyle name="Normal 2 2 2 3 2 2" xfId="23136" xr:uid="{00000000-0005-0000-0000-0000645A0000}"/>
    <cellStyle name="Normal 2 2 2 3 2 3" xfId="12736" xr:uid="{00000000-0005-0000-0000-0000C4310000}"/>
    <cellStyle name="Normal 2 2 2 3 3" xfId="6259" xr:uid="{00000000-0005-0000-0000-000077180000}"/>
    <cellStyle name="Normal 2 2 2 4" xfId="2983" xr:uid="{00000000-0005-0000-0000-0000AB0B0000}"/>
    <cellStyle name="Normal 2 2 2 4 2" xfId="4057" xr:uid="{00000000-0005-0000-0000-0000DD0F0000}"/>
    <cellStyle name="Normal 2 2 2 4 3" xfId="6260" xr:uid="{00000000-0005-0000-0000-000078180000}"/>
    <cellStyle name="Normal 2 2 2 5" xfId="3209" xr:uid="{00000000-0005-0000-0000-00008D0C0000}"/>
    <cellStyle name="Normal 2 2 2 5 2" xfId="4267" xr:uid="{00000000-0005-0000-0000-0000AF100000}"/>
    <cellStyle name="Normal 2 2 2 5 2 2" xfId="8349" xr:uid="{00000000-0005-0000-0000-0000A1200000}"/>
    <cellStyle name="Normal 2 2 2 5 2 2 2" xfId="10211" xr:uid="{00000000-0005-0000-0000-0000E7270000}"/>
    <cellStyle name="Normal 2 2 2 5 2 2 2 2" xfId="18439" xr:uid="{00000000-0005-0000-0000-00000B480000}"/>
    <cellStyle name="Normal 2 2 2 5 2 2 2 2 2" xfId="24951" xr:uid="{00000000-0005-0000-0000-00007B610000}"/>
    <cellStyle name="Normal 2 2 2 5 2 2 2 3" xfId="22116" xr:uid="{00000000-0005-0000-0000-000068560000}"/>
    <cellStyle name="Normal 2 2 2 5 2 2 3" xfId="17029" xr:uid="{00000000-0005-0000-0000-000089420000}"/>
    <cellStyle name="Normal 2 2 2 5 2 2 3 2" xfId="23686" xr:uid="{00000000-0005-0000-0000-00008A5C0000}"/>
    <cellStyle name="Normal 2 2 2 5 2 2 4" xfId="20554" xr:uid="{00000000-0005-0000-0000-00004E500000}"/>
    <cellStyle name="Normal 2 2 2 5 2 3" xfId="9142" xr:uid="{00000000-0005-0000-0000-0000BA230000}"/>
    <cellStyle name="Normal 2 2 2 5 2 3 2" xfId="10483" xr:uid="{00000000-0005-0000-0000-0000F7280000}"/>
    <cellStyle name="Normal 2 2 2 5 2 3 2 2" xfId="18711" xr:uid="{00000000-0005-0000-0000-00001B490000}"/>
    <cellStyle name="Normal 2 2 2 5 2 3 2 2 2" xfId="25223" xr:uid="{00000000-0005-0000-0000-00008B620000}"/>
    <cellStyle name="Normal 2 2 2 5 2 3 2 3" xfId="22388" xr:uid="{00000000-0005-0000-0000-000078570000}"/>
    <cellStyle name="Normal 2 2 2 5 2 3 3" xfId="17391" xr:uid="{00000000-0005-0000-0000-0000F3430000}"/>
    <cellStyle name="Normal 2 2 2 5 2 3 3 2" xfId="23967" xr:uid="{00000000-0005-0000-0000-0000A35D0000}"/>
    <cellStyle name="Normal 2 2 2 5 2 3 4" xfId="21132" xr:uid="{00000000-0005-0000-0000-000090520000}"/>
    <cellStyle name="Normal 2 2 2 5 2 4" xfId="9793" xr:uid="{00000000-0005-0000-0000-000045260000}"/>
    <cellStyle name="Normal 2 2 2 5 2 4 2" xfId="18021" xr:uid="{00000000-0005-0000-0000-000069460000}"/>
    <cellStyle name="Normal 2 2 2 5 2 4 2 2" xfId="24533" xr:uid="{00000000-0005-0000-0000-0000D95F0000}"/>
    <cellStyle name="Normal 2 2 2 5 2 4 3" xfId="21698" xr:uid="{00000000-0005-0000-0000-0000C6540000}"/>
    <cellStyle name="Normal 2 2 2 5 2 5" xfId="10903" xr:uid="{00000000-0005-0000-0000-00009B2A0000}"/>
    <cellStyle name="Normal 2 2 2 5 2 5 2" xfId="22799" xr:uid="{00000000-0005-0000-0000-000013590000}"/>
    <cellStyle name="Normal 2 2 2 5 2 6" xfId="20136" xr:uid="{00000000-0005-0000-0000-0000AC4E0000}"/>
    <cellStyle name="Normal 2 2 2 5 2 7" xfId="7930" xr:uid="{00000000-0005-0000-0000-0000FE1E0000}"/>
    <cellStyle name="Normal 2 2 2 5 3" xfId="8140" xr:uid="{00000000-0005-0000-0000-0000D01F0000}"/>
    <cellStyle name="Normal 2 2 2 5 3 2" xfId="10002" xr:uid="{00000000-0005-0000-0000-000016270000}"/>
    <cellStyle name="Normal 2 2 2 5 3 2 2" xfId="18230" xr:uid="{00000000-0005-0000-0000-00003A470000}"/>
    <cellStyle name="Normal 2 2 2 5 3 2 2 2" xfId="24742" xr:uid="{00000000-0005-0000-0000-0000AA600000}"/>
    <cellStyle name="Normal 2 2 2 5 3 2 3" xfId="21907" xr:uid="{00000000-0005-0000-0000-000097550000}"/>
    <cellStyle name="Normal 2 2 2 5 3 3" xfId="16829" xr:uid="{00000000-0005-0000-0000-0000C1410000}"/>
    <cellStyle name="Normal 2 2 2 5 3 3 2" xfId="23488" xr:uid="{00000000-0005-0000-0000-0000C45B0000}"/>
    <cellStyle name="Normal 2 2 2 5 3 4" xfId="20345" xr:uid="{00000000-0005-0000-0000-00007D4F0000}"/>
    <cellStyle name="Normal 2 2 2 5 4" xfId="9141" xr:uid="{00000000-0005-0000-0000-0000B9230000}"/>
    <cellStyle name="Normal 2 2 2 5 4 2" xfId="10482" xr:uid="{00000000-0005-0000-0000-0000F6280000}"/>
    <cellStyle name="Normal 2 2 2 5 4 2 2" xfId="18710" xr:uid="{00000000-0005-0000-0000-00001A490000}"/>
    <cellStyle name="Normal 2 2 2 5 4 2 2 2" xfId="25222" xr:uid="{00000000-0005-0000-0000-00008A620000}"/>
    <cellStyle name="Normal 2 2 2 5 4 2 3" xfId="22387" xr:uid="{00000000-0005-0000-0000-000077570000}"/>
    <cellStyle name="Normal 2 2 2 5 4 3" xfId="17390" xr:uid="{00000000-0005-0000-0000-0000F2430000}"/>
    <cellStyle name="Normal 2 2 2 5 4 3 2" xfId="23966" xr:uid="{00000000-0005-0000-0000-0000A25D0000}"/>
    <cellStyle name="Normal 2 2 2 5 4 4" xfId="21131" xr:uid="{00000000-0005-0000-0000-00008F520000}"/>
    <cellStyle name="Normal 2 2 2 5 5" xfId="9584" xr:uid="{00000000-0005-0000-0000-000074250000}"/>
    <cellStyle name="Normal 2 2 2 5 5 2" xfId="17812" xr:uid="{00000000-0005-0000-0000-000098450000}"/>
    <cellStyle name="Normal 2 2 2 5 5 2 2" xfId="24324" xr:uid="{00000000-0005-0000-0000-0000085F0000}"/>
    <cellStyle name="Normal 2 2 2 5 5 3" xfId="21489" xr:uid="{00000000-0005-0000-0000-0000F5530000}"/>
    <cellStyle name="Normal 2 2 2 5 6" xfId="10902" xr:uid="{00000000-0005-0000-0000-00009A2A0000}"/>
    <cellStyle name="Normal 2 2 2 5 6 2" xfId="22798" xr:uid="{00000000-0005-0000-0000-000012590000}"/>
    <cellStyle name="Normal 2 2 2 5 7" xfId="19701" xr:uid="{00000000-0005-0000-0000-0000F94C0000}"/>
    <cellStyle name="Normal 2 2 2 5 8" xfId="6257" xr:uid="{00000000-0005-0000-0000-000075180000}"/>
    <cellStyle name="Normal 2 2 2 6" xfId="3415" xr:uid="{00000000-0005-0000-0000-00005B0D0000}"/>
    <cellStyle name="Normal 2 2 2 6 2" xfId="8000" xr:uid="{00000000-0005-0000-0000-0000441F0000}"/>
    <cellStyle name="Normal 2 2 2 6 2 2" xfId="8419" xr:uid="{00000000-0005-0000-0000-0000E7200000}"/>
    <cellStyle name="Normal 2 2 2 6 2 2 2" xfId="10281" xr:uid="{00000000-0005-0000-0000-00002D280000}"/>
    <cellStyle name="Normal 2 2 2 6 2 2 2 2" xfId="18509" xr:uid="{00000000-0005-0000-0000-000051480000}"/>
    <cellStyle name="Normal 2 2 2 6 2 2 2 2 2" xfId="25021" xr:uid="{00000000-0005-0000-0000-0000C1610000}"/>
    <cellStyle name="Normal 2 2 2 6 2 2 2 3" xfId="22186" xr:uid="{00000000-0005-0000-0000-0000AE560000}"/>
    <cellStyle name="Normal 2 2 2 6 2 2 3" xfId="17099" xr:uid="{00000000-0005-0000-0000-0000CF420000}"/>
    <cellStyle name="Normal 2 2 2 6 2 2 3 2" xfId="23756" xr:uid="{00000000-0005-0000-0000-0000D05C0000}"/>
    <cellStyle name="Normal 2 2 2 6 2 2 4" xfId="20624" xr:uid="{00000000-0005-0000-0000-000094500000}"/>
    <cellStyle name="Normal 2 2 2 6 2 3" xfId="9144" xr:uid="{00000000-0005-0000-0000-0000BC230000}"/>
    <cellStyle name="Normal 2 2 2 6 2 3 2" xfId="10485" xr:uid="{00000000-0005-0000-0000-0000F9280000}"/>
    <cellStyle name="Normal 2 2 2 6 2 3 2 2" xfId="18713" xr:uid="{00000000-0005-0000-0000-00001D490000}"/>
    <cellStyle name="Normal 2 2 2 6 2 3 2 2 2" xfId="25225" xr:uid="{00000000-0005-0000-0000-00008D620000}"/>
    <cellStyle name="Normal 2 2 2 6 2 3 2 3" xfId="22390" xr:uid="{00000000-0005-0000-0000-00007A570000}"/>
    <cellStyle name="Normal 2 2 2 6 2 3 3" xfId="17393" xr:uid="{00000000-0005-0000-0000-0000F5430000}"/>
    <cellStyle name="Normal 2 2 2 6 2 3 3 2" xfId="23969" xr:uid="{00000000-0005-0000-0000-0000A55D0000}"/>
    <cellStyle name="Normal 2 2 2 6 2 3 4" xfId="21134" xr:uid="{00000000-0005-0000-0000-000092520000}"/>
    <cellStyle name="Normal 2 2 2 6 2 4" xfId="9863" xr:uid="{00000000-0005-0000-0000-00008B260000}"/>
    <cellStyle name="Normal 2 2 2 6 2 4 2" xfId="18091" xr:uid="{00000000-0005-0000-0000-0000AF460000}"/>
    <cellStyle name="Normal 2 2 2 6 2 4 2 2" xfId="24603" xr:uid="{00000000-0005-0000-0000-00001F600000}"/>
    <cellStyle name="Normal 2 2 2 6 2 4 3" xfId="21768" xr:uid="{00000000-0005-0000-0000-00000C550000}"/>
    <cellStyle name="Normal 2 2 2 6 2 5" xfId="10905" xr:uid="{00000000-0005-0000-0000-00009D2A0000}"/>
    <cellStyle name="Normal 2 2 2 6 2 5 2" xfId="22801" xr:uid="{00000000-0005-0000-0000-000015590000}"/>
    <cellStyle name="Normal 2 2 2 6 2 6" xfId="20206" xr:uid="{00000000-0005-0000-0000-0000F24E0000}"/>
    <cellStyle name="Normal 2 2 2 6 3" xfId="8210" xr:uid="{00000000-0005-0000-0000-000016200000}"/>
    <cellStyle name="Normal 2 2 2 6 3 2" xfId="10072" xr:uid="{00000000-0005-0000-0000-00005C270000}"/>
    <cellStyle name="Normal 2 2 2 6 3 2 2" xfId="18300" xr:uid="{00000000-0005-0000-0000-000080470000}"/>
    <cellStyle name="Normal 2 2 2 6 3 2 2 2" xfId="24812" xr:uid="{00000000-0005-0000-0000-0000F0600000}"/>
    <cellStyle name="Normal 2 2 2 6 3 2 3" xfId="21977" xr:uid="{00000000-0005-0000-0000-0000DD550000}"/>
    <cellStyle name="Normal 2 2 2 6 3 3" xfId="16891" xr:uid="{00000000-0005-0000-0000-0000FF410000}"/>
    <cellStyle name="Normal 2 2 2 6 3 3 2" xfId="23548" xr:uid="{00000000-0005-0000-0000-0000005C0000}"/>
    <cellStyle name="Normal 2 2 2 6 3 4" xfId="20415" xr:uid="{00000000-0005-0000-0000-0000C34F0000}"/>
    <cellStyle name="Normal 2 2 2 6 4" xfId="9143" xr:uid="{00000000-0005-0000-0000-0000BB230000}"/>
    <cellStyle name="Normal 2 2 2 6 4 2" xfId="10484" xr:uid="{00000000-0005-0000-0000-0000F8280000}"/>
    <cellStyle name="Normal 2 2 2 6 4 2 2" xfId="18712" xr:uid="{00000000-0005-0000-0000-00001C490000}"/>
    <cellStyle name="Normal 2 2 2 6 4 2 2 2" xfId="25224" xr:uid="{00000000-0005-0000-0000-00008C620000}"/>
    <cellStyle name="Normal 2 2 2 6 4 2 3" xfId="22389" xr:uid="{00000000-0005-0000-0000-000079570000}"/>
    <cellStyle name="Normal 2 2 2 6 4 3" xfId="17392" xr:uid="{00000000-0005-0000-0000-0000F4430000}"/>
    <cellStyle name="Normal 2 2 2 6 4 3 2" xfId="23968" xr:uid="{00000000-0005-0000-0000-0000A45D0000}"/>
    <cellStyle name="Normal 2 2 2 6 4 4" xfId="21133" xr:uid="{00000000-0005-0000-0000-000091520000}"/>
    <cellStyle name="Normal 2 2 2 6 5" xfId="9654" xr:uid="{00000000-0005-0000-0000-0000BA250000}"/>
    <cellStyle name="Normal 2 2 2 6 5 2" xfId="17882" xr:uid="{00000000-0005-0000-0000-0000DE450000}"/>
    <cellStyle name="Normal 2 2 2 6 5 2 2" xfId="24394" xr:uid="{00000000-0005-0000-0000-00004E5F0000}"/>
    <cellStyle name="Normal 2 2 2 6 5 3" xfId="21559" xr:uid="{00000000-0005-0000-0000-00003B540000}"/>
    <cellStyle name="Normal 2 2 2 6 6" xfId="10904" xr:uid="{00000000-0005-0000-0000-00009C2A0000}"/>
    <cellStyle name="Normal 2 2 2 6 6 2" xfId="22800" xr:uid="{00000000-0005-0000-0000-000014590000}"/>
    <cellStyle name="Normal 2 2 2 6 7" xfId="19997" xr:uid="{00000000-0005-0000-0000-0000214E0000}"/>
    <cellStyle name="Normal 2 2 2 6 8" xfId="7758" xr:uid="{00000000-0005-0000-0000-0000521E0000}"/>
    <cellStyle name="Normal 2 2 2 7" xfId="8867" xr:uid="{00000000-0005-0000-0000-0000A7220000}"/>
    <cellStyle name="Normal 2 2 2 8" xfId="10901" xr:uid="{00000000-0005-0000-0000-0000992A0000}"/>
    <cellStyle name="Normal 2 2 2 8 2" xfId="22797" xr:uid="{00000000-0005-0000-0000-000011590000}"/>
    <cellStyle name="Normal 2 2 3" xfId="115" xr:uid="{00000000-0005-0000-0000-000077000000}"/>
    <cellStyle name="Normal 2 2 3 2" xfId="2215" xr:uid="{00000000-0005-0000-0000-0000AB080000}"/>
    <cellStyle name="Normal 2 2 3 2 2" xfId="3105" xr:uid="{00000000-0005-0000-0000-0000250C0000}"/>
    <cellStyle name="Normal 2 2 3 2 2 2" xfId="4163" xr:uid="{00000000-0005-0000-0000-000047100000}"/>
    <cellStyle name="Normal 2 2 3 2 2 2 2" xfId="10282" xr:uid="{00000000-0005-0000-0000-00002E280000}"/>
    <cellStyle name="Normal 2 2 3 2 2 2 2 2" xfId="18510" xr:uid="{00000000-0005-0000-0000-000052480000}"/>
    <cellStyle name="Normal 2 2 3 2 2 2 2 2 2" xfId="25022" xr:uid="{00000000-0005-0000-0000-0000C2610000}"/>
    <cellStyle name="Normal 2 2 3 2 2 2 2 3" xfId="22187" xr:uid="{00000000-0005-0000-0000-0000AF560000}"/>
    <cellStyle name="Normal 2 2 3 2 2 2 3" xfId="17100" xr:uid="{00000000-0005-0000-0000-0000D0420000}"/>
    <cellStyle name="Normal 2 2 3 2 2 2 3 2" xfId="23757" xr:uid="{00000000-0005-0000-0000-0000D15C0000}"/>
    <cellStyle name="Normal 2 2 3 2 2 2 4" xfId="20625" xr:uid="{00000000-0005-0000-0000-000095500000}"/>
    <cellStyle name="Normal 2 2 3 2 2 2 5" xfId="8420" xr:uid="{00000000-0005-0000-0000-0000E8200000}"/>
    <cellStyle name="Normal 2 2 3 2 2 3" xfId="9146" xr:uid="{00000000-0005-0000-0000-0000BE230000}"/>
    <cellStyle name="Normal 2 2 3 2 2 3 2" xfId="10487" xr:uid="{00000000-0005-0000-0000-0000FB280000}"/>
    <cellStyle name="Normal 2 2 3 2 2 3 2 2" xfId="18715" xr:uid="{00000000-0005-0000-0000-00001F490000}"/>
    <cellStyle name="Normal 2 2 3 2 2 3 2 2 2" xfId="25227" xr:uid="{00000000-0005-0000-0000-00008F620000}"/>
    <cellStyle name="Normal 2 2 3 2 2 3 2 3" xfId="22392" xr:uid="{00000000-0005-0000-0000-00007C570000}"/>
    <cellStyle name="Normal 2 2 3 2 2 3 3" xfId="17395" xr:uid="{00000000-0005-0000-0000-0000F7430000}"/>
    <cellStyle name="Normal 2 2 3 2 2 3 3 2" xfId="23971" xr:uid="{00000000-0005-0000-0000-0000A75D0000}"/>
    <cellStyle name="Normal 2 2 3 2 2 3 4" xfId="21136" xr:uid="{00000000-0005-0000-0000-000094520000}"/>
    <cellStyle name="Normal 2 2 3 2 2 4" xfId="9864" xr:uid="{00000000-0005-0000-0000-00008C260000}"/>
    <cellStyle name="Normal 2 2 3 2 2 4 2" xfId="18092" xr:uid="{00000000-0005-0000-0000-0000B0460000}"/>
    <cellStyle name="Normal 2 2 3 2 2 4 2 2" xfId="24604" xr:uid="{00000000-0005-0000-0000-000020600000}"/>
    <cellStyle name="Normal 2 2 3 2 2 4 3" xfId="21769" xr:uid="{00000000-0005-0000-0000-00000D550000}"/>
    <cellStyle name="Normal 2 2 3 2 2 5" xfId="10908" xr:uid="{00000000-0005-0000-0000-0000A02A0000}"/>
    <cellStyle name="Normal 2 2 3 2 2 5 2" xfId="22804" xr:uid="{00000000-0005-0000-0000-000018590000}"/>
    <cellStyle name="Normal 2 2 3 2 2 6" xfId="20207" xr:uid="{00000000-0005-0000-0000-0000F34E0000}"/>
    <cellStyle name="Normal 2 2 3 2 2 7" xfId="8001" xr:uid="{00000000-0005-0000-0000-0000451F0000}"/>
    <cellStyle name="Normal 2 2 3 2 3" xfId="3331" xr:uid="{00000000-0005-0000-0000-0000070D0000}"/>
    <cellStyle name="Normal 2 2 3 2 3 2" xfId="4373" xr:uid="{00000000-0005-0000-0000-000019110000}"/>
    <cellStyle name="Normal 2 2 3 2 3 2 2" xfId="18301" xr:uid="{00000000-0005-0000-0000-000081470000}"/>
    <cellStyle name="Normal 2 2 3 2 3 2 2 2" xfId="24813" xr:uid="{00000000-0005-0000-0000-0000F1600000}"/>
    <cellStyle name="Normal 2 2 3 2 3 2 3" xfId="21978" xr:uid="{00000000-0005-0000-0000-0000DE550000}"/>
    <cellStyle name="Normal 2 2 3 2 3 2 4" xfId="10073" xr:uid="{00000000-0005-0000-0000-00005D270000}"/>
    <cellStyle name="Normal 2 2 3 2 3 3" xfId="16892" xr:uid="{00000000-0005-0000-0000-000000420000}"/>
    <cellStyle name="Normal 2 2 3 2 3 3 2" xfId="23549" xr:uid="{00000000-0005-0000-0000-0000015C0000}"/>
    <cellStyle name="Normal 2 2 3 2 3 4" xfId="20416" xr:uid="{00000000-0005-0000-0000-0000C44F0000}"/>
    <cellStyle name="Normal 2 2 3 2 3 5" xfId="8211" xr:uid="{00000000-0005-0000-0000-000017200000}"/>
    <cellStyle name="Normal 2 2 3 2 4" xfId="3953" xr:uid="{00000000-0005-0000-0000-0000750F0000}"/>
    <cellStyle name="Normal 2 2 3 2 4 2" xfId="10486" xr:uid="{00000000-0005-0000-0000-0000FA280000}"/>
    <cellStyle name="Normal 2 2 3 2 4 2 2" xfId="18714" xr:uid="{00000000-0005-0000-0000-00001E490000}"/>
    <cellStyle name="Normal 2 2 3 2 4 2 2 2" xfId="25226" xr:uid="{00000000-0005-0000-0000-00008E620000}"/>
    <cellStyle name="Normal 2 2 3 2 4 2 3" xfId="22391" xr:uid="{00000000-0005-0000-0000-00007B570000}"/>
    <cellStyle name="Normal 2 2 3 2 4 3" xfId="17394" xr:uid="{00000000-0005-0000-0000-0000F6430000}"/>
    <cellStyle name="Normal 2 2 3 2 4 3 2" xfId="23970" xr:uid="{00000000-0005-0000-0000-0000A65D0000}"/>
    <cellStyle name="Normal 2 2 3 2 4 4" xfId="21135" xr:uid="{00000000-0005-0000-0000-000093520000}"/>
    <cellStyle name="Normal 2 2 3 2 4 5" xfId="9145" xr:uid="{00000000-0005-0000-0000-0000BD230000}"/>
    <cellStyle name="Normal 2 2 3 2 5" xfId="9655" xr:uid="{00000000-0005-0000-0000-0000BB250000}"/>
    <cellStyle name="Normal 2 2 3 2 5 2" xfId="17883" xr:uid="{00000000-0005-0000-0000-0000DF450000}"/>
    <cellStyle name="Normal 2 2 3 2 5 2 2" xfId="24395" xr:uid="{00000000-0005-0000-0000-00004F5F0000}"/>
    <cellStyle name="Normal 2 2 3 2 5 3" xfId="21560" xr:uid="{00000000-0005-0000-0000-00003C540000}"/>
    <cellStyle name="Normal 2 2 3 2 6" xfId="10907" xr:uid="{00000000-0005-0000-0000-00009F2A0000}"/>
    <cellStyle name="Normal 2 2 3 2 6 2" xfId="22803" xr:uid="{00000000-0005-0000-0000-000017590000}"/>
    <cellStyle name="Normal 2 2 3 2 7" xfId="19998" xr:uid="{00000000-0005-0000-0000-0000224E0000}"/>
    <cellStyle name="Normal 2 2 3 2 8" xfId="7759" xr:uid="{00000000-0005-0000-0000-0000531E0000}"/>
    <cellStyle name="Normal 2 2 3 3" xfId="1070" xr:uid="{00000000-0005-0000-0000-000032040000}"/>
    <cellStyle name="Normal 2 2 3 3 2" xfId="3661" xr:uid="{00000000-0005-0000-0000-0000510E0000}"/>
    <cellStyle name="Normal 2 2 3 3 3" xfId="10909" xr:uid="{00000000-0005-0000-0000-0000A12A0000}"/>
    <cellStyle name="Normal 2 2 3 4" xfId="2984" xr:uid="{00000000-0005-0000-0000-0000AC0B0000}"/>
    <cellStyle name="Normal 2 2 3 4 2" xfId="4058" xr:uid="{00000000-0005-0000-0000-0000DE0F0000}"/>
    <cellStyle name="Normal 2 2 3 4 2 2" xfId="22802" xr:uid="{00000000-0005-0000-0000-000016590000}"/>
    <cellStyle name="Normal 2 2 3 4 3" xfId="10906" xr:uid="{00000000-0005-0000-0000-00009E2A0000}"/>
    <cellStyle name="Normal 2 2 3 5" xfId="3210" xr:uid="{00000000-0005-0000-0000-00008E0C0000}"/>
    <cellStyle name="Normal 2 2 3 5 2" xfId="4268" xr:uid="{00000000-0005-0000-0000-0000B0100000}"/>
    <cellStyle name="Normal 2 2 4" xfId="1071" xr:uid="{00000000-0005-0000-0000-000033040000}"/>
    <cellStyle name="Normal 2 2 4 2" xfId="2216" xr:uid="{00000000-0005-0000-0000-0000AC080000}"/>
    <cellStyle name="Normal 2 2 4 2 2" xfId="3106" xr:uid="{00000000-0005-0000-0000-0000260C0000}"/>
    <cellStyle name="Normal 2 2 4 2 2 2" xfId="4164" xr:uid="{00000000-0005-0000-0000-000048100000}"/>
    <cellStyle name="Normal 2 2 4 2 2 2 2" xfId="23137" xr:uid="{00000000-0005-0000-0000-0000655A0000}"/>
    <cellStyle name="Normal 2 2 4 2 2 3" xfId="12737" xr:uid="{00000000-0005-0000-0000-0000C5310000}"/>
    <cellStyle name="Normal 2 2 4 2 3" xfId="3332" xr:uid="{00000000-0005-0000-0000-0000080D0000}"/>
    <cellStyle name="Normal 2 2 4 2 3 2" xfId="4374" xr:uid="{00000000-0005-0000-0000-00001A110000}"/>
    <cellStyle name="Normal 2 2 4 2 4" xfId="3954" xr:uid="{00000000-0005-0000-0000-0000760F0000}"/>
    <cellStyle name="Normal 2 2 4 2 5" xfId="6261" xr:uid="{00000000-0005-0000-0000-000079180000}"/>
    <cellStyle name="Normal 2 2 4 3" xfId="2985" xr:uid="{00000000-0005-0000-0000-0000AD0B0000}"/>
    <cellStyle name="Normal 2 2 4 3 2" xfId="4059" xr:uid="{00000000-0005-0000-0000-0000DF0F0000}"/>
    <cellStyle name="Normal 2 2 4 3 2 2" xfId="8421" xr:uid="{00000000-0005-0000-0000-0000E9200000}"/>
    <cellStyle name="Normal 2 2 4 3 2 2 2" xfId="10283" xr:uid="{00000000-0005-0000-0000-00002F280000}"/>
    <cellStyle name="Normal 2 2 4 3 2 2 2 2" xfId="18511" xr:uid="{00000000-0005-0000-0000-000053480000}"/>
    <cellStyle name="Normal 2 2 4 3 2 2 2 2 2" xfId="25023" xr:uid="{00000000-0005-0000-0000-0000C3610000}"/>
    <cellStyle name="Normal 2 2 4 3 2 2 2 3" xfId="22188" xr:uid="{00000000-0005-0000-0000-0000B0560000}"/>
    <cellStyle name="Normal 2 2 4 3 2 2 3" xfId="17101" xr:uid="{00000000-0005-0000-0000-0000D1420000}"/>
    <cellStyle name="Normal 2 2 4 3 2 2 3 2" xfId="23758" xr:uid="{00000000-0005-0000-0000-0000D25C0000}"/>
    <cellStyle name="Normal 2 2 4 3 2 2 4" xfId="20626" xr:uid="{00000000-0005-0000-0000-000096500000}"/>
    <cellStyle name="Normal 2 2 4 3 2 3" xfId="9148" xr:uid="{00000000-0005-0000-0000-0000C0230000}"/>
    <cellStyle name="Normal 2 2 4 3 2 3 2" xfId="10489" xr:uid="{00000000-0005-0000-0000-0000FD280000}"/>
    <cellStyle name="Normal 2 2 4 3 2 3 2 2" xfId="18717" xr:uid="{00000000-0005-0000-0000-000021490000}"/>
    <cellStyle name="Normal 2 2 4 3 2 3 2 2 2" xfId="25229" xr:uid="{00000000-0005-0000-0000-000091620000}"/>
    <cellStyle name="Normal 2 2 4 3 2 3 2 3" xfId="22394" xr:uid="{00000000-0005-0000-0000-00007E570000}"/>
    <cellStyle name="Normal 2 2 4 3 2 3 3" xfId="17397" xr:uid="{00000000-0005-0000-0000-0000F9430000}"/>
    <cellStyle name="Normal 2 2 4 3 2 3 3 2" xfId="23973" xr:uid="{00000000-0005-0000-0000-0000A95D0000}"/>
    <cellStyle name="Normal 2 2 4 3 2 3 4" xfId="21138" xr:uid="{00000000-0005-0000-0000-000096520000}"/>
    <cellStyle name="Normal 2 2 4 3 2 4" xfId="9865" xr:uid="{00000000-0005-0000-0000-00008D260000}"/>
    <cellStyle name="Normal 2 2 4 3 2 4 2" xfId="18093" xr:uid="{00000000-0005-0000-0000-0000B1460000}"/>
    <cellStyle name="Normal 2 2 4 3 2 4 2 2" xfId="24605" xr:uid="{00000000-0005-0000-0000-000021600000}"/>
    <cellStyle name="Normal 2 2 4 3 2 4 3" xfId="21770" xr:uid="{00000000-0005-0000-0000-00000E550000}"/>
    <cellStyle name="Normal 2 2 4 3 2 5" xfId="10912" xr:uid="{00000000-0005-0000-0000-0000A42A0000}"/>
    <cellStyle name="Normal 2 2 4 3 2 5 2" xfId="22807" xr:uid="{00000000-0005-0000-0000-00001B590000}"/>
    <cellStyle name="Normal 2 2 4 3 2 6" xfId="20208" xr:uid="{00000000-0005-0000-0000-0000F44E0000}"/>
    <cellStyle name="Normal 2 2 4 3 2 7" xfId="8002" xr:uid="{00000000-0005-0000-0000-0000461F0000}"/>
    <cellStyle name="Normal 2 2 4 3 3" xfId="8212" xr:uid="{00000000-0005-0000-0000-000018200000}"/>
    <cellStyle name="Normal 2 2 4 3 3 2" xfId="10074" xr:uid="{00000000-0005-0000-0000-00005E270000}"/>
    <cellStyle name="Normal 2 2 4 3 3 2 2" xfId="18302" xr:uid="{00000000-0005-0000-0000-000082470000}"/>
    <cellStyle name="Normal 2 2 4 3 3 2 2 2" xfId="24814" xr:uid="{00000000-0005-0000-0000-0000F2600000}"/>
    <cellStyle name="Normal 2 2 4 3 3 2 3" xfId="21979" xr:uid="{00000000-0005-0000-0000-0000DF550000}"/>
    <cellStyle name="Normal 2 2 4 3 3 3" xfId="16893" xr:uid="{00000000-0005-0000-0000-000001420000}"/>
    <cellStyle name="Normal 2 2 4 3 3 3 2" xfId="23550" xr:uid="{00000000-0005-0000-0000-0000025C0000}"/>
    <cellStyle name="Normal 2 2 4 3 3 4" xfId="20417" xr:uid="{00000000-0005-0000-0000-0000C54F0000}"/>
    <cellStyle name="Normal 2 2 4 3 4" xfId="9147" xr:uid="{00000000-0005-0000-0000-0000BF230000}"/>
    <cellStyle name="Normal 2 2 4 3 4 2" xfId="10488" xr:uid="{00000000-0005-0000-0000-0000FC280000}"/>
    <cellStyle name="Normal 2 2 4 3 4 2 2" xfId="18716" xr:uid="{00000000-0005-0000-0000-000020490000}"/>
    <cellStyle name="Normal 2 2 4 3 4 2 2 2" xfId="25228" xr:uid="{00000000-0005-0000-0000-000090620000}"/>
    <cellStyle name="Normal 2 2 4 3 4 2 3" xfId="22393" xr:uid="{00000000-0005-0000-0000-00007D570000}"/>
    <cellStyle name="Normal 2 2 4 3 4 3" xfId="17396" xr:uid="{00000000-0005-0000-0000-0000F8430000}"/>
    <cellStyle name="Normal 2 2 4 3 4 3 2" xfId="23972" xr:uid="{00000000-0005-0000-0000-0000A85D0000}"/>
    <cellStyle name="Normal 2 2 4 3 4 4" xfId="21137" xr:uid="{00000000-0005-0000-0000-000095520000}"/>
    <cellStyle name="Normal 2 2 4 3 5" xfId="9656" xr:uid="{00000000-0005-0000-0000-0000BC250000}"/>
    <cellStyle name="Normal 2 2 4 3 5 2" xfId="17884" xr:uid="{00000000-0005-0000-0000-0000E0450000}"/>
    <cellStyle name="Normal 2 2 4 3 5 2 2" xfId="24396" xr:uid="{00000000-0005-0000-0000-0000505F0000}"/>
    <cellStyle name="Normal 2 2 4 3 5 3" xfId="21561" xr:uid="{00000000-0005-0000-0000-00003D540000}"/>
    <cellStyle name="Normal 2 2 4 3 6" xfId="10911" xr:uid="{00000000-0005-0000-0000-0000A32A0000}"/>
    <cellStyle name="Normal 2 2 4 3 6 2" xfId="22806" xr:uid="{00000000-0005-0000-0000-00001A590000}"/>
    <cellStyle name="Normal 2 2 4 3 7" xfId="19999" xr:uid="{00000000-0005-0000-0000-0000234E0000}"/>
    <cellStyle name="Normal 2 2 4 3 8" xfId="7760" xr:uid="{00000000-0005-0000-0000-0000541E0000}"/>
    <cellStyle name="Normal 2 2 4 4" xfId="3211" xr:uid="{00000000-0005-0000-0000-00008F0C0000}"/>
    <cellStyle name="Normal 2 2 4 4 2" xfId="4269" xr:uid="{00000000-0005-0000-0000-0000B1100000}"/>
    <cellStyle name="Normal 2 2 4 4 3" xfId="8868" xr:uid="{00000000-0005-0000-0000-0000A8220000}"/>
    <cellStyle name="Normal 2 2 4 5" xfId="3662" xr:uid="{00000000-0005-0000-0000-0000520E0000}"/>
    <cellStyle name="Normal 2 2 4 5 2" xfId="8738" xr:uid="{00000000-0005-0000-0000-000026220000}"/>
    <cellStyle name="Normal 2 2 4 6" xfId="10910" xr:uid="{00000000-0005-0000-0000-0000A22A0000}"/>
    <cellStyle name="Normal 2 2 4 6 2" xfId="22805" xr:uid="{00000000-0005-0000-0000-000019590000}"/>
    <cellStyle name="Normal 2 2 4 7" xfId="4507" xr:uid="{00000000-0005-0000-0000-00009F110000}"/>
    <cellStyle name="Normal 2 2 5" xfId="1072" xr:uid="{00000000-0005-0000-0000-000034040000}"/>
    <cellStyle name="Normal 2 2 5 2" xfId="2217" xr:uid="{00000000-0005-0000-0000-0000AD080000}"/>
    <cellStyle name="Normal 2 2 5 2 2" xfId="3107" xr:uid="{00000000-0005-0000-0000-0000270C0000}"/>
    <cellStyle name="Normal 2 2 5 2 2 2" xfId="4165" xr:uid="{00000000-0005-0000-0000-000049100000}"/>
    <cellStyle name="Normal 2 2 5 2 2 2 2" xfId="10212" xr:uid="{00000000-0005-0000-0000-0000E8270000}"/>
    <cellStyle name="Normal 2 2 5 2 2 2 2 2" xfId="18440" xr:uid="{00000000-0005-0000-0000-00000C480000}"/>
    <cellStyle name="Normal 2 2 5 2 2 2 2 2 2" xfId="24952" xr:uid="{00000000-0005-0000-0000-00007C610000}"/>
    <cellStyle name="Normal 2 2 5 2 2 2 2 3" xfId="22117" xr:uid="{00000000-0005-0000-0000-000069560000}"/>
    <cellStyle name="Normal 2 2 5 2 2 2 3" xfId="17030" xr:uid="{00000000-0005-0000-0000-00008A420000}"/>
    <cellStyle name="Normal 2 2 5 2 2 2 3 2" xfId="23687" xr:uid="{00000000-0005-0000-0000-00008B5C0000}"/>
    <cellStyle name="Normal 2 2 5 2 2 2 4" xfId="20555" xr:uid="{00000000-0005-0000-0000-00004F500000}"/>
    <cellStyle name="Normal 2 2 5 2 2 2 5" xfId="8350" xr:uid="{00000000-0005-0000-0000-0000A2200000}"/>
    <cellStyle name="Normal 2 2 5 2 2 3" xfId="9150" xr:uid="{00000000-0005-0000-0000-0000C2230000}"/>
    <cellStyle name="Normal 2 2 5 2 2 3 2" xfId="10491" xr:uid="{00000000-0005-0000-0000-0000FF280000}"/>
    <cellStyle name="Normal 2 2 5 2 2 3 2 2" xfId="18719" xr:uid="{00000000-0005-0000-0000-000023490000}"/>
    <cellStyle name="Normal 2 2 5 2 2 3 2 2 2" xfId="25231" xr:uid="{00000000-0005-0000-0000-000093620000}"/>
    <cellStyle name="Normal 2 2 5 2 2 3 2 3" xfId="22396" xr:uid="{00000000-0005-0000-0000-000080570000}"/>
    <cellStyle name="Normal 2 2 5 2 2 3 3" xfId="17399" xr:uid="{00000000-0005-0000-0000-0000FB430000}"/>
    <cellStyle name="Normal 2 2 5 2 2 3 3 2" xfId="23975" xr:uid="{00000000-0005-0000-0000-0000AB5D0000}"/>
    <cellStyle name="Normal 2 2 5 2 2 3 4" xfId="21140" xr:uid="{00000000-0005-0000-0000-000098520000}"/>
    <cellStyle name="Normal 2 2 5 2 2 4" xfId="9794" xr:uid="{00000000-0005-0000-0000-000046260000}"/>
    <cellStyle name="Normal 2 2 5 2 2 4 2" xfId="18022" xr:uid="{00000000-0005-0000-0000-00006A460000}"/>
    <cellStyle name="Normal 2 2 5 2 2 4 2 2" xfId="24534" xr:uid="{00000000-0005-0000-0000-0000DA5F0000}"/>
    <cellStyle name="Normal 2 2 5 2 2 4 3" xfId="21699" xr:uid="{00000000-0005-0000-0000-0000C7540000}"/>
    <cellStyle name="Normal 2 2 5 2 2 5" xfId="10915" xr:uid="{00000000-0005-0000-0000-0000A72A0000}"/>
    <cellStyle name="Normal 2 2 5 2 2 5 2" xfId="22810" xr:uid="{00000000-0005-0000-0000-00001E590000}"/>
    <cellStyle name="Normal 2 2 5 2 2 6" xfId="20137" xr:uid="{00000000-0005-0000-0000-0000AD4E0000}"/>
    <cellStyle name="Normal 2 2 5 2 2 7" xfId="7931" xr:uid="{00000000-0005-0000-0000-0000FF1E0000}"/>
    <cellStyle name="Normal 2 2 5 2 3" xfId="3333" xr:uid="{00000000-0005-0000-0000-0000090D0000}"/>
    <cellStyle name="Normal 2 2 5 2 3 2" xfId="4375" xr:uid="{00000000-0005-0000-0000-00001B110000}"/>
    <cellStyle name="Normal 2 2 5 2 3 2 2" xfId="18231" xr:uid="{00000000-0005-0000-0000-00003B470000}"/>
    <cellStyle name="Normal 2 2 5 2 3 2 2 2" xfId="24743" xr:uid="{00000000-0005-0000-0000-0000AB600000}"/>
    <cellStyle name="Normal 2 2 5 2 3 2 3" xfId="21908" xr:uid="{00000000-0005-0000-0000-000098550000}"/>
    <cellStyle name="Normal 2 2 5 2 3 2 4" xfId="10003" xr:uid="{00000000-0005-0000-0000-000017270000}"/>
    <cellStyle name="Normal 2 2 5 2 3 3" xfId="16830" xr:uid="{00000000-0005-0000-0000-0000C2410000}"/>
    <cellStyle name="Normal 2 2 5 2 3 3 2" xfId="23489" xr:uid="{00000000-0005-0000-0000-0000C55B0000}"/>
    <cellStyle name="Normal 2 2 5 2 3 4" xfId="20346" xr:uid="{00000000-0005-0000-0000-00007E4F0000}"/>
    <cellStyle name="Normal 2 2 5 2 3 5" xfId="8141" xr:uid="{00000000-0005-0000-0000-0000D11F0000}"/>
    <cellStyle name="Normal 2 2 5 2 4" xfId="3955" xr:uid="{00000000-0005-0000-0000-0000770F0000}"/>
    <cellStyle name="Normal 2 2 5 2 4 2" xfId="10490" xr:uid="{00000000-0005-0000-0000-0000FE280000}"/>
    <cellStyle name="Normal 2 2 5 2 4 2 2" xfId="18718" xr:uid="{00000000-0005-0000-0000-000022490000}"/>
    <cellStyle name="Normal 2 2 5 2 4 2 2 2" xfId="25230" xr:uid="{00000000-0005-0000-0000-000092620000}"/>
    <cellStyle name="Normal 2 2 5 2 4 2 3" xfId="22395" xr:uid="{00000000-0005-0000-0000-00007F570000}"/>
    <cellStyle name="Normal 2 2 5 2 4 3" xfId="17398" xr:uid="{00000000-0005-0000-0000-0000FA430000}"/>
    <cellStyle name="Normal 2 2 5 2 4 3 2" xfId="23974" xr:uid="{00000000-0005-0000-0000-0000AA5D0000}"/>
    <cellStyle name="Normal 2 2 5 2 4 4" xfId="21139" xr:uid="{00000000-0005-0000-0000-000097520000}"/>
    <cellStyle name="Normal 2 2 5 2 4 5" xfId="9149" xr:uid="{00000000-0005-0000-0000-0000C1230000}"/>
    <cellStyle name="Normal 2 2 5 2 5" xfId="9585" xr:uid="{00000000-0005-0000-0000-000075250000}"/>
    <cellStyle name="Normal 2 2 5 2 5 2" xfId="17813" xr:uid="{00000000-0005-0000-0000-000099450000}"/>
    <cellStyle name="Normal 2 2 5 2 5 2 2" xfId="24325" xr:uid="{00000000-0005-0000-0000-0000095F0000}"/>
    <cellStyle name="Normal 2 2 5 2 5 3" xfId="21490" xr:uid="{00000000-0005-0000-0000-0000F6530000}"/>
    <cellStyle name="Normal 2 2 5 2 6" xfId="10914" xr:uid="{00000000-0005-0000-0000-0000A62A0000}"/>
    <cellStyle name="Normal 2 2 5 2 6 2" xfId="22809" xr:uid="{00000000-0005-0000-0000-00001D590000}"/>
    <cellStyle name="Normal 2 2 5 2 7" xfId="19702" xr:uid="{00000000-0005-0000-0000-0000FA4C0000}"/>
    <cellStyle name="Normal 2 2 5 2 8" xfId="6262" xr:uid="{00000000-0005-0000-0000-00007A180000}"/>
    <cellStyle name="Normal 2 2 5 3" xfId="2986" xr:uid="{00000000-0005-0000-0000-0000AE0B0000}"/>
    <cellStyle name="Normal 2 2 5 3 2" xfId="4060" xr:uid="{00000000-0005-0000-0000-0000E00F0000}"/>
    <cellStyle name="Normal 2 2 5 3 2 2" xfId="8422" xr:uid="{00000000-0005-0000-0000-0000EA200000}"/>
    <cellStyle name="Normal 2 2 5 3 2 2 2" xfId="10284" xr:uid="{00000000-0005-0000-0000-000030280000}"/>
    <cellStyle name="Normal 2 2 5 3 2 2 2 2" xfId="18512" xr:uid="{00000000-0005-0000-0000-000054480000}"/>
    <cellStyle name="Normal 2 2 5 3 2 2 2 2 2" xfId="25024" xr:uid="{00000000-0005-0000-0000-0000C4610000}"/>
    <cellStyle name="Normal 2 2 5 3 2 2 2 3" xfId="22189" xr:uid="{00000000-0005-0000-0000-0000B1560000}"/>
    <cellStyle name="Normal 2 2 5 3 2 2 3" xfId="17102" xr:uid="{00000000-0005-0000-0000-0000D2420000}"/>
    <cellStyle name="Normal 2 2 5 3 2 2 3 2" xfId="23759" xr:uid="{00000000-0005-0000-0000-0000D35C0000}"/>
    <cellStyle name="Normal 2 2 5 3 2 2 4" xfId="20627" xr:uid="{00000000-0005-0000-0000-000097500000}"/>
    <cellStyle name="Normal 2 2 5 3 2 3" xfId="9152" xr:uid="{00000000-0005-0000-0000-0000C4230000}"/>
    <cellStyle name="Normal 2 2 5 3 2 3 2" xfId="10493" xr:uid="{00000000-0005-0000-0000-000001290000}"/>
    <cellStyle name="Normal 2 2 5 3 2 3 2 2" xfId="18721" xr:uid="{00000000-0005-0000-0000-000025490000}"/>
    <cellStyle name="Normal 2 2 5 3 2 3 2 2 2" xfId="25233" xr:uid="{00000000-0005-0000-0000-000095620000}"/>
    <cellStyle name="Normal 2 2 5 3 2 3 2 3" xfId="22398" xr:uid="{00000000-0005-0000-0000-000082570000}"/>
    <cellStyle name="Normal 2 2 5 3 2 3 3" xfId="17401" xr:uid="{00000000-0005-0000-0000-0000FD430000}"/>
    <cellStyle name="Normal 2 2 5 3 2 3 3 2" xfId="23977" xr:uid="{00000000-0005-0000-0000-0000AD5D0000}"/>
    <cellStyle name="Normal 2 2 5 3 2 3 4" xfId="21142" xr:uid="{00000000-0005-0000-0000-00009A520000}"/>
    <cellStyle name="Normal 2 2 5 3 2 4" xfId="9866" xr:uid="{00000000-0005-0000-0000-00008E260000}"/>
    <cellStyle name="Normal 2 2 5 3 2 4 2" xfId="18094" xr:uid="{00000000-0005-0000-0000-0000B2460000}"/>
    <cellStyle name="Normal 2 2 5 3 2 4 2 2" xfId="24606" xr:uid="{00000000-0005-0000-0000-000022600000}"/>
    <cellStyle name="Normal 2 2 5 3 2 4 3" xfId="21771" xr:uid="{00000000-0005-0000-0000-00000F550000}"/>
    <cellStyle name="Normal 2 2 5 3 2 5" xfId="10917" xr:uid="{00000000-0005-0000-0000-0000A92A0000}"/>
    <cellStyle name="Normal 2 2 5 3 2 5 2" xfId="22812" xr:uid="{00000000-0005-0000-0000-000020590000}"/>
    <cellStyle name="Normal 2 2 5 3 2 6" xfId="20209" xr:uid="{00000000-0005-0000-0000-0000F54E0000}"/>
    <cellStyle name="Normal 2 2 5 3 2 7" xfId="8003" xr:uid="{00000000-0005-0000-0000-0000471F0000}"/>
    <cellStyle name="Normal 2 2 5 3 3" xfId="8213" xr:uid="{00000000-0005-0000-0000-000019200000}"/>
    <cellStyle name="Normal 2 2 5 3 3 2" xfId="10075" xr:uid="{00000000-0005-0000-0000-00005F270000}"/>
    <cellStyle name="Normal 2 2 5 3 3 2 2" xfId="18303" xr:uid="{00000000-0005-0000-0000-000083470000}"/>
    <cellStyle name="Normal 2 2 5 3 3 2 2 2" xfId="24815" xr:uid="{00000000-0005-0000-0000-0000F3600000}"/>
    <cellStyle name="Normal 2 2 5 3 3 2 3" xfId="21980" xr:uid="{00000000-0005-0000-0000-0000E0550000}"/>
    <cellStyle name="Normal 2 2 5 3 3 3" xfId="16894" xr:uid="{00000000-0005-0000-0000-000002420000}"/>
    <cellStyle name="Normal 2 2 5 3 3 3 2" xfId="23551" xr:uid="{00000000-0005-0000-0000-0000035C0000}"/>
    <cellStyle name="Normal 2 2 5 3 3 4" xfId="20418" xr:uid="{00000000-0005-0000-0000-0000C64F0000}"/>
    <cellStyle name="Normal 2 2 5 3 4" xfId="9151" xr:uid="{00000000-0005-0000-0000-0000C3230000}"/>
    <cellStyle name="Normal 2 2 5 3 4 2" xfId="10492" xr:uid="{00000000-0005-0000-0000-000000290000}"/>
    <cellStyle name="Normal 2 2 5 3 4 2 2" xfId="18720" xr:uid="{00000000-0005-0000-0000-000024490000}"/>
    <cellStyle name="Normal 2 2 5 3 4 2 2 2" xfId="25232" xr:uid="{00000000-0005-0000-0000-000094620000}"/>
    <cellStyle name="Normal 2 2 5 3 4 2 3" xfId="22397" xr:uid="{00000000-0005-0000-0000-000081570000}"/>
    <cellStyle name="Normal 2 2 5 3 4 3" xfId="17400" xr:uid="{00000000-0005-0000-0000-0000FC430000}"/>
    <cellStyle name="Normal 2 2 5 3 4 3 2" xfId="23976" xr:uid="{00000000-0005-0000-0000-0000AC5D0000}"/>
    <cellStyle name="Normal 2 2 5 3 4 4" xfId="21141" xr:uid="{00000000-0005-0000-0000-000099520000}"/>
    <cellStyle name="Normal 2 2 5 3 5" xfId="9657" xr:uid="{00000000-0005-0000-0000-0000BD250000}"/>
    <cellStyle name="Normal 2 2 5 3 5 2" xfId="17885" xr:uid="{00000000-0005-0000-0000-0000E1450000}"/>
    <cellStyle name="Normal 2 2 5 3 5 2 2" xfId="24397" xr:uid="{00000000-0005-0000-0000-0000515F0000}"/>
    <cellStyle name="Normal 2 2 5 3 5 3" xfId="21562" xr:uid="{00000000-0005-0000-0000-00003E540000}"/>
    <cellStyle name="Normal 2 2 5 3 6" xfId="10916" xr:uid="{00000000-0005-0000-0000-0000A82A0000}"/>
    <cellStyle name="Normal 2 2 5 3 6 2" xfId="22811" xr:uid="{00000000-0005-0000-0000-00001F590000}"/>
    <cellStyle name="Normal 2 2 5 3 7" xfId="20000" xr:uid="{00000000-0005-0000-0000-0000244E0000}"/>
    <cellStyle name="Normal 2 2 5 3 8" xfId="7761" xr:uid="{00000000-0005-0000-0000-0000551E0000}"/>
    <cellStyle name="Normal 2 2 5 4" xfId="3212" xr:uid="{00000000-0005-0000-0000-0000900C0000}"/>
    <cellStyle name="Normal 2 2 5 4 2" xfId="4270" xr:uid="{00000000-0005-0000-0000-0000B2100000}"/>
    <cellStyle name="Normal 2 2 5 4 3" xfId="8869" xr:uid="{00000000-0005-0000-0000-0000A9220000}"/>
    <cellStyle name="Normal 2 2 5 5" xfId="3663" xr:uid="{00000000-0005-0000-0000-0000530E0000}"/>
    <cellStyle name="Normal 2 2 5 5 2" xfId="8739" xr:uid="{00000000-0005-0000-0000-000027220000}"/>
    <cellStyle name="Normal 2 2 5 6" xfId="10913" xr:uid="{00000000-0005-0000-0000-0000A52A0000}"/>
    <cellStyle name="Normal 2 2 5 6 2" xfId="22808" xr:uid="{00000000-0005-0000-0000-00001C590000}"/>
    <cellStyle name="Normal 2 2 5 7" xfId="4508" xr:uid="{00000000-0005-0000-0000-0000A0110000}"/>
    <cellStyle name="Normal 2 2 6" xfId="1073" xr:uid="{00000000-0005-0000-0000-000035040000}"/>
    <cellStyle name="Normal 2 2 6 2" xfId="2218" xr:uid="{00000000-0005-0000-0000-0000AE080000}"/>
    <cellStyle name="Normal 2 2 6 2 2" xfId="3108" xr:uid="{00000000-0005-0000-0000-0000280C0000}"/>
    <cellStyle name="Normal 2 2 6 2 2 2" xfId="4166" xr:uid="{00000000-0005-0000-0000-00004A100000}"/>
    <cellStyle name="Normal 2 2 6 2 2 2 2" xfId="10285" xr:uid="{00000000-0005-0000-0000-000031280000}"/>
    <cellStyle name="Normal 2 2 6 2 2 2 2 2" xfId="18513" xr:uid="{00000000-0005-0000-0000-000055480000}"/>
    <cellStyle name="Normal 2 2 6 2 2 2 2 2 2" xfId="25025" xr:uid="{00000000-0005-0000-0000-0000C5610000}"/>
    <cellStyle name="Normal 2 2 6 2 2 2 2 3" xfId="22190" xr:uid="{00000000-0005-0000-0000-0000B2560000}"/>
    <cellStyle name="Normal 2 2 6 2 2 2 3" xfId="17103" xr:uid="{00000000-0005-0000-0000-0000D3420000}"/>
    <cellStyle name="Normal 2 2 6 2 2 2 3 2" xfId="23760" xr:uid="{00000000-0005-0000-0000-0000D45C0000}"/>
    <cellStyle name="Normal 2 2 6 2 2 2 4" xfId="20628" xr:uid="{00000000-0005-0000-0000-000098500000}"/>
    <cellStyle name="Normal 2 2 6 2 2 2 5" xfId="8423" xr:uid="{00000000-0005-0000-0000-0000EB200000}"/>
    <cellStyle name="Normal 2 2 6 2 2 3" xfId="9155" xr:uid="{00000000-0005-0000-0000-0000C7230000}"/>
    <cellStyle name="Normal 2 2 6 2 2 3 2" xfId="10495" xr:uid="{00000000-0005-0000-0000-000003290000}"/>
    <cellStyle name="Normal 2 2 6 2 2 3 2 2" xfId="18723" xr:uid="{00000000-0005-0000-0000-000027490000}"/>
    <cellStyle name="Normal 2 2 6 2 2 3 2 2 2" xfId="25235" xr:uid="{00000000-0005-0000-0000-000097620000}"/>
    <cellStyle name="Normal 2 2 6 2 2 3 2 3" xfId="22400" xr:uid="{00000000-0005-0000-0000-000084570000}"/>
    <cellStyle name="Normal 2 2 6 2 2 3 3" xfId="17403" xr:uid="{00000000-0005-0000-0000-0000FF430000}"/>
    <cellStyle name="Normal 2 2 6 2 2 3 3 2" xfId="23979" xr:uid="{00000000-0005-0000-0000-0000AF5D0000}"/>
    <cellStyle name="Normal 2 2 6 2 2 3 4" xfId="21144" xr:uid="{00000000-0005-0000-0000-00009C520000}"/>
    <cellStyle name="Normal 2 2 6 2 2 4" xfId="9867" xr:uid="{00000000-0005-0000-0000-00008F260000}"/>
    <cellStyle name="Normal 2 2 6 2 2 4 2" xfId="18095" xr:uid="{00000000-0005-0000-0000-0000B3460000}"/>
    <cellStyle name="Normal 2 2 6 2 2 4 2 2" xfId="24607" xr:uid="{00000000-0005-0000-0000-000023600000}"/>
    <cellStyle name="Normal 2 2 6 2 2 4 3" xfId="21772" xr:uid="{00000000-0005-0000-0000-000010550000}"/>
    <cellStyle name="Normal 2 2 6 2 2 5" xfId="10920" xr:uid="{00000000-0005-0000-0000-0000AC2A0000}"/>
    <cellStyle name="Normal 2 2 6 2 2 5 2" xfId="22815" xr:uid="{00000000-0005-0000-0000-000023590000}"/>
    <cellStyle name="Normal 2 2 6 2 2 6" xfId="20210" xr:uid="{00000000-0005-0000-0000-0000F64E0000}"/>
    <cellStyle name="Normal 2 2 6 2 2 7" xfId="8004" xr:uid="{00000000-0005-0000-0000-0000481F0000}"/>
    <cellStyle name="Normal 2 2 6 2 3" xfId="3334" xr:uid="{00000000-0005-0000-0000-00000A0D0000}"/>
    <cellStyle name="Normal 2 2 6 2 3 2" xfId="4376" xr:uid="{00000000-0005-0000-0000-00001C110000}"/>
    <cellStyle name="Normal 2 2 6 2 3 2 2" xfId="18304" xr:uid="{00000000-0005-0000-0000-000084470000}"/>
    <cellStyle name="Normal 2 2 6 2 3 2 2 2" xfId="24816" xr:uid="{00000000-0005-0000-0000-0000F4600000}"/>
    <cellStyle name="Normal 2 2 6 2 3 2 3" xfId="21981" xr:uid="{00000000-0005-0000-0000-0000E1550000}"/>
    <cellStyle name="Normal 2 2 6 2 3 2 4" xfId="10076" xr:uid="{00000000-0005-0000-0000-000060270000}"/>
    <cellStyle name="Normal 2 2 6 2 3 3" xfId="16895" xr:uid="{00000000-0005-0000-0000-000003420000}"/>
    <cellStyle name="Normal 2 2 6 2 3 3 2" xfId="23552" xr:uid="{00000000-0005-0000-0000-0000045C0000}"/>
    <cellStyle name="Normal 2 2 6 2 3 4" xfId="20419" xr:uid="{00000000-0005-0000-0000-0000C74F0000}"/>
    <cellStyle name="Normal 2 2 6 2 3 5" xfId="8214" xr:uid="{00000000-0005-0000-0000-00001A200000}"/>
    <cellStyle name="Normal 2 2 6 2 4" xfId="3956" xr:uid="{00000000-0005-0000-0000-0000780F0000}"/>
    <cellStyle name="Normal 2 2 6 2 4 2" xfId="10494" xr:uid="{00000000-0005-0000-0000-000002290000}"/>
    <cellStyle name="Normal 2 2 6 2 4 2 2" xfId="18722" xr:uid="{00000000-0005-0000-0000-000026490000}"/>
    <cellStyle name="Normal 2 2 6 2 4 2 2 2" xfId="25234" xr:uid="{00000000-0005-0000-0000-000096620000}"/>
    <cellStyle name="Normal 2 2 6 2 4 2 3" xfId="22399" xr:uid="{00000000-0005-0000-0000-000083570000}"/>
    <cellStyle name="Normal 2 2 6 2 4 3" xfId="17402" xr:uid="{00000000-0005-0000-0000-0000FE430000}"/>
    <cellStyle name="Normal 2 2 6 2 4 3 2" xfId="23978" xr:uid="{00000000-0005-0000-0000-0000AE5D0000}"/>
    <cellStyle name="Normal 2 2 6 2 4 4" xfId="21143" xr:uid="{00000000-0005-0000-0000-00009B520000}"/>
    <cellStyle name="Normal 2 2 6 2 4 5" xfId="9154" xr:uid="{00000000-0005-0000-0000-0000C6230000}"/>
    <cellStyle name="Normal 2 2 6 2 5" xfId="9658" xr:uid="{00000000-0005-0000-0000-0000BE250000}"/>
    <cellStyle name="Normal 2 2 6 2 5 2" xfId="17886" xr:uid="{00000000-0005-0000-0000-0000E2450000}"/>
    <cellStyle name="Normal 2 2 6 2 5 2 2" xfId="24398" xr:uid="{00000000-0005-0000-0000-0000525F0000}"/>
    <cellStyle name="Normal 2 2 6 2 5 3" xfId="21563" xr:uid="{00000000-0005-0000-0000-00003F540000}"/>
    <cellStyle name="Normal 2 2 6 2 6" xfId="10919" xr:uid="{00000000-0005-0000-0000-0000AB2A0000}"/>
    <cellStyle name="Normal 2 2 6 2 6 2" xfId="22814" xr:uid="{00000000-0005-0000-0000-000022590000}"/>
    <cellStyle name="Normal 2 2 6 2 7" xfId="20001" xr:uid="{00000000-0005-0000-0000-0000254E0000}"/>
    <cellStyle name="Normal 2 2 6 2 8" xfId="7762" xr:uid="{00000000-0005-0000-0000-0000561E0000}"/>
    <cellStyle name="Normal 2 2 6 3" xfId="2987" xr:uid="{00000000-0005-0000-0000-0000AF0B0000}"/>
    <cellStyle name="Normal 2 2 6 3 2" xfId="4061" xr:uid="{00000000-0005-0000-0000-0000E10F0000}"/>
    <cellStyle name="Normal 2 2 6 3 3" xfId="9153" xr:uid="{00000000-0005-0000-0000-0000C5230000}"/>
    <cellStyle name="Normal 2 2 6 4" xfId="3213" xr:uid="{00000000-0005-0000-0000-0000910C0000}"/>
    <cellStyle name="Normal 2 2 6 4 2" xfId="4271" xr:uid="{00000000-0005-0000-0000-0000B3100000}"/>
    <cellStyle name="Normal 2 2 6 4 3" xfId="8740" xr:uid="{00000000-0005-0000-0000-000028220000}"/>
    <cellStyle name="Normal 2 2 6 5" xfId="3664" xr:uid="{00000000-0005-0000-0000-0000540E0000}"/>
    <cellStyle name="Normal 2 2 6 5 2" xfId="22813" xr:uid="{00000000-0005-0000-0000-000021590000}"/>
    <cellStyle name="Normal 2 2 6 5 3" xfId="10918" xr:uid="{00000000-0005-0000-0000-0000AA2A0000}"/>
    <cellStyle name="Normal 2 2 6 6" xfId="6263" xr:uid="{00000000-0005-0000-0000-00007B180000}"/>
    <cellStyle name="Normal 2 2 7" xfId="1074" xr:uid="{00000000-0005-0000-0000-000036040000}"/>
    <cellStyle name="Normal 2 2 7 2" xfId="2219" xr:uid="{00000000-0005-0000-0000-0000AF080000}"/>
    <cellStyle name="Normal 2 2 7 2 2" xfId="3109" xr:uid="{00000000-0005-0000-0000-0000290C0000}"/>
    <cellStyle name="Normal 2 2 7 2 2 2" xfId="4167" xr:uid="{00000000-0005-0000-0000-00004B100000}"/>
    <cellStyle name="Normal 2 2 7 2 2 2 2" xfId="10286" xr:uid="{00000000-0005-0000-0000-000032280000}"/>
    <cellStyle name="Normal 2 2 7 2 2 2 2 2" xfId="18514" xr:uid="{00000000-0005-0000-0000-000056480000}"/>
    <cellStyle name="Normal 2 2 7 2 2 2 2 2 2" xfId="25026" xr:uid="{00000000-0005-0000-0000-0000C6610000}"/>
    <cellStyle name="Normal 2 2 7 2 2 2 2 3" xfId="22191" xr:uid="{00000000-0005-0000-0000-0000B3560000}"/>
    <cellStyle name="Normal 2 2 7 2 2 2 3" xfId="17104" xr:uid="{00000000-0005-0000-0000-0000D4420000}"/>
    <cellStyle name="Normal 2 2 7 2 2 2 3 2" xfId="23761" xr:uid="{00000000-0005-0000-0000-0000D55C0000}"/>
    <cellStyle name="Normal 2 2 7 2 2 2 4" xfId="20629" xr:uid="{00000000-0005-0000-0000-000099500000}"/>
    <cellStyle name="Normal 2 2 7 2 2 2 5" xfId="8424" xr:uid="{00000000-0005-0000-0000-0000EC200000}"/>
    <cellStyle name="Normal 2 2 7 2 2 3" xfId="9158" xr:uid="{00000000-0005-0000-0000-0000CA230000}"/>
    <cellStyle name="Normal 2 2 7 2 2 3 2" xfId="10498" xr:uid="{00000000-0005-0000-0000-000006290000}"/>
    <cellStyle name="Normal 2 2 7 2 2 3 2 2" xfId="18726" xr:uid="{00000000-0005-0000-0000-00002A490000}"/>
    <cellStyle name="Normal 2 2 7 2 2 3 2 2 2" xfId="25238" xr:uid="{00000000-0005-0000-0000-00009A620000}"/>
    <cellStyle name="Normal 2 2 7 2 2 3 2 3" xfId="22403" xr:uid="{00000000-0005-0000-0000-000087570000}"/>
    <cellStyle name="Normal 2 2 7 2 2 3 3" xfId="17406" xr:uid="{00000000-0005-0000-0000-000002440000}"/>
    <cellStyle name="Normal 2 2 7 2 2 3 3 2" xfId="23982" xr:uid="{00000000-0005-0000-0000-0000B25D0000}"/>
    <cellStyle name="Normal 2 2 7 2 2 3 4" xfId="21147" xr:uid="{00000000-0005-0000-0000-00009F520000}"/>
    <cellStyle name="Normal 2 2 7 2 2 4" xfId="9868" xr:uid="{00000000-0005-0000-0000-000090260000}"/>
    <cellStyle name="Normal 2 2 7 2 2 4 2" xfId="18096" xr:uid="{00000000-0005-0000-0000-0000B4460000}"/>
    <cellStyle name="Normal 2 2 7 2 2 4 2 2" xfId="24608" xr:uid="{00000000-0005-0000-0000-000024600000}"/>
    <cellStyle name="Normal 2 2 7 2 2 4 3" xfId="21773" xr:uid="{00000000-0005-0000-0000-000011550000}"/>
    <cellStyle name="Normal 2 2 7 2 2 5" xfId="10923" xr:uid="{00000000-0005-0000-0000-0000AF2A0000}"/>
    <cellStyle name="Normal 2 2 7 2 2 5 2" xfId="22818" xr:uid="{00000000-0005-0000-0000-000026590000}"/>
    <cellStyle name="Normal 2 2 7 2 2 6" xfId="20211" xr:uid="{00000000-0005-0000-0000-0000F74E0000}"/>
    <cellStyle name="Normal 2 2 7 2 2 7" xfId="8005" xr:uid="{00000000-0005-0000-0000-0000491F0000}"/>
    <cellStyle name="Normal 2 2 7 2 3" xfId="3335" xr:uid="{00000000-0005-0000-0000-00000B0D0000}"/>
    <cellStyle name="Normal 2 2 7 2 3 2" xfId="4377" xr:uid="{00000000-0005-0000-0000-00001D110000}"/>
    <cellStyle name="Normal 2 2 7 2 3 2 2" xfId="18305" xr:uid="{00000000-0005-0000-0000-000085470000}"/>
    <cellStyle name="Normal 2 2 7 2 3 2 2 2" xfId="24817" xr:uid="{00000000-0005-0000-0000-0000F5600000}"/>
    <cellStyle name="Normal 2 2 7 2 3 2 3" xfId="21982" xr:uid="{00000000-0005-0000-0000-0000E2550000}"/>
    <cellStyle name="Normal 2 2 7 2 3 2 4" xfId="10077" xr:uid="{00000000-0005-0000-0000-000061270000}"/>
    <cellStyle name="Normal 2 2 7 2 3 3" xfId="16896" xr:uid="{00000000-0005-0000-0000-000004420000}"/>
    <cellStyle name="Normal 2 2 7 2 3 3 2" xfId="23553" xr:uid="{00000000-0005-0000-0000-0000055C0000}"/>
    <cellStyle name="Normal 2 2 7 2 3 4" xfId="20420" xr:uid="{00000000-0005-0000-0000-0000C84F0000}"/>
    <cellStyle name="Normal 2 2 7 2 3 5" xfId="8215" xr:uid="{00000000-0005-0000-0000-00001B200000}"/>
    <cellStyle name="Normal 2 2 7 2 4" xfId="3957" xr:uid="{00000000-0005-0000-0000-0000790F0000}"/>
    <cellStyle name="Normal 2 2 7 2 4 2" xfId="10497" xr:uid="{00000000-0005-0000-0000-000005290000}"/>
    <cellStyle name="Normal 2 2 7 2 4 2 2" xfId="18725" xr:uid="{00000000-0005-0000-0000-000029490000}"/>
    <cellStyle name="Normal 2 2 7 2 4 2 2 2" xfId="25237" xr:uid="{00000000-0005-0000-0000-000099620000}"/>
    <cellStyle name="Normal 2 2 7 2 4 2 3" xfId="22402" xr:uid="{00000000-0005-0000-0000-000086570000}"/>
    <cellStyle name="Normal 2 2 7 2 4 3" xfId="17405" xr:uid="{00000000-0005-0000-0000-000001440000}"/>
    <cellStyle name="Normal 2 2 7 2 4 3 2" xfId="23981" xr:uid="{00000000-0005-0000-0000-0000B15D0000}"/>
    <cellStyle name="Normal 2 2 7 2 4 4" xfId="21146" xr:uid="{00000000-0005-0000-0000-00009E520000}"/>
    <cellStyle name="Normal 2 2 7 2 4 5" xfId="9157" xr:uid="{00000000-0005-0000-0000-0000C9230000}"/>
    <cellStyle name="Normal 2 2 7 2 5" xfId="9659" xr:uid="{00000000-0005-0000-0000-0000BF250000}"/>
    <cellStyle name="Normal 2 2 7 2 5 2" xfId="17887" xr:uid="{00000000-0005-0000-0000-0000E3450000}"/>
    <cellStyle name="Normal 2 2 7 2 5 2 2" xfId="24399" xr:uid="{00000000-0005-0000-0000-0000535F0000}"/>
    <cellStyle name="Normal 2 2 7 2 5 3" xfId="21564" xr:uid="{00000000-0005-0000-0000-000040540000}"/>
    <cellStyle name="Normal 2 2 7 2 6" xfId="10922" xr:uid="{00000000-0005-0000-0000-0000AE2A0000}"/>
    <cellStyle name="Normal 2 2 7 2 6 2" xfId="22817" xr:uid="{00000000-0005-0000-0000-000025590000}"/>
    <cellStyle name="Normal 2 2 7 2 7" xfId="20002" xr:uid="{00000000-0005-0000-0000-0000264E0000}"/>
    <cellStyle name="Normal 2 2 7 2 8" xfId="7763" xr:uid="{00000000-0005-0000-0000-0000571E0000}"/>
    <cellStyle name="Normal 2 2 7 3" xfId="2988" xr:uid="{00000000-0005-0000-0000-0000B00B0000}"/>
    <cellStyle name="Normal 2 2 7 3 2" xfId="4062" xr:uid="{00000000-0005-0000-0000-0000E20F0000}"/>
    <cellStyle name="Normal 2 2 7 3 2 2" xfId="10213" xr:uid="{00000000-0005-0000-0000-0000E9270000}"/>
    <cellStyle name="Normal 2 2 7 3 2 2 2" xfId="18441" xr:uid="{00000000-0005-0000-0000-00000D480000}"/>
    <cellStyle name="Normal 2 2 7 3 2 2 2 2" xfId="24953" xr:uid="{00000000-0005-0000-0000-00007D610000}"/>
    <cellStyle name="Normal 2 2 7 3 2 2 3" xfId="22118" xr:uid="{00000000-0005-0000-0000-00006A560000}"/>
    <cellStyle name="Normal 2 2 7 3 2 3" xfId="17031" xr:uid="{00000000-0005-0000-0000-00008B420000}"/>
    <cellStyle name="Normal 2 2 7 3 2 3 2" xfId="23688" xr:uid="{00000000-0005-0000-0000-00008C5C0000}"/>
    <cellStyle name="Normal 2 2 7 3 2 4" xfId="20556" xr:uid="{00000000-0005-0000-0000-000050500000}"/>
    <cellStyle name="Normal 2 2 7 3 2 5" xfId="8351" xr:uid="{00000000-0005-0000-0000-0000A3200000}"/>
    <cellStyle name="Normal 2 2 7 3 3" xfId="9159" xr:uid="{00000000-0005-0000-0000-0000CB230000}"/>
    <cellStyle name="Normal 2 2 7 3 3 2" xfId="10499" xr:uid="{00000000-0005-0000-0000-000007290000}"/>
    <cellStyle name="Normal 2 2 7 3 3 2 2" xfId="18727" xr:uid="{00000000-0005-0000-0000-00002B490000}"/>
    <cellStyle name="Normal 2 2 7 3 3 2 2 2" xfId="25239" xr:uid="{00000000-0005-0000-0000-00009B620000}"/>
    <cellStyle name="Normal 2 2 7 3 3 2 3" xfId="22404" xr:uid="{00000000-0005-0000-0000-000088570000}"/>
    <cellStyle name="Normal 2 2 7 3 3 3" xfId="17407" xr:uid="{00000000-0005-0000-0000-000003440000}"/>
    <cellStyle name="Normal 2 2 7 3 3 3 2" xfId="23983" xr:uid="{00000000-0005-0000-0000-0000B35D0000}"/>
    <cellStyle name="Normal 2 2 7 3 3 4" xfId="21148" xr:uid="{00000000-0005-0000-0000-0000A0520000}"/>
    <cellStyle name="Normal 2 2 7 3 4" xfId="9795" xr:uid="{00000000-0005-0000-0000-000047260000}"/>
    <cellStyle name="Normal 2 2 7 3 4 2" xfId="18023" xr:uid="{00000000-0005-0000-0000-00006B460000}"/>
    <cellStyle name="Normal 2 2 7 3 4 2 2" xfId="24535" xr:uid="{00000000-0005-0000-0000-0000DB5F0000}"/>
    <cellStyle name="Normal 2 2 7 3 4 3" xfId="21700" xr:uid="{00000000-0005-0000-0000-0000C8540000}"/>
    <cellStyle name="Normal 2 2 7 3 5" xfId="10924" xr:uid="{00000000-0005-0000-0000-0000B02A0000}"/>
    <cellStyle name="Normal 2 2 7 3 5 2" xfId="22819" xr:uid="{00000000-0005-0000-0000-000027590000}"/>
    <cellStyle name="Normal 2 2 7 3 6" xfId="20138" xr:uid="{00000000-0005-0000-0000-0000AE4E0000}"/>
    <cellStyle name="Normal 2 2 7 3 7" xfId="7932" xr:uid="{00000000-0005-0000-0000-0000001F0000}"/>
    <cellStyle name="Normal 2 2 7 4" xfId="3214" xr:uid="{00000000-0005-0000-0000-0000920C0000}"/>
    <cellStyle name="Normal 2 2 7 4 2" xfId="4272" xr:uid="{00000000-0005-0000-0000-0000B4100000}"/>
    <cellStyle name="Normal 2 2 7 4 2 2" xfId="10496" xr:uid="{00000000-0005-0000-0000-000004290000}"/>
    <cellStyle name="Normal 2 2 7 4 2 2 2" xfId="18724" xr:uid="{00000000-0005-0000-0000-000028490000}"/>
    <cellStyle name="Normal 2 2 7 4 2 2 2 2" xfId="25236" xr:uid="{00000000-0005-0000-0000-000098620000}"/>
    <cellStyle name="Normal 2 2 7 4 2 2 3" xfId="22401" xr:uid="{00000000-0005-0000-0000-000085570000}"/>
    <cellStyle name="Normal 2 2 7 4 2 3" xfId="17404" xr:uid="{00000000-0005-0000-0000-000000440000}"/>
    <cellStyle name="Normal 2 2 7 4 2 3 2" xfId="23980" xr:uid="{00000000-0005-0000-0000-0000B05D0000}"/>
    <cellStyle name="Normal 2 2 7 4 2 4" xfId="21145" xr:uid="{00000000-0005-0000-0000-00009D520000}"/>
    <cellStyle name="Normal 2 2 7 4 2 5" xfId="9156" xr:uid="{00000000-0005-0000-0000-0000C8230000}"/>
    <cellStyle name="Normal 2 2 7 4 3" xfId="10004" xr:uid="{00000000-0005-0000-0000-000018270000}"/>
    <cellStyle name="Normal 2 2 7 4 3 2" xfId="18232" xr:uid="{00000000-0005-0000-0000-00003C470000}"/>
    <cellStyle name="Normal 2 2 7 4 3 2 2" xfId="24744" xr:uid="{00000000-0005-0000-0000-0000AC600000}"/>
    <cellStyle name="Normal 2 2 7 4 3 3" xfId="21909" xr:uid="{00000000-0005-0000-0000-000099550000}"/>
    <cellStyle name="Normal 2 2 7 4 4" xfId="16831" xr:uid="{00000000-0005-0000-0000-0000C3410000}"/>
    <cellStyle name="Normal 2 2 7 4 4 2" xfId="23490" xr:uid="{00000000-0005-0000-0000-0000C65B0000}"/>
    <cellStyle name="Normal 2 2 7 4 5" xfId="20347" xr:uid="{00000000-0005-0000-0000-00007F4F0000}"/>
    <cellStyle name="Normal 2 2 7 4 6" xfId="8142" xr:uid="{00000000-0005-0000-0000-0000D21F0000}"/>
    <cellStyle name="Normal 2 2 7 5" xfId="3665" xr:uid="{00000000-0005-0000-0000-0000550E0000}"/>
    <cellStyle name="Normal 2 2 7 5 2" xfId="8741" xr:uid="{00000000-0005-0000-0000-000029220000}"/>
    <cellStyle name="Normal 2 2 7 6" xfId="9586" xr:uid="{00000000-0005-0000-0000-000076250000}"/>
    <cellStyle name="Normal 2 2 7 6 2" xfId="17814" xr:uid="{00000000-0005-0000-0000-00009A450000}"/>
    <cellStyle name="Normal 2 2 7 6 2 2" xfId="24326" xr:uid="{00000000-0005-0000-0000-00000A5F0000}"/>
    <cellStyle name="Normal 2 2 7 6 3" xfId="21491" xr:uid="{00000000-0005-0000-0000-0000F7530000}"/>
    <cellStyle name="Normal 2 2 7 7" xfId="10921" xr:uid="{00000000-0005-0000-0000-0000AD2A0000}"/>
    <cellStyle name="Normal 2 2 7 7 2" xfId="22816" xr:uid="{00000000-0005-0000-0000-000024590000}"/>
    <cellStyle name="Normal 2 2 7 8" xfId="19703" xr:uid="{00000000-0005-0000-0000-0000FB4C0000}"/>
    <cellStyle name="Normal 2 2 7 9" xfId="6264" xr:uid="{00000000-0005-0000-0000-00007C180000}"/>
    <cellStyle name="Normal 2 2 8" xfId="1075" xr:uid="{00000000-0005-0000-0000-000037040000}"/>
    <cellStyle name="Normal 2 2 8 2" xfId="2220" xr:uid="{00000000-0005-0000-0000-0000B0080000}"/>
    <cellStyle name="Normal 2 2 8 2 2" xfId="3110" xr:uid="{00000000-0005-0000-0000-00002A0C0000}"/>
    <cellStyle name="Normal 2 2 8 2 2 2" xfId="4168" xr:uid="{00000000-0005-0000-0000-00004C100000}"/>
    <cellStyle name="Normal 2 2 8 2 2 2 2" xfId="10287" xr:uid="{00000000-0005-0000-0000-000033280000}"/>
    <cellStyle name="Normal 2 2 8 2 2 2 2 2" xfId="18515" xr:uid="{00000000-0005-0000-0000-000057480000}"/>
    <cellStyle name="Normal 2 2 8 2 2 2 2 2 2" xfId="25027" xr:uid="{00000000-0005-0000-0000-0000C7610000}"/>
    <cellStyle name="Normal 2 2 8 2 2 2 2 3" xfId="22192" xr:uid="{00000000-0005-0000-0000-0000B4560000}"/>
    <cellStyle name="Normal 2 2 8 2 2 2 3" xfId="17105" xr:uid="{00000000-0005-0000-0000-0000D5420000}"/>
    <cellStyle name="Normal 2 2 8 2 2 2 3 2" xfId="23762" xr:uid="{00000000-0005-0000-0000-0000D65C0000}"/>
    <cellStyle name="Normal 2 2 8 2 2 2 4" xfId="20630" xr:uid="{00000000-0005-0000-0000-00009A500000}"/>
    <cellStyle name="Normal 2 2 8 2 2 2 5" xfId="8425" xr:uid="{00000000-0005-0000-0000-0000ED200000}"/>
    <cellStyle name="Normal 2 2 8 2 2 3" xfId="9161" xr:uid="{00000000-0005-0000-0000-0000CD230000}"/>
    <cellStyle name="Normal 2 2 8 2 2 3 2" xfId="10501" xr:uid="{00000000-0005-0000-0000-000009290000}"/>
    <cellStyle name="Normal 2 2 8 2 2 3 2 2" xfId="18729" xr:uid="{00000000-0005-0000-0000-00002D490000}"/>
    <cellStyle name="Normal 2 2 8 2 2 3 2 2 2" xfId="25241" xr:uid="{00000000-0005-0000-0000-00009D620000}"/>
    <cellStyle name="Normal 2 2 8 2 2 3 2 3" xfId="22406" xr:uid="{00000000-0005-0000-0000-00008A570000}"/>
    <cellStyle name="Normal 2 2 8 2 2 3 3" xfId="17409" xr:uid="{00000000-0005-0000-0000-000005440000}"/>
    <cellStyle name="Normal 2 2 8 2 2 3 3 2" xfId="23985" xr:uid="{00000000-0005-0000-0000-0000B55D0000}"/>
    <cellStyle name="Normal 2 2 8 2 2 3 4" xfId="21150" xr:uid="{00000000-0005-0000-0000-0000A2520000}"/>
    <cellStyle name="Normal 2 2 8 2 2 4" xfId="9869" xr:uid="{00000000-0005-0000-0000-000091260000}"/>
    <cellStyle name="Normal 2 2 8 2 2 4 2" xfId="18097" xr:uid="{00000000-0005-0000-0000-0000B5460000}"/>
    <cellStyle name="Normal 2 2 8 2 2 4 2 2" xfId="24609" xr:uid="{00000000-0005-0000-0000-000025600000}"/>
    <cellStyle name="Normal 2 2 8 2 2 4 3" xfId="21774" xr:uid="{00000000-0005-0000-0000-000012550000}"/>
    <cellStyle name="Normal 2 2 8 2 2 5" xfId="10927" xr:uid="{00000000-0005-0000-0000-0000B32A0000}"/>
    <cellStyle name="Normal 2 2 8 2 2 5 2" xfId="22822" xr:uid="{00000000-0005-0000-0000-00002A590000}"/>
    <cellStyle name="Normal 2 2 8 2 2 6" xfId="20212" xr:uid="{00000000-0005-0000-0000-0000F84E0000}"/>
    <cellStyle name="Normal 2 2 8 2 2 7" xfId="8006" xr:uid="{00000000-0005-0000-0000-00004A1F0000}"/>
    <cellStyle name="Normal 2 2 8 2 3" xfId="3336" xr:uid="{00000000-0005-0000-0000-00000C0D0000}"/>
    <cellStyle name="Normal 2 2 8 2 3 2" xfId="4378" xr:uid="{00000000-0005-0000-0000-00001E110000}"/>
    <cellStyle name="Normal 2 2 8 2 3 2 2" xfId="18306" xr:uid="{00000000-0005-0000-0000-000086470000}"/>
    <cellStyle name="Normal 2 2 8 2 3 2 2 2" xfId="24818" xr:uid="{00000000-0005-0000-0000-0000F6600000}"/>
    <cellStyle name="Normal 2 2 8 2 3 2 3" xfId="21983" xr:uid="{00000000-0005-0000-0000-0000E3550000}"/>
    <cellStyle name="Normal 2 2 8 2 3 2 4" xfId="10078" xr:uid="{00000000-0005-0000-0000-000062270000}"/>
    <cellStyle name="Normal 2 2 8 2 3 3" xfId="16897" xr:uid="{00000000-0005-0000-0000-000005420000}"/>
    <cellStyle name="Normal 2 2 8 2 3 3 2" xfId="23554" xr:uid="{00000000-0005-0000-0000-0000065C0000}"/>
    <cellStyle name="Normal 2 2 8 2 3 4" xfId="20421" xr:uid="{00000000-0005-0000-0000-0000C94F0000}"/>
    <cellStyle name="Normal 2 2 8 2 3 5" xfId="8216" xr:uid="{00000000-0005-0000-0000-00001C200000}"/>
    <cellStyle name="Normal 2 2 8 2 4" xfId="3958" xr:uid="{00000000-0005-0000-0000-00007A0F0000}"/>
    <cellStyle name="Normal 2 2 8 2 4 2" xfId="10500" xr:uid="{00000000-0005-0000-0000-000008290000}"/>
    <cellStyle name="Normal 2 2 8 2 4 2 2" xfId="18728" xr:uid="{00000000-0005-0000-0000-00002C490000}"/>
    <cellStyle name="Normal 2 2 8 2 4 2 2 2" xfId="25240" xr:uid="{00000000-0005-0000-0000-00009C620000}"/>
    <cellStyle name="Normal 2 2 8 2 4 2 3" xfId="22405" xr:uid="{00000000-0005-0000-0000-000089570000}"/>
    <cellStyle name="Normal 2 2 8 2 4 3" xfId="17408" xr:uid="{00000000-0005-0000-0000-000004440000}"/>
    <cellStyle name="Normal 2 2 8 2 4 3 2" xfId="23984" xr:uid="{00000000-0005-0000-0000-0000B45D0000}"/>
    <cellStyle name="Normal 2 2 8 2 4 4" xfId="21149" xr:uid="{00000000-0005-0000-0000-0000A1520000}"/>
    <cellStyle name="Normal 2 2 8 2 4 5" xfId="9160" xr:uid="{00000000-0005-0000-0000-0000CC230000}"/>
    <cellStyle name="Normal 2 2 8 2 5" xfId="9660" xr:uid="{00000000-0005-0000-0000-0000C0250000}"/>
    <cellStyle name="Normal 2 2 8 2 5 2" xfId="17888" xr:uid="{00000000-0005-0000-0000-0000E4450000}"/>
    <cellStyle name="Normal 2 2 8 2 5 2 2" xfId="24400" xr:uid="{00000000-0005-0000-0000-0000545F0000}"/>
    <cellStyle name="Normal 2 2 8 2 5 3" xfId="21565" xr:uid="{00000000-0005-0000-0000-000041540000}"/>
    <cellStyle name="Normal 2 2 8 2 6" xfId="10926" xr:uid="{00000000-0005-0000-0000-0000B22A0000}"/>
    <cellStyle name="Normal 2 2 8 2 6 2" xfId="22821" xr:uid="{00000000-0005-0000-0000-000029590000}"/>
    <cellStyle name="Normal 2 2 8 2 7" xfId="20003" xr:uid="{00000000-0005-0000-0000-0000274E0000}"/>
    <cellStyle name="Normal 2 2 8 2 8" xfId="7764" xr:uid="{00000000-0005-0000-0000-0000581E0000}"/>
    <cellStyle name="Normal 2 2 8 3" xfId="2989" xr:uid="{00000000-0005-0000-0000-0000B10B0000}"/>
    <cellStyle name="Normal 2 2 8 3 2" xfId="4063" xr:uid="{00000000-0005-0000-0000-0000E30F0000}"/>
    <cellStyle name="Normal 2 2 8 3 3" xfId="10928" xr:uid="{00000000-0005-0000-0000-0000B42A0000}"/>
    <cellStyle name="Normal 2 2 8 4" xfId="3215" xr:uid="{00000000-0005-0000-0000-0000930C0000}"/>
    <cellStyle name="Normal 2 2 8 4 2" xfId="4273" xr:uid="{00000000-0005-0000-0000-0000B5100000}"/>
    <cellStyle name="Normal 2 2 8 4 2 2" xfId="22820" xr:uid="{00000000-0005-0000-0000-000028590000}"/>
    <cellStyle name="Normal 2 2 8 4 3" xfId="10925" xr:uid="{00000000-0005-0000-0000-0000B12A0000}"/>
    <cellStyle name="Normal 2 2 8 5" xfId="3666" xr:uid="{00000000-0005-0000-0000-0000560E0000}"/>
    <cellStyle name="Normal 2 2 8 6" xfId="6265" xr:uid="{00000000-0005-0000-0000-00007D180000}"/>
    <cellStyle name="Normal 2 2 9" xfId="1076" xr:uid="{00000000-0005-0000-0000-000038040000}"/>
    <cellStyle name="Normal 2 2 9 2" xfId="2221" xr:uid="{00000000-0005-0000-0000-0000B1080000}"/>
    <cellStyle name="Normal 2 2 9 2 2" xfId="3111" xr:uid="{00000000-0005-0000-0000-00002B0C0000}"/>
    <cellStyle name="Normal 2 2 9 2 2 2" xfId="4169" xr:uid="{00000000-0005-0000-0000-00004D100000}"/>
    <cellStyle name="Normal 2 2 9 2 2 2 2" xfId="18516" xr:uid="{00000000-0005-0000-0000-000058480000}"/>
    <cellStyle name="Normal 2 2 9 2 2 2 2 2" xfId="25028" xr:uid="{00000000-0005-0000-0000-0000C8610000}"/>
    <cellStyle name="Normal 2 2 9 2 2 2 3" xfId="22193" xr:uid="{00000000-0005-0000-0000-0000B5560000}"/>
    <cellStyle name="Normal 2 2 9 2 2 2 4" xfId="10288" xr:uid="{00000000-0005-0000-0000-000034280000}"/>
    <cellStyle name="Normal 2 2 9 2 2 3" xfId="17106" xr:uid="{00000000-0005-0000-0000-0000D6420000}"/>
    <cellStyle name="Normal 2 2 9 2 2 3 2" xfId="23763" xr:uid="{00000000-0005-0000-0000-0000D75C0000}"/>
    <cellStyle name="Normal 2 2 9 2 2 4" xfId="20631" xr:uid="{00000000-0005-0000-0000-00009B500000}"/>
    <cellStyle name="Normal 2 2 9 2 2 5" xfId="8426" xr:uid="{00000000-0005-0000-0000-0000EE200000}"/>
    <cellStyle name="Normal 2 2 9 2 3" xfId="3337" xr:uid="{00000000-0005-0000-0000-00000D0D0000}"/>
    <cellStyle name="Normal 2 2 9 2 3 2" xfId="4379" xr:uid="{00000000-0005-0000-0000-00001F110000}"/>
    <cellStyle name="Normal 2 2 9 2 3 2 2" xfId="18731" xr:uid="{00000000-0005-0000-0000-00002F490000}"/>
    <cellStyle name="Normal 2 2 9 2 3 2 2 2" xfId="25243" xr:uid="{00000000-0005-0000-0000-00009F620000}"/>
    <cellStyle name="Normal 2 2 9 2 3 2 3" xfId="22408" xr:uid="{00000000-0005-0000-0000-00008C570000}"/>
    <cellStyle name="Normal 2 2 9 2 3 2 4" xfId="10503" xr:uid="{00000000-0005-0000-0000-00000B290000}"/>
    <cellStyle name="Normal 2 2 9 2 3 3" xfId="17411" xr:uid="{00000000-0005-0000-0000-000007440000}"/>
    <cellStyle name="Normal 2 2 9 2 3 3 2" xfId="23987" xr:uid="{00000000-0005-0000-0000-0000B75D0000}"/>
    <cellStyle name="Normal 2 2 9 2 3 4" xfId="21152" xr:uid="{00000000-0005-0000-0000-0000A4520000}"/>
    <cellStyle name="Normal 2 2 9 2 3 5" xfId="9163" xr:uid="{00000000-0005-0000-0000-0000CF230000}"/>
    <cellStyle name="Normal 2 2 9 2 4" xfId="3959" xr:uid="{00000000-0005-0000-0000-00007B0F0000}"/>
    <cellStyle name="Normal 2 2 9 2 4 2" xfId="18098" xr:uid="{00000000-0005-0000-0000-0000B6460000}"/>
    <cellStyle name="Normal 2 2 9 2 4 2 2" xfId="24610" xr:uid="{00000000-0005-0000-0000-000026600000}"/>
    <cellStyle name="Normal 2 2 9 2 4 3" xfId="21775" xr:uid="{00000000-0005-0000-0000-000013550000}"/>
    <cellStyle name="Normal 2 2 9 2 4 4" xfId="9870" xr:uid="{00000000-0005-0000-0000-000092260000}"/>
    <cellStyle name="Normal 2 2 9 2 5" xfId="10930" xr:uid="{00000000-0005-0000-0000-0000B62A0000}"/>
    <cellStyle name="Normal 2 2 9 2 5 2" xfId="22824" xr:uid="{00000000-0005-0000-0000-00002C590000}"/>
    <cellStyle name="Normal 2 2 9 2 6" xfId="20213" xr:uid="{00000000-0005-0000-0000-0000F94E0000}"/>
    <cellStyle name="Normal 2 2 9 2 7" xfId="8007" xr:uid="{00000000-0005-0000-0000-00004B1F0000}"/>
    <cellStyle name="Normal 2 2 9 3" xfId="2990" xr:uid="{00000000-0005-0000-0000-0000B20B0000}"/>
    <cellStyle name="Normal 2 2 9 3 2" xfId="4064" xr:uid="{00000000-0005-0000-0000-0000E40F0000}"/>
    <cellStyle name="Normal 2 2 9 3 2 2" xfId="10502" xr:uid="{00000000-0005-0000-0000-00000A290000}"/>
    <cellStyle name="Normal 2 2 9 3 2 2 2" xfId="18730" xr:uid="{00000000-0005-0000-0000-00002E490000}"/>
    <cellStyle name="Normal 2 2 9 3 2 2 2 2" xfId="25242" xr:uid="{00000000-0005-0000-0000-00009E620000}"/>
    <cellStyle name="Normal 2 2 9 3 2 2 3" xfId="22407" xr:uid="{00000000-0005-0000-0000-00008B570000}"/>
    <cellStyle name="Normal 2 2 9 3 2 3" xfId="17410" xr:uid="{00000000-0005-0000-0000-000006440000}"/>
    <cellStyle name="Normal 2 2 9 3 2 3 2" xfId="23986" xr:uid="{00000000-0005-0000-0000-0000B65D0000}"/>
    <cellStyle name="Normal 2 2 9 3 2 4" xfId="21151" xr:uid="{00000000-0005-0000-0000-0000A3520000}"/>
    <cellStyle name="Normal 2 2 9 3 2 5" xfId="9162" xr:uid="{00000000-0005-0000-0000-0000CE230000}"/>
    <cellStyle name="Normal 2 2 9 3 3" xfId="10079" xr:uid="{00000000-0005-0000-0000-000063270000}"/>
    <cellStyle name="Normal 2 2 9 3 3 2" xfId="18307" xr:uid="{00000000-0005-0000-0000-000087470000}"/>
    <cellStyle name="Normal 2 2 9 3 3 2 2" xfId="24819" xr:uid="{00000000-0005-0000-0000-0000F7600000}"/>
    <cellStyle name="Normal 2 2 9 3 3 3" xfId="21984" xr:uid="{00000000-0005-0000-0000-0000E4550000}"/>
    <cellStyle name="Normal 2 2 9 3 4" xfId="16898" xr:uid="{00000000-0005-0000-0000-000006420000}"/>
    <cellStyle name="Normal 2 2 9 3 4 2" xfId="23555" xr:uid="{00000000-0005-0000-0000-0000075C0000}"/>
    <cellStyle name="Normal 2 2 9 3 5" xfId="20422" xr:uid="{00000000-0005-0000-0000-0000CA4F0000}"/>
    <cellStyle name="Normal 2 2 9 3 6" xfId="8217" xr:uid="{00000000-0005-0000-0000-00001D200000}"/>
    <cellStyle name="Normal 2 2 9 4" xfId="3216" xr:uid="{00000000-0005-0000-0000-0000940C0000}"/>
    <cellStyle name="Normal 2 2 9 4 2" xfId="4274" xr:uid="{00000000-0005-0000-0000-0000B6100000}"/>
    <cellStyle name="Normal 2 2 9 4 3" xfId="8742" xr:uid="{00000000-0005-0000-0000-00002A220000}"/>
    <cellStyle name="Normal 2 2 9 5" xfId="3667" xr:uid="{00000000-0005-0000-0000-0000570E0000}"/>
    <cellStyle name="Normal 2 2 9 5 2" xfId="17889" xr:uid="{00000000-0005-0000-0000-0000E5450000}"/>
    <cellStyle name="Normal 2 2 9 5 2 2" xfId="24401" xr:uid="{00000000-0005-0000-0000-0000555F0000}"/>
    <cellStyle name="Normal 2 2 9 5 3" xfId="21566" xr:uid="{00000000-0005-0000-0000-000042540000}"/>
    <cellStyle name="Normal 2 2 9 5 4" xfId="9661" xr:uid="{00000000-0005-0000-0000-0000C1250000}"/>
    <cellStyle name="Normal 2 2 9 6" xfId="10929" xr:uid="{00000000-0005-0000-0000-0000B52A0000}"/>
    <cellStyle name="Normal 2 2 9 6 2" xfId="22823" xr:uid="{00000000-0005-0000-0000-00002B590000}"/>
    <cellStyle name="Normal 2 2 9 7" xfId="20004" xr:uid="{00000000-0005-0000-0000-0000284E0000}"/>
    <cellStyle name="Normal 2 2 9 8" xfId="7765" xr:uid="{00000000-0005-0000-0000-0000591E0000}"/>
    <cellStyle name="Normal 2 2_ELC" xfId="6266" xr:uid="{00000000-0005-0000-0000-00007E180000}"/>
    <cellStyle name="Normal 2 20" xfId="2978" xr:uid="{00000000-0005-0000-0000-0000A60B0000}"/>
    <cellStyle name="Normal 2 20 2" xfId="4052" xr:uid="{00000000-0005-0000-0000-0000D80F0000}"/>
    <cellStyle name="Normal 2 20 3" xfId="6267" xr:uid="{00000000-0005-0000-0000-00007F180000}"/>
    <cellStyle name="Normal 2 21" xfId="3204" xr:uid="{00000000-0005-0000-0000-0000880C0000}"/>
    <cellStyle name="Normal 2 21 2" xfId="4262" xr:uid="{00000000-0005-0000-0000-0000AA100000}"/>
    <cellStyle name="Normal 2 21 3" xfId="6268" xr:uid="{00000000-0005-0000-0000-000080180000}"/>
    <cellStyle name="Normal 2 22" xfId="3403" xr:uid="{00000000-0005-0000-0000-00004F0D0000}"/>
    <cellStyle name="Normal 2 22 2" xfId="4444" xr:uid="{00000000-0005-0000-0000-000060110000}"/>
    <cellStyle name="Normal 2 22 3" xfId="6269" xr:uid="{00000000-0005-0000-0000-000081180000}"/>
    <cellStyle name="Normal 2 23" xfId="3414" xr:uid="{00000000-0005-0000-0000-00005A0D0000}"/>
    <cellStyle name="Normal 2 23 2" xfId="6270" xr:uid="{00000000-0005-0000-0000-000082180000}"/>
    <cellStyle name="Normal 2 24" xfId="6271" xr:uid="{00000000-0005-0000-0000-000083180000}"/>
    <cellStyle name="Normal 2 25" xfId="6272" xr:uid="{00000000-0005-0000-0000-000084180000}"/>
    <cellStyle name="Normal 2 26" xfId="6273" xr:uid="{00000000-0005-0000-0000-000085180000}"/>
    <cellStyle name="Normal 2 27" xfId="6274" xr:uid="{00000000-0005-0000-0000-000086180000}"/>
    <cellStyle name="Normal 2 28" xfId="6275" xr:uid="{00000000-0005-0000-0000-000087180000}"/>
    <cellStyle name="Normal 2 29" xfId="6276" xr:uid="{00000000-0005-0000-0000-000088180000}"/>
    <cellStyle name="Normal 2 3" xfId="116" xr:uid="{00000000-0005-0000-0000-000078000000}"/>
    <cellStyle name="Normal 2 3 10" xfId="1078" xr:uid="{00000000-0005-0000-0000-00003A040000}"/>
    <cellStyle name="Normal 2 3 10 2" xfId="2223" xr:uid="{00000000-0005-0000-0000-0000B3080000}"/>
    <cellStyle name="Normal 2 3 10 2 2" xfId="3112" xr:uid="{00000000-0005-0000-0000-00002C0C0000}"/>
    <cellStyle name="Normal 2 3 10 2 2 2" xfId="4170" xr:uid="{00000000-0005-0000-0000-00004E100000}"/>
    <cellStyle name="Normal 2 3 10 2 2 2 2" xfId="18517" xr:uid="{00000000-0005-0000-0000-000059480000}"/>
    <cellStyle name="Normal 2 3 10 2 2 2 2 2" xfId="25029" xr:uid="{00000000-0005-0000-0000-0000C9610000}"/>
    <cellStyle name="Normal 2 3 10 2 2 2 3" xfId="22194" xr:uid="{00000000-0005-0000-0000-0000B6560000}"/>
    <cellStyle name="Normal 2 3 10 2 2 2 4" xfId="10289" xr:uid="{00000000-0005-0000-0000-000035280000}"/>
    <cellStyle name="Normal 2 3 10 2 2 3" xfId="17107" xr:uid="{00000000-0005-0000-0000-0000D7420000}"/>
    <cellStyle name="Normal 2 3 10 2 2 3 2" xfId="23764" xr:uid="{00000000-0005-0000-0000-0000D85C0000}"/>
    <cellStyle name="Normal 2 3 10 2 2 4" xfId="20632" xr:uid="{00000000-0005-0000-0000-00009C500000}"/>
    <cellStyle name="Normal 2 3 10 2 2 5" xfId="8427" xr:uid="{00000000-0005-0000-0000-0000EF200000}"/>
    <cellStyle name="Normal 2 3 10 2 3" xfId="3338" xr:uid="{00000000-0005-0000-0000-00000E0D0000}"/>
    <cellStyle name="Normal 2 3 10 2 3 2" xfId="4380" xr:uid="{00000000-0005-0000-0000-000020110000}"/>
    <cellStyle name="Normal 2 3 10 2 3 2 2" xfId="18733" xr:uid="{00000000-0005-0000-0000-000031490000}"/>
    <cellStyle name="Normal 2 3 10 2 3 2 2 2" xfId="25245" xr:uid="{00000000-0005-0000-0000-0000A1620000}"/>
    <cellStyle name="Normal 2 3 10 2 3 2 3" xfId="22410" xr:uid="{00000000-0005-0000-0000-00008E570000}"/>
    <cellStyle name="Normal 2 3 10 2 3 2 4" xfId="10505" xr:uid="{00000000-0005-0000-0000-00000D290000}"/>
    <cellStyle name="Normal 2 3 10 2 3 3" xfId="17413" xr:uid="{00000000-0005-0000-0000-000009440000}"/>
    <cellStyle name="Normal 2 3 10 2 3 3 2" xfId="23989" xr:uid="{00000000-0005-0000-0000-0000B95D0000}"/>
    <cellStyle name="Normal 2 3 10 2 3 4" xfId="21154" xr:uid="{00000000-0005-0000-0000-0000A6520000}"/>
    <cellStyle name="Normal 2 3 10 2 3 5" xfId="9165" xr:uid="{00000000-0005-0000-0000-0000D1230000}"/>
    <cellStyle name="Normal 2 3 10 2 4" xfId="3960" xr:uid="{00000000-0005-0000-0000-00007C0F0000}"/>
    <cellStyle name="Normal 2 3 10 2 4 2" xfId="18099" xr:uid="{00000000-0005-0000-0000-0000B7460000}"/>
    <cellStyle name="Normal 2 3 10 2 4 2 2" xfId="24611" xr:uid="{00000000-0005-0000-0000-000027600000}"/>
    <cellStyle name="Normal 2 3 10 2 4 3" xfId="21776" xr:uid="{00000000-0005-0000-0000-000014550000}"/>
    <cellStyle name="Normal 2 3 10 2 4 4" xfId="9871" xr:uid="{00000000-0005-0000-0000-000093260000}"/>
    <cellStyle name="Normal 2 3 10 2 5" xfId="10932" xr:uid="{00000000-0005-0000-0000-0000B82A0000}"/>
    <cellStyle name="Normal 2 3 10 2 5 2" xfId="22826" xr:uid="{00000000-0005-0000-0000-00002E590000}"/>
    <cellStyle name="Normal 2 3 10 2 6" xfId="20214" xr:uid="{00000000-0005-0000-0000-0000FA4E0000}"/>
    <cellStyle name="Normal 2 3 10 2 7" xfId="8008" xr:uid="{00000000-0005-0000-0000-00004C1F0000}"/>
    <cellStyle name="Normal 2 3 10 3" xfId="2991" xr:uid="{00000000-0005-0000-0000-0000B30B0000}"/>
    <cellStyle name="Normal 2 3 10 3 2" xfId="4065" xr:uid="{00000000-0005-0000-0000-0000E50F0000}"/>
    <cellStyle name="Normal 2 3 10 3 2 2" xfId="10504" xr:uid="{00000000-0005-0000-0000-00000C290000}"/>
    <cellStyle name="Normal 2 3 10 3 2 2 2" xfId="18732" xr:uid="{00000000-0005-0000-0000-000030490000}"/>
    <cellStyle name="Normal 2 3 10 3 2 2 2 2" xfId="25244" xr:uid="{00000000-0005-0000-0000-0000A0620000}"/>
    <cellStyle name="Normal 2 3 10 3 2 2 3" xfId="22409" xr:uid="{00000000-0005-0000-0000-00008D570000}"/>
    <cellStyle name="Normal 2 3 10 3 2 3" xfId="17412" xr:uid="{00000000-0005-0000-0000-000008440000}"/>
    <cellStyle name="Normal 2 3 10 3 2 3 2" xfId="23988" xr:uid="{00000000-0005-0000-0000-0000B85D0000}"/>
    <cellStyle name="Normal 2 3 10 3 2 4" xfId="21153" xr:uid="{00000000-0005-0000-0000-0000A5520000}"/>
    <cellStyle name="Normal 2 3 10 3 2 5" xfId="9164" xr:uid="{00000000-0005-0000-0000-0000D0230000}"/>
    <cellStyle name="Normal 2 3 10 3 3" xfId="10080" xr:uid="{00000000-0005-0000-0000-000064270000}"/>
    <cellStyle name="Normal 2 3 10 3 3 2" xfId="18308" xr:uid="{00000000-0005-0000-0000-000088470000}"/>
    <cellStyle name="Normal 2 3 10 3 3 2 2" xfId="24820" xr:uid="{00000000-0005-0000-0000-0000F8600000}"/>
    <cellStyle name="Normal 2 3 10 3 3 3" xfId="21985" xr:uid="{00000000-0005-0000-0000-0000E5550000}"/>
    <cellStyle name="Normal 2 3 10 3 4" xfId="16899" xr:uid="{00000000-0005-0000-0000-000007420000}"/>
    <cellStyle name="Normal 2 3 10 3 4 2" xfId="23556" xr:uid="{00000000-0005-0000-0000-0000085C0000}"/>
    <cellStyle name="Normal 2 3 10 3 5" xfId="20423" xr:uid="{00000000-0005-0000-0000-0000CB4F0000}"/>
    <cellStyle name="Normal 2 3 10 3 6" xfId="8218" xr:uid="{00000000-0005-0000-0000-00001E200000}"/>
    <cellStyle name="Normal 2 3 10 4" xfId="3217" xr:uid="{00000000-0005-0000-0000-0000950C0000}"/>
    <cellStyle name="Normal 2 3 10 4 2" xfId="4275" xr:uid="{00000000-0005-0000-0000-0000B7100000}"/>
    <cellStyle name="Normal 2 3 10 4 3" xfId="8743" xr:uid="{00000000-0005-0000-0000-00002B220000}"/>
    <cellStyle name="Normal 2 3 10 5" xfId="3668" xr:uid="{00000000-0005-0000-0000-0000580E0000}"/>
    <cellStyle name="Normal 2 3 10 5 2" xfId="17890" xr:uid="{00000000-0005-0000-0000-0000E6450000}"/>
    <cellStyle name="Normal 2 3 10 5 2 2" xfId="24402" xr:uid="{00000000-0005-0000-0000-0000565F0000}"/>
    <cellStyle name="Normal 2 3 10 5 3" xfId="21567" xr:uid="{00000000-0005-0000-0000-000043540000}"/>
    <cellStyle name="Normal 2 3 10 5 4" xfId="9662" xr:uid="{00000000-0005-0000-0000-0000C2250000}"/>
    <cellStyle name="Normal 2 3 10 6" xfId="10931" xr:uid="{00000000-0005-0000-0000-0000B72A0000}"/>
    <cellStyle name="Normal 2 3 10 6 2" xfId="22825" xr:uid="{00000000-0005-0000-0000-00002D590000}"/>
    <cellStyle name="Normal 2 3 10 7" xfId="20005" xr:uid="{00000000-0005-0000-0000-0000294E0000}"/>
    <cellStyle name="Normal 2 3 10 8" xfId="7766" xr:uid="{00000000-0005-0000-0000-00005A1E0000}"/>
    <cellStyle name="Normal 2 3 11" xfId="1079" xr:uid="{00000000-0005-0000-0000-00003B040000}"/>
    <cellStyle name="Normal 2 3 11 2" xfId="2224" xr:uid="{00000000-0005-0000-0000-0000B4080000}"/>
    <cellStyle name="Normal 2 3 11 2 2" xfId="3113" xr:uid="{00000000-0005-0000-0000-00002D0C0000}"/>
    <cellStyle name="Normal 2 3 11 2 2 2" xfId="4171" xr:uid="{00000000-0005-0000-0000-00004F100000}"/>
    <cellStyle name="Normal 2 3 11 2 2 2 2" xfId="18518" xr:uid="{00000000-0005-0000-0000-00005A480000}"/>
    <cellStyle name="Normal 2 3 11 2 2 2 2 2" xfId="25030" xr:uid="{00000000-0005-0000-0000-0000CA610000}"/>
    <cellStyle name="Normal 2 3 11 2 2 2 3" xfId="22195" xr:uid="{00000000-0005-0000-0000-0000B7560000}"/>
    <cellStyle name="Normal 2 3 11 2 2 2 4" xfId="10290" xr:uid="{00000000-0005-0000-0000-000036280000}"/>
    <cellStyle name="Normal 2 3 11 2 2 3" xfId="17108" xr:uid="{00000000-0005-0000-0000-0000D8420000}"/>
    <cellStyle name="Normal 2 3 11 2 2 3 2" xfId="23765" xr:uid="{00000000-0005-0000-0000-0000D95C0000}"/>
    <cellStyle name="Normal 2 3 11 2 2 4" xfId="20633" xr:uid="{00000000-0005-0000-0000-00009D500000}"/>
    <cellStyle name="Normal 2 3 11 2 2 5" xfId="8428" xr:uid="{00000000-0005-0000-0000-0000F0200000}"/>
    <cellStyle name="Normal 2 3 11 2 3" xfId="3339" xr:uid="{00000000-0005-0000-0000-00000F0D0000}"/>
    <cellStyle name="Normal 2 3 11 2 3 2" xfId="4381" xr:uid="{00000000-0005-0000-0000-000021110000}"/>
    <cellStyle name="Normal 2 3 11 2 3 2 2" xfId="18735" xr:uid="{00000000-0005-0000-0000-000033490000}"/>
    <cellStyle name="Normal 2 3 11 2 3 2 2 2" xfId="25247" xr:uid="{00000000-0005-0000-0000-0000A3620000}"/>
    <cellStyle name="Normal 2 3 11 2 3 2 3" xfId="22412" xr:uid="{00000000-0005-0000-0000-000090570000}"/>
    <cellStyle name="Normal 2 3 11 2 3 2 4" xfId="10507" xr:uid="{00000000-0005-0000-0000-00000F290000}"/>
    <cellStyle name="Normal 2 3 11 2 3 3" xfId="17415" xr:uid="{00000000-0005-0000-0000-00000B440000}"/>
    <cellStyle name="Normal 2 3 11 2 3 3 2" xfId="23991" xr:uid="{00000000-0005-0000-0000-0000BB5D0000}"/>
    <cellStyle name="Normal 2 3 11 2 3 4" xfId="21156" xr:uid="{00000000-0005-0000-0000-0000A8520000}"/>
    <cellStyle name="Normal 2 3 11 2 3 5" xfId="9167" xr:uid="{00000000-0005-0000-0000-0000D3230000}"/>
    <cellStyle name="Normal 2 3 11 2 4" xfId="3961" xr:uid="{00000000-0005-0000-0000-00007D0F0000}"/>
    <cellStyle name="Normal 2 3 11 2 4 2" xfId="18100" xr:uid="{00000000-0005-0000-0000-0000B8460000}"/>
    <cellStyle name="Normal 2 3 11 2 4 2 2" xfId="24612" xr:uid="{00000000-0005-0000-0000-000028600000}"/>
    <cellStyle name="Normal 2 3 11 2 4 3" xfId="21777" xr:uid="{00000000-0005-0000-0000-000015550000}"/>
    <cellStyle name="Normal 2 3 11 2 4 4" xfId="9872" xr:uid="{00000000-0005-0000-0000-000094260000}"/>
    <cellStyle name="Normal 2 3 11 2 5" xfId="10934" xr:uid="{00000000-0005-0000-0000-0000BA2A0000}"/>
    <cellStyle name="Normal 2 3 11 2 5 2" xfId="22828" xr:uid="{00000000-0005-0000-0000-000030590000}"/>
    <cellStyle name="Normal 2 3 11 2 6" xfId="20215" xr:uid="{00000000-0005-0000-0000-0000FB4E0000}"/>
    <cellStyle name="Normal 2 3 11 2 7" xfId="8009" xr:uid="{00000000-0005-0000-0000-00004D1F0000}"/>
    <cellStyle name="Normal 2 3 11 3" xfId="2992" xr:uid="{00000000-0005-0000-0000-0000B40B0000}"/>
    <cellStyle name="Normal 2 3 11 3 2" xfId="4066" xr:uid="{00000000-0005-0000-0000-0000E60F0000}"/>
    <cellStyle name="Normal 2 3 11 3 2 2" xfId="10506" xr:uid="{00000000-0005-0000-0000-00000E290000}"/>
    <cellStyle name="Normal 2 3 11 3 2 2 2" xfId="18734" xr:uid="{00000000-0005-0000-0000-000032490000}"/>
    <cellStyle name="Normal 2 3 11 3 2 2 2 2" xfId="25246" xr:uid="{00000000-0005-0000-0000-0000A2620000}"/>
    <cellStyle name="Normal 2 3 11 3 2 2 3" xfId="22411" xr:uid="{00000000-0005-0000-0000-00008F570000}"/>
    <cellStyle name="Normal 2 3 11 3 2 3" xfId="17414" xr:uid="{00000000-0005-0000-0000-00000A440000}"/>
    <cellStyle name="Normal 2 3 11 3 2 3 2" xfId="23990" xr:uid="{00000000-0005-0000-0000-0000BA5D0000}"/>
    <cellStyle name="Normal 2 3 11 3 2 4" xfId="21155" xr:uid="{00000000-0005-0000-0000-0000A7520000}"/>
    <cellStyle name="Normal 2 3 11 3 2 5" xfId="9166" xr:uid="{00000000-0005-0000-0000-0000D2230000}"/>
    <cellStyle name="Normal 2 3 11 3 3" xfId="10081" xr:uid="{00000000-0005-0000-0000-000065270000}"/>
    <cellStyle name="Normal 2 3 11 3 3 2" xfId="18309" xr:uid="{00000000-0005-0000-0000-000089470000}"/>
    <cellStyle name="Normal 2 3 11 3 3 2 2" xfId="24821" xr:uid="{00000000-0005-0000-0000-0000F9600000}"/>
    <cellStyle name="Normal 2 3 11 3 3 3" xfId="21986" xr:uid="{00000000-0005-0000-0000-0000E6550000}"/>
    <cellStyle name="Normal 2 3 11 3 4" xfId="16900" xr:uid="{00000000-0005-0000-0000-000008420000}"/>
    <cellStyle name="Normal 2 3 11 3 4 2" xfId="23557" xr:uid="{00000000-0005-0000-0000-0000095C0000}"/>
    <cellStyle name="Normal 2 3 11 3 5" xfId="20424" xr:uid="{00000000-0005-0000-0000-0000CC4F0000}"/>
    <cellStyle name="Normal 2 3 11 3 6" xfId="8219" xr:uid="{00000000-0005-0000-0000-00001F200000}"/>
    <cellStyle name="Normal 2 3 11 4" xfId="3218" xr:uid="{00000000-0005-0000-0000-0000960C0000}"/>
    <cellStyle name="Normal 2 3 11 4 2" xfId="4276" xr:uid="{00000000-0005-0000-0000-0000B8100000}"/>
    <cellStyle name="Normal 2 3 11 4 3" xfId="8744" xr:uid="{00000000-0005-0000-0000-00002C220000}"/>
    <cellStyle name="Normal 2 3 11 5" xfId="3669" xr:uid="{00000000-0005-0000-0000-0000590E0000}"/>
    <cellStyle name="Normal 2 3 11 5 2" xfId="17891" xr:uid="{00000000-0005-0000-0000-0000E7450000}"/>
    <cellStyle name="Normal 2 3 11 5 2 2" xfId="24403" xr:uid="{00000000-0005-0000-0000-0000575F0000}"/>
    <cellStyle name="Normal 2 3 11 5 3" xfId="21568" xr:uid="{00000000-0005-0000-0000-000044540000}"/>
    <cellStyle name="Normal 2 3 11 5 4" xfId="9663" xr:uid="{00000000-0005-0000-0000-0000C3250000}"/>
    <cellStyle name="Normal 2 3 11 6" xfId="10933" xr:uid="{00000000-0005-0000-0000-0000B92A0000}"/>
    <cellStyle name="Normal 2 3 11 6 2" xfId="22827" xr:uid="{00000000-0005-0000-0000-00002F590000}"/>
    <cellStyle name="Normal 2 3 11 7" xfId="20006" xr:uid="{00000000-0005-0000-0000-00002A4E0000}"/>
    <cellStyle name="Normal 2 3 11 8" xfId="7767" xr:uid="{00000000-0005-0000-0000-00005B1E0000}"/>
    <cellStyle name="Normal 2 3 12" xfId="1080" xr:uid="{00000000-0005-0000-0000-00003C040000}"/>
    <cellStyle name="Normal 2 3 12 2" xfId="2225" xr:uid="{00000000-0005-0000-0000-0000B5080000}"/>
    <cellStyle name="Normal 2 3 12 2 2" xfId="3114" xr:uid="{00000000-0005-0000-0000-00002E0C0000}"/>
    <cellStyle name="Normal 2 3 12 2 2 2" xfId="4172" xr:uid="{00000000-0005-0000-0000-000050100000}"/>
    <cellStyle name="Normal 2 3 12 2 2 2 2" xfId="18519" xr:uid="{00000000-0005-0000-0000-00005B480000}"/>
    <cellStyle name="Normal 2 3 12 2 2 2 2 2" xfId="25031" xr:uid="{00000000-0005-0000-0000-0000CB610000}"/>
    <cellStyle name="Normal 2 3 12 2 2 2 3" xfId="22196" xr:uid="{00000000-0005-0000-0000-0000B8560000}"/>
    <cellStyle name="Normal 2 3 12 2 2 2 4" xfId="10291" xr:uid="{00000000-0005-0000-0000-000037280000}"/>
    <cellStyle name="Normal 2 3 12 2 2 3" xfId="17109" xr:uid="{00000000-0005-0000-0000-0000D9420000}"/>
    <cellStyle name="Normal 2 3 12 2 2 3 2" xfId="23766" xr:uid="{00000000-0005-0000-0000-0000DA5C0000}"/>
    <cellStyle name="Normal 2 3 12 2 2 4" xfId="20634" xr:uid="{00000000-0005-0000-0000-00009E500000}"/>
    <cellStyle name="Normal 2 3 12 2 2 5" xfId="8429" xr:uid="{00000000-0005-0000-0000-0000F1200000}"/>
    <cellStyle name="Normal 2 3 12 2 3" xfId="3340" xr:uid="{00000000-0005-0000-0000-0000100D0000}"/>
    <cellStyle name="Normal 2 3 12 2 3 2" xfId="4382" xr:uid="{00000000-0005-0000-0000-000022110000}"/>
    <cellStyle name="Normal 2 3 12 2 3 2 2" xfId="18737" xr:uid="{00000000-0005-0000-0000-000035490000}"/>
    <cellStyle name="Normal 2 3 12 2 3 2 2 2" xfId="25249" xr:uid="{00000000-0005-0000-0000-0000A5620000}"/>
    <cellStyle name="Normal 2 3 12 2 3 2 3" xfId="22414" xr:uid="{00000000-0005-0000-0000-000092570000}"/>
    <cellStyle name="Normal 2 3 12 2 3 2 4" xfId="10509" xr:uid="{00000000-0005-0000-0000-000011290000}"/>
    <cellStyle name="Normal 2 3 12 2 3 3" xfId="17417" xr:uid="{00000000-0005-0000-0000-00000D440000}"/>
    <cellStyle name="Normal 2 3 12 2 3 3 2" xfId="23993" xr:uid="{00000000-0005-0000-0000-0000BD5D0000}"/>
    <cellStyle name="Normal 2 3 12 2 3 4" xfId="21158" xr:uid="{00000000-0005-0000-0000-0000AA520000}"/>
    <cellStyle name="Normal 2 3 12 2 3 5" xfId="9169" xr:uid="{00000000-0005-0000-0000-0000D5230000}"/>
    <cellStyle name="Normal 2 3 12 2 4" xfId="3962" xr:uid="{00000000-0005-0000-0000-00007E0F0000}"/>
    <cellStyle name="Normal 2 3 12 2 4 2" xfId="18101" xr:uid="{00000000-0005-0000-0000-0000B9460000}"/>
    <cellStyle name="Normal 2 3 12 2 4 2 2" xfId="24613" xr:uid="{00000000-0005-0000-0000-000029600000}"/>
    <cellStyle name="Normal 2 3 12 2 4 3" xfId="21778" xr:uid="{00000000-0005-0000-0000-000016550000}"/>
    <cellStyle name="Normal 2 3 12 2 4 4" xfId="9873" xr:uid="{00000000-0005-0000-0000-000095260000}"/>
    <cellStyle name="Normal 2 3 12 2 5" xfId="10936" xr:uid="{00000000-0005-0000-0000-0000BC2A0000}"/>
    <cellStyle name="Normal 2 3 12 2 5 2" xfId="22830" xr:uid="{00000000-0005-0000-0000-000032590000}"/>
    <cellStyle name="Normal 2 3 12 2 6" xfId="20216" xr:uid="{00000000-0005-0000-0000-0000FC4E0000}"/>
    <cellStyle name="Normal 2 3 12 2 7" xfId="8010" xr:uid="{00000000-0005-0000-0000-00004E1F0000}"/>
    <cellStyle name="Normal 2 3 12 3" xfId="2993" xr:uid="{00000000-0005-0000-0000-0000B50B0000}"/>
    <cellStyle name="Normal 2 3 12 3 2" xfId="4067" xr:uid="{00000000-0005-0000-0000-0000E70F0000}"/>
    <cellStyle name="Normal 2 3 12 3 2 2" xfId="10508" xr:uid="{00000000-0005-0000-0000-000010290000}"/>
    <cellStyle name="Normal 2 3 12 3 2 2 2" xfId="18736" xr:uid="{00000000-0005-0000-0000-000034490000}"/>
    <cellStyle name="Normal 2 3 12 3 2 2 2 2" xfId="25248" xr:uid="{00000000-0005-0000-0000-0000A4620000}"/>
    <cellStyle name="Normal 2 3 12 3 2 2 3" xfId="22413" xr:uid="{00000000-0005-0000-0000-000091570000}"/>
    <cellStyle name="Normal 2 3 12 3 2 3" xfId="17416" xr:uid="{00000000-0005-0000-0000-00000C440000}"/>
    <cellStyle name="Normal 2 3 12 3 2 3 2" xfId="23992" xr:uid="{00000000-0005-0000-0000-0000BC5D0000}"/>
    <cellStyle name="Normal 2 3 12 3 2 4" xfId="21157" xr:uid="{00000000-0005-0000-0000-0000A9520000}"/>
    <cellStyle name="Normal 2 3 12 3 2 5" xfId="9168" xr:uid="{00000000-0005-0000-0000-0000D4230000}"/>
    <cellStyle name="Normal 2 3 12 3 3" xfId="10082" xr:uid="{00000000-0005-0000-0000-000066270000}"/>
    <cellStyle name="Normal 2 3 12 3 3 2" xfId="18310" xr:uid="{00000000-0005-0000-0000-00008A470000}"/>
    <cellStyle name="Normal 2 3 12 3 3 2 2" xfId="24822" xr:uid="{00000000-0005-0000-0000-0000FA600000}"/>
    <cellStyle name="Normal 2 3 12 3 3 3" xfId="21987" xr:uid="{00000000-0005-0000-0000-0000E7550000}"/>
    <cellStyle name="Normal 2 3 12 3 4" xfId="16901" xr:uid="{00000000-0005-0000-0000-000009420000}"/>
    <cellStyle name="Normal 2 3 12 3 4 2" xfId="23558" xr:uid="{00000000-0005-0000-0000-00000A5C0000}"/>
    <cellStyle name="Normal 2 3 12 3 5" xfId="20425" xr:uid="{00000000-0005-0000-0000-0000CD4F0000}"/>
    <cellStyle name="Normal 2 3 12 3 6" xfId="8220" xr:uid="{00000000-0005-0000-0000-000020200000}"/>
    <cellStyle name="Normal 2 3 12 4" xfId="3219" xr:uid="{00000000-0005-0000-0000-0000970C0000}"/>
    <cellStyle name="Normal 2 3 12 4 2" xfId="4277" xr:uid="{00000000-0005-0000-0000-0000B9100000}"/>
    <cellStyle name="Normal 2 3 12 4 3" xfId="8745" xr:uid="{00000000-0005-0000-0000-00002D220000}"/>
    <cellStyle name="Normal 2 3 12 5" xfId="3670" xr:uid="{00000000-0005-0000-0000-00005A0E0000}"/>
    <cellStyle name="Normal 2 3 12 5 2" xfId="17892" xr:uid="{00000000-0005-0000-0000-0000E8450000}"/>
    <cellStyle name="Normal 2 3 12 5 2 2" xfId="24404" xr:uid="{00000000-0005-0000-0000-0000585F0000}"/>
    <cellStyle name="Normal 2 3 12 5 3" xfId="21569" xr:uid="{00000000-0005-0000-0000-000045540000}"/>
    <cellStyle name="Normal 2 3 12 5 4" xfId="9664" xr:uid="{00000000-0005-0000-0000-0000C4250000}"/>
    <cellStyle name="Normal 2 3 12 6" xfId="10935" xr:uid="{00000000-0005-0000-0000-0000BB2A0000}"/>
    <cellStyle name="Normal 2 3 12 6 2" xfId="22829" xr:uid="{00000000-0005-0000-0000-000031590000}"/>
    <cellStyle name="Normal 2 3 12 7" xfId="20007" xr:uid="{00000000-0005-0000-0000-00002B4E0000}"/>
    <cellStyle name="Normal 2 3 12 8" xfId="7768" xr:uid="{00000000-0005-0000-0000-00005C1E0000}"/>
    <cellStyle name="Normal 2 3 13" xfId="1081" xr:uid="{00000000-0005-0000-0000-00003D040000}"/>
    <cellStyle name="Normal 2 3 13 2" xfId="2226" xr:uid="{00000000-0005-0000-0000-0000B6080000}"/>
    <cellStyle name="Normal 2 3 13 2 2" xfId="3115" xr:uid="{00000000-0005-0000-0000-00002F0C0000}"/>
    <cellStyle name="Normal 2 3 13 2 2 2" xfId="4173" xr:uid="{00000000-0005-0000-0000-000051100000}"/>
    <cellStyle name="Normal 2 3 13 2 2 2 2" xfId="18520" xr:uid="{00000000-0005-0000-0000-00005C480000}"/>
    <cellStyle name="Normal 2 3 13 2 2 2 2 2" xfId="25032" xr:uid="{00000000-0005-0000-0000-0000CC610000}"/>
    <cellStyle name="Normal 2 3 13 2 2 2 3" xfId="22197" xr:uid="{00000000-0005-0000-0000-0000B9560000}"/>
    <cellStyle name="Normal 2 3 13 2 2 2 4" xfId="10292" xr:uid="{00000000-0005-0000-0000-000038280000}"/>
    <cellStyle name="Normal 2 3 13 2 2 3" xfId="17110" xr:uid="{00000000-0005-0000-0000-0000DA420000}"/>
    <cellStyle name="Normal 2 3 13 2 2 3 2" xfId="23767" xr:uid="{00000000-0005-0000-0000-0000DB5C0000}"/>
    <cellStyle name="Normal 2 3 13 2 2 4" xfId="20635" xr:uid="{00000000-0005-0000-0000-00009F500000}"/>
    <cellStyle name="Normal 2 3 13 2 2 5" xfId="8430" xr:uid="{00000000-0005-0000-0000-0000F2200000}"/>
    <cellStyle name="Normal 2 3 13 2 3" xfId="3341" xr:uid="{00000000-0005-0000-0000-0000110D0000}"/>
    <cellStyle name="Normal 2 3 13 2 3 2" xfId="4383" xr:uid="{00000000-0005-0000-0000-000023110000}"/>
    <cellStyle name="Normal 2 3 13 2 3 2 2" xfId="18739" xr:uid="{00000000-0005-0000-0000-000037490000}"/>
    <cellStyle name="Normal 2 3 13 2 3 2 2 2" xfId="25251" xr:uid="{00000000-0005-0000-0000-0000A7620000}"/>
    <cellStyle name="Normal 2 3 13 2 3 2 3" xfId="22416" xr:uid="{00000000-0005-0000-0000-000094570000}"/>
    <cellStyle name="Normal 2 3 13 2 3 2 4" xfId="10511" xr:uid="{00000000-0005-0000-0000-000013290000}"/>
    <cellStyle name="Normal 2 3 13 2 3 3" xfId="17419" xr:uid="{00000000-0005-0000-0000-00000F440000}"/>
    <cellStyle name="Normal 2 3 13 2 3 3 2" xfId="23995" xr:uid="{00000000-0005-0000-0000-0000BF5D0000}"/>
    <cellStyle name="Normal 2 3 13 2 3 4" xfId="21160" xr:uid="{00000000-0005-0000-0000-0000AC520000}"/>
    <cellStyle name="Normal 2 3 13 2 3 5" xfId="9171" xr:uid="{00000000-0005-0000-0000-0000D7230000}"/>
    <cellStyle name="Normal 2 3 13 2 4" xfId="3963" xr:uid="{00000000-0005-0000-0000-00007F0F0000}"/>
    <cellStyle name="Normal 2 3 13 2 4 2" xfId="18102" xr:uid="{00000000-0005-0000-0000-0000BA460000}"/>
    <cellStyle name="Normal 2 3 13 2 4 2 2" xfId="24614" xr:uid="{00000000-0005-0000-0000-00002A600000}"/>
    <cellStyle name="Normal 2 3 13 2 4 3" xfId="21779" xr:uid="{00000000-0005-0000-0000-000017550000}"/>
    <cellStyle name="Normal 2 3 13 2 4 4" xfId="9874" xr:uid="{00000000-0005-0000-0000-000096260000}"/>
    <cellStyle name="Normal 2 3 13 2 5" xfId="10938" xr:uid="{00000000-0005-0000-0000-0000BE2A0000}"/>
    <cellStyle name="Normal 2 3 13 2 5 2" xfId="22832" xr:uid="{00000000-0005-0000-0000-000034590000}"/>
    <cellStyle name="Normal 2 3 13 2 6" xfId="20217" xr:uid="{00000000-0005-0000-0000-0000FD4E0000}"/>
    <cellStyle name="Normal 2 3 13 2 7" xfId="8011" xr:uid="{00000000-0005-0000-0000-00004F1F0000}"/>
    <cellStyle name="Normal 2 3 13 3" xfId="2994" xr:uid="{00000000-0005-0000-0000-0000B60B0000}"/>
    <cellStyle name="Normal 2 3 13 3 2" xfId="4068" xr:uid="{00000000-0005-0000-0000-0000E80F0000}"/>
    <cellStyle name="Normal 2 3 13 3 2 2" xfId="10510" xr:uid="{00000000-0005-0000-0000-000012290000}"/>
    <cellStyle name="Normal 2 3 13 3 2 2 2" xfId="18738" xr:uid="{00000000-0005-0000-0000-000036490000}"/>
    <cellStyle name="Normal 2 3 13 3 2 2 2 2" xfId="25250" xr:uid="{00000000-0005-0000-0000-0000A6620000}"/>
    <cellStyle name="Normal 2 3 13 3 2 2 3" xfId="22415" xr:uid="{00000000-0005-0000-0000-000093570000}"/>
    <cellStyle name="Normal 2 3 13 3 2 3" xfId="17418" xr:uid="{00000000-0005-0000-0000-00000E440000}"/>
    <cellStyle name="Normal 2 3 13 3 2 3 2" xfId="23994" xr:uid="{00000000-0005-0000-0000-0000BE5D0000}"/>
    <cellStyle name="Normal 2 3 13 3 2 4" xfId="21159" xr:uid="{00000000-0005-0000-0000-0000AB520000}"/>
    <cellStyle name="Normal 2 3 13 3 2 5" xfId="9170" xr:uid="{00000000-0005-0000-0000-0000D6230000}"/>
    <cellStyle name="Normal 2 3 13 3 3" xfId="10083" xr:uid="{00000000-0005-0000-0000-000067270000}"/>
    <cellStyle name="Normal 2 3 13 3 3 2" xfId="18311" xr:uid="{00000000-0005-0000-0000-00008B470000}"/>
    <cellStyle name="Normal 2 3 13 3 3 2 2" xfId="24823" xr:uid="{00000000-0005-0000-0000-0000FB600000}"/>
    <cellStyle name="Normal 2 3 13 3 3 3" xfId="21988" xr:uid="{00000000-0005-0000-0000-0000E8550000}"/>
    <cellStyle name="Normal 2 3 13 3 4" xfId="16902" xr:uid="{00000000-0005-0000-0000-00000A420000}"/>
    <cellStyle name="Normal 2 3 13 3 4 2" xfId="23559" xr:uid="{00000000-0005-0000-0000-00000B5C0000}"/>
    <cellStyle name="Normal 2 3 13 3 5" xfId="20426" xr:uid="{00000000-0005-0000-0000-0000CE4F0000}"/>
    <cellStyle name="Normal 2 3 13 3 6" xfId="8221" xr:uid="{00000000-0005-0000-0000-000021200000}"/>
    <cellStyle name="Normal 2 3 13 4" xfId="3220" xr:uid="{00000000-0005-0000-0000-0000980C0000}"/>
    <cellStyle name="Normal 2 3 13 4 2" xfId="4278" xr:uid="{00000000-0005-0000-0000-0000BA100000}"/>
    <cellStyle name="Normal 2 3 13 4 3" xfId="8746" xr:uid="{00000000-0005-0000-0000-00002E220000}"/>
    <cellStyle name="Normal 2 3 13 5" xfId="3671" xr:uid="{00000000-0005-0000-0000-00005B0E0000}"/>
    <cellStyle name="Normal 2 3 13 5 2" xfId="17893" xr:uid="{00000000-0005-0000-0000-0000E9450000}"/>
    <cellStyle name="Normal 2 3 13 5 2 2" xfId="24405" xr:uid="{00000000-0005-0000-0000-0000595F0000}"/>
    <cellStyle name="Normal 2 3 13 5 3" xfId="21570" xr:uid="{00000000-0005-0000-0000-000046540000}"/>
    <cellStyle name="Normal 2 3 13 5 4" xfId="9665" xr:uid="{00000000-0005-0000-0000-0000C5250000}"/>
    <cellStyle name="Normal 2 3 13 6" xfId="10937" xr:uid="{00000000-0005-0000-0000-0000BD2A0000}"/>
    <cellStyle name="Normal 2 3 13 6 2" xfId="22831" xr:uid="{00000000-0005-0000-0000-000033590000}"/>
    <cellStyle name="Normal 2 3 13 7" xfId="20008" xr:uid="{00000000-0005-0000-0000-00002C4E0000}"/>
    <cellStyle name="Normal 2 3 13 8" xfId="7769" xr:uid="{00000000-0005-0000-0000-00005D1E0000}"/>
    <cellStyle name="Normal 2 3 14" xfId="2222" xr:uid="{00000000-0005-0000-0000-0000B2080000}"/>
    <cellStyle name="Normal 2 3 15" xfId="1077" xr:uid="{00000000-0005-0000-0000-000039040000}"/>
    <cellStyle name="Normal 2 3 16" xfId="3416" xr:uid="{00000000-0005-0000-0000-00005C0D0000}"/>
    <cellStyle name="Normal 2 3 2" xfId="117" xr:uid="{00000000-0005-0000-0000-000079000000}"/>
    <cellStyle name="Normal 2 3 2 10" xfId="9542" xr:uid="{00000000-0005-0000-0000-00004A250000}"/>
    <cellStyle name="Normal 2 3 2 10 2" xfId="17770" xr:uid="{00000000-0005-0000-0000-00006E450000}"/>
    <cellStyle name="Normal 2 3 2 10 2 2" xfId="24282" xr:uid="{00000000-0005-0000-0000-0000DE5E0000}"/>
    <cellStyle name="Normal 2 3 2 10 3" xfId="21447" xr:uid="{00000000-0005-0000-0000-0000CB530000}"/>
    <cellStyle name="Normal 2 3 2 11" xfId="10939" xr:uid="{00000000-0005-0000-0000-0000BF2A0000}"/>
    <cellStyle name="Normal 2 3 2 11 2" xfId="22833" xr:uid="{00000000-0005-0000-0000-000035590000}"/>
    <cellStyle name="Normal 2 3 2 12" xfId="19608" xr:uid="{00000000-0005-0000-0000-00009C4C0000}"/>
    <cellStyle name="Normal 2 3 2 13" xfId="4509" xr:uid="{00000000-0005-0000-0000-0000A1110000}"/>
    <cellStyle name="Normal 2 3 2 2" xfId="2227" xr:uid="{00000000-0005-0000-0000-0000B7080000}"/>
    <cellStyle name="Normal 2 3 2 2 10" xfId="4560" xr:uid="{00000000-0005-0000-0000-0000D4110000}"/>
    <cellStyle name="Normal 2 3 2 2 2" xfId="3116" xr:uid="{00000000-0005-0000-0000-0000300C0000}"/>
    <cellStyle name="Normal 2 3 2 2 2 2" xfId="4174" xr:uid="{00000000-0005-0000-0000-000052100000}"/>
    <cellStyle name="Normal 2 3 2 2 2 2 2" xfId="8353" xr:uid="{00000000-0005-0000-0000-0000A5200000}"/>
    <cellStyle name="Normal 2 3 2 2 2 2 2 2" xfId="10215" xr:uid="{00000000-0005-0000-0000-0000EB270000}"/>
    <cellStyle name="Normal 2 3 2 2 2 2 2 2 2" xfId="18443" xr:uid="{00000000-0005-0000-0000-00000F480000}"/>
    <cellStyle name="Normal 2 3 2 2 2 2 2 2 2 2" xfId="24955" xr:uid="{00000000-0005-0000-0000-00007F610000}"/>
    <cellStyle name="Normal 2 3 2 2 2 2 2 2 3" xfId="22120" xr:uid="{00000000-0005-0000-0000-00006C560000}"/>
    <cellStyle name="Normal 2 3 2 2 2 2 2 3" xfId="17033" xr:uid="{00000000-0005-0000-0000-00008D420000}"/>
    <cellStyle name="Normal 2 3 2 2 2 2 2 3 2" xfId="23690" xr:uid="{00000000-0005-0000-0000-00008E5C0000}"/>
    <cellStyle name="Normal 2 3 2 2 2 2 2 4" xfId="20558" xr:uid="{00000000-0005-0000-0000-000052500000}"/>
    <cellStyle name="Normal 2 3 2 2 2 2 3" xfId="9174" xr:uid="{00000000-0005-0000-0000-0000DA230000}"/>
    <cellStyle name="Normal 2 3 2 2 2 2 3 2" xfId="10514" xr:uid="{00000000-0005-0000-0000-000016290000}"/>
    <cellStyle name="Normal 2 3 2 2 2 2 3 2 2" xfId="18742" xr:uid="{00000000-0005-0000-0000-00003A490000}"/>
    <cellStyle name="Normal 2 3 2 2 2 2 3 2 2 2" xfId="25254" xr:uid="{00000000-0005-0000-0000-0000AA620000}"/>
    <cellStyle name="Normal 2 3 2 2 2 2 3 2 3" xfId="22419" xr:uid="{00000000-0005-0000-0000-000097570000}"/>
    <cellStyle name="Normal 2 3 2 2 2 2 3 3" xfId="17422" xr:uid="{00000000-0005-0000-0000-000012440000}"/>
    <cellStyle name="Normal 2 3 2 2 2 2 3 3 2" xfId="23998" xr:uid="{00000000-0005-0000-0000-0000C25D0000}"/>
    <cellStyle name="Normal 2 3 2 2 2 2 3 4" xfId="21163" xr:uid="{00000000-0005-0000-0000-0000AF520000}"/>
    <cellStyle name="Normal 2 3 2 2 2 2 4" xfId="9797" xr:uid="{00000000-0005-0000-0000-000049260000}"/>
    <cellStyle name="Normal 2 3 2 2 2 2 4 2" xfId="18025" xr:uid="{00000000-0005-0000-0000-00006D460000}"/>
    <cellStyle name="Normal 2 3 2 2 2 2 4 2 2" xfId="24537" xr:uid="{00000000-0005-0000-0000-0000DD5F0000}"/>
    <cellStyle name="Normal 2 3 2 2 2 2 4 3" xfId="21702" xr:uid="{00000000-0005-0000-0000-0000CA540000}"/>
    <cellStyle name="Normal 2 3 2 2 2 2 5" xfId="10942" xr:uid="{00000000-0005-0000-0000-0000C22A0000}"/>
    <cellStyle name="Normal 2 3 2 2 2 2 5 2" xfId="22836" xr:uid="{00000000-0005-0000-0000-000038590000}"/>
    <cellStyle name="Normal 2 3 2 2 2 2 6" xfId="20140" xr:uid="{00000000-0005-0000-0000-0000B04E0000}"/>
    <cellStyle name="Normal 2 3 2 2 2 2 7" xfId="7934" xr:uid="{00000000-0005-0000-0000-0000021F0000}"/>
    <cellStyle name="Normal 2 3 2 2 2 3" xfId="8144" xr:uid="{00000000-0005-0000-0000-0000D41F0000}"/>
    <cellStyle name="Normal 2 3 2 2 2 3 2" xfId="10006" xr:uid="{00000000-0005-0000-0000-00001A270000}"/>
    <cellStyle name="Normal 2 3 2 2 2 3 2 2" xfId="18234" xr:uid="{00000000-0005-0000-0000-00003E470000}"/>
    <cellStyle name="Normal 2 3 2 2 2 3 2 2 2" xfId="24746" xr:uid="{00000000-0005-0000-0000-0000AE600000}"/>
    <cellStyle name="Normal 2 3 2 2 2 3 2 3" xfId="21911" xr:uid="{00000000-0005-0000-0000-00009B550000}"/>
    <cellStyle name="Normal 2 3 2 2 2 3 3" xfId="16833" xr:uid="{00000000-0005-0000-0000-0000C5410000}"/>
    <cellStyle name="Normal 2 3 2 2 2 3 3 2" xfId="23492" xr:uid="{00000000-0005-0000-0000-0000C85B0000}"/>
    <cellStyle name="Normal 2 3 2 2 2 3 4" xfId="20349" xr:uid="{00000000-0005-0000-0000-0000814F0000}"/>
    <cellStyle name="Normal 2 3 2 2 2 4" xfId="9173" xr:uid="{00000000-0005-0000-0000-0000D9230000}"/>
    <cellStyle name="Normal 2 3 2 2 2 4 2" xfId="10513" xr:uid="{00000000-0005-0000-0000-000015290000}"/>
    <cellStyle name="Normal 2 3 2 2 2 4 2 2" xfId="18741" xr:uid="{00000000-0005-0000-0000-000039490000}"/>
    <cellStyle name="Normal 2 3 2 2 2 4 2 2 2" xfId="25253" xr:uid="{00000000-0005-0000-0000-0000A9620000}"/>
    <cellStyle name="Normal 2 3 2 2 2 4 2 3" xfId="22418" xr:uid="{00000000-0005-0000-0000-000096570000}"/>
    <cellStyle name="Normal 2 3 2 2 2 4 3" xfId="17421" xr:uid="{00000000-0005-0000-0000-000011440000}"/>
    <cellStyle name="Normal 2 3 2 2 2 4 3 2" xfId="23997" xr:uid="{00000000-0005-0000-0000-0000C15D0000}"/>
    <cellStyle name="Normal 2 3 2 2 2 4 4" xfId="21162" xr:uid="{00000000-0005-0000-0000-0000AE520000}"/>
    <cellStyle name="Normal 2 3 2 2 2 5" xfId="9588" xr:uid="{00000000-0005-0000-0000-000078250000}"/>
    <cellStyle name="Normal 2 3 2 2 2 5 2" xfId="17816" xr:uid="{00000000-0005-0000-0000-00009C450000}"/>
    <cellStyle name="Normal 2 3 2 2 2 5 2 2" xfId="24328" xr:uid="{00000000-0005-0000-0000-00000C5F0000}"/>
    <cellStyle name="Normal 2 3 2 2 2 5 3" xfId="21493" xr:uid="{00000000-0005-0000-0000-0000F9530000}"/>
    <cellStyle name="Normal 2 3 2 2 2 6" xfId="10941" xr:uid="{00000000-0005-0000-0000-0000C12A0000}"/>
    <cellStyle name="Normal 2 3 2 2 2 6 2" xfId="22835" xr:uid="{00000000-0005-0000-0000-000037590000}"/>
    <cellStyle name="Normal 2 3 2 2 2 7" xfId="19705" xr:uid="{00000000-0005-0000-0000-0000FD4C0000}"/>
    <cellStyle name="Normal 2 3 2 2 2 8" xfId="6278" xr:uid="{00000000-0005-0000-0000-00008A180000}"/>
    <cellStyle name="Normal 2 3 2 2 3" xfId="3342" xr:uid="{00000000-0005-0000-0000-0000120D0000}"/>
    <cellStyle name="Normal 2 3 2 2 3 2" xfId="4384" xr:uid="{00000000-0005-0000-0000-000024110000}"/>
    <cellStyle name="Normal 2 3 2 2 3 2 2" xfId="8432" xr:uid="{00000000-0005-0000-0000-0000F4200000}"/>
    <cellStyle name="Normal 2 3 2 2 3 2 2 2" xfId="10294" xr:uid="{00000000-0005-0000-0000-00003A280000}"/>
    <cellStyle name="Normal 2 3 2 2 3 2 2 2 2" xfId="18522" xr:uid="{00000000-0005-0000-0000-00005E480000}"/>
    <cellStyle name="Normal 2 3 2 2 3 2 2 2 2 2" xfId="25034" xr:uid="{00000000-0005-0000-0000-0000CE610000}"/>
    <cellStyle name="Normal 2 3 2 2 3 2 2 2 3" xfId="22199" xr:uid="{00000000-0005-0000-0000-0000BB560000}"/>
    <cellStyle name="Normal 2 3 2 2 3 2 2 3" xfId="17112" xr:uid="{00000000-0005-0000-0000-0000DC420000}"/>
    <cellStyle name="Normal 2 3 2 2 3 2 2 3 2" xfId="23769" xr:uid="{00000000-0005-0000-0000-0000DD5C0000}"/>
    <cellStyle name="Normal 2 3 2 2 3 2 2 4" xfId="20637" xr:uid="{00000000-0005-0000-0000-0000A1500000}"/>
    <cellStyle name="Normal 2 3 2 2 3 2 3" xfId="9176" xr:uid="{00000000-0005-0000-0000-0000DC230000}"/>
    <cellStyle name="Normal 2 3 2 2 3 2 3 2" xfId="10516" xr:uid="{00000000-0005-0000-0000-000018290000}"/>
    <cellStyle name="Normal 2 3 2 2 3 2 3 2 2" xfId="18744" xr:uid="{00000000-0005-0000-0000-00003C490000}"/>
    <cellStyle name="Normal 2 3 2 2 3 2 3 2 2 2" xfId="25256" xr:uid="{00000000-0005-0000-0000-0000AC620000}"/>
    <cellStyle name="Normal 2 3 2 2 3 2 3 2 3" xfId="22421" xr:uid="{00000000-0005-0000-0000-000099570000}"/>
    <cellStyle name="Normal 2 3 2 2 3 2 3 3" xfId="17424" xr:uid="{00000000-0005-0000-0000-000014440000}"/>
    <cellStyle name="Normal 2 3 2 2 3 2 3 3 2" xfId="24000" xr:uid="{00000000-0005-0000-0000-0000C45D0000}"/>
    <cellStyle name="Normal 2 3 2 2 3 2 3 4" xfId="21165" xr:uid="{00000000-0005-0000-0000-0000B1520000}"/>
    <cellStyle name="Normal 2 3 2 2 3 2 4" xfId="9876" xr:uid="{00000000-0005-0000-0000-000098260000}"/>
    <cellStyle name="Normal 2 3 2 2 3 2 4 2" xfId="18104" xr:uid="{00000000-0005-0000-0000-0000BC460000}"/>
    <cellStyle name="Normal 2 3 2 2 3 2 4 2 2" xfId="24616" xr:uid="{00000000-0005-0000-0000-00002C600000}"/>
    <cellStyle name="Normal 2 3 2 2 3 2 4 3" xfId="21781" xr:uid="{00000000-0005-0000-0000-000019550000}"/>
    <cellStyle name="Normal 2 3 2 2 3 2 5" xfId="10944" xr:uid="{00000000-0005-0000-0000-0000C42A0000}"/>
    <cellStyle name="Normal 2 3 2 2 3 2 5 2" xfId="22838" xr:uid="{00000000-0005-0000-0000-00003A590000}"/>
    <cellStyle name="Normal 2 3 2 2 3 2 6" xfId="20219" xr:uid="{00000000-0005-0000-0000-0000FF4E0000}"/>
    <cellStyle name="Normal 2 3 2 2 3 2 7" xfId="8013" xr:uid="{00000000-0005-0000-0000-0000511F0000}"/>
    <cellStyle name="Normal 2 3 2 2 3 3" xfId="8223" xr:uid="{00000000-0005-0000-0000-000023200000}"/>
    <cellStyle name="Normal 2 3 2 2 3 3 2" xfId="10085" xr:uid="{00000000-0005-0000-0000-000069270000}"/>
    <cellStyle name="Normal 2 3 2 2 3 3 2 2" xfId="18313" xr:uid="{00000000-0005-0000-0000-00008D470000}"/>
    <cellStyle name="Normal 2 3 2 2 3 3 2 2 2" xfId="24825" xr:uid="{00000000-0005-0000-0000-0000FD600000}"/>
    <cellStyle name="Normal 2 3 2 2 3 3 2 3" xfId="21990" xr:uid="{00000000-0005-0000-0000-0000EA550000}"/>
    <cellStyle name="Normal 2 3 2 2 3 3 3" xfId="16904" xr:uid="{00000000-0005-0000-0000-00000C420000}"/>
    <cellStyle name="Normal 2 3 2 2 3 3 3 2" xfId="23561" xr:uid="{00000000-0005-0000-0000-00000D5C0000}"/>
    <cellStyle name="Normal 2 3 2 2 3 3 4" xfId="20428" xr:uid="{00000000-0005-0000-0000-0000D04F0000}"/>
    <cellStyle name="Normal 2 3 2 2 3 4" xfId="9175" xr:uid="{00000000-0005-0000-0000-0000DB230000}"/>
    <cellStyle name="Normal 2 3 2 2 3 4 2" xfId="10515" xr:uid="{00000000-0005-0000-0000-000017290000}"/>
    <cellStyle name="Normal 2 3 2 2 3 4 2 2" xfId="18743" xr:uid="{00000000-0005-0000-0000-00003B490000}"/>
    <cellStyle name="Normal 2 3 2 2 3 4 2 2 2" xfId="25255" xr:uid="{00000000-0005-0000-0000-0000AB620000}"/>
    <cellStyle name="Normal 2 3 2 2 3 4 2 3" xfId="22420" xr:uid="{00000000-0005-0000-0000-000098570000}"/>
    <cellStyle name="Normal 2 3 2 2 3 4 3" xfId="17423" xr:uid="{00000000-0005-0000-0000-000013440000}"/>
    <cellStyle name="Normal 2 3 2 2 3 4 3 2" xfId="23999" xr:uid="{00000000-0005-0000-0000-0000C35D0000}"/>
    <cellStyle name="Normal 2 3 2 2 3 4 4" xfId="21164" xr:uid="{00000000-0005-0000-0000-0000B0520000}"/>
    <cellStyle name="Normal 2 3 2 2 3 5" xfId="9667" xr:uid="{00000000-0005-0000-0000-0000C7250000}"/>
    <cellStyle name="Normal 2 3 2 2 3 5 2" xfId="17895" xr:uid="{00000000-0005-0000-0000-0000EB450000}"/>
    <cellStyle name="Normal 2 3 2 2 3 5 2 2" xfId="24407" xr:uid="{00000000-0005-0000-0000-00005B5F0000}"/>
    <cellStyle name="Normal 2 3 2 2 3 5 3" xfId="21572" xr:uid="{00000000-0005-0000-0000-000048540000}"/>
    <cellStyle name="Normal 2 3 2 2 3 6" xfId="10943" xr:uid="{00000000-0005-0000-0000-0000C32A0000}"/>
    <cellStyle name="Normal 2 3 2 2 3 6 2" xfId="22837" xr:uid="{00000000-0005-0000-0000-000039590000}"/>
    <cellStyle name="Normal 2 3 2 2 3 7" xfId="20010" xr:uid="{00000000-0005-0000-0000-00002E4E0000}"/>
    <cellStyle name="Normal 2 3 2 2 3 8" xfId="7771" xr:uid="{00000000-0005-0000-0000-00005F1E0000}"/>
    <cellStyle name="Normal 2 3 2 2 4" xfId="3964" xr:uid="{00000000-0005-0000-0000-0000800F0000}"/>
    <cellStyle name="Normal 2 3 2 2 4 2" xfId="8326" xr:uid="{00000000-0005-0000-0000-00008A200000}"/>
    <cellStyle name="Normal 2 3 2 2 4 2 2" xfId="10188" xr:uid="{00000000-0005-0000-0000-0000D0270000}"/>
    <cellStyle name="Normal 2 3 2 2 4 2 2 2" xfId="18416" xr:uid="{00000000-0005-0000-0000-0000F4470000}"/>
    <cellStyle name="Normal 2 3 2 2 4 2 2 2 2" xfId="24928" xr:uid="{00000000-0005-0000-0000-000064610000}"/>
    <cellStyle name="Normal 2 3 2 2 4 2 2 3" xfId="22093" xr:uid="{00000000-0005-0000-0000-000051560000}"/>
    <cellStyle name="Normal 2 3 2 2 4 2 3" xfId="17006" xr:uid="{00000000-0005-0000-0000-000072420000}"/>
    <cellStyle name="Normal 2 3 2 2 4 2 3 2" xfId="23663" xr:uid="{00000000-0005-0000-0000-0000735C0000}"/>
    <cellStyle name="Normal 2 3 2 2 4 2 4" xfId="20531" xr:uid="{00000000-0005-0000-0000-000037500000}"/>
    <cellStyle name="Normal 2 3 2 2 4 3" xfId="9177" xr:uid="{00000000-0005-0000-0000-0000DD230000}"/>
    <cellStyle name="Normal 2 3 2 2 4 3 2" xfId="10517" xr:uid="{00000000-0005-0000-0000-000019290000}"/>
    <cellStyle name="Normal 2 3 2 2 4 3 2 2" xfId="18745" xr:uid="{00000000-0005-0000-0000-00003D490000}"/>
    <cellStyle name="Normal 2 3 2 2 4 3 2 2 2" xfId="25257" xr:uid="{00000000-0005-0000-0000-0000AD620000}"/>
    <cellStyle name="Normal 2 3 2 2 4 3 2 3" xfId="22422" xr:uid="{00000000-0005-0000-0000-00009A570000}"/>
    <cellStyle name="Normal 2 3 2 2 4 3 3" xfId="17425" xr:uid="{00000000-0005-0000-0000-000015440000}"/>
    <cellStyle name="Normal 2 3 2 2 4 3 3 2" xfId="24001" xr:uid="{00000000-0005-0000-0000-0000C55D0000}"/>
    <cellStyle name="Normal 2 3 2 2 4 3 4" xfId="21166" xr:uid="{00000000-0005-0000-0000-0000B2520000}"/>
    <cellStyle name="Normal 2 3 2 2 4 4" xfId="9770" xr:uid="{00000000-0005-0000-0000-00002E260000}"/>
    <cellStyle name="Normal 2 3 2 2 4 4 2" xfId="17998" xr:uid="{00000000-0005-0000-0000-000052460000}"/>
    <cellStyle name="Normal 2 3 2 2 4 4 2 2" xfId="24510" xr:uid="{00000000-0005-0000-0000-0000C25F0000}"/>
    <cellStyle name="Normal 2 3 2 2 4 4 3" xfId="21675" xr:uid="{00000000-0005-0000-0000-0000AF540000}"/>
    <cellStyle name="Normal 2 3 2 2 4 5" xfId="10945" xr:uid="{00000000-0005-0000-0000-0000C52A0000}"/>
    <cellStyle name="Normal 2 3 2 2 4 5 2" xfId="22839" xr:uid="{00000000-0005-0000-0000-00003B590000}"/>
    <cellStyle name="Normal 2 3 2 2 4 6" xfId="20113" xr:uid="{00000000-0005-0000-0000-0000954E0000}"/>
    <cellStyle name="Normal 2 3 2 2 4 7" xfId="7905" xr:uid="{00000000-0005-0000-0000-0000E51E0000}"/>
    <cellStyle name="Normal 2 3 2 2 5" xfId="8117" xr:uid="{00000000-0005-0000-0000-0000B91F0000}"/>
    <cellStyle name="Normal 2 3 2 2 5 2" xfId="9979" xr:uid="{00000000-0005-0000-0000-0000FF260000}"/>
    <cellStyle name="Normal 2 3 2 2 5 2 2" xfId="18207" xr:uid="{00000000-0005-0000-0000-000023470000}"/>
    <cellStyle name="Normal 2 3 2 2 5 2 2 2" xfId="24719" xr:uid="{00000000-0005-0000-0000-000093600000}"/>
    <cellStyle name="Normal 2 3 2 2 5 2 3" xfId="21884" xr:uid="{00000000-0005-0000-0000-000080550000}"/>
    <cellStyle name="Normal 2 3 2 2 5 3" xfId="16815" xr:uid="{00000000-0005-0000-0000-0000B3410000}"/>
    <cellStyle name="Normal 2 3 2 2 5 3 2" xfId="23474" xr:uid="{00000000-0005-0000-0000-0000B65B0000}"/>
    <cellStyle name="Normal 2 3 2 2 5 4" xfId="20322" xr:uid="{00000000-0005-0000-0000-0000664F0000}"/>
    <cellStyle name="Normal 2 3 2 2 6" xfId="9172" xr:uid="{00000000-0005-0000-0000-0000D8230000}"/>
    <cellStyle name="Normal 2 3 2 2 6 2" xfId="10512" xr:uid="{00000000-0005-0000-0000-000014290000}"/>
    <cellStyle name="Normal 2 3 2 2 6 2 2" xfId="18740" xr:uid="{00000000-0005-0000-0000-000038490000}"/>
    <cellStyle name="Normal 2 3 2 2 6 2 2 2" xfId="25252" xr:uid="{00000000-0005-0000-0000-0000A8620000}"/>
    <cellStyle name="Normal 2 3 2 2 6 2 3" xfId="22417" xr:uid="{00000000-0005-0000-0000-000095570000}"/>
    <cellStyle name="Normal 2 3 2 2 6 3" xfId="17420" xr:uid="{00000000-0005-0000-0000-000010440000}"/>
    <cellStyle name="Normal 2 3 2 2 6 3 2" xfId="23996" xr:uid="{00000000-0005-0000-0000-0000C05D0000}"/>
    <cellStyle name="Normal 2 3 2 2 6 4" xfId="21161" xr:uid="{00000000-0005-0000-0000-0000AD520000}"/>
    <cellStyle name="Normal 2 3 2 2 7" xfId="9561" xr:uid="{00000000-0005-0000-0000-00005D250000}"/>
    <cellStyle name="Normal 2 3 2 2 7 2" xfId="17789" xr:uid="{00000000-0005-0000-0000-000081450000}"/>
    <cellStyle name="Normal 2 3 2 2 7 2 2" xfId="24301" xr:uid="{00000000-0005-0000-0000-0000F15E0000}"/>
    <cellStyle name="Normal 2 3 2 2 7 3" xfId="21466" xr:uid="{00000000-0005-0000-0000-0000DE530000}"/>
    <cellStyle name="Normal 2 3 2 2 8" xfId="10940" xr:uid="{00000000-0005-0000-0000-0000C02A0000}"/>
    <cellStyle name="Normal 2 3 2 2 8 2" xfId="22834" xr:uid="{00000000-0005-0000-0000-000036590000}"/>
    <cellStyle name="Normal 2 3 2 2 9" xfId="19637" xr:uid="{00000000-0005-0000-0000-0000B94C0000}"/>
    <cellStyle name="Normal 2 3 2 3" xfId="1082" xr:uid="{00000000-0005-0000-0000-00003E040000}"/>
    <cellStyle name="Normal 2 3 2 3 2" xfId="3672" xr:uid="{00000000-0005-0000-0000-00005C0E0000}"/>
    <cellStyle name="Normal 2 3 2 3 2 2" xfId="8325" xr:uid="{00000000-0005-0000-0000-000089200000}"/>
    <cellStyle name="Normal 2 3 2 3 2 2 2" xfId="10187" xr:uid="{00000000-0005-0000-0000-0000CF270000}"/>
    <cellStyle name="Normal 2 3 2 3 2 2 2 2" xfId="18415" xr:uid="{00000000-0005-0000-0000-0000F3470000}"/>
    <cellStyle name="Normal 2 3 2 3 2 2 2 2 2" xfId="24927" xr:uid="{00000000-0005-0000-0000-000063610000}"/>
    <cellStyle name="Normal 2 3 2 3 2 2 2 3" xfId="22092" xr:uid="{00000000-0005-0000-0000-000050560000}"/>
    <cellStyle name="Normal 2 3 2 3 2 2 3" xfId="17005" xr:uid="{00000000-0005-0000-0000-000071420000}"/>
    <cellStyle name="Normal 2 3 2 3 2 2 3 2" xfId="23662" xr:uid="{00000000-0005-0000-0000-0000725C0000}"/>
    <cellStyle name="Normal 2 3 2 3 2 2 4" xfId="20530" xr:uid="{00000000-0005-0000-0000-000036500000}"/>
    <cellStyle name="Normal 2 3 2 3 2 3" xfId="9179" xr:uid="{00000000-0005-0000-0000-0000DF230000}"/>
    <cellStyle name="Normal 2 3 2 3 2 3 2" xfId="10519" xr:uid="{00000000-0005-0000-0000-00001B290000}"/>
    <cellStyle name="Normal 2 3 2 3 2 3 2 2" xfId="18747" xr:uid="{00000000-0005-0000-0000-00003F490000}"/>
    <cellStyle name="Normal 2 3 2 3 2 3 2 2 2" xfId="25259" xr:uid="{00000000-0005-0000-0000-0000AF620000}"/>
    <cellStyle name="Normal 2 3 2 3 2 3 2 3" xfId="22424" xr:uid="{00000000-0005-0000-0000-00009C570000}"/>
    <cellStyle name="Normal 2 3 2 3 2 3 3" xfId="17427" xr:uid="{00000000-0005-0000-0000-000017440000}"/>
    <cellStyle name="Normal 2 3 2 3 2 3 3 2" xfId="24003" xr:uid="{00000000-0005-0000-0000-0000C75D0000}"/>
    <cellStyle name="Normal 2 3 2 3 2 3 4" xfId="21168" xr:uid="{00000000-0005-0000-0000-0000B4520000}"/>
    <cellStyle name="Normal 2 3 2 3 2 4" xfId="9769" xr:uid="{00000000-0005-0000-0000-00002D260000}"/>
    <cellStyle name="Normal 2 3 2 3 2 4 2" xfId="17997" xr:uid="{00000000-0005-0000-0000-000051460000}"/>
    <cellStyle name="Normal 2 3 2 3 2 4 2 2" xfId="24509" xr:uid="{00000000-0005-0000-0000-0000C15F0000}"/>
    <cellStyle name="Normal 2 3 2 3 2 4 3" xfId="21674" xr:uid="{00000000-0005-0000-0000-0000AE540000}"/>
    <cellStyle name="Normal 2 3 2 3 2 5" xfId="10947" xr:uid="{00000000-0005-0000-0000-0000C72A0000}"/>
    <cellStyle name="Normal 2 3 2 3 2 5 2" xfId="22841" xr:uid="{00000000-0005-0000-0000-00003D590000}"/>
    <cellStyle name="Normal 2 3 2 3 2 6" xfId="20112" xr:uid="{00000000-0005-0000-0000-0000944E0000}"/>
    <cellStyle name="Normal 2 3 2 3 2 7" xfId="7904" xr:uid="{00000000-0005-0000-0000-0000E41E0000}"/>
    <cellStyle name="Normal 2 3 2 3 3" xfId="8116" xr:uid="{00000000-0005-0000-0000-0000B81F0000}"/>
    <cellStyle name="Normal 2 3 2 3 3 2" xfId="9978" xr:uid="{00000000-0005-0000-0000-0000FE260000}"/>
    <cellStyle name="Normal 2 3 2 3 3 2 2" xfId="18206" xr:uid="{00000000-0005-0000-0000-000022470000}"/>
    <cellStyle name="Normal 2 3 2 3 3 2 2 2" xfId="24718" xr:uid="{00000000-0005-0000-0000-000092600000}"/>
    <cellStyle name="Normal 2 3 2 3 3 2 3" xfId="21883" xr:uid="{00000000-0005-0000-0000-00007F550000}"/>
    <cellStyle name="Normal 2 3 2 3 3 3" xfId="16814" xr:uid="{00000000-0005-0000-0000-0000B2410000}"/>
    <cellStyle name="Normal 2 3 2 3 3 3 2" xfId="23473" xr:uid="{00000000-0005-0000-0000-0000B55B0000}"/>
    <cellStyle name="Normal 2 3 2 3 3 4" xfId="20321" xr:uid="{00000000-0005-0000-0000-0000654F0000}"/>
    <cellStyle name="Normal 2 3 2 3 4" xfId="9178" xr:uid="{00000000-0005-0000-0000-0000DE230000}"/>
    <cellStyle name="Normal 2 3 2 3 4 2" xfId="10518" xr:uid="{00000000-0005-0000-0000-00001A290000}"/>
    <cellStyle name="Normal 2 3 2 3 4 2 2" xfId="18746" xr:uid="{00000000-0005-0000-0000-00003E490000}"/>
    <cellStyle name="Normal 2 3 2 3 4 2 2 2" xfId="25258" xr:uid="{00000000-0005-0000-0000-0000AE620000}"/>
    <cellStyle name="Normal 2 3 2 3 4 2 3" xfId="22423" xr:uid="{00000000-0005-0000-0000-00009B570000}"/>
    <cellStyle name="Normal 2 3 2 3 4 3" xfId="17426" xr:uid="{00000000-0005-0000-0000-000016440000}"/>
    <cellStyle name="Normal 2 3 2 3 4 3 2" xfId="24002" xr:uid="{00000000-0005-0000-0000-0000C65D0000}"/>
    <cellStyle name="Normal 2 3 2 3 4 4" xfId="21167" xr:uid="{00000000-0005-0000-0000-0000B3520000}"/>
    <cellStyle name="Normal 2 3 2 3 5" xfId="9560" xr:uid="{00000000-0005-0000-0000-00005C250000}"/>
    <cellStyle name="Normal 2 3 2 3 5 2" xfId="17788" xr:uid="{00000000-0005-0000-0000-000080450000}"/>
    <cellStyle name="Normal 2 3 2 3 5 2 2" xfId="24300" xr:uid="{00000000-0005-0000-0000-0000F05E0000}"/>
    <cellStyle name="Normal 2 3 2 3 5 3" xfId="21465" xr:uid="{00000000-0005-0000-0000-0000DD530000}"/>
    <cellStyle name="Normal 2 3 2 3 6" xfId="10946" xr:uid="{00000000-0005-0000-0000-0000C62A0000}"/>
    <cellStyle name="Normal 2 3 2 3 6 2" xfId="22840" xr:uid="{00000000-0005-0000-0000-00003C590000}"/>
    <cellStyle name="Normal 2 3 2 3 7" xfId="19636" xr:uid="{00000000-0005-0000-0000-0000B84C0000}"/>
    <cellStyle name="Normal 2 3 2 3 8" xfId="4559" xr:uid="{00000000-0005-0000-0000-0000D3110000}"/>
    <cellStyle name="Normal 2 3 2 4" xfId="2995" xr:uid="{00000000-0005-0000-0000-0000B70B0000}"/>
    <cellStyle name="Normal 2 3 2 4 2" xfId="4069" xr:uid="{00000000-0005-0000-0000-0000E90F0000}"/>
    <cellStyle name="Normal 2 3 2 4 2 2" xfId="8352" xr:uid="{00000000-0005-0000-0000-0000A4200000}"/>
    <cellStyle name="Normal 2 3 2 4 2 2 2" xfId="10214" xr:uid="{00000000-0005-0000-0000-0000EA270000}"/>
    <cellStyle name="Normal 2 3 2 4 2 2 2 2" xfId="18442" xr:uid="{00000000-0005-0000-0000-00000E480000}"/>
    <cellStyle name="Normal 2 3 2 4 2 2 2 2 2" xfId="24954" xr:uid="{00000000-0005-0000-0000-00007E610000}"/>
    <cellStyle name="Normal 2 3 2 4 2 2 2 3" xfId="22119" xr:uid="{00000000-0005-0000-0000-00006B560000}"/>
    <cellStyle name="Normal 2 3 2 4 2 2 3" xfId="17032" xr:uid="{00000000-0005-0000-0000-00008C420000}"/>
    <cellStyle name="Normal 2 3 2 4 2 2 3 2" xfId="23689" xr:uid="{00000000-0005-0000-0000-00008D5C0000}"/>
    <cellStyle name="Normal 2 3 2 4 2 2 4" xfId="20557" xr:uid="{00000000-0005-0000-0000-000051500000}"/>
    <cellStyle name="Normal 2 3 2 4 2 3" xfId="9181" xr:uid="{00000000-0005-0000-0000-0000E1230000}"/>
    <cellStyle name="Normal 2 3 2 4 2 3 2" xfId="10521" xr:uid="{00000000-0005-0000-0000-00001D290000}"/>
    <cellStyle name="Normal 2 3 2 4 2 3 2 2" xfId="18749" xr:uid="{00000000-0005-0000-0000-000041490000}"/>
    <cellStyle name="Normal 2 3 2 4 2 3 2 2 2" xfId="25261" xr:uid="{00000000-0005-0000-0000-0000B1620000}"/>
    <cellStyle name="Normal 2 3 2 4 2 3 2 3" xfId="22426" xr:uid="{00000000-0005-0000-0000-00009E570000}"/>
    <cellStyle name="Normal 2 3 2 4 2 3 3" xfId="17429" xr:uid="{00000000-0005-0000-0000-000019440000}"/>
    <cellStyle name="Normal 2 3 2 4 2 3 3 2" xfId="24005" xr:uid="{00000000-0005-0000-0000-0000C95D0000}"/>
    <cellStyle name="Normal 2 3 2 4 2 3 4" xfId="21170" xr:uid="{00000000-0005-0000-0000-0000B6520000}"/>
    <cellStyle name="Normal 2 3 2 4 2 4" xfId="9796" xr:uid="{00000000-0005-0000-0000-000048260000}"/>
    <cellStyle name="Normal 2 3 2 4 2 4 2" xfId="18024" xr:uid="{00000000-0005-0000-0000-00006C460000}"/>
    <cellStyle name="Normal 2 3 2 4 2 4 2 2" xfId="24536" xr:uid="{00000000-0005-0000-0000-0000DC5F0000}"/>
    <cellStyle name="Normal 2 3 2 4 2 4 3" xfId="21701" xr:uid="{00000000-0005-0000-0000-0000C9540000}"/>
    <cellStyle name="Normal 2 3 2 4 2 5" xfId="10949" xr:uid="{00000000-0005-0000-0000-0000C92A0000}"/>
    <cellStyle name="Normal 2 3 2 4 2 5 2" xfId="22843" xr:uid="{00000000-0005-0000-0000-00003F590000}"/>
    <cellStyle name="Normal 2 3 2 4 2 6" xfId="20139" xr:uid="{00000000-0005-0000-0000-0000AF4E0000}"/>
    <cellStyle name="Normal 2 3 2 4 2 7" xfId="7933" xr:uid="{00000000-0005-0000-0000-0000011F0000}"/>
    <cellStyle name="Normal 2 3 2 4 3" xfId="8143" xr:uid="{00000000-0005-0000-0000-0000D31F0000}"/>
    <cellStyle name="Normal 2 3 2 4 3 2" xfId="10005" xr:uid="{00000000-0005-0000-0000-000019270000}"/>
    <cellStyle name="Normal 2 3 2 4 3 2 2" xfId="18233" xr:uid="{00000000-0005-0000-0000-00003D470000}"/>
    <cellStyle name="Normal 2 3 2 4 3 2 2 2" xfId="24745" xr:uid="{00000000-0005-0000-0000-0000AD600000}"/>
    <cellStyle name="Normal 2 3 2 4 3 2 3" xfId="21910" xr:uid="{00000000-0005-0000-0000-00009A550000}"/>
    <cellStyle name="Normal 2 3 2 4 3 3" xfId="16832" xr:uid="{00000000-0005-0000-0000-0000C4410000}"/>
    <cellStyle name="Normal 2 3 2 4 3 3 2" xfId="23491" xr:uid="{00000000-0005-0000-0000-0000C75B0000}"/>
    <cellStyle name="Normal 2 3 2 4 3 4" xfId="20348" xr:uid="{00000000-0005-0000-0000-0000804F0000}"/>
    <cellStyle name="Normal 2 3 2 4 4" xfId="9180" xr:uid="{00000000-0005-0000-0000-0000E0230000}"/>
    <cellStyle name="Normal 2 3 2 4 4 2" xfId="10520" xr:uid="{00000000-0005-0000-0000-00001C290000}"/>
    <cellStyle name="Normal 2 3 2 4 4 2 2" xfId="18748" xr:uid="{00000000-0005-0000-0000-000040490000}"/>
    <cellStyle name="Normal 2 3 2 4 4 2 2 2" xfId="25260" xr:uid="{00000000-0005-0000-0000-0000B0620000}"/>
    <cellStyle name="Normal 2 3 2 4 4 2 3" xfId="22425" xr:uid="{00000000-0005-0000-0000-00009D570000}"/>
    <cellStyle name="Normal 2 3 2 4 4 3" xfId="17428" xr:uid="{00000000-0005-0000-0000-000018440000}"/>
    <cellStyle name="Normal 2 3 2 4 4 3 2" xfId="24004" xr:uid="{00000000-0005-0000-0000-0000C85D0000}"/>
    <cellStyle name="Normal 2 3 2 4 4 4" xfId="21169" xr:uid="{00000000-0005-0000-0000-0000B5520000}"/>
    <cellStyle name="Normal 2 3 2 4 5" xfId="9587" xr:uid="{00000000-0005-0000-0000-000077250000}"/>
    <cellStyle name="Normal 2 3 2 4 5 2" xfId="17815" xr:uid="{00000000-0005-0000-0000-00009B450000}"/>
    <cellStyle name="Normal 2 3 2 4 5 2 2" xfId="24327" xr:uid="{00000000-0005-0000-0000-00000B5F0000}"/>
    <cellStyle name="Normal 2 3 2 4 5 3" xfId="21492" xr:uid="{00000000-0005-0000-0000-0000F8530000}"/>
    <cellStyle name="Normal 2 3 2 4 6" xfId="10948" xr:uid="{00000000-0005-0000-0000-0000C82A0000}"/>
    <cellStyle name="Normal 2 3 2 4 6 2" xfId="22842" xr:uid="{00000000-0005-0000-0000-00003E590000}"/>
    <cellStyle name="Normal 2 3 2 4 7" xfId="19704" xr:uid="{00000000-0005-0000-0000-0000FC4C0000}"/>
    <cellStyle name="Normal 2 3 2 4 8" xfId="6277" xr:uid="{00000000-0005-0000-0000-000089180000}"/>
    <cellStyle name="Normal 2 3 2 5" xfId="3221" xr:uid="{00000000-0005-0000-0000-0000990C0000}"/>
    <cellStyle name="Normal 2 3 2 5 2" xfId="4279" xr:uid="{00000000-0005-0000-0000-0000BB100000}"/>
    <cellStyle name="Normal 2 3 2 5 2 2" xfId="8431" xr:uid="{00000000-0005-0000-0000-0000F3200000}"/>
    <cellStyle name="Normal 2 3 2 5 2 2 2" xfId="10293" xr:uid="{00000000-0005-0000-0000-000039280000}"/>
    <cellStyle name="Normal 2 3 2 5 2 2 2 2" xfId="18521" xr:uid="{00000000-0005-0000-0000-00005D480000}"/>
    <cellStyle name="Normal 2 3 2 5 2 2 2 2 2" xfId="25033" xr:uid="{00000000-0005-0000-0000-0000CD610000}"/>
    <cellStyle name="Normal 2 3 2 5 2 2 2 3" xfId="22198" xr:uid="{00000000-0005-0000-0000-0000BA560000}"/>
    <cellStyle name="Normal 2 3 2 5 2 2 3" xfId="17111" xr:uid="{00000000-0005-0000-0000-0000DB420000}"/>
    <cellStyle name="Normal 2 3 2 5 2 2 3 2" xfId="23768" xr:uid="{00000000-0005-0000-0000-0000DC5C0000}"/>
    <cellStyle name="Normal 2 3 2 5 2 2 4" xfId="20636" xr:uid="{00000000-0005-0000-0000-0000A0500000}"/>
    <cellStyle name="Normal 2 3 2 5 2 3" xfId="9183" xr:uid="{00000000-0005-0000-0000-0000E3230000}"/>
    <cellStyle name="Normal 2 3 2 5 2 3 2" xfId="10523" xr:uid="{00000000-0005-0000-0000-00001F290000}"/>
    <cellStyle name="Normal 2 3 2 5 2 3 2 2" xfId="18751" xr:uid="{00000000-0005-0000-0000-000043490000}"/>
    <cellStyle name="Normal 2 3 2 5 2 3 2 2 2" xfId="25263" xr:uid="{00000000-0005-0000-0000-0000B3620000}"/>
    <cellStyle name="Normal 2 3 2 5 2 3 2 3" xfId="22428" xr:uid="{00000000-0005-0000-0000-0000A0570000}"/>
    <cellStyle name="Normal 2 3 2 5 2 3 3" xfId="17431" xr:uid="{00000000-0005-0000-0000-00001B440000}"/>
    <cellStyle name="Normal 2 3 2 5 2 3 3 2" xfId="24007" xr:uid="{00000000-0005-0000-0000-0000CB5D0000}"/>
    <cellStyle name="Normal 2 3 2 5 2 3 4" xfId="21172" xr:uid="{00000000-0005-0000-0000-0000B8520000}"/>
    <cellStyle name="Normal 2 3 2 5 2 4" xfId="9875" xr:uid="{00000000-0005-0000-0000-000097260000}"/>
    <cellStyle name="Normal 2 3 2 5 2 4 2" xfId="18103" xr:uid="{00000000-0005-0000-0000-0000BB460000}"/>
    <cellStyle name="Normal 2 3 2 5 2 4 2 2" xfId="24615" xr:uid="{00000000-0005-0000-0000-00002B600000}"/>
    <cellStyle name="Normal 2 3 2 5 2 4 3" xfId="21780" xr:uid="{00000000-0005-0000-0000-000018550000}"/>
    <cellStyle name="Normal 2 3 2 5 2 5" xfId="10951" xr:uid="{00000000-0005-0000-0000-0000CB2A0000}"/>
    <cellStyle name="Normal 2 3 2 5 2 5 2" xfId="22845" xr:uid="{00000000-0005-0000-0000-000041590000}"/>
    <cellStyle name="Normal 2 3 2 5 2 6" xfId="20218" xr:uid="{00000000-0005-0000-0000-0000FE4E0000}"/>
    <cellStyle name="Normal 2 3 2 5 2 7" xfId="8012" xr:uid="{00000000-0005-0000-0000-0000501F0000}"/>
    <cellStyle name="Normal 2 3 2 5 3" xfId="8222" xr:uid="{00000000-0005-0000-0000-000022200000}"/>
    <cellStyle name="Normal 2 3 2 5 3 2" xfId="10084" xr:uid="{00000000-0005-0000-0000-000068270000}"/>
    <cellStyle name="Normal 2 3 2 5 3 2 2" xfId="18312" xr:uid="{00000000-0005-0000-0000-00008C470000}"/>
    <cellStyle name="Normal 2 3 2 5 3 2 2 2" xfId="24824" xr:uid="{00000000-0005-0000-0000-0000FC600000}"/>
    <cellStyle name="Normal 2 3 2 5 3 2 3" xfId="21989" xr:uid="{00000000-0005-0000-0000-0000E9550000}"/>
    <cellStyle name="Normal 2 3 2 5 3 3" xfId="16903" xr:uid="{00000000-0005-0000-0000-00000B420000}"/>
    <cellStyle name="Normal 2 3 2 5 3 3 2" xfId="23560" xr:uid="{00000000-0005-0000-0000-00000C5C0000}"/>
    <cellStyle name="Normal 2 3 2 5 3 4" xfId="20427" xr:uid="{00000000-0005-0000-0000-0000CF4F0000}"/>
    <cellStyle name="Normal 2 3 2 5 4" xfId="9182" xr:uid="{00000000-0005-0000-0000-0000E2230000}"/>
    <cellStyle name="Normal 2 3 2 5 4 2" xfId="10522" xr:uid="{00000000-0005-0000-0000-00001E290000}"/>
    <cellStyle name="Normal 2 3 2 5 4 2 2" xfId="18750" xr:uid="{00000000-0005-0000-0000-000042490000}"/>
    <cellStyle name="Normal 2 3 2 5 4 2 2 2" xfId="25262" xr:uid="{00000000-0005-0000-0000-0000B2620000}"/>
    <cellStyle name="Normal 2 3 2 5 4 2 3" xfId="22427" xr:uid="{00000000-0005-0000-0000-00009F570000}"/>
    <cellStyle name="Normal 2 3 2 5 4 3" xfId="17430" xr:uid="{00000000-0005-0000-0000-00001A440000}"/>
    <cellStyle name="Normal 2 3 2 5 4 3 2" xfId="24006" xr:uid="{00000000-0005-0000-0000-0000CA5D0000}"/>
    <cellStyle name="Normal 2 3 2 5 4 4" xfId="21171" xr:uid="{00000000-0005-0000-0000-0000B7520000}"/>
    <cellStyle name="Normal 2 3 2 5 5" xfId="9666" xr:uid="{00000000-0005-0000-0000-0000C6250000}"/>
    <cellStyle name="Normal 2 3 2 5 5 2" xfId="17894" xr:uid="{00000000-0005-0000-0000-0000EA450000}"/>
    <cellStyle name="Normal 2 3 2 5 5 2 2" xfId="24406" xr:uid="{00000000-0005-0000-0000-00005A5F0000}"/>
    <cellStyle name="Normal 2 3 2 5 5 3" xfId="21571" xr:uid="{00000000-0005-0000-0000-000047540000}"/>
    <cellStyle name="Normal 2 3 2 5 6" xfId="10950" xr:uid="{00000000-0005-0000-0000-0000CA2A0000}"/>
    <cellStyle name="Normal 2 3 2 5 6 2" xfId="22844" xr:uid="{00000000-0005-0000-0000-000040590000}"/>
    <cellStyle name="Normal 2 3 2 5 7" xfId="20009" xr:uid="{00000000-0005-0000-0000-00002D4E0000}"/>
    <cellStyle name="Normal 2 3 2 5 8" xfId="7770" xr:uid="{00000000-0005-0000-0000-00005E1E0000}"/>
    <cellStyle name="Normal 2 3 2 6" xfId="3417" xr:uid="{00000000-0005-0000-0000-00005D0D0000}"/>
    <cellStyle name="Normal 2 3 2 6 2" xfId="8082" xr:uid="{00000000-0005-0000-0000-0000961F0000}"/>
    <cellStyle name="Normal 2 3 2 6 2 2" xfId="8500" xr:uid="{00000000-0005-0000-0000-000038210000}"/>
    <cellStyle name="Normal 2 3 2 6 2 2 2" xfId="10362" xr:uid="{00000000-0005-0000-0000-00007E280000}"/>
    <cellStyle name="Normal 2 3 2 6 2 2 2 2" xfId="18590" xr:uid="{00000000-0005-0000-0000-0000A2480000}"/>
    <cellStyle name="Normal 2 3 2 6 2 2 2 2 2" xfId="25102" xr:uid="{00000000-0005-0000-0000-000012620000}"/>
    <cellStyle name="Normal 2 3 2 6 2 2 2 3" xfId="22267" xr:uid="{00000000-0005-0000-0000-0000FF560000}"/>
    <cellStyle name="Normal 2 3 2 6 2 2 3" xfId="17180" xr:uid="{00000000-0005-0000-0000-000020430000}"/>
    <cellStyle name="Normal 2 3 2 6 2 2 3 2" xfId="23837" xr:uid="{00000000-0005-0000-0000-0000215D0000}"/>
    <cellStyle name="Normal 2 3 2 6 2 2 4" xfId="20705" xr:uid="{00000000-0005-0000-0000-0000E5500000}"/>
    <cellStyle name="Normal 2 3 2 6 2 3" xfId="9185" xr:uid="{00000000-0005-0000-0000-0000E5230000}"/>
    <cellStyle name="Normal 2 3 2 6 2 3 2" xfId="10525" xr:uid="{00000000-0005-0000-0000-000021290000}"/>
    <cellStyle name="Normal 2 3 2 6 2 3 2 2" xfId="18753" xr:uid="{00000000-0005-0000-0000-000045490000}"/>
    <cellStyle name="Normal 2 3 2 6 2 3 2 2 2" xfId="25265" xr:uid="{00000000-0005-0000-0000-0000B5620000}"/>
    <cellStyle name="Normal 2 3 2 6 2 3 2 3" xfId="22430" xr:uid="{00000000-0005-0000-0000-0000A2570000}"/>
    <cellStyle name="Normal 2 3 2 6 2 3 3" xfId="17433" xr:uid="{00000000-0005-0000-0000-00001D440000}"/>
    <cellStyle name="Normal 2 3 2 6 2 3 3 2" xfId="24009" xr:uid="{00000000-0005-0000-0000-0000CD5D0000}"/>
    <cellStyle name="Normal 2 3 2 6 2 3 4" xfId="21174" xr:uid="{00000000-0005-0000-0000-0000BA520000}"/>
    <cellStyle name="Normal 2 3 2 6 2 4" xfId="9944" xr:uid="{00000000-0005-0000-0000-0000DC260000}"/>
    <cellStyle name="Normal 2 3 2 6 2 4 2" xfId="18172" xr:uid="{00000000-0005-0000-0000-000000470000}"/>
    <cellStyle name="Normal 2 3 2 6 2 4 2 2" xfId="24684" xr:uid="{00000000-0005-0000-0000-000070600000}"/>
    <cellStyle name="Normal 2 3 2 6 2 4 3" xfId="21849" xr:uid="{00000000-0005-0000-0000-00005D550000}"/>
    <cellStyle name="Normal 2 3 2 6 2 5" xfId="10953" xr:uid="{00000000-0005-0000-0000-0000CD2A0000}"/>
    <cellStyle name="Normal 2 3 2 6 2 5 2" xfId="22847" xr:uid="{00000000-0005-0000-0000-000043590000}"/>
    <cellStyle name="Normal 2 3 2 6 2 6" xfId="20287" xr:uid="{00000000-0005-0000-0000-0000434F0000}"/>
    <cellStyle name="Normal 2 3 2 6 3" xfId="8291" xr:uid="{00000000-0005-0000-0000-000067200000}"/>
    <cellStyle name="Normal 2 3 2 6 3 2" xfId="10153" xr:uid="{00000000-0005-0000-0000-0000AD270000}"/>
    <cellStyle name="Normal 2 3 2 6 3 2 2" xfId="18381" xr:uid="{00000000-0005-0000-0000-0000D1470000}"/>
    <cellStyle name="Normal 2 3 2 6 3 2 2 2" xfId="24893" xr:uid="{00000000-0005-0000-0000-000041610000}"/>
    <cellStyle name="Normal 2 3 2 6 3 2 3" xfId="22058" xr:uid="{00000000-0005-0000-0000-00002E560000}"/>
    <cellStyle name="Normal 2 3 2 6 3 3" xfId="16971" xr:uid="{00000000-0005-0000-0000-00004F420000}"/>
    <cellStyle name="Normal 2 3 2 6 3 3 2" xfId="23628" xr:uid="{00000000-0005-0000-0000-0000505C0000}"/>
    <cellStyle name="Normal 2 3 2 6 3 4" xfId="20496" xr:uid="{00000000-0005-0000-0000-000014500000}"/>
    <cellStyle name="Normal 2 3 2 6 4" xfId="9184" xr:uid="{00000000-0005-0000-0000-0000E4230000}"/>
    <cellStyle name="Normal 2 3 2 6 4 2" xfId="10524" xr:uid="{00000000-0005-0000-0000-000020290000}"/>
    <cellStyle name="Normal 2 3 2 6 4 2 2" xfId="18752" xr:uid="{00000000-0005-0000-0000-000044490000}"/>
    <cellStyle name="Normal 2 3 2 6 4 2 2 2" xfId="25264" xr:uid="{00000000-0005-0000-0000-0000B4620000}"/>
    <cellStyle name="Normal 2 3 2 6 4 2 3" xfId="22429" xr:uid="{00000000-0005-0000-0000-0000A1570000}"/>
    <cellStyle name="Normal 2 3 2 6 4 3" xfId="17432" xr:uid="{00000000-0005-0000-0000-00001C440000}"/>
    <cellStyle name="Normal 2 3 2 6 4 3 2" xfId="24008" xr:uid="{00000000-0005-0000-0000-0000CC5D0000}"/>
    <cellStyle name="Normal 2 3 2 6 4 4" xfId="21173" xr:uid="{00000000-0005-0000-0000-0000B9520000}"/>
    <cellStyle name="Normal 2 3 2 6 5" xfId="9735" xr:uid="{00000000-0005-0000-0000-00000B260000}"/>
    <cellStyle name="Normal 2 3 2 6 5 2" xfId="17963" xr:uid="{00000000-0005-0000-0000-00002F460000}"/>
    <cellStyle name="Normal 2 3 2 6 5 2 2" xfId="24475" xr:uid="{00000000-0005-0000-0000-00009F5F0000}"/>
    <cellStyle name="Normal 2 3 2 6 5 3" xfId="21640" xr:uid="{00000000-0005-0000-0000-00008C540000}"/>
    <cellStyle name="Normal 2 3 2 6 6" xfId="10952" xr:uid="{00000000-0005-0000-0000-0000CC2A0000}"/>
    <cellStyle name="Normal 2 3 2 6 6 2" xfId="22846" xr:uid="{00000000-0005-0000-0000-000042590000}"/>
    <cellStyle name="Normal 2 3 2 6 7" xfId="20078" xr:uid="{00000000-0005-0000-0000-0000724E0000}"/>
    <cellStyle name="Normal 2 3 2 6 8" xfId="7869" xr:uid="{00000000-0005-0000-0000-0000C11E0000}"/>
    <cellStyle name="Normal 2 3 2 7" xfId="7885" xr:uid="{00000000-0005-0000-0000-0000D11E0000}"/>
    <cellStyle name="Normal 2 3 2 7 2" xfId="8307" xr:uid="{00000000-0005-0000-0000-000077200000}"/>
    <cellStyle name="Normal 2 3 2 7 2 2" xfId="10169" xr:uid="{00000000-0005-0000-0000-0000BD270000}"/>
    <cellStyle name="Normal 2 3 2 7 2 2 2" xfId="18397" xr:uid="{00000000-0005-0000-0000-0000E1470000}"/>
    <cellStyle name="Normal 2 3 2 7 2 2 2 2" xfId="24909" xr:uid="{00000000-0005-0000-0000-000051610000}"/>
    <cellStyle name="Normal 2 3 2 7 2 2 3" xfId="22074" xr:uid="{00000000-0005-0000-0000-00003E560000}"/>
    <cellStyle name="Normal 2 3 2 7 2 3" xfId="16987" xr:uid="{00000000-0005-0000-0000-00005F420000}"/>
    <cellStyle name="Normal 2 3 2 7 2 3 2" xfId="23644" xr:uid="{00000000-0005-0000-0000-0000605C0000}"/>
    <cellStyle name="Normal 2 3 2 7 2 4" xfId="20512" xr:uid="{00000000-0005-0000-0000-000024500000}"/>
    <cellStyle name="Normal 2 3 2 7 3" xfId="9186" xr:uid="{00000000-0005-0000-0000-0000E6230000}"/>
    <cellStyle name="Normal 2 3 2 7 3 2" xfId="10526" xr:uid="{00000000-0005-0000-0000-000022290000}"/>
    <cellStyle name="Normal 2 3 2 7 3 2 2" xfId="18754" xr:uid="{00000000-0005-0000-0000-000046490000}"/>
    <cellStyle name="Normal 2 3 2 7 3 2 2 2" xfId="25266" xr:uid="{00000000-0005-0000-0000-0000B6620000}"/>
    <cellStyle name="Normal 2 3 2 7 3 2 3" xfId="22431" xr:uid="{00000000-0005-0000-0000-0000A3570000}"/>
    <cellStyle name="Normal 2 3 2 7 3 3" xfId="17434" xr:uid="{00000000-0005-0000-0000-00001E440000}"/>
    <cellStyle name="Normal 2 3 2 7 3 3 2" xfId="24010" xr:uid="{00000000-0005-0000-0000-0000CE5D0000}"/>
    <cellStyle name="Normal 2 3 2 7 3 4" xfId="21175" xr:uid="{00000000-0005-0000-0000-0000BB520000}"/>
    <cellStyle name="Normal 2 3 2 7 4" xfId="9751" xr:uid="{00000000-0005-0000-0000-00001B260000}"/>
    <cellStyle name="Normal 2 3 2 7 4 2" xfId="17979" xr:uid="{00000000-0005-0000-0000-00003F460000}"/>
    <cellStyle name="Normal 2 3 2 7 4 2 2" xfId="24491" xr:uid="{00000000-0005-0000-0000-0000AF5F0000}"/>
    <cellStyle name="Normal 2 3 2 7 4 3" xfId="21656" xr:uid="{00000000-0005-0000-0000-00009C540000}"/>
    <cellStyle name="Normal 2 3 2 7 5" xfId="10954" xr:uid="{00000000-0005-0000-0000-0000CE2A0000}"/>
    <cellStyle name="Normal 2 3 2 7 5 2" xfId="22848" xr:uid="{00000000-0005-0000-0000-000044590000}"/>
    <cellStyle name="Normal 2 3 2 7 6" xfId="20094" xr:uid="{00000000-0005-0000-0000-0000824E0000}"/>
    <cellStyle name="Normal 2 3 2 8" xfId="8098" xr:uid="{00000000-0005-0000-0000-0000A61F0000}"/>
    <cellStyle name="Normal 2 3 2 8 2" xfId="8870" xr:uid="{00000000-0005-0000-0000-0000AA220000}"/>
    <cellStyle name="Normal 2 3 2 8 2 2" xfId="10380" xr:uid="{00000000-0005-0000-0000-000090280000}"/>
    <cellStyle name="Normal 2 3 2 8 2 2 2" xfId="18608" xr:uid="{00000000-0005-0000-0000-0000B4480000}"/>
    <cellStyle name="Normal 2 3 2 8 2 2 2 2" xfId="25120" xr:uid="{00000000-0005-0000-0000-000024620000}"/>
    <cellStyle name="Normal 2 3 2 8 2 2 3" xfId="22285" xr:uid="{00000000-0005-0000-0000-000011570000}"/>
    <cellStyle name="Normal 2 3 2 8 2 3" xfId="17250" xr:uid="{00000000-0005-0000-0000-000066430000}"/>
    <cellStyle name="Normal 2 3 2 8 2 3 2" xfId="23862" xr:uid="{00000000-0005-0000-0000-00003A5D0000}"/>
    <cellStyle name="Normal 2 3 2 8 2 4" xfId="20944" xr:uid="{00000000-0005-0000-0000-0000D4510000}"/>
    <cellStyle name="Normal 2 3 2 8 3" xfId="9960" xr:uid="{00000000-0005-0000-0000-0000EC260000}"/>
    <cellStyle name="Normal 2 3 2 8 3 2" xfId="18188" xr:uid="{00000000-0005-0000-0000-000010470000}"/>
    <cellStyle name="Normal 2 3 2 8 3 2 2" xfId="24700" xr:uid="{00000000-0005-0000-0000-000080600000}"/>
    <cellStyle name="Normal 2 3 2 8 3 3" xfId="21865" xr:uid="{00000000-0005-0000-0000-00006D550000}"/>
    <cellStyle name="Normal 2 3 2 8 4" xfId="16804" xr:uid="{00000000-0005-0000-0000-0000A8410000}"/>
    <cellStyle name="Normal 2 3 2 8 4 2" xfId="23463" xr:uid="{00000000-0005-0000-0000-0000AB5B0000}"/>
    <cellStyle name="Normal 2 3 2 8 5" xfId="20303" xr:uid="{00000000-0005-0000-0000-0000534F0000}"/>
    <cellStyle name="Normal 2 3 2 9" xfId="8747" xr:uid="{00000000-0005-0000-0000-00002F220000}"/>
    <cellStyle name="Normal 2 3 3" xfId="118" xr:uid="{00000000-0005-0000-0000-00007A000000}"/>
    <cellStyle name="Normal 2 3 3 2" xfId="2228" xr:uid="{00000000-0005-0000-0000-0000B8080000}"/>
    <cellStyle name="Normal 2 3 3 2 2" xfId="3117" xr:uid="{00000000-0005-0000-0000-0000310C0000}"/>
    <cellStyle name="Normal 2 3 3 2 2 2" xfId="4175" xr:uid="{00000000-0005-0000-0000-000053100000}"/>
    <cellStyle name="Normal 2 3 3 2 2 2 2" xfId="10295" xr:uid="{00000000-0005-0000-0000-00003B280000}"/>
    <cellStyle name="Normal 2 3 3 2 2 2 2 2" xfId="18523" xr:uid="{00000000-0005-0000-0000-00005F480000}"/>
    <cellStyle name="Normal 2 3 3 2 2 2 2 2 2" xfId="25035" xr:uid="{00000000-0005-0000-0000-0000CF610000}"/>
    <cellStyle name="Normal 2 3 3 2 2 2 2 3" xfId="22200" xr:uid="{00000000-0005-0000-0000-0000BC560000}"/>
    <cellStyle name="Normal 2 3 3 2 2 2 3" xfId="17113" xr:uid="{00000000-0005-0000-0000-0000DD420000}"/>
    <cellStyle name="Normal 2 3 3 2 2 2 3 2" xfId="23770" xr:uid="{00000000-0005-0000-0000-0000DE5C0000}"/>
    <cellStyle name="Normal 2 3 3 2 2 2 4" xfId="20638" xr:uid="{00000000-0005-0000-0000-0000A2500000}"/>
    <cellStyle name="Normal 2 3 3 2 2 2 5" xfId="8433" xr:uid="{00000000-0005-0000-0000-0000F5200000}"/>
    <cellStyle name="Normal 2 3 3 2 2 3" xfId="9188" xr:uid="{00000000-0005-0000-0000-0000E8230000}"/>
    <cellStyle name="Normal 2 3 3 2 2 3 2" xfId="10528" xr:uid="{00000000-0005-0000-0000-000024290000}"/>
    <cellStyle name="Normal 2 3 3 2 2 3 2 2" xfId="18756" xr:uid="{00000000-0005-0000-0000-000048490000}"/>
    <cellStyle name="Normal 2 3 3 2 2 3 2 2 2" xfId="25268" xr:uid="{00000000-0005-0000-0000-0000B8620000}"/>
    <cellStyle name="Normal 2 3 3 2 2 3 2 3" xfId="22433" xr:uid="{00000000-0005-0000-0000-0000A5570000}"/>
    <cellStyle name="Normal 2 3 3 2 2 3 3" xfId="17436" xr:uid="{00000000-0005-0000-0000-000020440000}"/>
    <cellStyle name="Normal 2 3 3 2 2 3 3 2" xfId="24012" xr:uid="{00000000-0005-0000-0000-0000D05D0000}"/>
    <cellStyle name="Normal 2 3 3 2 2 3 4" xfId="21177" xr:uid="{00000000-0005-0000-0000-0000BD520000}"/>
    <cellStyle name="Normal 2 3 3 2 2 4" xfId="9877" xr:uid="{00000000-0005-0000-0000-000099260000}"/>
    <cellStyle name="Normal 2 3 3 2 2 4 2" xfId="18105" xr:uid="{00000000-0005-0000-0000-0000BD460000}"/>
    <cellStyle name="Normal 2 3 3 2 2 4 2 2" xfId="24617" xr:uid="{00000000-0005-0000-0000-00002D600000}"/>
    <cellStyle name="Normal 2 3 3 2 2 4 3" xfId="21782" xr:uid="{00000000-0005-0000-0000-00001A550000}"/>
    <cellStyle name="Normal 2 3 3 2 2 5" xfId="10957" xr:uid="{00000000-0005-0000-0000-0000D12A0000}"/>
    <cellStyle name="Normal 2 3 3 2 2 5 2" xfId="22851" xr:uid="{00000000-0005-0000-0000-000047590000}"/>
    <cellStyle name="Normal 2 3 3 2 2 6" xfId="20220" xr:uid="{00000000-0005-0000-0000-0000004F0000}"/>
    <cellStyle name="Normal 2 3 3 2 2 7" xfId="8014" xr:uid="{00000000-0005-0000-0000-0000521F0000}"/>
    <cellStyle name="Normal 2 3 3 2 3" xfId="3343" xr:uid="{00000000-0005-0000-0000-0000130D0000}"/>
    <cellStyle name="Normal 2 3 3 2 3 2" xfId="4385" xr:uid="{00000000-0005-0000-0000-000025110000}"/>
    <cellStyle name="Normal 2 3 3 2 3 2 2" xfId="18314" xr:uid="{00000000-0005-0000-0000-00008E470000}"/>
    <cellStyle name="Normal 2 3 3 2 3 2 2 2" xfId="24826" xr:uid="{00000000-0005-0000-0000-0000FE600000}"/>
    <cellStyle name="Normal 2 3 3 2 3 2 3" xfId="21991" xr:uid="{00000000-0005-0000-0000-0000EB550000}"/>
    <cellStyle name="Normal 2 3 3 2 3 2 4" xfId="10086" xr:uid="{00000000-0005-0000-0000-00006A270000}"/>
    <cellStyle name="Normal 2 3 3 2 3 3" xfId="16905" xr:uid="{00000000-0005-0000-0000-00000D420000}"/>
    <cellStyle name="Normal 2 3 3 2 3 3 2" xfId="23562" xr:uid="{00000000-0005-0000-0000-00000E5C0000}"/>
    <cellStyle name="Normal 2 3 3 2 3 4" xfId="20429" xr:uid="{00000000-0005-0000-0000-0000D14F0000}"/>
    <cellStyle name="Normal 2 3 3 2 3 5" xfId="8224" xr:uid="{00000000-0005-0000-0000-000024200000}"/>
    <cellStyle name="Normal 2 3 3 2 4" xfId="3965" xr:uid="{00000000-0005-0000-0000-0000810F0000}"/>
    <cellStyle name="Normal 2 3 3 2 4 2" xfId="10527" xr:uid="{00000000-0005-0000-0000-000023290000}"/>
    <cellStyle name="Normal 2 3 3 2 4 2 2" xfId="18755" xr:uid="{00000000-0005-0000-0000-000047490000}"/>
    <cellStyle name="Normal 2 3 3 2 4 2 2 2" xfId="25267" xr:uid="{00000000-0005-0000-0000-0000B7620000}"/>
    <cellStyle name="Normal 2 3 3 2 4 2 3" xfId="22432" xr:uid="{00000000-0005-0000-0000-0000A4570000}"/>
    <cellStyle name="Normal 2 3 3 2 4 3" xfId="17435" xr:uid="{00000000-0005-0000-0000-00001F440000}"/>
    <cellStyle name="Normal 2 3 3 2 4 3 2" xfId="24011" xr:uid="{00000000-0005-0000-0000-0000CF5D0000}"/>
    <cellStyle name="Normal 2 3 3 2 4 4" xfId="21176" xr:uid="{00000000-0005-0000-0000-0000BC520000}"/>
    <cellStyle name="Normal 2 3 3 2 4 5" xfId="9187" xr:uid="{00000000-0005-0000-0000-0000E7230000}"/>
    <cellStyle name="Normal 2 3 3 2 5" xfId="9668" xr:uid="{00000000-0005-0000-0000-0000C8250000}"/>
    <cellStyle name="Normal 2 3 3 2 5 2" xfId="17896" xr:uid="{00000000-0005-0000-0000-0000EC450000}"/>
    <cellStyle name="Normal 2 3 3 2 5 2 2" xfId="24408" xr:uid="{00000000-0005-0000-0000-00005C5F0000}"/>
    <cellStyle name="Normal 2 3 3 2 5 3" xfId="21573" xr:uid="{00000000-0005-0000-0000-000049540000}"/>
    <cellStyle name="Normal 2 3 3 2 6" xfId="10956" xr:uid="{00000000-0005-0000-0000-0000D02A0000}"/>
    <cellStyle name="Normal 2 3 3 2 6 2" xfId="22850" xr:uid="{00000000-0005-0000-0000-000046590000}"/>
    <cellStyle name="Normal 2 3 3 2 7" xfId="20011" xr:uid="{00000000-0005-0000-0000-00002F4E0000}"/>
    <cellStyle name="Normal 2 3 3 2 8" xfId="7772" xr:uid="{00000000-0005-0000-0000-0000601E0000}"/>
    <cellStyle name="Normal 2 3 3 3" xfId="1083" xr:uid="{00000000-0005-0000-0000-00003F040000}"/>
    <cellStyle name="Normal 2 3 3 3 2" xfId="3673" xr:uid="{00000000-0005-0000-0000-00005D0E0000}"/>
    <cellStyle name="Normal 2 3 3 3 3" xfId="8871" xr:uid="{00000000-0005-0000-0000-0000AB220000}"/>
    <cellStyle name="Normal 2 3 3 4" xfId="2996" xr:uid="{00000000-0005-0000-0000-0000B80B0000}"/>
    <cellStyle name="Normal 2 3 3 4 2" xfId="4070" xr:uid="{00000000-0005-0000-0000-0000EA0F0000}"/>
    <cellStyle name="Normal 2 3 3 4 3" xfId="8748" xr:uid="{00000000-0005-0000-0000-000030220000}"/>
    <cellStyle name="Normal 2 3 3 5" xfId="3222" xr:uid="{00000000-0005-0000-0000-00009A0C0000}"/>
    <cellStyle name="Normal 2 3 3 5 2" xfId="4280" xr:uid="{00000000-0005-0000-0000-0000BC100000}"/>
    <cellStyle name="Normal 2 3 3 5 2 2" xfId="22849" xr:uid="{00000000-0005-0000-0000-000045590000}"/>
    <cellStyle name="Normal 2 3 3 5 3" xfId="10955" xr:uid="{00000000-0005-0000-0000-0000CF2A0000}"/>
    <cellStyle name="Normal 2 3 3 6" xfId="3418" xr:uid="{00000000-0005-0000-0000-00005E0D0000}"/>
    <cellStyle name="Normal 2 3 4" xfId="1084" xr:uid="{00000000-0005-0000-0000-000040040000}"/>
    <cellStyle name="Normal 2 3 4 10" xfId="10958" xr:uid="{00000000-0005-0000-0000-0000D22A0000}"/>
    <cellStyle name="Normal 2 3 4 10 2" xfId="22852" xr:uid="{00000000-0005-0000-0000-000048590000}"/>
    <cellStyle name="Normal 2 3 4 11" xfId="19609" xr:uid="{00000000-0005-0000-0000-00009D4C0000}"/>
    <cellStyle name="Normal 2 3 4 12" xfId="4510" xr:uid="{00000000-0005-0000-0000-0000A2110000}"/>
    <cellStyle name="Normal 2 3 4 2" xfId="2229" xr:uid="{00000000-0005-0000-0000-0000B9080000}"/>
    <cellStyle name="Normal 2 3 4 2 2" xfId="3118" xr:uid="{00000000-0005-0000-0000-0000320C0000}"/>
    <cellStyle name="Normal 2 3 4 2 2 2" xfId="4176" xr:uid="{00000000-0005-0000-0000-000054100000}"/>
    <cellStyle name="Normal 2 3 4 2 2 2 2" xfId="8435" xr:uid="{00000000-0005-0000-0000-0000F7200000}"/>
    <cellStyle name="Normal 2 3 4 2 2 2 2 2" xfId="10297" xr:uid="{00000000-0005-0000-0000-00003D280000}"/>
    <cellStyle name="Normal 2 3 4 2 2 2 2 2 2" xfId="18525" xr:uid="{00000000-0005-0000-0000-000061480000}"/>
    <cellStyle name="Normal 2 3 4 2 2 2 2 2 2 2" xfId="25037" xr:uid="{00000000-0005-0000-0000-0000D1610000}"/>
    <cellStyle name="Normal 2 3 4 2 2 2 2 2 3" xfId="22202" xr:uid="{00000000-0005-0000-0000-0000BE560000}"/>
    <cellStyle name="Normal 2 3 4 2 2 2 2 3" xfId="17115" xr:uid="{00000000-0005-0000-0000-0000DF420000}"/>
    <cellStyle name="Normal 2 3 4 2 2 2 2 3 2" xfId="23772" xr:uid="{00000000-0005-0000-0000-0000E05C0000}"/>
    <cellStyle name="Normal 2 3 4 2 2 2 2 4" xfId="20640" xr:uid="{00000000-0005-0000-0000-0000A4500000}"/>
    <cellStyle name="Normal 2 3 4 2 2 2 3" xfId="9191" xr:uid="{00000000-0005-0000-0000-0000EB230000}"/>
    <cellStyle name="Normal 2 3 4 2 2 2 3 2" xfId="10531" xr:uid="{00000000-0005-0000-0000-000027290000}"/>
    <cellStyle name="Normal 2 3 4 2 2 2 3 2 2" xfId="18759" xr:uid="{00000000-0005-0000-0000-00004B490000}"/>
    <cellStyle name="Normal 2 3 4 2 2 2 3 2 2 2" xfId="25271" xr:uid="{00000000-0005-0000-0000-0000BB620000}"/>
    <cellStyle name="Normal 2 3 4 2 2 2 3 2 3" xfId="22436" xr:uid="{00000000-0005-0000-0000-0000A8570000}"/>
    <cellStyle name="Normal 2 3 4 2 2 2 3 3" xfId="17439" xr:uid="{00000000-0005-0000-0000-000023440000}"/>
    <cellStyle name="Normal 2 3 4 2 2 2 3 3 2" xfId="24015" xr:uid="{00000000-0005-0000-0000-0000D35D0000}"/>
    <cellStyle name="Normal 2 3 4 2 2 2 3 4" xfId="21180" xr:uid="{00000000-0005-0000-0000-0000C0520000}"/>
    <cellStyle name="Normal 2 3 4 2 2 2 4" xfId="9879" xr:uid="{00000000-0005-0000-0000-00009B260000}"/>
    <cellStyle name="Normal 2 3 4 2 2 2 4 2" xfId="18107" xr:uid="{00000000-0005-0000-0000-0000BF460000}"/>
    <cellStyle name="Normal 2 3 4 2 2 2 4 2 2" xfId="24619" xr:uid="{00000000-0005-0000-0000-00002F600000}"/>
    <cellStyle name="Normal 2 3 4 2 2 2 4 3" xfId="21784" xr:uid="{00000000-0005-0000-0000-00001C550000}"/>
    <cellStyle name="Normal 2 3 4 2 2 2 5" xfId="10961" xr:uid="{00000000-0005-0000-0000-0000D52A0000}"/>
    <cellStyle name="Normal 2 3 4 2 2 2 5 2" xfId="22855" xr:uid="{00000000-0005-0000-0000-00004B590000}"/>
    <cellStyle name="Normal 2 3 4 2 2 2 6" xfId="20222" xr:uid="{00000000-0005-0000-0000-0000024F0000}"/>
    <cellStyle name="Normal 2 3 4 2 2 2 7" xfId="8016" xr:uid="{00000000-0005-0000-0000-0000541F0000}"/>
    <cellStyle name="Normal 2 3 4 2 2 3" xfId="8226" xr:uid="{00000000-0005-0000-0000-000026200000}"/>
    <cellStyle name="Normal 2 3 4 2 2 3 2" xfId="10088" xr:uid="{00000000-0005-0000-0000-00006C270000}"/>
    <cellStyle name="Normal 2 3 4 2 2 3 2 2" xfId="18316" xr:uid="{00000000-0005-0000-0000-000090470000}"/>
    <cellStyle name="Normal 2 3 4 2 2 3 2 2 2" xfId="24828" xr:uid="{00000000-0005-0000-0000-000000610000}"/>
    <cellStyle name="Normal 2 3 4 2 2 3 2 3" xfId="21993" xr:uid="{00000000-0005-0000-0000-0000ED550000}"/>
    <cellStyle name="Normal 2 3 4 2 2 3 3" xfId="16907" xr:uid="{00000000-0005-0000-0000-00000F420000}"/>
    <cellStyle name="Normal 2 3 4 2 2 3 3 2" xfId="23564" xr:uid="{00000000-0005-0000-0000-0000105C0000}"/>
    <cellStyle name="Normal 2 3 4 2 2 3 4" xfId="20431" xr:uid="{00000000-0005-0000-0000-0000D34F0000}"/>
    <cellStyle name="Normal 2 3 4 2 2 4" xfId="9190" xr:uid="{00000000-0005-0000-0000-0000EA230000}"/>
    <cellStyle name="Normal 2 3 4 2 2 4 2" xfId="10530" xr:uid="{00000000-0005-0000-0000-000026290000}"/>
    <cellStyle name="Normal 2 3 4 2 2 4 2 2" xfId="18758" xr:uid="{00000000-0005-0000-0000-00004A490000}"/>
    <cellStyle name="Normal 2 3 4 2 2 4 2 2 2" xfId="25270" xr:uid="{00000000-0005-0000-0000-0000BA620000}"/>
    <cellStyle name="Normal 2 3 4 2 2 4 2 3" xfId="22435" xr:uid="{00000000-0005-0000-0000-0000A7570000}"/>
    <cellStyle name="Normal 2 3 4 2 2 4 3" xfId="17438" xr:uid="{00000000-0005-0000-0000-000022440000}"/>
    <cellStyle name="Normal 2 3 4 2 2 4 3 2" xfId="24014" xr:uid="{00000000-0005-0000-0000-0000D25D0000}"/>
    <cellStyle name="Normal 2 3 4 2 2 4 4" xfId="21179" xr:uid="{00000000-0005-0000-0000-0000BF520000}"/>
    <cellStyle name="Normal 2 3 4 2 2 5" xfId="9670" xr:uid="{00000000-0005-0000-0000-0000CA250000}"/>
    <cellStyle name="Normal 2 3 4 2 2 5 2" xfId="17898" xr:uid="{00000000-0005-0000-0000-0000EE450000}"/>
    <cellStyle name="Normal 2 3 4 2 2 5 2 2" xfId="24410" xr:uid="{00000000-0005-0000-0000-00005E5F0000}"/>
    <cellStyle name="Normal 2 3 4 2 2 5 3" xfId="21575" xr:uid="{00000000-0005-0000-0000-00004B540000}"/>
    <cellStyle name="Normal 2 3 4 2 2 6" xfId="10960" xr:uid="{00000000-0005-0000-0000-0000D42A0000}"/>
    <cellStyle name="Normal 2 3 4 2 2 6 2" xfId="22854" xr:uid="{00000000-0005-0000-0000-00004A590000}"/>
    <cellStyle name="Normal 2 3 4 2 2 7" xfId="20013" xr:uid="{00000000-0005-0000-0000-0000314E0000}"/>
    <cellStyle name="Normal 2 3 4 2 2 8" xfId="7774" xr:uid="{00000000-0005-0000-0000-0000621E0000}"/>
    <cellStyle name="Normal 2 3 4 2 3" xfId="3344" xr:uid="{00000000-0005-0000-0000-0000140D0000}"/>
    <cellStyle name="Normal 2 3 4 2 3 2" xfId="4386" xr:uid="{00000000-0005-0000-0000-000026110000}"/>
    <cellStyle name="Normal 2 3 4 2 3 2 2" xfId="10189" xr:uid="{00000000-0005-0000-0000-0000D1270000}"/>
    <cellStyle name="Normal 2 3 4 2 3 2 2 2" xfId="18417" xr:uid="{00000000-0005-0000-0000-0000F5470000}"/>
    <cellStyle name="Normal 2 3 4 2 3 2 2 2 2" xfId="24929" xr:uid="{00000000-0005-0000-0000-000065610000}"/>
    <cellStyle name="Normal 2 3 4 2 3 2 2 3" xfId="22094" xr:uid="{00000000-0005-0000-0000-000052560000}"/>
    <cellStyle name="Normal 2 3 4 2 3 2 3" xfId="17007" xr:uid="{00000000-0005-0000-0000-000073420000}"/>
    <cellStyle name="Normal 2 3 4 2 3 2 3 2" xfId="23664" xr:uid="{00000000-0005-0000-0000-0000745C0000}"/>
    <cellStyle name="Normal 2 3 4 2 3 2 4" xfId="20532" xr:uid="{00000000-0005-0000-0000-000038500000}"/>
    <cellStyle name="Normal 2 3 4 2 3 2 5" xfId="8327" xr:uid="{00000000-0005-0000-0000-00008B200000}"/>
    <cellStyle name="Normal 2 3 4 2 3 3" xfId="9192" xr:uid="{00000000-0005-0000-0000-0000EC230000}"/>
    <cellStyle name="Normal 2 3 4 2 3 3 2" xfId="10532" xr:uid="{00000000-0005-0000-0000-000028290000}"/>
    <cellStyle name="Normal 2 3 4 2 3 3 2 2" xfId="18760" xr:uid="{00000000-0005-0000-0000-00004C490000}"/>
    <cellStyle name="Normal 2 3 4 2 3 3 2 2 2" xfId="25272" xr:uid="{00000000-0005-0000-0000-0000BC620000}"/>
    <cellStyle name="Normal 2 3 4 2 3 3 2 3" xfId="22437" xr:uid="{00000000-0005-0000-0000-0000A9570000}"/>
    <cellStyle name="Normal 2 3 4 2 3 3 3" xfId="17440" xr:uid="{00000000-0005-0000-0000-000024440000}"/>
    <cellStyle name="Normal 2 3 4 2 3 3 3 2" xfId="24016" xr:uid="{00000000-0005-0000-0000-0000D45D0000}"/>
    <cellStyle name="Normal 2 3 4 2 3 3 4" xfId="21181" xr:uid="{00000000-0005-0000-0000-0000C1520000}"/>
    <cellStyle name="Normal 2 3 4 2 3 4" xfId="9771" xr:uid="{00000000-0005-0000-0000-00002F260000}"/>
    <cellStyle name="Normal 2 3 4 2 3 4 2" xfId="17999" xr:uid="{00000000-0005-0000-0000-000053460000}"/>
    <cellStyle name="Normal 2 3 4 2 3 4 2 2" xfId="24511" xr:uid="{00000000-0005-0000-0000-0000C35F0000}"/>
    <cellStyle name="Normal 2 3 4 2 3 4 3" xfId="21676" xr:uid="{00000000-0005-0000-0000-0000B0540000}"/>
    <cellStyle name="Normal 2 3 4 2 3 5" xfId="10962" xr:uid="{00000000-0005-0000-0000-0000D62A0000}"/>
    <cellStyle name="Normal 2 3 4 2 3 5 2" xfId="22856" xr:uid="{00000000-0005-0000-0000-00004C590000}"/>
    <cellStyle name="Normal 2 3 4 2 3 6" xfId="20114" xr:uid="{00000000-0005-0000-0000-0000964E0000}"/>
    <cellStyle name="Normal 2 3 4 2 3 7" xfId="7906" xr:uid="{00000000-0005-0000-0000-0000E61E0000}"/>
    <cellStyle name="Normal 2 3 4 2 4" xfId="3966" xr:uid="{00000000-0005-0000-0000-0000820F0000}"/>
    <cellStyle name="Normal 2 3 4 2 4 2" xfId="9980" xr:uid="{00000000-0005-0000-0000-000000270000}"/>
    <cellStyle name="Normal 2 3 4 2 4 2 2" xfId="18208" xr:uid="{00000000-0005-0000-0000-000024470000}"/>
    <cellStyle name="Normal 2 3 4 2 4 2 2 2" xfId="24720" xr:uid="{00000000-0005-0000-0000-000094600000}"/>
    <cellStyle name="Normal 2 3 4 2 4 2 3" xfId="21885" xr:uid="{00000000-0005-0000-0000-000081550000}"/>
    <cellStyle name="Normal 2 3 4 2 4 3" xfId="16816" xr:uid="{00000000-0005-0000-0000-0000B4410000}"/>
    <cellStyle name="Normal 2 3 4 2 4 3 2" xfId="23475" xr:uid="{00000000-0005-0000-0000-0000B75B0000}"/>
    <cellStyle name="Normal 2 3 4 2 4 4" xfId="20323" xr:uid="{00000000-0005-0000-0000-0000674F0000}"/>
    <cellStyle name="Normal 2 3 4 2 4 5" xfId="8118" xr:uid="{00000000-0005-0000-0000-0000BA1F0000}"/>
    <cellStyle name="Normal 2 3 4 2 5" xfId="9189" xr:uid="{00000000-0005-0000-0000-0000E9230000}"/>
    <cellStyle name="Normal 2 3 4 2 5 2" xfId="10529" xr:uid="{00000000-0005-0000-0000-000025290000}"/>
    <cellStyle name="Normal 2 3 4 2 5 2 2" xfId="18757" xr:uid="{00000000-0005-0000-0000-000049490000}"/>
    <cellStyle name="Normal 2 3 4 2 5 2 2 2" xfId="25269" xr:uid="{00000000-0005-0000-0000-0000B9620000}"/>
    <cellStyle name="Normal 2 3 4 2 5 2 3" xfId="22434" xr:uid="{00000000-0005-0000-0000-0000A6570000}"/>
    <cellStyle name="Normal 2 3 4 2 5 3" xfId="17437" xr:uid="{00000000-0005-0000-0000-000021440000}"/>
    <cellStyle name="Normal 2 3 4 2 5 3 2" xfId="24013" xr:uid="{00000000-0005-0000-0000-0000D15D0000}"/>
    <cellStyle name="Normal 2 3 4 2 5 4" xfId="21178" xr:uid="{00000000-0005-0000-0000-0000BE520000}"/>
    <cellStyle name="Normal 2 3 4 2 6" xfId="9562" xr:uid="{00000000-0005-0000-0000-00005E250000}"/>
    <cellStyle name="Normal 2 3 4 2 6 2" xfId="17790" xr:uid="{00000000-0005-0000-0000-000082450000}"/>
    <cellStyle name="Normal 2 3 4 2 6 2 2" xfId="24302" xr:uid="{00000000-0005-0000-0000-0000F25E0000}"/>
    <cellStyle name="Normal 2 3 4 2 6 3" xfId="21467" xr:uid="{00000000-0005-0000-0000-0000DF530000}"/>
    <cellStyle name="Normal 2 3 4 2 7" xfId="10959" xr:uid="{00000000-0005-0000-0000-0000D32A0000}"/>
    <cellStyle name="Normal 2 3 4 2 7 2" xfId="22853" xr:uid="{00000000-0005-0000-0000-000049590000}"/>
    <cellStyle name="Normal 2 3 4 2 8" xfId="19638" xr:uid="{00000000-0005-0000-0000-0000BA4C0000}"/>
    <cellStyle name="Normal 2 3 4 2 9" xfId="4561" xr:uid="{00000000-0005-0000-0000-0000D5110000}"/>
    <cellStyle name="Normal 2 3 4 3" xfId="2997" xr:uid="{00000000-0005-0000-0000-0000B90B0000}"/>
    <cellStyle name="Normal 2 3 4 3 2" xfId="4071" xr:uid="{00000000-0005-0000-0000-0000EB0F0000}"/>
    <cellStyle name="Normal 2 3 4 3 2 2" xfId="8354" xr:uid="{00000000-0005-0000-0000-0000A6200000}"/>
    <cellStyle name="Normal 2 3 4 3 2 2 2" xfId="10216" xr:uid="{00000000-0005-0000-0000-0000EC270000}"/>
    <cellStyle name="Normal 2 3 4 3 2 2 2 2" xfId="18444" xr:uid="{00000000-0005-0000-0000-000010480000}"/>
    <cellStyle name="Normal 2 3 4 3 2 2 2 2 2" xfId="24956" xr:uid="{00000000-0005-0000-0000-000080610000}"/>
    <cellStyle name="Normal 2 3 4 3 2 2 2 3" xfId="22121" xr:uid="{00000000-0005-0000-0000-00006D560000}"/>
    <cellStyle name="Normal 2 3 4 3 2 2 3" xfId="17034" xr:uid="{00000000-0005-0000-0000-00008E420000}"/>
    <cellStyle name="Normal 2 3 4 3 2 2 3 2" xfId="23691" xr:uid="{00000000-0005-0000-0000-00008F5C0000}"/>
    <cellStyle name="Normal 2 3 4 3 2 2 4" xfId="20559" xr:uid="{00000000-0005-0000-0000-000053500000}"/>
    <cellStyle name="Normal 2 3 4 3 2 3" xfId="9194" xr:uid="{00000000-0005-0000-0000-0000EE230000}"/>
    <cellStyle name="Normal 2 3 4 3 2 3 2" xfId="10534" xr:uid="{00000000-0005-0000-0000-00002A290000}"/>
    <cellStyle name="Normal 2 3 4 3 2 3 2 2" xfId="18762" xr:uid="{00000000-0005-0000-0000-00004E490000}"/>
    <cellStyle name="Normal 2 3 4 3 2 3 2 2 2" xfId="25274" xr:uid="{00000000-0005-0000-0000-0000BE620000}"/>
    <cellStyle name="Normal 2 3 4 3 2 3 2 3" xfId="22439" xr:uid="{00000000-0005-0000-0000-0000AB570000}"/>
    <cellStyle name="Normal 2 3 4 3 2 3 3" xfId="17442" xr:uid="{00000000-0005-0000-0000-000026440000}"/>
    <cellStyle name="Normal 2 3 4 3 2 3 3 2" xfId="24018" xr:uid="{00000000-0005-0000-0000-0000D65D0000}"/>
    <cellStyle name="Normal 2 3 4 3 2 3 4" xfId="21183" xr:uid="{00000000-0005-0000-0000-0000C3520000}"/>
    <cellStyle name="Normal 2 3 4 3 2 4" xfId="9798" xr:uid="{00000000-0005-0000-0000-00004A260000}"/>
    <cellStyle name="Normal 2 3 4 3 2 4 2" xfId="18026" xr:uid="{00000000-0005-0000-0000-00006E460000}"/>
    <cellStyle name="Normal 2 3 4 3 2 4 2 2" xfId="24538" xr:uid="{00000000-0005-0000-0000-0000DE5F0000}"/>
    <cellStyle name="Normal 2 3 4 3 2 4 3" xfId="21703" xr:uid="{00000000-0005-0000-0000-0000CB540000}"/>
    <cellStyle name="Normal 2 3 4 3 2 5" xfId="10964" xr:uid="{00000000-0005-0000-0000-0000D82A0000}"/>
    <cellStyle name="Normal 2 3 4 3 2 5 2" xfId="22858" xr:uid="{00000000-0005-0000-0000-00004E590000}"/>
    <cellStyle name="Normal 2 3 4 3 2 6" xfId="20141" xr:uid="{00000000-0005-0000-0000-0000B14E0000}"/>
    <cellStyle name="Normal 2 3 4 3 2 7" xfId="7935" xr:uid="{00000000-0005-0000-0000-0000031F0000}"/>
    <cellStyle name="Normal 2 3 4 3 3" xfId="8145" xr:uid="{00000000-0005-0000-0000-0000D51F0000}"/>
    <cellStyle name="Normal 2 3 4 3 3 2" xfId="10007" xr:uid="{00000000-0005-0000-0000-00001B270000}"/>
    <cellStyle name="Normal 2 3 4 3 3 2 2" xfId="18235" xr:uid="{00000000-0005-0000-0000-00003F470000}"/>
    <cellStyle name="Normal 2 3 4 3 3 2 2 2" xfId="24747" xr:uid="{00000000-0005-0000-0000-0000AF600000}"/>
    <cellStyle name="Normal 2 3 4 3 3 2 3" xfId="21912" xr:uid="{00000000-0005-0000-0000-00009C550000}"/>
    <cellStyle name="Normal 2 3 4 3 3 3" xfId="16834" xr:uid="{00000000-0005-0000-0000-0000C6410000}"/>
    <cellStyle name="Normal 2 3 4 3 3 3 2" xfId="23493" xr:uid="{00000000-0005-0000-0000-0000C95B0000}"/>
    <cellStyle name="Normal 2 3 4 3 3 4" xfId="20350" xr:uid="{00000000-0005-0000-0000-0000824F0000}"/>
    <cellStyle name="Normal 2 3 4 3 4" xfId="9193" xr:uid="{00000000-0005-0000-0000-0000ED230000}"/>
    <cellStyle name="Normal 2 3 4 3 4 2" xfId="10533" xr:uid="{00000000-0005-0000-0000-000029290000}"/>
    <cellStyle name="Normal 2 3 4 3 4 2 2" xfId="18761" xr:uid="{00000000-0005-0000-0000-00004D490000}"/>
    <cellStyle name="Normal 2 3 4 3 4 2 2 2" xfId="25273" xr:uid="{00000000-0005-0000-0000-0000BD620000}"/>
    <cellStyle name="Normal 2 3 4 3 4 2 3" xfId="22438" xr:uid="{00000000-0005-0000-0000-0000AA570000}"/>
    <cellStyle name="Normal 2 3 4 3 4 3" xfId="17441" xr:uid="{00000000-0005-0000-0000-000025440000}"/>
    <cellStyle name="Normal 2 3 4 3 4 3 2" xfId="24017" xr:uid="{00000000-0005-0000-0000-0000D55D0000}"/>
    <cellStyle name="Normal 2 3 4 3 4 4" xfId="21182" xr:uid="{00000000-0005-0000-0000-0000C2520000}"/>
    <cellStyle name="Normal 2 3 4 3 5" xfId="9589" xr:uid="{00000000-0005-0000-0000-000079250000}"/>
    <cellStyle name="Normal 2 3 4 3 5 2" xfId="17817" xr:uid="{00000000-0005-0000-0000-00009D450000}"/>
    <cellStyle name="Normal 2 3 4 3 5 2 2" xfId="24329" xr:uid="{00000000-0005-0000-0000-00000D5F0000}"/>
    <cellStyle name="Normal 2 3 4 3 5 3" xfId="21494" xr:uid="{00000000-0005-0000-0000-0000FA530000}"/>
    <cellStyle name="Normal 2 3 4 3 6" xfId="10963" xr:uid="{00000000-0005-0000-0000-0000D72A0000}"/>
    <cellStyle name="Normal 2 3 4 3 6 2" xfId="22857" xr:uid="{00000000-0005-0000-0000-00004D590000}"/>
    <cellStyle name="Normal 2 3 4 3 7" xfId="19706" xr:uid="{00000000-0005-0000-0000-0000FE4C0000}"/>
    <cellStyle name="Normal 2 3 4 3 8" xfId="6279" xr:uid="{00000000-0005-0000-0000-00008B180000}"/>
    <cellStyle name="Normal 2 3 4 4" xfId="3223" xr:uid="{00000000-0005-0000-0000-00009B0C0000}"/>
    <cellStyle name="Normal 2 3 4 4 2" xfId="4281" xr:uid="{00000000-0005-0000-0000-0000BD100000}"/>
    <cellStyle name="Normal 2 3 4 4 2 2" xfId="8434" xr:uid="{00000000-0005-0000-0000-0000F6200000}"/>
    <cellStyle name="Normal 2 3 4 4 2 2 2" xfId="10296" xr:uid="{00000000-0005-0000-0000-00003C280000}"/>
    <cellStyle name="Normal 2 3 4 4 2 2 2 2" xfId="18524" xr:uid="{00000000-0005-0000-0000-000060480000}"/>
    <cellStyle name="Normal 2 3 4 4 2 2 2 2 2" xfId="25036" xr:uid="{00000000-0005-0000-0000-0000D0610000}"/>
    <cellStyle name="Normal 2 3 4 4 2 2 2 3" xfId="22201" xr:uid="{00000000-0005-0000-0000-0000BD560000}"/>
    <cellStyle name="Normal 2 3 4 4 2 2 3" xfId="17114" xr:uid="{00000000-0005-0000-0000-0000DE420000}"/>
    <cellStyle name="Normal 2 3 4 4 2 2 3 2" xfId="23771" xr:uid="{00000000-0005-0000-0000-0000DF5C0000}"/>
    <cellStyle name="Normal 2 3 4 4 2 2 4" xfId="20639" xr:uid="{00000000-0005-0000-0000-0000A3500000}"/>
    <cellStyle name="Normal 2 3 4 4 2 3" xfId="9196" xr:uid="{00000000-0005-0000-0000-0000F0230000}"/>
    <cellStyle name="Normal 2 3 4 4 2 3 2" xfId="10536" xr:uid="{00000000-0005-0000-0000-00002C290000}"/>
    <cellStyle name="Normal 2 3 4 4 2 3 2 2" xfId="18764" xr:uid="{00000000-0005-0000-0000-000050490000}"/>
    <cellStyle name="Normal 2 3 4 4 2 3 2 2 2" xfId="25276" xr:uid="{00000000-0005-0000-0000-0000C0620000}"/>
    <cellStyle name="Normal 2 3 4 4 2 3 2 3" xfId="22441" xr:uid="{00000000-0005-0000-0000-0000AD570000}"/>
    <cellStyle name="Normal 2 3 4 4 2 3 3" xfId="17444" xr:uid="{00000000-0005-0000-0000-000028440000}"/>
    <cellStyle name="Normal 2 3 4 4 2 3 3 2" xfId="24020" xr:uid="{00000000-0005-0000-0000-0000D85D0000}"/>
    <cellStyle name="Normal 2 3 4 4 2 3 4" xfId="21185" xr:uid="{00000000-0005-0000-0000-0000C5520000}"/>
    <cellStyle name="Normal 2 3 4 4 2 4" xfId="9878" xr:uid="{00000000-0005-0000-0000-00009A260000}"/>
    <cellStyle name="Normal 2 3 4 4 2 4 2" xfId="18106" xr:uid="{00000000-0005-0000-0000-0000BE460000}"/>
    <cellStyle name="Normal 2 3 4 4 2 4 2 2" xfId="24618" xr:uid="{00000000-0005-0000-0000-00002E600000}"/>
    <cellStyle name="Normal 2 3 4 4 2 4 3" xfId="21783" xr:uid="{00000000-0005-0000-0000-00001B550000}"/>
    <cellStyle name="Normal 2 3 4 4 2 5" xfId="10966" xr:uid="{00000000-0005-0000-0000-0000DA2A0000}"/>
    <cellStyle name="Normal 2 3 4 4 2 5 2" xfId="22860" xr:uid="{00000000-0005-0000-0000-000050590000}"/>
    <cellStyle name="Normal 2 3 4 4 2 6" xfId="20221" xr:uid="{00000000-0005-0000-0000-0000014F0000}"/>
    <cellStyle name="Normal 2 3 4 4 2 7" xfId="8015" xr:uid="{00000000-0005-0000-0000-0000531F0000}"/>
    <cellStyle name="Normal 2 3 4 4 3" xfId="8225" xr:uid="{00000000-0005-0000-0000-000025200000}"/>
    <cellStyle name="Normal 2 3 4 4 3 2" xfId="10087" xr:uid="{00000000-0005-0000-0000-00006B270000}"/>
    <cellStyle name="Normal 2 3 4 4 3 2 2" xfId="18315" xr:uid="{00000000-0005-0000-0000-00008F470000}"/>
    <cellStyle name="Normal 2 3 4 4 3 2 2 2" xfId="24827" xr:uid="{00000000-0005-0000-0000-0000FF600000}"/>
    <cellStyle name="Normal 2 3 4 4 3 2 3" xfId="21992" xr:uid="{00000000-0005-0000-0000-0000EC550000}"/>
    <cellStyle name="Normal 2 3 4 4 3 3" xfId="16906" xr:uid="{00000000-0005-0000-0000-00000E420000}"/>
    <cellStyle name="Normal 2 3 4 4 3 3 2" xfId="23563" xr:uid="{00000000-0005-0000-0000-00000F5C0000}"/>
    <cellStyle name="Normal 2 3 4 4 3 4" xfId="20430" xr:uid="{00000000-0005-0000-0000-0000D24F0000}"/>
    <cellStyle name="Normal 2 3 4 4 4" xfId="9195" xr:uid="{00000000-0005-0000-0000-0000EF230000}"/>
    <cellStyle name="Normal 2 3 4 4 4 2" xfId="10535" xr:uid="{00000000-0005-0000-0000-00002B290000}"/>
    <cellStyle name="Normal 2 3 4 4 4 2 2" xfId="18763" xr:uid="{00000000-0005-0000-0000-00004F490000}"/>
    <cellStyle name="Normal 2 3 4 4 4 2 2 2" xfId="25275" xr:uid="{00000000-0005-0000-0000-0000BF620000}"/>
    <cellStyle name="Normal 2 3 4 4 4 2 3" xfId="22440" xr:uid="{00000000-0005-0000-0000-0000AC570000}"/>
    <cellStyle name="Normal 2 3 4 4 4 3" xfId="17443" xr:uid="{00000000-0005-0000-0000-000027440000}"/>
    <cellStyle name="Normal 2 3 4 4 4 3 2" xfId="24019" xr:uid="{00000000-0005-0000-0000-0000D75D0000}"/>
    <cellStyle name="Normal 2 3 4 4 4 4" xfId="21184" xr:uid="{00000000-0005-0000-0000-0000C4520000}"/>
    <cellStyle name="Normal 2 3 4 4 5" xfId="9669" xr:uid="{00000000-0005-0000-0000-0000C9250000}"/>
    <cellStyle name="Normal 2 3 4 4 5 2" xfId="17897" xr:uid="{00000000-0005-0000-0000-0000ED450000}"/>
    <cellStyle name="Normal 2 3 4 4 5 2 2" xfId="24409" xr:uid="{00000000-0005-0000-0000-00005D5F0000}"/>
    <cellStyle name="Normal 2 3 4 4 5 3" xfId="21574" xr:uid="{00000000-0005-0000-0000-00004A540000}"/>
    <cellStyle name="Normal 2 3 4 4 6" xfId="10965" xr:uid="{00000000-0005-0000-0000-0000D92A0000}"/>
    <cellStyle name="Normal 2 3 4 4 6 2" xfId="22859" xr:uid="{00000000-0005-0000-0000-00004F590000}"/>
    <cellStyle name="Normal 2 3 4 4 7" xfId="20012" xr:uid="{00000000-0005-0000-0000-0000304E0000}"/>
    <cellStyle name="Normal 2 3 4 4 8" xfId="7773" xr:uid="{00000000-0005-0000-0000-0000611E0000}"/>
    <cellStyle name="Normal 2 3 4 5" xfId="3674" xr:uid="{00000000-0005-0000-0000-00005E0E0000}"/>
    <cellStyle name="Normal 2 3 4 5 2" xfId="8083" xr:uid="{00000000-0005-0000-0000-0000971F0000}"/>
    <cellStyle name="Normal 2 3 4 5 2 2" xfId="8501" xr:uid="{00000000-0005-0000-0000-000039210000}"/>
    <cellStyle name="Normal 2 3 4 5 2 2 2" xfId="10363" xr:uid="{00000000-0005-0000-0000-00007F280000}"/>
    <cellStyle name="Normal 2 3 4 5 2 2 2 2" xfId="18591" xr:uid="{00000000-0005-0000-0000-0000A3480000}"/>
    <cellStyle name="Normal 2 3 4 5 2 2 2 2 2" xfId="25103" xr:uid="{00000000-0005-0000-0000-000013620000}"/>
    <cellStyle name="Normal 2 3 4 5 2 2 2 3" xfId="22268" xr:uid="{00000000-0005-0000-0000-000000570000}"/>
    <cellStyle name="Normal 2 3 4 5 2 2 3" xfId="17181" xr:uid="{00000000-0005-0000-0000-000021430000}"/>
    <cellStyle name="Normal 2 3 4 5 2 2 3 2" xfId="23838" xr:uid="{00000000-0005-0000-0000-0000225D0000}"/>
    <cellStyle name="Normal 2 3 4 5 2 2 4" xfId="20706" xr:uid="{00000000-0005-0000-0000-0000E6500000}"/>
    <cellStyle name="Normal 2 3 4 5 2 3" xfId="9198" xr:uid="{00000000-0005-0000-0000-0000F2230000}"/>
    <cellStyle name="Normal 2 3 4 5 2 3 2" xfId="10538" xr:uid="{00000000-0005-0000-0000-00002E290000}"/>
    <cellStyle name="Normal 2 3 4 5 2 3 2 2" xfId="18766" xr:uid="{00000000-0005-0000-0000-000052490000}"/>
    <cellStyle name="Normal 2 3 4 5 2 3 2 2 2" xfId="25278" xr:uid="{00000000-0005-0000-0000-0000C2620000}"/>
    <cellStyle name="Normal 2 3 4 5 2 3 2 3" xfId="22443" xr:uid="{00000000-0005-0000-0000-0000AF570000}"/>
    <cellStyle name="Normal 2 3 4 5 2 3 3" xfId="17446" xr:uid="{00000000-0005-0000-0000-00002A440000}"/>
    <cellStyle name="Normal 2 3 4 5 2 3 3 2" xfId="24022" xr:uid="{00000000-0005-0000-0000-0000DA5D0000}"/>
    <cellStyle name="Normal 2 3 4 5 2 3 4" xfId="21187" xr:uid="{00000000-0005-0000-0000-0000C7520000}"/>
    <cellStyle name="Normal 2 3 4 5 2 4" xfId="9945" xr:uid="{00000000-0005-0000-0000-0000DD260000}"/>
    <cellStyle name="Normal 2 3 4 5 2 4 2" xfId="18173" xr:uid="{00000000-0005-0000-0000-000001470000}"/>
    <cellStyle name="Normal 2 3 4 5 2 4 2 2" xfId="24685" xr:uid="{00000000-0005-0000-0000-000071600000}"/>
    <cellStyle name="Normal 2 3 4 5 2 4 3" xfId="21850" xr:uid="{00000000-0005-0000-0000-00005E550000}"/>
    <cellStyle name="Normal 2 3 4 5 2 5" xfId="10968" xr:uid="{00000000-0005-0000-0000-0000DC2A0000}"/>
    <cellStyle name="Normal 2 3 4 5 2 5 2" xfId="22862" xr:uid="{00000000-0005-0000-0000-000052590000}"/>
    <cellStyle name="Normal 2 3 4 5 2 6" xfId="20288" xr:uid="{00000000-0005-0000-0000-0000444F0000}"/>
    <cellStyle name="Normal 2 3 4 5 3" xfId="8292" xr:uid="{00000000-0005-0000-0000-000068200000}"/>
    <cellStyle name="Normal 2 3 4 5 3 2" xfId="10154" xr:uid="{00000000-0005-0000-0000-0000AE270000}"/>
    <cellStyle name="Normal 2 3 4 5 3 2 2" xfId="18382" xr:uid="{00000000-0005-0000-0000-0000D2470000}"/>
    <cellStyle name="Normal 2 3 4 5 3 2 2 2" xfId="24894" xr:uid="{00000000-0005-0000-0000-000042610000}"/>
    <cellStyle name="Normal 2 3 4 5 3 2 3" xfId="22059" xr:uid="{00000000-0005-0000-0000-00002F560000}"/>
    <cellStyle name="Normal 2 3 4 5 3 3" xfId="16972" xr:uid="{00000000-0005-0000-0000-000050420000}"/>
    <cellStyle name="Normal 2 3 4 5 3 3 2" xfId="23629" xr:uid="{00000000-0005-0000-0000-0000515C0000}"/>
    <cellStyle name="Normal 2 3 4 5 3 4" xfId="20497" xr:uid="{00000000-0005-0000-0000-000015500000}"/>
    <cellStyle name="Normal 2 3 4 5 4" xfId="9197" xr:uid="{00000000-0005-0000-0000-0000F1230000}"/>
    <cellStyle name="Normal 2 3 4 5 4 2" xfId="10537" xr:uid="{00000000-0005-0000-0000-00002D290000}"/>
    <cellStyle name="Normal 2 3 4 5 4 2 2" xfId="18765" xr:uid="{00000000-0005-0000-0000-000051490000}"/>
    <cellStyle name="Normal 2 3 4 5 4 2 2 2" xfId="25277" xr:uid="{00000000-0005-0000-0000-0000C1620000}"/>
    <cellStyle name="Normal 2 3 4 5 4 2 3" xfId="22442" xr:uid="{00000000-0005-0000-0000-0000AE570000}"/>
    <cellStyle name="Normal 2 3 4 5 4 3" xfId="17445" xr:uid="{00000000-0005-0000-0000-000029440000}"/>
    <cellStyle name="Normal 2 3 4 5 4 3 2" xfId="24021" xr:uid="{00000000-0005-0000-0000-0000D95D0000}"/>
    <cellStyle name="Normal 2 3 4 5 4 4" xfId="21186" xr:uid="{00000000-0005-0000-0000-0000C6520000}"/>
    <cellStyle name="Normal 2 3 4 5 5" xfId="9736" xr:uid="{00000000-0005-0000-0000-00000C260000}"/>
    <cellStyle name="Normal 2 3 4 5 5 2" xfId="17964" xr:uid="{00000000-0005-0000-0000-000030460000}"/>
    <cellStyle name="Normal 2 3 4 5 5 2 2" xfId="24476" xr:uid="{00000000-0005-0000-0000-0000A05F0000}"/>
    <cellStyle name="Normal 2 3 4 5 5 3" xfId="21641" xr:uid="{00000000-0005-0000-0000-00008D540000}"/>
    <cellStyle name="Normal 2 3 4 5 6" xfId="10967" xr:uid="{00000000-0005-0000-0000-0000DB2A0000}"/>
    <cellStyle name="Normal 2 3 4 5 6 2" xfId="22861" xr:uid="{00000000-0005-0000-0000-000051590000}"/>
    <cellStyle name="Normal 2 3 4 5 7" xfId="20079" xr:uid="{00000000-0005-0000-0000-0000734E0000}"/>
    <cellStyle name="Normal 2 3 4 5 8" xfId="7870" xr:uid="{00000000-0005-0000-0000-0000C21E0000}"/>
    <cellStyle name="Normal 2 3 4 6" xfId="7886" xr:uid="{00000000-0005-0000-0000-0000D21E0000}"/>
    <cellStyle name="Normal 2 3 4 6 2" xfId="8308" xr:uid="{00000000-0005-0000-0000-000078200000}"/>
    <cellStyle name="Normal 2 3 4 6 2 2" xfId="10170" xr:uid="{00000000-0005-0000-0000-0000BE270000}"/>
    <cellStyle name="Normal 2 3 4 6 2 2 2" xfId="18398" xr:uid="{00000000-0005-0000-0000-0000E2470000}"/>
    <cellStyle name="Normal 2 3 4 6 2 2 2 2" xfId="24910" xr:uid="{00000000-0005-0000-0000-000052610000}"/>
    <cellStyle name="Normal 2 3 4 6 2 2 3" xfId="22075" xr:uid="{00000000-0005-0000-0000-00003F560000}"/>
    <cellStyle name="Normal 2 3 4 6 2 3" xfId="16988" xr:uid="{00000000-0005-0000-0000-000060420000}"/>
    <cellStyle name="Normal 2 3 4 6 2 3 2" xfId="23645" xr:uid="{00000000-0005-0000-0000-0000615C0000}"/>
    <cellStyle name="Normal 2 3 4 6 2 4" xfId="20513" xr:uid="{00000000-0005-0000-0000-000025500000}"/>
    <cellStyle name="Normal 2 3 4 6 3" xfId="9199" xr:uid="{00000000-0005-0000-0000-0000F3230000}"/>
    <cellStyle name="Normal 2 3 4 6 3 2" xfId="10539" xr:uid="{00000000-0005-0000-0000-00002F290000}"/>
    <cellStyle name="Normal 2 3 4 6 3 2 2" xfId="18767" xr:uid="{00000000-0005-0000-0000-000053490000}"/>
    <cellStyle name="Normal 2 3 4 6 3 2 2 2" xfId="25279" xr:uid="{00000000-0005-0000-0000-0000C3620000}"/>
    <cellStyle name="Normal 2 3 4 6 3 2 3" xfId="22444" xr:uid="{00000000-0005-0000-0000-0000B0570000}"/>
    <cellStyle name="Normal 2 3 4 6 3 3" xfId="17447" xr:uid="{00000000-0005-0000-0000-00002B440000}"/>
    <cellStyle name="Normal 2 3 4 6 3 3 2" xfId="24023" xr:uid="{00000000-0005-0000-0000-0000DB5D0000}"/>
    <cellStyle name="Normal 2 3 4 6 3 4" xfId="21188" xr:uid="{00000000-0005-0000-0000-0000C8520000}"/>
    <cellStyle name="Normal 2 3 4 6 4" xfId="9752" xr:uid="{00000000-0005-0000-0000-00001C260000}"/>
    <cellStyle name="Normal 2 3 4 6 4 2" xfId="17980" xr:uid="{00000000-0005-0000-0000-000040460000}"/>
    <cellStyle name="Normal 2 3 4 6 4 2 2" xfId="24492" xr:uid="{00000000-0005-0000-0000-0000B05F0000}"/>
    <cellStyle name="Normal 2 3 4 6 4 3" xfId="21657" xr:uid="{00000000-0005-0000-0000-00009D540000}"/>
    <cellStyle name="Normal 2 3 4 6 5" xfId="10969" xr:uid="{00000000-0005-0000-0000-0000DD2A0000}"/>
    <cellStyle name="Normal 2 3 4 6 5 2" xfId="22863" xr:uid="{00000000-0005-0000-0000-000053590000}"/>
    <cellStyle name="Normal 2 3 4 6 6" xfId="20095" xr:uid="{00000000-0005-0000-0000-0000834E0000}"/>
    <cellStyle name="Normal 2 3 4 7" xfId="8099" xr:uid="{00000000-0005-0000-0000-0000A71F0000}"/>
    <cellStyle name="Normal 2 3 4 7 2" xfId="8872" xr:uid="{00000000-0005-0000-0000-0000AC220000}"/>
    <cellStyle name="Normal 2 3 4 7 2 2" xfId="10381" xr:uid="{00000000-0005-0000-0000-000091280000}"/>
    <cellStyle name="Normal 2 3 4 7 2 2 2" xfId="18609" xr:uid="{00000000-0005-0000-0000-0000B5480000}"/>
    <cellStyle name="Normal 2 3 4 7 2 2 2 2" xfId="25121" xr:uid="{00000000-0005-0000-0000-000025620000}"/>
    <cellStyle name="Normal 2 3 4 7 2 2 3" xfId="22286" xr:uid="{00000000-0005-0000-0000-000012570000}"/>
    <cellStyle name="Normal 2 3 4 7 2 3" xfId="17251" xr:uid="{00000000-0005-0000-0000-000067430000}"/>
    <cellStyle name="Normal 2 3 4 7 2 3 2" xfId="23863" xr:uid="{00000000-0005-0000-0000-00003B5D0000}"/>
    <cellStyle name="Normal 2 3 4 7 2 4" xfId="20945" xr:uid="{00000000-0005-0000-0000-0000D5510000}"/>
    <cellStyle name="Normal 2 3 4 7 3" xfId="9961" xr:uid="{00000000-0005-0000-0000-0000ED260000}"/>
    <cellStyle name="Normal 2 3 4 7 3 2" xfId="18189" xr:uid="{00000000-0005-0000-0000-000011470000}"/>
    <cellStyle name="Normal 2 3 4 7 3 2 2" xfId="24701" xr:uid="{00000000-0005-0000-0000-000081600000}"/>
    <cellStyle name="Normal 2 3 4 7 3 3" xfId="21866" xr:uid="{00000000-0005-0000-0000-00006E550000}"/>
    <cellStyle name="Normal 2 3 4 7 4" xfId="16805" xr:uid="{00000000-0005-0000-0000-0000A9410000}"/>
    <cellStyle name="Normal 2 3 4 7 4 2" xfId="23464" xr:uid="{00000000-0005-0000-0000-0000AC5B0000}"/>
    <cellStyle name="Normal 2 3 4 7 5" xfId="20304" xr:uid="{00000000-0005-0000-0000-0000544F0000}"/>
    <cellStyle name="Normal 2 3 4 8" xfId="8749" xr:uid="{00000000-0005-0000-0000-000031220000}"/>
    <cellStyle name="Normal 2 3 4 9" xfId="9543" xr:uid="{00000000-0005-0000-0000-00004B250000}"/>
    <cellStyle name="Normal 2 3 4 9 2" xfId="17771" xr:uid="{00000000-0005-0000-0000-00006F450000}"/>
    <cellStyle name="Normal 2 3 4 9 2 2" xfId="24283" xr:uid="{00000000-0005-0000-0000-0000DF5E0000}"/>
    <cellStyle name="Normal 2 3 4 9 3" xfId="21448" xr:uid="{00000000-0005-0000-0000-0000CC530000}"/>
    <cellStyle name="Normal 2 3 5" xfId="1085" xr:uid="{00000000-0005-0000-0000-000041040000}"/>
    <cellStyle name="Normal 2 3 5 10" xfId="4562" xr:uid="{00000000-0005-0000-0000-0000D6110000}"/>
    <cellStyle name="Normal 2 3 5 2" xfId="2230" xr:uid="{00000000-0005-0000-0000-0000BA080000}"/>
    <cellStyle name="Normal 2 3 5 2 2" xfId="3119" xr:uid="{00000000-0005-0000-0000-0000330C0000}"/>
    <cellStyle name="Normal 2 3 5 2 2 2" xfId="4177" xr:uid="{00000000-0005-0000-0000-000055100000}"/>
    <cellStyle name="Normal 2 3 5 2 2 2 2" xfId="10217" xr:uid="{00000000-0005-0000-0000-0000ED270000}"/>
    <cellStyle name="Normal 2 3 5 2 2 2 2 2" xfId="18445" xr:uid="{00000000-0005-0000-0000-000011480000}"/>
    <cellStyle name="Normal 2 3 5 2 2 2 2 2 2" xfId="24957" xr:uid="{00000000-0005-0000-0000-000081610000}"/>
    <cellStyle name="Normal 2 3 5 2 2 2 2 3" xfId="22122" xr:uid="{00000000-0005-0000-0000-00006E560000}"/>
    <cellStyle name="Normal 2 3 5 2 2 2 3" xfId="17035" xr:uid="{00000000-0005-0000-0000-00008F420000}"/>
    <cellStyle name="Normal 2 3 5 2 2 2 3 2" xfId="23692" xr:uid="{00000000-0005-0000-0000-0000905C0000}"/>
    <cellStyle name="Normal 2 3 5 2 2 2 4" xfId="20560" xr:uid="{00000000-0005-0000-0000-000054500000}"/>
    <cellStyle name="Normal 2 3 5 2 2 2 5" xfId="8355" xr:uid="{00000000-0005-0000-0000-0000A7200000}"/>
    <cellStyle name="Normal 2 3 5 2 2 3" xfId="9202" xr:uid="{00000000-0005-0000-0000-0000F6230000}"/>
    <cellStyle name="Normal 2 3 5 2 2 3 2" xfId="10542" xr:uid="{00000000-0005-0000-0000-000032290000}"/>
    <cellStyle name="Normal 2 3 5 2 2 3 2 2" xfId="18770" xr:uid="{00000000-0005-0000-0000-000056490000}"/>
    <cellStyle name="Normal 2 3 5 2 2 3 2 2 2" xfId="25282" xr:uid="{00000000-0005-0000-0000-0000C6620000}"/>
    <cellStyle name="Normal 2 3 5 2 2 3 2 3" xfId="22447" xr:uid="{00000000-0005-0000-0000-0000B3570000}"/>
    <cellStyle name="Normal 2 3 5 2 2 3 3" xfId="17450" xr:uid="{00000000-0005-0000-0000-00002E440000}"/>
    <cellStyle name="Normal 2 3 5 2 2 3 3 2" xfId="24026" xr:uid="{00000000-0005-0000-0000-0000DE5D0000}"/>
    <cellStyle name="Normal 2 3 5 2 2 3 4" xfId="21191" xr:uid="{00000000-0005-0000-0000-0000CB520000}"/>
    <cellStyle name="Normal 2 3 5 2 2 4" xfId="9799" xr:uid="{00000000-0005-0000-0000-00004B260000}"/>
    <cellStyle name="Normal 2 3 5 2 2 4 2" xfId="18027" xr:uid="{00000000-0005-0000-0000-00006F460000}"/>
    <cellStyle name="Normal 2 3 5 2 2 4 2 2" xfId="24539" xr:uid="{00000000-0005-0000-0000-0000DF5F0000}"/>
    <cellStyle name="Normal 2 3 5 2 2 4 3" xfId="21704" xr:uid="{00000000-0005-0000-0000-0000CC540000}"/>
    <cellStyle name="Normal 2 3 5 2 2 5" xfId="10972" xr:uid="{00000000-0005-0000-0000-0000E02A0000}"/>
    <cellStyle name="Normal 2 3 5 2 2 5 2" xfId="22866" xr:uid="{00000000-0005-0000-0000-000056590000}"/>
    <cellStyle name="Normal 2 3 5 2 2 6" xfId="20142" xr:uid="{00000000-0005-0000-0000-0000B24E0000}"/>
    <cellStyle name="Normal 2 3 5 2 2 7" xfId="7936" xr:uid="{00000000-0005-0000-0000-0000041F0000}"/>
    <cellStyle name="Normal 2 3 5 2 3" xfId="3345" xr:uid="{00000000-0005-0000-0000-0000150D0000}"/>
    <cellStyle name="Normal 2 3 5 2 3 2" xfId="4387" xr:uid="{00000000-0005-0000-0000-000027110000}"/>
    <cellStyle name="Normal 2 3 5 2 3 2 2" xfId="18236" xr:uid="{00000000-0005-0000-0000-000040470000}"/>
    <cellStyle name="Normal 2 3 5 2 3 2 2 2" xfId="24748" xr:uid="{00000000-0005-0000-0000-0000B0600000}"/>
    <cellStyle name="Normal 2 3 5 2 3 2 3" xfId="21913" xr:uid="{00000000-0005-0000-0000-00009D550000}"/>
    <cellStyle name="Normal 2 3 5 2 3 2 4" xfId="10008" xr:uid="{00000000-0005-0000-0000-00001C270000}"/>
    <cellStyle name="Normal 2 3 5 2 3 3" xfId="16835" xr:uid="{00000000-0005-0000-0000-0000C7410000}"/>
    <cellStyle name="Normal 2 3 5 2 3 3 2" xfId="23494" xr:uid="{00000000-0005-0000-0000-0000CA5B0000}"/>
    <cellStyle name="Normal 2 3 5 2 3 4" xfId="20351" xr:uid="{00000000-0005-0000-0000-0000834F0000}"/>
    <cellStyle name="Normal 2 3 5 2 3 5" xfId="8146" xr:uid="{00000000-0005-0000-0000-0000D61F0000}"/>
    <cellStyle name="Normal 2 3 5 2 4" xfId="3967" xr:uid="{00000000-0005-0000-0000-0000830F0000}"/>
    <cellStyle name="Normal 2 3 5 2 4 2" xfId="10541" xr:uid="{00000000-0005-0000-0000-000031290000}"/>
    <cellStyle name="Normal 2 3 5 2 4 2 2" xfId="18769" xr:uid="{00000000-0005-0000-0000-000055490000}"/>
    <cellStyle name="Normal 2 3 5 2 4 2 2 2" xfId="25281" xr:uid="{00000000-0005-0000-0000-0000C5620000}"/>
    <cellStyle name="Normal 2 3 5 2 4 2 3" xfId="22446" xr:uid="{00000000-0005-0000-0000-0000B2570000}"/>
    <cellStyle name="Normal 2 3 5 2 4 3" xfId="17449" xr:uid="{00000000-0005-0000-0000-00002D440000}"/>
    <cellStyle name="Normal 2 3 5 2 4 3 2" xfId="24025" xr:uid="{00000000-0005-0000-0000-0000DD5D0000}"/>
    <cellStyle name="Normal 2 3 5 2 4 4" xfId="21190" xr:uid="{00000000-0005-0000-0000-0000CA520000}"/>
    <cellStyle name="Normal 2 3 5 2 4 5" xfId="9201" xr:uid="{00000000-0005-0000-0000-0000F5230000}"/>
    <cellStyle name="Normal 2 3 5 2 5" xfId="9590" xr:uid="{00000000-0005-0000-0000-00007A250000}"/>
    <cellStyle name="Normal 2 3 5 2 5 2" xfId="17818" xr:uid="{00000000-0005-0000-0000-00009E450000}"/>
    <cellStyle name="Normal 2 3 5 2 5 2 2" xfId="24330" xr:uid="{00000000-0005-0000-0000-00000E5F0000}"/>
    <cellStyle name="Normal 2 3 5 2 5 3" xfId="21495" xr:uid="{00000000-0005-0000-0000-0000FB530000}"/>
    <cellStyle name="Normal 2 3 5 2 6" xfId="10971" xr:uid="{00000000-0005-0000-0000-0000DF2A0000}"/>
    <cellStyle name="Normal 2 3 5 2 6 2" xfId="22865" xr:uid="{00000000-0005-0000-0000-000055590000}"/>
    <cellStyle name="Normal 2 3 5 2 7" xfId="19707" xr:uid="{00000000-0005-0000-0000-0000FF4C0000}"/>
    <cellStyle name="Normal 2 3 5 2 8" xfId="6280" xr:uid="{00000000-0005-0000-0000-00008C180000}"/>
    <cellStyle name="Normal 2 3 5 3" xfId="2998" xr:uid="{00000000-0005-0000-0000-0000BA0B0000}"/>
    <cellStyle name="Normal 2 3 5 3 2" xfId="4072" xr:uid="{00000000-0005-0000-0000-0000EC0F0000}"/>
    <cellStyle name="Normal 2 3 5 3 2 2" xfId="8436" xr:uid="{00000000-0005-0000-0000-0000F8200000}"/>
    <cellStyle name="Normal 2 3 5 3 2 2 2" xfId="10298" xr:uid="{00000000-0005-0000-0000-00003E280000}"/>
    <cellStyle name="Normal 2 3 5 3 2 2 2 2" xfId="18526" xr:uid="{00000000-0005-0000-0000-000062480000}"/>
    <cellStyle name="Normal 2 3 5 3 2 2 2 2 2" xfId="25038" xr:uid="{00000000-0005-0000-0000-0000D2610000}"/>
    <cellStyle name="Normal 2 3 5 3 2 2 2 3" xfId="22203" xr:uid="{00000000-0005-0000-0000-0000BF560000}"/>
    <cellStyle name="Normal 2 3 5 3 2 2 3" xfId="17116" xr:uid="{00000000-0005-0000-0000-0000E0420000}"/>
    <cellStyle name="Normal 2 3 5 3 2 2 3 2" xfId="23773" xr:uid="{00000000-0005-0000-0000-0000E15C0000}"/>
    <cellStyle name="Normal 2 3 5 3 2 2 4" xfId="20641" xr:uid="{00000000-0005-0000-0000-0000A5500000}"/>
    <cellStyle name="Normal 2 3 5 3 2 3" xfId="9204" xr:uid="{00000000-0005-0000-0000-0000F8230000}"/>
    <cellStyle name="Normal 2 3 5 3 2 3 2" xfId="10544" xr:uid="{00000000-0005-0000-0000-000034290000}"/>
    <cellStyle name="Normal 2 3 5 3 2 3 2 2" xfId="18772" xr:uid="{00000000-0005-0000-0000-000058490000}"/>
    <cellStyle name="Normal 2 3 5 3 2 3 2 2 2" xfId="25284" xr:uid="{00000000-0005-0000-0000-0000C8620000}"/>
    <cellStyle name="Normal 2 3 5 3 2 3 2 3" xfId="22449" xr:uid="{00000000-0005-0000-0000-0000B5570000}"/>
    <cellStyle name="Normal 2 3 5 3 2 3 3" xfId="17452" xr:uid="{00000000-0005-0000-0000-000030440000}"/>
    <cellStyle name="Normal 2 3 5 3 2 3 3 2" xfId="24028" xr:uid="{00000000-0005-0000-0000-0000E05D0000}"/>
    <cellStyle name="Normal 2 3 5 3 2 3 4" xfId="21193" xr:uid="{00000000-0005-0000-0000-0000CD520000}"/>
    <cellStyle name="Normal 2 3 5 3 2 4" xfId="9880" xr:uid="{00000000-0005-0000-0000-00009C260000}"/>
    <cellStyle name="Normal 2 3 5 3 2 4 2" xfId="18108" xr:uid="{00000000-0005-0000-0000-0000C0460000}"/>
    <cellStyle name="Normal 2 3 5 3 2 4 2 2" xfId="24620" xr:uid="{00000000-0005-0000-0000-000030600000}"/>
    <cellStyle name="Normal 2 3 5 3 2 4 3" xfId="21785" xr:uid="{00000000-0005-0000-0000-00001D550000}"/>
    <cellStyle name="Normal 2 3 5 3 2 5" xfId="10974" xr:uid="{00000000-0005-0000-0000-0000E22A0000}"/>
    <cellStyle name="Normal 2 3 5 3 2 5 2" xfId="22868" xr:uid="{00000000-0005-0000-0000-000058590000}"/>
    <cellStyle name="Normal 2 3 5 3 2 6" xfId="20223" xr:uid="{00000000-0005-0000-0000-0000034F0000}"/>
    <cellStyle name="Normal 2 3 5 3 2 7" xfId="8017" xr:uid="{00000000-0005-0000-0000-0000551F0000}"/>
    <cellStyle name="Normal 2 3 5 3 3" xfId="8227" xr:uid="{00000000-0005-0000-0000-000027200000}"/>
    <cellStyle name="Normal 2 3 5 3 3 2" xfId="10089" xr:uid="{00000000-0005-0000-0000-00006D270000}"/>
    <cellStyle name="Normal 2 3 5 3 3 2 2" xfId="18317" xr:uid="{00000000-0005-0000-0000-000091470000}"/>
    <cellStyle name="Normal 2 3 5 3 3 2 2 2" xfId="24829" xr:uid="{00000000-0005-0000-0000-000001610000}"/>
    <cellStyle name="Normal 2 3 5 3 3 2 3" xfId="21994" xr:uid="{00000000-0005-0000-0000-0000EE550000}"/>
    <cellStyle name="Normal 2 3 5 3 3 3" xfId="16908" xr:uid="{00000000-0005-0000-0000-000010420000}"/>
    <cellStyle name="Normal 2 3 5 3 3 3 2" xfId="23565" xr:uid="{00000000-0005-0000-0000-0000115C0000}"/>
    <cellStyle name="Normal 2 3 5 3 3 4" xfId="20432" xr:uid="{00000000-0005-0000-0000-0000D44F0000}"/>
    <cellStyle name="Normal 2 3 5 3 4" xfId="9203" xr:uid="{00000000-0005-0000-0000-0000F7230000}"/>
    <cellStyle name="Normal 2 3 5 3 4 2" xfId="10543" xr:uid="{00000000-0005-0000-0000-000033290000}"/>
    <cellStyle name="Normal 2 3 5 3 4 2 2" xfId="18771" xr:uid="{00000000-0005-0000-0000-000057490000}"/>
    <cellStyle name="Normal 2 3 5 3 4 2 2 2" xfId="25283" xr:uid="{00000000-0005-0000-0000-0000C7620000}"/>
    <cellStyle name="Normal 2 3 5 3 4 2 3" xfId="22448" xr:uid="{00000000-0005-0000-0000-0000B4570000}"/>
    <cellStyle name="Normal 2 3 5 3 4 3" xfId="17451" xr:uid="{00000000-0005-0000-0000-00002F440000}"/>
    <cellStyle name="Normal 2 3 5 3 4 3 2" xfId="24027" xr:uid="{00000000-0005-0000-0000-0000DF5D0000}"/>
    <cellStyle name="Normal 2 3 5 3 4 4" xfId="21192" xr:uid="{00000000-0005-0000-0000-0000CC520000}"/>
    <cellStyle name="Normal 2 3 5 3 5" xfId="9671" xr:uid="{00000000-0005-0000-0000-0000CB250000}"/>
    <cellStyle name="Normal 2 3 5 3 5 2" xfId="17899" xr:uid="{00000000-0005-0000-0000-0000EF450000}"/>
    <cellStyle name="Normal 2 3 5 3 5 2 2" xfId="24411" xr:uid="{00000000-0005-0000-0000-00005F5F0000}"/>
    <cellStyle name="Normal 2 3 5 3 5 3" xfId="21576" xr:uid="{00000000-0005-0000-0000-00004C540000}"/>
    <cellStyle name="Normal 2 3 5 3 6" xfId="10973" xr:uid="{00000000-0005-0000-0000-0000E12A0000}"/>
    <cellStyle name="Normal 2 3 5 3 6 2" xfId="22867" xr:uid="{00000000-0005-0000-0000-000057590000}"/>
    <cellStyle name="Normal 2 3 5 3 7" xfId="20014" xr:uid="{00000000-0005-0000-0000-0000324E0000}"/>
    <cellStyle name="Normal 2 3 5 3 8" xfId="7775" xr:uid="{00000000-0005-0000-0000-0000631E0000}"/>
    <cellStyle name="Normal 2 3 5 4" xfId="3224" xr:uid="{00000000-0005-0000-0000-00009C0C0000}"/>
    <cellStyle name="Normal 2 3 5 4 2" xfId="4282" xr:uid="{00000000-0005-0000-0000-0000BE100000}"/>
    <cellStyle name="Normal 2 3 5 4 2 2" xfId="10190" xr:uid="{00000000-0005-0000-0000-0000D2270000}"/>
    <cellStyle name="Normal 2 3 5 4 2 2 2" xfId="18418" xr:uid="{00000000-0005-0000-0000-0000F6470000}"/>
    <cellStyle name="Normal 2 3 5 4 2 2 2 2" xfId="24930" xr:uid="{00000000-0005-0000-0000-000066610000}"/>
    <cellStyle name="Normal 2 3 5 4 2 2 3" xfId="22095" xr:uid="{00000000-0005-0000-0000-000053560000}"/>
    <cellStyle name="Normal 2 3 5 4 2 3" xfId="17008" xr:uid="{00000000-0005-0000-0000-000074420000}"/>
    <cellStyle name="Normal 2 3 5 4 2 3 2" xfId="23665" xr:uid="{00000000-0005-0000-0000-0000755C0000}"/>
    <cellStyle name="Normal 2 3 5 4 2 4" xfId="20533" xr:uid="{00000000-0005-0000-0000-000039500000}"/>
    <cellStyle name="Normal 2 3 5 4 2 5" xfId="8328" xr:uid="{00000000-0005-0000-0000-00008C200000}"/>
    <cellStyle name="Normal 2 3 5 4 3" xfId="9205" xr:uid="{00000000-0005-0000-0000-0000F9230000}"/>
    <cellStyle name="Normal 2 3 5 4 3 2" xfId="10545" xr:uid="{00000000-0005-0000-0000-000035290000}"/>
    <cellStyle name="Normal 2 3 5 4 3 2 2" xfId="18773" xr:uid="{00000000-0005-0000-0000-000059490000}"/>
    <cellStyle name="Normal 2 3 5 4 3 2 2 2" xfId="25285" xr:uid="{00000000-0005-0000-0000-0000C9620000}"/>
    <cellStyle name="Normal 2 3 5 4 3 2 3" xfId="22450" xr:uid="{00000000-0005-0000-0000-0000B6570000}"/>
    <cellStyle name="Normal 2 3 5 4 3 3" xfId="17453" xr:uid="{00000000-0005-0000-0000-000031440000}"/>
    <cellStyle name="Normal 2 3 5 4 3 3 2" xfId="24029" xr:uid="{00000000-0005-0000-0000-0000E15D0000}"/>
    <cellStyle name="Normal 2 3 5 4 3 4" xfId="21194" xr:uid="{00000000-0005-0000-0000-0000CE520000}"/>
    <cellStyle name="Normal 2 3 5 4 4" xfId="9772" xr:uid="{00000000-0005-0000-0000-000030260000}"/>
    <cellStyle name="Normal 2 3 5 4 4 2" xfId="18000" xr:uid="{00000000-0005-0000-0000-000054460000}"/>
    <cellStyle name="Normal 2 3 5 4 4 2 2" xfId="24512" xr:uid="{00000000-0005-0000-0000-0000C45F0000}"/>
    <cellStyle name="Normal 2 3 5 4 4 3" xfId="21677" xr:uid="{00000000-0005-0000-0000-0000B1540000}"/>
    <cellStyle name="Normal 2 3 5 4 5" xfId="10975" xr:uid="{00000000-0005-0000-0000-0000E32A0000}"/>
    <cellStyle name="Normal 2 3 5 4 5 2" xfId="22869" xr:uid="{00000000-0005-0000-0000-000059590000}"/>
    <cellStyle name="Normal 2 3 5 4 6" xfId="20115" xr:uid="{00000000-0005-0000-0000-0000974E0000}"/>
    <cellStyle name="Normal 2 3 5 4 7" xfId="7907" xr:uid="{00000000-0005-0000-0000-0000E71E0000}"/>
    <cellStyle name="Normal 2 3 5 5" xfId="3675" xr:uid="{00000000-0005-0000-0000-00005F0E0000}"/>
    <cellStyle name="Normal 2 3 5 5 2" xfId="9200" xr:uid="{00000000-0005-0000-0000-0000F4230000}"/>
    <cellStyle name="Normal 2 3 5 5 2 2" xfId="10540" xr:uid="{00000000-0005-0000-0000-000030290000}"/>
    <cellStyle name="Normal 2 3 5 5 2 2 2" xfId="18768" xr:uid="{00000000-0005-0000-0000-000054490000}"/>
    <cellStyle name="Normal 2 3 5 5 2 2 2 2" xfId="25280" xr:uid="{00000000-0005-0000-0000-0000C4620000}"/>
    <cellStyle name="Normal 2 3 5 5 2 2 3" xfId="22445" xr:uid="{00000000-0005-0000-0000-0000B1570000}"/>
    <cellStyle name="Normal 2 3 5 5 2 3" xfId="17448" xr:uid="{00000000-0005-0000-0000-00002C440000}"/>
    <cellStyle name="Normal 2 3 5 5 2 3 2" xfId="24024" xr:uid="{00000000-0005-0000-0000-0000DC5D0000}"/>
    <cellStyle name="Normal 2 3 5 5 2 4" xfId="21189" xr:uid="{00000000-0005-0000-0000-0000C9520000}"/>
    <cellStyle name="Normal 2 3 5 5 3" xfId="9981" xr:uid="{00000000-0005-0000-0000-000001270000}"/>
    <cellStyle name="Normal 2 3 5 5 3 2" xfId="18209" xr:uid="{00000000-0005-0000-0000-000025470000}"/>
    <cellStyle name="Normal 2 3 5 5 3 2 2" xfId="24721" xr:uid="{00000000-0005-0000-0000-000095600000}"/>
    <cellStyle name="Normal 2 3 5 5 3 3" xfId="21886" xr:uid="{00000000-0005-0000-0000-000082550000}"/>
    <cellStyle name="Normal 2 3 5 5 4" xfId="16817" xr:uid="{00000000-0005-0000-0000-0000B5410000}"/>
    <cellStyle name="Normal 2 3 5 5 4 2" xfId="23476" xr:uid="{00000000-0005-0000-0000-0000B85B0000}"/>
    <cellStyle name="Normal 2 3 5 5 5" xfId="20324" xr:uid="{00000000-0005-0000-0000-0000684F0000}"/>
    <cellStyle name="Normal 2 3 5 5 6" xfId="8119" xr:uid="{00000000-0005-0000-0000-0000BB1F0000}"/>
    <cellStyle name="Normal 2 3 5 6" xfId="8750" xr:uid="{00000000-0005-0000-0000-000032220000}"/>
    <cellStyle name="Normal 2 3 5 7" xfId="9563" xr:uid="{00000000-0005-0000-0000-00005F250000}"/>
    <cellStyle name="Normal 2 3 5 7 2" xfId="17791" xr:uid="{00000000-0005-0000-0000-000083450000}"/>
    <cellStyle name="Normal 2 3 5 7 2 2" xfId="24303" xr:uid="{00000000-0005-0000-0000-0000F35E0000}"/>
    <cellStyle name="Normal 2 3 5 7 3" xfId="21468" xr:uid="{00000000-0005-0000-0000-0000E0530000}"/>
    <cellStyle name="Normal 2 3 5 8" xfId="10970" xr:uid="{00000000-0005-0000-0000-0000DE2A0000}"/>
    <cellStyle name="Normal 2 3 5 8 2" xfId="22864" xr:uid="{00000000-0005-0000-0000-000054590000}"/>
    <cellStyle name="Normal 2 3 5 9" xfId="19639" xr:uid="{00000000-0005-0000-0000-0000BB4C0000}"/>
    <cellStyle name="Normal 2 3 6" xfId="1086" xr:uid="{00000000-0005-0000-0000-000042040000}"/>
    <cellStyle name="Normal 2 3 6 2" xfId="2231" xr:uid="{00000000-0005-0000-0000-0000BB080000}"/>
    <cellStyle name="Normal 2 3 6 2 2" xfId="3120" xr:uid="{00000000-0005-0000-0000-0000340C0000}"/>
    <cellStyle name="Normal 2 3 6 2 2 2" xfId="4178" xr:uid="{00000000-0005-0000-0000-000056100000}"/>
    <cellStyle name="Normal 2 3 6 2 3" xfId="3346" xr:uid="{00000000-0005-0000-0000-0000160D0000}"/>
    <cellStyle name="Normal 2 3 6 2 3 2" xfId="4388" xr:uid="{00000000-0005-0000-0000-000028110000}"/>
    <cellStyle name="Normal 2 3 6 2 4" xfId="3968" xr:uid="{00000000-0005-0000-0000-0000840F0000}"/>
    <cellStyle name="Normal 2 3 6 2 5" xfId="6281" xr:uid="{00000000-0005-0000-0000-00008D180000}"/>
    <cellStyle name="Normal 2 3 6 3" xfId="2999" xr:uid="{00000000-0005-0000-0000-0000BB0B0000}"/>
    <cellStyle name="Normal 2 3 6 3 2" xfId="4073" xr:uid="{00000000-0005-0000-0000-0000ED0F0000}"/>
    <cellStyle name="Normal 2 3 6 3 2 2" xfId="8437" xr:uid="{00000000-0005-0000-0000-0000F9200000}"/>
    <cellStyle name="Normal 2 3 6 3 2 2 2" xfId="10299" xr:uid="{00000000-0005-0000-0000-00003F280000}"/>
    <cellStyle name="Normal 2 3 6 3 2 2 2 2" xfId="18527" xr:uid="{00000000-0005-0000-0000-000063480000}"/>
    <cellStyle name="Normal 2 3 6 3 2 2 2 2 2" xfId="25039" xr:uid="{00000000-0005-0000-0000-0000D3610000}"/>
    <cellStyle name="Normal 2 3 6 3 2 2 2 3" xfId="22204" xr:uid="{00000000-0005-0000-0000-0000C0560000}"/>
    <cellStyle name="Normal 2 3 6 3 2 2 3" xfId="17117" xr:uid="{00000000-0005-0000-0000-0000E1420000}"/>
    <cellStyle name="Normal 2 3 6 3 2 2 3 2" xfId="23774" xr:uid="{00000000-0005-0000-0000-0000E25C0000}"/>
    <cellStyle name="Normal 2 3 6 3 2 2 4" xfId="20642" xr:uid="{00000000-0005-0000-0000-0000A6500000}"/>
    <cellStyle name="Normal 2 3 6 3 2 3" xfId="9208" xr:uid="{00000000-0005-0000-0000-0000FC230000}"/>
    <cellStyle name="Normal 2 3 6 3 2 3 2" xfId="10548" xr:uid="{00000000-0005-0000-0000-000038290000}"/>
    <cellStyle name="Normal 2 3 6 3 2 3 2 2" xfId="18776" xr:uid="{00000000-0005-0000-0000-00005C490000}"/>
    <cellStyle name="Normal 2 3 6 3 2 3 2 2 2" xfId="25288" xr:uid="{00000000-0005-0000-0000-0000CC620000}"/>
    <cellStyle name="Normal 2 3 6 3 2 3 2 3" xfId="22453" xr:uid="{00000000-0005-0000-0000-0000B9570000}"/>
    <cellStyle name="Normal 2 3 6 3 2 3 3" xfId="17456" xr:uid="{00000000-0005-0000-0000-000034440000}"/>
    <cellStyle name="Normal 2 3 6 3 2 3 3 2" xfId="24032" xr:uid="{00000000-0005-0000-0000-0000E45D0000}"/>
    <cellStyle name="Normal 2 3 6 3 2 3 4" xfId="21197" xr:uid="{00000000-0005-0000-0000-0000D1520000}"/>
    <cellStyle name="Normal 2 3 6 3 2 4" xfId="9881" xr:uid="{00000000-0005-0000-0000-00009D260000}"/>
    <cellStyle name="Normal 2 3 6 3 2 4 2" xfId="18109" xr:uid="{00000000-0005-0000-0000-0000C1460000}"/>
    <cellStyle name="Normal 2 3 6 3 2 4 2 2" xfId="24621" xr:uid="{00000000-0005-0000-0000-000031600000}"/>
    <cellStyle name="Normal 2 3 6 3 2 4 3" xfId="21786" xr:uid="{00000000-0005-0000-0000-00001E550000}"/>
    <cellStyle name="Normal 2 3 6 3 2 5" xfId="10978" xr:uid="{00000000-0005-0000-0000-0000E62A0000}"/>
    <cellStyle name="Normal 2 3 6 3 2 5 2" xfId="22872" xr:uid="{00000000-0005-0000-0000-00005C590000}"/>
    <cellStyle name="Normal 2 3 6 3 2 6" xfId="20224" xr:uid="{00000000-0005-0000-0000-0000044F0000}"/>
    <cellStyle name="Normal 2 3 6 3 2 7" xfId="8018" xr:uid="{00000000-0005-0000-0000-0000561F0000}"/>
    <cellStyle name="Normal 2 3 6 3 3" xfId="8228" xr:uid="{00000000-0005-0000-0000-000028200000}"/>
    <cellStyle name="Normal 2 3 6 3 3 2" xfId="10090" xr:uid="{00000000-0005-0000-0000-00006E270000}"/>
    <cellStyle name="Normal 2 3 6 3 3 2 2" xfId="18318" xr:uid="{00000000-0005-0000-0000-000092470000}"/>
    <cellStyle name="Normal 2 3 6 3 3 2 2 2" xfId="24830" xr:uid="{00000000-0005-0000-0000-000002610000}"/>
    <cellStyle name="Normal 2 3 6 3 3 2 3" xfId="21995" xr:uid="{00000000-0005-0000-0000-0000EF550000}"/>
    <cellStyle name="Normal 2 3 6 3 3 3" xfId="16909" xr:uid="{00000000-0005-0000-0000-000011420000}"/>
    <cellStyle name="Normal 2 3 6 3 3 3 2" xfId="23566" xr:uid="{00000000-0005-0000-0000-0000125C0000}"/>
    <cellStyle name="Normal 2 3 6 3 3 4" xfId="20433" xr:uid="{00000000-0005-0000-0000-0000D54F0000}"/>
    <cellStyle name="Normal 2 3 6 3 4" xfId="9207" xr:uid="{00000000-0005-0000-0000-0000FB230000}"/>
    <cellStyle name="Normal 2 3 6 3 4 2" xfId="10547" xr:uid="{00000000-0005-0000-0000-000037290000}"/>
    <cellStyle name="Normal 2 3 6 3 4 2 2" xfId="18775" xr:uid="{00000000-0005-0000-0000-00005B490000}"/>
    <cellStyle name="Normal 2 3 6 3 4 2 2 2" xfId="25287" xr:uid="{00000000-0005-0000-0000-0000CB620000}"/>
    <cellStyle name="Normal 2 3 6 3 4 2 3" xfId="22452" xr:uid="{00000000-0005-0000-0000-0000B8570000}"/>
    <cellStyle name="Normal 2 3 6 3 4 3" xfId="17455" xr:uid="{00000000-0005-0000-0000-000033440000}"/>
    <cellStyle name="Normal 2 3 6 3 4 3 2" xfId="24031" xr:uid="{00000000-0005-0000-0000-0000E35D0000}"/>
    <cellStyle name="Normal 2 3 6 3 4 4" xfId="21196" xr:uid="{00000000-0005-0000-0000-0000D0520000}"/>
    <cellStyle name="Normal 2 3 6 3 5" xfId="9672" xr:uid="{00000000-0005-0000-0000-0000CC250000}"/>
    <cellStyle name="Normal 2 3 6 3 5 2" xfId="17900" xr:uid="{00000000-0005-0000-0000-0000F0450000}"/>
    <cellStyle name="Normal 2 3 6 3 5 2 2" xfId="24412" xr:uid="{00000000-0005-0000-0000-0000605F0000}"/>
    <cellStyle name="Normal 2 3 6 3 5 3" xfId="21577" xr:uid="{00000000-0005-0000-0000-00004D540000}"/>
    <cellStyle name="Normal 2 3 6 3 6" xfId="10977" xr:uid="{00000000-0005-0000-0000-0000E52A0000}"/>
    <cellStyle name="Normal 2 3 6 3 6 2" xfId="22871" xr:uid="{00000000-0005-0000-0000-00005B590000}"/>
    <cellStyle name="Normal 2 3 6 3 7" xfId="20015" xr:uid="{00000000-0005-0000-0000-0000334E0000}"/>
    <cellStyle name="Normal 2 3 6 3 8" xfId="7776" xr:uid="{00000000-0005-0000-0000-0000641E0000}"/>
    <cellStyle name="Normal 2 3 6 4" xfId="3225" xr:uid="{00000000-0005-0000-0000-00009D0C0000}"/>
    <cellStyle name="Normal 2 3 6 4 2" xfId="4283" xr:uid="{00000000-0005-0000-0000-0000BF100000}"/>
    <cellStyle name="Normal 2 3 6 4 2 2" xfId="10186" xr:uid="{00000000-0005-0000-0000-0000CE270000}"/>
    <cellStyle name="Normal 2 3 6 4 2 2 2" xfId="18414" xr:uid="{00000000-0005-0000-0000-0000F2470000}"/>
    <cellStyle name="Normal 2 3 6 4 2 2 2 2" xfId="24926" xr:uid="{00000000-0005-0000-0000-000062610000}"/>
    <cellStyle name="Normal 2 3 6 4 2 2 3" xfId="22091" xr:uid="{00000000-0005-0000-0000-00004F560000}"/>
    <cellStyle name="Normal 2 3 6 4 2 3" xfId="17004" xr:uid="{00000000-0005-0000-0000-000070420000}"/>
    <cellStyle name="Normal 2 3 6 4 2 3 2" xfId="23661" xr:uid="{00000000-0005-0000-0000-0000715C0000}"/>
    <cellStyle name="Normal 2 3 6 4 2 4" xfId="20529" xr:uid="{00000000-0005-0000-0000-000035500000}"/>
    <cellStyle name="Normal 2 3 6 4 2 5" xfId="8324" xr:uid="{00000000-0005-0000-0000-000088200000}"/>
    <cellStyle name="Normal 2 3 6 4 3" xfId="9209" xr:uid="{00000000-0005-0000-0000-0000FD230000}"/>
    <cellStyle name="Normal 2 3 6 4 3 2" xfId="10549" xr:uid="{00000000-0005-0000-0000-000039290000}"/>
    <cellStyle name="Normal 2 3 6 4 3 2 2" xfId="18777" xr:uid="{00000000-0005-0000-0000-00005D490000}"/>
    <cellStyle name="Normal 2 3 6 4 3 2 2 2" xfId="25289" xr:uid="{00000000-0005-0000-0000-0000CD620000}"/>
    <cellStyle name="Normal 2 3 6 4 3 2 3" xfId="22454" xr:uid="{00000000-0005-0000-0000-0000BA570000}"/>
    <cellStyle name="Normal 2 3 6 4 3 3" xfId="17457" xr:uid="{00000000-0005-0000-0000-000035440000}"/>
    <cellStyle name="Normal 2 3 6 4 3 3 2" xfId="24033" xr:uid="{00000000-0005-0000-0000-0000E55D0000}"/>
    <cellStyle name="Normal 2 3 6 4 3 4" xfId="21198" xr:uid="{00000000-0005-0000-0000-0000D2520000}"/>
    <cellStyle name="Normal 2 3 6 4 4" xfId="9768" xr:uid="{00000000-0005-0000-0000-00002C260000}"/>
    <cellStyle name="Normal 2 3 6 4 4 2" xfId="17996" xr:uid="{00000000-0005-0000-0000-000050460000}"/>
    <cellStyle name="Normal 2 3 6 4 4 2 2" xfId="24508" xr:uid="{00000000-0005-0000-0000-0000C05F0000}"/>
    <cellStyle name="Normal 2 3 6 4 4 3" xfId="21673" xr:uid="{00000000-0005-0000-0000-0000AD540000}"/>
    <cellStyle name="Normal 2 3 6 4 5" xfId="10979" xr:uid="{00000000-0005-0000-0000-0000E72A0000}"/>
    <cellStyle name="Normal 2 3 6 4 5 2" xfId="22873" xr:uid="{00000000-0005-0000-0000-00005D590000}"/>
    <cellStyle name="Normal 2 3 6 4 6" xfId="20111" xr:uid="{00000000-0005-0000-0000-0000934E0000}"/>
    <cellStyle name="Normal 2 3 6 4 7" xfId="7903" xr:uid="{00000000-0005-0000-0000-0000E31E0000}"/>
    <cellStyle name="Normal 2 3 6 5" xfId="3676" xr:uid="{00000000-0005-0000-0000-0000600E0000}"/>
    <cellStyle name="Normal 2 3 6 5 2" xfId="9206" xr:uid="{00000000-0005-0000-0000-0000FA230000}"/>
    <cellStyle name="Normal 2 3 6 5 2 2" xfId="10546" xr:uid="{00000000-0005-0000-0000-000036290000}"/>
    <cellStyle name="Normal 2 3 6 5 2 2 2" xfId="18774" xr:uid="{00000000-0005-0000-0000-00005A490000}"/>
    <cellStyle name="Normal 2 3 6 5 2 2 2 2" xfId="25286" xr:uid="{00000000-0005-0000-0000-0000CA620000}"/>
    <cellStyle name="Normal 2 3 6 5 2 2 3" xfId="22451" xr:uid="{00000000-0005-0000-0000-0000B7570000}"/>
    <cellStyle name="Normal 2 3 6 5 2 3" xfId="17454" xr:uid="{00000000-0005-0000-0000-000032440000}"/>
    <cellStyle name="Normal 2 3 6 5 2 3 2" xfId="24030" xr:uid="{00000000-0005-0000-0000-0000E25D0000}"/>
    <cellStyle name="Normal 2 3 6 5 2 4" xfId="21195" xr:uid="{00000000-0005-0000-0000-0000CF520000}"/>
    <cellStyle name="Normal 2 3 6 5 3" xfId="9977" xr:uid="{00000000-0005-0000-0000-0000FD260000}"/>
    <cellStyle name="Normal 2 3 6 5 3 2" xfId="18205" xr:uid="{00000000-0005-0000-0000-000021470000}"/>
    <cellStyle name="Normal 2 3 6 5 3 2 2" xfId="24717" xr:uid="{00000000-0005-0000-0000-000091600000}"/>
    <cellStyle name="Normal 2 3 6 5 3 3" xfId="21882" xr:uid="{00000000-0005-0000-0000-00007E550000}"/>
    <cellStyle name="Normal 2 3 6 5 4" xfId="16813" xr:uid="{00000000-0005-0000-0000-0000B1410000}"/>
    <cellStyle name="Normal 2 3 6 5 4 2" xfId="23472" xr:uid="{00000000-0005-0000-0000-0000B45B0000}"/>
    <cellStyle name="Normal 2 3 6 5 5" xfId="20320" xr:uid="{00000000-0005-0000-0000-0000644F0000}"/>
    <cellStyle name="Normal 2 3 6 5 6" xfId="8115" xr:uid="{00000000-0005-0000-0000-0000B71F0000}"/>
    <cellStyle name="Normal 2 3 6 6" xfId="9559" xr:uid="{00000000-0005-0000-0000-00005B250000}"/>
    <cellStyle name="Normal 2 3 6 6 2" xfId="17787" xr:uid="{00000000-0005-0000-0000-00007F450000}"/>
    <cellStyle name="Normal 2 3 6 6 2 2" xfId="24299" xr:uid="{00000000-0005-0000-0000-0000EF5E0000}"/>
    <cellStyle name="Normal 2 3 6 6 3" xfId="21464" xr:uid="{00000000-0005-0000-0000-0000DC530000}"/>
    <cellStyle name="Normal 2 3 6 7" xfId="10976" xr:uid="{00000000-0005-0000-0000-0000E42A0000}"/>
    <cellStyle name="Normal 2 3 6 7 2" xfId="22870" xr:uid="{00000000-0005-0000-0000-00005A590000}"/>
    <cellStyle name="Normal 2 3 6 8" xfId="19635" xr:uid="{00000000-0005-0000-0000-0000B74C0000}"/>
    <cellStyle name="Normal 2 3 6 9" xfId="4558" xr:uid="{00000000-0005-0000-0000-0000D2110000}"/>
    <cellStyle name="Normal 2 3 7" xfId="1087" xr:uid="{00000000-0005-0000-0000-000043040000}"/>
    <cellStyle name="Normal 2 3 7 2" xfId="2232" xr:uid="{00000000-0005-0000-0000-0000BC080000}"/>
    <cellStyle name="Normal 2 3 7 2 2" xfId="3121" xr:uid="{00000000-0005-0000-0000-0000350C0000}"/>
    <cellStyle name="Normal 2 3 7 2 2 2" xfId="4179" xr:uid="{00000000-0005-0000-0000-000057100000}"/>
    <cellStyle name="Normal 2 3 7 2 2 2 2" xfId="18528" xr:uid="{00000000-0005-0000-0000-000064480000}"/>
    <cellStyle name="Normal 2 3 7 2 2 2 2 2" xfId="25040" xr:uid="{00000000-0005-0000-0000-0000D4610000}"/>
    <cellStyle name="Normal 2 3 7 2 2 2 3" xfId="22205" xr:uid="{00000000-0005-0000-0000-0000C1560000}"/>
    <cellStyle name="Normal 2 3 7 2 2 2 4" xfId="10300" xr:uid="{00000000-0005-0000-0000-000040280000}"/>
    <cellStyle name="Normal 2 3 7 2 2 3" xfId="17118" xr:uid="{00000000-0005-0000-0000-0000E2420000}"/>
    <cellStyle name="Normal 2 3 7 2 2 3 2" xfId="23775" xr:uid="{00000000-0005-0000-0000-0000E35C0000}"/>
    <cellStyle name="Normal 2 3 7 2 2 4" xfId="20643" xr:uid="{00000000-0005-0000-0000-0000A7500000}"/>
    <cellStyle name="Normal 2 3 7 2 2 5" xfId="8438" xr:uid="{00000000-0005-0000-0000-0000FA200000}"/>
    <cellStyle name="Normal 2 3 7 2 3" xfId="3347" xr:uid="{00000000-0005-0000-0000-0000170D0000}"/>
    <cellStyle name="Normal 2 3 7 2 3 2" xfId="4389" xr:uid="{00000000-0005-0000-0000-000029110000}"/>
    <cellStyle name="Normal 2 3 7 2 3 2 2" xfId="18779" xr:uid="{00000000-0005-0000-0000-00005F490000}"/>
    <cellStyle name="Normal 2 3 7 2 3 2 2 2" xfId="25291" xr:uid="{00000000-0005-0000-0000-0000CF620000}"/>
    <cellStyle name="Normal 2 3 7 2 3 2 3" xfId="22456" xr:uid="{00000000-0005-0000-0000-0000BC570000}"/>
    <cellStyle name="Normal 2 3 7 2 3 2 4" xfId="10551" xr:uid="{00000000-0005-0000-0000-00003B290000}"/>
    <cellStyle name="Normal 2 3 7 2 3 3" xfId="17459" xr:uid="{00000000-0005-0000-0000-000037440000}"/>
    <cellStyle name="Normal 2 3 7 2 3 3 2" xfId="24035" xr:uid="{00000000-0005-0000-0000-0000E75D0000}"/>
    <cellStyle name="Normal 2 3 7 2 3 4" xfId="21200" xr:uid="{00000000-0005-0000-0000-0000D4520000}"/>
    <cellStyle name="Normal 2 3 7 2 3 5" xfId="9211" xr:uid="{00000000-0005-0000-0000-0000FF230000}"/>
    <cellStyle name="Normal 2 3 7 2 4" xfId="3969" xr:uid="{00000000-0005-0000-0000-0000850F0000}"/>
    <cellStyle name="Normal 2 3 7 2 4 2" xfId="18110" xr:uid="{00000000-0005-0000-0000-0000C2460000}"/>
    <cellStyle name="Normal 2 3 7 2 4 2 2" xfId="24622" xr:uid="{00000000-0005-0000-0000-000032600000}"/>
    <cellStyle name="Normal 2 3 7 2 4 3" xfId="21787" xr:uid="{00000000-0005-0000-0000-00001F550000}"/>
    <cellStyle name="Normal 2 3 7 2 4 4" xfId="9882" xr:uid="{00000000-0005-0000-0000-00009E260000}"/>
    <cellStyle name="Normal 2 3 7 2 5" xfId="10981" xr:uid="{00000000-0005-0000-0000-0000E92A0000}"/>
    <cellStyle name="Normal 2 3 7 2 5 2" xfId="22875" xr:uid="{00000000-0005-0000-0000-00005F590000}"/>
    <cellStyle name="Normal 2 3 7 2 6" xfId="20225" xr:uid="{00000000-0005-0000-0000-0000054F0000}"/>
    <cellStyle name="Normal 2 3 7 2 7" xfId="8019" xr:uid="{00000000-0005-0000-0000-0000571F0000}"/>
    <cellStyle name="Normal 2 3 7 3" xfId="3000" xr:uid="{00000000-0005-0000-0000-0000BC0B0000}"/>
    <cellStyle name="Normal 2 3 7 3 2" xfId="4074" xr:uid="{00000000-0005-0000-0000-0000EE0F0000}"/>
    <cellStyle name="Normal 2 3 7 3 2 2" xfId="10550" xr:uid="{00000000-0005-0000-0000-00003A290000}"/>
    <cellStyle name="Normal 2 3 7 3 2 2 2" xfId="18778" xr:uid="{00000000-0005-0000-0000-00005E490000}"/>
    <cellStyle name="Normal 2 3 7 3 2 2 2 2" xfId="25290" xr:uid="{00000000-0005-0000-0000-0000CE620000}"/>
    <cellStyle name="Normal 2 3 7 3 2 2 3" xfId="22455" xr:uid="{00000000-0005-0000-0000-0000BB570000}"/>
    <cellStyle name="Normal 2 3 7 3 2 3" xfId="17458" xr:uid="{00000000-0005-0000-0000-000036440000}"/>
    <cellStyle name="Normal 2 3 7 3 2 3 2" xfId="24034" xr:uid="{00000000-0005-0000-0000-0000E65D0000}"/>
    <cellStyle name="Normal 2 3 7 3 2 4" xfId="21199" xr:uid="{00000000-0005-0000-0000-0000D3520000}"/>
    <cellStyle name="Normal 2 3 7 3 2 5" xfId="9210" xr:uid="{00000000-0005-0000-0000-0000FE230000}"/>
    <cellStyle name="Normal 2 3 7 3 3" xfId="10091" xr:uid="{00000000-0005-0000-0000-00006F270000}"/>
    <cellStyle name="Normal 2 3 7 3 3 2" xfId="18319" xr:uid="{00000000-0005-0000-0000-000093470000}"/>
    <cellStyle name="Normal 2 3 7 3 3 2 2" xfId="24831" xr:uid="{00000000-0005-0000-0000-000003610000}"/>
    <cellStyle name="Normal 2 3 7 3 3 3" xfId="21996" xr:uid="{00000000-0005-0000-0000-0000F0550000}"/>
    <cellStyle name="Normal 2 3 7 3 4" xfId="16910" xr:uid="{00000000-0005-0000-0000-000012420000}"/>
    <cellStyle name="Normal 2 3 7 3 4 2" xfId="23567" xr:uid="{00000000-0005-0000-0000-0000135C0000}"/>
    <cellStyle name="Normal 2 3 7 3 5" xfId="20434" xr:uid="{00000000-0005-0000-0000-0000D64F0000}"/>
    <cellStyle name="Normal 2 3 7 3 6" xfId="8229" xr:uid="{00000000-0005-0000-0000-000029200000}"/>
    <cellStyle name="Normal 2 3 7 4" xfId="3226" xr:uid="{00000000-0005-0000-0000-00009E0C0000}"/>
    <cellStyle name="Normal 2 3 7 4 2" xfId="4284" xr:uid="{00000000-0005-0000-0000-0000C0100000}"/>
    <cellStyle name="Normal 2 3 7 4 3" xfId="8751" xr:uid="{00000000-0005-0000-0000-000033220000}"/>
    <cellStyle name="Normal 2 3 7 5" xfId="3677" xr:uid="{00000000-0005-0000-0000-0000610E0000}"/>
    <cellStyle name="Normal 2 3 7 5 2" xfId="17901" xr:uid="{00000000-0005-0000-0000-0000F1450000}"/>
    <cellStyle name="Normal 2 3 7 5 2 2" xfId="24413" xr:uid="{00000000-0005-0000-0000-0000615F0000}"/>
    <cellStyle name="Normal 2 3 7 5 3" xfId="21578" xr:uid="{00000000-0005-0000-0000-00004E540000}"/>
    <cellStyle name="Normal 2 3 7 5 4" xfId="9673" xr:uid="{00000000-0005-0000-0000-0000CD250000}"/>
    <cellStyle name="Normal 2 3 7 6" xfId="10980" xr:uid="{00000000-0005-0000-0000-0000E82A0000}"/>
    <cellStyle name="Normal 2 3 7 6 2" xfId="22874" xr:uid="{00000000-0005-0000-0000-00005E590000}"/>
    <cellStyle name="Normal 2 3 7 7" xfId="20016" xr:uid="{00000000-0005-0000-0000-0000344E0000}"/>
    <cellStyle name="Normal 2 3 7 8" xfId="7777" xr:uid="{00000000-0005-0000-0000-0000651E0000}"/>
    <cellStyle name="Normal 2 3 8" xfId="1088" xr:uid="{00000000-0005-0000-0000-000044040000}"/>
    <cellStyle name="Normal 2 3 8 2" xfId="2233" xr:uid="{00000000-0005-0000-0000-0000BD080000}"/>
    <cellStyle name="Normal 2 3 8 2 2" xfId="3122" xr:uid="{00000000-0005-0000-0000-0000360C0000}"/>
    <cellStyle name="Normal 2 3 8 2 2 2" xfId="4180" xr:uid="{00000000-0005-0000-0000-000058100000}"/>
    <cellStyle name="Normal 2 3 8 2 2 2 2" xfId="18529" xr:uid="{00000000-0005-0000-0000-000065480000}"/>
    <cellStyle name="Normal 2 3 8 2 2 2 2 2" xfId="25041" xr:uid="{00000000-0005-0000-0000-0000D5610000}"/>
    <cellStyle name="Normal 2 3 8 2 2 2 3" xfId="22206" xr:uid="{00000000-0005-0000-0000-0000C2560000}"/>
    <cellStyle name="Normal 2 3 8 2 2 2 4" xfId="10301" xr:uid="{00000000-0005-0000-0000-000041280000}"/>
    <cellStyle name="Normal 2 3 8 2 2 3" xfId="17119" xr:uid="{00000000-0005-0000-0000-0000E3420000}"/>
    <cellStyle name="Normal 2 3 8 2 2 3 2" xfId="23776" xr:uid="{00000000-0005-0000-0000-0000E45C0000}"/>
    <cellStyle name="Normal 2 3 8 2 2 4" xfId="20644" xr:uid="{00000000-0005-0000-0000-0000A8500000}"/>
    <cellStyle name="Normal 2 3 8 2 2 5" xfId="8439" xr:uid="{00000000-0005-0000-0000-0000FB200000}"/>
    <cellStyle name="Normal 2 3 8 2 3" xfId="3348" xr:uid="{00000000-0005-0000-0000-0000180D0000}"/>
    <cellStyle name="Normal 2 3 8 2 3 2" xfId="4390" xr:uid="{00000000-0005-0000-0000-00002A110000}"/>
    <cellStyle name="Normal 2 3 8 2 3 2 2" xfId="18781" xr:uid="{00000000-0005-0000-0000-000061490000}"/>
    <cellStyle name="Normal 2 3 8 2 3 2 2 2" xfId="25293" xr:uid="{00000000-0005-0000-0000-0000D1620000}"/>
    <cellStyle name="Normal 2 3 8 2 3 2 3" xfId="22458" xr:uid="{00000000-0005-0000-0000-0000BE570000}"/>
    <cellStyle name="Normal 2 3 8 2 3 2 4" xfId="10553" xr:uid="{00000000-0005-0000-0000-00003D290000}"/>
    <cellStyle name="Normal 2 3 8 2 3 3" xfId="17461" xr:uid="{00000000-0005-0000-0000-000039440000}"/>
    <cellStyle name="Normal 2 3 8 2 3 3 2" xfId="24037" xr:uid="{00000000-0005-0000-0000-0000E95D0000}"/>
    <cellStyle name="Normal 2 3 8 2 3 4" xfId="21202" xr:uid="{00000000-0005-0000-0000-0000D6520000}"/>
    <cellStyle name="Normal 2 3 8 2 3 5" xfId="9213" xr:uid="{00000000-0005-0000-0000-000001240000}"/>
    <cellStyle name="Normal 2 3 8 2 4" xfId="3970" xr:uid="{00000000-0005-0000-0000-0000860F0000}"/>
    <cellStyle name="Normal 2 3 8 2 4 2" xfId="18111" xr:uid="{00000000-0005-0000-0000-0000C3460000}"/>
    <cellStyle name="Normal 2 3 8 2 4 2 2" xfId="24623" xr:uid="{00000000-0005-0000-0000-000033600000}"/>
    <cellStyle name="Normal 2 3 8 2 4 3" xfId="21788" xr:uid="{00000000-0005-0000-0000-000020550000}"/>
    <cellStyle name="Normal 2 3 8 2 4 4" xfId="9883" xr:uid="{00000000-0005-0000-0000-00009F260000}"/>
    <cellStyle name="Normal 2 3 8 2 5" xfId="10983" xr:uid="{00000000-0005-0000-0000-0000EB2A0000}"/>
    <cellStyle name="Normal 2 3 8 2 5 2" xfId="22877" xr:uid="{00000000-0005-0000-0000-000061590000}"/>
    <cellStyle name="Normal 2 3 8 2 6" xfId="20226" xr:uid="{00000000-0005-0000-0000-0000064F0000}"/>
    <cellStyle name="Normal 2 3 8 2 7" xfId="8020" xr:uid="{00000000-0005-0000-0000-0000581F0000}"/>
    <cellStyle name="Normal 2 3 8 3" xfId="3001" xr:uid="{00000000-0005-0000-0000-0000BD0B0000}"/>
    <cellStyle name="Normal 2 3 8 3 2" xfId="4075" xr:uid="{00000000-0005-0000-0000-0000EF0F0000}"/>
    <cellStyle name="Normal 2 3 8 3 2 2" xfId="10552" xr:uid="{00000000-0005-0000-0000-00003C290000}"/>
    <cellStyle name="Normal 2 3 8 3 2 2 2" xfId="18780" xr:uid="{00000000-0005-0000-0000-000060490000}"/>
    <cellStyle name="Normal 2 3 8 3 2 2 2 2" xfId="25292" xr:uid="{00000000-0005-0000-0000-0000D0620000}"/>
    <cellStyle name="Normal 2 3 8 3 2 2 3" xfId="22457" xr:uid="{00000000-0005-0000-0000-0000BD570000}"/>
    <cellStyle name="Normal 2 3 8 3 2 3" xfId="17460" xr:uid="{00000000-0005-0000-0000-000038440000}"/>
    <cellStyle name="Normal 2 3 8 3 2 3 2" xfId="24036" xr:uid="{00000000-0005-0000-0000-0000E85D0000}"/>
    <cellStyle name="Normal 2 3 8 3 2 4" xfId="21201" xr:uid="{00000000-0005-0000-0000-0000D5520000}"/>
    <cellStyle name="Normal 2 3 8 3 2 5" xfId="9212" xr:uid="{00000000-0005-0000-0000-000000240000}"/>
    <cellStyle name="Normal 2 3 8 3 3" xfId="10092" xr:uid="{00000000-0005-0000-0000-000070270000}"/>
    <cellStyle name="Normal 2 3 8 3 3 2" xfId="18320" xr:uid="{00000000-0005-0000-0000-000094470000}"/>
    <cellStyle name="Normal 2 3 8 3 3 2 2" xfId="24832" xr:uid="{00000000-0005-0000-0000-000004610000}"/>
    <cellStyle name="Normal 2 3 8 3 3 3" xfId="21997" xr:uid="{00000000-0005-0000-0000-0000F1550000}"/>
    <cellStyle name="Normal 2 3 8 3 4" xfId="16911" xr:uid="{00000000-0005-0000-0000-000013420000}"/>
    <cellStyle name="Normal 2 3 8 3 4 2" xfId="23568" xr:uid="{00000000-0005-0000-0000-0000145C0000}"/>
    <cellStyle name="Normal 2 3 8 3 5" xfId="20435" xr:uid="{00000000-0005-0000-0000-0000D74F0000}"/>
    <cellStyle name="Normal 2 3 8 3 6" xfId="8230" xr:uid="{00000000-0005-0000-0000-00002A200000}"/>
    <cellStyle name="Normal 2 3 8 4" xfId="3227" xr:uid="{00000000-0005-0000-0000-00009F0C0000}"/>
    <cellStyle name="Normal 2 3 8 4 2" xfId="4285" xr:uid="{00000000-0005-0000-0000-0000C1100000}"/>
    <cellStyle name="Normal 2 3 8 4 3" xfId="8752" xr:uid="{00000000-0005-0000-0000-000034220000}"/>
    <cellStyle name="Normal 2 3 8 5" xfId="3678" xr:uid="{00000000-0005-0000-0000-0000620E0000}"/>
    <cellStyle name="Normal 2 3 8 5 2" xfId="17902" xr:uid="{00000000-0005-0000-0000-0000F2450000}"/>
    <cellStyle name="Normal 2 3 8 5 2 2" xfId="24414" xr:uid="{00000000-0005-0000-0000-0000625F0000}"/>
    <cellStyle name="Normal 2 3 8 5 3" xfId="21579" xr:uid="{00000000-0005-0000-0000-00004F540000}"/>
    <cellStyle name="Normal 2 3 8 5 4" xfId="9674" xr:uid="{00000000-0005-0000-0000-0000CE250000}"/>
    <cellStyle name="Normal 2 3 8 6" xfId="10982" xr:uid="{00000000-0005-0000-0000-0000EA2A0000}"/>
    <cellStyle name="Normal 2 3 8 6 2" xfId="22876" xr:uid="{00000000-0005-0000-0000-000060590000}"/>
    <cellStyle name="Normal 2 3 8 7" xfId="20017" xr:uid="{00000000-0005-0000-0000-0000354E0000}"/>
    <cellStyle name="Normal 2 3 8 8" xfId="7778" xr:uid="{00000000-0005-0000-0000-0000661E0000}"/>
    <cellStyle name="Normal 2 3 9" xfId="1089" xr:uid="{00000000-0005-0000-0000-000045040000}"/>
    <cellStyle name="Normal 2 3 9 2" xfId="2234" xr:uid="{00000000-0005-0000-0000-0000BE080000}"/>
    <cellStyle name="Normal 2 3 9 2 2" xfId="3123" xr:uid="{00000000-0005-0000-0000-0000370C0000}"/>
    <cellStyle name="Normal 2 3 9 2 2 2" xfId="4181" xr:uid="{00000000-0005-0000-0000-000059100000}"/>
    <cellStyle name="Normal 2 3 9 2 2 2 2" xfId="18530" xr:uid="{00000000-0005-0000-0000-000066480000}"/>
    <cellStyle name="Normal 2 3 9 2 2 2 2 2" xfId="25042" xr:uid="{00000000-0005-0000-0000-0000D6610000}"/>
    <cellStyle name="Normal 2 3 9 2 2 2 3" xfId="22207" xr:uid="{00000000-0005-0000-0000-0000C3560000}"/>
    <cellStyle name="Normal 2 3 9 2 2 2 4" xfId="10302" xr:uid="{00000000-0005-0000-0000-000042280000}"/>
    <cellStyle name="Normal 2 3 9 2 2 3" xfId="17120" xr:uid="{00000000-0005-0000-0000-0000E4420000}"/>
    <cellStyle name="Normal 2 3 9 2 2 3 2" xfId="23777" xr:uid="{00000000-0005-0000-0000-0000E55C0000}"/>
    <cellStyle name="Normal 2 3 9 2 2 4" xfId="20645" xr:uid="{00000000-0005-0000-0000-0000A9500000}"/>
    <cellStyle name="Normal 2 3 9 2 2 5" xfId="8440" xr:uid="{00000000-0005-0000-0000-0000FC200000}"/>
    <cellStyle name="Normal 2 3 9 2 3" xfId="3349" xr:uid="{00000000-0005-0000-0000-0000190D0000}"/>
    <cellStyle name="Normal 2 3 9 2 3 2" xfId="4391" xr:uid="{00000000-0005-0000-0000-00002B110000}"/>
    <cellStyle name="Normal 2 3 9 2 3 2 2" xfId="18783" xr:uid="{00000000-0005-0000-0000-000063490000}"/>
    <cellStyle name="Normal 2 3 9 2 3 2 2 2" xfId="25295" xr:uid="{00000000-0005-0000-0000-0000D3620000}"/>
    <cellStyle name="Normal 2 3 9 2 3 2 3" xfId="22460" xr:uid="{00000000-0005-0000-0000-0000C0570000}"/>
    <cellStyle name="Normal 2 3 9 2 3 2 4" xfId="10555" xr:uid="{00000000-0005-0000-0000-00003F290000}"/>
    <cellStyle name="Normal 2 3 9 2 3 3" xfId="17463" xr:uid="{00000000-0005-0000-0000-00003B440000}"/>
    <cellStyle name="Normal 2 3 9 2 3 3 2" xfId="24039" xr:uid="{00000000-0005-0000-0000-0000EB5D0000}"/>
    <cellStyle name="Normal 2 3 9 2 3 4" xfId="21204" xr:uid="{00000000-0005-0000-0000-0000D8520000}"/>
    <cellStyle name="Normal 2 3 9 2 3 5" xfId="9215" xr:uid="{00000000-0005-0000-0000-000003240000}"/>
    <cellStyle name="Normal 2 3 9 2 4" xfId="3971" xr:uid="{00000000-0005-0000-0000-0000870F0000}"/>
    <cellStyle name="Normal 2 3 9 2 4 2" xfId="18112" xr:uid="{00000000-0005-0000-0000-0000C4460000}"/>
    <cellStyle name="Normal 2 3 9 2 4 2 2" xfId="24624" xr:uid="{00000000-0005-0000-0000-000034600000}"/>
    <cellStyle name="Normal 2 3 9 2 4 3" xfId="21789" xr:uid="{00000000-0005-0000-0000-000021550000}"/>
    <cellStyle name="Normal 2 3 9 2 4 4" xfId="9884" xr:uid="{00000000-0005-0000-0000-0000A0260000}"/>
    <cellStyle name="Normal 2 3 9 2 5" xfId="10985" xr:uid="{00000000-0005-0000-0000-0000ED2A0000}"/>
    <cellStyle name="Normal 2 3 9 2 5 2" xfId="22879" xr:uid="{00000000-0005-0000-0000-000063590000}"/>
    <cellStyle name="Normal 2 3 9 2 6" xfId="20227" xr:uid="{00000000-0005-0000-0000-0000074F0000}"/>
    <cellStyle name="Normal 2 3 9 2 7" xfId="8021" xr:uid="{00000000-0005-0000-0000-0000591F0000}"/>
    <cellStyle name="Normal 2 3 9 3" xfId="3002" xr:uid="{00000000-0005-0000-0000-0000BE0B0000}"/>
    <cellStyle name="Normal 2 3 9 3 2" xfId="4076" xr:uid="{00000000-0005-0000-0000-0000F00F0000}"/>
    <cellStyle name="Normal 2 3 9 3 2 2" xfId="10554" xr:uid="{00000000-0005-0000-0000-00003E290000}"/>
    <cellStyle name="Normal 2 3 9 3 2 2 2" xfId="18782" xr:uid="{00000000-0005-0000-0000-000062490000}"/>
    <cellStyle name="Normal 2 3 9 3 2 2 2 2" xfId="25294" xr:uid="{00000000-0005-0000-0000-0000D2620000}"/>
    <cellStyle name="Normal 2 3 9 3 2 2 3" xfId="22459" xr:uid="{00000000-0005-0000-0000-0000BF570000}"/>
    <cellStyle name="Normal 2 3 9 3 2 3" xfId="17462" xr:uid="{00000000-0005-0000-0000-00003A440000}"/>
    <cellStyle name="Normal 2 3 9 3 2 3 2" xfId="24038" xr:uid="{00000000-0005-0000-0000-0000EA5D0000}"/>
    <cellStyle name="Normal 2 3 9 3 2 4" xfId="21203" xr:uid="{00000000-0005-0000-0000-0000D7520000}"/>
    <cellStyle name="Normal 2 3 9 3 2 5" xfId="9214" xr:uid="{00000000-0005-0000-0000-000002240000}"/>
    <cellStyle name="Normal 2 3 9 3 3" xfId="10093" xr:uid="{00000000-0005-0000-0000-000071270000}"/>
    <cellStyle name="Normal 2 3 9 3 3 2" xfId="18321" xr:uid="{00000000-0005-0000-0000-000095470000}"/>
    <cellStyle name="Normal 2 3 9 3 3 2 2" xfId="24833" xr:uid="{00000000-0005-0000-0000-000005610000}"/>
    <cellStyle name="Normal 2 3 9 3 3 3" xfId="21998" xr:uid="{00000000-0005-0000-0000-0000F2550000}"/>
    <cellStyle name="Normal 2 3 9 3 4" xfId="16912" xr:uid="{00000000-0005-0000-0000-000014420000}"/>
    <cellStyle name="Normal 2 3 9 3 4 2" xfId="23569" xr:uid="{00000000-0005-0000-0000-0000155C0000}"/>
    <cellStyle name="Normal 2 3 9 3 5" xfId="20436" xr:uid="{00000000-0005-0000-0000-0000D84F0000}"/>
    <cellStyle name="Normal 2 3 9 3 6" xfId="8231" xr:uid="{00000000-0005-0000-0000-00002B200000}"/>
    <cellStyle name="Normal 2 3 9 4" xfId="3228" xr:uid="{00000000-0005-0000-0000-0000A00C0000}"/>
    <cellStyle name="Normal 2 3 9 4 2" xfId="4286" xr:uid="{00000000-0005-0000-0000-0000C2100000}"/>
    <cellStyle name="Normal 2 3 9 4 3" xfId="8753" xr:uid="{00000000-0005-0000-0000-000035220000}"/>
    <cellStyle name="Normal 2 3 9 5" xfId="3679" xr:uid="{00000000-0005-0000-0000-0000630E0000}"/>
    <cellStyle name="Normal 2 3 9 5 2" xfId="17903" xr:uid="{00000000-0005-0000-0000-0000F3450000}"/>
    <cellStyle name="Normal 2 3 9 5 2 2" xfId="24415" xr:uid="{00000000-0005-0000-0000-0000635F0000}"/>
    <cellStyle name="Normal 2 3 9 5 3" xfId="21580" xr:uid="{00000000-0005-0000-0000-000050540000}"/>
    <cellStyle name="Normal 2 3 9 5 4" xfId="9675" xr:uid="{00000000-0005-0000-0000-0000CF250000}"/>
    <cellStyle name="Normal 2 3 9 6" xfId="10984" xr:uid="{00000000-0005-0000-0000-0000EC2A0000}"/>
    <cellStyle name="Normal 2 3 9 6 2" xfId="22878" xr:uid="{00000000-0005-0000-0000-000062590000}"/>
    <cellStyle name="Normal 2 3 9 7" xfId="20018" xr:uid="{00000000-0005-0000-0000-0000364E0000}"/>
    <cellStyle name="Normal 2 3 9 8" xfId="7779" xr:uid="{00000000-0005-0000-0000-0000671E0000}"/>
    <cellStyle name="Normal 2 30" xfId="6282" xr:uid="{00000000-0005-0000-0000-00008E180000}"/>
    <cellStyle name="Normal 2 31" xfId="6283" xr:uid="{00000000-0005-0000-0000-00008F180000}"/>
    <cellStyle name="Normal 2 32" xfId="6284" xr:uid="{00000000-0005-0000-0000-000090180000}"/>
    <cellStyle name="Normal 2 33" xfId="6285" xr:uid="{00000000-0005-0000-0000-000091180000}"/>
    <cellStyle name="Normal 2 34" xfId="6286" xr:uid="{00000000-0005-0000-0000-000092180000}"/>
    <cellStyle name="Normal 2 35" xfId="6287" xr:uid="{00000000-0005-0000-0000-000093180000}"/>
    <cellStyle name="Normal 2 36" xfId="6288" xr:uid="{00000000-0005-0000-0000-000094180000}"/>
    <cellStyle name="Normal 2 37" xfId="6289" xr:uid="{00000000-0005-0000-0000-000095180000}"/>
    <cellStyle name="Normal 2 38" xfId="6290" xr:uid="{00000000-0005-0000-0000-000096180000}"/>
    <cellStyle name="Normal 2 39" xfId="6291" xr:uid="{00000000-0005-0000-0000-000097180000}"/>
    <cellStyle name="Normal 2 4" xfId="119" xr:uid="{00000000-0005-0000-0000-00007B000000}"/>
    <cellStyle name="Normal 2 4 10" xfId="1091" xr:uid="{00000000-0005-0000-0000-000047040000}"/>
    <cellStyle name="Normal 2 4 10 2" xfId="2236" xr:uid="{00000000-0005-0000-0000-0000C0080000}"/>
    <cellStyle name="Normal 2 4 10 2 2" xfId="3124" xr:uid="{00000000-0005-0000-0000-0000380C0000}"/>
    <cellStyle name="Normal 2 4 10 2 2 2" xfId="4182" xr:uid="{00000000-0005-0000-0000-00005A100000}"/>
    <cellStyle name="Normal 2 4 10 2 2 2 2" xfId="18531" xr:uid="{00000000-0005-0000-0000-000067480000}"/>
    <cellStyle name="Normal 2 4 10 2 2 2 2 2" xfId="25043" xr:uid="{00000000-0005-0000-0000-0000D7610000}"/>
    <cellStyle name="Normal 2 4 10 2 2 2 3" xfId="22208" xr:uid="{00000000-0005-0000-0000-0000C4560000}"/>
    <cellStyle name="Normal 2 4 10 2 2 2 4" xfId="10303" xr:uid="{00000000-0005-0000-0000-000043280000}"/>
    <cellStyle name="Normal 2 4 10 2 2 3" xfId="17121" xr:uid="{00000000-0005-0000-0000-0000E5420000}"/>
    <cellStyle name="Normal 2 4 10 2 2 3 2" xfId="23778" xr:uid="{00000000-0005-0000-0000-0000E65C0000}"/>
    <cellStyle name="Normal 2 4 10 2 2 4" xfId="20646" xr:uid="{00000000-0005-0000-0000-0000AA500000}"/>
    <cellStyle name="Normal 2 4 10 2 2 5" xfId="8441" xr:uid="{00000000-0005-0000-0000-0000FD200000}"/>
    <cellStyle name="Normal 2 4 10 2 3" xfId="3350" xr:uid="{00000000-0005-0000-0000-00001A0D0000}"/>
    <cellStyle name="Normal 2 4 10 2 3 2" xfId="4392" xr:uid="{00000000-0005-0000-0000-00002C110000}"/>
    <cellStyle name="Normal 2 4 10 2 3 2 2" xfId="18785" xr:uid="{00000000-0005-0000-0000-000065490000}"/>
    <cellStyle name="Normal 2 4 10 2 3 2 2 2" xfId="25297" xr:uid="{00000000-0005-0000-0000-0000D5620000}"/>
    <cellStyle name="Normal 2 4 10 2 3 2 3" xfId="22462" xr:uid="{00000000-0005-0000-0000-0000C2570000}"/>
    <cellStyle name="Normal 2 4 10 2 3 2 4" xfId="10557" xr:uid="{00000000-0005-0000-0000-000041290000}"/>
    <cellStyle name="Normal 2 4 10 2 3 3" xfId="17465" xr:uid="{00000000-0005-0000-0000-00003D440000}"/>
    <cellStyle name="Normal 2 4 10 2 3 3 2" xfId="24041" xr:uid="{00000000-0005-0000-0000-0000ED5D0000}"/>
    <cellStyle name="Normal 2 4 10 2 3 4" xfId="21206" xr:uid="{00000000-0005-0000-0000-0000DA520000}"/>
    <cellStyle name="Normal 2 4 10 2 3 5" xfId="9217" xr:uid="{00000000-0005-0000-0000-000005240000}"/>
    <cellStyle name="Normal 2 4 10 2 4" xfId="3972" xr:uid="{00000000-0005-0000-0000-0000880F0000}"/>
    <cellStyle name="Normal 2 4 10 2 4 2" xfId="18113" xr:uid="{00000000-0005-0000-0000-0000C5460000}"/>
    <cellStyle name="Normal 2 4 10 2 4 2 2" xfId="24625" xr:uid="{00000000-0005-0000-0000-000035600000}"/>
    <cellStyle name="Normal 2 4 10 2 4 3" xfId="21790" xr:uid="{00000000-0005-0000-0000-000022550000}"/>
    <cellStyle name="Normal 2 4 10 2 4 4" xfId="9885" xr:uid="{00000000-0005-0000-0000-0000A1260000}"/>
    <cellStyle name="Normal 2 4 10 2 5" xfId="10987" xr:uid="{00000000-0005-0000-0000-0000EF2A0000}"/>
    <cellStyle name="Normal 2 4 10 2 5 2" xfId="22881" xr:uid="{00000000-0005-0000-0000-000065590000}"/>
    <cellStyle name="Normal 2 4 10 2 6" xfId="20228" xr:uid="{00000000-0005-0000-0000-0000084F0000}"/>
    <cellStyle name="Normal 2 4 10 2 7" xfId="8022" xr:uid="{00000000-0005-0000-0000-00005A1F0000}"/>
    <cellStyle name="Normal 2 4 10 3" xfId="3003" xr:uid="{00000000-0005-0000-0000-0000BF0B0000}"/>
    <cellStyle name="Normal 2 4 10 3 2" xfId="4077" xr:uid="{00000000-0005-0000-0000-0000F10F0000}"/>
    <cellStyle name="Normal 2 4 10 3 2 2" xfId="10556" xr:uid="{00000000-0005-0000-0000-000040290000}"/>
    <cellStyle name="Normal 2 4 10 3 2 2 2" xfId="18784" xr:uid="{00000000-0005-0000-0000-000064490000}"/>
    <cellStyle name="Normal 2 4 10 3 2 2 2 2" xfId="25296" xr:uid="{00000000-0005-0000-0000-0000D4620000}"/>
    <cellStyle name="Normal 2 4 10 3 2 2 3" xfId="22461" xr:uid="{00000000-0005-0000-0000-0000C1570000}"/>
    <cellStyle name="Normal 2 4 10 3 2 3" xfId="17464" xr:uid="{00000000-0005-0000-0000-00003C440000}"/>
    <cellStyle name="Normal 2 4 10 3 2 3 2" xfId="24040" xr:uid="{00000000-0005-0000-0000-0000EC5D0000}"/>
    <cellStyle name="Normal 2 4 10 3 2 4" xfId="21205" xr:uid="{00000000-0005-0000-0000-0000D9520000}"/>
    <cellStyle name="Normal 2 4 10 3 2 5" xfId="9216" xr:uid="{00000000-0005-0000-0000-000004240000}"/>
    <cellStyle name="Normal 2 4 10 3 3" xfId="10094" xr:uid="{00000000-0005-0000-0000-000072270000}"/>
    <cellStyle name="Normal 2 4 10 3 3 2" xfId="18322" xr:uid="{00000000-0005-0000-0000-000096470000}"/>
    <cellStyle name="Normal 2 4 10 3 3 2 2" xfId="24834" xr:uid="{00000000-0005-0000-0000-000006610000}"/>
    <cellStyle name="Normal 2 4 10 3 3 3" xfId="21999" xr:uid="{00000000-0005-0000-0000-0000F3550000}"/>
    <cellStyle name="Normal 2 4 10 3 4" xfId="16913" xr:uid="{00000000-0005-0000-0000-000015420000}"/>
    <cellStyle name="Normal 2 4 10 3 4 2" xfId="23570" xr:uid="{00000000-0005-0000-0000-0000165C0000}"/>
    <cellStyle name="Normal 2 4 10 3 5" xfId="20437" xr:uid="{00000000-0005-0000-0000-0000D94F0000}"/>
    <cellStyle name="Normal 2 4 10 3 6" xfId="8232" xr:uid="{00000000-0005-0000-0000-00002C200000}"/>
    <cellStyle name="Normal 2 4 10 4" xfId="3229" xr:uid="{00000000-0005-0000-0000-0000A10C0000}"/>
    <cellStyle name="Normal 2 4 10 4 2" xfId="4287" xr:uid="{00000000-0005-0000-0000-0000C3100000}"/>
    <cellStyle name="Normal 2 4 10 4 3" xfId="8754" xr:uid="{00000000-0005-0000-0000-000036220000}"/>
    <cellStyle name="Normal 2 4 10 5" xfId="3680" xr:uid="{00000000-0005-0000-0000-0000640E0000}"/>
    <cellStyle name="Normal 2 4 10 5 2" xfId="17904" xr:uid="{00000000-0005-0000-0000-0000F4450000}"/>
    <cellStyle name="Normal 2 4 10 5 2 2" xfId="24416" xr:uid="{00000000-0005-0000-0000-0000645F0000}"/>
    <cellStyle name="Normal 2 4 10 5 3" xfId="21581" xr:uid="{00000000-0005-0000-0000-000051540000}"/>
    <cellStyle name="Normal 2 4 10 5 4" xfId="9676" xr:uid="{00000000-0005-0000-0000-0000D0250000}"/>
    <cellStyle name="Normal 2 4 10 6" xfId="10986" xr:uid="{00000000-0005-0000-0000-0000EE2A0000}"/>
    <cellStyle name="Normal 2 4 10 6 2" xfId="22880" xr:uid="{00000000-0005-0000-0000-000064590000}"/>
    <cellStyle name="Normal 2 4 10 7" xfId="20019" xr:uid="{00000000-0005-0000-0000-0000374E0000}"/>
    <cellStyle name="Normal 2 4 10 8" xfId="7780" xr:uid="{00000000-0005-0000-0000-0000681E0000}"/>
    <cellStyle name="Normal 2 4 11" xfId="1092" xr:uid="{00000000-0005-0000-0000-000048040000}"/>
    <cellStyle name="Normal 2 4 11 2" xfId="2237" xr:uid="{00000000-0005-0000-0000-0000C1080000}"/>
    <cellStyle name="Normal 2 4 11 2 2" xfId="3125" xr:uid="{00000000-0005-0000-0000-0000390C0000}"/>
    <cellStyle name="Normal 2 4 11 2 2 2" xfId="4183" xr:uid="{00000000-0005-0000-0000-00005B100000}"/>
    <cellStyle name="Normal 2 4 11 2 2 2 2" xfId="18532" xr:uid="{00000000-0005-0000-0000-000068480000}"/>
    <cellStyle name="Normal 2 4 11 2 2 2 2 2" xfId="25044" xr:uid="{00000000-0005-0000-0000-0000D8610000}"/>
    <cellStyle name="Normal 2 4 11 2 2 2 3" xfId="22209" xr:uid="{00000000-0005-0000-0000-0000C5560000}"/>
    <cellStyle name="Normal 2 4 11 2 2 2 4" xfId="10304" xr:uid="{00000000-0005-0000-0000-000044280000}"/>
    <cellStyle name="Normal 2 4 11 2 2 3" xfId="17122" xr:uid="{00000000-0005-0000-0000-0000E6420000}"/>
    <cellStyle name="Normal 2 4 11 2 2 3 2" xfId="23779" xr:uid="{00000000-0005-0000-0000-0000E75C0000}"/>
    <cellStyle name="Normal 2 4 11 2 2 4" xfId="20647" xr:uid="{00000000-0005-0000-0000-0000AB500000}"/>
    <cellStyle name="Normal 2 4 11 2 2 5" xfId="8442" xr:uid="{00000000-0005-0000-0000-0000FE200000}"/>
    <cellStyle name="Normal 2 4 11 2 3" xfId="3351" xr:uid="{00000000-0005-0000-0000-00001B0D0000}"/>
    <cellStyle name="Normal 2 4 11 2 3 2" xfId="4393" xr:uid="{00000000-0005-0000-0000-00002D110000}"/>
    <cellStyle name="Normal 2 4 11 2 3 2 2" xfId="18787" xr:uid="{00000000-0005-0000-0000-000067490000}"/>
    <cellStyle name="Normal 2 4 11 2 3 2 2 2" xfId="25299" xr:uid="{00000000-0005-0000-0000-0000D7620000}"/>
    <cellStyle name="Normal 2 4 11 2 3 2 3" xfId="22464" xr:uid="{00000000-0005-0000-0000-0000C4570000}"/>
    <cellStyle name="Normal 2 4 11 2 3 2 4" xfId="10559" xr:uid="{00000000-0005-0000-0000-000043290000}"/>
    <cellStyle name="Normal 2 4 11 2 3 3" xfId="17467" xr:uid="{00000000-0005-0000-0000-00003F440000}"/>
    <cellStyle name="Normal 2 4 11 2 3 3 2" xfId="24043" xr:uid="{00000000-0005-0000-0000-0000EF5D0000}"/>
    <cellStyle name="Normal 2 4 11 2 3 4" xfId="21208" xr:uid="{00000000-0005-0000-0000-0000DC520000}"/>
    <cellStyle name="Normal 2 4 11 2 3 5" xfId="9219" xr:uid="{00000000-0005-0000-0000-000007240000}"/>
    <cellStyle name="Normal 2 4 11 2 4" xfId="3973" xr:uid="{00000000-0005-0000-0000-0000890F0000}"/>
    <cellStyle name="Normal 2 4 11 2 4 2" xfId="18114" xr:uid="{00000000-0005-0000-0000-0000C6460000}"/>
    <cellStyle name="Normal 2 4 11 2 4 2 2" xfId="24626" xr:uid="{00000000-0005-0000-0000-000036600000}"/>
    <cellStyle name="Normal 2 4 11 2 4 3" xfId="21791" xr:uid="{00000000-0005-0000-0000-000023550000}"/>
    <cellStyle name="Normal 2 4 11 2 4 4" xfId="9886" xr:uid="{00000000-0005-0000-0000-0000A2260000}"/>
    <cellStyle name="Normal 2 4 11 2 5" xfId="10989" xr:uid="{00000000-0005-0000-0000-0000F12A0000}"/>
    <cellStyle name="Normal 2 4 11 2 5 2" xfId="22883" xr:uid="{00000000-0005-0000-0000-000067590000}"/>
    <cellStyle name="Normal 2 4 11 2 6" xfId="20229" xr:uid="{00000000-0005-0000-0000-0000094F0000}"/>
    <cellStyle name="Normal 2 4 11 2 7" xfId="8023" xr:uid="{00000000-0005-0000-0000-00005B1F0000}"/>
    <cellStyle name="Normal 2 4 11 3" xfId="3004" xr:uid="{00000000-0005-0000-0000-0000C00B0000}"/>
    <cellStyle name="Normal 2 4 11 3 2" xfId="4078" xr:uid="{00000000-0005-0000-0000-0000F20F0000}"/>
    <cellStyle name="Normal 2 4 11 3 2 2" xfId="10558" xr:uid="{00000000-0005-0000-0000-000042290000}"/>
    <cellStyle name="Normal 2 4 11 3 2 2 2" xfId="18786" xr:uid="{00000000-0005-0000-0000-000066490000}"/>
    <cellStyle name="Normal 2 4 11 3 2 2 2 2" xfId="25298" xr:uid="{00000000-0005-0000-0000-0000D6620000}"/>
    <cellStyle name="Normal 2 4 11 3 2 2 3" xfId="22463" xr:uid="{00000000-0005-0000-0000-0000C3570000}"/>
    <cellStyle name="Normal 2 4 11 3 2 3" xfId="17466" xr:uid="{00000000-0005-0000-0000-00003E440000}"/>
    <cellStyle name="Normal 2 4 11 3 2 3 2" xfId="24042" xr:uid="{00000000-0005-0000-0000-0000EE5D0000}"/>
    <cellStyle name="Normal 2 4 11 3 2 4" xfId="21207" xr:uid="{00000000-0005-0000-0000-0000DB520000}"/>
    <cellStyle name="Normal 2 4 11 3 2 5" xfId="9218" xr:uid="{00000000-0005-0000-0000-000006240000}"/>
    <cellStyle name="Normal 2 4 11 3 3" xfId="10095" xr:uid="{00000000-0005-0000-0000-000073270000}"/>
    <cellStyle name="Normal 2 4 11 3 3 2" xfId="18323" xr:uid="{00000000-0005-0000-0000-000097470000}"/>
    <cellStyle name="Normal 2 4 11 3 3 2 2" xfId="24835" xr:uid="{00000000-0005-0000-0000-000007610000}"/>
    <cellStyle name="Normal 2 4 11 3 3 3" xfId="22000" xr:uid="{00000000-0005-0000-0000-0000F4550000}"/>
    <cellStyle name="Normal 2 4 11 3 4" xfId="16914" xr:uid="{00000000-0005-0000-0000-000016420000}"/>
    <cellStyle name="Normal 2 4 11 3 4 2" xfId="23571" xr:uid="{00000000-0005-0000-0000-0000175C0000}"/>
    <cellStyle name="Normal 2 4 11 3 5" xfId="20438" xr:uid="{00000000-0005-0000-0000-0000DA4F0000}"/>
    <cellStyle name="Normal 2 4 11 3 6" xfId="8233" xr:uid="{00000000-0005-0000-0000-00002D200000}"/>
    <cellStyle name="Normal 2 4 11 4" xfId="3230" xr:uid="{00000000-0005-0000-0000-0000A20C0000}"/>
    <cellStyle name="Normal 2 4 11 4 2" xfId="4288" xr:uid="{00000000-0005-0000-0000-0000C4100000}"/>
    <cellStyle name="Normal 2 4 11 4 3" xfId="8755" xr:uid="{00000000-0005-0000-0000-000037220000}"/>
    <cellStyle name="Normal 2 4 11 5" xfId="3681" xr:uid="{00000000-0005-0000-0000-0000650E0000}"/>
    <cellStyle name="Normal 2 4 11 5 2" xfId="17905" xr:uid="{00000000-0005-0000-0000-0000F5450000}"/>
    <cellStyle name="Normal 2 4 11 5 2 2" xfId="24417" xr:uid="{00000000-0005-0000-0000-0000655F0000}"/>
    <cellStyle name="Normal 2 4 11 5 3" xfId="21582" xr:uid="{00000000-0005-0000-0000-000052540000}"/>
    <cellStyle name="Normal 2 4 11 5 4" xfId="9677" xr:uid="{00000000-0005-0000-0000-0000D1250000}"/>
    <cellStyle name="Normal 2 4 11 6" xfId="10988" xr:uid="{00000000-0005-0000-0000-0000F02A0000}"/>
    <cellStyle name="Normal 2 4 11 6 2" xfId="22882" xr:uid="{00000000-0005-0000-0000-000066590000}"/>
    <cellStyle name="Normal 2 4 11 7" xfId="20020" xr:uid="{00000000-0005-0000-0000-0000384E0000}"/>
    <cellStyle name="Normal 2 4 11 8" xfId="7781" xr:uid="{00000000-0005-0000-0000-0000691E0000}"/>
    <cellStyle name="Normal 2 4 12" xfId="1093" xr:uid="{00000000-0005-0000-0000-000049040000}"/>
    <cellStyle name="Normal 2 4 12 2" xfId="2238" xr:uid="{00000000-0005-0000-0000-0000C2080000}"/>
    <cellStyle name="Normal 2 4 12 2 2" xfId="3126" xr:uid="{00000000-0005-0000-0000-00003A0C0000}"/>
    <cellStyle name="Normal 2 4 12 2 2 2" xfId="4184" xr:uid="{00000000-0005-0000-0000-00005C100000}"/>
    <cellStyle name="Normal 2 4 12 2 2 2 2" xfId="18533" xr:uid="{00000000-0005-0000-0000-000069480000}"/>
    <cellStyle name="Normal 2 4 12 2 2 2 2 2" xfId="25045" xr:uid="{00000000-0005-0000-0000-0000D9610000}"/>
    <cellStyle name="Normal 2 4 12 2 2 2 3" xfId="22210" xr:uid="{00000000-0005-0000-0000-0000C6560000}"/>
    <cellStyle name="Normal 2 4 12 2 2 2 4" xfId="10305" xr:uid="{00000000-0005-0000-0000-000045280000}"/>
    <cellStyle name="Normal 2 4 12 2 2 3" xfId="17123" xr:uid="{00000000-0005-0000-0000-0000E7420000}"/>
    <cellStyle name="Normal 2 4 12 2 2 3 2" xfId="23780" xr:uid="{00000000-0005-0000-0000-0000E85C0000}"/>
    <cellStyle name="Normal 2 4 12 2 2 4" xfId="20648" xr:uid="{00000000-0005-0000-0000-0000AC500000}"/>
    <cellStyle name="Normal 2 4 12 2 2 5" xfId="8443" xr:uid="{00000000-0005-0000-0000-0000FF200000}"/>
    <cellStyle name="Normal 2 4 12 2 3" xfId="3352" xr:uid="{00000000-0005-0000-0000-00001C0D0000}"/>
    <cellStyle name="Normal 2 4 12 2 3 2" xfId="4394" xr:uid="{00000000-0005-0000-0000-00002E110000}"/>
    <cellStyle name="Normal 2 4 12 2 3 2 2" xfId="18789" xr:uid="{00000000-0005-0000-0000-000069490000}"/>
    <cellStyle name="Normal 2 4 12 2 3 2 2 2" xfId="25301" xr:uid="{00000000-0005-0000-0000-0000D9620000}"/>
    <cellStyle name="Normal 2 4 12 2 3 2 3" xfId="22466" xr:uid="{00000000-0005-0000-0000-0000C6570000}"/>
    <cellStyle name="Normal 2 4 12 2 3 2 4" xfId="10561" xr:uid="{00000000-0005-0000-0000-000045290000}"/>
    <cellStyle name="Normal 2 4 12 2 3 3" xfId="17469" xr:uid="{00000000-0005-0000-0000-000041440000}"/>
    <cellStyle name="Normal 2 4 12 2 3 3 2" xfId="24045" xr:uid="{00000000-0005-0000-0000-0000F15D0000}"/>
    <cellStyle name="Normal 2 4 12 2 3 4" xfId="21210" xr:uid="{00000000-0005-0000-0000-0000DE520000}"/>
    <cellStyle name="Normal 2 4 12 2 3 5" xfId="9221" xr:uid="{00000000-0005-0000-0000-000009240000}"/>
    <cellStyle name="Normal 2 4 12 2 4" xfId="3974" xr:uid="{00000000-0005-0000-0000-00008A0F0000}"/>
    <cellStyle name="Normal 2 4 12 2 4 2" xfId="18115" xr:uid="{00000000-0005-0000-0000-0000C7460000}"/>
    <cellStyle name="Normal 2 4 12 2 4 2 2" xfId="24627" xr:uid="{00000000-0005-0000-0000-000037600000}"/>
    <cellStyle name="Normal 2 4 12 2 4 3" xfId="21792" xr:uid="{00000000-0005-0000-0000-000024550000}"/>
    <cellStyle name="Normal 2 4 12 2 4 4" xfId="9887" xr:uid="{00000000-0005-0000-0000-0000A3260000}"/>
    <cellStyle name="Normal 2 4 12 2 5" xfId="10991" xr:uid="{00000000-0005-0000-0000-0000F32A0000}"/>
    <cellStyle name="Normal 2 4 12 2 5 2" xfId="22885" xr:uid="{00000000-0005-0000-0000-000069590000}"/>
    <cellStyle name="Normal 2 4 12 2 6" xfId="20230" xr:uid="{00000000-0005-0000-0000-00000A4F0000}"/>
    <cellStyle name="Normal 2 4 12 2 7" xfId="8024" xr:uid="{00000000-0005-0000-0000-00005C1F0000}"/>
    <cellStyle name="Normal 2 4 12 3" xfId="3005" xr:uid="{00000000-0005-0000-0000-0000C10B0000}"/>
    <cellStyle name="Normal 2 4 12 3 2" xfId="4079" xr:uid="{00000000-0005-0000-0000-0000F30F0000}"/>
    <cellStyle name="Normal 2 4 12 3 2 2" xfId="10560" xr:uid="{00000000-0005-0000-0000-000044290000}"/>
    <cellStyle name="Normal 2 4 12 3 2 2 2" xfId="18788" xr:uid="{00000000-0005-0000-0000-000068490000}"/>
    <cellStyle name="Normal 2 4 12 3 2 2 2 2" xfId="25300" xr:uid="{00000000-0005-0000-0000-0000D8620000}"/>
    <cellStyle name="Normal 2 4 12 3 2 2 3" xfId="22465" xr:uid="{00000000-0005-0000-0000-0000C5570000}"/>
    <cellStyle name="Normal 2 4 12 3 2 3" xfId="17468" xr:uid="{00000000-0005-0000-0000-000040440000}"/>
    <cellStyle name="Normal 2 4 12 3 2 3 2" xfId="24044" xr:uid="{00000000-0005-0000-0000-0000F05D0000}"/>
    <cellStyle name="Normal 2 4 12 3 2 4" xfId="21209" xr:uid="{00000000-0005-0000-0000-0000DD520000}"/>
    <cellStyle name="Normal 2 4 12 3 2 5" xfId="9220" xr:uid="{00000000-0005-0000-0000-000008240000}"/>
    <cellStyle name="Normal 2 4 12 3 3" xfId="10096" xr:uid="{00000000-0005-0000-0000-000074270000}"/>
    <cellStyle name="Normal 2 4 12 3 3 2" xfId="18324" xr:uid="{00000000-0005-0000-0000-000098470000}"/>
    <cellStyle name="Normal 2 4 12 3 3 2 2" xfId="24836" xr:uid="{00000000-0005-0000-0000-000008610000}"/>
    <cellStyle name="Normal 2 4 12 3 3 3" xfId="22001" xr:uid="{00000000-0005-0000-0000-0000F5550000}"/>
    <cellStyle name="Normal 2 4 12 3 4" xfId="16915" xr:uid="{00000000-0005-0000-0000-000017420000}"/>
    <cellStyle name="Normal 2 4 12 3 4 2" xfId="23572" xr:uid="{00000000-0005-0000-0000-0000185C0000}"/>
    <cellStyle name="Normal 2 4 12 3 5" xfId="20439" xr:uid="{00000000-0005-0000-0000-0000DB4F0000}"/>
    <cellStyle name="Normal 2 4 12 3 6" xfId="8234" xr:uid="{00000000-0005-0000-0000-00002E200000}"/>
    <cellStyle name="Normal 2 4 12 4" xfId="3231" xr:uid="{00000000-0005-0000-0000-0000A30C0000}"/>
    <cellStyle name="Normal 2 4 12 4 2" xfId="4289" xr:uid="{00000000-0005-0000-0000-0000C5100000}"/>
    <cellStyle name="Normal 2 4 12 4 3" xfId="8756" xr:uid="{00000000-0005-0000-0000-000038220000}"/>
    <cellStyle name="Normal 2 4 12 5" xfId="3682" xr:uid="{00000000-0005-0000-0000-0000660E0000}"/>
    <cellStyle name="Normal 2 4 12 5 2" xfId="17906" xr:uid="{00000000-0005-0000-0000-0000F6450000}"/>
    <cellStyle name="Normal 2 4 12 5 2 2" xfId="24418" xr:uid="{00000000-0005-0000-0000-0000665F0000}"/>
    <cellStyle name="Normal 2 4 12 5 3" xfId="21583" xr:uid="{00000000-0005-0000-0000-000053540000}"/>
    <cellStyle name="Normal 2 4 12 5 4" xfId="9678" xr:uid="{00000000-0005-0000-0000-0000D2250000}"/>
    <cellStyle name="Normal 2 4 12 6" xfId="10990" xr:uid="{00000000-0005-0000-0000-0000F22A0000}"/>
    <cellStyle name="Normal 2 4 12 6 2" xfId="22884" xr:uid="{00000000-0005-0000-0000-000068590000}"/>
    <cellStyle name="Normal 2 4 12 7" xfId="20021" xr:uid="{00000000-0005-0000-0000-0000394E0000}"/>
    <cellStyle name="Normal 2 4 12 8" xfId="7782" xr:uid="{00000000-0005-0000-0000-00006A1E0000}"/>
    <cellStyle name="Normal 2 4 13" xfId="1094" xr:uid="{00000000-0005-0000-0000-00004A040000}"/>
    <cellStyle name="Normal 2 4 13 2" xfId="2239" xr:uid="{00000000-0005-0000-0000-0000C3080000}"/>
    <cellStyle name="Normal 2 4 13 2 2" xfId="3127" xr:uid="{00000000-0005-0000-0000-00003B0C0000}"/>
    <cellStyle name="Normal 2 4 13 2 2 2" xfId="4185" xr:uid="{00000000-0005-0000-0000-00005D100000}"/>
    <cellStyle name="Normal 2 4 13 2 2 2 2" xfId="18534" xr:uid="{00000000-0005-0000-0000-00006A480000}"/>
    <cellStyle name="Normal 2 4 13 2 2 2 2 2" xfId="25046" xr:uid="{00000000-0005-0000-0000-0000DA610000}"/>
    <cellStyle name="Normal 2 4 13 2 2 2 3" xfId="22211" xr:uid="{00000000-0005-0000-0000-0000C7560000}"/>
    <cellStyle name="Normal 2 4 13 2 2 2 4" xfId="10306" xr:uid="{00000000-0005-0000-0000-000046280000}"/>
    <cellStyle name="Normal 2 4 13 2 2 3" xfId="17124" xr:uid="{00000000-0005-0000-0000-0000E8420000}"/>
    <cellStyle name="Normal 2 4 13 2 2 3 2" xfId="23781" xr:uid="{00000000-0005-0000-0000-0000E95C0000}"/>
    <cellStyle name="Normal 2 4 13 2 2 4" xfId="20649" xr:uid="{00000000-0005-0000-0000-0000AD500000}"/>
    <cellStyle name="Normal 2 4 13 2 2 5" xfId="8444" xr:uid="{00000000-0005-0000-0000-000000210000}"/>
    <cellStyle name="Normal 2 4 13 2 3" xfId="3353" xr:uid="{00000000-0005-0000-0000-00001D0D0000}"/>
    <cellStyle name="Normal 2 4 13 2 3 2" xfId="4395" xr:uid="{00000000-0005-0000-0000-00002F110000}"/>
    <cellStyle name="Normal 2 4 13 2 3 2 2" xfId="18791" xr:uid="{00000000-0005-0000-0000-00006B490000}"/>
    <cellStyle name="Normal 2 4 13 2 3 2 2 2" xfId="25303" xr:uid="{00000000-0005-0000-0000-0000DB620000}"/>
    <cellStyle name="Normal 2 4 13 2 3 2 3" xfId="22468" xr:uid="{00000000-0005-0000-0000-0000C8570000}"/>
    <cellStyle name="Normal 2 4 13 2 3 2 4" xfId="10563" xr:uid="{00000000-0005-0000-0000-000047290000}"/>
    <cellStyle name="Normal 2 4 13 2 3 3" xfId="17471" xr:uid="{00000000-0005-0000-0000-000043440000}"/>
    <cellStyle name="Normal 2 4 13 2 3 3 2" xfId="24047" xr:uid="{00000000-0005-0000-0000-0000F35D0000}"/>
    <cellStyle name="Normal 2 4 13 2 3 4" xfId="21212" xr:uid="{00000000-0005-0000-0000-0000E0520000}"/>
    <cellStyle name="Normal 2 4 13 2 3 5" xfId="9223" xr:uid="{00000000-0005-0000-0000-00000B240000}"/>
    <cellStyle name="Normal 2 4 13 2 4" xfId="3975" xr:uid="{00000000-0005-0000-0000-00008B0F0000}"/>
    <cellStyle name="Normal 2 4 13 2 4 2" xfId="18116" xr:uid="{00000000-0005-0000-0000-0000C8460000}"/>
    <cellStyle name="Normal 2 4 13 2 4 2 2" xfId="24628" xr:uid="{00000000-0005-0000-0000-000038600000}"/>
    <cellStyle name="Normal 2 4 13 2 4 3" xfId="21793" xr:uid="{00000000-0005-0000-0000-000025550000}"/>
    <cellStyle name="Normal 2 4 13 2 4 4" xfId="9888" xr:uid="{00000000-0005-0000-0000-0000A4260000}"/>
    <cellStyle name="Normal 2 4 13 2 5" xfId="10993" xr:uid="{00000000-0005-0000-0000-0000F52A0000}"/>
    <cellStyle name="Normal 2 4 13 2 5 2" xfId="22887" xr:uid="{00000000-0005-0000-0000-00006B590000}"/>
    <cellStyle name="Normal 2 4 13 2 6" xfId="20231" xr:uid="{00000000-0005-0000-0000-00000B4F0000}"/>
    <cellStyle name="Normal 2 4 13 2 7" xfId="8025" xr:uid="{00000000-0005-0000-0000-00005D1F0000}"/>
    <cellStyle name="Normal 2 4 13 3" xfId="3006" xr:uid="{00000000-0005-0000-0000-0000C20B0000}"/>
    <cellStyle name="Normal 2 4 13 3 2" xfId="4080" xr:uid="{00000000-0005-0000-0000-0000F40F0000}"/>
    <cellStyle name="Normal 2 4 13 3 2 2" xfId="10562" xr:uid="{00000000-0005-0000-0000-000046290000}"/>
    <cellStyle name="Normal 2 4 13 3 2 2 2" xfId="18790" xr:uid="{00000000-0005-0000-0000-00006A490000}"/>
    <cellStyle name="Normal 2 4 13 3 2 2 2 2" xfId="25302" xr:uid="{00000000-0005-0000-0000-0000DA620000}"/>
    <cellStyle name="Normal 2 4 13 3 2 2 3" xfId="22467" xr:uid="{00000000-0005-0000-0000-0000C7570000}"/>
    <cellStyle name="Normal 2 4 13 3 2 3" xfId="17470" xr:uid="{00000000-0005-0000-0000-000042440000}"/>
    <cellStyle name="Normal 2 4 13 3 2 3 2" xfId="24046" xr:uid="{00000000-0005-0000-0000-0000F25D0000}"/>
    <cellStyle name="Normal 2 4 13 3 2 4" xfId="21211" xr:uid="{00000000-0005-0000-0000-0000DF520000}"/>
    <cellStyle name="Normal 2 4 13 3 2 5" xfId="9222" xr:uid="{00000000-0005-0000-0000-00000A240000}"/>
    <cellStyle name="Normal 2 4 13 3 3" xfId="10097" xr:uid="{00000000-0005-0000-0000-000075270000}"/>
    <cellStyle name="Normal 2 4 13 3 3 2" xfId="18325" xr:uid="{00000000-0005-0000-0000-000099470000}"/>
    <cellStyle name="Normal 2 4 13 3 3 2 2" xfId="24837" xr:uid="{00000000-0005-0000-0000-000009610000}"/>
    <cellStyle name="Normal 2 4 13 3 3 3" xfId="22002" xr:uid="{00000000-0005-0000-0000-0000F6550000}"/>
    <cellStyle name="Normal 2 4 13 3 4" xfId="16916" xr:uid="{00000000-0005-0000-0000-000018420000}"/>
    <cellStyle name="Normal 2 4 13 3 4 2" xfId="23573" xr:uid="{00000000-0005-0000-0000-0000195C0000}"/>
    <cellStyle name="Normal 2 4 13 3 5" xfId="20440" xr:uid="{00000000-0005-0000-0000-0000DC4F0000}"/>
    <cellStyle name="Normal 2 4 13 3 6" xfId="8235" xr:uid="{00000000-0005-0000-0000-00002F200000}"/>
    <cellStyle name="Normal 2 4 13 4" xfId="3232" xr:uid="{00000000-0005-0000-0000-0000A40C0000}"/>
    <cellStyle name="Normal 2 4 13 4 2" xfId="4290" xr:uid="{00000000-0005-0000-0000-0000C6100000}"/>
    <cellStyle name="Normal 2 4 13 4 3" xfId="8757" xr:uid="{00000000-0005-0000-0000-000039220000}"/>
    <cellStyle name="Normal 2 4 13 5" xfId="3683" xr:uid="{00000000-0005-0000-0000-0000670E0000}"/>
    <cellStyle name="Normal 2 4 13 5 2" xfId="17907" xr:uid="{00000000-0005-0000-0000-0000F7450000}"/>
    <cellStyle name="Normal 2 4 13 5 2 2" xfId="24419" xr:uid="{00000000-0005-0000-0000-0000675F0000}"/>
    <cellStyle name="Normal 2 4 13 5 3" xfId="21584" xr:uid="{00000000-0005-0000-0000-000054540000}"/>
    <cellStyle name="Normal 2 4 13 5 4" xfId="9679" xr:uid="{00000000-0005-0000-0000-0000D3250000}"/>
    <cellStyle name="Normal 2 4 13 6" xfId="10992" xr:uid="{00000000-0005-0000-0000-0000F42A0000}"/>
    <cellStyle name="Normal 2 4 13 6 2" xfId="22886" xr:uid="{00000000-0005-0000-0000-00006A590000}"/>
    <cellStyle name="Normal 2 4 13 7" xfId="20022" xr:uid="{00000000-0005-0000-0000-00003A4E0000}"/>
    <cellStyle name="Normal 2 4 13 8" xfId="7783" xr:uid="{00000000-0005-0000-0000-00006B1E0000}"/>
    <cellStyle name="Normal 2 4 14" xfId="2235" xr:uid="{00000000-0005-0000-0000-0000BF080000}"/>
    <cellStyle name="Normal 2 4 14 2" xfId="10994" xr:uid="{00000000-0005-0000-0000-0000F62A0000}"/>
    <cellStyle name="Normal 2 4 15" xfId="1090" xr:uid="{00000000-0005-0000-0000-000046040000}"/>
    <cellStyle name="Normal 2 4 16" xfId="4511" xr:uid="{00000000-0005-0000-0000-0000A3110000}"/>
    <cellStyle name="Normal 2 4 2" xfId="1095" xr:uid="{00000000-0005-0000-0000-00004B040000}"/>
    <cellStyle name="Normal 2 4 2 2" xfId="2240" xr:uid="{00000000-0005-0000-0000-0000C4080000}"/>
    <cellStyle name="Normal 2 4 2 2 2" xfId="3128" xr:uid="{00000000-0005-0000-0000-00003C0C0000}"/>
    <cellStyle name="Normal 2 4 2 2 2 2" xfId="4186" xr:uid="{00000000-0005-0000-0000-00005E100000}"/>
    <cellStyle name="Normal 2 4 2 2 2 2 2" xfId="10307" xr:uid="{00000000-0005-0000-0000-000047280000}"/>
    <cellStyle name="Normal 2 4 2 2 2 2 2 2" xfId="18535" xr:uid="{00000000-0005-0000-0000-00006B480000}"/>
    <cellStyle name="Normal 2 4 2 2 2 2 2 2 2" xfId="25047" xr:uid="{00000000-0005-0000-0000-0000DB610000}"/>
    <cellStyle name="Normal 2 4 2 2 2 2 2 3" xfId="22212" xr:uid="{00000000-0005-0000-0000-0000C8560000}"/>
    <cellStyle name="Normal 2 4 2 2 2 2 3" xfId="17125" xr:uid="{00000000-0005-0000-0000-0000E9420000}"/>
    <cellStyle name="Normal 2 4 2 2 2 2 3 2" xfId="23782" xr:uid="{00000000-0005-0000-0000-0000EA5C0000}"/>
    <cellStyle name="Normal 2 4 2 2 2 2 4" xfId="20650" xr:uid="{00000000-0005-0000-0000-0000AE500000}"/>
    <cellStyle name="Normal 2 4 2 2 2 2 5" xfId="8445" xr:uid="{00000000-0005-0000-0000-000001210000}"/>
    <cellStyle name="Normal 2 4 2 2 2 3" xfId="9225" xr:uid="{00000000-0005-0000-0000-00000D240000}"/>
    <cellStyle name="Normal 2 4 2 2 2 3 2" xfId="10565" xr:uid="{00000000-0005-0000-0000-000049290000}"/>
    <cellStyle name="Normal 2 4 2 2 2 3 2 2" xfId="18793" xr:uid="{00000000-0005-0000-0000-00006D490000}"/>
    <cellStyle name="Normal 2 4 2 2 2 3 2 2 2" xfId="25305" xr:uid="{00000000-0005-0000-0000-0000DD620000}"/>
    <cellStyle name="Normal 2 4 2 2 2 3 2 3" xfId="22470" xr:uid="{00000000-0005-0000-0000-0000CA570000}"/>
    <cellStyle name="Normal 2 4 2 2 2 3 3" xfId="17473" xr:uid="{00000000-0005-0000-0000-000045440000}"/>
    <cellStyle name="Normal 2 4 2 2 2 3 3 2" xfId="24049" xr:uid="{00000000-0005-0000-0000-0000F55D0000}"/>
    <cellStyle name="Normal 2 4 2 2 2 3 4" xfId="21214" xr:uid="{00000000-0005-0000-0000-0000E2520000}"/>
    <cellStyle name="Normal 2 4 2 2 2 4" xfId="9889" xr:uid="{00000000-0005-0000-0000-0000A5260000}"/>
    <cellStyle name="Normal 2 4 2 2 2 4 2" xfId="18117" xr:uid="{00000000-0005-0000-0000-0000C9460000}"/>
    <cellStyle name="Normal 2 4 2 2 2 4 2 2" xfId="24629" xr:uid="{00000000-0005-0000-0000-000039600000}"/>
    <cellStyle name="Normal 2 4 2 2 2 4 3" xfId="21794" xr:uid="{00000000-0005-0000-0000-000026550000}"/>
    <cellStyle name="Normal 2 4 2 2 2 5" xfId="10997" xr:uid="{00000000-0005-0000-0000-0000F92A0000}"/>
    <cellStyle name="Normal 2 4 2 2 2 5 2" xfId="22890" xr:uid="{00000000-0005-0000-0000-00006E590000}"/>
    <cellStyle name="Normal 2 4 2 2 2 6" xfId="20232" xr:uid="{00000000-0005-0000-0000-00000C4F0000}"/>
    <cellStyle name="Normal 2 4 2 2 2 7" xfId="8026" xr:uid="{00000000-0005-0000-0000-00005E1F0000}"/>
    <cellStyle name="Normal 2 4 2 2 3" xfId="3354" xr:uid="{00000000-0005-0000-0000-00001E0D0000}"/>
    <cellStyle name="Normal 2 4 2 2 3 2" xfId="4396" xr:uid="{00000000-0005-0000-0000-000030110000}"/>
    <cellStyle name="Normal 2 4 2 2 3 2 2" xfId="18326" xr:uid="{00000000-0005-0000-0000-00009A470000}"/>
    <cellStyle name="Normal 2 4 2 2 3 2 2 2" xfId="24838" xr:uid="{00000000-0005-0000-0000-00000A610000}"/>
    <cellStyle name="Normal 2 4 2 2 3 2 3" xfId="22003" xr:uid="{00000000-0005-0000-0000-0000F7550000}"/>
    <cellStyle name="Normal 2 4 2 2 3 2 4" xfId="10098" xr:uid="{00000000-0005-0000-0000-000076270000}"/>
    <cellStyle name="Normal 2 4 2 2 3 3" xfId="16917" xr:uid="{00000000-0005-0000-0000-000019420000}"/>
    <cellStyle name="Normal 2 4 2 2 3 3 2" xfId="23574" xr:uid="{00000000-0005-0000-0000-00001A5C0000}"/>
    <cellStyle name="Normal 2 4 2 2 3 4" xfId="20441" xr:uid="{00000000-0005-0000-0000-0000DD4F0000}"/>
    <cellStyle name="Normal 2 4 2 2 3 5" xfId="8236" xr:uid="{00000000-0005-0000-0000-000030200000}"/>
    <cellStyle name="Normal 2 4 2 2 4" xfId="3976" xr:uid="{00000000-0005-0000-0000-00008C0F0000}"/>
    <cellStyle name="Normal 2 4 2 2 4 2" xfId="10564" xr:uid="{00000000-0005-0000-0000-000048290000}"/>
    <cellStyle name="Normal 2 4 2 2 4 2 2" xfId="18792" xr:uid="{00000000-0005-0000-0000-00006C490000}"/>
    <cellStyle name="Normal 2 4 2 2 4 2 2 2" xfId="25304" xr:uid="{00000000-0005-0000-0000-0000DC620000}"/>
    <cellStyle name="Normal 2 4 2 2 4 2 3" xfId="22469" xr:uid="{00000000-0005-0000-0000-0000C9570000}"/>
    <cellStyle name="Normal 2 4 2 2 4 3" xfId="17472" xr:uid="{00000000-0005-0000-0000-000044440000}"/>
    <cellStyle name="Normal 2 4 2 2 4 3 2" xfId="24048" xr:uid="{00000000-0005-0000-0000-0000F45D0000}"/>
    <cellStyle name="Normal 2 4 2 2 4 4" xfId="21213" xr:uid="{00000000-0005-0000-0000-0000E1520000}"/>
    <cellStyle name="Normal 2 4 2 2 4 5" xfId="9224" xr:uid="{00000000-0005-0000-0000-00000C240000}"/>
    <cellStyle name="Normal 2 4 2 2 5" xfId="9680" xr:uid="{00000000-0005-0000-0000-0000D4250000}"/>
    <cellStyle name="Normal 2 4 2 2 5 2" xfId="17908" xr:uid="{00000000-0005-0000-0000-0000F8450000}"/>
    <cellStyle name="Normal 2 4 2 2 5 2 2" xfId="24420" xr:uid="{00000000-0005-0000-0000-0000685F0000}"/>
    <cellStyle name="Normal 2 4 2 2 5 3" xfId="21585" xr:uid="{00000000-0005-0000-0000-000055540000}"/>
    <cellStyle name="Normal 2 4 2 2 6" xfId="10996" xr:uid="{00000000-0005-0000-0000-0000F82A0000}"/>
    <cellStyle name="Normal 2 4 2 2 6 2" xfId="22889" xr:uid="{00000000-0005-0000-0000-00006D590000}"/>
    <cellStyle name="Normal 2 4 2 2 7" xfId="20023" xr:uid="{00000000-0005-0000-0000-00003B4E0000}"/>
    <cellStyle name="Normal 2 4 2 2 8" xfId="7784" xr:uid="{00000000-0005-0000-0000-00006C1E0000}"/>
    <cellStyle name="Normal 2 4 2 3" xfId="3007" xr:uid="{00000000-0005-0000-0000-0000C30B0000}"/>
    <cellStyle name="Normal 2 4 2 3 2" xfId="4081" xr:uid="{00000000-0005-0000-0000-0000F50F0000}"/>
    <cellStyle name="Normal 2 4 2 3 3" xfId="10998" xr:uid="{00000000-0005-0000-0000-0000FA2A0000}"/>
    <cellStyle name="Normal 2 4 2 4" xfId="3233" xr:uid="{00000000-0005-0000-0000-0000A50C0000}"/>
    <cellStyle name="Normal 2 4 2 4 2" xfId="4291" xr:uid="{00000000-0005-0000-0000-0000C7100000}"/>
    <cellStyle name="Normal 2 4 2 4 2 2" xfId="22888" xr:uid="{00000000-0005-0000-0000-00006C590000}"/>
    <cellStyle name="Normal 2 4 2 4 3" xfId="10995" xr:uid="{00000000-0005-0000-0000-0000F72A0000}"/>
    <cellStyle name="Normal 2 4 2 5" xfId="3684" xr:uid="{00000000-0005-0000-0000-0000680E0000}"/>
    <cellStyle name="Normal 2 4 2 6" xfId="4512" xr:uid="{00000000-0005-0000-0000-0000A4110000}"/>
    <cellStyle name="Normal 2 4 3" xfId="1096" xr:uid="{00000000-0005-0000-0000-00004C040000}"/>
    <cellStyle name="Normal 2 4 3 2" xfId="2241" xr:uid="{00000000-0005-0000-0000-0000C5080000}"/>
    <cellStyle name="Normal 2 4 3 2 2" xfId="3129" xr:uid="{00000000-0005-0000-0000-00003D0C0000}"/>
    <cellStyle name="Normal 2 4 3 2 2 2" xfId="4187" xr:uid="{00000000-0005-0000-0000-00005F100000}"/>
    <cellStyle name="Normal 2 4 3 2 2 2 2" xfId="10308" xr:uid="{00000000-0005-0000-0000-000048280000}"/>
    <cellStyle name="Normal 2 4 3 2 2 2 2 2" xfId="18536" xr:uid="{00000000-0005-0000-0000-00006C480000}"/>
    <cellStyle name="Normal 2 4 3 2 2 2 2 2 2" xfId="25048" xr:uid="{00000000-0005-0000-0000-0000DC610000}"/>
    <cellStyle name="Normal 2 4 3 2 2 2 2 3" xfId="22213" xr:uid="{00000000-0005-0000-0000-0000C9560000}"/>
    <cellStyle name="Normal 2 4 3 2 2 2 3" xfId="17126" xr:uid="{00000000-0005-0000-0000-0000EA420000}"/>
    <cellStyle name="Normal 2 4 3 2 2 2 3 2" xfId="23783" xr:uid="{00000000-0005-0000-0000-0000EB5C0000}"/>
    <cellStyle name="Normal 2 4 3 2 2 2 4" xfId="20651" xr:uid="{00000000-0005-0000-0000-0000AF500000}"/>
    <cellStyle name="Normal 2 4 3 2 2 2 5" xfId="8446" xr:uid="{00000000-0005-0000-0000-000002210000}"/>
    <cellStyle name="Normal 2 4 3 2 2 3" xfId="9227" xr:uid="{00000000-0005-0000-0000-00000F240000}"/>
    <cellStyle name="Normal 2 4 3 2 2 3 2" xfId="10567" xr:uid="{00000000-0005-0000-0000-00004B290000}"/>
    <cellStyle name="Normal 2 4 3 2 2 3 2 2" xfId="18795" xr:uid="{00000000-0005-0000-0000-00006F490000}"/>
    <cellStyle name="Normal 2 4 3 2 2 3 2 2 2" xfId="25307" xr:uid="{00000000-0005-0000-0000-0000DF620000}"/>
    <cellStyle name="Normal 2 4 3 2 2 3 2 3" xfId="22472" xr:uid="{00000000-0005-0000-0000-0000CC570000}"/>
    <cellStyle name="Normal 2 4 3 2 2 3 3" xfId="17475" xr:uid="{00000000-0005-0000-0000-000047440000}"/>
    <cellStyle name="Normal 2 4 3 2 2 3 3 2" xfId="24051" xr:uid="{00000000-0005-0000-0000-0000F75D0000}"/>
    <cellStyle name="Normal 2 4 3 2 2 3 4" xfId="21216" xr:uid="{00000000-0005-0000-0000-0000E4520000}"/>
    <cellStyle name="Normal 2 4 3 2 2 4" xfId="9890" xr:uid="{00000000-0005-0000-0000-0000A6260000}"/>
    <cellStyle name="Normal 2 4 3 2 2 4 2" xfId="18118" xr:uid="{00000000-0005-0000-0000-0000CA460000}"/>
    <cellStyle name="Normal 2 4 3 2 2 4 2 2" xfId="24630" xr:uid="{00000000-0005-0000-0000-00003A600000}"/>
    <cellStyle name="Normal 2 4 3 2 2 4 3" xfId="21795" xr:uid="{00000000-0005-0000-0000-000027550000}"/>
    <cellStyle name="Normal 2 4 3 2 2 5" xfId="11001" xr:uid="{00000000-0005-0000-0000-0000FD2A0000}"/>
    <cellStyle name="Normal 2 4 3 2 2 5 2" xfId="22893" xr:uid="{00000000-0005-0000-0000-000071590000}"/>
    <cellStyle name="Normal 2 4 3 2 2 6" xfId="20233" xr:uid="{00000000-0005-0000-0000-00000D4F0000}"/>
    <cellStyle name="Normal 2 4 3 2 2 7" xfId="8027" xr:uid="{00000000-0005-0000-0000-00005F1F0000}"/>
    <cellStyle name="Normal 2 4 3 2 3" xfId="3355" xr:uid="{00000000-0005-0000-0000-00001F0D0000}"/>
    <cellStyle name="Normal 2 4 3 2 3 2" xfId="4397" xr:uid="{00000000-0005-0000-0000-000031110000}"/>
    <cellStyle name="Normal 2 4 3 2 3 2 2" xfId="18327" xr:uid="{00000000-0005-0000-0000-00009B470000}"/>
    <cellStyle name="Normal 2 4 3 2 3 2 2 2" xfId="24839" xr:uid="{00000000-0005-0000-0000-00000B610000}"/>
    <cellStyle name="Normal 2 4 3 2 3 2 3" xfId="22004" xr:uid="{00000000-0005-0000-0000-0000F8550000}"/>
    <cellStyle name="Normal 2 4 3 2 3 2 4" xfId="10099" xr:uid="{00000000-0005-0000-0000-000077270000}"/>
    <cellStyle name="Normal 2 4 3 2 3 3" xfId="16918" xr:uid="{00000000-0005-0000-0000-00001A420000}"/>
    <cellStyle name="Normal 2 4 3 2 3 3 2" xfId="23575" xr:uid="{00000000-0005-0000-0000-00001B5C0000}"/>
    <cellStyle name="Normal 2 4 3 2 3 4" xfId="20442" xr:uid="{00000000-0005-0000-0000-0000DE4F0000}"/>
    <cellStyle name="Normal 2 4 3 2 3 5" xfId="8237" xr:uid="{00000000-0005-0000-0000-000031200000}"/>
    <cellStyle name="Normal 2 4 3 2 4" xfId="3977" xr:uid="{00000000-0005-0000-0000-00008D0F0000}"/>
    <cellStyle name="Normal 2 4 3 2 4 2" xfId="10566" xr:uid="{00000000-0005-0000-0000-00004A290000}"/>
    <cellStyle name="Normal 2 4 3 2 4 2 2" xfId="18794" xr:uid="{00000000-0005-0000-0000-00006E490000}"/>
    <cellStyle name="Normal 2 4 3 2 4 2 2 2" xfId="25306" xr:uid="{00000000-0005-0000-0000-0000DE620000}"/>
    <cellStyle name="Normal 2 4 3 2 4 2 3" xfId="22471" xr:uid="{00000000-0005-0000-0000-0000CB570000}"/>
    <cellStyle name="Normal 2 4 3 2 4 3" xfId="17474" xr:uid="{00000000-0005-0000-0000-000046440000}"/>
    <cellStyle name="Normal 2 4 3 2 4 3 2" xfId="24050" xr:uid="{00000000-0005-0000-0000-0000F65D0000}"/>
    <cellStyle name="Normal 2 4 3 2 4 4" xfId="21215" xr:uid="{00000000-0005-0000-0000-0000E3520000}"/>
    <cellStyle name="Normal 2 4 3 2 4 5" xfId="9226" xr:uid="{00000000-0005-0000-0000-00000E240000}"/>
    <cellStyle name="Normal 2 4 3 2 5" xfId="9681" xr:uid="{00000000-0005-0000-0000-0000D5250000}"/>
    <cellStyle name="Normal 2 4 3 2 5 2" xfId="17909" xr:uid="{00000000-0005-0000-0000-0000F9450000}"/>
    <cellStyle name="Normal 2 4 3 2 5 2 2" xfId="24421" xr:uid="{00000000-0005-0000-0000-0000695F0000}"/>
    <cellStyle name="Normal 2 4 3 2 5 3" xfId="21586" xr:uid="{00000000-0005-0000-0000-000056540000}"/>
    <cellStyle name="Normal 2 4 3 2 6" xfId="11000" xr:uid="{00000000-0005-0000-0000-0000FC2A0000}"/>
    <cellStyle name="Normal 2 4 3 2 6 2" xfId="22892" xr:uid="{00000000-0005-0000-0000-000070590000}"/>
    <cellStyle name="Normal 2 4 3 2 7" xfId="20024" xr:uid="{00000000-0005-0000-0000-00003C4E0000}"/>
    <cellStyle name="Normal 2 4 3 2 8" xfId="7785" xr:uid="{00000000-0005-0000-0000-00006D1E0000}"/>
    <cellStyle name="Normal 2 4 3 3" xfId="3008" xr:uid="{00000000-0005-0000-0000-0000C40B0000}"/>
    <cellStyle name="Normal 2 4 3 3 2" xfId="4082" xr:uid="{00000000-0005-0000-0000-0000F60F0000}"/>
    <cellStyle name="Normal 2 4 3 3 3" xfId="8873" xr:uid="{00000000-0005-0000-0000-0000AD220000}"/>
    <cellStyle name="Normal 2 4 3 4" xfId="3234" xr:uid="{00000000-0005-0000-0000-0000A60C0000}"/>
    <cellStyle name="Normal 2 4 3 4 2" xfId="4292" xr:uid="{00000000-0005-0000-0000-0000C8100000}"/>
    <cellStyle name="Normal 2 4 3 4 3" xfId="8758" xr:uid="{00000000-0005-0000-0000-00003A220000}"/>
    <cellStyle name="Normal 2 4 3 5" xfId="3685" xr:uid="{00000000-0005-0000-0000-0000690E0000}"/>
    <cellStyle name="Normal 2 4 3 5 2" xfId="22891" xr:uid="{00000000-0005-0000-0000-00006F590000}"/>
    <cellStyle name="Normal 2 4 3 5 3" xfId="10999" xr:uid="{00000000-0005-0000-0000-0000FB2A0000}"/>
    <cellStyle name="Normal 2 4 3 6" xfId="4513" xr:uid="{00000000-0005-0000-0000-0000A5110000}"/>
    <cellStyle name="Normal 2 4 4" xfId="1097" xr:uid="{00000000-0005-0000-0000-00004D040000}"/>
    <cellStyle name="Normal 2 4 4 2" xfId="2242" xr:uid="{00000000-0005-0000-0000-0000C6080000}"/>
    <cellStyle name="Normal 2 4 4 2 2" xfId="3130" xr:uid="{00000000-0005-0000-0000-00003E0C0000}"/>
    <cellStyle name="Normal 2 4 4 2 2 2" xfId="4188" xr:uid="{00000000-0005-0000-0000-000060100000}"/>
    <cellStyle name="Normal 2 4 4 2 2 2 2" xfId="10309" xr:uid="{00000000-0005-0000-0000-000049280000}"/>
    <cellStyle name="Normal 2 4 4 2 2 2 2 2" xfId="18537" xr:uid="{00000000-0005-0000-0000-00006D480000}"/>
    <cellStyle name="Normal 2 4 4 2 2 2 2 2 2" xfId="25049" xr:uid="{00000000-0005-0000-0000-0000DD610000}"/>
    <cellStyle name="Normal 2 4 4 2 2 2 2 3" xfId="22214" xr:uid="{00000000-0005-0000-0000-0000CA560000}"/>
    <cellStyle name="Normal 2 4 4 2 2 2 3" xfId="17127" xr:uid="{00000000-0005-0000-0000-0000EB420000}"/>
    <cellStyle name="Normal 2 4 4 2 2 2 3 2" xfId="23784" xr:uid="{00000000-0005-0000-0000-0000EC5C0000}"/>
    <cellStyle name="Normal 2 4 4 2 2 2 4" xfId="20652" xr:uid="{00000000-0005-0000-0000-0000B0500000}"/>
    <cellStyle name="Normal 2 4 4 2 2 2 5" xfId="8447" xr:uid="{00000000-0005-0000-0000-000003210000}"/>
    <cellStyle name="Normal 2 4 4 2 2 3" xfId="9230" xr:uid="{00000000-0005-0000-0000-000012240000}"/>
    <cellStyle name="Normal 2 4 4 2 2 3 2" xfId="10569" xr:uid="{00000000-0005-0000-0000-00004D290000}"/>
    <cellStyle name="Normal 2 4 4 2 2 3 2 2" xfId="18797" xr:uid="{00000000-0005-0000-0000-000071490000}"/>
    <cellStyle name="Normal 2 4 4 2 2 3 2 2 2" xfId="25309" xr:uid="{00000000-0005-0000-0000-0000E1620000}"/>
    <cellStyle name="Normal 2 4 4 2 2 3 2 3" xfId="22474" xr:uid="{00000000-0005-0000-0000-0000CE570000}"/>
    <cellStyle name="Normal 2 4 4 2 2 3 3" xfId="17477" xr:uid="{00000000-0005-0000-0000-000049440000}"/>
    <cellStyle name="Normal 2 4 4 2 2 3 3 2" xfId="24053" xr:uid="{00000000-0005-0000-0000-0000F95D0000}"/>
    <cellStyle name="Normal 2 4 4 2 2 3 4" xfId="21218" xr:uid="{00000000-0005-0000-0000-0000E6520000}"/>
    <cellStyle name="Normal 2 4 4 2 2 4" xfId="9891" xr:uid="{00000000-0005-0000-0000-0000A7260000}"/>
    <cellStyle name="Normal 2 4 4 2 2 4 2" xfId="18119" xr:uid="{00000000-0005-0000-0000-0000CB460000}"/>
    <cellStyle name="Normal 2 4 4 2 2 4 2 2" xfId="24631" xr:uid="{00000000-0005-0000-0000-00003B600000}"/>
    <cellStyle name="Normal 2 4 4 2 2 4 3" xfId="21796" xr:uid="{00000000-0005-0000-0000-000028550000}"/>
    <cellStyle name="Normal 2 4 4 2 2 5" xfId="11004" xr:uid="{00000000-0005-0000-0000-0000002B0000}"/>
    <cellStyle name="Normal 2 4 4 2 2 5 2" xfId="22896" xr:uid="{00000000-0005-0000-0000-000074590000}"/>
    <cellStyle name="Normal 2 4 4 2 2 6" xfId="20234" xr:uid="{00000000-0005-0000-0000-00000E4F0000}"/>
    <cellStyle name="Normal 2 4 4 2 2 7" xfId="8028" xr:uid="{00000000-0005-0000-0000-0000601F0000}"/>
    <cellStyle name="Normal 2 4 4 2 3" xfId="3356" xr:uid="{00000000-0005-0000-0000-0000200D0000}"/>
    <cellStyle name="Normal 2 4 4 2 3 2" xfId="4398" xr:uid="{00000000-0005-0000-0000-000032110000}"/>
    <cellStyle name="Normal 2 4 4 2 3 2 2" xfId="18328" xr:uid="{00000000-0005-0000-0000-00009C470000}"/>
    <cellStyle name="Normal 2 4 4 2 3 2 2 2" xfId="24840" xr:uid="{00000000-0005-0000-0000-00000C610000}"/>
    <cellStyle name="Normal 2 4 4 2 3 2 3" xfId="22005" xr:uid="{00000000-0005-0000-0000-0000F9550000}"/>
    <cellStyle name="Normal 2 4 4 2 3 2 4" xfId="10100" xr:uid="{00000000-0005-0000-0000-000078270000}"/>
    <cellStyle name="Normal 2 4 4 2 3 3" xfId="16919" xr:uid="{00000000-0005-0000-0000-00001B420000}"/>
    <cellStyle name="Normal 2 4 4 2 3 3 2" xfId="23576" xr:uid="{00000000-0005-0000-0000-00001C5C0000}"/>
    <cellStyle name="Normal 2 4 4 2 3 4" xfId="20443" xr:uid="{00000000-0005-0000-0000-0000DF4F0000}"/>
    <cellStyle name="Normal 2 4 4 2 3 5" xfId="8238" xr:uid="{00000000-0005-0000-0000-000032200000}"/>
    <cellStyle name="Normal 2 4 4 2 4" xfId="3978" xr:uid="{00000000-0005-0000-0000-00008E0F0000}"/>
    <cellStyle name="Normal 2 4 4 2 4 2" xfId="10568" xr:uid="{00000000-0005-0000-0000-00004C290000}"/>
    <cellStyle name="Normal 2 4 4 2 4 2 2" xfId="18796" xr:uid="{00000000-0005-0000-0000-000070490000}"/>
    <cellStyle name="Normal 2 4 4 2 4 2 2 2" xfId="25308" xr:uid="{00000000-0005-0000-0000-0000E0620000}"/>
    <cellStyle name="Normal 2 4 4 2 4 2 3" xfId="22473" xr:uid="{00000000-0005-0000-0000-0000CD570000}"/>
    <cellStyle name="Normal 2 4 4 2 4 3" xfId="17476" xr:uid="{00000000-0005-0000-0000-000048440000}"/>
    <cellStyle name="Normal 2 4 4 2 4 3 2" xfId="24052" xr:uid="{00000000-0005-0000-0000-0000F85D0000}"/>
    <cellStyle name="Normal 2 4 4 2 4 4" xfId="21217" xr:uid="{00000000-0005-0000-0000-0000E5520000}"/>
    <cellStyle name="Normal 2 4 4 2 4 5" xfId="9229" xr:uid="{00000000-0005-0000-0000-000011240000}"/>
    <cellStyle name="Normal 2 4 4 2 5" xfId="9682" xr:uid="{00000000-0005-0000-0000-0000D6250000}"/>
    <cellStyle name="Normal 2 4 4 2 5 2" xfId="17910" xr:uid="{00000000-0005-0000-0000-0000FA450000}"/>
    <cellStyle name="Normal 2 4 4 2 5 2 2" xfId="24422" xr:uid="{00000000-0005-0000-0000-00006A5F0000}"/>
    <cellStyle name="Normal 2 4 4 2 5 3" xfId="21587" xr:uid="{00000000-0005-0000-0000-000057540000}"/>
    <cellStyle name="Normal 2 4 4 2 6" xfId="11003" xr:uid="{00000000-0005-0000-0000-0000FF2A0000}"/>
    <cellStyle name="Normal 2 4 4 2 6 2" xfId="22895" xr:uid="{00000000-0005-0000-0000-000073590000}"/>
    <cellStyle name="Normal 2 4 4 2 7" xfId="20025" xr:uid="{00000000-0005-0000-0000-00003D4E0000}"/>
    <cellStyle name="Normal 2 4 4 2 8" xfId="7786" xr:uid="{00000000-0005-0000-0000-00006E1E0000}"/>
    <cellStyle name="Normal 2 4 4 3" xfId="3009" xr:uid="{00000000-0005-0000-0000-0000C50B0000}"/>
    <cellStyle name="Normal 2 4 4 3 2" xfId="4083" xr:uid="{00000000-0005-0000-0000-0000F70F0000}"/>
    <cellStyle name="Normal 2 4 4 3 3" xfId="9228" xr:uid="{00000000-0005-0000-0000-000010240000}"/>
    <cellStyle name="Normal 2 4 4 4" xfId="3235" xr:uid="{00000000-0005-0000-0000-0000A70C0000}"/>
    <cellStyle name="Normal 2 4 4 4 2" xfId="4293" xr:uid="{00000000-0005-0000-0000-0000C9100000}"/>
    <cellStyle name="Normal 2 4 4 4 3" xfId="8759" xr:uid="{00000000-0005-0000-0000-00003B220000}"/>
    <cellStyle name="Normal 2 4 4 5" xfId="3686" xr:uid="{00000000-0005-0000-0000-00006A0E0000}"/>
    <cellStyle name="Normal 2 4 4 5 2" xfId="22894" xr:uid="{00000000-0005-0000-0000-000072590000}"/>
    <cellStyle name="Normal 2 4 4 5 3" xfId="11002" xr:uid="{00000000-0005-0000-0000-0000FE2A0000}"/>
    <cellStyle name="Normal 2 4 4 6" xfId="6292" xr:uid="{00000000-0005-0000-0000-000098180000}"/>
    <cellStyle name="Normal 2 4 5" xfId="1098" xr:uid="{00000000-0005-0000-0000-00004E040000}"/>
    <cellStyle name="Normal 2 4 5 2" xfId="2243" xr:uid="{00000000-0005-0000-0000-0000C7080000}"/>
    <cellStyle name="Normal 2 4 5 2 2" xfId="3131" xr:uid="{00000000-0005-0000-0000-00003F0C0000}"/>
    <cellStyle name="Normal 2 4 5 2 2 2" xfId="4189" xr:uid="{00000000-0005-0000-0000-000061100000}"/>
    <cellStyle name="Normal 2 4 5 2 2 2 2" xfId="10310" xr:uid="{00000000-0005-0000-0000-00004A280000}"/>
    <cellStyle name="Normal 2 4 5 2 2 2 2 2" xfId="18538" xr:uid="{00000000-0005-0000-0000-00006E480000}"/>
    <cellStyle name="Normal 2 4 5 2 2 2 2 2 2" xfId="25050" xr:uid="{00000000-0005-0000-0000-0000DE610000}"/>
    <cellStyle name="Normal 2 4 5 2 2 2 2 3" xfId="22215" xr:uid="{00000000-0005-0000-0000-0000CB560000}"/>
    <cellStyle name="Normal 2 4 5 2 2 2 3" xfId="17128" xr:uid="{00000000-0005-0000-0000-0000EC420000}"/>
    <cellStyle name="Normal 2 4 5 2 2 2 3 2" xfId="23785" xr:uid="{00000000-0005-0000-0000-0000ED5C0000}"/>
    <cellStyle name="Normal 2 4 5 2 2 2 4" xfId="20653" xr:uid="{00000000-0005-0000-0000-0000B1500000}"/>
    <cellStyle name="Normal 2 4 5 2 2 2 5" xfId="8448" xr:uid="{00000000-0005-0000-0000-000004210000}"/>
    <cellStyle name="Normal 2 4 5 2 2 3" xfId="9233" xr:uid="{00000000-0005-0000-0000-000015240000}"/>
    <cellStyle name="Normal 2 4 5 2 2 3 2" xfId="10572" xr:uid="{00000000-0005-0000-0000-000050290000}"/>
    <cellStyle name="Normal 2 4 5 2 2 3 2 2" xfId="18800" xr:uid="{00000000-0005-0000-0000-000074490000}"/>
    <cellStyle name="Normal 2 4 5 2 2 3 2 2 2" xfId="25312" xr:uid="{00000000-0005-0000-0000-0000E4620000}"/>
    <cellStyle name="Normal 2 4 5 2 2 3 2 3" xfId="22477" xr:uid="{00000000-0005-0000-0000-0000D1570000}"/>
    <cellStyle name="Normal 2 4 5 2 2 3 3" xfId="17480" xr:uid="{00000000-0005-0000-0000-00004C440000}"/>
    <cellStyle name="Normal 2 4 5 2 2 3 3 2" xfId="24056" xr:uid="{00000000-0005-0000-0000-0000FC5D0000}"/>
    <cellStyle name="Normal 2 4 5 2 2 3 4" xfId="21221" xr:uid="{00000000-0005-0000-0000-0000E9520000}"/>
    <cellStyle name="Normal 2 4 5 2 2 4" xfId="9892" xr:uid="{00000000-0005-0000-0000-0000A8260000}"/>
    <cellStyle name="Normal 2 4 5 2 2 4 2" xfId="18120" xr:uid="{00000000-0005-0000-0000-0000CC460000}"/>
    <cellStyle name="Normal 2 4 5 2 2 4 2 2" xfId="24632" xr:uid="{00000000-0005-0000-0000-00003C600000}"/>
    <cellStyle name="Normal 2 4 5 2 2 4 3" xfId="21797" xr:uid="{00000000-0005-0000-0000-000029550000}"/>
    <cellStyle name="Normal 2 4 5 2 2 5" xfId="11007" xr:uid="{00000000-0005-0000-0000-0000032B0000}"/>
    <cellStyle name="Normal 2 4 5 2 2 5 2" xfId="22899" xr:uid="{00000000-0005-0000-0000-000077590000}"/>
    <cellStyle name="Normal 2 4 5 2 2 6" xfId="20235" xr:uid="{00000000-0005-0000-0000-00000F4F0000}"/>
    <cellStyle name="Normal 2 4 5 2 2 7" xfId="8029" xr:uid="{00000000-0005-0000-0000-0000611F0000}"/>
    <cellStyle name="Normal 2 4 5 2 3" xfId="3357" xr:uid="{00000000-0005-0000-0000-0000210D0000}"/>
    <cellStyle name="Normal 2 4 5 2 3 2" xfId="4399" xr:uid="{00000000-0005-0000-0000-000033110000}"/>
    <cellStyle name="Normal 2 4 5 2 3 2 2" xfId="18329" xr:uid="{00000000-0005-0000-0000-00009D470000}"/>
    <cellStyle name="Normal 2 4 5 2 3 2 2 2" xfId="24841" xr:uid="{00000000-0005-0000-0000-00000D610000}"/>
    <cellStyle name="Normal 2 4 5 2 3 2 3" xfId="22006" xr:uid="{00000000-0005-0000-0000-0000FA550000}"/>
    <cellStyle name="Normal 2 4 5 2 3 2 4" xfId="10101" xr:uid="{00000000-0005-0000-0000-000079270000}"/>
    <cellStyle name="Normal 2 4 5 2 3 3" xfId="16920" xr:uid="{00000000-0005-0000-0000-00001C420000}"/>
    <cellStyle name="Normal 2 4 5 2 3 3 2" xfId="23577" xr:uid="{00000000-0005-0000-0000-00001D5C0000}"/>
    <cellStyle name="Normal 2 4 5 2 3 4" xfId="20444" xr:uid="{00000000-0005-0000-0000-0000E04F0000}"/>
    <cellStyle name="Normal 2 4 5 2 3 5" xfId="8239" xr:uid="{00000000-0005-0000-0000-000033200000}"/>
    <cellStyle name="Normal 2 4 5 2 4" xfId="3979" xr:uid="{00000000-0005-0000-0000-00008F0F0000}"/>
    <cellStyle name="Normal 2 4 5 2 4 2" xfId="10571" xr:uid="{00000000-0005-0000-0000-00004F290000}"/>
    <cellStyle name="Normal 2 4 5 2 4 2 2" xfId="18799" xr:uid="{00000000-0005-0000-0000-000073490000}"/>
    <cellStyle name="Normal 2 4 5 2 4 2 2 2" xfId="25311" xr:uid="{00000000-0005-0000-0000-0000E3620000}"/>
    <cellStyle name="Normal 2 4 5 2 4 2 3" xfId="22476" xr:uid="{00000000-0005-0000-0000-0000D0570000}"/>
    <cellStyle name="Normal 2 4 5 2 4 3" xfId="17479" xr:uid="{00000000-0005-0000-0000-00004B440000}"/>
    <cellStyle name="Normal 2 4 5 2 4 3 2" xfId="24055" xr:uid="{00000000-0005-0000-0000-0000FB5D0000}"/>
    <cellStyle name="Normal 2 4 5 2 4 4" xfId="21220" xr:uid="{00000000-0005-0000-0000-0000E8520000}"/>
    <cellStyle name="Normal 2 4 5 2 4 5" xfId="9232" xr:uid="{00000000-0005-0000-0000-000014240000}"/>
    <cellStyle name="Normal 2 4 5 2 5" xfId="9683" xr:uid="{00000000-0005-0000-0000-0000D7250000}"/>
    <cellStyle name="Normal 2 4 5 2 5 2" xfId="17911" xr:uid="{00000000-0005-0000-0000-0000FB450000}"/>
    <cellStyle name="Normal 2 4 5 2 5 2 2" xfId="24423" xr:uid="{00000000-0005-0000-0000-00006B5F0000}"/>
    <cellStyle name="Normal 2 4 5 2 5 3" xfId="21588" xr:uid="{00000000-0005-0000-0000-000058540000}"/>
    <cellStyle name="Normal 2 4 5 2 6" xfId="11006" xr:uid="{00000000-0005-0000-0000-0000022B0000}"/>
    <cellStyle name="Normal 2 4 5 2 6 2" xfId="22898" xr:uid="{00000000-0005-0000-0000-000076590000}"/>
    <cellStyle name="Normal 2 4 5 2 7" xfId="20026" xr:uid="{00000000-0005-0000-0000-00003E4E0000}"/>
    <cellStyle name="Normal 2 4 5 2 8" xfId="7787" xr:uid="{00000000-0005-0000-0000-00006F1E0000}"/>
    <cellStyle name="Normal 2 4 5 3" xfId="3010" xr:uid="{00000000-0005-0000-0000-0000C60B0000}"/>
    <cellStyle name="Normal 2 4 5 3 2" xfId="4084" xr:uid="{00000000-0005-0000-0000-0000F80F0000}"/>
    <cellStyle name="Normal 2 4 5 3 2 2" xfId="10218" xr:uid="{00000000-0005-0000-0000-0000EE270000}"/>
    <cellStyle name="Normal 2 4 5 3 2 2 2" xfId="18446" xr:uid="{00000000-0005-0000-0000-000012480000}"/>
    <cellStyle name="Normal 2 4 5 3 2 2 2 2" xfId="24958" xr:uid="{00000000-0005-0000-0000-000082610000}"/>
    <cellStyle name="Normal 2 4 5 3 2 2 3" xfId="22123" xr:uid="{00000000-0005-0000-0000-00006F560000}"/>
    <cellStyle name="Normal 2 4 5 3 2 3" xfId="17036" xr:uid="{00000000-0005-0000-0000-000090420000}"/>
    <cellStyle name="Normal 2 4 5 3 2 3 2" xfId="23693" xr:uid="{00000000-0005-0000-0000-0000915C0000}"/>
    <cellStyle name="Normal 2 4 5 3 2 4" xfId="20561" xr:uid="{00000000-0005-0000-0000-000055500000}"/>
    <cellStyle name="Normal 2 4 5 3 2 5" xfId="8356" xr:uid="{00000000-0005-0000-0000-0000A8200000}"/>
    <cellStyle name="Normal 2 4 5 3 3" xfId="9234" xr:uid="{00000000-0005-0000-0000-000016240000}"/>
    <cellStyle name="Normal 2 4 5 3 3 2" xfId="10573" xr:uid="{00000000-0005-0000-0000-000051290000}"/>
    <cellStyle name="Normal 2 4 5 3 3 2 2" xfId="18801" xr:uid="{00000000-0005-0000-0000-000075490000}"/>
    <cellStyle name="Normal 2 4 5 3 3 2 2 2" xfId="25313" xr:uid="{00000000-0005-0000-0000-0000E5620000}"/>
    <cellStyle name="Normal 2 4 5 3 3 2 3" xfId="22478" xr:uid="{00000000-0005-0000-0000-0000D2570000}"/>
    <cellStyle name="Normal 2 4 5 3 3 3" xfId="17481" xr:uid="{00000000-0005-0000-0000-00004D440000}"/>
    <cellStyle name="Normal 2 4 5 3 3 3 2" xfId="24057" xr:uid="{00000000-0005-0000-0000-0000FD5D0000}"/>
    <cellStyle name="Normal 2 4 5 3 3 4" xfId="21222" xr:uid="{00000000-0005-0000-0000-0000EA520000}"/>
    <cellStyle name="Normal 2 4 5 3 4" xfId="9800" xr:uid="{00000000-0005-0000-0000-00004C260000}"/>
    <cellStyle name="Normal 2 4 5 3 4 2" xfId="18028" xr:uid="{00000000-0005-0000-0000-000070460000}"/>
    <cellStyle name="Normal 2 4 5 3 4 2 2" xfId="24540" xr:uid="{00000000-0005-0000-0000-0000E05F0000}"/>
    <cellStyle name="Normal 2 4 5 3 4 3" xfId="21705" xr:uid="{00000000-0005-0000-0000-0000CD540000}"/>
    <cellStyle name="Normal 2 4 5 3 5" xfId="11008" xr:uid="{00000000-0005-0000-0000-0000042B0000}"/>
    <cellStyle name="Normal 2 4 5 3 5 2" xfId="22900" xr:uid="{00000000-0005-0000-0000-000078590000}"/>
    <cellStyle name="Normal 2 4 5 3 6" xfId="20143" xr:uid="{00000000-0005-0000-0000-0000B34E0000}"/>
    <cellStyle name="Normal 2 4 5 3 7" xfId="7937" xr:uid="{00000000-0005-0000-0000-0000051F0000}"/>
    <cellStyle name="Normal 2 4 5 4" xfId="3236" xr:uid="{00000000-0005-0000-0000-0000A80C0000}"/>
    <cellStyle name="Normal 2 4 5 4 2" xfId="4294" xr:uid="{00000000-0005-0000-0000-0000CA100000}"/>
    <cellStyle name="Normal 2 4 5 4 2 2" xfId="10570" xr:uid="{00000000-0005-0000-0000-00004E290000}"/>
    <cellStyle name="Normal 2 4 5 4 2 2 2" xfId="18798" xr:uid="{00000000-0005-0000-0000-000072490000}"/>
    <cellStyle name="Normal 2 4 5 4 2 2 2 2" xfId="25310" xr:uid="{00000000-0005-0000-0000-0000E2620000}"/>
    <cellStyle name="Normal 2 4 5 4 2 2 3" xfId="22475" xr:uid="{00000000-0005-0000-0000-0000CF570000}"/>
    <cellStyle name="Normal 2 4 5 4 2 3" xfId="17478" xr:uid="{00000000-0005-0000-0000-00004A440000}"/>
    <cellStyle name="Normal 2 4 5 4 2 3 2" xfId="24054" xr:uid="{00000000-0005-0000-0000-0000FA5D0000}"/>
    <cellStyle name="Normal 2 4 5 4 2 4" xfId="21219" xr:uid="{00000000-0005-0000-0000-0000E7520000}"/>
    <cellStyle name="Normal 2 4 5 4 2 5" xfId="9231" xr:uid="{00000000-0005-0000-0000-000013240000}"/>
    <cellStyle name="Normal 2 4 5 4 3" xfId="10009" xr:uid="{00000000-0005-0000-0000-00001D270000}"/>
    <cellStyle name="Normal 2 4 5 4 3 2" xfId="18237" xr:uid="{00000000-0005-0000-0000-000041470000}"/>
    <cellStyle name="Normal 2 4 5 4 3 2 2" xfId="24749" xr:uid="{00000000-0005-0000-0000-0000B1600000}"/>
    <cellStyle name="Normal 2 4 5 4 3 3" xfId="21914" xr:uid="{00000000-0005-0000-0000-00009E550000}"/>
    <cellStyle name="Normal 2 4 5 4 4" xfId="16836" xr:uid="{00000000-0005-0000-0000-0000C8410000}"/>
    <cellStyle name="Normal 2 4 5 4 4 2" xfId="23495" xr:uid="{00000000-0005-0000-0000-0000CB5B0000}"/>
    <cellStyle name="Normal 2 4 5 4 5" xfId="20352" xr:uid="{00000000-0005-0000-0000-0000844F0000}"/>
    <cellStyle name="Normal 2 4 5 4 6" xfId="8147" xr:uid="{00000000-0005-0000-0000-0000D71F0000}"/>
    <cellStyle name="Normal 2 4 5 5" xfId="3687" xr:uid="{00000000-0005-0000-0000-00006B0E0000}"/>
    <cellStyle name="Normal 2 4 5 5 2" xfId="8760" xr:uid="{00000000-0005-0000-0000-00003C220000}"/>
    <cellStyle name="Normal 2 4 5 6" xfId="9591" xr:uid="{00000000-0005-0000-0000-00007B250000}"/>
    <cellStyle name="Normal 2 4 5 6 2" xfId="17819" xr:uid="{00000000-0005-0000-0000-00009F450000}"/>
    <cellStyle name="Normal 2 4 5 6 2 2" xfId="24331" xr:uid="{00000000-0005-0000-0000-00000F5F0000}"/>
    <cellStyle name="Normal 2 4 5 6 3" xfId="21496" xr:uid="{00000000-0005-0000-0000-0000FC530000}"/>
    <cellStyle name="Normal 2 4 5 7" xfId="11005" xr:uid="{00000000-0005-0000-0000-0000012B0000}"/>
    <cellStyle name="Normal 2 4 5 7 2" xfId="22897" xr:uid="{00000000-0005-0000-0000-000075590000}"/>
    <cellStyle name="Normal 2 4 5 8" xfId="19708" xr:uid="{00000000-0005-0000-0000-0000004D0000}"/>
    <cellStyle name="Normal 2 4 5 9" xfId="6293" xr:uid="{00000000-0005-0000-0000-000099180000}"/>
    <cellStyle name="Normal 2 4 6" xfId="1099" xr:uid="{00000000-0005-0000-0000-00004F040000}"/>
    <cellStyle name="Normal 2 4 6 2" xfId="2244" xr:uid="{00000000-0005-0000-0000-0000C8080000}"/>
    <cellStyle name="Normal 2 4 6 2 2" xfId="3132" xr:uid="{00000000-0005-0000-0000-0000400C0000}"/>
    <cellStyle name="Normal 2 4 6 2 2 2" xfId="4190" xr:uid="{00000000-0005-0000-0000-000062100000}"/>
    <cellStyle name="Normal 2 4 6 2 2 2 2" xfId="18539" xr:uid="{00000000-0005-0000-0000-00006F480000}"/>
    <cellStyle name="Normal 2 4 6 2 2 2 2 2" xfId="25051" xr:uid="{00000000-0005-0000-0000-0000DF610000}"/>
    <cellStyle name="Normal 2 4 6 2 2 2 3" xfId="22216" xr:uid="{00000000-0005-0000-0000-0000CC560000}"/>
    <cellStyle name="Normal 2 4 6 2 2 2 4" xfId="10311" xr:uid="{00000000-0005-0000-0000-00004B280000}"/>
    <cellStyle name="Normal 2 4 6 2 2 3" xfId="17129" xr:uid="{00000000-0005-0000-0000-0000ED420000}"/>
    <cellStyle name="Normal 2 4 6 2 2 3 2" xfId="23786" xr:uid="{00000000-0005-0000-0000-0000EE5C0000}"/>
    <cellStyle name="Normal 2 4 6 2 2 4" xfId="20654" xr:uid="{00000000-0005-0000-0000-0000B2500000}"/>
    <cellStyle name="Normal 2 4 6 2 2 5" xfId="8449" xr:uid="{00000000-0005-0000-0000-000005210000}"/>
    <cellStyle name="Normal 2 4 6 2 3" xfId="3358" xr:uid="{00000000-0005-0000-0000-0000220D0000}"/>
    <cellStyle name="Normal 2 4 6 2 3 2" xfId="4400" xr:uid="{00000000-0005-0000-0000-000034110000}"/>
    <cellStyle name="Normal 2 4 6 2 3 2 2" xfId="18803" xr:uid="{00000000-0005-0000-0000-000077490000}"/>
    <cellStyle name="Normal 2 4 6 2 3 2 2 2" xfId="25315" xr:uid="{00000000-0005-0000-0000-0000E7620000}"/>
    <cellStyle name="Normal 2 4 6 2 3 2 3" xfId="22480" xr:uid="{00000000-0005-0000-0000-0000D4570000}"/>
    <cellStyle name="Normal 2 4 6 2 3 2 4" xfId="10575" xr:uid="{00000000-0005-0000-0000-000053290000}"/>
    <cellStyle name="Normal 2 4 6 2 3 3" xfId="17483" xr:uid="{00000000-0005-0000-0000-00004F440000}"/>
    <cellStyle name="Normal 2 4 6 2 3 3 2" xfId="24059" xr:uid="{00000000-0005-0000-0000-0000FF5D0000}"/>
    <cellStyle name="Normal 2 4 6 2 3 4" xfId="21224" xr:uid="{00000000-0005-0000-0000-0000EC520000}"/>
    <cellStyle name="Normal 2 4 6 2 3 5" xfId="9236" xr:uid="{00000000-0005-0000-0000-000018240000}"/>
    <cellStyle name="Normal 2 4 6 2 4" xfId="3980" xr:uid="{00000000-0005-0000-0000-0000900F0000}"/>
    <cellStyle name="Normal 2 4 6 2 4 2" xfId="18121" xr:uid="{00000000-0005-0000-0000-0000CD460000}"/>
    <cellStyle name="Normal 2 4 6 2 4 2 2" xfId="24633" xr:uid="{00000000-0005-0000-0000-00003D600000}"/>
    <cellStyle name="Normal 2 4 6 2 4 3" xfId="21798" xr:uid="{00000000-0005-0000-0000-00002A550000}"/>
    <cellStyle name="Normal 2 4 6 2 4 4" xfId="9893" xr:uid="{00000000-0005-0000-0000-0000A9260000}"/>
    <cellStyle name="Normal 2 4 6 2 5" xfId="11010" xr:uid="{00000000-0005-0000-0000-0000062B0000}"/>
    <cellStyle name="Normal 2 4 6 2 5 2" xfId="22902" xr:uid="{00000000-0005-0000-0000-00007A590000}"/>
    <cellStyle name="Normal 2 4 6 2 6" xfId="20236" xr:uid="{00000000-0005-0000-0000-0000104F0000}"/>
    <cellStyle name="Normal 2 4 6 2 7" xfId="8030" xr:uid="{00000000-0005-0000-0000-0000621F0000}"/>
    <cellStyle name="Normal 2 4 6 3" xfId="3011" xr:uid="{00000000-0005-0000-0000-0000C70B0000}"/>
    <cellStyle name="Normal 2 4 6 3 2" xfId="4085" xr:uid="{00000000-0005-0000-0000-0000F90F0000}"/>
    <cellStyle name="Normal 2 4 6 3 2 2" xfId="10574" xr:uid="{00000000-0005-0000-0000-000052290000}"/>
    <cellStyle name="Normal 2 4 6 3 2 2 2" xfId="18802" xr:uid="{00000000-0005-0000-0000-000076490000}"/>
    <cellStyle name="Normal 2 4 6 3 2 2 2 2" xfId="25314" xr:uid="{00000000-0005-0000-0000-0000E6620000}"/>
    <cellStyle name="Normal 2 4 6 3 2 2 3" xfId="22479" xr:uid="{00000000-0005-0000-0000-0000D3570000}"/>
    <cellStyle name="Normal 2 4 6 3 2 3" xfId="17482" xr:uid="{00000000-0005-0000-0000-00004E440000}"/>
    <cellStyle name="Normal 2 4 6 3 2 3 2" xfId="24058" xr:uid="{00000000-0005-0000-0000-0000FE5D0000}"/>
    <cellStyle name="Normal 2 4 6 3 2 4" xfId="21223" xr:uid="{00000000-0005-0000-0000-0000EB520000}"/>
    <cellStyle name="Normal 2 4 6 3 2 5" xfId="9235" xr:uid="{00000000-0005-0000-0000-000017240000}"/>
    <cellStyle name="Normal 2 4 6 3 3" xfId="10102" xr:uid="{00000000-0005-0000-0000-00007A270000}"/>
    <cellStyle name="Normal 2 4 6 3 3 2" xfId="18330" xr:uid="{00000000-0005-0000-0000-00009E470000}"/>
    <cellStyle name="Normal 2 4 6 3 3 2 2" xfId="24842" xr:uid="{00000000-0005-0000-0000-00000E610000}"/>
    <cellStyle name="Normal 2 4 6 3 3 3" xfId="22007" xr:uid="{00000000-0005-0000-0000-0000FB550000}"/>
    <cellStyle name="Normal 2 4 6 3 4" xfId="16921" xr:uid="{00000000-0005-0000-0000-00001D420000}"/>
    <cellStyle name="Normal 2 4 6 3 4 2" xfId="23578" xr:uid="{00000000-0005-0000-0000-00001E5C0000}"/>
    <cellStyle name="Normal 2 4 6 3 5" xfId="20445" xr:uid="{00000000-0005-0000-0000-0000E14F0000}"/>
    <cellStyle name="Normal 2 4 6 3 6" xfId="8240" xr:uid="{00000000-0005-0000-0000-000034200000}"/>
    <cellStyle name="Normal 2 4 6 4" xfId="3237" xr:uid="{00000000-0005-0000-0000-0000A90C0000}"/>
    <cellStyle name="Normal 2 4 6 4 2" xfId="4295" xr:uid="{00000000-0005-0000-0000-0000CB100000}"/>
    <cellStyle name="Normal 2 4 6 4 3" xfId="8761" xr:uid="{00000000-0005-0000-0000-00003D220000}"/>
    <cellStyle name="Normal 2 4 6 5" xfId="3688" xr:uid="{00000000-0005-0000-0000-00006C0E0000}"/>
    <cellStyle name="Normal 2 4 6 5 2" xfId="17912" xr:uid="{00000000-0005-0000-0000-0000FC450000}"/>
    <cellStyle name="Normal 2 4 6 5 2 2" xfId="24424" xr:uid="{00000000-0005-0000-0000-00006C5F0000}"/>
    <cellStyle name="Normal 2 4 6 5 3" xfId="21589" xr:uid="{00000000-0005-0000-0000-000059540000}"/>
    <cellStyle name="Normal 2 4 6 5 4" xfId="9684" xr:uid="{00000000-0005-0000-0000-0000D8250000}"/>
    <cellStyle name="Normal 2 4 6 6" xfId="11009" xr:uid="{00000000-0005-0000-0000-0000052B0000}"/>
    <cellStyle name="Normal 2 4 6 6 2" xfId="22901" xr:uid="{00000000-0005-0000-0000-000079590000}"/>
    <cellStyle name="Normal 2 4 6 7" xfId="20027" xr:uid="{00000000-0005-0000-0000-00003F4E0000}"/>
    <cellStyle name="Normal 2 4 6 8" xfId="7788" xr:uid="{00000000-0005-0000-0000-0000701E0000}"/>
    <cellStyle name="Normal 2 4 7" xfId="1100" xr:uid="{00000000-0005-0000-0000-000050040000}"/>
    <cellStyle name="Normal 2 4 7 2" xfId="2245" xr:uid="{00000000-0005-0000-0000-0000C9080000}"/>
    <cellStyle name="Normal 2 4 7 2 2" xfId="3133" xr:uid="{00000000-0005-0000-0000-0000410C0000}"/>
    <cellStyle name="Normal 2 4 7 2 2 2" xfId="4191" xr:uid="{00000000-0005-0000-0000-000063100000}"/>
    <cellStyle name="Normal 2 4 7 2 2 2 2" xfId="18540" xr:uid="{00000000-0005-0000-0000-000070480000}"/>
    <cellStyle name="Normal 2 4 7 2 2 2 2 2" xfId="25052" xr:uid="{00000000-0005-0000-0000-0000E0610000}"/>
    <cellStyle name="Normal 2 4 7 2 2 2 3" xfId="22217" xr:uid="{00000000-0005-0000-0000-0000CD560000}"/>
    <cellStyle name="Normal 2 4 7 2 2 2 4" xfId="10312" xr:uid="{00000000-0005-0000-0000-00004C280000}"/>
    <cellStyle name="Normal 2 4 7 2 2 3" xfId="17130" xr:uid="{00000000-0005-0000-0000-0000EE420000}"/>
    <cellStyle name="Normal 2 4 7 2 2 3 2" xfId="23787" xr:uid="{00000000-0005-0000-0000-0000EF5C0000}"/>
    <cellStyle name="Normal 2 4 7 2 2 4" xfId="20655" xr:uid="{00000000-0005-0000-0000-0000B3500000}"/>
    <cellStyle name="Normal 2 4 7 2 2 5" xfId="8450" xr:uid="{00000000-0005-0000-0000-000006210000}"/>
    <cellStyle name="Normal 2 4 7 2 3" xfId="3359" xr:uid="{00000000-0005-0000-0000-0000230D0000}"/>
    <cellStyle name="Normal 2 4 7 2 3 2" xfId="4401" xr:uid="{00000000-0005-0000-0000-000035110000}"/>
    <cellStyle name="Normal 2 4 7 2 3 2 2" xfId="18805" xr:uid="{00000000-0005-0000-0000-000079490000}"/>
    <cellStyle name="Normal 2 4 7 2 3 2 2 2" xfId="25317" xr:uid="{00000000-0005-0000-0000-0000E9620000}"/>
    <cellStyle name="Normal 2 4 7 2 3 2 3" xfId="22482" xr:uid="{00000000-0005-0000-0000-0000D6570000}"/>
    <cellStyle name="Normal 2 4 7 2 3 2 4" xfId="10577" xr:uid="{00000000-0005-0000-0000-000055290000}"/>
    <cellStyle name="Normal 2 4 7 2 3 3" xfId="17485" xr:uid="{00000000-0005-0000-0000-000051440000}"/>
    <cellStyle name="Normal 2 4 7 2 3 3 2" xfId="24061" xr:uid="{00000000-0005-0000-0000-0000015E0000}"/>
    <cellStyle name="Normal 2 4 7 2 3 4" xfId="21226" xr:uid="{00000000-0005-0000-0000-0000EE520000}"/>
    <cellStyle name="Normal 2 4 7 2 3 5" xfId="9238" xr:uid="{00000000-0005-0000-0000-00001A240000}"/>
    <cellStyle name="Normal 2 4 7 2 4" xfId="3981" xr:uid="{00000000-0005-0000-0000-0000910F0000}"/>
    <cellStyle name="Normal 2 4 7 2 4 2" xfId="18122" xr:uid="{00000000-0005-0000-0000-0000CE460000}"/>
    <cellStyle name="Normal 2 4 7 2 4 2 2" xfId="24634" xr:uid="{00000000-0005-0000-0000-00003E600000}"/>
    <cellStyle name="Normal 2 4 7 2 4 3" xfId="21799" xr:uid="{00000000-0005-0000-0000-00002B550000}"/>
    <cellStyle name="Normal 2 4 7 2 4 4" xfId="9894" xr:uid="{00000000-0005-0000-0000-0000AA260000}"/>
    <cellStyle name="Normal 2 4 7 2 5" xfId="11012" xr:uid="{00000000-0005-0000-0000-0000082B0000}"/>
    <cellStyle name="Normal 2 4 7 2 5 2" xfId="22904" xr:uid="{00000000-0005-0000-0000-00007C590000}"/>
    <cellStyle name="Normal 2 4 7 2 6" xfId="20237" xr:uid="{00000000-0005-0000-0000-0000114F0000}"/>
    <cellStyle name="Normal 2 4 7 2 7" xfId="8031" xr:uid="{00000000-0005-0000-0000-0000631F0000}"/>
    <cellStyle name="Normal 2 4 7 3" xfId="3012" xr:uid="{00000000-0005-0000-0000-0000C80B0000}"/>
    <cellStyle name="Normal 2 4 7 3 2" xfId="4086" xr:uid="{00000000-0005-0000-0000-0000FA0F0000}"/>
    <cellStyle name="Normal 2 4 7 3 2 2" xfId="10576" xr:uid="{00000000-0005-0000-0000-000054290000}"/>
    <cellStyle name="Normal 2 4 7 3 2 2 2" xfId="18804" xr:uid="{00000000-0005-0000-0000-000078490000}"/>
    <cellStyle name="Normal 2 4 7 3 2 2 2 2" xfId="25316" xr:uid="{00000000-0005-0000-0000-0000E8620000}"/>
    <cellStyle name="Normal 2 4 7 3 2 2 3" xfId="22481" xr:uid="{00000000-0005-0000-0000-0000D5570000}"/>
    <cellStyle name="Normal 2 4 7 3 2 3" xfId="17484" xr:uid="{00000000-0005-0000-0000-000050440000}"/>
    <cellStyle name="Normal 2 4 7 3 2 3 2" xfId="24060" xr:uid="{00000000-0005-0000-0000-0000005E0000}"/>
    <cellStyle name="Normal 2 4 7 3 2 4" xfId="21225" xr:uid="{00000000-0005-0000-0000-0000ED520000}"/>
    <cellStyle name="Normal 2 4 7 3 2 5" xfId="9237" xr:uid="{00000000-0005-0000-0000-000019240000}"/>
    <cellStyle name="Normal 2 4 7 3 3" xfId="10103" xr:uid="{00000000-0005-0000-0000-00007B270000}"/>
    <cellStyle name="Normal 2 4 7 3 3 2" xfId="18331" xr:uid="{00000000-0005-0000-0000-00009F470000}"/>
    <cellStyle name="Normal 2 4 7 3 3 2 2" xfId="24843" xr:uid="{00000000-0005-0000-0000-00000F610000}"/>
    <cellStyle name="Normal 2 4 7 3 3 3" xfId="22008" xr:uid="{00000000-0005-0000-0000-0000FC550000}"/>
    <cellStyle name="Normal 2 4 7 3 4" xfId="16922" xr:uid="{00000000-0005-0000-0000-00001E420000}"/>
    <cellStyle name="Normal 2 4 7 3 4 2" xfId="23579" xr:uid="{00000000-0005-0000-0000-00001F5C0000}"/>
    <cellStyle name="Normal 2 4 7 3 5" xfId="20446" xr:uid="{00000000-0005-0000-0000-0000E24F0000}"/>
    <cellStyle name="Normal 2 4 7 3 6" xfId="8241" xr:uid="{00000000-0005-0000-0000-000035200000}"/>
    <cellStyle name="Normal 2 4 7 4" xfId="3238" xr:uid="{00000000-0005-0000-0000-0000AA0C0000}"/>
    <cellStyle name="Normal 2 4 7 4 2" xfId="4296" xr:uid="{00000000-0005-0000-0000-0000CC100000}"/>
    <cellStyle name="Normal 2 4 7 4 3" xfId="8762" xr:uid="{00000000-0005-0000-0000-00003E220000}"/>
    <cellStyle name="Normal 2 4 7 5" xfId="3689" xr:uid="{00000000-0005-0000-0000-00006D0E0000}"/>
    <cellStyle name="Normal 2 4 7 5 2" xfId="17913" xr:uid="{00000000-0005-0000-0000-0000FD450000}"/>
    <cellStyle name="Normal 2 4 7 5 2 2" xfId="24425" xr:uid="{00000000-0005-0000-0000-00006D5F0000}"/>
    <cellStyle name="Normal 2 4 7 5 3" xfId="21590" xr:uid="{00000000-0005-0000-0000-00005A540000}"/>
    <cellStyle name="Normal 2 4 7 5 4" xfId="9685" xr:uid="{00000000-0005-0000-0000-0000D9250000}"/>
    <cellStyle name="Normal 2 4 7 6" xfId="11011" xr:uid="{00000000-0005-0000-0000-0000072B0000}"/>
    <cellStyle name="Normal 2 4 7 6 2" xfId="22903" xr:uid="{00000000-0005-0000-0000-00007B590000}"/>
    <cellStyle name="Normal 2 4 7 7" xfId="20028" xr:uid="{00000000-0005-0000-0000-0000404E0000}"/>
    <cellStyle name="Normal 2 4 7 8" xfId="7789" xr:uid="{00000000-0005-0000-0000-0000711E0000}"/>
    <cellStyle name="Normal 2 4 8" xfId="1101" xr:uid="{00000000-0005-0000-0000-000051040000}"/>
    <cellStyle name="Normal 2 4 8 2" xfId="2246" xr:uid="{00000000-0005-0000-0000-0000CA080000}"/>
    <cellStyle name="Normal 2 4 8 2 2" xfId="3134" xr:uid="{00000000-0005-0000-0000-0000420C0000}"/>
    <cellStyle name="Normal 2 4 8 2 2 2" xfId="4192" xr:uid="{00000000-0005-0000-0000-000064100000}"/>
    <cellStyle name="Normal 2 4 8 2 2 2 2" xfId="18541" xr:uid="{00000000-0005-0000-0000-000071480000}"/>
    <cellStyle name="Normal 2 4 8 2 2 2 2 2" xfId="25053" xr:uid="{00000000-0005-0000-0000-0000E1610000}"/>
    <cellStyle name="Normal 2 4 8 2 2 2 3" xfId="22218" xr:uid="{00000000-0005-0000-0000-0000CE560000}"/>
    <cellStyle name="Normal 2 4 8 2 2 2 4" xfId="10313" xr:uid="{00000000-0005-0000-0000-00004D280000}"/>
    <cellStyle name="Normal 2 4 8 2 2 3" xfId="17131" xr:uid="{00000000-0005-0000-0000-0000EF420000}"/>
    <cellStyle name="Normal 2 4 8 2 2 3 2" xfId="23788" xr:uid="{00000000-0005-0000-0000-0000F05C0000}"/>
    <cellStyle name="Normal 2 4 8 2 2 4" xfId="20656" xr:uid="{00000000-0005-0000-0000-0000B4500000}"/>
    <cellStyle name="Normal 2 4 8 2 2 5" xfId="8451" xr:uid="{00000000-0005-0000-0000-000007210000}"/>
    <cellStyle name="Normal 2 4 8 2 3" xfId="3360" xr:uid="{00000000-0005-0000-0000-0000240D0000}"/>
    <cellStyle name="Normal 2 4 8 2 3 2" xfId="4402" xr:uid="{00000000-0005-0000-0000-000036110000}"/>
    <cellStyle name="Normal 2 4 8 2 3 2 2" xfId="18807" xr:uid="{00000000-0005-0000-0000-00007B490000}"/>
    <cellStyle name="Normal 2 4 8 2 3 2 2 2" xfId="25319" xr:uid="{00000000-0005-0000-0000-0000EB620000}"/>
    <cellStyle name="Normal 2 4 8 2 3 2 3" xfId="22484" xr:uid="{00000000-0005-0000-0000-0000D8570000}"/>
    <cellStyle name="Normal 2 4 8 2 3 2 4" xfId="10579" xr:uid="{00000000-0005-0000-0000-000057290000}"/>
    <cellStyle name="Normal 2 4 8 2 3 3" xfId="17487" xr:uid="{00000000-0005-0000-0000-000053440000}"/>
    <cellStyle name="Normal 2 4 8 2 3 3 2" xfId="24063" xr:uid="{00000000-0005-0000-0000-0000035E0000}"/>
    <cellStyle name="Normal 2 4 8 2 3 4" xfId="21228" xr:uid="{00000000-0005-0000-0000-0000F0520000}"/>
    <cellStyle name="Normal 2 4 8 2 3 5" xfId="9240" xr:uid="{00000000-0005-0000-0000-00001C240000}"/>
    <cellStyle name="Normal 2 4 8 2 4" xfId="3982" xr:uid="{00000000-0005-0000-0000-0000920F0000}"/>
    <cellStyle name="Normal 2 4 8 2 4 2" xfId="18123" xr:uid="{00000000-0005-0000-0000-0000CF460000}"/>
    <cellStyle name="Normal 2 4 8 2 4 2 2" xfId="24635" xr:uid="{00000000-0005-0000-0000-00003F600000}"/>
    <cellStyle name="Normal 2 4 8 2 4 3" xfId="21800" xr:uid="{00000000-0005-0000-0000-00002C550000}"/>
    <cellStyle name="Normal 2 4 8 2 4 4" xfId="9895" xr:uid="{00000000-0005-0000-0000-0000AB260000}"/>
    <cellStyle name="Normal 2 4 8 2 5" xfId="11014" xr:uid="{00000000-0005-0000-0000-00000A2B0000}"/>
    <cellStyle name="Normal 2 4 8 2 5 2" xfId="22906" xr:uid="{00000000-0005-0000-0000-00007E590000}"/>
    <cellStyle name="Normal 2 4 8 2 6" xfId="20238" xr:uid="{00000000-0005-0000-0000-0000124F0000}"/>
    <cellStyle name="Normal 2 4 8 2 7" xfId="8032" xr:uid="{00000000-0005-0000-0000-0000641F0000}"/>
    <cellStyle name="Normal 2 4 8 3" xfId="3013" xr:uid="{00000000-0005-0000-0000-0000C90B0000}"/>
    <cellStyle name="Normal 2 4 8 3 2" xfId="4087" xr:uid="{00000000-0005-0000-0000-0000FB0F0000}"/>
    <cellStyle name="Normal 2 4 8 3 2 2" xfId="10578" xr:uid="{00000000-0005-0000-0000-000056290000}"/>
    <cellStyle name="Normal 2 4 8 3 2 2 2" xfId="18806" xr:uid="{00000000-0005-0000-0000-00007A490000}"/>
    <cellStyle name="Normal 2 4 8 3 2 2 2 2" xfId="25318" xr:uid="{00000000-0005-0000-0000-0000EA620000}"/>
    <cellStyle name="Normal 2 4 8 3 2 2 3" xfId="22483" xr:uid="{00000000-0005-0000-0000-0000D7570000}"/>
    <cellStyle name="Normal 2 4 8 3 2 3" xfId="17486" xr:uid="{00000000-0005-0000-0000-000052440000}"/>
    <cellStyle name="Normal 2 4 8 3 2 3 2" xfId="24062" xr:uid="{00000000-0005-0000-0000-0000025E0000}"/>
    <cellStyle name="Normal 2 4 8 3 2 4" xfId="21227" xr:uid="{00000000-0005-0000-0000-0000EF520000}"/>
    <cellStyle name="Normal 2 4 8 3 2 5" xfId="9239" xr:uid="{00000000-0005-0000-0000-00001B240000}"/>
    <cellStyle name="Normal 2 4 8 3 3" xfId="10104" xr:uid="{00000000-0005-0000-0000-00007C270000}"/>
    <cellStyle name="Normal 2 4 8 3 3 2" xfId="18332" xr:uid="{00000000-0005-0000-0000-0000A0470000}"/>
    <cellStyle name="Normal 2 4 8 3 3 2 2" xfId="24844" xr:uid="{00000000-0005-0000-0000-000010610000}"/>
    <cellStyle name="Normal 2 4 8 3 3 3" xfId="22009" xr:uid="{00000000-0005-0000-0000-0000FD550000}"/>
    <cellStyle name="Normal 2 4 8 3 4" xfId="16923" xr:uid="{00000000-0005-0000-0000-00001F420000}"/>
    <cellStyle name="Normal 2 4 8 3 4 2" xfId="23580" xr:uid="{00000000-0005-0000-0000-0000205C0000}"/>
    <cellStyle name="Normal 2 4 8 3 5" xfId="20447" xr:uid="{00000000-0005-0000-0000-0000E34F0000}"/>
    <cellStyle name="Normal 2 4 8 3 6" xfId="8242" xr:uid="{00000000-0005-0000-0000-000036200000}"/>
    <cellStyle name="Normal 2 4 8 4" xfId="3239" xr:uid="{00000000-0005-0000-0000-0000AB0C0000}"/>
    <cellStyle name="Normal 2 4 8 4 2" xfId="4297" xr:uid="{00000000-0005-0000-0000-0000CD100000}"/>
    <cellStyle name="Normal 2 4 8 4 3" xfId="8763" xr:uid="{00000000-0005-0000-0000-00003F220000}"/>
    <cellStyle name="Normal 2 4 8 5" xfId="3690" xr:uid="{00000000-0005-0000-0000-00006E0E0000}"/>
    <cellStyle name="Normal 2 4 8 5 2" xfId="17914" xr:uid="{00000000-0005-0000-0000-0000FE450000}"/>
    <cellStyle name="Normal 2 4 8 5 2 2" xfId="24426" xr:uid="{00000000-0005-0000-0000-00006E5F0000}"/>
    <cellStyle name="Normal 2 4 8 5 3" xfId="21591" xr:uid="{00000000-0005-0000-0000-00005B540000}"/>
    <cellStyle name="Normal 2 4 8 5 4" xfId="9686" xr:uid="{00000000-0005-0000-0000-0000DA250000}"/>
    <cellStyle name="Normal 2 4 8 6" xfId="11013" xr:uid="{00000000-0005-0000-0000-0000092B0000}"/>
    <cellStyle name="Normal 2 4 8 6 2" xfId="22905" xr:uid="{00000000-0005-0000-0000-00007D590000}"/>
    <cellStyle name="Normal 2 4 8 7" xfId="20029" xr:uid="{00000000-0005-0000-0000-0000414E0000}"/>
    <cellStyle name="Normal 2 4 8 8" xfId="7790" xr:uid="{00000000-0005-0000-0000-0000721E0000}"/>
    <cellStyle name="Normal 2 4 9" xfId="1102" xr:uid="{00000000-0005-0000-0000-000052040000}"/>
    <cellStyle name="Normal 2 4 9 2" xfId="2247" xr:uid="{00000000-0005-0000-0000-0000CB080000}"/>
    <cellStyle name="Normal 2 4 9 2 2" xfId="3135" xr:uid="{00000000-0005-0000-0000-0000430C0000}"/>
    <cellStyle name="Normal 2 4 9 2 2 2" xfId="4193" xr:uid="{00000000-0005-0000-0000-000065100000}"/>
    <cellStyle name="Normal 2 4 9 2 2 2 2" xfId="18542" xr:uid="{00000000-0005-0000-0000-000072480000}"/>
    <cellStyle name="Normal 2 4 9 2 2 2 2 2" xfId="25054" xr:uid="{00000000-0005-0000-0000-0000E2610000}"/>
    <cellStyle name="Normal 2 4 9 2 2 2 3" xfId="22219" xr:uid="{00000000-0005-0000-0000-0000CF560000}"/>
    <cellStyle name="Normal 2 4 9 2 2 2 4" xfId="10314" xr:uid="{00000000-0005-0000-0000-00004E280000}"/>
    <cellStyle name="Normal 2 4 9 2 2 3" xfId="17132" xr:uid="{00000000-0005-0000-0000-0000F0420000}"/>
    <cellStyle name="Normal 2 4 9 2 2 3 2" xfId="23789" xr:uid="{00000000-0005-0000-0000-0000F15C0000}"/>
    <cellStyle name="Normal 2 4 9 2 2 4" xfId="20657" xr:uid="{00000000-0005-0000-0000-0000B5500000}"/>
    <cellStyle name="Normal 2 4 9 2 2 5" xfId="8452" xr:uid="{00000000-0005-0000-0000-000008210000}"/>
    <cellStyle name="Normal 2 4 9 2 3" xfId="3361" xr:uid="{00000000-0005-0000-0000-0000250D0000}"/>
    <cellStyle name="Normal 2 4 9 2 3 2" xfId="4403" xr:uid="{00000000-0005-0000-0000-000037110000}"/>
    <cellStyle name="Normal 2 4 9 2 3 2 2" xfId="18809" xr:uid="{00000000-0005-0000-0000-00007D490000}"/>
    <cellStyle name="Normal 2 4 9 2 3 2 2 2" xfId="25321" xr:uid="{00000000-0005-0000-0000-0000ED620000}"/>
    <cellStyle name="Normal 2 4 9 2 3 2 3" xfId="22486" xr:uid="{00000000-0005-0000-0000-0000DA570000}"/>
    <cellStyle name="Normal 2 4 9 2 3 2 4" xfId="10581" xr:uid="{00000000-0005-0000-0000-000059290000}"/>
    <cellStyle name="Normal 2 4 9 2 3 3" xfId="17489" xr:uid="{00000000-0005-0000-0000-000055440000}"/>
    <cellStyle name="Normal 2 4 9 2 3 3 2" xfId="24065" xr:uid="{00000000-0005-0000-0000-0000055E0000}"/>
    <cellStyle name="Normal 2 4 9 2 3 4" xfId="21230" xr:uid="{00000000-0005-0000-0000-0000F2520000}"/>
    <cellStyle name="Normal 2 4 9 2 3 5" xfId="9242" xr:uid="{00000000-0005-0000-0000-00001E240000}"/>
    <cellStyle name="Normal 2 4 9 2 4" xfId="3983" xr:uid="{00000000-0005-0000-0000-0000930F0000}"/>
    <cellStyle name="Normal 2 4 9 2 4 2" xfId="18124" xr:uid="{00000000-0005-0000-0000-0000D0460000}"/>
    <cellStyle name="Normal 2 4 9 2 4 2 2" xfId="24636" xr:uid="{00000000-0005-0000-0000-000040600000}"/>
    <cellStyle name="Normal 2 4 9 2 4 3" xfId="21801" xr:uid="{00000000-0005-0000-0000-00002D550000}"/>
    <cellStyle name="Normal 2 4 9 2 4 4" xfId="9896" xr:uid="{00000000-0005-0000-0000-0000AC260000}"/>
    <cellStyle name="Normal 2 4 9 2 5" xfId="11016" xr:uid="{00000000-0005-0000-0000-00000C2B0000}"/>
    <cellStyle name="Normal 2 4 9 2 5 2" xfId="22908" xr:uid="{00000000-0005-0000-0000-000080590000}"/>
    <cellStyle name="Normal 2 4 9 2 6" xfId="20239" xr:uid="{00000000-0005-0000-0000-0000134F0000}"/>
    <cellStyle name="Normal 2 4 9 2 7" xfId="8033" xr:uid="{00000000-0005-0000-0000-0000651F0000}"/>
    <cellStyle name="Normal 2 4 9 3" xfId="3014" xr:uid="{00000000-0005-0000-0000-0000CA0B0000}"/>
    <cellStyle name="Normal 2 4 9 3 2" xfId="4088" xr:uid="{00000000-0005-0000-0000-0000FC0F0000}"/>
    <cellStyle name="Normal 2 4 9 3 2 2" xfId="10580" xr:uid="{00000000-0005-0000-0000-000058290000}"/>
    <cellStyle name="Normal 2 4 9 3 2 2 2" xfId="18808" xr:uid="{00000000-0005-0000-0000-00007C490000}"/>
    <cellStyle name="Normal 2 4 9 3 2 2 2 2" xfId="25320" xr:uid="{00000000-0005-0000-0000-0000EC620000}"/>
    <cellStyle name="Normal 2 4 9 3 2 2 3" xfId="22485" xr:uid="{00000000-0005-0000-0000-0000D9570000}"/>
    <cellStyle name="Normal 2 4 9 3 2 3" xfId="17488" xr:uid="{00000000-0005-0000-0000-000054440000}"/>
    <cellStyle name="Normal 2 4 9 3 2 3 2" xfId="24064" xr:uid="{00000000-0005-0000-0000-0000045E0000}"/>
    <cellStyle name="Normal 2 4 9 3 2 4" xfId="21229" xr:uid="{00000000-0005-0000-0000-0000F1520000}"/>
    <cellStyle name="Normal 2 4 9 3 2 5" xfId="9241" xr:uid="{00000000-0005-0000-0000-00001D240000}"/>
    <cellStyle name="Normal 2 4 9 3 3" xfId="10105" xr:uid="{00000000-0005-0000-0000-00007D270000}"/>
    <cellStyle name="Normal 2 4 9 3 3 2" xfId="18333" xr:uid="{00000000-0005-0000-0000-0000A1470000}"/>
    <cellStyle name="Normal 2 4 9 3 3 2 2" xfId="24845" xr:uid="{00000000-0005-0000-0000-000011610000}"/>
    <cellStyle name="Normal 2 4 9 3 3 3" xfId="22010" xr:uid="{00000000-0005-0000-0000-0000FE550000}"/>
    <cellStyle name="Normal 2 4 9 3 4" xfId="16924" xr:uid="{00000000-0005-0000-0000-000020420000}"/>
    <cellStyle name="Normal 2 4 9 3 4 2" xfId="23581" xr:uid="{00000000-0005-0000-0000-0000215C0000}"/>
    <cellStyle name="Normal 2 4 9 3 5" xfId="20448" xr:uid="{00000000-0005-0000-0000-0000E44F0000}"/>
    <cellStyle name="Normal 2 4 9 3 6" xfId="8243" xr:uid="{00000000-0005-0000-0000-000037200000}"/>
    <cellStyle name="Normal 2 4 9 4" xfId="3240" xr:uid="{00000000-0005-0000-0000-0000AC0C0000}"/>
    <cellStyle name="Normal 2 4 9 4 2" xfId="4298" xr:uid="{00000000-0005-0000-0000-0000CE100000}"/>
    <cellStyle name="Normal 2 4 9 4 3" xfId="8764" xr:uid="{00000000-0005-0000-0000-000040220000}"/>
    <cellStyle name="Normal 2 4 9 5" xfId="3691" xr:uid="{00000000-0005-0000-0000-00006F0E0000}"/>
    <cellStyle name="Normal 2 4 9 5 2" xfId="17915" xr:uid="{00000000-0005-0000-0000-0000FF450000}"/>
    <cellStyle name="Normal 2 4 9 5 2 2" xfId="24427" xr:uid="{00000000-0005-0000-0000-00006F5F0000}"/>
    <cellStyle name="Normal 2 4 9 5 3" xfId="21592" xr:uid="{00000000-0005-0000-0000-00005C540000}"/>
    <cellStyle name="Normal 2 4 9 5 4" xfId="9687" xr:uid="{00000000-0005-0000-0000-0000DB250000}"/>
    <cellStyle name="Normal 2 4 9 6" xfId="11015" xr:uid="{00000000-0005-0000-0000-00000B2B0000}"/>
    <cellStyle name="Normal 2 4 9 6 2" xfId="22907" xr:uid="{00000000-0005-0000-0000-00007F590000}"/>
    <cellStyle name="Normal 2 4 9 7" xfId="20030" xr:uid="{00000000-0005-0000-0000-0000424E0000}"/>
    <cellStyle name="Normal 2 4 9 8" xfId="7791" xr:uid="{00000000-0005-0000-0000-0000731E0000}"/>
    <cellStyle name="Normal 2 40" xfId="6294" xr:uid="{00000000-0005-0000-0000-00009A180000}"/>
    <cellStyle name="Normal 2 41" xfId="6295" xr:uid="{00000000-0005-0000-0000-00009B180000}"/>
    <cellStyle name="Normal 2 42" xfId="6296" xr:uid="{00000000-0005-0000-0000-00009C180000}"/>
    <cellStyle name="Normal 2 43" xfId="6297" xr:uid="{00000000-0005-0000-0000-00009D180000}"/>
    <cellStyle name="Normal 2 44" xfId="6298" xr:uid="{00000000-0005-0000-0000-00009E180000}"/>
    <cellStyle name="Normal 2 45" xfId="6299" xr:uid="{00000000-0005-0000-0000-00009F180000}"/>
    <cellStyle name="Normal 2 45 2" xfId="7938" xr:uid="{00000000-0005-0000-0000-0000061F0000}"/>
    <cellStyle name="Normal 2 45 2 2" xfId="8357" xr:uid="{00000000-0005-0000-0000-0000A9200000}"/>
    <cellStyle name="Normal 2 45 2 2 2" xfId="10219" xr:uid="{00000000-0005-0000-0000-0000EF270000}"/>
    <cellStyle name="Normal 2 45 2 2 2 2" xfId="18447" xr:uid="{00000000-0005-0000-0000-000013480000}"/>
    <cellStyle name="Normal 2 45 2 2 2 2 2" xfId="24959" xr:uid="{00000000-0005-0000-0000-000083610000}"/>
    <cellStyle name="Normal 2 45 2 2 2 3" xfId="22124" xr:uid="{00000000-0005-0000-0000-000070560000}"/>
    <cellStyle name="Normal 2 45 2 2 3" xfId="17037" xr:uid="{00000000-0005-0000-0000-000091420000}"/>
    <cellStyle name="Normal 2 45 2 2 3 2" xfId="23694" xr:uid="{00000000-0005-0000-0000-0000925C0000}"/>
    <cellStyle name="Normal 2 45 2 2 4" xfId="20562" xr:uid="{00000000-0005-0000-0000-000056500000}"/>
    <cellStyle name="Normal 2 45 2 3" xfId="9244" xr:uid="{00000000-0005-0000-0000-000020240000}"/>
    <cellStyle name="Normal 2 45 2 3 2" xfId="10583" xr:uid="{00000000-0005-0000-0000-00005B290000}"/>
    <cellStyle name="Normal 2 45 2 3 2 2" xfId="18811" xr:uid="{00000000-0005-0000-0000-00007F490000}"/>
    <cellStyle name="Normal 2 45 2 3 2 2 2" xfId="25323" xr:uid="{00000000-0005-0000-0000-0000EF620000}"/>
    <cellStyle name="Normal 2 45 2 3 2 3" xfId="22488" xr:uid="{00000000-0005-0000-0000-0000DC570000}"/>
    <cellStyle name="Normal 2 45 2 3 3" xfId="17491" xr:uid="{00000000-0005-0000-0000-000057440000}"/>
    <cellStyle name="Normal 2 45 2 3 3 2" xfId="24067" xr:uid="{00000000-0005-0000-0000-0000075E0000}"/>
    <cellStyle name="Normal 2 45 2 3 4" xfId="21232" xr:uid="{00000000-0005-0000-0000-0000F4520000}"/>
    <cellStyle name="Normal 2 45 2 4" xfId="9801" xr:uid="{00000000-0005-0000-0000-00004D260000}"/>
    <cellStyle name="Normal 2 45 2 4 2" xfId="18029" xr:uid="{00000000-0005-0000-0000-000071460000}"/>
    <cellStyle name="Normal 2 45 2 4 2 2" xfId="24541" xr:uid="{00000000-0005-0000-0000-0000E15F0000}"/>
    <cellStyle name="Normal 2 45 2 4 3" xfId="21706" xr:uid="{00000000-0005-0000-0000-0000CE540000}"/>
    <cellStyle name="Normal 2 45 2 5" xfId="11018" xr:uid="{00000000-0005-0000-0000-00000E2B0000}"/>
    <cellStyle name="Normal 2 45 2 5 2" xfId="22910" xr:uid="{00000000-0005-0000-0000-000082590000}"/>
    <cellStyle name="Normal 2 45 2 6" xfId="20144" xr:uid="{00000000-0005-0000-0000-0000B44E0000}"/>
    <cellStyle name="Normal 2 45 3" xfId="8148" xr:uid="{00000000-0005-0000-0000-0000D81F0000}"/>
    <cellStyle name="Normal 2 45 3 2" xfId="10010" xr:uid="{00000000-0005-0000-0000-00001E270000}"/>
    <cellStyle name="Normal 2 45 3 2 2" xfId="18238" xr:uid="{00000000-0005-0000-0000-000042470000}"/>
    <cellStyle name="Normal 2 45 3 2 2 2" xfId="24750" xr:uid="{00000000-0005-0000-0000-0000B2600000}"/>
    <cellStyle name="Normal 2 45 3 2 3" xfId="21915" xr:uid="{00000000-0005-0000-0000-00009F550000}"/>
    <cellStyle name="Normal 2 45 3 3" xfId="16837" xr:uid="{00000000-0005-0000-0000-0000C9410000}"/>
    <cellStyle name="Normal 2 45 3 3 2" xfId="23496" xr:uid="{00000000-0005-0000-0000-0000CC5B0000}"/>
    <cellStyle name="Normal 2 45 3 4" xfId="12738" xr:uid="{00000000-0005-0000-0000-0000C6310000}"/>
    <cellStyle name="Normal 2 45 3 5" xfId="20353" xr:uid="{00000000-0005-0000-0000-0000854F0000}"/>
    <cellStyle name="Normal 2 45 4" xfId="9243" xr:uid="{00000000-0005-0000-0000-00001F240000}"/>
    <cellStyle name="Normal 2 45 4 2" xfId="10582" xr:uid="{00000000-0005-0000-0000-00005A290000}"/>
    <cellStyle name="Normal 2 45 4 2 2" xfId="18810" xr:uid="{00000000-0005-0000-0000-00007E490000}"/>
    <cellStyle name="Normal 2 45 4 2 2 2" xfId="25322" xr:uid="{00000000-0005-0000-0000-0000EE620000}"/>
    <cellStyle name="Normal 2 45 4 2 3" xfId="22487" xr:uid="{00000000-0005-0000-0000-0000DB570000}"/>
    <cellStyle name="Normal 2 45 4 3" xfId="17490" xr:uid="{00000000-0005-0000-0000-000056440000}"/>
    <cellStyle name="Normal 2 45 4 3 2" xfId="24066" xr:uid="{00000000-0005-0000-0000-0000065E0000}"/>
    <cellStyle name="Normal 2 45 4 4" xfId="21231" xr:uid="{00000000-0005-0000-0000-0000F3520000}"/>
    <cellStyle name="Normal 2 45 5" xfId="9592" xr:uid="{00000000-0005-0000-0000-00007C250000}"/>
    <cellStyle name="Normal 2 45 5 2" xfId="17820" xr:uid="{00000000-0005-0000-0000-0000A0450000}"/>
    <cellStyle name="Normal 2 45 5 2 2" xfId="24332" xr:uid="{00000000-0005-0000-0000-0000105F0000}"/>
    <cellStyle name="Normal 2 45 5 3" xfId="21497" xr:uid="{00000000-0005-0000-0000-0000FD530000}"/>
    <cellStyle name="Normal 2 45 6" xfId="11017" xr:uid="{00000000-0005-0000-0000-00000D2B0000}"/>
    <cellStyle name="Normal 2 45 6 2" xfId="22909" xr:uid="{00000000-0005-0000-0000-000081590000}"/>
    <cellStyle name="Normal 2 45 7" xfId="19709" xr:uid="{00000000-0005-0000-0000-0000014D0000}"/>
    <cellStyle name="Normal 2 46" xfId="6254" xr:uid="{00000000-0005-0000-0000-000072180000}"/>
    <cellStyle name="Normal 2 46 2" xfId="7929" xr:uid="{00000000-0005-0000-0000-0000FD1E0000}"/>
    <cellStyle name="Normal 2 46 2 2" xfId="8348" xr:uid="{00000000-0005-0000-0000-0000A0200000}"/>
    <cellStyle name="Normal 2 46 2 2 2" xfId="10210" xr:uid="{00000000-0005-0000-0000-0000E6270000}"/>
    <cellStyle name="Normal 2 46 2 2 2 2" xfId="18438" xr:uid="{00000000-0005-0000-0000-00000A480000}"/>
    <cellStyle name="Normal 2 46 2 2 2 2 2" xfId="24950" xr:uid="{00000000-0005-0000-0000-00007A610000}"/>
    <cellStyle name="Normal 2 46 2 2 2 3" xfId="22115" xr:uid="{00000000-0005-0000-0000-000067560000}"/>
    <cellStyle name="Normal 2 46 2 2 3" xfId="17028" xr:uid="{00000000-0005-0000-0000-000088420000}"/>
    <cellStyle name="Normal 2 46 2 2 3 2" xfId="23685" xr:uid="{00000000-0005-0000-0000-0000895C0000}"/>
    <cellStyle name="Normal 2 46 2 2 4" xfId="20553" xr:uid="{00000000-0005-0000-0000-00004D500000}"/>
    <cellStyle name="Normal 2 46 2 3" xfId="9246" xr:uid="{00000000-0005-0000-0000-000022240000}"/>
    <cellStyle name="Normal 2 46 2 3 2" xfId="10585" xr:uid="{00000000-0005-0000-0000-00005D290000}"/>
    <cellStyle name="Normal 2 46 2 3 2 2" xfId="18813" xr:uid="{00000000-0005-0000-0000-000081490000}"/>
    <cellStyle name="Normal 2 46 2 3 2 2 2" xfId="25325" xr:uid="{00000000-0005-0000-0000-0000F1620000}"/>
    <cellStyle name="Normal 2 46 2 3 2 3" xfId="22490" xr:uid="{00000000-0005-0000-0000-0000DE570000}"/>
    <cellStyle name="Normal 2 46 2 3 3" xfId="17493" xr:uid="{00000000-0005-0000-0000-000059440000}"/>
    <cellStyle name="Normal 2 46 2 3 3 2" xfId="24069" xr:uid="{00000000-0005-0000-0000-0000095E0000}"/>
    <cellStyle name="Normal 2 46 2 3 4" xfId="21234" xr:uid="{00000000-0005-0000-0000-0000F6520000}"/>
    <cellStyle name="Normal 2 46 2 4" xfId="9792" xr:uid="{00000000-0005-0000-0000-000044260000}"/>
    <cellStyle name="Normal 2 46 2 4 2" xfId="18020" xr:uid="{00000000-0005-0000-0000-000068460000}"/>
    <cellStyle name="Normal 2 46 2 4 2 2" xfId="24532" xr:uid="{00000000-0005-0000-0000-0000D85F0000}"/>
    <cellStyle name="Normal 2 46 2 4 3" xfId="21697" xr:uid="{00000000-0005-0000-0000-0000C5540000}"/>
    <cellStyle name="Normal 2 46 2 5" xfId="11020" xr:uid="{00000000-0005-0000-0000-0000102B0000}"/>
    <cellStyle name="Normal 2 46 2 5 2" xfId="22912" xr:uid="{00000000-0005-0000-0000-000084590000}"/>
    <cellStyle name="Normal 2 46 2 6" xfId="20135" xr:uid="{00000000-0005-0000-0000-0000AB4E0000}"/>
    <cellStyle name="Normal 2 46 3" xfId="8139" xr:uid="{00000000-0005-0000-0000-0000CF1F0000}"/>
    <cellStyle name="Normal 2 46 3 2" xfId="10001" xr:uid="{00000000-0005-0000-0000-000015270000}"/>
    <cellStyle name="Normal 2 46 3 2 2" xfId="18229" xr:uid="{00000000-0005-0000-0000-000039470000}"/>
    <cellStyle name="Normal 2 46 3 2 2 2" xfId="24741" xr:uid="{00000000-0005-0000-0000-0000A9600000}"/>
    <cellStyle name="Normal 2 46 3 2 3" xfId="21906" xr:uid="{00000000-0005-0000-0000-000096550000}"/>
    <cellStyle name="Normal 2 46 3 3" xfId="16828" xr:uid="{00000000-0005-0000-0000-0000C0410000}"/>
    <cellStyle name="Normal 2 46 3 3 2" xfId="23487" xr:uid="{00000000-0005-0000-0000-0000C35B0000}"/>
    <cellStyle name="Normal 2 46 3 4" xfId="20344" xr:uid="{00000000-0005-0000-0000-00007C4F0000}"/>
    <cellStyle name="Normal 2 46 4" xfId="9245" xr:uid="{00000000-0005-0000-0000-000021240000}"/>
    <cellStyle name="Normal 2 46 4 2" xfId="10584" xr:uid="{00000000-0005-0000-0000-00005C290000}"/>
    <cellStyle name="Normal 2 46 4 2 2" xfId="18812" xr:uid="{00000000-0005-0000-0000-000080490000}"/>
    <cellStyle name="Normal 2 46 4 2 2 2" xfId="25324" xr:uid="{00000000-0005-0000-0000-0000F0620000}"/>
    <cellStyle name="Normal 2 46 4 2 3" xfId="22489" xr:uid="{00000000-0005-0000-0000-0000DD570000}"/>
    <cellStyle name="Normal 2 46 4 3" xfId="17492" xr:uid="{00000000-0005-0000-0000-000058440000}"/>
    <cellStyle name="Normal 2 46 4 3 2" xfId="24068" xr:uid="{00000000-0005-0000-0000-0000085E0000}"/>
    <cellStyle name="Normal 2 46 4 4" xfId="21233" xr:uid="{00000000-0005-0000-0000-0000F5520000}"/>
    <cellStyle name="Normal 2 46 5" xfId="9583" xr:uid="{00000000-0005-0000-0000-000073250000}"/>
    <cellStyle name="Normal 2 46 5 2" xfId="17811" xr:uid="{00000000-0005-0000-0000-000097450000}"/>
    <cellStyle name="Normal 2 46 5 2 2" xfId="24323" xr:uid="{00000000-0005-0000-0000-0000075F0000}"/>
    <cellStyle name="Normal 2 46 5 3" xfId="21488" xr:uid="{00000000-0005-0000-0000-0000F4530000}"/>
    <cellStyle name="Normal 2 46 6" xfId="11019" xr:uid="{00000000-0005-0000-0000-00000F2B0000}"/>
    <cellStyle name="Normal 2 46 6 2" xfId="22911" xr:uid="{00000000-0005-0000-0000-000083590000}"/>
    <cellStyle name="Normal 2 46 7" xfId="19700" xr:uid="{00000000-0005-0000-0000-0000F84C0000}"/>
    <cellStyle name="Normal 2 47" xfId="7867" xr:uid="{00000000-0005-0000-0000-0000BF1E0000}"/>
    <cellStyle name="Normal 2 47 2" xfId="8080" xr:uid="{00000000-0005-0000-0000-0000941F0000}"/>
    <cellStyle name="Normal 2 47 2 2" xfId="8498" xr:uid="{00000000-0005-0000-0000-000036210000}"/>
    <cellStyle name="Normal 2 47 2 2 2" xfId="10360" xr:uid="{00000000-0005-0000-0000-00007C280000}"/>
    <cellStyle name="Normal 2 47 2 2 2 2" xfId="18588" xr:uid="{00000000-0005-0000-0000-0000A0480000}"/>
    <cellStyle name="Normal 2 47 2 2 2 2 2" xfId="25100" xr:uid="{00000000-0005-0000-0000-000010620000}"/>
    <cellStyle name="Normal 2 47 2 2 2 3" xfId="22265" xr:uid="{00000000-0005-0000-0000-0000FD560000}"/>
    <cellStyle name="Normal 2 47 2 2 3" xfId="17178" xr:uid="{00000000-0005-0000-0000-00001E430000}"/>
    <cellStyle name="Normal 2 47 2 2 3 2" xfId="23835" xr:uid="{00000000-0005-0000-0000-00001F5D0000}"/>
    <cellStyle name="Normal 2 47 2 2 4" xfId="20703" xr:uid="{00000000-0005-0000-0000-0000E3500000}"/>
    <cellStyle name="Normal 2 47 2 3" xfId="9248" xr:uid="{00000000-0005-0000-0000-000024240000}"/>
    <cellStyle name="Normal 2 47 2 3 2" xfId="10587" xr:uid="{00000000-0005-0000-0000-00005F290000}"/>
    <cellStyle name="Normal 2 47 2 3 2 2" xfId="18815" xr:uid="{00000000-0005-0000-0000-000083490000}"/>
    <cellStyle name="Normal 2 47 2 3 2 2 2" xfId="25327" xr:uid="{00000000-0005-0000-0000-0000F3620000}"/>
    <cellStyle name="Normal 2 47 2 3 2 3" xfId="22492" xr:uid="{00000000-0005-0000-0000-0000E0570000}"/>
    <cellStyle name="Normal 2 47 2 3 3" xfId="17495" xr:uid="{00000000-0005-0000-0000-00005B440000}"/>
    <cellStyle name="Normal 2 47 2 3 3 2" xfId="24071" xr:uid="{00000000-0005-0000-0000-00000B5E0000}"/>
    <cellStyle name="Normal 2 47 2 3 4" xfId="21236" xr:uid="{00000000-0005-0000-0000-0000F8520000}"/>
    <cellStyle name="Normal 2 47 2 4" xfId="9942" xr:uid="{00000000-0005-0000-0000-0000DA260000}"/>
    <cellStyle name="Normal 2 47 2 4 2" xfId="18170" xr:uid="{00000000-0005-0000-0000-0000FE460000}"/>
    <cellStyle name="Normal 2 47 2 4 2 2" xfId="24682" xr:uid="{00000000-0005-0000-0000-00006E600000}"/>
    <cellStyle name="Normal 2 47 2 4 3" xfId="21847" xr:uid="{00000000-0005-0000-0000-00005B550000}"/>
    <cellStyle name="Normal 2 47 2 5" xfId="11022" xr:uid="{00000000-0005-0000-0000-0000122B0000}"/>
    <cellStyle name="Normal 2 47 2 5 2" xfId="22914" xr:uid="{00000000-0005-0000-0000-000086590000}"/>
    <cellStyle name="Normal 2 47 2 6" xfId="20285" xr:uid="{00000000-0005-0000-0000-0000414F0000}"/>
    <cellStyle name="Normal 2 47 3" xfId="8289" xr:uid="{00000000-0005-0000-0000-000065200000}"/>
    <cellStyle name="Normal 2 47 3 2" xfId="10151" xr:uid="{00000000-0005-0000-0000-0000AB270000}"/>
    <cellStyle name="Normal 2 47 3 2 2" xfId="18379" xr:uid="{00000000-0005-0000-0000-0000CF470000}"/>
    <cellStyle name="Normal 2 47 3 2 2 2" xfId="24891" xr:uid="{00000000-0005-0000-0000-00003F610000}"/>
    <cellStyle name="Normal 2 47 3 2 3" xfId="22056" xr:uid="{00000000-0005-0000-0000-00002C560000}"/>
    <cellStyle name="Normal 2 47 3 3" xfId="16969" xr:uid="{00000000-0005-0000-0000-00004D420000}"/>
    <cellStyle name="Normal 2 47 3 3 2" xfId="23626" xr:uid="{00000000-0005-0000-0000-00004E5C0000}"/>
    <cellStyle name="Normal 2 47 3 4" xfId="20494" xr:uid="{00000000-0005-0000-0000-000012500000}"/>
    <cellStyle name="Normal 2 47 4" xfId="9247" xr:uid="{00000000-0005-0000-0000-000023240000}"/>
    <cellStyle name="Normal 2 47 4 2" xfId="10586" xr:uid="{00000000-0005-0000-0000-00005E290000}"/>
    <cellStyle name="Normal 2 47 4 2 2" xfId="18814" xr:uid="{00000000-0005-0000-0000-000082490000}"/>
    <cellStyle name="Normal 2 47 4 2 2 2" xfId="25326" xr:uid="{00000000-0005-0000-0000-0000F2620000}"/>
    <cellStyle name="Normal 2 47 4 2 3" xfId="22491" xr:uid="{00000000-0005-0000-0000-0000DF570000}"/>
    <cellStyle name="Normal 2 47 4 3" xfId="17494" xr:uid="{00000000-0005-0000-0000-00005A440000}"/>
    <cellStyle name="Normal 2 47 4 3 2" xfId="24070" xr:uid="{00000000-0005-0000-0000-00000A5E0000}"/>
    <cellStyle name="Normal 2 47 4 4" xfId="21235" xr:uid="{00000000-0005-0000-0000-0000F7520000}"/>
    <cellStyle name="Normal 2 47 5" xfId="9733" xr:uid="{00000000-0005-0000-0000-000009260000}"/>
    <cellStyle name="Normal 2 47 5 2" xfId="17961" xr:uid="{00000000-0005-0000-0000-00002D460000}"/>
    <cellStyle name="Normal 2 47 5 2 2" xfId="24473" xr:uid="{00000000-0005-0000-0000-00009D5F0000}"/>
    <cellStyle name="Normal 2 47 5 3" xfId="21638" xr:uid="{00000000-0005-0000-0000-00008A540000}"/>
    <cellStyle name="Normal 2 47 6" xfId="11021" xr:uid="{00000000-0005-0000-0000-0000112B0000}"/>
    <cellStyle name="Normal 2 47 6 2" xfId="22913" xr:uid="{00000000-0005-0000-0000-000085590000}"/>
    <cellStyle name="Normal 2 47 7" xfId="20076" xr:uid="{00000000-0005-0000-0000-0000704E0000}"/>
    <cellStyle name="Normal 2 48" xfId="7879" xr:uid="{00000000-0005-0000-0000-0000CB1E0000}"/>
    <cellStyle name="Normal 2 48 2" xfId="8092" xr:uid="{00000000-0005-0000-0000-0000A01F0000}"/>
    <cellStyle name="Normal 2 48 2 2" xfId="8510" xr:uid="{00000000-0005-0000-0000-000042210000}"/>
    <cellStyle name="Normal 2 48 2 2 2" xfId="10372" xr:uid="{00000000-0005-0000-0000-000088280000}"/>
    <cellStyle name="Normal 2 48 2 2 2 2" xfId="18600" xr:uid="{00000000-0005-0000-0000-0000AC480000}"/>
    <cellStyle name="Normal 2 48 2 2 2 2 2" xfId="25112" xr:uid="{00000000-0005-0000-0000-00001C620000}"/>
    <cellStyle name="Normal 2 48 2 2 2 3" xfId="22277" xr:uid="{00000000-0005-0000-0000-000009570000}"/>
    <cellStyle name="Normal 2 48 2 2 3" xfId="17190" xr:uid="{00000000-0005-0000-0000-00002A430000}"/>
    <cellStyle name="Normal 2 48 2 2 3 2" xfId="23847" xr:uid="{00000000-0005-0000-0000-00002B5D0000}"/>
    <cellStyle name="Normal 2 48 2 2 4" xfId="20715" xr:uid="{00000000-0005-0000-0000-0000EF500000}"/>
    <cellStyle name="Normal 2 48 2 3" xfId="9250" xr:uid="{00000000-0005-0000-0000-000026240000}"/>
    <cellStyle name="Normal 2 48 2 3 2" xfId="10589" xr:uid="{00000000-0005-0000-0000-000061290000}"/>
    <cellStyle name="Normal 2 48 2 3 2 2" xfId="18817" xr:uid="{00000000-0005-0000-0000-000085490000}"/>
    <cellStyle name="Normal 2 48 2 3 2 2 2" xfId="25329" xr:uid="{00000000-0005-0000-0000-0000F5620000}"/>
    <cellStyle name="Normal 2 48 2 3 2 3" xfId="22494" xr:uid="{00000000-0005-0000-0000-0000E2570000}"/>
    <cellStyle name="Normal 2 48 2 3 3" xfId="17497" xr:uid="{00000000-0005-0000-0000-00005D440000}"/>
    <cellStyle name="Normal 2 48 2 3 3 2" xfId="24073" xr:uid="{00000000-0005-0000-0000-00000D5E0000}"/>
    <cellStyle name="Normal 2 48 2 3 4" xfId="21238" xr:uid="{00000000-0005-0000-0000-0000FA520000}"/>
    <cellStyle name="Normal 2 48 2 4" xfId="9954" xr:uid="{00000000-0005-0000-0000-0000E6260000}"/>
    <cellStyle name="Normal 2 48 2 4 2" xfId="18182" xr:uid="{00000000-0005-0000-0000-00000A470000}"/>
    <cellStyle name="Normal 2 48 2 4 2 2" xfId="24694" xr:uid="{00000000-0005-0000-0000-00007A600000}"/>
    <cellStyle name="Normal 2 48 2 4 3" xfId="21859" xr:uid="{00000000-0005-0000-0000-000067550000}"/>
    <cellStyle name="Normal 2 48 2 5" xfId="11024" xr:uid="{00000000-0005-0000-0000-0000142B0000}"/>
    <cellStyle name="Normal 2 48 2 5 2" xfId="22916" xr:uid="{00000000-0005-0000-0000-000088590000}"/>
    <cellStyle name="Normal 2 48 2 6" xfId="20297" xr:uid="{00000000-0005-0000-0000-00004D4F0000}"/>
    <cellStyle name="Normal 2 48 3" xfId="8301" xr:uid="{00000000-0005-0000-0000-000071200000}"/>
    <cellStyle name="Normal 2 48 3 2" xfId="10163" xr:uid="{00000000-0005-0000-0000-0000B7270000}"/>
    <cellStyle name="Normal 2 48 3 2 2" xfId="18391" xr:uid="{00000000-0005-0000-0000-0000DB470000}"/>
    <cellStyle name="Normal 2 48 3 2 2 2" xfId="24903" xr:uid="{00000000-0005-0000-0000-00004B610000}"/>
    <cellStyle name="Normal 2 48 3 2 3" xfId="22068" xr:uid="{00000000-0005-0000-0000-000038560000}"/>
    <cellStyle name="Normal 2 48 3 3" xfId="16981" xr:uid="{00000000-0005-0000-0000-000059420000}"/>
    <cellStyle name="Normal 2 48 3 3 2" xfId="23638" xr:uid="{00000000-0005-0000-0000-00005A5C0000}"/>
    <cellStyle name="Normal 2 48 3 4" xfId="20506" xr:uid="{00000000-0005-0000-0000-00001E500000}"/>
    <cellStyle name="Normal 2 48 4" xfId="9249" xr:uid="{00000000-0005-0000-0000-000025240000}"/>
    <cellStyle name="Normal 2 48 4 2" xfId="10588" xr:uid="{00000000-0005-0000-0000-000060290000}"/>
    <cellStyle name="Normal 2 48 4 2 2" xfId="18816" xr:uid="{00000000-0005-0000-0000-000084490000}"/>
    <cellStyle name="Normal 2 48 4 2 2 2" xfId="25328" xr:uid="{00000000-0005-0000-0000-0000F4620000}"/>
    <cellStyle name="Normal 2 48 4 2 3" xfId="22493" xr:uid="{00000000-0005-0000-0000-0000E1570000}"/>
    <cellStyle name="Normal 2 48 4 3" xfId="17496" xr:uid="{00000000-0005-0000-0000-00005C440000}"/>
    <cellStyle name="Normal 2 48 4 3 2" xfId="24072" xr:uid="{00000000-0005-0000-0000-00000C5E0000}"/>
    <cellStyle name="Normal 2 48 4 4" xfId="21237" xr:uid="{00000000-0005-0000-0000-0000F9520000}"/>
    <cellStyle name="Normal 2 48 5" xfId="9745" xr:uid="{00000000-0005-0000-0000-000015260000}"/>
    <cellStyle name="Normal 2 48 5 2" xfId="17973" xr:uid="{00000000-0005-0000-0000-000039460000}"/>
    <cellStyle name="Normal 2 48 5 2 2" xfId="24485" xr:uid="{00000000-0005-0000-0000-0000A95F0000}"/>
    <cellStyle name="Normal 2 48 5 3" xfId="21650" xr:uid="{00000000-0005-0000-0000-000096540000}"/>
    <cellStyle name="Normal 2 48 6" xfId="11023" xr:uid="{00000000-0005-0000-0000-0000132B0000}"/>
    <cellStyle name="Normal 2 48 6 2" xfId="22915" xr:uid="{00000000-0005-0000-0000-000087590000}"/>
    <cellStyle name="Normal 2 48 7" xfId="20088" xr:uid="{00000000-0005-0000-0000-00007C4E0000}"/>
    <cellStyle name="Normal 2 49" xfId="7882" xr:uid="{00000000-0005-0000-0000-0000CE1E0000}"/>
    <cellStyle name="Normal 2 49 2" xfId="8304" xr:uid="{00000000-0005-0000-0000-000074200000}"/>
    <cellStyle name="Normal 2 49 2 2" xfId="10166" xr:uid="{00000000-0005-0000-0000-0000BA270000}"/>
    <cellStyle name="Normal 2 49 2 2 2" xfId="18394" xr:uid="{00000000-0005-0000-0000-0000DE470000}"/>
    <cellStyle name="Normal 2 49 2 2 2 2" xfId="24906" xr:uid="{00000000-0005-0000-0000-00004E610000}"/>
    <cellStyle name="Normal 2 49 2 2 3" xfId="22071" xr:uid="{00000000-0005-0000-0000-00003B560000}"/>
    <cellStyle name="Normal 2 49 2 3" xfId="16984" xr:uid="{00000000-0005-0000-0000-00005C420000}"/>
    <cellStyle name="Normal 2 49 2 3 2" xfId="23641" xr:uid="{00000000-0005-0000-0000-00005D5C0000}"/>
    <cellStyle name="Normal 2 49 2 4" xfId="20509" xr:uid="{00000000-0005-0000-0000-000021500000}"/>
    <cellStyle name="Normal 2 49 3" xfId="9251" xr:uid="{00000000-0005-0000-0000-000027240000}"/>
    <cellStyle name="Normal 2 49 3 2" xfId="10590" xr:uid="{00000000-0005-0000-0000-000062290000}"/>
    <cellStyle name="Normal 2 49 3 2 2" xfId="18818" xr:uid="{00000000-0005-0000-0000-000086490000}"/>
    <cellStyle name="Normal 2 49 3 2 2 2" xfId="25330" xr:uid="{00000000-0005-0000-0000-0000F6620000}"/>
    <cellStyle name="Normal 2 49 3 2 3" xfId="22495" xr:uid="{00000000-0005-0000-0000-0000E3570000}"/>
    <cellStyle name="Normal 2 49 3 3" xfId="17498" xr:uid="{00000000-0005-0000-0000-00005E440000}"/>
    <cellStyle name="Normal 2 49 3 3 2" xfId="24074" xr:uid="{00000000-0005-0000-0000-00000E5E0000}"/>
    <cellStyle name="Normal 2 49 3 4" xfId="21239" xr:uid="{00000000-0005-0000-0000-0000FB520000}"/>
    <cellStyle name="Normal 2 49 4" xfId="9748" xr:uid="{00000000-0005-0000-0000-000018260000}"/>
    <cellStyle name="Normal 2 49 4 2" xfId="17976" xr:uid="{00000000-0005-0000-0000-00003C460000}"/>
    <cellStyle name="Normal 2 49 4 2 2" xfId="24488" xr:uid="{00000000-0005-0000-0000-0000AC5F0000}"/>
    <cellStyle name="Normal 2 49 4 3" xfId="21653" xr:uid="{00000000-0005-0000-0000-000099540000}"/>
    <cellStyle name="Normal 2 49 5" xfId="11025" xr:uid="{00000000-0005-0000-0000-0000152B0000}"/>
    <cellStyle name="Normal 2 49 5 2" xfId="22917" xr:uid="{00000000-0005-0000-0000-000089590000}"/>
    <cellStyle name="Normal 2 49 6" xfId="20091" xr:uid="{00000000-0005-0000-0000-00007F4E0000}"/>
    <cellStyle name="Normal 2 5" xfId="120" xr:uid="{00000000-0005-0000-0000-00007C000000}"/>
    <cellStyle name="Normal 2 5 10" xfId="6300" xr:uid="{00000000-0005-0000-0000-0000A0180000}"/>
    <cellStyle name="Normal 2 5 11" xfId="6301" xr:uid="{00000000-0005-0000-0000-0000A1180000}"/>
    <cellStyle name="Normal 2 5 12" xfId="6302" xr:uid="{00000000-0005-0000-0000-0000A2180000}"/>
    <cellStyle name="Normal 2 5 13" xfId="6303" xr:uid="{00000000-0005-0000-0000-0000A3180000}"/>
    <cellStyle name="Normal 2 5 14" xfId="6304" xr:uid="{00000000-0005-0000-0000-0000A4180000}"/>
    <cellStyle name="Normal 2 5 15" xfId="6305" xr:uid="{00000000-0005-0000-0000-0000A5180000}"/>
    <cellStyle name="Normal 2 5 16" xfId="6306" xr:uid="{00000000-0005-0000-0000-0000A6180000}"/>
    <cellStyle name="Normal 2 5 17" xfId="8874" xr:uid="{00000000-0005-0000-0000-0000AE220000}"/>
    <cellStyle name="Normal 2 5 2" xfId="2248" xr:uid="{00000000-0005-0000-0000-0000CC080000}"/>
    <cellStyle name="Normal 2 5 2 10" xfId="11026" xr:uid="{00000000-0005-0000-0000-0000162B0000}"/>
    <cellStyle name="Normal 2 5 2 10 2" xfId="22918" xr:uid="{00000000-0005-0000-0000-00008A590000}"/>
    <cellStyle name="Normal 2 5 2 11" xfId="19610" xr:uid="{00000000-0005-0000-0000-00009E4C0000}"/>
    <cellStyle name="Normal 2 5 2 12" xfId="4514" xr:uid="{00000000-0005-0000-0000-0000A6110000}"/>
    <cellStyle name="Normal 2 5 2 2" xfId="4563" xr:uid="{00000000-0005-0000-0000-0000D7110000}"/>
    <cellStyle name="Normal 2 5 2 2 2" xfId="6308" xr:uid="{00000000-0005-0000-0000-0000A8180000}"/>
    <cellStyle name="Normal 2 5 2 2 3" xfId="7908" xr:uid="{00000000-0005-0000-0000-0000E81E0000}"/>
    <cellStyle name="Normal 2 5 2 2 3 2" xfId="8329" xr:uid="{00000000-0005-0000-0000-00008D200000}"/>
    <cellStyle name="Normal 2 5 2 2 3 2 2" xfId="10191" xr:uid="{00000000-0005-0000-0000-0000D3270000}"/>
    <cellStyle name="Normal 2 5 2 2 3 2 2 2" xfId="18419" xr:uid="{00000000-0005-0000-0000-0000F7470000}"/>
    <cellStyle name="Normal 2 5 2 2 3 2 2 2 2" xfId="24931" xr:uid="{00000000-0005-0000-0000-000067610000}"/>
    <cellStyle name="Normal 2 5 2 2 3 2 2 3" xfId="22096" xr:uid="{00000000-0005-0000-0000-000054560000}"/>
    <cellStyle name="Normal 2 5 2 2 3 2 3" xfId="17009" xr:uid="{00000000-0005-0000-0000-000075420000}"/>
    <cellStyle name="Normal 2 5 2 2 3 2 3 2" xfId="23666" xr:uid="{00000000-0005-0000-0000-0000765C0000}"/>
    <cellStyle name="Normal 2 5 2 2 3 2 4" xfId="20534" xr:uid="{00000000-0005-0000-0000-00003A500000}"/>
    <cellStyle name="Normal 2 5 2 2 3 3" xfId="9253" xr:uid="{00000000-0005-0000-0000-000029240000}"/>
    <cellStyle name="Normal 2 5 2 2 3 3 2" xfId="10592" xr:uid="{00000000-0005-0000-0000-000064290000}"/>
    <cellStyle name="Normal 2 5 2 2 3 3 2 2" xfId="18820" xr:uid="{00000000-0005-0000-0000-000088490000}"/>
    <cellStyle name="Normal 2 5 2 2 3 3 2 2 2" xfId="25332" xr:uid="{00000000-0005-0000-0000-0000F8620000}"/>
    <cellStyle name="Normal 2 5 2 2 3 3 2 3" xfId="22497" xr:uid="{00000000-0005-0000-0000-0000E5570000}"/>
    <cellStyle name="Normal 2 5 2 2 3 3 3" xfId="17500" xr:uid="{00000000-0005-0000-0000-000060440000}"/>
    <cellStyle name="Normal 2 5 2 2 3 3 3 2" xfId="24076" xr:uid="{00000000-0005-0000-0000-0000105E0000}"/>
    <cellStyle name="Normal 2 5 2 2 3 3 4" xfId="21241" xr:uid="{00000000-0005-0000-0000-0000FD520000}"/>
    <cellStyle name="Normal 2 5 2 2 3 4" xfId="9773" xr:uid="{00000000-0005-0000-0000-000031260000}"/>
    <cellStyle name="Normal 2 5 2 2 3 4 2" xfId="18001" xr:uid="{00000000-0005-0000-0000-000055460000}"/>
    <cellStyle name="Normal 2 5 2 2 3 4 2 2" xfId="24513" xr:uid="{00000000-0005-0000-0000-0000C55F0000}"/>
    <cellStyle name="Normal 2 5 2 2 3 4 3" xfId="21678" xr:uid="{00000000-0005-0000-0000-0000B2540000}"/>
    <cellStyle name="Normal 2 5 2 2 3 5" xfId="11028" xr:uid="{00000000-0005-0000-0000-0000182B0000}"/>
    <cellStyle name="Normal 2 5 2 2 3 5 2" xfId="22920" xr:uid="{00000000-0005-0000-0000-00008C590000}"/>
    <cellStyle name="Normal 2 5 2 2 3 6" xfId="20116" xr:uid="{00000000-0005-0000-0000-0000984E0000}"/>
    <cellStyle name="Normal 2 5 2 2 4" xfId="8120" xr:uid="{00000000-0005-0000-0000-0000BC1F0000}"/>
    <cellStyle name="Normal 2 5 2 2 4 2" xfId="9982" xr:uid="{00000000-0005-0000-0000-000002270000}"/>
    <cellStyle name="Normal 2 5 2 2 4 2 2" xfId="18210" xr:uid="{00000000-0005-0000-0000-000026470000}"/>
    <cellStyle name="Normal 2 5 2 2 4 2 2 2" xfId="24722" xr:uid="{00000000-0005-0000-0000-000096600000}"/>
    <cellStyle name="Normal 2 5 2 2 4 2 3" xfId="21887" xr:uid="{00000000-0005-0000-0000-000083550000}"/>
    <cellStyle name="Normal 2 5 2 2 4 3" xfId="16818" xr:uid="{00000000-0005-0000-0000-0000B6410000}"/>
    <cellStyle name="Normal 2 5 2 2 4 3 2" xfId="23477" xr:uid="{00000000-0005-0000-0000-0000B95B0000}"/>
    <cellStyle name="Normal 2 5 2 2 4 4" xfId="20325" xr:uid="{00000000-0005-0000-0000-0000694F0000}"/>
    <cellStyle name="Normal 2 5 2 2 5" xfId="9252" xr:uid="{00000000-0005-0000-0000-000028240000}"/>
    <cellStyle name="Normal 2 5 2 2 5 2" xfId="10591" xr:uid="{00000000-0005-0000-0000-000063290000}"/>
    <cellStyle name="Normal 2 5 2 2 5 2 2" xfId="18819" xr:uid="{00000000-0005-0000-0000-000087490000}"/>
    <cellStyle name="Normal 2 5 2 2 5 2 2 2" xfId="25331" xr:uid="{00000000-0005-0000-0000-0000F7620000}"/>
    <cellStyle name="Normal 2 5 2 2 5 2 3" xfId="22496" xr:uid="{00000000-0005-0000-0000-0000E4570000}"/>
    <cellStyle name="Normal 2 5 2 2 5 3" xfId="17499" xr:uid="{00000000-0005-0000-0000-00005F440000}"/>
    <cellStyle name="Normal 2 5 2 2 5 3 2" xfId="24075" xr:uid="{00000000-0005-0000-0000-00000F5E0000}"/>
    <cellStyle name="Normal 2 5 2 2 5 4" xfId="21240" xr:uid="{00000000-0005-0000-0000-0000FC520000}"/>
    <cellStyle name="Normal 2 5 2 2 6" xfId="9564" xr:uid="{00000000-0005-0000-0000-000060250000}"/>
    <cellStyle name="Normal 2 5 2 2 6 2" xfId="17792" xr:uid="{00000000-0005-0000-0000-000084450000}"/>
    <cellStyle name="Normal 2 5 2 2 6 2 2" xfId="24304" xr:uid="{00000000-0005-0000-0000-0000F45E0000}"/>
    <cellStyle name="Normal 2 5 2 2 6 3" xfId="21469" xr:uid="{00000000-0005-0000-0000-0000E1530000}"/>
    <cellStyle name="Normal 2 5 2 2 7" xfId="11027" xr:uid="{00000000-0005-0000-0000-0000172B0000}"/>
    <cellStyle name="Normal 2 5 2 2 7 2" xfId="22919" xr:uid="{00000000-0005-0000-0000-00008B590000}"/>
    <cellStyle name="Normal 2 5 2 2 8" xfId="19640" xr:uid="{00000000-0005-0000-0000-0000BC4C0000}"/>
    <cellStyle name="Normal 2 5 2 3" xfId="6307" xr:uid="{00000000-0005-0000-0000-0000A7180000}"/>
    <cellStyle name="Normal 2 5 2 3 2" xfId="7939" xr:uid="{00000000-0005-0000-0000-0000071F0000}"/>
    <cellStyle name="Normal 2 5 2 3 2 2" xfId="8358" xr:uid="{00000000-0005-0000-0000-0000AA200000}"/>
    <cellStyle name="Normal 2 5 2 3 2 2 2" xfId="10220" xr:uid="{00000000-0005-0000-0000-0000F0270000}"/>
    <cellStyle name="Normal 2 5 2 3 2 2 2 2" xfId="18448" xr:uid="{00000000-0005-0000-0000-000014480000}"/>
    <cellStyle name="Normal 2 5 2 3 2 2 2 2 2" xfId="24960" xr:uid="{00000000-0005-0000-0000-000084610000}"/>
    <cellStyle name="Normal 2 5 2 3 2 2 2 3" xfId="22125" xr:uid="{00000000-0005-0000-0000-000071560000}"/>
    <cellStyle name="Normal 2 5 2 3 2 2 3" xfId="17038" xr:uid="{00000000-0005-0000-0000-000092420000}"/>
    <cellStyle name="Normal 2 5 2 3 2 2 3 2" xfId="23695" xr:uid="{00000000-0005-0000-0000-0000935C0000}"/>
    <cellStyle name="Normal 2 5 2 3 2 2 4" xfId="20563" xr:uid="{00000000-0005-0000-0000-000057500000}"/>
    <cellStyle name="Normal 2 5 2 3 2 3" xfId="9255" xr:uid="{00000000-0005-0000-0000-00002B240000}"/>
    <cellStyle name="Normal 2 5 2 3 2 3 2" xfId="10594" xr:uid="{00000000-0005-0000-0000-000066290000}"/>
    <cellStyle name="Normal 2 5 2 3 2 3 2 2" xfId="18822" xr:uid="{00000000-0005-0000-0000-00008A490000}"/>
    <cellStyle name="Normal 2 5 2 3 2 3 2 2 2" xfId="25334" xr:uid="{00000000-0005-0000-0000-0000FA620000}"/>
    <cellStyle name="Normal 2 5 2 3 2 3 2 3" xfId="22499" xr:uid="{00000000-0005-0000-0000-0000E7570000}"/>
    <cellStyle name="Normal 2 5 2 3 2 3 3" xfId="17502" xr:uid="{00000000-0005-0000-0000-000062440000}"/>
    <cellStyle name="Normal 2 5 2 3 2 3 3 2" xfId="24078" xr:uid="{00000000-0005-0000-0000-0000125E0000}"/>
    <cellStyle name="Normal 2 5 2 3 2 3 4" xfId="21243" xr:uid="{00000000-0005-0000-0000-0000FF520000}"/>
    <cellStyle name="Normal 2 5 2 3 2 4" xfId="9802" xr:uid="{00000000-0005-0000-0000-00004E260000}"/>
    <cellStyle name="Normal 2 5 2 3 2 4 2" xfId="18030" xr:uid="{00000000-0005-0000-0000-000072460000}"/>
    <cellStyle name="Normal 2 5 2 3 2 4 2 2" xfId="24542" xr:uid="{00000000-0005-0000-0000-0000E25F0000}"/>
    <cellStyle name="Normal 2 5 2 3 2 4 3" xfId="21707" xr:uid="{00000000-0005-0000-0000-0000CF540000}"/>
    <cellStyle name="Normal 2 5 2 3 2 5" xfId="11030" xr:uid="{00000000-0005-0000-0000-00001A2B0000}"/>
    <cellStyle name="Normal 2 5 2 3 2 5 2" xfId="22922" xr:uid="{00000000-0005-0000-0000-00008E590000}"/>
    <cellStyle name="Normal 2 5 2 3 2 6" xfId="20145" xr:uid="{00000000-0005-0000-0000-0000B54E0000}"/>
    <cellStyle name="Normal 2 5 2 3 3" xfId="8149" xr:uid="{00000000-0005-0000-0000-0000D91F0000}"/>
    <cellStyle name="Normal 2 5 2 3 3 2" xfId="10011" xr:uid="{00000000-0005-0000-0000-00001F270000}"/>
    <cellStyle name="Normal 2 5 2 3 3 2 2" xfId="18239" xr:uid="{00000000-0005-0000-0000-000043470000}"/>
    <cellStyle name="Normal 2 5 2 3 3 2 2 2" xfId="24751" xr:uid="{00000000-0005-0000-0000-0000B3600000}"/>
    <cellStyle name="Normal 2 5 2 3 3 2 3" xfId="21916" xr:uid="{00000000-0005-0000-0000-0000A0550000}"/>
    <cellStyle name="Normal 2 5 2 3 3 3" xfId="16838" xr:uid="{00000000-0005-0000-0000-0000CA410000}"/>
    <cellStyle name="Normal 2 5 2 3 3 3 2" xfId="23497" xr:uid="{00000000-0005-0000-0000-0000CD5B0000}"/>
    <cellStyle name="Normal 2 5 2 3 3 4" xfId="20354" xr:uid="{00000000-0005-0000-0000-0000864F0000}"/>
    <cellStyle name="Normal 2 5 2 3 4" xfId="9254" xr:uid="{00000000-0005-0000-0000-00002A240000}"/>
    <cellStyle name="Normal 2 5 2 3 4 2" xfId="10593" xr:uid="{00000000-0005-0000-0000-000065290000}"/>
    <cellStyle name="Normal 2 5 2 3 4 2 2" xfId="18821" xr:uid="{00000000-0005-0000-0000-000089490000}"/>
    <cellStyle name="Normal 2 5 2 3 4 2 2 2" xfId="25333" xr:uid="{00000000-0005-0000-0000-0000F9620000}"/>
    <cellStyle name="Normal 2 5 2 3 4 2 3" xfId="22498" xr:uid="{00000000-0005-0000-0000-0000E6570000}"/>
    <cellStyle name="Normal 2 5 2 3 4 3" xfId="17501" xr:uid="{00000000-0005-0000-0000-000061440000}"/>
    <cellStyle name="Normal 2 5 2 3 4 3 2" xfId="24077" xr:uid="{00000000-0005-0000-0000-0000115E0000}"/>
    <cellStyle name="Normal 2 5 2 3 4 4" xfId="21242" xr:uid="{00000000-0005-0000-0000-0000FE520000}"/>
    <cellStyle name="Normal 2 5 2 3 5" xfId="9593" xr:uid="{00000000-0005-0000-0000-00007D250000}"/>
    <cellStyle name="Normal 2 5 2 3 5 2" xfId="17821" xr:uid="{00000000-0005-0000-0000-0000A1450000}"/>
    <cellStyle name="Normal 2 5 2 3 5 2 2" xfId="24333" xr:uid="{00000000-0005-0000-0000-0000115F0000}"/>
    <cellStyle name="Normal 2 5 2 3 5 3" xfId="21498" xr:uid="{00000000-0005-0000-0000-0000FE530000}"/>
    <cellStyle name="Normal 2 5 2 3 6" xfId="11029" xr:uid="{00000000-0005-0000-0000-0000192B0000}"/>
    <cellStyle name="Normal 2 5 2 3 6 2" xfId="22921" xr:uid="{00000000-0005-0000-0000-00008D590000}"/>
    <cellStyle name="Normal 2 5 2 3 7" xfId="19710" xr:uid="{00000000-0005-0000-0000-0000024D0000}"/>
    <cellStyle name="Normal 2 5 2 4" xfId="7792" xr:uid="{00000000-0005-0000-0000-0000741E0000}"/>
    <cellStyle name="Normal 2 5 2 4 2" xfId="8034" xr:uid="{00000000-0005-0000-0000-0000661F0000}"/>
    <cellStyle name="Normal 2 5 2 4 2 2" xfId="8453" xr:uid="{00000000-0005-0000-0000-000009210000}"/>
    <cellStyle name="Normal 2 5 2 4 2 2 2" xfId="10315" xr:uid="{00000000-0005-0000-0000-00004F280000}"/>
    <cellStyle name="Normal 2 5 2 4 2 2 2 2" xfId="18543" xr:uid="{00000000-0005-0000-0000-000073480000}"/>
    <cellStyle name="Normal 2 5 2 4 2 2 2 2 2" xfId="25055" xr:uid="{00000000-0005-0000-0000-0000E3610000}"/>
    <cellStyle name="Normal 2 5 2 4 2 2 2 3" xfId="22220" xr:uid="{00000000-0005-0000-0000-0000D0560000}"/>
    <cellStyle name="Normal 2 5 2 4 2 2 3" xfId="17133" xr:uid="{00000000-0005-0000-0000-0000F1420000}"/>
    <cellStyle name="Normal 2 5 2 4 2 2 3 2" xfId="23790" xr:uid="{00000000-0005-0000-0000-0000F25C0000}"/>
    <cellStyle name="Normal 2 5 2 4 2 2 4" xfId="20658" xr:uid="{00000000-0005-0000-0000-0000B6500000}"/>
    <cellStyle name="Normal 2 5 2 4 2 3" xfId="9257" xr:uid="{00000000-0005-0000-0000-00002D240000}"/>
    <cellStyle name="Normal 2 5 2 4 2 3 2" xfId="10596" xr:uid="{00000000-0005-0000-0000-000068290000}"/>
    <cellStyle name="Normal 2 5 2 4 2 3 2 2" xfId="18824" xr:uid="{00000000-0005-0000-0000-00008C490000}"/>
    <cellStyle name="Normal 2 5 2 4 2 3 2 2 2" xfId="25336" xr:uid="{00000000-0005-0000-0000-0000FC620000}"/>
    <cellStyle name="Normal 2 5 2 4 2 3 2 3" xfId="22501" xr:uid="{00000000-0005-0000-0000-0000E9570000}"/>
    <cellStyle name="Normal 2 5 2 4 2 3 3" xfId="17504" xr:uid="{00000000-0005-0000-0000-000064440000}"/>
    <cellStyle name="Normal 2 5 2 4 2 3 3 2" xfId="24080" xr:uid="{00000000-0005-0000-0000-0000145E0000}"/>
    <cellStyle name="Normal 2 5 2 4 2 3 4" xfId="21245" xr:uid="{00000000-0005-0000-0000-000001530000}"/>
    <cellStyle name="Normal 2 5 2 4 2 4" xfId="9897" xr:uid="{00000000-0005-0000-0000-0000AD260000}"/>
    <cellStyle name="Normal 2 5 2 4 2 4 2" xfId="18125" xr:uid="{00000000-0005-0000-0000-0000D1460000}"/>
    <cellStyle name="Normal 2 5 2 4 2 4 2 2" xfId="24637" xr:uid="{00000000-0005-0000-0000-000041600000}"/>
    <cellStyle name="Normal 2 5 2 4 2 4 3" xfId="21802" xr:uid="{00000000-0005-0000-0000-00002E550000}"/>
    <cellStyle name="Normal 2 5 2 4 2 5" xfId="11032" xr:uid="{00000000-0005-0000-0000-00001C2B0000}"/>
    <cellStyle name="Normal 2 5 2 4 2 5 2" xfId="22924" xr:uid="{00000000-0005-0000-0000-000090590000}"/>
    <cellStyle name="Normal 2 5 2 4 2 6" xfId="20240" xr:uid="{00000000-0005-0000-0000-0000144F0000}"/>
    <cellStyle name="Normal 2 5 2 4 3" xfId="8244" xr:uid="{00000000-0005-0000-0000-000038200000}"/>
    <cellStyle name="Normal 2 5 2 4 3 2" xfId="10106" xr:uid="{00000000-0005-0000-0000-00007E270000}"/>
    <cellStyle name="Normal 2 5 2 4 3 2 2" xfId="18334" xr:uid="{00000000-0005-0000-0000-0000A2470000}"/>
    <cellStyle name="Normal 2 5 2 4 3 2 2 2" xfId="24846" xr:uid="{00000000-0005-0000-0000-000012610000}"/>
    <cellStyle name="Normal 2 5 2 4 3 2 3" xfId="22011" xr:uid="{00000000-0005-0000-0000-0000FF550000}"/>
    <cellStyle name="Normal 2 5 2 4 3 3" xfId="16925" xr:uid="{00000000-0005-0000-0000-000021420000}"/>
    <cellStyle name="Normal 2 5 2 4 3 3 2" xfId="23582" xr:uid="{00000000-0005-0000-0000-0000225C0000}"/>
    <cellStyle name="Normal 2 5 2 4 3 4" xfId="20449" xr:uid="{00000000-0005-0000-0000-0000E54F0000}"/>
    <cellStyle name="Normal 2 5 2 4 4" xfId="9256" xr:uid="{00000000-0005-0000-0000-00002C240000}"/>
    <cellStyle name="Normal 2 5 2 4 4 2" xfId="10595" xr:uid="{00000000-0005-0000-0000-000067290000}"/>
    <cellStyle name="Normal 2 5 2 4 4 2 2" xfId="18823" xr:uid="{00000000-0005-0000-0000-00008B490000}"/>
    <cellStyle name="Normal 2 5 2 4 4 2 2 2" xfId="25335" xr:uid="{00000000-0005-0000-0000-0000FB620000}"/>
    <cellStyle name="Normal 2 5 2 4 4 2 3" xfId="22500" xr:uid="{00000000-0005-0000-0000-0000E8570000}"/>
    <cellStyle name="Normal 2 5 2 4 4 3" xfId="17503" xr:uid="{00000000-0005-0000-0000-000063440000}"/>
    <cellStyle name="Normal 2 5 2 4 4 3 2" xfId="24079" xr:uid="{00000000-0005-0000-0000-0000135E0000}"/>
    <cellStyle name="Normal 2 5 2 4 4 4" xfId="21244" xr:uid="{00000000-0005-0000-0000-000000530000}"/>
    <cellStyle name="Normal 2 5 2 4 5" xfId="9688" xr:uid="{00000000-0005-0000-0000-0000DC250000}"/>
    <cellStyle name="Normal 2 5 2 4 5 2" xfId="17916" xr:uid="{00000000-0005-0000-0000-000000460000}"/>
    <cellStyle name="Normal 2 5 2 4 5 2 2" xfId="24428" xr:uid="{00000000-0005-0000-0000-0000705F0000}"/>
    <cellStyle name="Normal 2 5 2 4 5 3" xfId="21593" xr:uid="{00000000-0005-0000-0000-00005D540000}"/>
    <cellStyle name="Normal 2 5 2 4 6" xfId="11031" xr:uid="{00000000-0005-0000-0000-00001B2B0000}"/>
    <cellStyle name="Normal 2 5 2 4 6 2" xfId="22923" xr:uid="{00000000-0005-0000-0000-00008F590000}"/>
    <cellStyle name="Normal 2 5 2 4 7" xfId="20031" xr:uid="{00000000-0005-0000-0000-0000434E0000}"/>
    <cellStyle name="Normal 2 5 2 5" xfId="7871" xr:uid="{00000000-0005-0000-0000-0000C31E0000}"/>
    <cellStyle name="Normal 2 5 2 5 2" xfId="8084" xr:uid="{00000000-0005-0000-0000-0000981F0000}"/>
    <cellStyle name="Normal 2 5 2 5 2 2" xfId="8502" xr:uid="{00000000-0005-0000-0000-00003A210000}"/>
    <cellStyle name="Normal 2 5 2 5 2 2 2" xfId="10364" xr:uid="{00000000-0005-0000-0000-000080280000}"/>
    <cellStyle name="Normal 2 5 2 5 2 2 2 2" xfId="18592" xr:uid="{00000000-0005-0000-0000-0000A4480000}"/>
    <cellStyle name="Normal 2 5 2 5 2 2 2 2 2" xfId="25104" xr:uid="{00000000-0005-0000-0000-000014620000}"/>
    <cellStyle name="Normal 2 5 2 5 2 2 2 3" xfId="22269" xr:uid="{00000000-0005-0000-0000-000001570000}"/>
    <cellStyle name="Normal 2 5 2 5 2 2 3" xfId="17182" xr:uid="{00000000-0005-0000-0000-000022430000}"/>
    <cellStyle name="Normal 2 5 2 5 2 2 3 2" xfId="23839" xr:uid="{00000000-0005-0000-0000-0000235D0000}"/>
    <cellStyle name="Normal 2 5 2 5 2 2 4" xfId="20707" xr:uid="{00000000-0005-0000-0000-0000E7500000}"/>
    <cellStyle name="Normal 2 5 2 5 2 3" xfId="9259" xr:uid="{00000000-0005-0000-0000-00002F240000}"/>
    <cellStyle name="Normal 2 5 2 5 2 3 2" xfId="10598" xr:uid="{00000000-0005-0000-0000-00006A290000}"/>
    <cellStyle name="Normal 2 5 2 5 2 3 2 2" xfId="18826" xr:uid="{00000000-0005-0000-0000-00008E490000}"/>
    <cellStyle name="Normal 2 5 2 5 2 3 2 2 2" xfId="25338" xr:uid="{00000000-0005-0000-0000-0000FE620000}"/>
    <cellStyle name="Normal 2 5 2 5 2 3 2 3" xfId="22503" xr:uid="{00000000-0005-0000-0000-0000EB570000}"/>
    <cellStyle name="Normal 2 5 2 5 2 3 3" xfId="17506" xr:uid="{00000000-0005-0000-0000-000066440000}"/>
    <cellStyle name="Normal 2 5 2 5 2 3 3 2" xfId="24082" xr:uid="{00000000-0005-0000-0000-0000165E0000}"/>
    <cellStyle name="Normal 2 5 2 5 2 3 4" xfId="21247" xr:uid="{00000000-0005-0000-0000-000003530000}"/>
    <cellStyle name="Normal 2 5 2 5 2 4" xfId="9946" xr:uid="{00000000-0005-0000-0000-0000DE260000}"/>
    <cellStyle name="Normal 2 5 2 5 2 4 2" xfId="18174" xr:uid="{00000000-0005-0000-0000-000002470000}"/>
    <cellStyle name="Normal 2 5 2 5 2 4 2 2" xfId="24686" xr:uid="{00000000-0005-0000-0000-000072600000}"/>
    <cellStyle name="Normal 2 5 2 5 2 4 3" xfId="21851" xr:uid="{00000000-0005-0000-0000-00005F550000}"/>
    <cellStyle name="Normal 2 5 2 5 2 5" xfId="11034" xr:uid="{00000000-0005-0000-0000-00001E2B0000}"/>
    <cellStyle name="Normal 2 5 2 5 2 5 2" xfId="22926" xr:uid="{00000000-0005-0000-0000-000092590000}"/>
    <cellStyle name="Normal 2 5 2 5 2 6" xfId="20289" xr:uid="{00000000-0005-0000-0000-0000454F0000}"/>
    <cellStyle name="Normal 2 5 2 5 3" xfId="8293" xr:uid="{00000000-0005-0000-0000-000069200000}"/>
    <cellStyle name="Normal 2 5 2 5 3 2" xfId="10155" xr:uid="{00000000-0005-0000-0000-0000AF270000}"/>
    <cellStyle name="Normal 2 5 2 5 3 2 2" xfId="18383" xr:uid="{00000000-0005-0000-0000-0000D3470000}"/>
    <cellStyle name="Normal 2 5 2 5 3 2 2 2" xfId="24895" xr:uid="{00000000-0005-0000-0000-000043610000}"/>
    <cellStyle name="Normal 2 5 2 5 3 2 3" xfId="22060" xr:uid="{00000000-0005-0000-0000-000030560000}"/>
    <cellStyle name="Normal 2 5 2 5 3 3" xfId="16973" xr:uid="{00000000-0005-0000-0000-000051420000}"/>
    <cellStyle name="Normal 2 5 2 5 3 3 2" xfId="23630" xr:uid="{00000000-0005-0000-0000-0000525C0000}"/>
    <cellStyle name="Normal 2 5 2 5 3 4" xfId="20498" xr:uid="{00000000-0005-0000-0000-000016500000}"/>
    <cellStyle name="Normal 2 5 2 5 4" xfId="9258" xr:uid="{00000000-0005-0000-0000-00002E240000}"/>
    <cellStyle name="Normal 2 5 2 5 4 2" xfId="10597" xr:uid="{00000000-0005-0000-0000-000069290000}"/>
    <cellStyle name="Normal 2 5 2 5 4 2 2" xfId="18825" xr:uid="{00000000-0005-0000-0000-00008D490000}"/>
    <cellStyle name="Normal 2 5 2 5 4 2 2 2" xfId="25337" xr:uid="{00000000-0005-0000-0000-0000FD620000}"/>
    <cellStyle name="Normal 2 5 2 5 4 2 3" xfId="22502" xr:uid="{00000000-0005-0000-0000-0000EA570000}"/>
    <cellStyle name="Normal 2 5 2 5 4 3" xfId="17505" xr:uid="{00000000-0005-0000-0000-000065440000}"/>
    <cellStyle name="Normal 2 5 2 5 4 3 2" xfId="24081" xr:uid="{00000000-0005-0000-0000-0000155E0000}"/>
    <cellStyle name="Normal 2 5 2 5 4 4" xfId="21246" xr:uid="{00000000-0005-0000-0000-000002530000}"/>
    <cellStyle name="Normal 2 5 2 5 5" xfId="9737" xr:uid="{00000000-0005-0000-0000-00000D260000}"/>
    <cellStyle name="Normal 2 5 2 5 5 2" xfId="17965" xr:uid="{00000000-0005-0000-0000-000031460000}"/>
    <cellStyle name="Normal 2 5 2 5 5 2 2" xfId="24477" xr:uid="{00000000-0005-0000-0000-0000A15F0000}"/>
    <cellStyle name="Normal 2 5 2 5 5 3" xfId="21642" xr:uid="{00000000-0005-0000-0000-00008E540000}"/>
    <cellStyle name="Normal 2 5 2 5 6" xfId="11033" xr:uid="{00000000-0005-0000-0000-00001D2B0000}"/>
    <cellStyle name="Normal 2 5 2 5 6 2" xfId="22925" xr:uid="{00000000-0005-0000-0000-000091590000}"/>
    <cellStyle name="Normal 2 5 2 5 7" xfId="20080" xr:uid="{00000000-0005-0000-0000-0000744E0000}"/>
    <cellStyle name="Normal 2 5 2 6" xfId="7887" xr:uid="{00000000-0005-0000-0000-0000D31E0000}"/>
    <cellStyle name="Normal 2 5 2 6 2" xfId="8309" xr:uid="{00000000-0005-0000-0000-000079200000}"/>
    <cellStyle name="Normal 2 5 2 6 2 2" xfId="10171" xr:uid="{00000000-0005-0000-0000-0000BF270000}"/>
    <cellStyle name="Normal 2 5 2 6 2 2 2" xfId="18399" xr:uid="{00000000-0005-0000-0000-0000E3470000}"/>
    <cellStyle name="Normal 2 5 2 6 2 2 2 2" xfId="24911" xr:uid="{00000000-0005-0000-0000-000053610000}"/>
    <cellStyle name="Normal 2 5 2 6 2 2 3" xfId="22076" xr:uid="{00000000-0005-0000-0000-000040560000}"/>
    <cellStyle name="Normal 2 5 2 6 2 3" xfId="16989" xr:uid="{00000000-0005-0000-0000-000061420000}"/>
    <cellStyle name="Normal 2 5 2 6 2 3 2" xfId="23646" xr:uid="{00000000-0005-0000-0000-0000625C0000}"/>
    <cellStyle name="Normal 2 5 2 6 2 4" xfId="20514" xr:uid="{00000000-0005-0000-0000-000026500000}"/>
    <cellStyle name="Normal 2 5 2 6 3" xfId="9260" xr:uid="{00000000-0005-0000-0000-000030240000}"/>
    <cellStyle name="Normal 2 5 2 6 3 2" xfId="10599" xr:uid="{00000000-0005-0000-0000-00006B290000}"/>
    <cellStyle name="Normal 2 5 2 6 3 2 2" xfId="18827" xr:uid="{00000000-0005-0000-0000-00008F490000}"/>
    <cellStyle name="Normal 2 5 2 6 3 2 2 2" xfId="25339" xr:uid="{00000000-0005-0000-0000-0000FF620000}"/>
    <cellStyle name="Normal 2 5 2 6 3 2 3" xfId="22504" xr:uid="{00000000-0005-0000-0000-0000EC570000}"/>
    <cellStyle name="Normal 2 5 2 6 3 3" xfId="17507" xr:uid="{00000000-0005-0000-0000-000067440000}"/>
    <cellStyle name="Normal 2 5 2 6 3 3 2" xfId="24083" xr:uid="{00000000-0005-0000-0000-0000175E0000}"/>
    <cellStyle name="Normal 2 5 2 6 3 4" xfId="21248" xr:uid="{00000000-0005-0000-0000-000004530000}"/>
    <cellStyle name="Normal 2 5 2 6 4" xfId="9753" xr:uid="{00000000-0005-0000-0000-00001D260000}"/>
    <cellStyle name="Normal 2 5 2 6 4 2" xfId="17981" xr:uid="{00000000-0005-0000-0000-000041460000}"/>
    <cellStyle name="Normal 2 5 2 6 4 2 2" xfId="24493" xr:uid="{00000000-0005-0000-0000-0000B15F0000}"/>
    <cellStyle name="Normal 2 5 2 6 4 3" xfId="21658" xr:uid="{00000000-0005-0000-0000-00009E540000}"/>
    <cellStyle name="Normal 2 5 2 6 5" xfId="11035" xr:uid="{00000000-0005-0000-0000-00001F2B0000}"/>
    <cellStyle name="Normal 2 5 2 6 5 2" xfId="22927" xr:uid="{00000000-0005-0000-0000-000093590000}"/>
    <cellStyle name="Normal 2 5 2 6 6" xfId="20096" xr:uid="{00000000-0005-0000-0000-0000844E0000}"/>
    <cellStyle name="Normal 2 5 2 7" xfId="8100" xr:uid="{00000000-0005-0000-0000-0000A81F0000}"/>
    <cellStyle name="Normal 2 5 2 7 2" xfId="9962" xr:uid="{00000000-0005-0000-0000-0000EE260000}"/>
    <cellStyle name="Normal 2 5 2 7 2 2" xfId="18190" xr:uid="{00000000-0005-0000-0000-000012470000}"/>
    <cellStyle name="Normal 2 5 2 7 2 2 2" xfId="24702" xr:uid="{00000000-0005-0000-0000-000082600000}"/>
    <cellStyle name="Normal 2 5 2 7 2 3" xfId="21867" xr:uid="{00000000-0005-0000-0000-00006F550000}"/>
    <cellStyle name="Normal 2 5 2 7 3" xfId="16806" xr:uid="{00000000-0005-0000-0000-0000AA410000}"/>
    <cellStyle name="Normal 2 5 2 7 3 2" xfId="23465" xr:uid="{00000000-0005-0000-0000-0000AD5B0000}"/>
    <cellStyle name="Normal 2 5 2 7 4" xfId="20305" xr:uid="{00000000-0005-0000-0000-0000554F0000}"/>
    <cellStyle name="Normal 2 5 2 8" xfId="8875" xr:uid="{00000000-0005-0000-0000-0000AF220000}"/>
    <cellStyle name="Normal 2 5 2 8 2" xfId="10382" xr:uid="{00000000-0005-0000-0000-000092280000}"/>
    <cellStyle name="Normal 2 5 2 8 2 2" xfId="18610" xr:uid="{00000000-0005-0000-0000-0000B6480000}"/>
    <cellStyle name="Normal 2 5 2 8 2 2 2" xfId="25122" xr:uid="{00000000-0005-0000-0000-000026620000}"/>
    <cellStyle name="Normal 2 5 2 8 2 3" xfId="22287" xr:uid="{00000000-0005-0000-0000-000013570000}"/>
    <cellStyle name="Normal 2 5 2 8 3" xfId="17252" xr:uid="{00000000-0005-0000-0000-000068430000}"/>
    <cellStyle name="Normal 2 5 2 8 3 2" xfId="23864" xr:uid="{00000000-0005-0000-0000-00003C5D0000}"/>
    <cellStyle name="Normal 2 5 2 8 4" xfId="20946" xr:uid="{00000000-0005-0000-0000-0000D6510000}"/>
    <cellStyle name="Normal 2 5 2 9" xfId="9544" xr:uid="{00000000-0005-0000-0000-00004C250000}"/>
    <cellStyle name="Normal 2 5 2 9 2" xfId="17772" xr:uid="{00000000-0005-0000-0000-000070450000}"/>
    <cellStyle name="Normal 2 5 2 9 2 2" xfId="24284" xr:uid="{00000000-0005-0000-0000-0000E05E0000}"/>
    <cellStyle name="Normal 2 5 2 9 3" xfId="21449" xr:uid="{00000000-0005-0000-0000-0000CD530000}"/>
    <cellStyle name="Normal 2 5 3" xfId="1103" xr:uid="{00000000-0005-0000-0000-000053040000}"/>
    <cellStyle name="Normal 2 5 4" xfId="6309" xr:uid="{00000000-0005-0000-0000-0000A9180000}"/>
    <cellStyle name="Normal 2 5 5" xfId="6310" xr:uid="{00000000-0005-0000-0000-0000AA180000}"/>
    <cellStyle name="Normal 2 5 6" xfId="6311" xr:uid="{00000000-0005-0000-0000-0000AB180000}"/>
    <cellStyle name="Normal 2 5 7" xfId="6312" xr:uid="{00000000-0005-0000-0000-0000AC180000}"/>
    <cellStyle name="Normal 2 5 8" xfId="6313" xr:uid="{00000000-0005-0000-0000-0000AD180000}"/>
    <cellStyle name="Normal 2 5 9" xfId="6314" xr:uid="{00000000-0005-0000-0000-0000AE180000}"/>
    <cellStyle name="Normal 2 50" xfId="8095" xr:uid="{00000000-0005-0000-0000-0000A31F0000}"/>
    <cellStyle name="Normal 2 50 2" xfId="9957" xr:uid="{00000000-0005-0000-0000-0000E9260000}"/>
    <cellStyle name="Normal 2 50 2 2" xfId="18185" xr:uid="{00000000-0005-0000-0000-00000D470000}"/>
    <cellStyle name="Normal 2 50 2 2 2" xfId="24697" xr:uid="{00000000-0005-0000-0000-00007D600000}"/>
    <cellStyle name="Normal 2 50 2 3" xfId="21862" xr:uid="{00000000-0005-0000-0000-00006A550000}"/>
    <cellStyle name="Normal 2 50 3" xfId="16802" xr:uid="{00000000-0005-0000-0000-0000A6410000}"/>
    <cellStyle name="Normal 2 50 3 2" xfId="23461" xr:uid="{00000000-0005-0000-0000-0000A95B0000}"/>
    <cellStyle name="Normal 2 50 4" xfId="20300" xr:uid="{00000000-0005-0000-0000-0000504F0000}"/>
    <cellStyle name="Normal 2 51" xfId="8732" xr:uid="{00000000-0005-0000-0000-000020220000}"/>
    <cellStyle name="Normal 2 51 2" xfId="17225" xr:uid="{00000000-0005-0000-0000-00004D430000}"/>
    <cellStyle name="Normal 2 52" xfId="9512" xr:uid="{00000000-0005-0000-0000-00002C250000}"/>
    <cellStyle name="Normal 2 52 2" xfId="17742" xr:uid="{00000000-0005-0000-0000-000052450000}"/>
    <cellStyle name="Normal 2 53" xfId="9539" xr:uid="{00000000-0005-0000-0000-000047250000}"/>
    <cellStyle name="Normal 2 53 2" xfId="17767" xr:uid="{00000000-0005-0000-0000-00006B450000}"/>
    <cellStyle name="Normal 2 53 2 2" xfId="24279" xr:uid="{00000000-0005-0000-0000-0000DB5E0000}"/>
    <cellStyle name="Normal 2 53 3" xfId="21444" xr:uid="{00000000-0005-0000-0000-0000C8530000}"/>
    <cellStyle name="Normal 2 54" xfId="10795" xr:uid="{00000000-0005-0000-0000-00002F2A0000}"/>
    <cellStyle name="Normal 2 54 2" xfId="19023" xr:uid="{00000000-0005-0000-0000-0000534A0000}"/>
    <cellStyle name="Normal 2 54 2 2" xfId="25535" xr:uid="{00000000-0005-0000-0000-0000C3630000}"/>
    <cellStyle name="Normal 2 54 3" xfId="22700" xr:uid="{00000000-0005-0000-0000-0000B0580000}"/>
    <cellStyle name="Normal 2 55" xfId="19578" xr:uid="{00000000-0005-0000-0000-00007E4C0000}"/>
    <cellStyle name="Normal 2 56" xfId="29413" xr:uid="{00000000-0005-0000-0000-0000E9720000}"/>
    <cellStyle name="Normal 2 57" xfId="29420" xr:uid="{00000000-0005-0000-0000-0000F0720000}"/>
    <cellStyle name="Normal 2 58" xfId="112" xr:uid="{00000000-0005-0000-0000-000074000000}"/>
    <cellStyle name="Normal 2 6" xfId="121" xr:uid="{00000000-0005-0000-0000-00007D000000}"/>
    <cellStyle name="Normal 2 6 10" xfId="6316" xr:uid="{00000000-0005-0000-0000-0000B0180000}"/>
    <cellStyle name="Normal 2 6 11" xfId="6317" xr:uid="{00000000-0005-0000-0000-0000B1180000}"/>
    <cellStyle name="Normal 2 6 12" xfId="6318" xr:uid="{00000000-0005-0000-0000-0000B2180000}"/>
    <cellStyle name="Normal 2 6 13" xfId="6319" xr:uid="{00000000-0005-0000-0000-0000B3180000}"/>
    <cellStyle name="Normal 2 6 14" xfId="6320" xr:uid="{00000000-0005-0000-0000-0000B4180000}"/>
    <cellStyle name="Normal 2 6 15" xfId="6321" xr:uid="{00000000-0005-0000-0000-0000B5180000}"/>
    <cellStyle name="Normal 2 6 16" xfId="6322" xr:uid="{00000000-0005-0000-0000-0000B6180000}"/>
    <cellStyle name="Normal 2 6 17" xfId="6315" xr:uid="{00000000-0005-0000-0000-0000AF180000}"/>
    <cellStyle name="Normal 2 6 17 2" xfId="7940" xr:uid="{00000000-0005-0000-0000-0000081F0000}"/>
    <cellStyle name="Normal 2 6 17 2 2" xfId="8359" xr:uid="{00000000-0005-0000-0000-0000AB200000}"/>
    <cellStyle name="Normal 2 6 17 2 2 2" xfId="10221" xr:uid="{00000000-0005-0000-0000-0000F1270000}"/>
    <cellStyle name="Normal 2 6 17 2 2 2 2" xfId="18449" xr:uid="{00000000-0005-0000-0000-000015480000}"/>
    <cellStyle name="Normal 2 6 17 2 2 2 2 2" xfId="24961" xr:uid="{00000000-0005-0000-0000-000085610000}"/>
    <cellStyle name="Normal 2 6 17 2 2 2 3" xfId="22126" xr:uid="{00000000-0005-0000-0000-000072560000}"/>
    <cellStyle name="Normal 2 6 17 2 2 3" xfId="17039" xr:uid="{00000000-0005-0000-0000-000093420000}"/>
    <cellStyle name="Normal 2 6 17 2 2 3 2" xfId="23696" xr:uid="{00000000-0005-0000-0000-0000945C0000}"/>
    <cellStyle name="Normal 2 6 17 2 2 4" xfId="20564" xr:uid="{00000000-0005-0000-0000-000058500000}"/>
    <cellStyle name="Normal 2 6 17 2 3" xfId="9262" xr:uid="{00000000-0005-0000-0000-000032240000}"/>
    <cellStyle name="Normal 2 6 17 2 3 2" xfId="10601" xr:uid="{00000000-0005-0000-0000-00006D290000}"/>
    <cellStyle name="Normal 2 6 17 2 3 2 2" xfId="18829" xr:uid="{00000000-0005-0000-0000-000091490000}"/>
    <cellStyle name="Normal 2 6 17 2 3 2 2 2" xfId="25341" xr:uid="{00000000-0005-0000-0000-000001630000}"/>
    <cellStyle name="Normal 2 6 17 2 3 2 3" xfId="22506" xr:uid="{00000000-0005-0000-0000-0000EE570000}"/>
    <cellStyle name="Normal 2 6 17 2 3 3" xfId="17509" xr:uid="{00000000-0005-0000-0000-000069440000}"/>
    <cellStyle name="Normal 2 6 17 2 3 3 2" xfId="24085" xr:uid="{00000000-0005-0000-0000-0000195E0000}"/>
    <cellStyle name="Normal 2 6 17 2 3 4" xfId="21250" xr:uid="{00000000-0005-0000-0000-000006530000}"/>
    <cellStyle name="Normal 2 6 17 2 4" xfId="9803" xr:uid="{00000000-0005-0000-0000-00004F260000}"/>
    <cellStyle name="Normal 2 6 17 2 4 2" xfId="18031" xr:uid="{00000000-0005-0000-0000-000073460000}"/>
    <cellStyle name="Normal 2 6 17 2 4 2 2" xfId="24543" xr:uid="{00000000-0005-0000-0000-0000E35F0000}"/>
    <cellStyle name="Normal 2 6 17 2 4 3" xfId="21708" xr:uid="{00000000-0005-0000-0000-0000D0540000}"/>
    <cellStyle name="Normal 2 6 17 2 5" xfId="11037" xr:uid="{00000000-0005-0000-0000-0000212B0000}"/>
    <cellStyle name="Normal 2 6 17 2 5 2" xfId="22929" xr:uid="{00000000-0005-0000-0000-000095590000}"/>
    <cellStyle name="Normal 2 6 17 2 6" xfId="20146" xr:uid="{00000000-0005-0000-0000-0000B64E0000}"/>
    <cellStyle name="Normal 2 6 17 3" xfId="8150" xr:uid="{00000000-0005-0000-0000-0000DA1F0000}"/>
    <cellStyle name="Normal 2 6 17 3 2" xfId="10012" xr:uid="{00000000-0005-0000-0000-000020270000}"/>
    <cellStyle name="Normal 2 6 17 3 2 2" xfId="18240" xr:uid="{00000000-0005-0000-0000-000044470000}"/>
    <cellStyle name="Normal 2 6 17 3 2 2 2" xfId="24752" xr:uid="{00000000-0005-0000-0000-0000B4600000}"/>
    <cellStyle name="Normal 2 6 17 3 2 3" xfId="21917" xr:uid="{00000000-0005-0000-0000-0000A1550000}"/>
    <cellStyle name="Normal 2 6 17 3 3" xfId="16839" xr:uid="{00000000-0005-0000-0000-0000CB410000}"/>
    <cellStyle name="Normal 2 6 17 3 3 2" xfId="23498" xr:uid="{00000000-0005-0000-0000-0000CE5B0000}"/>
    <cellStyle name="Normal 2 6 17 3 4" xfId="20355" xr:uid="{00000000-0005-0000-0000-0000874F0000}"/>
    <cellStyle name="Normal 2 6 17 4" xfId="9261" xr:uid="{00000000-0005-0000-0000-000031240000}"/>
    <cellStyle name="Normal 2 6 17 4 2" xfId="10600" xr:uid="{00000000-0005-0000-0000-00006C290000}"/>
    <cellStyle name="Normal 2 6 17 4 2 2" xfId="18828" xr:uid="{00000000-0005-0000-0000-000090490000}"/>
    <cellStyle name="Normal 2 6 17 4 2 2 2" xfId="25340" xr:uid="{00000000-0005-0000-0000-000000630000}"/>
    <cellStyle name="Normal 2 6 17 4 2 3" xfId="22505" xr:uid="{00000000-0005-0000-0000-0000ED570000}"/>
    <cellStyle name="Normal 2 6 17 4 3" xfId="17508" xr:uid="{00000000-0005-0000-0000-000068440000}"/>
    <cellStyle name="Normal 2 6 17 4 3 2" xfId="24084" xr:uid="{00000000-0005-0000-0000-0000185E0000}"/>
    <cellStyle name="Normal 2 6 17 4 4" xfId="21249" xr:uid="{00000000-0005-0000-0000-000005530000}"/>
    <cellStyle name="Normal 2 6 17 5" xfId="9594" xr:uid="{00000000-0005-0000-0000-00007E250000}"/>
    <cellStyle name="Normal 2 6 17 5 2" xfId="17822" xr:uid="{00000000-0005-0000-0000-0000A2450000}"/>
    <cellStyle name="Normal 2 6 17 5 2 2" xfId="24334" xr:uid="{00000000-0005-0000-0000-0000125F0000}"/>
    <cellStyle name="Normal 2 6 17 5 3" xfId="21499" xr:uid="{00000000-0005-0000-0000-0000FF530000}"/>
    <cellStyle name="Normal 2 6 17 6" xfId="11036" xr:uid="{00000000-0005-0000-0000-0000202B0000}"/>
    <cellStyle name="Normal 2 6 17 6 2" xfId="22928" xr:uid="{00000000-0005-0000-0000-000094590000}"/>
    <cellStyle name="Normal 2 6 17 7" xfId="19711" xr:uid="{00000000-0005-0000-0000-0000034D0000}"/>
    <cellStyle name="Normal 2 6 18" xfId="7872" xr:uid="{00000000-0005-0000-0000-0000C41E0000}"/>
    <cellStyle name="Normal 2 6 18 2" xfId="8085" xr:uid="{00000000-0005-0000-0000-0000991F0000}"/>
    <cellStyle name="Normal 2 6 18 2 2" xfId="8503" xr:uid="{00000000-0005-0000-0000-00003B210000}"/>
    <cellStyle name="Normal 2 6 18 2 2 2" xfId="10365" xr:uid="{00000000-0005-0000-0000-000081280000}"/>
    <cellStyle name="Normal 2 6 18 2 2 2 2" xfId="18593" xr:uid="{00000000-0005-0000-0000-0000A5480000}"/>
    <cellStyle name="Normal 2 6 18 2 2 2 2 2" xfId="25105" xr:uid="{00000000-0005-0000-0000-000015620000}"/>
    <cellStyle name="Normal 2 6 18 2 2 2 3" xfId="22270" xr:uid="{00000000-0005-0000-0000-000002570000}"/>
    <cellStyle name="Normal 2 6 18 2 2 3" xfId="17183" xr:uid="{00000000-0005-0000-0000-000023430000}"/>
    <cellStyle name="Normal 2 6 18 2 2 3 2" xfId="23840" xr:uid="{00000000-0005-0000-0000-0000245D0000}"/>
    <cellStyle name="Normal 2 6 18 2 2 4" xfId="20708" xr:uid="{00000000-0005-0000-0000-0000E8500000}"/>
    <cellStyle name="Normal 2 6 18 2 3" xfId="9264" xr:uid="{00000000-0005-0000-0000-000034240000}"/>
    <cellStyle name="Normal 2 6 18 2 3 2" xfId="10603" xr:uid="{00000000-0005-0000-0000-00006F290000}"/>
    <cellStyle name="Normal 2 6 18 2 3 2 2" xfId="18831" xr:uid="{00000000-0005-0000-0000-000093490000}"/>
    <cellStyle name="Normal 2 6 18 2 3 2 2 2" xfId="25343" xr:uid="{00000000-0005-0000-0000-000003630000}"/>
    <cellStyle name="Normal 2 6 18 2 3 2 3" xfId="22508" xr:uid="{00000000-0005-0000-0000-0000F0570000}"/>
    <cellStyle name="Normal 2 6 18 2 3 3" xfId="17511" xr:uid="{00000000-0005-0000-0000-00006B440000}"/>
    <cellStyle name="Normal 2 6 18 2 3 3 2" xfId="24087" xr:uid="{00000000-0005-0000-0000-00001B5E0000}"/>
    <cellStyle name="Normal 2 6 18 2 3 4" xfId="21252" xr:uid="{00000000-0005-0000-0000-000008530000}"/>
    <cellStyle name="Normal 2 6 18 2 4" xfId="9947" xr:uid="{00000000-0005-0000-0000-0000DF260000}"/>
    <cellStyle name="Normal 2 6 18 2 4 2" xfId="18175" xr:uid="{00000000-0005-0000-0000-000003470000}"/>
    <cellStyle name="Normal 2 6 18 2 4 2 2" xfId="24687" xr:uid="{00000000-0005-0000-0000-000073600000}"/>
    <cellStyle name="Normal 2 6 18 2 4 3" xfId="21852" xr:uid="{00000000-0005-0000-0000-000060550000}"/>
    <cellStyle name="Normal 2 6 18 2 5" xfId="11039" xr:uid="{00000000-0005-0000-0000-0000232B0000}"/>
    <cellStyle name="Normal 2 6 18 2 5 2" xfId="22931" xr:uid="{00000000-0005-0000-0000-000097590000}"/>
    <cellStyle name="Normal 2 6 18 2 6" xfId="20290" xr:uid="{00000000-0005-0000-0000-0000464F0000}"/>
    <cellStyle name="Normal 2 6 18 3" xfId="8294" xr:uid="{00000000-0005-0000-0000-00006A200000}"/>
    <cellStyle name="Normal 2 6 18 3 2" xfId="10156" xr:uid="{00000000-0005-0000-0000-0000B0270000}"/>
    <cellStyle name="Normal 2 6 18 3 2 2" xfId="18384" xr:uid="{00000000-0005-0000-0000-0000D4470000}"/>
    <cellStyle name="Normal 2 6 18 3 2 2 2" xfId="24896" xr:uid="{00000000-0005-0000-0000-000044610000}"/>
    <cellStyle name="Normal 2 6 18 3 2 3" xfId="22061" xr:uid="{00000000-0005-0000-0000-000031560000}"/>
    <cellStyle name="Normal 2 6 18 3 3" xfId="16974" xr:uid="{00000000-0005-0000-0000-000052420000}"/>
    <cellStyle name="Normal 2 6 18 3 3 2" xfId="23631" xr:uid="{00000000-0005-0000-0000-0000535C0000}"/>
    <cellStyle name="Normal 2 6 18 3 4" xfId="20499" xr:uid="{00000000-0005-0000-0000-000017500000}"/>
    <cellStyle name="Normal 2 6 18 4" xfId="9263" xr:uid="{00000000-0005-0000-0000-000033240000}"/>
    <cellStyle name="Normal 2 6 18 4 2" xfId="10602" xr:uid="{00000000-0005-0000-0000-00006E290000}"/>
    <cellStyle name="Normal 2 6 18 4 2 2" xfId="18830" xr:uid="{00000000-0005-0000-0000-000092490000}"/>
    <cellStyle name="Normal 2 6 18 4 2 2 2" xfId="25342" xr:uid="{00000000-0005-0000-0000-000002630000}"/>
    <cellStyle name="Normal 2 6 18 4 2 3" xfId="22507" xr:uid="{00000000-0005-0000-0000-0000EF570000}"/>
    <cellStyle name="Normal 2 6 18 4 3" xfId="17510" xr:uid="{00000000-0005-0000-0000-00006A440000}"/>
    <cellStyle name="Normal 2 6 18 4 3 2" xfId="24086" xr:uid="{00000000-0005-0000-0000-00001A5E0000}"/>
    <cellStyle name="Normal 2 6 18 4 4" xfId="21251" xr:uid="{00000000-0005-0000-0000-000007530000}"/>
    <cellStyle name="Normal 2 6 18 5" xfId="9738" xr:uid="{00000000-0005-0000-0000-00000E260000}"/>
    <cellStyle name="Normal 2 6 18 5 2" xfId="17966" xr:uid="{00000000-0005-0000-0000-000032460000}"/>
    <cellStyle name="Normal 2 6 18 5 2 2" xfId="24478" xr:uid="{00000000-0005-0000-0000-0000A25F0000}"/>
    <cellStyle name="Normal 2 6 18 5 3" xfId="21643" xr:uid="{00000000-0005-0000-0000-00008F540000}"/>
    <cellStyle name="Normal 2 6 18 6" xfId="11038" xr:uid="{00000000-0005-0000-0000-0000222B0000}"/>
    <cellStyle name="Normal 2 6 18 6 2" xfId="22930" xr:uid="{00000000-0005-0000-0000-000096590000}"/>
    <cellStyle name="Normal 2 6 18 7" xfId="20081" xr:uid="{00000000-0005-0000-0000-0000754E0000}"/>
    <cellStyle name="Normal 2 6 19" xfId="7888" xr:uid="{00000000-0005-0000-0000-0000D41E0000}"/>
    <cellStyle name="Normal 2 6 19 2" xfId="8310" xr:uid="{00000000-0005-0000-0000-00007A200000}"/>
    <cellStyle name="Normal 2 6 19 2 2" xfId="10172" xr:uid="{00000000-0005-0000-0000-0000C0270000}"/>
    <cellStyle name="Normal 2 6 19 2 2 2" xfId="18400" xr:uid="{00000000-0005-0000-0000-0000E4470000}"/>
    <cellStyle name="Normal 2 6 19 2 2 2 2" xfId="24912" xr:uid="{00000000-0005-0000-0000-000054610000}"/>
    <cellStyle name="Normal 2 6 19 2 2 3" xfId="22077" xr:uid="{00000000-0005-0000-0000-000041560000}"/>
    <cellStyle name="Normal 2 6 19 2 3" xfId="16990" xr:uid="{00000000-0005-0000-0000-000062420000}"/>
    <cellStyle name="Normal 2 6 19 2 3 2" xfId="23647" xr:uid="{00000000-0005-0000-0000-0000635C0000}"/>
    <cellStyle name="Normal 2 6 19 2 4" xfId="20515" xr:uid="{00000000-0005-0000-0000-000027500000}"/>
    <cellStyle name="Normal 2 6 19 3" xfId="9265" xr:uid="{00000000-0005-0000-0000-000035240000}"/>
    <cellStyle name="Normal 2 6 19 3 2" xfId="10604" xr:uid="{00000000-0005-0000-0000-000070290000}"/>
    <cellStyle name="Normal 2 6 19 3 2 2" xfId="18832" xr:uid="{00000000-0005-0000-0000-000094490000}"/>
    <cellStyle name="Normal 2 6 19 3 2 2 2" xfId="25344" xr:uid="{00000000-0005-0000-0000-000004630000}"/>
    <cellStyle name="Normal 2 6 19 3 2 3" xfId="22509" xr:uid="{00000000-0005-0000-0000-0000F1570000}"/>
    <cellStyle name="Normal 2 6 19 3 3" xfId="17512" xr:uid="{00000000-0005-0000-0000-00006C440000}"/>
    <cellStyle name="Normal 2 6 19 3 3 2" xfId="24088" xr:uid="{00000000-0005-0000-0000-00001C5E0000}"/>
    <cellStyle name="Normal 2 6 19 3 4" xfId="21253" xr:uid="{00000000-0005-0000-0000-000009530000}"/>
    <cellStyle name="Normal 2 6 19 4" xfId="9754" xr:uid="{00000000-0005-0000-0000-00001E260000}"/>
    <cellStyle name="Normal 2 6 19 4 2" xfId="17982" xr:uid="{00000000-0005-0000-0000-000042460000}"/>
    <cellStyle name="Normal 2 6 19 4 2 2" xfId="24494" xr:uid="{00000000-0005-0000-0000-0000B25F0000}"/>
    <cellStyle name="Normal 2 6 19 4 3" xfId="21659" xr:uid="{00000000-0005-0000-0000-00009F540000}"/>
    <cellStyle name="Normal 2 6 19 5" xfId="11040" xr:uid="{00000000-0005-0000-0000-0000242B0000}"/>
    <cellStyle name="Normal 2 6 19 5 2" xfId="22932" xr:uid="{00000000-0005-0000-0000-000098590000}"/>
    <cellStyle name="Normal 2 6 19 6" xfId="20097" xr:uid="{00000000-0005-0000-0000-0000854E0000}"/>
    <cellStyle name="Normal 2 6 2" xfId="2249" xr:uid="{00000000-0005-0000-0000-0000CD080000}"/>
    <cellStyle name="Normal 2 6 2 10" xfId="19642" xr:uid="{00000000-0005-0000-0000-0000BE4C0000}"/>
    <cellStyle name="Normal 2 6 2 11" xfId="4565" xr:uid="{00000000-0005-0000-0000-0000D9110000}"/>
    <cellStyle name="Normal 2 6 2 2" xfId="6324" xr:uid="{00000000-0005-0000-0000-0000B8180000}"/>
    <cellStyle name="Normal 2 6 2 3" xfId="6323" xr:uid="{00000000-0005-0000-0000-0000B7180000}"/>
    <cellStyle name="Normal 2 6 2 3 2" xfId="7941" xr:uid="{00000000-0005-0000-0000-0000091F0000}"/>
    <cellStyle name="Normal 2 6 2 3 2 2" xfId="8360" xr:uid="{00000000-0005-0000-0000-0000AC200000}"/>
    <cellStyle name="Normal 2 6 2 3 2 2 2" xfId="10222" xr:uid="{00000000-0005-0000-0000-0000F2270000}"/>
    <cellStyle name="Normal 2 6 2 3 2 2 2 2" xfId="18450" xr:uid="{00000000-0005-0000-0000-000016480000}"/>
    <cellStyle name="Normal 2 6 2 3 2 2 2 2 2" xfId="24962" xr:uid="{00000000-0005-0000-0000-000086610000}"/>
    <cellStyle name="Normal 2 6 2 3 2 2 2 3" xfId="22127" xr:uid="{00000000-0005-0000-0000-000073560000}"/>
    <cellStyle name="Normal 2 6 2 3 2 2 3" xfId="17040" xr:uid="{00000000-0005-0000-0000-000094420000}"/>
    <cellStyle name="Normal 2 6 2 3 2 2 3 2" xfId="23697" xr:uid="{00000000-0005-0000-0000-0000955C0000}"/>
    <cellStyle name="Normal 2 6 2 3 2 2 4" xfId="20565" xr:uid="{00000000-0005-0000-0000-000059500000}"/>
    <cellStyle name="Normal 2 6 2 3 2 3" xfId="9268" xr:uid="{00000000-0005-0000-0000-000038240000}"/>
    <cellStyle name="Normal 2 6 2 3 2 3 2" xfId="10607" xr:uid="{00000000-0005-0000-0000-000073290000}"/>
    <cellStyle name="Normal 2 6 2 3 2 3 2 2" xfId="18835" xr:uid="{00000000-0005-0000-0000-000097490000}"/>
    <cellStyle name="Normal 2 6 2 3 2 3 2 2 2" xfId="25347" xr:uid="{00000000-0005-0000-0000-000007630000}"/>
    <cellStyle name="Normal 2 6 2 3 2 3 2 3" xfId="22512" xr:uid="{00000000-0005-0000-0000-0000F4570000}"/>
    <cellStyle name="Normal 2 6 2 3 2 3 3" xfId="17515" xr:uid="{00000000-0005-0000-0000-00006F440000}"/>
    <cellStyle name="Normal 2 6 2 3 2 3 3 2" xfId="24091" xr:uid="{00000000-0005-0000-0000-00001F5E0000}"/>
    <cellStyle name="Normal 2 6 2 3 2 3 4" xfId="21256" xr:uid="{00000000-0005-0000-0000-00000C530000}"/>
    <cellStyle name="Normal 2 6 2 3 2 4" xfId="9804" xr:uid="{00000000-0005-0000-0000-000050260000}"/>
    <cellStyle name="Normal 2 6 2 3 2 4 2" xfId="18032" xr:uid="{00000000-0005-0000-0000-000074460000}"/>
    <cellStyle name="Normal 2 6 2 3 2 4 2 2" xfId="24544" xr:uid="{00000000-0005-0000-0000-0000E45F0000}"/>
    <cellStyle name="Normal 2 6 2 3 2 4 3" xfId="21709" xr:uid="{00000000-0005-0000-0000-0000D1540000}"/>
    <cellStyle name="Normal 2 6 2 3 2 5" xfId="11043" xr:uid="{00000000-0005-0000-0000-0000272B0000}"/>
    <cellStyle name="Normal 2 6 2 3 2 5 2" xfId="22935" xr:uid="{00000000-0005-0000-0000-00009B590000}"/>
    <cellStyle name="Normal 2 6 2 3 2 6" xfId="20147" xr:uid="{00000000-0005-0000-0000-0000B74E0000}"/>
    <cellStyle name="Normal 2 6 2 3 3" xfId="8151" xr:uid="{00000000-0005-0000-0000-0000DB1F0000}"/>
    <cellStyle name="Normal 2 6 2 3 3 2" xfId="10013" xr:uid="{00000000-0005-0000-0000-000021270000}"/>
    <cellStyle name="Normal 2 6 2 3 3 2 2" xfId="18241" xr:uid="{00000000-0005-0000-0000-000045470000}"/>
    <cellStyle name="Normal 2 6 2 3 3 2 2 2" xfId="24753" xr:uid="{00000000-0005-0000-0000-0000B5600000}"/>
    <cellStyle name="Normal 2 6 2 3 3 2 3" xfId="21918" xr:uid="{00000000-0005-0000-0000-0000A2550000}"/>
    <cellStyle name="Normal 2 6 2 3 3 3" xfId="16840" xr:uid="{00000000-0005-0000-0000-0000CC410000}"/>
    <cellStyle name="Normal 2 6 2 3 3 3 2" xfId="23499" xr:uid="{00000000-0005-0000-0000-0000CF5B0000}"/>
    <cellStyle name="Normal 2 6 2 3 3 4" xfId="20356" xr:uid="{00000000-0005-0000-0000-0000884F0000}"/>
    <cellStyle name="Normal 2 6 2 3 4" xfId="9267" xr:uid="{00000000-0005-0000-0000-000037240000}"/>
    <cellStyle name="Normal 2 6 2 3 4 2" xfId="10606" xr:uid="{00000000-0005-0000-0000-000072290000}"/>
    <cellStyle name="Normal 2 6 2 3 4 2 2" xfId="18834" xr:uid="{00000000-0005-0000-0000-000096490000}"/>
    <cellStyle name="Normal 2 6 2 3 4 2 2 2" xfId="25346" xr:uid="{00000000-0005-0000-0000-000006630000}"/>
    <cellStyle name="Normal 2 6 2 3 4 2 3" xfId="22511" xr:uid="{00000000-0005-0000-0000-0000F3570000}"/>
    <cellStyle name="Normal 2 6 2 3 4 3" xfId="17514" xr:uid="{00000000-0005-0000-0000-00006E440000}"/>
    <cellStyle name="Normal 2 6 2 3 4 3 2" xfId="24090" xr:uid="{00000000-0005-0000-0000-00001E5E0000}"/>
    <cellStyle name="Normal 2 6 2 3 4 4" xfId="21255" xr:uid="{00000000-0005-0000-0000-00000B530000}"/>
    <cellStyle name="Normal 2 6 2 3 5" xfId="9595" xr:uid="{00000000-0005-0000-0000-00007F250000}"/>
    <cellStyle name="Normal 2 6 2 3 5 2" xfId="17823" xr:uid="{00000000-0005-0000-0000-0000A3450000}"/>
    <cellStyle name="Normal 2 6 2 3 5 2 2" xfId="24335" xr:uid="{00000000-0005-0000-0000-0000135F0000}"/>
    <cellStyle name="Normal 2 6 2 3 5 3" xfId="21500" xr:uid="{00000000-0005-0000-0000-000000540000}"/>
    <cellStyle name="Normal 2 6 2 3 6" xfId="11042" xr:uid="{00000000-0005-0000-0000-0000262B0000}"/>
    <cellStyle name="Normal 2 6 2 3 6 2" xfId="22934" xr:uid="{00000000-0005-0000-0000-00009A590000}"/>
    <cellStyle name="Normal 2 6 2 3 7" xfId="19712" xr:uid="{00000000-0005-0000-0000-0000044D0000}"/>
    <cellStyle name="Normal 2 6 2 4" xfId="7793" xr:uid="{00000000-0005-0000-0000-0000751E0000}"/>
    <cellStyle name="Normal 2 6 2 4 2" xfId="8035" xr:uid="{00000000-0005-0000-0000-0000671F0000}"/>
    <cellStyle name="Normal 2 6 2 4 2 2" xfId="8454" xr:uid="{00000000-0005-0000-0000-00000A210000}"/>
    <cellStyle name="Normal 2 6 2 4 2 2 2" xfId="10316" xr:uid="{00000000-0005-0000-0000-000050280000}"/>
    <cellStyle name="Normal 2 6 2 4 2 2 2 2" xfId="18544" xr:uid="{00000000-0005-0000-0000-000074480000}"/>
    <cellStyle name="Normal 2 6 2 4 2 2 2 2 2" xfId="25056" xr:uid="{00000000-0005-0000-0000-0000E4610000}"/>
    <cellStyle name="Normal 2 6 2 4 2 2 2 3" xfId="22221" xr:uid="{00000000-0005-0000-0000-0000D1560000}"/>
    <cellStyle name="Normal 2 6 2 4 2 2 3" xfId="17134" xr:uid="{00000000-0005-0000-0000-0000F2420000}"/>
    <cellStyle name="Normal 2 6 2 4 2 2 3 2" xfId="23791" xr:uid="{00000000-0005-0000-0000-0000F35C0000}"/>
    <cellStyle name="Normal 2 6 2 4 2 2 4" xfId="20659" xr:uid="{00000000-0005-0000-0000-0000B7500000}"/>
    <cellStyle name="Normal 2 6 2 4 2 3" xfId="9270" xr:uid="{00000000-0005-0000-0000-00003A240000}"/>
    <cellStyle name="Normal 2 6 2 4 2 3 2" xfId="10609" xr:uid="{00000000-0005-0000-0000-000075290000}"/>
    <cellStyle name="Normal 2 6 2 4 2 3 2 2" xfId="18837" xr:uid="{00000000-0005-0000-0000-000099490000}"/>
    <cellStyle name="Normal 2 6 2 4 2 3 2 2 2" xfId="25349" xr:uid="{00000000-0005-0000-0000-000009630000}"/>
    <cellStyle name="Normal 2 6 2 4 2 3 2 3" xfId="22514" xr:uid="{00000000-0005-0000-0000-0000F6570000}"/>
    <cellStyle name="Normal 2 6 2 4 2 3 3" xfId="17517" xr:uid="{00000000-0005-0000-0000-000071440000}"/>
    <cellStyle name="Normal 2 6 2 4 2 3 3 2" xfId="24093" xr:uid="{00000000-0005-0000-0000-0000215E0000}"/>
    <cellStyle name="Normal 2 6 2 4 2 3 4" xfId="21258" xr:uid="{00000000-0005-0000-0000-00000E530000}"/>
    <cellStyle name="Normal 2 6 2 4 2 4" xfId="9898" xr:uid="{00000000-0005-0000-0000-0000AE260000}"/>
    <cellStyle name="Normal 2 6 2 4 2 4 2" xfId="18126" xr:uid="{00000000-0005-0000-0000-0000D2460000}"/>
    <cellStyle name="Normal 2 6 2 4 2 4 2 2" xfId="24638" xr:uid="{00000000-0005-0000-0000-000042600000}"/>
    <cellStyle name="Normal 2 6 2 4 2 4 3" xfId="21803" xr:uid="{00000000-0005-0000-0000-00002F550000}"/>
    <cellStyle name="Normal 2 6 2 4 2 5" xfId="11045" xr:uid="{00000000-0005-0000-0000-0000292B0000}"/>
    <cellStyle name="Normal 2 6 2 4 2 5 2" xfId="22937" xr:uid="{00000000-0005-0000-0000-00009D590000}"/>
    <cellStyle name="Normal 2 6 2 4 2 6" xfId="20241" xr:uid="{00000000-0005-0000-0000-0000154F0000}"/>
    <cellStyle name="Normal 2 6 2 4 3" xfId="8245" xr:uid="{00000000-0005-0000-0000-000039200000}"/>
    <cellStyle name="Normal 2 6 2 4 3 2" xfId="10107" xr:uid="{00000000-0005-0000-0000-00007F270000}"/>
    <cellStyle name="Normal 2 6 2 4 3 2 2" xfId="18335" xr:uid="{00000000-0005-0000-0000-0000A3470000}"/>
    <cellStyle name="Normal 2 6 2 4 3 2 2 2" xfId="24847" xr:uid="{00000000-0005-0000-0000-000013610000}"/>
    <cellStyle name="Normal 2 6 2 4 3 2 3" xfId="22012" xr:uid="{00000000-0005-0000-0000-000000560000}"/>
    <cellStyle name="Normal 2 6 2 4 3 3" xfId="16926" xr:uid="{00000000-0005-0000-0000-000022420000}"/>
    <cellStyle name="Normal 2 6 2 4 3 3 2" xfId="23583" xr:uid="{00000000-0005-0000-0000-0000235C0000}"/>
    <cellStyle name="Normal 2 6 2 4 3 4" xfId="20450" xr:uid="{00000000-0005-0000-0000-0000E64F0000}"/>
    <cellStyle name="Normal 2 6 2 4 4" xfId="9269" xr:uid="{00000000-0005-0000-0000-000039240000}"/>
    <cellStyle name="Normal 2 6 2 4 4 2" xfId="10608" xr:uid="{00000000-0005-0000-0000-000074290000}"/>
    <cellStyle name="Normal 2 6 2 4 4 2 2" xfId="18836" xr:uid="{00000000-0005-0000-0000-000098490000}"/>
    <cellStyle name="Normal 2 6 2 4 4 2 2 2" xfId="25348" xr:uid="{00000000-0005-0000-0000-000008630000}"/>
    <cellStyle name="Normal 2 6 2 4 4 2 3" xfId="22513" xr:uid="{00000000-0005-0000-0000-0000F5570000}"/>
    <cellStyle name="Normal 2 6 2 4 4 3" xfId="17516" xr:uid="{00000000-0005-0000-0000-000070440000}"/>
    <cellStyle name="Normal 2 6 2 4 4 3 2" xfId="24092" xr:uid="{00000000-0005-0000-0000-0000205E0000}"/>
    <cellStyle name="Normal 2 6 2 4 4 4" xfId="21257" xr:uid="{00000000-0005-0000-0000-00000D530000}"/>
    <cellStyle name="Normal 2 6 2 4 5" xfId="9689" xr:uid="{00000000-0005-0000-0000-0000DD250000}"/>
    <cellStyle name="Normal 2 6 2 4 5 2" xfId="17917" xr:uid="{00000000-0005-0000-0000-000001460000}"/>
    <cellStyle name="Normal 2 6 2 4 5 2 2" xfId="24429" xr:uid="{00000000-0005-0000-0000-0000715F0000}"/>
    <cellStyle name="Normal 2 6 2 4 5 3" xfId="21594" xr:uid="{00000000-0005-0000-0000-00005E540000}"/>
    <cellStyle name="Normal 2 6 2 4 6" xfId="11044" xr:uid="{00000000-0005-0000-0000-0000282B0000}"/>
    <cellStyle name="Normal 2 6 2 4 6 2" xfId="22936" xr:uid="{00000000-0005-0000-0000-00009C590000}"/>
    <cellStyle name="Normal 2 6 2 4 7" xfId="20032" xr:uid="{00000000-0005-0000-0000-0000444E0000}"/>
    <cellStyle name="Normal 2 6 2 5" xfId="7910" xr:uid="{00000000-0005-0000-0000-0000EA1E0000}"/>
    <cellStyle name="Normal 2 6 2 5 2" xfId="8331" xr:uid="{00000000-0005-0000-0000-00008F200000}"/>
    <cellStyle name="Normal 2 6 2 5 2 2" xfId="10193" xr:uid="{00000000-0005-0000-0000-0000D5270000}"/>
    <cellStyle name="Normal 2 6 2 5 2 2 2" xfId="18421" xr:uid="{00000000-0005-0000-0000-0000F9470000}"/>
    <cellStyle name="Normal 2 6 2 5 2 2 2 2" xfId="24933" xr:uid="{00000000-0005-0000-0000-000069610000}"/>
    <cellStyle name="Normal 2 6 2 5 2 2 3" xfId="22098" xr:uid="{00000000-0005-0000-0000-000056560000}"/>
    <cellStyle name="Normal 2 6 2 5 2 3" xfId="17011" xr:uid="{00000000-0005-0000-0000-000077420000}"/>
    <cellStyle name="Normal 2 6 2 5 2 3 2" xfId="23668" xr:uid="{00000000-0005-0000-0000-0000785C0000}"/>
    <cellStyle name="Normal 2 6 2 5 2 4" xfId="20536" xr:uid="{00000000-0005-0000-0000-00003C500000}"/>
    <cellStyle name="Normal 2 6 2 5 3" xfId="9271" xr:uid="{00000000-0005-0000-0000-00003B240000}"/>
    <cellStyle name="Normal 2 6 2 5 3 2" xfId="10610" xr:uid="{00000000-0005-0000-0000-000076290000}"/>
    <cellStyle name="Normal 2 6 2 5 3 2 2" xfId="18838" xr:uid="{00000000-0005-0000-0000-00009A490000}"/>
    <cellStyle name="Normal 2 6 2 5 3 2 2 2" xfId="25350" xr:uid="{00000000-0005-0000-0000-00000A630000}"/>
    <cellStyle name="Normal 2 6 2 5 3 2 3" xfId="22515" xr:uid="{00000000-0005-0000-0000-0000F7570000}"/>
    <cellStyle name="Normal 2 6 2 5 3 3" xfId="17518" xr:uid="{00000000-0005-0000-0000-000072440000}"/>
    <cellStyle name="Normal 2 6 2 5 3 3 2" xfId="24094" xr:uid="{00000000-0005-0000-0000-0000225E0000}"/>
    <cellStyle name="Normal 2 6 2 5 3 4" xfId="21259" xr:uid="{00000000-0005-0000-0000-00000F530000}"/>
    <cellStyle name="Normal 2 6 2 5 4" xfId="9775" xr:uid="{00000000-0005-0000-0000-000033260000}"/>
    <cellStyle name="Normal 2 6 2 5 4 2" xfId="18003" xr:uid="{00000000-0005-0000-0000-000057460000}"/>
    <cellStyle name="Normal 2 6 2 5 4 2 2" xfId="24515" xr:uid="{00000000-0005-0000-0000-0000C75F0000}"/>
    <cellStyle name="Normal 2 6 2 5 4 3" xfId="21680" xr:uid="{00000000-0005-0000-0000-0000B4540000}"/>
    <cellStyle name="Normal 2 6 2 5 5" xfId="11046" xr:uid="{00000000-0005-0000-0000-00002A2B0000}"/>
    <cellStyle name="Normal 2 6 2 5 5 2" xfId="22938" xr:uid="{00000000-0005-0000-0000-00009E590000}"/>
    <cellStyle name="Normal 2 6 2 5 6" xfId="20118" xr:uid="{00000000-0005-0000-0000-00009A4E0000}"/>
    <cellStyle name="Normal 2 6 2 6" xfId="8122" xr:uid="{00000000-0005-0000-0000-0000BE1F0000}"/>
    <cellStyle name="Normal 2 6 2 6 2" xfId="9984" xr:uid="{00000000-0005-0000-0000-000004270000}"/>
    <cellStyle name="Normal 2 6 2 6 2 2" xfId="18212" xr:uid="{00000000-0005-0000-0000-000028470000}"/>
    <cellStyle name="Normal 2 6 2 6 2 2 2" xfId="24724" xr:uid="{00000000-0005-0000-0000-000098600000}"/>
    <cellStyle name="Normal 2 6 2 6 2 3" xfId="21889" xr:uid="{00000000-0005-0000-0000-000085550000}"/>
    <cellStyle name="Normal 2 6 2 6 3" xfId="16820" xr:uid="{00000000-0005-0000-0000-0000B8410000}"/>
    <cellStyle name="Normal 2 6 2 6 3 2" xfId="23479" xr:uid="{00000000-0005-0000-0000-0000BB5B0000}"/>
    <cellStyle name="Normal 2 6 2 6 4" xfId="20327" xr:uid="{00000000-0005-0000-0000-00006B4F0000}"/>
    <cellStyle name="Normal 2 6 2 7" xfId="9266" xr:uid="{00000000-0005-0000-0000-000036240000}"/>
    <cellStyle name="Normal 2 6 2 7 2" xfId="10605" xr:uid="{00000000-0005-0000-0000-000071290000}"/>
    <cellStyle name="Normal 2 6 2 7 2 2" xfId="18833" xr:uid="{00000000-0005-0000-0000-000095490000}"/>
    <cellStyle name="Normal 2 6 2 7 2 2 2" xfId="25345" xr:uid="{00000000-0005-0000-0000-000005630000}"/>
    <cellStyle name="Normal 2 6 2 7 2 3" xfId="22510" xr:uid="{00000000-0005-0000-0000-0000F2570000}"/>
    <cellStyle name="Normal 2 6 2 7 3" xfId="17513" xr:uid="{00000000-0005-0000-0000-00006D440000}"/>
    <cellStyle name="Normal 2 6 2 7 3 2" xfId="24089" xr:uid="{00000000-0005-0000-0000-00001D5E0000}"/>
    <cellStyle name="Normal 2 6 2 7 4" xfId="21254" xr:uid="{00000000-0005-0000-0000-00000A530000}"/>
    <cellStyle name="Normal 2 6 2 8" xfId="9566" xr:uid="{00000000-0005-0000-0000-000062250000}"/>
    <cellStyle name="Normal 2 6 2 8 2" xfId="17794" xr:uid="{00000000-0005-0000-0000-000086450000}"/>
    <cellStyle name="Normal 2 6 2 8 2 2" xfId="24306" xr:uid="{00000000-0005-0000-0000-0000F65E0000}"/>
    <cellStyle name="Normal 2 6 2 8 3" xfId="21471" xr:uid="{00000000-0005-0000-0000-0000E3530000}"/>
    <cellStyle name="Normal 2 6 2 9" xfId="11041" xr:uid="{00000000-0005-0000-0000-0000252B0000}"/>
    <cellStyle name="Normal 2 6 2 9 2" xfId="22933" xr:uid="{00000000-0005-0000-0000-000099590000}"/>
    <cellStyle name="Normal 2 6 20" xfId="8101" xr:uid="{00000000-0005-0000-0000-0000A91F0000}"/>
    <cellStyle name="Normal 2 6 20 2" xfId="8876" xr:uid="{00000000-0005-0000-0000-0000B0220000}"/>
    <cellStyle name="Normal 2 6 20 2 2" xfId="10383" xr:uid="{00000000-0005-0000-0000-000093280000}"/>
    <cellStyle name="Normal 2 6 20 2 2 2" xfId="18611" xr:uid="{00000000-0005-0000-0000-0000B7480000}"/>
    <cellStyle name="Normal 2 6 20 2 2 2 2" xfId="25123" xr:uid="{00000000-0005-0000-0000-000027620000}"/>
    <cellStyle name="Normal 2 6 20 2 2 3" xfId="22288" xr:uid="{00000000-0005-0000-0000-000014570000}"/>
    <cellStyle name="Normal 2 6 20 2 3" xfId="17253" xr:uid="{00000000-0005-0000-0000-000069430000}"/>
    <cellStyle name="Normal 2 6 20 2 3 2" xfId="23865" xr:uid="{00000000-0005-0000-0000-00003D5D0000}"/>
    <cellStyle name="Normal 2 6 20 2 4" xfId="20947" xr:uid="{00000000-0005-0000-0000-0000D7510000}"/>
    <cellStyle name="Normal 2 6 20 3" xfId="9963" xr:uid="{00000000-0005-0000-0000-0000EF260000}"/>
    <cellStyle name="Normal 2 6 20 3 2" xfId="18191" xr:uid="{00000000-0005-0000-0000-000013470000}"/>
    <cellStyle name="Normal 2 6 20 3 2 2" xfId="24703" xr:uid="{00000000-0005-0000-0000-000083600000}"/>
    <cellStyle name="Normal 2 6 20 3 3" xfId="21868" xr:uid="{00000000-0005-0000-0000-000070550000}"/>
    <cellStyle name="Normal 2 6 20 4" xfId="16807" xr:uid="{00000000-0005-0000-0000-0000AB410000}"/>
    <cellStyle name="Normal 2 6 20 4 2" xfId="23466" xr:uid="{00000000-0005-0000-0000-0000AE5B0000}"/>
    <cellStyle name="Normal 2 6 20 5" xfId="20306" xr:uid="{00000000-0005-0000-0000-0000564F0000}"/>
    <cellStyle name="Normal 2 6 21" xfId="9545" xr:uid="{00000000-0005-0000-0000-00004D250000}"/>
    <cellStyle name="Normal 2 6 21 2" xfId="17773" xr:uid="{00000000-0005-0000-0000-000071450000}"/>
    <cellStyle name="Normal 2 6 21 2 2" xfId="24285" xr:uid="{00000000-0005-0000-0000-0000E15E0000}"/>
    <cellStyle name="Normal 2 6 21 3" xfId="21450" xr:uid="{00000000-0005-0000-0000-0000CE530000}"/>
    <cellStyle name="Normal 2 6 22" xfId="19611" xr:uid="{00000000-0005-0000-0000-00009F4C0000}"/>
    <cellStyle name="Normal 2 6 23" xfId="4515" xr:uid="{00000000-0005-0000-0000-0000A7110000}"/>
    <cellStyle name="Normal 2 6 3" xfId="1104" xr:uid="{00000000-0005-0000-0000-000054040000}"/>
    <cellStyle name="Normal 2 6 3 2" xfId="6325" xr:uid="{00000000-0005-0000-0000-0000B9180000}"/>
    <cellStyle name="Normal 2 6 3 3" xfId="7909" xr:uid="{00000000-0005-0000-0000-0000E91E0000}"/>
    <cellStyle name="Normal 2 6 3 3 2" xfId="8330" xr:uid="{00000000-0005-0000-0000-00008E200000}"/>
    <cellStyle name="Normal 2 6 3 3 2 2" xfId="10192" xr:uid="{00000000-0005-0000-0000-0000D4270000}"/>
    <cellStyle name="Normal 2 6 3 3 2 2 2" xfId="18420" xr:uid="{00000000-0005-0000-0000-0000F8470000}"/>
    <cellStyle name="Normal 2 6 3 3 2 2 2 2" xfId="24932" xr:uid="{00000000-0005-0000-0000-000068610000}"/>
    <cellStyle name="Normal 2 6 3 3 2 2 3" xfId="22097" xr:uid="{00000000-0005-0000-0000-000055560000}"/>
    <cellStyle name="Normal 2 6 3 3 2 3" xfId="17010" xr:uid="{00000000-0005-0000-0000-000076420000}"/>
    <cellStyle name="Normal 2 6 3 3 2 3 2" xfId="23667" xr:uid="{00000000-0005-0000-0000-0000775C0000}"/>
    <cellStyle name="Normal 2 6 3 3 2 4" xfId="20535" xr:uid="{00000000-0005-0000-0000-00003B500000}"/>
    <cellStyle name="Normal 2 6 3 3 3" xfId="9273" xr:uid="{00000000-0005-0000-0000-00003D240000}"/>
    <cellStyle name="Normal 2 6 3 3 3 2" xfId="10612" xr:uid="{00000000-0005-0000-0000-000078290000}"/>
    <cellStyle name="Normal 2 6 3 3 3 2 2" xfId="18840" xr:uid="{00000000-0005-0000-0000-00009C490000}"/>
    <cellStyle name="Normal 2 6 3 3 3 2 2 2" xfId="25352" xr:uid="{00000000-0005-0000-0000-00000C630000}"/>
    <cellStyle name="Normal 2 6 3 3 3 2 3" xfId="22517" xr:uid="{00000000-0005-0000-0000-0000F9570000}"/>
    <cellStyle name="Normal 2 6 3 3 3 3" xfId="17520" xr:uid="{00000000-0005-0000-0000-000074440000}"/>
    <cellStyle name="Normal 2 6 3 3 3 3 2" xfId="24096" xr:uid="{00000000-0005-0000-0000-0000245E0000}"/>
    <cellStyle name="Normal 2 6 3 3 3 4" xfId="21261" xr:uid="{00000000-0005-0000-0000-000011530000}"/>
    <cellStyle name="Normal 2 6 3 3 4" xfId="9774" xr:uid="{00000000-0005-0000-0000-000032260000}"/>
    <cellStyle name="Normal 2 6 3 3 4 2" xfId="18002" xr:uid="{00000000-0005-0000-0000-000056460000}"/>
    <cellStyle name="Normal 2 6 3 3 4 2 2" xfId="24514" xr:uid="{00000000-0005-0000-0000-0000C65F0000}"/>
    <cellStyle name="Normal 2 6 3 3 4 3" xfId="21679" xr:uid="{00000000-0005-0000-0000-0000B3540000}"/>
    <cellStyle name="Normal 2 6 3 3 5" xfId="11048" xr:uid="{00000000-0005-0000-0000-00002C2B0000}"/>
    <cellStyle name="Normal 2 6 3 3 5 2" xfId="22940" xr:uid="{00000000-0005-0000-0000-0000A0590000}"/>
    <cellStyle name="Normal 2 6 3 3 6" xfId="20117" xr:uid="{00000000-0005-0000-0000-0000994E0000}"/>
    <cellStyle name="Normal 2 6 3 4" xfId="8121" xr:uid="{00000000-0005-0000-0000-0000BD1F0000}"/>
    <cellStyle name="Normal 2 6 3 4 2" xfId="9983" xr:uid="{00000000-0005-0000-0000-000003270000}"/>
    <cellStyle name="Normal 2 6 3 4 2 2" xfId="18211" xr:uid="{00000000-0005-0000-0000-000027470000}"/>
    <cellStyle name="Normal 2 6 3 4 2 2 2" xfId="24723" xr:uid="{00000000-0005-0000-0000-000097600000}"/>
    <cellStyle name="Normal 2 6 3 4 2 3" xfId="21888" xr:uid="{00000000-0005-0000-0000-000084550000}"/>
    <cellStyle name="Normal 2 6 3 4 3" xfId="16819" xr:uid="{00000000-0005-0000-0000-0000B7410000}"/>
    <cellStyle name="Normal 2 6 3 4 3 2" xfId="23478" xr:uid="{00000000-0005-0000-0000-0000BA5B0000}"/>
    <cellStyle name="Normal 2 6 3 4 4" xfId="20326" xr:uid="{00000000-0005-0000-0000-00006A4F0000}"/>
    <cellStyle name="Normal 2 6 3 5" xfId="9272" xr:uid="{00000000-0005-0000-0000-00003C240000}"/>
    <cellStyle name="Normal 2 6 3 5 2" xfId="10611" xr:uid="{00000000-0005-0000-0000-000077290000}"/>
    <cellStyle name="Normal 2 6 3 5 2 2" xfId="18839" xr:uid="{00000000-0005-0000-0000-00009B490000}"/>
    <cellStyle name="Normal 2 6 3 5 2 2 2" xfId="25351" xr:uid="{00000000-0005-0000-0000-00000B630000}"/>
    <cellStyle name="Normal 2 6 3 5 2 3" xfId="22516" xr:uid="{00000000-0005-0000-0000-0000F8570000}"/>
    <cellStyle name="Normal 2 6 3 5 3" xfId="17519" xr:uid="{00000000-0005-0000-0000-000073440000}"/>
    <cellStyle name="Normal 2 6 3 5 3 2" xfId="24095" xr:uid="{00000000-0005-0000-0000-0000235E0000}"/>
    <cellStyle name="Normal 2 6 3 5 4" xfId="21260" xr:uid="{00000000-0005-0000-0000-000010530000}"/>
    <cellStyle name="Normal 2 6 3 6" xfId="9565" xr:uid="{00000000-0005-0000-0000-000061250000}"/>
    <cellStyle name="Normal 2 6 3 6 2" xfId="17793" xr:uid="{00000000-0005-0000-0000-000085450000}"/>
    <cellStyle name="Normal 2 6 3 6 2 2" xfId="24305" xr:uid="{00000000-0005-0000-0000-0000F55E0000}"/>
    <cellStyle name="Normal 2 6 3 6 3" xfId="21470" xr:uid="{00000000-0005-0000-0000-0000E2530000}"/>
    <cellStyle name="Normal 2 6 3 7" xfId="11047" xr:uid="{00000000-0005-0000-0000-00002B2B0000}"/>
    <cellStyle name="Normal 2 6 3 7 2" xfId="22939" xr:uid="{00000000-0005-0000-0000-00009F590000}"/>
    <cellStyle name="Normal 2 6 3 8" xfId="19641" xr:uid="{00000000-0005-0000-0000-0000BD4C0000}"/>
    <cellStyle name="Normal 2 6 3 9" xfId="4564" xr:uid="{00000000-0005-0000-0000-0000D8110000}"/>
    <cellStyle name="Normal 2 6 4" xfId="3419" xr:uid="{00000000-0005-0000-0000-00005F0D0000}"/>
    <cellStyle name="Normal 2 6 4 2" xfId="6326" xr:uid="{00000000-0005-0000-0000-0000BA180000}"/>
    <cellStyle name="Normal 2 6 5" xfId="6327" xr:uid="{00000000-0005-0000-0000-0000BB180000}"/>
    <cellStyle name="Normal 2 6 6" xfId="6328" xr:uid="{00000000-0005-0000-0000-0000BC180000}"/>
    <cellStyle name="Normal 2 6 7" xfId="6329" xr:uid="{00000000-0005-0000-0000-0000BD180000}"/>
    <cellStyle name="Normal 2 6 8" xfId="6330" xr:uid="{00000000-0005-0000-0000-0000BE180000}"/>
    <cellStyle name="Normal 2 6 9" xfId="6331" xr:uid="{00000000-0005-0000-0000-0000BF180000}"/>
    <cellStyle name="Normal 2 7" xfId="122" xr:uid="{00000000-0005-0000-0000-00007E000000}"/>
    <cellStyle name="Normal 2 7 2" xfId="2250" xr:uid="{00000000-0005-0000-0000-0000CE080000}"/>
    <cellStyle name="Normal 2 7 3" xfId="1105" xr:uid="{00000000-0005-0000-0000-000055040000}"/>
    <cellStyle name="Normal 2 8" xfId="123" xr:uid="{00000000-0005-0000-0000-00007F000000}"/>
    <cellStyle name="Normal 2 8 2" xfId="2251" xr:uid="{00000000-0005-0000-0000-0000CF080000}"/>
    <cellStyle name="Normal 2 8 3" xfId="1106" xr:uid="{00000000-0005-0000-0000-000056040000}"/>
    <cellStyle name="Normal 2 8 4" xfId="4566" xr:uid="{00000000-0005-0000-0000-0000DA110000}"/>
    <cellStyle name="Normal 2 8 4 2" xfId="6332" xr:uid="{00000000-0005-0000-0000-0000C0180000}"/>
    <cellStyle name="Normal 2 9" xfId="204" xr:uid="{00000000-0005-0000-0000-0000D0000000}"/>
    <cellStyle name="Normal 2 9 2" xfId="2252" xr:uid="{00000000-0005-0000-0000-0000D0080000}"/>
    <cellStyle name="Normal 2 9 2 2" xfId="6334" xr:uid="{00000000-0005-0000-0000-0000C2180000}"/>
    <cellStyle name="Normal 2 9 2 3" xfId="7911" xr:uid="{00000000-0005-0000-0000-0000EB1E0000}"/>
    <cellStyle name="Normal 2 9 2 3 2" xfId="8332" xr:uid="{00000000-0005-0000-0000-000090200000}"/>
    <cellStyle name="Normal 2 9 2 3 2 2" xfId="10194" xr:uid="{00000000-0005-0000-0000-0000D6270000}"/>
    <cellStyle name="Normal 2 9 2 3 2 2 2" xfId="18422" xr:uid="{00000000-0005-0000-0000-0000FA470000}"/>
    <cellStyle name="Normal 2 9 2 3 2 2 2 2" xfId="24934" xr:uid="{00000000-0005-0000-0000-00006A610000}"/>
    <cellStyle name="Normal 2 9 2 3 2 2 3" xfId="22099" xr:uid="{00000000-0005-0000-0000-000057560000}"/>
    <cellStyle name="Normal 2 9 2 3 2 3" xfId="17012" xr:uid="{00000000-0005-0000-0000-000078420000}"/>
    <cellStyle name="Normal 2 9 2 3 2 3 2" xfId="23669" xr:uid="{00000000-0005-0000-0000-0000795C0000}"/>
    <cellStyle name="Normal 2 9 2 3 2 4" xfId="20537" xr:uid="{00000000-0005-0000-0000-00003D500000}"/>
    <cellStyle name="Normal 2 9 2 3 3" xfId="9276" xr:uid="{00000000-0005-0000-0000-000040240000}"/>
    <cellStyle name="Normal 2 9 2 3 3 2" xfId="10615" xr:uid="{00000000-0005-0000-0000-00007B290000}"/>
    <cellStyle name="Normal 2 9 2 3 3 2 2" xfId="18843" xr:uid="{00000000-0005-0000-0000-00009F490000}"/>
    <cellStyle name="Normal 2 9 2 3 3 2 2 2" xfId="25355" xr:uid="{00000000-0005-0000-0000-00000F630000}"/>
    <cellStyle name="Normal 2 9 2 3 3 2 3" xfId="22520" xr:uid="{00000000-0005-0000-0000-0000FC570000}"/>
    <cellStyle name="Normal 2 9 2 3 3 3" xfId="17523" xr:uid="{00000000-0005-0000-0000-000077440000}"/>
    <cellStyle name="Normal 2 9 2 3 3 3 2" xfId="24099" xr:uid="{00000000-0005-0000-0000-0000275E0000}"/>
    <cellStyle name="Normal 2 9 2 3 3 4" xfId="21264" xr:uid="{00000000-0005-0000-0000-000014530000}"/>
    <cellStyle name="Normal 2 9 2 3 4" xfId="9776" xr:uid="{00000000-0005-0000-0000-000034260000}"/>
    <cellStyle name="Normal 2 9 2 3 4 2" xfId="18004" xr:uid="{00000000-0005-0000-0000-000058460000}"/>
    <cellStyle name="Normal 2 9 2 3 4 2 2" xfId="24516" xr:uid="{00000000-0005-0000-0000-0000C85F0000}"/>
    <cellStyle name="Normal 2 9 2 3 4 3" xfId="21681" xr:uid="{00000000-0005-0000-0000-0000B5540000}"/>
    <cellStyle name="Normal 2 9 2 3 5" xfId="11050" xr:uid="{00000000-0005-0000-0000-00002E2B0000}"/>
    <cellStyle name="Normal 2 9 2 3 5 2" xfId="22942" xr:uid="{00000000-0005-0000-0000-0000A2590000}"/>
    <cellStyle name="Normal 2 9 2 3 6" xfId="20119" xr:uid="{00000000-0005-0000-0000-00009B4E0000}"/>
    <cellStyle name="Normal 2 9 2 4" xfId="8123" xr:uid="{00000000-0005-0000-0000-0000BF1F0000}"/>
    <cellStyle name="Normal 2 9 2 4 2" xfId="9985" xr:uid="{00000000-0005-0000-0000-000005270000}"/>
    <cellStyle name="Normal 2 9 2 4 2 2" xfId="18213" xr:uid="{00000000-0005-0000-0000-000029470000}"/>
    <cellStyle name="Normal 2 9 2 4 2 2 2" xfId="24725" xr:uid="{00000000-0005-0000-0000-000099600000}"/>
    <cellStyle name="Normal 2 9 2 4 2 3" xfId="21890" xr:uid="{00000000-0005-0000-0000-000086550000}"/>
    <cellStyle name="Normal 2 9 2 4 3" xfId="16821" xr:uid="{00000000-0005-0000-0000-0000B9410000}"/>
    <cellStyle name="Normal 2 9 2 4 3 2" xfId="23480" xr:uid="{00000000-0005-0000-0000-0000BC5B0000}"/>
    <cellStyle name="Normal 2 9 2 4 4" xfId="20328" xr:uid="{00000000-0005-0000-0000-00006C4F0000}"/>
    <cellStyle name="Normal 2 9 2 5" xfId="9275" xr:uid="{00000000-0005-0000-0000-00003F240000}"/>
    <cellStyle name="Normal 2 9 2 5 2" xfId="10614" xr:uid="{00000000-0005-0000-0000-00007A290000}"/>
    <cellStyle name="Normal 2 9 2 5 2 2" xfId="18842" xr:uid="{00000000-0005-0000-0000-00009E490000}"/>
    <cellStyle name="Normal 2 9 2 5 2 2 2" xfId="25354" xr:uid="{00000000-0005-0000-0000-00000E630000}"/>
    <cellStyle name="Normal 2 9 2 5 2 3" xfId="22519" xr:uid="{00000000-0005-0000-0000-0000FB570000}"/>
    <cellStyle name="Normal 2 9 2 5 3" xfId="17522" xr:uid="{00000000-0005-0000-0000-000076440000}"/>
    <cellStyle name="Normal 2 9 2 5 3 2" xfId="24098" xr:uid="{00000000-0005-0000-0000-0000265E0000}"/>
    <cellStyle name="Normal 2 9 2 5 4" xfId="21263" xr:uid="{00000000-0005-0000-0000-000013530000}"/>
    <cellStyle name="Normal 2 9 2 6" xfId="9567" xr:uid="{00000000-0005-0000-0000-000063250000}"/>
    <cellStyle name="Normal 2 9 2 6 2" xfId="17795" xr:uid="{00000000-0005-0000-0000-000087450000}"/>
    <cellStyle name="Normal 2 9 2 6 2 2" xfId="24307" xr:uid="{00000000-0005-0000-0000-0000F75E0000}"/>
    <cellStyle name="Normal 2 9 2 6 3" xfId="21472" xr:uid="{00000000-0005-0000-0000-0000E4530000}"/>
    <cellStyle name="Normal 2 9 2 7" xfId="11049" xr:uid="{00000000-0005-0000-0000-00002D2B0000}"/>
    <cellStyle name="Normal 2 9 2 7 2" xfId="22941" xr:uid="{00000000-0005-0000-0000-0000A1590000}"/>
    <cellStyle name="Normal 2 9 2 8" xfId="19643" xr:uid="{00000000-0005-0000-0000-0000BF4C0000}"/>
    <cellStyle name="Normal 2 9 2 9" xfId="4567" xr:uid="{00000000-0005-0000-0000-0000DB110000}"/>
    <cellStyle name="Normal 2 9 3" xfId="6333" xr:uid="{00000000-0005-0000-0000-0000C1180000}"/>
    <cellStyle name="Normal 2 9 3 2" xfId="7942" xr:uid="{00000000-0005-0000-0000-00000A1F0000}"/>
    <cellStyle name="Normal 2 9 3 2 2" xfId="8361" xr:uid="{00000000-0005-0000-0000-0000AD200000}"/>
    <cellStyle name="Normal 2 9 3 2 2 2" xfId="10223" xr:uid="{00000000-0005-0000-0000-0000F3270000}"/>
    <cellStyle name="Normal 2 9 3 2 2 2 2" xfId="18451" xr:uid="{00000000-0005-0000-0000-000017480000}"/>
    <cellStyle name="Normal 2 9 3 2 2 2 2 2" xfId="24963" xr:uid="{00000000-0005-0000-0000-000087610000}"/>
    <cellStyle name="Normal 2 9 3 2 2 2 3" xfId="22128" xr:uid="{00000000-0005-0000-0000-000074560000}"/>
    <cellStyle name="Normal 2 9 3 2 2 3" xfId="17041" xr:uid="{00000000-0005-0000-0000-000095420000}"/>
    <cellStyle name="Normal 2 9 3 2 2 3 2" xfId="23698" xr:uid="{00000000-0005-0000-0000-0000965C0000}"/>
    <cellStyle name="Normal 2 9 3 2 2 4" xfId="20566" xr:uid="{00000000-0005-0000-0000-00005A500000}"/>
    <cellStyle name="Normal 2 9 3 2 3" xfId="9278" xr:uid="{00000000-0005-0000-0000-000042240000}"/>
    <cellStyle name="Normal 2 9 3 2 3 2" xfId="10617" xr:uid="{00000000-0005-0000-0000-00007D290000}"/>
    <cellStyle name="Normal 2 9 3 2 3 2 2" xfId="18845" xr:uid="{00000000-0005-0000-0000-0000A1490000}"/>
    <cellStyle name="Normal 2 9 3 2 3 2 2 2" xfId="25357" xr:uid="{00000000-0005-0000-0000-000011630000}"/>
    <cellStyle name="Normal 2 9 3 2 3 2 3" xfId="22522" xr:uid="{00000000-0005-0000-0000-0000FE570000}"/>
    <cellStyle name="Normal 2 9 3 2 3 3" xfId="17525" xr:uid="{00000000-0005-0000-0000-000079440000}"/>
    <cellStyle name="Normal 2 9 3 2 3 3 2" xfId="24101" xr:uid="{00000000-0005-0000-0000-0000295E0000}"/>
    <cellStyle name="Normal 2 9 3 2 3 4" xfId="21266" xr:uid="{00000000-0005-0000-0000-000016530000}"/>
    <cellStyle name="Normal 2 9 3 2 4" xfId="9805" xr:uid="{00000000-0005-0000-0000-000051260000}"/>
    <cellStyle name="Normal 2 9 3 2 4 2" xfId="18033" xr:uid="{00000000-0005-0000-0000-000075460000}"/>
    <cellStyle name="Normal 2 9 3 2 4 2 2" xfId="24545" xr:uid="{00000000-0005-0000-0000-0000E55F0000}"/>
    <cellStyle name="Normal 2 9 3 2 4 3" xfId="21710" xr:uid="{00000000-0005-0000-0000-0000D2540000}"/>
    <cellStyle name="Normal 2 9 3 2 5" xfId="11052" xr:uid="{00000000-0005-0000-0000-0000302B0000}"/>
    <cellStyle name="Normal 2 9 3 2 5 2" xfId="22944" xr:uid="{00000000-0005-0000-0000-0000A4590000}"/>
    <cellStyle name="Normal 2 9 3 2 6" xfId="20148" xr:uid="{00000000-0005-0000-0000-0000B84E0000}"/>
    <cellStyle name="Normal 2 9 3 3" xfId="8152" xr:uid="{00000000-0005-0000-0000-0000DC1F0000}"/>
    <cellStyle name="Normal 2 9 3 3 2" xfId="10014" xr:uid="{00000000-0005-0000-0000-000022270000}"/>
    <cellStyle name="Normal 2 9 3 3 2 2" xfId="18242" xr:uid="{00000000-0005-0000-0000-000046470000}"/>
    <cellStyle name="Normal 2 9 3 3 2 2 2" xfId="24754" xr:uid="{00000000-0005-0000-0000-0000B6600000}"/>
    <cellStyle name="Normal 2 9 3 3 2 3" xfId="21919" xr:uid="{00000000-0005-0000-0000-0000A3550000}"/>
    <cellStyle name="Normal 2 9 3 3 3" xfId="16841" xr:uid="{00000000-0005-0000-0000-0000CD410000}"/>
    <cellStyle name="Normal 2 9 3 3 3 2" xfId="23500" xr:uid="{00000000-0005-0000-0000-0000D05B0000}"/>
    <cellStyle name="Normal 2 9 3 3 4" xfId="20357" xr:uid="{00000000-0005-0000-0000-0000894F0000}"/>
    <cellStyle name="Normal 2 9 3 4" xfId="9277" xr:uid="{00000000-0005-0000-0000-000041240000}"/>
    <cellStyle name="Normal 2 9 3 4 2" xfId="10616" xr:uid="{00000000-0005-0000-0000-00007C290000}"/>
    <cellStyle name="Normal 2 9 3 4 2 2" xfId="18844" xr:uid="{00000000-0005-0000-0000-0000A0490000}"/>
    <cellStyle name="Normal 2 9 3 4 2 2 2" xfId="25356" xr:uid="{00000000-0005-0000-0000-000010630000}"/>
    <cellStyle name="Normal 2 9 3 4 2 3" xfId="22521" xr:uid="{00000000-0005-0000-0000-0000FD570000}"/>
    <cellStyle name="Normal 2 9 3 4 3" xfId="17524" xr:uid="{00000000-0005-0000-0000-000078440000}"/>
    <cellStyle name="Normal 2 9 3 4 3 2" xfId="24100" xr:uid="{00000000-0005-0000-0000-0000285E0000}"/>
    <cellStyle name="Normal 2 9 3 4 4" xfId="21265" xr:uid="{00000000-0005-0000-0000-000015530000}"/>
    <cellStyle name="Normal 2 9 3 5" xfId="9596" xr:uid="{00000000-0005-0000-0000-000080250000}"/>
    <cellStyle name="Normal 2 9 3 5 2" xfId="17824" xr:uid="{00000000-0005-0000-0000-0000A4450000}"/>
    <cellStyle name="Normal 2 9 3 5 2 2" xfId="24336" xr:uid="{00000000-0005-0000-0000-0000145F0000}"/>
    <cellStyle name="Normal 2 9 3 5 3" xfId="21501" xr:uid="{00000000-0005-0000-0000-000001540000}"/>
    <cellStyle name="Normal 2 9 3 6" xfId="11051" xr:uid="{00000000-0005-0000-0000-00002F2B0000}"/>
    <cellStyle name="Normal 2 9 3 6 2" xfId="22943" xr:uid="{00000000-0005-0000-0000-0000A3590000}"/>
    <cellStyle name="Normal 2 9 3 7" xfId="19713" xr:uid="{00000000-0005-0000-0000-0000054D0000}"/>
    <cellStyle name="Normal 2 9 4" xfId="7895" xr:uid="{00000000-0005-0000-0000-0000DB1E0000}"/>
    <cellStyle name="Normal 2 9 4 2" xfId="8317" xr:uid="{00000000-0005-0000-0000-000081200000}"/>
    <cellStyle name="Normal 2 9 4 2 2" xfId="10179" xr:uid="{00000000-0005-0000-0000-0000C7270000}"/>
    <cellStyle name="Normal 2 9 4 2 2 2" xfId="18407" xr:uid="{00000000-0005-0000-0000-0000EB470000}"/>
    <cellStyle name="Normal 2 9 4 2 2 2 2" xfId="24919" xr:uid="{00000000-0005-0000-0000-00005B610000}"/>
    <cellStyle name="Normal 2 9 4 2 2 3" xfId="22084" xr:uid="{00000000-0005-0000-0000-000048560000}"/>
    <cellStyle name="Normal 2 9 4 2 3" xfId="16997" xr:uid="{00000000-0005-0000-0000-000069420000}"/>
    <cellStyle name="Normal 2 9 4 2 3 2" xfId="23654" xr:uid="{00000000-0005-0000-0000-00006A5C0000}"/>
    <cellStyle name="Normal 2 9 4 2 4" xfId="20522" xr:uid="{00000000-0005-0000-0000-00002E500000}"/>
    <cellStyle name="Normal 2 9 4 3" xfId="9279" xr:uid="{00000000-0005-0000-0000-000043240000}"/>
    <cellStyle name="Normal 2 9 4 3 2" xfId="10618" xr:uid="{00000000-0005-0000-0000-00007E290000}"/>
    <cellStyle name="Normal 2 9 4 3 2 2" xfId="18846" xr:uid="{00000000-0005-0000-0000-0000A2490000}"/>
    <cellStyle name="Normal 2 9 4 3 2 2 2" xfId="25358" xr:uid="{00000000-0005-0000-0000-000012630000}"/>
    <cellStyle name="Normal 2 9 4 3 2 3" xfId="22523" xr:uid="{00000000-0005-0000-0000-0000FF570000}"/>
    <cellStyle name="Normal 2 9 4 3 3" xfId="17526" xr:uid="{00000000-0005-0000-0000-00007A440000}"/>
    <cellStyle name="Normal 2 9 4 3 3 2" xfId="24102" xr:uid="{00000000-0005-0000-0000-00002A5E0000}"/>
    <cellStyle name="Normal 2 9 4 3 4" xfId="21267" xr:uid="{00000000-0005-0000-0000-000017530000}"/>
    <cellStyle name="Normal 2 9 4 4" xfId="9761" xr:uid="{00000000-0005-0000-0000-000025260000}"/>
    <cellStyle name="Normal 2 9 4 4 2" xfId="17989" xr:uid="{00000000-0005-0000-0000-000049460000}"/>
    <cellStyle name="Normal 2 9 4 4 2 2" xfId="24501" xr:uid="{00000000-0005-0000-0000-0000B95F0000}"/>
    <cellStyle name="Normal 2 9 4 4 3" xfId="21666" xr:uid="{00000000-0005-0000-0000-0000A6540000}"/>
    <cellStyle name="Normal 2 9 4 5" xfId="11053" xr:uid="{00000000-0005-0000-0000-0000312B0000}"/>
    <cellStyle name="Normal 2 9 4 5 2" xfId="22945" xr:uid="{00000000-0005-0000-0000-0000A5590000}"/>
    <cellStyle name="Normal 2 9 4 6" xfId="20104" xr:uid="{00000000-0005-0000-0000-00008C4E0000}"/>
    <cellStyle name="Normal 2 9 5" xfId="8108" xr:uid="{00000000-0005-0000-0000-0000B01F0000}"/>
    <cellStyle name="Normal 2 9 5 2" xfId="9274" xr:uid="{00000000-0005-0000-0000-00003E240000}"/>
    <cellStyle name="Normal 2 9 5 2 2" xfId="10613" xr:uid="{00000000-0005-0000-0000-000079290000}"/>
    <cellStyle name="Normal 2 9 5 2 2 2" xfId="18841" xr:uid="{00000000-0005-0000-0000-00009D490000}"/>
    <cellStyle name="Normal 2 9 5 2 2 2 2" xfId="25353" xr:uid="{00000000-0005-0000-0000-00000D630000}"/>
    <cellStyle name="Normal 2 9 5 2 2 3" xfId="22518" xr:uid="{00000000-0005-0000-0000-0000FA570000}"/>
    <cellStyle name="Normal 2 9 5 2 3" xfId="17521" xr:uid="{00000000-0005-0000-0000-000075440000}"/>
    <cellStyle name="Normal 2 9 5 2 3 2" xfId="24097" xr:uid="{00000000-0005-0000-0000-0000255E0000}"/>
    <cellStyle name="Normal 2 9 5 2 4" xfId="21262" xr:uid="{00000000-0005-0000-0000-000012530000}"/>
    <cellStyle name="Normal 2 9 5 3" xfId="9970" xr:uid="{00000000-0005-0000-0000-0000F6260000}"/>
    <cellStyle name="Normal 2 9 5 3 2" xfId="18198" xr:uid="{00000000-0005-0000-0000-00001A470000}"/>
    <cellStyle name="Normal 2 9 5 3 2 2" xfId="24710" xr:uid="{00000000-0005-0000-0000-00008A600000}"/>
    <cellStyle name="Normal 2 9 5 3 3" xfId="21875" xr:uid="{00000000-0005-0000-0000-000077550000}"/>
    <cellStyle name="Normal 2 9 5 4" xfId="11054" xr:uid="{00000000-0005-0000-0000-0000322B0000}"/>
    <cellStyle name="Normal 2 9 5 4 2" xfId="22946" xr:uid="{00000000-0005-0000-0000-0000A6590000}"/>
    <cellStyle name="Normal 2 9 5 5" xfId="20313" xr:uid="{00000000-0005-0000-0000-00005D4F0000}"/>
    <cellStyle name="Normal 2 9 6" xfId="9552" xr:uid="{00000000-0005-0000-0000-000054250000}"/>
    <cellStyle name="Normal 2 9 6 2" xfId="17780" xr:uid="{00000000-0005-0000-0000-000078450000}"/>
    <cellStyle name="Normal 2 9 6 2 2" xfId="24292" xr:uid="{00000000-0005-0000-0000-0000E85E0000}"/>
    <cellStyle name="Normal 2 9 6 3" xfId="21457" xr:uid="{00000000-0005-0000-0000-0000D5530000}"/>
    <cellStyle name="Normal 2 9 7" xfId="19618" xr:uid="{00000000-0005-0000-0000-0000A64C0000}"/>
    <cellStyle name="Normal 2 9 8" xfId="4538" xr:uid="{00000000-0005-0000-0000-0000BE110000}"/>
    <cellStyle name="Normal 2_ELC" xfId="12739" xr:uid="{00000000-0005-0000-0000-0000C7310000}"/>
    <cellStyle name="Normal 20" xfId="1107" xr:uid="{00000000-0005-0000-0000-000057040000}"/>
    <cellStyle name="Normal 20 2" xfId="6336" xr:uid="{00000000-0005-0000-0000-0000C4180000}"/>
    <cellStyle name="Normal 20 3" xfId="7794" xr:uid="{00000000-0005-0000-0000-0000761E0000}"/>
    <cellStyle name="Normal 20 4" xfId="9280" xr:uid="{00000000-0005-0000-0000-000044240000}"/>
    <cellStyle name="Normal 20 5" xfId="6335" xr:uid="{00000000-0005-0000-0000-0000C3180000}"/>
    <cellStyle name="Normal 21" xfId="1108" xr:uid="{00000000-0005-0000-0000-000058040000}"/>
    <cellStyle name="Normal 21 2" xfId="2253" xr:uid="{00000000-0005-0000-0000-0000D1080000}"/>
    <cellStyle name="Normal 21 2 2" xfId="12740" xr:uid="{00000000-0005-0000-0000-0000C8310000}"/>
    <cellStyle name="Normal 21 2 3" xfId="6338" xr:uid="{00000000-0005-0000-0000-0000C6180000}"/>
    <cellStyle name="Normal 21 3" xfId="7795" xr:uid="{00000000-0005-0000-0000-0000771E0000}"/>
    <cellStyle name="Normal 21 4" xfId="9281" xr:uid="{00000000-0005-0000-0000-000045240000}"/>
    <cellStyle name="Normal 21 5" xfId="8765" xr:uid="{00000000-0005-0000-0000-000041220000}"/>
    <cellStyle name="Normal 21 5 2" xfId="17227" xr:uid="{00000000-0005-0000-0000-00004F430000}"/>
    <cellStyle name="Normal 21 6" xfId="6337" xr:uid="{00000000-0005-0000-0000-0000C5180000}"/>
    <cellStyle name="Normal 21_Scen_XBase" xfId="6339" xr:uid="{00000000-0005-0000-0000-0000C7180000}"/>
    <cellStyle name="Normal 22" xfId="6340" xr:uid="{00000000-0005-0000-0000-0000C8180000}"/>
    <cellStyle name="Normal 22 2" xfId="12741" xr:uid="{00000000-0005-0000-0000-0000C9310000}"/>
    <cellStyle name="Normal 23" xfId="6341" xr:uid="{00000000-0005-0000-0000-0000C9180000}"/>
    <cellStyle name="Normal 23 2" xfId="6342" xr:uid="{00000000-0005-0000-0000-0000CA180000}"/>
    <cellStyle name="Normal 23 3" xfId="6343" xr:uid="{00000000-0005-0000-0000-0000CB180000}"/>
    <cellStyle name="Normal 24" xfId="6344" xr:uid="{00000000-0005-0000-0000-0000CC180000}"/>
    <cellStyle name="Normal 24 10" xfId="6345" xr:uid="{00000000-0005-0000-0000-0000CD180000}"/>
    <cellStyle name="Normal 24 11" xfId="6346" xr:uid="{00000000-0005-0000-0000-0000CE180000}"/>
    <cellStyle name="Normal 24 12" xfId="6347" xr:uid="{00000000-0005-0000-0000-0000CF180000}"/>
    <cellStyle name="Normal 24 13" xfId="6348" xr:uid="{00000000-0005-0000-0000-0000D0180000}"/>
    <cellStyle name="Normal 24 14" xfId="6349" xr:uid="{00000000-0005-0000-0000-0000D1180000}"/>
    <cellStyle name="Normal 24 15" xfId="6350" xr:uid="{00000000-0005-0000-0000-0000D2180000}"/>
    <cellStyle name="Normal 24 16" xfId="6351" xr:uid="{00000000-0005-0000-0000-0000D3180000}"/>
    <cellStyle name="Normal 24 17" xfId="6352" xr:uid="{00000000-0005-0000-0000-0000D4180000}"/>
    <cellStyle name="Normal 24 18" xfId="6353" xr:uid="{00000000-0005-0000-0000-0000D5180000}"/>
    <cellStyle name="Normal 24 19" xfId="6354" xr:uid="{00000000-0005-0000-0000-0000D6180000}"/>
    <cellStyle name="Normal 24 2" xfId="6355" xr:uid="{00000000-0005-0000-0000-0000D7180000}"/>
    <cellStyle name="Normal 24 20" xfId="6356" xr:uid="{00000000-0005-0000-0000-0000D8180000}"/>
    <cellStyle name="Normal 24 21" xfId="12743" xr:uid="{00000000-0005-0000-0000-0000CB310000}"/>
    <cellStyle name="Normal 24 22" xfId="12742" xr:uid="{00000000-0005-0000-0000-0000CA310000}"/>
    <cellStyle name="Normal 24 3" xfId="6357" xr:uid="{00000000-0005-0000-0000-0000D9180000}"/>
    <cellStyle name="Normal 24 4" xfId="6358" xr:uid="{00000000-0005-0000-0000-0000DA180000}"/>
    <cellStyle name="Normal 24 5" xfId="6359" xr:uid="{00000000-0005-0000-0000-0000DB180000}"/>
    <cellStyle name="Normal 24 6" xfId="6360" xr:uid="{00000000-0005-0000-0000-0000DC180000}"/>
    <cellStyle name="Normal 24 7" xfId="6361" xr:uid="{00000000-0005-0000-0000-0000DD180000}"/>
    <cellStyle name="Normal 24 8" xfId="6362" xr:uid="{00000000-0005-0000-0000-0000DE180000}"/>
    <cellStyle name="Normal 24 9" xfId="6363" xr:uid="{00000000-0005-0000-0000-0000DF180000}"/>
    <cellStyle name="Normal 25" xfId="6364" xr:uid="{00000000-0005-0000-0000-0000E0180000}"/>
    <cellStyle name="Normal 25 2" xfId="12745" xr:uid="{00000000-0005-0000-0000-0000CD310000}"/>
    <cellStyle name="Normal 25 3" xfId="12744" xr:uid="{00000000-0005-0000-0000-0000CC310000}"/>
    <cellStyle name="Normal 26" xfId="1109" xr:uid="{00000000-0005-0000-0000-000059040000}"/>
    <cellStyle name="Normal 26 2" xfId="2254" xr:uid="{00000000-0005-0000-0000-0000D2080000}"/>
    <cellStyle name="Normal 26 3" xfId="9282" xr:uid="{00000000-0005-0000-0000-000046240000}"/>
    <cellStyle name="Normal 26 4" xfId="6365" xr:uid="{00000000-0005-0000-0000-0000E1180000}"/>
    <cellStyle name="Normal 27" xfId="6366" xr:uid="{00000000-0005-0000-0000-0000E2180000}"/>
    <cellStyle name="Normal 27 2" xfId="6367" xr:uid="{00000000-0005-0000-0000-0000E3180000}"/>
    <cellStyle name="Normal 28" xfId="6368" xr:uid="{00000000-0005-0000-0000-0000E4180000}"/>
    <cellStyle name="Normal 29" xfId="6369" xr:uid="{00000000-0005-0000-0000-0000E5180000}"/>
    <cellStyle name="Normal 3" xfId="22" xr:uid="{00000000-0005-0000-0000-00001A000000}"/>
    <cellStyle name="Normal 3 10" xfId="1111" xr:uid="{00000000-0005-0000-0000-00005B040000}"/>
    <cellStyle name="Normal 3 10 2" xfId="2256" xr:uid="{00000000-0005-0000-0000-0000D4080000}"/>
    <cellStyle name="Normal 3 11" xfId="1112" xr:uid="{00000000-0005-0000-0000-00005C040000}"/>
    <cellStyle name="Normal 3 11 2" xfId="2257" xr:uid="{00000000-0005-0000-0000-0000D5080000}"/>
    <cellStyle name="Normal 3 12" xfId="1113" xr:uid="{00000000-0005-0000-0000-00005D040000}"/>
    <cellStyle name="Normal 3 12 2" xfId="2258" xr:uid="{00000000-0005-0000-0000-0000D6080000}"/>
    <cellStyle name="Normal 3 13" xfId="1114" xr:uid="{00000000-0005-0000-0000-00005E040000}"/>
    <cellStyle name="Normal 3 13 2" xfId="2259" xr:uid="{00000000-0005-0000-0000-0000D7080000}"/>
    <cellStyle name="Normal 3 14" xfId="2255" xr:uid="{00000000-0005-0000-0000-0000D3080000}"/>
    <cellStyle name="Normal 3 14 2" xfId="3136" xr:uid="{00000000-0005-0000-0000-0000440C0000}"/>
    <cellStyle name="Normal 3 14 2 2" xfId="4194" xr:uid="{00000000-0005-0000-0000-000066100000}"/>
    <cellStyle name="Normal 3 14 3" xfId="3362" xr:uid="{00000000-0005-0000-0000-0000260D0000}"/>
    <cellStyle name="Normal 3 14 3 2" xfId="4404" xr:uid="{00000000-0005-0000-0000-000038110000}"/>
    <cellStyle name="Normal 3 14 4" xfId="3984" xr:uid="{00000000-0005-0000-0000-0000940F0000}"/>
    <cellStyle name="Normal 3 14 5" xfId="6370" xr:uid="{00000000-0005-0000-0000-0000E6180000}"/>
    <cellStyle name="Normal 3 15" xfId="1110" xr:uid="{00000000-0005-0000-0000-00005A040000}"/>
    <cellStyle name="Normal 3 15 2" xfId="3692" xr:uid="{00000000-0005-0000-0000-0000700E0000}"/>
    <cellStyle name="Normal 3 15 3" xfId="6371" xr:uid="{00000000-0005-0000-0000-0000E7180000}"/>
    <cellStyle name="Normal 3 16" xfId="3015" xr:uid="{00000000-0005-0000-0000-0000CB0B0000}"/>
    <cellStyle name="Normal 3 16 2" xfId="4089" xr:uid="{00000000-0005-0000-0000-0000FD0F0000}"/>
    <cellStyle name="Normal 3 16 3" xfId="6372" xr:uid="{00000000-0005-0000-0000-0000E8180000}"/>
    <cellStyle name="Normal 3 17" xfId="3241" xr:uid="{00000000-0005-0000-0000-0000AD0C0000}"/>
    <cellStyle name="Normal 3 17 2" xfId="4299" xr:uid="{00000000-0005-0000-0000-0000CF100000}"/>
    <cellStyle name="Normal 3 17 3" xfId="6373" xr:uid="{00000000-0005-0000-0000-0000E9180000}"/>
    <cellStyle name="Normal 3 18" xfId="6374" xr:uid="{00000000-0005-0000-0000-0000EA180000}"/>
    <cellStyle name="Normal 3 19" xfId="6375" xr:uid="{00000000-0005-0000-0000-0000EB180000}"/>
    <cellStyle name="Normal 3 2" xfId="7" xr:uid="{00000000-0005-0000-0000-00000B000000}"/>
    <cellStyle name="Normal 3 2 10" xfId="1115" xr:uid="{00000000-0005-0000-0000-00005F040000}"/>
    <cellStyle name="Normal 3 2 11" xfId="7796" xr:uid="{00000000-0005-0000-0000-0000781E0000}"/>
    <cellStyle name="Normal 3 2 11 2" xfId="8036" xr:uid="{00000000-0005-0000-0000-0000681F0000}"/>
    <cellStyle name="Normal 3 2 11 2 2" xfId="8455" xr:uid="{00000000-0005-0000-0000-00000B210000}"/>
    <cellStyle name="Normal 3 2 11 2 2 2" xfId="10317" xr:uid="{00000000-0005-0000-0000-000051280000}"/>
    <cellStyle name="Normal 3 2 11 2 2 2 2" xfId="18545" xr:uid="{00000000-0005-0000-0000-000075480000}"/>
    <cellStyle name="Normal 3 2 11 2 2 2 2 2" xfId="25057" xr:uid="{00000000-0005-0000-0000-0000E5610000}"/>
    <cellStyle name="Normal 3 2 11 2 2 2 3" xfId="22222" xr:uid="{00000000-0005-0000-0000-0000D2560000}"/>
    <cellStyle name="Normal 3 2 11 2 2 3" xfId="17135" xr:uid="{00000000-0005-0000-0000-0000F3420000}"/>
    <cellStyle name="Normal 3 2 11 2 2 3 2" xfId="23792" xr:uid="{00000000-0005-0000-0000-0000F45C0000}"/>
    <cellStyle name="Normal 3 2 11 2 2 4" xfId="20660" xr:uid="{00000000-0005-0000-0000-0000B8500000}"/>
    <cellStyle name="Normal 3 2 11 2 3" xfId="9284" xr:uid="{00000000-0005-0000-0000-000048240000}"/>
    <cellStyle name="Normal 3 2 11 2 3 2" xfId="10620" xr:uid="{00000000-0005-0000-0000-000080290000}"/>
    <cellStyle name="Normal 3 2 11 2 3 2 2" xfId="18848" xr:uid="{00000000-0005-0000-0000-0000A4490000}"/>
    <cellStyle name="Normal 3 2 11 2 3 2 2 2" xfId="25360" xr:uid="{00000000-0005-0000-0000-000014630000}"/>
    <cellStyle name="Normal 3 2 11 2 3 2 3" xfId="22525" xr:uid="{00000000-0005-0000-0000-000001580000}"/>
    <cellStyle name="Normal 3 2 11 2 3 3" xfId="17529" xr:uid="{00000000-0005-0000-0000-00007D440000}"/>
    <cellStyle name="Normal 3 2 11 2 3 3 2" xfId="24104" xr:uid="{00000000-0005-0000-0000-00002C5E0000}"/>
    <cellStyle name="Normal 3 2 11 2 3 4" xfId="21269" xr:uid="{00000000-0005-0000-0000-000019530000}"/>
    <cellStyle name="Normal 3 2 11 2 4" xfId="9899" xr:uid="{00000000-0005-0000-0000-0000AF260000}"/>
    <cellStyle name="Normal 3 2 11 2 4 2" xfId="18127" xr:uid="{00000000-0005-0000-0000-0000D3460000}"/>
    <cellStyle name="Normal 3 2 11 2 4 2 2" xfId="24639" xr:uid="{00000000-0005-0000-0000-000043600000}"/>
    <cellStyle name="Normal 3 2 11 2 4 3" xfId="21804" xr:uid="{00000000-0005-0000-0000-000030550000}"/>
    <cellStyle name="Normal 3 2 11 2 5" xfId="11057" xr:uid="{00000000-0005-0000-0000-0000352B0000}"/>
    <cellStyle name="Normal 3 2 11 2 5 2" xfId="22949" xr:uid="{00000000-0005-0000-0000-0000A9590000}"/>
    <cellStyle name="Normal 3 2 11 2 6" xfId="20242" xr:uid="{00000000-0005-0000-0000-0000164F0000}"/>
    <cellStyle name="Normal 3 2 11 3" xfId="8246" xr:uid="{00000000-0005-0000-0000-00003A200000}"/>
    <cellStyle name="Normal 3 2 11 3 2" xfId="10108" xr:uid="{00000000-0005-0000-0000-000080270000}"/>
    <cellStyle name="Normal 3 2 11 3 2 2" xfId="18336" xr:uid="{00000000-0005-0000-0000-0000A4470000}"/>
    <cellStyle name="Normal 3 2 11 3 2 2 2" xfId="24848" xr:uid="{00000000-0005-0000-0000-000014610000}"/>
    <cellStyle name="Normal 3 2 11 3 2 3" xfId="22013" xr:uid="{00000000-0005-0000-0000-000001560000}"/>
    <cellStyle name="Normal 3 2 11 3 3" xfId="16927" xr:uid="{00000000-0005-0000-0000-000023420000}"/>
    <cellStyle name="Normal 3 2 11 3 3 2" xfId="23584" xr:uid="{00000000-0005-0000-0000-0000245C0000}"/>
    <cellStyle name="Normal 3 2 11 3 4" xfId="20451" xr:uid="{00000000-0005-0000-0000-0000E74F0000}"/>
    <cellStyle name="Normal 3 2 11 4" xfId="9283" xr:uid="{00000000-0005-0000-0000-000047240000}"/>
    <cellStyle name="Normal 3 2 11 4 2" xfId="10619" xr:uid="{00000000-0005-0000-0000-00007F290000}"/>
    <cellStyle name="Normal 3 2 11 4 2 2" xfId="18847" xr:uid="{00000000-0005-0000-0000-0000A3490000}"/>
    <cellStyle name="Normal 3 2 11 4 2 2 2" xfId="25359" xr:uid="{00000000-0005-0000-0000-000013630000}"/>
    <cellStyle name="Normal 3 2 11 4 2 3" xfId="22524" xr:uid="{00000000-0005-0000-0000-000000580000}"/>
    <cellStyle name="Normal 3 2 11 4 3" xfId="17528" xr:uid="{00000000-0005-0000-0000-00007C440000}"/>
    <cellStyle name="Normal 3 2 11 4 3 2" xfId="24103" xr:uid="{00000000-0005-0000-0000-00002B5E0000}"/>
    <cellStyle name="Normal 3 2 11 4 4" xfId="21268" xr:uid="{00000000-0005-0000-0000-000018530000}"/>
    <cellStyle name="Normal 3 2 11 5" xfId="9690" xr:uid="{00000000-0005-0000-0000-0000DE250000}"/>
    <cellStyle name="Normal 3 2 11 5 2" xfId="17918" xr:uid="{00000000-0005-0000-0000-000002460000}"/>
    <cellStyle name="Normal 3 2 11 5 2 2" xfId="24430" xr:uid="{00000000-0005-0000-0000-0000725F0000}"/>
    <cellStyle name="Normal 3 2 11 5 3" xfId="21595" xr:uid="{00000000-0005-0000-0000-00005F540000}"/>
    <cellStyle name="Normal 3 2 11 6" xfId="11056" xr:uid="{00000000-0005-0000-0000-0000342B0000}"/>
    <cellStyle name="Normal 3 2 11 6 2" xfId="22948" xr:uid="{00000000-0005-0000-0000-0000A8590000}"/>
    <cellStyle name="Normal 3 2 11 7" xfId="20033" xr:uid="{00000000-0005-0000-0000-0000454E0000}"/>
    <cellStyle name="Normal 3 2 12" xfId="8877" xr:uid="{00000000-0005-0000-0000-0000B1220000}"/>
    <cellStyle name="Normal 3 2 13" xfId="11055" xr:uid="{00000000-0005-0000-0000-0000332B0000}"/>
    <cellStyle name="Normal 3 2 13 2" xfId="22947" xr:uid="{00000000-0005-0000-0000-0000A7590000}"/>
    <cellStyle name="Normal 3 2 14" xfId="4516" xr:uid="{00000000-0005-0000-0000-0000A8110000}"/>
    <cellStyle name="Normal 3 2 15" xfId="124" xr:uid="{00000000-0005-0000-0000-000080000000}"/>
    <cellStyle name="Normal 3 2 2" xfId="125" xr:uid="{00000000-0005-0000-0000-000081000000}"/>
    <cellStyle name="Normal 3 2 2 2" xfId="2261" xr:uid="{00000000-0005-0000-0000-0000D9080000}"/>
    <cellStyle name="Normal 3 2 2 2 2" xfId="12747" xr:uid="{00000000-0005-0000-0000-0000CF310000}"/>
    <cellStyle name="Normal 3 2 2 2 3" xfId="6377" xr:uid="{00000000-0005-0000-0000-0000ED180000}"/>
    <cellStyle name="Normal 3 2 2 3" xfId="1116" xr:uid="{00000000-0005-0000-0000-000060040000}"/>
    <cellStyle name="Normal 3 2 2 4" xfId="6376" xr:uid="{00000000-0005-0000-0000-0000EC180000}"/>
    <cellStyle name="Normal 3 2 2 4 2" xfId="7943" xr:uid="{00000000-0005-0000-0000-00000B1F0000}"/>
    <cellStyle name="Normal 3 2 2 4 2 2" xfId="8362" xr:uid="{00000000-0005-0000-0000-0000AE200000}"/>
    <cellStyle name="Normal 3 2 2 4 2 2 2" xfId="10224" xr:uid="{00000000-0005-0000-0000-0000F4270000}"/>
    <cellStyle name="Normal 3 2 2 4 2 2 2 2" xfId="18452" xr:uid="{00000000-0005-0000-0000-000018480000}"/>
    <cellStyle name="Normal 3 2 2 4 2 2 2 2 2" xfId="24964" xr:uid="{00000000-0005-0000-0000-000088610000}"/>
    <cellStyle name="Normal 3 2 2 4 2 2 2 3" xfId="22129" xr:uid="{00000000-0005-0000-0000-000075560000}"/>
    <cellStyle name="Normal 3 2 2 4 2 2 3" xfId="17042" xr:uid="{00000000-0005-0000-0000-000096420000}"/>
    <cellStyle name="Normal 3 2 2 4 2 2 3 2" xfId="23699" xr:uid="{00000000-0005-0000-0000-0000975C0000}"/>
    <cellStyle name="Normal 3 2 2 4 2 2 4" xfId="20567" xr:uid="{00000000-0005-0000-0000-00005B500000}"/>
    <cellStyle name="Normal 3 2 2 4 2 3" xfId="9286" xr:uid="{00000000-0005-0000-0000-00004A240000}"/>
    <cellStyle name="Normal 3 2 2 4 2 3 2" xfId="10622" xr:uid="{00000000-0005-0000-0000-000082290000}"/>
    <cellStyle name="Normal 3 2 2 4 2 3 2 2" xfId="18850" xr:uid="{00000000-0005-0000-0000-0000A6490000}"/>
    <cellStyle name="Normal 3 2 2 4 2 3 2 2 2" xfId="25362" xr:uid="{00000000-0005-0000-0000-000016630000}"/>
    <cellStyle name="Normal 3 2 2 4 2 3 2 3" xfId="22527" xr:uid="{00000000-0005-0000-0000-000003580000}"/>
    <cellStyle name="Normal 3 2 2 4 2 3 3" xfId="17531" xr:uid="{00000000-0005-0000-0000-00007F440000}"/>
    <cellStyle name="Normal 3 2 2 4 2 3 3 2" xfId="24106" xr:uid="{00000000-0005-0000-0000-00002E5E0000}"/>
    <cellStyle name="Normal 3 2 2 4 2 3 4" xfId="21271" xr:uid="{00000000-0005-0000-0000-00001B530000}"/>
    <cellStyle name="Normal 3 2 2 4 2 4" xfId="9806" xr:uid="{00000000-0005-0000-0000-000052260000}"/>
    <cellStyle name="Normal 3 2 2 4 2 4 2" xfId="18034" xr:uid="{00000000-0005-0000-0000-000076460000}"/>
    <cellStyle name="Normal 3 2 2 4 2 4 2 2" xfId="24546" xr:uid="{00000000-0005-0000-0000-0000E65F0000}"/>
    <cellStyle name="Normal 3 2 2 4 2 4 3" xfId="21711" xr:uid="{00000000-0005-0000-0000-0000D3540000}"/>
    <cellStyle name="Normal 3 2 2 4 2 5" xfId="11059" xr:uid="{00000000-0005-0000-0000-0000372B0000}"/>
    <cellStyle name="Normal 3 2 2 4 2 5 2" xfId="22951" xr:uid="{00000000-0005-0000-0000-0000AB590000}"/>
    <cellStyle name="Normal 3 2 2 4 2 6" xfId="20149" xr:uid="{00000000-0005-0000-0000-0000B94E0000}"/>
    <cellStyle name="Normal 3 2 2 4 3" xfId="8153" xr:uid="{00000000-0005-0000-0000-0000DD1F0000}"/>
    <cellStyle name="Normal 3 2 2 4 3 2" xfId="10015" xr:uid="{00000000-0005-0000-0000-000023270000}"/>
    <cellStyle name="Normal 3 2 2 4 3 2 2" xfId="18243" xr:uid="{00000000-0005-0000-0000-000047470000}"/>
    <cellStyle name="Normal 3 2 2 4 3 2 2 2" xfId="24755" xr:uid="{00000000-0005-0000-0000-0000B7600000}"/>
    <cellStyle name="Normal 3 2 2 4 3 2 3" xfId="21920" xr:uid="{00000000-0005-0000-0000-0000A4550000}"/>
    <cellStyle name="Normal 3 2 2 4 3 3" xfId="16842" xr:uid="{00000000-0005-0000-0000-0000CE410000}"/>
    <cellStyle name="Normal 3 2 2 4 3 3 2" xfId="23501" xr:uid="{00000000-0005-0000-0000-0000D15B0000}"/>
    <cellStyle name="Normal 3 2 2 4 3 4" xfId="20358" xr:uid="{00000000-0005-0000-0000-00008A4F0000}"/>
    <cellStyle name="Normal 3 2 2 4 4" xfId="9285" xr:uid="{00000000-0005-0000-0000-000049240000}"/>
    <cellStyle name="Normal 3 2 2 4 4 2" xfId="10621" xr:uid="{00000000-0005-0000-0000-000081290000}"/>
    <cellStyle name="Normal 3 2 2 4 4 2 2" xfId="18849" xr:uid="{00000000-0005-0000-0000-0000A5490000}"/>
    <cellStyle name="Normal 3 2 2 4 4 2 2 2" xfId="25361" xr:uid="{00000000-0005-0000-0000-000015630000}"/>
    <cellStyle name="Normal 3 2 2 4 4 2 3" xfId="22526" xr:uid="{00000000-0005-0000-0000-000002580000}"/>
    <cellStyle name="Normal 3 2 2 4 4 3" xfId="17530" xr:uid="{00000000-0005-0000-0000-00007E440000}"/>
    <cellStyle name="Normal 3 2 2 4 4 3 2" xfId="24105" xr:uid="{00000000-0005-0000-0000-00002D5E0000}"/>
    <cellStyle name="Normal 3 2 2 4 4 4" xfId="21270" xr:uid="{00000000-0005-0000-0000-00001A530000}"/>
    <cellStyle name="Normal 3 2 2 4 5" xfId="9597" xr:uid="{00000000-0005-0000-0000-000081250000}"/>
    <cellStyle name="Normal 3 2 2 4 5 2" xfId="17825" xr:uid="{00000000-0005-0000-0000-0000A5450000}"/>
    <cellStyle name="Normal 3 2 2 4 5 2 2" xfId="24337" xr:uid="{00000000-0005-0000-0000-0000155F0000}"/>
    <cellStyle name="Normal 3 2 2 4 5 3" xfId="21502" xr:uid="{00000000-0005-0000-0000-000002540000}"/>
    <cellStyle name="Normal 3 2 2 4 6" xfId="11058" xr:uid="{00000000-0005-0000-0000-0000362B0000}"/>
    <cellStyle name="Normal 3 2 2 4 6 2" xfId="22950" xr:uid="{00000000-0005-0000-0000-0000AA590000}"/>
    <cellStyle name="Normal 3 2 2 4 7" xfId="19714" xr:uid="{00000000-0005-0000-0000-0000064D0000}"/>
    <cellStyle name="Normal 3 2 3" xfId="1117" xr:uid="{00000000-0005-0000-0000-000061040000}"/>
    <cellStyle name="Normal 3 2 3 2" xfId="2262" xr:uid="{00000000-0005-0000-0000-0000DA080000}"/>
    <cellStyle name="Normal 3 2 3 3" xfId="7944" xr:uid="{00000000-0005-0000-0000-00000C1F0000}"/>
    <cellStyle name="Normal 3 2 3 3 2" xfId="8363" xr:uid="{00000000-0005-0000-0000-0000AF200000}"/>
    <cellStyle name="Normal 3 2 3 3 2 2" xfId="10225" xr:uid="{00000000-0005-0000-0000-0000F5270000}"/>
    <cellStyle name="Normal 3 2 3 3 2 2 2" xfId="18453" xr:uid="{00000000-0005-0000-0000-000019480000}"/>
    <cellStyle name="Normal 3 2 3 3 2 2 2 2" xfId="24965" xr:uid="{00000000-0005-0000-0000-000089610000}"/>
    <cellStyle name="Normal 3 2 3 3 2 2 3" xfId="22130" xr:uid="{00000000-0005-0000-0000-000076560000}"/>
    <cellStyle name="Normal 3 2 3 3 2 3" xfId="17043" xr:uid="{00000000-0005-0000-0000-000097420000}"/>
    <cellStyle name="Normal 3 2 3 3 2 3 2" xfId="23700" xr:uid="{00000000-0005-0000-0000-0000985C0000}"/>
    <cellStyle name="Normal 3 2 3 3 2 4" xfId="20568" xr:uid="{00000000-0005-0000-0000-00005C500000}"/>
    <cellStyle name="Normal 3 2 3 3 3" xfId="9288" xr:uid="{00000000-0005-0000-0000-00004C240000}"/>
    <cellStyle name="Normal 3 2 3 3 3 2" xfId="10624" xr:uid="{00000000-0005-0000-0000-000084290000}"/>
    <cellStyle name="Normal 3 2 3 3 3 2 2" xfId="18852" xr:uid="{00000000-0005-0000-0000-0000A8490000}"/>
    <cellStyle name="Normal 3 2 3 3 3 2 2 2" xfId="25364" xr:uid="{00000000-0005-0000-0000-000018630000}"/>
    <cellStyle name="Normal 3 2 3 3 3 2 3" xfId="22529" xr:uid="{00000000-0005-0000-0000-000005580000}"/>
    <cellStyle name="Normal 3 2 3 3 3 3" xfId="17533" xr:uid="{00000000-0005-0000-0000-000081440000}"/>
    <cellStyle name="Normal 3 2 3 3 3 3 2" xfId="24108" xr:uid="{00000000-0005-0000-0000-0000305E0000}"/>
    <cellStyle name="Normal 3 2 3 3 3 4" xfId="21273" xr:uid="{00000000-0005-0000-0000-00001D530000}"/>
    <cellStyle name="Normal 3 2 3 3 4" xfId="9807" xr:uid="{00000000-0005-0000-0000-000053260000}"/>
    <cellStyle name="Normal 3 2 3 3 4 2" xfId="18035" xr:uid="{00000000-0005-0000-0000-000077460000}"/>
    <cellStyle name="Normal 3 2 3 3 4 2 2" xfId="24547" xr:uid="{00000000-0005-0000-0000-0000E75F0000}"/>
    <cellStyle name="Normal 3 2 3 3 4 3" xfId="21712" xr:uid="{00000000-0005-0000-0000-0000D4540000}"/>
    <cellStyle name="Normal 3 2 3 3 5" xfId="11060" xr:uid="{00000000-0005-0000-0000-0000382B0000}"/>
    <cellStyle name="Normal 3 2 3 3 5 2" xfId="22952" xr:uid="{00000000-0005-0000-0000-0000AC590000}"/>
    <cellStyle name="Normal 3 2 3 3 6" xfId="20150" xr:uid="{00000000-0005-0000-0000-0000BA4E0000}"/>
    <cellStyle name="Normal 3 2 3 4" xfId="8154" xr:uid="{00000000-0005-0000-0000-0000DE1F0000}"/>
    <cellStyle name="Normal 3 2 3 4 2" xfId="9287" xr:uid="{00000000-0005-0000-0000-00004B240000}"/>
    <cellStyle name="Normal 3 2 3 4 2 2" xfId="10623" xr:uid="{00000000-0005-0000-0000-000083290000}"/>
    <cellStyle name="Normal 3 2 3 4 2 2 2" xfId="18851" xr:uid="{00000000-0005-0000-0000-0000A7490000}"/>
    <cellStyle name="Normal 3 2 3 4 2 2 2 2" xfId="25363" xr:uid="{00000000-0005-0000-0000-000017630000}"/>
    <cellStyle name="Normal 3 2 3 4 2 2 3" xfId="22528" xr:uid="{00000000-0005-0000-0000-000004580000}"/>
    <cellStyle name="Normal 3 2 3 4 2 3" xfId="17532" xr:uid="{00000000-0005-0000-0000-000080440000}"/>
    <cellStyle name="Normal 3 2 3 4 2 3 2" xfId="24107" xr:uid="{00000000-0005-0000-0000-00002F5E0000}"/>
    <cellStyle name="Normal 3 2 3 4 2 4" xfId="21272" xr:uid="{00000000-0005-0000-0000-00001C530000}"/>
    <cellStyle name="Normal 3 2 3 4 3" xfId="10016" xr:uid="{00000000-0005-0000-0000-000024270000}"/>
    <cellStyle name="Normal 3 2 3 4 3 2" xfId="18244" xr:uid="{00000000-0005-0000-0000-000048470000}"/>
    <cellStyle name="Normal 3 2 3 4 3 2 2" xfId="24756" xr:uid="{00000000-0005-0000-0000-0000B8600000}"/>
    <cellStyle name="Normal 3 2 3 4 3 3" xfId="21921" xr:uid="{00000000-0005-0000-0000-0000A5550000}"/>
    <cellStyle name="Normal 3 2 3 4 4" xfId="11061" xr:uid="{00000000-0005-0000-0000-0000392B0000}"/>
    <cellStyle name="Normal 3 2 3 4 4 2" xfId="22953" xr:uid="{00000000-0005-0000-0000-0000AD590000}"/>
    <cellStyle name="Normal 3 2 3 4 5" xfId="20359" xr:uid="{00000000-0005-0000-0000-00008B4F0000}"/>
    <cellStyle name="Normal 3 2 3 5" xfId="9598" xr:uid="{00000000-0005-0000-0000-000082250000}"/>
    <cellStyle name="Normal 3 2 3 5 2" xfId="17826" xr:uid="{00000000-0005-0000-0000-0000A6450000}"/>
    <cellStyle name="Normal 3 2 3 5 2 2" xfId="24338" xr:uid="{00000000-0005-0000-0000-0000165F0000}"/>
    <cellStyle name="Normal 3 2 3 5 3" xfId="21503" xr:uid="{00000000-0005-0000-0000-000003540000}"/>
    <cellStyle name="Normal 3 2 3 6" xfId="19715" xr:uid="{00000000-0005-0000-0000-0000074D0000}"/>
    <cellStyle name="Normal 3 2 3 7" xfId="6378" xr:uid="{00000000-0005-0000-0000-0000EE180000}"/>
    <cellStyle name="Normal 3 2 4" xfId="1118" xr:uid="{00000000-0005-0000-0000-000062040000}"/>
    <cellStyle name="Normal 3 2 4 2" xfId="2263" xr:uid="{00000000-0005-0000-0000-0000DB080000}"/>
    <cellStyle name="Normal 3 2 4 3" xfId="9289" xr:uid="{00000000-0005-0000-0000-00004D240000}"/>
    <cellStyle name="Normal 3 2 4 4" xfId="6379" xr:uid="{00000000-0005-0000-0000-0000EF180000}"/>
    <cellStyle name="Normal 3 2 5" xfId="1119" xr:uid="{00000000-0005-0000-0000-000063040000}"/>
    <cellStyle name="Normal 3 2 5 2" xfId="2264" xr:uid="{00000000-0005-0000-0000-0000DC080000}"/>
    <cellStyle name="Normal 3 2 6" xfId="1120" xr:uid="{00000000-0005-0000-0000-000064040000}"/>
    <cellStyle name="Normal 3 2 6 2" xfId="2265" xr:uid="{00000000-0005-0000-0000-0000DD080000}"/>
    <cellStyle name="Normal 3 2 7" xfId="1121" xr:uid="{00000000-0005-0000-0000-000065040000}"/>
    <cellStyle name="Normal 3 2 7 2" xfId="2266" xr:uid="{00000000-0005-0000-0000-0000DE080000}"/>
    <cellStyle name="Normal 3 2 8" xfId="1122" xr:uid="{00000000-0005-0000-0000-000066040000}"/>
    <cellStyle name="Normal 3 2 8 2" xfId="2267" xr:uid="{00000000-0005-0000-0000-0000DF080000}"/>
    <cellStyle name="Normal 3 2 9" xfId="2260" xr:uid="{00000000-0005-0000-0000-0000D8080000}"/>
    <cellStyle name="Normal 3 2 9 2" xfId="7797" xr:uid="{00000000-0005-0000-0000-0000791E0000}"/>
    <cellStyle name="Normal 3 2 9 2 2" xfId="8037" xr:uid="{00000000-0005-0000-0000-0000691F0000}"/>
    <cellStyle name="Normal 3 2 9 2 2 2" xfId="8456" xr:uid="{00000000-0005-0000-0000-00000C210000}"/>
    <cellStyle name="Normal 3 2 9 2 2 2 2" xfId="10318" xr:uid="{00000000-0005-0000-0000-000052280000}"/>
    <cellStyle name="Normal 3 2 9 2 2 2 2 2" xfId="18546" xr:uid="{00000000-0005-0000-0000-000076480000}"/>
    <cellStyle name="Normal 3 2 9 2 2 2 2 2 2" xfId="25058" xr:uid="{00000000-0005-0000-0000-0000E6610000}"/>
    <cellStyle name="Normal 3 2 9 2 2 2 2 3" xfId="22223" xr:uid="{00000000-0005-0000-0000-0000D3560000}"/>
    <cellStyle name="Normal 3 2 9 2 2 2 3" xfId="17136" xr:uid="{00000000-0005-0000-0000-0000F4420000}"/>
    <cellStyle name="Normal 3 2 9 2 2 2 3 2" xfId="23793" xr:uid="{00000000-0005-0000-0000-0000F55C0000}"/>
    <cellStyle name="Normal 3 2 9 2 2 2 4" xfId="20661" xr:uid="{00000000-0005-0000-0000-0000B9500000}"/>
    <cellStyle name="Normal 3 2 9 2 2 3" xfId="9292" xr:uid="{00000000-0005-0000-0000-000050240000}"/>
    <cellStyle name="Normal 3 2 9 2 2 3 2" xfId="10626" xr:uid="{00000000-0005-0000-0000-000086290000}"/>
    <cellStyle name="Normal 3 2 9 2 2 3 2 2" xfId="18854" xr:uid="{00000000-0005-0000-0000-0000AA490000}"/>
    <cellStyle name="Normal 3 2 9 2 2 3 2 2 2" xfId="25366" xr:uid="{00000000-0005-0000-0000-00001A630000}"/>
    <cellStyle name="Normal 3 2 9 2 2 3 2 3" xfId="22531" xr:uid="{00000000-0005-0000-0000-000007580000}"/>
    <cellStyle name="Normal 3 2 9 2 2 3 3" xfId="17535" xr:uid="{00000000-0005-0000-0000-000083440000}"/>
    <cellStyle name="Normal 3 2 9 2 2 3 3 2" xfId="24110" xr:uid="{00000000-0005-0000-0000-0000325E0000}"/>
    <cellStyle name="Normal 3 2 9 2 2 3 4" xfId="21275" xr:uid="{00000000-0005-0000-0000-00001F530000}"/>
    <cellStyle name="Normal 3 2 9 2 2 4" xfId="9900" xr:uid="{00000000-0005-0000-0000-0000B0260000}"/>
    <cellStyle name="Normal 3 2 9 2 2 4 2" xfId="18128" xr:uid="{00000000-0005-0000-0000-0000D4460000}"/>
    <cellStyle name="Normal 3 2 9 2 2 4 2 2" xfId="24640" xr:uid="{00000000-0005-0000-0000-000044600000}"/>
    <cellStyle name="Normal 3 2 9 2 2 4 3" xfId="21805" xr:uid="{00000000-0005-0000-0000-000031550000}"/>
    <cellStyle name="Normal 3 2 9 2 2 5" xfId="11063" xr:uid="{00000000-0005-0000-0000-00003B2B0000}"/>
    <cellStyle name="Normal 3 2 9 2 2 5 2" xfId="22955" xr:uid="{00000000-0005-0000-0000-0000AF590000}"/>
    <cellStyle name="Normal 3 2 9 2 2 6" xfId="20243" xr:uid="{00000000-0005-0000-0000-0000174F0000}"/>
    <cellStyle name="Normal 3 2 9 2 3" xfId="8247" xr:uid="{00000000-0005-0000-0000-00003B200000}"/>
    <cellStyle name="Normal 3 2 9 2 3 2" xfId="10109" xr:uid="{00000000-0005-0000-0000-000081270000}"/>
    <cellStyle name="Normal 3 2 9 2 3 2 2" xfId="18337" xr:uid="{00000000-0005-0000-0000-0000A5470000}"/>
    <cellStyle name="Normal 3 2 9 2 3 2 2 2" xfId="24849" xr:uid="{00000000-0005-0000-0000-000015610000}"/>
    <cellStyle name="Normal 3 2 9 2 3 2 3" xfId="22014" xr:uid="{00000000-0005-0000-0000-000002560000}"/>
    <cellStyle name="Normal 3 2 9 2 3 3" xfId="16928" xr:uid="{00000000-0005-0000-0000-000024420000}"/>
    <cellStyle name="Normal 3 2 9 2 3 3 2" xfId="23585" xr:uid="{00000000-0005-0000-0000-0000255C0000}"/>
    <cellStyle name="Normal 3 2 9 2 3 4" xfId="20452" xr:uid="{00000000-0005-0000-0000-0000E84F0000}"/>
    <cellStyle name="Normal 3 2 9 2 4" xfId="9291" xr:uid="{00000000-0005-0000-0000-00004F240000}"/>
    <cellStyle name="Normal 3 2 9 2 4 2" xfId="10625" xr:uid="{00000000-0005-0000-0000-000085290000}"/>
    <cellStyle name="Normal 3 2 9 2 4 2 2" xfId="18853" xr:uid="{00000000-0005-0000-0000-0000A9490000}"/>
    <cellStyle name="Normal 3 2 9 2 4 2 2 2" xfId="25365" xr:uid="{00000000-0005-0000-0000-000019630000}"/>
    <cellStyle name="Normal 3 2 9 2 4 2 3" xfId="22530" xr:uid="{00000000-0005-0000-0000-000006580000}"/>
    <cellStyle name="Normal 3 2 9 2 4 3" xfId="17534" xr:uid="{00000000-0005-0000-0000-000082440000}"/>
    <cellStyle name="Normal 3 2 9 2 4 3 2" xfId="24109" xr:uid="{00000000-0005-0000-0000-0000315E0000}"/>
    <cellStyle name="Normal 3 2 9 2 4 4" xfId="21274" xr:uid="{00000000-0005-0000-0000-00001E530000}"/>
    <cellStyle name="Normal 3 2 9 2 5" xfId="9691" xr:uid="{00000000-0005-0000-0000-0000DF250000}"/>
    <cellStyle name="Normal 3 2 9 2 5 2" xfId="17919" xr:uid="{00000000-0005-0000-0000-000003460000}"/>
    <cellStyle name="Normal 3 2 9 2 5 2 2" xfId="24431" xr:uid="{00000000-0005-0000-0000-0000735F0000}"/>
    <cellStyle name="Normal 3 2 9 2 5 3" xfId="21596" xr:uid="{00000000-0005-0000-0000-000060540000}"/>
    <cellStyle name="Normal 3 2 9 2 6" xfId="11062" xr:uid="{00000000-0005-0000-0000-00003A2B0000}"/>
    <cellStyle name="Normal 3 2 9 2 6 2" xfId="22954" xr:uid="{00000000-0005-0000-0000-0000AE590000}"/>
    <cellStyle name="Normal 3 2 9 2 7" xfId="20034" xr:uid="{00000000-0005-0000-0000-0000464E0000}"/>
    <cellStyle name="Normal 3 2 9 3" xfId="9290" xr:uid="{00000000-0005-0000-0000-00004E240000}"/>
    <cellStyle name="Normal 3 2 9 4" xfId="8766" xr:uid="{00000000-0005-0000-0000-000042220000}"/>
    <cellStyle name="Normal 3 2 9 4 2" xfId="10376" xr:uid="{00000000-0005-0000-0000-00008C280000}"/>
    <cellStyle name="Normal 3 2 9 4 2 2" xfId="18604" xr:uid="{00000000-0005-0000-0000-0000B0480000}"/>
    <cellStyle name="Normal 3 2 9 4 2 2 2" xfId="25116" xr:uid="{00000000-0005-0000-0000-000020620000}"/>
    <cellStyle name="Normal 3 2 9 4 2 3" xfId="22281" xr:uid="{00000000-0005-0000-0000-00000D570000}"/>
    <cellStyle name="Normal 3 2 9 4 3" xfId="17228" xr:uid="{00000000-0005-0000-0000-000050430000}"/>
    <cellStyle name="Normal 3 2 9 4 3 2" xfId="23853" xr:uid="{00000000-0005-0000-0000-0000315D0000}"/>
    <cellStyle name="Normal 3 2 9 4 4" xfId="20913" xr:uid="{00000000-0005-0000-0000-0000B5510000}"/>
    <cellStyle name="Normal 3 2_ELC" xfId="6380" xr:uid="{00000000-0005-0000-0000-0000F0180000}"/>
    <cellStyle name="Normal 3 20" xfId="6381" xr:uid="{00000000-0005-0000-0000-0000F1180000}"/>
    <cellStyle name="Normal 3 21" xfId="6382" xr:uid="{00000000-0005-0000-0000-0000F2180000}"/>
    <cellStyle name="Normal 3 22" xfId="6383" xr:uid="{00000000-0005-0000-0000-0000F3180000}"/>
    <cellStyle name="Normal 3 23" xfId="6384" xr:uid="{00000000-0005-0000-0000-0000F4180000}"/>
    <cellStyle name="Normal 3 24" xfId="6385" xr:uid="{00000000-0005-0000-0000-0000F5180000}"/>
    <cellStyle name="Normal 3 25" xfId="6386" xr:uid="{00000000-0005-0000-0000-0000F6180000}"/>
    <cellStyle name="Normal 3 26" xfId="6387" xr:uid="{00000000-0005-0000-0000-0000F7180000}"/>
    <cellStyle name="Normal 3 27" xfId="6388" xr:uid="{00000000-0005-0000-0000-0000F8180000}"/>
    <cellStyle name="Normal 3 28" xfId="6389" xr:uid="{00000000-0005-0000-0000-0000F9180000}"/>
    <cellStyle name="Normal 3 29" xfId="6390" xr:uid="{00000000-0005-0000-0000-0000FA180000}"/>
    <cellStyle name="Normal 3 29 2" xfId="12748" xr:uid="{00000000-0005-0000-0000-0000D0310000}"/>
    <cellStyle name="Normal 3 3" xfId="126" xr:uid="{00000000-0005-0000-0000-000082000000}"/>
    <cellStyle name="Normal 3 3 10" xfId="1123" xr:uid="{00000000-0005-0000-0000-000067040000}"/>
    <cellStyle name="Normal 3 3 2" xfId="1124" xr:uid="{00000000-0005-0000-0000-000068040000}"/>
    <cellStyle name="Normal 3 3 2 2" xfId="2269" xr:uid="{00000000-0005-0000-0000-0000E1080000}"/>
    <cellStyle name="Normal 3 3 2 3" xfId="8878" xr:uid="{00000000-0005-0000-0000-0000B2220000}"/>
    <cellStyle name="Normal 3 3 2 4" xfId="4517" xr:uid="{00000000-0005-0000-0000-0000A9110000}"/>
    <cellStyle name="Normal 3 3 3" xfId="1125" xr:uid="{00000000-0005-0000-0000-000069040000}"/>
    <cellStyle name="Normal 3 3 3 2" xfId="2270" xr:uid="{00000000-0005-0000-0000-0000E2080000}"/>
    <cellStyle name="Normal 3 3 4" xfId="1126" xr:uid="{00000000-0005-0000-0000-00006A040000}"/>
    <cellStyle name="Normal 3 3 4 2" xfId="2271" xr:uid="{00000000-0005-0000-0000-0000E3080000}"/>
    <cellStyle name="Normal 3 3 5" xfId="1127" xr:uid="{00000000-0005-0000-0000-00006B040000}"/>
    <cellStyle name="Normal 3 3 5 2" xfId="2272" xr:uid="{00000000-0005-0000-0000-0000E4080000}"/>
    <cellStyle name="Normal 3 3 6" xfId="1128" xr:uid="{00000000-0005-0000-0000-00006C040000}"/>
    <cellStyle name="Normal 3 3 6 2" xfId="2273" xr:uid="{00000000-0005-0000-0000-0000E5080000}"/>
    <cellStyle name="Normal 3 3 7" xfId="1129" xr:uid="{00000000-0005-0000-0000-00006D040000}"/>
    <cellStyle name="Normal 3 3 7 2" xfId="2274" xr:uid="{00000000-0005-0000-0000-0000E6080000}"/>
    <cellStyle name="Normal 3 3 8" xfId="1130" xr:uid="{00000000-0005-0000-0000-00006E040000}"/>
    <cellStyle name="Normal 3 3 8 2" xfId="2275" xr:uid="{00000000-0005-0000-0000-0000E7080000}"/>
    <cellStyle name="Normal 3 3 9" xfId="2268" xr:uid="{00000000-0005-0000-0000-0000E0080000}"/>
    <cellStyle name="Normal 3 30" xfId="7883" xr:uid="{00000000-0005-0000-0000-0000CF1E0000}"/>
    <cellStyle name="Normal 3 30 2" xfId="8305" xr:uid="{00000000-0005-0000-0000-000075200000}"/>
    <cellStyle name="Normal 3 30 2 2" xfId="10167" xr:uid="{00000000-0005-0000-0000-0000BB270000}"/>
    <cellStyle name="Normal 3 30 2 2 2" xfId="18395" xr:uid="{00000000-0005-0000-0000-0000DF470000}"/>
    <cellStyle name="Normal 3 30 2 2 2 2" xfId="24907" xr:uid="{00000000-0005-0000-0000-00004F610000}"/>
    <cellStyle name="Normal 3 30 2 2 3" xfId="22072" xr:uid="{00000000-0005-0000-0000-00003C560000}"/>
    <cellStyle name="Normal 3 30 2 3" xfId="16985" xr:uid="{00000000-0005-0000-0000-00005D420000}"/>
    <cellStyle name="Normal 3 30 2 3 2" xfId="23642" xr:uid="{00000000-0005-0000-0000-00005E5C0000}"/>
    <cellStyle name="Normal 3 30 2 4" xfId="12749" xr:uid="{00000000-0005-0000-0000-0000D1310000}"/>
    <cellStyle name="Normal 3 30 2 5" xfId="20510" xr:uid="{00000000-0005-0000-0000-000022500000}"/>
    <cellStyle name="Normal 3 30 3" xfId="9293" xr:uid="{00000000-0005-0000-0000-000051240000}"/>
    <cellStyle name="Normal 3 30 3 2" xfId="10627" xr:uid="{00000000-0005-0000-0000-000087290000}"/>
    <cellStyle name="Normal 3 30 3 2 2" xfId="18855" xr:uid="{00000000-0005-0000-0000-0000AB490000}"/>
    <cellStyle name="Normal 3 30 3 2 2 2" xfId="25367" xr:uid="{00000000-0005-0000-0000-00001B630000}"/>
    <cellStyle name="Normal 3 30 3 2 3" xfId="22532" xr:uid="{00000000-0005-0000-0000-000008580000}"/>
    <cellStyle name="Normal 3 30 3 3" xfId="17536" xr:uid="{00000000-0005-0000-0000-000084440000}"/>
    <cellStyle name="Normal 3 30 3 3 2" xfId="24111" xr:uid="{00000000-0005-0000-0000-0000335E0000}"/>
    <cellStyle name="Normal 3 30 3 4" xfId="21276" xr:uid="{00000000-0005-0000-0000-000020530000}"/>
    <cellStyle name="Normal 3 30 4" xfId="9749" xr:uid="{00000000-0005-0000-0000-000019260000}"/>
    <cellStyle name="Normal 3 30 4 2" xfId="17977" xr:uid="{00000000-0005-0000-0000-00003D460000}"/>
    <cellStyle name="Normal 3 30 4 2 2" xfId="24489" xr:uid="{00000000-0005-0000-0000-0000AD5F0000}"/>
    <cellStyle name="Normal 3 30 4 3" xfId="21654" xr:uid="{00000000-0005-0000-0000-00009A540000}"/>
    <cellStyle name="Normal 3 30 5" xfId="11064" xr:uid="{00000000-0005-0000-0000-00003C2B0000}"/>
    <cellStyle name="Normal 3 30 5 2" xfId="22956" xr:uid="{00000000-0005-0000-0000-0000B0590000}"/>
    <cellStyle name="Normal 3 30 6" xfId="20092" xr:uid="{00000000-0005-0000-0000-0000804E0000}"/>
    <cellStyle name="Normal 3 31" xfId="8096" xr:uid="{00000000-0005-0000-0000-0000A41F0000}"/>
    <cellStyle name="Normal 3 31 2" xfId="9958" xr:uid="{00000000-0005-0000-0000-0000EA260000}"/>
    <cellStyle name="Normal 3 31 2 2" xfId="18186" xr:uid="{00000000-0005-0000-0000-00000E470000}"/>
    <cellStyle name="Normal 3 31 2 2 2" xfId="24698" xr:uid="{00000000-0005-0000-0000-00007E600000}"/>
    <cellStyle name="Normal 3 31 2 3" xfId="21863" xr:uid="{00000000-0005-0000-0000-00006B550000}"/>
    <cellStyle name="Normal 3 31 3" xfId="16803" xr:uid="{00000000-0005-0000-0000-0000A7410000}"/>
    <cellStyle name="Normal 3 31 3 2" xfId="23462" xr:uid="{00000000-0005-0000-0000-0000AA5B0000}"/>
    <cellStyle name="Normal 3 31 4" xfId="12750" xr:uid="{00000000-0005-0000-0000-0000D2310000}"/>
    <cellStyle name="Normal 3 31 5" xfId="20301" xr:uid="{00000000-0005-0000-0000-0000514F0000}"/>
    <cellStyle name="Normal 3 32" xfId="9540" xr:uid="{00000000-0005-0000-0000-000048250000}"/>
    <cellStyle name="Normal 3 32 2" xfId="17768" xr:uid="{00000000-0005-0000-0000-00006C450000}"/>
    <cellStyle name="Normal 3 32 2 2" xfId="24280" xr:uid="{00000000-0005-0000-0000-0000DC5E0000}"/>
    <cellStyle name="Normal 3 32 3" xfId="12746" xr:uid="{00000000-0005-0000-0000-0000CE310000}"/>
    <cellStyle name="Normal 3 32 4" xfId="21445" xr:uid="{00000000-0005-0000-0000-0000C9530000}"/>
    <cellStyle name="Normal 3 33" xfId="19579" xr:uid="{00000000-0005-0000-0000-00007F4C0000}"/>
    <cellStyle name="Normal 3 34" xfId="4454" xr:uid="{00000000-0005-0000-0000-00006A110000}"/>
    <cellStyle name="Normal 3 4" xfId="127" xr:uid="{00000000-0005-0000-0000-000083000000}"/>
    <cellStyle name="Normal 3 4 10" xfId="1131" xr:uid="{00000000-0005-0000-0000-00006F040000}"/>
    <cellStyle name="Normal 3 4 2" xfId="128" xr:uid="{00000000-0005-0000-0000-000084000000}"/>
    <cellStyle name="Normal 3 4 2 2" xfId="2277" xr:uid="{00000000-0005-0000-0000-0000E9080000}"/>
    <cellStyle name="Normal 3 4 2 3" xfId="1132" xr:uid="{00000000-0005-0000-0000-000070040000}"/>
    <cellStyle name="Normal 3 4 3" xfId="1133" xr:uid="{00000000-0005-0000-0000-000071040000}"/>
    <cellStyle name="Normal 3 4 3 2" xfId="2278" xr:uid="{00000000-0005-0000-0000-0000EA080000}"/>
    <cellStyle name="Normal 3 4 4" xfId="1134" xr:uid="{00000000-0005-0000-0000-000072040000}"/>
    <cellStyle name="Normal 3 4 4 2" xfId="2279" xr:uid="{00000000-0005-0000-0000-0000EB080000}"/>
    <cellStyle name="Normal 3 4 4 2 2" xfId="6391" xr:uid="{00000000-0005-0000-0000-0000FB180000}"/>
    <cellStyle name="Normal 3 4 4 3" xfId="7798" xr:uid="{00000000-0005-0000-0000-00007A1E0000}"/>
    <cellStyle name="Normal 3 4 5" xfId="1135" xr:uid="{00000000-0005-0000-0000-000073040000}"/>
    <cellStyle name="Normal 3 4 5 2" xfId="2280" xr:uid="{00000000-0005-0000-0000-0000EC080000}"/>
    <cellStyle name="Normal 3 4 6" xfId="1136" xr:uid="{00000000-0005-0000-0000-000074040000}"/>
    <cellStyle name="Normal 3 4 6 2" xfId="2281" xr:uid="{00000000-0005-0000-0000-0000ED080000}"/>
    <cellStyle name="Normal 3 4 7" xfId="1137" xr:uid="{00000000-0005-0000-0000-000075040000}"/>
    <cellStyle name="Normal 3 4 7 2" xfId="2282" xr:uid="{00000000-0005-0000-0000-0000EE080000}"/>
    <cellStyle name="Normal 3 4 8" xfId="1138" xr:uid="{00000000-0005-0000-0000-000076040000}"/>
    <cellStyle name="Normal 3 4 8 2" xfId="2283" xr:uid="{00000000-0005-0000-0000-0000EF080000}"/>
    <cellStyle name="Normal 3 4 9" xfId="2276" xr:uid="{00000000-0005-0000-0000-0000E8080000}"/>
    <cellStyle name="Normal 3 5" xfId="129" xr:uid="{00000000-0005-0000-0000-000085000000}"/>
    <cellStyle name="Normal 3 5 10" xfId="1139" xr:uid="{00000000-0005-0000-0000-000077040000}"/>
    <cellStyle name="Normal 3 5 2" xfId="1140" xr:uid="{00000000-0005-0000-0000-000078040000}"/>
    <cellStyle name="Normal 3 5 2 2" xfId="2285" xr:uid="{00000000-0005-0000-0000-0000F1080000}"/>
    <cellStyle name="Normal 3 5 3" xfId="1141" xr:uid="{00000000-0005-0000-0000-000079040000}"/>
    <cellStyle name="Normal 3 5 3 2" xfId="2286" xr:uid="{00000000-0005-0000-0000-0000F2080000}"/>
    <cellStyle name="Normal 3 5 3 3" xfId="9294" xr:uid="{00000000-0005-0000-0000-000052240000}"/>
    <cellStyle name="Normal 3 5 3 4" xfId="6393" xr:uid="{00000000-0005-0000-0000-0000FD180000}"/>
    <cellStyle name="Normal 3 5 4" xfId="1142" xr:uid="{00000000-0005-0000-0000-00007A040000}"/>
    <cellStyle name="Normal 3 5 4 2" xfId="2287" xr:uid="{00000000-0005-0000-0000-0000F3080000}"/>
    <cellStyle name="Normal 3 5 4 3" xfId="7945" xr:uid="{00000000-0005-0000-0000-00000D1F0000}"/>
    <cellStyle name="Normal 3 5 4 3 2" xfId="8364" xr:uid="{00000000-0005-0000-0000-0000B0200000}"/>
    <cellStyle name="Normal 3 5 4 3 2 2" xfId="10226" xr:uid="{00000000-0005-0000-0000-0000F6270000}"/>
    <cellStyle name="Normal 3 5 4 3 2 2 2" xfId="18454" xr:uid="{00000000-0005-0000-0000-00001A480000}"/>
    <cellStyle name="Normal 3 5 4 3 2 2 2 2" xfId="24966" xr:uid="{00000000-0005-0000-0000-00008A610000}"/>
    <cellStyle name="Normal 3 5 4 3 2 2 3" xfId="22131" xr:uid="{00000000-0005-0000-0000-000077560000}"/>
    <cellStyle name="Normal 3 5 4 3 2 3" xfId="17044" xr:uid="{00000000-0005-0000-0000-000098420000}"/>
    <cellStyle name="Normal 3 5 4 3 2 3 2" xfId="23701" xr:uid="{00000000-0005-0000-0000-0000995C0000}"/>
    <cellStyle name="Normal 3 5 4 3 2 4" xfId="20569" xr:uid="{00000000-0005-0000-0000-00005D500000}"/>
    <cellStyle name="Normal 3 5 4 3 3" xfId="9296" xr:uid="{00000000-0005-0000-0000-000054240000}"/>
    <cellStyle name="Normal 3 5 4 3 3 2" xfId="10629" xr:uid="{00000000-0005-0000-0000-000089290000}"/>
    <cellStyle name="Normal 3 5 4 3 3 2 2" xfId="18857" xr:uid="{00000000-0005-0000-0000-0000AD490000}"/>
    <cellStyle name="Normal 3 5 4 3 3 2 2 2" xfId="25369" xr:uid="{00000000-0005-0000-0000-00001D630000}"/>
    <cellStyle name="Normal 3 5 4 3 3 2 3" xfId="22534" xr:uid="{00000000-0005-0000-0000-00000A580000}"/>
    <cellStyle name="Normal 3 5 4 3 3 3" xfId="17538" xr:uid="{00000000-0005-0000-0000-000086440000}"/>
    <cellStyle name="Normal 3 5 4 3 3 3 2" xfId="24113" xr:uid="{00000000-0005-0000-0000-0000355E0000}"/>
    <cellStyle name="Normal 3 5 4 3 3 4" xfId="21278" xr:uid="{00000000-0005-0000-0000-000022530000}"/>
    <cellStyle name="Normal 3 5 4 3 4" xfId="9808" xr:uid="{00000000-0005-0000-0000-000054260000}"/>
    <cellStyle name="Normal 3 5 4 3 4 2" xfId="18036" xr:uid="{00000000-0005-0000-0000-000078460000}"/>
    <cellStyle name="Normal 3 5 4 3 4 2 2" xfId="24548" xr:uid="{00000000-0005-0000-0000-0000E85F0000}"/>
    <cellStyle name="Normal 3 5 4 3 4 3" xfId="21713" xr:uid="{00000000-0005-0000-0000-0000D5540000}"/>
    <cellStyle name="Normal 3 5 4 3 5" xfId="11065" xr:uid="{00000000-0005-0000-0000-00003D2B0000}"/>
    <cellStyle name="Normal 3 5 4 3 5 2" xfId="22957" xr:uid="{00000000-0005-0000-0000-0000B1590000}"/>
    <cellStyle name="Normal 3 5 4 3 6" xfId="20151" xr:uid="{00000000-0005-0000-0000-0000BB4E0000}"/>
    <cellStyle name="Normal 3 5 4 4" xfId="8155" xr:uid="{00000000-0005-0000-0000-0000DF1F0000}"/>
    <cellStyle name="Normal 3 5 4 4 2" xfId="9295" xr:uid="{00000000-0005-0000-0000-000053240000}"/>
    <cellStyle name="Normal 3 5 4 4 2 2" xfId="10628" xr:uid="{00000000-0005-0000-0000-000088290000}"/>
    <cellStyle name="Normal 3 5 4 4 2 2 2" xfId="18856" xr:uid="{00000000-0005-0000-0000-0000AC490000}"/>
    <cellStyle name="Normal 3 5 4 4 2 2 2 2" xfId="25368" xr:uid="{00000000-0005-0000-0000-00001C630000}"/>
    <cellStyle name="Normal 3 5 4 4 2 2 3" xfId="22533" xr:uid="{00000000-0005-0000-0000-000009580000}"/>
    <cellStyle name="Normal 3 5 4 4 2 3" xfId="17537" xr:uid="{00000000-0005-0000-0000-000085440000}"/>
    <cellStyle name="Normal 3 5 4 4 2 3 2" xfId="24112" xr:uid="{00000000-0005-0000-0000-0000345E0000}"/>
    <cellStyle name="Normal 3 5 4 4 2 4" xfId="21277" xr:uid="{00000000-0005-0000-0000-000021530000}"/>
    <cellStyle name="Normal 3 5 4 4 3" xfId="10017" xr:uid="{00000000-0005-0000-0000-000025270000}"/>
    <cellStyle name="Normal 3 5 4 4 3 2" xfId="18245" xr:uid="{00000000-0005-0000-0000-000049470000}"/>
    <cellStyle name="Normal 3 5 4 4 3 2 2" xfId="24757" xr:uid="{00000000-0005-0000-0000-0000B9600000}"/>
    <cellStyle name="Normal 3 5 4 4 3 3" xfId="21922" xr:uid="{00000000-0005-0000-0000-0000A6550000}"/>
    <cellStyle name="Normal 3 5 4 4 4" xfId="11066" xr:uid="{00000000-0005-0000-0000-00003E2B0000}"/>
    <cellStyle name="Normal 3 5 4 4 4 2" xfId="22958" xr:uid="{00000000-0005-0000-0000-0000B2590000}"/>
    <cellStyle name="Normal 3 5 4 4 5" xfId="20360" xr:uid="{00000000-0005-0000-0000-00008C4F0000}"/>
    <cellStyle name="Normal 3 5 4 5" xfId="9599" xr:uid="{00000000-0005-0000-0000-000083250000}"/>
    <cellStyle name="Normal 3 5 4 5 2" xfId="17827" xr:uid="{00000000-0005-0000-0000-0000A7450000}"/>
    <cellStyle name="Normal 3 5 4 5 2 2" xfId="24339" xr:uid="{00000000-0005-0000-0000-0000175F0000}"/>
    <cellStyle name="Normal 3 5 4 5 3" xfId="21504" xr:uid="{00000000-0005-0000-0000-000004540000}"/>
    <cellStyle name="Normal 3 5 4 6" xfId="19716" xr:uid="{00000000-0005-0000-0000-0000084D0000}"/>
    <cellStyle name="Normal 3 5 4 7" xfId="6392" xr:uid="{00000000-0005-0000-0000-0000FC180000}"/>
    <cellStyle name="Normal 3 5 5" xfId="1143" xr:uid="{00000000-0005-0000-0000-00007B040000}"/>
    <cellStyle name="Normal 3 5 5 2" xfId="2288" xr:uid="{00000000-0005-0000-0000-0000F4080000}"/>
    <cellStyle name="Normal 3 5 6" xfId="1144" xr:uid="{00000000-0005-0000-0000-00007C040000}"/>
    <cellStyle name="Normal 3 5 6 2" xfId="2289" xr:uid="{00000000-0005-0000-0000-0000F5080000}"/>
    <cellStyle name="Normal 3 5 7" xfId="1145" xr:uid="{00000000-0005-0000-0000-00007D040000}"/>
    <cellStyle name="Normal 3 5 7 2" xfId="2290" xr:uid="{00000000-0005-0000-0000-0000F6080000}"/>
    <cellStyle name="Normal 3 5 8" xfId="1146" xr:uid="{00000000-0005-0000-0000-00007E040000}"/>
    <cellStyle name="Normal 3 5 8 2" xfId="2291" xr:uid="{00000000-0005-0000-0000-0000F7080000}"/>
    <cellStyle name="Normal 3 5 9" xfId="2284" xr:uid="{00000000-0005-0000-0000-0000F0080000}"/>
    <cellStyle name="Normal 3 5 9 2" xfId="8879" xr:uid="{00000000-0005-0000-0000-0000B3220000}"/>
    <cellStyle name="Normal 3 6" xfId="210" xr:uid="{00000000-0005-0000-0000-0000D6000000}"/>
    <cellStyle name="Normal 3 6 2" xfId="2292" xr:uid="{00000000-0005-0000-0000-0000F8080000}"/>
    <cellStyle name="Normal 3 6 3" xfId="1147" xr:uid="{00000000-0005-0000-0000-00007F040000}"/>
    <cellStyle name="Normal 3 6 3 2" xfId="6394" xr:uid="{00000000-0005-0000-0000-0000FE180000}"/>
    <cellStyle name="Normal 3 6 4" xfId="3432" xr:uid="{00000000-0005-0000-0000-00006C0D0000}"/>
    <cellStyle name="Normal 3 7" xfId="1148" xr:uid="{00000000-0005-0000-0000-000080040000}"/>
    <cellStyle name="Normal 3 7 2" xfId="2293" xr:uid="{00000000-0005-0000-0000-0000F9080000}"/>
    <cellStyle name="Normal 3 7 3" xfId="9297" xr:uid="{00000000-0005-0000-0000-000055240000}"/>
    <cellStyle name="Normal 3 7 4" xfId="6395" xr:uid="{00000000-0005-0000-0000-0000FF180000}"/>
    <cellStyle name="Normal 3 8" xfId="1149" xr:uid="{00000000-0005-0000-0000-000081040000}"/>
    <cellStyle name="Normal 3 8 2" xfId="2294" xr:uid="{00000000-0005-0000-0000-0000FA080000}"/>
    <cellStyle name="Normal 3 9" xfId="1150" xr:uid="{00000000-0005-0000-0000-000082040000}"/>
    <cellStyle name="Normal 3 9 2" xfId="2295" xr:uid="{00000000-0005-0000-0000-0000FB080000}"/>
    <cellStyle name="Normal 3_PrimaryEnergyPrices_TIMES" xfId="12751" xr:uid="{00000000-0005-0000-0000-0000D3310000}"/>
    <cellStyle name="Normal 30" xfId="6396" xr:uid="{00000000-0005-0000-0000-000000190000}"/>
    <cellStyle name="Normal 31" xfId="6397" xr:uid="{00000000-0005-0000-0000-000001190000}"/>
    <cellStyle name="Normal 31 2" xfId="6398" xr:uid="{00000000-0005-0000-0000-000002190000}"/>
    <cellStyle name="Normal 31 3" xfId="12752" xr:uid="{00000000-0005-0000-0000-0000D4310000}"/>
    <cellStyle name="Normal 32" xfId="6399" xr:uid="{00000000-0005-0000-0000-000003190000}"/>
    <cellStyle name="Normal 32 2" xfId="6400" xr:uid="{00000000-0005-0000-0000-000004190000}"/>
    <cellStyle name="Normal 33" xfId="6401" xr:uid="{00000000-0005-0000-0000-000005190000}"/>
    <cellStyle name="Normal 33 10" xfId="6402" xr:uid="{00000000-0005-0000-0000-000006190000}"/>
    <cellStyle name="Normal 33 11" xfId="6403" xr:uid="{00000000-0005-0000-0000-000007190000}"/>
    <cellStyle name="Normal 33 12" xfId="6404" xr:uid="{00000000-0005-0000-0000-000008190000}"/>
    <cellStyle name="Normal 33 13" xfId="6405" xr:uid="{00000000-0005-0000-0000-000009190000}"/>
    <cellStyle name="Normal 33 2" xfId="6406" xr:uid="{00000000-0005-0000-0000-00000A190000}"/>
    <cellStyle name="Normal 33 3" xfId="6407" xr:uid="{00000000-0005-0000-0000-00000B190000}"/>
    <cellStyle name="Normal 33 4" xfId="6408" xr:uid="{00000000-0005-0000-0000-00000C190000}"/>
    <cellStyle name="Normal 33 5" xfId="6409" xr:uid="{00000000-0005-0000-0000-00000D190000}"/>
    <cellStyle name="Normal 33 6" xfId="6410" xr:uid="{00000000-0005-0000-0000-00000E190000}"/>
    <cellStyle name="Normal 33 7" xfId="6411" xr:uid="{00000000-0005-0000-0000-00000F190000}"/>
    <cellStyle name="Normal 33 8" xfId="6412" xr:uid="{00000000-0005-0000-0000-000010190000}"/>
    <cellStyle name="Normal 33 9" xfId="6413" xr:uid="{00000000-0005-0000-0000-000011190000}"/>
    <cellStyle name="Normal 33_Scen_XBase" xfId="6414" xr:uid="{00000000-0005-0000-0000-000012190000}"/>
    <cellStyle name="Normal 34" xfId="6415" xr:uid="{00000000-0005-0000-0000-000013190000}"/>
    <cellStyle name="Normal 35" xfId="7864" xr:uid="{00000000-0005-0000-0000-0000BC1E0000}"/>
    <cellStyle name="Normal 35 2" xfId="8077" xr:uid="{00000000-0005-0000-0000-0000911F0000}"/>
    <cellStyle name="Normal 35 2 2" xfId="8495" xr:uid="{00000000-0005-0000-0000-000033210000}"/>
    <cellStyle name="Normal 35 2 2 2" xfId="10357" xr:uid="{00000000-0005-0000-0000-000079280000}"/>
    <cellStyle name="Normal 35 2 2 2 2" xfId="18585" xr:uid="{00000000-0005-0000-0000-00009D480000}"/>
    <cellStyle name="Normal 35 2 2 2 2 2" xfId="25097" xr:uid="{00000000-0005-0000-0000-00000D620000}"/>
    <cellStyle name="Normal 35 2 2 2 3" xfId="22262" xr:uid="{00000000-0005-0000-0000-0000FA560000}"/>
    <cellStyle name="Normal 35 2 2 3" xfId="17175" xr:uid="{00000000-0005-0000-0000-00001B430000}"/>
    <cellStyle name="Normal 35 2 2 3 2" xfId="23832" xr:uid="{00000000-0005-0000-0000-00001C5D0000}"/>
    <cellStyle name="Normal 35 2 2 4" xfId="20700" xr:uid="{00000000-0005-0000-0000-0000E0500000}"/>
    <cellStyle name="Normal 35 2 3" xfId="9298" xr:uid="{00000000-0005-0000-0000-000056240000}"/>
    <cellStyle name="Normal 35 2 3 2" xfId="10630" xr:uid="{00000000-0005-0000-0000-00008A290000}"/>
    <cellStyle name="Normal 35 2 3 2 2" xfId="18858" xr:uid="{00000000-0005-0000-0000-0000AE490000}"/>
    <cellStyle name="Normal 35 2 3 2 2 2" xfId="25370" xr:uid="{00000000-0005-0000-0000-00001E630000}"/>
    <cellStyle name="Normal 35 2 3 2 3" xfId="22535" xr:uid="{00000000-0005-0000-0000-00000B580000}"/>
    <cellStyle name="Normal 35 2 3 3" xfId="17539" xr:uid="{00000000-0005-0000-0000-000087440000}"/>
    <cellStyle name="Normal 35 2 3 3 2" xfId="24114" xr:uid="{00000000-0005-0000-0000-0000365E0000}"/>
    <cellStyle name="Normal 35 2 3 4" xfId="21279" xr:uid="{00000000-0005-0000-0000-000023530000}"/>
    <cellStyle name="Normal 35 2 4" xfId="9939" xr:uid="{00000000-0005-0000-0000-0000D7260000}"/>
    <cellStyle name="Normal 35 2 4 2" xfId="18167" xr:uid="{00000000-0005-0000-0000-0000FB460000}"/>
    <cellStyle name="Normal 35 2 4 2 2" xfId="24679" xr:uid="{00000000-0005-0000-0000-00006B600000}"/>
    <cellStyle name="Normal 35 2 4 3" xfId="21844" xr:uid="{00000000-0005-0000-0000-000058550000}"/>
    <cellStyle name="Normal 35 2 5" xfId="11068" xr:uid="{00000000-0005-0000-0000-0000402B0000}"/>
    <cellStyle name="Normal 35 2 5 2" xfId="22960" xr:uid="{00000000-0005-0000-0000-0000B4590000}"/>
    <cellStyle name="Normal 35 2 6" xfId="20282" xr:uid="{00000000-0005-0000-0000-00003E4F0000}"/>
    <cellStyle name="Normal 35 3" xfId="8286" xr:uid="{00000000-0005-0000-0000-000062200000}"/>
    <cellStyle name="Normal 35 3 2" xfId="10148" xr:uid="{00000000-0005-0000-0000-0000A8270000}"/>
    <cellStyle name="Normal 35 3 2 2" xfId="18376" xr:uid="{00000000-0005-0000-0000-0000CC470000}"/>
    <cellStyle name="Normal 35 3 2 2 2" xfId="24888" xr:uid="{00000000-0005-0000-0000-00003C610000}"/>
    <cellStyle name="Normal 35 3 2 3" xfId="22053" xr:uid="{00000000-0005-0000-0000-000029560000}"/>
    <cellStyle name="Normal 35 3 3" xfId="16966" xr:uid="{00000000-0005-0000-0000-00004A420000}"/>
    <cellStyle name="Normal 35 3 3 2" xfId="23623" xr:uid="{00000000-0005-0000-0000-00004B5C0000}"/>
    <cellStyle name="Normal 35 3 4" xfId="12540" xr:uid="{00000000-0005-0000-0000-000000310000}"/>
    <cellStyle name="Normal 35 3 5" xfId="20491" xr:uid="{00000000-0005-0000-0000-00000F500000}"/>
    <cellStyle name="Normal 35 4" xfId="8902" xr:uid="{00000000-0005-0000-0000-0000CA220000}"/>
    <cellStyle name="Normal 35 4 2" xfId="10390" xr:uid="{00000000-0005-0000-0000-00009A280000}"/>
    <cellStyle name="Normal 35 4 2 2" xfId="18618" xr:uid="{00000000-0005-0000-0000-0000BE480000}"/>
    <cellStyle name="Normal 35 4 2 2 2" xfId="25130" xr:uid="{00000000-0005-0000-0000-00002E620000}"/>
    <cellStyle name="Normal 35 4 2 3" xfId="22295" xr:uid="{00000000-0005-0000-0000-00001B570000}"/>
    <cellStyle name="Normal 35 4 3" xfId="17272" xr:uid="{00000000-0005-0000-0000-00007C430000}"/>
    <cellStyle name="Normal 35 4 3 2" xfId="23872" xr:uid="{00000000-0005-0000-0000-0000445D0000}"/>
    <cellStyle name="Normal 35 4 4" xfId="20954" xr:uid="{00000000-0005-0000-0000-0000DE510000}"/>
    <cellStyle name="Normal 35 5" xfId="9730" xr:uid="{00000000-0005-0000-0000-000006260000}"/>
    <cellStyle name="Normal 35 5 2" xfId="17958" xr:uid="{00000000-0005-0000-0000-00002A460000}"/>
    <cellStyle name="Normal 35 5 2 2" xfId="24470" xr:uid="{00000000-0005-0000-0000-00009A5F0000}"/>
    <cellStyle name="Normal 35 5 3" xfId="21635" xr:uid="{00000000-0005-0000-0000-000087540000}"/>
    <cellStyle name="Normal 35 6" xfId="11067" xr:uid="{00000000-0005-0000-0000-00003F2B0000}"/>
    <cellStyle name="Normal 35 6 2" xfId="22959" xr:uid="{00000000-0005-0000-0000-0000B3590000}"/>
    <cellStyle name="Normal 35 7" xfId="20073" xr:uid="{00000000-0005-0000-0000-00006D4E0000}"/>
    <cellStyle name="Normal 36" xfId="7866" xr:uid="{00000000-0005-0000-0000-0000BE1E0000}"/>
    <cellStyle name="Normal 36 2" xfId="8079" xr:uid="{00000000-0005-0000-0000-0000931F0000}"/>
    <cellStyle name="Normal 36 2 2" xfId="8497" xr:uid="{00000000-0005-0000-0000-000035210000}"/>
    <cellStyle name="Normal 36 2 2 2" xfId="10359" xr:uid="{00000000-0005-0000-0000-00007B280000}"/>
    <cellStyle name="Normal 36 2 2 2 2" xfId="18587" xr:uid="{00000000-0005-0000-0000-00009F480000}"/>
    <cellStyle name="Normal 36 2 2 2 2 2" xfId="25099" xr:uid="{00000000-0005-0000-0000-00000F620000}"/>
    <cellStyle name="Normal 36 2 2 2 3" xfId="22264" xr:uid="{00000000-0005-0000-0000-0000FC560000}"/>
    <cellStyle name="Normal 36 2 2 3" xfId="17177" xr:uid="{00000000-0005-0000-0000-00001D430000}"/>
    <cellStyle name="Normal 36 2 2 3 2" xfId="23834" xr:uid="{00000000-0005-0000-0000-00001E5D0000}"/>
    <cellStyle name="Normal 36 2 2 4" xfId="20702" xr:uid="{00000000-0005-0000-0000-0000E2500000}"/>
    <cellStyle name="Normal 36 2 3" xfId="9300" xr:uid="{00000000-0005-0000-0000-000058240000}"/>
    <cellStyle name="Normal 36 2 3 2" xfId="10632" xr:uid="{00000000-0005-0000-0000-00008C290000}"/>
    <cellStyle name="Normal 36 2 3 2 2" xfId="18860" xr:uid="{00000000-0005-0000-0000-0000B0490000}"/>
    <cellStyle name="Normal 36 2 3 2 2 2" xfId="25372" xr:uid="{00000000-0005-0000-0000-000020630000}"/>
    <cellStyle name="Normal 36 2 3 2 3" xfId="22537" xr:uid="{00000000-0005-0000-0000-00000D580000}"/>
    <cellStyle name="Normal 36 2 3 3" xfId="17541" xr:uid="{00000000-0005-0000-0000-000089440000}"/>
    <cellStyle name="Normal 36 2 3 3 2" xfId="24116" xr:uid="{00000000-0005-0000-0000-0000385E0000}"/>
    <cellStyle name="Normal 36 2 3 4" xfId="21281" xr:uid="{00000000-0005-0000-0000-000025530000}"/>
    <cellStyle name="Normal 36 2 4" xfId="9941" xr:uid="{00000000-0005-0000-0000-0000D9260000}"/>
    <cellStyle name="Normal 36 2 4 2" xfId="18169" xr:uid="{00000000-0005-0000-0000-0000FD460000}"/>
    <cellStyle name="Normal 36 2 4 2 2" xfId="24681" xr:uid="{00000000-0005-0000-0000-00006D600000}"/>
    <cellStyle name="Normal 36 2 4 3" xfId="21846" xr:uid="{00000000-0005-0000-0000-00005A550000}"/>
    <cellStyle name="Normal 36 2 5" xfId="11070" xr:uid="{00000000-0005-0000-0000-0000422B0000}"/>
    <cellStyle name="Normal 36 2 5 2" xfId="22962" xr:uid="{00000000-0005-0000-0000-0000B6590000}"/>
    <cellStyle name="Normal 36 2 6" xfId="20284" xr:uid="{00000000-0005-0000-0000-0000404F0000}"/>
    <cellStyle name="Normal 36 3" xfId="8288" xr:uid="{00000000-0005-0000-0000-000064200000}"/>
    <cellStyle name="Normal 36 3 2" xfId="10150" xr:uid="{00000000-0005-0000-0000-0000AA270000}"/>
    <cellStyle name="Normal 36 3 2 2" xfId="18378" xr:uid="{00000000-0005-0000-0000-0000CE470000}"/>
    <cellStyle name="Normal 36 3 2 2 2" xfId="24890" xr:uid="{00000000-0005-0000-0000-00003E610000}"/>
    <cellStyle name="Normal 36 3 2 3" xfId="22055" xr:uid="{00000000-0005-0000-0000-00002B560000}"/>
    <cellStyle name="Normal 36 3 3" xfId="16968" xr:uid="{00000000-0005-0000-0000-00004C420000}"/>
    <cellStyle name="Normal 36 3 3 2" xfId="23625" xr:uid="{00000000-0005-0000-0000-00004D5C0000}"/>
    <cellStyle name="Normal 36 3 4" xfId="20493" xr:uid="{00000000-0005-0000-0000-000011500000}"/>
    <cellStyle name="Normal 36 4" xfId="9299" xr:uid="{00000000-0005-0000-0000-000057240000}"/>
    <cellStyle name="Normal 36 4 2" xfId="10631" xr:uid="{00000000-0005-0000-0000-00008B290000}"/>
    <cellStyle name="Normal 36 4 2 2" xfId="18859" xr:uid="{00000000-0005-0000-0000-0000AF490000}"/>
    <cellStyle name="Normal 36 4 2 2 2" xfId="25371" xr:uid="{00000000-0005-0000-0000-00001F630000}"/>
    <cellStyle name="Normal 36 4 2 3" xfId="22536" xr:uid="{00000000-0005-0000-0000-00000C580000}"/>
    <cellStyle name="Normal 36 4 3" xfId="17540" xr:uid="{00000000-0005-0000-0000-000088440000}"/>
    <cellStyle name="Normal 36 4 3 2" xfId="24115" xr:uid="{00000000-0005-0000-0000-0000375E0000}"/>
    <cellStyle name="Normal 36 4 4" xfId="21280" xr:uid="{00000000-0005-0000-0000-000024530000}"/>
    <cellStyle name="Normal 36 5" xfId="9732" xr:uid="{00000000-0005-0000-0000-000008260000}"/>
    <cellStyle name="Normal 36 5 2" xfId="17960" xr:uid="{00000000-0005-0000-0000-00002C460000}"/>
    <cellStyle name="Normal 36 5 2 2" xfId="24472" xr:uid="{00000000-0005-0000-0000-00009C5F0000}"/>
    <cellStyle name="Normal 36 5 3" xfId="21637" xr:uid="{00000000-0005-0000-0000-000089540000}"/>
    <cellStyle name="Normal 36 6" xfId="11069" xr:uid="{00000000-0005-0000-0000-0000412B0000}"/>
    <cellStyle name="Normal 36 6 2" xfId="22961" xr:uid="{00000000-0005-0000-0000-0000B5590000}"/>
    <cellStyle name="Normal 36 7" xfId="20075" xr:uid="{00000000-0005-0000-0000-00006F4E0000}"/>
    <cellStyle name="Normal 37" xfId="7880" xr:uid="{00000000-0005-0000-0000-0000CC1E0000}"/>
    <cellStyle name="Normal 37 2" xfId="8093" xr:uid="{00000000-0005-0000-0000-0000A11F0000}"/>
    <cellStyle name="Normal 37 2 2" xfId="8511" xr:uid="{00000000-0005-0000-0000-000043210000}"/>
    <cellStyle name="Normal 37 2 2 2" xfId="10373" xr:uid="{00000000-0005-0000-0000-000089280000}"/>
    <cellStyle name="Normal 37 2 2 2 2" xfId="18601" xr:uid="{00000000-0005-0000-0000-0000AD480000}"/>
    <cellStyle name="Normal 37 2 2 2 2 2" xfId="25113" xr:uid="{00000000-0005-0000-0000-00001D620000}"/>
    <cellStyle name="Normal 37 2 2 2 3" xfId="22278" xr:uid="{00000000-0005-0000-0000-00000A570000}"/>
    <cellStyle name="Normal 37 2 2 3" xfId="17191" xr:uid="{00000000-0005-0000-0000-00002B430000}"/>
    <cellStyle name="Normal 37 2 2 3 2" xfId="23848" xr:uid="{00000000-0005-0000-0000-00002C5D0000}"/>
    <cellStyle name="Normal 37 2 2 4" xfId="20716" xr:uid="{00000000-0005-0000-0000-0000F0500000}"/>
    <cellStyle name="Normal 37 2 3" xfId="9301" xr:uid="{00000000-0005-0000-0000-000059240000}"/>
    <cellStyle name="Normal 37 2 3 2" xfId="10633" xr:uid="{00000000-0005-0000-0000-00008D290000}"/>
    <cellStyle name="Normal 37 2 3 2 2" xfId="18861" xr:uid="{00000000-0005-0000-0000-0000B1490000}"/>
    <cellStyle name="Normal 37 2 3 2 2 2" xfId="25373" xr:uid="{00000000-0005-0000-0000-000021630000}"/>
    <cellStyle name="Normal 37 2 3 2 3" xfId="22538" xr:uid="{00000000-0005-0000-0000-00000E580000}"/>
    <cellStyle name="Normal 37 2 3 3" xfId="17542" xr:uid="{00000000-0005-0000-0000-00008A440000}"/>
    <cellStyle name="Normal 37 2 3 3 2" xfId="24117" xr:uid="{00000000-0005-0000-0000-0000395E0000}"/>
    <cellStyle name="Normal 37 2 3 4" xfId="21282" xr:uid="{00000000-0005-0000-0000-000026530000}"/>
    <cellStyle name="Normal 37 2 4" xfId="9955" xr:uid="{00000000-0005-0000-0000-0000E7260000}"/>
    <cellStyle name="Normal 37 2 4 2" xfId="18183" xr:uid="{00000000-0005-0000-0000-00000B470000}"/>
    <cellStyle name="Normal 37 2 4 2 2" xfId="24695" xr:uid="{00000000-0005-0000-0000-00007B600000}"/>
    <cellStyle name="Normal 37 2 4 3" xfId="21860" xr:uid="{00000000-0005-0000-0000-000068550000}"/>
    <cellStyle name="Normal 37 2 5" xfId="11072" xr:uid="{00000000-0005-0000-0000-0000442B0000}"/>
    <cellStyle name="Normal 37 2 5 2" xfId="22964" xr:uid="{00000000-0005-0000-0000-0000B8590000}"/>
    <cellStyle name="Normal 37 2 6" xfId="20298" xr:uid="{00000000-0005-0000-0000-00004E4F0000}"/>
    <cellStyle name="Normal 37 3" xfId="8302" xr:uid="{00000000-0005-0000-0000-000072200000}"/>
    <cellStyle name="Normal 37 3 2" xfId="10164" xr:uid="{00000000-0005-0000-0000-0000B8270000}"/>
    <cellStyle name="Normal 37 3 2 2" xfId="18392" xr:uid="{00000000-0005-0000-0000-0000DC470000}"/>
    <cellStyle name="Normal 37 3 2 2 2" xfId="24904" xr:uid="{00000000-0005-0000-0000-00004C610000}"/>
    <cellStyle name="Normal 37 3 2 3" xfId="22069" xr:uid="{00000000-0005-0000-0000-000039560000}"/>
    <cellStyle name="Normal 37 3 3" xfId="16982" xr:uid="{00000000-0005-0000-0000-00005A420000}"/>
    <cellStyle name="Normal 37 3 3 2" xfId="23639" xr:uid="{00000000-0005-0000-0000-00005B5C0000}"/>
    <cellStyle name="Normal 37 3 4" xfId="20507" xr:uid="{00000000-0005-0000-0000-00001F500000}"/>
    <cellStyle name="Normal 37 4" xfId="8903" xr:uid="{00000000-0005-0000-0000-0000CB220000}"/>
    <cellStyle name="Normal 37 4 2" xfId="10391" xr:uid="{00000000-0005-0000-0000-00009B280000}"/>
    <cellStyle name="Normal 37 4 2 2" xfId="18619" xr:uid="{00000000-0005-0000-0000-0000BF480000}"/>
    <cellStyle name="Normal 37 4 2 2 2" xfId="25131" xr:uid="{00000000-0005-0000-0000-00002F620000}"/>
    <cellStyle name="Normal 37 4 2 3" xfId="22296" xr:uid="{00000000-0005-0000-0000-00001C570000}"/>
    <cellStyle name="Normal 37 4 3" xfId="17273" xr:uid="{00000000-0005-0000-0000-00007D430000}"/>
    <cellStyle name="Normal 37 4 3 2" xfId="23873" xr:uid="{00000000-0005-0000-0000-0000455D0000}"/>
    <cellStyle name="Normal 37 4 4" xfId="20955" xr:uid="{00000000-0005-0000-0000-0000DF510000}"/>
    <cellStyle name="Normal 37 5" xfId="9746" xr:uid="{00000000-0005-0000-0000-000016260000}"/>
    <cellStyle name="Normal 37 5 2" xfId="17974" xr:uid="{00000000-0005-0000-0000-00003A460000}"/>
    <cellStyle name="Normal 37 5 2 2" xfId="24486" xr:uid="{00000000-0005-0000-0000-0000AA5F0000}"/>
    <cellStyle name="Normal 37 5 3" xfId="21651" xr:uid="{00000000-0005-0000-0000-000097540000}"/>
    <cellStyle name="Normal 37 6" xfId="11071" xr:uid="{00000000-0005-0000-0000-0000432B0000}"/>
    <cellStyle name="Normal 37 6 2" xfId="22963" xr:uid="{00000000-0005-0000-0000-0000B7590000}"/>
    <cellStyle name="Normal 37 7" xfId="20089" xr:uid="{00000000-0005-0000-0000-00007D4E0000}"/>
    <cellStyle name="Normal 38" xfId="10797" xr:uid="{00000000-0005-0000-0000-0000312A0000}"/>
    <cellStyle name="Normal 39" xfId="15043" xr:uid="{00000000-0005-0000-0000-0000C73A0000}"/>
    <cellStyle name="Normal 4" xfId="130" xr:uid="{00000000-0005-0000-0000-000086000000}"/>
    <cellStyle name="Normal 4 10" xfId="1152" xr:uid="{00000000-0005-0000-0000-000084040000}"/>
    <cellStyle name="Normal 4 10 2" xfId="2297" xr:uid="{00000000-0005-0000-0000-0000FD080000}"/>
    <cellStyle name="Normal 4 10 3" xfId="9302" xr:uid="{00000000-0005-0000-0000-00005A240000}"/>
    <cellStyle name="Normal 4 10 4" xfId="6417" xr:uid="{00000000-0005-0000-0000-000015190000}"/>
    <cellStyle name="Normal 4 11" xfId="1153" xr:uid="{00000000-0005-0000-0000-000085040000}"/>
    <cellStyle name="Normal 4 11 2" xfId="2298" xr:uid="{00000000-0005-0000-0000-0000FE080000}"/>
    <cellStyle name="Normal 4 11 3" xfId="9303" xr:uid="{00000000-0005-0000-0000-00005B240000}"/>
    <cellStyle name="Normal 4 11 4" xfId="6416" xr:uid="{00000000-0005-0000-0000-000014190000}"/>
    <cellStyle name="Normal 4 12" xfId="1154" xr:uid="{00000000-0005-0000-0000-000086040000}"/>
    <cellStyle name="Normal 4 12 2" xfId="2299" xr:uid="{00000000-0005-0000-0000-0000FF080000}"/>
    <cellStyle name="Normal 4 13" xfId="2296" xr:uid="{00000000-0005-0000-0000-0000FC080000}"/>
    <cellStyle name="Normal 4 13 2" xfId="12754" xr:uid="{00000000-0005-0000-0000-0000D6310000}"/>
    <cellStyle name="Normal 4 13 2 2" xfId="12755" xr:uid="{00000000-0005-0000-0000-0000D7310000}"/>
    <cellStyle name="Normal 4 13 2 3" xfId="12756" xr:uid="{00000000-0005-0000-0000-0000D8310000}"/>
    <cellStyle name="Normal 4 13 2 4" xfId="12757" xr:uid="{00000000-0005-0000-0000-0000D9310000}"/>
    <cellStyle name="Normal 4 13 3" xfId="12753" xr:uid="{00000000-0005-0000-0000-0000D5310000}"/>
    <cellStyle name="Normal 4 13 4" xfId="11073" xr:uid="{00000000-0005-0000-0000-0000452B0000}"/>
    <cellStyle name="Normal 4 14" xfId="1151" xr:uid="{00000000-0005-0000-0000-000083040000}"/>
    <cellStyle name="Normal 4 14 2" xfId="4518" xr:uid="{00000000-0005-0000-0000-0000AA110000}"/>
    <cellStyle name="Normal 4 15" xfId="3404" xr:uid="{00000000-0005-0000-0000-0000500D0000}"/>
    <cellStyle name="Normal 4 15 2" xfId="4445" xr:uid="{00000000-0005-0000-0000-000061110000}"/>
    <cellStyle name="Normal 4 16" xfId="3420" xr:uid="{00000000-0005-0000-0000-0000600D0000}"/>
    <cellStyle name="Normal 4 17" xfId="4452" xr:uid="{00000000-0005-0000-0000-000068110000}"/>
    <cellStyle name="Normal 4 2" xfId="131" xr:uid="{00000000-0005-0000-0000-000087000000}"/>
    <cellStyle name="Normal 4 2 10" xfId="1155" xr:uid="{00000000-0005-0000-0000-000087040000}"/>
    <cellStyle name="Normal 4 2 10 2" xfId="8038" xr:uid="{00000000-0005-0000-0000-00006A1F0000}"/>
    <cellStyle name="Normal 4 2 10 2 2" xfId="8457" xr:uid="{00000000-0005-0000-0000-00000D210000}"/>
    <cellStyle name="Normal 4 2 10 2 2 2" xfId="10319" xr:uid="{00000000-0005-0000-0000-000053280000}"/>
    <cellStyle name="Normal 4 2 10 2 2 2 2" xfId="18547" xr:uid="{00000000-0005-0000-0000-000077480000}"/>
    <cellStyle name="Normal 4 2 10 2 2 2 2 2" xfId="25059" xr:uid="{00000000-0005-0000-0000-0000E7610000}"/>
    <cellStyle name="Normal 4 2 10 2 2 2 3" xfId="22224" xr:uid="{00000000-0005-0000-0000-0000D4560000}"/>
    <cellStyle name="Normal 4 2 10 2 2 3" xfId="17137" xr:uid="{00000000-0005-0000-0000-0000F5420000}"/>
    <cellStyle name="Normal 4 2 10 2 2 3 2" xfId="23794" xr:uid="{00000000-0005-0000-0000-0000F65C0000}"/>
    <cellStyle name="Normal 4 2 10 2 2 4" xfId="20662" xr:uid="{00000000-0005-0000-0000-0000BA500000}"/>
    <cellStyle name="Normal 4 2 10 2 3" xfId="9305" xr:uid="{00000000-0005-0000-0000-00005D240000}"/>
    <cellStyle name="Normal 4 2 10 2 3 2" xfId="10635" xr:uid="{00000000-0005-0000-0000-00008F290000}"/>
    <cellStyle name="Normal 4 2 10 2 3 2 2" xfId="18863" xr:uid="{00000000-0005-0000-0000-0000B3490000}"/>
    <cellStyle name="Normal 4 2 10 2 3 2 2 2" xfId="25375" xr:uid="{00000000-0005-0000-0000-000023630000}"/>
    <cellStyle name="Normal 4 2 10 2 3 2 3" xfId="22540" xr:uid="{00000000-0005-0000-0000-000010580000}"/>
    <cellStyle name="Normal 4 2 10 2 3 3" xfId="17545" xr:uid="{00000000-0005-0000-0000-00008D440000}"/>
    <cellStyle name="Normal 4 2 10 2 3 3 2" xfId="24119" xr:uid="{00000000-0005-0000-0000-00003B5E0000}"/>
    <cellStyle name="Normal 4 2 10 2 3 4" xfId="21284" xr:uid="{00000000-0005-0000-0000-000028530000}"/>
    <cellStyle name="Normal 4 2 10 2 4" xfId="9901" xr:uid="{00000000-0005-0000-0000-0000B1260000}"/>
    <cellStyle name="Normal 4 2 10 2 4 2" xfId="18129" xr:uid="{00000000-0005-0000-0000-0000D5460000}"/>
    <cellStyle name="Normal 4 2 10 2 4 2 2" xfId="24641" xr:uid="{00000000-0005-0000-0000-000045600000}"/>
    <cellStyle name="Normal 4 2 10 2 4 3" xfId="21806" xr:uid="{00000000-0005-0000-0000-000032550000}"/>
    <cellStyle name="Normal 4 2 10 2 5" xfId="11076" xr:uid="{00000000-0005-0000-0000-0000482B0000}"/>
    <cellStyle name="Normal 4 2 10 2 5 2" xfId="22967" xr:uid="{00000000-0005-0000-0000-0000BB590000}"/>
    <cellStyle name="Normal 4 2 10 2 6" xfId="20244" xr:uid="{00000000-0005-0000-0000-0000184F0000}"/>
    <cellStyle name="Normal 4 2 10 3" xfId="8248" xr:uid="{00000000-0005-0000-0000-00003C200000}"/>
    <cellStyle name="Normal 4 2 10 3 2" xfId="10110" xr:uid="{00000000-0005-0000-0000-000082270000}"/>
    <cellStyle name="Normal 4 2 10 3 2 2" xfId="18338" xr:uid="{00000000-0005-0000-0000-0000A6470000}"/>
    <cellStyle name="Normal 4 2 10 3 2 2 2" xfId="24850" xr:uid="{00000000-0005-0000-0000-000016610000}"/>
    <cellStyle name="Normal 4 2 10 3 2 3" xfId="22015" xr:uid="{00000000-0005-0000-0000-000003560000}"/>
    <cellStyle name="Normal 4 2 10 3 3" xfId="16929" xr:uid="{00000000-0005-0000-0000-000025420000}"/>
    <cellStyle name="Normal 4 2 10 3 3 2" xfId="23586" xr:uid="{00000000-0005-0000-0000-0000265C0000}"/>
    <cellStyle name="Normal 4 2 10 3 4" xfId="20453" xr:uid="{00000000-0005-0000-0000-0000E94F0000}"/>
    <cellStyle name="Normal 4 2 10 4" xfId="9304" xr:uid="{00000000-0005-0000-0000-00005C240000}"/>
    <cellStyle name="Normal 4 2 10 4 2" xfId="10634" xr:uid="{00000000-0005-0000-0000-00008E290000}"/>
    <cellStyle name="Normal 4 2 10 4 2 2" xfId="18862" xr:uid="{00000000-0005-0000-0000-0000B2490000}"/>
    <cellStyle name="Normal 4 2 10 4 2 2 2" xfId="25374" xr:uid="{00000000-0005-0000-0000-000022630000}"/>
    <cellStyle name="Normal 4 2 10 4 2 3" xfId="22539" xr:uid="{00000000-0005-0000-0000-00000F580000}"/>
    <cellStyle name="Normal 4 2 10 4 3" xfId="17544" xr:uid="{00000000-0005-0000-0000-00008C440000}"/>
    <cellStyle name="Normal 4 2 10 4 3 2" xfId="24118" xr:uid="{00000000-0005-0000-0000-00003A5E0000}"/>
    <cellStyle name="Normal 4 2 10 4 4" xfId="21283" xr:uid="{00000000-0005-0000-0000-000027530000}"/>
    <cellStyle name="Normal 4 2 10 5" xfId="9692" xr:uid="{00000000-0005-0000-0000-0000E0250000}"/>
    <cellStyle name="Normal 4 2 10 5 2" xfId="17920" xr:uid="{00000000-0005-0000-0000-000004460000}"/>
    <cellStyle name="Normal 4 2 10 5 2 2" xfId="24432" xr:uid="{00000000-0005-0000-0000-0000745F0000}"/>
    <cellStyle name="Normal 4 2 10 5 3" xfId="21597" xr:uid="{00000000-0005-0000-0000-000061540000}"/>
    <cellStyle name="Normal 4 2 10 6" xfId="11075" xr:uid="{00000000-0005-0000-0000-0000472B0000}"/>
    <cellStyle name="Normal 4 2 10 6 2" xfId="22966" xr:uid="{00000000-0005-0000-0000-0000BA590000}"/>
    <cellStyle name="Normal 4 2 10 7" xfId="20035" xr:uid="{00000000-0005-0000-0000-0000474E0000}"/>
    <cellStyle name="Normal 4 2 10 8" xfId="7799" xr:uid="{00000000-0005-0000-0000-00007B1E0000}"/>
    <cellStyle name="Normal 4 2 11" xfId="11077" xr:uid="{00000000-0005-0000-0000-0000492B0000}"/>
    <cellStyle name="Normal 4 2 12" xfId="11074" xr:uid="{00000000-0005-0000-0000-0000462B0000}"/>
    <cellStyle name="Normal 4 2 12 2" xfId="22965" xr:uid="{00000000-0005-0000-0000-0000B9590000}"/>
    <cellStyle name="Normal 4 2 2" xfId="1156" xr:uid="{00000000-0005-0000-0000-000088040000}"/>
    <cellStyle name="Normal 4 2 2 10" xfId="1157" xr:uid="{00000000-0005-0000-0000-000089040000}"/>
    <cellStyle name="Normal 4 2 2 10 2" xfId="2302" xr:uid="{00000000-0005-0000-0000-000002090000}"/>
    <cellStyle name="Normal 4 2 2 10 2 2" xfId="3137" xr:uid="{00000000-0005-0000-0000-0000450C0000}"/>
    <cellStyle name="Normal 4 2 2 10 2 2 2" xfId="4195" xr:uid="{00000000-0005-0000-0000-000067100000}"/>
    <cellStyle name="Normal 4 2 2 10 2 2 2 2" xfId="18548" xr:uid="{00000000-0005-0000-0000-000078480000}"/>
    <cellStyle name="Normal 4 2 2 10 2 2 2 2 2" xfId="25060" xr:uid="{00000000-0005-0000-0000-0000E8610000}"/>
    <cellStyle name="Normal 4 2 2 10 2 2 2 3" xfId="22225" xr:uid="{00000000-0005-0000-0000-0000D5560000}"/>
    <cellStyle name="Normal 4 2 2 10 2 2 2 4" xfId="10320" xr:uid="{00000000-0005-0000-0000-000054280000}"/>
    <cellStyle name="Normal 4 2 2 10 2 2 3" xfId="17138" xr:uid="{00000000-0005-0000-0000-0000F6420000}"/>
    <cellStyle name="Normal 4 2 2 10 2 2 3 2" xfId="23795" xr:uid="{00000000-0005-0000-0000-0000F75C0000}"/>
    <cellStyle name="Normal 4 2 2 10 2 2 4" xfId="20663" xr:uid="{00000000-0005-0000-0000-0000BB500000}"/>
    <cellStyle name="Normal 4 2 2 10 2 2 5" xfId="8458" xr:uid="{00000000-0005-0000-0000-00000E210000}"/>
    <cellStyle name="Normal 4 2 2 10 2 3" xfId="3363" xr:uid="{00000000-0005-0000-0000-0000270D0000}"/>
    <cellStyle name="Normal 4 2 2 10 2 3 2" xfId="4405" xr:uid="{00000000-0005-0000-0000-000039110000}"/>
    <cellStyle name="Normal 4 2 2 10 2 3 2 2" xfId="18866" xr:uid="{00000000-0005-0000-0000-0000B6490000}"/>
    <cellStyle name="Normal 4 2 2 10 2 3 2 2 2" xfId="25378" xr:uid="{00000000-0005-0000-0000-000026630000}"/>
    <cellStyle name="Normal 4 2 2 10 2 3 2 3" xfId="22543" xr:uid="{00000000-0005-0000-0000-000013580000}"/>
    <cellStyle name="Normal 4 2 2 10 2 3 2 4" xfId="10638" xr:uid="{00000000-0005-0000-0000-000092290000}"/>
    <cellStyle name="Normal 4 2 2 10 2 3 3" xfId="17548" xr:uid="{00000000-0005-0000-0000-000090440000}"/>
    <cellStyle name="Normal 4 2 2 10 2 3 3 2" xfId="24122" xr:uid="{00000000-0005-0000-0000-00003E5E0000}"/>
    <cellStyle name="Normal 4 2 2 10 2 3 4" xfId="21287" xr:uid="{00000000-0005-0000-0000-00002B530000}"/>
    <cellStyle name="Normal 4 2 2 10 2 3 5" xfId="9308" xr:uid="{00000000-0005-0000-0000-000060240000}"/>
    <cellStyle name="Normal 4 2 2 10 2 4" xfId="3985" xr:uid="{00000000-0005-0000-0000-0000950F0000}"/>
    <cellStyle name="Normal 4 2 2 10 2 4 2" xfId="18130" xr:uid="{00000000-0005-0000-0000-0000D6460000}"/>
    <cellStyle name="Normal 4 2 2 10 2 4 2 2" xfId="24642" xr:uid="{00000000-0005-0000-0000-000046600000}"/>
    <cellStyle name="Normal 4 2 2 10 2 4 3" xfId="21807" xr:uid="{00000000-0005-0000-0000-000033550000}"/>
    <cellStyle name="Normal 4 2 2 10 2 4 4" xfId="9902" xr:uid="{00000000-0005-0000-0000-0000B2260000}"/>
    <cellStyle name="Normal 4 2 2 10 2 5" xfId="11079" xr:uid="{00000000-0005-0000-0000-00004B2B0000}"/>
    <cellStyle name="Normal 4 2 2 10 2 5 2" xfId="22969" xr:uid="{00000000-0005-0000-0000-0000BD590000}"/>
    <cellStyle name="Normal 4 2 2 10 2 6" xfId="20245" xr:uid="{00000000-0005-0000-0000-0000194F0000}"/>
    <cellStyle name="Normal 4 2 2 10 2 7" xfId="8039" xr:uid="{00000000-0005-0000-0000-00006B1F0000}"/>
    <cellStyle name="Normal 4 2 2 10 3" xfId="3016" xr:uid="{00000000-0005-0000-0000-0000CC0B0000}"/>
    <cellStyle name="Normal 4 2 2 10 3 2" xfId="4090" xr:uid="{00000000-0005-0000-0000-0000FE0F0000}"/>
    <cellStyle name="Normal 4 2 2 10 3 2 2" xfId="10637" xr:uid="{00000000-0005-0000-0000-000091290000}"/>
    <cellStyle name="Normal 4 2 2 10 3 2 2 2" xfId="18865" xr:uid="{00000000-0005-0000-0000-0000B5490000}"/>
    <cellStyle name="Normal 4 2 2 10 3 2 2 2 2" xfId="25377" xr:uid="{00000000-0005-0000-0000-000025630000}"/>
    <cellStyle name="Normal 4 2 2 10 3 2 2 3" xfId="22542" xr:uid="{00000000-0005-0000-0000-000012580000}"/>
    <cellStyle name="Normal 4 2 2 10 3 2 3" xfId="17547" xr:uid="{00000000-0005-0000-0000-00008F440000}"/>
    <cellStyle name="Normal 4 2 2 10 3 2 3 2" xfId="24121" xr:uid="{00000000-0005-0000-0000-00003D5E0000}"/>
    <cellStyle name="Normal 4 2 2 10 3 2 4" xfId="21286" xr:uid="{00000000-0005-0000-0000-00002A530000}"/>
    <cellStyle name="Normal 4 2 2 10 3 2 5" xfId="9307" xr:uid="{00000000-0005-0000-0000-00005F240000}"/>
    <cellStyle name="Normal 4 2 2 10 3 3" xfId="10111" xr:uid="{00000000-0005-0000-0000-000083270000}"/>
    <cellStyle name="Normal 4 2 2 10 3 3 2" xfId="18339" xr:uid="{00000000-0005-0000-0000-0000A7470000}"/>
    <cellStyle name="Normal 4 2 2 10 3 3 2 2" xfId="24851" xr:uid="{00000000-0005-0000-0000-000017610000}"/>
    <cellStyle name="Normal 4 2 2 10 3 3 3" xfId="22016" xr:uid="{00000000-0005-0000-0000-000004560000}"/>
    <cellStyle name="Normal 4 2 2 10 3 4" xfId="16930" xr:uid="{00000000-0005-0000-0000-000026420000}"/>
    <cellStyle name="Normal 4 2 2 10 3 4 2" xfId="23587" xr:uid="{00000000-0005-0000-0000-0000275C0000}"/>
    <cellStyle name="Normal 4 2 2 10 3 5" xfId="20454" xr:uid="{00000000-0005-0000-0000-0000EA4F0000}"/>
    <cellStyle name="Normal 4 2 2 10 3 6" xfId="8249" xr:uid="{00000000-0005-0000-0000-00003D200000}"/>
    <cellStyle name="Normal 4 2 2 10 4" xfId="3242" xr:uid="{00000000-0005-0000-0000-0000AE0C0000}"/>
    <cellStyle name="Normal 4 2 2 10 4 2" xfId="4300" xr:uid="{00000000-0005-0000-0000-0000D0100000}"/>
    <cellStyle name="Normal 4 2 2 10 4 3" xfId="8767" xr:uid="{00000000-0005-0000-0000-000043220000}"/>
    <cellStyle name="Normal 4 2 2 10 5" xfId="3693" xr:uid="{00000000-0005-0000-0000-0000710E0000}"/>
    <cellStyle name="Normal 4 2 2 10 5 2" xfId="17921" xr:uid="{00000000-0005-0000-0000-000005460000}"/>
    <cellStyle name="Normal 4 2 2 10 5 2 2" xfId="24433" xr:uid="{00000000-0005-0000-0000-0000755F0000}"/>
    <cellStyle name="Normal 4 2 2 10 5 3" xfId="21598" xr:uid="{00000000-0005-0000-0000-000062540000}"/>
    <cellStyle name="Normal 4 2 2 10 5 4" xfId="9693" xr:uid="{00000000-0005-0000-0000-0000E1250000}"/>
    <cellStyle name="Normal 4 2 2 10 6" xfId="11078" xr:uid="{00000000-0005-0000-0000-00004A2B0000}"/>
    <cellStyle name="Normal 4 2 2 10 6 2" xfId="22968" xr:uid="{00000000-0005-0000-0000-0000BC590000}"/>
    <cellStyle name="Normal 4 2 2 10 7" xfId="20036" xr:uid="{00000000-0005-0000-0000-0000484E0000}"/>
    <cellStyle name="Normal 4 2 2 10 8" xfId="7800" xr:uid="{00000000-0005-0000-0000-00007C1E0000}"/>
    <cellStyle name="Normal 4 2 2 11" xfId="1158" xr:uid="{00000000-0005-0000-0000-00008A040000}"/>
    <cellStyle name="Normal 4 2 2 11 2" xfId="2303" xr:uid="{00000000-0005-0000-0000-000003090000}"/>
    <cellStyle name="Normal 4 2 2 11 2 2" xfId="3138" xr:uid="{00000000-0005-0000-0000-0000460C0000}"/>
    <cellStyle name="Normal 4 2 2 11 2 2 2" xfId="4196" xr:uid="{00000000-0005-0000-0000-000068100000}"/>
    <cellStyle name="Normal 4 2 2 11 2 2 2 2" xfId="18549" xr:uid="{00000000-0005-0000-0000-000079480000}"/>
    <cellStyle name="Normal 4 2 2 11 2 2 2 2 2" xfId="25061" xr:uid="{00000000-0005-0000-0000-0000E9610000}"/>
    <cellStyle name="Normal 4 2 2 11 2 2 2 3" xfId="22226" xr:uid="{00000000-0005-0000-0000-0000D6560000}"/>
    <cellStyle name="Normal 4 2 2 11 2 2 2 4" xfId="10321" xr:uid="{00000000-0005-0000-0000-000055280000}"/>
    <cellStyle name="Normal 4 2 2 11 2 2 3" xfId="17139" xr:uid="{00000000-0005-0000-0000-0000F7420000}"/>
    <cellStyle name="Normal 4 2 2 11 2 2 3 2" xfId="23796" xr:uid="{00000000-0005-0000-0000-0000F85C0000}"/>
    <cellStyle name="Normal 4 2 2 11 2 2 4" xfId="20664" xr:uid="{00000000-0005-0000-0000-0000BC500000}"/>
    <cellStyle name="Normal 4 2 2 11 2 2 5" xfId="8459" xr:uid="{00000000-0005-0000-0000-00000F210000}"/>
    <cellStyle name="Normal 4 2 2 11 2 3" xfId="3364" xr:uid="{00000000-0005-0000-0000-0000280D0000}"/>
    <cellStyle name="Normal 4 2 2 11 2 3 2" xfId="4406" xr:uid="{00000000-0005-0000-0000-00003A110000}"/>
    <cellStyle name="Normal 4 2 2 11 2 3 2 2" xfId="18868" xr:uid="{00000000-0005-0000-0000-0000B8490000}"/>
    <cellStyle name="Normal 4 2 2 11 2 3 2 2 2" xfId="25380" xr:uid="{00000000-0005-0000-0000-000028630000}"/>
    <cellStyle name="Normal 4 2 2 11 2 3 2 3" xfId="22545" xr:uid="{00000000-0005-0000-0000-000015580000}"/>
    <cellStyle name="Normal 4 2 2 11 2 3 2 4" xfId="10640" xr:uid="{00000000-0005-0000-0000-000094290000}"/>
    <cellStyle name="Normal 4 2 2 11 2 3 3" xfId="17550" xr:uid="{00000000-0005-0000-0000-000092440000}"/>
    <cellStyle name="Normal 4 2 2 11 2 3 3 2" xfId="24124" xr:uid="{00000000-0005-0000-0000-0000405E0000}"/>
    <cellStyle name="Normal 4 2 2 11 2 3 4" xfId="21289" xr:uid="{00000000-0005-0000-0000-00002D530000}"/>
    <cellStyle name="Normal 4 2 2 11 2 3 5" xfId="9310" xr:uid="{00000000-0005-0000-0000-000062240000}"/>
    <cellStyle name="Normal 4 2 2 11 2 4" xfId="3986" xr:uid="{00000000-0005-0000-0000-0000960F0000}"/>
    <cellStyle name="Normal 4 2 2 11 2 4 2" xfId="18131" xr:uid="{00000000-0005-0000-0000-0000D7460000}"/>
    <cellStyle name="Normal 4 2 2 11 2 4 2 2" xfId="24643" xr:uid="{00000000-0005-0000-0000-000047600000}"/>
    <cellStyle name="Normal 4 2 2 11 2 4 3" xfId="21808" xr:uid="{00000000-0005-0000-0000-000034550000}"/>
    <cellStyle name="Normal 4 2 2 11 2 4 4" xfId="9903" xr:uid="{00000000-0005-0000-0000-0000B3260000}"/>
    <cellStyle name="Normal 4 2 2 11 2 5" xfId="11081" xr:uid="{00000000-0005-0000-0000-00004D2B0000}"/>
    <cellStyle name="Normal 4 2 2 11 2 5 2" xfId="22971" xr:uid="{00000000-0005-0000-0000-0000BF590000}"/>
    <cellStyle name="Normal 4 2 2 11 2 6" xfId="20246" xr:uid="{00000000-0005-0000-0000-00001A4F0000}"/>
    <cellStyle name="Normal 4 2 2 11 2 7" xfId="8040" xr:uid="{00000000-0005-0000-0000-00006C1F0000}"/>
    <cellStyle name="Normal 4 2 2 11 3" xfId="3017" xr:uid="{00000000-0005-0000-0000-0000CD0B0000}"/>
    <cellStyle name="Normal 4 2 2 11 3 2" xfId="4091" xr:uid="{00000000-0005-0000-0000-0000FF0F0000}"/>
    <cellStyle name="Normal 4 2 2 11 3 2 2" xfId="10639" xr:uid="{00000000-0005-0000-0000-000093290000}"/>
    <cellStyle name="Normal 4 2 2 11 3 2 2 2" xfId="18867" xr:uid="{00000000-0005-0000-0000-0000B7490000}"/>
    <cellStyle name="Normal 4 2 2 11 3 2 2 2 2" xfId="25379" xr:uid="{00000000-0005-0000-0000-000027630000}"/>
    <cellStyle name="Normal 4 2 2 11 3 2 2 3" xfId="22544" xr:uid="{00000000-0005-0000-0000-000014580000}"/>
    <cellStyle name="Normal 4 2 2 11 3 2 3" xfId="17549" xr:uid="{00000000-0005-0000-0000-000091440000}"/>
    <cellStyle name="Normal 4 2 2 11 3 2 3 2" xfId="24123" xr:uid="{00000000-0005-0000-0000-00003F5E0000}"/>
    <cellStyle name="Normal 4 2 2 11 3 2 4" xfId="21288" xr:uid="{00000000-0005-0000-0000-00002C530000}"/>
    <cellStyle name="Normal 4 2 2 11 3 2 5" xfId="9309" xr:uid="{00000000-0005-0000-0000-000061240000}"/>
    <cellStyle name="Normal 4 2 2 11 3 3" xfId="10112" xr:uid="{00000000-0005-0000-0000-000084270000}"/>
    <cellStyle name="Normal 4 2 2 11 3 3 2" xfId="18340" xr:uid="{00000000-0005-0000-0000-0000A8470000}"/>
    <cellStyle name="Normal 4 2 2 11 3 3 2 2" xfId="24852" xr:uid="{00000000-0005-0000-0000-000018610000}"/>
    <cellStyle name="Normal 4 2 2 11 3 3 3" xfId="22017" xr:uid="{00000000-0005-0000-0000-000005560000}"/>
    <cellStyle name="Normal 4 2 2 11 3 4" xfId="16931" xr:uid="{00000000-0005-0000-0000-000027420000}"/>
    <cellStyle name="Normal 4 2 2 11 3 4 2" xfId="23588" xr:uid="{00000000-0005-0000-0000-0000285C0000}"/>
    <cellStyle name="Normal 4 2 2 11 3 5" xfId="20455" xr:uid="{00000000-0005-0000-0000-0000EB4F0000}"/>
    <cellStyle name="Normal 4 2 2 11 3 6" xfId="8250" xr:uid="{00000000-0005-0000-0000-00003E200000}"/>
    <cellStyle name="Normal 4 2 2 11 4" xfId="3243" xr:uid="{00000000-0005-0000-0000-0000AF0C0000}"/>
    <cellStyle name="Normal 4 2 2 11 4 2" xfId="4301" xr:uid="{00000000-0005-0000-0000-0000D1100000}"/>
    <cellStyle name="Normal 4 2 2 11 4 3" xfId="8768" xr:uid="{00000000-0005-0000-0000-000044220000}"/>
    <cellStyle name="Normal 4 2 2 11 5" xfId="3694" xr:uid="{00000000-0005-0000-0000-0000720E0000}"/>
    <cellStyle name="Normal 4 2 2 11 5 2" xfId="17922" xr:uid="{00000000-0005-0000-0000-000006460000}"/>
    <cellStyle name="Normal 4 2 2 11 5 2 2" xfId="24434" xr:uid="{00000000-0005-0000-0000-0000765F0000}"/>
    <cellStyle name="Normal 4 2 2 11 5 3" xfId="21599" xr:uid="{00000000-0005-0000-0000-000063540000}"/>
    <cellStyle name="Normal 4 2 2 11 5 4" xfId="9694" xr:uid="{00000000-0005-0000-0000-0000E2250000}"/>
    <cellStyle name="Normal 4 2 2 11 6" xfId="11080" xr:uid="{00000000-0005-0000-0000-00004C2B0000}"/>
    <cellStyle name="Normal 4 2 2 11 6 2" xfId="22970" xr:uid="{00000000-0005-0000-0000-0000BE590000}"/>
    <cellStyle name="Normal 4 2 2 11 7" xfId="20037" xr:uid="{00000000-0005-0000-0000-0000494E0000}"/>
    <cellStyle name="Normal 4 2 2 11 8" xfId="7801" xr:uid="{00000000-0005-0000-0000-00007D1E0000}"/>
    <cellStyle name="Normal 4 2 2 12" xfId="1159" xr:uid="{00000000-0005-0000-0000-00008B040000}"/>
    <cellStyle name="Normal 4 2 2 12 2" xfId="2304" xr:uid="{00000000-0005-0000-0000-000004090000}"/>
    <cellStyle name="Normal 4 2 2 12 2 2" xfId="3139" xr:uid="{00000000-0005-0000-0000-0000470C0000}"/>
    <cellStyle name="Normal 4 2 2 12 2 2 2" xfId="4197" xr:uid="{00000000-0005-0000-0000-000069100000}"/>
    <cellStyle name="Normal 4 2 2 12 2 2 2 2" xfId="18550" xr:uid="{00000000-0005-0000-0000-00007A480000}"/>
    <cellStyle name="Normal 4 2 2 12 2 2 2 2 2" xfId="25062" xr:uid="{00000000-0005-0000-0000-0000EA610000}"/>
    <cellStyle name="Normal 4 2 2 12 2 2 2 3" xfId="22227" xr:uid="{00000000-0005-0000-0000-0000D7560000}"/>
    <cellStyle name="Normal 4 2 2 12 2 2 2 4" xfId="10322" xr:uid="{00000000-0005-0000-0000-000056280000}"/>
    <cellStyle name="Normal 4 2 2 12 2 2 3" xfId="17140" xr:uid="{00000000-0005-0000-0000-0000F8420000}"/>
    <cellStyle name="Normal 4 2 2 12 2 2 3 2" xfId="23797" xr:uid="{00000000-0005-0000-0000-0000F95C0000}"/>
    <cellStyle name="Normal 4 2 2 12 2 2 4" xfId="20665" xr:uid="{00000000-0005-0000-0000-0000BD500000}"/>
    <cellStyle name="Normal 4 2 2 12 2 2 5" xfId="8460" xr:uid="{00000000-0005-0000-0000-000010210000}"/>
    <cellStyle name="Normal 4 2 2 12 2 3" xfId="3365" xr:uid="{00000000-0005-0000-0000-0000290D0000}"/>
    <cellStyle name="Normal 4 2 2 12 2 3 2" xfId="4407" xr:uid="{00000000-0005-0000-0000-00003B110000}"/>
    <cellStyle name="Normal 4 2 2 12 2 3 2 2" xfId="18870" xr:uid="{00000000-0005-0000-0000-0000BA490000}"/>
    <cellStyle name="Normal 4 2 2 12 2 3 2 2 2" xfId="25382" xr:uid="{00000000-0005-0000-0000-00002A630000}"/>
    <cellStyle name="Normal 4 2 2 12 2 3 2 3" xfId="22547" xr:uid="{00000000-0005-0000-0000-000017580000}"/>
    <cellStyle name="Normal 4 2 2 12 2 3 2 4" xfId="10642" xr:uid="{00000000-0005-0000-0000-000096290000}"/>
    <cellStyle name="Normal 4 2 2 12 2 3 3" xfId="17552" xr:uid="{00000000-0005-0000-0000-000094440000}"/>
    <cellStyle name="Normal 4 2 2 12 2 3 3 2" xfId="24126" xr:uid="{00000000-0005-0000-0000-0000425E0000}"/>
    <cellStyle name="Normal 4 2 2 12 2 3 4" xfId="21291" xr:uid="{00000000-0005-0000-0000-00002F530000}"/>
    <cellStyle name="Normal 4 2 2 12 2 3 5" xfId="9312" xr:uid="{00000000-0005-0000-0000-000064240000}"/>
    <cellStyle name="Normal 4 2 2 12 2 4" xfId="3987" xr:uid="{00000000-0005-0000-0000-0000970F0000}"/>
    <cellStyle name="Normal 4 2 2 12 2 4 2" xfId="18132" xr:uid="{00000000-0005-0000-0000-0000D8460000}"/>
    <cellStyle name="Normal 4 2 2 12 2 4 2 2" xfId="24644" xr:uid="{00000000-0005-0000-0000-000048600000}"/>
    <cellStyle name="Normal 4 2 2 12 2 4 3" xfId="21809" xr:uid="{00000000-0005-0000-0000-000035550000}"/>
    <cellStyle name="Normal 4 2 2 12 2 4 4" xfId="9904" xr:uid="{00000000-0005-0000-0000-0000B4260000}"/>
    <cellStyle name="Normal 4 2 2 12 2 5" xfId="11083" xr:uid="{00000000-0005-0000-0000-00004F2B0000}"/>
    <cellStyle name="Normal 4 2 2 12 2 5 2" xfId="22973" xr:uid="{00000000-0005-0000-0000-0000C1590000}"/>
    <cellStyle name="Normal 4 2 2 12 2 6" xfId="20247" xr:uid="{00000000-0005-0000-0000-00001B4F0000}"/>
    <cellStyle name="Normal 4 2 2 12 2 7" xfId="8041" xr:uid="{00000000-0005-0000-0000-00006D1F0000}"/>
    <cellStyle name="Normal 4 2 2 12 3" xfId="3018" xr:uid="{00000000-0005-0000-0000-0000CE0B0000}"/>
    <cellStyle name="Normal 4 2 2 12 3 2" xfId="4092" xr:uid="{00000000-0005-0000-0000-000000100000}"/>
    <cellStyle name="Normal 4 2 2 12 3 2 2" xfId="10641" xr:uid="{00000000-0005-0000-0000-000095290000}"/>
    <cellStyle name="Normal 4 2 2 12 3 2 2 2" xfId="18869" xr:uid="{00000000-0005-0000-0000-0000B9490000}"/>
    <cellStyle name="Normal 4 2 2 12 3 2 2 2 2" xfId="25381" xr:uid="{00000000-0005-0000-0000-000029630000}"/>
    <cellStyle name="Normal 4 2 2 12 3 2 2 3" xfId="22546" xr:uid="{00000000-0005-0000-0000-000016580000}"/>
    <cellStyle name="Normal 4 2 2 12 3 2 3" xfId="17551" xr:uid="{00000000-0005-0000-0000-000093440000}"/>
    <cellStyle name="Normal 4 2 2 12 3 2 3 2" xfId="24125" xr:uid="{00000000-0005-0000-0000-0000415E0000}"/>
    <cellStyle name="Normal 4 2 2 12 3 2 4" xfId="21290" xr:uid="{00000000-0005-0000-0000-00002E530000}"/>
    <cellStyle name="Normal 4 2 2 12 3 2 5" xfId="9311" xr:uid="{00000000-0005-0000-0000-000063240000}"/>
    <cellStyle name="Normal 4 2 2 12 3 3" xfId="10113" xr:uid="{00000000-0005-0000-0000-000085270000}"/>
    <cellStyle name="Normal 4 2 2 12 3 3 2" xfId="18341" xr:uid="{00000000-0005-0000-0000-0000A9470000}"/>
    <cellStyle name="Normal 4 2 2 12 3 3 2 2" xfId="24853" xr:uid="{00000000-0005-0000-0000-000019610000}"/>
    <cellStyle name="Normal 4 2 2 12 3 3 3" xfId="22018" xr:uid="{00000000-0005-0000-0000-000006560000}"/>
    <cellStyle name="Normal 4 2 2 12 3 4" xfId="16932" xr:uid="{00000000-0005-0000-0000-000028420000}"/>
    <cellStyle name="Normal 4 2 2 12 3 4 2" xfId="23589" xr:uid="{00000000-0005-0000-0000-0000295C0000}"/>
    <cellStyle name="Normal 4 2 2 12 3 5" xfId="20456" xr:uid="{00000000-0005-0000-0000-0000EC4F0000}"/>
    <cellStyle name="Normal 4 2 2 12 3 6" xfId="8251" xr:uid="{00000000-0005-0000-0000-00003F200000}"/>
    <cellStyle name="Normal 4 2 2 12 4" xfId="3244" xr:uid="{00000000-0005-0000-0000-0000B00C0000}"/>
    <cellStyle name="Normal 4 2 2 12 4 2" xfId="4302" xr:uid="{00000000-0005-0000-0000-0000D2100000}"/>
    <cellStyle name="Normal 4 2 2 12 4 3" xfId="8769" xr:uid="{00000000-0005-0000-0000-000045220000}"/>
    <cellStyle name="Normal 4 2 2 12 5" xfId="3695" xr:uid="{00000000-0005-0000-0000-0000730E0000}"/>
    <cellStyle name="Normal 4 2 2 12 5 2" xfId="17923" xr:uid="{00000000-0005-0000-0000-000007460000}"/>
    <cellStyle name="Normal 4 2 2 12 5 2 2" xfId="24435" xr:uid="{00000000-0005-0000-0000-0000775F0000}"/>
    <cellStyle name="Normal 4 2 2 12 5 3" xfId="21600" xr:uid="{00000000-0005-0000-0000-000064540000}"/>
    <cellStyle name="Normal 4 2 2 12 5 4" xfId="9695" xr:uid="{00000000-0005-0000-0000-0000E3250000}"/>
    <cellStyle name="Normal 4 2 2 12 6" xfId="11082" xr:uid="{00000000-0005-0000-0000-00004E2B0000}"/>
    <cellStyle name="Normal 4 2 2 12 6 2" xfId="22972" xr:uid="{00000000-0005-0000-0000-0000C0590000}"/>
    <cellStyle name="Normal 4 2 2 12 7" xfId="20038" xr:uid="{00000000-0005-0000-0000-00004A4E0000}"/>
    <cellStyle name="Normal 4 2 2 12 8" xfId="7802" xr:uid="{00000000-0005-0000-0000-00007E1E0000}"/>
    <cellStyle name="Normal 4 2 2 13" xfId="1160" xr:uid="{00000000-0005-0000-0000-00008C040000}"/>
    <cellStyle name="Normal 4 2 2 13 2" xfId="2305" xr:uid="{00000000-0005-0000-0000-000005090000}"/>
    <cellStyle name="Normal 4 2 2 13 2 2" xfId="3140" xr:uid="{00000000-0005-0000-0000-0000480C0000}"/>
    <cellStyle name="Normal 4 2 2 13 2 2 2" xfId="4198" xr:uid="{00000000-0005-0000-0000-00006A100000}"/>
    <cellStyle name="Normal 4 2 2 13 2 2 2 2" xfId="18551" xr:uid="{00000000-0005-0000-0000-00007B480000}"/>
    <cellStyle name="Normal 4 2 2 13 2 2 2 2 2" xfId="25063" xr:uid="{00000000-0005-0000-0000-0000EB610000}"/>
    <cellStyle name="Normal 4 2 2 13 2 2 2 3" xfId="22228" xr:uid="{00000000-0005-0000-0000-0000D8560000}"/>
    <cellStyle name="Normal 4 2 2 13 2 2 2 4" xfId="10323" xr:uid="{00000000-0005-0000-0000-000057280000}"/>
    <cellStyle name="Normal 4 2 2 13 2 2 3" xfId="17141" xr:uid="{00000000-0005-0000-0000-0000F9420000}"/>
    <cellStyle name="Normal 4 2 2 13 2 2 3 2" xfId="23798" xr:uid="{00000000-0005-0000-0000-0000FA5C0000}"/>
    <cellStyle name="Normal 4 2 2 13 2 2 4" xfId="20666" xr:uid="{00000000-0005-0000-0000-0000BE500000}"/>
    <cellStyle name="Normal 4 2 2 13 2 2 5" xfId="8461" xr:uid="{00000000-0005-0000-0000-000011210000}"/>
    <cellStyle name="Normal 4 2 2 13 2 3" xfId="3366" xr:uid="{00000000-0005-0000-0000-00002A0D0000}"/>
    <cellStyle name="Normal 4 2 2 13 2 3 2" xfId="4408" xr:uid="{00000000-0005-0000-0000-00003C110000}"/>
    <cellStyle name="Normal 4 2 2 13 2 3 2 2" xfId="18872" xr:uid="{00000000-0005-0000-0000-0000BC490000}"/>
    <cellStyle name="Normal 4 2 2 13 2 3 2 2 2" xfId="25384" xr:uid="{00000000-0005-0000-0000-00002C630000}"/>
    <cellStyle name="Normal 4 2 2 13 2 3 2 3" xfId="22549" xr:uid="{00000000-0005-0000-0000-000019580000}"/>
    <cellStyle name="Normal 4 2 2 13 2 3 2 4" xfId="10644" xr:uid="{00000000-0005-0000-0000-000098290000}"/>
    <cellStyle name="Normal 4 2 2 13 2 3 3" xfId="17554" xr:uid="{00000000-0005-0000-0000-000096440000}"/>
    <cellStyle name="Normal 4 2 2 13 2 3 3 2" xfId="24128" xr:uid="{00000000-0005-0000-0000-0000445E0000}"/>
    <cellStyle name="Normal 4 2 2 13 2 3 4" xfId="21293" xr:uid="{00000000-0005-0000-0000-000031530000}"/>
    <cellStyle name="Normal 4 2 2 13 2 3 5" xfId="9314" xr:uid="{00000000-0005-0000-0000-000066240000}"/>
    <cellStyle name="Normal 4 2 2 13 2 4" xfId="3988" xr:uid="{00000000-0005-0000-0000-0000980F0000}"/>
    <cellStyle name="Normal 4 2 2 13 2 4 2" xfId="18133" xr:uid="{00000000-0005-0000-0000-0000D9460000}"/>
    <cellStyle name="Normal 4 2 2 13 2 4 2 2" xfId="24645" xr:uid="{00000000-0005-0000-0000-000049600000}"/>
    <cellStyle name="Normal 4 2 2 13 2 4 3" xfId="21810" xr:uid="{00000000-0005-0000-0000-000036550000}"/>
    <cellStyle name="Normal 4 2 2 13 2 4 4" xfId="9905" xr:uid="{00000000-0005-0000-0000-0000B5260000}"/>
    <cellStyle name="Normal 4 2 2 13 2 5" xfId="11085" xr:uid="{00000000-0005-0000-0000-0000512B0000}"/>
    <cellStyle name="Normal 4 2 2 13 2 5 2" xfId="22975" xr:uid="{00000000-0005-0000-0000-0000C3590000}"/>
    <cellStyle name="Normal 4 2 2 13 2 6" xfId="20248" xr:uid="{00000000-0005-0000-0000-00001C4F0000}"/>
    <cellStyle name="Normal 4 2 2 13 2 7" xfId="8042" xr:uid="{00000000-0005-0000-0000-00006E1F0000}"/>
    <cellStyle name="Normal 4 2 2 13 3" xfId="3019" xr:uid="{00000000-0005-0000-0000-0000CF0B0000}"/>
    <cellStyle name="Normal 4 2 2 13 3 2" xfId="4093" xr:uid="{00000000-0005-0000-0000-000001100000}"/>
    <cellStyle name="Normal 4 2 2 13 3 2 2" xfId="10643" xr:uid="{00000000-0005-0000-0000-000097290000}"/>
    <cellStyle name="Normal 4 2 2 13 3 2 2 2" xfId="18871" xr:uid="{00000000-0005-0000-0000-0000BB490000}"/>
    <cellStyle name="Normal 4 2 2 13 3 2 2 2 2" xfId="25383" xr:uid="{00000000-0005-0000-0000-00002B630000}"/>
    <cellStyle name="Normal 4 2 2 13 3 2 2 3" xfId="22548" xr:uid="{00000000-0005-0000-0000-000018580000}"/>
    <cellStyle name="Normal 4 2 2 13 3 2 3" xfId="17553" xr:uid="{00000000-0005-0000-0000-000095440000}"/>
    <cellStyle name="Normal 4 2 2 13 3 2 3 2" xfId="24127" xr:uid="{00000000-0005-0000-0000-0000435E0000}"/>
    <cellStyle name="Normal 4 2 2 13 3 2 4" xfId="21292" xr:uid="{00000000-0005-0000-0000-000030530000}"/>
    <cellStyle name="Normal 4 2 2 13 3 2 5" xfId="9313" xr:uid="{00000000-0005-0000-0000-000065240000}"/>
    <cellStyle name="Normal 4 2 2 13 3 3" xfId="10114" xr:uid="{00000000-0005-0000-0000-000086270000}"/>
    <cellStyle name="Normal 4 2 2 13 3 3 2" xfId="18342" xr:uid="{00000000-0005-0000-0000-0000AA470000}"/>
    <cellStyle name="Normal 4 2 2 13 3 3 2 2" xfId="24854" xr:uid="{00000000-0005-0000-0000-00001A610000}"/>
    <cellStyle name="Normal 4 2 2 13 3 3 3" xfId="22019" xr:uid="{00000000-0005-0000-0000-000007560000}"/>
    <cellStyle name="Normal 4 2 2 13 3 4" xfId="16933" xr:uid="{00000000-0005-0000-0000-000029420000}"/>
    <cellStyle name="Normal 4 2 2 13 3 4 2" xfId="23590" xr:uid="{00000000-0005-0000-0000-00002A5C0000}"/>
    <cellStyle name="Normal 4 2 2 13 3 5" xfId="20457" xr:uid="{00000000-0005-0000-0000-0000ED4F0000}"/>
    <cellStyle name="Normal 4 2 2 13 3 6" xfId="8252" xr:uid="{00000000-0005-0000-0000-000040200000}"/>
    <cellStyle name="Normal 4 2 2 13 4" xfId="3245" xr:uid="{00000000-0005-0000-0000-0000B10C0000}"/>
    <cellStyle name="Normal 4 2 2 13 4 2" xfId="4303" xr:uid="{00000000-0005-0000-0000-0000D3100000}"/>
    <cellStyle name="Normal 4 2 2 13 4 3" xfId="8770" xr:uid="{00000000-0005-0000-0000-000046220000}"/>
    <cellStyle name="Normal 4 2 2 13 5" xfId="3696" xr:uid="{00000000-0005-0000-0000-0000740E0000}"/>
    <cellStyle name="Normal 4 2 2 13 5 2" xfId="17924" xr:uid="{00000000-0005-0000-0000-000008460000}"/>
    <cellStyle name="Normal 4 2 2 13 5 2 2" xfId="24436" xr:uid="{00000000-0005-0000-0000-0000785F0000}"/>
    <cellStyle name="Normal 4 2 2 13 5 3" xfId="21601" xr:uid="{00000000-0005-0000-0000-000065540000}"/>
    <cellStyle name="Normal 4 2 2 13 5 4" xfId="9696" xr:uid="{00000000-0005-0000-0000-0000E4250000}"/>
    <cellStyle name="Normal 4 2 2 13 6" xfId="11084" xr:uid="{00000000-0005-0000-0000-0000502B0000}"/>
    <cellStyle name="Normal 4 2 2 13 6 2" xfId="22974" xr:uid="{00000000-0005-0000-0000-0000C2590000}"/>
    <cellStyle name="Normal 4 2 2 13 7" xfId="20039" xr:uid="{00000000-0005-0000-0000-00004B4E0000}"/>
    <cellStyle name="Normal 4 2 2 13 8" xfId="7803" xr:uid="{00000000-0005-0000-0000-00007F1E0000}"/>
    <cellStyle name="Normal 4 2 2 14" xfId="2301" xr:uid="{00000000-0005-0000-0000-000001090000}"/>
    <cellStyle name="Normal 4 2 2 14 2" xfId="8365" xr:uid="{00000000-0005-0000-0000-0000B1200000}"/>
    <cellStyle name="Normal 4 2 2 14 2 2" xfId="10227" xr:uid="{00000000-0005-0000-0000-0000F7270000}"/>
    <cellStyle name="Normal 4 2 2 14 2 2 2" xfId="18455" xr:uid="{00000000-0005-0000-0000-00001B480000}"/>
    <cellStyle name="Normal 4 2 2 14 2 2 2 2" xfId="24967" xr:uid="{00000000-0005-0000-0000-00008B610000}"/>
    <cellStyle name="Normal 4 2 2 14 2 2 3" xfId="22132" xr:uid="{00000000-0005-0000-0000-000078560000}"/>
    <cellStyle name="Normal 4 2 2 14 2 3" xfId="17045" xr:uid="{00000000-0005-0000-0000-000099420000}"/>
    <cellStyle name="Normal 4 2 2 14 2 3 2" xfId="23702" xr:uid="{00000000-0005-0000-0000-00009A5C0000}"/>
    <cellStyle name="Normal 4 2 2 14 2 4" xfId="20570" xr:uid="{00000000-0005-0000-0000-00005E500000}"/>
    <cellStyle name="Normal 4 2 2 14 3" xfId="9315" xr:uid="{00000000-0005-0000-0000-000067240000}"/>
    <cellStyle name="Normal 4 2 2 14 3 2" xfId="10645" xr:uid="{00000000-0005-0000-0000-000099290000}"/>
    <cellStyle name="Normal 4 2 2 14 3 2 2" xfId="18873" xr:uid="{00000000-0005-0000-0000-0000BD490000}"/>
    <cellStyle name="Normal 4 2 2 14 3 2 2 2" xfId="25385" xr:uid="{00000000-0005-0000-0000-00002D630000}"/>
    <cellStyle name="Normal 4 2 2 14 3 2 3" xfId="22550" xr:uid="{00000000-0005-0000-0000-00001A580000}"/>
    <cellStyle name="Normal 4 2 2 14 3 3" xfId="17555" xr:uid="{00000000-0005-0000-0000-000097440000}"/>
    <cellStyle name="Normal 4 2 2 14 3 3 2" xfId="24129" xr:uid="{00000000-0005-0000-0000-0000455E0000}"/>
    <cellStyle name="Normal 4 2 2 14 3 4" xfId="21294" xr:uid="{00000000-0005-0000-0000-000032530000}"/>
    <cellStyle name="Normal 4 2 2 14 4" xfId="9809" xr:uid="{00000000-0005-0000-0000-000055260000}"/>
    <cellStyle name="Normal 4 2 2 14 4 2" xfId="18037" xr:uid="{00000000-0005-0000-0000-000079460000}"/>
    <cellStyle name="Normal 4 2 2 14 4 2 2" xfId="24549" xr:uid="{00000000-0005-0000-0000-0000E95F0000}"/>
    <cellStyle name="Normal 4 2 2 14 4 3" xfId="21714" xr:uid="{00000000-0005-0000-0000-0000D6540000}"/>
    <cellStyle name="Normal 4 2 2 14 5" xfId="11086" xr:uid="{00000000-0005-0000-0000-0000522B0000}"/>
    <cellStyle name="Normal 4 2 2 14 5 2" xfId="22976" xr:uid="{00000000-0005-0000-0000-0000C4590000}"/>
    <cellStyle name="Normal 4 2 2 14 6" xfId="20152" xr:uid="{00000000-0005-0000-0000-0000BC4E0000}"/>
    <cellStyle name="Normal 4 2 2 14 7" xfId="7946" xr:uid="{00000000-0005-0000-0000-00000E1F0000}"/>
    <cellStyle name="Normal 4 2 2 15" xfId="8156" xr:uid="{00000000-0005-0000-0000-0000E01F0000}"/>
    <cellStyle name="Normal 4 2 2 15 2" xfId="9306" xr:uid="{00000000-0005-0000-0000-00005E240000}"/>
    <cellStyle name="Normal 4 2 2 15 2 2" xfId="10636" xr:uid="{00000000-0005-0000-0000-000090290000}"/>
    <cellStyle name="Normal 4 2 2 15 2 2 2" xfId="18864" xr:uid="{00000000-0005-0000-0000-0000B4490000}"/>
    <cellStyle name="Normal 4 2 2 15 2 2 2 2" xfId="25376" xr:uid="{00000000-0005-0000-0000-000024630000}"/>
    <cellStyle name="Normal 4 2 2 15 2 2 3" xfId="22541" xr:uid="{00000000-0005-0000-0000-000011580000}"/>
    <cellStyle name="Normal 4 2 2 15 2 3" xfId="17546" xr:uid="{00000000-0005-0000-0000-00008E440000}"/>
    <cellStyle name="Normal 4 2 2 15 2 3 2" xfId="24120" xr:uid="{00000000-0005-0000-0000-00003C5E0000}"/>
    <cellStyle name="Normal 4 2 2 15 2 4" xfId="21285" xr:uid="{00000000-0005-0000-0000-000029530000}"/>
    <cellStyle name="Normal 4 2 2 15 3" xfId="10018" xr:uid="{00000000-0005-0000-0000-000026270000}"/>
    <cellStyle name="Normal 4 2 2 15 3 2" xfId="18246" xr:uid="{00000000-0005-0000-0000-00004A470000}"/>
    <cellStyle name="Normal 4 2 2 15 3 2 2" xfId="24758" xr:uid="{00000000-0005-0000-0000-0000BA600000}"/>
    <cellStyle name="Normal 4 2 2 15 3 3" xfId="21923" xr:uid="{00000000-0005-0000-0000-0000A7550000}"/>
    <cellStyle name="Normal 4 2 2 15 4" xfId="16843" xr:uid="{00000000-0005-0000-0000-0000CF410000}"/>
    <cellStyle name="Normal 4 2 2 15 4 2" xfId="23502" xr:uid="{00000000-0005-0000-0000-0000D25B0000}"/>
    <cellStyle name="Normal 4 2 2 15 5" xfId="20361" xr:uid="{00000000-0005-0000-0000-00008D4F0000}"/>
    <cellStyle name="Normal 4 2 2 16" xfId="9600" xr:uid="{00000000-0005-0000-0000-000084250000}"/>
    <cellStyle name="Normal 4 2 2 16 2" xfId="17828" xr:uid="{00000000-0005-0000-0000-0000A8450000}"/>
    <cellStyle name="Normal 4 2 2 16 2 2" xfId="24340" xr:uid="{00000000-0005-0000-0000-0000185F0000}"/>
    <cellStyle name="Normal 4 2 2 16 3" xfId="21505" xr:uid="{00000000-0005-0000-0000-000005540000}"/>
    <cellStyle name="Normal 4 2 2 17" xfId="19717" xr:uid="{00000000-0005-0000-0000-0000094D0000}"/>
    <cellStyle name="Normal 4 2 2 18" xfId="6418" xr:uid="{00000000-0005-0000-0000-000016190000}"/>
    <cellStyle name="Normal 4 2 2 2" xfId="1161" xr:uid="{00000000-0005-0000-0000-00008D040000}"/>
    <cellStyle name="Normal 4 2 2 2 10" xfId="1162" xr:uid="{00000000-0005-0000-0000-00008E040000}"/>
    <cellStyle name="Normal 4 2 2 2 10 2" xfId="2307" xr:uid="{00000000-0005-0000-0000-000007090000}"/>
    <cellStyle name="Normal 4 2 2 2 11" xfId="1163" xr:uid="{00000000-0005-0000-0000-00008F040000}"/>
    <cellStyle name="Normal 4 2 2 2 11 2" xfId="2308" xr:uid="{00000000-0005-0000-0000-000008090000}"/>
    <cellStyle name="Normal 4 2 2 2 12" xfId="1164" xr:uid="{00000000-0005-0000-0000-000090040000}"/>
    <cellStyle name="Normal 4 2 2 2 12 2" xfId="2309" xr:uid="{00000000-0005-0000-0000-000009090000}"/>
    <cellStyle name="Normal 4 2 2 2 13" xfId="1165" xr:uid="{00000000-0005-0000-0000-000091040000}"/>
    <cellStyle name="Normal 4 2 2 2 13 2" xfId="2310" xr:uid="{00000000-0005-0000-0000-00000A090000}"/>
    <cellStyle name="Normal 4 2 2 2 14" xfId="2306" xr:uid="{00000000-0005-0000-0000-000006090000}"/>
    <cellStyle name="Normal 4 2 2 2 14 2" xfId="3141" xr:uid="{00000000-0005-0000-0000-0000490C0000}"/>
    <cellStyle name="Normal 4 2 2 2 14 2 2" xfId="4199" xr:uid="{00000000-0005-0000-0000-00006B100000}"/>
    <cellStyle name="Normal 4 2 2 2 14 2 2 2" xfId="10324" xr:uid="{00000000-0005-0000-0000-000058280000}"/>
    <cellStyle name="Normal 4 2 2 2 14 2 2 2 2" xfId="18552" xr:uid="{00000000-0005-0000-0000-00007C480000}"/>
    <cellStyle name="Normal 4 2 2 2 14 2 2 2 2 2" xfId="25064" xr:uid="{00000000-0005-0000-0000-0000EC610000}"/>
    <cellStyle name="Normal 4 2 2 2 14 2 2 2 3" xfId="22229" xr:uid="{00000000-0005-0000-0000-0000D9560000}"/>
    <cellStyle name="Normal 4 2 2 2 14 2 2 3" xfId="17142" xr:uid="{00000000-0005-0000-0000-0000FA420000}"/>
    <cellStyle name="Normal 4 2 2 2 14 2 2 3 2" xfId="23799" xr:uid="{00000000-0005-0000-0000-0000FB5C0000}"/>
    <cellStyle name="Normal 4 2 2 2 14 2 2 4" xfId="20667" xr:uid="{00000000-0005-0000-0000-0000BF500000}"/>
    <cellStyle name="Normal 4 2 2 2 14 2 2 5" xfId="8462" xr:uid="{00000000-0005-0000-0000-000012210000}"/>
    <cellStyle name="Normal 4 2 2 2 14 2 3" xfId="9317" xr:uid="{00000000-0005-0000-0000-000069240000}"/>
    <cellStyle name="Normal 4 2 2 2 14 2 3 2" xfId="10647" xr:uid="{00000000-0005-0000-0000-00009B290000}"/>
    <cellStyle name="Normal 4 2 2 2 14 2 3 2 2" xfId="18875" xr:uid="{00000000-0005-0000-0000-0000BF490000}"/>
    <cellStyle name="Normal 4 2 2 2 14 2 3 2 2 2" xfId="25387" xr:uid="{00000000-0005-0000-0000-00002F630000}"/>
    <cellStyle name="Normal 4 2 2 2 14 2 3 2 3" xfId="22552" xr:uid="{00000000-0005-0000-0000-00001C580000}"/>
    <cellStyle name="Normal 4 2 2 2 14 2 3 3" xfId="17557" xr:uid="{00000000-0005-0000-0000-000099440000}"/>
    <cellStyle name="Normal 4 2 2 2 14 2 3 3 2" xfId="24131" xr:uid="{00000000-0005-0000-0000-0000475E0000}"/>
    <cellStyle name="Normal 4 2 2 2 14 2 3 4" xfId="21296" xr:uid="{00000000-0005-0000-0000-000034530000}"/>
    <cellStyle name="Normal 4 2 2 2 14 2 4" xfId="9906" xr:uid="{00000000-0005-0000-0000-0000B6260000}"/>
    <cellStyle name="Normal 4 2 2 2 14 2 4 2" xfId="18134" xr:uid="{00000000-0005-0000-0000-0000DA460000}"/>
    <cellStyle name="Normal 4 2 2 2 14 2 4 2 2" xfId="24646" xr:uid="{00000000-0005-0000-0000-00004A600000}"/>
    <cellStyle name="Normal 4 2 2 2 14 2 4 3" xfId="21811" xr:uid="{00000000-0005-0000-0000-000037550000}"/>
    <cellStyle name="Normal 4 2 2 2 14 2 5" xfId="11089" xr:uid="{00000000-0005-0000-0000-0000552B0000}"/>
    <cellStyle name="Normal 4 2 2 2 14 2 5 2" xfId="22979" xr:uid="{00000000-0005-0000-0000-0000C7590000}"/>
    <cellStyle name="Normal 4 2 2 2 14 2 6" xfId="20249" xr:uid="{00000000-0005-0000-0000-00001D4F0000}"/>
    <cellStyle name="Normal 4 2 2 2 14 2 7" xfId="8043" xr:uid="{00000000-0005-0000-0000-00006F1F0000}"/>
    <cellStyle name="Normal 4 2 2 2 14 3" xfId="3367" xr:uid="{00000000-0005-0000-0000-00002B0D0000}"/>
    <cellStyle name="Normal 4 2 2 2 14 3 2" xfId="4409" xr:uid="{00000000-0005-0000-0000-00003D110000}"/>
    <cellStyle name="Normal 4 2 2 2 14 3 2 2" xfId="18343" xr:uid="{00000000-0005-0000-0000-0000AB470000}"/>
    <cellStyle name="Normal 4 2 2 2 14 3 2 2 2" xfId="24855" xr:uid="{00000000-0005-0000-0000-00001B610000}"/>
    <cellStyle name="Normal 4 2 2 2 14 3 2 3" xfId="22020" xr:uid="{00000000-0005-0000-0000-000008560000}"/>
    <cellStyle name="Normal 4 2 2 2 14 3 2 4" xfId="10115" xr:uid="{00000000-0005-0000-0000-000087270000}"/>
    <cellStyle name="Normal 4 2 2 2 14 3 3" xfId="16934" xr:uid="{00000000-0005-0000-0000-00002A420000}"/>
    <cellStyle name="Normal 4 2 2 2 14 3 3 2" xfId="23591" xr:uid="{00000000-0005-0000-0000-00002B5C0000}"/>
    <cellStyle name="Normal 4 2 2 2 14 3 4" xfId="20458" xr:uid="{00000000-0005-0000-0000-0000EE4F0000}"/>
    <cellStyle name="Normal 4 2 2 2 14 3 5" xfId="8253" xr:uid="{00000000-0005-0000-0000-000041200000}"/>
    <cellStyle name="Normal 4 2 2 2 14 4" xfId="3989" xr:uid="{00000000-0005-0000-0000-0000990F0000}"/>
    <cellStyle name="Normal 4 2 2 2 14 4 2" xfId="10646" xr:uid="{00000000-0005-0000-0000-00009A290000}"/>
    <cellStyle name="Normal 4 2 2 2 14 4 2 2" xfId="18874" xr:uid="{00000000-0005-0000-0000-0000BE490000}"/>
    <cellStyle name="Normal 4 2 2 2 14 4 2 2 2" xfId="25386" xr:uid="{00000000-0005-0000-0000-00002E630000}"/>
    <cellStyle name="Normal 4 2 2 2 14 4 2 3" xfId="22551" xr:uid="{00000000-0005-0000-0000-00001B580000}"/>
    <cellStyle name="Normal 4 2 2 2 14 4 3" xfId="17556" xr:uid="{00000000-0005-0000-0000-000098440000}"/>
    <cellStyle name="Normal 4 2 2 2 14 4 3 2" xfId="24130" xr:uid="{00000000-0005-0000-0000-0000465E0000}"/>
    <cellStyle name="Normal 4 2 2 2 14 4 4" xfId="21295" xr:uid="{00000000-0005-0000-0000-000033530000}"/>
    <cellStyle name="Normal 4 2 2 2 14 4 5" xfId="9316" xr:uid="{00000000-0005-0000-0000-000068240000}"/>
    <cellStyle name="Normal 4 2 2 2 14 5" xfId="9697" xr:uid="{00000000-0005-0000-0000-0000E5250000}"/>
    <cellStyle name="Normal 4 2 2 2 14 5 2" xfId="17925" xr:uid="{00000000-0005-0000-0000-000009460000}"/>
    <cellStyle name="Normal 4 2 2 2 14 5 2 2" xfId="24437" xr:uid="{00000000-0005-0000-0000-0000795F0000}"/>
    <cellStyle name="Normal 4 2 2 2 14 5 3" xfId="21602" xr:uid="{00000000-0005-0000-0000-000066540000}"/>
    <cellStyle name="Normal 4 2 2 2 14 6" xfId="11088" xr:uid="{00000000-0005-0000-0000-0000542B0000}"/>
    <cellStyle name="Normal 4 2 2 2 14 6 2" xfId="22978" xr:uid="{00000000-0005-0000-0000-0000C6590000}"/>
    <cellStyle name="Normal 4 2 2 2 14 7" xfId="20040" xr:uid="{00000000-0005-0000-0000-00004C4E0000}"/>
    <cellStyle name="Normal 4 2 2 2 14 8" xfId="7804" xr:uid="{00000000-0005-0000-0000-0000801E0000}"/>
    <cellStyle name="Normal 4 2 2 2 15" xfId="3020" xr:uid="{00000000-0005-0000-0000-0000D00B0000}"/>
    <cellStyle name="Normal 4 2 2 2 15 2" xfId="4094" xr:uid="{00000000-0005-0000-0000-000002100000}"/>
    <cellStyle name="Normal 4 2 2 2 15 3" xfId="8771" xr:uid="{00000000-0005-0000-0000-000047220000}"/>
    <cellStyle name="Normal 4 2 2 2 16" xfId="3246" xr:uid="{00000000-0005-0000-0000-0000B20C0000}"/>
    <cellStyle name="Normal 4 2 2 2 16 2" xfId="4304" xr:uid="{00000000-0005-0000-0000-0000D4100000}"/>
    <cellStyle name="Normal 4 2 2 2 16 2 2" xfId="22977" xr:uid="{00000000-0005-0000-0000-0000C5590000}"/>
    <cellStyle name="Normal 4 2 2 2 16 3" xfId="11087" xr:uid="{00000000-0005-0000-0000-0000532B0000}"/>
    <cellStyle name="Normal 4 2 2 2 17" xfId="3697" xr:uid="{00000000-0005-0000-0000-0000750E0000}"/>
    <cellStyle name="Normal 4 2 2 2 2" xfId="1166" xr:uid="{00000000-0005-0000-0000-000092040000}"/>
    <cellStyle name="Normal 4 2 2 2 2 2" xfId="2311" xr:uid="{00000000-0005-0000-0000-00000B090000}"/>
    <cellStyle name="Normal 4 2 2 2 3" xfId="1167" xr:uid="{00000000-0005-0000-0000-000093040000}"/>
    <cellStyle name="Normal 4 2 2 2 3 2" xfId="2312" xr:uid="{00000000-0005-0000-0000-00000C090000}"/>
    <cellStyle name="Normal 4 2 2 2 4" xfId="1168" xr:uid="{00000000-0005-0000-0000-000094040000}"/>
    <cellStyle name="Normal 4 2 2 2 4 2" xfId="2313" xr:uid="{00000000-0005-0000-0000-00000D090000}"/>
    <cellStyle name="Normal 4 2 2 2 5" xfId="1169" xr:uid="{00000000-0005-0000-0000-000095040000}"/>
    <cellStyle name="Normal 4 2 2 2 5 2" xfId="2314" xr:uid="{00000000-0005-0000-0000-00000E090000}"/>
    <cellStyle name="Normal 4 2 2 2 6" xfId="1170" xr:uid="{00000000-0005-0000-0000-000096040000}"/>
    <cellStyle name="Normal 4 2 2 2 6 2" xfId="2315" xr:uid="{00000000-0005-0000-0000-00000F090000}"/>
    <cellStyle name="Normal 4 2 2 2 7" xfId="1171" xr:uid="{00000000-0005-0000-0000-000097040000}"/>
    <cellStyle name="Normal 4 2 2 2 7 2" xfId="2316" xr:uid="{00000000-0005-0000-0000-000010090000}"/>
    <cellStyle name="Normal 4 2 2 2 8" xfId="1172" xr:uid="{00000000-0005-0000-0000-000098040000}"/>
    <cellStyle name="Normal 4 2 2 2 8 2" xfId="2317" xr:uid="{00000000-0005-0000-0000-000011090000}"/>
    <cellStyle name="Normal 4 2 2 2 9" xfId="1173" xr:uid="{00000000-0005-0000-0000-000099040000}"/>
    <cellStyle name="Normal 4 2 2 2 9 2" xfId="2318" xr:uid="{00000000-0005-0000-0000-000012090000}"/>
    <cellStyle name="Normal 4 2 2 3" xfId="1174" xr:uid="{00000000-0005-0000-0000-00009A040000}"/>
    <cellStyle name="Normal 4 2 2 3 2" xfId="2319" xr:uid="{00000000-0005-0000-0000-000013090000}"/>
    <cellStyle name="Normal 4 2 2 3 2 2" xfId="3142" xr:uid="{00000000-0005-0000-0000-00004A0C0000}"/>
    <cellStyle name="Normal 4 2 2 3 2 2 2" xfId="4200" xr:uid="{00000000-0005-0000-0000-00006C100000}"/>
    <cellStyle name="Normal 4 2 2 3 2 2 2 2" xfId="18553" xr:uid="{00000000-0005-0000-0000-00007D480000}"/>
    <cellStyle name="Normal 4 2 2 3 2 2 2 2 2" xfId="25065" xr:uid="{00000000-0005-0000-0000-0000ED610000}"/>
    <cellStyle name="Normal 4 2 2 3 2 2 2 3" xfId="22230" xr:uid="{00000000-0005-0000-0000-0000DA560000}"/>
    <cellStyle name="Normal 4 2 2 3 2 2 2 4" xfId="10325" xr:uid="{00000000-0005-0000-0000-000059280000}"/>
    <cellStyle name="Normal 4 2 2 3 2 2 3" xfId="17143" xr:uid="{00000000-0005-0000-0000-0000FB420000}"/>
    <cellStyle name="Normal 4 2 2 3 2 2 3 2" xfId="23800" xr:uid="{00000000-0005-0000-0000-0000FC5C0000}"/>
    <cellStyle name="Normal 4 2 2 3 2 2 4" xfId="20668" xr:uid="{00000000-0005-0000-0000-0000C0500000}"/>
    <cellStyle name="Normal 4 2 2 3 2 2 5" xfId="8463" xr:uid="{00000000-0005-0000-0000-000013210000}"/>
    <cellStyle name="Normal 4 2 2 3 2 3" xfId="3368" xr:uid="{00000000-0005-0000-0000-00002C0D0000}"/>
    <cellStyle name="Normal 4 2 2 3 2 3 2" xfId="4410" xr:uid="{00000000-0005-0000-0000-00003E110000}"/>
    <cellStyle name="Normal 4 2 2 3 2 3 2 2" xfId="18877" xr:uid="{00000000-0005-0000-0000-0000C1490000}"/>
    <cellStyle name="Normal 4 2 2 3 2 3 2 2 2" xfId="25389" xr:uid="{00000000-0005-0000-0000-000031630000}"/>
    <cellStyle name="Normal 4 2 2 3 2 3 2 3" xfId="22554" xr:uid="{00000000-0005-0000-0000-00001E580000}"/>
    <cellStyle name="Normal 4 2 2 3 2 3 2 4" xfId="10649" xr:uid="{00000000-0005-0000-0000-00009D290000}"/>
    <cellStyle name="Normal 4 2 2 3 2 3 3" xfId="17559" xr:uid="{00000000-0005-0000-0000-00009B440000}"/>
    <cellStyle name="Normal 4 2 2 3 2 3 3 2" xfId="24133" xr:uid="{00000000-0005-0000-0000-0000495E0000}"/>
    <cellStyle name="Normal 4 2 2 3 2 3 4" xfId="21298" xr:uid="{00000000-0005-0000-0000-000036530000}"/>
    <cellStyle name="Normal 4 2 2 3 2 3 5" xfId="9319" xr:uid="{00000000-0005-0000-0000-00006B240000}"/>
    <cellStyle name="Normal 4 2 2 3 2 4" xfId="3990" xr:uid="{00000000-0005-0000-0000-00009A0F0000}"/>
    <cellStyle name="Normal 4 2 2 3 2 4 2" xfId="18135" xr:uid="{00000000-0005-0000-0000-0000DB460000}"/>
    <cellStyle name="Normal 4 2 2 3 2 4 2 2" xfId="24647" xr:uid="{00000000-0005-0000-0000-00004B600000}"/>
    <cellStyle name="Normal 4 2 2 3 2 4 3" xfId="21812" xr:uid="{00000000-0005-0000-0000-000038550000}"/>
    <cellStyle name="Normal 4 2 2 3 2 4 4" xfId="9907" xr:uid="{00000000-0005-0000-0000-0000B7260000}"/>
    <cellStyle name="Normal 4 2 2 3 2 5" xfId="11091" xr:uid="{00000000-0005-0000-0000-0000572B0000}"/>
    <cellStyle name="Normal 4 2 2 3 2 5 2" xfId="22981" xr:uid="{00000000-0005-0000-0000-0000C9590000}"/>
    <cellStyle name="Normal 4 2 2 3 2 6" xfId="20250" xr:uid="{00000000-0005-0000-0000-00001E4F0000}"/>
    <cellStyle name="Normal 4 2 2 3 2 7" xfId="8044" xr:uid="{00000000-0005-0000-0000-0000701F0000}"/>
    <cellStyle name="Normal 4 2 2 3 3" xfId="3021" xr:uid="{00000000-0005-0000-0000-0000D10B0000}"/>
    <cellStyle name="Normal 4 2 2 3 3 2" xfId="4095" xr:uid="{00000000-0005-0000-0000-000003100000}"/>
    <cellStyle name="Normal 4 2 2 3 3 2 2" xfId="10648" xr:uid="{00000000-0005-0000-0000-00009C290000}"/>
    <cellStyle name="Normal 4 2 2 3 3 2 2 2" xfId="18876" xr:uid="{00000000-0005-0000-0000-0000C0490000}"/>
    <cellStyle name="Normal 4 2 2 3 3 2 2 2 2" xfId="25388" xr:uid="{00000000-0005-0000-0000-000030630000}"/>
    <cellStyle name="Normal 4 2 2 3 3 2 2 3" xfId="22553" xr:uid="{00000000-0005-0000-0000-00001D580000}"/>
    <cellStyle name="Normal 4 2 2 3 3 2 3" xfId="17558" xr:uid="{00000000-0005-0000-0000-00009A440000}"/>
    <cellStyle name="Normal 4 2 2 3 3 2 3 2" xfId="24132" xr:uid="{00000000-0005-0000-0000-0000485E0000}"/>
    <cellStyle name="Normal 4 2 2 3 3 2 4" xfId="21297" xr:uid="{00000000-0005-0000-0000-000035530000}"/>
    <cellStyle name="Normal 4 2 2 3 3 2 5" xfId="9318" xr:uid="{00000000-0005-0000-0000-00006A240000}"/>
    <cellStyle name="Normal 4 2 2 3 3 3" xfId="10116" xr:uid="{00000000-0005-0000-0000-000088270000}"/>
    <cellStyle name="Normal 4 2 2 3 3 3 2" xfId="18344" xr:uid="{00000000-0005-0000-0000-0000AC470000}"/>
    <cellStyle name="Normal 4 2 2 3 3 3 2 2" xfId="24856" xr:uid="{00000000-0005-0000-0000-00001C610000}"/>
    <cellStyle name="Normal 4 2 2 3 3 3 3" xfId="22021" xr:uid="{00000000-0005-0000-0000-000009560000}"/>
    <cellStyle name="Normal 4 2 2 3 3 4" xfId="16935" xr:uid="{00000000-0005-0000-0000-00002B420000}"/>
    <cellStyle name="Normal 4 2 2 3 3 4 2" xfId="23592" xr:uid="{00000000-0005-0000-0000-00002C5C0000}"/>
    <cellStyle name="Normal 4 2 2 3 3 5" xfId="20459" xr:uid="{00000000-0005-0000-0000-0000EF4F0000}"/>
    <cellStyle name="Normal 4 2 2 3 3 6" xfId="8254" xr:uid="{00000000-0005-0000-0000-000042200000}"/>
    <cellStyle name="Normal 4 2 2 3 4" xfId="3247" xr:uid="{00000000-0005-0000-0000-0000B30C0000}"/>
    <cellStyle name="Normal 4 2 2 3 4 2" xfId="4305" xr:uid="{00000000-0005-0000-0000-0000D5100000}"/>
    <cellStyle name="Normal 4 2 2 3 4 3" xfId="8772" xr:uid="{00000000-0005-0000-0000-000048220000}"/>
    <cellStyle name="Normal 4 2 2 3 5" xfId="3698" xr:uid="{00000000-0005-0000-0000-0000760E0000}"/>
    <cellStyle name="Normal 4 2 2 3 5 2" xfId="17926" xr:uid="{00000000-0005-0000-0000-00000A460000}"/>
    <cellStyle name="Normal 4 2 2 3 5 2 2" xfId="24438" xr:uid="{00000000-0005-0000-0000-00007A5F0000}"/>
    <cellStyle name="Normal 4 2 2 3 5 3" xfId="21603" xr:uid="{00000000-0005-0000-0000-000067540000}"/>
    <cellStyle name="Normal 4 2 2 3 5 4" xfId="9698" xr:uid="{00000000-0005-0000-0000-0000E6250000}"/>
    <cellStyle name="Normal 4 2 2 3 6" xfId="11090" xr:uid="{00000000-0005-0000-0000-0000562B0000}"/>
    <cellStyle name="Normal 4 2 2 3 6 2" xfId="22980" xr:uid="{00000000-0005-0000-0000-0000C8590000}"/>
    <cellStyle name="Normal 4 2 2 3 7" xfId="20041" xr:uid="{00000000-0005-0000-0000-00004D4E0000}"/>
    <cellStyle name="Normal 4 2 2 3 8" xfId="7805" xr:uid="{00000000-0005-0000-0000-0000811E0000}"/>
    <cellStyle name="Normal 4 2 2 4" xfId="1175" xr:uid="{00000000-0005-0000-0000-00009B040000}"/>
    <cellStyle name="Normal 4 2 2 4 2" xfId="2320" xr:uid="{00000000-0005-0000-0000-000014090000}"/>
    <cellStyle name="Normal 4 2 2 4 2 2" xfId="3143" xr:uid="{00000000-0005-0000-0000-00004B0C0000}"/>
    <cellStyle name="Normal 4 2 2 4 2 2 2" xfId="4201" xr:uid="{00000000-0005-0000-0000-00006D100000}"/>
    <cellStyle name="Normal 4 2 2 4 2 2 2 2" xfId="18554" xr:uid="{00000000-0005-0000-0000-00007E480000}"/>
    <cellStyle name="Normal 4 2 2 4 2 2 2 2 2" xfId="25066" xr:uid="{00000000-0005-0000-0000-0000EE610000}"/>
    <cellStyle name="Normal 4 2 2 4 2 2 2 3" xfId="22231" xr:uid="{00000000-0005-0000-0000-0000DB560000}"/>
    <cellStyle name="Normal 4 2 2 4 2 2 2 4" xfId="10326" xr:uid="{00000000-0005-0000-0000-00005A280000}"/>
    <cellStyle name="Normal 4 2 2 4 2 2 3" xfId="17144" xr:uid="{00000000-0005-0000-0000-0000FC420000}"/>
    <cellStyle name="Normal 4 2 2 4 2 2 3 2" xfId="23801" xr:uid="{00000000-0005-0000-0000-0000FD5C0000}"/>
    <cellStyle name="Normal 4 2 2 4 2 2 4" xfId="20669" xr:uid="{00000000-0005-0000-0000-0000C1500000}"/>
    <cellStyle name="Normal 4 2 2 4 2 2 5" xfId="8464" xr:uid="{00000000-0005-0000-0000-000014210000}"/>
    <cellStyle name="Normal 4 2 2 4 2 3" xfId="3369" xr:uid="{00000000-0005-0000-0000-00002D0D0000}"/>
    <cellStyle name="Normal 4 2 2 4 2 3 2" xfId="4411" xr:uid="{00000000-0005-0000-0000-00003F110000}"/>
    <cellStyle name="Normal 4 2 2 4 2 3 2 2" xfId="18879" xr:uid="{00000000-0005-0000-0000-0000C3490000}"/>
    <cellStyle name="Normal 4 2 2 4 2 3 2 2 2" xfId="25391" xr:uid="{00000000-0005-0000-0000-000033630000}"/>
    <cellStyle name="Normal 4 2 2 4 2 3 2 3" xfId="22556" xr:uid="{00000000-0005-0000-0000-000020580000}"/>
    <cellStyle name="Normal 4 2 2 4 2 3 2 4" xfId="10651" xr:uid="{00000000-0005-0000-0000-00009F290000}"/>
    <cellStyle name="Normal 4 2 2 4 2 3 3" xfId="17561" xr:uid="{00000000-0005-0000-0000-00009D440000}"/>
    <cellStyle name="Normal 4 2 2 4 2 3 3 2" xfId="24135" xr:uid="{00000000-0005-0000-0000-00004B5E0000}"/>
    <cellStyle name="Normal 4 2 2 4 2 3 4" xfId="21300" xr:uid="{00000000-0005-0000-0000-000038530000}"/>
    <cellStyle name="Normal 4 2 2 4 2 3 5" xfId="9321" xr:uid="{00000000-0005-0000-0000-00006D240000}"/>
    <cellStyle name="Normal 4 2 2 4 2 4" xfId="3991" xr:uid="{00000000-0005-0000-0000-00009B0F0000}"/>
    <cellStyle name="Normal 4 2 2 4 2 4 2" xfId="18136" xr:uid="{00000000-0005-0000-0000-0000DC460000}"/>
    <cellStyle name="Normal 4 2 2 4 2 4 2 2" xfId="24648" xr:uid="{00000000-0005-0000-0000-00004C600000}"/>
    <cellStyle name="Normal 4 2 2 4 2 4 3" xfId="21813" xr:uid="{00000000-0005-0000-0000-000039550000}"/>
    <cellStyle name="Normal 4 2 2 4 2 4 4" xfId="9908" xr:uid="{00000000-0005-0000-0000-0000B8260000}"/>
    <cellStyle name="Normal 4 2 2 4 2 5" xfId="11093" xr:uid="{00000000-0005-0000-0000-0000592B0000}"/>
    <cellStyle name="Normal 4 2 2 4 2 5 2" xfId="22983" xr:uid="{00000000-0005-0000-0000-0000CB590000}"/>
    <cellStyle name="Normal 4 2 2 4 2 6" xfId="20251" xr:uid="{00000000-0005-0000-0000-00001F4F0000}"/>
    <cellStyle name="Normal 4 2 2 4 2 7" xfId="8045" xr:uid="{00000000-0005-0000-0000-0000711F0000}"/>
    <cellStyle name="Normal 4 2 2 4 3" xfId="3022" xr:uid="{00000000-0005-0000-0000-0000D20B0000}"/>
    <cellStyle name="Normal 4 2 2 4 3 2" xfId="4096" xr:uid="{00000000-0005-0000-0000-000004100000}"/>
    <cellStyle name="Normal 4 2 2 4 3 2 2" xfId="10650" xr:uid="{00000000-0005-0000-0000-00009E290000}"/>
    <cellStyle name="Normal 4 2 2 4 3 2 2 2" xfId="18878" xr:uid="{00000000-0005-0000-0000-0000C2490000}"/>
    <cellStyle name="Normal 4 2 2 4 3 2 2 2 2" xfId="25390" xr:uid="{00000000-0005-0000-0000-000032630000}"/>
    <cellStyle name="Normal 4 2 2 4 3 2 2 3" xfId="22555" xr:uid="{00000000-0005-0000-0000-00001F580000}"/>
    <cellStyle name="Normal 4 2 2 4 3 2 3" xfId="17560" xr:uid="{00000000-0005-0000-0000-00009C440000}"/>
    <cellStyle name="Normal 4 2 2 4 3 2 3 2" xfId="24134" xr:uid="{00000000-0005-0000-0000-00004A5E0000}"/>
    <cellStyle name="Normal 4 2 2 4 3 2 4" xfId="21299" xr:uid="{00000000-0005-0000-0000-000037530000}"/>
    <cellStyle name="Normal 4 2 2 4 3 2 5" xfId="9320" xr:uid="{00000000-0005-0000-0000-00006C240000}"/>
    <cellStyle name="Normal 4 2 2 4 3 3" xfId="10117" xr:uid="{00000000-0005-0000-0000-000089270000}"/>
    <cellStyle name="Normal 4 2 2 4 3 3 2" xfId="18345" xr:uid="{00000000-0005-0000-0000-0000AD470000}"/>
    <cellStyle name="Normal 4 2 2 4 3 3 2 2" xfId="24857" xr:uid="{00000000-0005-0000-0000-00001D610000}"/>
    <cellStyle name="Normal 4 2 2 4 3 3 3" xfId="22022" xr:uid="{00000000-0005-0000-0000-00000A560000}"/>
    <cellStyle name="Normal 4 2 2 4 3 4" xfId="16936" xr:uid="{00000000-0005-0000-0000-00002C420000}"/>
    <cellStyle name="Normal 4 2 2 4 3 4 2" xfId="23593" xr:uid="{00000000-0005-0000-0000-00002D5C0000}"/>
    <cellStyle name="Normal 4 2 2 4 3 5" xfId="20460" xr:uid="{00000000-0005-0000-0000-0000F04F0000}"/>
    <cellStyle name="Normal 4 2 2 4 3 6" xfId="8255" xr:uid="{00000000-0005-0000-0000-000043200000}"/>
    <cellStyle name="Normal 4 2 2 4 4" xfId="3248" xr:uid="{00000000-0005-0000-0000-0000B40C0000}"/>
    <cellStyle name="Normal 4 2 2 4 4 2" xfId="4306" xr:uid="{00000000-0005-0000-0000-0000D6100000}"/>
    <cellStyle name="Normal 4 2 2 4 4 3" xfId="8773" xr:uid="{00000000-0005-0000-0000-000049220000}"/>
    <cellStyle name="Normal 4 2 2 4 5" xfId="3699" xr:uid="{00000000-0005-0000-0000-0000770E0000}"/>
    <cellStyle name="Normal 4 2 2 4 5 2" xfId="17927" xr:uid="{00000000-0005-0000-0000-00000B460000}"/>
    <cellStyle name="Normal 4 2 2 4 5 2 2" xfId="24439" xr:uid="{00000000-0005-0000-0000-00007B5F0000}"/>
    <cellStyle name="Normal 4 2 2 4 5 3" xfId="21604" xr:uid="{00000000-0005-0000-0000-000068540000}"/>
    <cellStyle name="Normal 4 2 2 4 5 4" xfId="9699" xr:uid="{00000000-0005-0000-0000-0000E7250000}"/>
    <cellStyle name="Normal 4 2 2 4 6" xfId="11092" xr:uid="{00000000-0005-0000-0000-0000582B0000}"/>
    <cellStyle name="Normal 4 2 2 4 6 2" xfId="22982" xr:uid="{00000000-0005-0000-0000-0000CA590000}"/>
    <cellStyle name="Normal 4 2 2 4 7" xfId="20042" xr:uid="{00000000-0005-0000-0000-00004E4E0000}"/>
    <cellStyle name="Normal 4 2 2 4 8" xfId="7806" xr:uid="{00000000-0005-0000-0000-0000821E0000}"/>
    <cellStyle name="Normal 4 2 2 5" xfId="1176" xr:uid="{00000000-0005-0000-0000-00009C040000}"/>
    <cellStyle name="Normal 4 2 2 5 2" xfId="2321" xr:uid="{00000000-0005-0000-0000-000015090000}"/>
    <cellStyle name="Normal 4 2 2 5 2 2" xfId="3144" xr:uid="{00000000-0005-0000-0000-00004C0C0000}"/>
    <cellStyle name="Normal 4 2 2 5 2 2 2" xfId="4202" xr:uid="{00000000-0005-0000-0000-00006E100000}"/>
    <cellStyle name="Normal 4 2 2 5 2 2 2 2" xfId="18555" xr:uid="{00000000-0005-0000-0000-00007F480000}"/>
    <cellStyle name="Normal 4 2 2 5 2 2 2 2 2" xfId="25067" xr:uid="{00000000-0005-0000-0000-0000EF610000}"/>
    <cellStyle name="Normal 4 2 2 5 2 2 2 3" xfId="22232" xr:uid="{00000000-0005-0000-0000-0000DC560000}"/>
    <cellStyle name="Normal 4 2 2 5 2 2 2 4" xfId="10327" xr:uid="{00000000-0005-0000-0000-00005B280000}"/>
    <cellStyle name="Normal 4 2 2 5 2 2 3" xfId="17145" xr:uid="{00000000-0005-0000-0000-0000FD420000}"/>
    <cellStyle name="Normal 4 2 2 5 2 2 3 2" xfId="23802" xr:uid="{00000000-0005-0000-0000-0000FE5C0000}"/>
    <cellStyle name="Normal 4 2 2 5 2 2 4" xfId="20670" xr:uid="{00000000-0005-0000-0000-0000C2500000}"/>
    <cellStyle name="Normal 4 2 2 5 2 2 5" xfId="8465" xr:uid="{00000000-0005-0000-0000-000015210000}"/>
    <cellStyle name="Normal 4 2 2 5 2 3" xfId="3370" xr:uid="{00000000-0005-0000-0000-00002E0D0000}"/>
    <cellStyle name="Normal 4 2 2 5 2 3 2" xfId="4412" xr:uid="{00000000-0005-0000-0000-000040110000}"/>
    <cellStyle name="Normal 4 2 2 5 2 3 2 2" xfId="18881" xr:uid="{00000000-0005-0000-0000-0000C5490000}"/>
    <cellStyle name="Normal 4 2 2 5 2 3 2 2 2" xfId="25393" xr:uid="{00000000-0005-0000-0000-000035630000}"/>
    <cellStyle name="Normal 4 2 2 5 2 3 2 3" xfId="22558" xr:uid="{00000000-0005-0000-0000-000022580000}"/>
    <cellStyle name="Normal 4 2 2 5 2 3 2 4" xfId="10653" xr:uid="{00000000-0005-0000-0000-0000A1290000}"/>
    <cellStyle name="Normal 4 2 2 5 2 3 3" xfId="17563" xr:uid="{00000000-0005-0000-0000-00009F440000}"/>
    <cellStyle name="Normal 4 2 2 5 2 3 3 2" xfId="24137" xr:uid="{00000000-0005-0000-0000-00004D5E0000}"/>
    <cellStyle name="Normal 4 2 2 5 2 3 4" xfId="21302" xr:uid="{00000000-0005-0000-0000-00003A530000}"/>
    <cellStyle name="Normal 4 2 2 5 2 3 5" xfId="9323" xr:uid="{00000000-0005-0000-0000-00006F240000}"/>
    <cellStyle name="Normal 4 2 2 5 2 4" xfId="3992" xr:uid="{00000000-0005-0000-0000-00009C0F0000}"/>
    <cellStyle name="Normal 4 2 2 5 2 4 2" xfId="18137" xr:uid="{00000000-0005-0000-0000-0000DD460000}"/>
    <cellStyle name="Normal 4 2 2 5 2 4 2 2" xfId="24649" xr:uid="{00000000-0005-0000-0000-00004D600000}"/>
    <cellStyle name="Normal 4 2 2 5 2 4 3" xfId="21814" xr:uid="{00000000-0005-0000-0000-00003A550000}"/>
    <cellStyle name="Normal 4 2 2 5 2 4 4" xfId="9909" xr:uid="{00000000-0005-0000-0000-0000B9260000}"/>
    <cellStyle name="Normal 4 2 2 5 2 5" xfId="11095" xr:uid="{00000000-0005-0000-0000-00005B2B0000}"/>
    <cellStyle name="Normal 4 2 2 5 2 5 2" xfId="22985" xr:uid="{00000000-0005-0000-0000-0000CD590000}"/>
    <cellStyle name="Normal 4 2 2 5 2 6" xfId="20252" xr:uid="{00000000-0005-0000-0000-0000204F0000}"/>
    <cellStyle name="Normal 4 2 2 5 2 7" xfId="8046" xr:uid="{00000000-0005-0000-0000-0000721F0000}"/>
    <cellStyle name="Normal 4 2 2 5 3" xfId="3023" xr:uid="{00000000-0005-0000-0000-0000D30B0000}"/>
    <cellStyle name="Normal 4 2 2 5 3 2" xfId="4097" xr:uid="{00000000-0005-0000-0000-000005100000}"/>
    <cellStyle name="Normal 4 2 2 5 3 2 2" xfId="10652" xr:uid="{00000000-0005-0000-0000-0000A0290000}"/>
    <cellStyle name="Normal 4 2 2 5 3 2 2 2" xfId="18880" xr:uid="{00000000-0005-0000-0000-0000C4490000}"/>
    <cellStyle name="Normal 4 2 2 5 3 2 2 2 2" xfId="25392" xr:uid="{00000000-0005-0000-0000-000034630000}"/>
    <cellStyle name="Normal 4 2 2 5 3 2 2 3" xfId="22557" xr:uid="{00000000-0005-0000-0000-000021580000}"/>
    <cellStyle name="Normal 4 2 2 5 3 2 3" xfId="17562" xr:uid="{00000000-0005-0000-0000-00009E440000}"/>
    <cellStyle name="Normal 4 2 2 5 3 2 3 2" xfId="24136" xr:uid="{00000000-0005-0000-0000-00004C5E0000}"/>
    <cellStyle name="Normal 4 2 2 5 3 2 4" xfId="21301" xr:uid="{00000000-0005-0000-0000-000039530000}"/>
    <cellStyle name="Normal 4 2 2 5 3 2 5" xfId="9322" xr:uid="{00000000-0005-0000-0000-00006E240000}"/>
    <cellStyle name="Normal 4 2 2 5 3 3" xfId="10118" xr:uid="{00000000-0005-0000-0000-00008A270000}"/>
    <cellStyle name="Normal 4 2 2 5 3 3 2" xfId="18346" xr:uid="{00000000-0005-0000-0000-0000AE470000}"/>
    <cellStyle name="Normal 4 2 2 5 3 3 2 2" xfId="24858" xr:uid="{00000000-0005-0000-0000-00001E610000}"/>
    <cellStyle name="Normal 4 2 2 5 3 3 3" xfId="22023" xr:uid="{00000000-0005-0000-0000-00000B560000}"/>
    <cellStyle name="Normal 4 2 2 5 3 4" xfId="16937" xr:uid="{00000000-0005-0000-0000-00002D420000}"/>
    <cellStyle name="Normal 4 2 2 5 3 4 2" xfId="23594" xr:uid="{00000000-0005-0000-0000-00002E5C0000}"/>
    <cellStyle name="Normal 4 2 2 5 3 5" xfId="20461" xr:uid="{00000000-0005-0000-0000-0000F14F0000}"/>
    <cellStyle name="Normal 4 2 2 5 3 6" xfId="8256" xr:uid="{00000000-0005-0000-0000-000044200000}"/>
    <cellStyle name="Normal 4 2 2 5 4" xfId="3249" xr:uid="{00000000-0005-0000-0000-0000B50C0000}"/>
    <cellStyle name="Normal 4 2 2 5 4 2" xfId="4307" xr:uid="{00000000-0005-0000-0000-0000D7100000}"/>
    <cellStyle name="Normal 4 2 2 5 4 3" xfId="8774" xr:uid="{00000000-0005-0000-0000-00004A220000}"/>
    <cellStyle name="Normal 4 2 2 5 5" xfId="3700" xr:uid="{00000000-0005-0000-0000-0000780E0000}"/>
    <cellStyle name="Normal 4 2 2 5 5 2" xfId="17928" xr:uid="{00000000-0005-0000-0000-00000C460000}"/>
    <cellStyle name="Normal 4 2 2 5 5 2 2" xfId="24440" xr:uid="{00000000-0005-0000-0000-00007C5F0000}"/>
    <cellStyle name="Normal 4 2 2 5 5 3" xfId="21605" xr:uid="{00000000-0005-0000-0000-000069540000}"/>
    <cellStyle name="Normal 4 2 2 5 5 4" xfId="9700" xr:uid="{00000000-0005-0000-0000-0000E8250000}"/>
    <cellStyle name="Normal 4 2 2 5 6" xfId="11094" xr:uid="{00000000-0005-0000-0000-00005A2B0000}"/>
    <cellStyle name="Normal 4 2 2 5 6 2" xfId="22984" xr:uid="{00000000-0005-0000-0000-0000CC590000}"/>
    <cellStyle name="Normal 4 2 2 5 7" xfId="20043" xr:uid="{00000000-0005-0000-0000-00004F4E0000}"/>
    <cellStyle name="Normal 4 2 2 5 8" xfId="7807" xr:uid="{00000000-0005-0000-0000-0000831E0000}"/>
    <cellStyle name="Normal 4 2 2 6" xfId="1177" xr:uid="{00000000-0005-0000-0000-00009D040000}"/>
    <cellStyle name="Normal 4 2 2 6 2" xfId="2322" xr:uid="{00000000-0005-0000-0000-000016090000}"/>
    <cellStyle name="Normal 4 2 2 6 2 2" xfId="3145" xr:uid="{00000000-0005-0000-0000-00004D0C0000}"/>
    <cellStyle name="Normal 4 2 2 6 2 2 2" xfId="4203" xr:uid="{00000000-0005-0000-0000-00006F100000}"/>
    <cellStyle name="Normal 4 2 2 6 2 2 2 2" xfId="18556" xr:uid="{00000000-0005-0000-0000-000080480000}"/>
    <cellStyle name="Normal 4 2 2 6 2 2 2 2 2" xfId="25068" xr:uid="{00000000-0005-0000-0000-0000F0610000}"/>
    <cellStyle name="Normal 4 2 2 6 2 2 2 3" xfId="22233" xr:uid="{00000000-0005-0000-0000-0000DD560000}"/>
    <cellStyle name="Normal 4 2 2 6 2 2 2 4" xfId="10328" xr:uid="{00000000-0005-0000-0000-00005C280000}"/>
    <cellStyle name="Normal 4 2 2 6 2 2 3" xfId="17146" xr:uid="{00000000-0005-0000-0000-0000FE420000}"/>
    <cellStyle name="Normal 4 2 2 6 2 2 3 2" xfId="23803" xr:uid="{00000000-0005-0000-0000-0000FF5C0000}"/>
    <cellStyle name="Normal 4 2 2 6 2 2 4" xfId="20671" xr:uid="{00000000-0005-0000-0000-0000C3500000}"/>
    <cellStyle name="Normal 4 2 2 6 2 2 5" xfId="8466" xr:uid="{00000000-0005-0000-0000-000016210000}"/>
    <cellStyle name="Normal 4 2 2 6 2 3" xfId="3371" xr:uid="{00000000-0005-0000-0000-00002F0D0000}"/>
    <cellStyle name="Normal 4 2 2 6 2 3 2" xfId="4413" xr:uid="{00000000-0005-0000-0000-000041110000}"/>
    <cellStyle name="Normal 4 2 2 6 2 3 2 2" xfId="18883" xr:uid="{00000000-0005-0000-0000-0000C7490000}"/>
    <cellStyle name="Normal 4 2 2 6 2 3 2 2 2" xfId="25395" xr:uid="{00000000-0005-0000-0000-000037630000}"/>
    <cellStyle name="Normal 4 2 2 6 2 3 2 3" xfId="22560" xr:uid="{00000000-0005-0000-0000-000024580000}"/>
    <cellStyle name="Normal 4 2 2 6 2 3 2 4" xfId="10655" xr:uid="{00000000-0005-0000-0000-0000A3290000}"/>
    <cellStyle name="Normal 4 2 2 6 2 3 3" xfId="17565" xr:uid="{00000000-0005-0000-0000-0000A1440000}"/>
    <cellStyle name="Normal 4 2 2 6 2 3 3 2" xfId="24139" xr:uid="{00000000-0005-0000-0000-00004F5E0000}"/>
    <cellStyle name="Normal 4 2 2 6 2 3 4" xfId="21304" xr:uid="{00000000-0005-0000-0000-00003C530000}"/>
    <cellStyle name="Normal 4 2 2 6 2 3 5" xfId="9325" xr:uid="{00000000-0005-0000-0000-000071240000}"/>
    <cellStyle name="Normal 4 2 2 6 2 4" xfId="3993" xr:uid="{00000000-0005-0000-0000-00009D0F0000}"/>
    <cellStyle name="Normal 4 2 2 6 2 4 2" xfId="18138" xr:uid="{00000000-0005-0000-0000-0000DE460000}"/>
    <cellStyle name="Normal 4 2 2 6 2 4 2 2" xfId="24650" xr:uid="{00000000-0005-0000-0000-00004E600000}"/>
    <cellStyle name="Normal 4 2 2 6 2 4 3" xfId="21815" xr:uid="{00000000-0005-0000-0000-00003B550000}"/>
    <cellStyle name="Normal 4 2 2 6 2 4 4" xfId="9910" xr:uid="{00000000-0005-0000-0000-0000BA260000}"/>
    <cellStyle name="Normal 4 2 2 6 2 5" xfId="11097" xr:uid="{00000000-0005-0000-0000-00005D2B0000}"/>
    <cellStyle name="Normal 4 2 2 6 2 5 2" xfId="22987" xr:uid="{00000000-0005-0000-0000-0000CF590000}"/>
    <cellStyle name="Normal 4 2 2 6 2 6" xfId="20253" xr:uid="{00000000-0005-0000-0000-0000214F0000}"/>
    <cellStyle name="Normal 4 2 2 6 2 7" xfId="8047" xr:uid="{00000000-0005-0000-0000-0000731F0000}"/>
    <cellStyle name="Normal 4 2 2 6 3" xfId="3024" xr:uid="{00000000-0005-0000-0000-0000D40B0000}"/>
    <cellStyle name="Normal 4 2 2 6 3 2" xfId="4098" xr:uid="{00000000-0005-0000-0000-000006100000}"/>
    <cellStyle name="Normal 4 2 2 6 3 2 2" xfId="10654" xr:uid="{00000000-0005-0000-0000-0000A2290000}"/>
    <cellStyle name="Normal 4 2 2 6 3 2 2 2" xfId="18882" xr:uid="{00000000-0005-0000-0000-0000C6490000}"/>
    <cellStyle name="Normal 4 2 2 6 3 2 2 2 2" xfId="25394" xr:uid="{00000000-0005-0000-0000-000036630000}"/>
    <cellStyle name="Normal 4 2 2 6 3 2 2 3" xfId="22559" xr:uid="{00000000-0005-0000-0000-000023580000}"/>
    <cellStyle name="Normal 4 2 2 6 3 2 3" xfId="17564" xr:uid="{00000000-0005-0000-0000-0000A0440000}"/>
    <cellStyle name="Normal 4 2 2 6 3 2 3 2" xfId="24138" xr:uid="{00000000-0005-0000-0000-00004E5E0000}"/>
    <cellStyle name="Normal 4 2 2 6 3 2 4" xfId="21303" xr:uid="{00000000-0005-0000-0000-00003B530000}"/>
    <cellStyle name="Normal 4 2 2 6 3 2 5" xfId="9324" xr:uid="{00000000-0005-0000-0000-000070240000}"/>
    <cellStyle name="Normal 4 2 2 6 3 3" xfId="10119" xr:uid="{00000000-0005-0000-0000-00008B270000}"/>
    <cellStyle name="Normal 4 2 2 6 3 3 2" xfId="18347" xr:uid="{00000000-0005-0000-0000-0000AF470000}"/>
    <cellStyle name="Normal 4 2 2 6 3 3 2 2" xfId="24859" xr:uid="{00000000-0005-0000-0000-00001F610000}"/>
    <cellStyle name="Normal 4 2 2 6 3 3 3" xfId="22024" xr:uid="{00000000-0005-0000-0000-00000C560000}"/>
    <cellStyle name="Normal 4 2 2 6 3 4" xfId="16938" xr:uid="{00000000-0005-0000-0000-00002E420000}"/>
    <cellStyle name="Normal 4 2 2 6 3 4 2" xfId="23595" xr:uid="{00000000-0005-0000-0000-00002F5C0000}"/>
    <cellStyle name="Normal 4 2 2 6 3 5" xfId="20462" xr:uid="{00000000-0005-0000-0000-0000F24F0000}"/>
    <cellStyle name="Normal 4 2 2 6 3 6" xfId="8257" xr:uid="{00000000-0005-0000-0000-000045200000}"/>
    <cellStyle name="Normal 4 2 2 6 4" xfId="3250" xr:uid="{00000000-0005-0000-0000-0000B60C0000}"/>
    <cellStyle name="Normal 4 2 2 6 4 2" xfId="4308" xr:uid="{00000000-0005-0000-0000-0000D8100000}"/>
    <cellStyle name="Normal 4 2 2 6 4 3" xfId="8775" xr:uid="{00000000-0005-0000-0000-00004B220000}"/>
    <cellStyle name="Normal 4 2 2 6 5" xfId="3701" xr:uid="{00000000-0005-0000-0000-0000790E0000}"/>
    <cellStyle name="Normal 4 2 2 6 5 2" xfId="17929" xr:uid="{00000000-0005-0000-0000-00000D460000}"/>
    <cellStyle name="Normal 4 2 2 6 5 2 2" xfId="24441" xr:uid="{00000000-0005-0000-0000-00007D5F0000}"/>
    <cellStyle name="Normal 4 2 2 6 5 3" xfId="21606" xr:uid="{00000000-0005-0000-0000-00006A540000}"/>
    <cellStyle name="Normal 4 2 2 6 5 4" xfId="9701" xr:uid="{00000000-0005-0000-0000-0000E9250000}"/>
    <cellStyle name="Normal 4 2 2 6 6" xfId="11096" xr:uid="{00000000-0005-0000-0000-00005C2B0000}"/>
    <cellStyle name="Normal 4 2 2 6 6 2" xfId="22986" xr:uid="{00000000-0005-0000-0000-0000CE590000}"/>
    <cellStyle name="Normal 4 2 2 6 7" xfId="20044" xr:uid="{00000000-0005-0000-0000-0000504E0000}"/>
    <cellStyle name="Normal 4 2 2 6 8" xfId="7808" xr:uid="{00000000-0005-0000-0000-0000841E0000}"/>
    <cellStyle name="Normal 4 2 2 7" xfId="1178" xr:uid="{00000000-0005-0000-0000-00009E040000}"/>
    <cellStyle name="Normal 4 2 2 7 2" xfId="2323" xr:uid="{00000000-0005-0000-0000-000017090000}"/>
    <cellStyle name="Normal 4 2 2 7 2 2" xfId="3146" xr:uid="{00000000-0005-0000-0000-00004E0C0000}"/>
    <cellStyle name="Normal 4 2 2 7 2 2 2" xfId="4204" xr:uid="{00000000-0005-0000-0000-000070100000}"/>
    <cellStyle name="Normal 4 2 2 7 2 2 2 2" xfId="18557" xr:uid="{00000000-0005-0000-0000-000081480000}"/>
    <cellStyle name="Normal 4 2 2 7 2 2 2 2 2" xfId="25069" xr:uid="{00000000-0005-0000-0000-0000F1610000}"/>
    <cellStyle name="Normal 4 2 2 7 2 2 2 3" xfId="22234" xr:uid="{00000000-0005-0000-0000-0000DE560000}"/>
    <cellStyle name="Normal 4 2 2 7 2 2 2 4" xfId="10329" xr:uid="{00000000-0005-0000-0000-00005D280000}"/>
    <cellStyle name="Normal 4 2 2 7 2 2 3" xfId="17147" xr:uid="{00000000-0005-0000-0000-0000FF420000}"/>
    <cellStyle name="Normal 4 2 2 7 2 2 3 2" xfId="23804" xr:uid="{00000000-0005-0000-0000-0000005D0000}"/>
    <cellStyle name="Normal 4 2 2 7 2 2 4" xfId="20672" xr:uid="{00000000-0005-0000-0000-0000C4500000}"/>
    <cellStyle name="Normal 4 2 2 7 2 2 5" xfId="8467" xr:uid="{00000000-0005-0000-0000-000017210000}"/>
    <cellStyle name="Normal 4 2 2 7 2 3" xfId="3372" xr:uid="{00000000-0005-0000-0000-0000300D0000}"/>
    <cellStyle name="Normal 4 2 2 7 2 3 2" xfId="4414" xr:uid="{00000000-0005-0000-0000-000042110000}"/>
    <cellStyle name="Normal 4 2 2 7 2 3 2 2" xfId="18885" xr:uid="{00000000-0005-0000-0000-0000C9490000}"/>
    <cellStyle name="Normal 4 2 2 7 2 3 2 2 2" xfId="25397" xr:uid="{00000000-0005-0000-0000-000039630000}"/>
    <cellStyle name="Normal 4 2 2 7 2 3 2 3" xfId="22562" xr:uid="{00000000-0005-0000-0000-000026580000}"/>
    <cellStyle name="Normal 4 2 2 7 2 3 2 4" xfId="10657" xr:uid="{00000000-0005-0000-0000-0000A5290000}"/>
    <cellStyle name="Normal 4 2 2 7 2 3 3" xfId="17567" xr:uid="{00000000-0005-0000-0000-0000A3440000}"/>
    <cellStyle name="Normal 4 2 2 7 2 3 3 2" xfId="24141" xr:uid="{00000000-0005-0000-0000-0000515E0000}"/>
    <cellStyle name="Normal 4 2 2 7 2 3 4" xfId="21306" xr:uid="{00000000-0005-0000-0000-00003E530000}"/>
    <cellStyle name="Normal 4 2 2 7 2 3 5" xfId="9327" xr:uid="{00000000-0005-0000-0000-000073240000}"/>
    <cellStyle name="Normal 4 2 2 7 2 4" xfId="3994" xr:uid="{00000000-0005-0000-0000-00009E0F0000}"/>
    <cellStyle name="Normal 4 2 2 7 2 4 2" xfId="18139" xr:uid="{00000000-0005-0000-0000-0000DF460000}"/>
    <cellStyle name="Normal 4 2 2 7 2 4 2 2" xfId="24651" xr:uid="{00000000-0005-0000-0000-00004F600000}"/>
    <cellStyle name="Normal 4 2 2 7 2 4 3" xfId="21816" xr:uid="{00000000-0005-0000-0000-00003C550000}"/>
    <cellStyle name="Normal 4 2 2 7 2 4 4" xfId="9911" xr:uid="{00000000-0005-0000-0000-0000BB260000}"/>
    <cellStyle name="Normal 4 2 2 7 2 5" xfId="11099" xr:uid="{00000000-0005-0000-0000-00005F2B0000}"/>
    <cellStyle name="Normal 4 2 2 7 2 5 2" xfId="22989" xr:uid="{00000000-0005-0000-0000-0000D1590000}"/>
    <cellStyle name="Normal 4 2 2 7 2 6" xfId="20254" xr:uid="{00000000-0005-0000-0000-0000224F0000}"/>
    <cellStyle name="Normal 4 2 2 7 2 7" xfId="8048" xr:uid="{00000000-0005-0000-0000-0000741F0000}"/>
    <cellStyle name="Normal 4 2 2 7 3" xfId="3025" xr:uid="{00000000-0005-0000-0000-0000D50B0000}"/>
    <cellStyle name="Normal 4 2 2 7 3 2" xfId="4099" xr:uid="{00000000-0005-0000-0000-000007100000}"/>
    <cellStyle name="Normal 4 2 2 7 3 2 2" xfId="10656" xr:uid="{00000000-0005-0000-0000-0000A4290000}"/>
    <cellStyle name="Normal 4 2 2 7 3 2 2 2" xfId="18884" xr:uid="{00000000-0005-0000-0000-0000C8490000}"/>
    <cellStyle name="Normal 4 2 2 7 3 2 2 2 2" xfId="25396" xr:uid="{00000000-0005-0000-0000-000038630000}"/>
    <cellStyle name="Normal 4 2 2 7 3 2 2 3" xfId="22561" xr:uid="{00000000-0005-0000-0000-000025580000}"/>
    <cellStyle name="Normal 4 2 2 7 3 2 3" xfId="17566" xr:uid="{00000000-0005-0000-0000-0000A2440000}"/>
    <cellStyle name="Normal 4 2 2 7 3 2 3 2" xfId="24140" xr:uid="{00000000-0005-0000-0000-0000505E0000}"/>
    <cellStyle name="Normal 4 2 2 7 3 2 4" xfId="21305" xr:uid="{00000000-0005-0000-0000-00003D530000}"/>
    <cellStyle name="Normal 4 2 2 7 3 2 5" xfId="9326" xr:uid="{00000000-0005-0000-0000-000072240000}"/>
    <cellStyle name="Normal 4 2 2 7 3 3" xfId="10120" xr:uid="{00000000-0005-0000-0000-00008C270000}"/>
    <cellStyle name="Normal 4 2 2 7 3 3 2" xfId="18348" xr:uid="{00000000-0005-0000-0000-0000B0470000}"/>
    <cellStyle name="Normal 4 2 2 7 3 3 2 2" xfId="24860" xr:uid="{00000000-0005-0000-0000-000020610000}"/>
    <cellStyle name="Normal 4 2 2 7 3 3 3" xfId="22025" xr:uid="{00000000-0005-0000-0000-00000D560000}"/>
    <cellStyle name="Normal 4 2 2 7 3 4" xfId="16939" xr:uid="{00000000-0005-0000-0000-00002F420000}"/>
    <cellStyle name="Normal 4 2 2 7 3 4 2" xfId="23596" xr:uid="{00000000-0005-0000-0000-0000305C0000}"/>
    <cellStyle name="Normal 4 2 2 7 3 5" xfId="20463" xr:uid="{00000000-0005-0000-0000-0000F34F0000}"/>
    <cellStyle name="Normal 4 2 2 7 3 6" xfId="8258" xr:uid="{00000000-0005-0000-0000-000046200000}"/>
    <cellStyle name="Normal 4 2 2 7 4" xfId="3251" xr:uid="{00000000-0005-0000-0000-0000B70C0000}"/>
    <cellStyle name="Normal 4 2 2 7 4 2" xfId="4309" xr:uid="{00000000-0005-0000-0000-0000D9100000}"/>
    <cellStyle name="Normal 4 2 2 7 4 3" xfId="8776" xr:uid="{00000000-0005-0000-0000-00004C220000}"/>
    <cellStyle name="Normal 4 2 2 7 5" xfId="3702" xr:uid="{00000000-0005-0000-0000-00007A0E0000}"/>
    <cellStyle name="Normal 4 2 2 7 5 2" xfId="17930" xr:uid="{00000000-0005-0000-0000-00000E460000}"/>
    <cellStyle name="Normal 4 2 2 7 5 2 2" xfId="24442" xr:uid="{00000000-0005-0000-0000-00007E5F0000}"/>
    <cellStyle name="Normal 4 2 2 7 5 3" xfId="21607" xr:uid="{00000000-0005-0000-0000-00006B540000}"/>
    <cellStyle name="Normal 4 2 2 7 5 4" xfId="9702" xr:uid="{00000000-0005-0000-0000-0000EA250000}"/>
    <cellStyle name="Normal 4 2 2 7 6" xfId="11098" xr:uid="{00000000-0005-0000-0000-00005E2B0000}"/>
    <cellStyle name="Normal 4 2 2 7 6 2" xfId="22988" xr:uid="{00000000-0005-0000-0000-0000D0590000}"/>
    <cellStyle name="Normal 4 2 2 7 7" xfId="20045" xr:uid="{00000000-0005-0000-0000-0000514E0000}"/>
    <cellStyle name="Normal 4 2 2 7 8" xfId="7809" xr:uid="{00000000-0005-0000-0000-0000851E0000}"/>
    <cellStyle name="Normal 4 2 2 8" xfId="1179" xr:uid="{00000000-0005-0000-0000-00009F040000}"/>
    <cellStyle name="Normal 4 2 2 8 2" xfId="2324" xr:uid="{00000000-0005-0000-0000-000018090000}"/>
    <cellStyle name="Normal 4 2 2 8 2 2" xfId="3147" xr:uid="{00000000-0005-0000-0000-00004F0C0000}"/>
    <cellStyle name="Normal 4 2 2 8 2 2 2" xfId="4205" xr:uid="{00000000-0005-0000-0000-000071100000}"/>
    <cellStyle name="Normal 4 2 2 8 2 2 2 2" xfId="18558" xr:uid="{00000000-0005-0000-0000-000082480000}"/>
    <cellStyle name="Normal 4 2 2 8 2 2 2 2 2" xfId="25070" xr:uid="{00000000-0005-0000-0000-0000F2610000}"/>
    <cellStyle name="Normal 4 2 2 8 2 2 2 3" xfId="22235" xr:uid="{00000000-0005-0000-0000-0000DF560000}"/>
    <cellStyle name="Normal 4 2 2 8 2 2 2 4" xfId="10330" xr:uid="{00000000-0005-0000-0000-00005E280000}"/>
    <cellStyle name="Normal 4 2 2 8 2 2 3" xfId="17148" xr:uid="{00000000-0005-0000-0000-000000430000}"/>
    <cellStyle name="Normal 4 2 2 8 2 2 3 2" xfId="23805" xr:uid="{00000000-0005-0000-0000-0000015D0000}"/>
    <cellStyle name="Normal 4 2 2 8 2 2 4" xfId="20673" xr:uid="{00000000-0005-0000-0000-0000C5500000}"/>
    <cellStyle name="Normal 4 2 2 8 2 2 5" xfId="8468" xr:uid="{00000000-0005-0000-0000-000018210000}"/>
    <cellStyle name="Normal 4 2 2 8 2 3" xfId="3373" xr:uid="{00000000-0005-0000-0000-0000310D0000}"/>
    <cellStyle name="Normal 4 2 2 8 2 3 2" xfId="4415" xr:uid="{00000000-0005-0000-0000-000043110000}"/>
    <cellStyle name="Normal 4 2 2 8 2 3 2 2" xfId="18887" xr:uid="{00000000-0005-0000-0000-0000CB490000}"/>
    <cellStyle name="Normal 4 2 2 8 2 3 2 2 2" xfId="25399" xr:uid="{00000000-0005-0000-0000-00003B630000}"/>
    <cellStyle name="Normal 4 2 2 8 2 3 2 3" xfId="22564" xr:uid="{00000000-0005-0000-0000-000028580000}"/>
    <cellStyle name="Normal 4 2 2 8 2 3 2 4" xfId="10659" xr:uid="{00000000-0005-0000-0000-0000A7290000}"/>
    <cellStyle name="Normal 4 2 2 8 2 3 3" xfId="17569" xr:uid="{00000000-0005-0000-0000-0000A5440000}"/>
    <cellStyle name="Normal 4 2 2 8 2 3 3 2" xfId="24143" xr:uid="{00000000-0005-0000-0000-0000535E0000}"/>
    <cellStyle name="Normal 4 2 2 8 2 3 4" xfId="21308" xr:uid="{00000000-0005-0000-0000-000040530000}"/>
    <cellStyle name="Normal 4 2 2 8 2 3 5" xfId="9329" xr:uid="{00000000-0005-0000-0000-000075240000}"/>
    <cellStyle name="Normal 4 2 2 8 2 4" xfId="3995" xr:uid="{00000000-0005-0000-0000-00009F0F0000}"/>
    <cellStyle name="Normal 4 2 2 8 2 4 2" xfId="18140" xr:uid="{00000000-0005-0000-0000-0000E0460000}"/>
    <cellStyle name="Normal 4 2 2 8 2 4 2 2" xfId="24652" xr:uid="{00000000-0005-0000-0000-000050600000}"/>
    <cellStyle name="Normal 4 2 2 8 2 4 3" xfId="21817" xr:uid="{00000000-0005-0000-0000-00003D550000}"/>
    <cellStyle name="Normal 4 2 2 8 2 4 4" xfId="9912" xr:uid="{00000000-0005-0000-0000-0000BC260000}"/>
    <cellStyle name="Normal 4 2 2 8 2 5" xfId="11101" xr:uid="{00000000-0005-0000-0000-0000612B0000}"/>
    <cellStyle name="Normal 4 2 2 8 2 5 2" xfId="22991" xr:uid="{00000000-0005-0000-0000-0000D3590000}"/>
    <cellStyle name="Normal 4 2 2 8 2 6" xfId="20255" xr:uid="{00000000-0005-0000-0000-0000234F0000}"/>
    <cellStyle name="Normal 4 2 2 8 2 7" xfId="8049" xr:uid="{00000000-0005-0000-0000-0000751F0000}"/>
    <cellStyle name="Normal 4 2 2 8 3" xfId="3026" xr:uid="{00000000-0005-0000-0000-0000D60B0000}"/>
    <cellStyle name="Normal 4 2 2 8 3 2" xfId="4100" xr:uid="{00000000-0005-0000-0000-000008100000}"/>
    <cellStyle name="Normal 4 2 2 8 3 2 2" xfId="10658" xr:uid="{00000000-0005-0000-0000-0000A6290000}"/>
    <cellStyle name="Normal 4 2 2 8 3 2 2 2" xfId="18886" xr:uid="{00000000-0005-0000-0000-0000CA490000}"/>
    <cellStyle name="Normal 4 2 2 8 3 2 2 2 2" xfId="25398" xr:uid="{00000000-0005-0000-0000-00003A630000}"/>
    <cellStyle name="Normal 4 2 2 8 3 2 2 3" xfId="22563" xr:uid="{00000000-0005-0000-0000-000027580000}"/>
    <cellStyle name="Normal 4 2 2 8 3 2 3" xfId="17568" xr:uid="{00000000-0005-0000-0000-0000A4440000}"/>
    <cellStyle name="Normal 4 2 2 8 3 2 3 2" xfId="24142" xr:uid="{00000000-0005-0000-0000-0000525E0000}"/>
    <cellStyle name="Normal 4 2 2 8 3 2 4" xfId="21307" xr:uid="{00000000-0005-0000-0000-00003F530000}"/>
    <cellStyle name="Normal 4 2 2 8 3 2 5" xfId="9328" xr:uid="{00000000-0005-0000-0000-000074240000}"/>
    <cellStyle name="Normal 4 2 2 8 3 3" xfId="10121" xr:uid="{00000000-0005-0000-0000-00008D270000}"/>
    <cellStyle name="Normal 4 2 2 8 3 3 2" xfId="18349" xr:uid="{00000000-0005-0000-0000-0000B1470000}"/>
    <cellStyle name="Normal 4 2 2 8 3 3 2 2" xfId="24861" xr:uid="{00000000-0005-0000-0000-000021610000}"/>
    <cellStyle name="Normal 4 2 2 8 3 3 3" xfId="22026" xr:uid="{00000000-0005-0000-0000-00000E560000}"/>
    <cellStyle name="Normal 4 2 2 8 3 4" xfId="16940" xr:uid="{00000000-0005-0000-0000-000030420000}"/>
    <cellStyle name="Normal 4 2 2 8 3 4 2" xfId="23597" xr:uid="{00000000-0005-0000-0000-0000315C0000}"/>
    <cellStyle name="Normal 4 2 2 8 3 5" xfId="20464" xr:uid="{00000000-0005-0000-0000-0000F44F0000}"/>
    <cellStyle name="Normal 4 2 2 8 3 6" xfId="8259" xr:uid="{00000000-0005-0000-0000-000047200000}"/>
    <cellStyle name="Normal 4 2 2 8 4" xfId="3252" xr:uid="{00000000-0005-0000-0000-0000B80C0000}"/>
    <cellStyle name="Normal 4 2 2 8 4 2" xfId="4310" xr:uid="{00000000-0005-0000-0000-0000DA100000}"/>
    <cellStyle name="Normal 4 2 2 8 4 3" xfId="8777" xr:uid="{00000000-0005-0000-0000-00004D220000}"/>
    <cellStyle name="Normal 4 2 2 8 5" xfId="3703" xr:uid="{00000000-0005-0000-0000-00007B0E0000}"/>
    <cellStyle name="Normal 4 2 2 8 5 2" xfId="17931" xr:uid="{00000000-0005-0000-0000-00000F460000}"/>
    <cellStyle name="Normal 4 2 2 8 5 2 2" xfId="24443" xr:uid="{00000000-0005-0000-0000-00007F5F0000}"/>
    <cellStyle name="Normal 4 2 2 8 5 3" xfId="21608" xr:uid="{00000000-0005-0000-0000-00006C540000}"/>
    <cellStyle name="Normal 4 2 2 8 5 4" xfId="9703" xr:uid="{00000000-0005-0000-0000-0000EB250000}"/>
    <cellStyle name="Normal 4 2 2 8 6" xfId="11100" xr:uid="{00000000-0005-0000-0000-0000602B0000}"/>
    <cellStyle name="Normal 4 2 2 8 6 2" xfId="22990" xr:uid="{00000000-0005-0000-0000-0000D2590000}"/>
    <cellStyle name="Normal 4 2 2 8 7" xfId="20046" xr:uid="{00000000-0005-0000-0000-0000524E0000}"/>
    <cellStyle name="Normal 4 2 2 8 8" xfId="7810" xr:uid="{00000000-0005-0000-0000-0000861E0000}"/>
    <cellStyle name="Normal 4 2 2 9" xfId="1180" xr:uid="{00000000-0005-0000-0000-0000A0040000}"/>
    <cellStyle name="Normal 4 2 2 9 2" xfId="2325" xr:uid="{00000000-0005-0000-0000-000019090000}"/>
    <cellStyle name="Normal 4 2 2 9 2 2" xfId="3148" xr:uid="{00000000-0005-0000-0000-0000500C0000}"/>
    <cellStyle name="Normal 4 2 2 9 2 2 2" xfId="4206" xr:uid="{00000000-0005-0000-0000-000072100000}"/>
    <cellStyle name="Normal 4 2 2 9 2 2 2 2" xfId="18559" xr:uid="{00000000-0005-0000-0000-000083480000}"/>
    <cellStyle name="Normal 4 2 2 9 2 2 2 2 2" xfId="25071" xr:uid="{00000000-0005-0000-0000-0000F3610000}"/>
    <cellStyle name="Normal 4 2 2 9 2 2 2 3" xfId="22236" xr:uid="{00000000-0005-0000-0000-0000E0560000}"/>
    <cellStyle name="Normal 4 2 2 9 2 2 2 4" xfId="10331" xr:uid="{00000000-0005-0000-0000-00005F280000}"/>
    <cellStyle name="Normal 4 2 2 9 2 2 3" xfId="17149" xr:uid="{00000000-0005-0000-0000-000001430000}"/>
    <cellStyle name="Normal 4 2 2 9 2 2 3 2" xfId="23806" xr:uid="{00000000-0005-0000-0000-0000025D0000}"/>
    <cellStyle name="Normal 4 2 2 9 2 2 4" xfId="20674" xr:uid="{00000000-0005-0000-0000-0000C6500000}"/>
    <cellStyle name="Normal 4 2 2 9 2 2 5" xfId="8469" xr:uid="{00000000-0005-0000-0000-000019210000}"/>
    <cellStyle name="Normal 4 2 2 9 2 3" xfId="3374" xr:uid="{00000000-0005-0000-0000-0000320D0000}"/>
    <cellStyle name="Normal 4 2 2 9 2 3 2" xfId="4416" xr:uid="{00000000-0005-0000-0000-000044110000}"/>
    <cellStyle name="Normal 4 2 2 9 2 3 2 2" xfId="18889" xr:uid="{00000000-0005-0000-0000-0000CD490000}"/>
    <cellStyle name="Normal 4 2 2 9 2 3 2 2 2" xfId="25401" xr:uid="{00000000-0005-0000-0000-00003D630000}"/>
    <cellStyle name="Normal 4 2 2 9 2 3 2 3" xfId="22566" xr:uid="{00000000-0005-0000-0000-00002A580000}"/>
    <cellStyle name="Normal 4 2 2 9 2 3 2 4" xfId="10661" xr:uid="{00000000-0005-0000-0000-0000A9290000}"/>
    <cellStyle name="Normal 4 2 2 9 2 3 3" xfId="17571" xr:uid="{00000000-0005-0000-0000-0000A7440000}"/>
    <cellStyle name="Normal 4 2 2 9 2 3 3 2" xfId="24145" xr:uid="{00000000-0005-0000-0000-0000555E0000}"/>
    <cellStyle name="Normal 4 2 2 9 2 3 4" xfId="21310" xr:uid="{00000000-0005-0000-0000-000042530000}"/>
    <cellStyle name="Normal 4 2 2 9 2 3 5" xfId="9331" xr:uid="{00000000-0005-0000-0000-000077240000}"/>
    <cellStyle name="Normal 4 2 2 9 2 4" xfId="3996" xr:uid="{00000000-0005-0000-0000-0000A00F0000}"/>
    <cellStyle name="Normal 4 2 2 9 2 4 2" xfId="18141" xr:uid="{00000000-0005-0000-0000-0000E1460000}"/>
    <cellStyle name="Normal 4 2 2 9 2 4 2 2" xfId="24653" xr:uid="{00000000-0005-0000-0000-000051600000}"/>
    <cellStyle name="Normal 4 2 2 9 2 4 3" xfId="21818" xr:uid="{00000000-0005-0000-0000-00003E550000}"/>
    <cellStyle name="Normal 4 2 2 9 2 4 4" xfId="9913" xr:uid="{00000000-0005-0000-0000-0000BD260000}"/>
    <cellStyle name="Normal 4 2 2 9 2 5" xfId="11103" xr:uid="{00000000-0005-0000-0000-0000632B0000}"/>
    <cellStyle name="Normal 4 2 2 9 2 5 2" xfId="22993" xr:uid="{00000000-0005-0000-0000-0000D5590000}"/>
    <cellStyle name="Normal 4 2 2 9 2 6" xfId="20256" xr:uid="{00000000-0005-0000-0000-0000244F0000}"/>
    <cellStyle name="Normal 4 2 2 9 2 7" xfId="8050" xr:uid="{00000000-0005-0000-0000-0000761F0000}"/>
    <cellStyle name="Normal 4 2 2 9 3" xfId="3027" xr:uid="{00000000-0005-0000-0000-0000D70B0000}"/>
    <cellStyle name="Normal 4 2 2 9 3 2" xfId="4101" xr:uid="{00000000-0005-0000-0000-000009100000}"/>
    <cellStyle name="Normal 4 2 2 9 3 2 2" xfId="10660" xr:uid="{00000000-0005-0000-0000-0000A8290000}"/>
    <cellStyle name="Normal 4 2 2 9 3 2 2 2" xfId="18888" xr:uid="{00000000-0005-0000-0000-0000CC490000}"/>
    <cellStyle name="Normal 4 2 2 9 3 2 2 2 2" xfId="25400" xr:uid="{00000000-0005-0000-0000-00003C630000}"/>
    <cellStyle name="Normal 4 2 2 9 3 2 2 3" xfId="22565" xr:uid="{00000000-0005-0000-0000-000029580000}"/>
    <cellStyle name="Normal 4 2 2 9 3 2 3" xfId="17570" xr:uid="{00000000-0005-0000-0000-0000A6440000}"/>
    <cellStyle name="Normal 4 2 2 9 3 2 3 2" xfId="24144" xr:uid="{00000000-0005-0000-0000-0000545E0000}"/>
    <cellStyle name="Normal 4 2 2 9 3 2 4" xfId="21309" xr:uid="{00000000-0005-0000-0000-000041530000}"/>
    <cellStyle name="Normal 4 2 2 9 3 2 5" xfId="9330" xr:uid="{00000000-0005-0000-0000-000076240000}"/>
    <cellStyle name="Normal 4 2 2 9 3 3" xfId="10122" xr:uid="{00000000-0005-0000-0000-00008E270000}"/>
    <cellStyle name="Normal 4 2 2 9 3 3 2" xfId="18350" xr:uid="{00000000-0005-0000-0000-0000B2470000}"/>
    <cellStyle name="Normal 4 2 2 9 3 3 2 2" xfId="24862" xr:uid="{00000000-0005-0000-0000-000022610000}"/>
    <cellStyle name="Normal 4 2 2 9 3 3 3" xfId="22027" xr:uid="{00000000-0005-0000-0000-00000F560000}"/>
    <cellStyle name="Normal 4 2 2 9 3 4" xfId="16941" xr:uid="{00000000-0005-0000-0000-000031420000}"/>
    <cellStyle name="Normal 4 2 2 9 3 4 2" xfId="23598" xr:uid="{00000000-0005-0000-0000-0000325C0000}"/>
    <cellStyle name="Normal 4 2 2 9 3 5" xfId="20465" xr:uid="{00000000-0005-0000-0000-0000F54F0000}"/>
    <cellStyle name="Normal 4 2 2 9 3 6" xfId="8260" xr:uid="{00000000-0005-0000-0000-000048200000}"/>
    <cellStyle name="Normal 4 2 2 9 4" xfId="3253" xr:uid="{00000000-0005-0000-0000-0000B90C0000}"/>
    <cellStyle name="Normal 4 2 2 9 4 2" xfId="4311" xr:uid="{00000000-0005-0000-0000-0000DB100000}"/>
    <cellStyle name="Normal 4 2 2 9 4 3" xfId="8778" xr:uid="{00000000-0005-0000-0000-00004E220000}"/>
    <cellStyle name="Normal 4 2 2 9 5" xfId="3704" xr:uid="{00000000-0005-0000-0000-00007C0E0000}"/>
    <cellStyle name="Normal 4 2 2 9 5 2" xfId="17932" xr:uid="{00000000-0005-0000-0000-000010460000}"/>
    <cellStyle name="Normal 4 2 2 9 5 2 2" xfId="24444" xr:uid="{00000000-0005-0000-0000-0000805F0000}"/>
    <cellStyle name="Normal 4 2 2 9 5 3" xfId="21609" xr:uid="{00000000-0005-0000-0000-00006D540000}"/>
    <cellStyle name="Normal 4 2 2 9 5 4" xfId="9704" xr:uid="{00000000-0005-0000-0000-0000EC250000}"/>
    <cellStyle name="Normal 4 2 2 9 6" xfId="11102" xr:uid="{00000000-0005-0000-0000-0000622B0000}"/>
    <cellStyle name="Normal 4 2 2 9 6 2" xfId="22992" xr:uid="{00000000-0005-0000-0000-0000D4590000}"/>
    <cellStyle name="Normal 4 2 2 9 7" xfId="20047" xr:uid="{00000000-0005-0000-0000-0000534E0000}"/>
    <cellStyle name="Normal 4 2 2 9 8" xfId="7811" xr:uid="{00000000-0005-0000-0000-0000871E0000}"/>
    <cellStyle name="Normal 4 2 3" xfId="1181" xr:uid="{00000000-0005-0000-0000-0000A1040000}"/>
    <cellStyle name="Normal 4 2 3 2" xfId="2326" xr:uid="{00000000-0005-0000-0000-00001A090000}"/>
    <cellStyle name="Normal 4 2 3 2 2" xfId="7947" xr:uid="{00000000-0005-0000-0000-00000F1F0000}"/>
    <cellStyle name="Normal 4 2 3 2 2 2" xfId="8366" xr:uid="{00000000-0005-0000-0000-0000B2200000}"/>
    <cellStyle name="Normal 4 2 3 2 2 2 2" xfId="10228" xr:uid="{00000000-0005-0000-0000-0000F8270000}"/>
    <cellStyle name="Normal 4 2 3 2 2 2 2 2" xfId="18456" xr:uid="{00000000-0005-0000-0000-00001C480000}"/>
    <cellStyle name="Normal 4 2 3 2 2 2 2 2 2" xfId="24968" xr:uid="{00000000-0005-0000-0000-00008C610000}"/>
    <cellStyle name="Normal 4 2 3 2 2 2 2 3" xfId="22133" xr:uid="{00000000-0005-0000-0000-000079560000}"/>
    <cellStyle name="Normal 4 2 3 2 2 2 3" xfId="17046" xr:uid="{00000000-0005-0000-0000-00009A420000}"/>
    <cellStyle name="Normal 4 2 3 2 2 2 3 2" xfId="23703" xr:uid="{00000000-0005-0000-0000-00009B5C0000}"/>
    <cellStyle name="Normal 4 2 3 2 2 2 4" xfId="20571" xr:uid="{00000000-0005-0000-0000-00005F500000}"/>
    <cellStyle name="Normal 4 2 3 2 2 3" xfId="9334" xr:uid="{00000000-0005-0000-0000-00007A240000}"/>
    <cellStyle name="Normal 4 2 3 2 2 3 2" xfId="10663" xr:uid="{00000000-0005-0000-0000-0000AB290000}"/>
    <cellStyle name="Normal 4 2 3 2 2 3 2 2" xfId="18891" xr:uid="{00000000-0005-0000-0000-0000CF490000}"/>
    <cellStyle name="Normal 4 2 3 2 2 3 2 2 2" xfId="25403" xr:uid="{00000000-0005-0000-0000-00003F630000}"/>
    <cellStyle name="Normal 4 2 3 2 2 3 2 3" xfId="22568" xr:uid="{00000000-0005-0000-0000-00002C580000}"/>
    <cellStyle name="Normal 4 2 3 2 2 3 3" xfId="17573" xr:uid="{00000000-0005-0000-0000-0000A9440000}"/>
    <cellStyle name="Normal 4 2 3 2 2 3 3 2" xfId="24147" xr:uid="{00000000-0005-0000-0000-0000575E0000}"/>
    <cellStyle name="Normal 4 2 3 2 2 3 4" xfId="21312" xr:uid="{00000000-0005-0000-0000-000044530000}"/>
    <cellStyle name="Normal 4 2 3 2 2 4" xfId="9810" xr:uid="{00000000-0005-0000-0000-000056260000}"/>
    <cellStyle name="Normal 4 2 3 2 2 4 2" xfId="18038" xr:uid="{00000000-0005-0000-0000-00007A460000}"/>
    <cellStyle name="Normal 4 2 3 2 2 4 2 2" xfId="24550" xr:uid="{00000000-0005-0000-0000-0000EA5F0000}"/>
    <cellStyle name="Normal 4 2 3 2 2 4 3" xfId="21715" xr:uid="{00000000-0005-0000-0000-0000D7540000}"/>
    <cellStyle name="Normal 4 2 3 2 2 5" xfId="11105" xr:uid="{00000000-0005-0000-0000-0000652B0000}"/>
    <cellStyle name="Normal 4 2 3 2 2 5 2" xfId="22995" xr:uid="{00000000-0005-0000-0000-0000D7590000}"/>
    <cellStyle name="Normal 4 2 3 2 2 6" xfId="20153" xr:uid="{00000000-0005-0000-0000-0000BD4E0000}"/>
    <cellStyle name="Normal 4 2 3 2 3" xfId="8157" xr:uid="{00000000-0005-0000-0000-0000E11F0000}"/>
    <cellStyle name="Normal 4 2 3 2 3 2" xfId="10019" xr:uid="{00000000-0005-0000-0000-000027270000}"/>
    <cellStyle name="Normal 4 2 3 2 3 2 2" xfId="18247" xr:uid="{00000000-0005-0000-0000-00004B470000}"/>
    <cellStyle name="Normal 4 2 3 2 3 2 2 2" xfId="24759" xr:uid="{00000000-0005-0000-0000-0000BB600000}"/>
    <cellStyle name="Normal 4 2 3 2 3 2 3" xfId="21924" xr:uid="{00000000-0005-0000-0000-0000A8550000}"/>
    <cellStyle name="Normal 4 2 3 2 3 3" xfId="16844" xr:uid="{00000000-0005-0000-0000-0000D0410000}"/>
    <cellStyle name="Normal 4 2 3 2 3 3 2" xfId="23503" xr:uid="{00000000-0005-0000-0000-0000D35B0000}"/>
    <cellStyle name="Normal 4 2 3 2 3 4" xfId="12758" xr:uid="{00000000-0005-0000-0000-0000DA310000}"/>
    <cellStyle name="Normal 4 2 3 2 3 5" xfId="20362" xr:uid="{00000000-0005-0000-0000-00008E4F0000}"/>
    <cellStyle name="Normal 4 2 3 2 4" xfId="9333" xr:uid="{00000000-0005-0000-0000-000079240000}"/>
    <cellStyle name="Normal 4 2 3 2 4 2" xfId="10662" xr:uid="{00000000-0005-0000-0000-0000AA290000}"/>
    <cellStyle name="Normal 4 2 3 2 4 2 2" xfId="18890" xr:uid="{00000000-0005-0000-0000-0000CE490000}"/>
    <cellStyle name="Normal 4 2 3 2 4 2 2 2" xfId="25402" xr:uid="{00000000-0005-0000-0000-00003E630000}"/>
    <cellStyle name="Normal 4 2 3 2 4 2 3" xfId="22567" xr:uid="{00000000-0005-0000-0000-00002B580000}"/>
    <cellStyle name="Normal 4 2 3 2 4 3" xfId="17572" xr:uid="{00000000-0005-0000-0000-0000A8440000}"/>
    <cellStyle name="Normal 4 2 3 2 4 3 2" xfId="24146" xr:uid="{00000000-0005-0000-0000-0000565E0000}"/>
    <cellStyle name="Normal 4 2 3 2 4 4" xfId="21311" xr:uid="{00000000-0005-0000-0000-000043530000}"/>
    <cellStyle name="Normal 4 2 3 2 5" xfId="9601" xr:uid="{00000000-0005-0000-0000-000085250000}"/>
    <cellStyle name="Normal 4 2 3 2 5 2" xfId="17829" xr:uid="{00000000-0005-0000-0000-0000A9450000}"/>
    <cellStyle name="Normal 4 2 3 2 5 2 2" xfId="24341" xr:uid="{00000000-0005-0000-0000-0000195F0000}"/>
    <cellStyle name="Normal 4 2 3 2 5 3" xfId="21506" xr:uid="{00000000-0005-0000-0000-000006540000}"/>
    <cellStyle name="Normal 4 2 3 2 6" xfId="11104" xr:uid="{00000000-0005-0000-0000-0000642B0000}"/>
    <cellStyle name="Normal 4 2 3 2 6 2" xfId="22994" xr:uid="{00000000-0005-0000-0000-0000D6590000}"/>
    <cellStyle name="Normal 4 2 3 2 7" xfId="19718" xr:uid="{00000000-0005-0000-0000-00000A4D0000}"/>
    <cellStyle name="Normal 4 2 3 2 8" xfId="6420" xr:uid="{00000000-0005-0000-0000-000018190000}"/>
    <cellStyle name="Normal 4 2 3 3" xfId="7812" xr:uid="{00000000-0005-0000-0000-0000881E0000}"/>
    <cellStyle name="Normal 4 2 3 4" xfId="9332" xr:uid="{00000000-0005-0000-0000-000078240000}"/>
    <cellStyle name="Normal 4 2 3 5" xfId="6419" xr:uid="{00000000-0005-0000-0000-000017190000}"/>
    <cellStyle name="Normal 4 2 4" xfId="1182" xr:uid="{00000000-0005-0000-0000-0000A2040000}"/>
    <cellStyle name="Normal 4 2 4 2" xfId="2327" xr:uid="{00000000-0005-0000-0000-00001B090000}"/>
    <cellStyle name="Normal 4 2 5" xfId="1183" xr:uid="{00000000-0005-0000-0000-0000A3040000}"/>
    <cellStyle name="Normal 4 2 5 2" xfId="2328" xr:uid="{00000000-0005-0000-0000-00001C090000}"/>
    <cellStyle name="Normal 4 2 6" xfId="1184" xr:uid="{00000000-0005-0000-0000-0000A4040000}"/>
    <cellStyle name="Normal 4 2 6 2" xfId="2329" xr:uid="{00000000-0005-0000-0000-00001D090000}"/>
    <cellStyle name="Normal 4 2 7" xfId="1185" xr:uid="{00000000-0005-0000-0000-0000A5040000}"/>
    <cellStyle name="Normal 4 2 7 2" xfId="2330" xr:uid="{00000000-0005-0000-0000-00001E090000}"/>
    <cellStyle name="Normal 4 2 8" xfId="1186" xr:uid="{00000000-0005-0000-0000-0000A6040000}"/>
    <cellStyle name="Normal 4 2 8 2" xfId="2331" xr:uid="{00000000-0005-0000-0000-00001F090000}"/>
    <cellStyle name="Normal 4 2 9" xfId="2300" xr:uid="{00000000-0005-0000-0000-000000090000}"/>
    <cellStyle name="Normal 4 2 9 2" xfId="9335" xr:uid="{00000000-0005-0000-0000-00007B240000}"/>
    <cellStyle name="Normal 4 2 9 3" xfId="8779" xr:uid="{00000000-0005-0000-0000-00004F220000}"/>
    <cellStyle name="Normal 4 2 9 3 2" xfId="10377" xr:uid="{00000000-0005-0000-0000-00008D280000}"/>
    <cellStyle name="Normal 4 2 9 3 2 2" xfId="18605" xr:uid="{00000000-0005-0000-0000-0000B1480000}"/>
    <cellStyle name="Normal 4 2 9 3 2 2 2" xfId="25117" xr:uid="{00000000-0005-0000-0000-000021620000}"/>
    <cellStyle name="Normal 4 2 9 3 2 3" xfId="22282" xr:uid="{00000000-0005-0000-0000-00000E570000}"/>
    <cellStyle name="Normal 4 2 9 3 3" xfId="17229" xr:uid="{00000000-0005-0000-0000-000051430000}"/>
    <cellStyle name="Normal 4 2 9 3 3 2" xfId="23854" xr:uid="{00000000-0005-0000-0000-0000325D0000}"/>
    <cellStyle name="Normal 4 2 9 3 4" xfId="20914" xr:uid="{00000000-0005-0000-0000-0000B6510000}"/>
    <cellStyle name="Normal 4 2_Scen_XBase" xfId="6421" xr:uid="{00000000-0005-0000-0000-000019190000}"/>
    <cellStyle name="Normal 4 3" xfId="132" xr:uid="{00000000-0005-0000-0000-000088000000}"/>
    <cellStyle name="Normal 4 3 10" xfId="1187" xr:uid="{00000000-0005-0000-0000-0000A7040000}"/>
    <cellStyle name="Normal 4 3 10 2" xfId="8311" xr:uid="{00000000-0005-0000-0000-00007B200000}"/>
    <cellStyle name="Normal 4 3 10 2 2" xfId="10173" xr:uid="{00000000-0005-0000-0000-0000C1270000}"/>
    <cellStyle name="Normal 4 3 10 2 2 2" xfId="18401" xr:uid="{00000000-0005-0000-0000-0000E5470000}"/>
    <cellStyle name="Normal 4 3 10 2 2 2 2" xfId="24913" xr:uid="{00000000-0005-0000-0000-000055610000}"/>
    <cellStyle name="Normal 4 3 10 2 2 3" xfId="22078" xr:uid="{00000000-0005-0000-0000-000042560000}"/>
    <cellStyle name="Normal 4 3 10 2 3" xfId="16991" xr:uid="{00000000-0005-0000-0000-000063420000}"/>
    <cellStyle name="Normal 4 3 10 2 3 2" xfId="23648" xr:uid="{00000000-0005-0000-0000-0000645C0000}"/>
    <cellStyle name="Normal 4 3 10 2 4" xfId="20516" xr:uid="{00000000-0005-0000-0000-000028500000}"/>
    <cellStyle name="Normal 4 3 10 3" xfId="9336" xr:uid="{00000000-0005-0000-0000-00007C240000}"/>
    <cellStyle name="Normal 4 3 10 3 2" xfId="10664" xr:uid="{00000000-0005-0000-0000-0000AC290000}"/>
    <cellStyle name="Normal 4 3 10 3 2 2" xfId="18892" xr:uid="{00000000-0005-0000-0000-0000D0490000}"/>
    <cellStyle name="Normal 4 3 10 3 2 2 2" xfId="25404" xr:uid="{00000000-0005-0000-0000-000040630000}"/>
    <cellStyle name="Normal 4 3 10 3 2 3" xfId="22569" xr:uid="{00000000-0005-0000-0000-00002D580000}"/>
    <cellStyle name="Normal 4 3 10 3 3" xfId="17574" xr:uid="{00000000-0005-0000-0000-0000AA440000}"/>
    <cellStyle name="Normal 4 3 10 3 3 2" xfId="24148" xr:uid="{00000000-0005-0000-0000-0000585E0000}"/>
    <cellStyle name="Normal 4 3 10 3 4" xfId="21313" xr:uid="{00000000-0005-0000-0000-000045530000}"/>
    <cellStyle name="Normal 4 3 10 4" xfId="9755" xr:uid="{00000000-0005-0000-0000-00001F260000}"/>
    <cellStyle name="Normal 4 3 10 4 2" xfId="17983" xr:uid="{00000000-0005-0000-0000-000043460000}"/>
    <cellStyle name="Normal 4 3 10 4 2 2" xfId="24495" xr:uid="{00000000-0005-0000-0000-0000B35F0000}"/>
    <cellStyle name="Normal 4 3 10 4 3" xfId="21660" xr:uid="{00000000-0005-0000-0000-0000A0540000}"/>
    <cellStyle name="Normal 4 3 10 5" xfId="11106" xr:uid="{00000000-0005-0000-0000-0000662B0000}"/>
    <cellStyle name="Normal 4 3 10 5 2" xfId="22996" xr:uid="{00000000-0005-0000-0000-0000D8590000}"/>
    <cellStyle name="Normal 4 3 10 6" xfId="20098" xr:uid="{00000000-0005-0000-0000-0000864E0000}"/>
    <cellStyle name="Normal 4 3 10 7" xfId="7889" xr:uid="{00000000-0005-0000-0000-0000D51E0000}"/>
    <cellStyle name="Normal 4 3 11" xfId="3421" xr:uid="{00000000-0005-0000-0000-0000610D0000}"/>
    <cellStyle name="Normal 4 3 11 2" xfId="8880" xr:uid="{00000000-0005-0000-0000-0000B4220000}"/>
    <cellStyle name="Normal 4 3 11 2 2" xfId="10384" xr:uid="{00000000-0005-0000-0000-000094280000}"/>
    <cellStyle name="Normal 4 3 11 2 2 2" xfId="18612" xr:uid="{00000000-0005-0000-0000-0000B8480000}"/>
    <cellStyle name="Normal 4 3 11 2 2 2 2" xfId="25124" xr:uid="{00000000-0005-0000-0000-000028620000}"/>
    <cellStyle name="Normal 4 3 11 2 2 3" xfId="22289" xr:uid="{00000000-0005-0000-0000-000015570000}"/>
    <cellStyle name="Normal 4 3 11 2 3" xfId="17256" xr:uid="{00000000-0005-0000-0000-00006C430000}"/>
    <cellStyle name="Normal 4 3 11 2 3 2" xfId="23866" xr:uid="{00000000-0005-0000-0000-00003E5D0000}"/>
    <cellStyle name="Normal 4 3 11 2 4" xfId="20948" xr:uid="{00000000-0005-0000-0000-0000D8510000}"/>
    <cellStyle name="Normal 4 3 11 3" xfId="9964" xr:uid="{00000000-0005-0000-0000-0000F0260000}"/>
    <cellStyle name="Normal 4 3 11 3 2" xfId="18192" xr:uid="{00000000-0005-0000-0000-000014470000}"/>
    <cellStyle name="Normal 4 3 11 3 2 2" xfId="24704" xr:uid="{00000000-0005-0000-0000-000084600000}"/>
    <cellStyle name="Normal 4 3 11 3 3" xfId="21869" xr:uid="{00000000-0005-0000-0000-000071550000}"/>
    <cellStyle name="Normal 4 3 11 4" xfId="11107" xr:uid="{00000000-0005-0000-0000-0000672B0000}"/>
    <cellStyle name="Normal 4 3 11 4 2" xfId="22997" xr:uid="{00000000-0005-0000-0000-0000D9590000}"/>
    <cellStyle name="Normal 4 3 11 5" xfId="20307" xr:uid="{00000000-0005-0000-0000-0000574F0000}"/>
    <cellStyle name="Normal 4 3 11 6" xfId="8102" xr:uid="{00000000-0005-0000-0000-0000AA1F0000}"/>
    <cellStyle name="Normal 4 3 12" xfId="9546" xr:uid="{00000000-0005-0000-0000-00004E250000}"/>
    <cellStyle name="Normal 4 3 12 2" xfId="17774" xr:uid="{00000000-0005-0000-0000-000072450000}"/>
    <cellStyle name="Normal 4 3 12 2 2" xfId="24286" xr:uid="{00000000-0005-0000-0000-0000E25E0000}"/>
    <cellStyle name="Normal 4 3 12 3" xfId="21451" xr:uid="{00000000-0005-0000-0000-0000CF530000}"/>
    <cellStyle name="Normal 4 3 13" xfId="19612" xr:uid="{00000000-0005-0000-0000-0000A04C0000}"/>
    <cellStyle name="Normal 4 3 14" xfId="4519" xr:uid="{00000000-0005-0000-0000-0000AB110000}"/>
    <cellStyle name="Normal 4 3 2" xfId="1188" xr:uid="{00000000-0005-0000-0000-0000A8040000}"/>
    <cellStyle name="Normal 4 3 2 2" xfId="2333" xr:uid="{00000000-0005-0000-0000-000021090000}"/>
    <cellStyle name="Normal 4 3 2 3" xfId="8881" xr:uid="{00000000-0005-0000-0000-0000B5220000}"/>
    <cellStyle name="Normal 4 3 2 4" xfId="4520" xr:uid="{00000000-0005-0000-0000-0000AC110000}"/>
    <cellStyle name="Normal 4 3 3" xfId="1189" xr:uid="{00000000-0005-0000-0000-0000A9040000}"/>
    <cellStyle name="Normal 4 3 3 2" xfId="2334" xr:uid="{00000000-0005-0000-0000-000022090000}"/>
    <cellStyle name="Normal 4 3 3 2 2" xfId="7948" xr:uid="{00000000-0005-0000-0000-0000101F0000}"/>
    <cellStyle name="Normal 4 3 3 2 2 2" xfId="8367" xr:uid="{00000000-0005-0000-0000-0000B3200000}"/>
    <cellStyle name="Normal 4 3 3 2 2 2 2" xfId="10229" xr:uid="{00000000-0005-0000-0000-0000F9270000}"/>
    <cellStyle name="Normal 4 3 3 2 2 2 2 2" xfId="18457" xr:uid="{00000000-0005-0000-0000-00001D480000}"/>
    <cellStyle name="Normal 4 3 3 2 2 2 2 2 2" xfId="24969" xr:uid="{00000000-0005-0000-0000-00008D610000}"/>
    <cellStyle name="Normal 4 3 3 2 2 2 2 3" xfId="22134" xr:uid="{00000000-0005-0000-0000-00007A560000}"/>
    <cellStyle name="Normal 4 3 3 2 2 2 3" xfId="17047" xr:uid="{00000000-0005-0000-0000-00009B420000}"/>
    <cellStyle name="Normal 4 3 3 2 2 2 3 2" xfId="23704" xr:uid="{00000000-0005-0000-0000-00009C5C0000}"/>
    <cellStyle name="Normal 4 3 3 2 2 2 4" xfId="20572" xr:uid="{00000000-0005-0000-0000-000060500000}"/>
    <cellStyle name="Normal 4 3 3 2 2 3" xfId="9339" xr:uid="{00000000-0005-0000-0000-00007F240000}"/>
    <cellStyle name="Normal 4 3 3 2 2 3 2" xfId="10667" xr:uid="{00000000-0005-0000-0000-0000AF290000}"/>
    <cellStyle name="Normal 4 3 3 2 2 3 2 2" xfId="18895" xr:uid="{00000000-0005-0000-0000-0000D3490000}"/>
    <cellStyle name="Normal 4 3 3 2 2 3 2 2 2" xfId="25407" xr:uid="{00000000-0005-0000-0000-000043630000}"/>
    <cellStyle name="Normal 4 3 3 2 2 3 2 3" xfId="22572" xr:uid="{00000000-0005-0000-0000-000030580000}"/>
    <cellStyle name="Normal 4 3 3 2 2 3 3" xfId="17577" xr:uid="{00000000-0005-0000-0000-0000AD440000}"/>
    <cellStyle name="Normal 4 3 3 2 2 3 3 2" xfId="24151" xr:uid="{00000000-0005-0000-0000-00005B5E0000}"/>
    <cellStyle name="Normal 4 3 3 2 2 3 4" xfId="21316" xr:uid="{00000000-0005-0000-0000-000048530000}"/>
    <cellStyle name="Normal 4 3 3 2 2 4" xfId="9811" xr:uid="{00000000-0005-0000-0000-000057260000}"/>
    <cellStyle name="Normal 4 3 3 2 2 4 2" xfId="18039" xr:uid="{00000000-0005-0000-0000-00007B460000}"/>
    <cellStyle name="Normal 4 3 3 2 2 4 2 2" xfId="24551" xr:uid="{00000000-0005-0000-0000-0000EB5F0000}"/>
    <cellStyle name="Normal 4 3 3 2 2 4 3" xfId="21716" xr:uid="{00000000-0005-0000-0000-0000D8540000}"/>
    <cellStyle name="Normal 4 3 3 2 2 5" xfId="11109" xr:uid="{00000000-0005-0000-0000-0000692B0000}"/>
    <cellStyle name="Normal 4 3 3 2 2 5 2" xfId="22999" xr:uid="{00000000-0005-0000-0000-0000DB590000}"/>
    <cellStyle name="Normal 4 3 3 2 2 6" xfId="20154" xr:uid="{00000000-0005-0000-0000-0000BE4E0000}"/>
    <cellStyle name="Normal 4 3 3 2 3" xfId="8158" xr:uid="{00000000-0005-0000-0000-0000E21F0000}"/>
    <cellStyle name="Normal 4 3 3 2 3 2" xfId="10020" xr:uid="{00000000-0005-0000-0000-000028270000}"/>
    <cellStyle name="Normal 4 3 3 2 3 2 2" xfId="18248" xr:uid="{00000000-0005-0000-0000-00004C470000}"/>
    <cellStyle name="Normal 4 3 3 2 3 2 2 2" xfId="24760" xr:uid="{00000000-0005-0000-0000-0000BC600000}"/>
    <cellStyle name="Normal 4 3 3 2 3 2 3" xfId="21925" xr:uid="{00000000-0005-0000-0000-0000A9550000}"/>
    <cellStyle name="Normal 4 3 3 2 3 3" xfId="16845" xr:uid="{00000000-0005-0000-0000-0000D1410000}"/>
    <cellStyle name="Normal 4 3 3 2 3 3 2" xfId="23504" xr:uid="{00000000-0005-0000-0000-0000D45B0000}"/>
    <cellStyle name="Normal 4 3 3 2 3 4" xfId="20363" xr:uid="{00000000-0005-0000-0000-00008F4F0000}"/>
    <cellStyle name="Normal 4 3 3 2 4" xfId="9338" xr:uid="{00000000-0005-0000-0000-00007E240000}"/>
    <cellStyle name="Normal 4 3 3 2 4 2" xfId="10666" xr:uid="{00000000-0005-0000-0000-0000AE290000}"/>
    <cellStyle name="Normal 4 3 3 2 4 2 2" xfId="18894" xr:uid="{00000000-0005-0000-0000-0000D2490000}"/>
    <cellStyle name="Normal 4 3 3 2 4 2 2 2" xfId="25406" xr:uid="{00000000-0005-0000-0000-000042630000}"/>
    <cellStyle name="Normal 4 3 3 2 4 2 3" xfId="22571" xr:uid="{00000000-0005-0000-0000-00002F580000}"/>
    <cellStyle name="Normal 4 3 3 2 4 3" xfId="17576" xr:uid="{00000000-0005-0000-0000-0000AC440000}"/>
    <cellStyle name="Normal 4 3 3 2 4 3 2" xfId="24150" xr:uid="{00000000-0005-0000-0000-00005A5E0000}"/>
    <cellStyle name="Normal 4 3 3 2 4 4" xfId="21315" xr:uid="{00000000-0005-0000-0000-000047530000}"/>
    <cellStyle name="Normal 4 3 3 2 5" xfId="9602" xr:uid="{00000000-0005-0000-0000-000086250000}"/>
    <cellStyle name="Normal 4 3 3 2 5 2" xfId="17830" xr:uid="{00000000-0005-0000-0000-0000AA450000}"/>
    <cellStyle name="Normal 4 3 3 2 5 2 2" xfId="24342" xr:uid="{00000000-0005-0000-0000-00001A5F0000}"/>
    <cellStyle name="Normal 4 3 3 2 5 3" xfId="21507" xr:uid="{00000000-0005-0000-0000-000007540000}"/>
    <cellStyle name="Normal 4 3 3 2 6" xfId="11108" xr:uid="{00000000-0005-0000-0000-0000682B0000}"/>
    <cellStyle name="Normal 4 3 3 2 6 2" xfId="22998" xr:uid="{00000000-0005-0000-0000-0000DA590000}"/>
    <cellStyle name="Normal 4 3 3 2 7" xfId="19719" xr:uid="{00000000-0005-0000-0000-00000B4D0000}"/>
    <cellStyle name="Normal 4 3 3 2 8" xfId="6422" xr:uid="{00000000-0005-0000-0000-00001A190000}"/>
    <cellStyle name="Normal 4 3 3 3" xfId="7813" xr:uid="{00000000-0005-0000-0000-0000891E0000}"/>
    <cellStyle name="Normal 4 3 3 4" xfId="7914" xr:uid="{00000000-0005-0000-0000-0000EE1E0000}"/>
    <cellStyle name="Normal 4 3 3 4 2" xfId="8335" xr:uid="{00000000-0005-0000-0000-000093200000}"/>
    <cellStyle name="Normal 4 3 3 4 2 2" xfId="10197" xr:uid="{00000000-0005-0000-0000-0000D9270000}"/>
    <cellStyle name="Normal 4 3 3 4 2 2 2" xfId="18425" xr:uid="{00000000-0005-0000-0000-0000FD470000}"/>
    <cellStyle name="Normal 4 3 3 4 2 2 2 2" xfId="24937" xr:uid="{00000000-0005-0000-0000-00006D610000}"/>
    <cellStyle name="Normal 4 3 3 4 2 2 3" xfId="22102" xr:uid="{00000000-0005-0000-0000-00005A560000}"/>
    <cellStyle name="Normal 4 3 3 4 2 3" xfId="17015" xr:uid="{00000000-0005-0000-0000-00007B420000}"/>
    <cellStyle name="Normal 4 3 3 4 2 3 2" xfId="23672" xr:uid="{00000000-0005-0000-0000-00007C5C0000}"/>
    <cellStyle name="Normal 4 3 3 4 2 4" xfId="20540" xr:uid="{00000000-0005-0000-0000-000040500000}"/>
    <cellStyle name="Normal 4 3 3 4 3" xfId="9340" xr:uid="{00000000-0005-0000-0000-000080240000}"/>
    <cellStyle name="Normal 4 3 3 4 3 2" xfId="10668" xr:uid="{00000000-0005-0000-0000-0000B0290000}"/>
    <cellStyle name="Normal 4 3 3 4 3 2 2" xfId="18896" xr:uid="{00000000-0005-0000-0000-0000D4490000}"/>
    <cellStyle name="Normal 4 3 3 4 3 2 2 2" xfId="25408" xr:uid="{00000000-0005-0000-0000-000044630000}"/>
    <cellStyle name="Normal 4 3 3 4 3 2 3" xfId="22573" xr:uid="{00000000-0005-0000-0000-000031580000}"/>
    <cellStyle name="Normal 4 3 3 4 3 3" xfId="17578" xr:uid="{00000000-0005-0000-0000-0000AE440000}"/>
    <cellStyle name="Normal 4 3 3 4 3 3 2" xfId="24152" xr:uid="{00000000-0005-0000-0000-00005C5E0000}"/>
    <cellStyle name="Normal 4 3 3 4 3 4" xfId="21317" xr:uid="{00000000-0005-0000-0000-000049530000}"/>
    <cellStyle name="Normal 4 3 3 4 4" xfId="9779" xr:uid="{00000000-0005-0000-0000-000037260000}"/>
    <cellStyle name="Normal 4 3 3 4 4 2" xfId="18007" xr:uid="{00000000-0005-0000-0000-00005B460000}"/>
    <cellStyle name="Normal 4 3 3 4 4 2 2" xfId="24519" xr:uid="{00000000-0005-0000-0000-0000CB5F0000}"/>
    <cellStyle name="Normal 4 3 3 4 4 3" xfId="21684" xr:uid="{00000000-0005-0000-0000-0000B8540000}"/>
    <cellStyle name="Normal 4 3 3 4 5" xfId="11110" xr:uid="{00000000-0005-0000-0000-00006A2B0000}"/>
    <cellStyle name="Normal 4 3 3 4 5 2" xfId="23000" xr:uid="{00000000-0005-0000-0000-0000DC590000}"/>
    <cellStyle name="Normal 4 3 3 4 6" xfId="20122" xr:uid="{00000000-0005-0000-0000-00009E4E0000}"/>
    <cellStyle name="Normal 4 3 3 5" xfId="8126" xr:uid="{00000000-0005-0000-0000-0000C21F0000}"/>
    <cellStyle name="Normal 4 3 3 5 2" xfId="9337" xr:uid="{00000000-0005-0000-0000-00007D240000}"/>
    <cellStyle name="Normal 4 3 3 5 2 2" xfId="10665" xr:uid="{00000000-0005-0000-0000-0000AD290000}"/>
    <cellStyle name="Normal 4 3 3 5 2 2 2" xfId="18893" xr:uid="{00000000-0005-0000-0000-0000D1490000}"/>
    <cellStyle name="Normal 4 3 3 5 2 2 2 2" xfId="25405" xr:uid="{00000000-0005-0000-0000-000041630000}"/>
    <cellStyle name="Normal 4 3 3 5 2 2 3" xfId="22570" xr:uid="{00000000-0005-0000-0000-00002E580000}"/>
    <cellStyle name="Normal 4 3 3 5 2 3" xfId="17575" xr:uid="{00000000-0005-0000-0000-0000AB440000}"/>
    <cellStyle name="Normal 4 3 3 5 2 3 2" xfId="24149" xr:uid="{00000000-0005-0000-0000-0000595E0000}"/>
    <cellStyle name="Normal 4 3 3 5 2 4" xfId="21314" xr:uid="{00000000-0005-0000-0000-000046530000}"/>
    <cellStyle name="Normal 4 3 3 5 3" xfId="9988" xr:uid="{00000000-0005-0000-0000-000008270000}"/>
    <cellStyle name="Normal 4 3 3 5 3 2" xfId="18216" xr:uid="{00000000-0005-0000-0000-00002C470000}"/>
    <cellStyle name="Normal 4 3 3 5 3 2 2" xfId="24728" xr:uid="{00000000-0005-0000-0000-00009C600000}"/>
    <cellStyle name="Normal 4 3 3 5 3 3" xfId="21893" xr:uid="{00000000-0005-0000-0000-000089550000}"/>
    <cellStyle name="Normal 4 3 3 5 4" xfId="11111" xr:uid="{00000000-0005-0000-0000-00006B2B0000}"/>
    <cellStyle name="Normal 4 3 3 5 4 2" xfId="23001" xr:uid="{00000000-0005-0000-0000-0000DD590000}"/>
    <cellStyle name="Normal 4 3 3 5 5" xfId="20331" xr:uid="{00000000-0005-0000-0000-00006F4F0000}"/>
    <cellStyle name="Normal 4 3 3 6" xfId="9570" xr:uid="{00000000-0005-0000-0000-000066250000}"/>
    <cellStyle name="Normal 4 3 3 6 2" xfId="17798" xr:uid="{00000000-0005-0000-0000-00008A450000}"/>
    <cellStyle name="Normal 4 3 3 6 2 2" xfId="24310" xr:uid="{00000000-0005-0000-0000-0000FA5E0000}"/>
    <cellStyle name="Normal 4 3 3 6 3" xfId="21475" xr:uid="{00000000-0005-0000-0000-0000E7530000}"/>
    <cellStyle name="Normal 4 3 3 7" xfId="19646" xr:uid="{00000000-0005-0000-0000-0000C24C0000}"/>
    <cellStyle name="Normal 4 3 3 8" xfId="4570" xr:uid="{00000000-0005-0000-0000-0000DE110000}"/>
    <cellStyle name="Normal 4 3 4" xfId="1190" xr:uid="{00000000-0005-0000-0000-0000AA040000}"/>
    <cellStyle name="Normal 4 3 4 2" xfId="2335" xr:uid="{00000000-0005-0000-0000-000023090000}"/>
    <cellStyle name="Normal 4 3 4 2 2" xfId="6423" xr:uid="{00000000-0005-0000-0000-00001B190000}"/>
    <cellStyle name="Normal 4 3 4 3" xfId="7814" xr:uid="{00000000-0005-0000-0000-00008A1E0000}"/>
    <cellStyle name="Normal 4 3 4 4" xfId="7913" xr:uid="{00000000-0005-0000-0000-0000ED1E0000}"/>
    <cellStyle name="Normal 4 3 4 4 2" xfId="8334" xr:uid="{00000000-0005-0000-0000-000092200000}"/>
    <cellStyle name="Normal 4 3 4 4 2 2" xfId="10196" xr:uid="{00000000-0005-0000-0000-0000D8270000}"/>
    <cellStyle name="Normal 4 3 4 4 2 2 2" xfId="18424" xr:uid="{00000000-0005-0000-0000-0000FC470000}"/>
    <cellStyle name="Normal 4 3 4 4 2 2 2 2" xfId="24936" xr:uid="{00000000-0005-0000-0000-00006C610000}"/>
    <cellStyle name="Normal 4 3 4 4 2 2 3" xfId="22101" xr:uid="{00000000-0005-0000-0000-000059560000}"/>
    <cellStyle name="Normal 4 3 4 4 2 3" xfId="17014" xr:uid="{00000000-0005-0000-0000-00007A420000}"/>
    <cellStyle name="Normal 4 3 4 4 2 3 2" xfId="23671" xr:uid="{00000000-0005-0000-0000-00007B5C0000}"/>
    <cellStyle name="Normal 4 3 4 4 2 4" xfId="20539" xr:uid="{00000000-0005-0000-0000-00003F500000}"/>
    <cellStyle name="Normal 4 3 4 4 3" xfId="9342" xr:uid="{00000000-0005-0000-0000-000082240000}"/>
    <cellStyle name="Normal 4 3 4 4 3 2" xfId="10670" xr:uid="{00000000-0005-0000-0000-0000B2290000}"/>
    <cellStyle name="Normal 4 3 4 4 3 2 2" xfId="18898" xr:uid="{00000000-0005-0000-0000-0000D6490000}"/>
    <cellStyle name="Normal 4 3 4 4 3 2 2 2" xfId="25410" xr:uid="{00000000-0005-0000-0000-000046630000}"/>
    <cellStyle name="Normal 4 3 4 4 3 2 3" xfId="22575" xr:uid="{00000000-0005-0000-0000-000033580000}"/>
    <cellStyle name="Normal 4 3 4 4 3 3" xfId="17580" xr:uid="{00000000-0005-0000-0000-0000B0440000}"/>
    <cellStyle name="Normal 4 3 4 4 3 3 2" xfId="24154" xr:uid="{00000000-0005-0000-0000-00005E5E0000}"/>
    <cellStyle name="Normal 4 3 4 4 3 4" xfId="21319" xr:uid="{00000000-0005-0000-0000-00004B530000}"/>
    <cellStyle name="Normal 4 3 4 4 4" xfId="9778" xr:uid="{00000000-0005-0000-0000-000036260000}"/>
    <cellStyle name="Normal 4 3 4 4 4 2" xfId="18006" xr:uid="{00000000-0005-0000-0000-00005A460000}"/>
    <cellStyle name="Normal 4 3 4 4 4 2 2" xfId="24518" xr:uid="{00000000-0005-0000-0000-0000CA5F0000}"/>
    <cellStyle name="Normal 4 3 4 4 4 3" xfId="21683" xr:uid="{00000000-0005-0000-0000-0000B7540000}"/>
    <cellStyle name="Normal 4 3 4 4 5" xfId="11112" xr:uid="{00000000-0005-0000-0000-00006C2B0000}"/>
    <cellStyle name="Normal 4 3 4 4 5 2" xfId="23002" xr:uid="{00000000-0005-0000-0000-0000DE590000}"/>
    <cellStyle name="Normal 4 3 4 4 6" xfId="20121" xr:uid="{00000000-0005-0000-0000-00009D4E0000}"/>
    <cellStyle name="Normal 4 3 4 5" xfId="8125" xr:uid="{00000000-0005-0000-0000-0000C11F0000}"/>
    <cellStyle name="Normal 4 3 4 5 2" xfId="9341" xr:uid="{00000000-0005-0000-0000-000081240000}"/>
    <cellStyle name="Normal 4 3 4 5 2 2" xfId="10669" xr:uid="{00000000-0005-0000-0000-0000B1290000}"/>
    <cellStyle name="Normal 4 3 4 5 2 2 2" xfId="18897" xr:uid="{00000000-0005-0000-0000-0000D5490000}"/>
    <cellStyle name="Normal 4 3 4 5 2 2 2 2" xfId="25409" xr:uid="{00000000-0005-0000-0000-000045630000}"/>
    <cellStyle name="Normal 4 3 4 5 2 2 3" xfId="22574" xr:uid="{00000000-0005-0000-0000-000032580000}"/>
    <cellStyle name="Normal 4 3 4 5 2 3" xfId="17579" xr:uid="{00000000-0005-0000-0000-0000AF440000}"/>
    <cellStyle name="Normal 4 3 4 5 2 3 2" xfId="24153" xr:uid="{00000000-0005-0000-0000-00005D5E0000}"/>
    <cellStyle name="Normal 4 3 4 5 2 4" xfId="21318" xr:uid="{00000000-0005-0000-0000-00004A530000}"/>
    <cellStyle name="Normal 4 3 4 5 3" xfId="9987" xr:uid="{00000000-0005-0000-0000-000007270000}"/>
    <cellStyle name="Normal 4 3 4 5 3 2" xfId="18215" xr:uid="{00000000-0005-0000-0000-00002B470000}"/>
    <cellStyle name="Normal 4 3 4 5 3 2 2" xfId="24727" xr:uid="{00000000-0005-0000-0000-00009B600000}"/>
    <cellStyle name="Normal 4 3 4 5 3 3" xfId="21892" xr:uid="{00000000-0005-0000-0000-000088550000}"/>
    <cellStyle name="Normal 4 3 4 5 4" xfId="11113" xr:uid="{00000000-0005-0000-0000-00006D2B0000}"/>
    <cellStyle name="Normal 4 3 4 5 4 2" xfId="23003" xr:uid="{00000000-0005-0000-0000-0000DF590000}"/>
    <cellStyle name="Normal 4 3 4 5 5" xfId="20330" xr:uid="{00000000-0005-0000-0000-00006E4F0000}"/>
    <cellStyle name="Normal 4 3 4 6" xfId="9569" xr:uid="{00000000-0005-0000-0000-000065250000}"/>
    <cellStyle name="Normal 4 3 4 6 2" xfId="17797" xr:uid="{00000000-0005-0000-0000-000089450000}"/>
    <cellStyle name="Normal 4 3 4 6 2 2" xfId="24309" xr:uid="{00000000-0005-0000-0000-0000F95E0000}"/>
    <cellStyle name="Normal 4 3 4 6 3" xfId="21474" xr:uid="{00000000-0005-0000-0000-0000E6530000}"/>
    <cellStyle name="Normal 4 3 4 7" xfId="19645" xr:uid="{00000000-0005-0000-0000-0000C14C0000}"/>
    <cellStyle name="Normal 4 3 4 8" xfId="4569" xr:uid="{00000000-0005-0000-0000-0000DD110000}"/>
    <cellStyle name="Normal 4 3 5" xfId="1191" xr:uid="{00000000-0005-0000-0000-0000AB040000}"/>
    <cellStyle name="Normal 4 3 5 2" xfId="2336" xr:uid="{00000000-0005-0000-0000-000024090000}"/>
    <cellStyle name="Normal 4 3 5 3" xfId="7949" xr:uid="{00000000-0005-0000-0000-0000111F0000}"/>
    <cellStyle name="Normal 4 3 5 3 2" xfId="8368" xr:uid="{00000000-0005-0000-0000-0000B4200000}"/>
    <cellStyle name="Normal 4 3 5 3 2 2" xfId="10230" xr:uid="{00000000-0005-0000-0000-0000FA270000}"/>
    <cellStyle name="Normal 4 3 5 3 2 2 2" xfId="18458" xr:uid="{00000000-0005-0000-0000-00001E480000}"/>
    <cellStyle name="Normal 4 3 5 3 2 2 2 2" xfId="24970" xr:uid="{00000000-0005-0000-0000-00008E610000}"/>
    <cellStyle name="Normal 4 3 5 3 2 2 3" xfId="22135" xr:uid="{00000000-0005-0000-0000-00007B560000}"/>
    <cellStyle name="Normal 4 3 5 3 2 3" xfId="17048" xr:uid="{00000000-0005-0000-0000-00009C420000}"/>
    <cellStyle name="Normal 4 3 5 3 2 3 2" xfId="23705" xr:uid="{00000000-0005-0000-0000-00009D5C0000}"/>
    <cellStyle name="Normal 4 3 5 3 2 4" xfId="20573" xr:uid="{00000000-0005-0000-0000-000061500000}"/>
    <cellStyle name="Normal 4 3 5 3 3" xfId="9344" xr:uid="{00000000-0005-0000-0000-000084240000}"/>
    <cellStyle name="Normal 4 3 5 3 3 2" xfId="10672" xr:uid="{00000000-0005-0000-0000-0000B4290000}"/>
    <cellStyle name="Normal 4 3 5 3 3 2 2" xfId="18900" xr:uid="{00000000-0005-0000-0000-0000D8490000}"/>
    <cellStyle name="Normal 4 3 5 3 3 2 2 2" xfId="25412" xr:uid="{00000000-0005-0000-0000-000048630000}"/>
    <cellStyle name="Normal 4 3 5 3 3 2 3" xfId="22577" xr:uid="{00000000-0005-0000-0000-000035580000}"/>
    <cellStyle name="Normal 4 3 5 3 3 3" xfId="17582" xr:uid="{00000000-0005-0000-0000-0000B2440000}"/>
    <cellStyle name="Normal 4 3 5 3 3 3 2" xfId="24156" xr:uid="{00000000-0005-0000-0000-0000605E0000}"/>
    <cellStyle name="Normal 4 3 5 3 3 4" xfId="21321" xr:uid="{00000000-0005-0000-0000-00004D530000}"/>
    <cellStyle name="Normal 4 3 5 3 4" xfId="9812" xr:uid="{00000000-0005-0000-0000-000058260000}"/>
    <cellStyle name="Normal 4 3 5 3 4 2" xfId="18040" xr:uid="{00000000-0005-0000-0000-00007C460000}"/>
    <cellStyle name="Normal 4 3 5 3 4 2 2" xfId="24552" xr:uid="{00000000-0005-0000-0000-0000EC5F0000}"/>
    <cellStyle name="Normal 4 3 5 3 4 3" xfId="21717" xr:uid="{00000000-0005-0000-0000-0000D9540000}"/>
    <cellStyle name="Normal 4 3 5 3 5" xfId="11114" xr:uid="{00000000-0005-0000-0000-00006E2B0000}"/>
    <cellStyle name="Normal 4 3 5 3 5 2" xfId="23004" xr:uid="{00000000-0005-0000-0000-0000E0590000}"/>
    <cellStyle name="Normal 4 3 5 3 6" xfId="20155" xr:uid="{00000000-0005-0000-0000-0000BF4E0000}"/>
    <cellStyle name="Normal 4 3 5 4" xfId="8159" xr:uid="{00000000-0005-0000-0000-0000E31F0000}"/>
    <cellStyle name="Normal 4 3 5 4 2" xfId="9343" xr:uid="{00000000-0005-0000-0000-000083240000}"/>
    <cellStyle name="Normal 4 3 5 4 2 2" xfId="10671" xr:uid="{00000000-0005-0000-0000-0000B3290000}"/>
    <cellStyle name="Normal 4 3 5 4 2 2 2" xfId="18899" xr:uid="{00000000-0005-0000-0000-0000D7490000}"/>
    <cellStyle name="Normal 4 3 5 4 2 2 2 2" xfId="25411" xr:uid="{00000000-0005-0000-0000-000047630000}"/>
    <cellStyle name="Normal 4 3 5 4 2 2 3" xfId="22576" xr:uid="{00000000-0005-0000-0000-000034580000}"/>
    <cellStyle name="Normal 4 3 5 4 2 3" xfId="17581" xr:uid="{00000000-0005-0000-0000-0000B1440000}"/>
    <cellStyle name="Normal 4 3 5 4 2 3 2" xfId="24155" xr:uid="{00000000-0005-0000-0000-00005F5E0000}"/>
    <cellStyle name="Normal 4 3 5 4 2 4" xfId="21320" xr:uid="{00000000-0005-0000-0000-00004C530000}"/>
    <cellStyle name="Normal 4 3 5 4 3" xfId="10021" xr:uid="{00000000-0005-0000-0000-000029270000}"/>
    <cellStyle name="Normal 4 3 5 4 3 2" xfId="18249" xr:uid="{00000000-0005-0000-0000-00004D470000}"/>
    <cellStyle name="Normal 4 3 5 4 3 2 2" xfId="24761" xr:uid="{00000000-0005-0000-0000-0000BD600000}"/>
    <cellStyle name="Normal 4 3 5 4 3 3" xfId="21926" xr:uid="{00000000-0005-0000-0000-0000AA550000}"/>
    <cellStyle name="Normal 4 3 5 4 4" xfId="11115" xr:uid="{00000000-0005-0000-0000-00006F2B0000}"/>
    <cellStyle name="Normal 4 3 5 4 4 2" xfId="23005" xr:uid="{00000000-0005-0000-0000-0000E1590000}"/>
    <cellStyle name="Normal 4 3 5 4 5" xfId="20364" xr:uid="{00000000-0005-0000-0000-0000904F0000}"/>
    <cellStyle name="Normal 4 3 5 5" xfId="9603" xr:uid="{00000000-0005-0000-0000-000087250000}"/>
    <cellStyle name="Normal 4 3 5 5 2" xfId="17831" xr:uid="{00000000-0005-0000-0000-0000AB450000}"/>
    <cellStyle name="Normal 4 3 5 5 2 2" xfId="24343" xr:uid="{00000000-0005-0000-0000-00001B5F0000}"/>
    <cellStyle name="Normal 4 3 5 5 3" xfId="21508" xr:uid="{00000000-0005-0000-0000-000008540000}"/>
    <cellStyle name="Normal 4 3 5 6" xfId="19720" xr:uid="{00000000-0005-0000-0000-00000C4D0000}"/>
    <cellStyle name="Normal 4 3 5 7" xfId="6424" xr:uid="{00000000-0005-0000-0000-00001C190000}"/>
    <cellStyle name="Normal 4 3 6" xfId="1192" xr:uid="{00000000-0005-0000-0000-0000AC040000}"/>
    <cellStyle name="Normal 4 3 6 2" xfId="2337" xr:uid="{00000000-0005-0000-0000-000025090000}"/>
    <cellStyle name="Normal 4 3 7" xfId="1193" xr:uid="{00000000-0005-0000-0000-0000AD040000}"/>
    <cellStyle name="Normal 4 3 7 2" xfId="2338" xr:uid="{00000000-0005-0000-0000-000026090000}"/>
    <cellStyle name="Normal 4 3 8" xfId="1194" xr:uid="{00000000-0005-0000-0000-0000AE040000}"/>
    <cellStyle name="Normal 4 3 8 2" xfId="2339" xr:uid="{00000000-0005-0000-0000-000027090000}"/>
    <cellStyle name="Normal 4 3 9" xfId="2332" xr:uid="{00000000-0005-0000-0000-000020090000}"/>
    <cellStyle name="Normal 4 3 9 2" xfId="8086" xr:uid="{00000000-0005-0000-0000-00009A1F0000}"/>
    <cellStyle name="Normal 4 3 9 2 2" xfId="8504" xr:uid="{00000000-0005-0000-0000-00003C210000}"/>
    <cellStyle name="Normal 4 3 9 2 2 2" xfId="10366" xr:uid="{00000000-0005-0000-0000-000082280000}"/>
    <cellStyle name="Normal 4 3 9 2 2 2 2" xfId="18594" xr:uid="{00000000-0005-0000-0000-0000A6480000}"/>
    <cellStyle name="Normal 4 3 9 2 2 2 2 2" xfId="25106" xr:uid="{00000000-0005-0000-0000-000016620000}"/>
    <cellStyle name="Normal 4 3 9 2 2 2 3" xfId="22271" xr:uid="{00000000-0005-0000-0000-000003570000}"/>
    <cellStyle name="Normal 4 3 9 2 2 3" xfId="17184" xr:uid="{00000000-0005-0000-0000-000024430000}"/>
    <cellStyle name="Normal 4 3 9 2 2 3 2" xfId="23841" xr:uid="{00000000-0005-0000-0000-0000255D0000}"/>
    <cellStyle name="Normal 4 3 9 2 2 4" xfId="20709" xr:uid="{00000000-0005-0000-0000-0000E9500000}"/>
    <cellStyle name="Normal 4 3 9 2 3" xfId="9346" xr:uid="{00000000-0005-0000-0000-000086240000}"/>
    <cellStyle name="Normal 4 3 9 2 3 2" xfId="10674" xr:uid="{00000000-0005-0000-0000-0000B6290000}"/>
    <cellStyle name="Normal 4 3 9 2 3 2 2" xfId="18902" xr:uid="{00000000-0005-0000-0000-0000DA490000}"/>
    <cellStyle name="Normal 4 3 9 2 3 2 2 2" xfId="25414" xr:uid="{00000000-0005-0000-0000-00004A630000}"/>
    <cellStyle name="Normal 4 3 9 2 3 2 3" xfId="22579" xr:uid="{00000000-0005-0000-0000-000037580000}"/>
    <cellStyle name="Normal 4 3 9 2 3 3" xfId="17584" xr:uid="{00000000-0005-0000-0000-0000B4440000}"/>
    <cellStyle name="Normal 4 3 9 2 3 3 2" xfId="24158" xr:uid="{00000000-0005-0000-0000-0000625E0000}"/>
    <cellStyle name="Normal 4 3 9 2 3 4" xfId="21323" xr:uid="{00000000-0005-0000-0000-00004F530000}"/>
    <cellStyle name="Normal 4 3 9 2 4" xfId="9948" xr:uid="{00000000-0005-0000-0000-0000E0260000}"/>
    <cellStyle name="Normal 4 3 9 2 4 2" xfId="18176" xr:uid="{00000000-0005-0000-0000-000004470000}"/>
    <cellStyle name="Normal 4 3 9 2 4 2 2" xfId="24688" xr:uid="{00000000-0005-0000-0000-000074600000}"/>
    <cellStyle name="Normal 4 3 9 2 4 3" xfId="21853" xr:uid="{00000000-0005-0000-0000-000061550000}"/>
    <cellStyle name="Normal 4 3 9 2 5" xfId="11117" xr:uid="{00000000-0005-0000-0000-0000712B0000}"/>
    <cellStyle name="Normal 4 3 9 2 5 2" xfId="23007" xr:uid="{00000000-0005-0000-0000-0000E3590000}"/>
    <cellStyle name="Normal 4 3 9 2 6" xfId="20291" xr:uid="{00000000-0005-0000-0000-0000474F0000}"/>
    <cellStyle name="Normal 4 3 9 3" xfId="8295" xr:uid="{00000000-0005-0000-0000-00006B200000}"/>
    <cellStyle name="Normal 4 3 9 3 2" xfId="10157" xr:uid="{00000000-0005-0000-0000-0000B1270000}"/>
    <cellStyle name="Normal 4 3 9 3 2 2" xfId="18385" xr:uid="{00000000-0005-0000-0000-0000D5470000}"/>
    <cellStyle name="Normal 4 3 9 3 2 2 2" xfId="24897" xr:uid="{00000000-0005-0000-0000-000045610000}"/>
    <cellStyle name="Normal 4 3 9 3 2 3" xfId="22062" xr:uid="{00000000-0005-0000-0000-000032560000}"/>
    <cellStyle name="Normal 4 3 9 3 3" xfId="16975" xr:uid="{00000000-0005-0000-0000-000053420000}"/>
    <cellStyle name="Normal 4 3 9 3 3 2" xfId="23632" xr:uid="{00000000-0005-0000-0000-0000545C0000}"/>
    <cellStyle name="Normal 4 3 9 3 4" xfId="20500" xr:uid="{00000000-0005-0000-0000-000018500000}"/>
    <cellStyle name="Normal 4 3 9 4" xfId="9345" xr:uid="{00000000-0005-0000-0000-000085240000}"/>
    <cellStyle name="Normal 4 3 9 4 2" xfId="10673" xr:uid="{00000000-0005-0000-0000-0000B5290000}"/>
    <cellStyle name="Normal 4 3 9 4 2 2" xfId="18901" xr:uid="{00000000-0005-0000-0000-0000D9490000}"/>
    <cellStyle name="Normal 4 3 9 4 2 2 2" xfId="25413" xr:uid="{00000000-0005-0000-0000-000049630000}"/>
    <cellStyle name="Normal 4 3 9 4 2 3" xfId="22578" xr:uid="{00000000-0005-0000-0000-000036580000}"/>
    <cellStyle name="Normal 4 3 9 4 3" xfId="17583" xr:uid="{00000000-0005-0000-0000-0000B3440000}"/>
    <cellStyle name="Normal 4 3 9 4 3 2" xfId="24157" xr:uid="{00000000-0005-0000-0000-0000615E0000}"/>
    <cellStyle name="Normal 4 3 9 4 4" xfId="21322" xr:uid="{00000000-0005-0000-0000-00004E530000}"/>
    <cellStyle name="Normal 4 3 9 5" xfId="9739" xr:uid="{00000000-0005-0000-0000-00000F260000}"/>
    <cellStyle name="Normal 4 3 9 5 2" xfId="17967" xr:uid="{00000000-0005-0000-0000-000033460000}"/>
    <cellStyle name="Normal 4 3 9 5 2 2" xfId="24479" xr:uid="{00000000-0005-0000-0000-0000A35F0000}"/>
    <cellStyle name="Normal 4 3 9 5 3" xfId="21644" xr:uid="{00000000-0005-0000-0000-000090540000}"/>
    <cellStyle name="Normal 4 3 9 6" xfId="11116" xr:uid="{00000000-0005-0000-0000-0000702B0000}"/>
    <cellStyle name="Normal 4 3 9 6 2" xfId="23006" xr:uid="{00000000-0005-0000-0000-0000E2590000}"/>
    <cellStyle name="Normal 4 3 9 7" xfId="20082" xr:uid="{00000000-0005-0000-0000-0000764E0000}"/>
    <cellStyle name="Normal 4 3 9 8" xfId="7873" xr:uid="{00000000-0005-0000-0000-0000C51E0000}"/>
    <cellStyle name="Normal 4 3_Scen_XBase" xfId="6425" xr:uid="{00000000-0005-0000-0000-00001D190000}"/>
    <cellStyle name="Normal 4 4" xfId="133" xr:uid="{00000000-0005-0000-0000-000089000000}"/>
    <cellStyle name="Normal 4 4 10" xfId="1195" xr:uid="{00000000-0005-0000-0000-0000AF040000}"/>
    <cellStyle name="Normal 4 4 2" xfId="1196" xr:uid="{00000000-0005-0000-0000-0000B0040000}"/>
    <cellStyle name="Normal 4 4 2 2" xfId="2341" xr:uid="{00000000-0005-0000-0000-000029090000}"/>
    <cellStyle name="Normal 4 4 3" xfId="1197" xr:uid="{00000000-0005-0000-0000-0000B1040000}"/>
    <cellStyle name="Normal 4 4 3 2" xfId="2342" xr:uid="{00000000-0005-0000-0000-00002A090000}"/>
    <cellStyle name="Normal 4 4 3 3" xfId="9347" xr:uid="{00000000-0005-0000-0000-000087240000}"/>
    <cellStyle name="Normal 4 4 3 4" xfId="6426" xr:uid="{00000000-0005-0000-0000-00001E190000}"/>
    <cellStyle name="Normal 4 4 4" xfId="1198" xr:uid="{00000000-0005-0000-0000-0000B2040000}"/>
    <cellStyle name="Normal 4 4 4 2" xfId="2343" xr:uid="{00000000-0005-0000-0000-00002B090000}"/>
    <cellStyle name="Normal 4 4 5" xfId="1199" xr:uid="{00000000-0005-0000-0000-0000B3040000}"/>
    <cellStyle name="Normal 4 4 5 2" xfId="2344" xr:uid="{00000000-0005-0000-0000-00002C090000}"/>
    <cellStyle name="Normal 4 4 6" xfId="1200" xr:uid="{00000000-0005-0000-0000-0000B4040000}"/>
    <cellStyle name="Normal 4 4 6 2" xfId="2345" xr:uid="{00000000-0005-0000-0000-00002D090000}"/>
    <cellStyle name="Normal 4 4 7" xfId="1201" xr:uid="{00000000-0005-0000-0000-0000B5040000}"/>
    <cellStyle name="Normal 4 4 7 2" xfId="2346" xr:uid="{00000000-0005-0000-0000-00002E090000}"/>
    <cellStyle name="Normal 4 4 8" xfId="1202" xr:uid="{00000000-0005-0000-0000-0000B6040000}"/>
    <cellStyle name="Normal 4 4 8 2" xfId="2347" xr:uid="{00000000-0005-0000-0000-00002F090000}"/>
    <cellStyle name="Normal 4 4 9" xfId="2340" xr:uid="{00000000-0005-0000-0000-000028090000}"/>
    <cellStyle name="Normal 4 4 9 2" xfId="8882" xr:uid="{00000000-0005-0000-0000-0000B6220000}"/>
    <cellStyle name="Normal 4 5" xfId="1203" xr:uid="{00000000-0005-0000-0000-0000B7040000}"/>
    <cellStyle name="Normal 4 5 10" xfId="7890" xr:uid="{00000000-0005-0000-0000-0000D61E0000}"/>
    <cellStyle name="Normal 4 5 10 2" xfId="8312" xr:uid="{00000000-0005-0000-0000-00007C200000}"/>
    <cellStyle name="Normal 4 5 10 2 2" xfId="10174" xr:uid="{00000000-0005-0000-0000-0000C2270000}"/>
    <cellStyle name="Normal 4 5 10 2 2 2" xfId="18402" xr:uid="{00000000-0005-0000-0000-0000E6470000}"/>
    <cellStyle name="Normal 4 5 10 2 2 2 2" xfId="24914" xr:uid="{00000000-0005-0000-0000-000056610000}"/>
    <cellStyle name="Normal 4 5 10 2 2 3" xfId="22079" xr:uid="{00000000-0005-0000-0000-000043560000}"/>
    <cellStyle name="Normal 4 5 10 2 3" xfId="16992" xr:uid="{00000000-0005-0000-0000-000064420000}"/>
    <cellStyle name="Normal 4 5 10 2 3 2" xfId="23649" xr:uid="{00000000-0005-0000-0000-0000655C0000}"/>
    <cellStyle name="Normal 4 5 10 2 4" xfId="20517" xr:uid="{00000000-0005-0000-0000-000029500000}"/>
    <cellStyle name="Normal 4 5 10 3" xfId="9348" xr:uid="{00000000-0005-0000-0000-000088240000}"/>
    <cellStyle name="Normal 4 5 10 3 2" xfId="10675" xr:uid="{00000000-0005-0000-0000-0000B7290000}"/>
    <cellStyle name="Normal 4 5 10 3 2 2" xfId="18903" xr:uid="{00000000-0005-0000-0000-0000DB490000}"/>
    <cellStyle name="Normal 4 5 10 3 2 2 2" xfId="25415" xr:uid="{00000000-0005-0000-0000-00004B630000}"/>
    <cellStyle name="Normal 4 5 10 3 2 3" xfId="22580" xr:uid="{00000000-0005-0000-0000-000038580000}"/>
    <cellStyle name="Normal 4 5 10 3 3" xfId="17585" xr:uid="{00000000-0005-0000-0000-0000B5440000}"/>
    <cellStyle name="Normal 4 5 10 3 3 2" xfId="24159" xr:uid="{00000000-0005-0000-0000-0000635E0000}"/>
    <cellStyle name="Normal 4 5 10 3 4" xfId="21324" xr:uid="{00000000-0005-0000-0000-000050530000}"/>
    <cellStyle name="Normal 4 5 10 4" xfId="9756" xr:uid="{00000000-0005-0000-0000-000020260000}"/>
    <cellStyle name="Normal 4 5 10 4 2" xfId="17984" xr:uid="{00000000-0005-0000-0000-000044460000}"/>
    <cellStyle name="Normal 4 5 10 4 2 2" xfId="24496" xr:uid="{00000000-0005-0000-0000-0000B45F0000}"/>
    <cellStyle name="Normal 4 5 10 4 3" xfId="21661" xr:uid="{00000000-0005-0000-0000-0000A1540000}"/>
    <cellStyle name="Normal 4 5 10 5" xfId="11118" xr:uid="{00000000-0005-0000-0000-0000722B0000}"/>
    <cellStyle name="Normal 4 5 10 5 2" xfId="23008" xr:uid="{00000000-0005-0000-0000-0000E4590000}"/>
    <cellStyle name="Normal 4 5 10 6" xfId="20099" xr:uid="{00000000-0005-0000-0000-0000874E0000}"/>
    <cellStyle name="Normal 4 5 11" xfId="8103" xr:uid="{00000000-0005-0000-0000-0000AB1F0000}"/>
    <cellStyle name="Normal 4 5 11 2" xfId="8883" xr:uid="{00000000-0005-0000-0000-0000B7220000}"/>
    <cellStyle name="Normal 4 5 11 2 2" xfId="10385" xr:uid="{00000000-0005-0000-0000-000095280000}"/>
    <cellStyle name="Normal 4 5 11 2 2 2" xfId="18613" xr:uid="{00000000-0005-0000-0000-0000B9480000}"/>
    <cellStyle name="Normal 4 5 11 2 2 2 2" xfId="25125" xr:uid="{00000000-0005-0000-0000-000029620000}"/>
    <cellStyle name="Normal 4 5 11 2 2 3" xfId="22290" xr:uid="{00000000-0005-0000-0000-000016570000}"/>
    <cellStyle name="Normal 4 5 11 2 3" xfId="17257" xr:uid="{00000000-0005-0000-0000-00006D430000}"/>
    <cellStyle name="Normal 4 5 11 2 3 2" xfId="23867" xr:uid="{00000000-0005-0000-0000-00003F5D0000}"/>
    <cellStyle name="Normal 4 5 11 2 4" xfId="20949" xr:uid="{00000000-0005-0000-0000-0000D9510000}"/>
    <cellStyle name="Normal 4 5 11 3" xfId="9965" xr:uid="{00000000-0005-0000-0000-0000F1260000}"/>
    <cellStyle name="Normal 4 5 11 3 2" xfId="18193" xr:uid="{00000000-0005-0000-0000-000015470000}"/>
    <cellStyle name="Normal 4 5 11 3 2 2" xfId="24705" xr:uid="{00000000-0005-0000-0000-000085600000}"/>
    <cellStyle name="Normal 4 5 11 3 3" xfId="21870" xr:uid="{00000000-0005-0000-0000-000072550000}"/>
    <cellStyle name="Normal 4 5 11 4" xfId="11119" xr:uid="{00000000-0005-0000-0000-0000732B0000}"/>
    <cellStyle name="Normal 4 5 11 4 2" xfId="23009" xr:uid="{00000000-0005-0000-0000-0000E5590000}"/>
    <cellStyle name="Normal 4 5 11 5" xfId="20308" xr:uid="{00000000-0005-0000-0000-0000584F0000}"/>
    <cellStyle name="Normal 4 5 12" xfId="9547" xr:uid="{00000000-0005-0000-0000-00004F250000}"/>
    <cellStyle name="Normal 4 5 12 2" xfId="17775" xr:uid="{00000000-0005-0000-0000-000073450000}"/>
    <cellStyle name="Normal 4 5 12 2 2" xfId="24287" xr:uid="{00000000-0005-0000-0000-0000E35E0000}"/>
    <cellStyle name="Normal 4 5 12 3" xfId="21452" xr:uid="{00000000-0005-0000-0000-0000D0530000}"/>
    <cellStyle name="Normal 4 5 13" xfId="19613" xr:uid="{00000000-0005-0000-0000-0000A14C0000}"/>
    <cellStyle name="Normal 4 5 14" xfId="4521" xr:uid="{00000000-0005-0000-0000-0000AD110000}"/>
    <cellStyle name="Normal 4 5 2" xfId="1204" xr:uid="{00000000-0005-0000-0000-0000B8040000}"/>
    <cellStyle name="Normal 4 5 2 2" xfId="2349" xr:uid="{00000000-0005-0000-0000-000031090000}"/>
    <cellStyle name="Normal 4 5 2 3" xfId="7915" xr:uid="{00000000-0005-0000-0000-0000EF1E0000}"/>
    <cellStyle name="Normal 4 5 2 3 2" xfId="8336" xr:uid="{00000000-0005-0000-0000-000094200000}"/>
    <cellStyle name="Normal 4 5 2 3 2 2" xfId="10198" xr:uid="{00000000-0005-0000-0000-0000DA270000}"/>
    <cellStyle name="Normal 4 5 2 3 2 2 2" xfId="18426" xr:uid="{00000000-0005-0000-0000-0000FE470000}"/>
    <cellStyle name="Normal 4 5 2 3 2 2 2 2" xfId="24938" xr:uid="{00000000-0005-0000-0000-00006E610000}"/>
    <cellStyle name="Normal 4 5 2 3 2 2 3" xfId="22103" xr:uid="{00000000-0005-0000-0000-00005B560000}"/>
    <cellStyle name="Normal 4 5 2 3 2 3" xfId="17016" xr:uid="{00000000-0005-0000-0000-00007C420000}"/>
    <cellStyle name="Normal 4 5 2 3 2 3 2" xfId="23673" xr:uid="{00000000-0005-0000-0000-00007D5C0000}"/>
    <cellStyle name="Normal 4 5 2 3 2 4" xfId="20541" xr:uid="{00000000-0005-0000-0000-000041500000}"/>
    <cellStyle name="Normal 4 5 2 3 3" xfId="9350" xr:uid="{00000000-0005-0000-0000-00008A240000}"/>
    <cellStyle name="Normal 4 5 2 3 3 2" xfId="10677" xr:uid="{00000000-0005-0000-0000-0000B9290000}"/>
    <cellStyle name="Normal 4 5 2 3 3 2 2" xfId="18905" xr:uid="{00000000-0005-0000-0000-0000DD490000}"/>
    <cellStyle name="Normal 4 5 2 3 3 2 2 2" xfId="25417" xr:uid="{00000000-0005-0000-0000-00004D630000}"/>
    <cellStyle name="Normal 4 5 2 3 3 2 3" xfId="22582" xr:uid="{00000000-0005-0000-0000-00003A580000}"/>
    <cellStyle name="Normal 4 5 2 3 3 3" xfId="17587" xr:uid="{00000000-0005-0000-0000-0000B7440000}"/>
    <cellStyle name="Normal 4 5 2 3 3 3 2" xfId="24161" xr:uid="{00000000-0005-0000-0000-0000655E0000}"/>
    <cellStyle name="Normal 4 5 2 3 3 4" xfId="21326" xr:uid="{00000000-0005-0000-0000-000052530000}"/>
    <cellStyle name="Normal 4 5 2 3 4" xfId="9780" xr:uid="{00000000-0005-0000-0000-000038260000}"/>
    <cellStyle name="Normal 4 5 2 3 4 2" xfId="18008" xr:uid="{00000000-0005-0000-0000-00005C460000}"/>
    <cellStyle name="Normal 4 5 2 3 4 2 2" xfId="24520" xr:uid="{00000000-0005-0000-0000-0000CC5F0000}"/>
    <cellStyle name="Normal 4 5 2 3 4 3" xfId="21685" xr:uid="{00000000-0005-0000-0000-0000B9540000}"/>
    <cellStyle name="Normal 4 5 2 3 5" xfId="11120" xr:uid="{00000000-0005-0000-0000-0000742B0000}"/>
    <cellStyle name="Normal 4 5 2 3 5 2" xfId="23010" xr:uid="{00000000-0005-0000-0000-0000E6590000}"/>
    <cellStyle name="Normal 4 5 2 3 6" xfId="20123" xr:uid="{00000000-0005-0000-0000-00009F4E0000}"/>
    <cellStyle name="Normal 4 5 2 4" xfId="8127" xr:uid="{00000000-0005-0000-0000-0000C31F0000}"/>
    <cellStyle name="Normal 4 5 2 4 2" xfId="9349" xr:uid="{00000000-0005-0000-0000-000089240000}"/>
    <cellStyle name="Normal 4 5 2 4 2 2" xfId="10676" xr:uid="{00000000-0005-0000-0000-0000B8290000}"/>
    <cellStyle name="Normal 4 5 2 4 2 2 2" xfId="18904" xr:uid="{00000000-0005-0000-0000-0000DC490000}"/>
    <cellStyle name="Normal 4 5 2 4 2 2 2 2" xfId="25416" xr:uid="{00000000-0005-0000-0000-00004C630000}"/>
    <cellStyle name="Normal 4 5 2 4 2 2 3" xfId="22581" xr:uid="{00000000-0005-0000-0000-000039580000}"/>
    <cellStyle name="Normal 4 5 2 4 2 3" xfId="17586" xr:uid="{00000000-0005-0000-0000-0000B6440000}"/>
    <cellStyle name="Normal 4 5 2 4 2 3 2" xfId="24160" xr:uid="{00000000-0005-0000-0000-0000645E0000}"/>
    <cellStyle name="Normal 4 5 2 4 2 4" xfId="21325" xr:uid="{00000000-0005-0000-0000-000051530000}"/>
    <cellStyle name="Normal 4 5 2 4 3" xfId="9989" xr:uid="{00000000-0005-0000-0000-000009270000}"/>
    <cellStyle name="Normal 4 5 2 4 3 2" xfId="18217" xr:uid="{00000000-0005-0000-0000-00002D470000}"/>
    <cellStyle name="Normal 4 5 2 4 3 2 2" xfId="24729" xr:uid="{00000000-0005-0000-0000-00009D600000}"/>
    <cellStyle name="Normal 4 5 2 4 3 3" xfId="21894" xr:uid="{00000000-0005-0000-0000-00008A550000}"/>
    <cellStyle name="Normal 4 5 2 4 4" xfId="11121" xr:uid="{00000000-0005-0000-0000-0000752B0000}"/>
    <cellStyle name="Normal 4 5 2 4 4 2" xfId="23011" xr:uid="{00000000-0005-0000-0000-0000E7590000}"/>
    <cellStyle name="Normal 4 5 2 4 5" xfId="20332" xr:uid="{00000000-0005-0000-0000-0000704F0000}"/>
    <cellStyle name="Normal 4 5 2 5" xfId="9571" xr:uid="{00000000-0005-0000-0000-000067250000}"/>
    <cellStyle name="Normal 4 5 2 5 2" xfId="17799" xr:uid="{00000000-0005-0000-0000-00008B450000}"/>
    <cellStyle name="Normal 4 5 2 5 2 2" xfId="24311" xr:uid="{00000000-0005-0000-0000-0000FB5E0000}"/>
    <cellStyle name="Normal 4 5 2 5 3" xfId="21476" xr:uid="{00000000-0005-0000-0000-0000E8530000}"/>
    <cellStyle name="Normal 4 5 2 6" xfId="19647" xr:uid="{00000000-0005-0000-0000-0000C34C0000}"/>
    <cellStyle name="Normal 4 5 2 7" xfId="4571" xr:uid="{00000000-0005-0000-0000-0000DF110000}"/>
    <cellStyle name="Normal 4 5 3" xfId="1205" xr:uid="{00000000-0005-0000-0000-0000B9040000}"/>
    <cellStyle name="Normal 4 5 3 2" xfId="2350" xr:uid="{00000000-0005-0000-0000-000032090000}"/>
    <cellStyle name="Normal 4 5 3 3" xfId="7950" xr:uid="{00000000-0005-0000-0000-0000121F0000}"/>
    <cellStyle name="Normal 4 5 3 3 2" xfId="8369" xr:uid="{00000000-0005-0000-0000-0000B5200000}"/>
    <cellStyle name="Normal 4 5 3 3 2 2" xfId="10231" xr:uid="{00000000-0005-0000-0000-0000FB270000}"/>
    <cellStyle name="Normal 4 5 3 3 2 2 2" xfId="18459" xr:uid="{00000000-0005-0000-0000-00001F480000}"/>
    <cellStyle name="Normal 4 5 3 3 2 2 2 2" xfId="24971" xr:uid="{00000000-0005-0000-0000-00008F610000}"/>
    <cellStyle name="Normal 4 5 3 3 2 2 3" xfId="22136" xr:uid="{00000000-0005-0000-0000-00007C560000}"/>
    <cellStyle name="Normal 4 5 3 3 2 3" xfId="17049" xr:uid="{00000000-0005-0000-0000-00009D420000}"/>
    <cellStyle name="Normal 4 5 3 3 2 3 2" xfId="23706" xr:uid="{00000000-0005-0000-0000-00009E5C0000}"/>
    <cellStyle name="Normal 4 5 3 3 2 4" xfId="20574" xr:uid="{00000000-0005-0000-0000-000062500000}"/>
    <cellStyle name="Normal 4 5 3 3 3" xfId="9352" xr:uid="{00000000-0005-0000-0000-00008C240000}"/>
    <cellStyle name="Normal 4 5 3 3 3 2" xfId="10679" xr:uid="{00000000-0005-0000-0000-0000BB290000}"/>
    <cellStyle name="Normal 4 5 3 3 3 2 2" xfId="18907" xr:uid="{00000000-0005-0000-0000-0000DF490000}"/>
    <cellStyle name="Normal 4 5 3 3 3 2 2 2" xfId="25419" xr:uid="{00000000-0005-0000-0000-00004F630000}"/>
    <cellStyle name="Normal 4 5 3 3 3 2 3" xfId="22584" xr:uid="{00000000-0005-0000-0000-00003C580000}"/>
    <cellStyle name="Normal 4 5 3 3 3 3" xfId="17589" xr:uid="{00000000-0005-0000-0000-0000B9440000}"/>
    <cellStyle name="Normal 4 5 3 3 3 3 2" xfId="24163" xr:uid="{00000000-0005-0000-0000-0000675E0000}"/>
    <cellStyle name="Normal 4 5 3 3 3 4" xfId="21328" xr:uid="{00000000-0005-0000-0000-000054530000}"/>
    <cellStyle name="Normal 4 5 3 3 4" xfId="9813" xr:uid="{00000000-0005-0000-0000-000059260000}"/>
    <cellStyle name="Normal 4 5 3 3 4 2" xfId="18041" xr:uid="{00000000-0005-0000-0000-00007D460000}"/>
    <cellStyle name="Normal 4 5 3 3 4 2 2" xfId="24553" xr:uid="{00000000-0005-0000-0000-0000ED5F0000}"/>
    <cellStyle name="Normal 4 5 3 3 4 3" xfId="21718" xr:uid="{00000000-0005-0000-0000-0000DA540000}"/>
    <cellStyle name="Normal 4 5 3 3 5" xfId="11122" xr:uid="{00000000-0005-0000-0000-0000762B0000}"/>
    <cellStyle name="Normal 4 5 3 3 5 2" xfId="23012" xr:uid="{00000000-0005-0000-0000-0000E8590000}"/>
    <cellStyle name="Normal 4 5 3 3 6" xfId="20156" xr:uid="{00000000-0005-0000-0000-0000C04E0000}"/>
    <cellStyle name="Normal 4 5 3 4" xfId="8160" xr:uid="{00000000-0005-0000-0000-0000E41F0000}"/>
    <cellStyle name="Normal 4 5 3 4 2" xfId="9351" xr:uid="{00000000-0005-0000-0000-00008B240000}"/>
    <cellStyle name="Normal 4 5 3 4 2 2" xfId="10678" xr:uid="{00000000-0005-0000-0000-0000BA290000}"/>
    <cellStyle name="Normal 4 5 3 4 2 2 2" xfId="18906" xr:uid="{00000000-0005-0000-0000-0000DE490000}"/>
    <cellStyle name="Normal 4 5 3 4 2 2 2 2" xfId="25418" xr:uid="{00000000-0005-0000-0000-00004E630000}"/>
    <cellStyle name="Normal 4 5 3 4 2 2 3" xfId="22583" xr:uid="{00000000-0005-0000-0000-00003B580000}"/>
    <cellStyle name="Normal 4 5 3 4 2 3" xfId="17588" xr:uid="{00000000-0005-0000-0000-0000B8440000}"/>
    <cellStyle name="Normal 4 5 3 4 2 3 2" xfId="24162" xr:uid="{00000000-0005-0000-0000-0000665E0000}"/>
    <cellStyle name="Normal 4 5 3 4 2 4" xfId="21327" xr:uid="{00000000-0005-0000-0000-000053530000}"/>
    <cellStyle name="Normal 4 5 3 4 3" xfId="10022" xr:uid="{00000000-0005-0000-0000-00002A270000}"/>
    <cellStyle name="Normal 4 5 3 4 3 2" xfId="18250" xr:uid="{00000000-0005-0000-0000-00004E470000}"/>
    <cellStyle name="Normal 4 5 3 4 3 2 2" xfId="24762" xr:uid="{00000000-0005-0000-0000-0000BE600000}"/>
    <cellStyle name="Normal 4 5 3 4 3 3" xfId="21927" xr:uid="{00000000-0005-0000-0000-0000AB550000}"/>
    <cellStyle name="Normal 4 5 3 4 4" xfId="11123" xr:uid="{00000000-0005-0000-0000-0000772B0000}"/>
    <cellStyle name="Normal 4 5 3 4 4 2" xfId="23013" xr:uid="{00000000-0005-0000-0000-0000E9590000}"/>
    <cellStyle name="Normal 4 5 3 4 5" xfId="20365" xr:uid="{00000000-0005-0000-0000-0000914F0000}"/>
    <cellStyle name="Normal 4 5 3 5" xfId="9604" xr:uid="{00000000-0005-0000-0000-000088250000}"/>
    <cellStyle name="Normal 4 5 3 5 2" xfId="17832" xr:uid="{00000000-0005-0000-0000-0000AC450000}"/>
    <cellStyle name="Normal 4 5 3 5 2 2" xfId="24344" xr:uid="{00000000-0005-0000-0000-00001C5F0000}"/>
    <cellStyle name="Normal 4 5 3 5 3" xfId="21509" xr:uid="{00000000-0005-0000-0000-000009540000}"/>
    <cellStyle name="Normal 4 5 3 6" xfId="19721" xr:uid="{00000000-0005-0000-0000-00000D4D0000}"/>
    <cellStyle name="Normal 4 5 3 7" xfId="6427" xr:uid="{00000000-0005-0000-0000-00001F190000}"/>
    <cellStyle name="Normal 4 5 4" xfId="1206" xr:uid="{00000000-0005-0000-0000-0000BA040000}"/>
    <cellStyle name="Normal 4 5 4 2" xfId="2351" xr:uid="{00000000-0005-0000-0000-000033090000}"/>
    <cellStyle name="Normal 4 5 5" xfId="1207" xr:uid="{00000000-0005-0000-0000-0000BB040000}"/>
    <cellStyle name="Normal 4 5 5 2" xfId="2352" xr:uid="{00000000-0005-0000-0000-000034090000}"/>
    <cellStyle name="Normal 4 5 6" xfId="1208" xr:uid="{00000000-0005-0000-0000-0000BC040000}"/>
    <cellStyle name="Normal 4 5 6 2" xfId="2353" xr:uid="{00000000-0005-0000-0000-000035090000}"/>
    <cellStyle name="Normal 4 5 7" xfId="1209" xr:uid="{00000000-0005-0000-0000-0000BD040000}"/>
    <cellStyle name="Normal 4 5 7 2" xfId="2354" xr:uid="{00000000-0005-0000-0000-000036090000}"/>
    <cellStyle name="Normal 4 5 8" xfId="1210" xr:uid="{00000000-0005-0000-0000-0000BE040000}"/>
    <cellStyle name="Normal 4 5 8 2" xfId="2355" xr:uid="{00000000-0005-0000-0000-000037090000}"/>
    <cellStyle name="Normal 4 5 9" xfId="2348" xr:uid="{00000000-0005-0000-0000-000030090000}"/>
    <cellStyle name="Normal 4 5 9 2" xfId="8087" xr:uid="{00000000-0005-0000-0000-00009B1F0000}"/>
    <cellStyle name="Normal 4 5 9 2 2" xfId="8505" xr:uid="{00000000-0005-0000-0000-00003D210000}"/>
    <cellStyle name="Normal 4 5 9 2 2 2" xfId="10367" xr:uid="{00000000-0005-0000-0000-000083280000}"/>
    <cellStyle name="Normal 4 5 9 2 2 2 2" xfId="18595" xr:uid="{00000000-0005-0000-0000-0000A7480000}"/>
    <cellStyle name="Normal 4 5 9 2 2 2 2 2" xfId="25107" xr:uid="{00000000-0005-0000-0000-000017620000}"/>
    <cellStyle name="Normal 4 5 9 2 2 2 3" xfId="22272" xr:uid="{00000000-0005-0000-0000-000004570000}"/>
    <cellStyle name="Normal 4 5 9 2 2 3" xfId="17185" xr:uid="{00000000-0005-0000-0000-000025430000}"/>
    <cellStyle name="Normal 4 5 9 2 2 3 2" xfId="23842" xr:uid="{00000000-0005-0000-0000-0000265D0000}"/>
    <cellStyle name="Normal 4 5 9 2 2 4" xfId="20710" xr:uid="{00000000-0005-0000-0000-0000EA500000}"/>
    <cellStyle name="Normal 4 5 9 2 3" xfId="9354" xr:uid="{00000000-0005-0000-0000-00008E240000}"/>
    <cellStyle name="Normal 4 5 9 2 3 2" xfId="10681" xr:uid="{00000000-0005-0000-0000-0000BD290000}"/>
    <cellStyle name="Normal 4 5 9 2 3 2 2" xfId="18909" xr:uid="{00000000-0005-0000-0000-0000E1490000}"/>
    <cellStyle name="Normal 4 5 9 2 3 2 2 2" xfId="25421" xr:uid="{00000000-0005-0000-0000-000051630000}"/>
    <cellStyle name="Normal 4 5 9 2 3 2 3" xfId="22586" xr:uid="{00000000-0005-0000-0000-00003E580000}"/>
    <cellStyle name="Normal 4 5 9 2 3 3" xfId="17591" xr:uid="{00000000-0005-0000-0000-0000BB440000}"/>
    <cellStyle name="Normal 4 5 9 2 3 3 2" xfId="24165" xr:uid="{00000000-0005-0000-0000-0000695E0000}"/>
    <cellStyle name="Normal 4 5 9 2 3 4" xfId="21330" xr:uid="{00000000-0005-0000-0000-000056530000}"/>
    <cellStyle name="Normal 4 5 9 2 4" xfId="9949" xr:uid="{00000000-0005-0000-0000-0000E1260000}"/>
    <cellStyle name="Normal 4 5 9 2 4 2" xfId="18177" xr:uid="{00000000-0005-0000-0000-000005470000}"/>
    <cellStyle name="Normal 4 5 9 2 4 2 2" xfId="24689" xr:uid="{00000000-0005-0000-0000-000075600000}"/>
    <cellStyle name="Normal 4 5 9 2 4 3" xfId="21854" xr:uid="{00000000-0005-0000-0000-000062550000}"/>
    <cellStyle name="Normal 4 5 9 2 5" xfId="11125" xr:uid="{00000000-0005-0000-0000-0000792B0000}"/>
    <cellStyle name="Normal 4 5 9 2 5 2" xfId="23015" xr:uid="{00000000-0005-0000-0000-0000EB590000}"/>
    <cellStyle name="Normal 4 5 9 2 6" xfId="20292" xr:uid="{00000000-0005-0000-0000-0000484F0000}"/>
    <cellStyle name="Normal 4 5 9 3" xfId="8296" xr:uid="{00000000-0005-0000-0000-00006C200000}"/>
    <cellStyle name="Normal 4 5 9 3 2" xfId="10158" xr:uid="{00000000-0005-0000-0000-0000B2270000}"/>
    <cellStyle name="Normal 4 5 9 3 2 2" xfId="18386" xr:uid="{00000000-0005-0000-0000-0000D6470000}"/>
    <cellStyle name="Normal 4 5 9 3 2 2 2" xfId="24898" xr:uid="{00000000-0005-0000-0000-000046610000}"/>
    <cellStyle name="Normal 4 5 9 3 2 3" xfId="22063" xr:uid="{00000000-0005-0000-0000-000033560000}"/>
    <cellStyle name="Normal 4 5 9 3 3" xfId="16976" xr:uid="{00000000-0005-0000-0000-000054420000}"/>
    <cellStyle name="Normal 4 5 9 3 3 2" xfId="23633" xr:uid="{00000000-0005-0000-0000-0000555C0000}"/>
    <cellStyle name="Normal 4 5 9 3 4" xfId="20501" xr:uid="{00000000-0005-0000-0000-000019500000}"/>
    <cellStyle name="Normal 4 5 9 4" xfId="9353" xr:uid="{00000000-0005-0000-0000-00008D240000}"/>
    <cellStyle name="Normal 4 5 9 4 2" xfId="10680" xr:uid="{00000000-0005-0000-0000-0000BC290000}"/>
    <cellStyle name="Normal 4 5 9 4 2 2" xfId="18908" xr:uid="{00000000-0005-0000-0000-0000E0490000}"/>
    <cellStyle name="Normal 4 5 9 4 2 2 2" xfId="25420" xr:uid="{00000000-0005-0000-0000-000050630000}"/>
    <cellStyle name="Normal 4 5 9 4 2 3" xfId="22585" xr:uid="{00000000-0005-0000-0000-00003D580000}"/>
    <cellStyle name="Normal 4 5 9 4 3" xfId="17590" xr:uid="{00000000-0005-0000-0000-0000BA440000}"/>
    <cellStyle name="Normal 4 5 9 4 3 2" xfId="24164" xr:uid="{00000000-0005-0000-0000-0000685E0000}"/>
    <cellStyle name="Normal 4 5 9 4 4" xfId="21329" xr:uid="{00000000-0005-0000-0000-000055530000}"/>
    <cellStyle name="Normal 4 5 9 5" xfId="9740" xr:uid="{00000000-0005-0000-0000-000010260000}"/>
    <cellStyle name="Normal 4 5 9 5 2" xfId="17968" xr:uid="{00000000-0005-0000-0000-000034460000}"/>
    <cellStyle name="Normal 4 5 9 5 2 2" xfId="24480" xr:uid="{00000000-0005-0000-0000-0000A45F0000}"/>
    <cellStyle name="Normal 4 5 9 5 3" xfId="21645" xr:uid="{00000000-0005-0000-0000-000091540000}"/>
    <cellStyle name="Normal 4 5 9 6" xfId="11124" xr:uid="{00000000-0005-0000-0000-0000782B0000}"/>
    <cellStyle name="Normal 4 5 9 6 2" xfId="23014" xr:uid="{00000000-0005-0000-0000-0000EA590000}"/>
    <cellStyle name="Normal 4 5 9 7" xfId="20083" xr:uid="{00000000-0005-0000-0000-0000774E0000}"/>
    <cellStyle name="Normal 4 5 9 8" xfId="7874" xr:uid="{00000000-0005-0000-0000-0000C61E0000}"/>
    <cellStyle name="Normal 4 6" xfId="1211" xr:uid="{00000000-0005-0000-0000-0000BF040000}"/>
    <cellStyle name="Normal 4 6 10" xfId="4522" xr:uid="{00000000-0005-0000-0000-0000AE110000}"/>
    <cellStyle name="Normal 4 6 2" xfId="2356" xr:uid="{00000000-0005-0000-0000-000038090000}"/>
    <cellStyle name="Normal 4 6 2 2" xfId="6429" xr:uid="{00000000-0005-0000-0000-000021190000}"/>
    <cellStyle name="Normal 4 6 2 3" xfId="7916" xr:uid="{00000000-0005-0000-0000-0000F01E0000}"/>
    <cellStyle name="Normal 4 6 2 3 2" xfId="8337" xr:uid="{00000000-0005-0000-0000-000095200000}"/>
    <cellStyle name="Normal 4 6 2 3 2 2" xfId="10199" xr:uid="{00000000-0005-0000-0000-0000DB270000}"/>
    <cellStyle name="Normal 4 6 2 3 2 2 2" xfId="18427" xr:uid="{00000000-0005-0000-0000-0000FF470000}"/>
    <cellStyle name="Normal 4 6 2 3 2 2 2 2" xfId="24939" xr:uid="{00000000-0005-0000-0000-00006F610000}"/>
    <cellStyle name="Normal 4 6 2 3 2 2 3" xfId="22104" xr:uid="{00000000-0005-0000-0000-00005C560000}"/>
    <cellStyle name="Normal 4 6 2 3 2 3" xfId="17017" xr:uid="{00000000-0005-0000-0000-00007D420000}"/>
    <cellStyle name="Normal 4 6 2 3 2 3 2" xfId="23674" xr:uid="{00000000-0005-0000-0000-00007E5C0000}"/>
    <cellStyle name="Normal 4 6 2 3 2 4" xfId="20542" xr:uid="{00000000-0005-0000-0000-000042500000}"/>
    <cellStyle name="Normal 4 6 2 3 3" xfId="9356" xr:uid="{00000000-0005-0000-0000-000090240000}"/>
    <cellStyle name="Normal 4 6 2 3 3 2" xfId="10683" xr:uid="{00000000-0005-0000-0000-0000BF290000}"/>
    <cellStyle name="Normal 4 6 2 3 3 2 2" xfId="18911" xr:uid="{00000000-0005-0000-0000-0000E3490000}"/>
    <cellStyle name="Normal 4 6 2 3 3 2 2 2" xfId="25423" xr:uid="{00000000-0005-0000-0000-000053630000}"/>
    <cellStyle name="Normal 4 6 2 3 3 2 3" xfId="22588" xr:uid="{00000000-0005-0000-0000-000040580000}"/>
    <cellStyle name="Normal 4 6 2 3 3 3" xfId="17593" xr:uid="{00000000-0005-0000-0000-0000BD440000}"/>
    <cellStyle name="Normal 4 6 2 3 3 3 2" xfId="24167" xr:uid="{00000000-0005-0000-0000-00006B5E0000}"/>
    <cellStyle name="Normal 4 6 2 3 3 4" xfId="21332" xr:uid="{00000000-0005-0000-0000-000058530000}"/>
    <cellStyle name="Normal 4 6 2 3 4" xfId="9781" xr:uid="{00000000-0005-0000-0000-000039260000}"/>
    <cellStyle name="Normal 4 6 2 3 4 2" xfId="18009" xr:uid="{00000000-0005-0000-0000-00005D460000}"/>
    <cellStyle name="Normal 4 6 2 3 4 2 2" xfId="24521" xr:uid="{00000000-0005-0000-0000-0000CD5F0000}"/>
    <cellStyle name="Normal 4 6 2 3 4 3" xfId="21686" xr:uid="{00000000-0005-0000-0000-0000BA540000}"/>
    <cellStyle name="Normal 4 6 2 3 5" xfId="11127" xr:uid="{00000000-0005-0000-0000-00007B2B0000}"/>
    <cellStyle name="Normal 4 6 2 3 5 2" xfId="23017" xr:uid="{00000000-0005-0000-0000-0000ED590000}"/>
    <cellStyle name="Normal 4 6 2 3 6" xfId="20124" xr:uid="{00000000-0005-0000-0000-0000A04E0000}"/>
    <cellStyle name="Normal 4 6 2 4" xfId="8128" xr:uid="{00000000-0005-0000-0000-0000C41F0000}"/>
    <cellStyle name="Normal 4 6 2 4 2" xfId="9990" xr:uid="{00000000-0005-0000-0000-00000A270000}"/>
    <cellStyle name="Normal 4 6 2 4 2 2" xfId="18218" xr:uid="{00000000-0005-0000-0000-00002E470000}"/>
    <cellStyle name="Normal 4 6 2 4 2 2 2" xfId="24730" xr:uid="{00000000-0005-0000-0000-00009E600000}"/>
    <cellStyle name="Normal 4 6 2 4 2 3" xfId="21895" xr:uid="{00000000-0005-0000-0000-00008B550000}"/>
    <cellStyle name="Normal 4 6 2 4 3" xfId="16822" xr:uid="{00000000-0005-0000-0000-0000BA410000}"/>
    <cellStyle name="Normal 4 6 2 4 3 2" xfId="23481" xr:uid="{00000000-0005-0000-0000-0000BD5B0000}"/>
    <cellStyle name="Normal 4 6 2 4 4" xfId="20333" xr:uid="{00000000-0005-0000-0000-0000714F0000}"/>
    <cellStyle name="Normal 4 6 2 5" xfId="9355" xr:uid="{00000000-0005-0000-0000-00008F240000}"/>
    <cellStyle name="Normal 4 6 2 5 2" xfId="10682" xr:uid="{00000000-0005-0000-0000-0000BE290000}"/>
    <cellStyle name="Normal 4 6 2 5 2 2" xfId="18910" xr:uid="{00000000-0005-0000-0000-0000E2490000}"/>
    <cellStyle name="Normal 4 6 2 5 2 2 2" xfId="25422" xr:uid="{00000000-0005-0000-0000-000052630000}"/>
    <cellStyle name="Normal 4 6 2 5 2 3" xfId="22587" xr:uid="{00000000-0005-0000-0000-00003F580000}"/>
    <cellStyle name="Normal 4 6 2 5 3" xfId="17592" xr:uid="{00000000-0005-0000-0000-0000BC440000}"/>
    <cellStyle name="Normal 4 6 2 5 3 2" xfId="24166" xr:uid="{00000000-0005-0000-0000-00006A5E0000}"/>
    <cellStyle name="Normal 4 6 2 5 4" xfId="21331" xr:uid="{00000000-0005-0000-0000-000057530000}"/>
    <cellStyle name="Normal 4 6 2 6" xfId="9572" xr:uid="{00000000-0005-0000-0000-000068250000}"/>
    <cellStyle name="Normal 4 6 2 6 2" xfId="17800" xr:uid="{00000000-0005-0000-0000-00008C450000}"/>
    <cellStyle name="Normal 4 6 2 6 2 2" xfId="24312" xr:uid="{00000000-0005-0000-0000-0000FC5E0000}"/>
    <cellStyle name="Normal 4 6 2 6 3" xfId="21477" xr:uid="{00000000-0005-0000-0000-0000E9530000}"/>
    <cellStyle name="Normal 4 6 2 7" xfId="11126" xr:uid="{00000000-0005-0000-0000-00007A2B0000}"/>
    <cellStyle name="Normal 4 6 2 7 2" xfId="23016" xr:uid="{00000000-0005-0000-0000-0000EC590000}"/>
    <cellStyle name="Normal 4 6 2 8" xfId="19648" xr:uid="{00000000-0005-0000-0000-0000C44C0000}"/>
    <cellStyle name="Normal 4 6 2 9" xfId="4572" xr:uid="{00000000-0005-0000-0000-0000E0110000}"/>
    <cellStyle name="Normal 4 6 3" xfId="6430" xr:uid="{00000000-0005-0000-0000-000022190000}"/>
    <cellStyle name="Normal 4 6 4" xfId="6428" xr:uid="{00000000-0005-0000-0000-000020190000}"/>
    <cellStyle name="Normal 4 6 4 2" xfId="7951" xr:uid="{00000000-0005-0000-0000-0000131F0000}"/>
    <cellStyle name="Normal 4 6 4 2 2" xfId="8370" xr:uid="{00000000-0005-0000-0000-0000B6200000}"/>
    <cellStyle name="Normal 4 6 4 2 2 2" xfId="10232" xr:uid="{00000000-0005-0000-0000-0000FC270000}"/>
    <cellStyle name="Normal 4 6 4 2 2 2 2" xfId="18460" xr:uid="{00000000-0005-0000-0000-000020480000}"/>
    <cellStyle name="Normal 4 6 4 2 2 2 2 2" xfId="24972" xr:uid="{00000000-0005-0000-0000-000090610000}"/>
    <cellStyle name="Normal 4 6 4 2 2 2 3" xfId="22137" xr:uid="{00000000-0005-0000-0000-00007D560000}"/>
    <cellStyle name="Normal 4 6 4 2 2 3" xfId="17050" xr:uid="{00000000-0005-0000-0000-00009E420000}"/>
    <cellStyle name="Normal 4 6 4 2 2 3 2" xfId="23707" xr:uid="{00000000-0005-0000-0000-00009F5C0000}"/>
    <cellStyle name="Normal 4 6 4 2 2 4" xfId="20575" xr:uid="{00000000-0005-0000-0000-000063500000}"/>
    <cellStyle name="Normal 4 6 4 2 3" xfId="9358" xr:uid="{00000000-0005-0000-0000-000092240000}"/>
    <cellStyle name="Normal 4 6 4 2 3 2" xfId="10685" xr:uid="{00000000-0005-0000-0000-0000C1290000}"/>
    <cellStyle name="Normal 4 6 4 2 3 2 2" xfId="18913" xr:uid="{00000000-0005-0000-0000-0000E5490000}"/>
    <cellStyle name="Normal 4 6 4 2 3 2 2 2" xfId="25425" xr:uid="{00000000-0005-0000-0000-000055630000}"/>
    <cellStyle name="Normal 4 6 4 2 3 2 3" xfId="22590" xr:uid="{00000000-0005-0000-0000-000042580000}"/>
    <cellStyle name="Normal 4 6 4 2 3 3" xfId="17595" xr:uid="{00000000-0005-0000-0000-0000BF440000}"/>
    <cellStyle name="Normal 4 6 4 2 3 3 2" xfId="24169" xr:uid="{00000000-0005-0000-0000-00006D5E0000}"/>
    <cellStyle name="Normal 4 6 4 2 3 4" xfId="21334" xr:uid="{00000000-0005-0000-0000-00005A530000}"/>
    <cellStyle name="Normal 4 6 4 2 4" xfId="9814" xr:uid="{00000000-0005-0000-0000-00005A260000}"/>
    <cellStyle name="Normal 4 6 4 2 4 2" xfId="18042" xr:uid="{00000000-0005-0000-0000-00007E460000}"/>
    <cellStyle name="Normal 4 6 4 2 4 2 2" xfId="24554" xr:uid="{00000000-0005-0000-0000-0000EE5F0000}"/>
    <cellStyle name="Normal 4 6 4 2 4 3" xfId="21719" xr:uid="{00000000-0005-0000-0000-0000DB540000}"/>
    <cellStyle name="Normal 4 6 4 2 5" xfId="11129" xr:uid="{00000000-0005-0000-0000-00007D2B0000}"/>
    <cellStyle name="Normal 4 6 4 2 5 2" xfId="23019" xr:uid="{00000000-0005-0000-0000-0000EF590000}"/>
    <cellStyle name="Normal 4 6 4 2 6" xfId="20157" xr:uid="{00000000-0005-0000-0000-0000C14E0000}"/>
    <cellStyle name="Normal 4 6 4 3" xfId="8161" xr:uid="{00000000-0005-0000-0000-0000E51F0000}"/>
    <cellStyle name="Normal 4 6 4 3 2" xfId="10023" xr:uid="{00000000-0005-0000-0000-00002B270000}"/>
    <cellStyle name="Normal 4 6 4 3 2 2" xfId="18251" xr:uid="{00000000-0005-0000-0000-00004F470000}"/>
    <cellStyle name="Normal 4 6 4 3 2 2 2" xfId="24763" xr:uid="{00000000-0005-0000-0000-0000BF600000}"/>
    <cellStyle name="Normal 4 6 4 3 2 3" xfId="21928" xr:uid="{00000000-0005-0000-0000-0000AC550000}"/>
    <cellStyle name="Normal 4 6 4 3 3" xfId="16846" xr:uid="{00000000-0005-0000-0000-0000D2410000}"/>
    <cellStyle name="Normal 4 6 4 3 3 2" xfId="23505" xr:uid="{00000000-0005-0000-0000-0000D55B0000}"/>
    <cellStyle name="Normal 4 6 4 3 4" xfId="20366" xr:uid="{00000000-0005-0000-0000-0000924F0000}"/>
    <cellStyle name="Normal 4 6 4 4" xfId="9357" xr:uid="{00000000-0005-0000-0000-000091240000}"/>
    <cellStyle name="Normal 4 6 4 4 2" xfId="10684" xr:uid="{00000000-0005-0000-0000-0000C0290000}"/>
    <cellStyle name="Normal 4 6 4 4 2 2" xfId="18912" xr:uid="{00000000-0005-0000-0000-0000E4490000}"/>
    <cellStyle name="Normal 4 6 4 4 2 2 2" xfId="25424" xr:uid="{00000000-0005-0000-0000-000054630000}"/>
    <cellStyle name="Normal 4 6 4 4 2 3" xfId="22589" xr:uid="{00000000-0005-0000-0000-000041580000}"/>
    <cellStyle name="Normal 4 6 4 4 3" xfId="17594" xr:uid="{00000000-0005-0000-0000-0000BE440000}"/>
    <cellStyle name="Normal 4 6 4 4 3 2" xfId="24168" xr:uid="{00000000-0005-0000-0000-00006C5E0000}"/>
    <cellStyle name="Normal 4 6 4 4 4" xfId="21333" xr:uid="{00000000-0005-0000-0000-000059530000}"/>
    <cellStyle name="Normal 4 6 4 5" xfId="9605" xr:uid="{00000000-0005-0000-0000-000089250000}"/>
    <cellStyle name="Normal 4 6 4 5 2" xfId="17833" xr:uid="{00000000-0005-0000-0000-0000AD450000}"/>
    <cellStyle name="Normal 4 6 4 5 2 2" xfId="24345" xr:uid="{00000000-0005-0000-0000-00001D5F0000}"/>
    <cellStyle name="Normal 4 6 4 5 3" xfId="21510" xr:uid="{00000000-0005-0000-0000-00000A540000}"/>
    <cellStyle name="Normal 4 6 4 6" xfId="11128" xr:uid="{00000000-0005-0000-0000-00007C2B0000}"/>
    <cellStyle name="Normal 4 6 4 6 2" xfId="23018" xr:uid="{00000000-0005-0000-0000-0000EE590000}"/>
    <cellStyle name="Normal 4 6 4 7" xfId="19722" xr:uid="{00000000-0005-0000-0000-00000E4D0000}"/>
    <cellStyle name="Normal 4 6 5" xfId="7875" xr:uid="{00000000-0005-0000-0000-0000C71E0000}"/>
    <cellStyle name="Normal 4 6 5 2" xfId="8088" xr:uid="{00000000-0005-0000-0000-00009C1F0000}"/>
    <cellStyle name="Normal 4 6 5 2 2" xfId="8506" xr:uid="{00000000-0005-0000-0000-00003E210000}"/>
    <cellStyle name="Normal 4 6 5 2 2 2" xfId="10368" xr:uid="{00000000-0005-0000-0000-000084280000}"/>
    <cellStyle name="Normal 4 6 5 2 2 2 2" xfId="18596" xr:uid="{00000000-0005-0000-0000-0000A8480000}"/>
    <cellStyle name="Normal 4 6 5 2 2 2 2 2" xfId="25108" xr:uid="{00000000-0005-0000-0000-000018620000}"/>
    <cellStyle name="Normal 4 6 5 2 2 2 3" xfId="22273" xr:uid="{00000000-0005-0000-0000-000005570000}"/>
    <cellStyle name="Normal 4 6 5 2 2 3" xfId="17186" xr:uid="{00000000-0005-0000-0000-000026430000}"/>
    <cellStyle name="Normal 4 6 5 2 2 3 2" xfId="23843" xr:uid="{00000000-0005-0000-0000-0000275D0000}"/>
    <cellStyle name="Normal 4 6 5 2 2 4" xfId="20711" xr:uid="{00000000-0005-0000-0000-0000EB500000}"/>
    <cellStyle name="Normal 4 6 5 2 3" xfId="9360" xr:uid="{00000000-0005-0000-0000-000094240000}"/>
    <cellStyle name="Normal 4 6 5 2 3 2" xfId="10687" xr:uid="{00000000-0005-0000-0000-0000C3290000}"/>
    <cellStyle name="Normal 4 6 5 2 3 2 2" xfId="18915" xr:uid="{00000000-0005-0000-0000-0000E7490000}"/>
    <cellStyle name="Normal 4 6 5 2 3 2 2 2" xfId="25427" xr:uid="{00000000-0005-0000-0000-000057630000}"/>
    <cellStyle name="Normal 4 6 5 2 3 2 3" xfId="22592" xr:uid="{00000000-0005-0000-0000-000044580000}"/>
    <cellStyle name="Normal 4 6 5 2 3 3" xfId="17597" xr:uid="{00000000-0005-0000-0000-0000C1440000}"/>
    <cellStyle name="Normal 4 6 5 2 3 3 2" xfId="24171" xr:uid="{00000000-0005-0000-0000-00006F5E0000}"/>
    <cellStyle name="Normal 4 6 5 2 3 4" xfId="21336" xr:uid="{00000000-0005-0000-0000-00005C530000}"/>
    <cellStyle name="Normal 4 6 5 2 4" xfId="9950" xr:uid="{00000000-0005-0000-0000-0000E2260000}"/>
    <cellStyle name="Normal 4 6 5 2 4 2" xfId="18178" xr:uid="{00000000-0005-0000-0000-000006470000}"/>
    <cellStyle name="Normal 4 6 5 2 4 2 2" xfId="24690" xr:uid="{00000000-0005-0000-0000-000076600000}"/>
    <cellStyle name="Normal 4 6 5 2 4 3" xfId="21855" xr:uid="{00000000-0005-0000-0000-000063550000}"/>
    <cellStyle name="Normal 4 6 5 2 5" xfId="11131" xr:uid="{00000000-0005-0000-0000-00007F2B0000}"/>
    <cellStyle name="Normal 4 6 5 2 5 2" xfId="23021" xr:uid="{00000000-0005-0000-0000-0000F1590000}"/>
    <cellStyle name="Normal 4 6 5 2 6" xfId="20293" xr:uid="{00000000-0005-0000-0000-0000494F0000}"/>
    <cellStyle name="Normal 4 6 5 3" xfId="8297" xr:uid="{00000000-0005-0000-0000-00006D200000}"/>
    <cellStyle name="Normal 4 6 5 3 2" xfId="10159" xr:uid="{00000000-0005-0000-0000-0000B3270000}"/>
    <cellStyle name="Normal 4 6 5 3 2 2" xfId="18387" xr:uid="{00000000-0005-0000-0000-0000D7470000}"/>
    <cellStyle name="Normal 4 6 5 3 2 2 2" xfId="24899" xr:uid="{00000000-0005-0000-0000-000047610000}"/>
    <cellStyle name="Normal 4 6 5 3 2 3" xfId="22064" xr:uid="{00000000-0005-0000-0000-000034560000}"/>
    <cellStyle name="Normal 4 6 5 3 3" xfId="16977" xr:uid="{00000000-0005-0000-0000-000055420000}"/>
    <cellStyle name="Normal 4 6 5 3 3 2" xfId="23634" xr:uid="{00000000-0005-0000-0000-0000565C0000}"/>
    <cellStyle name="Normal 4 6 5 3 4" xfId="20502" xr:uid="{00000000-0005-0000-0000-00001A500000}"/>
    <cellStyle name="Normal 4 6 5 4" xfId="9359" xr:uid="{00000000-0005-0000-0000-000093240000}"/>
    <cellStyle name="Normal 4 6 5 4 2" xfId="10686" xr:uid="{00000000-0005-0000-0000-0000C2290000}"/>
    <cellStyle name="Normal 4 6 5 4 2 2" xfId="18914" xr:uid="{00000000-0005-0000-0000-0000E6490000}"/>
    <cellStyle name="Normal 4 6 5 4 2 2 2" xfId="25426" xr:uid="{00000000-0005-0000-0000-000056630000}"/>
    <cellStyle name="Normal 4 6 5 4 2 3" xfId="22591" xr:uid="{00000000-0005-0000-0000-000043580000}"/>
    <cellStyle name="Normal 4 6 5 4 3" xfId="17596" xr:uid="{00000000-0005-0000-0000-0000C0440000}"/>
    <cellStyle name="Normal 4 6 5 4 3 2" xfId="24170" xr:uid="{00000000-0005-0000-0000-00006E5E0000}"/>
    <cellStyle name="Normal 4 6 5 4 4" xfId="21335" xr:uid="{00000000-0005-0000-0000-00005B530000}"/>
    <cellStyle name="Normal 4 6 5 5" xfId="9741" xr:uid="{00000000-0005-0000-0000-000011260000}"/>
    <cellStyle name="Normal 4 6 5 5 2" xfId="17969" xr:uid="{00000000-0005-0000-0000-000035460000}"/>
    <cellStyle name="Normal 4 6 5 5 2 2" xfId="24481" xr:uid="{00000000-0005-0000-0000-0000A55F0000}"/>
    <cellStyle name="Normal 4 6 5 5 3" xfId="21646" xr:uid="{00000000-0005-0000-0000-000092540000}"/>
    <cellStyle name="Normal 4 6 5 6" xfId="11130" xr:uid="{00000000-0005-0000-0000-00007E2B0000}"/>
    <cellStyle name="Normal 4 6 5 6 2" xfId="23020" xr:uid="{00000000-0005-0000-0000-0000F0590000}"/>
    <cellStyle name="Normal 4 6 5 7" xfId="20084" xr:uid="{00000000-0005-0000-0000-0000784E0000}"/>
    <cellStyle name="Normal 4 6 6" xfId="7891" xr:uid="{00000000-0005-0000-0000-0000D71E0000}"/>
    <cellStyle name="Normal 4 6 6 2" xfId="8313" xr:uid="{00000000-0005-0000-0000-00007D200000}"/>
    <cellStyle name="Normal 4 6 6 2 2" xfId="10175" xr:uid="{00000000-0005-0000-0000-0000C3270000}"/>
    <cellStyle name="Normal 4 6 6 2 2 2" xfId="18403" xr:uid="{00000000-0005-0000-0000-0000E7470000}"/>
    <cellStyle name="Normal 4 6 6 2 2 2 2" xfId="24915" xr:uid="{00000000-0005-0000-0000-000057610000}"/>
    <cellStyle name="Normal 4 6 6 2 2 3" xfId="22080" xr:uid="{00000000-0005-0000-0000-000044560000}"/>
    <cellStyle name="Normal 4 6 6 2 3" xfId="16993" xr:uid="{00000000-0005-0000-0000-000065420000}"/>
    <cellStyle name="Normal 4 6 6 2 3 2" xfId="23650" xr:uid="{00000000-0005-0000-0000-0000665C0000}"/>
    <cellStyle name="Normal 4 6 6 2 4" xfId="20518" xr:uid="{00000000-0005-0000-0000-00002A500000}"/>
    <cellStyle name="Normal 4 6 6 3" xfId="9361" xr:uid="{00000000-0005-0000-0000-000095240000}"/>
    <cellStyle name="Normal 4 6 6 3 2" xfId="10688" xr:uid="{00000000-0005-0000-0000-0000C4290000}"/>
    <cellStyle name="Normal 4 6 6 3 2 2" xfId="18916" xr:uid="{00000000-0005-0000-0000-0000E8490000}"/>
    <cellStyle name="Normal 4 6 6 3 2 2 2" xfId="25428" xr:uid="{00000000-0005-0000-0000-000058630000}"/>
    <cellStyle name="Normal 4 6 6 3 2 3" xfId="22593" xr:uid="{00000000-0005-0000-0000-000045580000}"/>
    <cellStyle name="Normal 4 6 6 3 3" xfId="17598" xr:uid="{00000000-0005-0000-0000-0000C2440000}"/>
    <cellStyle name="Normal 4 6 6 3 3 2" xfId="24172" xr:uid="{00000000-0005-0000-0000-0000705E0000}"/>
    <cellStyle name="Normal 4 6 6 3 4" xfId="21337" xr:uid="{00000000-0005-0000-0000-00005D530000}"/>
    <cellStyle name="Normal 4 6 6 4" xfId="9757" xr:uid="{00000000-0005-0000-0000-000021260000}"/>
    <cellStyle name="Normal 4 6 6 4 2" xfId="17985" xr:uid="{00000000-0005-0000-0000-000045460000}"/>
    <cellStyle name="Normal 4 6 6 4 2 2" xfId="24497" xr:uid="{00000000-0005-0000-0000-0000B55F0000}"/>
    <cellStyle name="Normal 4 6 6 4 3" xfId="21662" xr:uid="{00000000-0005-0000-0000-0000A2540000}"/>
    <cellStyle name="Normal 4 6 6 5" xfId="11132" xr:uid="{00000000-0005-0000-0000-0000802B0000}"/>
    <cellStyle name="Normal 4 6 6 5 2" xfId="23022" xr:uid="{00000000-0005-0000-0000-0000F2590000}"/>
    <cellStyle name="Normal 4 6 6 6" xfId="20100" xr:uid="{00000000-0005-0000-0000-0000884E0000}"/>
    <cellStyle name="Normal 4 6 7" xfId="8104" xr:uid="{00000000-0005-0000-0000-0000AC1F0000}"/>
    <cellStyle name="Normal 4 6 7 2" xfId="8884" xr:uid="{00000000-0005-0000-0000-0000B8220000}"/>
    <cellStyle name="Normal 4 6 7 2 2" xfId="10386" xr:uid="{00000000-0005-0000-0000-000096280000}"/>
    <cellStyle name="Normal 4 6 7 2 2 2" xfId="18614" xr:uid="{00000000-0005-0000-0000-0000BA480000}"/>
    <cellStyle name="Normal 4 6 7 2 2 2 2" xfId="25126" xr:uid="{00000000-0005-0000-0000-00002A620000}"/>
    <cellStyle name="Normal 4 6 7 2 2 3" xfId="22291" xr:uid="{00000000-0005-0000-0000-000017570000}"/>
    <cellStyle name="Normal 4 6 7 2 3" xfId="17258" xr:uid="{00000000-0005-0000-0000-00006E430000}"/>
    <cellStyle name="Normal 4 6 7 2 3 2" xfId="23868" xr:uid="{00000000-0005-0000-0000-0000405D0000}"/>
    <cellStyle name="Normal 4 6 7 2 4" xfId="20950" xr:uid="{00000000-0005-0000-0000-0000DA510000}"/>
    <cellStyle name="Normal 4 6 7 3" xfId="9966" xr:uid="{00000000-0005-0000-0000-0000F2260000}"/>
    <cellStyle name="Normal 4 6 7 3 2" xfId="18194" xr:uid="{00000000-0005-0000-0000-000016470000}"/>
    <cellStyle name="Normal 4 6 7 3 2 2" xfId="24706" xr:uid="{00000000-0005-0000-0000-000086600000}"/>
    <cellStyle name="Normal 4 6 7 3 3" xfId="21871" xr:uid="{00000000-0005-0000-0000-000073550000}"/>
    <cellStyle name="Normal 4 6 7 4" xfId="11133" xr:uid="{00000000-0005-0000-0000-0000812B0000}"/>
    <cellStyle name="Normal 4 6 7 4 2" xfId="23023" xr:uid="{00000000-0005-0000-0000-0000F3590000}"/>
    <cellStyle name="Normal 4 6 7 5" xfId="20309" xr:uid="{00000000-0005-0000-0000-0000594F0000}"/>
    <cellStyle name="Normal 4 6 8" xfId="9548" xr:uid="{00000000-0005-0000-0000-000050250000}"/>
    <cellStyle name="Normal 4 6 8 2" xfId="17776" xr:uid="{00000000-0005-0000-0000-000074450000}"/>
    <cellStyle name="Normal 4 6 8 2 2" xfId="24288" xr:uid="{00000000-0005-0000-0000-0000E45E0000}"/>
    <cellStyle name="Normal 4 6 8 3" xfId="21453" xr:uid="{00000000-0005-0000-0000-0000D1530000}"/>
    <cellStyle name="Normal 4 6 9" xfId="19614" xr:uid="{00000000-0005-0000-0000-0000A24C0000}"/>
    <cellStyle name="Normal 4 7" xfId="1212" xr:uid="{00000000-0005-0000-0000-0000C0040000}"/>
    <cellStyle name="Normal 4 7 2" xfId="2357" xr:uid="{00000000-0005-0000-0000-000039090000}"/>
    <cellStyle name="Normal 4 7 2 2" xfId="7952" xr:uid="{00000000-0005-0000-0000-0000141F0000}"/>
    <cellStyle name="Normal 4 7 2 2 2" xfId="8371" xr:uid="{00000000-0005-0000-0000-0000B7200000}"/>
    <cellStyle name="Normal 4 7 2 2 2 2" xfId="10233" xr:uid="{00000000-0005-0000-0000-0000FD270000}"/>
    <cellStyle name="Normal 4 7 2 2 2 2 2" xfId="18461" xr:uid="{00000000-0005-0000-0000-000021480000}"/>
    <cellStyle name="Normal 4 7 2 2 2 2 2 2" xfId="24973" xr:uid="{00000000-0005-0000-0000-000091610000}"/>
    <cellStyle name="Normal 4 7 2 2 2 2 3" xfId="22138" xr:uid="{00000000-0005-0000-0000-00007E560000}"/>
    <cellStyle name="Normal 4 7 2 2 2 3" xfId="17051" xr:uid="{00000000-0005-0000-0000-00009F420000}"/>
    <cellStyle name="Normal 4 7 2 2 2 3 2" xfId="23708" xr:uid="{00000000-0005-0000-0000-0000A05C0000}"/>
    <cellStyle name="Normal 4 7 2 2 2 4" xfId="20576" xr:uid="{00000000-0005-0000-0000-000064500000}"/>
    <cellStyle name="Normal 4 7 2 2 3" xfId="9364" xr:uid="{00000000-0005-0000-0000-000098240000}"/>
    <cellStyle name="Normal 4 7 2 2 3 2" xfId="10691" xr:uid="{00000000-0005-0000-0000-0000C7290000}"/>
    <cellStyle name="Normal 4 7 2 2 3 2 2" xfId="18919" xr:uid="{00000000-0005-0000-0000-0000EB490000}"/>
    <cellStyle name="Normal 4 7 2 2 3 2 2 2" xfId="25431" xr:uid="{00000000-0005-0000-0000-00005B630000}"/>
    <cellStyle name="Normal 4 7 2 2 3 2 3" xfId="22596" xr:uid="{00000000-0005-0000-0000-000048580000}"/>
    <cellStyle name="Normal 4 7 2 2 3 3" xfId="17601" xr:uid="{00000000-0005-0000-0000-0000C5440000}"/>
    <cellStyle name="Normal 4 7 2 2 3 3 2" xfId="24175" xr:uid="{00000000-0005-0000-0000-0000735E0000}"/>
    <cellStyle name="Normal 4 7 2 2 3 4" xfId="21340" xr:uid="{00000000-0005-0000-0000-000060530000}"/>
    <cellStyle name="Normal 4 7 2 2 4" xfId="9815" xr:uid="{00000000-0005-0000-0000-00005B260000}"/>
    <cellStyle name="Normal 4 7 2 2 4 2" xfId="18043" xr:uid="{00000000-0005-0000-0000-00007F460000}"/>
    <cellStyle name="Normal 4 7 2 2 4 2 2" xfId="24555" xr:uid="{00000000-0005-0000-0000-0000EF5F0000}"/>
    <cellStyle name="Normal 4 7 2 2 4 3" xfId="21720" xr:uid="{00000000-0005-0000-0000-0000DC540000}"/>
    <cellStyle name="Normal 4 7 2 2 5" xfId="11135" xr:uid="{00000000-0005-0000-0000-0000832B0000}"/>
    <cellStyle name="Normal 4 7 2 2 5 2" xfId="23025" xr:uid="{00000000-0005-0000-0000-0000F5590000}"/>
    <cellStyle name="Normal 4 7 2 2 6" xfId="20158" xr:uid="{00000000-0005-0000-0000-0000C24E0000}"/>
    <cellStyle name="Normal 4 7 2 3" xfId="8162" xr:uid="{00000000-0005-0000-0000-0000E61F0000}"/>
    <cellStyle name="Normal 4 7 2 3 2" xfId="10024" xr:uid="{00000000-0005-0000-0000-00002C270000}"/>
    <cellStyle name="Normal 4 7 2 3 2 2" xfId="18252" xr:uid="{00000000-0005-0000-0000-000050470000}"/>
    <cellStyle name="Normal 4 7 2 3 2 2 2" xfId="24764" xr:uid="{00000000-0005-0000-0000-0000C0600000}"/>
    <cellStyle name="Normal 4 7 2 3 2 3" xfId="21929" xr:uid="{00000000-0005-0000-0000-0000AD550000}"/>
    <cellStyle name="Normal 4 7 2 3 3" xfId="16847" xr:uid="{00000000-0005-0000-0000-0000D3410000}"/>
    <cellStyle name="Normal 4 7 2 3 3 2" xfId="23506" xr:uid="{00000000-0005-0000-0000-0000D65B0000}"/>
    <cellStyle name="Normal 4 7 2 3 4" xfId="20367" xr:uid="{00000000-0005-0000-0000-0000934F0000}"/>
    <cellStyle name="Normal 4 7 2 4" xfId="9363" xr:uid="{00000000-0005-0000-0000-000097240000}"/>
    <cellStyle name="Normal 4 7 2 4 2" xfId="10690" xr:uid="{00000000-0005-0000-0000-0000C6290000}"/>
    <cellStyle name="Normal 4 7 2 4 2 2" xfId="18918" xr:uid="{00000000-0005-0000-0000-0000EA490000}"/>
    <cellStyle name="Normal 4 7 2 4 2 2 2" xfId="25430" xr:uid="{00000000-0005-0000-0000-00005A630000}"/>
    <cellStyle name="Normal 4 7 2 4 2 3" xfId="22595" xr:uid="{00000000-0005-0000-0000-000047580000}"/>
    <cellStyle name="Normal 4 7 2 4 3" xfId="17600" xr:uid="{00000000-0005-0000-0000-0000C4440000}"/>
    <cellStyle name="Normal 4 7 2 4 3 2" xfId="24174" xr:uid="{00000000-0005-0000-0000-0000725E0000}"/>
    <cellStyle name="Normal 4 7 2 4 4" xfId="21339" xr:uid="{00000000-0005-0000-0000-00005F530000}"/>
    <cellStyle name="Normal 4 7 2 5" xfId="9606" xr:uid="{00000000-0005-0000-0000-00008A250000}"/>
    <cellStyle name="Normal 4 7 2 5 2" xfId="17834" xr:uid="{00000000-0005-0000-0000-0000AE450000}"/>
    <cellStyle name="Normal 4 7 2 5 2 2" xfId="24346" xr:uid="{00000000-0005-0000-0000-00001E5F0000}"/>
    <cellStyle name="Normal 4 7 2 5 3" xfId="21511" xr:uid="{00000000-0005-0000-0000-00000B540000}"/>
    <cellStyle name="Normal 4 7 2 6" xfId="11134" xr:uid="{00000000-0005-0000-0000-0000822B0000}"/>
    <cellStyle name="Normal 4 7 2 6 2" xfId="23024" xr:uid="{00000000-0005-0000-0000-0000F4590000}"/>
    <cellStyle name="Normal 4 7 2 7" xfId="19723" xr:uid="{00000000-0005-0000-0000-00000F4D0000}"/>
    <cellStyle name="Normal 4 7 2 8" xfId="6431" xr:uid="{00000000-0005-0000-0000-000023190000}"/>
    <cellStyle name="Normal 4 7 3" xfId="7815" xr:uid="{00000000-0005-0000-0000-00008B1E0000}"/>
    <cellStyle name="Normal 4 7 4" xfId="7917" xr:uid="{00000000-0005-0000-0000-0000F11E0000}"/>
    <cellStyle name="Normal 4 7 4 2" xfId="8338" xr:uid="{00000000-0005-0000-0000-000096200000}"/>
    <cellStyle name="Normal 4 7 4 2 2" xfId="10200" xr:uid="{00000000-0005-0000-0000-0000DC270000}"/>
    <cellStyle name="Normal 4 7 4 2 2 2" xfId="18428" xr:uid="{00000000-0005-0000-0000-000000480000}"/>
    <cellStyle name="Normal 4 7 4 2 2 2 2" xfId="24940" xr:uid="{00000000-0005-0000-0000-000070610000}"/>
    <cellStyle name="Normal 4 7 4 2 2 3" xfId="22105" xr:uid="{00000000-0005-0000-0000-00005D560000}"/>
    <cellStyle name="Normal 4 7 4 2 3" xfId="17018" xr:uid="{00000000-0005-0000-0000-00007E420000}"/>
    <cellStyle name="Normal 4 7 4 2 3 2" xfId="23675" xr:uid="{00000000-0005-0000-0000-00007F5C0000}"/>
    <cellStyle name="Normal 4 7 4 2 4" xfId="20543" xr:uid="{00000000-0005-0000-0000-000043500000}"/>
    <cellStyle name="Normal 4 7 4 3" xfId="9365" xr:uid="{00000000-0005-0000-0000-000099240000}"/>
    <cellStyle name="Normal 4 7 4 3 2" xfId="10692" xr:uid="{00000000-0005-0000-0000-0000C8290000}"/>
    <cellStyle name="Normal 4 7 4 3 2 2" xfId="18920" xr:uid="{00000000-0005-0000-0000-0000EC490000}"/>
    <cellStyle name="Normal 4 7 4 3 2 2 2" xfId="25432" xr:uid="{00000000-0005-0000-0000-00005C630000}"/>
    <cellStyle name="Normal 4 7 4 3 2 3" xfId="22597" xr:uid="{00000000-0005-0000-0000-000049580000}"/>
    <cellStyle name="Normal 4 7 4 3 3" xfId="17602" xr:uid="{00000000-0005-0000-0000-0000C6440000}"/>
    <cellStyle name="Normal 4 7 4 3 3 2" xfId="24176" xr:uid="{00000000-0005-0000-0000-0000745E0000}"/>
    <cellStyle name="Normal 4 7 4 3 4" xfId="21341" xr:uid="{00000000-0005-0000-0000-000061530000}"/>
    <cellStyle name="Normal 4 7 4 4" xfId="9782" xr:uid="{00000000-0005-0000-0000-00003A260000}"/>
    <cellStyle name="Normal 4 7 4 4 2" xfId="18010" xr:uid="{00000000-0005-0000-0000-00005E460000}"/>
    <cellStyle name="Normal 4 7 4 4 2 2" xfId="24522" xr:uid="{00000000-0005-0000-0000-0000CE5F0000}"/>
    <cellStyle name="Normal 4 7 4 4 3" xfId="21687" xr:uid="{00000000-0005-0000-0000-0000BB540000}"/>
    <cellStyle name="Normal 4 7 4 5" xfId="11136" xr:uid="{00000000-0005-0000-0000-0000842B0000}"/>
    <cellStyle name="Normal 4 7 4 5 2" xfId="23026" xr:uid="{00000000-0005-0000-0000-0000F6590000}"/>
    <cellStyle name="Normal 4 7 4 6" xfId="20125" xr:uid="{00000000-0005-0000-0000-0000A14E0000}"/>
    <cellStyle name="Normal 4 7 5" xfId="8129" xr:uid="{00000000-0005-0000-0000-0000C51F0000}"/>
    <cellStyle name="Normal 4 7 5 2" xfId="9362" xr:uid="{00000000-0005-0000-0000-000096240000}"/>
    <cellStyle name="Normal 4 7 5 2 2" xfId="10689" xr:uid="{00000000-0005-0000-0000-0000C5290000}"/>
    <cellStyle name="Normal 4 7 5 2 2 2" xfId="18917" xr:uid="{00000000-0005-0000-0000-0000E9490000}"/>
    <cellStyle name="Normal 4 7 5 2 2 2 2" xfId="25429" xr:uid="{00000000-0005-0000-0000-000059630000}"/>
    <cellStyle name="Normal 4 7 5 2 2 3" xfId="22594" xr:uid="{00000000-0005-0000-0000-000046580000}"/>
    <cellStyle name="Normal 4 7 5 2 3" xfId="17599" xr:uid="{00000000-0005-0000-0000-0000C3440000}"/>
    <cellStyle name="Normal 4 7 5 2 3 2" xfId="24173" xr:uid="{00000000-0005-0000-0000-0000715E0000}"/>
    <cellStyle name="Normal 4 7 5 2 4" xfId="21338" xr:uid="{00000000-0005-0000-0000-00005E530000}"/>
    <cellStyle name="Normal 4 7 5 3" xfId="9991" xr:uid="{00000000-0005-0000-0000-00000B270000}"/>
    <cellStyle name="Normal 4 7 5 3 2" xfId="18219" xr:uid="{00000000-0005-0000-0000-00002F470000}"/>
    <cellStyle name="Normal 4 7 5 3 2 2" xfId="24731" xr:uid="{00000000-0005-0000-0000-00009F600000}"/>
    <cellStyle name="Normal 4 7 5 3 3" xfId="21896" xr:uid="{00000000-0005-0000-0000-00008C550000}"/>
    <cellStyle name="Normal 4 7 5 4" xfId="11137" xr:uid="{00000000-0005-0000-0000-0000852B0000}"/>
    <cellStyle name="Normal 4 7 5 4 2" xfId="23027" xr:uid="{00000000-0005-0000-0000-0000F7590000}"/>
    <cellStyle name="Normal 4 7 5 5" xfId="20334" xr:uid="{00000000-0005-0000-0000-0000724F0000}"/>
    <cellStyle name="Normal 4 7 6" xfId="9573" xr:uid="{00000000-0005-0000-0000-000069250000}"/>
    <cellStyle name="Normal 4 7 6 2" xfId="17801" xr:uid="{00000000-0005-0000-0000-00008D450000}"/>
    <cellStyle name="Normal 4 7 6 2 2" xfId="24313" xr:uid="{00000000-0005-0000-0000-0000FD5E0000}"/>
    <cellStyle name="Normal 4 7 6 3" xfId="21478" xr:uid="{00000000-0005-0000-0000-0000EA530000}"/>
    <cellStyle name="Normal 4 7 7" xfId="19649" xr:uid="{00000000-0005-0000-0000-0000C54C0000}"/>
    <cellStyle name="Normal 4 7 8" xfId="4573" xr:uid="{00000000-0005-0000-0000-0000E1110000}"/>
    <cellStyle name="Normal 4 8" xfId="1213" xr:uid="{00000000-0005-0000-0000-0000C1040000}"/>
    <cellStyle name="Normal 4 8 2" xfId="2358" xr:uid="{00000000-0005-0000-0000-00003A090000}"/>
    <cellStyle name="Normal 4 8 2 2" xfId="6432" xr:uid="{00000000-0005-0000-0000-000024190000}"/>
    <cellStyle name="Normal 4 8 3" xfId="7816" xr:uid="{00000000-0005-0000-0000-00008C1E0000}"/>
    <cellStyle name="Normal 4 8 4" xfId="7912" xr:uid="{00000000-0005-0000-0000-0000EC1E0000}"/>
    <cellStyle name="Normal 4 8 4 2" xfId="8333" xr:uid="{00000000-0005-0000-0000-000091200000}"/>
    <cellStyle name="Normal 4 8 4 2 2" xfId="10195" xr:uid="{00000000-0005-0000-0000-0000D7270000}"/>
    <cellStyle name="Normal 4 8 4 2 2 2" xfId="18423" xr:uid="{00000000-0005-0000-0000-0000FB470000}"/>
    <cellStyle name="Normal 4 8 4 2 2 2 2" xfId="24935" xr:uid="{00000000-0005-0000-0000-00006B610000}"/>
    <cellStyle name="Normal 4 8 4 2 2 3" xfId="22100" xr:uid="{00000000-0005-0000-0000-000058560000}"/>
    <cellStyle name="Normal 4 8 4 2 3" xfId="17013" xr:uid="{00000000-0005-0000-0000-000079420000}"/>
    <cellStyle name="Normal 4 8 4 2 3 2" xfId="23670" xr:uid="{00000000-0005-0000-0000-00007A5C0000}"/>
    <cellStyle name="Normal 4 8 4 2 4" xfId="20538" xr:uid="{00000000-0005-0000-0000-00003E500000}"/>
    <cellStyle name="Normal 4 8 4 3" xfId="9367" xr:uid="{00000000-0005-0000-0000-00009B240000}"/>
    <cellStyle name="Normal 4 8 4 3 2" xfId="10694" xr:uid="{00000000-0005-0000-0000-0000CA290000}"/>
    <cellStyle name="Normal 4 8 4 3 2 2" xfId="18922" xr:uid="{00000000-0005-0000-0000-0000EE490000}"/>
    <cellStyle name="Normal 4 8 4 3 2 2 2" xfId="25434" xr:uid="{00000000-0005-0000-0000-00005E630000}"/>
    <cellStyle name="Normal 4 8 4 3 2 3" xfId="22599" xr:uid="{00000000-0005-0000-0000-00004B580000}"/>
    <cellStyle name="Normal 4 8 4 3 3" xfId="17604" xr:uid="{00000000-0005-0000-0000-0000C8440000}"/>
    <cellStyle name="Normal 4 8 4 3 3 2" xfId="24178" xr:uid="{00000000-0005-0000-0000-0000765E0000}"/>
    <cellStyle name="Normal 4 8 4 3 4" xfId="21343" xr:uid="{00000000-0005-0000-0000-000063530000}"/>
    <cellStyle name="Normal 4 8 4 4" xfId="9777" xr:uid="{00000000-0005-0000-0000-000035260000}"/>
    <cellStyle name="Normal 4 8 4 4 2" xfId="18005" xr:uid="{00000000-0005-0000-0000-000059460000}"/>
    <cellStyle name="Normal 4 8 4 4 2 2" xfId="24517" xr:uid="{00000000-0005-0000-0000-0000C95F0000}"/>
    <cellStyle name="Normal 4 8 4 4 3" xfId="21682" xr:uid="{00000000-0005-0000-0000-0000B6540000}"/>
    <cellStyle name="Normal 4 8 4 5" xfId="11138" xr:uid="{00000000-0005-0000-0000-0000862B0000}"/>
    <cellStyle name="Normal 4 8 4 5 2" xfId="23028" xr:uid="{00000000-0005-0000-0000-0000F8590000}"/>
    <cellStyle name="Normal 4 8 4 6" xfId="20120" xr:uid="{00000000-0005-0000-0000-00009C4E0000}"/>
    <cellStyle name="Normal 4 8 5" xfId="8124" xr:uid="{00000000-0005-0000-0000-0000C01F0000}"/>
    <cellStyle name="Normal 4 8 5 2" xfId="9366" xr:uid="{00000000-0005-0000-0000-00009A240000}"/>
    <cellStyle name="Normal 4 8 5 2 2" xfId="10693" xr:uid="{00000000-0005-0000-0000-0000C9290000}"/>
    <cellStyle name="Normal 4 8 5 2 2 2" xfId="18921" xr:uid="{00000000-0005-0000-0000-0000ED490000}"/>
    <cellStyle name="Normal 4 8 5 2 2 2 2" xfId="25433" xr:uid="{00000000-0005-0000-0000-00005D630000}"/>
    <cellStyle name="Normal 4 8 5 2 2 3" xfId="22598" xr:uid="{00000000-0005-0000-0000-00004A580000}"/>
    <cellStyle name="Normal 4 8 5 2 3" xfId="17603" xr:uid="{00000000-0005-0000-0000-0000C7440000}"/>
    <cellStyle name="Normal 4 8 5 2 3 2" xfId="24177" xr:uid="{00000000-0005-0000-0000-0000755E0000}"/>
    <cellStyle name="Normal 4 8 5 2 4" xfId="21342" xr:uid="{00000000-0005-0000-0000-000062530000}"/>
    <cellStyle name="Normal 4 8 5 3" xfId="9986" xr:uid="{00000000-0005-0000-0000-000006270000}"/>
    <cellStyle name="Normal 4 8 5 3 2" xfId="18214" xr:uid="{00000000-0005-0000-0000-00002A470000}"/>
    <cellStyle name="Normal 4 8 5 3 2 2" xfId="24726" xr:uid="{00000000-0005-0000-0000-00009A600000}"/>
    <cellStyle name="Normal 4 8 5 3 3" xfId="21891" xr:uid="{00000000-0005-0000-0000-000087550000}"/>
    <cellStyle name="Normal 4 8 5 4" xfId="11139" xr:uid="{00000000-0005-0000-0000-0000872B0000}"/>
    <cellStyle name="Normal 4 8 5 4 2" xfId="23029" xr:uid="{00000000-0005-0000-0000-0000F9590000}"/>
    <cellStyle name="Normal 4 8 5 5" xfId="20329" xr:uid="{00000000-0005-0000-0000-00006D4F0000}"/>
    <cellStyle name="Normal 4 8 6" xfId="9568" xr:uid="{00000000-0005-0000-0000-000064250000}"/>
    <cellStyle name="Normal 4 8 6 2" xfId="17796" xr:uid="{00000000-0005-0000-0000-000088450000}"/>
    <cellStyle name="Normal 4 8 6 2 2" xfId="24308" xr:uid="{00000000-0005-0000-0000-0000F85E0000}"/>
    <cellStyle name="Normal 4 8 6 3" xfId="21473" xr:uid="{00000000-0005-0000-0000-0000E5530000}"/>
    <cellStyle name="Normal 4 8 7" xfId="19644" xr:uid="{00000000-0005-0000-0000-0000C04C0000}"/>
    <cellStyle name="Normal 4 8 8" xfId="4568" xr:uid="{00000000-0005-0000-0000-0000DC110000}"/>
    <cellStyle name="Normal 4 9" xfId="1214" xr:uid="{00000000-0005-0000-0000-0000C2040000}"/>
    <cellStyle name="Normal 4 9 2" xfId="2359" xr:uid="{00000000-0005-0000-0000-00003B090000}"/>
    <cellStyle name="Normal 4 9 3" xfId="9368" xr:uid="{00000000-0005-0000-0000-00009C240000}"/>
    <cellStyle name="Normal 4 9 4" xfId="6433" xr:uid="{00000000-0005-0000-0000-000025190000}"/>
    <cellStyle name="Normal 4_ELC" xfId="12759" xr:uid="{00000000-0005-0000-0000-0000DB310000}"/>
    <cellStyle name="Normal 40" xfId="6434" xr:uid="{00000000-0005-0000-0000-000026190000}"/>
    <cellStyle name="Normal 41" xfId="15265" xr:uid="{00000000-0005-0000-0000-0000A53B0000}"/>
    <cellStyle name="Normal 42" xfId="15254" xr:uid="{00000000-0005-0000-0000-00009A3B0000}"/>
    <cellStyle name="Normal 43" xfId="15253" xr:uid="{00000000-0005-0000-0000-0000993B0000}"/>
    <cellStyle name="Normal 44" xfId="15266" xr:uid="{00000000-0005-0000-0000-0000A63B0000}"/>
    <cellStyle name="Normal 45" xfId="17235" xr:uid="{00000000-0005-0000-0000-000057430000}"/>
    <cellStyle name="Normal 46" xfId="19542" xr:uid="{00000000-0005-0000-0000-00005A4C0000}"/>
    <cellStyle name="Normal 47" xfId="15745" xr:uid="{00000000-0005-0000-0000-0000853D0000}"/>
    <cellStyle name="Normal 48" xfId="10796" xr:uid="{00000000-0005-0000-0000-0000302A0000}"/>
    <cellStyle name="Normal 48 2" xfId="22701" xr:uid="{00000000-0005-0000-0000-0000B1580000}"/>
    <cellStyle name="Normal 49" xfId="19570" xr:uid="{00000000-0005-0000-0000-0000764C0000}"/>
    <cellStyle name="Normal 49 2" xfId="25536" xr:uid="{00000000-0005-0000-0000-0000C4630000}"/>
    <cellStyle name="Normal 5" xfId="134" xr:uid="{00000000-0005-0000-0000-00008A000000}"/>
    <cellStyle name="Normal 5 10" xfId="1216" xr:uid="{00000000-0005-0000-0000-0000C4040000}"/>
    <cellStyle name="Normal 5 10 2" xfId="2361" xr:uid="{00000000-0005-0000-0000-00003D090000}"/>
    <cellStyle name="Normal 5 10 3" xfId="9369" xr:uid="{00000000-0005-0000-0000-00009D240000}"/>
    <cellStyle name="Normal 5 10 4" xfId="6436" xr:uid="{00000000-0005-0000-0000-000028190000}"/>
    <cellStyle name="Normal 5 11" xfId="1217" xr:uid="{00000000-0005-0000-0000-0000C5040000}"/>
    <cellStyle name="Normal 5 11 2" xfId="2362" xr:uid="{00000000-0005-0000-0000-00003E090000}"/>
    <cellStyle name="Normal 5 11 3" xfId="9370" xr:uid="{00000000-0005-0000-0000-00009E240000}"/>
    <cellStyle name="Normal 5 11 4" xfId="6437" xr:uid="{00000000-0005-0000-0000-000029190000}"/>
    <cellStyle name="Normal 5 12" xfId="1218" xr:uid="{00000000-0005-0000-0000-0000C6040000}"/>
    <cellStyle name="Normal 5 12 2" xfId="2363" xr:uid="{00000000-0005-0000-0000-00003F090000}"/>
    <cellStyle name="Normal 5 12 3" xfId="7954" xr:uid="{00000000-0005-0000-0000-0000161F0000}"/>
    <cellStyle name="Normal 5 12 3 2" xfId="8373" xr:uid="{00000000-0005-0000-0000-0000B9200000}"/>
    <cellStyle name="Normal 5 12 3 2 2" xfId="10235" xr:uid="{00000000-0005-0000-0000-0000FF270000}"/>
    <cellStyle name="Normal 5 12 3 2 2 2" xfId="18463" xr:uid="{00000000-0005-0000-0000-000023480000}"/>
    <cellStyle name="Normal 5 12 3 2 2 2 2" xfId="24975" xr:uid="{00000000-0005-0000-0000-000093610000}"/>
    <cellStyle name="Normal 5 12 3 2 2 3" xfId="22140" xr:uid="{00000000-0005-0000-0000-000080560000}"/>
    <cellStyle name="Normal 5 12 3 2 3" xfId="17053" xr:uid="{00000000-0005-0000-0000-0000A1420000}"/>
    <cellStyle name="Normal 5 12 3 2 3 2" xfId="23710" xr:uid="{00000000-0005-0000-0000-0000A25C0000}"/>
    <cellStyle name="Normal 5 12 3 2 4" xfId="20578" xr:uid="{00000000-0005-0000-0000-000066500000}"/>
    <cellStyle name="Normal 5 12 3 3" xfId="9372" xr:uid="{00000000-0005-0000-0000-0000A0240000}"/>
    <cellStyle name="Normal 5 12 3 3 2" xfId="10696" xr:uid="{00000000-0005-0000-0000-0000CC290000}"/>
    <cellStyle name="Normal 5 12 3 3 2 2" xfId="18924" xr:uid="{00000000-0005-0000-0000-0000F0490000}"/>
    <cellStyle name="Normal 5 12 3 3 2 2 2" xfId="25436" xr:uid="{00000000-0005-0000-0000-000060630000}"/>
    <cellStyle name="Normal 5 12 3 3 2 3" xfId="22601" xr:uid="{00000000-0005-0000-0000-00004D580000}"/>
    <cellStyle name="Normal 5 12 3 3 3" xfId="17606" xr:uid="{00000000-0005-0000-0000-0000CA440000}"/>
    <cellStyle name="Normal 5 12 3 3 3 2" xfId="24180" xr:uid="{00000000-0005-0000-0000-0000785E0000}"/>
    <cellStyle name="Normal 5 12 3 3 4" xfId="21345" xr:uid="{00000000-0005-0000-0000-000065530000}"/>
    <cellStyle name="Normal 5 12 3 4" xfId="9817" xr:uid="{00000000-0005-0000-0000-00005D260000}"/>
    <cellStyle name="Normal 5 12 3 4 2" xfId="18045" xr:uid="{00000000-0005-0000-0000-000081460000}"/>
    <cellStyle name="Normal 5 12 3 4 2 2" xfId="24557" xr:uid="{00000000-0005-0000-0000-0000F15F0000}"/>
    <cellStyle name="Normal 5 12 3 4 3" xfId="21722" xr:uid="{00000000-0005-0000-0000-0000DE540000}"/>
    <cellStyle name="Normal 5 12 3 5" xfId="11140" xr:uid="{00000000-0005-0000-0000-0000882B0000}"/>
    <cellStyle name="Normal 5 12 3 5 2" xfId="23030" xr:uid="{00000000-0005-0000-0000-0000FA590000}"/>
    <cellStyle name="Normal 5 12 3 6" xfId="20160" xr:uid="{00000000-0005-0000-0000-0000C44E0000}"/>
    <cellStyle name="Normal 5 12 4" xfId="8164" xr:uid="{00000000-0005-0000-0000-0000E81F0000}"/>
    <cellStyle name="Normal 5 12 4 2" xfId="9371" xr:uid="{00000000-0005-0000-0000-00009F240000}"/>
    <cellStyle name="Normal 5 12 4 2 2" xfId="10695" xr:uid="{00000000-0005-0000-0000-0000CB290000}"/>
    <cellStyle name="Normal 5 12 4 2 2 2" xfId="18923" xr:uid="{00000000-0005-0000-0000-0000EF490000}"/>
    <cellStyle name="Normal 5 12 4 2 2 2 2" xfId="25435" xr:uid="{00000000-0005-0000-0000-00005F630000}"/>
    <cellStyle name="Normal 5 12 4 2 2 3" xfId="22600" xr:uid="{00000000-0005-0000-0000-00004C580000}"/>
    <cellStyle name="Normal 5 12 4 2 3" xfId="17605" xr:uid="{00000000-0005-0000-0000-0000C9440000}"/>
    <cellStyle name="Normal 5 12 4 2 3 2" xfId="24179" xr:uid="{00000000-0005-0000-0000-0000775E0000}"/>
    <cellStyle name="Normal 5 12 4 2 4" xfId="21344" xr:uid="{00000000-0005-0000-0000-000064530000}"/>
    <cellStyle name="Normal 5 12 4 3" xfId="10026" xr:uid="{00000000-0005-0000-0000-00002E270000}"/>
    <cellStyle name="Normal 5 12 4 3 2" xfId="18254" xr:uid="{00000000-0005-0000-0000-000052470000}"/>
    <cellStyle name="Normal 5 12 4 3 2 2" xfId="24766" xr:uid="{00000000-0005-0000-0000-0000C2600000}"/>
    <cellStyle name="Normal 5 12 4 3 3" xfId="21931" xr:uid="{00000000-0005-0000-0000-0000AF550000}"/>
    <cellStyle name="Normal 5 12 4 4" xfId="11141" xr:uid="{00000000-0005-0000-0000-0000892B0000}"/>
    <cellStyle name="Normal 5 12 4 4 2" xfId="23031" xr:uid="{00000000-0005-0000-0000-0000FB590000}"/>
    <cellStyle name="Normal 5 12 4 5" xfId="20369" xr:uid="{00000000-0005-0000-0000-0000954F0000}"/>
    <cellStyle name="Normal 5 12 5" xfId="9608" xr:uid="{00000000-0005-0000-0000-00008C250000}"/>
    <cellStyle name="Normal 5 12 5 2" xfId="17836" xr:uid="{00000000-0005-0000-0000-0000B0450000}"/>
    <cellStyle name="Normal 5 12 5 2 2" xfId="24348" xr:uid="{00000000-0005-0000-0000-0000205F0000}"/>
    <cellStyle name="Normal 5 12 5 3" xfId="21513" xr:uid="{00000000-0005-0000-0000-00000D540000}"/>
    <cellStyle name="Normal 5 12 6" xfId="19725" xr:uid="{00000000-0005-0000-0000-0000114D0000}"/>
    <cellStyle name="Normal 5 12 7" xfId="6438" xr:uid="{00000000-0005-0000-0000-00002A190000}"/>
    <cellStyle name="Normal 5 13" xfId="1219" xr:uid="{00000000-0005-0000-0000-0000C7040000}"/>
    <cellStyle name="Normal 5 13 2" xfId="2364" xr:uid="{00000000-0005-0000-0000-000040090000}"/>
    <cellStyle name="Normal 5 13 2 2" xfId="8372" xr:uid="{00000000-0005-0000-0000-0000B8200000}"/>
    <cellStyle name="Normal 5 13 2 2 2" xfId="10234" xr:uid="{00000000-0005-0000-0000-0000FE270000}"/>
    <cellStyle name="Normal 5 13 2 2 2 2" xfId="18462" xr:uid="{00000000-0005-0000-0000-000022480000}"/>
    <cellStyle name="Normal 5 13 2 2 2 2 2" xfId="24974" xr:uid="{00000000-0005-0000-0000-000092610000}"/>
    <cellStyle name="Normal 5 13 2 2 2 3" xfId="22139" xr:uid="{00000000-0005-0000-0000-00007F560000}"/>
    <cellStyle name="Normal 5 13 2 2 3" xfId="17052" xr:uid="{00000000-0005-0000-0000-0000A0420000}"/>
    <cellStyle name="Normal 5 13 2 2 3 2" xfId="23709" xr:uid="{00000000-0005-0000-0000-0000A15C0000}"/>
    <cellStyle name="Normal 5 13 2 2 4" xfId="20577" xr:uid="{00000000-0005-0000-0000-000065500000}"/>
    <cellStyle name="Normal 5 13 2 3" xfId="9374" xr:uid="{00000000-0005-0000-0000-0000A2240000}"/>
    <cellStyle name="Normal 5 13 2 3 2" xfId="10698" xr:uid="{00000000-0005-0000-0000-0000CE290000}"/>
    <cellStyle name="Normal 5 13 2 3 2 2" xfId="18926" xr:uid="{00000000-0005-0000-0000-0000F2490000}"/>
    <cellStyle name="Normal 5 13 2 3 2 2 2" xfId="25438" xr:uid="{00000000-0005-0000-0000-000062630000}"/>
    <cellStyle name="Normal 5 13 2 3 2 3" xfId="22603" xr:uid="{00000000-0005-0000-0000-00004F580000}"/>
    <cellStyle name="Normal 5 13 2 3 3" xfId="17608" xr:uid="{00000000-0005-0000-0000-0000CC440000}"/>
    <cellStyle name="Normal 5 13 2 3 3 2" xfId="24182" xr:uid="{00000000-0005-0000-0000-00007A5E0000}"/>
    <cellStyle name="Normal 5 13 2 3 4" xfId="21347" xr:uid="{00000000-0005-0000-0000-000067530000}"/>
    <cellStyle name="Normal 5 13 2 4" xfId="9816" xr:uid="{00000000-0005-0000-0000-00005C260000}"/>
    <cellStyle name="Normal 5 13 2 4 2" xfId="18044" xr:uid="{00000000-0005-0000-0000-000080460000}"/>
    <cellStyle name="Normal 5 13 2 4 2 2" xfId="24556" xr:uid="{00000000-0005-0000-0000-0000F05F0000}"/>
    <cellStyle name="Normal 5 13 2 4 3" xfId="21721" xr:uid="{00000000-0005-0000-0000-0000DD540000}"/>
    <cellStyle name="Normal 5 13 2 5" xfId="11143" xr:uid="{00000000-0005-0000-0000-00008B2B0000}"/>
    <cellStyle name="Normal 5 13 2 5 2" xfId="23033" xr:uid="{00000000-0005-0000-0000-0000FD590000}"/>
    <cellStyle name="Normal 5 13 2 6" xfId="20159" xr:uid="{00000000-0005-0000-0000-0000C34E0000}"/>
    <cellStyle name="Normal 5 13 2 7" xfId="7953" xr:uid="{00000000-0005-0000-0000-0000151F0000}"/>
    <cellStyle name="Normal 5 13 3" xfId="8163" xr:uid="{00000000-0005-0000-0000-0000E71F0000}"/>
    <cellStyle name="Normal 5 13 3 2" xfId="10025" xr:uid="{00000000-0005-0000-0000-00002D270000}"/>
    <cellStyle name="Normal 5 13 3 2 2" xfId="18253" xr:uid="{00000000-0005-0000-0000-000051470000}"/>
    <cellStyle name="Normal 5 13 3 2 2 2" xfId="24765" xr:uid="{00000000-0005-0000-0000-0000C1600000}"/>
    <cellStyle name="Normal 5 13 3 2 3" xfId="21930" xr:uid="{00000000-0005-0000-0000-0000AE550000}"/>
    <cellStyle name="Normal 5 13 3 3" xfId="16848" xr:uid="{00000000-0005-0000-0000-0000D4410000}"/>
    <cellStyle name="Normal 5 13 3 3 2" xfId="23507" xr:uid="{00000000-0005-0000-0000-0000D75B0000}"/>
    <cellStyle name="Normal 5 13 3 4" xfId="12760" xr:uid="{00000000-0005-0000-0000-0000DC310000}"/>
    <cellStyle name="Normal 5 13 3 5" xfId="20368" xr:uid="{00000000-0005-0000-0000-0000944F0000}"/>
    <cellStyle name="Normal 5 13 4" xfId="9373" xr:uid="{00000000-0005-0000-0000-0000A1240000}"/>
    <cellStyle name="Normal 5 13 4 2" xfId="10697" xr:uid="{00000000-0005-0000-0000-0000CD290000}"/>
    <cellStyle name="Normal 5 13 4 2 2" xfId="18925" xr:uid="{00000000-0005-0000-0000-0000F1490000}"/>
    <cellStyle name="Normal 5 13 4 2 2 2" xfId="25437" xr:uid="{00000000-0005-0000-0000-000061630000}"/>
    <cellStyle name="Normal 5 13 4 2 3" xfId="22602" xr:uid="{00000000-0005-0000-0000-00004E580000}"/>
    <cellStyle name="Normal 5 13 4 3" xfId="17607" xr:uid="{00000000-0005-0000-0000-0000CB440000}"/>
    <cellStyle name="Normal 5 13 4 3 2" xfId="24181" xr:uid="{00000000-0005-0000-0000-0000795E0000}"/>
    <cellStyle name="Normal 5 13 4 4" xfId="21346" xr:uid="{00000000-0005-0000-0000-000066530000}"/>
    <cellStyle name="Normal 5 13 5" xfId="9607" xr:uid="{00000000-0005-0000-0000-00008B250000}"/>
    <cellStyle name="Normal 5 13 5 2" xfId="17835" xr:uid="{00000000-0005-0000-0000-0000AF450000}"/>
    <cellStyle name="Normal 5 13 5 2 2" xfId="24347" xr:uid="{00000000-0005-0000-0000-00001F5F0000}"/>
    <cellStyle name="Normal 5 13 5 3" xfId="21512" xr:uid="{00000000-0005-0000-0000-00000C540000}"/>
    <cellStyle name="Normal 5 13 6" xfId="11142" xr:uid="{00000000-0005-0000-0000-00008A2B0000}"/>
    <cellStyle name="Normal 5 13 6 2" xfId="23032" xr:uid="{00000000-0005-0000-0000-0000FC590000}"/>
    <cellStyle name="Normal 5 13 7" xfId="19724" xr:uid="{00000000-0005-0000-0000-0000104D0000}"/>
    <cellStyle name="Normal 5 13 8" xfId="6435" xr:uid="{00000000-0005-0000-0000-000027190000}"/>
    <cellStyle name="Normal 5 14" xfId="2360" xr:uid="{00000000-0005-0000-0000-00003C090000}"/>
    <cellStyle name="Normal 5 14 2" xfId="3149" xr:uid="{00000000-0005-0000-0000-0000510C0000}"/>
    <cellStyle name="Normal 5 14 2 2" xfId="4207" xr:uid="{00000000-0005-0000-0000-000073100000}"/>
    <cellStyle name="Normal 5 14 2 3" xfId="12761" xr:uid="{00000000-0005-0000-0000-0000DD310000}"/>
    <cellStyle name="Normal 5 14 3" xfId="3375" xr:uid="{00000000-0005-0000-0000-0000330D0000}"/>
    <cellStyle name="Normal 5 14 3 2" xfId="4417" xr:uid="{00000000-0005-0000-0000-000045110000}"/>
    <cellStyle name="Normal 5 14 4" xfId="3997" xr:uid="{00000000-0005-0000-0000-0000A10F0000}"/>
    <cellStyle name="Normal 5 14 5" xfId="11144" xr:uid="{00000000-0005-0000-0000-00008C2B0000}"/>
    <cellStyle name="Normal 5 15" xfId="1215" xr:uid="{00000000-0005-0000-0000-0000C3040000}"/>
    <cellStyle name="Normal 5 15 2" xfId="3705" xr:uid="{00000000-0005-0000-0000-00007D0E0000}"/>
    <cellStyle name="Normal 5 16" xfId="3028" xr:uid="{00000000-0005-0000-0000-0000D80B0000}"/>
    <cellStyle name="Normal 5 16 2" xfId="4102" xr:uid="{00000000-0005-0000-0000-00000A100000}"/>
    <cellStyle name="Normal 5 17" xfId="3254" xr:uid="{00000000-0005-0000-0000-0000BA0C0000}"/>
    <cellStyle name="Normal 5 17 2" xfId="4312" xr:uid="{00000000-0005-0000-0000-0000DC100000}"/>
    <cellStyle name="Normal 5 18" xfId="3405" xr:uid="{00000000-0005-0000-0000-0000510D0000}"/>
    <cellStyle name="Normal 5 18 2" xfId="4446" xr:uid="{00000000-0005-0000-0000-000062110000}"/>
    <cellStyle name="Normal 5 19" xfId="3422" xr:uid="{00000000-0005-0000-0000-0000620D0000}"/>
    <cellStyle name="Normal 5 2" xfId="135" xr:uid="{00000000-0005-0000-0000-00008B000000}"/>
    <cellStyle name="Normal 5 2 10" xfId="2365" xr:uid="{00000000-0005-0000-0000-000041090000}"/>
    <cellStyle name="Normal 5 2 10 2" xfId="3150" xr:uid="{00000000-0005-0000-0000-0000520C0000}"/>
    <cellStyle name="Normal 5 2 10 2 2" xfId="4208" xr:uid="{00000000-0005-0000-0000-000074100000}"/>
    <cellStyle name="Normal 5 2 10 2 3" xfId="23138" xr:uid="{00000000-0005-0000-0000-0000665A0000}"/>
    <cellStyle name="Normal 5 2 10 3" xfId="3376" xr:uid="{00000000-0005-0000-0000-0000340D0000}"/>
    <cellStyle name="Normal 5 2 10 3 2" xfId="4418" xr:uid="{00000000-0005-0000-0000-000046110000}"/>
    <cellStyle name="Normal 5 2 10 4" xfId="3998" xr:uid="{00000000-0005-0000-0000-0000A20F0000}"/>
    <cellStyle name="Normal 5 2 10 5" xfId="12762" xr:uid="{00000000-0005-0000-0000-0000DE310000}"/>
    <cellStyle name="Normal 5 2 11" xfId="1220" xr:uid="{00000000-0005-0000-0000-0000C8040000}"/>
    <cellStyle name="Normal 5 2 11 2" xfId="3706" xr:uid="{00000000-0005-0000-0000-00007E0E0000}"/>
    <cellStyle name="Normal 5 2 12" xfId="3029" xr:uid="{00000000-0005-0000-0000-0000D90B0000}"/>
    <cellStyle name="Normal 5 2 12 2" xfId="4103" xr:uid="{00000000-0005-0000-0000-00000B100000}"/>
    <cellStyle name="Normal 5 2 13" xfId="3255" xr:uid="{00000000-0005-0000-0000-0000BB0C0000}"/>
    <cellStyle name="Normal 5 2 13 2" xfId="4313" xr:uid="{00000000-0005-0000-0000-0000DD100000}"/>
    <cellStyle name="Normal 5 2 14" xfId="3406" xr:uid="{00000000-0005-0000-0000-0000520D0000}"/>
    <cellStyle name="Normal 5 2 14 2" xfId="4447" xr:uid="{00000000-0005-0000-0000-000063110000}"/>
    <cellStyle name="Normal 5 2 2" xfId="1221" xr:uid="{00000000-0005-0000-0000-0000C9040000}"/>
    <cellStyle name="Normal 5 2 2 10" xfId="1222" xr:uid="{00000000-0005-0000-0000-0000CA040000}"/>
    <cellStyle name="Normal 5 2 2 10 2" xfId="2367" xr:uid="{00000000-0005-0000-0000-000043090000}"/>
    <cellStyle name="Normal 5 2 2 10 2 2" xfId="3151" xr:uid="{00000000-0005-0000-0000-0000530C0000}"/>
    <cellStyle name="Normal 5 2 2 10 2 2 2" xfId="4209" xr:uid="{00000000-0005-0000-0000-000075100000}"/>
    <cellStyle name="Normal 5 2 2 10 2 2 2 2" xfId="18560" xr:uid="{00000000-0005-0000-0000-000084480000}"/>
    <cellStyle name="Normal 5 2 2 10 2 2 2 2 2" xfId="25072" xr:uid="{00000000-0005-0000-0000-0000F4610000}"/>
    <cellStyle name="Normal 5 2 2 10 2 2 2 3" xfId="22237" xr:uid="{00000000-0005-0000-0000-0000E1560000}"/>
    <cellStyle name="Normal 5 2 2 10 2 2 2 4" xfId="10332" xr:uid="{00000000-0005-0000-0000-000060280000}"/>
    <cellStyle name="Normal 5 2 2 10 2 2 3" xfId="17150" xr:uid="{00000000-0005-0000-0000-000002430000}"/>
    <cellStyle name="Normal 5 2 2 10 2 2 3 2" xfId="23807" xr:uid="{00000000-0005-0000-0000-0000035D0000}"/>
    <cellStyle name="Normal 5 2 2 10 2 2 4" xfId="20675" xr:uid="{00000000-0005-0000-0000-0000C7500000}"/>
    <cellStyle name="Normal 5 2 2 10 2 2 5" xfId="8470" xr:uid="{00000000-0005-0000-0000-00001A210000}"/>
    <cellStyle name="Normal 5 2 2 10 2 3" xfId="3377" xr:uid="{00000000-0005-0000-0000-0000350D0000}"/>
    <cellStyle name="Normal 5 2 2 10 2 3 2" xfId="4419" xr:uid="{00000000-0005-0000-0000-000047110000}"/>
    <cellStyle name="Normal 5 2 2 10 2 3 2 2" xfId="18928" xr:uid="{00000000-0005-0000-0000-0000F4490000}"/>
    <cellStyle name="Normal 5 2 2 10 2 3 2 2 2" xfId="25440" xr:uid="{00000000-0005-0000-0000-000064630000}"/>
    <cellStyle name="Normal 5 2 2 10 2 3 2 3" xfId="22605" xr:uid="{00000000-0005-0000-0000-000051580000}"/>
    <cellStyle name="Normal 5 2 2 10 2 3 2 4" xfId="10700" xr:uid="{00000000-0005-0000-0000-0000D0290000}"/>
    <cellStyle name="Normal 5 2 2 10 2 3 3" xfId="17610" xr:uid="{00000000-0005-0000-0000-0000CE440000}"/>
    <cellStyle name="Normal 5 2 2 10 2 3 3 2" xfId="24184" xr:uid="{00000000-0005-0000-0000-00007C5E0000}"/>
    <cellStyle name="Normal 5 2 2 10 2 3 4" xfId="21349" xr:uid="{00000000-0005-0000-0000-000069530000}"/>
    <cellStyle name="Normal 5 2 2 10 2 3 5" xfId="9376" xr:uid="{00000000-0005-0000-0000-0000A4240000}"/>
    <cellStyle name="Normal 5 2 2 10 2 4" xfId="3999" xr:uid="{00000000-0005-0000-0000-0000A30F0000}"/>
    <cellStyle name="Normal 5 2 2 10 2 4 2" xfId="18142" xr:uid="{00000000-0005-0000-0000-0000E2460000}"/>
    <cellStyle name="Normal 5 2 2 10 2 4 2 2" xfId="24654" xr:uid="{00000000-0005-0000-0000-000052600000}"/>
    <cellStyle name="Normal 5 2 2 10 2 4 3" xfId="21819" xr:uid="{00000000-0005-0000-0000-00003F550000}"/>
    <cellStyle name="Normal 5 2 2 10 2 4 4" xfId="9914" xr:uid="{00000000-0005-0000-0000-0000BE260000}"/>
    <cellStyle name="Normal 5 2 2 10 2 5" xfId="11146" xr:uid="{00000000-0005-0000-0000-00008E2B0000}"/>
    <cellStyle name="Normal 5 2 2 10 2 5 2" xfId="23035" xr:uid="{00000000-0005-0000-0000-0000FF590000}"/>
    <cellStyle name="Normal 5 2 2 10 2 6" xfId="20257" xr:uid="{00000000-0005-0000-0000-0000254F0000}"/>
    <cellStyle name="Normal 5 2 2 10 2 7" xfId="8051" xr:uid="{00000000-0005-0000-0000-0000771F0000}"/>
    <cellStyle name="Normal 5 2 2 10 3" xfId="3030" xr:uid="{00000000-0005-0000-0000-0000DA0B0000}"/>
    <cellStyle name="Normal 5 2 2 10 3 2" xfId="4104" xr:uid="{00000000-0005-0000-0000-00000C100000}"/>
    <cellStyle name="Normal 5 2 2 10 3 2 2" xfId="10699" xr:uid="{00000000-0005-0000-0000-0000CF290000}"/>
    <cellStyle name="Normal 5 2 2 10 3 2 2 2" xfId="18927" xr:uid="{00000000-0005-0000-0000-0000F3490000}"/>
    <cellStyle name="Normal 5 2 2 10 3 2 2 2 2" xfId="25439" xr:uid="{00000000-0005-0000-0000-000063630000}"/>
    <cellStyle name="Normal 5 2 2 10 3 2 2 3" xfId="22604" xr:uid="{00000000-0005-0000-0000-000050580000}"/>
    <cellStyle name="Normal 5 2 2 10 3 2 3" xfId="17609" xr:uid="{00000000-0005-0000-0000-0000CD440000}"/>
    <cellStyle name="Normal 5 2 2 10 3 2 3 2" xfId="24183" xr:uid="{00000000-0005-0000-0000-00007B5E0000}"/>
    <cellStyle name="Normal 5 2 2 10 3 2 4" xfId="21348" xr:uid="{00000000-0005-0000-0000-000068530000}"/>
    <cellStyle name="Normal 5 2 2 10 3 2 5" xfId="9375" xr:uid="{00000000-0005-0000-0000-0000A3240000}"/>
    <cellStyle name="Normal 5 2 2 10 3 3" xfId="10123" xr:uid="{00000000-0005-0000-0000-00008F270000}"/>
    <cellStyle name="Normal 5 2 2 10 3 3 2" xfId="18351" xr:uid="{00000000-0005-0000-0000-0000B3470000}"/>
    <cellStyle name="Normal 5 2 2 10 3 3 2 2" xfId="24863" xr:uid="{00000000-0005-0000-0000-000023610000}"/>
    <cellStyle name="Normal 5 2 2 10 3 3 3" xfId="22028" xr:uid="{00000000-0005-0000-0000-000010560000}"/>
    <cellStyle name="Normal 5 2 2 10 3 4" xfId="16942" xr:uid="{00000000-0005-0000-0000-000032420000}"/>
    <cellStyle name="Normal 5 2 2 10 3 4 2" xfId="23599" xr:uid="{00000000-0005-0000-0000-0000335C0000}"/>
    <cellStyle name="Normal 5 2 2 10 3 5" xfId="20466" xr:uid="{00000000-0005-0000-0000-0000F64F0000}"/>
    <cellStyle name="Normal 5 2 2 10 3 6" xfId="8261" xr:uid="{00000000-0005-0000-0000-000049200000}"/>
    <cellStyle name="Normal 5 2 2 10 4" xfId="3256" xr:uid="{00000000-0005-0000-0000-0000BC0C0000}"/>
    <cellStyle name="Normal 5 2 2 10 4 2" xfId="4314" xr:uid="{00000000-0005-0000-0000-0000DE100000}"/>
    <cellStyle name="Normal 5 2 2 10 4 3" xfId="8780" xr:uid="{00000000-0005-0000-0000-000050220000}"/>
    <cellStyle name="Normal 5 2 2 10 5" xfId="3707" xr:uid="{00000000-0005-0000-0000-00007F0E0000}"/>
    <cellStyle name="Normal 5 2 2 10 5 2" xfId="17933" xr:uid="{00000000-0005-0000-0000-000011460000}"/>
    <cellStyle name="Normal 5 2 2 10 5 2 2" xfId="24445" xr:uid="{00000000-0005-0000-0000-0000815F0000}"/>
    <cellStyle name="Normal 5 2 2 10 5 3" xfId="21610" xr:uid="{00000000-0005-0000-0000-00006E540000}"/>
    <cellStyle name="Normal 5 2 2 10 5 4" xfId="9705" xr:uid="{00000000-0005-0000-0000-0000ED250000}"/>
    <cellStyle name="Normal 5 2 2 10 6" xfId="11145" xr:uid="{00000000-0005-0000-0000-00008D2B0000}"/>
    <cellStyle name="Normal 5 2 2 10 6 2" xfId="23034" xr:uid="{00000000-0005-0000-0000-0000FE590000}"/>
    <cellStyle name="Normal 5 2 2 10 7" xfId="20048" xr:uid="{00000000-0005-0000-0000-0000544E0000}"/>
    <cellStyle name="Normal 5 2 2 10 8" xfId="7817" xr:uid="{00000000-0005-0000-0000-00008D1E0000}"/>
    <cellStyle name="Normal 5 2 2 11" xfId="1223" xr:uid="{00000000-0005-0000-0000-0000CB040000}"/>
    <cellStyle name="Normal 5 2 2 11 2" xfId="2368" xr:uid="{00000000-0005-0000-0000-000044090000}"/>
    <cellStyle name="Normal 5 2 2 11 2 2" xfId="3152" xr:uid="{00000000-0005-0000-0000-0000540C0000}"/>
    <cellStyle name="Normal 5 2 2 11 2 2 2" xfId="4210" xr:uid="{00000000-0005-0000-0000-000076100000}"/>
    <cellStyle name="Normal 5 2 2 11 2 2 2 2" xfId="18561" xr:uid="{00000000-0005-0000-0000-000085480000}"/>
    <cellStyle name="Normal 5 2 2 11 2 2 2 2 2" xfId="25073" xr:uid="{00000000-0005-0000-0000-0000F5610000}"/>
    <cellStyle name="Normal 5 2 2 11 2 2 2 3" xfId="22238" xr:uid="{00000000-0005-0000-0000-0000E2560000}"/>
    <cellStyle name="Normal 5 2 2 11 2 2 2 4" xfId="10333" xr:uid="{00000000-0005-0000-0000-000061280000}"/>
    <cellStyle name="Normal 5 2 2 11 2 2 3" xfId="17151" xr:uid="{00000000-0005-0000-0000-000003430000}"/>
    <cellStyle name="Normal 5 2 2 11 2 2 3 2" xfId="23808" xr:uid="{00000000-0005-0000-0000-0000045D0000}"/>
    <cellStyle name="Normal 5 2 2 11 2 2 4" xfId="20676" xr:uid="{00000000-0005-0000-0000-0000C8500000}"/>
    <cellStyle name="Normal 5 2 2 11 2 2 5" xfId="8471" xr:uid="{00000000-0005-0000-0000-00001B210000}"/>
    <cellStyle name="Normal 5 2 2 11 2 3" xfId="3378" xr:uid="{00000000-0005-0000-0000-0000360D0000}"/>
    <cellStyle name="Normal 5 2 2 11 2 3 2" xfId="4420" xr:uid="{00000000-0005-0000-0000-000048110000}"/>
    <cellStyle name="Normal 5 2 2 11 2 3 2 2" xfId="18930" xr:uid="{00000000-0005-0000-0000-0000F6490000}"/>
    <cellStyle name="Normal 5 2 2 11 2 3 2 2 2" xfId="25442" xr:uid="{00000000-0005-0000-0000-000066630000}"/>
    <cellStyle name="Normal 5 2 2 11 2 3 2 3" xfId="22607" xr:uid="{00000000-0005-0000-0000-000053580000}"/>
    <cellStyle name="Normal 5 2 2 11 2 3 2 4" xfId="10702" xr:uid="{00000000-0005-0000-0000-0000D2290000}"/>
    <cellStyle name="Normal 5 2 2 11 2 3 3" xfId="17612" xr:uid="{00000000-0005-0000-0000-0000D0440000}"/>
    <cellStyle name="Normal 5 2 2 11 2 3 3 2" xfId="24186" xr:uid="{00000000-0005-0000-0000-00007E5E0000}"/>
    <cellStyle name="Normal 5 2 2 11 2 3 4" xfId="21351" xr:uid="{00000000-0005-0000-0000-00006B530000}"/>
    <cellStyle name="Normal 5 2 2 11 2 3 5" xfId="9378" xr:uid="{00000000-0005-0000-0000-0000A6240000}"/>
    <cellStyle name="Normal 5 2 2 11 2 4" xfId="4000" xr:uid="{00000000-0005-0000-0000-0000A40F0000}"/>
    <cellStyle name="Normal 5 2 2 11 2 4 2" xfId="18143" xr:uid="{00000000-0005-0000-0000-0000E3460000}"/>
    <cellStyle name="Normal 5 2 2 11 2 4 2 2" xfId="24655" xr:uid="{00000000-0005-0000-0000-000053600000}"/>
    <cellStyle name="Normal 5 2 2 11 2 4 3" xfId="21820" xr:uid="{00000000-0005-0000-0000-000040550000}"/>
    <cellStyle name="Normal 5 2 2 11 2 4 4" xfId="9915" xr:uid="{00000000-0005-0000-0000-0000BF260000}"/>
    <cellStyle name="Normal 5 2 2 11 2 5" xfId="11148" xr:uid="{00000000-0005-0000-0000-0000902B0000}"/>
    <cellStyle name="Normal 5 2 2 11 2 5 2" xfId="23037" xr:uid="{00000000-0005-0000-0000-0000015A0000}"/>
    <cellStyle name="Normal 5 2 2 11 2 6" xfId="20258" xr:uid="{00000000-0005-0000-0000-0000264F0000}"/>
    <cellStyle name="Normal 5 2 2 11 2 7" xfId="8052" xr:uid="{00000000-0005-0000-0000-0000781F0000}"/>
    <cellStyle name="Normal 5 2 2 11 3" xfId="3031" xr:uid="{00000000-0005-0000-0000-0000DB0B0000}"/>
    <cellStyle name="Normal 5 2 2 11 3 2" xfId="4105" xr:uid="{00000000-0005-0000-0000-00000D100000}"/>
    <cellStyle name="Normal 5 2 2 11 3 2 2" xfId="10701" xr:uid="{00000000-0005-0000-0000-0000D1290000}"/>
    <cellStyle name="Normal 5 2 2 11 3 2 2 2" xfId="18929" xr:uid="{00000000-0005-0000-0000-0000F5490000}"/>
    <cellStyle name="Normal 5 2 2 11 3 2 2 2 2" xfId="25441" xr:uid="{00000000-0005-0000-0000-000065630000}"/>
    <cellStyle name="Normal 5 2 2 11 3 2 2 3" xfId="22606" xr:uid="{00000000-0005-0000-0000-000052580000}"/>
    <cellStyle name="Normal 5 2 2 11 3 2 3" xfId="17611" xr:uid="{00000000-0005-0000-0000-0000CF440000}"/>
    <cellStyle name="Normal 5 2 2 11 3 2 3 2" xfId="24185" xr:uid="{00000000-0005-0000-0000-00007D5E0000}"/>
    <cellStyle name="Normal 5 2 2 11 3 2 4" xfId="21350" xr:uid="{00000000-0005-0000-0000-00006A530000}"/>
    <cellStyle name="Normal 5 2 2 11 3 2 5" xfId="9377" xr:uid="{00000000-0005-0000-0000-0000A5240000}"/>
    <cellStyle name="Normal 5 2 2 11 3 3" xfId="10124" xr:uid="{00000000-0005-0000-0000-000090270000}"/>
    <cellStyle name="Normal 5 2 2 11 3 3 2" xfId="18352" xr:uid="{00000000-0005-0000-0000-0000B4470000}"/>
    <cellStyle name="Normal 5 2 2 11 3 3 2 2" xfId="24864" xr:uid="{00000000-0005-0000-0000-000024610000}"/>
    <cellStyle name="Normal 5 2 2 11 3 3 3" xfId="22029" xr:uid="{00000000-0005-0000-0000-000011560000}"/>
    <cellStyle name="Normal 5 2 2 11 3 4" xfId="16943" xr:uid="{00000000-0005-0000-0000-000033420000}"/>
    <cellStyle name="Normal 5 2 2 11 3 4 2" xfId="23600" xr:uid="{00000000-0005-0000-0000-0000345C0000}"/>
    <cellStyle name="Normal 5 2 2 11 3 5" xfId="20467" xr:uid="{00000000-0005-0000-0000-0000F74F0000}"/>
    <cellStyle name="Normal 5 2 2 11 3 6" xfId="8262" xr:uid="{00000000-0005-0000-0000-00004A200000}"/>
    <cellStyle name="Normal 5 2 2 11 4" xfId="3257" xr:uid="{00000000-0005-0000-0000-0000BD0C0000}"/>
    <cellStyle name="Normal 5 2 2 11 4 2" xfId="4315" xr:uid="{00000000-0005-0000-0000-0000DF100000}"/>
    <cellStyle name="Normal 5 2 2 11 4 3" xfId="8781" xr:uid="{00000000-0005-0000-0000-000051220000}"/>
    <cellStyle name="Normal 5 2 2 11 5" xfId="3708" xr:uid="{00000000-0005-0000-0000-0000800E0000}"/>
    <cellStyle name="Normal 5 2 2 11 5 2" xfId="17934" xr:uid="{00000000-0005-0000-0000-000012460000}"/>
    <cellStyle name="Normal 5 2 2 11 5 2 2" xfId="24446" xr:uid="{00000000-0005-0000-0000-0000825F0000}"/>
    <cellStyle name="Normal 5 2 2 11 5 3" xfId="21611" xr:uid="{00000000-0005-0000-0000-00006F540000}"/>
    <cellStyle name="Normal 5 2 2 11 5 4" xfId="9706" xr:uid="{00000000-0005-0000-0000-0000EE250000}"/>
    <cellStyle name="Normal 5 2 2 11 6" xfId="11147" xr:uid="{00000000-0005-0000-0000-00008F2B0000}"/>
    <cellStyle name="Normal 5 2 2 11 6 2" xfId="23036" xr:uid="{00000000-0005-0000-0000-0000005A0000}"/>
    <cellStyle name="Normal 5 2 2 11 7" xfId="20049" xr:uid="{00000000-0005-0000-0000-0000554E0000}"/>
    <cellStyle name="Normal 5 2 2 11 8" xfId="7818" xr:uid="{00000000-0005-0000-0000-00008E1E0000}"/>
    <cellStyle name="Normal 5 2 2 12" xfId="1224" xr:uid="{00000000-0005-0000-0000-0000CC040000}"/>
    <cellStyle name="Normal 5 2 2 12 2" xfId="2369" xr:uid="{00000000-0005-0000-0000-000045090000}"/>
    <cellStyle name="Normal 5 2 2 12 2 2" xfId="3153" xr:uid="{00000000-0005-0000-0000-0000550C0000}"/>
    <cellStyle name="Normal 5 2 2 12 2 2 2" xfId="4211" xr:uid="{00000000-0005-0000-0000-000077100000}"/>
    <cellStyle name="Normal 5 2 2 12 2 2 2 2" xfId="18562" xr:uid="{00000000-0005-0000-0000-000086480000}"/>
    <cellStyle name="Normal 5 2 2 12 2 2 2 2 2" xfId="25074" xr:uid="{00000000-0005-0000-0000-0000F6610000}"/>
    <cellStyle name="Normal 5 2 2 12 2 2 2 3" xfId="22239" xr:uid="{00000000-0005-0000-0000-0000E3560000}"/>
    <cellStyle name="Normal 5 2 2 12 2 2 2 4" xfId="10334" xr:uid="{00000000-0005-0000-0000-000062280000}"/>
    <cellStyle name="Normal 5 2 2 12 2 2 3" xfId="17152" xr:uid="{00000000-0005-0000-0000-000004430000}"/>
    <cellStyle name="Normal 5 2 2 12 2 2 3 2" xfId="23809" xr:uid="{00000000-0005-0000-0000-0000055D0000}"/>
    <cellStyle name="Normal 5 2 2 12 2 2 4" xfId="20677" xr:uid="{00000000-0005-0000-0000-0000C9500000}"/>
    <cellStyle name="Normal 5 2 2 12 2 2 5" xfId="8472" xr:uid="{00000000-0005-0000-0000-00001C210000}"/>
    <cellStyle name="Normal 5 2 2 12 2 3" xfId="3379" xr:uid="{00000000-0005-0000-0000-0000370D0000}"/>
    <cellStyle name="Normal 5 2 2 12 2 3 2" xfId="4421" xr:uid="{00000000-0005-0000-0000-000049110000}"/>
    <cellStyle name="Normal 5 2 2 12 2 3 2 2" xfId="18932" xr:uid="{00000000-0005-0000-0000-0000F8490000}"/>
    <cellStyle name="Normal 5 2 2 12 2 3 2 2 2" xfId="25444" xr:uid="{00000000-0005-0000-0000-000068630000}"/>
    <cellStyle name="Normal 5 2 2 12 2 3 2 3" xfId="22609" xr:uid="{00000000-0005-0000-0000-000055580000}"/>
    <cellStyle name="Normal 5 2 2 12 2 3 2 4" xfId="10704" xr:uid="{00000000-0005-0000-0000-0000D4290000}"/>
    <cellStyle name="Normal 5 2 2 12 2 3 3" xfId="17614" xr:uid="{00000000-0005-0000-0000-0000D2440000}"/>
    <cellStyle name="Normal 5 2 2 12 2 3 3 2" xfId="24188" xr:uid="{00000000-0005-0000-0000-0000805E0000}"/>
    <cellStyle name="Normal 5 2 2 12 2 3 4" xfId="21353" xr:uid="{00000000-0005-0000-0000-00006D530000}"/>
    <cellStyle name="Normal 5 2 2 12 2 3 5" xfId="9380" xr:uid="{00000000-0005-0000-0000-0000A8240000}"/>
    <cellStyle name="Normal 5 2 2 12 2 4" xfId="4001" xr:uid="{00000000-0005-0000-0000-0000A50F0000}"/>
    <cellStyle name="Normal 5 2 2 12 2 4 2" xfId="18144" xr:uid="{00000000-0005-0000-0000-0000E4460000}"/>
    <cellStyle name="Normal 5 2 2 12 2 4 2 2" xfId="24656" xr:uid="{00000000-0005-0000-0000-000054600000}"/>
    <cellStyle name="Normal 5 2 2 12 2 4 3" xfId="21821" xr:uid="{00000000-0005-0000-0000-000041550000}"/>
    <cellStyle name="Normal 5 2 2 12 2 4 4" xfId="9916" xr:uid="{00000000-0005-0000-0000-0000C0260000}"/>
    <cellStyle name="Normal 5 2 2 12 2 5" xfId="11150" xr:uid="{00000000-0005-0000-0000-0000922B0000}"/>
    <cellStyle name="Normal 5 2 2 12 2 5 2" xfId="23039" xr:uid="{00000000-0005-0000-0000-0000035A0000}"/>
    <cellStyle name="Normal 5 2 2 12 2 6" xfId="20259" xr:uid="{00000000-0005-0000-0000-0000274F0000}"/>
    <cellStyle name="Normal 5 2 2 12 2 7" xfId="8053" xr:uid="{00000000-0005-0000-0000-0000791F0000}"/>
    <cellStyle name="Normal 5 2 2 12 3" xfId="3032" xr:uid="{00000000-0005-0000-0000-0000DC0B0000}"/>
    <cellStyle name="Normal 5 2 2 12 3 2" xfId="4106" xr:uid="{00000000-0005-0000-0000-00000E100000}"/>
    <cellStyle name="Normal 5 2 2 12 3 2 2" xfId="10703" xr:uid="{00000000-0005-0000-0000-0000D3290000}"/>
    <cellStyle name="Normal 5 2 2 12 3 2 2 2" xfId="18931" xr:uid="{00000000-0005-0000-0000-0000F7490000}"/>
    <cellStyle name="Normal 5 2 2 12 3 2 2 2 2" xfId="25443" xr:uid="{00000000-0005-0000-0000-000067630000}"/>
    <cellStyle name="Normal 5 2 2 12 3 2 2 3" xfId="22608" xr:uid="{00000000-0005-0000-0000-000054580000}"/>
    <cellStyle name="Normal 5 2 2 12 3 2 3" xfId="17613" xr:uid="{00000000-0005-0000-0000-0000D1440000}"/>
    <cellStyle name="Normal 5 2 2 12 3 2 3 2" xfId="24187" xr:uid="{00000000-0005-0000-0000-00007F5E0000}"/>
    <cellStyle name="Normal 5 2 2 12 3 2 4" xfId="21352" xr:uid="{00000000-0005-0000-0000-00006C530000}"/>
    <cellStyle name="Normal 5 2 2 12 3 2 5" xfId="9379" xr:uid="{00000000-0005-0000-0000-0000A7240000}"/>
    <cellStyle name="Normal 5 2 2 12 3 3" xfId="10125" xr:uid="{00000000-0005-0000-0000-000091270000}"/>
    <cellStyle name="Normal 5 2 2 12 3 3 2" xfId="18353" xr:uid="{00000000-0005-0000-0000-0000B5470000}"/>
    <cellStyle name="Normal 5 2 2 12 3 3 2 2" xfId="24865" xr:uid="{00000000-0005-0000-0000-000025610000}"/>
    <cellStyle name="Normal 5 2 2 12 3 3 3" xfId="22030" xr:uid="{00000000-0005-0000-0000-000012560000}"/>
    <cellStyle name="Normal 5 2 2 12 3 4" xfId="16944" xr:uid="{00000000-0005-0000-0000-000034420000}"/>
    <cellStyle name="Normal 5 2 2 12 3 4 2" xfId="23601" xr:uid="{00000000-0005-0000-0000-0000355C0000}"/>
    <cellStyle name="Normal 5 2 2 12 3 5" xfId="20468" xr:uid="{00000000-0005-0000-0000-0000F84F0000}"/>
    <cellStyle name="Normal 5 2 2 12 3 6" xfId="8263" xr:uid="{00000000-0005-0000-0000-00004B200000}"/>
    <cellStyle name="Normal 5 2 2 12 4" xfId="3258" xr:uid="{00000000-0005-0000-0000-0000BE0C0000}"/>
    <cellStyle name="Normal 5 2 2 12 4 2" xfId="4316" xr:uid="{00000000-0005-0000-0000-0000E0100000}"/>
    <cellStyle name="Normal 5 2 2 12 4 3" xfId="8782" xr:uid="{00000000-0005-0000-0000-000052220000}"/>
    <cellStyle name="Normal 5 2 2 12 5" xfId="3709" xr:uid="{00000000-0005-0000-0000-0000810E0000}"/>
    <cellStyle name="Normal 5 2 2 12 5 2" xfId="17935" xr:uid="{00000000-0005-0000-0000-000013460000}"/>
    <cellStyle name="Normal 5 2 2 12 5 2 2" xfId="24447" xr:uid="{00000000-0005-0000-0000-0000835F0000}"/>
    <cellStyle name="Normal 5 2 2 12 5 3" xfId="21612" xr:uid="{00000000-0005-0000-0000-000070540000}"/>
    <cellStyle name="Normal 5 2 2 12 5 4" xfId="9707" xr:uid="{00000000-0005-0000-0000-0000EF250000}"/>
    <cellStyle name="Normal 5 2 2 12 6" xfId="11149" xr:uid="{00000000-0005-0000-0000-0000912B0000}"/>
    <cellStyle name="Normal 5 2 2 12 6 2" xfId="23038" xr:uid="{00000000-0005-0000-0000-0000025A0000}"/>
    <cellStyle name="Normal 5 2 2 12 7" xfId="20050" xr:uid="{00000000-0005-0000-0000-0000564E0000}"/>
    <cellStyle name="Normal 5 2 2 12 8" xfId="7819" xr:uid="{00000000-0005-0000-0000-00008F1E0000}"/>
    <cellStyle name="Normal 5 2 2 13" xfId="1225" xr:uid="{00000000-0005-0000-0000-0000CD040000}"/>
    <cellStyle name="Normal 5 2 2 13 2" xfId="2370" xr:uid="{00000000-0005-0000-0000-000046090000}"/>
    <cellStyle name="Normal 5 2 2 13 2 2" xfId="3154" xr:uid="{00000000-0005-0000-0000-0000560C0000}"/>
    <cellStyle name="Normal 5 2 2 13 2 2 2" xfId="4212" xr:uid="{00000000-0005-0000-0000-000078100000}"/>
    <cellStyle name="Normal 5 2 2 13 2 2 2 2" xfId="18563" xr:uid="{00000000-0005-0000-0000-000087480000}"/>
    <cellStyle name="Normal 5 2 2 13 2 2 2 2 2" xfId="25075" xr:uid="{00000000-0005-0000-0000-0000F7610000}"/>
    <cellStyle name="Normal 5 2 2 13 2 2 2 3" xfId="22240" xr:uid="{00000000-0005-0000-0000-0000E4560000}"/>
    <cellStyle name="Normal 5 2 2 13 2 2 2 4" xfId="10335" xr:uid="{00000000-0005-0000-0000-000063280000}"/>
    <cellStyle name="Normal 5 2 2 13 2 2 3" xfId="17153" xr:uid="{00000000-0005-0000-0000-000005430000}"/>
    <cellStyle name="Normal 5 2 2 13 2 2 3 2" xfId="23810" xr:uid="{00000000-0005-0000-0000-0000065D0000}"/>
    <cellStyle name="Normal 5 2 2 13 2 2 4" xfId="20678" xr:uid="{00000000-0005-0000-0000-0000CA500000}"/>
    <cellStyle name="Normal 5 2 2 13 2 2 5" xfId="8473" xr:uid="{00000000-0005-0000-0000-00001D210000}"/>
    <cellStyle name="Normal 5 2 2 13 2 3" xfId="3380" xr:uid="{00000000-0005-0000-0000-0000380D0000}"/>
    <cellStyle name="Normal 5 2 2 13 2 3 2" xfId="4422" xr:uid="{00000000-0005-0000-0000-00004A110000}"/>
    <cellStyle name="Normal 5 2 2 13 2 3 2 2" xfId="18934" xr:uid="{00000000-0005-0000-0000-0000FA490000}"/>
    <cellStyle name="Normal 5 2 2 13 2 3 2 2 2" xfId="25446" xr:uid="{00000000-0005-0000-0000-00006A630000}"/>
    <cellStyle name="Normal 5 2 2 13 2 3 2 3" xfId="22611" xr:uid="{00000000-0005-0000-0000-000057580000}"/>
    <cellStyle name="Normal 5 2 2 13 2 3 2 4" xfId="10706" xr:uid="{00000000-0005-0000-0000-0000D6290000}"/>
    <cellStyle name="Normal 5 2 2 13 2 3 3" xfId="17616" xr:uid="{00000000-0005-0000-0000-0000D4440000}"/>
    <cellStyle name="Normal 5 2 2 13 2 3 3 2" xfId="24190" xr:uid="{00000000-0005-0000-0000-0000825E0000}"/>
    <cellStyle name="Normal 5 2 2 13 2 3 4" xfId="21355" xr:uid="{00000000-0005-0000-0000-00006F530000}"/>
    <cellStyle name="Normal 5 2 2 13 2 3 5" xfId="9382" xr:uid="{00000000-0005-0000-0000-0000AA240000}"/>
    <cellStyle name="Normal 5 2 2 13 2 4" xfId="4002" xr:uid="{00000000-0005-0000-0000-0000A60F0000}"/>
    <cellStyle name="Normal 5 2 2 13 2 4 2" xfId="18145" xr:uid="{00000000-0005-0000-0000-0000E5460000}"/>
    <cellStyle name="Normal 5 2 2 13 2 4 2 2" xfId="24657" xr:uid="{00000000-0005-0000-0000-000055600000}"/>
    <cellStyle name="Normal 5 2 2 13 2 4 3" xfId="21822" xr:uid="{00000000-0005-0000-0000-000042550000}"/>
    <cellStyle name="Normal 5 2 2 13 2 4 4" xfId="9917" xr:uid="{00000000-0005-0000-0000-0000C1260000}"/>
    <cellStyle name="Normal 5 2 2 13 2 5" xfId="11152" xr:uid="{00000000-0005-0000-0000-0000942B0000}"/>
    <cellStyle name="Normal 5 2 2 13 2 5 2" xfId="23041" xr:uid="{00000000-0005-0000-0000-0000055A0000}"/>
    <cellStyle name="Normal 5 2 2 13 2 6" xfId="20260" xr:uid="{00000000-0005-0000-0000-0000284F0000}"/>
    <cellStyle name="Normal 5 2 2 13 2 7" xfId="8054" xr:uid="{00000000-0005-0000-0000-00007A1F0000}"/>
    <cellStyle name="Normal 5 2 2 13 3" xfId="3033" xr:uid="{00000000-0005-0000-0000-0000DD0B0000}"/>
    <cellStyle name="Normal 5 2 2 13 3 2" xfId="4107" xr:uid="{00000000-0005-0000-0000-00000F100000}"/>
    <cellStyle name="Normal 5 2 2 13 3 2 2" xfId="10705" xr:uid="{00000000-0005-0000-0000-0000D5290000}"/>
    <cellStyle name="Normal 5 2 2 13 3 2 2 2" xfId="18933" xr:uid="{00000000-0005-0000-0000-0000F9490000}"/>
    <cellStyle name="Normal 5 2 2 13 3 2 2 2 2" xfId="25445" xr:uid="{00000000-0005-0000-0000-000069630000}"/>
    <cellStyle name="Normal 5 2 2 13 3 2 2 3" xfId="22610" xr:uid="{00000000-0005-0000-0000-000056580000}"/>
    <cellStyle name="Normal 5 2 2 13 3 2 3" xfId="17615" xr:uid="{00000000-0005-0000-0000-0000D3440000}"/>
    <cellStyle name="Normal 5 2 2 13 3 2 3 2" xfId="24189" xr:uid="{00000000-0005-0000-0000-0000815E0000}"/>
    <cellStyle name="Normal 5 2 2 13 3 2 4" xfId="21354" xr:uid="{00000000-0005-0000-0000-00006E530000}"/>
    <cellStyle name="Normal 5 2 2 13 3 2 5" xfId="9381" xr:uid="{00000000-0005-0000-0000-0000A9240000}"/>
    <cellStyle name="Normal 5 2 2 13 3 3" xfId="10126" xr:uid="{00000000-0005-0000-0000-000092270000}"/>
    <cellStyle name="Normal 5 2 2 13 3 3 2" xfId="18354" xr:uid="{00000000-0005-0000-0000-0000B6470000}"/>
    <cellStyle name="Normal 5 2 2 13 3 3 2 2" xfId="24866" xr:uid="{00000000-0005-0000-0000-000026610000}"/>
    <cellStyle name="Normal 5 2 2 13 3 3 3" xfId="22031" xr:uid="{00000000-0005-0000-0000-000013560000}"/>
    <cellStyle name="Normal 5 2 2 13 3 4" xfId="16945" xr:uid="{00000000-0005-0000-0000-000035420000}"/>
    <cellStyle name="Normal 5 2 2 13 3 4 2" xfId="23602" xr:uid="{00000000-0005-0000-0000-0000365C0000}"/>
    <cellStyle name="Normal 5 2 2 13 3 5" xfId="20469" xr:uid="{00000000-0005-0000-0000-0000F94F0000}"/>
    <cellStyle name="Normal 5 2 2 13 3 6" xfId="8264" xr:uid="{00000000-0005-0000-0000-00004C200000}"/>
    <cellStyle name="Normal 5 2 2 13 4" xfId="3259" xr:uid="{00000000-0005-0000-0000-0000BF0C0000}"/>
    <cellStyle name="Normal 5 2 2 13 4 2" xfId="4317" xr:uid="{00000000-0005-0000-0000-0000E1100000}"/>
    <cellStyle name="Normal 5 2 2 13 4 3" xfId="8783" xr:uid="{00000000-0005-0000-0000-000053220000}"/>
    <cellStyle name="Normal 5 2 2 13 5" xfId="3710" xr:uid="{00000000-0005-0000-0000-0000820E0000}"/>
    <cellStyle name="Normal 5 2 2 13 5 2" xfId="17936" xr:uid="{00000000-0005-0000-0000-000014460000}"/>
    <cellStyle name="Normal 5 2 2 13 5 2 2" xfId="24448" xr:uid="{00000000-0005-0000-0000-0000845F0000}"/>
    <cellStyle name="Normal 5 2 2 13 5 3" xfId="21613" xr:uid="{00000000-0005-0000-0000-000071540000}"/>
    <cellStyle name="Normal 5 2 2 13 5 4" xfId="9708" xr:uid="{00000000-0005-0000-0000-0000F0250000}"/>
    <cellStyle name="Normal 5 2 2 13 6" xfId="11151" xr:uid="{00000000-0005-0000-0000-0000932B0000}"/>
    <cellStyle name="Normal 5 2 2 13 6 2" xfId="23040" xr:uid="{00000000-0005-0000-0000-0000045A0000}"/>
    <cellStyle name="Normal 5 2 2 13 7" xfId="20051" xr:uid="{00000000-0005-0000-0000-0000574E0000}"/>
    <cellStyle name="Normal 5 2 2 13 8" xfId="7820" xr:uid="{00000000-0005-0000-0000-0000901E0000}"/>
    <cellStyle name="Normal 5 2 2 14" xfId="2366" xr:uid="{00000000-0005-0000-0000-000042090000}"/>
    <cellStyle name="Normal 5 2 2 15" xfId="11153" xr:uid="{00000000-0005-0000-0000-0000952B0000}"/>
    <cellStyle name="Normal 5 2 2 16" xfId="4523" xr:uid="{00000000-0005-0000-0000-0000AF110000}"/>
    <cellStyle name="Normal 5 2 2 2" xfId="1226" xr:uid="{00000000-0005-0000-0000-0000CE040000}"/>
    <cellStyle name="Normal 5 2 2 2 10" xfId="1227" xr:uid="{00000000-0005-0000-0000-0000CF040000}"/>
    <cellStyle name="Normal 5 2 2 2 10 2" xfId="2372" xr:uid="{00000000-0005-0000-0000-000048090000}"/>
    <cellStyle name="Normal 5 2 2 2 11" xfId="1228" xr:uid="{00000000-0005-0000-0000-0000D0040000}"/>
    <cellStyle name="Normal 5 2 2 2 11 2" xfId="2373" xr:uid="{00000000-0005-0000-0000-000049090000}"/>
    <cellStyle name="Normal 5 2 2 2 12" xfId="1229" xr:uid="{00000000-0005-0000-0000-0000D1040000}"/>
    <cellStyle name="Normal 5 2 2 2 12 2" xfId="2374" xr:uid="{00000000-0005-0000-0000-00004A090000}"/>
    <cellStyle name="Normal 5 2 2 2 13" xfId="1230" xr:uid="{00000000-0005-0000-0000-0000D2040000}"/>
    <cellStyle name="Normal 5 2 2 2 13 2" xfId="2375" xr:uid="{00000000-0005-0000-0000-00004B090000}"/>
    <cellStyle name="Normal 5 2 2 2 14" xfId="2371" xr:uid="{00000000-0005-0000-0000-000047090000}"/>
    <cellStyle name="Normal 5 2 2 2 14 2" xfId="3155" xr:uid="{00000000-0005-0000-0000-0000570C0000}"/>
    <cellStyle name="Normal 5 2 2 2 14 2 2" xfId="4213" xr:uid="{00000000-0005-0000-0000-000079100000}"/>
    <cellStyle name="Normal 5 2 2 2 14 2 2 2" xfId="10336" xr:uid="{00000000-0005-0000-0000-000064280000}"/>
    <cellStyle name="Normal 5 2 2 2 14 2 2 2 2" xfId="18564" xr:uid="{00000000-0005-0000-0000-000088480000}"/>
    <cellStyle name="Normal 5 2 2 2 14 2 2 2 2 2" xfId="25076" xr:uid="{00000000-0005-0000-0000-0000F8610000}"/>
    <cellStyle name="Normal 5 2 2 2 14 2 2 2 3" xfId="22241" xr:uid="{00000000-0005-0000-0000-0000E5560000}"/>
    <cellStyle name="Normal 5 2 2 2 14 2 2 3" xfId="17154" xr:uid="{00000000-0005-0000-0000-000006430000}"/>
    <cellStyle name="Normal 5 2 2 2 14 2 2 3 2" xfId="23811" xr:uid="{00000000-0005-0000-0000-0000075D0000}"/>
    <cellStyle name="Normal 5 2 2 2 14 2 2 4" xfId="20679" xr:uid="{00000000-0005-0000-0000-0000CB500000}"/>
    <cellStyle name="Normal 5 2 2 2 14 2 2 5" xfId="8474" xr:uid="{00000000-0005-0000-0000-00001E210000}"/>
    <cellStyle name="Normal 5 2 2 2 14 2 3" xfId="9384" xr:uid="{00000000-0005-0000-0000-0000AC240000}"/>
    <cellStyle name="Normal 5 2 2 2 14 2 3 2" xfId="10708" xr:uid="{00000000-0005-0000-0000-0000D8290000}"/>
    <cellStyle name="Normal 5 2 2 2 14 2 3 2 2" xfId="18936" xr:uid="{00000000-0005-0000-0000-0000FC490000}"/>
    <cellStyle name="Normal 5 2 2 2 14 2 3 2 2 2" xfId="25448" xr:uid="{00000000-0005-0000-0000-00006C630000}"/>
    <cellStyle name="Normal 5 2 2 2 14 2 3 2 3" xfId="22613" xr:uid="{00000000-0005-0000-0000-000059580000}"/>
    <cellStyle name="Normal 5 2 2 2 14 2 3 3" xfId="17618" xr:uid="{00000000-0005-0000-0000-0000D6440000}"/>
    <cellStyle name="Normal 5 2 2 2 14 2 3 3 2" xfId="24192" xr:uid="{00000000-0005-0000-0000-0000845E0000}"/>
    <cellStyle name="Normal 5 2 2 2 14 2 3 4" xfId="21357" xr:uid="{00000000-0005-0000-0000-000071530000}"/>
    <cellStyle name="Normal 5 2 2 2 14 2 4" xfId="9918" xr:uid="{00000000-0005-0000-0000-0000C2260000}"/>
    <cellStyle name="Normal 5 2 2 2 14 2 4 2" xfId="18146" xr:uid="{00000000-0005-0000-0000-0000E6460000}"/>
    <cellStyle name="Normal 5 2 2 2 14 2 4 2 2" xfId="24658" xr:uid="{00000000-0005-0000-0000-000056600000}"/>
    <cellStyle name="Normal 5 2 2 2 14 2 4 3" xfId="21823" xr:uid="{00000000-0005-0000-0000-000043550000}"/>
    <cellStyle name="Normal 5 2 2 2 14 2 5" xfId="11156" xr:uid="{00000000-0005-0000-0000-0000982B0000}"/>
    <cellStyle name="Normal 5 2 2 2 14 2 5 2" xfId="23044" xr:uid="{00000000-0005-0000-0000-0000085A0000}"/>
    <cellStyle name="Normal 5 2 2 2 14 2 6" xfId="20261" xr:uid="{00000000-0005-0000-0000-0000294F0000}"/>
    <cellStyle name="Normal 5 2 2 2 14 2 7" xfId="8055" xr:uid="{00000000-0005-0000-0000-00007B1F0000}"/>
    <cellStyle name="Normal 5 2 2 2 14 3" xfId="3381" xr:uid="{00000000-0005-0000-0000-0000390D0000}"/>
    <cellStyle name="Normal 5 2 2 2 14 3 2" xfId="4423" xr:uid="{00000000-0005-0000-0000-00004B110000}"/>
    <cellStyle name="Normal 5 2 2 2 14 3 2 2" xfId="18355" xr:uid="{00000000-0005-0000-0000-0000B7470000}"/>
    <cellStyle name="Normal 5 2 2 2 14 3 2 2 2" xfId="24867" xr:uid="{00000000-0005-0000-0000-000027610000}"/>
    <cellStyle name="Normal 5 2 2 2 14 3 2 3" xfId="22032" xr:uid="{00000000-0005-0000-0000-000014560000}"/>
    <cellStyle name="Normal 5 2 2 2 14 3 2 4" xfId="10127" xr:uid="{00000000-0005-0000-0000-000093270000}"/>
    <cellStyle name="Normal 5 2 2 2 14 3 3" xfId="16946" xr:uid="{00000000-0005-0000-0000-000036420000}"/>
    <cellStyle name="Normal 5 2 2 2 14 3 3 2" xfId="23603" xr:uid="{00000000-0005-0000-0000-0000375C0000}"/>
    <cellStyle name="Normal 5 2 2 2 14 3 4" xfId="20470" xr:uid="{00000000-0005-0000-0000-0000FA4F0000}"/>
    <cellStyle name="Normal 5 2 2 2 14 3 5" xfId="8265" xr:uid="{00000000-0005-0000-0000-00004D200000}"/>
    <cellStyle name="Normal 5 2 2 2 14 4" xfId="4003" xr:uid="{00000000-0005-0000-0000-0000A70F0000}"/>
    <cellStyle name="Normal 5 2 2 2 14 4 2" xfId="10707" xr:uid="{00000000-0005-0000-0000-0000D7290000}"/>
    <cellStyle name="Normal 5 2 2 2 14 4 2 2" xfId="18935" xr:uid="{00000000-0005-0000-0000-0000FB490000}"/>
    <cellStyle name="Normal 5 2 2 2 14 4 2 2 2" xfId="25447" xr:uid="{00000000-0005-0000-0000-00006B630000}"/>
    <cellStyle name="Normal 5 2 2 2 14 4 2 3" xfId="22612" xr:uid="{00000000-0005-0000-0000-000058580000}"/>
    <cellStyle name="Normal 5 2 2 2 14 4 3" xfId="17617" xr:uid="{00000000-0005-0000-0000-0000D5440000}"/>
    <cellStyle name="Normal 5 2 2 2 14 4 3 2" xfId="24191" xr:uid="{00000000-0005-0000-0000-0000835E0000}"/>
    <cellStyle name="Normal 5 2 2 2 14 4 4" xfId="21356" xr:uid="{00000000-0005-0000-0000-000070530000}"/>
    <cellStyle name="Normal 5 2 2 2 14 4 5" xfId="9383" xr:uid="{00000000-0005-0000-0000-0000AB240000}"/>
    <cellStyle name="Normal 5 2 2 2 14 5" xfId="9709" xr:uid="{00000000-0005-0000-0000-0000F1250000}"/>
    <cellStyle name="Normal 5 2 2 2 14 5 2" xfId="17937" xr:uid="{00000000-0005-0000-0000-000015460000}"/>
    <cellStyle name="Normal 5 2 2 2 14 5 2 2" xfId="24449" xr:uid="{00000000-0005-0000-0000-0000855F0000}"/>
    <cellStyle name="Normal 5 2 2 2 14 5 3" xfId="21614" xr:uid="{00000000-0005-0000-0000-000072540000}"/>
    <cellStyle name="Normal 5 2 2 2 14 6" xfId="11155" xr:uid="{00000000-0005-0000-0000-0000972B0000}"/>
    <cellStyle name="Normal 5 2 2 2 14 6 2" xfId="23043" xr:uid="{00000000-0005-0000-0000-0000075A0000}"/>
    <cellStyle name="Normal 5 2 2 2 14 7" xfId="20052" xr:uid="{00000000-0005-0000-0000-0000584E0000}"/>
    <cellStyle name="Normal 5 2 2 2 14 8" xfId="7821" xr:uid="{00000000-0005-0000-0000-0000911E0000}"/>
    <cellStyle name="Normal 5 2 2 2 15" xfId="3034" xr:uid="{00000000-0005-0000-0000-0000DE0B0000}"/>
    <cellStyle name="Normal 5 2 2 2 15 2" xfId="4108" xr:uid="{00000000-0005-0000-0000-000010100000}"/>
    <cellStyle name="Normal 5 2 2 2 15 3" xfId="11157" xr:uid="{00000000-0005-0000-0000-0000992B0000}"/>
    <cellStyle name="Normal 5 2 2 2 16" xfId="3260" xr:uid="{00000000-0005-0000-0000-0000C00C0000}"/>
    <cellStyle name="Normal 5 2 2 2 16 2" xfId="4318" xr:uid="{00000000-0005-0000-0000-0000E2100000}"/>
    <cellStyle name="Normal 5 2 2 2 16 2 2" xfId="23042" xr:uid="{00000000-0005-0000-0000-0000065A0000}"/>
    <cellStyle name="Normal 5 2 2 2 16 3" xfId="11154" xr:uid="{00000000-0005-0000-0000-0000962B0000}"/>
    <cellStyle name="Normal 5 2 2 2 17" xfId="3711" xr:uid="{00000000-0005-0000-0000-0000830E0000}"/>
    <cellStyle name="Normal 5 2 2 2 18" xfId="6440" xr:uid="{00000000-0005-0000-0000-00002C190000}"/>
    <cellStyle name="Normal 5 2 2 2 2" xfId="1231" xr:uid="{00000000-0005-0000-0000-0000D3040000}"/>
    <cellStyle name="Normal 5 2 2 2 2 2" xfId="2376" xr:uid="{00000000-0005-0000-0000-00004C090000}"/>
    <cellStyle name="Normal 5 2 2 2 3" xfId="1232" xr:uid="{00000000-0005-0000-0000-0000D4040000}"/>
    <cellStyle name="Normal 5 2 2 2 3 2" xfId="2377" xr:uid="{00000000-0005-0000-0000-00004D090000}"/>
    <cellStyle name="Normal 5 2 2 2 4" xfId="1233" xr:uid="{00000000-0005-0000-0000-0000D5040000}"/>
    <cellStyle name="Normal 5 2 2 2 4 2" xfId="2378" xr:uid="{00000000-0005-0000-0000-00004E090000}"/>
    <cellStyle name="Normal 5 2 2 2 5" xfId="1234" xr:uid="{00000000-0005-0000-0000-0000D6040000}"/>
    <cellStyle name="Normal 5 2 2 2 5 2" xfId="2379" xr:uid="{00000000-0005-0000-0000-00004F090000}"/>
    <cellStyle name="Normal 5 2 2 2 6" xfId="1235" xr:uid="{00000000-0005-0000-0000-0000D7040000}"/>
    <cellStyle name="Normal 5 2 2 2 6 2" xfId="2380" xr:uid="{00000000-0005-0000-0000-000050090000}"/>
    <cellStyle name="Normal 5 2 2 2 7" xfId="1236" xr:uid="{00000000-0005-0000-0000-0000D8040000}"/>
    <cellStyle name="Normal 5 2 2 2 7 2" xfId="2381" xr:uid="{00000000-0005-0000-0000-000051090000}"/>
    <cellStyle name="Normal 5 2 2 2 8" xfId="1237" xr:uid="{00000000-0005-0000-0000-0000D9040000}"/>
    <cellStyle name="Normal 5 2 2 2 8 2" xfId="2382" xr:uid="{00000000-0005-0000-0000-000052090000}"/>
    <cellStyle name="Normal 5 2 2 2 9" xfId="1238" xr:uid="{00000000-0005-0000-0000-0000DA040000}"/>
    <cellStyle name="Normal 5 2 2 2 9 2" xfId="2383" xr:uid="{00000000-0005-0000-0000-000053090000}"/>
    <cellStyle name="Normal 5 2 2 3" xfId="1239" xr:uid="{00000000-0005-0000-0000-0000DB040000}"/>
    <cellStyle name="Normal 5 2 2 3 2" xfId="2384" xr:uid="{00000000-0005-0000-0000-000054090000}"/>
    <cellStyle name="Normal 5 2 2 3 2 2" xfId="3156" xr:uid="{00000000-0005-0000-0000-0000580C0000}"/>
    <cellStyle name="Normal 5 2 2 3 2 2 2" xfId="4214" xr:uid="{00000000-0005-0000-0000-00007A100000}"/>
    <cellStyle name="Normal 5 2 2 3 2 2 2 2" xfId="10337" xr:uid="{00000000-0005-0000-0000-000065280000}"/>
    <cellStyle name="Normal 5 2 2 3 2 2 2 2 2" xfId="18565" xr:uid="{00000000-0005-0000-0000-000089480000}"/>
    <cellStyle name="Normal 5 2 2 3 2 2 2 2 2 2" xfId="25077" xr:uid="{00000000-0005-0000-0000-0000F9610000}"/>
    <cellStyle name="Normal 5 2 2 3 2 2 2 2 3" xfId="22242" xr:uid="{00000000-0005-0000-0000-0000E6560000}"/>
    <cellStyle name="Normal 5 2 2 3 2 2 2 3" xfId="17155" xr:uid="{00000000-0005-0000-0000-000007430000}"/>
    <cellStyle name="Normal 5 2 2 3 2 2 2 3 2" xfId="23812" xr:uid="{00000000-0005-0000-0000-0000085D0000}"/>
    <cellStyle name="Normal 5 2 2 3 2 2 2 4" xfId="20680" xr:uid="{00000000-0005-0000-0000-0000CC500000}"/>
    <cellStyle name="Normal 5 2 2 3 2 2 2 5" xfId="8475" xr:uid="{00000000-0005-0000-0000-00001F210000}"/>
    <cellStyle name="Normal 5 2 2 3 2 2 3" xfId="9387" xr:uid="{00000000-0005-0000-0000-0000AF240000}"/>
    <cellStyle name="Normal 5 2 2 3 2 2 3 2" xfId="10711" xr:uid="{00000000-0005-0000-0000-0000DB290000}"/>
    <cellStyle name="Normal 5 2 2 3 2 2 3 2 2" xfId="18939" xr:uid="{00000000-0005-0000-0000-0000FF490000}"/>
    <cellStyle name="Normal 5 2 2 3 2 2 3 2 2 2" xfId="25451" xr:uid="{00000000-0005-0000-0000-00006F630000}"/>
    <cellStyle name="Normal 5 2 2 3 2 2 3 2 3" xfId="22616" xr:uid="{00000000-0005-0000-0000-00005C580000}"/>
    <cellStyle name="Normal 5 2 2 3 2 2 3 3" xfId="17621" xr:uid="{00000000-0005-0000-0000-0000D9440000}"/>
    <cellStyle name="Normal 5 2 2 3 2 2 3 3 2" xfId="24195" xr:uid="{00000000-0005-0000-0000-0000875E0000}"/>
    <cellStyle name="Normal 5 2 2 3 2 2 3 4" xfId="21360" xr:uid="{00000000-0005-0000-0000-000074530000}"/>
    <cellStyle name="Normal 5 2 2 3 2 2 4" xfId="9919" xr:uid="{00000000-0005-0000-0000-0000C3260000}"/>
    <cellStyle name="Normal 5 2 2 3 2 2 4 2" xfId="18147" xr:uid="{00000000-0005-0000-0000-0000E7460000}"/>
    <cellStyle name="Normal 5 2 2 3 2 2 4 2 2" xfId="24659" xr:uid="{00000000-0005-0000-0000-000057600000}"/>
    <cellStyle name="Normal 5 2 2 3 2 2 4 3" xfId="21824" xr:uid="{00000000-0005-0000-0000-000044550000}"/>
    <cellStyle name="Normal 5 2 2 3 2 2 5" xfId="11160" xr:uid="{00000000-0005-0000-0000-00009C2B0000}"/>
    <cellStyle name="Normal 5 2 2 3 2 2 5 2" xfId="23047" xr:uid="{00000000-0005-0000-0000-00000B5A0000}"/>
    <cellStyle name="Normal 5 2 2 3 2 2 6" xfId="20262" xr:uid="{00000000-0005-0000-0000-00002A4F0000}"/>
    <cellStyle name="Normal 5 2 2 3 2 2 7" xfId="8056" xr:uid="{00000000-0005-0000-0000-00007C1F0000}"/>
    <cellStyle name="Normal 5 2 2 3 2 3" xfId="3382" xr:uid="{00000000-0005-0000-0000-00003A0D0000}"/>
    <cellStyle name="Normal 5 2 2 3 2 3 2" xfId="4424" xr:uid="{00000000-0005-0000-0000-00004C110000}"/>
    <cellStyle name="Normal 5 2 2 3 2 3 2 2" xfId="18356" xr:uid="{00000000-0005-0000-0000-0000B8470000}"/>
    <cellStyle name="Normal 5 2 2 3 2 3 2 2 2" xfId="24868" xr:uid="{00000000-0005-0000-0000-000028610000}"/>
    <cellStyle name="Normal 5 2 2 3 2 3 2 3" xfId="22033" xr:uid="{00000000-0005-0000-0000-000015560000}"/>
    <cellStyle name="Normal 5 2 2 3 2 3 2 4" xfId="10128" xr:uid="{00000000-0005-0000-0000-000094270000}"/>
    <cellStyle name="Normal 5 2 2 3 2 3 3" xfId="16947" xr:uid="{00000000-0005-0000-0000-000037420000}"/>
    <cellStyle name="Normal 5 2 2 3 2 3 3 2" xfId="23604" xr:uid="{00000000-0005-0000-0000-0000385C0000}"/>
    <cellStyle name="Normal 5 2 2 3 2 3 4" xfId="20471" xr:uid="{00000000-0005-0000-0000-0000FB4F0000}"/>
    <cellStyle name="Normal 5 2 2 3 2 3 5" xfId="8266" xr:uid="{00000000-0005-0000-0000-00004E200000}"/>
    <cellStyle name="Normal 5 2 2 3 2 4" xfId="4004" xr:uid="{00000000-0005-0000-0000-0000A80F0000}"/>
    <cellStyle name="Normal 5 2 2 3 2 4 2" xfId="10710" xr:uid="{00000000-0005-0000-0000-0000DA290000}"/>
    <cellStyle name="Normal 5 2 2 3 2 4 2 2" xfId="18938" xr:uid="{00000000-0005-0000-0000-0000FE490000}"/>
    <cellStyle name="Normal 5 2 2 3 2 4 2 2 2" xfId="25450" xr:uid="{00000000-0005-0000-0000-00006E630000}"/>
    <cellStyle name="Normal 5 2 2 3 2 4 2 3" xfId="22615" xr:uid="{00000000-0005-0000-0000-00005B580000}"/>
    <cellStyle name="Normal 5 2 2 3 2 4 3" xfId="17620" xr:uid="{00000000-0005-0000-0000-0000D8440000}"/>
    <cellStyle name="Normal 5 2 2 3 2 4 3 2" xfId="24194" xr:uid="{00000000-0005-0000-0000-0000865E0000}"/>
    <cellStyle name="Normal 5 2 2 3 2 4 4" xfId="21359" xr:uid="{00000000-0005-0000-0000-000073530000}"/>
    <cellStyle name="Normal 5 2 2 3 2 4 5" xfId="9386" xr:uid="{00000000-0005-0000-0000-0000AE240000}"/>
    <cellStyle name="Normal 5 2 2 3 2 5" xfId="9710" xr:uid="{00000000-0005-0000-0000-0000F2250000}"/>
    <cellStyle name="Normal 5 2 2 3 2 5 2" xfId="17938" xr:uid="{00000000-0005-0000-0000-000016460000}"/>
    <cellStyle name="Normal 5 2 2 3 2 5 2 2" xfId="24450" xr:uid="{00000000-0005-0000-0000-0000865F0000}"/>
    <cellStyle name="Normal 5 2 2 3 2 5 3" xfId="21615" xr:uid="{00000000-0005-0000-0000-000073540000}"/>
    <cellStyle name="Normal 5 2 2 3 2 6" xfId="11159" xr:uid="{00000000-0005-0000-0000-00009B2B0000}"/>
    <cellStyle name="Normal 5 2 2 3 2 6 2" xfId="23046" xr:uid="{00000000-0005-0000-0000-00000A5A0000}"/>
    <cellStyle name="Normal 5 2 2 3 2 7" xfId="20053" xr:uid="{00000000-0005-0000-0000-0000594E0000}"/>
    <cellStyle name="Normal 5 2 2 3 2 8" xfId="7822" xr:uid="{00000000-0005-0000-0000-0000921E0000}"/>
    <cellStyle name="Normal 5 2 2 3 3" xfId="3035" xr:uid="{00000000-0005-0000-0000-0000DF0B0000}"/>
    <cellStyle name="Normal 5 2 2 3 3 2" xfId="4109" xr:uid="{00000000-0005-0000-0000-000011100000}"/>
    <cellStyle name="Normal 5 2 2 3 3 2 2" xfId="10236" xr:uid="{00000000-0005-0000-0000-000000280000}"/>
    <cellStyle name="Normal 5 2 2 3 3 2 2 2" xfId="18464" xr:uid="{00000000-0005-0000-0000-000024480000}"/>
    <cellStyle name="Normal 5 2 2 3 3 2 2 2 2" xfId="24976" xr:uid="{00000000-0005-0000-0000-000094610000}"/>
    <cellStyle name="Normal 5 2 2 3 3 2 2 3" xfId="22141" xr:uid="{00000000-0005-0000-0000-000081560000}"/>
    <cellStyle name="Normal 5 2 2 3 3 2 3" xfId="17054" xr:uid="{00000000-0005-0000-0000-0000A2420000}"/>
    <cellStyle name="Normal 5 2 2 3 3 2 3 2" xfId="23711" xr:uid="{00000000-0005-0000-0000-0000A35C0000}"/>
    <cellStyle name="Normal 5 2 2 3 3 2 4" xfId="20579" xr:uid="{00000000-0005-0000-0000-000067500000}"/>
    <cellStyle name="Normal 5 2 2 3 3 2 5" xfId="8374" xr:uid="{00000000-0005-0000-0000-0000BA200000}"/>
    <cellStyle name="Normal 5 2 2 3 3 3" xfId="9388" xr:uid="{00000000-0005-0000-0000-0000B0240000}"/>
    <cellStyle name="Normal 5 2 2 3 3 3 2" xfId="10712" xr:uid="{00000000-0005-0000-0000-0000DC290000}"/>
    <cellStyle name="Normal 5 2 2 3 3 3 2 2" xfId="18940" xr:uid="{00000000-0005-0000-0000-0000004A0000}"/>
    <cellStyle name="Normal 5 2 2 3 3 3 2 2 2" xfId="25452" xr:uid="{00000000-0005-0000-0000-000070630000}"/>
    <cellStyle name="Normal 5 2 2 3 3 3 2 3" xfId="22617" xr:uid="{00000000-0005-0000-0000-00005D580000}"/>
    <cellStyle name="Normal 5 2 2 3 3 3 3" xfId="17622" xr:uid="{00000000-0005-0000-0000-0000DA440000}"/>
    <cellStyle name="Normal 5 2 2 3 3 3 3 2" xfId="24196" xr:uid="{00000000-0005-0000-0000-0000885E0000}"/>
    <cellStyle name="Normal 5 2 2 3 3 3 4" xfId="21361" xr:uid="{00000000-0005-0000-0000-000075530000}"/>
    <cellStyle name="Normal 5 2 2 3 3 4" xfId="9818" xr:uid="{00000000-0005-0000-0000-00005E260000}"/>
    <cellStyle name="Normal 5 2 2 3 3 4 2" xfId="18046" xr:uid="{00000000-0005-0000-0000-000082460000}"/>
    <cellStyle name="Normal 5 2 2 3 3 4 2 2" xfId="24558" xr:uid="{00000000-0005-0000-0000-0000F25F0000}"/>
    <cellStyle name="Normal 5 2 2 3 3 4 3" xfId="21723" xr:uid="{00000000-0005-0000-0000-0000DF540000}"/>
    <cellStyle name="Normal 5 2 2 3 3 5" xfId="11161" xr:uid="{00000000-0005-0000-0000-00009D2B0000}"/>
    <cellStyle name="Normal 5 2 2 3 3 5 2" xfId="23048" xr:uid="{00000000-0005-0000-0000-00000C5A0000}"/>
    <cellStyle name="Normal 5 2 2 3 3 6" xfId="20161" xr:uid="{00000000-0005-0000-0000-0000C54E0000}"/>
    <cellStyle name="Normal 5 2 2 3 3 7" xfId="7955" xr:uid="{00000000-0005-0000-0000-0000171F0000}"/>
    <cellStyle name="Normal 5 2 2 3 4" xfId="3261" xr:uid="{00000000-0005-0000-0000-0000C10C0000}"/>
    <cellStyle name="Normal 5 2 2 3 4 2" xfId="4319" xr:uid="{00000000-0005-0000-0000-0000E3100000}"/>
    <cellStyle name="Normal 5 2 2 3 4 2 2" xfId="10709" xr:uid="{00000000-0005-0000-0000-0000D9290000}"/>
    <cellStyle name="Normal 5 2 2 3 4 2 2 2" xfId="18937" xr:uid="{00000000-0005-0000-0000-0000FD490000}"/>
    <cellStyle name="Normal 5 2 2 3 4 2 2 2 2" xfId="25449" xr:uid="{00000000-0005-0000-0000-00006D630000}"/>
    <cellStyle name="Normal 5 2 2 3 4 2 2 3" xfId="22614" xr:uid="{00000000-0005-0000-0000-00005A580000}"/>
    <cellStyle name="Normal 5 2 2 3 4 2 3" xfId="17619" xr:uid="{00000000-0005-0000-0000-0000D7440000}"/>
    <cellStyle name="Normal 5 2 2 3 4 2 3 2" xfId="24193" xr:uid="{00000000-0005-0000-0000-0000855E0000}"/>
    <cellStyle name="Normal 5 2 2 3 4 2 4" xfId="21358" xr:uid="{00000000-0005-0000-0000-000072530000}"/>
    <cellStyle name="Normal 5 2 2 3 4 2 5" xfId="9385" xr:uid="{00000000-0005-0000-0000-0000AD240000}"/>
    <cellStyle name="Normal 5 2 2 3 4 3" xfId="10027" xr:uid="{00000000-0005-0000-0000-00002F270000}"/>
    <cellStyle name="Normal 5 2 2 3 4 3 2" xfId="18255" xr:uid="{00000000-0005-0000-0000-000053470000}"/>
    <cellStyle name="Normal 5 2 2 3 4 3 2 2" xfId="24767" xr:uid="{00000000-0005-0000-0000-0000C3600000}"/>
    <cellStyle name="Normal 5 2 2 3 4 3 3" xfId="21932" xr:uid="{00000000-0005-0000-0000-0000B0550000}"/>
    <cellStyle name="Normal 5 2 2 3 4 4" xfId="16850" xr:uid="{00000000-0005-0000-0000-0000D6410000}"/>
    <cellStyle name="Normal 5 2 2 3 4 4 2" xfId="23508" xr:uid="{00000000-0005-0000-0000-0000D85B0000}"/>
    <cellStyle name="Normal 5 2 2 3 4 5" xfId="20370" xr:uid="{00000000-0005-0000-0000-0000964F0000}"/>
    <cellStyle name="Normal 5 2 2 3 4 6" xfId="8165" xr:uid="{00000000-0005-0000-0000-0000E91F0000}"/>
    <cellStyle name="Normal 5 2 2 3 5" xfId="3712" xr:uid="{00000000-0005-0000-0000-0000840E0000}"/>
    <cellStyle name="Normal 5 2 2 3 5 2" xfId="8784" xr:uid="{00000000-0005-0000-0000-000054220000}"/>
    <cellStyle name="Normal 5 2 2 3 6" xfId="9609" xr:uid="{00000000-0005-0000-0000-00008D250000}"/>
    <cellStyle name="Normal 5 2 2 3 6 2" xfId="17837" xr:uid="{00000000-0005-0000-0000-0000B1450000}"/>
    <cellStyle name="Normal 5 2 2 3 6 2 2" xfId="24349" xr:uid="{00000000-0005-0000-0000-0000215F0000}"/>
    <cellStyle name="Normal 5 2 2 3 6 3" xfId="21514" xr:uid="{00000000-0005-0000-0000-00000E540000}"/>
    <cellStyle name="Normal 5 2 2 3 7" xfId="11158" xr:uid="{00000000-0005-0000-0000-00009A2B0000}"/>
    <cellStyle name="Normal 5 2 2 3 7 2" xfId="23045" xr:uid="{00000000-0005-0000-0000-0000095A0000}"/>
    <cellStyle name="Normal 5 2 2 3 8" xfId="19726" xr:uid="{00000000-0005-0000-0000-0000124D0000}"/>
    <cellStyle name="Normal 5 2 2 3 9" xfId="6439" xr:uid="{00000000-0005-0000-0000-00002B190000}"/>
    <cellStyle name="Normal 5 2 2 4" xfId="1240" xr:uid="{00000000-0005-0000-0000-0000DC040000}"/>
    <cellStyle name="Normal 5 2 2 4 2" xfId="2385" xr:uid="{00000000-0005-0000-0000-000055090000}"/>
    <cellStyle name="Normal 5 2 2 4 2 2" xfId="3157" xr:uid="{00000000-0005-0000-0000-0000590C0000}"/>
    <cellStyle name="Normal 5 2 2 4 2 2 2" xfId="4215" xr:uid="{00000000-0005-0000-0000-00007B100000}"/>
    <cellStyle name="Normal 5 2 2 4 2 2 2 2" xfId="18566" xr:uid="{00000000-0005-0000-0000-00008A480000}"/>
    <cellStyle name="Normal 5 2 2 4 2 2 2 2 2" xfId="25078" xr:uid="{00000000-0005-0000-0000-0000FA610000}"/>
    <cellStyle name="Normal 5 2 2 4 2 2 2 3" xfId="22243" xr:uid="{00000000-0005-0000-0000-0000E7560000}"/>
    <cellStyle name="Normal 5 2 2 4 2 2 2 4" xfId="10338" xr:uid="{00000000-0005-0000-0000-000066280000}"/>
    <cellStyle name="Normal 5 2 2 4 2 2 3" xfId="17156" xr:uid="{00000000-0005-0000-0000-000008430000}"/>
    <cellStyle name="Normal 5 2 2 4 2 2 3 2" xfId="23813" xr:uid="{00000000-0005-0000-0000-0000095D0000}"/>
    <cellStyle name="Normal 5 2 2 4 2 2 4" xfId="20681" xr:uid="{00000000-0005-0000-0000-0000CD500000}"/>
    <cellStyle name="Normal 5 2 2 4 2 2 5" xfId="8476" xr:uid="{00000000-0005-0000-0000-000020210000}"/>
    <cellStyle name="Normal 5 2 2 4 2 3" xfId="3383" xr:uid="{00000000-0005-0000-0000-00003B0D0000}"/>
    <cellStyle name="Normal 5 2 2 4 2 3 2" xfId="4425" xr:uid="{00000000-0005-0000-0000-00004D110000}"/>
    <cellStyle name="Normal 5 2 2 4 2 3 2 2" xfId="18942" xr:uid="{00000000-0005-0000-0000-0000024A0000}"/>
    <cellStyle name="Normal 5 2 2 4 2 3 2 2 2" xfId="25454" xr:uid="{00000000-0005-0000-0000-000072630000}"/>
    <cellStyle name="Normal 5 2 2 4 2 3 2 3" xfId="22619" xr:uid="{00000000-0005-0000-0000-00005F580000}"/>
    <cellStyle name="Normal 5 2 2 4 2 3 2 4" xfId="10714" xr:uid="{00000000-0005-0000-0000-0000DE290000}"/>
    <cellStyle name="Normal 5 2 2 4 2 3 3" xfId="17624" xr:uid="{00000000-0005-0000-0000-0000DC440000}"/>
    <cellStyle name="Normal 5 2 2 4 2 3 3 2" xfId="24198" xr:uid="{00000000-0005-0000-0000-00008A5E0000}"/>
    <cellStyle name="Normal 5 2 2 4 2 3 4" xfId="21363" xr:uid="{00000000-0005-0000-0000-000077530000}"/>
    <cellStyle name="Normal 5 2 2 4 2 3 5" xfId="9390" xr:uid="{00000000-0005-0000-0000-0000B2240000}"/>
    <cellStyle name="Normal 5 2 2 4 2 4" xfId="4005" xr:uid="{00000000-0005-0000-0000-0000A90F0000}"/>
    <cellStyle name="Normal 5 2 2 4 2 4 2" xfId="18148" xr:uid="{00000000-0005-0000-0000-0000E8460000}"/>
    <cellStyle name="Normal 5 2 2 4 2 4 2 2" xfId="24660" xr:uid="{00000000-0005-0000-0000-000058600000}"/>
    <cellStyle name="Normal 5 2 2 4 2 4 3" xfId="21825" xr:uid="{00000000-0005-0000-0000-000045550000}"/>
    <cellStyle name="Normal 5 2 2 4 2 4 4" xfId="9920" xr:uid="{00000000-0005-0000-0000-0000C4260000}"/>
    <cellStyle name="Normal 5 2 2 4 2 5" xfId="11163" xr:uid="{00000000-0005-0000-0000-00009F2B0000}"/>
    <cellStyle name="Normal 5 2 2 4 2 5 2" xfId="23050" xr:uid="{00000000-0005-0000-0000-00000E5A0000}"/>
    <cellStyle name="Normal 5 2 2 4 2 6" xfId="20263" xr:uid="{00000000-0005-0000-0000-00002B4F0000}"/>
    <cellStyle name="Normal 5 2 2 4 2 7" xfId="8057" xr:uid="{00000000-0005-0000-0000-00007D1F0000}"/>
    <cellStyle name="Normal 5 2 2 4 3" xfId="3036" xr:uid="{00000000-0005-0000-0000-0000E00B0000}"/>
    <cellStyle name="Normal 5 2 2 4 3 2" xfId="4110" xr:uid="{00000000-0005-0000-0000-000012100000}"/>
    <cellStyle name="Normal 5 2 2 4 3 2 2" xfId="10713" xr:uid="{00000000-0005-0000-0000-0000DD290000}"/>
    <cellStyle name="Normal 5 2 2 4 3 2 2 2" xfId="18941" xr:uid="{00000000-0005-0000-0000-0000014A0000}"/>
    <cellStyle name="Normal 5 2 2 4 3 2 2 2 2" xfId="25453" xr:uid="{00000000-0005-0000-0000-000071630000}"/>
    <cellStyle name="Normal 5 2 2 4 3 2 2 3" xfId="22618" xr:uid="{00000000-0005-0000-0000-00005E580000}"/>
    <cellStyle name="Normal 5 2 2 4 3 2 3" xfId="17623" xr:uid="{00000000-0005-0000-0000-0000DB440000}"/>
    <cellStyle name="Normal 5 2 2 4 3 2 3 2" xfId="24197" xr:uid="{00000000-0005-0000-0000-0000895E0000}"/>
    <cellStyle name="Normal 5 2 2 4 3 2 4" xfId="21362" xr:uid="{00000000-0005-0000-0000-000076530000}"/>
    <cellStyle name="Normal 5 2 2 4 3 2 5" xfId="9389" xr:uid="{00000000-0005-0000-0000-0000B1240000}"/>
    <cellStyle name="Normal 5 2 2 4 3 3" xfId="10129" xr:uid="{00000000-0005-0000-0000-000095270000}"/>
    <cellStyle name="Normal 5 2 2 4 3 3 2" xfId="18357" xr:uid="{00000000-0005-0000-0000-0000B9470000}"/>
    <cellStyle name="Normal 5 2 2 4 3 3 2 2" xfId="24869" xr:uid="{00000000-0005-0000-0000-000029610000}"/>
    <cellStyle name="Normal 5 2 2 4 3 3 3" xfId="22034" xr:uid="{00000000-0005-0000-0000-000016560000}"/>
    <cellStyle name="Normal 5 2 2 4 3 4" xfId="16948" xr:uid="{00000000-0005-0000-0000-000038420000}"/>
    <cellStyle name="Normal 5 2 2 4 3 4 2" xfId="23605" xr:uid="{00000000-0005-0000-0000-0000395C0000}"/>
    <cellStyle name="Normal 5 2 2 4 3 5" xfId="20472" xr:uid="{00000000-0005-0000-0000-0000FC4F0000}"/>
    <cellStyle name="Normal 5 2 2 4 3 6" xfId="8267" xr:uid="{00000000-0005-0000-0000-00004F200000}"/>
    <cellStyle name="Normal 5 2 2 4 4" xfId="3262" xr:uid="{00000000-0005-0000-0000-0000C20C0000}"/>
    <cellStyle name="Normal 5 2 2 4 4 2" xfId="4320" xr:uid="{00000000-0005-0000-0000-0000E4100000}"/>
    <cellStyle name="Normal 5 2 2 4 4 3" xfId="8785" xr:uid="{00000000-0005-0000-0000-000055220000}"/>
    <cellStyle name="Normal 5 2 2 4 5" xfId="3713" xr:uid="{00000000-0005-0000-0000-0000850E0000}"/>
    <cellStyle name="Normal 5 2 2 4 5 2" xfId="17939" xr:uid="{00000000-0005-0000-0000-000017460000}"/>
    <cellStyle name="Normal 5 2 2 4 5 2 2" xfId="24451" xr:uid="{00000000-0005-0000-0000-0000875F0000}"/>
    <cellStyle name="Normal 5 2 2 4 5 3" xfId="21616" xr:uid="{00000000-0005-0000-0000-000074540000}"/>
    <cellStyle name="Normal 5 2 2 4 5 4" xfId="9711" xr:uid="{00000000-0005-0000-0000-0000F3250000}"/>
    <cellStyle name="Normal 5 2 2 4 6" xfId="11162" xr:uid="{00000000-0005-0000-0000-00009E2B0000}"/>
    <cellStyle name="Normal 5 2 2 4 6 2" xfId="23049" xr:uid="{00000000-0005-0000-0000-00000D5A0000}"/>
    <cellStyle name="Normal 5 2 2 4 7" xfId="20054" xr:uid="{00000000-0005-0000-0000-00005A4E0000}"/>
    <cellStyle name="Normal 5 2 2 4 8" xfId="7823" xr:uid="{00000000-0005-0000-0000-0000931E0000}"/>
    <cellStyle name="Normal 5 2 2 5" xfId="1241" xr:uid="{00000000-0005-0000-0000-0000DD040000}"/>
    <cellStyle name="Normal 5 2 2 5 2" xfId="2386" xr:uid="{00000000-0005-0000-0000-000056090000}"/>
    <cellStyle name="Normal 5 2 2 5 2 2" xfId="3158" xr:uid="{00000000-0005-0000-0000-00005A0C0000}"/>
    <cellStyle name="Normal 5 2 2 5 2 2 2" xfId="4216" xr:uid="{00000000-0005-0000-0000-00007C100000}"/>
    <cellStyle name="Normal 5 2 2 5 2 2 2 2" xfId="18567" xr:uid="{00000000-0005-0000-0000-00008B480000}"/>
    <cellStyle name="Normal 5 2 2 5 2 2 2 2 2" xfId="25079" xr:uid="{00000000-0005-0000-0000-0000FB610000}"/>
    <cellStyle name="Normal 5 2 2 5 2 2 2 3" xfId="22244" xr:uid="{00000000-0005-0000-0000-0000E8560000}"/>
    <cellStyle name="Normal 5 2 2 5 2 2 2 4" xfId="10339" xr:uid="{00000000-0005-0000-0000-000067280000}"/>
    <cellStyle name="Normal 5 2 2 5 2 2 3" xfId="17157" xr:uid="{00000000-0005-0000-0000-000009430000}"/>
    <cellStyle name="Normal 5 2 2 5 2 2 3 2" xfId="23814" xr:uid="{00000000-0005-0000-0000-00000A5D0000}"/>
    <cellStyle name="Normal 5 2 2 5 2 2 4" xfId="20682" xr:uid="{00000000-0005-0000-0000-0000CE500000}"/>
    <cellStyle name="Normal 5 2 2 5 2 2 5" xfId="8477" xr:uid="{00000000-0005-0000-0000-000021210000}"/>
    <cellStyle name="Normal 5 2 2 5 2 3" xfId="3384" xr:uid="{00000000-0005-0000-0000-00003C0D0000}"/>
    <cellStyle name="Normal 5 2 2 5 2 3 2" xfId="4426" xr:uid="{00000000-0005-0000-0000-00004E110000}"/>
    <cellStyle name="Normal 5 2 2 5 2 3 2 2" xfId="18944" xr:uid="{00000000-0005-0000-0000-0000044A0000}"/>
    <cellStyle name="Normal 5 2 2 5 2 3 2 2 2" xfId="25456" xr:uid="{00000000-0005-0000-0000-000074630000}"/>
    <cellStyle name="Normal 5 2 2 5 2 3 2 3" xfId="22621" xr:uid="{00000000-0005-0000-0000-000061580000}"/>
    <cellStyle name="Normal 5 2 2 5 2 3 2 4" xfId="10716" xr:uid="{00000000-0005-0000-0000-0000E0290000}"/>
    <cellStyle name="Normal 5 2 2 5 2 3 3" xfId="17626" xr:uid="{00000000-0005-0000-0000-0000DE440000}"/>
    <cellStyle name="Normal 5 2 2 5 2 3 3 2" xfId="24200" xr:uid="{00000000-0005-0000-0000-00008C5E0000}"/>
    <cellStyle name="Normal 5 2 2 5 2 3 4" xfId="21365" xr:uid="{00000000-0005-0000-0000-000079530000}"/>
    <cellStyle name="Normal 5 2 2 5 2 3 5" xfId="9392" xr:uid="{00000000-0005-0000-0000-0000B4240000}"/>
    <cellStyle name="Normal 5 2 2 5 2 4" xfId="4006" xr:uid="{00000000-0005-0000-0000-0000AA0F0000}"/>
    <cellStyle name="Normal 5 2 2 5 2 4 2" xfId="18149" xr:uid="{00000000-0005-0000-0000-0000E9460000}"/>
    <cellStyle name="Normal 5 2 2 5 2 4 2 2" xfId="24661" xr:uid="{00000000-0005-0000-0000-000059600000}"/>
    <cellStyle name="Normal 5 2 2 5 2 4 3" xfId="21826" xr:uid="{00000000-0005-0000-0000-000046550000}"/>
    <cellStyle name="Normal 5 2 2 5 2 4 4" xfId="9921" xr:uid="{00000000-0005-0000-0000-0000C5260000}"/>
    <cellStyle name="Normal 5 2 2 5 2 5" xfId="11165" xr:uid="{00000000-0005-0000-0000-0000A12B0000}"/>
    <cellStyle name="Normal 5 2 2 5 2 5 2" xfId="23052" xr:uid="{00000000-0005-0000-0000-0000105A0000}"/>
    <cellStyle name="Normal 5 2 2 5 2 6" xfId="20264" xr:uid="{00000000-0005-0000-0000-00002C4F0000}"/>
    <cellStyle name="Normal 5 2 2 5 2 7" xfId="8058" xr:uid="{00000000-0005-0000-0000-00007E1F0000}"/>
    <cellStyle name="Normal 5 2 2 5 3" xfId="3037" xr:uid="{00000000-0005-0000-0000-0000E10B0000}"/>
    <cellStyle name="Normal 5 2 2 5 3 2" xfId="4111" xr:uid="{00000000-0005-0000-0000-000013100000}"/>
    <cellStyle name="Normal 5 2 2 5 3 2 2" xfId="10715" xr:uid="{00000000-0005-0000-0000-0000DF290000}"/>
    <cellStyle name="Normal 5 2 2 5 3 2 2 2" xfId="18943" xr:uid="{00000000-0005-0000-0000-0000034A0000}"/>
    <cellStyle name="Normal 5 2 2 5 3 2 2 2 2" xfId="25455" xr:uid="{00000000-0005-0000-0000-000073630000}"/>
    <cellStyle name="Normal 5 2 2 5 3 2 2 3" xfId="22620" xr:uid="{00000000-0005-0000-0000-000060580000}"/>
    <cellStyle name="Normal 5 2 2 5 3 2 3" xfId="17625" xr:uid="{00000000-0005-0000-0000-0000DD440000}"/>
    <cellStyle name="Normal 5 2 2 5 3 2 3 2" xfId="24199" xr:uid="{00000000-0005-0000-0000-00008B5E0000}"/>
    <cellStyle name="Normal 5 2 2 5 3 2 4" xfId="21364" xr:uid="{00000000-0005-0000-0000-000078530000}"/>
    <cellStyle name="Normal 5 2 2 5 3 2 5" xfId="9391" xr:uid="{00000000-0005-0000-0000-0000B3240000}"/>
    <cellStyle name="Normal 5 2 2 5 3 3" xfId="10130" xr:uid="{00000000-0005-0000-0000-000096270000}"/>
    <cellStyle name="Normal 5 2 2 5 3 3 2" xfId="18358" xr:uid="{00000000-0005-0000-0000-0000BA470000}"/>
    <cellStyle name="Normal 5 2 2 5 3 3 2 2" xfId="24870" xr:uid="{00000000-0005-0000-0000-00002A610000}"/>
    <cellStyle name="Normal 5 2 2 5 3 3 3" xfId="22035" xr:uid="{00000000-0005-0000-0000-000017560000}"/>
    <cellStyle name="Normal 5 2 2 5 3 4" xfId="16949" xr:uid="{00000000-0005-0000-0000-000039420000}"/>
    <cellStyle name="Normal 5 2 2 5 3 4 2" xfId="23606" xr:uid="{00000000-0005-0000-0000-00003A5C0000}"/>
    <cellStyle name="Normal 5 2 2 5 3 5" xfId="20473" xr:uid="{00000000-0005-0000-0000-0000FD4F0000}"/>
    <cellStyle name="Normal 5 2 2 5 3 6" xfId="8268" xr:uid="{00000000-0005-0000-0000-000050200000}"/>
    <cellStyle name="Normal 5 2 2 5 4" xfId="3263" xr:uid="{00000000-0005-0000-0000-0000C30C0000}"/>
    <cellStyle name="Normal 5 2 2 5 4 2" xfId="4321" xr:uid="{00000000-0005-0000-0000-0000E5100000}"/>
    <cellStyle name="Normal 5 2 2 5 4 3" xfId="8786" xr:uid="{00000000-0005-0000-0000-000056220000}"/>
    <cellStyle name="Normal 5 2 2 5 5" xfId="3714" xr:uid="{00000000-0005-0000-0000-0000860E0000}"/>
    <cellStyle name="Normal 5 2 2 5 5 2" xfId="17940" xr:uid="{00000000-0005-0000-0000-000018460000}"/>
    <cellStyle name="Normal 5 2 2 5 5 2 2" xfId="24452" xr:uid="{00000000-0005-0000-0000-0000885F0000}"/>
    <cellStyle name="Normal 5 2 2 5 5 3" xfId="21617" xr:uid="{00000000-0005-0000-0000-000075540000}"/>
    <cellStyle name="Normal 5 2 2 5 5 4" xfId="9712" xr:uid="{00000000-0005-0000-0000-0000F4250000}"/>
    <cellStyle name="Normal 5 2 2 5 6" xfId="11164" xr:uid="{00000000-0005-0000-0000-0000A02B0000}"/>
    <cellStyle name="Normal 5 2 2 5 6 2" xfId="23051" xr:uid="{00000000-0005-0000-0000-00000F5A0000}"/>
    <cellStyle name="Normal 5 2 2 5 7" xfId="20055" xr:uid="{00000000-0005-0000-0000-00005B4E0000}"/>
    <cellStyle name="Normal 5 2 2 5 8" xfId="7824" xr:uid="{00000000-0005-0000-0000-0000941E0000}"/>
    <cellStyle name="Normal 5 2 2 6" xfId="1242" xr:uid="{00000000-0005-0000-0000-0000DE040000}"/>
    <cellStyle name="Normal 5 2 2 6 2" xfId="2387" xr:uid="{00000000-0005-0000-0000-000057090000}"/>
    <cellStyle name="Normal 5 2 2 6 2 2" xfId="3159" xr:uid="{00000000-0005-0000-0000-00005B0C0000}"/>
    <cellStyle name="Normal 5 2 2 6 2 2 2" xfId="4217" xr:uid="{00000000-0005-0000-0000-00007D100000}"/>
    <cellStyle name="Normal 5 2 2 6 2 2 2 2" xfId="18568" xr:uid="{00000000-0005-0000-0000-00008C480000}"/>
    <cellStyle name="Normal 5 2 2 6 2 2 2 2 2" xfId="25080" xr:uid="{00000000-0005-0000-0000-0000FC610000}"/>
    <cellStyle name="Normal 5 2 2 6 2 2 2 3" xfId="22245" xr:uid="{00000000-0005-0000-0000-0000E9560000}"/>
    <cellStyle name="Normal 5 2 2 6 2 2 2 4" xfId="10340" xr:uid="{00000000-0005-0000-0000-000068280000}"/>
    <cellStyle name="Normal 5 2 2 6 2 2 3" xfId="17158" xr:uid="{00000000-0005-0000-0000-00000A430000}"/>
    <cellStyle name="Normal 5 2 2 6 2 2 3 2" xfId="23815" xr:uid="{00000000-0005-0000-0000-00000B5D0000}"/>
    <cellStyle name="Normal 5 2 2 6 2 2 4" xfId="20683" xr:uid="{00000000-0005-0000-0000-0000CF500000}"/>
    <cellStyle name="Normal 5 2 2 6 2 2 5" xfId="8478" xr:uid="{00000000-0005-0000-0000-000022210000}"/>
    <cellStyle name="Normal 5 2 2 6 2 3" xfId="3385" xr:uid="{00000000-0005-0000-0000-00003D0D0000}"/>
    <cellStyle name="Normal 5 2 2 6 2 3 2" xfId="4427" xr:uid="{00000000-0005-0000-0000-00004F110000}"/>
    <cellStyle name="Normal 5 2 2 6 2 3 2 2" xfId="18946" xr:uid="{00000000-0005-0000-0000-0000064A0000}"/>
    <cellStyle name="Normal 5 2 2 6 2 3 2 2 2" xfId="25458" xr:uid="{00000000-0005-0000-0000-000076630000}"/>
    <cellStyle name="Normal 5 2 2 6 2 3 2 3" xfId="22623" xr:uid="{00000000-0005-0000-0000-000063580000}"/>
    <cellStyle name="Normal 5 2 2 6 2 3 2 4" xfId="10718" xr:uid="{00000000-0005-0000-0000-0000E2290000}"/>
    <cellStyle name="Normal 5 2 2 6 2 3 3" xfId="17628" xr:uid="{00000000-0005-0000-0000-0000E0440000}"/>
    <cellStyle name="Normal 5 2 2 6 2 3 3 2" xfId="24202" xr:uid="{00000000-0005-0000-0000-00008E5E0000}"/>
    <cellStyle name="Normal 5 2 2 6 2 3 4" xfId="21367" xr:uid="{00000000-0005-0000-0000-00007B530000}"/>
    <cellStyle name="Normal 5 2 2 6 2 3 5" xfId="9394" xr:uid="{00000000-0005-0000-0000-0000B6240000}"/>
    <cellStyle name="Normal 5 2 2 6 2 4" xfId="4007" xr:uid="{00000000-0005-0000-0000-0000AB0F0000}"/>
    <cellStyle name="Normal 5 2 2 6 2 4 2" xfId="18150" xr:uid="{00000000-0005-0000-0000-0000EA460000}"/>
    <cellStyle name="Normal 5 2 2 6 2 4 2 2" xfId="24662" xr:uid="{00000000-0005-0000-0000-00005A600000}"/>
    <cellStyle name="Normal 5 2 2 6 2 4 3" xfId="21827" xr:uid="{00000000-0005-0000-0000-000047550000}"/>
    <cellStyle name="Normal 5 2 2 6 2 4 4" xfId="9922" xr:uid="{00000000-0005-0000-0000-0000C6260000}"/>
    <cellStyle name="Normal 5 2 2 6 2 5" xfId="11167" xr:uid="{00000000-0005-0000-0000-0000A32B0000}"/>
    <cellStyle name="Normal 5 2 2 6 2 5 2" xfId="23054" xr:uid="{00000000-0005-0000-0000-0000125A0000}"/>
    <cellStyle name="Normal 5 2 2 6 2 6" xfId="20265" xr:uid="{00000000-0005-0000-0000-00002D4F0000}"/>
    <cellStyle name="Normal 5 2 2 6 2 7" xfId="8059" xr:uid="{00000000-0005-0000-0000-00007F1F0000}"/>
    <cellStyle name="Normal 5 2 2 6 3" xfId="3038" xr:uid="{00000000-0005-0000-0000-0000E20B0000}"/>
    <cellStyle name="Normal 5 2 2 6 3 2" xfId="4112" xr:uid="{00000000-0005-0000-0000-000014100000}"/>
    <cellStyle name="Normal 5 2 2 6 3 2 2" xfId="10717" xr:uid="{00000000-0005-0000-0000-0000E1290000}"/>
    <cellStyle name="Normal 5 2 2 6 3 2 2 2" xfId="18945" xr:uid="{00000000-0005-0000-0000-0000054A0000}"/>
    <cellStyle name="Normal 5 2 2 6 3 2 2 2 2" xfId="25457" xr:uid="{00000000-0005-0000-0000-000075630000}"/>
    <cellStyle name="Normal 5 2 2 6 3 2 2 3" xfId="22622" xr:uid="{00000000-0005-0000-0000-000062580000}"/>
    <cellStyle name="Normal 5 2 2 6 3 2 3" xfId="17627" xr:uid="{00000000-0005-0000-0000-0000DF440000}"/>
    <cellStyle name="Normal 5 2 2 6 3 2 3 2" xfId="24201" xr:uid="{00000000-0005-0000-0000-00008D5E0000}"/>
    <cellStyle name="Normal 5 2 2 6 3 2 4" xfId="21366" xr:uid="{00000000-0005-0000-0000-00007A530000}"/>
    <cellStyle name="Normal 5 2 2 6 3 2 5" xfId="9393" xr:uid="{00000000-0005-0000-0000-0000B5240000}"/>
    <cellStyle name="Normal 5 2 2 6 3 3" xfId="10131" xr:uid="{00000000-0005-0000-0000-000097270000}"/>
    <cellStyle name="Normal 5 2 2 6 3 3 2" xfId="18359" xr:uid="{00000000-0005-0000-0000-0000BB470000}"/>
    <cellStyle name="Normal 5 2 2 6 3 3 2 2" xfId="24871" xr:uid="{00000000-0005-0000-0000-00002B610000}"/>
    <cellStyle name="Normal 5 2 2 6 3 3 3" xfId="22036" xr:uid="{00000000-0005-0000-0000-000018560000}"/>
    <cellStyle name="Normal 5 2 2 6 3 4" xfId="16950" xr:uid="{00000000-0005-0000-0000-00003A420000}"/>
    <cellStyle name="Normal 5 2 2 6 3 4 2" xfId="23607" xr:uid="{00000000-0005-0000-0000-00003B5C0000}"/>
    <cellStyle name="Normal 5 2 2 6 3 5" xfId="20474" xr:uid="{00000000-0005-0000-0000-0000FE4F0000}"/>
    <cellStyle name="Normal 5 2 2 6 3 6" xfId="8269" xr:uid="{00000000-0005-0000-0000-000051200000}"/>
    <cellStyle name="Normal 5 2 2 6 4" xfId="3264" xr:uid="{00000000-0005-0000-0000-0000C40C0000}"/>
    <cellStyle name="Normal 5 2 2 6 4 2" xfId="4322" xr:uid="{00000000-0005-0000-0000-0000E6100000}"/>
    <cellStyle name="Normal 5 2 2 6 4 3" xfId="8787" xr:uid="{00000000-0005-0000-0000-000057220000}"/>
    <cellStyle name="Normal 5 2 2 6 5" xfId="3715" xr:uid="{00000000-0005-0000-0000-0000870E0000}"/>
    <cellStyle name="Normal 5 2 2 6 5 2" xfId="17941" xr:uid="{00000000-0005-0000-0000-000019460000}"/>
    <cellStyle name="Normal 5 2 2 6 5 2 2" xfId="24453" xr:uid="{00000000-0005-0000-0000-0000895F0000}"/>
    <cellStyle name="Normal 5 2 2 6 5 3" xfId="21618" xr:uid="{00000000-0005-0000-0000-000076540000}"/>
    <cellStyle name="Normal 5 2 2 6 5 4" xfId="9713" xr:uid="{00000000-0005-0000-0000-0000F5250000}"/>
    <cellStyle name="Normal 5 2 2 6 6" xfId="11166" xr:uid="{00000000-0005-0000-0000-0000A22B0000}"/>
    <cellStyle name="Normal 5 2 2 6 6 2" xfId="23053" xr:uid="{00000000-0005-0000-0000-0000115A0000}"/>
    <cellStyle name="Normal 5 2 2 6 7" xfId="20056" xr:uid="{00000000-0005-0000-0000-00005C4E0000}"/>
    <cellStyle name="Normal 5 2 2 6 8" xfId="7825" xr:uid="{00000000-0005-0000-0000-0000951E0000}"/>
    <cellStyle name="Normal 5 2 2 7" xfId="1243" xr:uid="{00000000-0005-0000-0000-0000DF040000}"/>
    <cellStyle name="Normal 5 2 2 7 2" xfId="2388" xr:uid="{00000000-0005-0000-0000-000058090000}"/>
    <cellStyle name="Normal 5 2 2 7 2 2" xfId="3160" xr:uid="{00000000-0005-0000-0000-00005C0C0000}"/>
    <cellStyle name="Normal 5 2 2 7 2 2 2" xfId="4218" xr:uid="{00000000-0005-0000-0000-00007E100000}"/>
    <cellStyle name="Normal 5 2 2 7 2 2 2 2" xfId="18569" xr:uid="{00000000-0005-0000-0000-00008D480000}"/>
    <cellStyle name="Normal 5 2 2 7 2 2 2 2 2" xfId="25081" xr:uid="{00000000-0005-0000-0000-0000FD610000}"/>
    <cellStyle name="Normal 5 2 2 7 2 2 2 3" xfId="22246" xr:uid="{00000000-0005-0000-0000-0000EA560000}"/>
    <cellStyle name="Normal 5 2 2 7 2 2 2 4" xfId="10341" xr:uid="{00000000-0005-0000-0000-000069280000}"/>
    <cellStyle name="Normal 5 2 2 7 2 2 3" xfId="17159" xr:uid="{00000000-0005-0000-0000-00000B430000}"/>
    <cellStyle name="Normal 5 2 2 7 2 2 3 2" xfId="23816" xr:uid="{00000000-0005-0000-0000-00000C5D0000}"/>
    <cellStyle name="Normal 5 2 2 7 2 2 4" xfId="20684" xr:uid="{00000000-0005-0000-0000-0000D0500000}"/>
    <cellStyle name="Normal 5 2 2 7 2 2 5" xfId="8479" xr:uid="{00000000-0005-0000-0000-000023210000}"/>
    <cellStyle name="Normal 5 2 2 7 2 3" xfId="3386" xr:uid="{00000000-0005-0000-0000-00003E0D0000}"/>
    <cellStyle name="Normal 5 2 2 7 2 3 2" xfId="4428" xr:uid="{00000000-0005-0000-0000-000050110000}"/>
    <cellStyle name="Normal 5 2 2 7 2 3 2 2" xfId="18948" xr:uid="{00000000-0005-0000-0000-0000084A0000}"/>
    <cellStyle name="Normal 5 2 2 7 2 3 2 2 2" xfId="25460" xr:uid="{00000000-0005-0000-0000-000078630000}"/>
    <cellStyle name="Normal 5 2 2 7 2 3 2 3" xfId="22625" xr:uid="{00000000-0005-0000-0000-000065580000}"/>
    <cellStyle name="Normal 5 2 2 7 2 3 2 4" xfId="10720" xr:uid="{00000000-0005-0000-0000-0000E4290000}"/>
    <cellStyle name="Normal 5 2 2 7 2 3 3" xfId="17630" xr:uid="{00000000-0005-0000-0000-0000E2440000}"/>
    <cellStyle name="Normal 5 2 2 7 2 3 3 2" xfId="24204" xr:uid="{00000000-0005-0000-0000-0000905E0000}"/>
    <cellStyle name="Normal 5 2 2 7 2 3 4" xfId="21369" xr:uid="{00000000-0005-0000-0000-00007D530000}"/>
    <cellStyle name="Normal 5 2 2 7 2 3 5" xfId="9396" xr:uid="{00000000-0005-0000-0000-0000B8240000}"/>
    <cellStyle name="Normal 5 2 2 7 2 4" xfId="4008" xr:uid="{00000000-0005-0000-0000-0000AC0F0000}"/>
    <cellStyle name="Normal 5 2 2 7 2 4 2" xfId="18151" xr:uid="{00000000-0005-0000-0000-0000EB460000}"/>
    <cellStyle name="Normal 5 2 2 7 2 4 2 2" xfId="24663" xr:uid="{00000000-0005-0000-0000-00005B600000}"/>
    <cellStyle name="Normal 5 2 2 7 2 4 3" xfId="21828" xr:uid="{00000000-0005-0000-0000-000048550000}"/>
    <cellStyle name="Normal 5 2 2 7 2 4 4" xfId="9923" xr:uid="{00000000-0005-0000-0000-0000C7260000}"/>
    <cellStyle name="Normal 5 2 2 7 2 5" xfId="11169" xr:uid="{00000000-0005-0000-0000-0000A52B0000}"/>
    <cellStyle name="Normal 5 2 2 7 2 5 2" xfId="23056" xr:uid="{00000000-0005-0000-0000-0000145A0000}"/>
    <cellStyle name="Normal 5 2 2 7 2 6" xfId="20266" xr:uid="{00000000-0005-0000-0000-00002E4F0000}"/>
    <cellStyle name="Normal 5 2 2 7 2 7" xfId="8060" xr:uid="{00000000-0005-0000-0000-0000801F0000}"/>
    <cellStyle name="Normal 5 2 2 7 3" xfId="3039" xr:uid="{00000000-0005-0000-0000-0000E30B0000}"/>
    <cellStyle name="Normal 5 2 2 7 3 2" xfId="4113" xr:uid="{00000000-0005-0000-0000-000015100000}"/>
    <cellStyle name="Normal 5 2 2 7 3 2 2" xfId="10719" xr:uid="{00000000-0005-0000-0000-0000E3290000}"/>
    <cellStyle name="Normal 5 2 2 7 3 2 2 2" xfId="18947" xr:uid="{00000000-0005-0000-0000-0000074A0000}"/>
    <cellStyle name="Normal 5 2 2 7 3 2 2 2 2" xfId="25459" xr:uid="{00000000-0005-0000-0000-000077630000}"/>
    <cellStyle name="Normal 5 2 2 7 3 2 2 3" xfId="22624" xr:uid="{00000000-0005-0000-0000-000064580000}"/>
    <cellStyle name="Normal 5 2 2 7 3 2 3" xfId="17629" xr:uid="{00000000-0005-0000-0000-0000E1440000}"/>
    <cellStyle name="Normal 5 2 2 7 3 2 3 2" xfId="24203" xr:uid="{00000000-0005-0000-0000-00008F5E0000}"/>
    <cellStyle name="Normal 5 2 2 7 3 2 4" xfId="21368" xr:uid="{00000000-0005-0000-0000-00007C530000}"/>
    <cellStyle name="Normal 5 2 2 7 3 2 5" xfId="9395" xr:uid="{00000000-0005-0000-0000-0000B7240000}"/>
    <cellStyle name="Normal 5 2 2 7 3 3" xfId="10132" xr:uid="{00000000-0005-0000-0000-000098270000}"/>
    <cellStyle name="Normal 5 2 2 7 3 3 2" xfId="18360" xr:uid="{00000000-0005-0000-0000-0000BC470000}"/>
    <cellStyle name="Normal 5 2 2 7 3 3 2 2" xfId="24872" xr:uid="{00000000-0005-0000-0000-00002C610000}"/>
    <cellStyle name="Normal 5 2 2 7 3 3 3" xfId="22037" xr:uid="{00000000-0005-0000-0000-000019560000}"/>
    <cellStyle name="Normal 5 2 2 7 3 4" xfId="16951" xr:uid="{00000000-0005-0000-0000-00003B420000}"/>
    <cellStyle name="Normal 5 2 2 7 3 4 2" xfId="23608" xr:uid="{00000000-0005-0000-0000-00003C5C0000}"/>
    <cellStyle name="Normal 5 2 2 7 3 5" xfId="20475" xr:uid="{00000000-0005-0000-0000-0000FF4F0000}"/>
    <cellStyle name="Normal 5 2 2 7 3 6" xfId="8270" xr:uid="{00000000-0005-0000-0000-000052200000}"/>
    <cellStyle name="Normal 5 2 2 7 4" xfId="3265" xr:uid="{00000000-0005-0000-0000-0000C50C0000}"/>
    <cellStyle name="Normal 5 2 2 7 4 2" xfId="4323" xr:uid="{00000000-0005-0000-0000-0000E7100000}"/>
    <cellStyle name="Normal 5 2 2 7 4 3" xfId="8788" xr:uid="{00000000-0005-0000-0000-000058220000}"/>
    <cellStyle name="Normal 5 2 2 7 5" xfId="3716" xr:uid="{00000000-0005-0000-0000-0000880E0000}"/>
    <cellStyle name="Normal 5 2 2 7 5 2" xfId="17942" xr:uid="{00000000-0005-0000-0000-00001A460000}"/>
    <cellStyle name="Normal 5 2 2 7 5 2 2" xfId="24454" xr:uid="{00000000-0005-0000-0000-00008A5F0000}"/>
    <cellStyle name="Normal 5 2 2 7 5 3" xfId="21619" xr:uid="{00000000-0005-0000-0000-000077540000}"/>
    <cellStyle name="Normal 5 2 2 7 5 4" xfId="9714" xr:uid="{00000000-0005-0000-0000-0000F6250000}"/>
    <cellStyle name="Normal 5 2 2 7 6" xfId="11168" xr:uid="{00000000-0005-0000-0000-0000A42B0000}"/>
    <cellStyle name="Normal 5 2 2 7 6 2" xfId="23055" xr:uid="{00000000-0005-0000-0000-0000135A0000}"/>
    <cellStyle name="Normal 5 2 2 7 7" xfId="20057" xr:uid="{00000000-0005-0000-0000-00005D4E0000}"/>
    <cellStyle name="Normal 5 2 2 7 8" xfId="7826" xr:uid="{00000000-0005-0000-0000-0000961E0000}"/>
    <cellStyle name="Normal 5 2 2 8" xfId="1244" xr:uid="{00000000-0005-0000-0000-0000E0040000}"/>
    <cellStyle name="Normal 5 2 2 8 2" xfId="2389" xr:uid="{00000000-0005-0000-0000-000059090000}"/>
    <cellStyle name="Normal 5 2 2 8 2 2" xfId="3161" xr:uid="{00000000-0005-0000-0000-00005D0C0000}"/>
    <cellStyle name="Normal 5 2 2 8 2 2 2" xfId="4219" xr:uid="{00000000-0005-0000-0000-00007F100000}"/>
    <cellStyle name="Normal 5 2 2 8 2 2 2 2" xfId="18570" xr:uid="{00000000-0005-0000-0000-00008E480000}"/>
    <cellStyle name="Normal 5 2 2 8 2 2 2 2 2" xfId="25082" xr:uid="{00000000-0005-0000-0000-0000FE610000}"/>
    <cellStyle name="Normal 5 2 2 8 2 2 2 3" xfId="22247" xr:uid="{00000000-0005-0000-0000-0000EB560000}"/>
    <cellStyle name="Normal 5 2 2 8 2 2 2 4" xfId="10342" xr:uid="{00000000-0005-0000-0000-00006A280000}"/>
    <cellStyle name="Normal 5 2 2 8 2 2 3" xfId="17160" xr:uid="{00000000-0005-0000-0000-00000C430000}"/>
    <cellStyle name="Normal 5 2 2 8 2 2 3 2" xfId="23817" xr:uid="{00000000-0005-0000-0000-00000D5D0000}"/>
    <cellStyle name="Normal 5 2 2 8 2 2 4" xfId="20685" xr:uid="{00000000-0005-0000-0000-0000D1500000}"/>
    <cellStyle name="Normal 5 2 2 8 2 2 5" xfId="8480" xr:uid="{00000000-0005-0000-0000-000024210000}"/>
    <cellStyle name="Normal 5 2 2 8 2 3" xfId="3387" xr:uid="{00000000-0005-0000-0000-00003F0D0000}"/>
    <cellStyle name="Normal 5 2 2 8 2 3 2" xfId="4429" xr:uid="{00000000-0005-0000-0000-000051110000}"/>
    <cellStyle name="Normal 5 2 2 8 2 3 2 2" xfId="18950" xr:uid="{00000000-0005-0000-0000-00000A4A0000}"/>
    <cellStyle name="Normal 5 2 2 8 2 3 2 2 2" xfId="25462" xr:uid="{00000000-0005-0000-0000-00007A630000}"/>
    <cellStyle name="Normal 5 2 2 8 2 3 2 3" xfId="22627" xr:uid="{00000000-0005-0000-0000-000067580000}"/>
    <cellStyle name="Normal 5 2 2 8 2 3 2 4" xfId="10722" xr:uid="{00000000-0005-0000-0000-0000E6290000}"/>
    <cellStyle name="Normal 5 2 2 8 2 3 3" xfId="17632" xr:uid="{00000000-0005-0000-0000-0000E4440000}"/>
    <cellStyle name="Normal 5 2 2 8 2 3 3 2" xfId="24206" xr:uid="{00000000-0005-0000-0000-0000925E0000}"/>
    <cellStyle name="Normal 5 2 2 8 2 3 4" xfId="21371" xr:uid="{00000000-0005-0000-0000-00007F530000}"/>
    <cellStyle name="Normal 5 2 2 8 2 3 5" xfId="9398" xr:uid="{00000000-0005-0000-0000-0000BA240000}"/>
    <cellStyle name="Normal 5 2 2 8 2 4" xfId="4009" xr:uid="{00000000-0005-0000-0000-0000AD0F0000}"/>
    <cellStyle name="Normal 5 2 2 8 2 4 2" xfId="18152" xr:uid="{00000000-0005-0000-0000-0000EC460000}"/>
    <cellStyle name="Normal 5 2 2 8 2 4 2 2" xfId="24664" xr:uid="{00000000-0005-0000-0000-00005C600000}"/>
    <cellStyle name="Normal 5 2 2 8 2 4 3" xfId="21829" xr:uid="{00000000-0005-0000-0000-000049550000}"/>
    <cellStyle name="Normal 5 2 2 8 2 4 4" xfId="9924" xr:uid="{00000000-0005-0000-0000-0000C8260000}"/>
    <cellStyle name="Normal 5 2 2 8 2 5" xfId="11171" xr:uid="{00000000-0005-0000-0000-0000A72B0000}"/>
    <cellStyle name="Normal 5 2 2 8 2 5 2" xfId="23058" xr:uid="{00000000-0005-0000-0000-0000165A0000}"/>
    <cellStyle name="Normal 5 2 2 8 2 6" xfId="20267" xr:uid="{00000000-0005-0000-0000-00002F4F0000}"/>
    <cellStyle name="Normal 5 2 2 8 2 7" xfId="8061" xr:uid="{00000000-0005-0000-0000-0000811F0000}"/>
    <cellStyle name="Normal 5 2 2 8 3" xfId="3040" xr:uid="{00000000-0005-0000-0000-0000E40B0000}"/>
    <cellStyle name="Normal 5 2 2 8 3 2" xfId="4114" xr:uid="{00000000-0005-0000-0000-000016100000}"/>
    <cellStyle name="Normal 5 2 2 8 3 2 2" xfId="10721" xr:uid="{00000000-0005-0000-0000-0000E5290000}"/>
    <cellStyle name="Normal 5 2 2 8 3 2 2 2" xfId="18949" xr:uid="{00000000-0005-0000-0000-0000094A0000}"/>
    <cellStyle name="Normal 5 2 2 8 3 2 2 2 2" xfId="25461" xr:uid="{00000000-0005-0000-0000-000079630000}"/>
    <cellStyle name="Normal 5 2 2 8 3 2 2 3" xfId="22626" xr:uid="{00000000-0005-0000-0000-000066580000}"/>
    <cellStyle name="Normal 5 2 2 8 3 2 3" xfId="17631" xr:uid="{00000000-0005-0000-0000-0000E3440000}"/>
    <cellStyle name="Normal 5 2 2 8 3 2 3 2" xfId="24205" xr:uid="{00000000-0005-0000-0000-0000915E0000}"/>
    <cellStyle name="Normal 5 2 2 8 3 2 4" xfId="21370" xr:uid="{00000000-0005-0000-0000-00007E530000}"/>
    <cellStyle name="Normal 5 2 2 8 3 2 5" xfId="9397" xr:uid="{00000000-0005-0000-0000-0000B9240000}"/>
    <cellStyle name="Normal 5 2 2 8 3 3" xfId="10133" xr:uid="{00000000-0005-0000-0000-000099270000}"/>
    <cellStyle name="Normal 5 2 2 8 3 3 2" xfId="18361" xr:uid="{00000000-0005-0000-0000-0000BD470000}"/>
    <cellStyle name="Normal 5 2 2 8 3 3 2 2" xfId="24873" xr:uid="{00000000-0005-0000-0000-00002D610000}"/>
    <cellStyle name="Normal 5 2 2 8 3 3 3" xfId="22038" xr:uid="{00000000-0005-0000-0000-00001A560000}"/>
    <cellStyle name="Normal 5 2 2 8 3 4" xfId="16952" xr:uid="{00000000-0005-0000-0000-00003C420000}"/>
    <cellStyle name="Normal 5 2 2 8 3 4 2" xfId="23609" xr:uid="{00000000-0005-0000-0000-00003D5C0000}"/>
    <cellStyle name="Normal 5 2 2 8 3 5" xfId="20476" xr:uid="{00000000-0005-0000-0000-000000500000}"/>
    <cellStyle name="Normal 5 2 2 8 3 6" xfId="8271" xr:uid="{00000000-0005-0000-0000-000053200000}"/>
    <cellStyle name="Normal 5 2 2 8 4" xfId="3266" xr:uid="{00000000-0005-0000-0000-0000C60C0000}"/>
    <cellStyle name="Normal 5 2 2 8 4 2" xfId="4324" xr:uid="{00000000-0005-0000-0000-0000E8100000}"/>
    <cellStyle name="Normal 5 2 2 8 4 3" xfId="8789" xr:uid="{00000000-0005-0000-0000-000059220000}"/>
    <cellStyle name="Normal 5 2 2 8 5" xfId="3717" xr:uid="{00000000-0005-0000-0000-0000890E0000}"/>
    <cellStyle name="Normal 5 2 2 8 5 2" xfId="17943" xr:uid="{00000000-0005-0000-0000-00001B460000}"/>
    <cellStyle name="Normal 5 2 2 8 5 2 2" xfId="24455" xr:uid="{00000000-0005-0000-0000-00008B5F0000}"/>
    <cellStyle name="Normal 5 2 2 8 5 3" xfId="21620" xr:uid="{00000000-0005-0000-0000-000078540000}"/>
    <cellStyle name="Normal 5 2 2 8 5 4" xfId="9715" xr:uid="{00000000-0005-0000-0000-0000F7250000}"/>
    <cellStyle name="Normal 5 2 2 8 6" xfId="11170" xr:uid="{00000000-0005-0000-0000-0000A62B0000}"/>
    <cellStyle name="Normal 5 2 2 8 6 2" xfId="23057" xr:uid="{00000000-0005-0000-0000-0000155A0000}"/>
    <cellStyle name="Normal 5 2 2 8 7" xfId="20058" xr:uid="{00000000-0005-0000-0000-00005E4E0000}"/>
    <cellStyle name="Normal 5 2 2 8 8" xfId="7827" xr:uid="{00000000-0005-0000-0000-0000971E0000}"/>
    <cellStyle name="Normal 5 2 2 9" xfId="1245" xr:uid="{00000000-0005-0000-0000-0000E1040000}"/>
    <cellStyle name="Normal 5 2 2 9 2" xfId="2390" xr:uid="{00000000-0005-0000-0000-00005A090000}"/>
    <cellStyle name="Normal 5 2 2 9 2 2" xfId="3162" xr:uid="{00000000-0005-0000-0000-00005E0C0000}"/>
    <cellStyle name="Normal 5 2 2 9 2 2 2" xfId="4220" xr:uid="{00000000-0005-0000-0000-000080100000}"/>
    <cellStyle name="Normal 5 2 2 9 2 2 2 2" xfId="18571" xr:uid="{00000000-0005-0000-0000-00008F480000}"/>
    <cellStyle name="Normal 5 2 2 9 2 2 2 2 2" xfId="25083" xr:uid="{00000000-0005-0000-0000-0000FF610000}"/>
    <cellStyle name="Normal 5 2 2 9 2 2 2 3" xfId="22248" xr:uid="{00000000-0005-0000-0000-0000EC560000}"/>
    <cellStyle name="Normal 5 2 2 9 2 2 2 4" xfId="10343" xr:uid="{00000000-0005-0000-0000-00006B280000}"/>
    <cellStyle name="Normal 5 2 2 9 2 2 3" xfId="17161" xr:uid="{00000000-0005-0000-0000-00000D430000}"/>
    <cellStyle name="Normal 5 2 2 9 2 2 3 2" xfId="23818" xr:uid="{00000000-0005-0000-0000-00000E5D0000}"/>
    <cellStyle name="Normal 5 2 2 9 2 2 4" xfId="20686" xr:uid="{00000000-0005-0000-0000-0000D2500000}"/>
    <cellStyle name="Normal 5 2 2 9 2 2 5" xfId="8481" xr:uid="{00000000-0005-0000-0000-000025210000}"/>
    <cellStyle name="Normal 5 2 2 9 2 3" xfId="3388" xr:uid="{00000000-0005-0000-0000-0000400D0000}"/>
    <cellStyle name="Normal 5 2 2 9 2 3 2" xfId="4430" xr:uid="{00000000-0005-0000-0000-000052110000}"/>
    <cellStyle name="Normal 5 2 2 9 2 3 2 2" xfId="18952" xr:uid="{00000000-0005-0000-0000-00000C4A0000}"/>
    <cellStyle name="Normal 5 2 2 9 2 3 2 2 2" xfId="25464" xr:uid="{00000000-0005-0000-0000-00007C630000}"/>
    <cellStyle name="Normal 5 2 2 9 2 3 2 3" xfId="22629" xr:uid="{00000000-0005-0000-0000-000069580000}"/>
    <cellStyle name="Normal 5 2 2 9 2 3 2 4" xfId="10724" xr:uid="{00000000-0005-0000-0000-0000E8290000}"/>
    <cellStyle name="Normal 5 2 2 9 2 3 3" xfId="17634" xr:uid="{00000000-0005-0000-0000-0000E6440000}"/>
    <cellStyle name="Normal 5 2 2 9 2 3 3 2" xfId="24208" xr:uid="{00000000-0005-0000-0000-0000945E0000}"/>
    <cellStyle name="Normal 5 2 2 9 2 3 4" xfId="21373" xr:uid="{00000000-0005-0000-0000-000081530000}"/>
    <cellStyle name="Normal 5 2 2 9 2 3 5" xfId="9400" xr:uid="{00000000-0005-0000-0000-0000BC240000}"/>
    <cellStyle name="Normal 5 2 2 9 2 4" xfId="4010" xr:uid="{00000000-0005-0000-0000-0000AE0F0000}"/>
    <cellStyle name="Normal 5 2 2 9 2 4 2" xfId="18153" xr:uid="{00000000-0005-0000-0000-0000ED460000}"/>
    <cellStyle name="Normal 5 2 2 9 2 4 2 2" xfId="24665" xr:uid="{00000000-0005-0000-0000-00005D600000}"/>
    <cellStyle name="Normal 5 2 2 9 2 4 3" xfId="21830" xr:uid="{00000000-0005-0000-0000-00004A550000}"/>
    <cellStyle name="Normal 5 2 2 9 2 4 4" xfId="9925" xr:uid="{00000000-0005-0000-0000-0000C9260000}"/>
    <cellStyle name="Normal 5 2 2 9 2 5" xfId="11173" xr:uid="{00000000-0005-0000-0000-0000A92B0000}"/>
    <cellStyle name="Normal 5 2 2 9 2 5 2" xfId="23060" xr:uid="{00000000-0005-0000-0000-0000185A0000}"/>
    <cellStyle name="Normal 5 2 2 9 2 6" xfId="20268" xr:uid="{00000000-0005-0000-0000-0000304F0000}"/>
    <cellStyle name="Normal 5 2 2 9 2 7" xfId="8062" xr:uid="{00000000-0005-0000-0000-0000821F0000}"/>
    <cellStyle name="Normal 5 2 2 9 3" xfId="3041" xr:uid="{00000000-0005-0000-0000-0000E50B0000}"/>
    <cellStyle name="Normal 5 2 2 9 3 2" xfId="4115" xr:uid="{00000000-0005-0000-0000-000017100000}"/>
    <cellStyle name="Normal 5 2 2 9 3 2 2" xfId="10723" xr:uid="{00000000-0005-0000-0000-0000E7290000}"/>
    <cellStyle name="Normal 5 2 2 9 3 2 2 2" xfId="18951" xr:uid="{00000000-0005-0000-0000-00000B4A0000}"/>
    <cellStyle name="Normal 5 2 2 9 3 2 2 2 2" xfId="25463" xr:uid="{00000000-0005-0000-0000-00007B630000}"/>
    <cellStyle name="Normal 5 2 2 9 3 2 2 3" xfId="22628" xr:uid="{00000000-0005-0000-0000-000068580000}"/>
    <cellStyle name="Normal 5 2 2 9 3 2 3" xfId="17633" xr:uid="{00000000-0005-0000-0000-0000E5440000}"/>
    <cellStyle name="Normal 5 2 2 9 3 2 3 2" xfId="24207" xr:uid="{00000000-0005-0000-0000-0000935E0000}"/>
    <cellStyle name="Normal 5 2 2 9 3 2 4" xfId="21372" xr:uid="{00000000-0005-0000-0000-000080530000}"/>
    <cellStyle name="Normal 5 2 2 9 3 2 5" xfId="9399" xr:uid="{00000000-0005-0000-0000-0000BB240000}"/>
    <cellStyle name="Normal 5 2 2 9 3 3" xfId="10134" xr:uid="{00000000-0005-0000-0000-00009A270000}"/>
    <cellStyle name="Normal 5 2 2 9 3 3 2" xfId="18362" xr:uid="{00000000-0005-0000-0000-0000BE470000}"/>
    <cellStyle name="Normal 5 2 2 9 3 3 2 2" xfId="24874" xr:uid="{00000000-0005-0000-0000-00002E610000}"/>
    <cellStyle name="Normal 5 2 2 9 3 3 3" xfId="22039" xr:uid="{00000000-0005-0000-0000-00001B560000}"/>
    <cellStyle name="Normal 5 2 2 9 3 4" xfId="16953" xr:uid="{00000000-0005-0000-0000-00003D420000}"/>
    <cellStyle name="Normal 5 2 2 9 3 4 2" xfId="23610" xr:uid="{00000000-0005-0000-0000-00003E5C0000}"/>
    <cellStyle name="Normal 5 2 2 9 3 5" xfId="20477" xr:uid="{00000000-0005-0000-0000-000001500000}"/>
    <cellStyle name="Normal 5 2 2 9 3 6" xfId="8272" xr:uid="{00000000-0005-0000-0000-000054200000}"/>
    <cellStyle name="Normal 5 2 2 9 4" xfId="3267" xr:uid="{00000000-0005-0000-0000-0000C70C0000}"/>
    <cellStyle name="Normal 5 2 2 9 4 2" xfId="4325" xr:uid="{00000000-0005-0000-0000-0000E9100000}"/>
    <cellStyle name="Normal 5 2 2 9 4 3" xfId="8790" xr:uid="{00000000-0005-0000-0000-00005A220000}"/>
    <cellStyle name="Normal 5 2 2 9 5" xfId="3718" xr:uid="{00000000-0005-0000-0000-00008A0E0000}"/>
    <cellStyle name="Normal 5 2 2 9 5 2" xfId="17944" xr:uid="{00000000-0005-0000-0000-00001C460000}"/>
    <cellStyle name="Normal 5 2 2 9 5 2 2" xfId="24456" xr:uid="{00000000-0005-0000-0000-00008C5F0000}"/>
    <cellStyle name="Normal 5 2 2 9 5 3" xfId="21621" xr:uid="{00000000-0005-0000-0000-000079540000}"/>
    <cellStyle name="Normal 5 2 2 9 5 4" xfId="9716" xr:uid="{00000000-0005-0000-0000-0000F8250000}"/>
    <cellStyle name="Normal 5 2 2 9 6" xfId="11172" xr:uid="{00000000-0005-0000-0000-0000A82B0000}"/>
    <cellStyle name="Normal 5 2 2 9 6 2" xfId="23059" xr:uid="{00000000-0005-0000-0000-0000175A0000}"/>
    <cellStyle name="Normal 5 2 2 9 7" xfId="20059" xr:uid="{00000000-0005-0000-0000-00005F4E0000}"/>
    <cellStyle name="Normal 5 2 2 9 8" xfId="7828" xr:uid="{00000000-0005-0000-0000-0000981E0000}"/>
    <cellStyle name="Normal 5 2 3" xfId="1246" xr:uid="{00000000-0005-0000-0000-0000E2040000}"/>
    <cellStyle name="Normal 5 2 3 2" xfId="2391" xr:uid="{00000000-0005-0000-0000-00005B090000}"/>
    <cellStyle name="Normal 5 2 3 3" xfId="7956" xr:uid="{00000000-0005-0000-0000-0000181F0000}"/>
    <cellStyle name="Normal 5 2 3 3 2" xfId="8375" xr:uid="{00000000-0005-0000-0000-0000BB200000}"/>
    <cellStyle name="Normal 5 2 3 3 2 2" xfId="10237" xr:uid="{00000000-0005-0000-0000-000001280000}"/>
    <cellStyle name="Normal 5 2 3 3 2 2 2" xfId="18465" xr:uid="{00000000-0005-0000-0000-000025480000}"/>
    <cellStyle name="Normal 5 2 3 3 2 2 2 2" xfId="24977" xr:uid="{00000000-0005-0000-0000-000095610000}"/>
    <cellStyle name="Normal 5 2 3 3 2 2 3" xfId="22142" xr:uid="{00000000-0005-0000-0000-000082560000}"/>
    <cellStyle name="Normal 5 2 3 3 2 3" xfId="17055" xr:uid="{00000000-0005-0000-0000-0000A3420000}"/>
    <cellStyle name="Normal 5 2 3 3 2 3 2" xfId="23712" xr:uid="{00000000-0005-0000-0000-0000A45C0000}"/>
    <cellStyle name="Normal 5 2 3 3 2 4" xfId="20580" xr:uid="{00000000-0005-0000-0000-000068500000}"/>
    <cellStyle name="Normal 5 2 3 3 3" xfId="9402" xr:uid="{00000000-0005-0000-0000-0000BE240000}"/>
    <cellStyle name="Normal 5 2 3 3 3 2" xfId="10726" xr:uid="{00000000-0005-0000-0000-0000EA290000}"/>
    <cellStyle name="Normal 5 2 3 3 3 2 2" xfId="18954" xr:uid="{00000000-0005-0000-0000-00000E4A0000}"/>
    <cellStyle name="Normal 5 2 3 3 3 2 2 2" xfId="25466" xr:uid="{00000000-0005-0000-0000-00007E630000}"/>
    <cellStyle name="Normal 5 2 3 3 3 2 3" xfId="22631" xr:uid="{00000000-0005-0000-0000-00006B580000}"/>
    <cellStyle name="Normal 5 2 3 3 3 3" xfId="17636" xr:uid="{00000000-0005-0000-0000-0000E8440000}"/>
    <cellStyle name="Normal 5 2 3 3 3 3 2" xfId="24210" xr:uid="{00000000-0005-0000-0000-0000965E0000}"/>
    <cellStyle name="Normal 5 2 3 3 3 4" xfId="21375" xr:uid="{00000000-0005-0000-0000-000083530000}"/>
    <cellStyle name="Normal 5 2 3 3 4" xfId="9819" xr:uid="{00000000-0005-0000-0000-00005F260000}"/>
    <cellStyle name="Normal 5 2 3 3 4 2" xfId="18047" xr:uid="{00000000-0005-0000-0000-000083460000}"/>
    <cellStyle name="Normal 5 2 3 3 4 2 2" xfId="24559" xr:uid="{00000000-0005-0000-0000-0000F35F0000}"/>
    <cellStyle name="Normal 5 2 3 3 4 3" xfId="21724" xr:uid="{00000000-0005-0000-0000-0000E0540000}"/>
    <cellStyle name="Normal 5 2 3 3 5" xfId="11174" xr:uid="{00000000-0005-0000-0000-0000AA2B0000}"/>
    <cellStyle name="Normal 5 2 3 3 5 2" xfId="23061" xr:uid="{00000000-0005-0000-0000-0000195A0000}"/>
    <cellStyle name="Normal 5 2 3 3 6" xfId="20162" xr:uid="{00000000-0005-0000-0000-0000C64E0000}"/>
    <cellStyle name="Normal 5 2 3 4" xfId="8166" xr:uid="{00000000-0005-0000-0000-0000EA1F0000}"/>
    <cellStyle name="Normal 5 2 3 4 2" xfId="9401" xr:uid="{00000000-0005-0000-0000-0000BD240000}"/>
    <cellStyle name="Normal 5 2 3 4 2 2" xfId="10725" xr:uid="{00000000-0005-0000-0000-0000E9290000}"/>
    <cellStyle name="Normal 5 2 3 4 2 2 2" xfId="18953" xr:uid="{00000000-0005-0000-0000-00000D4A0000}"/>
    <cellStyle name="Normal 5 2 3 4 2 2 2 2" xfId="25465" xr:uid="{00000000-0005-0000-0000-00007D630000}"/>
    <cellStyle name="Normal 5 2 3 4 2 2 3" xfId="22630" xr:uid="{00000000-0005-0000-0000-00006A580000}"/>
    <cellStyle name="Normal 5 2 3 4 2 3" xfId="17635" xr:uid="{00000000-0005-0000-0000-0000E7440000}"/>
    <cellStyle name="Normal 5 2 3 4 2 3 2" xfId="24209" xr:uid="{00000000-0005-0000-0000-0000955E0000}"/>
    <cellStyle name="Normal 5 2 3 4 2 4" xfId="21374" xr:uid="{00000000-0005-0000-0000-000082530000}"/>
    <cellStyle name="Normal 5 2 3 4 3" xfId="10028" xr:uid="{00000000-0005-0000-0000-000030270000}"/>
    <cellStyle name="Normal 5 2 3 4 3 2" xfId="18256" xr:uid="{00000000-0005-0000-0000-000054470000}"/>
    <cellStyle name="Normal 5 2 3 4 3 2 2" xfId="24768" xr:uid="{00000000-0005-0000-0000-0000C4600000}"/>
    <cellStyle name="Normal 5 2 3 4 3 3" xfId="21933" xr:uid="{00000000-0005-0000-0000-0000B1550000}"/>
    <cellStyle name="Normal 5 2 3 4 4" xfId="11175" xr:uid="{00000000-0005-0000-0000-0000AB2B0000}"/>
    <cellStyle name="Normal 5 2 3 4 4 2" xfId="23062" xr:uid="{00000000-0005-0000-0000-00001A5A0000}"/>
    <cellStyle name="Normal 5 2 3 4 5" xfId="20371" xr:uid="{00000000-0005-0000-0000-0000974F0000}"/>
    <cellStyle name="Normal 5 2 3 5" xfId="9610" xr:uid="{00000000-0005-0000-0000-00008E250000}"/>
    <cellStyle name="Normal 5 2 3 5 2" xfId="17838" xr:uid="{00000000-0005-0000-0000-0000B2450000}"/>
    <cellStyle name="Normal 5 2 3 5 2 2" xfId="24350" xr:uid="{00000000-0005-0000-0000-0000225F0000}"/>
    <cellStyle name="Normal 5 2 3 5 3" xfId="21515" xr:uid="{00000000-0005-0000-0000-00000F540000}"/>
    <cellStyle name="Normal 5 2 3 6" xfId="19727" xr:uid="{00000000-0005-0000-0000-0000134D0000}"/>
    <cellStyle name="Normal 5 2 3 7" xfId="6441" xr:uid="{00000000-0005-0000-0000-00002D190000}"/>
    <cellStyle name="Normal 5 2 4" xfId="1247" xr:uid="{00000000-0005-0000-0000-0000E3040000}"/>
    <cellStyle name="Normal 5 2 4 2" xfId="2392" xr:uid="{00000000-0005-0000-0000-00005C090000}"/>
    <cellStyle name="Normal 5 2 5" xfId="1248" xr:uid="{00000000-0005-0000-0000-0000E4040000}"/>
    <cellStyle name="Normal 5 2 5 2" xfId="2393" xr:uid="{00000000-0005-0000-0000-00005D090000}"/>
    <cellStyle name="Normal 5 2 6" xfId="1249" xr:uid="{00000000-0005-0000-0000-0000E5040000}"/>
    <cellStyle name="Normal 5 2 6 2" xfId="2394" xr:uid="{00000000-0005-0000-0000-00005E090000}"/>
    <cellStyle name="Normal 5 2 7" xfId="1250" xr:uid="{00000000-0005-0000-0000-0000E6040000}"/>
    <cellStyle name="Normal 5 2 7 2" xfId="2395" xr:uid="{00000000-0005-0000-0000-00005F090000}"/>
    <cellStyle name="Normal 5 2 8" xfId="1251" xr:uid="{00000000-0005-0000-0000-0000E7040000}"/>
    <cellStyle name="Normal 5 2 8 2" xfId="2396" xr:uid="{00000000-0005-0000-0000-000060090000}"/>
    <cellStyle name="Normal 5 2 9" xfId="1252" xr:uid="{00000000-0005-0000-0000-0000E8040000}"/>
    <cellStyle name="Normal 5 2 9 2" xfId="2397" xr:uid="{00000000-0005-0000-0000-000061090000}"/>
    <cellStyle name="Normal 5 3" xfId="136" xr:uid="{00000000-0005-0000-0000-00008C000000}"/>
    <cellStyle name="Normal 5 3 10" xfId="1253" xr:uid="{00000000-0005-0000-0000-0000E9040000}"/>
    <cellStyle name="Normal 5 3 10 2" xfId="12763" xr:uid="{00000000-0005-0000-0000-0000DF310000}"/>
    <cellStyle name="Normal 5 3 10 2 2" xfId="23139" xr:uid="{00000000-0005-0000-0000-0000675A0000}"/>
    <cellStyle name="Normal 5 3 10 3" xfId="8885" xr:uid="{00000000-0005-0000-0000-0000B9220000}"/>
    <cellStyle name="Normal 5 3 2" xfId="1254" xr:uid="{00000000-0005-0000-0000-0000EA040000}"/>
    <cellStyle name="Normal 5 3 2 2" xfId="2399" xr:uid="{00000000-0005-0000-0000-000063090000}"/>
    <cellStyle name="Normal 5 3 2 3" xfId="9403" xr:uid="{00000000-0005-0000-0000-0000BF240000}"/>
    <cellStyle name="Normal 5 3 2 4" xfId="6442" xr:uid="{00000000-0005-0000-0000-00002E190000}"/>
    <cellStyle name="Normal 5 3 3" xfId="1255" xr:uid="{00000000-0005-0000-0000-0000EB040000}"/>
    <cellStyle name="Normal 5 3 3 2" xfId="2400" xr:uid="{00000000-0005-0000-0000-000064090000}"/>
    <cellStyle name="Normal 5 3 3 3" xfId="7957" xr:uid="{00000000-0005-0000-0000-0000191F0000}"/>
    <cellStyle name="Normal 5 3 3 3 2" xfId="8376" xr:uid="{00000000-0005-0000-0000-0000BC200000}"/>
    <cellStyle name="Normal 5 3 3 3 2 2" xfId="10238" xr:uid="{00000000-0005-0000-0000-000002280000}"/>
    <cellStyle name="Normal 5 3 3 3 2 2 2" xfId="18466" xr:uid="{00000000-0005-0000-0000-000026480000}"/>
    <cellStyle name="Normal 5 3 3 3 2 2 2 2" xfId="24978" xr:uid="{00000000-0005-0000-0000-000096610000}"/>
    <cellStyle name="Normal 5 3 3 3 2 2 3" xfId="22143" xr:uid="{00000000-0005-0000-0000-000083560000}"/>
    <cellStyle name="Normal 5 3 3 3 2 3" xfId="17056" xr:uid="{00000000-0005-0000-0000-0000A4420000}"/>
    <cellStyle name="Normal 5 3 3 3 2 3 2" xfId="23713" xr:uid="{00000000-0005-0000-0000-0000A55C0000}"/>
    <cellStyle name="Normal 5 3 3 3 2 4" xfId="20581" xr:uid="{00000000-0005-0000-0000-000069500000}"/>
    <cellStyle name="Normal 5 3 3 3 3" xfId="9405" xr:uid="{00000000-0005-0000-0000-0000C1240000}"/>
    <cellStyle name="Normal 5 3 3 3 3 2" xfId="10728" xr:uid="{00000000-0005-0000-0000-0000EC290000}"/>
    <cellStyle name="Normal 5 3 3 3 3 2 2" xfId="18956" xr:uid="{00000000-0005-0000-0000-0000104A0000}"/>
    <cellStyle name="Normal 5 3 3 3 3 2 2 2" xfId="25468" xr:uid="{00000000-0005-0000-0000-000080630000}"/>
    <cellStyle name="Normal 5 3 3 3 3 2 3" xfId="22633" xr:uid="{00000000-0005-0000-0000-00006D580000}"/>
    <cellStyle name="Normal 5 3 3 3 3 3" xfId="17638" xr:uid="{00000000-0005-0000-0000-0000EA440000}"/>
    <cellStyle name="Normal 5 3 3 3 3 3 2" xfId="24212" xr:uid="{00000000-0005-0000-0000-0000985E0000}"/>
    <cellStyle name="Normal 5 3 3 3 3 4" xfId="21377" xr:uid="{00000000-0005-0000-0000-000085530000}"/>
    <cellStyle name="Normal 5 3 3 3 4" xfId="9820" xr:uid="{00000000-0005-0000-0000-000060260000}"/>
    <cellStyle name="Normal 5 3 3 3 4 2" xfId="18048" xr:uid="{00000000-0005-0000-0000-000084460000}"/>
    <cellStyle name="Normal 5 3 3 3 4 2 2" xfId="24560" xr:uid="{00000000-0005-0000-0000-0000F45F0000}"/>
    <cellStyle name="Normal 5 3 3 3 4 3" xfId="21725" xr:uid="{00000000-0005-0000-0000-0000E1540000}"/>
    <cellStyle name="Normal 5 3 3 3 5" xfId="11176" xr:uid="{00000000-0005-0000-0000-0000AC2B0000}"/>
    <cellStyle name="Normal 5 3 3 3 5 2" xfId="23063" xr:uid="{00000000-0005-0000-0000-00001B5A0000}"/>
    <cellStyle name="Normal 5 3 3 3 6" xfId="20163" xr:uid="{00000000-0005-0000-0000-0000C74E0000}"/>
    <cellStyle name="Normal 5 3 3 4" xfId="8167" xr:uid="{00000000-0005-0000-0000-0000EB1F0000}"/>
    <cellStyle name="Normal 5 3 3 4 2" xfId="9404" xr:uid="{00000000-0005-0000-0000-0000C0240000}"/>
    <cellStyle name="Normal 5 3 3 4 2 2" xfId="10727" xr:uid="{00000000-0005-0000-0000-0000EB290000}"/>
    <cellStyle name="Normal 5 3 3 4 2 2 2" xfId="18955" xr:uid="{00000000-0005-0000-0000-00000F4A0000}"/>
    <cellStyle name="Normal 5 3 3 4 2 2 2 2" xfId="25467" xr:uid="{00000000-0005-0000-0000-00007F630000}"/>
    <cellStyle name="Normal 5 3 3 4 2 2 3" xfId="22632" xr:uid="{00000000-0005-0000-0000-00006C580000}"/>
    <cellStyle name="Normal 5 3 3 4 2 3" xfId="17637" xr:uid="{00000000-0005-0000-0000-0000E9440000}"/>
    <cellStyle name="Normal 5 3 3 4 2 3 2" xfId="24211" xr:uid="{00000000-0005-0000-0000-0000975E0000}"/>
    <cellStyle name="Normal 5 3 3 4 2 4" xfId="21376" xr:uid="{00000000-0005-0000-0000-000084530000}"/>
    <cellStyle name="Normal 5 3 3 4 3" xfId="10029" xr:uid="{00000000-0005-0000-0000-000031270000}"/>
    <cellStyle name="Normal 5 3 3 4 3 2" xfId="18257" xr:uid="{00000000-0005-0000-0000-000055470000}"/>
    <cellStyle name="Normal 5 3 3 4 3 2 2" xfId="24769" xr:uid="{00000000-0005-0000-0000-0000C5600000}"/>
    <cellStyle name="Normal 5 3 3 4 3 3" xfId="21934" xr:uid="{00000000-0005-0000-0000-0000B2550000}"/>
    <cellStyle name="Normal 5 3 3 4 4" xfId="11177" xr:uid="{00000000-0005-0000-0000-0000AD2B0000}"/>
    <cellStyle name="Normal 5 3 3 4 4 2" xfId="23064" xr:uid="{00000000-0005-0000-0000-00001C5A0000}"/>
    <cellStyle name="Normal 5 3 3 4 5" xfId="20372" xr:uid="{00000000-0005-0000-0000-0000984F0000}"/>
    <cellStyle name="Normal 5 3 3 5" xfId="9611" xr:uid="{00000000-0005-0000-0000-00008F250000}"/>
    <cellStyle name="Normal 5 3 3 5 2" xfId="17839" xr:uid="{00000000-0005-0000-0000-0000B3450000}"/>
    <cellStyle name="Normal 5 3 3 5 2 2" xfId="24351" xr:uid="{00000000-0005-0000-0000-0000235F0000}"/>
    <cellStyle name="Normal 5 3 3 5 3" xfId="21516" xr:uid="{00000000-0005-0000-0000-000010540000}"/>
    <cellStyle name="Normal 5 3 3 6" xfId="19728" xr:uid="{00000000-0005-0000-0000-0000144D0000}"/>
    <cellStyle name="Normal 5 3 3 7" xfId="6443" xr:uid="{00000000-0005-0000-0000-00002F190000}"/>
    <cellStyle name="Normal 5 3 4" xfId="1256" xr:uid="{00000000-0005-0000-0000-0000EC040000}"/>
    <cellStyle name="Normal 5 3 4 2" xfId="2401" xr:uid="{00000000-0005-0000-0000-000065090000}"/>
    <cellStyle name="Normal 5 3 5" xfId="1257" xr:uid="{00000000-0005-0000-0000-0000ED040000}"/>
    <cellStyle name="Normal 5 3 5 2" xfId="2402" xr:uid="{00000000-0005-0000-0000-000066090000}"/>
    <cellStyle name="Normal 5 3 6" xfId="1258" xr:uid="{00000000-0005-0000-0000-0000EE040000}"/>
    <cellStyle name="Normal 5 3 6 2" xfId="2403" xr:uid="{00000000-0005-0000-0000-000067090000}"/>
    <cellStyle name="Normal 5 3 7" xfId="1259" xr:uid="{00000000-0005-0000-0000-0000EF040000}"/>
    <cellStyle name="Normal 5 3 7 2" xfId="2404" xr:uid="{00000000-0005-0000-0000-000068090000}"/>
    <cellStyle name="Normal 5 3 8" xfId="1260" xr:uid="{00000000-0005-0000-0000-0000F0040000}"/>
    <cellStyle name="Normal 5 3 8 2" xfId="2405" xr:uid="{00000000-0005-0000-0000-000069090000}"/>
    <cellStyle name="Normal 5 3 9" xfId="2398" xr:uid="{00000000-0005-0000-0000-000062090000}"/>
    <cellStyle name="Normal 5 4" xfId="137" xr:uid="{00000000-0005-0000-0000-00008D000000}"/>
    <cellStyle name="Normal 5 4 10" xfId="1261" xr:uid="{00000000-0005-0000-0000-0000F1040000}"/>
    <cellStyle name="Normal 5 4 2" xfId="1262" xr:uid="{00000000-0005-0000-0000-0000F2040000}"/>
    <cellStyle name="Normal 5 4 2 2" xfId="2407" xr:uid="{00000000-0005-0000-0000-00006B090000}"/>
    <cellStyle name="Normal 5 4 3" xfId="1263" xr:uid="{00000000-0005-0000-0000-0000F3040000}"/>
    <cellStyle name="Normal 5 4 3 2" xfId="2408" xr:uid="{00000000-0005-0000-0000-00006C090000}"/>
    <cellStyle name="Normal 5 4 4" xfId="1264" xr:uid="{00000000-0005-0000-0000-0000F4040000}"/>
    <cellStyle name="Normal 5 4 4 2" xfId="2409" xr:uid="{00000000-0005-0000-0000-00006D090000}"/>
    <cellStyle name="Normal 5 4 5" xfId="1265" xr:uid="{00000000-0005-0000-0000-0000F5040000}"/>
    <cellStyle name="Normal 5 4 5 2" xfId="2410" xr:uid="{00000000-0005-0000-0000-00006E090000}"/>
    <cellStyle name="Normal 5 4 6" xfId="1266" xr:uid="{00000000-0005-0000-0000-0000F6040000}"/>
    <cellStyle name="Normal 5 4 6 2" xfId="2411" xr:uid="{00000000-0005-0000-0000-00006F090000}"/>
    <cellStyle name="Normal 5 4 7" xfId="1267" xr:uid="{00000000-0005-0000-0000-0000F7040000}"/>
    <cellStyle name="Normal 5 4 7 2" xfId="2412" xr:uid="{00000000-0005-0000-0000-000070090000}"/>
    <cellStyle name="Normal 5 4 8" xfId="1268" xr:uid="{00000000-0005-0000-0000-0000F8040000}"/>
    <cellStyle name="Normal 5 4 8 2" xfId="2413" xr:uid="{00000000-0005-0000-0000-000071090000}"/>
    <cellStyle name="Normal 5 4 9" xfId="2406" xr:uid="{00000000-0005-0000-0000-00006A090000}"/>
    <cellStyle name="Normal 5 5" xfId="1269" xr:uid="{00000000-0005-0000-0000-0000F9040000}"/>
    <cellStyle name="Normal 5 5 10" xfId="7892" xr:uid="{00000000-0005-0000-0000-0000D81E0000}"/>
    <cellStyle name="Normal 5 5 10 2" xfId="8314" xr:uid="{00000000-0005-0000-0000-00007E200000}"/>
    <cellStyle name="Normal 5 5 10 2 2" xfId="10176" xr:uid="{00000000-0005-0000-0000-0000C4270000}"/>
    <cellStyle name="Normal 5 5 10 2 2 2" xfId="18404" xr:uid="{00000000-0005-0000-0000-0000E8470000}"/>
    <cellStyle name="Normal 5 5 10 2 2 2 2" xfId="24916" xr:uid="{00000000-0005-0000-0000-000058610000}"/>
    <cellStyle name="Normal 5 5 10 2 2 3" xfId="22081" xr:uid="{00000000-0005-0000-0000-000045560000}"/>
    <cellStyle name="Normal 5 5 10 2 3" xfId="16994" xr:uid="{00000000-0005-0000-0000-000066420000}"/>
    <cellStyle name="Normal 5 5 10 2 3 2" xfId="23651" xr:uid="{00000000-0005-0000-0000-0000675C0000}"/>
    <cellStyle name="Normal 5 5 10 2 4" xfId="20519" xr:uid="{00000000-0005-0000-0000-00002B500000}"/>
    <cellStyle name="Normal 5 5 10 3" xfId="9406" xr:uid="{00000000-0005-0000-0000-0000C2240000}"/>
    <cellStyle name="Normal 5 5 10 3 2" xfId="10729" xr:uid="{00000000-0005-0000-0000-0000ED290000}"/>
    <cellStyle name="Normal 5 5 10 3 2 2" xfId="18957" xr:uid="{00000000-0005-0000-0000-0000114A0000}"/>
    <cellStyle name="Normal 5 5 10 3 2 2 2" xfId="25469" xr:uid="{00000000-0005-0000-0000-000081630000}"/>
    <cellStyle name="Normal 5 5 10 3 2 3" xfId="22634" xr:uid="{00000000-0005-0000-0000-00006E580000}"/>
    <cellStyle name="Normal 5 5 10 3 3" xfId="17639" xr:uid="{00000000-0005-0000-0000-0000EB440000}"/>
    <cellStyle name="Normal 5 5 10 3 3 2" xfId="24213" xr:uid="{00000000-0005-0000-0000-0000995E0000}"/>
    <cellStyle name="Normal 5 5 10 3 4" xfId="21378" xr:uid="{00000000-0005-0000-0000-000086530000}"/>
    <cellStyle name="Normal 5 5 10 4" xfId="9758" xr:uid="{00000000-0005-0000-0000-000022260000}"/>
    <cellStyle name="Normal 5 5 10 4 2" xfId="17986" xr:uid="{00000000-0005-0000-0000-000046460000}"/>
    <cellStyle name="Normal 5 5 10 4 2 2" xfId="24498" xr:uid="{00000000-0005-0000-0000-0000B65F0000}"/>
    <cellStyle name="Normal 5 5 10 4 3" xfId="21663" xr:uid="{00000000-0005-0000-0000-0000A3540000}"/>
    <cellStyle name="Normal 5 5 10 5" xfId="11178" xr:uid="{00000000-0005-0000-0000-0000AE2B0000}"/>
    <cellStyle name="Normal 5 5 10 5 2" xfId="23065" xr:uid="{00000000-0005-0000-0000-00001D5A0000}"/>
    <cellStyle name="Normal 5 5 10 6" xfId="20101" xr:uid="{00000000-0005-0000-0000-0000894E0000}"/>
    <cellStyle name="Normal 5 5 11" xfId="8105" xr:uid="{00000000-0005-0000-0000-0000AD1F0000}"/>
    <cellStyle name="Normal 5 5 11 2" xfId="8886" xr:uid="{00000000-0005-0000-0000-0000BA220000}"/>
    <cellStyle name="Normal 5 5 11 2 2" xfId="10387" xr:uid="{00000000-0005-0000-0000-000097280000}"/>
    <cellStyle name="Normal 5 5 11 2 2 2" xfId="18615" xr:uid="{00000000-0005-0000-0000-0000BB480000}"/>
    <cellStyle name="Normal 5 5 11 2 2 2 2" xfId="25127" xr:uid="{00000000-0005-0000-0000-00002B620000}"/>
    <cellStyle name="Normal 5 5 11 2 2 3" xfId="22292" xr:uid="{00000000-0005-0000-0000-000018570000}"/>
    <cellStyle name="Normal 5 5 11 2 3" xfId="17259" xr:uid="{00000000-0005-0000-0000-00006F430000}"/>
    <cellStyle name="Normal 5 5 11 2 3 2" xfId="23869" xr:uid="{00000000-0005-0000-0000-0000415D0000}"/>
    <cellStyle name="Normal 5 5 11 2 4" xfId="20951" xr:uid="{00000000-0005-0000-0000-0000DB510000}"/>
    <cellStyle name="Normal 5 5 11 3" xfId="9967" xr:uid="{00000000-0005-0000-0000-0000F3260000}"/>
    <cellStyle name="Normal 5 5 11 3 2" xfId="18195" xr:uid="{00000000-0005-0000-0000-000017470000}"/>
    <cellStyle name="Normal 5 5 11 3 2 2" xfId="24707" xr:uid="{00000000-0005-0000-0000-000087600000}"/>
    <cellStyle name="Normal 5 5 11 3 3" xfId="21872" xr:uid="{00000000-0005-0000-0000-000074550000}"/>
    <cellStyle name="Normal 5 5 11 4" xfId="11179" xr:uid="{00000000-0005-0000-0000-0000AF2B0000}"/>
    <cellStyle name="Normal 5 5 11 4 2" xfId="23066" xr:uid="{00000000-0005-0000-0000-00001E5A0000}"/>
    <cellStyle name="Normal 5 5 11 5" xfId="20310" xr:uid="{00000000-0005-0000-0000-00005A4F0000}"/>
    <cellStyle name="Normal 5 5 12" xfId="9549" xr:uid="{00000000-0005-0000-0000-000051250000}"/>
    <cellStyle name="Normal 5 5 12 2" xfId="17777" xr:uid="{00000000-0005-0000-0000-000075450000}"/>
    <cellStyle name="Normal 5 5 12 2 2" xfId="24289" xr:uid="{00000000-0005-0000-0000-0000E55E0000}"/>
    <cellStyle name="Normal 5 5 12 3" xfId="21454" xr:uid="{00000000-0005-0000-0000-0000D2530000}"/>
    <cellStyle name="Normal 5 5 13" xfId="19615" xr:uid="{00000000-0005-0000-0000-0000A34C0000}"/>
    <cellStyle name="Normal 5 5 14" xfId="4524" xr:uid="{00000000-0005-0000-0000-0000B0110000}"/>
    <cellStyle name="Normal 5 5 2" xfId="1270" xr:uid="{00000000-0005-0000-0000-0000FA040000}"/>
    <cellStyle name="Normal 5 5 2 2" xfId="2415" xr:uid="{00000000-0005-0000-0000-000073090000}"/>
    <cellStyle name="Normal 5 5 2 2 2" xfId="7959" xr:uid="{00000000-0005-0000-0000-00001B1F0000}"/>
    <cellStyle name="Normal 5 5 2 2 2 2" xfId="8378" xr:uid="{00000000-0005-0000-0000-0000BE200000}"/>
    <cellStyle name="Normal 5 5 2 2 2 2 2" xfId="10240" xr:uid="{00000000-0005-0000-0000-000004280000}"/>
    <cellStyle name="Normal 5 5 2 2 2 2 2 2" xfId="18468" xr:uid="{00000000-0005-0000-0000-000028480000}"/>
    <cellStyle name="Normal 5 5 2 2 2 2 2 2 2" xfId="24980" xr:uid="{00000000-0005-0000-0000-000098610000}"/>
    <cellStyle name="Normal 5 5 2 2 2 2 2 3" xfId="22145" xr:uid="{00000000-0005-0000-0000-000085560000}"/>
    <cellStyle name="Normal 5 5 2 2 2 2 3" xfId="17058" xr:uid="{00000000-0005-0000-0000-0000A6420000}"/>
    <cellStyle name="Normal 5 5 2 2 2 2 3 2" xfId="23715" xr:uid="{00000000-0005-0000-0000-0000A75C0000}"/>
    <cellStyle name="Normal 5 5 2 2 2 2 4" xfId="20583" xr:uid="{00000000-0005-0000-0000-00006B500000}"/>
    <cellStyle name="Normal 5 5 2 2 2 3" xfId="9409" xr:uid="{00000000-0005-0000-0000-0000C5240000}"/>
    <cellStyle name="Normal 5 5 2 2 2 3 2" xfId="10732" xr:uid="{00000000-0005-0000-0000-0000F0290000}"/>
    <cellStyle name="Normal 5 5 2 2 2 3 2 2" xfId="18960" xr:uid="{00000000-0005-0000-0000-0000144A0000}"/>
    <cellStyle name="Normal 5 5 2 2 2 3 2 2 2" xfId="25472" xr:uid="{00000000-0005-0000-0000-000084630000}"/>
    <cellStyle name="Normal 5 5 2 2 2 3 2 3" xfId="22637" xr:uid="{00000000-0005-0000-0000-000071580000}"/>
    <cellStyle name="Normal 5 5 2 2 2 3 3" xfId="17642" xr:uid="{00000000-0005-0000-0000-0000EE440000}"/>
    <cellStyle name="Normal 5 5 2 2 2 3 3 2" xfId="24216" xr:uid="{00000000-0005-0000-0000-00009C5E0000}"/>
    <cellStyle name="Normal 5 5 2 2 2 3 4" xfId="21381" xr:uid="{00000000-0005-0000-0000-000089530000}"/>
    <cellStyle name="Normal 5 5 2 2 2 4" xfId="9822" xr:uid="{00000000-0005-0000-0000-000062260000}"/>
    <cellStyle name="Normal 5 5 2 2 2 4 2" xfId="18050" xr:uid="{00000000-0005-0000-0000-000086460000}"/>
    <cellStyle name="Normal 5 5 2 2 2 4 2 2" xfId="24562" xr:uid="{00000000-0005-0000-0000-0000F65F0000}"/>
    <cellStyle name="Normal 5 5 2 2 2 4 3" xfId="21727" xr:uid="{00000000-0005-0000-0000-0000E3540000}"/>
    <cellStyle name="Normal 5 5 2 2 2 5" xfId="11181" xr:uid="{00000000-0005-0000-0000-0000B12B0000}"/>
    <cellStyle name="Normal 5 5 2 2 2 5 2" xfId="23068" xr:uid="{00000000-0005-0000-0000-0000205A0000}"/>
    <cellStyle name="Normal 5 5 2 2 2 6" xfId="20165" xr:uid="{00000000-0005-0000-0000-0000C94E0000}"/>
    <cellStyle name="Normal 5 5 2 2 3" xfId="8169" xr:uid="{00000000-0005-0000-0000-0000ED1F0000}"/>
    <cellStyle name="Normal 5 5 2 2 3 2" xfId="10031" xr:uid="{00000000-0005-0000-0000-000033270000}"/>
    <cellStyle name="Normal 5 5 2 2 3 2 2" xfId="18259" xr:uid="{00000000-0005-0000-0000-000057470000}"/>
    <cellStyle name="Normal 5 5 2 2 3 2 2 2" xfId="24771" xr:uid="{00000000-0005-0000-0000-0000C7600000}"/>
    <cellStyle name="Normal 5 5 2 2 3 2 3" xfId="21936" xr:uid="{00000000-0005-0000-0000-0000B4550000}"/>
    <cellStyle name="Normal 5 5 2 2 3 3" xfId="16851" xr:uid="{00000000-0005-0000-0000-0000D7410000}"/>
    <cellStyle name="Normal 5 5 2 2 3 3 2" xfId="23509" xr:uid="{00000000-0005-0000-0000-0000D95B0000}"/>
    <cellStyle name="Normal 5 5 2 2 3 4" xfId="20374" xr:uid="{00000000-0005-0000-0000-00009A4F0000}"/>
    <cellStyle name="Normal 5 5 2 2 4" xfId="9408" xr:uid="{00000000-0005-0000-0000-0000C4240000}"/>
    <cellStyle name="Normal 5 5 2 2 4 2" xfId="10731" xr:uid="{00000000-0005-0000-0000-0000EF290000}"/>
    <cellStyle name="Normal 5 5 2 2 4 2 2" xfId="18959" xr:uid="{00000000-0005-0000-0000-0000134A0000}"/>
    <cellStyle name="Normal 5 5 2 2 4 2 2 2" xfId="25471" xr:uid="{00000000-0005-0000-0000-000083630000}"/>
    <cellStyle name="Normal 5 5 2 2 4 2 3" xfId="22636" xr:uid="{00000000-0005-0000-0000-000070580000}"/>
    <cellStyle name="Normal 5 5 2 2 4 3" xfId="17641" xr:uid="{00000000-0005-0000-0000-0000ED440000}"/>
    <cellStyle name="Normal 5 5 2 2 4 3 2" xfId="24215" xr:uid="{00000000-0005-0000-0000-00009B5E0000}"/>
    <cellStyle name="Normal 5 5 2 2 4 4" xfId="21380" xr:uid="{00000000-0005-0000-0000-000088530000}"/>
    <cellStyle name="Normal 5 5 2 2 5" xfId="9613" xr:uid="{00000000-0005-0000-0000-000091250000}"/>
    <cellStyle name="Normal 5 5 2 2 5 2" xfId="17841" xr:uid="{00000000-0005-0000-0000-0000B5450000}"/>
    <cellStyle name="Normal 5 5 2 2 5 2 2" xfId="24353" xr:uid="{00000000-0005-0000-0000-0000255F0000}"/>
    <cellStyle name="Normal 5 5 2 2 5 3" xfId="21518" xr:uid="{00000000-0005-0000-0000-000012540000}"/>
    <cellStyle name="Normal 5 5 2 2 6" xfId="11180" xr:uid="{00000000-0005-0000-0000-0000B02B0000}"/>
    <cellStyle name="Normal 5 5 2 2 6 2" xfId="23067" xr:uid="{00000000-0005-0000-0000-00001F5A0000}"/>
    <cellStyle name="Normal 5 5 2 2 7" xfId="19730" xr:uid="{00000000-0005-0000-0000-0000164D0000}"/>
    <cellStyle name="Normal 5 5 2 2 8" xfId="6445" xr:uid="{00000000-0005-0000-0000-000031190000}"/>
    <cellStyle name="Normal 5 5 2 3" xfId="7829" xr:uid="{00000000-0005-0000-0000-0000991E0000}"/>
    <cellStyle name="Normal 5 5 2 4" xfId="7919" xr:uid="{00000000-0005-0000-0000-0000F31E0000}"/>
    <cellStyle name="Normal 5 5 2 4 2" xfId="8340" xr:uid="{00000000-0005-0000-0000-000098200000}"/>
    <cellStyle name="Normal 5 5 2 4 2 2" xfId="10202" xr:uid="{00000000-0005-0000-0000-0000DE270000}"/>
    <cellStyle name="Normal 5 5 2 4 2 2 2" xfId="18430" xr:uid="{00000000-0005-0000-0000-000002480000}"/>
    <cellStyle name="Normal 5 5 2 4 2 2 2 2" xfId="24942" xr:uid="{00000000-0005-0000-0000-000072610000}"/>
    <cellStyle name="Normal 5 5 2 4 2 2 3" xfId="22107" xr:uid="{00000000-0005-0000-0000-00005F560000}"/>
    <cellStyle name="Normal 5 5 2 4 2 3" xfId="17020" xr:uid="{00000000-0005-0000-0000-000080420000}"/>
    <cellStyle name="Normal 5 5 2 4 2 3 2" xfId="23677" xr:uid="{00000000-0005-0000-0000-0000815C0000}"/>
    <cellStyle name="Normal 5 5 2 4 2 4" xfId="20545" xr:uid="{00000000-0005-0000-0000-000045500000}"/>
    <cellStyle name="Normal 5 5 2 4 3" xfId="9410" xr:uid="{00000000-0005-0000-0000-0000C6240000}"/>
    <cellStyle name="Normal 5 5 2 4 3 2" xfId="10733" xr:uid="{00000000-0005-0000-0000-0000F1290000}"/>
    <cellStyle name="Normal 5 5 2 4 3 2 2" xfId="18961" xr:uid="{00000000-0005-0000-0000-0000154A0000}"/>
    <cellStyle name="Normal 5 5 2 4 3 2 2 2" xfId="25473" xr:uid="{00000000-0005-0000-0000-000085630000}"/>
    <cellStyle name="Normal 5 5 2 4 3 2 3" xfId="22638" xr:uid="{00000000-0005-0000-0000-000072580000}"/>
    <cellStyle name="Normal 5 5 2 4 3 3" xfId="17643" xr:uid="{00000000-0005-0000-0000-0000EF440000}"/>
    <cellStyle name="Normal 5 5 2 4 3 3 2" xfId="24217" xr:uid="{00000000-0005-0000-0000-00009D5E0000}"/>
    <cellStyle name="Normal 5 5 2 4 3 4" xfId="21382" xr:uid="{00000000-0005-0000-0000-00008A530000}"/>
    <cellStyle name="Normal 5 5 2 4 4" xfId="9784" xr:uid="{00000000-0005-0000-0000-00003C260000}"/>
    <cellStyle name="Normal 5 5 2 4 4 2" xfId="18012" xr:uid="{00000000-0005-0000-0000-000060460000}"/>
    <cellStyle name="Normal 5 5 2 4 4 2 2" xfId="24524" xr:uid="{00000000-0005-0000-0000-0000D05F0000}"/>
    <cellStyle name="Normal 5 5 2 4 4 3" xfId="21689" xr:uid="{00000000-0005-0000-0000-0000BD540000}"/>
    <cellStyle name="Normal 5 5 2 4 5" xfId="11182" xr:uid="{00000000-0005-0000-0000-0000B22B0000}"/>
    <cellStyle name="Normal 5 5 2 4 5 2" xfId="23069" xr:uid="{00000000-0005-0000-0000-0000215A0000}"/>
    <cellStyle name="Normal 5 5 2 4 6" xfId="20127" xr:uid="{00000000-0005-0000-0000-0000A34E0000}"/>
    <cellStyle name="Normal 5 5 2 5" xfId="8131" xr:uid="{00000000-0005-0000-0000-0000C71F0000}"/>
    <cellStyle name="Normal 5 5 2 5 2" xfId="9407" xr:uid="{00000000-0005-0000-0000-0000C3240000}"/>
    <cellStyle name="Normal 5 5 2 5 2 2" xfId="10730" xr:uid="{00000000-0005-0000-0000-0000EE290000}"/>
    <cellStyle name="Normal 5 5 2 5 2 2 2" xfId="18958" xr:uid="{00000000-0005-0000-0000-0000124A0000}"/>
    <cellStyle name="Normal 5 5 2 5 2 2 2 2" xfId="25470" xr:uid="{00000000-0005-0000-0000-000082630000}"/>
    <cellStyle name="Normal 5 5 2 5 2 2 3" xfId="22635" xr:uid="{00000000-0005-0000-0000-00006F580000}"/>
    <cellStyle name="Normal 5 5 2 5 2 3" xfId="17640" xr:uid="{00000000-0005-0000-0000-0000EC440000}"/>
    <cellStyle name="Normal 5 5 2 5 2 3 2" xfId="24214" xr:uid="{00000000-0005-0000-0000-00009A5E0000}"/>
    <cellStyle name="Normal 5 5 2 5 2 4" xfId="21379" xr:uid="{00000000-0005-0000-0000-000087530000}"/>
    <cellStyle name="Normal 5 5 2 5 3" xfId="9993" xr:uid="{00000000-0005-0000-0000-00000D270000}"/>
    <cellStyle name="Normal 5 5 2 5 3 2" xfId="18221" xr:uid="{00000000-0005-0000-0000-000031470000}"/>
    <cellStyle name="Normal 5 5 2 5 3 2 2" xfId="24733" xr:uid="{00000000-0005-0000-0000-0000A1600000}"/>
    <cellStyle name="Normal 5 5 2 5 3 3" xfId="21898" xr:uid="{00000000-0005-0000-0000-00008E550000}"/>
    <cellStyle name="Normal 5 5 2 5 4" xfId="11183" xr:uid="{00000000-0005-0000-0000-0000B32B0000}"/>
    <cellStyle name="Normal 5 5 2 5 4 2" xfId="23070" xr:uid="{00000000-0005-0000-0000-0000225A0000}"/>
    <cellStyle name="Normal 5 5 2 5 5" xfId="20336" xr:uid="{00000000-0005-0000-0000-0000744F0000}"/>
    <cellStyle name="Normal 5 5 2 6" xfId="9575" xr:uid="{00000000-0005-0000-0000-00006B250000}"/>
    <cellStyle name="Normal 5 5 2 6 2" xfId="17803" xr:uid="{00000000-0005-0000-0000-00008F450000}"/>
    <cellStyle name="Normal 5 5 2 6 2 2" xfId="24315" xr:uid="{00000000-0005-0000-0000-0000FF5E0000}"/>
    <cellStyle name="Normal 5 5 2 6 3" xfId="21480" xr:uid="{00000000-0005-0000-0000-0000EC530000}"/>
    <cellStyle name="Normal 5 5 2 7" xfId="19651" xr:uid="{00000000-0005-0000-0000-0000C74C0000}"/>
    <cellStyle name="Normal 5 5 2 8" xfId="4575" xr:uid="{00000000-0005-0000-0000-0000E3110000}"/>
    <cellStyle name="Normal 5 5 3" xfId="1271" xr:uid="{00000000-0005-0000-0000-0000FB040000}"/>
    <cellStyle name="Normal 5 5 3 2" xfId="2416" xr:uid="{00000000-0005-0000-0000-000074090000}"/>
    <cellStyle name="Normal 5 5 3 3" xfId="7918" xr:uid="{00000000-0005-0000-0000-0000F21E0000}"/>
    <cellStyle name="Normal 5 5 3 3 2" xfId="8339" xr:uid="{00000000-0005-0000-0000-000097200000}"/>
    <cellStyle name="Normal 5 5 3 3 2 2" xfId="10201" xr:uid="{00000000-0005-0000-0000-0000DD270000}"/>
    <cellStyle name="Normal 5 5 3 3 2 2 2" xfId="18429" xr:uid="{00000000-0005-0000-0000-000001480000}"/>
    <cellStyle name="Normal 5 5 3 3 2 2 2 2" xfId="24941" xr:uid="{00000000-0005-0000-0000-000071610000}"/>
    <cellStyle name="Normal 5 5 3 3 2 2 3" xfId="22106" xr:uid="{00000000-0005-0000-0000-00005E560000}"/>
    <cellStyle name="Normal 5 5 3 3 2 3" xfId="17019" xr:uid="{00000000-0005-0000-0000-00007F420000}"/>
    <cellStyle name="Normal 5 5 3 3 2 3 2" xfId="23676" xr:uid="{00000000-0005-0000-0000-0000805C0000}"/>
    <cellStyle name="Normal 5 5 3 3 2 4" xfId="20544" xr:uid="{00000000-0005-0000-0000-000044500000}"/>
    <cellStyle name="Normal 5 5 3 3 3" xfId="9412" xr:uid="{00000000-0005-0000-0000-0000C8240000}"/>
    <cellStyle name="Normal 5 5 3 3 3 2" xfId="10735" xr:uid="{00000000-0005-0000-0000-0000F3290000}"/>
    <cellStyle name="Normal 5 5 3 3 3 2 2" xfId="18963" xr:uid="{00000000-0005-0000-0000-0000174A0000}"/>
    <cellStyle name="Normal 5 5 3 3 3 2 2 2" xfId="25475" xr:uid="{00000000-0005-0000-0000-000087630000}"/>
    <cellStyle name="Normal 5 5 3 3 3 2 3" xfId="22640" xr:uid="{00000000-0005-0000-0000-000074580000}"/>
    <cellStyle name="Normal 5 5 3 3 3 3" xfId="17645" xr:uid="{00000000-0005-0000-0000-0000F1440000}"/>
    <cellStyle name="Normal 5 5 3 3 3 3 2" xfId="24219" xr:uid="{00000000-0005-0000-0000-00009F5E0000}"/>
    <cellStyle name="Normal 5 5 3 3 3 4" xfId="21384" xr:uid="{00000000-0005-0000-0000-00008C530000}"/>
    <cellStyle name="Normal 5 5 3 3 4" xfId="9783" xr:uid="{00000000-0005-0000-0000-00003B260000}"/>
    <cellStyle name="Normal 5 5 3 3 4 2" xfId="18011" xr:uid="{00000000-0005-0000-0000-00005F460000}"/>
    <cellStyle name="Normal 5 5 3 3 4 2 2" xfId="24523" xr:uid="{00000000-0005-0000-0000-0000CF5F0000}"/>
    <cellStyle name="Normal 5 5 3 3 4 3" xfId="21688" xr:uid="{00000000-0005-0000-0000-0000BC540000}"/>
    <cellStyle name="Normal 5 5 3 3 5" xfId="11184" xr:uid="{00000000-0005-0000-0000-0000B42B0000}"/>
    <cellStyle name="Normal 5 5 3 3 5 2" xfId="23071" xr:uid="{00000000-0005-0000-0000-0000235A0000}"/>
    <cellStyle name="Normal 5 5 3 3 6" xfId="20126" xr:uid="{00000000-0005-0000-0000-0000A24E0000}"/>
    <cellStyle name="Normal 5 5 3 4" xfId="8130" xr:uid="{00000000-0005-0000-0000-0000C61F0000}"/>
    <cellStyle name="Normal 5 5 3 4 2" xfId="9411" xr:uid="{00000000-0005-0000-0000-0000C7240000}"/>
    <cellStyle name="Normal 5 5 3 4 2 2" xfId="10734" xr:uid="{00000000-0005-0000-0000-0000F2290000}"/>
    <cellStyle name="Normal 5 5 3 4 2 2 2" xfId="18962" xr:uid="{00000000-0005-0000-0000-0000164A0000}"/>
    <cellStyle name="Normal 5 5 3 4 2 2 2 2" xfId="25474" xr:uid="{00000000-0005-0000-0000-000086630000}"/>
    <cellStyle name="Normal 5 5 3 4 2 2 3" xfId="22639" xr:uid="{00000000-0005-0000-0000-000073580000}"/>
    <cellStyle name="Normal 5 5 3 4 2 3" xfId="17644" xr:uid="{00000000-0005-0000-0000-0000F0440000}"/>
    <cellStyle name="Normal 5 5 3 4 2 3 2" xfId="24218" xr:uid="{00000000-0005-0000-0000-00009E5E0000}"/>
    <cellStyle name="Normal 5 5 3 4 2 4" xfId="21383" xr:uid="{00000000-0005-0000-0000-00008B530000}"/>
    <cellStyle name="Normal 5 5 3 4 3" xfId="9992" xr:uid="{00000000-0005-0000-0000-00000C270000}"/>
    <cellStyle name="Normal 5 5 3 4 3 2" xfId="18220" xr:uid="{00000000-0005-0000-0000-000030470000}"/>
    <cellStyle name="Normal 5 5 3 4 3 2 2" xfId="24732" xr:uid="{00000000-0005-0000-0000-0000A0600000}"/>
    <cellStyle name="Normal 5 5 3 4 3 3" xfId="21897" xr:uid="{00000000-0005-0000-0000-00008D550000}"/>
    <cellStyle name="Normal 5 5 3 4 4" xfId="11185" xr:uid="{00000000-0005-0000-0000-0000B52B0000}"/>
    <cellStyle name="Normal 5 5 3 4 4 2" xfId="23072" xr:uid="{00000000-0005-0000-0000-0000245A0000}"/>
    <cellStyle name="Normal 5 5 3 4 5" xfId="20335" xr:uid="{00000000-0005-0000-0000-0000734F0000}"/>
    <cellStyle name="Normal 5 5 3 5" xfId="9574" xr:uid="{00000000-0005-0000-0000-00006A250000}"/>
    <cellStyle name="Normal 5 5 3 5 2" xfId="17802" xr:uid="{00000000-0005-0000-0000-00008E450000}"/>
    <cellStyle name="Normal 5 5 3 5 2 2" xfId="24314" xr:uid="{00000000-0005-0000-0000-0000FE5E0000}"/>
    <cellStyle name="Normal 5 5 3 5 3" xfId="21479" xr:uid="{00000000-0005-0000-0000-0000EB530000}"/>
    <cellStyle name="Normal 5 5 3 6" xfId="19650" xr:uid="{00000000-0005-0000-0000-0000C64C0000}"/>
    <cellStyle name="Normal 5 5 3 7" xfId="4574" xr:uid="{00000000-0005-0000-0000-0000E2110000}"/>
    <cellStyle name="Normal 5 5 4" xfId="1272" xr:uid="{00000000-0005-0000-0000-0000FC040000}"/>
    <cellStyle name="Normal 5 5 4 2" xfId="2417" xr:uid="{00000000-0005-0000-0000-000075090000}"/>
    <cellStyle name="Normal 5 5 4 3" xfId="7958" xr:uid="{00000000-0005-0000-0000-00001A1F0000}"/>
    <cellStyle name="Normal 5 5 4 3 2" xfId="8377" xr:uid="{00000000-0005-0000-0000-0000BD200000}"/>
    <cellStyle name="Normal 5 5 4 3 2 2" xfId="10239" xr:uid="{00000000-0005-0000-0000-000003280000}"/>
    <cellStyle name="Normal 5 5 4 3 2 2 2" xfId="18467" xr:uid="{00000000-0005-0000-0000-000027480000}"/>
    <cellStyle name="Normal 5 5 4 3 2 2 2 2" xfId="24979" xr:uid="{00000000-0005-0000-0000-000097610000}"/>
    <cellStyle name="Normal 5 5 4 3 2 2 3" xfId="22144" xr:uid="{00000000-0005-0000-0000-000084560000}"/>
    <cellStyle name="Normal 5 5 4 3 2 3" xfId="17057" xr:uid="{00000000-0005-0000-0000-0000A5420000}"/>
    <cellStyle name="Normal 5 5 4 3 2 3 2" xfId="23714" xr:uid="{00000000-0005-0000-0000-0000A65C0000}"/>
    <cellStyle name="Normal 5 5 4 3 2 4" xfId="20582" xr:uid="{00000000-0005-0000-0000-00006A500000}"/>
    <cellStyle name="Normal 5 5 4 3 3" xfId="9414" xr:uid="{00000000-0005-0000-0000-0000CA240000}"/>
    <cellStyle name="Normal 5 5 4 3 3 2" xfId="10737" xr:uid="{00000000-0005-0000-0000-0000F5290000}"/>
    <cellStyle name="Normal 5 5 4 3 3 2 2" xfId="18965" xr:uid="{00000000-0005-0000-0000-0000194A0000}"/>
    <cellStyle name="Normal 5 5 4 3 3 2 2 2" xfId="25477" xr:uid="{00000000-0005-0000-0000-000089630000}"/>
    <cellStyle name="Normal 5 5 4 3 3 2 3" xfId="22642" xr:uid="{00000000-0005-0000-0000-000076580000}"/>
    <cellStyle name="Normal 5 5 4 3 3 3" xfId="17647" xr:uid="{00000000-0005-0000-0000-0000F3440000}"/>
    <cellStyle name="Normal 5 5 4 3 3 3 2" xfId="24221" xr:uid="{00000000-0005-0000-0000-0000A15E0000}"/>
    <cellStyle name="Normal 5 5 4 3 3 4" xfId="21386" xr:uid="{00000000-0005-0000-0000-00008E530000}"/>
    <cellStyle name="Normal 5 5 4 3 4" xfId="9821" xr:uid="{00000000-0005-0000-0000-000061260000}"/>
    <cellStyle name="Normal 5 5 4 3 4 2" xfId="18049" xr:uid="{00000000-0005-0000-0000-000085460000}"/>
    <cellStyle name="Normal 5 5 4 3 4 2 2" xfId="24561" xr:uid="{00000000-0005-0000-0000-0000F55F0000}"/>
    <cellStyle name="Normal 5 5 4 3 4 3" xfId="21726" xr:uid="{00000000-0005-0000-0000-0000E2540000}"/>
    <cellStyle name="Normal 5 5 4 3 5" xfId="11186" xr:uid="{00000000-0005-0000-0000-0000B62B0000}"/>
    <cellStyle name="Normal 5 5 4 3 5 2" xfId="23073" xr:uid="{00000000-0005-0000-0000-0000255A0000}"/>
    <cellStyle name="Normal 5 5 4 3 6" xfId="20164" xr:uid="{00000000-0005-0000-0000-0000C84E0000}"/>
    <cellStyle name="Normal 5 5 4 4" xfId="8168" xr:uid="{00000000-0005-0000-0000-0000EC1F0000}"/>
    <cellStyle name="Normal 5 5 4 4 2" xfId="9413" xr:uid="{00000000-0005-0000-0000-0000C9240000}"/>
    <cellStyle name="Normal 5 5 4 4 2 2" xfId="10736" xr:uid="{00000000-0005-0000-0000-0000F4290000}"/>
    <cellStyle name="Normal 5 5 4 4 2 2 2" xfId="18964" xr:uid="{00000000-0005-0000-0000-0000184A0000}"/>
    <cellStyle name="Normal 5 5 4 4 2 2 2 2" xfId="25476" xr:uid="{00000000-0005-0000-0000-000088630000}"/>
    <cellStyle name="Normal 5 5 4 4 2 2 3" xfId="22641" xr:uid="{00000000-0005-0000-0000-000075580000}"/>
    <cellStyle name="Normal 5 5 4 4 2 3" xfId="17646" xr:uid="{00000000-0005-0000-0000-0000F2440000}"/>
    <cellStyle name="Normal 5 5 4 4 2 3 2" xfId="24220" xr:uid="{00000000-0005-0000-0000-0000A05E0000}"/>
    <cellStyle name="Normal 5 5 4 4 2 4" xfId="21385" xr:uid="{00000000-0005-0000-0000-00008D530000}"/>
    <cellStyle name="Normal 5 5 4 4 3" xfId="10030" xr:uid="{00000000-0005-0000-0000-000032270000}"/>
    <cellStyle name="Normal 5 5 4 4 3 2" xfId="18258" xr:uid="{00000000-0005-0000-0000-000056470000}"/>
    <cellStyle name="Normal 5 5 4 4 3 2 2" xfId="24770" xr:uid="{00000000-0005-0000-0000-0000C6600000}"/>
    <cellStyle name="Normal 5 5 4 4 3 3" xfId="21935" xr:uid="{00000000-0005-0000-0000-0000B3550000}"/>
    <cellStyle name="Normal 5 5 4 4 4" xfId="11187" xr:uid="{00000000-0005-0000-0000-0000B72B0000}"/>
    <cellStyle name="Normal 5 5 4 4 4 2" xfId="23074" xr:uid="{00000000-0005-0000-0000-0000265A0000}"/>
    <cellStyle name="Normal 5 5 4 4 5" xfId="20373" xr:uid="{00000000-0005-0000-0000-0000994F0000}"/>
    <cellStyle name="Normal 5 5 4 5" xfId="9612" xr:uid="{00000000-0005-0000-0000-000090250000}"/>
    <cellStyle name="Normal 5 5 4 5 2" xfId="17840" xr:uid="{00000000-0005-0000-0000-0000B4450000}"/>
    <cellStyle name="Normal 5 5 4 5 2 2" xfId="24352" xr:uid="{00000000-0005-0000-0000-0000245F0000}"/>
    <cellStyle name="Normal 5 5 4 5 3" xfId="21517" xr:uid="{00000000-0005-0000-0000-000011540000}"/>
    <cellStyle name="Normal 5 5 4 6" xfId="19729" xr:uid="{00000000-0005-0000-0000-0000154D0000}"/>
    <cellStyle name="Normal 5 5 4 7" xfId="6444" xr:uid="{00000000-0005-0000-0000-000030190000}"/>
    <cellStyle name="Normal 5 5 5" xfId="1273" xr:uid="{00000000-0005-0000-0000-0000FD040000}"/>
    <cellStyle name="Normal 5 5 5 2" xfId="2418" xr:uid="{00000000-0005-0000-0000-000076090000}"/>
    <cellStyle name="Normal 5 5 6" xfId="1274" xr:uid="{00000000-0005-0000-0000-0000FE040000}"/>
    <cellStyle name="Normal 5 5 6 2" xfId="2419" xr:uid="{00000000-0005-0000-0000-000077090000}"/>
    <cellStyle name="Normal 5 5 7" xfId="1275" xr:uid="{00000000-0005-0000-0000-0000FF040000}"/>
    <cellStyle name="Normal 5 5 7 2" xfId="2420" xr:uid="{00000000-0005-0000-0000-000078090000}"/>
    <cellStyle name="Normal 5 5 8" xfId="1276" xr:uid="{00000000-0005-0000-0000-000000050000}"/>
    <cellStyle name="Normal 5 5 8 2" xfId="2421" xr:uid="{00000000-0005-0000-0000-000079090000}"/>
    <cellStyle name="Normal 5 5 9" xfId="2414" xr:uid="{00000000-0005-0000-0000-000072090000}"/>
    <cellStyle name="Normal 5 5 9 2" xfId="8089" xr:uid="{00000000-0005-0000-0000-00009D1F0000}"/>
    <cellStyle name="Normal 5 5 9 2 2" xfId="8507" xr:uid="{00000000-0005-0000-0000-00003F210000}"/>
    <cellStyle name="Normal 5 5 9 2 2 2" xfId="10369" xr:uid="{00000000-0005-0000-0000-000085280000}"/>
    <cellStyle name="Normal 5 5 9 2 2 2 2" xfId="18597" xr:uid="{00000000-0005-0000-0000-0000A9480000}"/>
    <cellStyle name="Normal 5 5 9 2 2 2 2 2" xfId="25109" xr:uid="{00000000-0005-0000-0000-000019620000}"/>
    <cellStyle name="Normal 5 5 9 2 2 2 3" xfId="22274" xr:uid="{00000000-0005-0000-0000-000006570000}"/>
    <cellStyle name="Normal 5 5 9 2 2 3" xfId="17187" xr:uid="{00000000-0005-0000-0000-000027430000}"/>
    <cellStyle name="Normal 5 5 9 2 2 3 2" xfId="23844" xr:uid="{00000000-0005-0000-0000-0000285D0000}"/>
    <cellStyle name="Normal 5 5 9 2 2 4" xfId="20712" xr:uid="{00000000-0005-0000-0000-0000EC500000}"/>
    <cellStyle name="Normal 5 5 9 2 3" xfId="9416" xr:uid="{00000000-0005-0000-0000-0000CC240000}"/>
    <cellStyle name="Normal 5 5 9 2 3 2" xfId="10739" xr:uid="{00000000-0005-0000-0000-0000F7290000}"/>
    <cellStyle name="Normal 5 5 9 2 3 2 2" xfId="18967" xr:uid="{00000000-0005-0000-0000-00001B4A0000}"/>
    <cellStyle name="Normal 5 5 9 2 3 2 2 2" xfId="25479" xr:uid="{00000000-0005-0000-0000-00008B630000}"/>
    <cellStyle name="Normal 5 5 9 2 3 2 3" xfId="22644" xr:uid="{00000000-0005-0000-0000-000078580000}"/>
    <cellStyle name="Normal 5 5 9 2 3 3" xfId="17649" xr:uid="{00000000-0005-0000-0000-0000F5440000}"/>
    <cellStyle name="Normal 5 5 9 2 3 3 2" xfId="24223" xr:uid="{00000000-0005-0000-0000-0000A35E0000}"/>
    <cellStyle name="Normal 5 5 9 2 3 4" xfId="21388" xr:uid="{00000000-0005-0000-0000-000090530000}"/>
    <cellStyle name="Normal 5 5 9 2 4" xfId="9951" xr:uid="{00000000-0005-0000-0000-0000E3260000}"/>
    <cellStyle name="Normal 5 5 9 2 4 2" xfId="18179" xr:uid="{00000000-0005-0000-0000-000007470000}"/>
    <cellStyle name="Normal 5 5 9 2 4 2 2" xfId="24691" xr:uid="{00000000-0005-0000-0000-000077600000}"/>
    <cellStyle name="Normal 5 5 9 2 4 3" xfId="21856" xr:uid="{00000000-0005-0000-0000-000064550000}"/>
    <cellStyle name="Normal 5 5 9 2 5" xfId="11189" xr:uid="{00000000-0005-0000-0000-0000B92B0000}"/>
    <cellStyle name="Normal 5 5 9 2 5 2" xfId="23076" xr:uid="{00000000-0005-0000-0000-0000285A0000}"/>
    <cellStyle name="Normal 5 5 9 2 6" xfId="20294" xr:uid="{00000000-0005-0000-0000-00004A4F0000}"/>
    <cellStyle name="Normal 5 5 9 3" xfId="8298" xr:uid="{00000000-0005-0000-0000-00006E200000}"/>
    <cellStyle name="Normal 5 5 9 3 2" xfId="10160" xr:uid="{00000000-0005-0000-0000-0000B4270000}"/>
    <cellStyle name="Normal 5 5 9 3 2 2" xfId="18388" xr:uid="{00000000-0005-0000-0000-0000D8470000}"/>
    <cellStyle name="Normal 5 5 9 3 2 2 2" xfId="24900" xr:uid="{00000000-0005-0000-0000-000048610000}"/>
    <cellStyle name="Normal 5 5 9 3 2 3" xfId="22065" xr:uid="{00000000-0005-0000-0000-000035560000}"/>
    <cellStyle name="Normal 5 5 9 3 3" xfId="16978" xr:uid="{00000000-0005-0000-0000-000056420000}"/>
    <cellStyle name="Normal 5 5 9 3 3 2" xfId="23635" xr:uid="{00000000-0005-0000-0000-0000575C0000}"/>
    <cellStyle name="Normal 5 5 9 3 4" xfId="20503" xr:uid="{00000000-0005-0000-0000-00001B500000}"/>
    <cellStyle name="Normal 5 5 9 4" xfId="9415" xr:uid="{00000000-0005-0000-0000-0000CB240000}"/>
    <cellStyle name="Normal 5 5 9 4 2" xfId="10738" xr:uid="{00000000-0005-0000-0000-0000F6290000}"/>
    <cellStyle name="Normal 5 5 9 4 2 2" xfId="18966" xr:uid="{00000000-0005-0000-0000-00001A4A0000}"/>
    <cellStyle name="Normal 5 5 9 4 2 2 2" xfId="25478" xr:uid="{00000000-0005-0000-0000-00008A630000}"/>
    <cellStyle name="Normal 5 5 9 4 2 3" xfId="22643" xr:uid="{00000000-0005-0000-0000-000077580000}"/>
    <cellStyle name="Normal 5 5 9 4 3" xfId="17648" xr:uid="{00000000-0005-0000-0000-0000F4440000}"/>
    <cellStyle name="Normal 5 5 9 4 3 2" xfId="24222" xr:uid="{00000000-0005-0000-0000-0000A25E0000}"/>
    <cellStyle name="Normal 5 5 9 4 4" xfId="21387" xr:uid="{00000000-0005-0000-0000-00008F530000}"/>
    <cellStyle name="Normal 5 5 9 5" xfId="9742" xr:uid="{00000000-0005-0000-0000-000012260000}"/>
    <cellStyle name="Normal 5 5 9 5 2" xfId="17970" xr:uid="{00000000-0005-0000-0000-000036460000}"/>
    <cellStyle name="Normal 5 5 9 5 2 2" xfId="24482" xr:uid="{00000000-0005-0000-0000-0000A65F0000}"/>
    <cellStyle name="Normal 5 5 9 5 3" xfId="21647" xr:uid="{00000000-0005-0000-0000-000093540000}"/>
    <cellStyle name="Normal 5 5 9 6" xfId="11188" xr:uid="{00000000-0005-0000-0000-0000B82B0000}"/>
    <cellStyle name="Normal 5 5 9 6 2" xfId="23075" xr:uid="{00000000-0005-0000-0000-0000275A0000}"/>
    <cellStyle name="Normal 5 5 9 7" xfId="20085" xr:uid="{00000000-0005-0000-0000-0000794E0000}"/>
    <cellStyle name="Normal 5 5 9 8" xfId="7876" xr:uid="{00000000-0005-0000-0000-0000C81E0000}"/>
    <cellStyle name="Normal 5 6" xfId="1277" xr:uid="{00000000-0005-0000-0000-000001050000}"/>
    <cellStyle name="Normal 5 6 2" xfId="2422" xr:uid="{00000000-0005-0000-0000-00007A090000}"/>
    <cellStyle name="Normal 5 6 3" xfId="8887" xr:uid="{00000000-0005-0000-0000-0000BB220000}"/>
    <cellStyle name="Normal 5 6 4" xfId="4525" xr:uid="{00000000-0005-0000-0000-0000B1110000}"/>
    <cellStyle name="Normal 5 7" xfId="1278" xr:uid="{00000000-0005-0000-0000-000002050000}"/>
    <cellStyle name="Normal 5 7 2" xfId="2423" xr:uid="{00000000-0005-0000-0000-00007B090000}"/>
    <cellStyle name="Normal 5 8" xfId="1279" xr:uid="{00000000-0005-0000-0000-000003050000}"/>
    <cellStyle name="Normal 5 8 2" xfId="2424" xr:uid="{00000000-0005-0000-0000-00007C090000}"/>
    <cellStyle name="Normal 5 9" xfId="1280" xr:uid="{00000000-0005-0000-0000-000004050000}"/>
    <cellStyle name="Normal 5 9 2" xfId="2425" xr:uid="{00000000-0005-0000-0000-00007D090000}"/>
    <cellStyle name="Normal 5_ELC" xfId="12764" xr:uid="{00000000-0005-0000-0000-0000E0310000}"/>
    <cellStyle name="Normal 50" xfId="6446" xr:uid="{00000000-0005-0000-0000-000032190000}"/>
    <cellStyle name="Normal 51" xfId="6447" xr:uid="{00000000-0005-0000-0000-000033190000}"/>
    <cellStyle name="Normal 52" xfId="6448" xr:uid="{00000000-0005-0000-0000-000034190000}"/>
    <cellStyle name="Normal 53" xfId="6449" xr:uid="{00000000-0005-0000-0000-000035190000}"/>
    <cellStyle name="Normal 54" xfId="6450" xr:uid="{00000000-0005-0000-0000-000036190000}"/>
    <cellStyle name="Normal 55" xfId="6451" xr:uid="{00000000-0005-0000-0000-000037190000}"/>
    <cellStyle name="Normal 56" xfId="19571" xr:uid="{00000000-0005-0000-0000-0000774C0000}"/>
    <cellStyle name="Normal 56 2" xfId="25537" xr:uid="{00000000-0005-0000-0000-0000C5630000}"/>
    <cellStyle name="Normal 57" xfId="19572" xr:uid="{00000000-0005-0000-0000-0000784C0000}"/>
    <cellStyle name="Normal 57 2" xfId="25538" xr:uid="{00000000-0005-0000-0000-0000C6630000}"/>
    <cellStyle name="Normal 58" xfId="19573" xr:uid="{00000000-0005-0000-0000-0000794C0000}"/>
    <cellStyle name="Normal 58 2" xfId="25539" xr:uid="{00000000-0005-0000-0000-0000C7630000}"/>
    <cellStyle name="Normal 59" xfId="19574" xr:uid="{00000000-0005-0000-0000-00007A4C0000}"/>
    <cellStyle name="Normal 59 2" xfId="25540" xr:uid="{00000000-0005-0000-0000-0000C8630000}"/>
    <cellStyle name="Normal 6" xfId="138" xr:uid="{00000000-0005-0000-0000-00008E000000}"/>
    <cellStyle name="Normal 6 10" xfId="1282" xr:uid="{00000000-0005-0000-0000-000006050000}"/>
    <cellStyle name="Normal 6 10 2" xfId="2427" xr:uid="{00000000-0005-0000-0000-00007F090000}"/>
    <cellStyle name="Normal 6 10 3" xfId="9417" xr:uid="{00000000-0005-0000-0000-0000CD240000}"/>
    <cellStyle name="Normal 6 10 4" xfId="6452" xr:uid="{00000000-0005-0000-0000-000038190000}"/>
    <cellStyle name="Normal 6 11" xfId="1283" xr:uid="{00000000-0005-0000-0000-000007050000}"/>
    <cellStyle name="Normal 6 11 2" xfId="2428" xr:uid="{00000000-0005-0000-0000-000080090000}"/>
    <cellStyle name="Normal 6 12" xfId="1284" xr:uid="{00000000-0005-0000-0000-000008050000}"/>
    <cellStyle name="Normal 6 12 2" xfId="2429" xr:uid="{00000000-0005-0000-0000-000081090000}"/>
    <cellStyle name="Normal 6 12 3" xfId="9418" xr:uid="{00000000-0005-0000-0000-0000CE240000}"/>
    <cellStyle name="Normal 6 12 4" xfId="6453" xr:uid="{00000000-0005-0000-0000-000039190000}"/>
    <cellStyle name="Normal 6 13" xfId="1285" xr:uid="{00000000-0005-0000-0000-000009050000}"/>
    <cellStyle name="Normal 6 13 2" xfId="2430" xr:uid="{00000000-0005-0000-0000-000082090000}"/>
    <cellStyle name="Normal 6 14" xfId="2426" xr:uid="{00000000-0005-0000-0000-00007E090000}"/>
    <cellStyle name="Normal 6 15" xfId="1281" xr:uid="{00000000-0005-0000-0000-000005050000}"/>
    <cellStyle name="Normal 6 2" xfId="139" xr:uid="{00000000-0005-0000-0000-00008F000000}"/>
    <cellStyle name="Normal 6 2 10" xfId="1286" xr:uid="{00000000-0005-0000-0000-00000A050000}"/>
    <cellStyle name="Normal 6 2 11" xfId="6454" xr:uid="{00000000-0005-0000-0000-00003A190000}"/>
    <cellStyle name="Normal 6 2 12" xfId="6455" xr:uid="{00000000-0005-0000-0000-00003B190000}"/>
    <cellStyle name="Normal 6 2 13" xfId="6456" xr:uid="{00000000-0005-0000-0000-00003C190000}"/>
    <cellStyle name="Normal 6 2 14" xfId="6457" xr:uid="{00000000-0005-0000-0000-00003D190000}"/>
    <cellStyle name="Normal 6 2 2" xfId="140" xr:uid="{00000000-0005-0000-0000-000090000000}"/>
    <cellStyle name="Normal 6 2 2 10" xfId="1288" xr:uid="{00000000-0005-0000-0000-00000C050000}"/>
    <cellStyle name="Normal 6 2 2 10 2" xfId="2433" xr:uid="{00000000-0005-0000-0000-000085090000}"/>
    <cellStyle name="Normal 6 2 2 10 2 2" xfId="3163" xr:uid="{00000000-0005-0000-0000-00005F0C0000}"/>
    <cellStyle name="Normal 6 2 2 10 2 2 2" xfId="4221" xr:uid="{00000000-0005-0000-0000-000081100000}"/>
    <cellStyle name="Normal 6 2 2 10 2 2 2 2" xfId="18572" xr:uid="{00000000-0005-0000-0000-000090480000}"/>
    <cellStyle name="Normal 6 2 2 10 2 2 2 2 2" xfId="25084" xr:uid="{00000000-0005-0000-0000-000000620000}"/>
    <cellStyle name="Normal 6 2 2 10 2 2 2 3" xfId="22249" xr:uid="{00000000-0005-0000-0000-0000ED560000}"/>
    <cellStyle name="Normal 6 2 2 10 2 2 2 4" xfId="10344" xr:uid="{00000000-0005-0000-0000-00006C280000}"/>
    <cellStyle name="Normal 6 2 2 10 2 2 3" xfId="17162" xr:uid="{00000000-0005-0000-0000-00000E430000}"/>
    <cellStyle name="Normal 6 2 2 10 2 2 3 2" xfId="23819" xr:uid="{00000000-0005-0000-0000-00000F5D0000}"/>
    <cellStyle name="Normal 6 2 2 10 2 2 4" xfId="20687" xr:uid="{00000000-0005-0000-0000-0000D3500000}"/>
    <cellStyle name="Normal 6 2 2 10 2 2 5" xfId="8482" xr:uid="{00000000-0005-0000-0000-000026210000}"/>
    <cellStyle name="Normal 6 2 2 10 2 3" xfId="3389" xr:uid="{00000000-0005-0000-0000-0000410D0000}"/>
    <cellStyle name="Normal 6 2 2 10 2 3 2" xfId="4431" xr:uid="{00000000-0005-0000-0000-000053110000}"/>
    <cellStyle name="Normal 6 2 2 10 2 3 2 2" xfId="18969" xr:uid="{00000000-0005-0000-0000-00001D4A0000}"/>
    <cellStyle name="Normal 6 2 2 10 2 3 2 2 2" xfId="25481" xr:uid="{00000000-0005-0000-0000-00008D630000}"/>
    <cellStyle name="Normal 6 2 2 10 2 3 2 3" xfId="22646" xr:uid="{00000000-0005-0000-0000-00007A580000}"/>
    <cellStyle name="Normal 6 2 2 10 2 3 2 4" xfId="10741" xr:uid="{00000000-0005-0000-0000-0000F9290000}"/>
    <cellStyle name="Normal 6 2 2 10 2 3 3" xfId="17652" xr:uid="{00000000-0005-0000-0000-0000F8440000}"/>
    <cellStyle name="Normal 6 2 2 10 2 3 3 2" xfId="24225" xr:uid="{00000000-0005-0000-0000-0000A55E0000}"/>
    <cellStyle name="Normal 6 2 2 10 2 3 4" xfId="21390" xr:uid="{00000000-0005-0000-0000-000092530000}"/>
    <cellStyle name="Normal 6 2 2 10 2 3 5" xfId="9420" xr:uid="{00000000-0005-0000-0000-0000D0240000}"/>
    <cellStyle name="Normal 6 2 2 10 2 4" xfId="4011" xr:uid="{00000000-0005-0000-0000-0000AF0F0000}"/>
    <cellStyle name="Normal 6 2 2 10 2 4 2" xfId="18154" xr:uid="{00000000-0005-0000-0000-0000EE460000}"/>
    <cellStyle name="Normal 6 2 2 10 2 4 2 2" xfId="24666" xr:uid="{00000000-0005-0000-0000-00005E600000}"/>
    <cellStyle name="Normal 6 2 2 10 2 4 3" xfId="21831" xr:uid="{00000000-0005-0000-0000-00004B550000}"/>
    <cellStyle name="Normal 6 2 2 10 2 4 4" xfId="9926" xr:uid="{00000000-0005-0000-0000-0000CA260000}"/>
    <cellStyle name="Normal 6 2 2 10 2 5" xfId="11191" xr:uid="{00000000-0005-0000-0000-0000BB2B0000}"/>
    <cellStyle name="Normal 6 2 2 10 2 5 2" xfId="23078" xr:uid="{00000000-0005-0000-0000-00002A5A0000}"/>
    <cellStyle name="Normal 6 2 2 10 2 6" xfId="20269" xr:uid="{00000000-0005-0000-0000-0000314F0000}"/>
    <cellStyle name="Normal 6 2 2 10 2 7" xfId="8063" xr:uid="{00000000-0005-0000-0000-0000831F0000}"/>
    <cellStyle name="Normal 6 2 2 10 3" xfId="3042" xr:uid="{00000000-0005-0000-0000-0000E60B0000}"/>
    <cellStyle name="Normal 6 2 2 10 3 2" xfId="4116" xr:uid="{00000000-0005-0000-0000-000018100000}"/>
    <cellStyle name="Normal 6 2 2 10 3 2 2" xfId="10740" xr:uid="{00000000-0005-0000-0000-0000F8290000}"/>
    <cellStyle name="Normal 6 2 2 10 3 2 2 2" xfId="18968" xr:uid="{00000000-0005-0000-0000-00001C4A0000}"/>
    <cellStyle name="Normal 6 2 2 10 3 2 2 2 2" xfId="25480" xr:uid="{00000000-0005-0000-0000-00008C630000}"/>
    <cellStyle name="Normal 6 2 2 10 3 2 2 3" xfId="22645" xr:uid="{00000000-0005-0000-0000-000079580000}"/>
    <cellStyle name="Normal 6 2 2 10 3 2 3" xfId="17651" xr:uid="{00000000-0005-0000-0000-0000F7440000}"/>
    <cellStyle name="Normal 6 2 2 10 3 2 3 2" xfId="24224" xr:uid="{00000000-0005-0000-0000-0000A45E0000}"/>
    <cellStyle name="Normal 6 2 2 10 3 2 4" xfId="21389" xr:uid="{00000000-0005-0000-0000-000091530000}"/>
    <cellStyle name="Normal 6 2 2 10 3 2 5" xfId="9419" xr:uid="{00000000-0005-0000-0000-0000CF240000}"/>
    <cellStyle name="Normal 6 2 2 10 3 3" xfId="10135" xr:uid="{00000000-0005-0000-0000-00009B270000}"/>
    <cellStyle name="Normal 6 2 2 10 3 3 2" xfId="18363" xr:uid="{00000000-0005-0000-0000-0000BF470000}"/>
    <cellStyle name="Normal 6 2 2 10 3 3 2 2" xfId="24875" xr:uid="{00000000-0005-0000-0000-00002F610000}"/>
    <cellStyle name="Normal 6 2 2 10 3 3 3" xfId="22040" xr:uid="{00000000-0005-0000-0000-00001C560000}"/>
    <cellStyle name="Normal 6 2 2 10 3 4" xfId="16954" xr:uid="{00000000-0005-0000-0000-00003E420000}"/>
    <cellStyle name="Normal 6 2 2 10 3 4 2" xfId="23611" xr:uid="{00000000-0005-0000-0000-00003F5C0000}"/>
    <cellStyle name="Normal 6 2 2 10 3 5" xfId="20478" xr:uid="{00000000-0005-0000-0000-000002500000}"/>
    <cellStyle name="Normal 6 2 2 10 3 6" xfId="8273" xr:uid="{00000000-0005-0000-0000-000055200000}"/>
    <cellStyle name="Normal 6 2 2 10 4" xfId="3268" xr:uid="{00000000-0005-0000-0000-0000C80C0000}"/>
    <cellStyle name="Normal 6 2 2 10 4 2" xfId="4326" xr:uid="{00000000-0005-0000-0000-0000EA100000}"/>
    <cellStyle name="Normal 6 2 2 10 4 3" xfId="8791" xr:uid="{00000000-0005-0000-0000-00005B220000}"/>
    <cellStyle name="Normal 6 2 2 10 5" xfId="3719" xr:uid="{00000000-0005-0000-0000-00008B0E0000}"/>
    <cellStyle name="Normal 6 2 2 10 5 2" xfId="17945" xr:uid="{00000000-0005-0000-0000-00001D460000}"/>
    <cellStyle name="Normal 6 2 2 10 5 2 2" xfId="24457" xr:uid="{00000000-0005-0000-0000-00008D5F0000}"/>
    <cellStyle name="Normal 6 2 2 10 5 3" xfId="21622" xr:uid="{00000000-0005-0000-0000-00007A540000}"/>
    <cellStyle name="Normal 6 2 2 10 5 4" xfId="9717" xr:uid="{00000000-0005-0000-0000-0000F9250000}"/>
    <cellStyle name="Normal 6 2 2 10 6" xfId="11190" xr:uid="{00000000-0005-0000-0000-0000BA2B0000}"/>
    <cellStyle name="Normal 6 2 2 10 6 2" xfId="23077" xr:uid="{00000000-0005-0000-0000-0000295A0000}"/>
    <cellStyle name="Normal 6 2 2 10 7" xfId="20060" xr:uid="{00000000-0005-0000-0000-0000604E0000}"/>
    <cellStyle name="Normal 6 2 2 10 8" xfId="7830" xr:uid="{00000000-0005-0000-0000-00009A1E0000}"/>
    <cellStyle name="Normal 6 2 2 11" xfId="1289" xr:uid="{00000000-0005-0000-0000-00000D050000}"/>
    <cellStyle name="Normal 6 2 2 11 2" xfId="2434" xr:uid="{00000000-0005-0000-0000-000086090000}"/>
    <cellStyle name="Normal 6 2 2 11 2 2" xfId="3164" xr:uid="{00000000-0005-0000-0000-0000600C0000}"/>
    <cellStyle name="Normal 6 2 2 11 2 2 2" xfId="4222" xr:uid="{00000000-0005-0000-0000-000082100000}"/>
    <cellStyle name="Normal 6 2 2 11 2 2 2 2" xfId="18573" xr:uid="{00000000-0005-0000-0000-000091480000}"/>
    <cellStyle name="Normal 6 2 2 11 2 2 2 2 2" xfId="25085" xr:uid="{00000000-0005-0000-0000-000001620000}"/>
    <cellStyle name="Normal 6 2 2 11 2 2 2 3" xfId="22250" xr:uid="{00000000-0005-0000-0000-0000EE560000}"/>
    <cellStyle name="Normal 6 2 2 11 2 2 2 4" xfId="10345" xr:uid="{00000000-0005-0000-0000-00006D280000}"/>
    <cellStyle name="Normal 6 2 2 11 2 2 3" xfId="17163" xr:uid="{00000000-0005-0000-0000-00000F430000}"/>
    <cellStyle name="Normal 6 2 2 11 2 2 3 2" xfId="23820" xr:uid="{00000000-0005-0000-0000-0000105D0000}"/>
    <cellStyle name="Normal 6 2 2 11 2 2 4" xfId="20688" xr:uid="{00000000-0005-0000-0000-0000D4500000}"/>
    <cellStyle name="Normal 6 2 2 11 2 2 5" xfId="8483" xr:uid="{00000000-0005-0000-0000-000027210000}"/>
    <cellStyle name="Normal 6 2 2 11 2 3" xfId="3390" xr:uid="{00000000-0005-0000-0000-0000420D0000}"/>
    <cellStyle name="Normal 6 2 2 11 2 3 2" xfId="4432" xr:uid="{00000000-0005-0000-0000-000054110000}"/>
    <cellStyle name="Normal 6 2 2 11 2 3 2 2" xfId="18971" xr:uid="{00000000-0005-0000-0000-00001F4A0000}"/>
    <cellStyle name="Normal 6 2 2 11 2 3 2 2 2" xfId="25483" xr:uid="{00000000-0005-0000-0000-00008F630000}"/>
    <cellStyle name="Normal 6 2 2 11 2 3 2 3" xfId="22648" xr:uid="{00000000-0005-0000-0000-00007C580000}"/>
    <cellStyle name="Normal 6 2 2 11 2 3 2 4" xfId="10743" xr:uid="{00000000-0005-0000-0000-0000FB290000}"/>
    <cellStyle name="Normal 6 2 2 11 2 3 3" xfId="17654" xr:uid="{00000000-0005-0000-0000-0000FA440000}"/>
    <cellStyle name="Normal 6 2 2 11 2 3 3 2" xfId="24227" xr:uid="{00000000-0005-0000-0000-0000A75E0000}"/>
    <cellStyle name="Normal 6 2 2 11 2 3 4" xfId="21392" xr:uid="{00000000-0005-0000-0000-000094530000}"/>
    <cellStyle name="Normal 6 2 2 11 2 3 5" xfId="9422" xr:uid="{00000000-0005-0000-0000-0000D2240000}"/>
    <cellStyle name="Normal 6 2 2 11 2 4" xfId="4012" xr:uid="{00000000-0005-0000-0000-0000B00F0000}"/>
    <cellStyle name="Normal 6 2 2 11 2 4 2" xfId="18155" xr:uid="{00000000-0005-0000-0000-0000EF460000}"/>
    <cellStyle name="Normal 6 2 2 11 2 4 2 2" xfId="24667" xr:uid="{00000000-0005-0000-0000-00005F600000}"/>
    <cellStyle name="Normal 6 2 2 11 2 4 3" xfId="21832" xr:uid="{00000000-0005-0000-0000-00004C550000}"/>
    <cellStyle name="Normal 6 2 2 11 2 4 4" xfId="9927" xr:uid="{00000000-0005-0000-0000-0000CB260000}"/>
    <cellStyle name="Normal 6 2 2 11 2 5" xfId="11193" xr:uid="{00000000-0005-0000-0000-0000BD2B0000}"/>
    <cellStyle name="Normal 6 2 2 11 2 5 2" xfId="23080" xr:uid="{00000000-0005-0000-0000-00002C5A0000}"/>
    <cellStyle name="Normal 6 2 2 11 2 6" xfId="20270" xr:uid="{00000000-0005-0000-0000-0000324F0000}"/>
    <cellStyle name="Normal 6 2 2 11 2 7" xfId="8064" xr:uid="{00000000-0005-0000-0000-0000841F0000}"/>
    <cellStyle name="Normal 6 2 2 11 3" xfId="3043" xr:uid="{00000000-0005-0000-0000-0000E70B0000}"/>
    <cellStyle name="Normal 6 2 2 11 3 2" xfId="4117" xr:uid="{00000000-0005-0000-0000-000019100000}"/>
    <cellStyle name="Normal 6 2 2 11 3 2 2" xfId="10742" xr:uid="{00000000-0005-0000-0000-0000FA290000}"/>
    <cellStyle name="Normal 6 2 2 11 3 2 2 2" xfId="18970" xr:uid="{00000000-0005-0000-0000-00001E4A0000}"/>
    <cellStyle name="Normal 6 2 2 11 3 2 2 2 2" xfId="25482" xr:uid="{00000000-0005-0000-0000-00008E630000}"/>
    <cellStyle name="Normal 6 2 2 11 3 2 2 3" xfId="22647" xr:uid="{00000000-0005-0000-0000-00007B580000}"/>
    <cellStyle name="Normal 6 2 2 11 3 2 3" xfId="17653" xr:uid="{00000000-0005-0000-0000-0000F9440000}"/>
    <cellStyle name="Normal 6 2 2 11 3 2 3 2" xfId="24226" xr:uid="{00000000-0005-0000-0000-0000A65E0000}"/>
    <cellStyle name="Normal 6 2 2 11 3 2 4" xfId="21391" xr:uid="{00000000-0005-0000-0000-000093530000}"/>
    <cellStyle name="Normal 6 2 2 11 3 2 5" xfId="9421" xr:uid="{00000000-0005-0000-0000-0000D1240000}"/>
    <cellStyle name="Normal 6 2 2 11 3 3" xfId="10136" xr:uid="{00000000-0005-0000-0000-00009C270000}"/>
    <cellStyle name="Normal 6 2 2 11 3 3 2" xfId="18364" xr:uid="{00000000-0005-0000-0000-0000C0470000}"/>
    <cellStyle name="Normal 6 2 2 11 3 3 2 2" xfId="24876" xr:uid="{00000000-0005-0000-0000-000030610000}"/>
    <cellStyle name="Normal 6 2 2 11 3 3 3" xfId="22041" xr:uid="{00000000-0005-0000-0000-00001D560000}"/>
    <cellStyle name="Normal 6 2 2 11 3 4" xfId="16955" xr:uid="{00000000-0005-0000-0000-00003F420000}"/>
    <cellStyle name="Normal 6 2 2 11 3 4 2" xfId="23612" xr:uid="{00000000-0005-0000-0000-0000405C0000}"/>
    <cellStyle name="Normal 6 2 2 11 3 5" xfId="20479" xr:uid="{00000000-0005-0000-0000-000003500000}"/>
    <cellStyle name="Normal 6 2 2 11 3 6" xfId="8274" xr:uid="{00000000-0005-0000-0000-000056200000}"/>
    <cellStyle name="Normal 6 2 2 11 4" xfId="3269" xr:uid="{00000000-0005-0000-0000-0000C90C0000}"/>
    <cellStyle name="Normal 6 2 2 11 4 2" xfId="4327" xr:uid="{00000000-0005-0000-0000-0000EB100000}"/>
    <cellStyle name="Normal 6 2 2 11 4 3" xfId="8792" xr:uid="{00000000-0005-0000-0000-00005C220000}"/>
    <cellStyle name="Normal 6 2 2 11 5" xfId="3720" xr:uid="{00000000-0005-0000-0000-00008C0E0000}"/>
    <cellStyle name="Normal 6 2 2 11 5 2" xfId="17946" xr:uid="{00000000-0005-0000-0000-00001E460000}"/>
    <cellStyle name="Normal 6 2 2 11 5 2 2" xfId="24458" xr:uid="{00000000-0005-0000-0000-00008E5F0000}"/>
    <cellStyle name="Normal 6 2 2 11 5 3" xfId="21623" xr:uid="{00000000-0005-0000-0000-00007B540000}"/>
    <cellStyle name="Normal 6 2 2 11 5 4" xfId="9718" xr:uid="{00000000-0005-0000-0000-0000FA250000}"/>
    <cellStyle name="Normal 6 2 2 11 6" xfId="11192" xr:uid="{00000000-0005-0000-0000-0000BC2B0000}"/>
    <cellStyle name="Normal 6 2 2 11 6 2" xfId="23079" xr:uid="{00000000-0005-0000-0000-00002B5A0000}"/>
    <cellStyle name="Normal 6 2 2 11 7" xfId="20061" xr:uid="{00000000-0005-0000-0000-0000614E0000}"/>
    <cellStyle name="Normal 6 2 2 11 8" xfId="7831" xr:uid="{00000000-0005-0000-0000-00009B1E0000}"/>
    <cellStyle name="Normal 6 2 2 12" xfId="1290" xr:uid="{00000000-0005-0000-0000-00000E050000}"/>
    <cellStyle name="Normal 6 2 2 12 2" xfId="2435" xr:uid="{00000000-0005-0000-0000-000087090000}"/>
    <cellStyle name="Normal 6 2 2 12 2 2" xfId="3165" xr:uid="{00000000-0005-0000-0000-0000610C0000}"/>
    <cellStyle name="Normal 6 2 2 12 2 2 2" xfId="4223" xr:uid="{00000000-0005-0000-0000-000083100000}"/>
    <cellStyle name="Normal 6 2 2 12 2 2 2 2" xfId="18574" xr:uid="{00000000-0005-0000-0000-000092480000}"/>
    <cellStyle name="Normal 6 2 2 12 2 2 2 2 2" xfId="25086" xr:uid="{00000000-0005-0000-0000-000002620000}"/>
    <cellStyle name="Normal 6 2 2 12 2 2 2 3" xfId="22251" xr:uid="{00000000-0005-0000-0000-0000EF560000}"/>
    <cellStyle name="Normal 6 2 2 12 2 2 2 4" xfId="10346" xr:uid="{00000000-0005-0000-0000-00006E280000}"/>
    <cellStyle name="Normal 6 2 2 12 2 2 3" xfId="17164" xr:uid="{00000000-0005-0000-0000-000010430000}"/>
    <cellStyle name="Normal 6 2 2 12 2 2 3 2" xfId="23821" xr:uid="{00000000-0005-0000-0000-0000115D0000}"/>
    <cellStyle name="Normal 6 2 2 12 2 2 4" xfId="20689" xr:uid="{00000000-0005-0000-0000-0000D5500000}"/>
    <cellStyle name="Normal 6 2 2 12 2 2 5" xfId="8484" xr:uid="{00000000-0005-0000-0000-000028210000}"/>
    <cellStyle name="Normal 6 2 2 12 2 3" xfId="3391" xr:uid="{00000000-0005-0000-0000-0000430D0000}"/>
    <cellStyle name="Normal 6 2 2 12 2 3 2" xfId="4433" xr:uid="{00000000-0005-0000-0000-000055110000}"/>
    <cellStyle name="Normal 6 2 2 12 2 3 2 2" xfId="18973" xr:uid="{00000000-0005-0000-0000-0000214A0000}"/>
    <cellStyle name="Normal 6 2 2 12 2 3 2 2 2" xfId="25485" xr:uid="{00000000-0005-0000-0000-000091630000}"/>
    <cellStyle name="Normal 6 2 2 12 2 3 2 3" xfId="22650" xr:uid="{00000000-0005-0000-0000-00007E580000}"/>
    <cellStyle name="Normal 6 2 2 12 2 3 2 4" xfId="10745" xr:uid="{00000000-0005-0000-0000-0000FD290000}"/>
    <cellStyle name="Normal 6 2 2 12 2 3 3" xfId="17656" xr:uid="{00000000-0005-0000-0000-0000FC440000}"/>
    <cellStyle name="Normal 6 2 2 12 2 3 3 2" xfId="24229" xr:uid="{00000000-0005-0000-0000-0000A95E0000}"/>
    <cellStyle name="Normal 6 2 2 12 2 3 4" xfId="21394" xr:uid="{00000000-0005-0000-0000-000096530000}"/>
    <cellStyle name="Normal 6 2 2 12 2 3 5" xfId="9424" xr:uid="{00000000-0005-0000-0000-0000D4240000}"/>
    <cellStyle name="Normal 6 2 2 12 2 4" xfId="4013" xr:uid="{00000000-0005-0000-0000-0000B10F0000}"/>
    <cellStyle name="Normal 6 2 2 12 2 4 2" xfId="18156" xr:uid="{00000000-0005-0000-0000-0000F0460000}"/>
    <cellStyle name="Normal 6 2 2 12 2 4 2 2" xfId="24668" xr:uid="{00000000-0005-0000-0000-000060600000}"/>
    <cellStyle name="Normal 6 2 2 12 2 4 3" xfId="21833" xr:uid="{00000000-0005-0000-0000-00004D550000}"/>
    <cellStyle name="Normal 6 2 2 12 2 4 4" xfId="9928" xr:uid="{00000000-0005-0000-0000-0000CC260000}"/>
    <cellStyle name="Normal 6 2 2 12 2 5" xfId="11195" xr:uid="{00000000-0005-0000-0000-0000BF2B0000}"/>
    <cellStyle name="Normal 6 2 2 12 2 5 2" xfId="23082" xr:uid="{00000000-0005-0000-0000-00002E5A0000}"/>
    <cellStyle name="Normal 6 2 2 12 2 6" xfId="20271" xr:uid="{00000000-0005-0000-0000-0000334F0000}"/>
    <cellStyle name="Normal 6 2 2 12 2 7" xfId="8065" xr:uid="{00000000-0005-0000-0000-0000851F0000}"/>
    <cellStyle name="Normal 6 2 2 12 3" xfId="3044" xr:uid="{00000000-0005-0000-0000-0000E80B0000}"/>
    <cellStyle name="Normal 6 2 2 12 3 2" xfId="4118" xr:uid="{00000000-0005-0000-0000-00001A100000}"/>
    <cellStyle name="Normal 6 2 2 12 3 2 2" xfId="10744" xr:uid="{00000000-0005-0000-0000-0000FC290000}"/>
    <cellStyle name="Normal 6 2 2 12 3 2 2 2" xfId="18972" xr:uid="{00000000-0005-0000-0000-0000204A0000}"/>
    <cellStyle name="Normal 6 2 2 12 3 2 2 2 2" xfId="25484" xr:uid="{00000000-0005-0000-0000-000090630000}"/>
    <cellStyle name="Normal 6 2 2 12 3 2 2 3" xfId="22649" xr:uid="{00000000-0005-0000-0000-00007D580000}"/>
    <cellStyle name="Normal 6 2 2 12 3 2 3" xfId="17655" xr:uid="{00000000-0005-0000-0000-0000FB440000}"/>
    <cellStyle name="Normal 6 2 2 12 3 2 3 2" xfId="24228" xr:uid="{00000000-0005-0000-0000-0000A85E0000}"/>
    <cellStyle name="Normal 6 2 2 12 3 2 4" xfId="21393" xr:uid="{00000000-0005-0000-0000-000095530000}"/>
    <cellStyle name="Normal 6 2 2 12 3 2 5" xfId="9423" xr:uid="{00000000-0005-0000-0000-0000D3240000}"/>
    <cellStyle name="Normal 6 2 2 12 3 3" xfId="10137" xr:uid="{00000000-0005-0000-0000-00009D270000}"/>
    <cellStyle name="Normal 6 2 2 12 3 3 2" xfId="18365" xr:uid="{00000000-0005-0000-0000-0000C1470000}"/>
    <cellStyle name="Normal 6 2 2 12 3 3 2 2" xfId="24877" xr:uid="{00000000-0005-0000-0000-000031610000}"/>
    <cellStyle name="Normal 6 2 2 12 3 3 3" xfId="22042" xr:uid="{00000000-0005-0000-0000-00001E560000}"/>
    <cellStyle name="Normal 6 2 2 12 3 4" xfId="16956" xr:uid="{00000000-0005-0000-0000-000040420000}"/>
    <cellStyle name="Normal 6 2 2 12 3 4 2" xfId="23613" xr:uid="{00000000-0005-0000-0000-0000415C0000}"/>
    <cellStyle name="Normal 6 2 2 12 3 5" xfId="20480" xr:uid="{00000000-0005-0000-0000-000004500000}"/>
    <cellStyle name="Normal 6 2 2 12 3 6" xfId="8275" xr:uid="{00000000-0005-0000-0000-000057200000}"/>
    <cellStyle name="Normal 6 2 2 12 4" xfId="3270" xr:uid="{00000000-0005-0000-0000-0000CA0C0000}"/>
    <cellStyle name="Normal 6 2 2 12 4 2" xfId="4328" xr:uid="{00000000-0005-0000-0000-0000EC100000}"/>
    <cellStyle name="Normal 6 2 2 12 4 3" xfId="8793" xr:uid="{00000000-0005-0000-0000-00005D220000}"/>
    <cellStyle name="Normal 6 2 2 12 5" xfId="3721" xr:uid="{00000000-0005-0000-0000-00008D0E0000}"/>
    <cellStyle name="Normal 6 2 2 12 5 2" xfId="17947" xr:uid="{00000000-0005-0000-0000-00001F460000}"/>
    <cellStyle name="Normal 6 2 2 12 5 2 2" xfId="24459" xr:uid="{00000000-0005-0000-0000-00008F5F0000}"/>
    <cellStyle name="Normal 6 2 2 12 5 3" xfId="21624" xr:uid="{00000000-0005-0000-0000-00007C540000}"/>
    <cellStyle name="Normal 6 2 2 12 5 4" xfId="9719" xr:uid="{00000000-0005-0000-0000-0000FB250000}"/>
    <cellStyle name="Normal 6 2 2 12 6" xfId="11194" xr:uid="{00000000-0005-0000-0000-0000BE2B0000}"/>
    <cellStyle name="Normal 6 2 2 12 6 2" xfId="23081" xr:uid="{00000000-0005-0000-0000-00002D5A0000}"/>
    <cellStyle name="Normal 6 2 2 12 7" xfId="20062" xr:uid="{00000000-0005-0000-0000-0000624E0000}"/>
    <cellStyle name="Normal 6 2 2 12 8" xfId="7832" xr:uid="{00000000-0005-0000-0000-00009C1E0000}"/>
    <cellStyle name="Normal 6 2 2 13" xfId="1291" xr:uid="{00000000-0005-0000-0000-00000F050000}"/>
    <cellStyle name="Normal 6 2 2 13 2" xfId="2436" xr:uid="{00000000-0005-0000-0000-000088090000}"/>
    <cellStyle name="Normal 6 2 2 13 2 2" xfId="3166" xr:uid="{00000000-0005-0000-0000-0000620C0000}"/>
    <cellStyle name="Normal 6 2 2 13 2 2 2" xfId="4224" xr:uid="{00000000-0005-0000-0000-000084100000}"/>
    <cellStyle name="Normal 6 2 2 13 2 2 2 2" xfId="18575" xr:uid="{00000000-0005-0000-0000-000093480000}"/>
    <cellStyle name="Normal 6 2 2 13 2 2 2 2 2" xfId="25087" xr:uid="{00000000-0005-0000-0000-000003620000}"/>
    <cellStyle name="Normal 6 2 2 13 2 2 2 3" xfId="22252" xr:uid="{00000000-0005-0000-0000-0000F0560000}"/>
    <cellStyle name="Normal 6 2 2 13 2 2 2 4" xfId="10347" xr:uid="{00000000-0005-0000-0000-00006F280000}"/>
    <cellStyle name="Normal 6 2 2 13 2 2 3" xfId="17165" xr:uid="{00000000-0005-0000-0000-000011430000}"/>
    <cellStyle name="Normal 6 2 2 13 2 2 3 2" xfId="23822" xr:uid="{00000000-0005-0000-0000-0000125D0000}"/>
    <cellStyle name="Normal 6 2 2 13 2 2 4" xfId="20690" xr:uid="{00000000-0005-0000-0000-0000D6500000}"/>
    <cellStyle name="Normal 6 2 2 13 2 2 5" xfId="8485" xr:uid="{00000000-0005-0000-0000-000029210000}"/>
    <cellStyle name="Normal 6 2 2 13 2 3" xfId="3392" xr:uid="{00000000-0005-0000-0000-0000440D0000}"/>
    <cellStyle name="Normal 6 2 2 13 2 3 2" xfId="4434" xr:uid="{00000000-0005-0000-0000-000056110000}"/>
    <cellStyle name="Normal 6 2 2 13 2 3 2 2" xfId="18975" xr:uid="{00000000-0005-0000-0000-0000234A0000}"/>
    <cellStyle name="Normal 6 2 2 13 2 3 2 2 2" xfId="25487" xr:uid="{00000000-0005-0000-0000-000093630000}"/>
    <cellStyle name="Normal 6 2 2 13 2 3 2 3" xfId="22652" xr:uid="{00000000-0005-0000-0000-000080580000}"/>
    <cellStyle name="Normal 6 2 2 13 2 3 2 4" xfId="10747" xr:uid="{00000000-0005-0000-0000-0000FF290000}"/>
    <cellStyle name="Normal 6 2 2 13 2 3 3" xfId="17658" xr:uid="{00000000-0005-0000-0000-0000FE440000}"/>
    <cellStyle name="Normal 6 2 2 13 2 3 3 2" xfId="24231" xr:uid="{00000000-0005-0000-0000-0000AB5E0000}"/>
    <cellStyle name="Normal 6 2 2 13 2 3 4" xfId="21396" xr:uid="{00000000-0005-0000-0000-000098530000}"/>
    <cellStyle name="Normal 6 2 2 13 2 3 5" xfId="9426" xr:uid="{00000000-0005-0000-0000-0000D6240000}"/>
    <cellStyle name="Normal 6 2 2 13 2 4" xfId="4014" xr:uid="{00000000-0005-0000-0000-0000B20F0000}"/>
    <cellStyle name="Normal 6 2 2 13 2 4 2" xfId="18157" xr:uid="{00000000-0005-0000-0000-0000F1460000}"/>
    <cellStyle name="Normal 6 2 2 13 2 4 2 2" xfId="24669" xr:uid="{00000000-0005-0000-0000-000061600000}"/>
    <cellStyle name="Normal 6 2 2 13 2 4 3" xfId="21834" xr:uid="{00000000-0005-0000-0000-00004E550000}"/>
    <cellStyle name="Normal 6 2 2 13 2 4 4" xfId="9929" xr:uid="{00000000-0005-0000-0000-0000CD260000}"/>
    <cellStyle name="Normal 6 2 2 13 2 5" xfId="11197" xr:uid="{00000000-0005-0000-0000-0000C12B0000}"/>
    <cellStyle name="Normal 6 2 2 13 2 5 2" xfId="23084" xr:uid="{00000000-0005-0000-0000-0000305A0000}"/>
    <cellStyle name="Normal 6 2 2 13 2 6" xfId="20272" xr:uid="{00000000-0005-0000-0000-0000344F0000}"/>
    <cellStyle name="Normal 6 2 2 13 2 7" xfId="8066" xr:uid="{00000000-0005-0000-0000-0000861F0000}"/>
    <cellStyle name="Normal 6 2 2 13 3" xfId="3045" xr:uid="{00000000-0005-0000-0000-0000E90B0000}"/>
    <cellStyle name="Normal 6 2 2 13 3 2" xfId="4119" xr:uid="{00000000-0005-0000-0000-00001B100000}"/>
    <cellStyle name="Normal 6 2 2 13 3 2 2" xfId="10746" xr:uid="{00000000-0005-0000-0000-0000FE290000}"/>
    <cellStyle name="Normal 6 2 2 13 3 2 2 2" xfId="18974" xr:uid="{00000000-0005-0000-0000-0000224A0000}"/>
    <cellStyle name="Normal 6 2 2 13 3 2 2 2 2" xfId="25486" xr:uid="{00000000-0005-0000-0000-000092630000}"/>
    <cellStyle name="Normal 6 2 2 13 3 2 2 3" xfId="22651" xr:uid="{00000000-0005-0000-0000-00007F580000}"/>
    <cellStyle name="Normal 6 2 2 13 3 2 3" xfId="17657" xr:uid="{00000000-0005-0000-0000-0000FD440000}"/>
    <cellStyle name="Normal 6 2 2 13 3 2 3 2" xfId="24230" xr:uid="{00000000-0005-0000-0000-0000AA5E0000}"/>
    <cellStyle name="Normal 6 2 2 13 3 2 4" xfId="21395" xr:uid="{00000000-0005-0000-0000-000097530000}"/>
    <cellStyle name="Normal 6 2 2 13 3 2 5" xfId="9425" xr:uid="{00000000-0005-0000-0000-0000D5240000}"/>
    <cellStyle name="Normal 6 2 2 13 3 3" xfId="10138" xr:uid="{00000000-0005-0000-0000-00009E270000}"/>
    <cellStyle name="Normal 6 2 2 13 3 3 2" xfId="18366" xr:uid="{00000000-0005-0000-0000-0000C2470000}"/>
    <cellStyle name="Normal 6 2 2 13 3 3 2 2" xfId="24878" xr:uid="{00000000-0005-0000-0000-000032610000}"/>
    <cellStyle name="Normal 6 2 2 13 3 3 3" xfId="22043" xr:uid="{00000000-0005-0000-0000-00001F560000}"/>
    <cellStyle name="Normal 6 2 2 13 3 4" xfId="16957" xr:uid="{00000000-0005-0000-0000-000041420000}"/>
    <cellStyle name="Normal 6 2 2 13 3 4 2" xfId="23614" xr:uid="{00000000-0005-0000-0000-0000425C0000}"/>
    <cellStyle name="Normal 6 2 2 13 3 5" xfId="20481" xr:uid="{00000000-0005-0000-0000-000005500000}"/>
    <cellStyle name="Normal 6 2 2 13 3 6" xfId="8276" xr:uid="{00000000-0005-0000-0000-000058200000}"/>
    <cellStyle name="Normal 6 2 2 13 4" xfId="3271" xr:uid="{00000000-0005-0000-0000-0000CB0C0000}"/>
    <cellStyle name="Normal 6 2 2 13 4 2" xfId="4329" xr:uid="{00000000-0005-0000-0000-0000ED100000}"/>
    <cellStyle name="Normal 6 2 2 13 4 3" xfId="8794" xr:uid="{00000000-0005-0000-0000-00005E220000}"/>
    <cellStyle name="Normal 6 2 2 13 5" xfId="3722" xr:uid="{00000000-0005-0000-0000-00008E0E0000}"/>
    <cellStyle name="Normal 6 2 2 13 5 2" xfId="17948" xr:uid="{00000000-0005-0000-0000-000020460000}"/>
    <cellStyle name="Normal 6 2 2 13 5 2 2" xfId="24460" xr:uid="{00000000-0005-0000-0000-0000905F0000}"/>
    <cellStyle name="Normal 6 2 2 13 5 3" xfId="21625" xr:uid="{00000000-0005-0000-0000-00007D540000}"/>
    <cellStyle name="Normal 6 2 2 13 5 4" xfId="9720" xr:uid="{00000000-0005-0000-0000-0000FC250000}"/>
    <cellStyle name="Normal 6 2 2 13 6" xfId="11196" xr:uid="{00000000-0005-0000-0000-0000C02B0000}"/>
    <cellStyle name="Normal 6 2 2 13 6 2" xfId="23083" xr:uid="{00000000-0005-0000-0000-00002F5A0000}"/>
    <cellStyle name="Normal 6 2 2 13 7" xfId="20063" xr:uid="{00000000-0005-0000-0000-0000634E0000}"/>
    <cellStyle name="Normal 6 2 2 13 8" xfId="7833" xr:uid="{00000000-0005-0000-0000-00009D1E0000}"/>
    <cellStyle name="Normal 6 2 2 14" xfId="2432" xr:uid="{00000000-0005-0000-0000-000084090000}"/>
    <cellStyle name="Normal 6 2 2 15" xfId="1287" xr:uid="{00000000-0005-0000-0000-00000B050000}"/>
    <cellStyle name="Normal 6 2 2 2" xfId="1292" xr:uid="{00000000-0005-0000-0000-000010050000}"/>
    <cellStyle name="Normal 6 2 2 2 2" xfId="2437" xr:uid="{00000000-0005-0000-0000-000089090000}"/>
    <cellStyle name="Normal 6 2 2 2 2 2" xfId="3167" xr:uid="{00000000-0005-0000-0000-0000630C0000}"/>
    <cellStyle name="Normal 6 2 2 2 2 2 2" xfId="4225" xr:uid="{00000000-0005-0000-0000-000085100000}"/>
    <cellStyle name="Normal 6 2 2 2 2 2 2 2" xfId="18576" xr:uid="{00000000-0005-0000-0000-000094480000}"/>
    <cellStyle name="Normal 6 2 2 2 2 2 2 2 2" xfId="25088" xr:uid="{00000000-0005-0000-0000-000004620000}"/>
    <cellStyle name="Normal 6 2 2 2 2 2 2 3" xfId="22253" xr:uid="{00000000-0005-0000-0000-0000F1560000}"/>
    <cellStyle name="Normal 6 2 2 2 2 2 2 4" xfId="10348" xr:uid="{00000000-0005-0000-0000-000070280000}"/>
    <cellStyle name="Normal 6 2 2 2 2 2 3" xfId="17166" xr:uid="{00000000-0005-0000-0000-000012430000}"/>
    <cellStyle name="Normal 6 2 2 2 2 2 3 2" xfId="23823" xr:uid="{00000000-0005-0000-0000-0000135D0000}"/>
    <cellStyle name="Normal 6 2 2 2 2 2 4" xfId="20691" xr:uid="{00000000-0005-0000-0000-0000D7500000}"/>
    <cellStyle name="Normal 6 2 2 2 2 2 5" xfId="8486" xr:uid="{00000000-0005-0000-0000-00002A210000}"/>
    <cellStyle name="Normal 6 2 2 2 2 3" xfId="3393" xr:uid="{00000000-0005-0000-0000-0000450D0000}"/>
    <cellStyle name="Normal 6 2 2 2 2 3 2" xfId="4435" xr:uid="{00000000-0005-0000-0000-000057110000}"/>
    <cellStyle name="Normal 6 2 2 2 2 3 2 2" xfId="18977" xr:uid="{00000000-0005-0000-0000-0000254A0000}"/>
    <cellStyle name="Normal 6 2 2 2 2 3 2 2 2" xfId="25489" xr:uid="{00000000-0005-0000-0000-000095630000}"/>
    <cellStyle name="Normal 6 2 2 2 2 3 2 3" xfId="22654" xr:uid="{00000000-0005-0000-0000-000082580000}"/>
    <cellStyle name="Normal 6 2 2 2 2 3 2 4" xfId="10749" xr:uid="{00000000-0005-0000-0000-0000012A0000}"/>
    <cellStyle name="Normal 6 2 2 2 2 3 3" xfId="17660" xr:uid="{00000000-0005-0000-0000-000000450000}"/>
    <cellStyle name="Normal 6 2 2 2 2 3 3 2" xfId="24233" xr:uid="{00000000-0005-0000-0000-0000AD5E0000}"/>
    <cellStyle name="Normal 6 2 2 2 2 3 4" xfId="21398" xr:uid="{00000000-0005-0000-0000-00009A530000}"/>
    <cellStyle name="Normal 6 2 2 2 2 3 5" xfId="9428" xr:uid="{00000000-0005-0000-0000-0000D8240000}"/>
    <cellStyle name="Normal 6 2 2 2 2 4" xfId="4015" xr:uid="{00000000-0005-0000-0000-0000B30F0000}"/>
    <cellStyle name="Normal 6 2 2 2 2 4 2" xfId="18158" xr:uid="{00000000-0005-0000-0000-0000F2460000}"/>
    <cellStyle name="Normal 6 2 2 2 2 4 2 2" xfId="24670" xr:uid="{00000000-0005-0000-0000-000062600000}"/>
    <cellStyle name="Normal 6 2 2 2 2 4 3" xfId="21835" xr:uid="{00000000-0005-0000-0000-00004F550000}"/>
    <cellStyle name="Normal 6 2 2 2 2 4 4" xfId="9930" xr:uid="{00000000-0005-0000-0000-0000CE260000}"/>
    <cellStyle name="Normal 6 2 2 2 2 5" xfId="11199" xr:uid="{00000000-0005-0000-0000-0000C32B0000}"/>
    <cellStyle name="Normal 6 2 2 2 2 5 2" xfId="23086" xr:uid="{00000000-0005-0000-0000-0000325A0000}"/>
    <cellStyle name="Normal 6 2 2 2 2 6" xfId="20273" xr:uid="{00000000-0005-0000-0000-0000354F0000}"/>
    <cellStyle name="Normal 6 2 2 2 2 7" xfId="8067" xr:uid="{00000000-0005-0000-0000-0000871F0000}"/>
    <cellStyle name="Normal 6 2 2 2 3" xfId="3046" xr:uid="{00000000-0005-0000-0000-0000EA0B0000}"/>
    <cellStyle name="Normal 6 2 2 2 3 2" xfId="4120" xr:uid="{00000000-0005-0000-0000-00001C100000}"/>
    <cellStyle name="Normal 6 2 2 2 3 2 2" xfId="10748" xr:uid="{00000000-0005-0000-0000-0000002A0000}"/>
    <cellStyle name="Normal 6 2 2 2 3 2 2 2" xfId="18976" xr:uid="{00000000-0005-0000-0000-0000244A0000}"/>
    <cellStyle name="Normal 6 2 2 2 3 2 2 2 2" xfId="25488" xr:uid="{00000000-0005-0000-0000-000094630000}"/>
    <cellStyle name="Normal 6 2 2 2 3 2 2 3" xfId="22653" xr:uid="{00000000-0005-0000-0000-000081580000}"/>
    <cellStyle name="Normal 6 2 2 2 3 2 3" xfId="17659" xr:uid="{00000000-0005-0000-0000-0000FF440000}"/>
    <cellStyle name="Normal 6 2 2 2 3 2 3 2" xfId="24232" xr:uid="{00000000-0005-0000-0000-0000AC5E0000}"/>
    <cellStyle name="Normal 6 2 2 2 3 2 4" xfId="21397" xr:uid="{00000000-0005-0000-0000-000099530000}"/>
    <cellStyle name="Normal 6 2 2 2 3 2 5" xfId="9427" xr:uid="{00000000-0005-0000-0000-0000D7240000}"/>
    <cellStyle name="Normal 6 2 2 2 3 3" xfId="10139" xr:uid="{00000000-0005-0000-0000-00009F270000}"/>
    <cellStyle name="Normal 6 2 2 2 3 3 2" xfId="18367" xr:uid="{00000000-0005-0000-0000-0000C3470000}"/>
    <cellStyle name="Normal 6 2 2 2 3 3 2 2" xfId="24879" xr:uid="{00000000-0005-0000-0000-000033610000}"/>
    <cellStyle name="Normal 6 2 2 2 3 3 3" xfId="22044" xr:uid="{00000000-0005-0000-0000-000020560000}"/>
    <cellStyle name="Normal 6 2 2 2 3 4" xfId="16958" xr:uid="{00000000-0005-0000-0000-000042420000}"/>
    <cellStyle name="Normal 6 2 2 2 3 4 2" xfId="23615" xr:uid="{00000000-0005-0000-0000-0000435C0000}"/>
    <cellStyle name="Normal 6 2 2 2 3 5" xfId="20482" xr:uid="{00000000-0005-0000-0000-000006500000}"/>
    <cellStyle name="Normal 6 2 2 2 3 6" xfId="8277" xr:uid="{00000000-0005-0000-0000-000059200000}"/>
    <cellStyle name="Normal 6 2 2 2 4" xfId="3272" xr:uid="{00000000-0005-0000-0000-0000CC0C0000}"/>
    <cellStyle name="Normal 6 2 2 2 4 2" xfId="4330" xr:uid="{00000000-0005-0000-0000-0000EE100000}"/>
    <cellStyle name="Normal 6 2 2 2 4 3" xfId="8795" xr:uid="{00000000-0005-0000-0000-00005F220000}"/>
    <cellStyle name="Normal 6 2 2 2 5" xfId="3723" xr:uid="{00000000-0005-0000-0000-00008F0E0000}"/>
    <cellStyle name="Normal 6 2 2 2 5 2" xfId="17949" xr:uid="{00000000-0005-0000-0000-000021460000}"/>
    <cellStyle name="Normal 6 2 2 2 5 2 2" xfId="24461" xr:uid="{00000000-0005-0000-0000-0000915F0000}"/>
    <cellStyle name="Normal 6 2 2 2 5 3" xfId="21626" xr:uid="{00000000-0005-0000-0000-00007E540000}"/>
    <cellStyle name="Normal 6 2 2 2 5 4" xfId="9721" xr:uid="{00000000-0005-0000-0000-0000FD250000}"/>
    <cellStyle name="Normal 6 2 2 2 6" xfId="11198" xr:uid="{00000000-0005-0000-0000-0000C22B0000}"/>
    <cellStyle name="Normal 6 2 2 2 6 2" xfId="23085" xr:uid="{00000000-0005-0000-0000-0000315A0000}"/>
    <cellStyle name="Normal 6 2 2 2 7" xfId="20064" xr:uid="{00000000-0005-0000-0000-0000644E0000}"/>
    <cellStyle name="Normal 6 2 2 2 8" xfId="7834" xr:uid="{00000000-0005-0000-0000-00009E1E0000}"/>
    <cellStyle name="Normal 6 2 2 3" xfId="1293" xr:uid="{00000000-0005-0000-0000-000011050000}"/>
    <cellStyle name="Normal 6 2 2 3 2" xfId="2438" xr:uid="{00000000-0005-0000-0000-00008A090000}"/>
    <cellStyle name="Normal 6 2 2 3 2 2" xfId="3168" xr:uid="{00000000-0005-0000-0000-0000640C0000}"/>
    <cellStyle name="Normal 6 2 2 3 2 2 2" xfId="4226" xr:uid="{00000000-0005-0000-0000-000086100000}"/>
    <cellStyle name="Normal 6 2 2 3 2 2 2 2" xfId="18577" xr:uid="{00000000-0005-0000-0000-000095480000}"/>
    <cellStyle name="Normal 6 2 2 3 2 2 2 2 2" xfId="25089" xr:uid="{00000000-0005-0000-0000-000005620000}"/>
    <cellStyle name="Normal 6 2 2 3 2 2 2 3" xfId="22254" xr:uid="{00000000-0005-0000-0000-0000F2560000}"/>
    <cellStyle name="Normal 6 2 2 3 2 2 2 4" xfId="10349" xr:uid="{00000000-0005-0000-0000-000071280000}"/>
    <cellStyle name="Normal 6 2 2 3 2 2 3" xfId="17167" xr:uid="{00000000-0005-0000-0000-000013430000}"/>
    <cellStyle name="Normal 6 2 2 3 2 2 3 2" xfId="23824" xr:uid="{00000000-0005-0000-0000-0000145D0000}"/>
    <cellStyle name="Normal 6 2 2 3 2 2 4" xfId="20692" xr:uid="{00000000-0005-0000-0000-0000D8500000}"/>
    <cellStyle name="Normal 6 2 2 3 2 2 5" xfId="8487" xr:uid="{00000000-0005-0000-0000-00002B210000}"/>
    <cellStyle name="Normal 6 2 2 3 2 3" xfId="3394" xr:uid="{00000000-0005-0000-0000-0000460D0000}"/>
    <cellStyle name="Normal 6 2 2 3 2 3 2" xfId="4436" xr:uid="{00000000-0005-0000-0000-000058110000}"/>
    <cellStyle name="Normal 6 2 2 3 2 3 2 2" xfId="18979" xr:uid="{00000000-0005-0000-0000-0000274A0000}"/>
    <cellStyle name="Normal 6 2 2 3 2 3 2 2 2" xfId="25491" xr:uid="{00000000-0005-0000-0000-000097630000}"/>
    <cellStyle name="Normal 6 2 2 3 2 3 2 3" xfId="22656" xr:uid="{00000000-0005-0000-0000-000084580000}"/>
    <cellStyle name="Normal 6 2 2 3 2 3 2 4" xfId="10751" xr:uid="{00000000-0005-0000-0000-0000032A0000}"/>
    <cellStyle name="Normal 6 2 2 3 2 3 3" xfId="17662" xr:uid="{00000000-0005-0000-0000-000002450000}"/>
    <cellStyle name="Normal 6 2 2 3 2 3 3 2" xfId="24235" xr:uid="{00000000-0005-0000-0000-0000AF5E0000}"/>
    <cellStyle name="Normal 6 2 2 3 2 3 4" xfId="21400" xr:uid="{00000000-0005-0000-0000-00009C530000}"/>
    <cellStyle name="Normal 6 2 2 3 2 3 5" xfId="9430" xr:uid="{00000000-0005-0000-0000-0000DA240000}"/>
    <cellStyle name="Normal 6 2 2 3 2 4" xfId="4016" xr:uid="{00000000-0005-0000-0000-0000B40F0000}"/>
    <cellStyle name="Normal 6 2 2 3 2 4 2" xfId="18159" xr:uid="{00000000-0005-0000-0000-0000F3460000}"/>
    <cellStyle name="Normal 6 2 2 3 2 4 2 2" xfId="24671" xr:uid="{00000000-0005-0000-0000-000063600000}"/>
    <cellStyle name="Normal 6 2 2 3 2 4 3" xfId="21836" xr:uid="{00000000-0005-0000-0000-000050550000}"/>
    <cellStyle name="Normal 6 2 2 3 2 4 4" xfId="9931" xr:uid="{00000000-0005-0000-0000-0000CF260000}"/>
    <cellStyle name="Normal 6 2 2 3 2 5" xfId="11201" xr:uid="{00000000-0005-0000-0000-0000C52B0000}"/>
    <cellStyle name="Normal 6 2 2 3 2 5 2" xfId="23088" xr:uid="{00000000-0005-0000-0000-0000345A0000}"/>
    <cellStyle name="Normal 6 2 2 3 2 6" xfId="20274" xr:uid="{00000000-0005-0000-0000-0000364F0000}"/>
    <cellStyle name="Normal 6 2 2 3 2 7" xfId="8068" xr:uid="{00000000-0005-0000-0000-0000881F0000}"/>
    <cellStyle name="Normal 6 2 2 3 3" xfId="3047" xr:uid="{00000000-0005-0000-0000-0000EB0B0000}"/>
    <cellStyle name="Normal 6 2 2 3 3 2" xfId="4121" xr:uid="{00000000-0005-0000-0000-00001D100000}"/>
    <cellStyle name="Normal 6 2 2 3 3 2 2" xfId="10750" xr:uid="{00000000-0005-0000-0000-0000022A0000}"/>
    <cellStyle name="Normal 6 2 2 3 3 2 2 2" xfId="18978" xr:uid="{00000000-0005-0000-0000-0000264A0000}"/>
    <cellStyle name="Normal 6 2 2 3 3 2 2 2 2" xfId="25490" xr:uid="{00000000-0005-0000-0000-000096630000}"/>
    <cellStyle name="Normal 6 2 2 3 3 2 2 3" xfId="22655" xr:uid="{00000000-0005-0000-0000-000083580000}"/>
    <cellStyle name="Normal 6 2 2 3 3 2 3" xfId="17661" xr:uid="{00000000-0005-0000-0000-000001450000}"/>
    <cellStyle name="Normal 6 2 2 3 3 2 3 2" xfId="24234" xr:uid="{00000000-0005-0000-0000-0000AE5E0000}"/>
    <cellStyle name="Normal 6 2 2 3 3 2 4" xfId="21399" xr:uid="{00000000-0005-0000-0000-00009B530000}"/>
    <cellStyle name="Normal 6 2 2 3 3 2 5" xfId="9429" xr:uid="{00000000-0005-0000-0000-0000D9240000}"/>
    <cellStyle name="Normal 6 2 2 3 3 3" xfId="10140" xr:uid="{00000000-0005-0000-0000-0000A0270000}"/>
    <cellStyle name="Normal 6 2 2 3 3 3 2" xfId="18368" xr:uid="{00000000-0005-0000-0000-0000C4470000}"/>
    <cellStyle name="Normal 6 2 2 3 3 3 2 2" xfId="24880" xr:uid="{00000000-0005-0000-0000-000034610000}"/>
    <cellStyle name="Normal 6 2 2 3 3 3 3" xfId="22045" xr:uid="{00000000-0005-0000-0000-000021560000}"/>
    <cellStyle name="Normal 6 2 2 3 3 4" xfId="16959" xr:uid="{00000000-0005-0000-0000-000043420000}"/>
    <cellStyle name="Normal 6 2 2 3 3 4 2" xfId="23616" xr:uid="{00000000-0005-0000-0000-0000445C0000}"/>
    <cellStyle name="Normal 6 2 2 3 3 5" xfId="20483" xr:uid="{00000000-0005-0000-0000-000007500000}"/>
    <cellStyle name="Normal 6 2 2 3 3 6" xfId="8278" xr:uid="{00000000-0005-0000-0000-00005A200000}"/>
    <cellStyle name="Normal 6 2 2 3 4" xfId="3273" xr:uid="{00000000-0005-0000-0000-0000CD0C0000}"/>
    <cellStyle name="Normal 6 2 2 3 4 2" xfId="4331" xr:uid="{00000000-0005-0000-0000-0000EF100000}"/>
    <cellStyle name="Normal 6 2 2 3 4 3" xfId="8796" xr:uid="{00000000-0005-0000-0000-000060220000}"/>
    <cellStyle name="Normal 6 2 2 3 5" xfId="3724" xr:uid="{00000000-0005-0000-0000-0000900E0000}"/>
    <cellStyle name="Normal 6 2 2 3 5 2" xfId="17950" xr:uid="{00000000-0005-0000-0000-000022460000}"/>
    <cellStyle name="Normal 6 2 2 3 5 2 2" xfId="24462" xr:uid="{00000000-0005-0000-0000-0000925F0000}"/>
    <cellStyle name="Normal 6 2 2 3 5 3" xfId="21627" xr:uid="{00000000-0005-0000-0000-00007F540000}"/>
    <cellStyle name="Normal 6 2 2 3 5 4" xfId="9722" xr:uid="{00000000-0005-0000-0000-0000FE250000}"/>
    <cellStyle name="Normal 6 2 2 3 6" xfId="11200" xr:uid="{00000000-0005-0000-0000-0000C42B0000}"/>
    <cellStyle name="Normal 6 2 2 3 6 2" xfId="23087" xr:uid="{00000000-0005-0000-0000-0000335A0000}"/>
    <cellStyle name="Normal 6 2 2 3 7" xfId="20065" xr:uid="{00000000-0005-0000-0000-0000654E0000}"/>
    <cellStyle name="Normal 6 2 2 3 8" xfId="7835" xr:uid="{00000000-0005-0000-0000-00009F1E0000}"/>
    <cellStyle name="Normal 6 2 2 4" xfId="1294" xr:uid="{00000000-0005-0000-0000-000012050000}"/>
    <cellStyle name="Normal 6 2 2 4 2" xfId="2439" xr:uid="{00000000-0005-0000-0000-00008B090000}"/>
    <cellStyle name="Normal 6 2 2 4 2 2" xfId="3169" xr:uid="{00000000-0005-0000-0000-0000650C0000}"/>
    <cellStyle name="Normal 6 2 2 4 2 2 2" xfId="4227" xr:uid="{00000000-0005-0000-0000-000087100000}"/>
    <cellStyle name="Normal 6 2 2 4 2 2 2 2" xfId="18578" xr:uid="{00000000-0005-0000-0000-000096480000}"/>
    <cellStyle name="Normal 6 2 2 4 2 2 2 2 2" xfId="25090" xr:uid="{00000000-0005-0000-0000-000006620000}"/>
    <cellStyle name="Normal 6 2 2 4 2 2 2 3" xfId="22255" xr:uid="{00000000-0005-0000-0000-0000F3560000}"/>
    <cellStyle name="Normal 6 2 2 4 2 2 2 4" xfId="10350" xr:uid="{00000000-0005-0000-0000-000072280000}"/>
    <cellStyle name="Normal 6 2 2 4 2 2 3" xfId="17168" xr:uid="{00000000-0005-0000-0000-000014430000}"/>
    <cellStyle name="Normal 6 2 2 4 2 2 3 2" xfId="23825" xr:uid="{00000000-0005-0000-0000-0000155D0000}"/>
    <cellStyle name="Normal 6 2 2 4 2 2 4" xfId="20693" xr:uid="{00000000-0005-0000-0000-0000D9500000}"/>
    <cellStyle name="Normal 6 2 2 4 2 2 5" xfId="8488" xr:uid="{00000000-0005-0000-0000-00002C210000}"/>
    <cellStyle name="Normal 6 2 2 4 2 3" xfId="3395" xr:uid="{00000000-0005-0000-0000-0000470D0000}"/>
    <cellStyle name="Normal 6 2 2 4 2 3 2" xfId="4437" xr:uid="{00000000-0005-0000-0000-000059110000}"/>
    <cellStyle name="Normal 6 2 2 4 2 3 2 2" xfId="18981" xr:uid="{00000000-0005-0000-0000-0000294A0000}"/>
    <cellStyle name="Normal 6 2 2 4 2 3 2 2 2" xfId="25493" xr:uid="{00000000-0005-0000-0000-000099630000}"/>
    <cellStyle name="Normal 6 2 2 4 2 3 2 3" xfId="22658" xr:uid="{00000000-0005-0000-0000-000086580000}"/>
    <cellStyle name="Normal 6 2 2 4 2 3 2 4" xfId="10753" xr:uid="{00000000-0005-0000-0000-0000052A0000}"/>
    <cellStyle name="Normal 6 2 2 4 2 3 3" xfId="17664" xr:uid="{00000000-0005-0000-0000-000004450000}"/>
    <cellStyle name="Normal 6 2 2 4 2 3 3 2" xfId="24237" xr:uid="{00000000-0005-0000-0000-0000B15E0000}"/>
    <cellStyle name="Normal 6 2 2 4 2 3 4" xfId="21402" xr:uid="{00000000-0005-0000-0000-00009E530000}"/>
    <cellStyle name="Normal 6 2 2 4 2 3 5" xfId="9432" xr:uid="{00000000-0005-0000-0000-0000DC240000}"/>
    <cellStyle name="Normal 6 2 2 4 2 4" xfId="4017" xr:uid="{00000000-0005-0000-0000-0000B50F0000}"/>
    <cellStyle name="Normal 6 2 2 4 2 4 2" xfId="18160" xr:uid="{00000000-0005-0000-0000-0000F4460000}"/>
    <cellStyle name="Normal 6 2 2 4 2 4 2 2" xfId="24672" xr:uid="{00000000-0005-0000-0000-000064600000}"/>
    <cellStyle name="Normal 6 2 2 4 2 4 3" xfId="21837" xr:uid="{00000000-0005-0000-0000-000051550000}"/>
    <cellStyle name="Normal 6 2 2 4 2 4 4" xfId="9932" xr:uid="{00000000-0005-0000-0000-0000D0260000}"/>
    <cellStyle name="Normal 6 2 2 4 2 5" xfId="11203" xr:uid="{00000000-0005-0000-0000-0000C72B0000}"/>
    <cellStyle name="Normal 6 2 2 4 2 5 2" xfId="23090" xr:uid="{00000000-0005-0000-0000-0000365A0000}"/>
    <cellStyle name="Normal 6 2 2 4 2 6" xfId="20275" xr:uid="{00000000-0005-0000-0000-0000374F0000}"/>
    <cellStyle name="Normal 6 2 2 4 2 7" xfId="8069" xr:uid="{00000000-0005-0000-0000-0000891F0000}"/>
    <cellStyle name="Normal 6 2 2 4 3" xfId="3048" xr:uid="{00000000-0005-0000-0000-0000EC0B0000}"/>
    <cellStyle name="Normal 6 2 2 4 3 2" xfId="4122" xr:uid="{00000000-0005-0000-0000-00001E100000}"/>
    <cellStyle name="Normal 6 2 2 4 3 2 2" xfId="10752" xr:uid="{00000000-0005-0000-0000-0000042A0000}"/>
    <cellStyle name="Normal 6 2 2 4 3 2 2 2" xfId="18980" xr:uid="{00000000-0005-0000-0000-0000284A0000}"/>
    <cellStyle name="Normal 6 2 2 4 3 2 2 2 2" xfId="25492" xr:uid="{00000000-0005-0000-0000-000098630000}"/>
    <cellStyle name="Normal 6 2 2 4 3 2 2 3" xfId="22657" xr:uid="{00000000-0005-0000-0000-000085580000}"/>
    <cellStyle name="Normal 6 2 2 4 3 2 3" xfId="17663" xr:uid="{00000000-0005-0000-0000-000003450000}"/>
    <cellStyle name="Normal 6 2 2 4 3 2 3 2" xfId="24236" xr:uid="{00000000-0005-0000-0000-0000B05E0000}"/>
    <cellStyle name="Normal 6 2 2 4 3 2 4" xfId="21401" xr:uid="{00000000-0005-0000-0000-00009D530000}"/>
    <cellStyle name="Normal 6 2 2 4 3 2 5" xfId="9431" xr:uid="{00000000-0005-0000-0000-0000DB240000}"/>
    <cellStyle name="Normal 6 2 2 4 3 3" xfId="10141" xr:uid="{00000000-0005-0000-0000-0000A1270000}"/>
    <cellStyle name="Normal 6 2 2 4 3 3 2" xfId="18369" xr:uid="{00000000-0005-0000-0000-0000C5470000}"/>
    <cellStyle name="Normal 6 2 2 4 3 3 2 2" xfId="24881" xr:uid="{00000000-0005-0000-0000-000035610000}"/>
    <cellStyle name="Normal 6 2 2 4 3 3 3" xfId="22046" xr:uid="{00000000-0005-0000-0000-000022560000}"/>
    <cellStyle name="Normal 6 2 2 4 3 4" xfId="16960" xr:uid="{00000000-0005-0000-0000-000044420000}"/>
    <cellStyle name="Normal 6 2 2 4 3 4 2" xfId="23617" xr:uid="{00000000-0005-0000-0000-0000455C0000}"/>
    <cellStyle name="Normal 6 2 2 4 3 5" xfId="20484" xr:uid="{00000000-0005-0000-0000-000008500000}"/>
    <cellStyle name="Normal 6 2 2 4 3 6" xfId="8279" xr:uid="{00000000-0005-0000-0000-00005B200000}"/>
    <cellStyle name="Normal 6 2 2 4 4" xfId="3274" xr:uid="{00000000-0005-0000-0000-0000CE0C0000}"/>
    <cellStyle name="Normal 6 2 2 4 4 2" xfId="4332" xr:uid="{00000000-0005-0000-0000-0000F0100000}"/>
    <cellStyle name="Normal 6 2 2 4 4 3" xfId="8797" xr:uid="{00000000-0005-0000-0000-000061220000}"/>
    <cellStyle name="Normal 6 2 2 4 5" xfId="3725" xr:uid="{00000000-0005-0000-0000-0000910E0000}"/>
    <cellStyle name="Normal 6 2 2 4 5 2" xfId="17951" xr:uid="{00000000-0005-0000-0000-000023460000}"/>
    <cellStyle name="Normal 6 2 2 4 5 2 2" xfId="24463" xr:uid="{00000000-0005-0000-0000-0000935F0000}"/>
    <cellStyle name="Normal 6 2 2 4 5 3" xfId="21628" xr:uid="{00000000-0005-0000-0000-000080540000}"/>
    <cellStyle name="Normal 6 2 2 4 5 4" xfId="9723" xr:uid="{00000000-0005-0000-0000-0000FF250000}"/>
    <cellStyle name="Normal 6 2 2 4 6" xfId="11202" xr:uid="{00000000-0005-0000-0000-0000C62B0000}"/>
    <cellStyle name="Normal 6 2 2 4 6 2" xfId="23089" xr:uid="{00000000-0005-0000-0000-0000355A0000}"/>
    <cellStyle name="Normal 6 2 2 4 7" xfId="20066" xr:uid="{00000000-0005-0000-0000-0000664E0000}"/>
    <cellStyle name="Normal 6 2 2 4 8" xfId="7836" xr:uid="{00000000-0005-0000-0000-0000A01E0000}"/>
    <cellStyle name="Normal 6 2 2 5" xfId="1295" xr:uid="{00000000-0005-0000-0000-000013050000}"/>
    <cellStyle name="Normal 6 2 2 5 2" xfId="2440" xr:uid="{00000000-0005-0000-0000-00008C090000}"/>
    <cellStyle name="Normal 6 2 2 5 2 2" xfId="3170" xr:uid="{00000000-0005-0000-0000-0000660C0000}"/>
    <cellStyle name="Normal 6 2 2 5 2 2 2" xfId="4228" xr:uid="{00000000-0005-0000-0000-000088100000}"/>
    <cellStyle name="Normal 6 2 2 5 2 2 2 2" xfId="18579" xr:uid="{00000000-0005-0000-0000-000097480000}"/>
    <cellStyle name="Normal 6 2 2 5 2 2 2 2 2" xfId="25091" xr:uid="{00000000-0005-0000-0000-000007620000}"/>
    <cellStyle name="Normal 6 2 2 5 2 2 2 3" xfId="22256" xr:uid="{00000000-0005-0000-0000-0000F4560000}"/>
    <cellStyle name="Normal 6 2 2 5 2 2 2 4" xfId="10351" xr:uid="{00000000-0005-0000-0000-000073280000}"/>
    <cellStyle name="Normal 6 2 2 5 2 2 3" xfId="17169" xr:uid="{00000000-0005-0000-0000-000015430000}"/>
    <cellStyle name="Normal 6 2 2 5 2 2 3 2" xfId="23826" xr:uid="{00000000-0005-0000-0000-0000165D0000}"/>
    <cellStyle name="Normal 6 2 2 5 2 2 4" xfId="20694" xr:uid="{00000000-0005-0000-0000-0000DA500000}"/>
    <cellStyle name="Normal 6 2 2 5 2 2 5" xfId="8489" xr:uid="{00000000-0005-0000-0000-00002D210000}"/>
    <cellStyle name="Normal 6 2 2 5 2 3" xfId="3396" xr:uid="{00000000-0005-0000-0000-0000480D0000}"/>
    <cellStyle name="Normal 6 2 2 5 2 3 2" xfId="4438" xr:uid="{00000000-0005-0000-0000-00005A110000}"/>
    <cellStyle name="Normal 6 2 2 5 2 3 2 2" xfId="18983" xr:uid="{00000000-0005-0000-0000-00002B4A0000}"/>
    <cellStyle name="Normal 6 2 2 5 2 3 2 2 2" xfId="25495" xr:uid="{00000000-0005-0000-0000-00009B630000}"/>
    <cellStyle name="Normal 6 2 2 5 2 3 2 3" xfId="22660" xr:uid="{00000000-0005-0000-0000-000088580000}"/>
    <cellStyle name="Normal 6 2 2 5 2 3 2 4" xfId="10755" xr:uid="{00000000-0005-0000-0000-0000072A0000}"/>
    <cellStyle name="Normal 6 2 2 5 2 3 3" xfId="17666" xr:uid="{00000000-0005-0000-0000-000006450000}"/>
    <cellStyle name="Normal 6 2 2 5 2 3 3 2" xfId="24239" xr:uid="{00000000-0005-0000-0000-0000B35E0000}"/>
    <cellStyle name="Normal 6 2 2 5 2 3 4" xfId="21404" xr:uid="{00000000-0005-0000-0000-0000A0530000}"/>
    <cellStyle name="Normal 6 2 2 5 2 3 5" xfId="9434" xr:uid="{00000000-0005-0000-0000-0000DE240000}"/>
    <cellStyle name="Normal 6 2 2 5 2 4" xfId="4018" xr:uid="{00000000-0005-0000-0000-0000B60F0000}"/>
    <cellStyle name="Normal 6 2 2 5 2 4 2" xfId="18161" xr:uid="{00000000-0005-0000-0000-0000F5460000}"/>
    <cellStyle name="Normal 6 2 2 5 2 4 2 2" xfId="24673" xr:uid="{00000000-0005-0000-0000-000065600000}"/>
    <cellStyle name="Normal 6 2 2 5 2 4 3" xfId="21838" xr:uid="{00000000-0005-0000-0000-000052550000}"/>
    <cellStyle name="Normal 6 2 2 5 2 4 4" xfId="9933" xr:uid="{00000000-0005-0000-0000-0000D1260000}"/>
    <cellStyle name="Normal 6 2 2 5 2 5" xfId="11205" xr:uid="{00000000-0005-0000-0000-0000C92B0000}"/>
    <cellStyle name="Normal 6 2 2 5 2 5 2" xfId="23092" xr:uid="{00000000-0005-0000-0000-0000385A0000}"/>
    <cellStyle name="Normal 6 2 2 5 2 6" xfId="20276" xr:uid="{00000000-0005-0000-0000-0000384F0000}"/>
    <cellStyle name="Normal 6 2 2 5 2 7" xfId="8070" xr:uid="{00000000-0005-0000-0000-00008A1F0000}"/>
    <cellStyle name="Normal 6 2 2 5 3" xfId="3049" xr:uid="{00000000-0005-0000-0000-0000ED0B0000}"/>
    <cellStyle name="Normal 6 2 2 5 3 2" xfId="4123" xr:uid="{00000000-0005-0000-0000-00001F100000}"/>
    <cellStyle name="Normal 6 2 2 5 3 2 2" xfId="10754" xr:uid="{00000000-0005-0000-0000-0000062A0000}"/>
    <cellStyle name="Normal 6 2 2 5 3 2 2 2" xfId="18982" xr:uid="{00000000-0005-0000-0000-00002A4A0000}"/>
    <cellStyle name="Normal 6 2 2 5 3 2 2 2 2" xfId="25494" xr:uid="{00000000-0005-0000-0000-00009A630000}"/>
    <cellStyle name="Normal 6 2 2 5 3 2 2 3" xfId="22659" xr:uid="{00000000-0005-0000-0000-000087580000}"/>
    <cellStyle name="Normal 6 2 2 5 3 2 3" xfId="17665" xr:uid="{00000000-0005-0000-0000-000005450000}"/>
    <cellStyle name="Normal 6 2 2 5 3 2 3 2" xfId="24238" xr:uid="{00000000-0005-0000-0000-0000B25E0000}"/>
    <cellStyle name="Normal 6 2 2 5 3 2 4" xfId="21403" xr:uid="{00000000-0005-0000-0000-00009F530000}"/>
    <cellStyle name="Normal 6 2 2 5 3 2 5" xfId="9433" xr:uid="{00000000-0005-0000-0000-0000DD240000}"/>
    <cellStyle name="Normal 6 2 2 5 3 3" xfId="10142" xr:uid="{00000000-0005-0000-0000-0000A2270000}"/>
    <cellStyle name="Normal 6 2 2 5 3 3 2" xfId="18370" xr:uid="{00000000-0005-0000-0000-0000C6470000}"/>
    <cellStyle name="Normal 6 2 2 5 3 3 2 2" xfId="24882" xr:uid="{00000000-0005-0000-0000-000036610000}"/>
    <cellStyle name="Normal 6 2 2 5 3 3 3" xfId="22047" xr:uid="{00000000-0005-0000-0000-000023560000}"/>
    <cellStyle name="Normal 6 2 2 5 3 4" xfId="16961" xr:uid="{00000000-0005-0000-0000-000045420000}"/>
    <cellStyle name="Normal 6 2 2 5 3 4 2" xfId="23618" xr:uid="{00000000-0005-0000-0000-0000465C0000}"/>
    <cellStyle name="Normal 6 2 2 5 3 5" xfId="20485" xr:uid="{00000000-0005-0000-0000-000009500000}"/>
    <cellStyle name="Normal 6 2 2 5 3 6" xfId="8280" xr:uid="{00000000-0005-0000-0000-00005C200000}"/>
    <cellStyle name="Normal 6 2 2 5 4" xfId="3275" xr:uid="{00000000-0005-0000-0000-0000CF0C0000}"/>
    <cellStyle name="Normal 6 2 2 5 4 2" xfId="4333" xr:uid="{00000000-0005-0000-0000-0000F1100000}"/>
    <cellStyle name="Normal 6 2 2 5 4 3" xfId="8798" xr:uid="{00000000-0005-0000-0000-000062220000}"/>
    <cellStyle name="Normal 6 2 2 5 5" xfId="3726" xr:uid="{00000000-0005-0000-0000-0000920E0000}"/>
    <cellStyle name="Normal 6 2 2 5 5 2" xfId="17952" xr:uid="{00000000-0005-0000-0000-000024460000}"/>
    <cellStyle name="Normal 6 2 2 5 5 2 2" xfId="24464" xr:uid="{00000000-0005-0000-0000-0000945F0000}"/>
    <cellStyle name="Normal 6 2 2 5 5 3" xfId="21629" xr:uid="{00000000-0005-0000-0000-000081540000}"/>
    <cellStyle name="Normal 6 2 2 5 5 4" xfId="9724" xr:uid="{00000000-0005-0000-0000-000000260000}"/>
    <cellStyle name="Normal 6 2 2 5 6" xfId="11204" xr:uid="{00000000-0005-0000-0000-0000C82B0000}"/>
    <cellStyle name="Normal 6 2 2 5 6 2" xfId="23091" xr:uid="{00000000-0005-0000-0000-0000375A0000}"/>
    <cellStyle name="Normal 6 2 2 5 7" xfId="20067" xr:uid="{00000000-0005-0000-0000-0000674E0000}"/>
    <cellStyle name="Normal 6 2 2 5 8" xfId="7837" xr:uid="{00000000-0005-0000-0000-0000A11E0000}"/>
    <cellStyle name="Normal 6 2 2 6" xfId="1296" xr:uid="{00000000-0005-0000-0000-000014050000}"/>
    <cellStyle name="Normal 6 2 2 6 2" xfId="2441" xr:uid="{00000000-0005-0000-0000-00008D090000}"/>
    <cellStyle name="Normal 6 2 2 6 2 2" xfId="3171" xr:uid="{00000000-0005-0000-0000-0000670C0000}"/>
    <cellStyle name="Normal 6 2 2 6 2 2 2" xfId="4229" xr:uid="{00000000-0005-0000-0000-000089100000}"/>
    <cellStyle name="Normal 6 2 2 6 2 2 2 2" xfId="18580" xr:uid="{00000000-0005-0000-0000-000098480000}"/>
    <cellStyle name="Normal 6 2 2 6 2 2 2 2 2" xfId="25092" xr:uid="{00000000-0005-0000-0000-000008620000}"/>
    <cellStyle name="Normal 6 2 2 6 2 2 2 3" xfId="22257" xr:uid="{00000000-0005-0000-0000-0000F5560000}"/>
    <cellStyle name="Normal 6 2 2 6 2 2 2 4" xfId="10352" xr:uid="{00000000-0005-0000-0000-000074280000}"/>
    <cellStyle name="Normal 6 2 2 6 2 2 3" xfId="17170" xr:uid="{00000000-0005-0000-0000-000016430000}"/>
    <cellStyle name="Normal 6 2 2 6 2 2 3 2" xfId="23827" xr:uid="{00000000-0005-0000-0000-0000175D0000}"/>
    <cellStyle name="Normal 6 2 2 6 2 2 4" xfId="20695" xr:uid="{00000000-0005-0000-0000-0000DB500000}"/>
    <cellStyle name="Normal 6 2 2 6 2 2 5" xfId="8490" xr:uid="{00000000-0005-0000-0000-00002E210000}"/>
    <cellStyle name="Normal 6 2 2 6 2 3" xfId="3397" xr:uid="{00000000-0005-0000-0000-0000490D0000}"/>
    <cellStyle name="Normal 6 2 2 6 2 3 2" xfId="4439" xr:uid="{00000000-0005-0000-0000-00005B110000}"/>
    <cellStyle name="Normal 6 2 2 6 2 3 2 2" xfId="18985" xr:uid="{00000000-0005-0000-0000-00002D4A0000}"/>
    <cellStyle name="Normal 6 2 2 6 2 3 2 2 2" xfId="25497" xr:uid="{00000000-0005-0000-0000-00009D630000}"/>
    <cellStyle name="Normal 6 2 2 6 2 3 2 3" xfId="22662" xr:uid="{00000000-0005-0000-0000-00008A580000}"/>
    <cellStyle name="Normal 6 2 2 6 2 3 2 4" xfId="10757" xr:uid="{00000000-0005-0000-0000-0000092A0000}"/>
    <cellStyle name="Normal 6 2 2 6 2 3 3" xfId="17668" xr:uid="{00000000-0005-0000-0000-000008450000}"/>
    <cellStyle name="Normal 6 2 2 6 2 3 3 2" xfId="24241" xr:uid="{00000000-0005-0000-0000-0000B55E0000}"/>
    <cellStyle name="Normal 6 2 2 6 2 3 4" xfId="21406" xr:uid="{00000000-0005-0000-0000-0000A2530000}"/>
    <cellStyle name="Normal 6 2 2 6 2 3 5" xfId="9436" xr:uid="{00000000-0005-0000-0000-0000E0240000}"/>
    <cellStyle name="Normal 6 2 2 6 2 4" xfId="4019" xr:uid="{00000000-0005-0000-0000-0000B70F0000}"/>
    <cellStyle name="Normal 6 2 2 6 2 4 2" xfId="18162" xr:uid="{00000000-0005-0000-0000-0000F6460000}"/>
    <cellStyle name="Normal 6 2 2 6 2 4 2 2" xfId="24674" xr:uid="{00000000-0005-0000-0000-000066600000}"/>
    <cellStyle name="Normal 6 2 2 6 2 4 3" xfId="21839" xr:uid="{00000000-0005-0000-0000-000053550000}"/>
    <cellStyle name="Normal 6 2 2 6 2 4 4" xfId="9934" xr:uid="{00000000-0005-0000-0000-0000D2260000}"/>
    <cellStyle name="Normal 6 2 2 6 2 5" xfId="11207" xr:uid="{00000000-0005-0000-0000-0000CB2B0000}"/>
    <cellStyle name="Normal 6 2 2 6 2 5 2" xfId="23094" xr:uid="{00000000-0005-0000-0000-00003A5A0000}"/>
    <cellStyle name="Normal 6 2 2 6 2 6" xfId="20277" xr:uid="{00000000-0005-0000-0000-0000394F0000}"/>
    <cellStyle name="Normal 6 2 2 6 2 7" xfId="8071" xr:uid="{00000000-0005-0000-0000-00008B1F0000}"/>
    <cellStyle name="Normal 6 2 2 6 3" xfId="3050" xr:uid="{00000000-0005-0000-0000-0000EE0B0000}"/>
    <cellStyle name="Normal 6 2 2 6 3 2" xfId="4124" xr:uid="{00000000-0005-0000-0000-000020100000}"/>
    <cellStyle name="Normal 6 2 2 6 3 2 2" xfId="10756" xr:uid="{00000000-0005-0000-0000-0000082A0000}"/>
    <cellStyle name="Normal 6 2 2 6 3 2 2 2" xfId="18984" xr:uid="{00000000-0005-0000-0000-00002C4A0000}"/>
    <cellStyle name="Normal 6 2 2 6 3 2 2 2 2" xfId="25496" xr:uid="{00000000-0005-0000-0000-00009C630000}"/>
    <cellStyle name="Normal 6 2 2 6 3 2 2 3" xfId="22661" xr:uid="{00000000-0005-0000-0000-000089580000}"/>
    <cellStyle name="Normal 6 2 2 6 3 2 3" xfId="17667" xr:uid="{00000000-0005-0000-0000-000007450000}"/>
    <cellStyle name="Normal 6 2 2 6 3 2 3 2" xfId="24240" xr:uid="{00000000-0005-0000-0000-0000B45E0000}"/>
    <cellStyle name="Normal 6 2 2 6 3 2 4" xfId="21405" xr:uid="{00000000-0005-0000-0000-0000A1530000}"/>
    <cellStyle name="Normal 6 2 2 6 3 2 5" xfId="9435" xr:uid="{00000000-0005-0000-0000-0000DF240000}"/>
    <cellStyle name="Normal 6 2 2 6 3 3" xfId="10143" xr:uid="{00000000-0005-0000-0000-0000A3270000}"/>
    <cellStyle name="Normal 6 2 2 6 3 3 2" xfId="18371" xr:uid="{00000000-0005-0000-0000-0000C7470000}"/>
    <cellStyle name="Normal 6 2 2 6 3 3 2 2" xfId="24883" xr:uid="{00000000-0005-0000-0000-000037610000}"/>
    <cellStyle name="Normal 6 2 2 6 3 3 3" xfId="22048" xr:uid="{00000000-0005-0000-0000-000024560000}"/>
    <cellStyle name="Normal 6 2 2 6 3 4" xfId="16962" xr:uid="{00000000-0005-0000-0000-000046420000}"/>
    <cellStyle name="Normal 6 2 2 6 3 4 2" xfId="23619" xr:uid="{00000000-0005-0000-0000-0000475C0000}"/>
    <cellStyle name="Normal 6 2 2 6 3 5" xfId="20486" xr:uid="{00000000-0005-0000-0000-00000A500000}"/>
    <cellStyle name="Normal 6 2 2 6 3 6" xfId="8281" xr:uid="{00000000-0005-0000-0000-00005D200000}"/>
    <cellStyle name="Normal 6 2 2 6 4" xfId="3276" xr:uid="{00000000-0005-0000-0000-0000D00C0000}"/>
    <cellStyle name="Normal 6 2 2 6 4 2" xfId="4334" xr:uid="{00000000-0005-0000-0000-0000F2100000}"/>
    <cellStyle name="Normal 6 2 2 6 4 3" xfId="8799" xr:uid="{00000000-0005-0000-0000-000063220000}"/>
    <cellStyle name="Normal 6 2 2 6 5" xfId="3727" xr:uid="{00000000-0005-0000-0000-0000930E0000}"/>
    <cellStyle name="Normal 6 2 2 6 5 2" xfId="17953" xr:uid="{00000000-0005-0000-0000-000025460000}"/>
    <cellStyle name="Normal 6 2 2 6 5 2 2" xfId="24465" xr:uid="{00000000-0005-0000-0000-0000955F0000}"/>
    <cellStyle name="Normal 6 2 2 6 5 3" xfId="21630" xr:uid="{00000000-0005-0000-0000-000082540000}"/>
    <cellStyle name="Normal 6 2 2 6 5 4" xfId="9725" xr:uid="{00000000-0005-0000-0000-000001260000}"/>
    <cellStyle name="Normal 6 2 2 6 6" xfId="11206" xr:uid="{00000000-0005-0000-0000-0000CA2B0000}"/>
    <cellStyle name="Normal 6 2 2 6 6 2" xfId="23093" xr:uid="{00000000-0005-0000-0000-0000395A0000}"/>
    <cellStyle name="Normal 6 2 2 6 7" xfId="20068" xr:uid="{00000000-0005-0000-0000-0000684E0000}"/>
    <cellStyle name="Normal 6 2 2 6 8" xfId="7838" xr:uid="{00000000-0005-0000-0000-0000A21E0000}"/>
    <cellStyle name="Normal 6 2 2 7" xfId="1297" xr:uid="{00000000-0005-0000-0000-000015050000}"/>
    <cellStyle name="Normal 6 2 2 7 2" xfId="2442" xr:uid="{00000000-0005-0000-0000-00008E090000}"/>
    <cellStyle name="Normal 6 2 2 7 2 2" xfId="3172" xr:uid="{00000000-0005-0000-0000-0000680C0000}"/>
    <cellStyle name="Normal 6 2 2 7 2 2 2" xfId="4230" xr:uid="{00000000-0005-0000-0000-00008A100000}"/>
    <cellStyle name="Normal 6 2 2 7 2 2 2 2" xfId="18581" xr:uid="{00000000-0005-0000-0000-000099480000}"/>
    <cellStyle name="Normal 6 2 2 7 2 2 2 2 2" xfId="25093" xr:uid="{00000000-0005-0000-0000-000009620000}"/>
    <cellStyle name="Normal 6 2 2 7 2 2 2 3" xfId="22258" xr:uid="{00000000-0005-0000-0000-0000F6560000}"/>
    <cellStyle name="Normal 6 2 2 7 2 2 2 4" xfId="10353" xr:uid="{00000000-0005-0000-0000-000075280000}"/>
    <cellStyle name="Normal 6 2 2 7 2 2 3" xfId="17171" xr:uid="{00000000-0005-0000-0000-000017430000}"/>
    <cellStyle name="Normal 6 2 2 7 2 2 3 2" xfId="23828" xr:uid="{00000000-0005-0000-0000-0000185D0000}"/>
    <cellStyle name="Normal 6 2 2 7 2 2 4" xfId="20696" xr:uid="{00000000-0005-0000-0000-0000DC500000}"/>
    <cellStyle name="Normal 6 2 2 7 2 2 5" xfId="8491" xr:uid="{00000000-0005-0000-0000-00002F210000}"/>
    <cellStyle name="Normal 6 2 2 7 2 3" xfId="3398" xr:uid="{00000000-0005-0000-0000-00004A0D0000}"/>
    <cellStyle name="Normal 6 2 2 7 2 3 2" xfId="4440" xr:uid="{00000000-0005-0000-0000-00005C110000}"/>
    <cellStyle name="Normal 6 2 2 7 2 3 2 2" xfId="18987" xr:uid="{00000000-0005-0000-0000-00002F4A0000}"/>
    <cellStyle name="Normal 6 2 2 7 2 3 2 2 2" xfId="25499" xr:uid="{00000000-0005-0000-0000-00009F630000}"/>
    <cellStyle name="Normal 6 2 2 7 2 3 2 3" xfId="22664" xr:uid="{00000000-0005-0000-0000-00008C580000}"/>
    <cellStyle name="Normal 6 2 2 7 2 3 2 4" xfId="10759" xr:uid="{00000000-0005-0000-0000-00000B2A0000}"/>
    <cellStyle name="Normal 6 2 2 7 2 3 3" xfId="17670" xr:uid="{00000000-0005-0000-0000-00000A450000}"/>
    <cellStyle name="Normal 6 2 2 7 2 3 3 2" xfId="24243" xr:uid="{00000000-0005-0000-0000-0000B75E0000}"/>
    <cellStyle name="Normal 6 2 2 7 2 3 4" xfId="21408" xr:uid="{00000000-0005-0000-0000-0000A4530000}"/>
    <cellStyle name="Normal 6 2 2 7 2 3 5" xfId="9438" xr:uid="{00000000-0005-0000-0000-0000E2240000}"/>
    <cellStyle name="Normal 6 2 2 7 2 4" xfId="4020" xr:uid="{00000000-0005-0000-0000-0000B80F0000}"/>
    <cellStyle name="Normal 6 2 2 7 2 4 2" xfId="18163" xr:uid="{00000000-0005-0000-0000-0000F7460000}"/>
    <cellStyle name="Normal 6 2 2 7 2 4 2 2" xfId="24675" xr:uid="{00000000-0005-0000-0000-000067600000}"/>
    <cellStyle name="Normal 6 2 2 7 2 4 3" xfId="21840" xr:uid="{00000000-0005-0000-0000-000054550000}"/>
    <cellStyle name="Normal 6 2 2 7 2 4 4" xfId="9935" xr:uid="{00000000-0005-0000-0000-0000D3260000}"/>
    <cellStyle name="Normal 6 2 2 7 2 5" xfId="11209" xr:uid="{00000000-0005-0000-0000-0000CD2B0000}"/>
    <cellStyle name="Normal 6 2 2 7 2 5 2" xfId="23096" xr:uid="{00000000-0005-0000-0000-00003C5A0000}"/>
    <cellStyle name="Normal 6 2 2 7 2 6" xfId="20278" xr:uid="{00000000-0005-0000-0000-00003A4F0000}"/>
    <cellStyle name="Normal 6 2 2 7 2 7" xfId="8072" xr:uid="{00000000-0005-0000-0000-00008C1F0000}"/>
    <cellStyle name="Normal 6 2 2 7 3" xfId="3051" xr:uid="{00000000-0005-0000-0000-0000EF0B0000}"/>
    <cellStyle name="Normal 6 2 2 7 3 2" xfId="4125" xr:uid="{00000000-0005-0000-0000-000021100000}"/>
    <cellStyle name="Normal 6 2 2 7 3 2 2" xfId="10758" xr:uid="{00000000-0005-0000-0000-00000A2A0000}"/>
    <cellStyle name="Normal 6 2 2 7 3 2 2 2" xfId="18986" xr:uid="{00000000-0005-0000-0000-00002E4A0000}"/>
    <cellStyle name="Normal 6 2 2 7 3 2 2 2 2" xfId="25498" xr:uid="{00000000-0005-0000-0000-00009E630000}"/>
    <cellStyle name="Normal 6 2 2 7 3 2 2 3" xfId="22663" xr:uid="{00000000-0005-0000-0000-00008B580000}"/>
    <cellStyle name="Normal 6 2 2 7 3 2 3" xfId="17669" xr:uid="{00000000-0005-0000-0000-000009450000}"/>
    <cellStyle name="Normal 6 2 2 7 3 2 3 2" xfId="24242" xr:uid="{00000000-0005-0000-0000-0000B65E0000}"/>
    <cellStyle name="Normal 6 2 2 7 3 2 4" xfId="21407" xr:uid="{00000000-0005-0000-0000-0000A3530000}"/>
    <cellStyle name="Normal 6 2 2 7 3 2 5" xfId="9437" xr:uid="{00000000-0005-0000-0000-0000E1240000}"/>
    <cellStyle name="Normal 6 2 2 7 3 3" xfId="10144" xr:uid="{00000000-0005-0000-0000-0000A4270000}"/>
    <cellStyle name="Normal 6 2 2 7 3 3 2" xfId="18372" xr:uid="{00000000-0005-0000-0000-0000C8470000}"/>
    <cellStyle name="Normal 6 2 2 7 3 3 2 2" xfId="24884" xr:uid="{00000000-0005-0000-0000-000038610000}"/>
    <cellStyle name="Normal 6 2 2 7 3 3 3" xfId="22049" xr:uid="{00000000-0005-0000-0000-000025560000}"/>
    <cellStyle name="Normal 6 2 2 7 3 4" xfId="16963" xr:uid="{00000000-0005-0000-0000-000047420000}"/>
    <cellStyle name="Normal 6 2 2 7 3 4 2" xfId="23620" xr:uid="{00000000-0005-0000-0000-0000485C0000}"/>
    <cellStyle name="Normal 6 2 2 7 3 5" xfId="20487" xr:uid="{00000000-0005-0000-0000-00000B500000}"/>
    <cellStyle name="Normal 6 2 2 7 3 6" xfId="8282" xr:uid="{00000000-0005-0000-0000-00005E200000}"/>
    <cellStyle name="Normal 6 2 2 7 4" xfId="3277" xr:uid="{00000000-0005-0000-0000-0000D10C0000}"/>
    <cellStyle name="Normal 6 2 2 7 4 2" xfId="4335" xr:uid="{00000000-0005-0000-0000-0000F3100000}"/>
    <cellStyle name="Normal 6 2 2 7 4 3" xfId="8800" xr:uid="{00000000-0005-0000-0000-000064220000}"/>
    <cellStyle name="Normal 6 2 2 7 5" xfId="3728" xr:uid="{00000000-0005-0000-0000-0000940E0000}"/>
    <cellStyle name="Normal 6 2 2 7 5 2" xfId="17954" xr:uid="{00000000-0005-0000-0000-000026460000}"/>
    <cellStyle name="Normal 6 2 2 7 5 2 2" xfId="24466" xr:uid="{00000000-0005-0000-0000-0000965F0000}"/>
    <cellStyle name="Normal 6 2 2 7 5 3" xfId="21631" xr:uid="{00000000-0005-0000-0000-000083540000}"/>
    <cellStyle name="Normal 6 2 2 7 5 4" xfId="9726" xr:uid="{00000000-0005-0000-0000-000002260000}"/>
    <cellStyle name="Normal 6 2 2 7 6" xfId="11208" xr:uid="{00000000-0005-0000-0000-0000CC2B0000}"/>
    <cellStyle name="Normal 6 2 2 7 6 2" xfId="23095" xr:uid="{00000000-0005-0000-0000-00003B5A0000}"/>
    <cellStyle name="Normal 6 2 2 7 7" xfId="20069" xr:uid="{00000000-0005-0000-0000-0000694E0000}"/>
    <cellStyle name="Normal 6 2 2 7 8" xfId="7839" xr:uid="{00000000-0005-0000-0000-0000A31E0000}"/>
    <cellStyle name="Normal 6 2 2 8" xfId="1298" xr:uid="{00000000-0005-0000-0000-000016050000}"/>
    <cellStyle name="Normal 6 2 2 8 2" xfId="2443" xr:uid="{00000000-0005-0000-0000-00008F090000}"/>
    <cellStyle name="Normal 6 2 2 8 2 2" xfId="3173" xr:uid="{00000000-0005-0000-0000-0000690C0000}"/>
    <cellStyle name="Normal 6 2 2 8 2 2 2" xfId="4231" xr:uid="{00000000-0005-0000-0000-00008B100000}"/>
    <cellStyle name="Normal 6 2 2 8 2 2 2 2" xfId="18582" xr:uid="{00000000-0005-0000-0000-00009A480000}"/>
    <cellStyle name="Normal 6 2 2 8 2 2 2 2 2" xfId="25094" xr:uid="{00000000-0005-0000-0000-00000A620000}"/>
    <cellStyle name="Normal 6 2 2 8 2 2 2 3" xfId="22259" xr:uid="{00000000-0005-0000-0000-0000F7560000}"/>
    <cellStyle name="Normal 6 2 2 8 2 2 2 4" xfId="10354" xr:uid="{00000000-0005-0000-0000-000076280000}"/>
    <cellStyle name="Normal 6 2 2 8 2 2 3" xfId="17172" xr:uid="{00000000-0005-0000-0000-000018430000}"/>
    <cellStyle name="Normal 6 2 2 8 2 2 3 2" xfId="23829" xr:uid="{00000000-0005-0000-0000-0000195D0000}"/>
    <cellStyle name="Normal 6 2 2 8 2 2 4" xfId="20697" xr:uid="{00000000-0005-0000-0000-0000DD500000}"/>
    <cellStyle name="Normal 6 2 2 8 2 2 5" xfId="8492" xr:uid="{00000000-0005-0000-0000-000030210000}"/>
    <cellStyle name="Normal 6 2 2 8 2 3" xfId="3399" xr:uid="{00000000-0005-0000-0000-00004B0D0000}"/>
    <cellStyle name="Normal 6 2 2 8 2 3 2" xfId="4441" xr:uid="{00000000-0005-0000-0000-00005D110000}"/>
    <cellStyle name="Normal 6 2 2 8 2 3 2 2" xfId="18989" xr:uid="{00000000-0005-0000-0000-0000314A0000}"/>
    <cellStyle name="Normal 6 2 2 8 2 3 2 2 2" xfId="25501" xr:uid="{00000000-0005-0000-0000-0000A1630000}"/>
    <cellStyle name="Normal 6 2 2 8 2 3 2 3" xfId="22666" xr:uid="{00000000-0005-0000-0000-00008E580000}"/>
    <cellStyle name="Normal 6 2 2 8 2 3 2 4" xfId="10761" xr:uid="{00000000-0005-0000-0000-00000D2A0000}"/>
    <cellStyle name="Normal 6 2 2 8 2 3 3" xfId="17672" xr:uid="{00000000-0005-0000-0000-00000C450000}"/>
    <cellStyle name="Normal 6 2 2 8 2 3 3 2" xfId="24245" xr:uid="{00000000-0005-0000-0000-0000B95E0000}"/>
    <cellStyle name="Normal 6 2 2 8 2 3 4" xfId="21410" xr:uid="{00000000-0005-0000-0000-0000A6530000}"/>
    <cellStyle name="Normal 6 2 2 8 2 3 5" xfId="9440" xr:uid="{00000000-0005-0000-0000-0000E4240000}"/>
    <cellStyle name="Normal 6 2 2 8 2 4" xfId="4021" xr:uid="{00000000-0005-0000-0000-0000B90F0000}"/>
    <cellStyle name="Normal 6 2 2 8 2 4 2" xfId="18164" xr:uid="{00000000-0005-0000-0000-0000F8460000}"/>
    <cellStyle name="Normal 6 2 2 8 2 4 2 2" xfId="24676" xr:uid="{00000000-0005-0000-0000-000068600000}"/>
    <cellStyle name="Normal 6 2 2 8 2 4 3" xfId="21841" xr:uid="{00000000-0005-0000-0000-000055550000}"/>
    <cellStyle name="Normal 6 2 2 8 2 4 4" xfId="9936" xr:uid="{00000000-0005-0000-0000-0000D4260000}"/>
    <cellStyle name="Normal 6 2 2 8 2 5" xfId="11211" xr:uid="{00000000-0005-0000-0000-0000CF2B0000}"/>
    <cellStyle name="Normal 6 2 2 8 2 5 2" xfId="23098" xr:uid="{00000000-0005-0000-0000-00003E5A0000}"/>
    <cellStyle name="Normal 6 2 2 8 2 6" xfId="20279" xr:uid="{00000000-0005-0000-0000-00003B4F0000}"/>
    <cellStyle name="Normal 6 2 2 8 2 7" xfId="8073" xr:uid="{00000000-0005-0000-0000-00008D1F0000}"/>
    <cellStyle name="Normal 6 2 2 8 3" xfId="3052" xr:uid="{00000000-0005-0000-0000-0000F00B0000}"/>
    <cellStyle name="Normal 6 2 2 8 3 2" xfId="4126" xr:uid="{00000000-0005-0000-0000-000022100000}"/>
    <cellStyle name="Normal 6 2 2 8 3 2 2" xfId="10760" xr:uid="{00000000-0005-0000-0000-00000C2A0000}"/>
    <cellStyle name="Normal 6 2 2 8 3 2 2 2" xfId="18988" xr:uid="{00000000-0005-0000-0000-0000304A0000}"/>
    <cellStyle name="Normal 6 2 2 8 3 2 2 2 2" xfId="25500" xr:uid="{00000000-0005-0000-0000-0000A0630000}"/>
    <cellStyle name="Normal 6 2 2 8 3 2 2 3" xfId="22665" xr:uid="{00000000-0005-0000-0000-00008D580000}"/>
    <cellStyle name="Normal 6 2 2 8 3 2 3" xfId="17671" xr:uid="{00000000-0005-0000-0000-00000B450000}"/>
    <cellStyle name="Normal 6 2 2 8 3 2 3 2" xfId="24244" xr:uid="{00000000-0005-0000-0000-0000B85E0000}"/>
    <cellStyle name="Normal 6 2 2 8 3 2 4" xfId="21409" xr:uid="{00000000-0005-0000-0000-0000A5530000}"/>
    <cellStyle name="Normal 6 2 2 8 3 2 5" xfId="9439" xr:uid="{00000000-0005-0000-0000-0000E3240000}"/>
    <cellStyle name="Normal 6 2 2 8 3 3" xfId="10145" xr:uid="{00000000-0005-0000-0000-0000A5270000}"/>
    <cellStyle name="Normal 6 2 2 8 3 3 2" xfId="18373" xr:uid="{00000000-0005-0000-0000-0000C9470000}"/>
    <cellStyle name="Normal 6 2 2 8 3 3 2 2" xfId="24885" xr:uid="{00000000-0005-0000-0000-000039610000}"/>
    <cellStyle name="Normal 6 2 2 8 3 3 3" xfId="22050" xr:uid="{00000000-0005-0000-0000-000026560000}"/>
    <cellStyle name="Normal 6 2 2 8 3 4" xfId="16964" xr:uid="{00000000-0005-0000-0000-000048420000}"/>
    <cellStyle name="Normal 6 2 2 8 3 4 2" xfId="23621" xr:uid="{00000000-0005-0000-0000-0000495C0000}"/>
    <cellStyle name="Normal 6 2 2 8 3 5" xfId="20488" xr:uid="{00000000-0005-0000-0000-00000C500000}"/>
    <cellStyle name="Normal 6 2 2 8 3 6" xfId="8283" xr:uid="{00000000-0005-0000-0000-00005F200000}"/>
    <cellStyle name="Normal 6 2 2 8 4" xfId="3278" xr:uid="{00000000-0005-0000-0000-0000D20C0000}"/>
    <cellStyle name="Normal 6 2 2 8 4 2" xfId="4336" xr:uid="{00000000-0005-0000-0000-0000F4100000}"/>
    <cellStyle name="Normal 6 2 2 8 4 3" xfId="8801" xr:uid="{00000000-0005-0000-0000-000065220000}"/>
    <cellStyle name="Normal 6 2 2 8 5" xfId="3729" xr:uid="{00000000-0005-0000-0000-0000950E0000}"/>
    <cellStyle name="Normal 6 2 2 8 5 2" xfId="17955" xr:uid="{00000000-0005-0000-0000-000027460000}"/>
    <cellStyle name="Normal 6 2 2 8 5 2 2" xfId="24467" xr:uid="{00000000-0005-0000-0000-0000975F0000}"/>
    <cellStyle name="Normal 6 2 2 8 5 3" xfId="21632" xr:uid="{00000000-0005-0000-0000-000084540000}"/>
    <cellStyle name="Normal 6 2 2 8 5 4" xfId="9727" xr:uid="{00000000-0005-0000-0000-000003260000}"/>
    <cellStyle name="Normal 6 2 2 8 6" xfId="11210" xr:uid="{00000000-0005-0000-0000-0000CE2B0000}"/>
    <cellStyle name="Normal 6 2 2 8 6 2" xfId="23097" xr:uid="{00000000-0005-0000-0000-00003D5A0000}"/>
    <cellStyle name="Normal 6 2 2 8 7" xfId="20070" xr:uid="{00000000-0005-0000-0000-00006A4E0000}"/>
    <cellStyle name="Normal 6 2 2 8 8" xfId="7840" xr:uid="{00000000-0005-0000-0000-0000A41E0000}"/>
    <cellStyle name="Normal 6 2 2 9" xfId="1299" xr:uid="{00000000-0005-0000-0000-000017050000}"/>
    <cellStyle name="Normal 6 2 2 9 2" xfId="2444" xr:uid="{00000000-0005-0000-0000-000090090000}"/>
    <cellStyle name="Normal 6 2 2 9 2 2" xfId="3174" xr:uid="{00000000-0005-0000-0000-00006A0C0000}"/>
    <cellStyle name="Normal 6 2 2 9 2 2 2" xfId="4232" xr:uid="{00000000-0005-0000-0000-00008C100000}"/>
    <cellStyle name="Normal 6 2 2 9 2 2 2 2" xfId="18583" xr:uid="{00000000-0005-0000-0000-00009B480000}"/>
    <cellStyle name="Normal 6 2 2 9 2 2 2 2 2" xfId="25095" xr:uid="{00000000-0005-0000-0000-00000B620000}"/>
    <cellStyle name="Normal 6 2 2 9 2 2 2 3" xfId="22260" xr:uid="{00000000-0005-0000-0000-0000F8560000}"/>
    <cellStyle name="Normal 6 2 2 9 2 2 2 4" xfId="10355" xr:uid="{00000000-0005-0000-0000-000077280000}"/>
    <cellStyle name="Normal 6 2 2 9 2 2 3" xfId="17173" xr:uid="{00000000-0005-0000-0000-000019430000}"/>
    <cellStyle name="Normal 6 2 2 9 2 2 3 2" xfId="23830" xr:uid="{00000000-0005-0000-0000-00001A5D0000}"/>
    <cellStyle name="Normal 6 2 2 9 2 2 4" xfId="20698" xr:uid="{00000000-0005-0000-0000-0000DE500000}"/>
    <cellStyle name="Normal 6 2 2 9 2 2 5" xfId="8493" xr:uid="{00000000-0005-0000-0000-000031210000}"/>
    <cellStyle name="Normal 6 2 2 9 2 3" xfId="3400" xr:uid="{00000000-0005-0000-0000-00004C0D0000}"/>
    <cellStyle name="Normal 6 2 2 9 2 3 2" xfId="4442" xr:uid="{00000000-0005-0000-0000-00005E110000}"/>
    <cellStyle name="Normal 6 2 2 9 2 3 2 2" xfId="18991" xr:uid="{00000000-0005-0000-0000-0000334A0000}"/>
    <cellStyle name="Normal 6 2 2 9 2 3 2 2 2" xfId="25503" xr:uid="{00000000-0005-0000-0000-0000A3630000}"/>
    <cellStyle name="Normal 6 2 2 9 2 3 2 3" xfId="22668" xr:uid="{00000000-0005-0000-0000-000090580000}"/>
    <cellStyle name="Normal 6 2 2 9 2 3 2 4" xfId="10763" xr:uid="{00000000-0005-0000-0000-00000F2A0000}"/>
    <cellStyle name="Normal 6 2 2 9 2 3 3" xfId="17674" xr:uid="{00000000-0005-0000-0000-00000E450000}"/>
    <cellStyle name="Normal 6 2 2 9 2 3 3 2" xfId="24247" xr:uid="{00000000-0005-0000-0000-0000BB5E0000}"/>
    <cellStyle name="Normal 6 2 2 9 2 3 4" xfId="21412" xr:uid="{00000000-0005-0000-0000-0000A8530000}"/>
    <cellStyle name="Normal 6 2 2 9 2 3 5" xfId="9442" xr:uid="{00000000-0005-0000-0000-0000E6240000}"/>
    <cellStyle name="Normal 6 2 2 9 2 4" xfId="4022" xr:uid="{00000000-0005-0000-0000-0000BA0F0000}"/>
    <cellStyle name="Normal 6 2 2 9 2 4 2" xfId="18165" xr:uid="{00000000-0005-0000-0000-0000F9460000}"/>
    <cellStyle name="Normal 6 2 2 9 2 4 2 2" xfId="24677" xr:uid="{00000000-0005-0000-0000-000069600000}"/>
    <cellStyle name="Normal 6 2 2 9 2 4 3" xfId="21842" xr:uid="{00000000-0005-0000-0000-000056550000}"/>
    <cellStyle name="Normal 6 2 2 9 2 4 4" xfId="9937" xr:uid="{00000000-0005-0000-0000-0000D5260000}"/>
    <cellStyle name="Normal 6 2 2 9 2 5" xfId="11213" xr:uid="{00000000-0005-0000-0000-0000D12B0000}"/>
    <cellStyle name="Normal 6 2 2 9 2 5 2" xfId="23100" xr:uid="{00000000-0005-0000-0000-0000405A0000}"/>
    <cellStyle name="Normal 6 2 2 9 2 6" xfId="20280" xr:uid="{00000000-0005-0000-0000-00003C4F0000}"/>
    <cellStyle name="Normal 6 2 2 9 2 7" xfId="8074" xr:uid="{00000000-0005-0000-0000-00008E1F0000}"/>
    <cellStyle name="Normal 6 2 2 9 3" xfId="3053" xr:uid="{00000000-0005-0000-0000-0000F10B0000}"/>
    <cellStyle name="Normal 6 2 2 9 3 2" xfId="4127" xr:uid="{00000000-0005-0000-0000-000023100000}"/>
    <cellStyle name="Normal 6 2 2 9 3 2 2" xfId="10762" xr:uid="{00000000-0005-0000-0000-00000E2A0000}"/>
    <cellStyle name="Normal 6 2 2 9 3 2 2 2" xfId="18990" xr:uid="{00000000-0005-0000-0000-0000324A0000}"/>
    <cellStyle name="Normal 6 2 2 9 3 2 2 2 2" xfId="25502" xr:uid="{00000000-0005-0000-0000-0000A2630000}"/>
    <cellStyle name="Normal 6 2 2 9 3 2 2 3" xfId="22667" xr:uid="{00000000-0005-0000-0000-00008F580000}"/>
    <cellStyle name="Normal 6 2 2 9 3 2 3" xfId="17673" xr:uid="{00000000-0005-0000-0000-00000D450000}"/>
    <cellStyle name="Normal 6 2 2 9 3 2 3 2" xfId="24246" xr:uid="{00000000-0005-0000-0000-0000BA5E0000}"/>
    <cellStyle name="Normal 6 2 2 9 3 2 4" xfId="21411" xr:uid="{00000000-0005-0000-0000-0000A7530000}"/>
    <cellStyle name="Normal 6 2 2 9 3 2 5" xfId="9441" xr:uid="{00000000-0005-0000-0000-0000E5240000}"/>
    <cellStyle name="Normal 6 2 2 9 3 3" xfId="10146" xr:uid="{00000000-0005-0000-0000-0000A6270000}"/>
    <cellStyle name="Normal 6 2 2 9 3 3 2" xfId="18374" xr:uid="{00000000-0005-0000-0000-0000CA470000}"/>
    <cellStyle name="Normal 6 2 2 9 3 3 2 2" xfId="24886" xr:uid="{00000000-0005-0000-0000-00003A610000}"/>
    <cellStyle name="Normal 6 2 2 9 3 3 3" xfId="22051" xr:uid="{00000000-0005-0000-0000-000027560000}"/>
    <cellStyle name="Normal 6 2 2 9 3 4" xfId="16965" xr:uid="{00000000-0005-0000-0000-000049420000}"/>
    <cellStyle name="Normal 6 2 2 9 3 4 2" xfId="23622" xr:uid="{00000000-0005-0000-0000-00004A5C0000}"/>
    <cellStyle name="Normal 6 2 2 9 3 5" xfId="20489" xr:uid="{00000000-0005-0000-0000-00000D500000}"/>
    <cellStyle name="Normal 6 2 2 9 3 6" xfId="8284" xr:uid="{00000000-0005-0000-0000-000060200000}"/>
    <cellStyle name="Normal 6 2 2 9 4" xfId="3279" xr:uid="{00000000-0005-0000-0000-0000D30C0000}"/>
    <cellStyle name="Normal 6 2 2 9 4 2" xfId="4337" xr:uid="{00000000-0005-0000-0000-0000F5100000}"/>
    <cellStyle name="Normal 6 2 2 9 4 3" xfId="8802" xr:uid="{00000000-0005-0000-0000-000066220000}"/>
    <cellStyle name="Normal 6 2 2 9 5" xfId="3730" xr:uid="{00000000-0005-0000-0000-0000960E0000}"/>
    <cellStyle name="Normal 6 2 2 9 5 2" xfId="17956" xr:uid="{00000000-0005-0000-0000-000028460000}"/>
    <cellStyle name="Normal 6 2 2 9 5 2 2" xfId="24468" xr:uid="{00000000-0005-0000-0000-0000985F0000}"/>
    <cellStyle name="Normal 6 2 2 9 5 3" xfId="21633" xr:uid="{00000000-0005-0000-0000-000085540000}"/>
    <cellStyle name="Normal 6 2 2 9 5 4" xfId="9728" xr:uid="{00000000-0005-0000-0000-000004260000}"/>
    <cellStyle name="Normal 6 2 2 9 6" xfId="11212" xr:uid="{00000000-0005-0000-0000-0000D02B0000}"/>
    <cellStyle name="Normal 6 2 2 9 6 2" xfId="23099" xr:uid="{00000000-0005-0000-0000-00003F5A0000}"/>
    <cellStyle name="Normal 6 2 2 9 7" xfId="20071" xr:uid="{00000000-0005-0000-0000-00006B4E0000}"/>
    <cellStyle name="Normal 6 2 2 9 8" xfId="7841" xr:uid="{00000000-0005-0000-0000-0000A51E0000}"/>
    <cellStyle name="Normal 6 2 3" xfId="1300" xr:uid="{00000000-0005-0000-0000-000018050000}"/>
    <cellStyle name="Normal 6 2 3 2" xfId="2445" xr:uid="{00000000-0005-0000-0000-000091090000}"/>
    <cellStyle name="Normal 6 2 4" xfId="1301" xr:uid="{00000000-0005-0000-0000-000019050000}"/>
    <cellStyle name="Normal 6 2 4 2" xfId="2446" xr:uid="{00000000-0005-0000-0000-000092090000}"/>
    <cellStyle name="Normal 6 2 5" xfId="1302" xr:uid="{00000000-0005-0000-0000-00001A050000}"/>
    <cellStyle name="Normal 6 2 5 2" xfId="2447" xr:uid="{00000000-0005-0000-0000-000093090000}"/>
    <cellStyle name="Normal 6 2 6" xfId="1303" xr:uid="{00000000-0005-0000-0000-00001B050000}"/>
    <cellStyle name="Normal 6 2 6 2" xfId="2448" xr:uid="{00000000-0005-0000-0000-000094090000}"/>
    <cellStyle name="Normal 6 2 7" xfId="1304" xr:uid="{00000000-0005-0000-0000-00001C050000}"/>
    <cellStyle name="Normal 6 2 7 2" xfId="2449" xr:uid="{00000000-0005-0000-0000-000095090000}"/>
    <cellStyle name="Normal 6 2 8" xfId="1305" xr:uid="{00000000-0005-0000-0000-00001D050000}"/>
    <cellStyle name="Normal 6 2 8 2" xfId="2450" xr:uid="{00000000-0005-0000-0000-000096090000}"/>
    <cellStyle name="Normal 6 2 9" xfId="2431" xr:uid="{00000000-0005-0000-0000-000083090000}"/>
    <cellStyle name="Normal 6 3" xfId="141" xr:uid="{00000000-0005-0000-0000-000091000000}"/>
    <cellStyle name="Normal 6 3 10" xfId="1306" xr:uid="{00000000-0005-0000-0000-00001E050000}"/>
    <cellStyle name="Normal 6 3 11" xfId="6459" xr:uid="{00000000-0005-0000-0000-00003F190000}"/>
    <cellStyle name="Normal 6 3 12" xfId="6460" xr:uid="{00000000-0005-0000-0000-000040190000}"/>
    <cellStyle name="Normal 6 3 13" xfId="6461" xr:uid="{00000000-0005-0000-0000-000041190000}"/>
    <cellStyle name="Normal 6 3 14" xfId="6462" xr:uid="{00000000-0005-0000-0000-000042190000}"/>
    <cellStyle name="Normal 6 3 15" xfId="6463" xr:uid="{00000000-0005-0000-0000-000043190000}"/>
    <cellStyle name="Normal 6 3 16" xfId="6464" xr:uid="{00000000-0005-0000-0000-000044190000}"/>
    <cellStyle name="Normal 6 3 17" xfId="6458" xr:uid="{00000000-0005-0000-0000-00003E190000}"/>
    <cellStyle name="Normal 6 3 17 2" xfId="7960" xr:uid="{00000000-0005-0000-0000-00001C1F0000}"/>
    <cellStyle name="Normal 6 3 17 2 2" xfId="8379" xr:uid="{00000000-0005-0000-0000-0000BF200000}"/>
    <cellStyle name="Normal 6 3 17 2 2 2" xfId="10241" xr:uid="{00000000-0005-0000-0000-000005280000}"/>
    <cellStyle name="Normal 6 3 17 2 2 2 2" xfId="18469" xr:uid="{00000000-0005-0000-0000-000029480000}"/>
    <cellStyle name="Normal 6 3 17 2 2 2 2 2" xfId="24981" xr:uid="{00000000-0005-0000-0000-000099610000}"/>
    <cellStyle name="Normal 6 3 17 2 2 2 3" xfId="22146" xr:uid="{00000000-0005-0000-0000-000086560000}"/>
    <cellStyle name="Normal 6 3 17 2 2 3" xfId="17059" xr:uid="{00000000-0005-0000-0000-0000A7420000}"/>
    <cellStyle name="Normal 6 3 17 2 2 3 2" xfId="23716" xr:uid="{00000000-0005-0000-0000-0000A85C0000}"/>
    <cellStyle name="Normal 6 3 17 2 2 4" xfId="20584" xr:uid="{00000000-0005-0000-0000-00006C500000}"/>
    <cellStyle name="Normal 6 3 17 2 3" xfId="9444" xr:uid="{00000000-0005-0000-0000-0000E8240000}"/>
    <cellStyle name="Normal 6 3 17 2 3 2" xfId="10765" xr:uid="{00000000-0005-0000-0000-0000112A0000}"/>
    <cellStyle name="Normal 6 3 17 2 3 2 2" xfId="18993" xr:uid="{00000000-0005-0000-0000-0000354A0000}"/>
    <cellStyle name="Normal 6 3 17 2 3 2 2 2" xfId="25505" xr:uid="{00000000-0005-0000-0000-0000A5630000}"/>
    <cellStyle name="Normal 6 3 17 2 3 2 3" xfId="22670" xr:uid="{00000000-0005-0000-0000-000092580000}"/>
    <cellStyle name="Normal 6 3 17 2 3 3" xfId="17676" xr:uid="{00000000-0005-0000-0000-000010450000}"/>
    <cellStyle name="Normal 6 3 17 2 3 3 2" xfId="24249" xr:uid="{00000000-0005-0000-0000-0000BD5E0000}"/>
    <cellStyle name="Normal 6 3 17 2 3 4" xfId="21414" xr:uid="{00000000-0005-0000-0000-0000AA530000}"/>
    <cellStyle name="Normal 6 3 17 2 4" xfId="9823" xr:uid="{00000000-0005-0000-0000-000063260000}"/>
    <cellStyle name="Normal 6 3 17 2 4 2" xfId="18051" xr:uid="{00000000-0005-0000-0000-000087460000}"/>
    <cellStyle name="Normal 6 3 17 2 4 2 2" xfId="24563" xr:uid="{00000000-0005-0000-0000-0000F75F0000}"/>
    <cellStyle name="Normal 6 3 17 2 4 3" xfId="21728" xr:uid="{00000000-0005-0000-0000-0000E4540000}"/>
    <cellStyle name="Normal 6 3 17 2 5" xfId="11215" xr:uid="{00000000-0005-0000-0000-0000D32B0000}"/>
    <cellStyle name="Normal 6 3 17 2 5 2" xfId="23102" xr:uid="{00000000-0005-0000-0000-0000425A0000}"/>
    <cellStyle name="Normal 6 3 17 2 6" xfId="20166" xr:uid="{00000000-0005-0000-0000-0000CA4E0000}"/>
    <cellStyle name="Normal 6 3 17 3" xfId="8170" xr:uid="{00000000-0005-0000-0000-0000EE1F0000}"/>
    <cellStyle name="Normal 6 3 17 3 2" xfId="10032" xr:uid="{00000000-0005-0000-0000-000034270000}"/>
    <cellStyle name="Normal 6 3 17 3 2 2" xfId="18260" xr:uid="{00000000-0005-0000-0000-000058470000}"/>
    <cellStyle name="Normal 6 3 17 3 2 2 2" xfId="24772" xr:uid="{00000000-0005-0000-0000-0000C8600000}"/>
    <cellStyle name="Normal 6 3 17 3 2 3" xfId="21937" xr:uid="{00000000-0005-0000-0000-0000B5550000}"/>
    <cellStyle name="Normal 6 3 17 3 3" xfId="16852" xr:uid="{00000000-0005-0000-0000-0000D8410000}"/>
    <cellStyle name="Normal 6 3 17 3 3 2" xfId="23510" xr:uid="{00000000-0005-0000-0000-0000DA5B0000}"/>
    <cellStyle name="Normal 6 3 17 3 4" xfId="20375" xr:uid="{00000000-0005-0000-0000-00009B4F0000}"/>
    <cellStyle name="Normal 6 3 17 4" xfId="9443" xr:uid="{00000000-0005-0000-0000-0000E7240000}"/>
    <cellStyle name="Normal 6 3 17 4 2" xfId="10764" xr:uid="{00000000-0005-0000-0000-0000102A0000}"/>
    <cellStyle name="Normal 6 3 17 4 2 2" xfId="18992" xr:uid="{00000000-0005-0000-0000-0000344A0000}"/>
    <cellStyle name="Normal 6 3 17 4 2 2 2" xfId="25504" xr:uid="{00000000-0005-0000-0000-0000A4630000}"/>
    <cellStyle name="Normal 6 3 17 4 2 3" xfId="22669" xr:uid="{00000000-0005-0000-0000-000091580000}"/>
    <cellStyle name="Normal 6 3 17 4 3" xfId="17675" xr:uid="{00000000-0005-0000-0000-00000F450000}"/>
    <cellStyle name="Normal 6 3 17 4 3 2" xfId="24248" xr:uid="{00000000-0005-0000-0000-0000BC5E0000}"/>
    <cellStyle name="Normal 6 3 17 4 4" xfId="21413" xr:uid="{00000000-0005-0000-0000-0000A9530000}"/>
    <cellStyle name="Normal 6 3 17 5" xfId="9614" xr:uid="{00000000-0005-0000-0000-000092250000}"/>
    <cellStyle name="Normal 6 3 17 5 2" xfId="17842" xr:uid="{00000000-0005-0000-0000-0000B6450000}"/>
    <cellStyle name="Normal 6 3 17 5 2 2" xfId="24354" xr:uid="{00000000-0005-0000-0000-0000265F0000}"/>
    <cellStyle name="Normal 6 3 17 5 3" xfId="21519" xr:uid="{00000000-0005-0000-0000-000013540000}"/>
    <cellStyle name="Normal 6 3 17 6" xfId="11214" xr:uid="{00000000-0005-0000-0000-0000D22B0000}"/>
    <cellStyle name="Normal 6 3 17 6 2" xfId="23101" xr:uid="{00000000-0005-0000-0000-0000415A0000}"/>
    <cellStyle name="Normal 6 3 17 7" xfId="19731" xr:uid="{00000000-0005-0000-0000-0000174D0000}"/>
    <cellStyle name="Normal 6 3 18" xfId="8888" xr:uid="{00000000-0005-0000-0000-0000BC220000}"/>
    <cellStyle name="Normal 6 3 2" xfId="1307" xr:uid="{00000000-0005-0000-0000-00001F050000}"/>
    <cellStyle name="Normal 6 3 2 2" xfId="2452" xr:uid="{00000000-0005-0000-0000-000098090000}"/>
    <cellStyle name="Normal 6 3 3" xfId="1308" xr:uid="{00000000-0005-0000-0000-000020050000}"/>
    <cellStyle name="Normal 6 3 3 2" xfId="2453" xr:uid="{00000000-0005-0000-0000-000099090000}"/>
    <cellStyle name="Normal 6 3 4" xfId="1309" xr:uid="{00000000-0005-0000-0000-000021050000}"/>
    <cellStyle name="Normal 6 3 4 2" xfId="2454" xr:uid="{00000000-0005-0000-0000-00009A090000}"/>
    <cellStyle name="Normal 6 3 5" xfId="1310" xr:uid="{00000000-0005-0000-0000-000022050000}"/>
    <cellStyle name="Normal 6 3 5 2" xfId="2455" xr:uid="{00000000-0005-0000-0000-00009B090000}"/>
    <cellStyle name="Normal 6 3 6" xfId="1311" xr:uid="{00000000-0005-0000-0000-000023050000}"/>
    <cellStyle name="Normal 6 3 6 2" xfId="2456" xr:uid="{00000000-0005-0000-0000-00009C090000}"/>
    <cellStyle name="Normal 6 3 7" xfId="1312" xr:uid="{00000000-0005-0000-0000-000024050000}"/>
    <cellStyle name="Normal 6 3 7 2" xfId="2457" xr:uid="{00000000-0005-0000-0000-00009D090000}"/>
    <cellStyle name="Normal 6 3 8" xfId="1313" xr:uid="{00000000-0005-0000-0000-000025050000}"/>
    <cellStyle name="Normal 6 3 8 2" xfId="2458" xr:uid="{00000000-0005-0000-0000-00009E090000}"/>
    <cellStyle name="Normal 6 3 9" xfId="2451" xr:uid="{00000000-0005-0000-0000-000097090000}"/>
    <cellStyle name="Normal 6 4" xfId="142" xr:uid="{00000000-0005-0000-0000-000092000000}"/>
    <cellStyle name="Normal 6 4 10" xfId="1314" xr:uid="{00000000-0005-0000-0000-000026050000}"/>
    <cellStyle name="Normal 6 4 2" xfId="1315" xr:uid="{00000000-0005-0000-0000-000027050000}"/>
    <cellStyle name="Normal 6 4 2 2" xfId="2460" xr:uid="{00000000-0005-0000-0000-0000A0090000}"/>
    <cellStyle name="Normal 6 4 3" xfId="1316" xr:uid="{00000000-0005-0000-0000-000028050000}"/>
    <cellStyle name="Normal 6 4 3 2" xfId="2461" xr:uid="{00000000-0005-0000-0000-0000A1090000}"/>
    <cellStyle name="Normal 6 4 4" xfId="1317" xr:uid="{00000000-0005-0000-0000-000029050000}"/>
    <cellStyle name="Normal 6 4 4 2" xfId="2462" xr:uid="{00000000-0005-0000-0000-0000A2090000}"/>
    <cellStyle name="Normal 6 4 5" xfId="1318" xr:uid="{00000000-0005-0000-0000-00002A050000}"/>
    <cellStyle name="Normal 6 4 5 2" xfId="2463" xr:uid="{00000000-0005-0000-0000-0000A3090000}"/>
    <cellStyle name="Normal 6 4 6" xfId="1319" xr:uid="{00000000-0005-0000-0000-00002B050000}"/>
    <cellStyle name="Normal 6 4 6 2" xfId="2464" xr:uid="{00000000-0005-0000-0000-0000A4090000}"/>
    <cellStyle name="Normal 6 4 7" xfId="1320" xr:uid="{00000000-0005-0000-0000-00002C050000}"/>
    <cellStyle name="Normal 6 4 7 2" xfId="2465" xr:uid="{00000000-0005-0000-0000-0000A5090000}"/>
    <cellStyle name="Normal 6 4 8" xfId="1321" xr:uid="{00000000-0005-0000-0000-00002D050000}"/>
    <cellStyle name="Normal 6 4 8 2" xfId="2466" xr:uid="{00000000-0005-0000-0000-0000A6090000}"/>
    <cellStyle name="Normal 6 4 9" xfId="2459" xr:uid="{00000000-0005-0000-0000-00009F090000}"/>
    <cellStyle name="Normal 6 5" xfId="1322" xr:uid="{00000000-0005-0000-0000-00002E050000}"/>
    <cellStyle name="Normal 6 5 2" xfId="1323" xr:uid="{00000000-0005-0000-0000-00002F050000}"/>
    <cellStyle name="Normal 6 5 2 2" xfId="2468" xr:uid="{00000000-0005-0000-0000-0000A8090000}"/>
    <cellStyle name="Normal 6 5 3" xfId="1324" xr:uid="{00000000-0005-0000-0000-000030050000}"/>
    <cellStyle name="Normal 6 5 3 2" xfId="2469" xr:uid="{00000000-0005-0000-0000-0000A9090000}"/>
    <cellStyle name="Normal 6 5 4" xfId="1325" xr:uid="{00000000-0005-0000-0000-000031050000}"/>
    <cellStyle name="Normal 6 5 4 2" xfId="2470" xr:uid="{00000000-0005-0000-0000-0000AA090000}"/>
    <cellStyle name="Normal 6 5 5" xfId="1326" xr:uid="{00000000-0005-0000-0000-000032050000}"/>
    <cellStyle name="Normal 6 5 5 2" xfId="2471" xr:uid="{00000000-0005-0000-0000-0000AB090000}"/>
    <cellStyle name="Normal 6 5 6" xfId="1327" xr:uid="{00000000-0005-0000-0000-000033050000}"/>
    <cellStyle name="Normal 6 5 6 2" xfId="2472" xr:uid="{00000000-0005-0000-0000-0000AC090000}"/>
    <cellStyle name="Normal 6 5 7" xfId="1328" xr:uid="{00000000-0005-0000-0000-000034050000}"/>
    <cellStyle name="Normal 6 5 7 2" xfId="2473" xr:uid="{00000000-0005-0000-0000-0000AD090000}"/>
    <cellStyle name="Normal 6 5 8" xfId="1329" xr:uid="{00000000-0005-0000-0000-000035050000}"/>
    <cellStyle name="Normal 6 5 8 2" xfId="2474" xr:uid="{00000000-0005-0000-0000-0000AE090000}"/>
    <cellStyle name="Normal 6 5 9" xfId="2467" xr:uid="{00000000-0005-0000-0000-0000A7090000}"/>
    <cellStyle name="Normal 6 6" xfId="1330" xr:uid="{00000000-0005-0000-0000-000036050000}"/>
    <cellStyle name="Normal 6 6 2" xfId="2475" xr:uid="{00000000-0005-0000-0000-0000AF090000}"/>
    <cellStyle name="Normal 6 7" xfId="1331" xr:uid="{00000000-0005-0000-0000-000037050000}"/>
    <cellStyle name="Normal 6 7 2" xfId="2476" xr:uid="{00000000-0005-0000-0000-0000B0090000}"/>
    <cellStyle name="Normal 6 8" xfId="1332" xr:uid="{00000000-0005-0000-0000-000038050000}"/>
    <cellStyle name="Normal 6 8 2" xfId="2477" xr:uid="{00000000-0005-0000-0000-0000B1090000}"/>
    <cellStyle name="Normal 6 9" xfId="1333" xr:uid="{00000000-0005-0000-0000-000039050000}"/>
    <cellStyle name="Normal 6 9 2" xfId="2478" xr:uid="{00000000-0005-0000-0000-0000B2090000}"/>
    <cellStyle name="Normal 6_ELC" xfId="6465" xr:uid="{00000000-0005-0000-0000-000045190000}"/>
    <cellStyle name="Normal 60" xfId="19575" xr:uid="{00000000-0005-0000-0000-00007B4C0000}"/>
    <cellStyle name="Normal 60 2" xfId="25541" xr:uid="{00000000-0005-0000-0000-0000C9630000}"/>
    <cellStyle name="Normal 61" xfId="19576" xr:uid="{00000000-0005-0000-0000-00007C4C0000}"/>
    <cellStyle name="Normal 61 2" xfId="25542" xr:uid="{00000000-0005-0000-0000-0000CA630000}"/>
    <cellStyle name="Normal 62" xfId="19577" xr:uid="{00000000-0005-0000-0000-00007D4C0000}"/>
    <cellStyle name="Normal 62 2" xfId="25543" xr:uid="{00000000-0005-0000-0000-0000CB630000}"/>
    <cellStyle name="Normal 63" xfId="4459" xr:uid="{00000000-0005-0000-0000-00006F110000}"/>
    <cellStyle name="Normal 64" xfId="25548" xr:uid="{00000000-0005-0000-0000-0000D0630000}"/>
    <cellStyle name="Normal 65" xfId="25547" xr:uid="{00000000-0005-0000-0000-0000CF630000}"/>
    <cellStyle name="Normal 66" xfId="25544" xr:uid="{00000000-0005-0000-0000-0000CC630000}"/>
    <cellStyle name="Normal 67" xfId="25549" xr:uid="{00000000-0005-0000-0000-0000D1630000}"/>
    <cellStyle name="Normal 68" xfId="25550" xr:uid="{00000000-0005-0000-0000-0000D2630000}"/>
    <cellStyle name="Normal 69" xfId="25545" xr:uid="{00000000-0005-0000-0000-0000CD630000}"/>
    <cellStyle name="Normal 7" xfId="143" xr:uid="{00000000-0005-0000-0000-000093000000}"/>
    <cellStyle name="Normal 7 10" xfId="1335" xr:uid="{00000000-0005-0000-0000-00003B050000}"/>
    <cellStyle name="Normal 7 10 2" xfId="2480" xr:uid="{00000000-0005-0000-0000-0000B4090000}"/>
    <cellStyle name="Normal 7 11" xfId="1336" xr:uid="{00000000-0005-0000-0000-00003C050000}"/>
    <cellStyle name="Normal 7 11 2" xfId="2481" xr:uid="{00000000-0005-0000-0000-0000B5090000}"/>
    <cellStyle name="Normal 7 12" xfId="1337" xr:uid="{00000000-0005-0000-0000-00003D050000}"/>
    <cellStyle name="Normal 7 12 2" xfId="2482" xr:uid="{00000000-0005-0000-0000-0000B6090000}"/>
    <cellStyle name="Normal 7 13" xfId="2479" xr:uid="{00000000-0005-0000-0000-0000B3090000}"/>
    <cellStyle name="Normal 7 14" xfId="1334" xr:uid="{00000000-0005-0000-0000-00003A050000}"/>
    <cellStyle name="Normal 7 2" xfId="144" xr:uid="{00000000-0005-0000-0000-000094000000}"/>
    <cellStyle name="Normal 7 2 10" xfId="1338" xr:uid="{00000000-0005-0000-0000-00003E050000}"/>
    <cellStyle name="Normal 7 2 2" xfId="1339" xr:uid="{00000000-0005-0000-0000-00003F050000}"/>
    <cellStyle name="Normal 7 2 2 2" xfId="2484" xr:uid="{00000000-0005-0000-0000-0000B8090000}"/>
    <cellStyle name="Normal 7 2 3" xfId="1340" xr:uid="{00000000-0005-0000-0000-000040050000}"/>
    <cellStyle name="Normal 7 2 3 2" xfId="2485" xr:uid="{00000000-0005-0000-0000-0000B9090000}"/>
    <cellStyle name="Normal 7 2 3 3" xfId="9445" xr:uid="{00000000-0005-0000-0000-0000E9240000}"/>
    <cellStyle name="Normal 7 2 3 4" xfId="6466" xr:uid="{00000000-0005-0000-0000-000046190000}"/>
    <cellStyle name="Normal 7 2 4" xfId="1341" xr:uid="{00000000-0005-0000-0000-000041050000}"/>
    <cellStyle name="Normal 7 2 4 2" xfId="2486" xr:uid="{00000000-0005-0000-0000-0000BA090000}"/>
    <cellStyle name="Normal 7 2 5" xfId="1342" xr:uid="{00000000-0005-0000-0000-000042050000}"/>
    <cellStyle name="Normal 7 2 5 2" xfId="2487" xr:uid="{00000000-0005-0000-0000-0000BB090000}"/>
    <cellStyle name="Normal 7 2 6" xfId="1343" xr:uid="{00000000-0005-0000-0000-000043050000}"/>
    <cellStyle name="Normal 7 2 6 2" xfId="2488" xr:uid="{00000000-0005-0000-0000-0000BC090000}"/>
    <cellStyle name="Normal 7 2 7" xfId="1344" xr:uid="{00000000-0005-0000-0000-000044050000}"/>
    <cellStyle name="Normal 7 2 7 2" xfId="2489" xr:uid="{00000000-0005-0000-0000-0000BD090000}"/>
    <cellStyle name="Normal 7 2 8" xfId="1345" xr:uid="{00000000-0005-0000-0000-000045050000}"/>
    <cellStyle name="Normal 7 2 8 2" xfId="2490" xr:uid="{00000000-0005-0000-0000-0000BE090000}"/>
    <cellStyle name="Normal 7 2 9" xfId="2483" xr:uid="{00000000-0005-0000-0000-0000B7090000}"/>
    <cellStyle name="Normal 7 2_Scen_XBase" xfId="6467" xr:uid="{00000000-0005-0000-0000-000047190000}"/>
    <cellStyle name="Normal 7 3" xfId="1346" xr:uid="{00000000-0005-0000-0000-000046050000}"/>
    <cellStyle name="Normal 7 3 10" xfId="7961" xr:uid="{00000000-0005-0000-0000-00001D1F0000}"/>
    <cellStyle name="Normal 7 3 10 2" xfId="8380" xr:uid="{00000000-0005-0000-0000-0000C0200000}"/>
    <cellStyle name="Normal 7 3 10 2 2" xfId="10242" xr:uid="{00000000-0005-0000-0000-000006280000}"/>
    <cellStyle name="Normal 7 3 10 2 2 2" xfId="18470" xr:uid="{00000000-0005-0000-0000-00002A480000}"/>
    <cellStyle name="Normal 7 3 10 2 2 2 2" xfId="24982" xr:uid="{00000000-0005-0000-0000-00009A610000}"/>
    <cellStyle name="Normal 7 3 10 2 2 3" xfId="22147" xr:uid="{00000000-0005-0000-0000-000087560000}"/>
    <cellStyle name="Normal 7 3 10 2 3" xfId="17060" xr:uid="{00000000-0005-0000-0000-0000A8420000}"/>
    <cellStyle name="Normal 7 3 10 2 3 2" xfId="23717" xr:uid="{00000000-0005-0000-0000-0000A95C0000}"/>
    <cellStyle name="Normal 7 3 10 2 4" xfId="20585" xr:uid="{00000000-0005-0000-0000-00006D500000}"/>
    <cellStyle name="Normal 7 3 10 3" xfId="9447" xr:uid="{00000000-0005-0000-0000-0000EB240000}"/>
    <cellStyle name="Normal 7 3 10 3 2" xfId="10767" xr:uid="{00000000-0005-0000-0000-0000132A0000}"/>
    <cellStyle name="Normal 7 3 10 3 2 2" xfId="18995" xr:uid="{00000000-0005-0000-0000-0000374A0000}"/>
    <cellStyle name="Normal 7 3 10 3 2 2 2" xfId="25507" xr:uid="{00000000-0005-0000-0000-0000A7630000}"/>
    <cellStyle name="Normal 7 3 10 3 2 3" xfId="22672" xr:uid="{00000000-0005-0000-0000-000094580000}"/>
    <cellStyle name="Normal 7 3 10 3 3" xfId="17678" xr:uid="{00000000-0005-0000-0000-000012450000}"/>
    <cellStyle name="Normal 7 3 10 3 3 2" xfId="24251" xr:uid="{00000000-0005-0000-0000-0000BF5E0000}"/>
    <cellStyle name="Normal 7 3 10 3 4" xfId="21416" xr:uid="{00000000-0005-0000-0000-0000AC530000}"/>
    <cellStyle name="Normal 7 3 10 4" xfId="9824" xr:uid="{00000000-0005-0000-0000-000064260000}"/>
    <cellStyle name="Normal 7 3 10 4 2" xfId="18052" xr:uid="{00000000-0005-0000-0000-000088460000}"/>
    <cellStyle name="Normal 7 3 10 4 2 2" xfId="24564" xr:uid="{00000000-0005-0000-0000-0000F85F0000}"/>
    <cellStyle name="Normal 7 3 10 4 3" xfId="21729" xr:uid="{00000000-0005-0000-0000-0000E5540000}"/>
    <cellStyle name="Normal 7 3 10 5" xfId="11216" xr:uid="{00000000-0005-0000-0000-0000D42B0000}"/>
    <cellStyle name="Normal 7 3 10 5 2" xfId="23103" xr:uid="{00000000-0005-0000-0000-0000435A0000}"/>
    <cellStyle name="Normal 7 3 10 6" xfId="20167" xr:uid="{00000000-0005-0000-0000-0000CB4E0000}"/>
    <cellStyle name="Normal 7 3 11" xfId="8171" xr:uid="{00000000-0005-0000-0000-0000EF1F0000}"/>
    <cellStyle name="Normal 7 3 11 2" xfId="9446" xr:uid="{00000000-0005-0000-0000-0000EA240000}"/>
    <cellStyle name="Normal 7 3 11 2 2" xfId="10766" xr:uid="{00000000-0005-0000-0000-0000122A0000}"/>
    <cellStyle name="Normal 7 3 11 2 2 2" xfId="18994" xr:uid="{00000000-0005-0000-0000-0000364A0000}"/>
    <cellStyle name="Normal 7 3 11 2 2 2 2" xfId="25506" xr:uid="{00000000-0005-0000-0000-0000A6630000}"/>
    <cellStyle name="Normal 7 3 11 2 2 3" xfId="22671" xr:uid="{00000000-0005-0000-0000-000093580000}"/>
    <cellStyle name="Normal 7 3 11 2 3" xfId="17677" xr:uid="{00000000-0005-0000-0000-000011450000}"/>
    <cellStyle name="Normal 7 3 11 2 3 2" xfId="24250" xr:uid="{00000000-0005-0000-0000-0000BE5E0000}"/>
    <cellStyle name="Normal 7 3 11 2 4" xfId="21415" xr:uid="{00000000-0005-0000-0000-0000AB530000}"/>
    <cellStyle name="Normal 7 3 11 3" xfId="10033" xr:uid="{00000000-0005-0000-0000-000035270000}"/>
    <cellStyle name="Normal 7 3 11 3 2" xfId="18261" xr:uid="{00000000-0005-0000-0000-000059470000}"/>
    <cellStyle name="Normal 7 3 11 3 2 2" xfId="24773" xr:uid="{00000000-0005-0000-0000-0000C9600000}"/>
    <cellStyle name="Normal 7 3 11 3 3" xfId="21938" xr:uid="{00000000-0005-0000-0000-0000B6550000}"/>
    <cellStyle name="Normal 7 3 11 4" xfId="11217" xr:uid="{00000000-0005-0000-0000-0000D52B0000}"/>
    <cellStyle name="Normal 7 3 11 4 2" xfId="23104" xr:uid="{00000000-0005-0000-0000-0000445A0000}"/>
    <cellStyle name="Normal 7 3 11 5" xfId="20376" xr:uid="{00000000-0005-0000-0000-00009C4F0000}"/>
    <cellStyle name="Normal 7 3 12" xfId="9615" xr:uid="{00000000-0005-0000-0000-000093250000}"/>
    <cellStyle name="Normal 7 3 12 2" xfId="17843" xr:uid="{00000000-0005-0000-0000-0000B7450000}"/>
    <cellStyle name="Normal 7 3 12 2 2" xfId="24355" xr:uid="{00000000-0005-0000-0000-0000275F0000}"/>
    <cellStyle name="Normal 7 3 12 3" xfId="21520" xr:uid="{00000000-0005-0000-0000-000014540000}"/>
    <cellStyle name="Normal 7 3 13" xfId="19732" xr:uid="{00000000-0005-0000-0000-0000184D0000}"/>
    <cellStyle name="Normal 7 3 14" xfId="6468" xr:uid="{00000000-0005-0000-0000-000048190000}"/>
    <cellStyle name="Normal 7 3 2" xfId="1347" xr:uid="{00000000-0005-0000-0000-000047050000}"/>
    <cellStyle name="Normal 7 3 2 2" xfId="2492" xr:uid="{00000000-0005-0000-0000-0000C0090000}"/>
    <cellStyle name="Normal 7 3 3" xfId="1348" xr:uid="{00000000-0005-0000-0000-000048050000}"/>
    <cellStyle name="Normal 7 3 3 2" xfId="2493" xr:uid="{00000000-0005-0000-0000-0000C1090000}"/>
    <cellStyle name="Normal 7 3 4" xfId="1349" xr:uid="{00000000-0005-0000-0000-000049050000}"/>
    <cellStyle name="Normal 7 3 4 2" xfId="2494" xr:uid="{00000000-0005-0000-0000-0000C2090000}"/>
    <cellStyle name="Normal 7 3 5" xfId="1350" xr:uid="{00000000-0005-0000-0000-00004A050000}"/>
    <cellStyle name="Normal 7 3 5 2" xfId="2495" xr:uid="{00000000-0005-0000-0000-0000C3090000}"/>
    <cellStyle name="Normal 7 3 6" xfId="1351" xr:uid="{00000000-0005-0000-0000-00004B050000}"/>
    <cellStyle name="Normal 7 3 6 2" xfId="2496" xr:uid="{00000000-0005-0000-0000-0000C4090000}"/>
    <cellStyle name="Normal 7 3 7" xfId="1352" xr:uid="{00000000-0005-0000-0000-00004C050000}"/>
    <cellStyle name="Normal 7 3 7 2" xfId="2497" xr:uid="{00000000-0005-0000-0000-0000C5090000}"/>
    <cellStyle name="Normal 7 3 8" xfId="1353" xr:uid="{00000000-0005-0000-0000-00004D050000}"/>
    <cellStyle name="Normal 7 3 8 2" xfId="2498" xr:uid="{00000000-0005-0000-0000-0000C6090000}"/>
    <cellStyle name="Normal 7 3 9" xfId="2491" xr:uid="{00000000-0005-0000-0000-0000BF090000}"/>
    <cellStyle name="Normal 7 4" xfId="1354" xr:uid="{00000000-0005-0000-0000-00004E050000}"/>
    <cellStyle name="Normal 7 4 2" xfId="1355" xr:uid="{00000000-0005-0000-0000-00004F050000}"/>
    <cellStyle name="Normal 7 4 2 2" xfId="2500" xr:uid="{00000000-0005-0000-0000-0000C8090000}"/>
    <cellStyle name="Normal 7 4 3" xfId="1356" xr:uid="{00000000-0005-0000-0000-000050050000}"/>
    <cellStyle name="Normal 7 4 3 2" xfId="2501" xr:uid="{00000000-0005-0000-0000-0000C9090000}"/>
    <cellStyle name="Normal 7 4 4" xfId="1357" xr:uid="{00000000-0005-0000-0000-000051050000}"/>
    <cellStyle name="Normal 7 4 4 2" xfId="2502" xr:uid="{00000000-0005-0000-0000-0000CA090000}"/>
    <cellStyle name="Normal 7 4 5" xfId="1358" xr:uid="{00000000-0005-0000-0000-000052050000}"/>
    <cellStyle name="Normal 7 4 5 2" xfId="2503" xr:uid="{00000000-0005-0000-0000-0000CB090000}"/>
    <cellStyle name="Normal 7 4 6" xfId="1359" xr:uid="{00000000-0005-0000-0000-000053050000}"/>
    <cellStyle name="Normal 7 4 6 2" xfId="2504" xr:uid="{00000000-0005-0000-0000-0000CC090000}"/>
    <cellStyle name="Normal 7 4 7" xfId="1360" xr:uid="{00000000-0005-0000-0000-000054050000}"/>
    <cellStyle name="Normal 7 4 7 2" xfId="2505" xr:uid="{00000000-0005-0000-0000-0000CD090000}"/>
    <cellStyle name="Normal 7 4 8" xfId="1361" xr:uid="{00000000-0005-0000-0000-000055050000}"/>
    <cellStyle name="Normal 7 4 8 2" xfId="2506" xr:uid="{00000000-0005-0000-0000-0000CE090000}"/>
    <cellStyle name="Normal 7 4 9" xfId="2499" xr:uid="{00000000-0005-0000-0000-0000C7090000}"/>
    <cellStyle name="Normal 7 5" xfId="1362" xr:uid="{00000000-0005-0000-0000-000056050000}"/>
    <cellStyle name="Normal 7 5 2" xfId="1363" xr:uid="{00000000-0005-0000-0000-000057050000}"/>
    <cellStyle name="Normal 7 5 2 2" xfId="2508" xr:uid="{00000000-0005-0000-0000-0000D0090000}"/>
    <cellStyle name="Normal 7 5 3" xfId="1364" xr:uid="{00000000-0005-0000-0000-000058050000}"/>
    <cellStyle name="Normal 7 5 3 2" xfId="2509" xr:uid="{00000000-0005-0000-0000-0000D1090000}"/>
    <cellStyle name="Normal 7 5 4" xfId="1365" xr:uid="{00000000-0005-0000-0000-000059050000}"/>
    <cellStyle name="Normal 7 5 4 2" xfId="2510" xr:uid="{00000000-0005-0000-0000-0000D2090000}"/>
    <cellStyle name="Normal 7 5 5" xfId="1366" xr:uid="{00000000-0005-0000-0000-00005A050000}"/>
    <cellStyle name="Normal 7 5 5 2" xfId="2511" xr:uid="{00000000-0005-0000-0000-0000D3090000}"/>
    <cellStyle name="Normal 7 5 6" xfId="1367" xr:uid="{00000000-0005-0000-0000-00005B050000}"/>
    <cellStyle name="Normal 7 5 6 2" xfId="2512" xr:uid="{00000000-0005-0000-0000-0000D4090000}"/>
    <cellStyle name="Normal 7 5 7" xfId="1368" xr:uid="{00000000-0005-0000-0000-00005C050000}"/>
    <cellStyle name="Normal 7 5 7 2" xfId="2513" xr:uid="{00000000-0005-0000-0000-0000D5090000}"/>
    <cellStyle name="Normal 7 5 8" xfId="1369" xr:uid="{00000000-0005-0000-0000-00005D050000}"/>
    <cellStyle name="Normal 7 5 8 2" xfId="2514" xr:uid="{00000000-0005-0000-0000-0000D6090000}"/>
    <cellStyle name="Normal 7 5 9" xfId="2507" xr:uid="{00000000-0005-0000-0000-0000CF090000}"/>
    <cellStyle name="Normal 7 6" xfId="1370" xr:uid="{00000000-0005-0000-0000-00005E050000}"/>
    <cellStyle name="Normal 7 6 2" xfId="2515" xr:uid="{00000000-0005-0000-0000-0000D7090000}"/>
    <cellStyle name="Normal 7 7" xfId="1371" xr:uid="{00000000-0005-0000-0000-00005F050000}"/>
    <cellStyle name="Normal 7 7 2" xfId="2516" xr:uid="{00000000-0005-0000-0000-0000D8090000}"/>
    <cellStyle name="Normal 7 8" xfId="1372" xr:uid="{00000000-0005-0000-0000-000060050000}"/>
    <cellStyle name="Normal 7 8 2" xfId="2517" xr:uid="{00000000-0005-0000-0000-0000D9090000}"/>
    <cellStyle name="Normal 7 9" xfId="1373" xr:uid="{00000000-0005-0000-0000-000061050000}"/>
    <cellStyle name="Normal 7 9 2" xfId="2518" xr:uid="{00000000-0005-0000-0000-0000DA090000}"/>
    <cellStyle name="Normal 70" xfId="25551" xr:uid="{00000000-0005-0000-0000-0000D3630000}"/>
    <cellStyle name="Normal 71" xfId="25546" xr:uid="{00000000-0005-0000-0000-0000CE630000}"/>
    <cellStyle name="Normal 72" xfId="25552" xr:uid="{00000000-0005-0000-0000-0000D4630000}"/>
    <cellStyle name="Normal 73" xfId="27479" xr:uid="{00000000-0005-0000-0000-00005B6B0000}"/>
    <cellStyle name="Normal 74" xfId="28104" xr:uid="{00000000-0005-0000-0000-0000CC6D0000}"/>
    <cellStyle name="Normal 75" xfId="4450" xr:uid="{00000000-0005-0000-0000-000066110000}"/>
    <cellStyle name="Normal 76" xfId="29407" xr:uid="{00000000-0005-0000-0000-0000E3720000}"/>
    <cellStyle name="Normal 77" xfId="29412" xr:uid="{00000000-0005-0000-0000-0000E8720000}"/>
    <cellStyle name="Normal 8" xfId="145" xr:uid="{00000000-0005-0000-0000-000095000000}"/>
    <cellStyle name="Normal 8 10" xfId="1375" xr:uid="{00000000-0005-0000-0000-000063050000}"/>
    <cellStyle name="Normal 8 10 2" xfId="2520" xr:uid="{00000000-0005-0000-0000-0000DC090000}"/>
    <cellStyle name="Normal 8 10 3" xfId="9448" xr:uid="{00000000-0005-0000-0000-0000EC240000}"/>
    <cellStyle name="Normal 8 10 4" xfId="6469" xr:uid="{00000000-0005-0000-0000-000049190000}"/>
    <cellStyle name="Normal 8 11" xfId="1376" xr:uid="{00000000-0005-0000-0000-000064050000}"/>
    <cellStyle name="Normal 8 11 2" xfId="2521" xr:uid="{00000000-0005-0000-0000-0000DD090000}"/>
    <cellStyle name="Normal 8 11 3" xfId="7962" xr:uid="{00000000-0005-0000-0000-00001E1F0000}"/>
    <cellStyle name="Normal 8 11 3 2" xfId="8381" xr:uid="{00000000-0005-0000-0000-0000C1200000}"/>
    <cellStyle name="Normal 8 11 3 2 2" xfId="10243" xr:uid="{00000000-0005-0000-0000-000007280000}"/>
    <cellStyle name="Normal 8 11 3 2 2 2" xfId="18471" xr:uid="{00000000-0005-0000-0000-00002B480000}"/>
    <cellStyle name="Normal 8 11 3 2 2 2 2" xfId="24983" xr:uid="{00000000-0005-0000-0000-00009B610000}"/>
    <cellStyle name="Normal 8 11 3 2 2 3" xfId="22148" xr:uid="{00000000-0005-0000-0000-000088560000}"/>
    <cellStyle name="Normal 8 11 3 2 3" xfId="17061" xr:uid="{00000000-0005-0000-0000-0000A9420000}"/>
    <cellStyle name="Normal 8 11 3 2 3 2" xfId="23718" xr:uid="{00000000-0005-0000-0000-0000AA5C0000}"/>
    <cellStyle name="Normal 8 11 3 2 4" xfId="20586" xr:uid="{00000000-0005-0000-0000-00006E500000}"/>
    <cellStyle name="Normal 8 11 3 3" xfId="9450" xr:uid="{00000000-0005-0000-0000-0000EE240000}"/>
    <cellStyle name="Normal 8 11 3 3 2" xfId="10769" xr:uid="{00000000-0005-0000-0000-0000152A0000}"/>
    <cellStyle name="Normal 8 11 3 3 2 2" xfId="18997" xr:uid="{00000000-0005-0000-0000-0000394A0000}"/>
    <cellStyle name="Normal 8 11 3 3 2 2 2" xfId="25509" xr:uid="{00000000-0005-0000-0000-0000A9630000}"/>
    <cellStyle name="Normal 8 11 3 3 2 3" xfId="22674" xr:uid="{00000000-0005-0000-0000-000096580000}"/>
    <cellStyle name="Normal 8 11 3 3 3" xfId="17680" xr:uid="{00000000-0005-0000-0000-000014450000}"/>
    <cellStyle name="Normal 8 11 3 3 3 2" xfId="24253" xr:uid="{00000000-0005-0000-0000-0000C15E0000}"/>
    <cellStyle name="Normal 8 11 3 3 4" xfId="21418" xr:uid="{00000000-0005-0000-0000-0000AE530000}"/>
    <cellStyle name="Normal 8 11 3 4" xfId="9825" xr:uid="{00000000-0005-0000-0000-000065260000}"/>
    <cellStyle name="Normal 8 11 3 4 2" xfId="18053" xr:uid="{00000000-0005-0000-0000-000089460000}"/>
    <cellStyle name="Normal 8 11 3 4 2 2" xfId="24565" xr:uid="{00000000-0005-0000-0000-0000F95F0000}"/>
    <cellStyle name="Normal 8 11 3 4 3" xfId="21730" xr:uid="{00000000-0005-0000-0000-0000E6540000}"/>
    <cellStyle name="Normal 8 11 3 5" xfId="11218" xr:uid="{00000000-0005-0000-0000-0000D62B0000}"/>
    <cellStyle name="Normal 8 11 3 5 2" xfId="23105" xr:uid="{00000000-0005-0000-0000-0000455A0000}"/>
    <cellStyle name="Normal 8 11 3 6" xfId="20168" xr:uid="{00000000-0005-0000-0000-0000CC4E0000}"/>
    <cellStyle name="Normal 8 11 4" xfId="8172" xr:uid="{00000000-0005-0000-0000-0000F01F0000}"/>
    <cellStyle name="Normal 8 11 4 2" xfId="9449" xr:uid="{00000000-0005-0000-0000-0000ED240000}"/>
    <cellStyle name="Normal 8 11 4 2 2" xfId="10768" xr:uid="{00000000-0005-0000-0000-0000142A0000}"/>
    <cellStyle name="Normal 8 11 4 2 2 2" xfId="18996" xr:uid="{00000000-0005-0000-0000-0000384A0000}"/>
    <cellStyle name="Normal 8 11 4 2 2 2 2" xfId="25508" xr:uid="{00000000-0005-0000-0000-0000A8630000}"/>
    <cellStyle name="Normal 8 11 4 2 2 3" xfId="22673" xr:uid="{00000000-0005-0000-0000-000095580000}"/>
    <cellStyle name="Normal 8 11 4 2 3" xfId="17679" xr:uid="{00000000-0005-0000-0000-000013450000}"/>
    <cellStyle name="Normal 8 11 4 2 3 2" xfId="24252" xr:uid="{00000000-0005-0000-0000-0000C05E0000}"/>
    <cellStyle name="Normal 8 11 4 2 4" xfId="21417" xr:uid="{00000000-0005-0000-0000-0000AD530000}"/>
    <cellStyle name="Normal 8 11 4 3" xfId="10034" xr:uid="{00000000-0005-0000-0000-000036270000}"/>
    <cellStyle name="Normal 8 11 4 3 2" xfId="18262" xr:uid="{00000000-0005-0000-0000-00005A470000}"/>
    <cellStyle name="Normal 8 11 4 3 2 2" xfId="24774" xr:uid="{00000000-0005-0000-0000-0000CA600000}"/>
    <cellStyle name="Normal 8 11 4 3 3" xfId="21939" xr:uid="{00000000-0005-0000-0000-0000B7550000}"/>
    <cellStyle name="Normal 8 11 4 4" xfId="11219" xr:uid="{00000000-0005-0000-0000-0000D72B0000}"/>
    <cellStyle name="Normal 8 11 4 4 2" xfId="23106" xr:uid="{00000000-0005-0000-0000-0000465A0000}"/>
    <cellStyle name="Normal 8 11 4 5" xfId="20377" xr:uid="{00000000-0005-0000-0000-00009D4F0000}"/>
    <cellStyle name="Normal 8 11 5" xfId="9616" xr:uid="{00000000-0005-0000-0000-000094250000}"/>
    <cellStyle name="Normal 8 11 5 2" xfId="17844" xr:uid="{00000000-0005-0000-0000-0000B8450000}"/>
    <cellStyle name="Normal 8 11 5 2 2" xfId="24356" xr:uid="{00000000-0005-0000-0000-0000285F0000}"/>
    <cellStyle name="Normal 8 11 5 3" xfId="21521" xr:uid="{00000000-0005-0000-0000-000015540000}"/>
    <cellStyle name="Normal 8 11 6" xfId="19733" xr:uid="{00000000-0005-0000-0000-0000194D0000}"/>
    <cellStyle name="Normal 8 11 7" xfId="6470" xr:uid="{00000000-0005-0000-0000-00004A190000}"/>
    <cellStyle name="Normal 8 12" xfId="1377" xr:uid="{00000000-0005-0000-0000-000065050000}"/>
    <cellStyle name="Normal 8 12 2" xfId="2522" xr:uid="{00000000-0005-0000-0000-0000DE090000}"/>
    <cellStyle name="Normal 8 13" xfId="2519" xr:uid="{00000000-0005-0000-0000-0000DB090000}"/>
    <cellStyle name="Normal 8 14" xfId="1374" xr:uid="{00000000-0005-0000-0000-000062050000}"/>
    <cellStyle name="Normal 8 2" xfId="146" xr:uid="{00000000-0005-0000-0000-000096000000}"/>
    <cellStyle name="Normal 8 2 10" xfId="1378" xr:uid="{00000000-0005-0000-0000-000066050000}"/>
    <cellStyle name="Normal 8 2 2" xfId="1379" xr:uid="{00000000-0005-0000-0000-000067050000}"/>
    <cellStyle name="Normal 8 2 2 2" xfId="2524" xr:uid="{00000000-0005-0000-0000-0000E0090000}"/>
    <cellStyle name="Normal 8 2 3" xfId="1380" xr:uid="{00000000-0005-0000-0000-000068050000}"/>
    <cellStyle name="Normal 8 2 3 2" xfId="2525" xr:uid="{00000000-0005-0000-0000-0000E1090000}"/>
    <cellStyle name="Normal 8 2 4" xfId="1381" xr:uid="{00000000-0005-0000-0000-000069050000}"/>
    <cellStyle name="Normal 8 2 4 2" xfId="2526" xr:uid="{00000000-0005-0000-0000-0000E2090000}"/>
    <cellStyle name="Normal 8 2 5" xfId="1382" xr:uid="{00000000-0005-0000-0000-00006A050000}"/>
    <cellStyle name="Normal 8 2 5 2" xfId="2527" xr:uid="{00000000-0005-0000-0000-0000E3090000}"/>
    <cellStyle name="Normal 8 2 6" xfId="1383" xr:uid="{00000000-0005-0000-0000-00006B050000}"/>
    <cellStyle name="Normal 8 2 6 2" xfId="2528" xr:uid="{00000000-0005-0000-0000-0000E4090000}"/>
    <cellStyle name="Normal 8 2 7" xfId="1384" xr:uid="{00000000-0005-0000-0000-00006C050000}"/>
    <cellStyle name="Normal 8 2 7 2" xfId="2529" xr:uid="{00000000-0005-0000-0000-0000E5090000}"/>
    <cellStyle name="Normal 8 2 8" xfId="1385" xr:uid="{00000000-0005-0000-0000-00006D050000}"/>
    <cellStyle name="Normal 8 2 8 2" xfId="2530" xr:uid="{00000000-0005-0000-0000-0000E6090000}"/>
    <cellStyle name="Normal 8 2 9" xfId="2523" xr:uid="{00000000-0005-0000-0000-0000DF090000}"/>
    <cellStyle name="Normal 8 3" xfId="1386" xr:uid="{00000000-0005-0000-0000-00006E050000}"/>
    <cellStyle name="Normal 8 3 2" xfId="1387" xr:uid="{00000000-0005-0000-0000-00006F050000}"/>
    <cellStyle name="Normal 8 3 2 2" xfId="2532" xr:uid="{00000000-0005-0000-0000-0000E8090000}"/>
    <cellStyle name="Normal 8 3 3" xfId="1388" xr:uid="{00000000-0005-0000-0000-000070050000}"/>
    <cellStyle name="Normal 8 3 3 2" xfId="2533" xr:uid="{00000000-0005-0000-0000-0000E9090000}"/>
    <cellStyle name="Normal 8 3 4" xfId="1389" xr:uid="{00000000-0005-0000-0000-000071050000}"/>
    <cellStyle name="Normal 8 3 4 2" xfId="2534" xr:uid="{00000000-0005-0000-0000-0000EA090000}"/>
    <cellStyle name="Normal 8 3 5" xfId="1390" xr:uid="{00000000-0005-0000-0000-000072050000}"/>
    <cellStyle name="Normal 8 3 5 2" xfId="2535" xr:uid="{00000000-0005-0000-0000-0000EB090000}"/>
    <cellStyle name="Normal 8 3 6" xfId="1391" xr:uid="{00000000-0005-0000-0000-000073050000}"/>
    <cellStyle name="Normal 8 3 6 2" xfId="2536" xr:uid="{00000000-0005-0000-0000-0000EC090000}"/>
    <cellStyle name="Normal 8 3 7" xfId="1392" xr:uid="{00000000-0005-0000-0000-000074050000}"/>
    <cellStyle name="Normal 8 3 7 2" xfId="2537" xr:uid="{00000000-0005-0000-0000-0000ED090000}"/>
    <cellStyle name="Normal 8 3 8" xfId="1393" xr:uid="{00000000-0005-0000-0000-000075050000}"/>
    <cellStyle name="Normal 8 3 8 2" xfId="2538" xr:uid="{00000000-0005-0000-0000-0000EE090000}"/>
    <cellStyle name="Normal 8 3 9" xfId="2531" xr:uid="{00000000-0005-0000-0000-0000E7090000}"/>
    <cellStyle name="Normal 8 4" xfId="1394" xr:uid="{00000000-0005-0000-0000-000076050000}"/>
    <cellStyle name="Normal 8 4 2" xfId="1395" xr:uid="{00000000-0005-0000-0000-000077050000}"/>
    <cellStyle name="Normal 8 4 2 2" xfId="2540" xr:uid="{00000000-0005-0000-0000-0000F0090000}"/>
    <cellStyle name="Normal 8 4 3" xfId="1396" xr:uid="{00000000-0005-0000-0000-000078050000}"/>
    <cellStyle name="Normal 8 4 3 2" xfId="2541" xr:uid="{00000000-0005-0000-0000-0000F1090000}"/>
    <cellStyle name="Normal 8 4 4" xfId="1397" xr:uid="{00000000-0005-0000-0000-000079050000}"/>
    <cellStyle name="Normal 8 4 4 2" xfId="2542" xr:uid="{00000000-0005-0000-0000-0000F2090000}"/>
    <cellStyle name="Normal 8 4 5" xfId="1398" xr:uid="{00000000-0005-0000-0000-00007A050000}"/>
    <cellStyle name="Normal 8 4 5 2" xfId="2543" xr:uid="{00000000-0005-0000-0000-0000F3090000}"/>
    <cellStyle name="Normal 8 4 6" xfId="1399" xr:uid="{00000000-0005-0000-0000-00007B050000}"/>
    <cellStyle name="Normal 8 4 6 2" xfId="2544" xr:uid="{00000000-0005-0000-0000-0000F4090000}"/>
    <cellStyle name="Normal 8 4 7" xfId="1400" xr:uid="{00000000-0005-0000-0000-00007C050000}"/>
    <cellStyle name="Normal 8 4 7 2" xfId="2545" xr:uid="{00000000-0005-0000-0000-0000F5090000}"/>
    <cellStyle name="Normal 8 4 8" xfId="1401" xr:uid="{00000000-0005-0000-0000-00007D050000}"/>
    <cellStyle name="Normal 8 4 8 2" xfId="2546" xr:uid="{00000000-0005-0000-0000-0000F6090000}"/>
    <cellStyle name="Normal 8 4 9" xfId="2539" xr:uid="{00000000-0005-0000-0000-0000EF090000}"/>
    <cellStyle name="Normal 8 5" xfId="1402" xr:uid="{00000000-0005-0000-0000-00007E050000}"/>
    <cellStyle name="Normal 8 5 2" xfId="1403" xr:uid="{00000000-0005-0000-0000-00007F050000}"/>
    <cellStyle name="Normal 8 5 2 2" xfId="2548" xr:uid="{00000000-0005-0000-0000-0000F8090000}"/>
    <cellStyle name="Normal 8 5 3" xfId="1404" xr:uid="{00000000-0005-0000-0000-000080050000}"/>
    <cellStyle name="Normal 8 5 3 2" xfId="2549" xr:uid="{00000000-0005-0000-0000-0000F9090000}"/>
    <cellStyle name="Normal 8 5 4" xfId="1405" xr:uid="{00000000-0005-0000-0000-000081050000}"/>
    <cellStyle name="Normal 8 5 4 2" xfId="2550" xr:uid="{00000000-0005-0000-0000-0000FA090000}"/>
    <cellStyle name="Normal 8 5 5" xfId="1406" xr:uid="{00000000-0005-0000-0000-000082050000}"/>
    <cellStyle name="Normal 8 5 5 2" xfId="2551" xr:uid="{00000000-0005-0000-0000-0000FB090000}"/>
    <cellStyle name="Normal 8 5 6" xfId="1407" xr:uid="{00000000-0005-0000-0000-000083050000}"/>
    <cellStyle name="Normal 8 5 6 2" xfId="2552" xr:uid="{00000000-0005-0000-0000-0000FC090000}"/>
    <cellStyle name="Normal 8 5 7" xfId="1408" xr:uid="{00000000-0005-0000-0000-000084050000}"/>
    <cellStyle name="Normal 8 5 7 2" xfId="2553" xr:uid="{00000000-0005-0000-0000-0000FD090000}"/>
    <cellStyle name="Normal 8 5 8" xfId="1409" xr:uid="{00000000-0005-0000-0000-000085050000}"/>
    <cellStyle name="Normal 8 5 8 2" xfId="2554" xr:uid="{00000000-0005-0000-0000-0000FE090000}"/>
    <cellStyle name="Normal 8 5 9" xfId="2547" xr:uid="{00000000-0005-0000-0000-0000F7090000}"/>
    <cellStyle name="Normal 8 6" xfId="1410" xr:uid="{00000000-0005-0000-0000-000086050000}"/>
    <cellStyle name="Normal 8 6 2" xfId="2555" xr:uid="{00000000-0005-0000-0000-0000FF090000}"/>
    <cellStyle name="Normal 8 7" xfId="1411" xr:uid="{00000000-0005-0000-0000-000087050000}"/>
    <cellStyle name="Normal 8 7 2" xfId="2556" xr:uid="{00000000-0005-0000-0000-0000000A0000}"/>
    <cellStyle name="Normal 8 8" xfId="1412" xr:uid="{00000000-0005-0000-0000-000088050000}"/>
    <cellStyle name="Normal 8 8 2" xfId="2557" xr:uid="{00000000-0005-0000-0000-0000010A0000}"/>
    <cellStyle name="Normal 8 9" xfId="1413" xr:uid="{00000000-0005-0000-0000-000089050000}"/>
    <cellStyle name="Normal 8 9 2" xfId="2558" xr:uid="{00000000-0005-0000-0000-0000020A0000}"/>
    <cellStyle name="Normal 9" xfId="147" xr:uid="{00000000-0005-0000-0000-000097000000}"/>
    <cellStyle name="Normal 9 10" xfId="1414" xr:uid="{00000000-0005-0000-0000-00008A050000}"/>
    <cellStyle name="Normal 9 10 2" xfId="7963" xr:uid="{00000000-0005-0000-0000-00001F1F0000}"/>
    <cellStyle name="Normal 9 10 2 2" xfId="8382" xr:uid="{00000000-0005-0000-0000-0000C2200000}"/>
    <cellStyle name="Normal 9 10 2 2 2" xfId="10244" xr:uid="{00000000-0005-0000-0000-000008280000}"/>
    <cellStyle name="Normal 9 10 2 2 2 2" xfId="18472" xr:uid="{00000000-0005-0000-0000-00002C480000}"/>
    <cellStyle name="Normal 9 10 2 2 2 2 2" xfId="24984" xr:uid="{00000000-0005-0000-0000-00009C610000}"/>
    <cellStyle name="Normal 9 10 2 2 2 3" xfId="22149" xr:uid="{00000000-0005-0000-0000-000089560000}"/>
    <cellStyle name="Normal 9 10 2 2 3" xfId="17062" xr:uid="{00000000-0005-0000-0000-0000AA420000}"/>
    <cellStyle name="Normal 9 10 2 2 3 2" xfId="23719" xr:uid="{00000000-0005-0000-0000-0000AB5C0000}"/>
    <cellStyle name="Normal 9 10 2 2 4" xfId="20587" xr:uid="{00000000-0005-0000-0000-00006F500000}"/>
    <cellStyle name="Normal 9 10 2 3" xfId="9452" xr:uid="{00000000-0005-0000-0000-0000F0240000}"/>
    <cellStyle name="Normal 9 10 2 3 2" xfId="10771" xr:uid="{00000000-0005-0000-0000-0000172A0000}"/>
    <cellStyle name="Normal 9 10 2 3 2 2" xfId="18999" xr:uid="{00000000-0005-0000-0000-00003B4A0000}"/>
    <cellStyle name="Normal 9 10 2 3 2 2 2" xfId="25511" xr:uid="{00000000-0005-0000-0000-0000AB630000}"/>
    <cellStyle name="Normal 9 10 2 3 2 3" xfId="22676" xr:uid="{00000000-0005-0000-0000-000098580000}"/>
    <cellStyle name="Normal 9 10 2 3 3" xfId="17682" xr:uid="{00000000-0005-0000-0000-000016450000}"/>
    <cellStyle name="Normal 9 10 2 3 3 2" xfId="24255" xr:uid="{00000000-0005-0000-0000-0000C35E0000}"/>
    <cellStyle name="Normal 9 10 2 3 4" xfId="21420" xr:uid="{00000000-0005-0000-0000-0000B0530000}"/>
    <cellStyle name="Normal 9 10 2 4" xfId="9826" xr:uid="{00000000-0005-0000-0000-000066260000}"/>
    <cellStyle name="Normal 9 10 2 4 2" xfId="18054" xr:uid="{00000000-0005-0000-0000-00008A460000}"/>
    <cellStyle name="Normal 9 10 2 4 2 2" xfId="24566" xr:uid="{00000000-0005-0000-0000-0000FA5F0000}"/>
    <cellStyle name="Normal 9 10 2 4 3" xfId="21731" xr:uid="{00000000-0005-0000-0000-0000E7540000}"/>
    <cellStyle name="Normal 9 10 2 5" xfId="11221" xr:uid="{00000000-0005-0000-0000-0000D92B0000}"/>
    <cellStyle name="Normal 9 10 2 5 2" xfId="23108" xr:uid="{00000000-0005-0000-0000-0000485A0000}"/>
    <cellStyle name="Normal 9 10 2 6" xfId="20169" xr:uid="{00000000-0005-0000-0000-0000CD4E0000}"/>
    <cellStyle name="Normal 9 10 3" xfId="8173" xr:uid="{00000000-0005-0000-0000-0000F11F0000}"/>
    <cellStyle name="Normal 9 10 3 2" xfId="10035" xr:uid="{00000000-0005-0000-0000-000037270000}"/>
    <cellStyle name="Normal 9 10 3 2 2" xfId="18263" xr:uid="{00000000-0005-0000-0000-00005B470000}"/>
    <cellStyle name="Normal 9 10 3 2 2 2" xfId="24775" xr:uid="{00000000-0005-0000-0000-0000CB600000}"/>
    <cellStyle name="Normal 9 10 3 2 3" xfId="21940" xr:uid="{00000000-0005-0000-0000-0000B8550000}"/>
    <cellStyle name="Normal 9 10 3 3" xfId="16854" xr:uid="{00000000-0005-0000-0000-0000DA410000}"/>
    <cellStyle name="Normal 9 10 3 3 2" xfId="23511" xr:uid="{00000000-0005-0000-0000-0000DB5B0000}"/>
    <cellStyle name="Normal 9 10 3 4" xfId="20378" xr:uid="{00000000-0005-0000-0000-00009E4F0000}"/>
    <cellStyle name="Normal 9 10 4" xfId="9451" xr:uid="{00000000-0005-0000-0000-0000EF240000}"/>
    <cellStyle name="Normal 9 10 4 2" xfId="10770" xr:uid="{00000000-0005-0000-0000-0000162A0000}"/>
    <cellStyle name="Normal 9 10 4 2 2" xfId="18998" xr:uid="{00000000-0005-0000-0000-00003A4A0000}"/>
    <cellStyle name="Normal 9 10 4 2 2 2" xfId="25510" xr:uid="{00000000-0005-0000-0000-0000AA630000}"/>
    <cellStyle name="Normal 9 10 4 2 3" xfId="22675" xr:uid="{00000000-0005-0000-0000-000097580000}"/>
    <cellStyle name="Normal 9 10 4 3" xfId="17681" xr:uid="{00000000-0005-0000-0000-000015450000}"/>
    <cellStyle name="Normal 9 10 4 3 2" xfId="24254" xr:uid="{00000000-0005-0000-0000-0000C25E0000}"/>
    <cellStyle name="Normal 9 10 4 4" xfId="21419" xr:uid="{00000000-0005-0000-0000-0000AF530000}"/>
    <cellStyle name="Normal 9 10 5" xfId="9617" xr:uid="{00000000-0005-0000-0000-000095250000}"/>
    <cellStyle name="Normal 9 10 5 2" xfId="17845" xr:uid="{00000000-0005-0000-0000-0000B9450000}"/>
    <cellStyle name="Normal 9 10 5 2 2" xfId="24357" xr:uid="{00000000-0005-0000-0000-0000295F0000}"/>
    <cellStyle name="Normal 9 10 5 3" xfId="21522" xr:uid="{00000000-0005-0000-0000-000016540000}"/>
    <cellStyle name="Normal 9 10 6" xfId="11220" xr:uid="{00000000-0005-0000-0000-0000D82B0000}"/>
    <cellStyle name="Normal 9 10 6 2" xfId="23107" xr:uid="{00000000-0005-0000-0000-0000475A0000}"/>
    <cellStyle name="Normal 9 10 7" xfId="19734" xr:uid="{00000000-0005-0000-0000-00001A4D0000}"/>
    <cellStyle name="Normal 9 10 8" xfId="6471" xr:uid="{00000000-0005-0000-0000-00004B190000}"/>
    <cellStyle name="Normal 9 11" xfId="3423" xr:uid="{00000000-0005-0000-0000-0000630D0000}"/>
    <cellStyle name="Normal 9 11 2" xfId="8090" xr:uid="{00000000-0005-0000-0000-00009E1F0000}"/>
    <cellStyle name="Normal 9 11 2 2" xfId="8508" xr:uid="{00000000-0005-0000-0000-000040210000}"/>
    <cellStyle name="Normal 9 11 2 2 2" xfId="10370" xr:uid="{00000000-0005-0000-0000-000086280000}"/>
    <cellStyle name="Normal 9 11 2 2 2 2" xfId="18598" xr:uid="{00000000-0005-0000-0000-0000AA480000}"/>
    <cellStyle name="Normal 9 11 2 2 2 2 2" xfId="25110" xr:uid="{00000000-0005-0000-0000-00001A620000}"/>
    <cellStyle name="Normal 9 11 2 2 2 3" xfId="22275" xr:uid="{00000000-0005-0000-0000-000007570000}"/>
    <cellStyle name="Normal 9 11 2 2 3" xfId="17188" xr:uid="{00000000-0005-0000-0000-000028430000}"/>
    <cellStyle name="Normal 9 11 2 2 3 2" xfId="23845" xr:uid="{00000000-0005-0000-0000-0000295D0000}"/>
    <cellStyle name="Normal 9 11 2 2 4" xfId="20713" xr:uid="{00000000-0005-0000-0000-0000ED500000}"/>
    <cellStyle name="Normal 9 11 2 3" xfId="9454" xr:uid="{00000000-0005-0000-0000-0000F2240000}"/>
    <cellStyle name="Normal 9 11 2 3 2" xfId="10773" xr:uid="{00000000-0005-0000-0000-0000192A0000}"/>
    <cellStyle name="Normal 9 11 2 3 2 2" xfId="19001" xr:uid="{00000000-0005-0000-0000-00003D4A0000}"/>
    <cellStyle name="Normal 9 11 2 3 2 2 2" xfId="25513" xr:uid="{00000000-0005-0000-0000-0000AD630000}"/>
    <cellStyle name="Normal 9 11 2 3 2 3" xfId="22678" xr:uid="{00000000-0005-0000-0000-00009A580000}"/>
    <cellStyle name="Normal 9 11 2 3 3" xfId="17684" xr:uid="{00000000-0005-0000-0000-000018450000}"/>
    <cellStyle name="Normal 9 11 2 3 3 2" xfId="24257" xr:uid="{00000000-0005-0000-0000-0000C55E0000}"/>
    <cellStyle name="Normal 9 11 2 3 4" xfId="21422" xr:uid="{00000000-0005-0000-0000-0000B2530000}"/>
    <cellStyle name="Normal 9 11 2 4" xfId="9952" xr:uid="{00000000-0005-0000-0000-0000E4260000}"/>
    <cellStyle name="Normal 9 11 2 4 2" xfId="18180" xr:uid="{00000000-0005-0000-0000-000008470000}"/>
    <cellStyle name="Normal 9 11 2 4 2 2" xfId="24692" xr:uid="{00000000-0005-0000-0000-000078600000}"/>
    <cellStyle name="Normal 9 11 2 4 3" xfId="21857" xr:uid="{00000000-0005-0000-0000-000065550000}"/>
    <cellStyle name="Normal 9 11 2 5" xfId="11223" xr:uid="{00000000-0005-0000-0000-0000DB2B0000}"/>
    <cellStyle name="Normal 9 11 2 5 2" xfId="23110" xr:uid="{00000000-0005-0000-0000-00004A5A0000}"/>
    <cellStyle name="Normal 9 11 2 6" xfId="20295" xr:uid="{00000000-0005-0000-0000-00004B4F0000}"/>
    <cellStyle name="Normal 9 11 3" xfId="8299" xr:uid="{00000000-0005-0000-0000-00006F200000}"/>
    <cellStyle name="Normal 9 11 3 2" xfId="10161" xr:uid="{00000000-0005-0000-0000-0000B5270000}"/>
    <cellStyle name="Normal 9 11 3 2 2" xfId="18389" xr:uid="{00000000-0005-0000-0000-0000D9470000}"/>
    <cellStyle name="Normal 9 11 3 2 2 2" xfId="24901" xr:uid="{00000000-0005-0000-0000-000049610000}"/>
    <cellStyle name="Normal 9 11 3 2 3" xfId="22066" xr:uid="{00000000-0005-0000-0000-000036560000}"/>
    <cellStyle name="Normal 9 11 3 3" xfId="16979" xr:uid="{00000000-0005-0000-0000-000057420000}"/>
    <cellStyle name="Normal 9 11 3 3 2" xfId="23636" xr:uid="{00000000-0005-0000-0000-0000585C0000}"/>
    <cellStyle name="Normal 9 11 3 4" xfId="20504" xr:uid="{00000000-0005-0000-0000-00001C500000}"/>
    <cellStyle name="Normal 9 11 4" xfId="9453" xr:uid="{00000000-0005-0000-0000-0000F1240000}"/>
    <cellStyle name="Normal 9 11 4 2" xfId="10772" xr:uid="{00000000-0005-0000-0000-0000182A0000}"/>
    <cellStyle name="Normal 9 11 4 2 2" xfId="19000" xr:uid="{00000000-0005-0000-0000-00003C4A0000}"/>
    <cellStyle name="Normal 9 11 4 2 2 2" xfId="25512" xr:uid="{00000000-0005-0000-0000-0000AC630000}"/>
    <cellStyle name="Normal 9 11 4 2 3" xfId="22677" xr:uid="{00000000-0005-0000-0000-000099580000}"/>
    <cellStyle name="Normal 9 11 4 3" xfId="17683" xr:uid="{00000000-0005-0000-0000-000017450000}"/>
    <cellStyle name="Normal 9 11 4 3 2" xfId="24256" xr:uid="{00000000-0005-0000-0000-0000C45E0000}"/>
    <cellStyle name="Normal 9 11 4 4" xfId="21421" xr:uid="{00000000-0005-0000-0000-0000B1530000}"/>
    <cellStyle name="Normal 9 11 5" xfId="9743" xr:uid="{00000000-0005-0000-0000-000013260000}"/>
    <cellStyle name="Normal 9 11 5 2" xfId="17971" xr:uid="{00000000-0005-0000-0000-000037460000}"/>
    <cellStyle name="Normal 9 11 5 2 2" xfId="24483" xr:uid="{00000000-0005-0000-0000-0000A75F0000}"/>
    <cellStyle name="Normal 9 11 5 3" xfId="21648" xr:uid="{00000000-0005-0000-0000-000094540000}"/>
    <cellStyle name="Normal 9 11 6" xfId="11222" xr:uid="{00000000-0005-0000-0000-0000DA2B0000}"/>
    <cellStyle name="Normal 9 11 6 2" xfId="23109" xr:uid="{00000000-0005-0000-0000-0000495A0000}"/>
    <cellStyle name="Normal 9 11 7" xfId="20086" xr:uid="{00000000-0005-0000-0000-00007A4E0000}"/>
    <cellStyle name="Normal 9 11 8" xfId="7877" xr:uid="{00000000-0005-0000-0000-0000C91E0000}"/>
    <cellStyle name="Normal 9 12" xfId="7893" xr:uid="{00000000-0005-0000-0000-0000D91E0000}"/>
    <cellStyle name="Normal 9 12 2" xfId="8315" xr:uid="{00000000-0005-0000-0000-00007F200000}"/>
    <cellStyle name="Normal 9 12 2 2" xfId="10177" xr:uid="{00000000-0005-0000-0000-0000C5270000}"/>
    <cellStyle name="Normal 9 12 2 2 2" xfId="18405" xr:uid="{00000000-0005-0000-0000-0000E9470000}"/>
    <cellStyle name="Normal 9 12 2 2 2 2" xfId="24917" xr:uid="{00000000-0005-0000-0000-000059610000}"/>
    <cellStyle name="Normal 9 12 2 2 3" xfId="22082" xr:uid="{00000000-0005-0000-0000-000046560000}"/>
    <cellStyle name="Normal 9 12 2 3" xfId="16995" xr:uid="{00000000-0005-0000-0000-000067420000}"/>
    <cellStyle name="Normal 9 12 2 3 2" xfId="23652" xr:uid="{00000000-0005-0000-0000-0000685C0000}"/>
    <cellStyle name="Normal 9 12 2 4" xfId="20520" xr:uid="{00000000-0005-0000-0000-00002C500000}"/>
    <cellStyle name="Normal 9 12 3" xfId="9455" xr:uid="{00000000-0005-0000-0000-0000F3240000}"/>
    <cellStyle name="Normal 9 12 3 2" xfId="10774" xr:uid="{00000000-0005-0000-0000-00001A2A0000}"/>
    <cellStyle name="Normal 9 12 3 2 2" xfId="19002" xr:uid="{00000000-0005-0000-0000-00003E4A0000}"/>
    <cellStyle name="Normal 9 12 3 2 2 2" xfId="25514" xr:uid="{00000000-0005-0000-0000-0000AE630000}"/>
    <cellStyle name="Normal 9 12 3 2 3" xfId="22679" xr:uid="{00000000-0005-0000-0000-00009B580000}"/>
    <cellStyle name="Normal 9 12 3 3" xfId="17685" xr:uid="{00000000-0005-0000-0000-000019450000}"/>
    <cellStyle name="Normal 9 12 3 3 2" xfId="24258" xr:uid="{00000000-0005-0000-0000-0000C65E0000}"/>
    <cellStyle name="Normal 9 12 3 4" xfId="21423" xr:uid="{00000000-0005-0000-0000-0000B3530000}"/>
    <cellStyle name="Normal 9 12 4" xfId="9759" xr:uid="{00000000-0005-0000-0000-000023260000}"/>
    <cellStyle name="Normal 9 12 4 2" xfId="17987" xr:uid="{00000000-0005-0000-0000-000047460000}"/>
    <cellStyle name="Normal 9 12 4 2 2" xfId="24499" xr:uid="{00000000-0005-0000-0000-0000B75F0000}"/>
    <cellStyle name="Normal 9 12 4 3" xfId="21664" xr:uid="{00000000-0005-0000-0000-0000A4540000}"/>
    <cellStyle name="Normal 9 12 5" xfId="11224" xr:uid="{00000000-0005-0000-0000-0000DC2B0000}"/>
    <cellStyle name="Normal 9 12 5 2" xfId="23111" xr:uid="{00000000-0005-0000-0000-00004B5A0000}"/>
    <cellStyle name="Normal 9 12 6" xfId="20102" xr:uid="{00000000-0005-0000-0000-00008A4E0000}"/>
    <cellStyle name="Normal 9 13" xfId="8106" xr:uid="{00000000-0005-0000-0000-0000AE1F0000}"/>
    <cellStyle name="Normal 9 13 2" xfId="8889" xr:uid="{00000000-0005-0000-0000-0000BD220000}"/>
    <cellStyle name="Normal 9 13 2 2" xfId="10388" xr:uid="{00000000-0005-0000-0000-000098280000}"/>
    <cellStyle name="Normal 9 13 2 2 2" xfId="18616" xr:uid="{00000000-0005-0000-0000-0000BC480000}"/>
    <cellStyle name="Normal 9 13 2 2 2 2" xfId="25128" xr:uid="{00000000-0005-0000-0000-00002C620000}"/>
    <cellStyle name="Normal 9 13 2 2 3" xfId="22293" xr:uid="{00000000-0005-0000-0000-000019570000}"/>
    <cellStyle name="Normal 9 13 2 3" xfId="17261" xr:uid="{00000000-0005-0000-0000-000071430000}"/>
    <cellStyle name="Normal 9 13 2 3 2" xfId="23870" xr:uid="{00000000-0005-0000-0000-0000425D0000}"/>
    <cellStyle name="Normal 9 13 2 4" xfId="20952" xr:uid="{00000000-0005-0000-0000-0000DC510000}"/>
    <cellStyle name="Normal 9 13 3" xfId="9968" xr:uid="{00000000-0005-0000-0000-0000F4260000}"/>
    <cellStyle name="Normal 9 13 3 2" xfId="18196" xr:uid="{00000000-0005-0000-0000-000018470000}"/>
    <cellStyle name="Normal 9 13 3 2 2" xfId="24708" xr:uid="{00000000-0005-0000-0000-000088600000}"/>
    <cellStyle name="Normal 9 13 3 3" xfId="21873" xr:uid="{00000000-0005-0000-0000-000075550000}"/>
    <cellStyle name="Normal 9 13 4" xfId="11225" xr:uid="{00000000-0005-0000-0000-0000DD2B0000}"/>
    <cellStyle name="Normal 9 13 4 2" xfId="23112" xr:uid="{00000000-0005-0000-0000-00004C5A0000}"/>
    <cellStyle name="Normal 9 13 5" xfId="20311" xr:uid="{00000000-0005-0000-0000-00005B4F0000}"/>
    <cellStyle name="Normal 9 14" xfId="9550" xr:uid="{00000000-0005-0000-0000-000052250000}"/>
    <cellStyle name="Normal 9 14 2" xfId="17778" xr:uid="{00000000-0005-0000-0000-000076450000}"/>
    <cellStyle name="Normal 9 14 2 2" xfId="24290" xr:uid="{00000000-0005-0000-0000-0000E65E0000}"/>
    <cellStyle name="Normal 9 14 3" xfId="21455" xr:uid="{00000000-0005-0000-0000-0000D3530000}"/>
    <cellStyle name="Normal 9 15" xfId="19616" xr:uid="{00000000-0005-0000-0000-0000A44C0000}"/>
    <cellStyle name="Normal 9 16" xfId="4526" xr:uid="{00000000-0005-0000-0000-0000B2110000}"/>
    <cellStyle name="Normal 9 2" xfId="1415" xr:uid="{00000000-0005-0000-0000-00008B050000}"/>
    <cellStyle name="Normal 9 2 2" xfId="2560" xr:uid="{00000000-0005-0000-0000-0000040A0000}"/>
    <cellStyle name="Normal 9 2 2 2" xfId="6473" xr:uid="{00000000-0005-0000-0000-00004D190000}"/>
    <cellStyle name="Normal 9 2 2 3" xfId="7921" xr:uid="{00000000-0005-0000-0000-0000F51E0000}"/>
    <cellStyle name="Normal 9 2 2 3 2" xfId="8342" xr:uid="{00000000-0005-0000-0000-00009A200000}"/>
    <cellStyle name="Normal 9 2 2 3 2 2" xfId="10204" xr:uid="{00000000-0005-0000-0000-0000E0270000}"/>
    <cellStyle name="Normal 9 2 2 3 2 2 2" xfId="18432" xr:uid="{00000000-0005-0000-0000-000004480000}"/>
    <cellStyle name="Normal 9 2 2 3 2 2 2 2" xfId="24944" xr:uid="{00000000-0005-0000-0000-000074610000}"/>
    <cellStyle name="Normal 9 2 2 3 2 2 3" xfId="22109" xr:uid="{00000000-0005-0000-0000-000061560000}"/>
    <cellStyle name="Normal 9 2 2 3 2 3" xfId="17022" xr:uid="{00000000-0005-0000-0000-000082420000}"/>
    <cellStyle name="Normal 9 2 2 3 2 3 2" xfId="23679" xr:uid="{00000000-0005-0000-0000-0000835C0000}"/>
    <cellStyle name="Normal 9 2 2 3 2 4" xfId="20547" xr:uid="{00000000-0005-0000-0000-000047500000}"/>
    <cellStyle name="Normal 9 2 2 3 3" xfId="9457" xr:uid="{00000000-0005-0000-0000-0000F5240000}"/>
    <cellStyle name="Normal 9 2 2 3 3 2" xfId="10776" xr:uid="{00000000-0005-0000-0000-00001C2A0000}"/>
    <cellStyle name="Normal 9 2 2 3 3 2 2" xfId="19004" xr:uid="{00000000-0005-0000-0000-0000404A0000}"/>
    <cellStyle name="Normal 9 2 2 3 3 2 2 2" xfId="25516" xr:uid="{00000000-0005-0000-0000-0000B0630000}"/>
    <cellStyle name="Normal 9 2 2 3 3 2 3" xfId="22681" xr:uid="{00000000-0005-0000-0000-00009D580000}"/>
    <cellStyle name="Normal 9 2 2 3 3 3" xfId="17687" xr:uid="{00000000-0005-0000-0000-00001B450000}"/>
    <cellStyle name="Normal 9 2 2 3 3 3 2" xfId="24260" xr:uid="{00000000-0005-0000-0000-0000C85E0000}"/>
    <cellStyle name="Normal 9 2 2 3 3 4" xfId="21425" xr:uid="{00000000-0005-0000-0000-0000B5530000}"/>
    <cellStyle name="Normal 9 2 2 3 4" xfId="9786" xr:uid="{00000000-0005-0000-0000-00003E260000}"/>
    <cellStyle name="Normal 9 2 2 3 4 2" xfId="18014" xr:uid="{00000000-0005-0000-0000-000062460000}"/>
    <cellStyle name="Normal 9 2 2 3 4 2 2" xfId="24526" xr:uid="{00000000-0005-0000-0000-0000D25F0000}"/>
    <cellStyle name="Normal 9 2 2 3 4 3" xfId="21691" xr:uid="{00000000-0005-0000-0000-0000BF540000}"/>
    <cellStyle name="Normal 9 2 2 3 5" xfId="11227" xr:uid="{00000000-0005-0000-0000-0000DF2B0000}"/>
    <cellStyle name="Normal 9 2 2 3 5 2" xfId="23114" xr:uid="{00000000-0005-0000-0000-00004E5A0000}"/>
    <cellStyle name="Normal 9 2 2 3 6" xfId="20129" xr:uid="{00000000-0005-0000-0000-0000A54E0000}"/>
    <cellStyle name="Normal 9 2 2 4" xfId="8133" xr:uid="{00000000-0005-0000-0000-0000C91F0000}"/>
    <cellStyle name="Normal 9 2 2 4 2" xfId="9995" xr:uid="{00000000-0005-0000-0000-00000F270000}"/>
    <cellStyle name="Normal 9 2 2 4 2 2" xfId="18223" xr:uid="{00000000-0005-0000-0000-000033470000}"/>
    <cellStyle name="Normal 9 2 2 4 2 2 2" xfId="24735" xr:uid="{00000000-0005-0000-0000-0000A3600000}"/>
    <cellStyle name="Normal 9 2 2 4 2 3" xfId="21900" xr:uid="{00000000-0005-0000-0000-000090550000}"/>
    <cellStyle name="Normal 9 2 2 4 3" xfId="16823" xr:uid="{00000000-0005-0000-0000-0000BB410000}"/>
    <cellStyle name="Normal 9 2 2 4 3 2" xfId="23482" xr:uid="{00000000-0005-0000-0000-0000BE5B0000}"/>
    <cellStyle name="Normal 9 2 2 4 4" xfId="20338" xr:uid="{00000000-0005-0000-0000-0000764F0000}"/>
    <cellStyle name="Normal 9 2 2 5" xfId="9456" xr:uid="{00000000-0005-0000-0000-0000F4240000}"/>
    <cellStyle name="Normal 9 2 2 5 2" xfId="10775" xr:uid="{00000000-0005-0000-0000-00001B2A0000}"/>
    <cellStyle name="Normal 9 2 2 5 2 2" xfId="19003" xr:uid="{00000000-0005-0000-0000-00003F4A0000}"/>
    <cellStyle name="Normal 9 2 2 5 2 2 2" xfId="25515" xr:uid="{00000000-0005-0000-0000-0000AF630000}"/>
    <cellStyle name="Normal 9 2 2 5 2 3" xfId="22680" xr:uid="{00000000-0005-0000-0000-00009C580000}"/>
    <cellStyle name="Normal 9 2 2 5 3" xfId="17686" xr:uid="{00000000-0005-0000-0000-00001A450000}"/>
    <cellStyle name="Normal 9 2 2 5 3 2" xfId="24259" xr:uid="{00000000-0005-0000-0000-0000C75E0000}"/>
    <cellStyle name="Normal 9 2 2 5 4" xfId="21424" xr:uid="{00000000-0005-0000-0000-0000B4530000}"/>
    <cellStyle name="Normal 9 2 2 6" xfId="9577" xr:uid="{00000000-0005-0000-0000-00006D250000}"/>
    <cellStyle name="Normal 9 2 2 6 2" xfId="17805" xr:uid="{00000000-0005-0000-0000-000091450000}"/>
    <cellStyle name="Normal 9 2 2 6 2 2" xfId="24317" xr:uid="{00000000-0005-0000-0000-0000015F0000}"/>
    <cellStyle name="Normal 9 2 2 6 3" xfId="21482" xr:uid="{00000000-0005-0000-0000-0000EE530000}"/>
    <cellStyle name="Normal 9 2 2 7" xfId="11226" xr:uid="{00000000-0005-0000-0000-0000DE2B0000}"/>
    <cellStyle name="Normal 9 2 2 7 2" xfId="23113" xr:uid="{00000000-0005-0000-0000-00004D5A0000}"/>
    <cellStyle name="Normal 9 2 2 8" xfId="19653" xr:uid="{00000000-0005-0000-0000-0000C94C0000}"/>
    <cellStyle name="Normal 9 2 2 9" xfId="4577" xr:uid="{00000000-0005-0000-0000-0000E5110000}"/>
    <cellStyle name="Normal 9 2 3" xfId="6472" xr:uid="{00000000-0005-0000-0000-00004C190000}"/>
    <cellStyle name="Normal 9 2 3 2" xfId="7964" xr:uid="{00000000-0005-0000-0000-0000201F0000}"/>
    <cellStyle name="Normal 9 2 3 2 2" xfId="8383" xr:uid="{00000000-0005-0000-0000-0000C3200000}"/>
    <cellStyle name="Normal 9 2 3 2 2 2" xfId="10245" xr:uid="{00000000-0005-0000-0000-000009280000}"/>
    <cellStyle name="Normal 9 2 3 2 2 2 2" xfId="18473" xr:uid="{00000000-0005-0000-0000-00002D480000}"/>
    <cellStyle name="Normal 9 2 3 2 2 2 2 2" xfId="24985" xr:uid="{00000000-0005-0000-0000-00009D610000}"/>
    <cellStyle name="Normal 9 2 3 2 2 2 3" xfId="22150" xr:uid="{00000000-0005-0000-0000-00008A560000}"/>
    <cellStyle name="Normal 9 2 3 2 2 3" xfId="17063" xr:uid="{00000000-0005-0000-0000-0000AB420000}"/>
    <cellStyle name="Normal 9 2 3 2 2 3 2" xfId="23720" xr:uid="{00000000-0005-0000-0000-0000AC5C0000}"/>
    <cellStyle name="Normal 9 2 3 2 2 4" xfId="20588" xr:uid="{00000000-0005-0000-0000-000070500000}"/>
    <cellStyle name="Normal 9 2 3 2 3" xfId="9459" xr:uid="{00000000-0005-0000-0000-0000F7240000}"/>
    <cellStyle name="Normal 9 2 3 2 3 2" xfId="10778" xr:uid="{00000000-0005-0000-0000-00001E2A0000}"/>
    <cellStyle name="Normal 9 2 3 2 3 2 2" xfId="19006" xr:uid="{00000000-0005-0000-0000-0000424A0000}"/>
    <cellStyle name="Normal 9 2 3 2 3 2 2 2" xfId="25518" xr:uid="{00000000-0005-0000-0000-0000B2630000}"/>
    <cellStyle name="Normal 9 2 3 2 3 2 3" xfId="22683" xr:uid="{00000000-0005-0000-0000-00009F580000}"/>
    <cellStyle name="Normal 9 2 3 2 3 3" xfId="17689" xr:uid="{00000000-0005-0000-0000-00001D450000}"/>
    <cellStyle name="Normal 9 2 3 2 3 3 2" xfId="24262" xr:uid="{00000000-0005-0000-0000-0000CA5E0000}"/>
    <cellStyle name="Normal 9 2 3 2 3 4" xfId="21427" xr:uid="{00000000-0005-0000-0000-0000B7530000}"/>
    <cellStyle name="Normal 9 2 3 2 4" xfId="9827" xr:uid="{00000000-0005-0000-0000-000067260000}"/>
    <cellStyle name="Normal 9 2 3 2 4 2" xfId="18055" xr:uid="{00000000-0005-0000-0000-00008B460000}"/>
    <cellStyle name="Normal 9 2 3 2 4 2 2" xfId="24567" xr:uid="{00000000-0005-0000-0000-0000FB5F0000}"/>
    <cellStyle name="Normal 9 2 3 2 4 3" xfId="21732" xr:uid="{00000000-0005-0000-0000-0000E8540000}"/>
    <cellStyle name="Normal 9 2 3 2 5" xfId="11229" xr:uid="{00000000-0005-0000-0000-0000E12B0000}"/>
    <cellStyle name="Normal 9 2 3 2 5 2" xfId="23116" xr:uid="{00000000-0005-0000-0000-0000505A0000}"/>
    <cellStyle name="Normal 9 2 3 2 6" xfId="20170" xr:uid="{00000000-0005-0000-0000-0000CE4E0000}"/>
    <cellStyle name="Normal 9 2 3 3" xfId="8174" xr:uid="{00000000-0005-0000-0000-0000F21F0000}"/>
    <cellStyle name="Normal 9 2 3 3 2" xfId="10036" xr:uid="{00000000-0005-0000-0000-000038270000}"/>
    <cellStyle name="Normal 9 2 3 3 2 2" xfId="18264" xr:uid="{00000000-0005-0000-0000-00005C470000}"/>
    <cellStyle name="Normal 9 2 3 3 2 2 2" xfId="24776" xr:uid="{00000000-0005-0000-0000-0000CC600000}"/>
    <cellStyle name="Normal 9 2 3 3 2 3" xfId="21941" xr:uid="{00000000-0005-0000-0000-0000B9550000}"/>
    <cellStyle name="Normal 9 2 3 3 3" xfId="16855" xr:uid="{00000000-0005-0000-0000-0000DB410000}"/>
    <cellStyle name="Normal 9 2 3 3 3 2" xfId="23512" xr:uid="{00000000-0005-0000-0000-0000DC5B0000}"/>
    <cellStyle name="Normal 9 2 3 3 4" xfId="20379" xr:uid="{00000000-0005-0000-0000-00009F4F0000}"/>
    <cellStyle name="Normal 9 2 3 4" xfId="9458" xr:uid="{00000000-0005-0000-0000-0000F6240000}"/>
    <cellStyle name="Normal 9 2 3 4 2" xfId="10777" xr:uid="{00000000-0005-0000-0000-00001D2A0000}"/>
    <cellStyle name="Normal 9 2 3 4 2 2" xfId="19005" xr:uid="{00000000-0005-0000-0000-0000414A0000}"/>
    <cellStyle name="Normal 9 2 3 4 2 2 2" xfId="25517" xr:uid="{00000000-0005-0000-0000-0000B1630000}"/>
    <cellStyle name="Normal 9 2 3 4 2 3" xfId="22682" xr:uid="{00000000-0005-0000-0000-00009E580000}"/>
    <cellStyle name="Normal 9 2 3 4 3" xfId="17688" xr:uid="{00000000-0005-0000-0000-00001C450000}"/>
    <cellStyle name="Normal 9 2 3 4 3 2" xfId="24261" xr:uid="{00000000-0005-0000-0000-0000C95E0000}"/>
    <cellStyle name="Normal 9 2 3 4 4" xfId="21426" xr:uid="{00000000-0005-0000-0000-0000B6530000}"/>
    <cellStyle name="Normal 9 2 3 5" xfId="9618" xr:uid="{00000000-0005-0000-0000-000096250000}"/>
    <cellStyle name="Normal 9 2 3 5 2" xfId="17846" xr:uid="{00000000-0005-0000-0000-0000BA450000}"/>
    <cellStyle name="Normal 9 2 3 5 2 2" xfId="24358" xr:uid="{00000000-0005-0000-0000-00002A5F0000}"/>
    <cellStyle name="Normal 9 2 3 5 3" xfId="21523" xr:uid="{00000000-0005-0000-0000-000017540000}"/>
    <cellStyle name="Normal 9 2 3 6" xfId="11228" xr:uid="{00000000-0005-0000-0000-0000E02B0000}"/>
    <cellStyle name="Normal 9 2 3 6 2" xfId="23115" xr:uid="{00000000-0005-0000-0000-00004F5A0000}"/>
    <cellStyle name="Normal 9 2 3 7" xfId="19735" xr:uid="{00000000-0005-0000-0000-00001B4D0000}"/>
    <cellStyle name="Normal 9 2 4" xfId="7878" xr:uid="{00000000-0005-0000-0000-0000CA1E0000}"/>
    <cellStyle name="Normal 9 2 4 2" xfId="8091" xr:uid="{00000000-0005-0000-0000-00009F1F0000}"/>
    <cellStyle name="Normal 9 2 4 2 2" xfId="8509" xr:uid="{00000000-0005-0000-0000-000041210000}"/>
    <cellStyle name="Normal 9 2 4 2 2 2" xfId="10371" xr:uid="{00000000-0005-0000-0000-000087280000}"/>
    <cellStyle name="Normal 9 2 4 2 2 2 2" xfId="18599" xr:uid="{00000000-0005-0000-0000-0000AB480000}"/>
    <cellStyle name="Normal 9 2 4 2 2 2 2 2" xfId="25111" xr:uid="{00000000-0005-0000-0000-00001B620000}"/>
    <cellStyle name="Normal 9 2 4 2 2 2 3" xfId="22276" xr:uid="{00000000-0005-0000-0000-000008570000}"/>
    <cellStyle name="Normal 9 2 4 2 2 3" xfId="17189" xr:uid="{00000000-0005-0000-0000-000029430000}"/>
    <cellStyle name="Normal 9 2 4 2 2 3 2" xfId="23846" xr:uid="{00000000-0005-0000-0000-00002A5D0000}"/>
    <cellStyle name="Normal 9 2 4 2 2 4" xfId="20714" xr:uid="{00000000-0005-0000-0000-0000EE500000}"/>
    <cellStyle name="Normal 9 2 4 2 3" xfId="9461" xr:uid="{00000000-0005-0000-0000-0000F9240000}"/>
    <cellStyle name="Normal 9 2 4 2 3 2" xfId="10780" xr:uid="{00000000-0005-0000-0000-0000202A0000}"/>
    <cellStyle name="Normal 9 2 4 2 3 2 2" xfId="19008" xr:uid="{00000000-0005-0000-0000-0000444A0000}"/>
    <cellStyle name="Normal 9 2 4 2 3 2 2 2" xfId="25520" xr:uid="{00000000-0005-0000-0000-0000B4630000}"/>
    <cellStyle name="Normal 9 2 4 2 3 2 3" xfId="22685" xr:uid="{00000000-0005-0000-0000-0000A1580000}"/>
    <cellStyle name="Normal 9 2 4 2 3 3" xfId="17691" xr:uid="{00000000-0005-0000-0000-00001F450000}"/>
    <cellStyle name="Normal 9 2 4 2 3 3 2" xfId="24264" xr:uid="{00000000-0005-0000-0000-0000CC5E0000}"/>
    <cellStyle name="Normal 9 2 4 2 3 4" xfId="21429" xr:uid="{00000000-0005-0000-0000-0000B9530000}"/>
    <cellStyle name="Normal 9 2 4 2 4" xfId="9953" xr:uid="{00000000-0005-0000-0000-0000E5260000}"/>
    <cellStyle name="Normal 9 2 4 2 4 2" xfId="18181" xr:uid="{00000000-0005-0000-0000-000009470000}"/>
    <cellStyle name="Normal 9 2 4 2 4 2 2" xfId="24693" xr:uid="{00000000-0005-0000-0000-000079600000}"/>
    <cellStyle name="Normal 9 2 4 2 4 3" xfId="21858" xr:uid="{00000000-0005-0000-0000-000066550000}"/>
    <cellStyle name="Normal 9 2 4 2 5" xfId="11231" xr:uid="{00000000-0005-0000-0000-0000E32B0000}"/>
    <cellStyle name="Normal 9 2 4 2 5 2" xfId="23118" xr:uid="{00000000-0005-0000-0000-0000525A0000}"/>
    <cellStyle name="Normal 9 2 4 2 6" xfId="20296" xr:uid="{00000000-0005-0000-0000-00004C4F0000}"/>
    <cellStyle name="Normal 9 2 4 3" xfId="8300" xr:uid="{00000000-0005-0000-0000-000070200000}"/>
    <cellStyle name="Normal 9 2 4 3 2" xfId="10162" xr:uid="{00000000-0005-0000-0000-0000B6270000}"/>
    <cellStyle name="Normal 9 2 4 3 2 2" xfId="18390" xr:uid="{00000000-0005-0000-0000-0000DA470000}"/>
    <cellStyle name="Normal 9 2 4 3 2 2 2" xfId="24902" xr:uid="{00000000-0005-0000-0000-00004A610000}"/>
    <cellStyle name="Normal 9 2 4 3 2 3" xfId="22067" xr:uid="{00000000-0005-0000-0000-000037560000}"/>
    <cellStyle name="Normal 9 2 4 3 3" xfId="16980" xr:uid="{00000000-0005-0000-0000-000058420000}"/>
    <cellStyle name="Normal 9 2 4 3 3 2" xfId="23637" xr:uid="{00000000-0005-0000-0000-0000595C0000}"/>
    <cellStyle name="Normal 9 2 4 3 4" xfId="20505" xr:uid="{00000000-0005-0000-0000-00001D500000}"/>
    <cellStyle name="Normal 9 2 4 4" xfId="9460" xr:uid="{00000000-0005-0000-0000-0000F8240000}"/>
    <cellStyle name="Normal 9 2 4 4 2" xfId="10779" xr:uid="{00000000-0005-0000-0000-00001F2A0000}"/>
    <cellStyle name="Normal 9 2 4 4 2 2" xfId="19007" xr:uid="{00000000-0005-0000-0000-0000434A0000}"/>
    <cellStyle name="Normal 9 2 4 4 2 2 2" xfId="25519" xr:uid="{00000000-0005-0000-0000-0000B3630000}"/>
    <cellStyle name="Normal 9 2 4 4 2 3" xfId="22684" xr:uid="{00000000-0005-0000-0000-0000A0580000}"/>
    <cellStyle name="Normal 9 2 4 4 3" xfId="17690" xr:uid="{00000000-0005-0000-0000-00001E450000}"/>
    <cellStyle name="Normal 9 2 4 4 3 2" xfId="24263" xr:uid="{00000000-0005-0000-0000-0000CB5E0000}"/>
    <cellStyle name="Normal 9 2 4 4 4" xfId="21428" xr:uid="{00000000-0005-0000-0000-0000B8530000}"/>
    <cellStyle name="Normal 9 2 4 5" xfId="9744" xr:uid="{00000000-0005-0000-0000-000014260000}"/>
    <cellStyle name="Normal 9 2 4 5 2" xfId="17972" xr:uid="{00000000-0005-0000-0000-000038460000}"/>
    <cellStyle name="Normal 9 2 4 5 2 2" xfId="24484" xr:uid="{00000000-0005-0000-0000-0000A85F0000}"/>
    <cellStyle name="Normal 9 2 4 5 3" xfId="21649" xr:uid="{00000000-0005-0000-0000-000095540000}"/>
    <cellStyle name="Normal 9 2 4 6" xfId="11230" xr:uid="{00000000-0005-0000-0000-0000E22B0000}"/>
    <cellStyle name="Normal 9 2 4 6 2" xfId="23117" xr:uid="{00000000-0005-0000-0000-0000515A0000}"/>
    <cellStyle name="Normal 9 2 4 7" xfId="20087" xr:uid="{00000000-0005-0000-0000-00007B4E0000}"/>
    <cellStyle name="Normal 9 2 5" xfId="7894" xr:uid="{00000000-0005-0000-0000-0000DA1E0000}"/>
    <cellStyle name="Normal 9 2 5 2" xfId="8316" xr:uid="{00000000-0005-0000-0000-000080200000}"/>
    <cellStyle name="Normal 9 2 5 2 2" xfId="10178" xr:uid="{00000000-0005-0000-0000-0000C6270000}"/>
    <cellStyle name="Normal 9 2 5 2 2 2" xfId="18406" xr:uid="{00000000-0005-0000-0000-0000EA470000}"/>
    <cellStyle name="Normal 9 2 5 2 2 2 2" xfId="24918" xr:uid="{00000000-0005-0000-0000-00005A610000}"/>
    <cellStyle name="Normal 9 2 5 2 2 3" xfId="22083" xr:uid="{00000000-0005-0000-0000-000047560000}"/>
    <cellStyle name="Normal 9 2 5 2 3" xfId="16996" xr:uid="{00000000-0005-0000-0000-000068420000}"/>
    <cellStyle name="Normal 9 2 5 2 3 2" xfId="23653" xr:uid="{00000000-0005-0000-0000-0000695C0000}"/>
    <cellStyle name="Normal 9 2 5 2 4" xfId="20521" xr:uid="{00000000-0005-0000-0000-00002D500000}"/>
    <cellStyle name="Normal 9 2 5 3" xfId="9462" xr:uid="{00000000-0005-0000-0000-0000FA240000}"/>
    <cellStyle name="Normal 9 2 5 3 2" xfId="10781" xr:uid="{00000000-0005-0000-0000-0000212A0000}"/>
    <cellStyle name="Normal 9 2 5 3 2 2" xfId="19009" xr:uid="{00000000-0005-0000-0000-0000454A0000}"/>
    <cellStyle name="Normal 9 2 5 3 2 2 2" xfId="25521" xr:uid="{00000000-0005-0000-0000-0000B5630000}"/>
    <cellStyle name="Normal 9 2 5 3 2 3" xfId="22686" xr:uid="{00000000-0005-0000-0000-0000A2580000}"/>
    <cellStyle name="Normal 9 2 5 3 3" xfId="17692" xr:uid="{00000000-0005-0000-0000-000020450000}"/>
    <cellStyle name="Normal 9 2 5 3 3 2" xfId="24265" xr:uid="{00000000-0005-0000-0000-0000CD5E0000}"/>
    <cellStyle name="Normal 9 2 5 3 4" xfId="21430" xr:uid="{00000000-0005-0000-0000-0000BA530000}"/>
    <cellStyle name="Normal 9 2 5 4" xfId="9760" xr:uid="{00000000-0005-0000-0000-000024260000}"/>
    <cellStyle name="Normal 9 2 5 4 2" xfId="17988" xr:uid="{00000000-0005-0000-0000-000048460000}"/>
    <cellStyle name="Normal 9 2 5 4 2 2" xfId="24500" xr:uid="{00000000-0005-0000-0000-0000B85F0000}"/>
    <cellStyle name="Normal 9 2 5 4 3" xfId="21665" xr:uid="{00000000-0005-0000-0000-0000A5540000}"/>
    <cellStyle name="Normal 9 2 5 5" xfId="11232" xr:uid="{00000000-0005-0000-0000-0000E42B0000}"/>
    <cellStyle name="Normal 9 2 5 5 2" xfId="23119" xr:uid="{00000000-0005-0000-0000-0000535A0000}"/>
    <cellStyle name="Normal 9 2 5 6" xfId="20103" xr:uid="{00000000-0005-0000-0000-00008B4E0000}"/>
    <cellStyle name="Normal 9 2 6" xfId="8107" xr:uid="{00000000-0005-0000-0000-0000AF1F0000}"/>
    <cellStyle name="Normal 9 2 6 2" xfId="8890" xr:uid="{00000000-0005-0000-0000-0000BE220000}"/>
    <cellStyle name="Normal 9 2 6 2 2" xfId="10389" xr:uid="{00000000-0005-0000-0000-000099280000}"/>
    <cellStyle name="Normal 9 2 6 2 2 2" xfId="18617" xr:uid="{00000000-0005-0000-0000-0000BD480000}"/>
    <cellStyle name="Normal 9 2 6 2 2 2 2" xfId="25129" xr:uid="{00000000-0005-0000-0000-00002D620000}"/>
    <cellStyle name="Normal 9 2 6 2 2 3" xfId="22294" xr:uid="{00000000-0005-0000-0000-00001A570000}"/>
    <cellStyle name="Normal 9 2 6 2 3" xfId="17262" xr:uid="{00000000-0005-0000-0000-000072430000}"/>
    <cellStyle name="Normal 9 2 6 2 3 2" xfId="23871" xr:uid="{00000000-0005-0000-0000-0000435D0000}"/>
    <cellStyle name="Normal 9 2 6 2 4" xfId="20953" xr:uid="{00000000-0005-0000-0000-0000DD510000}"/>
    <cellStyle name="Normal 9 2 6 3" xfId="9969" xr:uid="{00000000-0005-0000-0000-0000F5260000}"/>
    <cellStyle name="Normal 9 2 6 3 2" xfId="18197" xr:uid="{00000000-0005-0000-0000-000019470000}"/>
    <cellStyle name="Normal 9 2 6 3 2 2" xfId="24709" xr:uid="{00000000-0005-0000-0000-000089600000}"/>
    <cellStyle name="Normal 9 2 6 3 3" xfId="21874" xr:uid="{00000000-0005-0000-0000-000076550000}"/>
    <cellStyle name="Normal 9 2 6 4" xfId="11233" xr:uid="{00000000-0005-0000-0000-0000E52B0000}"/>
    <cellStyle name="Normal 9 2 6 4 2" xfId="23120" xr:uid="{00000000-0005-0000-0000-0000545A0000}"/>
    <cellStyle name="Normal 9 2 6 5" xfId="20312" xr:uid="{00000000-0005-0000-0000-00005C4F0000}"/>
    <cellStyle name="Normal 9 2 7" xfId="9551" xr:uid="{00000000-0005-0000-0000-000053250000}"/>
    <cellStyle name="Normal 9 2 7 2" xfId="17779" xr:uid="{00000000-0005-0000-0000-000077450000}"/>
    <cellStyle name="Normal 9 2 7 2 2" xfId="24291" xr:uid="{00000000-0005-0000-0000-0000E75E0000}"/>
    <cellStyle name="Normal 9 2 7 3" xfId="21456" xr:uid="{00000000-0005-0000-0000-0000D4530000}"/>
    <cellStyle name="Normal 9 2 8" xfId="19617" xr:uid="{00000000-0005-0000-0000-0000A54C0000}"/>
    <cellStyle name="Normal 9 2 9" xfId="4527" xr:uid="{00000000-0005-0000-0000-0000B3110000}"/>
    <cellStyle name="Normal 9 3" xfId="1416" xr:uid="{00000000-0005-0000-0000-00008C050000}"/>
    <cellStyle name="Normal 9 3 2" xfId="2561" xr:uid="{00000000-0005-0000-0000-0000050A0000}"/>
    <cellStyle name="Normal 9 3 3" xfId="7920" xr:uid="{00000000-0005-0000-0000-0000F41E0000}"/>
    <cellStyle name="Normal 9 3 3 2" xfId="8341" xr:uid="{00000000-0005-0000-0000-000099200000}"/>
    <cellStyle name="Normal 9 3 3 2 2" xfId="10203" xr:uid="{00000000-0005-0000-0000-0000DF270000}"/>
    <cellStyle name="Normal 9 3 3 2 2 2" xfId="18431" xr:uid="{00000000-0005-0000-0000-000003480000}"/>
    <cellStyle name="Normal 9 3 3 2 2 2 2" xfId="24943" xr:uid="{00000000-0005-0000-0000-000073610000}"/>
    <cellStyle name="Normal 9 3 3 2 2 3" xfId="22108" xr:uid="{00000000-0005-0000-0000-000060560000}"/>
    <cellStyle name="Normal 9 3 3 2 3" xfId="17021" xr:uid="{00000000-0005-0000-0000-000081420000}"/>
    <cellStyle name="Normal 9 3 3 2 3 2" xfId="23678" xr:uid="{00000000-0005-0000-0000-0000825C0000}"/>
    <cellStyle name="Normal 9 3 3 2 4" xfId="20546" xr:uid="{00000000-0005-0000-0000-000046500000}"/>
    <cellStyle name="Normal 9 3 3 3" xfId="9464" xr:uid="{00000000-0005-0000-0000-0000FC240000}"/>
    <cellStyle name="Normal 9 3 3 3 2" xfId="10783" xr:uid="{00000000-0005-0000-0000-0000232A0000}"/>
    <cellStyle name="Normal 9 3 3 3 2 2" xfId="19011" xr:uid="{00000000-0005-0000-0000-0000474A0000}"/>
    <cellStyle name="Normal 9 3 3 3 2 2 2" xfId="25523" xr:uid="{00000000-0005-0000-0000-0000B7630000}"/>
    <cellStyle name="Normal 9 3 3 3 2 3" xfId="22688" xr:uid="{00000000-0005-0000-0000-0000A4580000}"/>
    <cellStyle name="Normal 9 3 3 3 3" xfId="17694" xr:uid="{00000000-0005-0000-0000-000022450000}"/>
    <cellStyle name="Normal 9 3 3 3 3 2" xfId="24267" xr:uid="{00000000-0005-0000-0000-0000CF5E0000}"/>
    <cellStyle name="Normal 9 3 3 3 4" xfId="21432" xr:uid="{00000000-0005-0000-0000-0000BC530000}"/>
    <cellStyle name="Normal 9 3 3 4" xfId="9785" xr:uid="{00000000-0005-0000-0000-00003D260000}"/>
    <cellStyle name="Normal 9 3 3 4 2" xfId="18013" xr:uid="{00000000-0005-0000-0000-000061460000}"/>
    <cellStyle name="Normal 9 3 3 4 2 2" xfId="24525" xr:uid="{00000000-0005-0000-0000-0000D15F0000}"/>
    <cellStyle name="Normal 9 3 3 4 3" xfId="21690" xr:uid="{00000000-0005-0000-0000-0000BE540000}"/>
    <cellStyle name="Normal 9 3 3 5" xfId="11234" xr:uid="{00000000-0005-0000-0000-0000E62B0000}"/>
    <cellStyle name="Normal 9 3 3 5 2" xfId="23121" xr:uid="{00000000-0005-0000-0000-0000555A0000}"/>
    <cellStyle name="Normal 9 3 3 6" xfId="20128" xr:uid="{00000000-0005-0000-0000-0000A44E0000}"/>
    <cellStyle name="Normal 9 3 4" xfId="8132" xr:uid="{00000000-0005-0000-0000-0000C81F0000}"/>
    <cellStyle name="Normal 9 3 4 2" xfId="9463" xr:uid="{00000000-0005-0000-0000-0000FB240000}"/>
    <cellStyle name="Normal 9 3 4 2 2" xfId="10782" xr:uid="{00000000-0005-0000-0000-0000222A0000}"/>
    <cellStyle name="Normal 9 3 4 2 2 2" xfId="19010" xr:uid="{00000000-0005-0000-0000-0000464A0000}"/>
    <cellStyle name="Normal 9 3 4 2 2 2 2" xfId="25522" xr:uid="{00000000-0005-0000-0000-0000B6630000}"/>
    <cellStyle name="Normal 9 3 4 2 2 3" xfId="22687" xr:uid="{00000000-0005-0000-0000-0000A3580000}"/>
    <cellStyle name="Normal 9 3 4 2 3" xfId="17693" xr:uid="{00000000-0005-0000-0000-000021450000}"/>
    <cellStyle name="Normal 9 3 4 2 3 2" xfId="24266" xr:uid="{00000000-0005-0000-0000-0000CE5E0000}"/>
    <cellStyle name="Normal 9 3 4 2 4" xfId="21431" xr:uid="{00000000-0005-0000-0000-0000BB530000}"/>
    <cellStyle name="Normal 9 3 4 3" xfId="9994" xr:uid="{00000000-0005-0000-0000-00000E270000}"/>
    <cellStyle name="Normal 9 3 4 3 2" xfId="18222" xr:uid="{00000000-0005-0000-0000-000032470000}"/>
    <cellStyle name="Normal 9 3 4 3 2 2" xfId="24734" xr:uid="{00000000-0005-0000-0000-0000A2600000}"/>
    <cellStyle name="Normal 9 3 4 3 3" xfId="21899" xr:uid="{00000000-0005-0000-0000-00008F550000}"/>
    <cellStyle name="Normal 9 3 4 4" xfId="11235" xr:uid="{00000000-0005-0000-0000-0000E72B0000}"/>
    <cellStyle name="Normal 9 3 4 4 2" xfId="23122" xr:uid="{00000000-0005-0000-0000-0000565A0000}"/>
    <cellStyle name="Normal 9 3 4 5" xfId="20337" xr:uid="{00000000-0005-0000-0000-0000754F0000}"/>
    <cellStyle name="Normal 9 3 5" xfId="9576" xr:uid="{00000000-0005-0000-0000-00006C250000}"/>
    <cellStyle name="Normal 9 3 5 2" xfId="17804" xr:uid="{00000000-0005-0000-0000-000090450000}"/>
    <cellStyle name="Normal 9 3 5 2 2" xfId="24316" xr:uid="{00000000-0005-0000-0000-0000005F0000}"/>
    <cellStyle name="Normal 9 3 5 3" xfId="21481" xr:uid="{00000000-0005-0000-0000-0000ED530000}"/>
    <cellStyle name="Normal 9 3 6" xfId="19652" xr:uid="{00000000-0005-0000-0000-0000C84C0000}"/>
    <cellStyle name="Normal 9 3 7" xfId="4576" xr:uid="{00000000-0005-0000-0000-0000E4110000}"/>
    <cellStyle name="Normal 9 4" xfId="1417" xr:uid="{00000000-0005-0000-0000-00008D050000}"/>
    <cellStyle name="Normal 9 4 2" xfId="2562" xr:uid="{00000000-0005-0000-0000-0000060A0000}"/>
    <cellStyle name="Normal 9 5" xfId="1418" xr:uid="{00000000-0005-0000-0000-00008E050000}"/>
    <cellStyle name="Normal 9 5 2" xfId="2563" xr:uid="{00000000-0005-0000-0000-0000070A0000}"/>
    <cellStyle name="Normal 9 6" xfId="1419" xr:uid="{00000000-0005-0000-0000-00008F050000}"/>
    <cellStyle name="Normal 9 6 2" xfId="2564" xr:uid="{00000000-0005-0000-0000-0000080A0000}"/>
    <cellStyle name="Normal 9 7" xfId="1420" xr:uid="{00000000-0005-0000-0000-000090050000}"/>
    <cellStyle name="Normal 9 7 2" xfId="2565" xr:uid="{00000000-0005-0000-0000-0000090A0000}"/>
    <cellStyle name="Normal 9 8" xfId="1421" xr:uid="{00000000-0005-0000-0000-000091050000}"/>
    <cellStyle name="Normal 9 8 2" xfId="2566" xr:uid="{00000000-0005-0000-0000-00000A0A0000}"/>
    <cellStyle name="Normal 9 9" xfId="2559" xr:uid="{00000000-0005-0000-0000-0000030A0000}"/>
    <cellStyle name="Normal 9 9 2" xfId="6474" xr:uid="{00000000-0005-0000-0000-00004E190000}"/>
    <cellStyle name="Normal GHG Numbers (0.00)" xfId="211" xr:uid="{00000000-0005-0000-0000-0000D7000000}"/>
    <cellStyle name="Normal GHG Textfiels Bold" xfId="212" xr:uid="{00000000-0005-0000-0000-0000D8000000}"/>
    <cellStyle name="Normal GHG whole table" xfId="6475" xr:uid="{00000000-0005-0000-0000-00004F190000}"/>
    <cellStyle name="Normal GHG-Shade" xfId="213" xr:uid="{00000000-0005-0000-0000-0000D9000000}"/>
    <cellStyle name="Normal GHG-Shade 2" xfId="1422" xr:uid="{00000000-0005-0000-0000-000092050000}"/>
    <cellStyle name="Normal GHG-Shade 2 2" xfId="2568" xr:uid="{00000000-0005-0000-0000-00000C0A0000}"/>
    <cellStyle name="Normal GHG-Shade 3" xfId="2567" xr:uid="{00000000-0005-0000-0000-00000B0A0000}"/>
    <cellStyle name="Normale_B2020" xfId="148" xr:uid="{00000000-0005-0000-0000-000098000000}"/>
    <cellStyle name="Note 10" xfId="6476" xr:uid="{00000000-0005-0000-0000-000050190000}"/>
    <cellStyle name="Note 10 2" xfId="6477" xr:uid="{00000000-0005-0000-0000-000051190000}"/>
    <cellStyle name="Note 10 3" xfId="6478" xr:uid="{00000000-0005-0000-0000-000052190000}"/>
    <cellStyle name="Note 10 3 2" xfId="6479" xr:uid="{00000000-0005-0000-0000-000053190000}"/>
    <cellStyle name="Note 10 3_ELC_final" xfId="6480" xr:uid="{00000000-0005-0000-0000-000054190000}"/>
    <cellStyle name="Note 10_ELC_final" xfId="6481" xr:uid="{00000000-0005-0000-0000-000055190000}"/>
    <cellStyle name="Note 11" xfId="6482" xr:uid="{00000000-0005-0000-0000-000056190000}"/>
    <cellStyle name="Note 11 2" xfId="6483" xr:uid="{00000000-0005-0000-0000-000057190000}"/>
    <cellStyle name="Note 11_ELC_final" xfId="6484" xr:uid="{00000000-0005-0000-0000-000058190000}"/>
    <cellStyle name="Note 12" xfId="6485" xr:uid="{00000000-0005-0000-0000-000059190000}"/>
    <cellStyle name="Note 12 2" xfId="6486" xr:uid="{00000000-0005-0000-0000-00005A190000}"/>
    <cellStyle name="Note 12_ELC_final" xfId="6487" xr:uid="{00000000-0005-0000-0000-00005B190000}"/>
    <cellStyle name="Note 13" xfId="6488" xr:uid="{00000000-0005-0000-0000-00005C190000}"/>
    <cellStyle name="Note 13 2" xfId="6489" xr:uid="{00000000-0005-0000-0000-00005D190000}"/>
    <cellStyle name="Note 13_ELC_final" xfId="6490" xr:uid="{00000000-0005-0000-0000-00005E190000}"/>
    <cellStyle name="Note 14" xfId="6491" xr:uid="{00000000-0005-0000-0000-00005F190000}"/>
    <cellStyle name="Note 14 2" xfId="6492" xr:uid="{00000000-0005-0000-0000-000060190000}"/>
    <cellStyle name="Note 14_ELC_final" xfId="6493" xr:uid="{00000000-0005-0000-0000-000061190000}"/>
    <cellStyle name="Note 15" xfId="6494" xr:uid="{00000000-0005-0000-0000-000062190000}"/>
    <cellStyle name="Note 15 2" xfId="6495" xr:uid="{00000000-0005-0000-0000-000063190000}"/>
    <cellStyle name="Note 15_ELC_final" xfId="6496" xr:uid="{00000000-0005-0000-0000-000064190000}"/>
    <cellStyle name="Note 16" xfId="6497" xr:uid="{00000000-0005-0000-0000-000065190000}"/>
    <cellStyle name="Note 16 2" xfId="6498" xr:uid="{00000000-0005-0000-0000-000066190000}"/>
    <cellStyle name="Note 16_ELC_final" xfId="6499" xr:uid="{00000000-0005-0000-0000-000067190000}"/>
    <cellStyle name="Note 17" xfId="6500" xr:uid="{00000000-0005-0000-0000-000068190000}"/>
    <cellStyle name="Note 17 2" xfId="6501" xr:uid="{00000000-0005-0000-0000-000069190000}"/>
    <cellStyle name="Note 17_ELC_final" xfId="6502" xr:uid="{00000000-0005-0000-0000-00006A190000}"/>
    <cellStyle name="Note 18" xfId="6503" xr:uid="{00000000-0005-0000-0000-00006B190000}"/>
    <cellStyle name="Note 18 2" xfId="6504" xr:uid="{00000000-0005-0000-0000-00006C190000}"/>
    <cellStyle name="Note 18_ELC_final" xfId="6505" xr:uid="{00000000-0005-0000-0000-00006D190000}"/>
    <cellStyle name="Note 19" xfId="6506" xr:uid="{00000000-0005-0000-0000-00006E190000}"/>
    <cellStyle name="Note 2" xfId="149" xr:uid="{00000000-0005-0000-0000-000099000000}"/>
    <cellStyle name="Note 2 10" xfId="1424" xr:uid="{00000000-0005-0000-0000-000094050000}"/>
    <cellStyle name="Note 2 10 2" xfId="2570" xr:uid="{00000000-0005-0000-0000-00000E0A0000}"/>
    <cellStyle name="Note 2 11" xfId="1425" xr:uid="{00000000-0005-0000-0000-000095050000}"/>
    <cellStyle name="Note 2 11 2" xfId="2571" xr:uid="{00000000-0005-0000-0000-00000F0A0000}"/>
    <cellStyle name="Note 2 12" xfId="1426" xr:uid="{00000000-0005-0000-0000-000096050000}"/>
    <cellStyle name="Note 2 12 2" xfId="2572" xr:uid="{00000000-0005-0000-0000-0000100A0000}"/>
    <cellStyle name="Note 2 13" xfId="1427" xr:uid="{00000000-0005-0000-0000-000097050000}"/>
    <cellStyle name="Note 2 13 2" xfId="2573" xr:uid="{00000000-0005-0000-0000-0000110A0000}"/>
    <cellStyle name="Note 2 14" xfId="1428" xr:uid="{00000000-0005-0000-0000-000098050000}"/>
    <cellStyle name="Note 2 14 2" xfId="2574" xr:uid="{00000000-0005-0000-0000-0000120A0000}"/>
    <cellStyle name="Note 2 15" xfId="1429" xr:uid="{00000000-0005-0000-0000-000099050000}"/>
    <cellStyle name="Note 2 15 2" xfId="2575" xr:uid="{00000000-0005-0000-0000-0000130A0000}"/>
    <cellStyle name="Note 2 16" xfId="2569" xr:uid="{00000000-0005-0000-0000-00000D0A0000}"/>
    <cellStyle name="Note 2 17" xfId="1423" xr:uid="{00000000-0005-0000-0000-000093050000}"/>
    <cellStyle name="Note 2 17 2" xfId="4528" xr:uid="{00000000-0005-0000-0000-0000B4110000}"/>
    <cellStyle name="Note 2 18" xfId="4455" xr:uid="{00000000-0005-0000-0000-00006B110000}"/>
    <cellStyle name="Note 2 2" xfId="1430" xr:uid="{00000000-0005-0000-0000-00009A050000}"/>
    <cellStyle name="Note 2 2 2" xfId="1431" xr:uid="{00000000-0005-0000-0000-00009B050000}"/>
    <cellStyle name="Note 2 2 2 2" xfId="2576" xr:uid="{00000000-0005-0000-0000-0000140A0000}"/>
    <cellStyle name="Note 2 2 2 3" xfId="6507" xr:uid="{00000000-0005-0000-0000-00006F190000}"/>
    <cellStyle name="Note 2 3" xfId="1432" xr:uid="{00000000-0005-0000-0000-00009C050000}"/>
    <cellStyle name="Note 2 3 2" xfId="2577" xr:uid="{00000000-0005-0000-0000-0000150A0000}"/>
    <cellStyle name="Note 2 4" xfId="1433" xr:uid="{00000000-0005-0000-0000-00009D050000}"/>
    <cellStyle name="Note 2 4 2" xfId="2578" xr:uid="{00000000-0005-0000-0000-0000160A0000}"/>
    <cellStyle name="Note 2 5" xfId="1434" xr:uid="{00000000-0005-0000-0000-00009E050000}"/>
    <cellStyle name="Note 2 5 2" xfId="2579" xr:uid="{00000000-0005-0000-0000-0000170A0000}"/>
    <cellStyle name="Note 2 6" xfId="1435" xr:uid="{00000000-0005-0000-0000-00009F050000}"/>
    <cellStyle name="Note 2 6 2" xfId="2580" xr:uid="{00000000-0005-0000-0000-0000180A0000}"/>
    <cellStyle name="Note 2 7" xfId="1436" xr:uid="{00000000-0005-0000-0000-0000A0050000}"/>
    <cellStyle name="Note 2 7 2" xfId="2581" xr:uid="{00000000-0005-0000-0000-0000190A0000}"/>
    <cellStyle name="Note 2 8" xfId="1437" xr:uid="{00000000-0005-0000-0000-0000A1050000}"/>
    <cellStyle name="Note 2 8 2" xfId="2582" xr:uid="{00000000-0005-0000-0000-00001A0A0000}"/>
    <cellStyle name="Note 2 9" xfId="1438" xr:uid="{00000000-0005-0000-0000-0000A2050000}"/>
    <cellStyle name="Note 2 9 2" xfId="2583" xr:uid="{00000000-0005-0000-0000-00001B0A0000}"/>
    <cellStyle name="Note 2_PrimaryEnergyPrices_TIMES" xfId="6508" xr:uid="{00000000-0005-0000-0000-000070190000}"/>
    <cellStyle name="Note 20" xfId="6509" xr:uid="{00000000-0005-0000-0000-000071190000}"/>
    <cellStyle name="Note 21" xfId="6510" xr:uid="{00000000-0005-0000-0000-000072190000}"/>
    <cellStyle name="Note 22" xfId="6511" xr:uid="{00000000-0005-0000-0000-000073190000}"/>
    <cellStyle name="Note 23" xfId="6512" xr:uid="{00000000-0005-0000-0000-000074190000}"/>
    <cellStyle name="Note 24" xfId="6513" xr:uid="{00000000-0005-0000-0000-000075190000}"/>
    <cellStyle name="Note 25" xfId="6514" xr:uid="{00000000-0005-0000-0000-000076190000}"/>
    <cellStyle name="Note 26" xfId="6515" xr:uid="{00000000-0005-0000-0000-000077190000}"/>
    <cellStyle name="Note 27" xfId="6516" xr:uid="{00000000-0005-0000-0000-000078190000}"/>
    <cellStyle name="Note 28" xfId="6517" xr:uid="{00000000-0005-0000-0000-000079190000}"/>
    <cellStyle name="Note 29" xfId="6518" xr:uid="{00000000-0005-0000-0000-00007A190000}"/>
    <cellStyle name="Note 3" xfId="150" xr:uid="{00000000-0005-0000-0000-00009A000000}"/>
    <cellStyle name="Note 3 2" xfId="151" xr:uid="{00000000-0005-0000-0000-00009B000000}"/>
    <cellStyle name="Note 3 2 2" xfId="2584" xr:uid="{00000000-0005-0000-0000-00001C0A0000}"/>
    <cellStyle name="Note 3 2 2 2" xfId="6520" xr:uid="{00000000-0005-0000-0000-00007C190000}"/>
    <cellStyle name="Note 3 2 3" xfId="1440" xr:uid="{00000000-0005-0000-0000-0000A4050000}"/>
    <cellStyle name="Note 3 3" xfId="1439" xr:uid="{00000000-0005-0000-0000-0000A3050000}"/>
    <cellStyle name="Note 3 3 2" xfId="4529" xr:uid="{00000000-0005-0000-0000-0000B5110000}"/>
    <cellStyle name="Note 3 4" xfId="4578" xr:uid="{00000000-0005-0000-0000-0000E6110000}"/>
    <cellStyle name="Note 3 4 2" xfId="6521" xr:uid="{00000000-0005-0000-0000-00007D190000}"/>
    <cellStyle name="Note 3 4 3" xfId="7922" xr:uid="{00000000-0005-0000-0000-0000F61E0000}"/>
    <cellStyle name="Note 3 5" xfId="6522" xr:uid="{00000000-0005-0000-0000-00007E190000}"/>
    <cellStyle name="Note 3 6" xfId="6523" xr:uid="{00000000-0005-0000-0000-00007F190000}"/>
    <cellStyle name="Note 3 7" xfId="6519" xr:uid="{00000000-0005-0000-0000-00007B190000}"/>
    <cellStyle name="Note 3_PrimaryEnergyPrices_TIMES" xfId="12765" xr:uid="{00000000-0005-0000-0000-0000E1310000}"/>
    <cellStyle name="Note 30" xfId="6524" xr:uid="{00000000-0005-0000-0000-000080190000}"/>
    <cellStyle name="Note 31" xfId="6525" xr:uid="{00000000-0005-0000-0000-000081190000}"/>
    <cellStyle name="Note 32" xfId="6526" xr:uid="{00000000-0005-0000-0000-000082190000}"/>
    <cellStyle name="Note 33" xfId="6527" xr:uid="{00000000-0005-0000-0000-000083190000}"/>
    <cellStyle name="Note 34" xfId="6528" xr:uid="{00000000-0005-0000-0000-000084190000}"/>
    <cellStyle name="Note 35" xfId="6529" xr:uid="{00000000-0005-0000-0000-000085190000}"/>
    <cellStyle name="Note 36" xfId="6530" xr:uid="{00000000-0005-0000-0000-000086190000}"/>
    <cellStyle name="Note 37" xfId="6531" xr:uid="{00000000-0005-0000-0000-000087190000}"/>
    <cellStyle name="Note 38" xfId="6532" xr:uid="{00000000-0005-0000-0000-000088190000}"/>
    <cellStyle name="Note 39" xfId="6533" xr:uid="{00000000-0005-0000-0000-000089190000}"/>
    <cellStyle name="Note 4" xfId="1441" xr:uid="{00000000-0005-0000-0000-0000A5050000}"/>
    <cellStyle name="Note 4 2" xfId="2585" xr:uid="{00000000-0005-0000-0000-00001D0A0000}"/>
    <cellStyle name="Note 4 3" xfId="6534" xr:uid="{00000000-0005-0000-0000-00008A190000}"/>
    <cellStyle name="Note 4 3 2" xfId="6535" xr:uid="{00000000-0005-0000-0000-00008B190000}"/>
    <cellStyle name="Note 4 3_ELC_final" xfId="6536" xr:uid="{00000000-0005-0000-0000-00008C190000}"/>
    <cellStyle name="Note 4 4" xfId="6537" xr:uid="{00000000-0005-0000-0000-00008D190000}"/>
    <cellStyle name="Note 4_ELC_final" xfId="6538" xr:uid="{00000000-0005-0000-0000-00008E190000}"/>
    <cellStyle name="Note 40" xfId="6539" xr:uid="{00000000-0005-0000-0000-00008F190000}"/>
    <cellStyle name="Note 41" xfId="6540" xr:uid="{00000000-0005-0000-0000-000090190000}"/>
    <cellStyle name="Note 5" xfId="1442" xr:uid="{00000000-0005-0000-0000-0000A6050000}"/>
    <cellStyle name="Note 5 2" xfId="2586" xr:uid="{00000000-0005-0000-0000-00001E0A0000}"/>
    <cellStyle name="Note 5 3" xfId="6541" xr:uid="{00000000-0005-0000-0000-000091190000}"/>
    <cellStyle name="Note 5 3 2" xfId="6542" xr:uid="{00000000-0005-0000-0000-000092190000}"/>
    <cellStyle name="Note 5 3_ELC_final" xfId="6543" xr:uid="{00000000-0005-0000-0000-000093190000}"/>
    <cellStyle name="Note 5 4" xfId="6544" xr:uid="{00000000-0005-0000-0000-000094190000}"/>
    <cellStyle name="Note 5_ELC_final" xfId="6545" xr:uid="{00000000-0005-0000-0000-000095190000}"/>
    <cellStyle name="Note 6" xfId="1443" xr:uid="{00000000-0005-0000-0000-0000A7050000}"/>
    <cellStyle name="Note 6 2" xfId="2587" xr:uid="{00000000-0005-0000-0000-00001F0A0000}"/>
    <cellStyle name="Note 6 3" xfId="6546" xr:uid="{00000000-0005-0000-0000-000096190000}"/>
    <cellStyle name="Note 6 3 2" xfId="6547" xr:uid="{00000000-0005-0000-0000-000097190000}"/>
    <cellStyle name="Note 6 3_ELC_final" xfId="6548" xr:uid="{00000000-0005-0000-0000-000098190000}"/>
    <cellStyle name="Note 6 4" xfId="6549" xr:uid="{00000000-0005-0000-0000-000099190000}"/>
    <cellStyle name="Note 6_ELC_final" xfId="6550" xr:uid="{00000000-0005-0000-0000-00009A190000}"/>
    <cellStyle name="Note 7" xfId="1444" xr:uid="{00000000-0005-0000-0000-0000A8050000}"/>
    <cellStyle name="Note 7 2" xfId="2588" xr:uid="{00000000-0005-0000-0000-0000200A0000}"/>
    <cellStyle name="Note 7 3" xfId="6551" xr:uid="{00000000-0005-0000-0000-00009B190000}"/>
    <cellStyle name="Note 7 3 2" xfId="6552" xr:uid="{00000000-0005-0000-0000-00009C190000}"/>
    <cellStyle name="Note 7 3_ELC_final" xfId="6553" xr:uid="{00000000-0005-0000-0000-00009D190000}"/>
    <cellStyle name="Note 7 4" xfId="6554" xr:uid="{00000000-0005-0000-0000-00009E190000}"/>
    <cellStyle name="Note 7_ELC_final" xfId="6555" xr:uid="{00000000-0005-0000-0000-00009F190000}"/>
    <cellStyle name="Note 8" xfId="1445" xr:uid="{00000000-0005-0000-0000-0000A9050000}"/>
    <cellStyle name="Note 8 2" xfId="2589" xr:uid="{00000000-0005-0000-0000-0000210A0000}"/>
    <cellStyle name="Note 8 3" xfId="6556" xr:uid="{00000000-0005-0000-0000-0000A0190000}"/>
    <cellStyle name="Note 8 3 2" xfId="6557" xr:uid="{00000000-0005-0000-0000-0000A1190000}"/>
    <cellStyle name="Note 8 3_ELC_final" xfId="6558" xr:uid="{00000000-0005-0000-0000-0000A2190000}"/>
    <cellStyle name="Note 8 4" xfId="6559" xr:uid="{00000000-0005-0000-0000-0000A3190000}"/>
    <cellStyle name="Note 8_ELC_final" xfId="6560" xr:uid="{00000000-0005-0000-0000-0000A4190000}"/>
    <cellStyle name="Note 9" xfId="6561" xr:uid="{00000000-0005-0000-0000-0000A5190000}"/>
    <cellStyle name="Note 9 2" xfId="6562" xr:uid="{00000000-0005-0000-0000-0000A6190000}"/>
    <cellStyle name="Note 9 3" xfId="6563" xr:uid="{00000000-0005-0000-0000-0000A7190000}"/>
    <cellStyle name="Note 9 3 2" xfId="6564" xr:uid="{00000000-0005-0000-0000-0000A8190000}"/>
    <cellStyle name="Note 9 3_ELC_final" xfId="6565" xr:uid="{00000000-0005-0000-0000-0000A9190000}"/>
    <cellStyle name="Note 9 4" xfId="6566" xr:uid="{00000000-0005-0000-0000-0000AA190000}"/>
    <cellStyle name="Note 9_ELC_final" xfId="6567" xr:uid="{00000000-0005-0000-0000-0000AB190000}"/>
    <cellStyle name="Notiz" xfId="6568" xr:uid="{00000000-0005-0000-0000-0000AC190000}"/>
    <cellStyle name="Notiz 2" xfId="6569" xr:uid="{00000000-0005-0000-0000-0000AD190000}"/>
    <cellStyle name="Notiz 3" xfId="6570" xr:uid="{00000000-0005-0000-0000-0000AE190000}"/>
    <cellStyle name="num_note" xfId="1446" xr:uid="{00000000-0005-0000-0000-0000AA050000}"/>
    <cellStyle name="Nuovo" xfId="1447" xr:uid="{00000000-0005-0000-0000-0000AB050000}"/>
    <cellStyle name="Nuovo 10" xfId="6571" xr:uid="{00000000-0005-0000-0000-0000AF190000}"/>
    <cellStyle name="Nuovo 11" xfId="6572" xr:uid="{00000000-0005-0000-0000-0000B0190000}"/>
    <cellStyle name="Nuovo 12" xfId="6573" xr:uid="{00000000-0005-0000-0000-0000B1190000}"/>
    <cellStyle name="Nuovo 13" xfId="6574" xr:uid="{00000000-0005-0000-0000-0000B2190000}"/>
    <cellStyle name="Nuovo 14" xfId="6575" xr:uid="{00000000-0005-0000-0000-0000B3190000}"/>
    <cellStyle name="Nuovo 15" xfId="6576" xr:uid="{00000000-0005-0000-0000-0000B4190000}"/>
    <cellStyle name="Nuovo 16" xfId="6577" xr:uid="{00000000-0005-0000-0000-0000B5190000}"/>
    <cellStyle name="Nuovo 17" xfId="6578" xr:uid="{00000000-0005-0000-0000-0000B6190000}"/>
    <cellStyle name="Nuovo 18" xfId="6579" xr:uid="{00000000-0005-0000-0000-0000B7190000}"/>
    <cellStyle name="Nuovo 19" xfId="6580" xr:uid="{00000000-0005-0000-0000-0000B8190000}"/>
    <cellStyle name="Nuovo 2" xfId="2590" xr:uid="{00000000-0005-0000-0000-0000220A0000}"/>
    <cellStyle name="Nuovo 2 2" xfId="15089" xr:uid="{00000000-0005-0000-0000-0000F53A0000}"/>
    <cellStyle name="Nuovo 20" xfId="6581" xr:uid="{00000000-0005-0000-0000-0000B9190000}"/>
    <cellStyle name="Nuovo 21" xfId="6582" xr:uid="{00000000-0005-0000-0000-0000BA190000}"/>
    <cellStyle name="Nuovo 22" xfId="6583" xr:uid="{00000000-0005-0000-0000-0000BB190000}"/>
    <cellStyle name="Nuovo 23" xfId="6584" xr:uid="{00000000-0005-0000-0000-0000BC190000}"/>
    <cellStyle name="Nuovo 24" xfId="6585" xr:uid="{00000000-0005-0000-0000-0000BD190000}"/>
    <cellStyle name="Nuovo 25" xfId="6586" xr:uid="{00000000-0005-0000-0000-0000BE190000}"/>
    <cellStyle name="Nuovo 26" xfId="6587" xr:uid="{00000000-0005-0000-0000-0000BF190000}"/>
    <cellStyle name="Nuovo 27" xfId="6588" xr:uid="{00000000-0005-0000-0000-0000C0190000}"/>
    <cellStyle name="Nuovo 28" xfId="6589" xr:uid="{00000000-0005-0000-0000-0000C1190000}"/>
    <cellStyle name="Nuovo 29" xfId="6590" xr:uid="{00000000-0005-0000-0000-0000C2190000}"/>
    <cellStyle name="Nuovo 3" xfId="4530" xr:uid="{00000000-0005-0000-0000-0000B6110000}"/>
    <cellStyle name="Nuovo 30" xfId="6591" xr:uid="{00000000-0005-0000-0000-0000C3190000}"/>
    <cellStyle name="Nuovo 31" xfId="6592" xr:uid="{00000000-0005-0000-0000-0000C4190000}"/>
    <cellStyle name="Nuovo 32" xfId="6593" xr:uid="{00000000-0005-0000-0000-0000C5190000}"/>
    <cellStyle name="Nuovo 33" xfId="6594" xr:uid="{00000000-0005-0000-0000-0000C6190000}"/>
    <cellStyle name="Nuovo 34" xfId="6595" xr:uid="{00000000-0005-0000-0000-0000C7190000}"/>
    <cellStyle name="Nuovo 35" xfId="6596" xr:uid="{00000000-0005-0000-0000-0000C8190000}"/>
    <cellStyle name="Nuovo 36" xfId="6597" xr:uid="{00000000-0005-0000-0000-0000C9190000}"/>
    <cellStyle name="Nuovo 37" xfId="6598" xr:uid="{00000000-0005-0000-0000-0000CA190000}"/>
    <cellStyle name="Nuovo 38" xfId="6599" xr:uid="{00000000-0005-0000-0000-0000CB190000}"/>
    <cellStyle name="Nuovo 38 2" xfId="12766" xr:uid="{00000000-0005-0000-0000-0000E2310000}"/>
    <cellStyle name="Nuovo 38 3" xfId="12767" xr:uid="{00000000-0005-0000-0000-0000E3310000}"/>
    <cellStyle name="Nuovo 38 4" xfId="12768" xr:uid="{00000000-0005-0000-0000-0000E4310000}"/>
    <cellStyle name="Nuovo 39" xfId="8891" xr:uid="{00000000-0005-0000-0000-0000BF220000}"/>
    <cellStyle name="Nuovo 39 2" xfId="17263" xr:uid="{00000000-0005-0000-0000-000073430000}"/>
    <cellStyle name="Nuovo 4" xfId="4579" xr:uid="{00000000-0005-0000-0000-0000E7110000}"/>
    <cellStyle name="Nuovo 4 2" xfId="6600" xr:uid="{00000000-0005-0000-0000-0000CC190000}"/>
    <cellStyle name="Nuovo 40" xfId="8803" xr:uid="{00000000-0005-0000-0000-000067220000}"/>
    <cellStyle name="Nuovo 40 2" xfId="17230" xr:uid="{00000000-0005-0000-0000-000052430000}"/>
    <cellStyle name="Nuovo 5" xfId="6601" xr:uid="{00000000-0005-0000-0000-0000CD190000}"/>
    <cellStyle name="Nuovo 6" xfId="6602" xr:uid="{00000000-0005-0000-0000-0000CE190000}"/>
    <cellStyle name="Nuovo 7" xfId="6603" xr:uid="{00000000-0005-0000-0000-0000CF190000}"/>
    <cellStyle name="Nuovo 8" xfId="6604" xr:uid="{00000000-0005-0000-0000-0000D0190000}"/>
    <cellStyle name="Nuovo 9" xfId="6605" xr:uid="{00000000-0005-0000-0000-0000D1190000}"/>
    <cellStyle name="Output 10" xfId="6606" xr:uid="{00000000-0005-0000-0000-0000D2190000}"/>
    <cellStyle name="Output 11" xfId="6607" xr:uid="{00000000-0005-0000-0000-0000D3190000}"/>
    <cellStyle name="Output 12" xfId="6608" xr:uid="{00000000-0005-0000-0000-0000D4190000}"/>
    <cellStyle name="Output 13" xfId="6609" xr:uid="{00000000-0005-0000-0000-0000D5190000}"/>
    <cellStyle name="Output 14" xfId="6610" xr:uid="{00000000-0005-0000-0000-0000D6190000}"/>
    <cellStyle name="Output 15" xfId="6611" xr:uid="{00000000-0005-0000-0000-0000D7190000}"/>
    <cellStyle name="Output 16" xfId="6612" xr:uid="{00000000-0005-0000-0000-0000D8190000}"/>
    <cellStyle name="Output 17" xfId="6613" xr:uid="{00000000-0005-0000-0000-0000D9190000}"/>
    <cellStyle name="Output 18" xfId="6614" xr:uid="{00000000-0005-0000-0000-0000DA190000}"/>
    <cellStyle name="Output 19" xfId="6615" xr:uid="{00000000-0005-0000-0000-0000DB190000}"/>
    <cellStyle name="Output 2" xfId="152" xr:uid="{00000000-0005-0000-0000-00009C000000}"/>
    <cellStyle name="Output 2 10" xfId="1448" xr:uid="{00000000-0005-0000-0000-0000AC050000}"/>
    <cellStyle name="Output 2 11" xfId="12769" xr:uid="{00000000-0005-0000-0000-0000E5310000}"/>
    <cellStyle name="Output 2 2" xfId="1449" xr:uid="{00000000-0005-0000-0000-0000AD050000}"/>
    <cellStyle name="Output 2 3" xfId="1450" xr:uid="{00000000-0005-0000-0000-0000AE050000}"/>
    <cellStyle name="Output 2 4" xfId="1451" xr:uid="{00000000-0005-0000-0000-0000AF050000}"/>
    <cellStyle name="Output 2 5" xfId="1452" xr:uid="{00000000-0005-0000-0000-0000B0050000}"/>
    <cellStyle name="Output 2 6" xfId="1453" xr:uid="{00000000-0005-0000-0000-0000B1050000}"/>
    <cellStyle name="Output 2 7" xfId="1454" xr:uid="{00000000-0005-0000-0000-0000B2050000}"/>
    <cellStyle name="Output 2 8" xfId="1455" xr:uid="{00000000-0005-0000-0000-0000B3050000}"/>
    <cellStyle name="Output 2 9" xfId="1456" xr:uid="{00000000-0005-0000-0000-0000B4050000}"/>
    <cellStyle name="Output 20" xfId="6616" xr:uid="{00000000-0005-0000-0000-0000DC190000}"/>
    <cellStyle name="Output 21" xfId="6617" xr:uid="{00000000-0005-0000-0000-0000DD190000}"/>
    <cellStyle name="Output 22" xfId="6618" xr:uid="{00000000-0005-0000-0000-0000DE190000}"/>
    <cellStyle name="Output 23" xfId="6619" xr:uid="{00000000-0005-0000-0000-0000DF190000}"/>
    <cellStyle name="Output 24" xfId="6620" xr:uid="{00000000-0005-0000-0000-0000E0190000}"/>
    <cellStyle name="Output 25" xfId="6621" xr:uid="{00000000-0005-0000-0000-0000E1190000}"/>
    <cellStyle name="Output 26" xfId="6622" xr:uid="{00000000-0005-0000-0000-0000E2190000}"/>
    <cellStyle name="Output 27" xfId="6623" xr:uid="{00000000-0005-0000-0000-0000E3190000}"/>
    <cellStyle name="Output 28" xfId="6624" xr:uid="{00000000-0005-0000-0000-0000E4190000}"/>
    <cellStyle name="Output 29" xfId="6625" xr:uid="{00000000-0005-0000-0000-0000E5190000}"/>
    <cellStyle name="Output 3" xfId="153" xr:uid="{00000000-0005-0000-0000-00009D000000}"/>
    <cellStyle name="Output 3 2" xfId="1457" xr:uid="{00000000-0005-0000-0000-0000B5050000}"/>
    <cellStyle name="Output 3 2 2" xfId="12770" xr:uid="{00000000-0005-0000-0000-0000E6310000}"/>
    <cellStyle name="Output 3 2 3" xfId="6626" xr:uid="{00000000-0005-0000-0000-0000E6190000}"/>
    <cellStyle name="Output 3 3" xfId="7842" xr:uid="{00000000-0005-0000-0000-0000A61E0000}"/>
    <cellStyle name="Output 3 4" xfId="8892" xr:uid="{00000000-0005-0000-0000-0000C0220000}"/>
    <cellStyle name="Output 30" xfId="6627" xr:uid="{00000000-0005-0000-0000-0000E7190000}"/>
    <cellStyle name="Output 31" xfId="6628" xr:uid="{00000000-0005-0000-0000-0000E8190000}"/>
    <cellStyle name="Output 32" xfId="6629" xr:uid="{00000000-0005-0000-0000-0000E9190000}"/>
    <cellStyle name="Output 33" xfId="6630" xr:uid="{00000000-0005-0000-0000-0000EA190000}"/>
    <cellStyle name="Output 34" xfId="6631" xr:uid="{00000000-0005-0000-0000-0000EB190000}"/>
    <cellStyle name="Output 35" xfId="6632" xr:uid="{00000000-0005-0000-0000-0000EC190000}"/>
    <cellStyle name="Output 36" xfId="6633" xr:uid="{00000000-0005-0000-0000-0000ED190000}"/>
    <cellStyle name="Output 37" xfId="6634" xr:uid="{00000000-0005-0000-0000-0000EE190000}"/>
    <cellStyle name="Output 38" xfId="6635" xr:uid="{00000000-0005-0000-0000-0000EF190000}"/>
    <cellStyle name="Output 39" xfId="6636" xr:uid="{00000000-0005-0000-0000-0000F0190000}"/>
    <cellStyle name="Output 4" xfId="6637" xr:uid="{00000000-0005-0000-0000-0000F1190000}"/>
    <cellStyle name="Output 4 2" xfId="12771" xr:uid="{00000000-0005-0000-0000-0000E7310000}"/>
    <cellStyle name="Output 40" xfId="6638" xr:uid="{00000000-0005-0000-0000-0000F2190000}"/>
    <cellStyle name="Output 41" xfId="6639" xr:uid="{00000000-0005-0000-0000-0000F3190000}"/>
    <cellStyle name="Output 42" xfId="6640" xr:uid="{00000000-0005-0000-0000-0000F4190000}"/>
    <cellStyle name="Output 43" xfId="6641" xr:uid="{00000000-0005-0000-0000-0000F5190000}"/>
    <cellStyle name="Output 5" xfId="6642" xr:uid="{00000000-0005-0000-0000-0000F6190000}"/>
    <cellStyle name="Output 5 2" xfId="12772" xr:uid="{00000000-0005-0000-0000-0000E8310000}"/>
    <cellStyle name="Output 6" xfId="6643" xr:uid="{00000000-0005-0000-0000-0000F7190000}"/>
    <cellStyle name="Output 6 2" xfId="12773" xr:uid="{00000000-0005-0000-0000-0000E9310000}"/>
    <cellStyle name="Output 7" xfId="6644" xr:uid="{00000000-0005-0000-0000-0000F8190000}"/>
    <cellStyle name="Output 8" xfId="6645" xr:uid="{00000000-0005-0000-0000-0000F9190000}"/>
    <cellStyle name="Output 9" xfId="6646" xr:uid="{00000000-0005-0000-0000-0000FA190000}"/>
    <cellStyle name="Parent row" xfId="15" xr:uid="{00000000-0005-0000-0000-000013000000}"/>
    <cellStyle name="Pattern" xfId="6647" xr:uid="{00000000-0005-0000-0000-0000FB190000}"/>
    <cellStyle name="Percent" xfId="1" builtinId="5"/>
    <cellStyle name="Percent 10" xfId="1458" xr:uid="{00000000-0005-0000-0000-0000B6050000}"/>
    <cellStyle name="Percent 10 10" xfId="6649" xr:uid="{00000000-0005-0000-0000-0000FD190000}"/>
    <cellStyle name="Percent 10 11" xfId="6650" xr:uid="{00000000-0005-0000-0000-0000FE190000}"/>
    <cellStyle name="Percent 10 11 2" xfId="12774" xr:uid="{00000000-0005-0000-0000-0000EA310000}"/>
    <cellStyle name="Percent 10 11 3" xfId="11236" xr:uid="{00000000-0005-0000-0000-0000E82B0000}"/>
    <cellStyle name="Percent 10 12" xfId="6651" xr:uid="{00000000-0005-0000-0000-0000FF190000}"/>
    <cellStyle name="Percent 10 12 2" xfId="12775" xr:uid="{00000000-0005-0000-0000-0000EB310000}"/>
    <cellStyle name="Percent 10 12 3" xfId="11237" xr:uid="{00000000-0005-0000-0000-0000E92B0000}"/>
    <cellStyle name="Percent 10 13" xfId="6652" xr:uid="{00000000-0005-0000-0000-0000001A0000}"/>
    <cellStyle name="Percent 10 13 2" xfId="12776" xr:uid="{00000000-0005-0000-0000-0000EC310000}"/>
    <cellStyle name="Percent 10 13 3" xfId="11238" xr:uid="{00000000-0005-0000-0000-0000EA2B0000}"/>
    <cellStyle name="Percent 10 14" xfId="6653" xr:uid="{00000000-0005-0000-0000-0000011A0000}"/>
    <cellStyle name="Percent 10 14 2" xfId="12777" xr:uid="{00000000-0005-0000-0000-0000ED310000}"/>
    <cellStyle name="Percent 10 14 3" xfId="19248" xr:uid="{00000000-0005-0000-0000-0000344B0000}"/>
    <cellStyle name="Percent 10 14 4" xfId="11239" xr:uid="{00000000-0005-0000-0000-0000EB2B0000}"/>
    <cellStyle name="Percent 10 15" xfId="6654" xr:uid="{00000000-0005-0000-0000-0000021A0000}"/>
    <cellStyle name="Percent 10 15 2" xfId="12778" xr:uid="{00000000-0005-0000-0000-0000EE310000}"/>
    <cellStyle name="Percent 10 15 3" xfId="15648" xr:uid="{00000000-0005-0000-0000-0000243D0000}"/>
    <cellStyle name="Percent 10 15 4" xfId="11240" xr:uid="{00000000-0005-0000-0000-0000EC2B0000}"/>
    <cellStyle name="Percent 10 16" xfId="6655" xr:uid="{00000000-0005-0000-0000-0000031A0000}"/>
    <cellStyle name="Percent 10 16 2" xfId="12779" xr:uid="{00000000-0005-0000-0000-0000EF310000}"/>
    <cellStyle name="Percent 10 16 3" xfId="15782" xr:uid="{00000000-0005-0000-0000-0000AA3D0000}"/>
    <cellStyle name="Percent 10 16 4" xfId="11241" xr:uid="{00000000-0005-0000-0000-0000ED2B0000}"/>
    <cellStyle name="Percent 10 17" xfId="6656" xr:uid="{00000000-0005-0000-0000-0000041A0000}"/>
    <cellStyle name="Percent 10 17 2" xfId="12780" xr:uid="{00000000-0005-0000-0000-0000F0310000}"/>
    <cellStyle name="Percent 10 17 3" xfId="19114" xr:uid="{00000000-0005-0000-0000-0000AE4A0000}"/>
    <cellStyle name="Percent 10 17 4" xfId="11242" xr:uid="{00000000-0005-0000-0000-0000EE2B0000}"/>
    <cellStyle name="Percent 10 18" xfId="6657" xr:uid="{00000000-0005-0000-0000-0000051A0000}"/>
    <cellStyle name="Percent 10 18 2" xfId="12781" xr:uid="{00000000-0005-0000-0000-0000F1310000}"/>
    <cellStyle name="Percent 10 18 3" xfId="15396" xr:uid="{00000000-0005-0000-0000-0000283C0000}"/>
    <cellStyle name="Percent 10 18 4" xfId="11243" xr:uid="{00000000-0005-0000-0000-0000EF2B0000}"/>
    <cellStyle name="Percent 10 19" xfId="6658" xr:uid="{00000000-0005-0000-0000-0000061A0000}"/>
    <cellStyle name="Percent 10 19 2" xfId="12782" xr:uid="{00000000-0005-0000-0000-0000F2310000}"/>
    <cellStyle name="Percent 10 19 3" xfId="16711" xr:uid="{00000000-0005-0000-0000-00004B410000}"/>
    <cellStyle name="Percent 10 19 4" xfId="11244" xr:uid="{00000000-0005-0000-0000-0000F02B0000}"/>
    <cellStyle name="Percent 10 2" xfId="1459" xr:uid="{00000000-0005-0000-0000-0000B7050000}"/>
    <cellStyle name="Percent 10 2 2" xfId="2592" xr:uid="{00000000-0005-0000-0000-0000240A0000}"/>
    <cellStyle name="Percent 10 2 2 2" xfId="12784" xr:uid="{00000000-0005-0000-0000-0000F4310000}"/>
    <cellStyle name="Percent 10 2 2 3" xfId="19488" xr:uid="{00000000-0005-0000-0000-0000244C0000}"/>
    <cellStyle name="Percent 10 2 2 4" xfId="11246" xr:uid="{00000000-0005-0000-0000-0000F22B0000}"/>
    <cellStyle name="Percent 10 2 3" xfId="9465" xr:uid="{00000000-0005-0000-0000-0000FD240000}"/>
    <cellStyle name="Percent 10 2 3 2" xfId="17695" xr:uid="{00000000-0005-0000-0000-000023450000}"/>
    <cellStyle name="Percent 10 2 3 3" xfId="17208" xr:uid="{00000000-0005-0000-0000-00003C430000}"/>
    <cellStyle name="Percent 10 2 3 4" xfId="11247" xr:uid="{00000000-0005-0000-0000-0000F32B0000}"/>
    <cellStyle name="Percent 10 2 4" xfId="12783" xr:uid="{00000000-0005-0000-0000-0000F3310000}"/>
    <cellStyle name="Percent 10 2 5" xfId="15403" xr:uid="{00000000-0005-0000-0000-00002F3C0000}"/>
    <cellStyle name="Percent 10 2 6" xfId="11245" xr:uid="{00000000-0005-0000-0000-0000F12B0000}"/>
    <cellStyle name="Percent 10 2 7" xfId="6659" xr:uid="{00000000-0005-0000-0000-0000071A0000}"/>
    <cellStyle name="Percent 10 20" xfId="6660" xr:uid="{00000000-0005-0000-0000-0000081A0000}"/>
    <cellStyle name="Percent 10 20 2" xfId="12785" xr:uid="{00000000-0005-0000-0000-0000F5310000}"/>
    <cellStyle name="Percent 10 20 3" xfId="19207" xr:uid="{00000000-0005-0000-0000-00000B4B0000}"/>
    <cellStyle name="Percent 10 20 4" xfId="11248" xr:uid="{00000000-0005-0000-0000-0000F42B0000}"/>
    <cellStyle name="Percent 10 3" xfId="1460" xr:uid="{00000000-0005-0000-0000-0000B8050000}"/>
    <cellStyle name="Percent 10 3 2" xfId="2593" xr:uid="{00000000-0005-0000-0000-0000250A0000}"/>
    <cellStyle name="Percent 10 3 2 2" xfId="12787" xr:uid="{00000000-0005-0000-0000-0000F7310000}"/>
    <cellStyle name="Percent 10 3 2 3" xfId="15375" xr:uid="{00000000-0005-0000-0000-0000133C0000}"/>
    <cellStyle name="Percent 10 3 2 4" xfId="11250" xr:uid="{00000000-0005-0000-0000-0000F62B0000}"/>
    <cellStyle name="Percent 10 3 3" xfId="9466" xr:uid="{00000000-0005-0000-0000-0000FE240000}"/>
    <cellStyle name="Percent 10 3 3 2" xfId="17696" xr:uid="{00000000-0005-0000-0000-000024450000}"/>
    <cellStyle name="Percent 10 3 3 3" xfId="19124" xr:uid="{00000000-0005-0000-0000-0000B84A0000}"/>
    <cellStyle name="Percent 10 3 3 4" xfId="11251" xr:uid="{00000000-0005-0000-0000-0000F72B0000}"/>
    <cellStyle name="Percent 10 3 4" xfId="12786" xr:uid="{00000000-0005-0000-0000-0000F6310000}"/>
    <cellStyle name="Percent 10 3 5" xfId="19470" xr:uid="{00000000-0005-0000-0000-0000124C0000}"/>
    <cellStyle name="Percent 10 3 6" xfId="11249" xr:uid="{00000000-0005-0000-0000-0000F52B0000}"/>
    <cellStyle name="Percent 10 3 7" xfId="6661" xr:uid="{00000000-0005-0000-0000-0000091A0000}"/>
    <cellStyle name="Percent 10 4" xfId="1461" xr:uid="{00000000-0005-0000-0000-0000B9050000}"/>
    <cellStyle name="Percent 10 4 2" xfId="2594" xr:uid="{00000000-0005-0000-0000-0000260A0000}"/>
    <cellStyle name="Percent 10 4 2 2" xfId="12789" xr:uid="{00000000-0005-0000-0000-0000F9310000}"/>
    <cellStyle name="Percent 10 4 2 3" xfId="19409" xr:uid="{00000000-0005-0000-0000-0000D54B0000}"/>
    <cellStyle name="Percent 10 4 2 4" xfId="11253" xr:uid="{00000000-0005-0000-0000-0000F92B0000}"/>
    <cellStyle name="Percent 10 4 3" xfId="9467" xr:uid="{00000000-0005-0000-0000-0000FF240000}"/>
    <cellStyle name="Percent 10 4 3 2" xfId="17697" xr:uid="{00000000-0005-0000-0000-000025450000}"/>
    <cellStyle name="Percent 10 4 3 3" xfId="19138" xr:uid="{00000000-0005-0000-0000-0000C64A0000}"/>
    <cellStyle name="Percent 10 4 3 4" xfId="11254" xr:uid="{00000000-0005-0000-0000-0000FA2B0000}"/>
    <cellStyle name="Percent 10 4 4" xfId="12788" xr:uid="{00000000-0005-0000-0000-0000F8310000}"/>
    <cellStyle name="Percent 10 4 5" xfId="19308" xr:uid="{00000000-0005-0000-0000-0000704B0000}"/>
    <cellStyle name="Percent 10 4 6" xfId="11252" xr:uid="{00000000-0005-0000-0000-0000F82B0000}"/>
    <cellStyle name="Percent 10 4 7" xfId="6662" xr:uid="{00000000-0005-0000-0000-00000A1A0000}"/>
    <cellStyle name="Percent 10 5" xfId="1462" xr:uid="{00000000-0005-0000-0000-0000BA050000}"/>
    <cellStyle name="Percent 10 5 2" xfId="2595" xr:uid="{00000000-0005-0000-0000-0000270A0000}"/>
    <cellStyle name="Percent 10 5 2 2" xfId="12791" xr:uid="{00000000-0005-0000-0000-0000FB310000}"/>
    <cellStyle name="Percent 10 5 2 3" xfId="15692" xr:uid="{00000000-0005-0000-0000-0000503D0000}"/>
    <cellStyle name="Percent 10 5 2 4" xfId="11256" xr:uid="{00000000-0005-0000-0000-0000FC2B0000}"/>
    <cellStyle name="Percent 10 5 3" xfId="9468" xr:uid="{00000000-0005-0000-0000-000000250000}"/>
    <cellStyle name="Percent 10 5 3 2" xfId="17698" xr:uid="{00000000-0005-0000-0000-000026450000}"/>
    <cellStyle name="Percent 10 5 3 3" xfId="16686" xr:uid="{00000000-0005-0000-0000-000032410000}"/>
    <cellStyle name="Percent 10 5 3 4" xfId="11257" xr:uid="{00000000-0005-0000-0000-0000FD2B0000}"/>
    <cellStyle name="Percent 10 5 4" xfId="12790" xr:uid="{00000000-0005-0000-0000-0000FA310000}"/>
    <cellStyle name="Percent 10 5 5" xfId="15759" xr:uid="{00000000-0005-0000-0000-0000933D0000}"/>
    <cellStyle name="Percent 10 5 6" xfId="11255" xr:uid="{00000000-0005-0000-0000-0000FB2B0000}"/>
    <cellStyle name="Percent 10 5 7" xfId="6663" xr:uid="{00000000-0005-0000-0000-00000B1A0000}"/>
    <cellStyle name="Percent 10 6" xfId="1463" xr:uid="{00000000-0005-0000-0000-0000BB050000}"/>
    <cellStyle name="Percent 10 6 2" xfId="2596" xr:uid="{00000000-0005-0000-0000-0000280A0000}"/>
    <cellStyle name="Percent 10 6 2 2" xfId="12793" xr:uid="{00000000-0005-0000-0000-0000FD310000}"/>
    <cellStyle name="Percent 10 6 2 3" xfId="15787" xr:uid="{00000000-0005-0000-0000-0000AF3D0000}"/>
    <cellStyle name="Percent 10 6 2 4" xfId="11259" xr:uid="{00000000-0005-0000-0000-0000FF2B0000}"/>
    <cellStyle name="Percent 10 6 3" xfId="9469" xr:uid="{00000000-0005-0000-0000-000001250000}"/>
    <cellStyle name="Percent 10 6 3 2" xfId="17699" xr:uid="{00000000-0005-0000-0000-000027450000}"/>
    <cellStyle name="Percent 10 6 3 3" xfId="15696" xr:uid="{00000000-0005-0000-0000-0000543D0000}"/>
    <cellStyle name="Percent 10 6 3 4" xfId="11260" xr:uid="{00000000-0005-0000-0000-0000002C0000}"/>
    <cellStyle name="Percent 10 6 4" xfId="12792" xr:uid="{00000000-0005-0000-0000-0000FC310000}"/>
    <cellStyle name="Percent 10 6 5" xfId="19383" xr:uid="{00000000-0005-0000-0000-0000BB4B0000}"/>
    <cellStyle name="Percent 10 6 6" xfId="11258" xr:uid="{00000000-0005-0000-0000-0000FE2B0000}"/>
    <cellStyle name="Percent 10 6 7" xfId="6664" xr:uid="{00000000-0005-0000-0000-00000C1A0000}"/>
    <cellStyle name="Percent 10 7" xfId="1464" xr:uid="{00000000-0005-0000-0000-0000BC050000}"/>
    <cellStyle name="Percent 10 7 2" xfId="2597" xr:uid="{00000000-0005-0000-0000-0000290A0000}"/>
    <cellStyle name="Percent 10 7 2 2" xfId="12795" xr:uid="{00000000-0005-0000-0000-0000FF310000}"/>
    <cellStyle name="Percent 10 7 2 3" xfId="19278" xr:uid="{00000000-0005-0000-0000-0000524B0000}"/>
    <cellStyle name="Percent 10 7 2 4" xfId="11262" xr:uid="{00000000-0005-0000-0000-0000022C0000}"/>
    <cellStyle name="Percent 10 7 2 5" xfId="6666" xr:uid="{00000000-0005-0000-0000-00000E1A0000}"/>
    <cellStyle name="Percent 10 7 3" xfId="6667" xr:uid="{00000000-0005-0000-0000-00000F1A0000}"/>
    <cellStyle name="Percent 10 7 3 2" xfId="12796" xr:uid="{00000000-0005-0000-0000-000000320000}"/>
    <cellStyle name="Percent 10 7 3 3" xfId="19186" xr:uid="{00000000-0005-0000-0000-0000F64A0000}"/>
    <cellStyle name="Percent 10 7 3 4" xfId="11263" xr:uid="{00000000-0005-0000-0000-0000032C0000}"/>
    <cellStyle name="Percent 10 7 4" xfId="7844" xr:uid="{00000000-0005-0000-0000-0000A81E0000}"/>
    <cellStyle name="Percent 10 7 4 2" xfId="12797" xr:uid="{00000000-0005-0000-0000-000001320000}"/>
    <cellStyle name="Percent 10 7 4 3" xfId="19223" xr:uid="{00000000-0005-0000-0000-00001B4B0000}"/>
    <cellStyle name="Percent 10 7 4 4" xfId="11264" xr:uid="{00000000-0005-0000-0000-0000042C0000}"/>
    <cellStyle name="Percent 10 7 5" xfId="9470" xr:uid="{00000000-0005-0000-0000-000002250000}"/>
    <cellStyle name="Percent 10 7 5 2" xfId="17700" xr:uid="{00000000-0005-0000-0000-000028450000}"/>
    <cellStyle name="Percent 10 7 5 3" xfId="19119" xr:uid="{00000000-0005-0000-0000-0000B34A0000}"/>
    <cellStyle name="Percent 10 7 5 4" xfId="11265" xr:uid="{00000000-0005-0000-0000-0000052C0000}"/>
    <cellStyle name="Percent 10 7 6" xfId="12794" xr:uid="{00000000-0005-0000-0000-0000FE310000}"/>
    <cellStyle name="Percent 10 7 7" xfId="19531" xr:uid="{00000000-0005-0000-0000-00004F4C0000}"/>
    <cellStyle name="Percent 10 7 8" xfId="11261" xr:uid="{00000000-0005-0000-0000-0000012C0000}"/>
    <cellStyle name="Percent 10 7 9" xfId="6665" xr:uid="{00000000-0005-0000-0000-00000D1A0000}"/>
    <cellStyle name="Percent 10 8" xfId="1465" xr:uid="{00000000-0005-0000-0000-0000BD050000}"/>
    <cellStyle name="Percent 10 8 2" xfId="2598" xr:uid="{00000000-0005-0000-0000-00002A0A0000}"/>
    <cellStyle name="Percent 10 8 2 2" xfId="12799" xr:uid="{00000000-0005-0000-0000-000003320000}"/>
    <cellStyle name="Percent 10 8 2 3" xfId="16634" xr:uid="{00000000-0005-0000-0000-0000FE400000}"/>
    <cellStyle name="Percent 10 8 2 4" xfId="11267" xr:uid="{00000000-0005-0000-0000-0000072C0000}"/>
    <cellStyle name="Percent 10 8 3" xfId="9471" xr:uid="{00000000-0005-0000-0000-000003250000}"/>
    <cellStyle name="Percent 10 8 3 2" xfId="17701" xr:uid="{00000000-0005-0000-0000-000029450000}"/>
    <cellStyle name="Percent 10 8 3 3" xfId="19077" xr:uid="{00000000-0005-0000-0000-0000894A0000}"/>
    <cellStyle name="Percent 10 8 3 4" xfId="11268" xr:uid="{00000000-0005-0000-0000-0000082C0000}"/>
    <cellStyle name="Percent 10 8 4" xfId="12798" xr:uid="{00000000-0005-0000-0000-000002320000}"/>
    <cellStyle name="Percent 10 8 5" xfId="15748" xr:uid="{00000000-0005-0000-0000-0000883D0000}"/>
    <cellStyle name="Percent 10 8 6" xfId="11266" xr:uid="{00000000-0005-0000-0000-0000062C0000}"/>
    <cellStyle name="Percent 10 8 7" xfId="6668" xr:uid="{00000000-0005-0000-0000-0000101A0000}"/>
    <cellStyle name="Percent 10 9" xfId="2591" xr:uid="{00000000-0005-0000-0000-0000230A0000}"/>
    <cellStyle name="Percent 10 9 2" xfId="12800" xr:uid="{00000000-0005-0000-0000-000004320000}"/>
    <cellStyle name="Percent 10 9 3" xfId="16673" xr:uid="{00000000-0005-0000-0000-000025410000}"/>
    <cellStyle name="Percent 10 9 4" xfId="11269" xr:uid="{00000000-0005-0000-0000-0000092C0000}"/>
    <cellStyle name="Percent 10 9 5" xfId="6669" xr:uid="{00000000-0005-0000-0000-0000111A0000}"/>
    <cellStyle name="Percent 11" xfId="1466" xr:uid="{00000000-0005-0000-0000-0000BE050000}"/>
    <cellStyle name="Percent 11 10" xfId="6670" xr:uid="{00000000-0005-0000-0000-0000121A0000}"/>
    <cellStyle name="Percent 11 10 2" xfId="12802" xr:uid="{00000000-0005-0000-0000-000006320000}"/>
    <cellStyle name="Percent 11 10 3" xfId="15341" xr:uid="{00000000-0005-0000-0000-0000F13B0000}"/>
    <cellStyle name="Percent 11 10 4" xfId="11271" xr:uid="{00000000-0005-0000-0000-00000B2C0000}"/>
    <cellStyle name="Percent 11 11" xfId="12801" xr:uid="{00000000-0005-0000-0000-000005320000}"/>
    <cellStyle name="Percent 11 12" xfId="19306" xr:uid="{00000000-0005-0000-0000-00006E4B0000}"/>
    <cellStyle name="Percent 11 13" xfId="11270" xr:uid="{00000000-0005-0000-0000-00000A2C0000}"/>
    <cellStyle name="Percent 11 2" xfId="1467" xr:uid="{00000000-0005-0000-0000-0000BF050000}"/>
    <cellStyle name="Percent 11 2 2" xfId="2600" xr:uid="{00000000-0005-0000-0000-00002C0A0000}"/>
    <cellStyle name="Percent 11 2 2 2" xfId="12804" xr:uid="{00000000-0005-0000-0000-000008320000}"/>
    <cellStyle name="Percent 11 2 2 3" xfId="16644" xr:uid="{00000000-0005-0000-0000-000008410000}"/>
    <cellStyle name="Percent 11 2 2 4" xfId="11273" xr:uid="{00000000-0005-0000-0000-00000D2C0000}"/>
    <cellStyle name="Percent 11 2 3" xfId="9472" xr:uid="{00000000-0005-0000-0000-000004250000}"/>
    <cellStyle name="Percent 11 2 3 2" xfId="17702" xr:uid="{00000000-0005-0000-0000-00002A450000}"/>
    <cellStyle name="Percent 11 2 3 3" xfId="16397" xr:uid="{00000000-0005-0000-0000-000011400000}"/>
    <cellStyle name="Percent 11 2 3 4" xfId="11274" xr:uid="{00000000-0005-0000-0000-00000E2C0000}"/>
    <cellStyle name="Percent 11 2 4" xfId="12803" xr:uid="{00000000-0005-0000-0000-000007320000}"/>
    <cellStyle name="Percent 11 2 5" xfId="19176" xr:uid="{00000000-0005-0000-0000-0000EC4A0000}"/>
    <cellStyle name="Percent 11 2 6" xfId="11272" xr:uid="{00000000-0005-0000-0000-00000C2C0000}"/>
    <cellStyle name="Percent 11 2 7" xfId="6671" xr:uid="{00000000-0005-0000-0000-0000131A0000}"/>
    <cellStyle name="Percent 11 3" xfId="1468" xr:uid="{00000000-0005-0000-0000-0000C0050000}"/>
    <cellStyle name="Percent 11 3 2" xfId="2601" xr:uid="{00000000-0005-0000-0000-00002D0A0000}"/>
    <cellStyle name="Percent 11 3 2 2" xfId="12806" xr:uid="{00000000-0005-0000-0000-00000A320000}"/>
    <cellStyle name="Percent 11 3 2 3" xfId="19517" xr:uid="{00000000-0005-0000-0000-0000414C0000}"/>
    <cellStyle name="Percent 11 3 2 4" xfId="11276" xr:uid="{00000000-0005-0000-0000-0000102C0000}"/>
    <cellStyle name="Percent 11 3 3" xfId="9473" xr:uid="{00000000-0005-0000-0000-000005250000}"/>
    <cellStyle name="Percent 11 3 3 2" xfId="17703" xr:uid="{00000000-0005-0000-0000-00002B450000}"/>
    <cellStyle name="Percent 11 3 3 3" xfId="16360" xr:uid="{00000000-0005-0000-0000-0000EC3F0000}"/>
    <cellStyle name="Percent 11 3 3 4" xfId="11277" xr:uid="{00000000-0005-0000-0000-0000112C0000}"/>
    <cellStyle name="Percent 11 3 4" xfId="12805" xr:uid="{00000000-0005-0000-0000-000009320000}"/>
    <cellStyle name="Percent 11 3 5" xfId="19264" xr:uid="{00000000-0005-0000-0000-0000444B0000}"/>
    <cellStyle name="Percent 11 3 6" xfId="11275" xr:uid="{00000000-0005-0000-0000-00000F2C0000}"/>
    <cellStyle name="Percent 11 3 7" xfId="6672" xr:uid="{00000000-0005-0000-0000-0000141A0000}"/>
    <cellStyle name="Percent 11 4" xfId="1469" xr:uid="{00000000-0005-0000-0000-0000C1050000}"/>
    <cellStyle name="Percent 11 4 2" xfId="2602" xr:uid="{00000000-0005-0000-0000-00002E0A0000}"/>
    <cellStyle name="Percent 11 4 2 2" xfId="12808" xr:uid="{00000000-0005-0000-0000-00000C320000}"/>
    <cellStyle name="Percent 11 4 2 3" xfId="19550" xr:uid="{00000000-0005-0000-0000-0000624C0000}"/>
    <cellStyle name="Percent 11 4 2 4" xfId="11279" xr:uid="{00000000-0005-0000-0000-0000132C0000}"/>
    <cellStyle name="Percent 11 4 3" xfId="9474" xr:uid="{00000000-0005-0000-0000-000006250000}"/>
    <cellStyle name="Percent 11 4 3 2" xfId="17704" xr:uid="{00000000-0005-0000-0000-00002C450000}"/>
    <cellStyle name="Percent 11 4 3 3" xfId="16616" xr:uid="{00000000-0005-0000-0000-0000EC400000}"/>
    <cellStyle name="Percent 11 4 3 4" xfId="11280" xr:uid="{00000000-0005-0000-0000-0000142C0000}"/>
    <cellStyle name="Percent 11 4 4" xfId="12807" xr:uid="{00000000-0005-0000-0000-00000B320000}"/>
    <cellStyle name="Percent 11 4 5" xfId="19336" xr:uid="{00000000-0005-0000-0000-00008C4B0000}"/>
    <cellStyle name="Percent 11 4 6" xfId="11278" xr:uid="{00000000-0005-0000-0000-0000122C0000}"/>
    <cellStyle name="Percent 11 4 7" xfId="6673" xr:uid="{00000000-0005-0000-0000-0000151A0000}"/>
    <cellStyle name="Percent 11 5" xfId="1470" xr:uid="{00000000-0005-0000-0000-0000C2050000}"/>
    <cellStyle name="Percent 11 5 2" xfId="2603" xr:uid="{00000000-0005-0000-0000-00002F0A0000}"/>
    <cellStyle name="Percent 11 5 2 2" xfId="12810" xr:uid="{00000000-0005-0000-0000-00000E320000}"/>
    <cellStyle name="Percent 11 5 2 3" xfId="19137" xr:uid="{00000000-0005-0000-0000-0000C54A0000}"/>
    <cellStyle name="Percent 11 5 2 4" xfId="11282" xr:uid="{00000000-0005-0000-0000-0000162C0000}"/>
    <cellStyle name="Percent 11 5 3" xfId="9475" xr:uid="{00000000-0005-0000-0000-000007250000}"/>
    <cellStyle name="Percent 11 5 3 2" xfId="17705" xr:uid="{00000000-0005-0000-0000-00002D450000}"/>
    <cellStyle name="Percent 11 5 3 3" xfId="15398" xr:uid="{00000000-0005-0000-0000-00002A3C0000}"/>
    <cellStyle name="Percent 11 5 3 4" xfId="11283" xr:uid="{00000000-0005-0000-0000-0000172C0000}"/>
    <cellStyle name="Percent 11 5 4" xfId="12809" xr:uid="{00000000-0005-0000-0000-00000D320000}"/>
    <cellStyle name="Percent 11 5 5" xfId="16342" xr:uid="{00000000-0005-0000-0000-0000DA3F0000}"/>
    <cellStyle name="Percent 11 5 6" xfId="11281" xr:uid="{00000000-0005-0000-0000-0000152C0000}"/>
    <cellStyle name="Percent 11 5 7" xfId="6674" xr:uid="{00000000-0005-0000-0000-0000161A0000}"/>
    <cellStyle name="Percent 11 6" xfId="1471" xr:uid="{00000000-0005-0000-0000-0000C3050000}"/>
    <cellStyle name="Percent 11 6 2" xfId="2604" xr:uid="{00000000-0005-0000-0000-0000300A0000}"/>
    <cellStyle name="Percent 11 6 2 2" xfId="12812" xr:uid="{00000000-0005-0000-0000-000010320000}"/>
    <cellStyle name="Percent 11 6 2 3" xfId="16363" xr:uid="{00000000-0005-0000-0000-0000EF3F0000}"/>
    <cellStyle name="Percent 11 6 2 4" xfId="11285" xr:uid="{00000000-0005-0000-0000-0000192C0000}"/>
    <cellStyle name="Percent 11 6 3" xfId="9476" xr:uid="{00000000-0005-0000-0000-000008250000}"/>
    <cellStyle name="Percent 11 6 3 2" xfId="17706" xr:uid="{00000000-0005-0000-0000-00002E450000}"/>
    <cellStyle name="Percent 11 6 3 3" xfId="19338" xr:uid="{00000000-0005-0000-0000-00008E4B0000}"/>
    <cellStyle name="Percent 11 6 3 4" xfId="11286" xr:uid="{00000000-0005-0000-0000-00001A2C0000}"/>
    <cellStyle name="Percent 11 6 4" xfId="12811" xr:uid="{00000000-0005-0000-0000-00000F320000}"/>
    <cellStyle name="Percent 11 6 5" xfId="16708" xr:uid="{00000000-0005-0000-0000-000048410000}"/>
    <cellStyle name="Percent 11 6 6" xfId="11284" xr:uid="{00000000-0005-0000-0000-0000182C0000}"/>
    <cellStyle name="Percent 11 6 7" xfId="6675" xr:uid="{00000000-0005-0000-0000-0000171A0000}"/>
    <cellStyle name="Percent 11 7" xfId="1472" xr:uid="{00000000-0005-0000-0000-0000C4050000}"/>
    <cellStyle name="Percent 11 7 2" xfId="2605" xr:uid="{00000000-0005-0000-0000-0000310A0000}"/>
    <cellStyle name="Percent 11 7 2 2" xfId="12814" xr:uid="{00000000-0005-0000-0000-000012320000}"/>
    <cellStyle name="Percent 11 7 2 3" xfId="16355" xr:uid="{00000000-0005-0000-0000-0000E73F0000}"/>
    <cellStyle name="Percent 11 7 2 4" xfId="11288" xr:uid="{00000000-0005-0000-0000-00001C2C0000}"/>
    <cellStyle name="Percent 11 7 2 5" xfId="6677" xr:uid="{00000000-0005-0000-0000-0000191A0000}"/>
    <cellStyle name="Percent 11 7 3" xfId="6678" xr:uid="{00000000-0005-0000-0000-00001A1A0000}"/>
    <cellStyle name="Percent 11 7 3 2" xfId="12815" xr:uid="{00000000-0005-0000-0000-000013320000}"/>
    <cellStyle name="Percent 11 7 3 3" xfId="15272" xr:uid="{00000000-0005-0000-0000-0000AC3B0000}"/>
    <cellStyle name="Percent 11 7 3 4" xfId="11289" xr:uid="{00000000-0005-0000-0000-00001D2C0000}"/>
    <cellStyle name="Percent 11 7 4" xfId="7845" xr:uid="{00000000-0005-0000-0000-0000A91E0000}"/>
    <cellStyle name="Percent 11 7 4 2" xfId="12816" xr:uid="{00000000-0005-0000-0000-000014320000}"/>
    <cellStyle name="Percent 11 7 4 3" xfId="16375" xr:uid="{00000000-0005-0000-0000-0000FB3F0000}"/>
    <cellStyle name="Percent 11 7 4 4" xfId="11290" xr:uid="{00000000-0005-0000-0000-00001E2C0000}"/>
    <cellStyle name="Percent 11 7 5" xfId="9477" xr:uid="{00000000-0005-0000-0000-000009250000}"/>
    <cellStyle name="Percent 11 7 5 2" xfId="17707" xr:uid="{00000000-0005-0000-0000-00002F450000}"/>
    <cellStyle name="Percent 11 7 5 3" xfId="15806" xr:uid="{00000000-0005-0000-0000-0000C23D0000}"/>
    <cellStyle name="Percent 11 7 5 4" xfId="11291" xr:uid="{00000000-0005-0000-0000-00001F2C0000}"/>
    <cellStyle name="Percent 11 7 6" xfId="12813" xr:uid="{00000000-0005-0000-0000-000011320000}"/>
    <cellStyle name="Percent 11 7 7" xfId="19172" xr:uid="{00000000-0005-0000-0000-0000E84A0000}"/>
    <cellStyle name="Percent 11 7 8" xfId="11287" xr:uid="{00000000-0005-0000-0000-00001B2C0000}"/>
    <cellStyle name="Percent 11 7 9" xfId="6676" xr:uid="{00000000-0005-0000-0000-0000181A0000}"/>
    <cellStyle name="Percent 11 8" xfId="1473" xr:uid="{00000000-0005-0000-0000-0000C5050000}"/>
    <cellStyle name="Percent 11 8 2" xfId="2606" xr:uid="{00000000-0005-0000-0000-0000320A0000}"/>
    <cellStyle name="Percent 11 8 2 2" xfId="12818" xr:uid="{00000000-0005-0000-0000-000016320000}"/>
    <cellStyle name="Percent 11 8 2 3" xfId="19563" xr:uid="{00000000-0005-0000-0000-00006F4C0000}"/>
    <cellStyle name="Percent 11 8 2 4" xfId="11293" xr:uid="{00000000-0005-0000-0000-0000212C0000}"/>
    <cellStyle name="Percent 11 8 3" xfId="9478" xr:uid="{00000000-0005-0000-0000-00000A250000}"/>
    <cellStyle name="Percent 11 8 3 2" xfId="17708" xr:uid="{00000000-0005-0000-0000-000030450000}"/>
    <cellStyle name="Percent 11 8 3 3" xfId="16373" xr:uid="{00000000-0005-0000-0000-0000F93F0000}"/>
    <cellStyle name="Percent 11 8 3 4" xfId="11294" xr:uid="{00000000-0005-0000-0000-0000222C0000}"/>
    <cellStyle name="Percent 11 8 4" xfId="12817" xr:uid="{00000000-0005-0000-0000-000015320000}"/>
    <cellStyle name="Percent 11 8 5" xfId="19475" xr:uid="{00000000-0005-0000-0000-0000174C0000}"/>
    <cellStyle name="Percent 11 8 6" xfId="11292" xr:uid="{00000000-0005-0000-0000-0000202C0000}"/>
    <cellStyle name="Percent 11 8 7" xfId="6679" xr:uid="{00000000-0005-0000-0000-00001B1A0000}"/>
    <cellStyle name="Percent 11 9" xfId="2599" xr:uid="{00000000-0005-0000-0000-00002B0A0000}"/>
    <cellStyle name="Percent 11 9 2" xfId="12819" xr:uid="{00000000-0005-0000-0000-000017320000}"/>
    <cellStyle name="Percent 11 9 3" xfId="19058" xr:uid="{00000000-0005-0000-0000-0000764A0000}"/>
    <cellStyle name="Percent 11 9 4" xfId="11295" xr:uid="{00000000-0005-0000-0000-0000232C0000}"/>
    <cellStyle name="Percent 11 9 5" xfId="6680" xr:uid="{00000000-0005-0000-0000-00001C1A0000}"/>
    <cellStyle name="Percent 12" xfId="1474" xr:uid="{00000000-0005-0000-0000-0000C6050000}"/>
    <cellStyle name="Percent 12 10" xfId="6681" xr:uid="{00000000-0005-0000-0000-00001D1A0000}"/>
    <cellStyle name="Percent 12 10 2" xfId="12821" xr:uid="{00000000-0005-0000-0000-000019320000}"/>
    <cellStyle name="Percent 12 10 3" xfId="19417" xr:uid="{00000000-0005-0000-0000-0000DD4B0000}"/>
    <cellStyle name="Percent 12 10 4" xfId="11297" xr:uid="{00000000-0005-0000-0000-0000252C0000}"/>
    <cellStyle name="Percent 12 11" xfId="12820" xr:uid="{00000000-0005-0000-0000-000018320000}"/>
    <cellStyle name="Percent 12 12" xfId="19169" xr:uid="{00000000-0005-0000-0000-0000E54A0000}"/>
    <cellStyle name="Percent 12 13" xfId="11296" xr:uid="{00000000-0005-0000-0000-0000242C0000}"/>
    <cellStyle name="Percent 12 2" xfId="1475" xr:uid="{00000000-0005-0000-0000-0000C7050000}"/>
    <cellStyle name="Percent 12 2 2" xfId="2608" xr:uid="{00000000-0005-0000-0000-0000340A0000}"/>
    <cellStyle name="Percent 12 2 2 2" xfId="12823" xr:uid="{00000000-0005-0000-0000-00001B320000}"/>
    <cellStyle name="Percent 12 2 2 3" xfId="19325" xr:uid="{00000000-0005-0000-0000-0000814B0000}"/>
    <cellStyle name="Percent 12 2 2 4" xfId="11299" xr:uid="{00000000-0005-0000-0000-0000272C0000}"/>
    <cellStyle name="Percent 12 2 3" xfId="9479" xr:uid="{00000000-0005-0000-0000-00000B250000}"/>
    <cellStyle name="Percent 12 2 3 2" xfId="17709" xr:uid="{00000000-0005-0000-0000-000031450000}"/>
    <cellStyle name="Percent 12 2 3 3" xfId="19461" xr:uid="{00000000-0005-0000-0000-0000094C0000}"/>
    <cellStyle name="Percent 12 2 3 4" xfId="11300" xr:uid="{00000000-0005-0000-0000-0000282C0000}"/>
    <cellStyle name="Percent 12 2 4" xfId="12822" xr:uid="{00000000-0005-0000-0000-00001A320000}"/>
    <cellStyle name="Percent 12 2 5" xfId="19398" xr:uid="{00000000-0005-0000-0000-0000CA4B0000}"/>
    <cellStyle name="Percent 12 2 6" xfId="11298" xr:uid="{00000000-0005-0000-0000-0000262C0000}"/>
    <cellStyle name="Percent 12 2 7" xfId="6682" xr:uid="{00000000-0005-0000-0000-00001E1A0000}"/>
    <cellStyle name="Percent 12 3" xfId="1476" xr:uid="{00000000-0005-0000-0000-0000C8050000}"/>
    <cellStyle name="Percent 12 3 2" xfId="2609" xr:uid="{00000000-0005-0000-0000-0000350A0000}"/>
    <cellStyle name="Percent 12 3 2 2" xfId="12825" xr:uid="{00000000-0005-0000-0000-00001D320000}"/>
    <cellStyle name="Percent 12 3 2 3" xfId="19132" xr:uid="{00000000-0005-0000-0000-0000C04A0000}"/>
    <cellStyle name="Percent 12 3 2 4" xfId="11302" xr:uid="{00000000-0005-0000-0000-00002A2C0000}"/>
    <cellStyle name="Percent 12 3 3" xfId="9480" xr:uid="{00000000-0005-0000-0000-00000C250000}"/>
    <cellStyle name="Percent 12 3 3 2" xfId="17710" xr:uid="{00000000-0005-0000-0000-000032450000}"/>
    <cellStyle name="Percent 12 3 3 3" xfId="15485" xr:uid="{00000000-0005-0000-0000-0000813C0000}"/>
    <cellStyle name="Percent 12 3 3 4" xfId="11303" xr:uid="{00000000-0005-0000-0000-00002B2C0000}"/>
    <cellStyle name="Percent 12 3 4" xfId="12824" xr:uid="{00000000-0005-0000-0000-00001C320000}"/>
    <cellStyle name="Percent 12 3 5" xfId="17202" xr:uid="{00000000-0005-0000-0000-000036430000}"/>
    <cellStyle name="Percent 12 3 6" xfId="11301" xr:uid="{00000000-0005-0000-0000-0000292C0000}"/>
    <cellStyle name="Percent 12 3 7" xfId="6683" xr:uid="{00000000-0005-0000-0000-00001F1A0000}"/>
    <cellStyle name="Percent 12 4" xfId="1477" xr:uid="{00000000-0005-0000-0000-0000C9050000}"/>
    <cellStyle name="Percent 12 4 2" xfId="2610" xr:uid="{00000000-0005-0000-0000-0000360A0000}"/>
    <cellStyle name="Percent 12 4 2 2" xfId="12827" xr:uid="{00000000-0005-0000-0000-00001F320000}"/>
    <cellStyle name="Percent 12 4 2 3" xfId="19480" xr:uid="{00000000-0005-0000-0000-00001C4C0000}"/>
    <cellStyle name="Percent 12 4 2 4" xfId="11305" xr:uid="{00000000-0005-0000-0000-00002D2C0000}"/>
    <cellStyle name="Percent 12 4 3" xfId="9481" xr:uid="{00000000-0005-0000-0000-00000D250000}"/>
    <cellStyle name="Percent 12 4 3 2" xfId="17711" xr:uid="{00000000-0005-0000-0000-000033450000}"/>
    <cellStyle name="Percent 12 4 3 3" xfId="19510" xr:uid="{00000000-0005-0000-0000-00003A4C0000}"/>
    <cellStyle name="Percent 12 4 3 4" xfId="11306" xr:uid="{00000000-0005-0000-0000-00002E2C0000}"/>
    <cellStyle name="Percent 12 4 4" xfId="12826" xr:uid="{00000000-0005-0000-0000-00001E320000}"/>
    <cellStyle name="Percent 12 4 5" xfId="15631" xr:uid="{00000000-0005-0000-0000-0000133D0000}"/>
    <cellStyle name="Percent 12 4 6" xfId="11304" xr:uid="{00000000-0005-0000-0000-00002C2C0000}"/>
    <cellStyle name="Percent 12 4 7" xfId="6684" xr:uid="{00000000-0005-0000-0000-0000201A0000}"/>
    <cellStyle name="Percent 12 5" xfId="1478" xr:uid="{00000000-0005-0000-0000-0000CA050000}"/>
    <cellStyle name="Percent 12 5 2" xfId="2611" xr:uid="{00000000-0005-0000-0000-0000370A0000}"/>
    <cellStyle name="Percent 12 5 2 2" xfId="12829" xr:uid="{00000000-0005-0000-0000-000021320000}"/>
    <cellStyle name="Percent 12 5 2 3" xfId="15653" xr:uid="{00000000-0005-0000-0000-0000293D0000}"/>
    <cellStyle name="Percent 12 5 2 4" xfId="11308" xr:uid="{00000000-0005-0000-0000-0000302C0000}"/>
    <cellStyle name="Percent 12 5 3" xfId="9482" xr:uid="{00000000-0005-0000-0000-00000E250000}"/>
    <cellStyle name="Percent 12 5 3 2" xfId="17712" xr:uid="{00000000-0005-0000-0000-000034450000}"/>
    <cellStyle name="Percent 12 5 3 3" xfId="16382" xr:uid="{00000000-0005-0000-0000-000002400000}"/>
    <cellStyle name="Percent 12 5 3 4" xfId="11309" xr:uid="{00000000-0005-0000-0000-0000312C0000}"/>
    <cellStyle name="Percent 12 5 4" xfId="12828" xr:uid="{00000000-0005-0000-0000-000020320000}"/>
    <cellStyle name="Percent 12 5 5" xfId="19459" xr:uid="{00000000-0005-0000-0000-0000074C0000}"/>
    <cellStyle name="Percent 12 5 6" xfId="11307" xr:uid="{00000000-0005-0000-0000-00002F2C0000}"/>
    <cellStyle name="Percent 12 5 7" xfId="6685" xr:uid="{00000000-0005-0000-0000-0000211A0000}"/>
    <cellStyle name="Percent 12 6" xfId="1479" xr:uid="{00000000-0005-0000-0000-0000CB050000}"/>
    <cellStyle name="Percent 12 6 2" xfId="2612" xr:uid="{00000000-0005-0000-0000-0000380A0000}"/>
    <cellStyle name="Percent 12 6 2 2" xfId="12831" xr:uid="{00000000-0005-0000-0000-000023320000}"/>
    <cellStyle name="Percent 12 6 2 3" xfId="15410" xr:uid="{00000000-0005-0000-0000-0000363C0000}"/>
    <cellStyle name="Percent 12 6 2 4" xfId="11311" xr:uid="{00000000-0005-0000-0000-0000332C0000}"/>
    <cellStyle name="Percent 12 6 3" xfId="9483" xr:uid="{00000000-0005-0000-0000-00000F250000}"/>
    <cellStyle name="Percent 12 6 3 2" xfId="17713" xr:uid="{00000000-0005-0000-0000-000035450000}"/>
    <cellStyle name="Percent 12 6 3 3" xfId="19312" xr:uid="{00000000-0005-0000-0000-0000744B0000}"/>
    <cellStyle name="Percent 12 6 3 4" xfId="11312" xr:uid="{00000000-0005-0000-0000-0000342C0000}"/>
    <cellStyle name="Percent 12 6 4" xfId="12830" xr:uid="{00000000-0005-0000-0000-000022320000}"/>
    <cellStyle name="Percent 12 6 5" xfId="15629" xr:uid="{00000000-0005-0000-0000-0000113D0000}"/>
    <cellStyle name="Percent 12 6 6" xfId="11310" xr:uid="{00000000-0005-0000-0000-0000322C0000}"/>
    <cellStyle name="Percent 12 6 7" xfId="6686" xr:uid="{00000000-0005-0000-0000-0000221A0000}"/>
    <cellStyle name="Percent 12 7" xfId="1480" xr:uid="{00000000-0005-0000-0000-0000CC050000}"/>
    <cellStyle name="Percent 12 7 2" xfId="2613" xr:uid="{00000000-0005-0000-0000-0000390A0000}"/>
    <cellStyle name="Percent 12 7 2 2" xfId="12833" xr:uid="{00000000-0005-0000-0000-000025320000}"/>
    <cellStyle name="Percent 12 7 2 3" xfId="19220" xr:uid="{00000000-0005-0000-0000-0000184B0000}"/>
    <cellStyle name="Percent 12 7 2 4" xfId="11314" xr:uid="{00000000-0005-0000-0000-0000362C0000}"/>
    <cellStyle name="Percent 12 7 2 5" xfId="6688" xr:uid="{00000000-0005-0000-0000-0000241A0000}"/>
    <cellStyle name="Percent 12 7 3" xfId="6689" xr:uid="{00000000-0005-0000-0000-0000251A0000}"/>
    <cellStyle name="Percent 12 7 3 2" xfId="12834" xr:uid="{00000000-0005-0000-0000-000026320000}"/>
    <cellStyle name="Percent 12 7 3 3" xfId="16623" xr:uid="{00000000-0005-0000-0000-0000F3400000}"/>
    <cellStyle name="Percent 12 7 3 4" xfId="11315" xr:uid="{00000000-0005-0000-0000-0000372C0000}"/>
    <cellStyle name="Percent 12 7 4" xfId="7846" xr:uid="{00000000-0005-0000-0000-0000AA1E0000}"/>
    <cellStyle name="Percent 12 7 4 2" xfId="12835" xr:uid="{00000000-0005-0000-0000-000027320000}"/>
    <cellStyle name="Percent 12 7 4 3" xfId="15698" xr:uid="{00000000-0005-0000-0000-0000563D0000}"/>
    <cellStyle name="Percent 12 7 4 4" xfId="11316" xr:uid="{00000000-0005-0000-0000-0000382C0000}"/>
    <cellStyle name="Percent 12 7 5" xfId="9484" xr:uid="{00000000-0005-0000-0000-000010250000}"/>
    <cellStyle name="Percent 12 7 5 2" xfId="17714" xr:uid="{00000000-0005-0000-0000-000036450000}"/>
    <cellStyle name="Percent 12 7 5 3" xfId="19481" xr:uid="{00000000-0005-0000-0000-00001D4C0000}"/>
    <cellStyle name="Percent 12 7 5 4" xfId="11317" xr:uid="{00000000-0005-0000-0000-0000392C0000}"/>
    <cellStyle name="Percent 12 7 6" xfId="12832" xr:uid="{00000000-0005-0000-0000-000024320000}"/>
    <cellStyle name="Percent 12 7 7" xfId="19463" xr:uid="{00000000-0005-0000-0000-00000B4C0000}"/>
    <cellStyle name="Percent 12 7 8" xfId="11313" xr:uid="{00000000-0005-0000-0000-0000352C0000}"/>
    <cellStyle name="Percent 12 7 9" xfId="6687" xr:uid="{00000000-0005-0000-0000-0000231A0000}"/>
    <cellStyle name="Percent 12 8" xfId="1481" xr:uid="{00000000-0005-0000-0000-0000CD050000}"/>
    <cellStyle name="Percent 12 8 2" xfId="2614" xr:uid="{00000000-0005-0000-0000-00003A0A0000}"/>
    <cellStyle name="Percent 12 8 2 2" xfId="12837" xr:uid="{00000000-0005-0000-0000-000029320000}"/>
    <cellStyle name="Percent 12 8 2 3" xfId="19199" xr:uid="{00000000-0005-0000-0000-0000034B0000}"/>
    <cellStyle name="Percent 12 8 2 4" xfId="11319" xr:uid="{00000000-0005-0000-0000-00003B2C0000}"/>
    <cellStyle name="Percent 12 8 3" xfId="9485" xr:uid="{00000000-0005-0000-0000-000011250000}"/>
    <cellStyle name="Percent 12 8 3 2" xfId="17715" xr:uid="{00000000-0005-0000-0000-000037450000}"/>
    <cellStyle name="Percent 12 8 3 3" xfId="16374" xr:uid="{00000000-0005-0000-0000-0000FA3F0000}"/>
    <cellStyle name="Percent 12 8 3 4" xfId="11320" xr:uid="{00000000-0005-0000-0000-00003C2C0000}"/>
    <cellStyle name="Percent 12 8 4" xfId="12836" xr:uid="{00000000-0005-0000-0000-000028320000}"/>
    <cellStyle name="Percent 12 8 5" xfId="16664" xr:uid="{00000000-0005-0000-0000-00001C410000}"/>
    <cellStyle name="Percent 12 8 6" xfId="11318" xr:uid="{00000000-0005-0000-0000-00003A2C0000}"/>
    <cellStyle name="Percent 12 8 7" xfId="6690" xr:uid="{00000000-0005-0000-0000-0000261A0000}"/>
    <cellStyle name="Percent 12 9" xfId="2607" xr:uid="{00000000-0005-0000-0000-0000330A0000}"/>
    <cellStyle name="Percent 12 9 2" xfId="12838" xr:uid="{00000000-0005-0000-0000-00002A320000}"/>
    <cellStyle name="Percent 12 9 3" xfId="16620" xr:uid="{00000000-0005-0000-0000-0000F0400000}"/>
    <cellStyle name="Percent 12 9 4" xfId="11321" xr:uid="{00000000-0005-0000-0000-00003D2C0000}"/>
    <cellStyle name="Percent 12 9 5" xfId="6691" xr:uid="{00000000-0005-0000-0000-0000271A0000}"/>
    <cellStyle name="Percent 13" xfId="1482" xr:uid="{00000000-0005-0000-0000-0000CE050000}"/>
    <cellStyle name="Percent 13 10" xfId="6692" xr:uid="{00000000-0005-0000-0000-0000281A0000}"/>
    <cellStyle name="Percent 13 10 2" xfId="12840" xr:uid="{00000000-0005-0000-0000-00002C320000}"/>
    <cellStyle name="Percent 13 10 3" xfId="19543" xr:uid="{00000000-0005-0000-0000-00005B4C0000}"/>
    <cellStyle name="Percent 13 10 4" xfId="11323" xr:uid="{00000000-0005-0000-0000-00003F2C0000}"/>
    <cellStyle name="Percent 13 11" xfId="12839" xr:uid="{00000000-0005-0000-0000-00002B320000}"/>
    <cellStyle name="Percent 13 12" xfId="15603" xr:uid="{00000000-0005-0000-0000-0000F73C0000}"/>
    <cellStyle name="Percent 13 13" xfId="11322" xr:uid="{00000000-0005-0000-0000-00003E2C0000}"/>
    <cellStyle name="Percent 13 2" xfId="1483" xr:uid="{00000000-0005-0000-0000-0000CF050000}"/>
    <cellStyle name="Percent 13 2 2" xfId="2616" xr:uid="{00000000-0005-0000-0000-00003C0A0000}"/>
    <cellStyle name="Percent 13 2 2 2" xfId="12842" xr:uid="{00000000-0005-0000-0000-00002E320000}"/>
    <cellStyle name="Percent 13 2 2 3" xfId="15777" xr:uid="{00000000-0005-0000-0000-0000A53D0000}"/>
    <cellStyle name="Percent 13 2 2 4" xfId="11325" xr:uid="{00000000-0005-0000-0000-0000412C0000}"/>
    <cellStyle name="Percent 13 2 3" xfId="9486" xr:uid="{00000000-0005-0000-0000-000012250000}"/>
    <cellStyle name="Percent 13 2 3 2" xfId="17716" xr:uid="{00000000-0005-0000-0000-000038450000}"/>
    <cellStyle name="Percent 13 2 3 3" xfId="16390" xr:uid="{00000000-0005-0000-0000-00000A400000}"/>
    <cellStyle name="Percent 13 2 3 4" xfId="11326" xr:uid="{00000000-0005-0000-0000-0000422C0000}"/>
    <cellStyle name="Percent 13 2 4" xfId="12841" xr:uid="{00000000-0005-0000-0000-00002D320000}"/>
    <cellStyle name="Percent 13 2 5" xfId="19554" xr:uid="{00000000-0005-0000-0000-0000664C0000}"/>
    <cellStyle name="Percent 13 2 6" xfId="11324" xr:uid="{00000000-0005-0000-0000-0000402C0000}"/>
    <cellStyle name="Percent 13 2 7" xfId="6693" xr:uid="{00000000-0005-0000-0000-0000291A0000}"/>
    <cellStyle name="Percent 13 3" xfId="1484" xr:uid="{00000000-0005-0000-0000-0000D0050000}"/>
    <cellStyle name="Percent 13 3 2" xfId="2617" xr:uid="{00000000-0005-0000-0000-00003D0A0000}"/>
    <cellStyle name="Percent 13 3 2 2" xfId="12844" xr:uid="{00000000-0005-0000-0000-000030320000}"/>
    <cellStyle name="Percent 13 3 2 3" xfId="15392" xr:uid="{00000000-0005-0000-0000-0000243C0000}"/>
    <cellStyle name="Percent 13 3 2 4" xfId="11328" xr:uid="{00000000-0005-0000-0000-0000442C0000}"/>
    <cellStyle name="Percent 13 3 3" xfId="9487" xr:uid="{00000000-0005-0000-0000-000013250000}"/>
    <cellStyle name="Percent 13 3 3 2" xfId="17717" xr:uid="{00000000-0005-0000-0000-000039450000}"/>
    <cellStyle name="Percent 13 3 3 3" xfId="19499" xr:uid="{00000000-0005-0000-0000-00002F4C0000}"/>
    <cellStyle name="Percent 13 3 3 4" xfId="11329" xr:uid="{00000000-0005-0000-0000-0000452C0000}"/>
    <cellStyle name="Percent 13 3 4" xfId="12843" xr:uid="{00000000-0005-0000-0000-00002F320000}"/>
    <cellStyle name="Percent 13 3 5" xfId="19515" xr:uid="{00000000-0005-0000-0000-00003F4C0000}"/>
    <cellStyle name="Percent 13 3 6" xfId="11327" xr:uid="{00000000-0005-0000-0000-0000432C0000}"/>
    <cellStyle name="Percent 13 3 7" xfId="6694" xr:uid="{00000000-0005-0000-0000-00002A1A0000}"/>
    <cellStyle name="Percent 13 4" xfId="1485" xr:uid="{00000000-0005-0000-0000-0000D1050000}"/>
    <cellStyle name="Percent 13 4 2" xfId="2618" xr:uid="{00000000-0005-0000-0000-00003E0A0000}"/>
    <cellStyle name="Percent 13 4 2 2" xfId="12846" xr:uid="{00000000-0005-0000-0000-000032320000}"/>
    <cellStyle name="Percent 13 4 2 3" xfId="19166" xr:uid="{00000000-0005-0000-0000-0000E24A0000}"/>
    <cellStyle name="Percent 13 4 2 4" xfId="11331" xr:uid="{00000000-0005-0000-0000-0000472C0000}"/>
    <cellStyle name="Percent 13 4 3" xfId="9488" xr:uid="{00000000-0005-0000-0000-000014250000}"/>
    <cellStyle name="Percent 13 4 3 2" xfId="17718" xr:uid="{00000000-0005-0000-0000-00003A450000}"/>
    <cellStyle name="Percent 13 4 3 3" xfId="15668" xr:uid="{00000000-0005-0000-0000-0000383D0000}"/>
    <cellStyle name="Percent 13 4 3 4" xfId="11332" xr:uid="{00000000-0005-0000-0000-0000482C0000}"/>
    <cellStyle name="Percent 13 4 4" xfId="12845" xr:uid="{00000000-0005-0000-0000-000031320000}"/>
    <cellStyle name="Percent 13 4 5" xfId="19050" xr:uid="{00000000-0005-0000-0000-00006E4A0000}"/>
    <cellStyle name="Percent 13 4 6" xfId="11330" xr:uid="{00000000-0005-0000-0000-0000462C0000}"/>
    <cellStyle name="Percent 13 4 7" xfId="6695" xr:uid="{00000000-0005-0000-0000-00002B1A0000}"/>
    <cellStyle name="Percent 13 5" xfId="1486" xr:uid="{00000000-0005-0000-0000-0000D2050000}"/>
    <cellStyle name="Percent 13 5 2" xfId="2619" xr:uid="{00000000-0005-0000-0000-00003F0A0000}"/>
    <cellStyle name="Percent 13 5 2 2" xfId="12848" xr:uid="{00000000-0005-0000-0000-000034320000}"/>
    <cellStyle name="Percent 13 5 2 3" xfId="19208" xr:uid="{00000000-0005-0000-0000-00000C4B0000}"/>
    <cellStyle name="Percent 13 5 2 4" xfId="11334" xr:uid="{00000000-0005-0000-0000-00004A2C0000}"/>
    <cellStyle name="Percent 13 5 3" xfId="9489" xr:uid="{00000000-0005-0000-0000-000015250000}"/>
    <cellStyle name="Percent 13 5 3 2" xfId="17719" xr:uid="{00000000-0005-0000-0000-00003B450000}"/>
    <cellStyle name="Percent 13 5 3 3" xfId="15347" xr:uid="{00000000-0005-0000-0000-0000F73B0000}"/>
    <cellStyle name="Percent 13 5 3 4" xfId="11335" xr:uid="{00000000-0005-0000-0000-00004B2C0000}"/>
    <cellStyle name="Percent 13 5 4" xfId="12847" xr:uid="{00000000-0005-0000-0000-000033320000}"/>
    <cellStyle name="Percent 13 5 5" xfId="19173" xr:uid="{00000000-0005-0000-0000-0000E94A0000}"/>
    <cellStyle name="Percent 13 5 6" xfId="11333" xr:uid="{00000000-0005-0000-0000-0000492C0000}"/>
    <cellStyle name="Percent 13 5 7" xfId="6696" xr:uid="{00000000-0005-0000-0000-00002C1A0000}"/>
    <cellStyle name="Percent 13 6" xfId="1487" xr:uid="{00000000-0005-0000-0000-0000D3050000}"/>
    <cellStyle name="Percent 13 6 2" xfId="2620" xr:uid="{00000000-0005-0000-0000-0000400A0000}"/>
    <cellStyle name="Percent 13 6 2 2" xfId="12850" xr:uid="{00000000-0005-0000-0000-000036320000}"/>
    <cellStyle name="Percent 13 6 2 3" xfId="19368" xr:uid="{00000000-0005-0000-0000-0000AC4B0000}"/>
    <cellStyle name="Percent 13 6 2 4" xfId="11337" xr:uid="{00000000-0005-0000-0000-00004D2C0000}"/>
    <cellStyle name="Percent 13 6 3" xfId="9490" xr:uid="{00000000-0005-0000-0000-000016250000}"/>
    <cellStyle name="Percent 13 6 3 2" xfId="17720" xr:uid="{00000000-0005-0000-0000-00003C450000}"/>
    <cellStyle name="Percent 13 6 3 3" xfId="16781" xr:uid="{00000000-0005-0000-0000-000091410000}"/>
    <cellStyle name="Percent 13 6 3 4" xfId="11338" xr:uid="{00000000-0005-0000-0000-00004E2C0000}"/>
    <cellStyle name="Percent 13 6 4" xfId="12849" xr:uid="{00000000-0005-0000-0000-000035320000}"/>
    <cellStyle name="Percent 13 6 5" xfId="15373" xr:uid="{00000000-0005-0000-0000-0000113C0000}"/>
    <cellStyle name="Percent 13 6 6" xfId="11336" xr:uid="{00000000-0005-0000-0000-00004C2C0000}"/>
    <cellStyle name="Percent 13 6 7" xfId="6697" xr:uid="{00000000-0005-0000-0000-00002D1A0000}"/>
    <cellStyle name="Percent 13 7" xfId="1488" xr:uid="{00000000-0005-0000-0000-0000D4050000}"/>
    <cellStyle name="Percent 13 7 2" xfId="2621" xr:uid="{00000000-0005-0000-0000-0000410A0000}"/>
    <cellStyle name="Percent 13 7 2 2" xfId="12852" xr:uid="{00000000-0005-0000-0000-000038320000}"/>
    <cellStyle name="Percent 13 7 2 3" xfId="19039" xr:uid="{00000000-0005-0000-0000-0000634A0000}"/>
    <cellStyle name="Percent 13 7 2 4" xfId="11340" xr:uid="{00000000-0005-0000-0000-0000502C0000}"/>
    <cellStyle name="Percent 13 7 2 5" xfId="6699" xr:uid="{00000000-0005-0000-0000-00002F1A0000}"/>
    <cellStyle name="Percent 13 7 3" xfId="6700" xr:uid="{00000000-0005-0000-0000-0000301A0000}"/>
    <cellStyle name="Percent 13 7 3 2" xfId="12853" xr:uid="{00000000-0005-0000-0000-000039320000}"/>
    <cellStyle name="Percent 13 7 3 3" xfId="16648" xr:uid="{00000000-0005-0000-0000-00000C410000}"/>
    <cellStyle name="Percent 13 7 3 4" xfId="11341" xr:uid="{00000000-0005-0000-0000-0000512C0000}"/>
    <cellStyle name="Percent 13 7 4" xfId="7847" xr:uid="{00000000-0005-0000-0000-0000AB1E0000}"/>
    <cellStyle name="Percent 13 7 4 2" xfId="12854" xr:uid="{00000000-0005-0000-0000-00003A320000}"/>
    <cellStyle name="Percent 13 7 4 3" xfId="19106" xr:uid="{00000000-0005-0000-0000-0000A64A0000}"/>
    <cellStyle name="Percent 13 7 4 4" xfId="11342" xr:uid="{00000000-0005-0000-0000-0000522C0000}"/>
    <cellStyle name="Percent 13 7 5" xfId="9491" xr:uid="{00000000-0005-0000-0000-000017250000}"/>
    <cellStyle name="Percent 13 7 5 2" xfId="17721" xr:uid="{00000000-0005-0000-0000-00003D450000}"/>
    <cellStyle name="Percent 13 7 5 3" xfId="19249" xr:uid="{00000000-0005-0000-0000-0000354B0000}"/>
    <cellStyle name="Percent 13 7 5 4" xfId="11343" xr:uid="{00000000-0005-0000-0000-0000532C0000}"/>
    <cellStyle name="Percent 13 7 6" xfId="12851" xr:uid="{00000000-0005-0000-0000-000037320000}"/>
    <cellStyle name="Percent 13 7 7" xfId="15817" xr:uid="{00000000-0005-0000-0000-0000CD3D0000}"/>
    <cellStyle name="Percent 13 7 8" xfId="11339" xr:uid="{00000000-0005-0000-0000-00004F2C0000}"/>
    <cellStyle name="Percent 13 7 9" xfId="6698" xr:uid="{00000000-0005-0000-0000-00002E1A0000}"/>
    <cellStyle name="Percent 13 8" xfId="1489" xr:uid="{00000000-0005-0000-0000-0000D5050000}"/>
    <cellStyle name="Percent 13 8 2" xfId="2622" xr:uid="{00000000-0005-0000-0000-0000420A0000}"/>
    <cellStyle name="Percent 13 8 2 2" xfId="12856" xr:uid="{00000000-0005-0000-0000-00003C320000}"/>
    <cellStyle name="Percent 13 8 2 3" xfId="19490" xr:uid="{00000000-0005-0000-0000-0000264C0000}"/>
    <cellStyle name="Percent 13 8 2 4" xfId="11345" xr:uid="{00000000-0005-0000-0000-0000552C0000}"/>
    <cellStyle name="Percent 13 8 3" xfId="9492" xr:uid="{00000000-0005-0000-0000-000018250000}"/>
    <cellStyle name="Percent 13 8 3 2" xfId="17722" xr:uid="{00000000-0005-0000-0000-00003E450000}"/>
    <cellStyle name="Percent 13 8 3 3" xfId="15800" xr:uid="{00000000-0005-0000-0000-0000BC3D0000}"/>
    <cellStyle name="Percent 13 8 3 4" xfId="11346" xr:uid="{00000000-0005-0000-0000-0000562C0000}"/>
    <cellStyle name="Percent 13 8 4" xfId="12855" xr:uid="{00000000-0005-0000-0000-00003B320000}"/>
    <cellStyle name="Percent 13 8 5" xfId="15465" xr:uid="{00000000-0005-0000-0000-00006D3C0000}"/>
    <cellStyle name="Percent 13 8 6" xfId="11344" xr:uid="{00000000-0005-0000-0000-0000542C0000}"/>
    <cellStyle name="Percent 13 8 7" xfId="6701" xr:uid="{00000000-0005-0000-0000-0000311A0000}"/>
    <cellStyle name="Percent 13 9" xfId="2615" xr:uid="{00000000-0005-0000-0000-00003B0A0000}"/>
    <cellStyle name="Percent 13 9 2" xfId="12857" xr:uid="{00000000-0005-0000-0000-00003D320000}"/>
    <cellStyle name="Percent 13 9 3" xfId="19193" xr:uid="{00000000-0005-0000-0000-0000FD4A0000}"/>
    <cellStyle name="Percent 13 9 4" xfId="11347" xr:uid="{00000000-0005-0000-0000-0000572C0000}"/>
    <cellStyle name="Percent 13 9 5" xfId="6702" xr:uid="{00000000-0005-0000-0000-0000321A0000}"/>
    <cellStyle name="Percent 14" xfId="1490" xr:uid="{00000000-0005-0000-0000-0000D6050000}"/>
    <cellStyle name="Percent 14 10" xfId="6703" xr:uid="{00000000-0005-0000-0000-0000331A0000}"/>
    <cellStyle name="Percent 14 10 2" xfId="12859" xr:uid="{00000000-0005-0000-0000-00003F320000}"/>
    <cellStyle name="Percent 14 10 3" xfId="15515" xr:uid="{00000000-0005-0000-0000-00009F3C0000}"/>
    <cellStyle name="Percent 14 10 4" xfId="11349" xr:uid="{00000000-0005-0000-0000-0000592C0000}"/>
    <cellStyle name="Percent 14 11" xfId="12858" xr:uid="{00000000-0005-0000-0000-00003E320000}"/>
    <cellStyle name="Percent 14 12" xfId="15481" xr:uid="{00000000-0005-0000-0000-00007D3C0000}"/>
    <cellStyle name="Percent 14 13" xfId="11348" xr:uid="{00000000-0005-0000-0000-0000582C0000}"/>
    <cellStyle name="Percent 14 2" xfId="1491" xr:uid="{00000000-0005-0000-0000-0000D7050000}"/>
    <cellStyle name="Percent 14 2 2" xfId="2624" xr:uid="{00000000-0005-0000-0000-0000440A0000}"/>
    <cellStyle name="Percent 14 2 2 2" xfId="12861" xr:uid="{00000000-0005-0000-0000-000041320000}"/>
    <cellStyle name="Percent 14 2 2 3" xfId="16368" xr:uid="{00000000-0005-0000-0000-0000F43F0000}"/>
    <cellStyle name="Percent 14 2 2 4" xfId="11351" xr:uid="{00000000-0005-0000-0000-00005B2C0000}"/>
    <cellStyle name="Percent 14 2 3" xfId="9493" xr:uid="{00000000-0005-0000-0000-000019250000}"/>
    <cellStyle name="Percent 14 2 3 2" xfId="17723" xr:uid="{00000000-0005-0000-0000-00003F450000}"/>
    <cellStyle name="Percent 14 2 3 3" xfId="15798" xr:uid="{00000000-0005-0000-0000-0000BA3D0000}"/>
    <cellStyle name="Percent 14 2 3 4" xfId="11352" xr:uid="{00000000-0005-0000-0000-00005C2C0000}"/>
    <cellStyle name="Percent 14 2 4" xfId="12860" xr:uid="{00000000-0005-0000-0000-000040320000}"/>
    <cellStyle name="Percent 14 2 5" xfId="15757" xr:uid="{00000000-0005-0000-0000-0000913D0000}"/>
    <cellStyle name="Percent 14 2 6" xfId="11350" xr:uid="{00000000-0005-0000-0000-00005A2C0000}"/>
    <cellStyle name="Percent 14 2 7" xfId="6704" xr:uid="{00000000-0005-0000-0000-0000341A0000}"/>
    <cellStyle name="Percent 14 3" xfId="1492" xr:uid="{00000000-0005-0000-0000-0000D8050000}"/>
    <cellStyle name="Percent 14 3 2" xfId="2625" xr:uid="{00000000-0005-0000-0000-0000450A0000}"/>
    <cellStyle name="Percent 14 3 2 2" xfId="12863" xr:uid="{00000000-0005-0000-0000-000043320000}"/>
    <cellStyle name="Percent 14 3 2 3" xfId="19555" xr:uid="{00000000-0005-0000-0000-0000674C0000}"/>
    <cellStyle name="Percent 14 3 2 4" xfId="11354" xr:uid="{00000000-0005-0000-0000-00005E2C0000}"/>
    <cellStyle name="Percent 14 3 3" xfId="9494" xr:uid="{00000000-0005-0000-0000-00001A250000}"/>
    <cellStyle name="Percent 14 3 3 2" xfId="17724" xr:uid="{00000000-0005-0000-0000-000040450000}"/>
    <cellStyle name="Percent 14 3 3 3" xfId="15474" xr:uid="{00000000-0005-0000-0000-0000763C0000}"/>
    <cellStyle name="Percent 14 3 3 4" xfId="11355" xr:uid="{00000000-0005-0000-0000-00005F2C0000}"/>
    <cellStyle name="Percent 14 3 4" xfId="12862" xr:uid="{00000000-0005-0000-0000-000042320000}"/>
    <cellStyle name="Percent 14 3 5" xfId="15510" xr:uid="{00000000-0005-0000-0000-00009A3C0000}"/>
    <cellStyle name="Percent 14 3 6" xfId="11353" xr:uid="{00000000-0005-0000-0000-00005D2C0000}"/>
    <cellStyle name="Percent 14 3 7" xfId="6705" xr:uid="{00000000-0005-0000-0000-0000351A0000}"/>
    <cellStyle name="Percent 14 4" xfId="1493" xr:uid="{00000000-0005-0000-0000-0000D9050000}"/>
    <cellStyle name="Percent 14 4 2" xfId="2626" xr:uid="{00000000-0005-0000-0000-0000460A0000}"/>
    <cellStyle name="Percent 14 4 2 2" xfId="12865" xr:uid="{00000000-0005-0000-0000-000045320000}"/>
    <cellStyle name="Percent 14 4 2 3" xfId="15706" xr:uid="{00000000-0005-0000-0000-00005E3D0000}"/>
    <cellStyle name="Percent 14 4 2 4" xfId="11357" xr:uid="{00000000-0005-0000-0000-0000612C0000}"/>
    <cellStyle name="Percent 14 4 3" xfId="9495" xr:uid="{00000000-0005-0000-0000-00001B250000}"/>
    <cellStyle name="Percent 14 4 3 2" xfId="17725" xr:uid="{00000000-0005-0000-0000-000041450000}"/>
    <cellStyle name="Percent 14 4 3 3" xfId="16792" xr:uid="{00000000-0005-0000-0000-00009C410000}"/>
    <cellStyle name="Percent 14 4 3 4" xfId="11358" xr:uid="{00000000-0005-0000-0000-0000622C0000}"/>
    <cellStyle name="Percent 14 4 4" xfId="12864" xr:uid="{00000000-0005-0000-0000-000044320000}"/>
    <cellStyle name="Percent 14 4 5" xfId="16380" xr:uid="{00000000-0005-0000-0000-000000400000}"/>
    <cellStyle name="Percent 14 4 6" xfId="11356" xr:uid="{00000000-0005-0000-0000-0000602C0000}"/>
    <cellStyle name="Percent 14 4 7" xfId="6706" xr:uid="{00000000-0005-0000-0000-0000361A0000}"/>
    <cellStyle name="Percent 14 5" xfId="1494" xr:uid="{00000000-0005-0000-0000-0000DA050000}"/>
    <cellStyle name="Percent 14 5 2" xfId="2627" xr:uid="{00000000-0005-0000-0000-0000470A0000}"/>
    <cellStyle name="Percent 14 5 2 2" xfId="12867" xr:uid="{00000000-0005-0000-0000-000047320000}"/>
    <cellStyle name="Percent 14 5 2 3" xfId="16698" xr:uid="{00000000-0005-0000-0000-00003E410000}"/>
    <cellStyle name="Percent 14 5 2 4" xfId="11360" xr:uid="{00000000-0005-0000-0000-0000642C0000}"/>
    <cellStyle name="Percent 14 5 3" xfId="9496" xr:uid="{00000000-0005-0000-0000-00001C250000}"/>
    <cellStyle name="Percent 14 5 3 2" xfId="17726" xr:uid="{00000000-0005-0000-0000-000042450000}"/>
    <cellStyle name="Percent 14 5 3 3" xfId="16607" xr:uid="{00000000-0005-0000-0000-0000E3400000}"/>
    <cellStyle name="Percent 14 5 3 4" xfId="11361" xr:uid="{00000000-0005-0000-0000-0000652C0000}"/>
    <cellStyle name="Percent 14 5 4" xfId="12866" xr:uid="{00000000-0005-0000-0000-000046320000}"/>
    <cellStyle name="Percent 14 5 5" xfId="19221" xr:uid="{00000000-0005-0000-0000-0000194B0000}"/>
    <cellStyle name="Percent 14 5 6" xfId="11359" xr:uid="{00000000-0005-0000-0000-0000632C0000}"/>
    <cellStyle name="Percent 14 5 7" xfId="6707" xr:uid="{00000000-0005-0000-0000-0000371A0000}"/>
    <cellStyle name="Percent 14 6" xfId="1495" xr:uid="{00000000-0005-0000-0000-0000DB050000}"/>
    <cellStyle name="Percent 14 6 2" xfId="2628" xr:uid="{00000000-0005-0000-0000-0000480A0000}"/>
    <cellStyle name="Percent 14 6 2 2" xfId="12869" xr:uid="{00000000-0005-0000-0000-000049320000}"/>
    <cellStyle name="Percent 14 6 2 3" xfId="19183" xr:uid="{00000000-0005-0000-0000-0000F34A0000}"/>
    <cellStyle name="Percent 14 6 2 4" xfId="11363" xr:uid="{00000000-0005-0000-0000-0000672C0000}"/>
    <cellStyle name="Percent 14 6 3" xfId="9497" xr:uid="{00000000-0005-0000-0000-00001D250000}"/>
    <cellStyle name="Percent 14 6 3 2" xfId="17727" xr:uid="{00000000-0005-0000-0000-000043450000}"/>
    <cellStyle name="Percent 14 6 3 3" xfId="19549" xr:uid="{00000000-0005-0000-0000-0000614C0000}"/>
    <cellStyle name="Percent 14 6 3 4" xfId="11364" xr:uid="{00000000-0005-0000-0000-0000682C0000}"/>
    <cellStyle name="Percent 14 6 4" xfId="12868" xr:uid="{00000000-0005-0000-0000-000048320000}"/>
    <cellStyle name="Percent 14 6 5" xfId="15793" xr:uid="{00000000-0005-0000-0000-0000B53D0000}"/>
    <cellStyle name="Percent 14 6 6" xfId="11362" xr:uid="{00000000-0005-0000-0000-0000662C0000}"/>
    <cellStyle name="Percent 14 6 7" xfId="6708" xr:uid="{00000000-0005-0000-0000-0000381A0000}"/>
    <cellStyle name="Percent 14 7" xfId="1496" xr:uid="{00000000-0005-0000-0000-0000DC050000}"/>
    <cellStyle name="Percent 14 7 2" xfId="2629" xr:uid="{00000000-0005-0000-0000-0000490A0000}"/>
    <cellStyle name="Percent 14 7 2 2" xfId="12871" xr:uid="{00000000-0005-0000-0000-00004B320000}"/>
    <cellStyle name="Percent 14 7 2 3" xfId="19070" xr:uid="{00000000-0005-0000-0000-0000824A0000}"/>
    <cellStyle name="Percent 14 7 2 4" xfId="11366" xr:uid="{00000000-0005-0000-0000-00006A2C0000}"/>
    <cellStyle name="Percent 14 7 2 5" xfId="6710" xr:uid="{00000000-0005-0000-0000-00003A1A0000}"/>
    <cellStyle name="Percent 14 7 3" xfId="6711" xr:uid="{00000000-0005-0000-0000-00003B1A0000}"/>
    <cellStyle name="Percent 14 7 3 2" xfId="12872" xr:uid="{00000000-0005-0000-0000-00004C320000}"/>
    <cellStyle name="Percent 14 7 3 3" xfId="16676" xr:uid="{00000000-0005-0000-0000-000028410000}"/>
    <cellStyle name="Percent 14 7 3 4" xfId="11367" xr:uid="{00000000-0005-0000-0000-00006B2C0000}"/>
    <cellStyle name="Percent 14 7 4" xfId="7848" xr:uid="{00000000-0005-0000-0000-0000AC1E0000}"/>
    <cellStyle name="Percent 14 7 4 2" xfId="12873" xr:uid="{00000000-0005-0000-0000-00004D320000}"/>
    <cellStyle name="Percent 14 7 4 3" xfId="19366" xr:uid="{00000000-0005-0000-0000-0000AA4B0000}"/>
    <cellStyle name="Percent 14 7 4 4" xfId="11368" xr:uid="{00000000-0005-0000-0000-00006C2C0000}"/>
    <cellStyle name="Percent 14 7 5" xfId="9498" xr:uid="{00000000-0005-0000-0000-00001E250000}"/>
    <cellStyle name="Percent 14 7 5 2" xfId="17728" xr:uid="{00000000-0005-0000-0000-000044450000}"/>
    <cellStyle name="Percent 14 7 5 3" xfId="15720" xr:uid="{00000000-0005-0000-0000-00006C3D0000}"/>
    <cellStyle name="Percent 14 7 5 4" xfId="11369" xr:uid="{00000000-0005-0000-0000-00006D2C0000}"/>
    <cellStyle name="Percent 14 7 6" xfId="12870" xr:uid="{00000000-0005-0000-0000-00004A320000}"/>
    <cellStyle name="Percent 14 7 7" xfId="16731" xr:uid="{00000000-0005-0000-0000-00005F410000}"/>
    <cellStyle name="Percent 14 7 8" xfId="11365" xr:uid="{00000000-0005-0000-0000-0000692C0000}"/>
    <cellStyle name="Percent 14 7 9" xfId="6709" xr:uid="{00000000-0005-0000-0000-0000391A0000}"/>
    <cellStyle name="Percent 14 8" xfId="1497" xr:uid="{00000000-0005-0000-0000-0000DD050000}"/>
    <cellStyle name="Percent 14 8 2" xfId="2630" xr:uid="{00000000-0005-0000-0000-00004A0A0000}"/>
    <cellStyle name="Percent 14 8 2 2" xfId="12875" xr:uid="{00000000-0005-0000-0000-00004F320000}"/>
    <cellStyle name="Percent 14 8 2 3" xfId="19041" xr:uid="{00000000-0005-0000-0000-0000654A0000}"/>
    <cellStyle name="Percent 14 8 2 4" xfId="11371" xr:uid="{00000000-0005-0000-0000-00006F2C0000}"/>
    <cellStyle name="Percent 14 8 3" xfId="9499" xr:uid="{00000000-0005-0000-0000-00001F250000}"/>
    <cellStyle name="Percent 14 8 3 2" xfId="17729" xr:uid="{00000000-0005-0000-0000-000045450000}"/>
    <cellStyle name="Percent 14 8 3 3" xfId="19451" xr:uid="{00000000-0005-0000-0000-0000FF4B0000}"/>
    <cellStyle name="Percent 14 8 3 4" xfId="11372" xr:uid="{00000000-0005-0000-0000-0000702C0000}"/>
    <cellStyle name="Percent 14 8 4" xfId="12874" xr:uid="{00000000-0005-0000-0000-00004E320000}"/>
    <cellStyle name="Percent 14 8 5" xfId="16692" xr:uid="{00000000-0005-0000-0000-000038410000}"/>
    <cellStyle name="Percent 14 8 6" xfId="11370" xr:uid="{00000000-0005-0000-0000-00006E2C0000}"/>
    <cellStyle name="Percent 14 8 7" xfId="6712" xr:uid="{00000000-0005-0000-0000-00003C1A0000}"/>
    <cellStyle name="Percent 14 9" xfId="2623" xr:uid="{00000000-0005-0000-0000-0000430A0000}"/>
    <cellStyle name="Percent 14 9 2" xfId="12876" xr:uid="{00000000-0005-0000-0000-000050320000}"/>
    <cellStyle name="Percent 14 9 3" xfId="15437" xr:uid="{00000000-0005-0000-0000-0000513C0000}"/>
    <cellStyle name="Percent 14 9 4" xfId="11373" xr:uid="{00000000-0005-0000-0000-0000712C0000}"/>
    <cellStyle name="Percent 14 9 5" xfId="6713" xr:uid="{00000000-0005-0000-0000-00003D1A0000}"/>
    <cellStyle name="Percent 15" xfId="1498" xr:uid="{00000000-0005-0000-0000-0000DE050000}"/>
    <cellStyle name="Percent 15 10" xfId="1499" xr:uid="{00000000-0005-0000-0000-0000DF050000}"/>
    <cellStyle name="Percent 15 10 2" xfId="2631" xr:uid="{00000000-0005-0000-0000-00004B0A0000}"/>
    <cellStyle name="Percent 15 10 3" xfId="15657" xr:uid="{00000000-0005-0000-0000-00002D3D0000}"/>
    <cellStyle name="Percent 15 10 4" xfId="11375" xr:uid="{00000000-0005-0000-0000-0000732C0000}"/>
    <cellStyle name="Percent 15 11" xfId="1500" xr:uid="{00000000-0005-0000-0000-0000E0050000}"/>
    <cellStyle name="Percent 15 11 2" xfId="2632" xr:uid="{00000000-0005-0000-0000-00004C0A0000}"/>
    <cellStyle name="Percent 15 11 3" xfId="19150" xr:uid="{00000000-0005-0000-0000-0000D24A0000}"/>
    <cellStyle name="Percent 15 11 4" xfId="11376" xr:uid="{00000000-0005-0000-0000-0000742C0000}"/>
    <cellStyle name="Percent 15 12" xfId="1501" xr:uid="{00000000-0005-0000-0000-0000E1050000}"/>
    <cellStyle name="Percent 15 12 2" xfId="2633" xr:uid="{00000000-0005-0000-0000-00004D0A0000}"/>
    <cellStyle name="Percent 15 12 3" xfId="15627" xr:uid="{00000000-0005-0000-0000-00000F3D0000}"/>
    <cellStyle name="Percent 15 12 4" xfId="11377" xr:uid="{00000000-0005-0000-0000-0000752C0000}"/>
    <cellStyle name="Percent 15 13" xfId="1502" xr:uid="{00000000-0005-0000-0000-0000E2050000}"/>
    <cellStyle name="Percent 15 13 2" xfId="2634" xr:uid="{00000000-0005-0000-0000-00004E0A0000}"/>
    <cellStyle name="Percent 15 13 3" xfId="15502" xr:uid="{00000000-0005-0000-0000-0000923C0000}"/>
    <cellStyle name="Percent 15 13 4" xfId="11378" xr:uid="{00000000-0005-0000-0000-0000762C0000}"/>
    <cellStyle name="Percent 15 14" xfId="1503" xr:uid="{00000000-0005-0000-0000-0000E3050000}"/>
    <cellStyle name="Percent 15 14 2" xfId="2635" xr:uid="{00000000-0005-0000-0000-00004F0A0000}"/>
    <cellStyle name="Percent 15 14 3" xfId="16619" xr:uid="{00000000-0005-0000-0000-0000EF400000}"/>
    <cellStyle name="Percent 15 14 4" xfId="11379" xr:uid="{00000000-0005-0000-0000-0000772C0000}"/>
    <cellStyle name="Percent 15 15" xfId="7849" xr:uid="{00000000-0005-0000-0000-0000AD1E0000}"/>
    <cellStyle name="Percent 15 15 2" xfId="12878" xr:uid="{00000000-0005-0000-0000-000052320000}"/>
    <cellStyle name="Percent 15 15 3" xfId="19310" xr:uid="{00000000-0005-0000-0000-0000724B0000}"/>
    <cellStyle name="Percent 15 15 4" xfId="11380" xr:uid="{00000000-0005-0000-0000-0000782C0000}"/>
    <cellStyle name="Percent 15 16" xfId="12877" xr:uid="{00000000-0005-0000-0000-000051320000}"/>
    <cellStyle name="Percent 15 17" xfId="19352" xr:uid="{00000000-0005-0000-0000-00009C4B0000}"/>
    <cellStyle name="Percent 15 18" xfId="11374" xr:uid="{00000000-0005-0000-0000-0000722C0000}"/>
    <cellStyle name="Percent 15 2" xfId="1504" xr:uid="{00000000-0005-0000-0000-0000E4050000}"/>
    <cellStyle name="Percent 15 2 10" xfId="16350" xr:uid="{00000000-0005-0000-0000-0000E23F0000}"/>
    <cellStyle name="Percent 15 2 11" xfId="11381" xr:uid="{00000000-0005-0000-0000-0000792C0000}"/>
    <cellStyle name="Percent 15 2 2" xfId="1505" xr:uid="{00000000-0005-0000-0000-0000E5050000}"/>
    <cellStyle name="Percent 15 2 2 2" xfId="12881" xr:uid="{00000000-0005-0000-0000-000055320000}"/>
    <cellStyle name="Percent 15 2 2 3" xfId="12880" xr:uid="{00000000-0005-0000-0000-000054320000}"/>
    <cellStyle name="Percent 15 2 2 4" xfId="19155" xr:uid="{00000000-0005-0000-0000-0000D74A0000}"/>
    <cellStyle name="Percent 15 2 2 5" xfId="11382" xr:uid="{00000000-0005-0000-0000-00007A2C0000}"/>
    <cellStyle name="Percent 15 2 3" xfId="1506" xr:uid="{00000000-0005-0000-0000-0000E6050000}"/>
    <cellStyle name="Percent 15 2 3 2" xfId="12883" xr:uid="{00000000-0005-0000-0000-000057320000}"/>
    <cellStyle name="Percent 15 2 3 3" xfId="12882" xr:uid="{00000000-0005-0000-0000-000056320000}"/>
    <cellStyle name="Percent 15 2 3 4" xfId="16381" xr:uid="{00000000-0005-0000-0000-000001400000}"/>
    <cellStyle name="Percent 15 2 3 5" xfId="11383" xr:uid="{00000000-0005-0000-0000-00007B2C0000}"/>
    <cellStyle name="Percent 15 2 4" xfId="1507" xr:uid="{00000000-0005-0000-0000-0000E7050000}"/>
    <cellStyle name="Percent 15 2 4 2" xfId="12885" xr:uid="{00000000-0005-0000-0000-000059320000}"/>
    <cellStyle name="Percent 15 2 4 3" xfId="12884" xr:uid="{00000000-0005-0000-0000-000058320000}"/>
    <cellStyle name="Percent 15 2 4 4" xfId="15624" xr:uid="{00000000-0005-0000-0000-00000C3D0000}"/>
    <cellStyle name="Percent 15 2 4 5" xfId="11384" xr:uid="{00000000-0005-0000-0000-00007C2C0000}"/>
    <cellStyle name="Percent 15 2 5" xfId="1508" xr:uid="{00000000-0005-0000-0000-0000E8050000}"/>
    <cellStyle name="Percent 15 2 5 2" xfId="12887" xr:uid="{00000000-0005-0000-0000-00005B320000}"/>
    <cellStyle name="Percent 15 2 5 3" xfId="12886" xr:uid="{00000000-0005-0000-0000-00005A320000}"/>
    <cellStyle name="Percent 15 2 5 4" xfId="15521" xr:uid="{00000000-0005-0000-0000-0000A53C0000}"/>
    <cellStyle name="Percent 15 2 5 5" xfId="11385" xr:uid="{00000000-0005-0000-0000-00007D2C0000}"/>
    <cellStyle name="Percent 15 2 6" xfId="1509" xr:uid="{00000000-0005-0000-0000-0000E9050000}"/>
    <cellStyle name="Percent 15 2 6 2" xfId="12889" xr:uid="{00000000-0005-0000-0000-00005D320000}"/>
    <cellStyle name="Percent 15 2 6 3" xfId="12888" xr:uid="{00000000-0005-0000-0000-00005C320000}"/>
    <cellStyle name="Percent 15 2 6 4" xfId="15461" xr:uid="{00000000-0005-0000-0000-0000693C0000}"/>
    <cellStyle name="Percent 15 2 6 5" xfId="11386" xr:uid="{00000000-0005-0000-0000-00007E2C0000}"/>
    <cellStyle name="Percent 15 2 7" xfId="1510" xr:uid="{00000000-0005-0000-0000-0000EA050000}"/>
    <cellStyle name="Percent 15 2 7 2" xfId="12891" xr:uid="{00000000-0005-0000-0000-00005F320000}"/>
    <cellStyle name="Percent 15 2 7 3" xfId="12890" xr:uid="{00000000-0005-0000-0000-00005E320000}"/>
    <cellStyle name="Percent 15 2 7 4" xfId="19436" xr:uid="{00000000-0005-0000-0000-0000F04B0000}"/>
    <cellStyle name="Percent 15 2 7 5" xfId="11387" xr:uid="{00000000-0005-0000-0000-00007F2C0000}"/>
    <cellStyle name="Percent 15 2 8" xfId="2636" xr:uid="{00000000-0005-0000-0000-0000500A0000}"/>
    <cellStyle name="Percent 15 2 8 2" xfId="12892" xr:uid="{00000000-0005-0000-0000-000060320000}"/>
    <cellStyle name="Percent 15 2 8 3" xfId="19387" xr:uid="{00000000-0005-0000-0000-0000BF4B0000}"/>
    <cellStyle name="Percent 15 2 8 4" xfId="11388" xr:uid="{00000000-0005-0000-0000-0000802C0000}"/>
    <cellStyle name="Percent 15 2 9" xfId="12879" xr:uid="{00000000-0005-0000-0000-000053320000}"/>
    <cellStyle name="Percent 15 3" xfId="1511" xr:uid="{00000000-0005-0000-0000-0000EB050000}"/>
    <cellStyle name="Percent 15 3 2" xfId="12894" xr:uid="{00000000-0005-0000-0000-000062320000}"/>
    <cellStyle name="Percent 15 3 3" xfId="12895" xr:uid="{00000000-0005-0000-0000-000063320000}"/>
    <cellStyle name="Percent 15 3 3 2" xfId="12896" xr:uid="{00000000-0005-0000-0000-000064320000}"/>
    <cellStyle name="Percent 15 3 4" xfId="12893" xr:uid="{00000000-0005-0000-0000-000061320000}"/>
    <cellStyle name="Percent 15 3 5" xfId="15440" xr:uid="{00000000-0005-0000-0000-0000543C0000}"/>
    <cellStyle name="Percent 15 3 6" xfId="11389" xr:uid="{00000000-0005-0000-0000-0000812C0000}"/>
    <cellStyle name="Percent 15 4" xfId="1512" xr:uid="{00000000-0005-0000-0000-0000EC050000}"/>
    <cellStyle name="Percent 15 4 2" xfId="2637" xr:uid="{00000000-0005-0000-0000-0000510A0000}"/>
    <cellStyle name="Percent 15 4 2 2" xfId="12898" xr:uid="{00000000-0005-0000-0000-000066320000}"/>
    <cellStyle name="Percent 15 4 2 3" xfId="16675" xr:uid="{00000000-0005-0000-0000-000027410000}"/>
    <cellStyle name="Percent 15 4 2 4" xfId="11391" xr:uid="{00000000-0005-0000-0000-0000832C0000}"/>
    <cellStyle name="Percent 15 4 3" xfId="9500" xr:uid="{00000000-0005-0000-0000-000020250000}"/>
    <cellStyle name="Percent 15 4 3 2" xfId="17730" xr:uid="{00000000-0005-0000-0000-000046450000}"/>
    <cellStyle name="Percent 15 4 3 3" xfId="16656" xr:uid="{00000000-0005-0000-0000-000014410000}"/>
    <cellStyle name="Percent 15 4 3 4" xfId="11392" xr:uid="{00000000-0005-0000-0000-0000842C0000}"/>
    <cellStyle name="Percent 15 4 4" xfId="12897" xr:uid="{00000000-0005-0000-0000-000065320000}"/>
    <cellStyle name="Percent 15 4 5" xfId="16795" xr:uid="{00000000-0005-0000-0000-00009F410000}"/>
    <cellStyle name="Percent 15 4 6" xfId="11390" xr:uid="{00000000-0005-0000-0000-0000822C0000}"/>
    <cellStyle name="Percent 15 4 7" xfId="6714" xr:uid="{00000000-0005-0000-0000-00003E1A0000}"/>
    <cellStyle name="Percent 15 5" xfId="1513" xr:uid="{00000000-0005-0000-0000-0000ED050000}"/>
    <cellStyle name="Percent 15 5 2" xfId="12900" xr:uid="{00000000-0005-0000-0000-000068320000}"/>
    <cellStyle name="Percent 15 5 3" xfId="12901" xr:uid="{00000000-0005-0000-0000-000069320000}"/>
    <cellStyle name="Percent 15 5 3 2" xfId="12902" xr:uid="{00000000-0005-0000-0000-00006A320000}"/>
    <cellStyle name="Percent 15 5 4" xfId="12899" xr:uid="{00000000-0005-0000-0000-000067320000}"/>
    <cellStyle name="Percent 15 5 5" xfId="15514" xr:uid="{00000000-0005-0000-0000-00009E3C0000}"/>
    <cellStyle name="Percent 15 5 6" xfId="11393" xr:uid="{00000000-0005-0000-0000-0000852C0000}"/>
    <cellStyle name="Percent 15 6" xfId="1514" xr:uid="{00000000-0005-0000-0000-0000EE050000}"/>
    <cellStyle name="Percent 15 6 2" xfId="12904" xr:uid="{00000000-0005-0000-0000-00006C320000}"/>
    <cellStyle name="Percent 15 6 3" xfId="12905" xr:uid="{00000000-0005-0000-0000-00006D320000}"/>
    <cellStyle name="Percent 15 6 3 2" xfId="12906" xr:uid="{00000000-0005-0000-0000-00006E320000}"/>
    <cellStyle name="Percent 15 6 4" xfId="12903" xr:uid="{00000000-0005-0000-0000-00006B320000}"/>
    <cellStyle name="Percent 15 6 5" xfId="19504" xr:uid="{00000000-0005-0000-0000-0000344C0000}"/>
    <cellStyle name="Percent 15 6 6" xfId="11394" xr:uid="{00000000-0005-0000-0000-0000862C0000}"/>
    <cellStyle name="Percent 15 7" xfId="1515" xr:uid="{00000000-0005-0000-0000-0000EF050000}"/>
    <cellStyle name="Percent 15 7 2" xfId="6715" xr:uid="{00000000-0005-0000-0000-00003F1A0000}"/>
    <cellStyle name="Percent 15 7 2 2" xfId="12908" xr:uid="{00000000-0005-0000-0000-000070320000}"/>
    <cellStyle name="Percent 15 7 2 3" xfId="16627" xr:uid="{00000000-0005-0000-0000-0000F7400000}"/>
    <cellStyle name="Percent 15 7 2 4" xfId="11396" xr:uid="{00000000-0005-0000-0000-0000882C0000}"/>
    <cellStyle name="Percent 15 7 3" xfId="6716" xr:uid="{00000000-0005-0000-0000-0000401A0000}"/>
    <cellStyle name="Percent 15 7 3 2" xfId="12909" xr:uid="{00000000-0005-0000-0000-000071320000}"/>
    <cellStyle name="Percent 15 7 3 3" xfId="15791" xr:uid="{00000000-0005-0000-0000-0000B33D0000}"/>
    <cellStyle name="Percent 15 7 3 4" xfId="11397" xr:uid="{00000000-0005-0000-0000-0000892C0000}"/>
    <cellStyle name="Percent 15 7 4" xfId="12910" xr:uid="{00000000-0005-0000-0000-000072320000}"/>
    <cellStyle name="Percent 15 7 4 2" xfId="12911" xr:uid="{00000000-0005-0000-0000-000073320000}"/>
    <cellStyle name="Percent 15 7 5" xfId="12907" xr:uid="{00000000-0005-0000-0000-00006F320000}"/>
    <cellStyle name="Percent 15 7 6" xfId="15679" xr:uid="{00000000-0005-0000-0000-0000433D0000}"/>
    <cellStyle name="Percent 15 7 7" xfId="11395" xr:uid="{00000000-0005-0000-0000-0000872C0000}"/>
    <cellStyle name="Percent 15 8" xfId="1516" xr:uid="{00000000-0005-0000-0000-0000F0050000}"/>
    <cellStyle name="Percent 15 8 2" xfId="12913" xr:uid="{00000000-0005-0000-0000-000075320000}"/>
    <cellStyle name="Percent 15 8 3" xfId="12912" xr:uid="{00000000-0005-0000-0000-000074320000}"/>
    <cellStyle name="Percent 15 8 4" xfId="15435" xr:uid="{00000000-0005-0000-0000-00004F3C0000}"/>
    <cellStyle name="Percent 15 8 5" xfId="11398" xr:uid="{00000000-0005-0000-0000-00008A2C0000}"/>
    <cellStyle name="Percent 15 9" xfId="1517" xr:uid="{00000000-0005-0000-0000-0000F1050000}"/>
    <cellStyle name="Percent 15 9 2" xfId="2638" xr:uid="{00000000-0005-0000-0000-0000520A0000}"/>
    <cellStyle name="Percent 15 9 3" xfId="15792" xr:uid="{00000000-0005-0000-0000-0000B43D0000}"/>
    <cellStyle name="Percent 15 9 4" xfId="11399" xr:uid="{00000000-0005-0000-0000-00008B2C0000}"/>
    <cellStyle name="Percent 16" xfId="7850" xr:uid="{00000000-0005-0000-0000-0000AE1E0000}"/>
    <cellStyle name="Percent 16 10" xfId="12914" xr:uid="{00000000-0005-0000-0000-000076320000}"/>
    <cellStyle name="Percent 16 10 2" xfId="15091" xr:uid="{00000000-0005-0000-0000-0000F73A0000}"/>
    <cellStyle name="Percent 16 10 3" xfId="15090" xr:uid="{00000000-0005-0000-0000-0000F63A0000}"/>
    <cellStyle name="Percent 16 11" xfId="15551" xr:uid="{00000000-0005-0000-0000-0000C33C0000}"/>
    <cellStyle name="Percent 16 12" xfId="11400" xr:uid="{00000000-0005-0000-0000-00008C2C0000}"/>
    <cellStyle name="Percent 16 2" xfId="1518" xr:uid="{00000000-0005-0000-0000-0000F2050000}"/>
    <cellStyle name="Percent 16 2 2" xfId="7851" xr:uid="{00000000-0005-0000-0000-0000AF1E0000}"/>
    <cellStyle name="Percent 16 2 2 2" xfId="12916" xr:uid="{00000000-0005-0000-0000-000078320000}"/>
    <cellStyle name="Percent 16 2 2 3" xfId="15731" xr:uid="{00000000-0005-0000-0000-0000773D0000}"/>
    <cellStyle name="Percent 16 2 2 4" xfId="11402" xr:uid="{00000000-0005-0000-0000-00008E2C0000}"/>
    <cellStyle name="Percent 16 2 3" xfId="9501" xr:uid="{00000000-0005-0000-0000-000021250000}"/>
    <cellStyle name="Percent 16 2 3 2" xfId="17731" xr:uid="{00000000-0005-0000-0000-000047450000}"/>
    <cellStyle name="Percent 16 2 3 3" xfId="15313" xr:uid="{00000000-0005-0000-0000-0000D53B0000}"/>
    <cellStyle name="Percent 16 2 3 4" xfId="11403" xr:uid="{00000000-0005-0000-0000-00008F2C0000}"/>
    <cellStyle name="Percent 16 2 4" xfId="12915" xr:uid="{00000000-0005-0000-0000-000077320000}"/>
    <cellStyle name="Percent 16 2 5" xfId="16759" xr:uid="{00000000-0005-0000-0000-00007B410000}"/>
    <cellStyle name="Percent 16 2 6" xfId="11401" xr:uid="{00000000-0005-0000-0000-00008D2C0000}"/>
    <cellStyle name="Percent 16 2 7" xfId="6717" xr:uid="{00000000-0005-0000-0000-0000411A0000}"/>
    <cellStyle name="Percent 16 3" xfId="1519" xr:uid="{00000000-0005-0000-0000-0000F3050000}"/>
    <cellStyle name="Percent 16 3 10" xfId="1520" xr:uid="{00000000-0005-0000-0000-0000F4050000}"/>
    <cellStyle name="Percent 16 3 10 2" xfId="2640" xr:uid="{00000000-0005-0000-0000-0000540A0000}"/>
    <cellStyle name="Percent 16 3 10 3" xfId="15455" xr:uid="{00000000-0005-0000-0000-0000633C0000}"/>
    <cellStyle name="Percent 16 3 10 4" xfId="11405" xr:uid="{00000000-0005-0000-0000-0000912C0000}"/>
    <cellStyle name="Percent 16 3 11" xfId="1521" xr:uid="{00000000-0005-0000-0000-0000F5050000}"/>
    <cellStyle name="Percent 16 3 11 2" xfId="2641" xr:uid="{00000000-0005-0000-0000-0000550A0000}"/>
    <cellStyle name="Percent 16 3 11 3" xfId="19539" xr:uid="{00000000-0005-0000-0000-0000574C0000}"/>
    <cellStyle name="Percent 16 3 11 4" xfId="11406" xr:uid="{00000000-0005-0000-0000-0000922C0000}"/>
    <cellStyle name="Percent 16 3 12" xfId="1522" xr:uid="{00000000-0005-0000-0000-0000F6050000}"/>
    <cellStyle name="Percent 16 3 12 2" xfId="2642" xr:uid="{00000000-0005-0000-0000-0000560A0000}"/>
    <cellStyle name="Percent 16 3 12 3" xfId="15622" xr:uid="{00000000-0005-0000-0000-00000A3D0000}"/>
    <cellStyle name="Percent 16 3 12 4" xfId="11407" xr:uid="{00000000-0005-0000-0000-0000932C0000}"/>
    <cellStyle name="Percent 16 3 13" xfId="1523" xr:uid="{00000000-0005-0000-0000-0000F7050000}"/>
    <cellStyle name="Percent 16 3 13 2" xfId="2643" xr:uid="{00000000-0005-0000-0000-0000570A0000}"/>
    <cellStyle name="Percent 16 3 13 3" xfId="19316" xr:uid="{00000000-0005-0000-0000-0000784B0000}"/>
    <cellStyle name="Percent 16 3 13 4" xfId="11408" xr:uid="{00000000-0005-0000-0000-0000942C0000}"/>
    <cellStyle name="Percent 16 3 14" xfId="1524" xr:uid="{00000000-0005-0000-0000-0000F8050000}"/>
    <cellStyle name="Percent 16 3 14 2" xfId="2644" xr:uid="{00000000-0005-0000-0000-0000580A0000}"/>
    <cellStyle name="Percent 16 3 14 3" xfId="19326" xr:uid="{00000000-0005-0000-0000-0000824B0000}"/>
    <cellStyle name="Percent 16 3 14 4" xfId="11409" xr:uid="{00000000-0005-0000-0000-0000952C0000}"/>
    <cellStyle name="Percent 16 3 15" xfId="1525" xr:uid="{00000000-0005-0000-0000-0000F9050000}"/>
    <cellStyle name="Percent 16 3 15 2" xfId="2645" xr:uid="{00000000-0005-0000-0000-0000590A0000}"/>
    <cellStyle name="Percent 16 3 15 3" xfId="19538" xr:uid="{00000000-0005-0000-0000-0000564C0000}"/>
    <cellStyle name="Percent 16 3 15 4" xfId="11410" xr:uid="{00000000-0005-0000-0000-0000962C0000}"/>
    <cellStyle name="Percent 16 3 16" xfId="1526" xr:uid="{00000000-0005-0000-0000-0000FA050000}"/>
    <cellStyle name="Percent 16 3 16 2" xfId="2646" xr:uid="{00000000-0005-0000-0000-00005A0A0000}"/>
    <cellStyle name="Percent 16 3 16 3" xfId="15718" xr:uid="{00000000-0005-0000-0000-00006A3D0000}"/>
    <cellStyle name="Percent 16 3 16 4" xfId="11411" xr:uid="{00000000-0005-0000-0000-0000972C0000}"/>
    <cellStyle name="Percent 16 3 17" xfId="1527" xr:uid="{00000000-0005-0000-0000-0000FB050000}"/>
    <cellStyle name="Percent 16 3 17 2" xfId="2647" xr:uid="{00000000-0005-0000-0000-00005B0A0000}"/>
    <cellStyle name="Percent 16 3 17 3" xfId="16349" xr:uid="{00000000-0005-0000-0000-0000E13F0000}"/>
    <cellStyle name="Percent 16 3 17 4" xfId="11412" xr:uid="{00000000-0005-0000-0000-0000982C0000}"/>
    <cellStyle name="Percent 16 3 18" xfId="2639" xr:uid="{00000000-0005-0000-0000-0000530A0000}"/>
    <cellStyle name="Percent 16 3 18 2" xfId="12918" xr:uid="{00000000-0005-0000-0000-00007A320000}"/>
    <cellStyle name="Percent 16 3 18 3" xfId="19389" xr:uid="{00000000-0005-0000-0000-0000C14B0000}"/>
    <cellStyle name="Percent 16 3 18 4" xfId="11413" xr:uid="{00000000-0005-0000-0000-0000992C0000}"/>
    <cellStyle name="Percent 16 3 19" xfId="9502" xr:uid="{00000000-0005-0000-0000-000022250000}"/>
    <cellStyle name="Percent 16 3 19 2" xfId="17732" xr:uid="{00000000-0005-0000-0000-000048450000}"/>
    <cellStyle name="Percent 16 3 19 3" xfId="19345" xr:uid="{00000000-0005-0000-0000-0000954B0000}"/>
    <cellStyle name="Percent 16 3 19 4" xfId="11414" xr:uid="{00000000-0005-0000-0000-00009A2C0000}"/>
    <cellStyle name="Percent 16 3 2" xfId="1528" xr:uid="{00000000-0005-0000-0000-0000FC050000}"/>
    <cellStyle name="Percent 16 3 2 2" xfId="2648" xr:uid="{00000000-0005-0000-0000-00005C0A0000}"/>
    <cellStyle name="Percent 16 3 2 3" xfId="15615" xr:uid="{00000000-0005-0000-0000-0000033D0000}"/>
    <cellStyle name="Percent 16 3 2 4" xfId="11415" xr:uid="{00000000-0005-0000-0000-00009B2C0000}"/>
    <cellStyle name="Percent 16 3 20" xfId="12917" xr:uid="{00000000-0005-0000-0000-000079320000}"/>
    <cellStyle name="Percent 16 3 21" xfId="15732" xr:uid="{00000000-0005-0000-0000-0000783D0000}"/>
    <cellStyle name="Percent 16 3 22" xfId="11404" xr:uid="{00000000-0005-0000-0000-0000902C0000}"/>
    <cellStyle name="Percent 16 3 23" xfId="6718" xr:uid="{00000000-0005-0000-0000-0000421A0000}"/>
    <cellStyle name="Percent 16 3 3" xfId="1529" xr:uid="{00000000-0005-0000-0000-0000FD050000}"/>
    <cellStyle name="Percent 16 3 3 2" xfId="2649" xr:uid="{00000000-0005-0000-0000-00005D0A0000}"/>
    <cellStyle name="Percent 16 3 3 3" xfId="16715" xr:uid="{00000000-0005-0000-0000-00004F410000}"/>
    <cellStyle name="Percent 16 3 3 4" xfId="11416" xr:uid="{00000000-0005-0000-0000-00009C2C0000}"/>
    <cellStyle name="Percent 16 3 4" xfId="1530" xr:uid="{00000000-0005-0000-0000-0000FE050000}"/>
    <cellStyle name="Percent 16 3 4 2" xfId="2650" xr:uid="{00000000-0005-0000-0000-00005E0A0000}"/>
    <cellStyle name="Percent 16 3 4 3" xfId="19103" xr:uid="{00000000-0005-0000-0000-0000A34A0000}"/>
    <cellStyle name="Percent 16 3 4 4" xfId="11417" xr:uid="{00000000-0005-0000-0000-00009D2C0000}"/>
    <cellStyle name="Percent 16 3 5" xfId="1531" xr:uid="{00000000-0005-0000-0000-0000FF050000}"/>
    <cellStyle name="Percent 16 3 5 2" xfId="2651" xr:uid="{00000000-0005-0000-0000-00005F0A0000}"/>
    <cellStyle name="Percent 16 3 5 3" xfId="19074" xr:uid="{00000000-0005-0000-0000-0000864A0000}"/>
    <cellStyle name="Percent 16 3 5 4" xfId="11418" xr:uid="{00000000-0005-0000-0000-00009E2C0000}"/>
    <cellStyle name="Percent 16 3 6" xfId="1532" xr:uid="{00000000-0005-0000-0000-000000060000}"/>
    <cellStyle name="Percent 16 3 6 2" xfId="2652" xr:uid="{00000000-0005-0000-0000-0000600A0000}"/>
    <cellStyle name="Percent 16 3 6 3" xfId="19340" xr:uid="{00000000-0005-0000-0000-0000904B0000}"/>
    <cellStyle name="Percent 16 3 6 4" xfId="11419" xr:uid="{00000000-0005-0000-0000-00009F2C0000}"/>
    <cellStyle name="Percent 16 3 7" xfId="1533" xr:uid="{00000000-0005-0000-0000-000001060000}"/>
    <cellStyle name="Percent 16 3 7 2" xfId="2653" xr:uid="{00000000-0005-0000-0000-0000610A0000}"/>
    <cellStyle name="Percent 16 3 7 3" xfId="16785" xr:uid="{00000000-0005-0000-0000-000095410000}"/>
    <cellStyle name="Percent 16 3 7 4" xfId="11420" xr:uid="{00000000-0005-0000-0000-0000A02C0000}"/>
    <cellStyle name="Percent 16 3 8" xfId="1534" xr:uid="{00000000-0005-0000-0000-000002060000}"/>
    <cellStyle name="Percent 16 3 8 2" xfId="2654" xr:uid="{00000000-0005-0000-0000-0000620A0000}"/>
    <cellStyle name="Percent 16 3 8 3" xfId="19189" xr:uid="{00000000-0005-0000-0000-0000F94A0000}"/>
    <cellStyle name="Percent 16 3 8 4" xfId="11421" xr:uid="{00000000-0005-0000-0000-0000A12C0000}"/>
    <cellStyle name="Percent 16 3 9" xfId="1535" xr:uid="{00000000-0005-0000-0000-000003060000}"/>
    <cellStyle name="Percent 16 3 9 2" xfId="2655" xr:uid="{00000000-0005-0000-0000-0000630A0000}"/>
    <cellStyle name="Percent 16 3 9 3" xfId="19254" xr:uid="{00000000-0005-0000-0000-00003A4B0000}"/>
    <cellStyle name="Percent 16 3 9 4" xfId="11422" xr:uid="{00000000-0005-0000-0000-0000A22C0000}"/>
    <cellStyle name="Percent 16 4" xfId="1536" xr:uid="{00000000-0005-0000-0000-000004060000}"/>
    <cellStyle name="Percent 16 4 10" xfId="1537" xr:uid="{00000000-0005-0000-0000-000005060000}"/>
    <cellStyle name="Percent 16 4 10 2" xfId="2657" xr:uid="{00000000-0005-0000-0000-0000650A0000}"/>
    <cellStyle name="Percent 16 4 10 3" xfId="16665" xr:uid="{00000000-0005-0000-0000-00001D410000}"/>
    <cellStyle name="Percent 16 4 10 4" xfId="11424" xr:uid="{00000000-0005-0000-0000-0000A42C0000}"/>
    <cellStyle name="Percent 16 4 11" xfId="1538" xr:uid="{00000000-0005-0000-0000-000006060000}"/>
    <cellStyle name="Percent 16 4 11 2" xfId="2658" xr:uid="{00000000-0005-0000-0000-0000660A0000}"/>
    <cellStyle name="Percent 16 4 11 3" xfId="15789" xr:uid="{00000000-0005-0000-0000-0000B13D0000}"/>
    <cellStyle name="Percent 16 4 11 4" xfId="11425" xr:uid="{00000000-0005-0000-0000-0000A52C0000}"/>
    <cellStyle name="Percent 16 4 12" xfId="1539" xr:uid="{00000000-0005-0000-0000-000007060000}"/>
    <cellStyle name="Percent 16 4 12 2" xfId="2659" xr:uid="{00000000-0005-0000-0000-0000670A0000}"/>
    <cellStyle name="Percent 16 4 12 3" xfId="15335" xr:uid="{00000000-0005-0000-0000-0000EB3B0000}"/>
    <cellStyle name="Percent 16 4 12 4" xfId="11426" xr:uid="{00000000-0005-0000-0000-0000A62C0000}"/>
    <cellStyle name="Percent 16 4 13" xfId="1540" xr:uid="{00000000-0005-0000-0000-000008060000}"/>
    <cellStyle name="Percent 16 4 13 2" xfId="2660" xr:uid="{00000000-0005-0000-0000-0000680A0000}"/>
    <cellStyle name="Percent 16 4 13 3" xfId="16631" xr:uid="{00000000-0005-0000-0000-0000FB400000}"/>
    <cellStyle name="Percent 16 4 13 4" xfId="11427" xr:uid="{00000000-0005-0000-0000-0000A72C0000}"/>
    <cellStyle name="Percent 16 4 14" xfId="1541" xr:uid="{00000000-0005-0000-0000-000009060000}"/>
    <cellStyle name="Percent 16 4 14 2" xfId="2661" xr:uid="{00000000-0005-0000-0000-0000690A0000}"/>
    <cellStyle name="Percent 16 4 14 3" xfId="15497" xr:uid="{00000000-0005-0000-0000-00008D3C0000}"/>
    <cellStyle name="Percent 16 4 14 4" xfId="11428" xr:uid="{00000000-0005-0000-0000-0000A82C0000}"/>
    <cellStyle name="Percent 16 4 15" xfId="1542" xr:uid="{00000000-0005-0000-0000-00000A060000}"/>
    <cellStyle name="Percent 16 4 15 2" xfId="2662" xr:uid="{00000000-0005-0000-0000-00006A0A0000}"/>
    <cellStyle name="Percent 16 4 15 3" xfId="17221" xr:uid="{00000000-0005-0000-0000-000049430000}"/>
    <cellStyle name="Percent 16 4 15 4" xfId="11429" xr:uid="{00000000-0005-0000-0000-0000A92C0000}"/>
    <cellStyle name="Percent 16 4 16" xfId="1543" xr:uid="{00000000-0005-0000-0000-00000B060000}"/>
    <cellStyle name="Percent 16 4 16 2" xfId="2663" xr:uid="{00000000-0005-0000-0000-00006B0A0000}"/>
    <cellStyle name="Percent 16 4 16 3" xfId="19116" xr:uid="{00000000-0005-0000-0000-0000B04A0000}"/>
    <cellStyle name="Percent 16 4 16 4" xfId="11430" xr:uid="{00000000-0005-0000-0000-0000AA2C0000}"/>
    <cellStyle name="Percent 16 4 17" xfId="1544" xr:uid="{00000000-0005-0000-0000-00000C060000}"/>
    <cellStyle name="Percent 16 4 17 2" xfId="2664" xr:uid="{00000000-0005-0000-0000-00006C0A0000}"/>
    <cellStyle name="Percent 16 4 17 3" xfId="17302" xr:uid="{00000000-0005-0000-0000-00009A430000}"/>
    <cellStyle name="Percent 16 4 17 4" xfId="11431" xr:uid="{00000000-0005-0000-0000-0000AB2C0000}"/>
    <cellStyle name="Percent 16 4 18" xfId="2656" xr:uid="{00000000-0005-0000-0000-0000640A0000}"/>
    <cellStyle name="Percent 16 4 18 2" xfId="12920" xr:uid="{00000000-0005-0000-0000-00007C320000}"/>
    <cellStyle name="Percent 16 4 18 3" xfId="15752" xr:uid="{00000000-0005-0000-0000-00008C3D0000}"/>
    <cellStyle name="Percent 16 4 18 4" xfId="11432" xr:uid="{00000000-0005-0000-0000-0000AC2C0000}"/>
    <cellStyle name="Percent 16 4 19" xfId="9503" xr:uid="{00000000-0005-0000-0000-000023250000}"/>
    <cellStyle name="Percent 16 4 19 2" xfId="17733" xr:uid="{00000000-0005-0000-0000-000049450000}"/>
    <cellStyle name="Percent 16 4 19 3" xfId="15428" xr:uid="{00000000-0005-0000-0000-0000483C0000}"/>
    <cellStyle name="Percent 16 4 19 4" xfId="11433" xr:uid="{00000000-0005-0000-0000-0000AD2C0000}"/>
    <cellStyle name="Percent 16 4 2" xfId="1545" xr:uid="{00000000-0005-0000-0000-00000D060000}"/>
    <cellStyle name="Percent 16 4 2 2" xfId="2665" xr:uid="{00000000-0005-0000-0000-00006D0A0000}"/>
    <cellStyle name="Percent 16 4 2 3" xfId="16791" xr:uid="{00000000-0005-0000-0000-00009B410000}"/>
    <cellStyle name="Percent 16 4 2 4" xfId="11434" xr:uid="{00000000-0005-0000-0000-0000AE2C0000}"/>
    <cellStyle name="Percent 16 4 20" xfId="12919" xr:uid="{00000000-0005-0000-0000-00007B320000}"/>
    <cellStyle name="Percent 16 4 21" xfId="16635" xr:uid="{00000000-0005-0000-0000-0000FF400000}"/>
    <cellStyle name="Percent 16 4 22" xfId="11423" xr:uid="{00000000-0005-0000-0000-0000A32C0000}"/>
    <cellStyle name="Percent 16 4 23" xfId="6719" xr:uid="{00000000-0005-0000-0000-0000431A0000}"/>
    <cellStyle name="Percent 16 4 3" xfId="1546" xr:uid="{00000000-0005-0000-0000-00000E060000}"/>
    <cellStyle name="Percent 16 4 3 2" xfId="2666" xr:uid="{00000000-0005-0000-0000-00006E0A0000}"/>
    <cellStyle name="Percent 16 4 3 3" xfId="16762" xr:uid="{00000000-0005-0000-0000-00007E410000}"/>
    <cellStyle name="Percent 16 4 3 4" xfId="11435" xr:uid="{00000000-0005-0000-0000-0000AF2C0000}"/>
    <cellStyle name="Percent 16 4 4" xfId="1547" xr:uid="{00000000-0005-0000-0000-00000F060000}"/>
    <cellStyle name="Percent 16 4 4 2" xfId="2667" xr:uid="{00000000-0005-0000-0000-00006F0A0000}"/>
    <cellStyle name="Percent 16 4 4 3" xfId="19182" xr:uid="{00000000-0005-0000-0000-0000F24A0000}"/>
    <cellStyle name="Percent 16 4 4 4" xfId="11436" xr:uid="{00000000-0005-0000-0000-0000B02C0000}"/>
    <cellStyle name="Percent 16 4 5" xfId="1548" xr:uid="{00000000-0005-0000-0000-000010060000}"/>
    <cellStyle name="Percent 16 4 5 2" xfId="2668" xr:uid="{00000000-0005-0000-0000-0000700A0000}"/>
    <cellStyle name="Percent 16 4 5 3" xfId="19107" xr:uid="{00000000-0005-0000-0000-0000A74A0000}"/>
    <cellStyle name="Percent 16 4 5 4" xfId="11437" xr:uid="{00000000-0005-0000-0000-0000B12C0000}"/>
    <cellStyle name="Percent 16 4 6" xfId="1549" xr:uid="{00000000-0005-0000-0000-000011060000}"/>
    <cellStyle name="Percent 16 4 6 2" xfId="2669" xr:uid="{00000000-0005-0000-0000-0000710A0000}"/>
    <cellStyle name="Percent 16 4 6 3" xfId="15727" xr:uid="{00000000-0005-0000-0000-0000733D0000}"/>
    <cellStyle name="Percent 16 4 6 4" xfId="11438" xr:uid="{00000000-0005-0000-0000-0000B22C0000}"/>
    <cellStyle name="Percent 16 4 7" xfId="1550" xr:uid="{00000000-0005-0000-0000-000012060000}"/>
    <cellStyle name="Percent 16 4 7 2" xfId="2670" xr:uid="{00000000-0005-0000-0000-0000720A0000}"/>
    <cellStyle name="Percent 16 4 7 3" xfId="19442" xr:uid="{00000000-0005-0000-0000-0000F64B0000}"/>
    <cellStyle name="Percent 16 4 7 4" xfId="11439" xr:uid="{00000000-0005-0000-0000-0000B32C0000}"/>
    <cellStyle name="Percent 16 4 8" xfId="1551" xr:uid="{00000000-0005-0000-0000-000013060000}"/>
    <cellStyle name="Percent 16 4 8 2" xfId="2671" xr:uid="{00000000-0005-0000-0000-0000730A0000}"/>
    <cellStyle name="Percent 16 4 8 3" xfId="15605" xr:uid="{00000000-0005-0000-0000-0000F93C0000}"/>
    <cellStyle name="Percent 16 4 8 4" xfId="11440" xr:uid="{00000000-0005-0000-0000-0000B42C0000}"/>
    <cellStyle name="Percent 16 4 9" xfId="1552" xr:uid="{00000000-0005-0000-0000-000014060000}"/>
    <cellStyle name="Percent 16 4 9 2" xfId="2672" xr:uid="{00000000-0005-0000-0000-0000740A0000}"/>
    <cellStyle name="Percent 16 4 9 3" xfId="19314" xr:uid="{00000000-0005-0000-0000-0000764B0000}"/>
    <cellStyle name="Percent 16 4 9 4" xfId="11441" xr:uid="{00000000-0005-0000-0000-0000B52C0000}"/>
    <cellStyle name="Percent 16 5" xfId="1553" xr:uid="{00000000-0005-0000-0000-000015060000}"/>
    <cellStyle name="Percent 16 5 10" xfId="1554" xr:uid="{00000000-0005-0000-0000-000016060000}"/>
    <cellStyle name="Percent 16 5 10 2" xfId="2674" xr:uid="{00000000-0005-0000-0000-0000760A0000}"/>
    <cellStyle name="Percent 16 5 10 3" xfId="19296" xr:uid="{00000000-0005-0000-0000-0000644B0000}"/>
    <cellStyle name="Percent 16 5 10 4" xfId="11443" xr:uid="{00000000-0005-0000-0000-0000B72C0000}"/>
    <cellStyle name="Percent 16 5 11" xfId="1555" xr:uid="{00000000-0005-0000-0000-000017060000}"/>
    <cellStyle name="Percent 16 5 11 2" xfId="2675" xr:uid="{00000000-0005-0000-0000-0000770A0000}"/>
    <cellStyle name="Percent 16 5 11 3" xfId="16757" xr:uid="{00000000-0005-0000-0000-000079410000}"/>
    <cellStyle name="Percent 16 5 11 4" xfId="11444" xr:uid="{00000000-0005-0000-0000-0000B82C0000}"/>
    <cellStyle name="Percent 16 5 12" xfId="1556" xr:uid="{00000000-0005-0000-0000-000018060000}"/>
    <cellStyle name="Percent 16 5 12 2" xfId="2676" xr:uid="{00000000-0005-0000-0000-0000780A0000}"/>
    <cellStyle name="Percent 16 5 12 3" xfId="16383" xr:uid="{00000000-0005-0000-0000-000003400000}"/>
    <cellStyle name="Percent 16 5 12 4" xfId="11445" xr:uid="{00000000-0005-0000-0000-0000B92C0000}"/>
    <cellStyle name="Percent 16 5 13" xfId="1557" xr:uid="{00000000-0005-0000-0000-000019060000}"/>
    <cellStyle name="Percent 16 5 13 2" xfId="2677" xr:uid="{00000000-0005-0000-0000-0000790A0000}"/>
    <cellStyle name="Percent 16 5 13 3" xfId="17276" xr:uid="{00000000-0005-0000-0000-000080430000}"/>
    <cellStyle name="Percent 16 5 13 4" xfId="11446" xr:uid="{00000000-0005-0000-0000-0000BA2C0000}"/>
    <cellStyle name="Percent 16 5 14" xfId="1558" xr:uid="{00000000-0005-0000-0000-00001A060000}"/>
    <cellStyle name="Percent 16 5 14 2" xfId="2678" xr:uid="{00000000-0005-0000-0000-00007A0A0000}"/>
    <cellStyle name="Percent 16 5 14 3" xfId="15751" xr:uid="{00000000-0005-0000-0000-00008B3D0000}"/>
    <cellStyle name="Percent 16 5 14 4" xfId="11447" xr:uid="{00000000-0005-0000-0000-0000BB2C0000}"/>
    <cellStyle name="Percent 16 5 15" xfId="1559" xr:uid="{00000000-0005-0000-0000-00001B060000}"/>
    <cellStyle name="Percent 16 5 15 2" xfId="2679" xr:uid="{00000000-0005-0000-0000-00007B0A0000}"/>
    <cellStyle name="Percent 16 5 15 3" xfId="16667" xr:uid="{00000000-0005-0000-0000-00001F410000}"/>
    <cellStyle name="Percent 16 5 15 4" xfId="11448" xr:uid="{00000000-0005-0000-0000-0000BC2C0000}"/>
    <cellStyle name="Percent 16 5 16" xfId="1560" xr:uid="{00000000-0005-0000-0000-00001C060000}"/>
    <cellStyle name="Percent 16 5 16 2" xfId="2680" xr:uid="{00000000-0005-0000-0000-00007C0A0000}"/>
    <cellStyle name="Percent 16 5 16 3" xfId="15797" xr:uid="{00000000-0005-0000-0000-0000B93D0000}"/>
    <cellStyle name="Percent 16 5 16 4" xfId="11449" xr:uid="{00000000-0005-0000-0000-0000BD2C0000}"/>
    <cellStyle name="Percent 16 5 17" xfId="1561" xr:uid="{00000000-0005-0000-0000-00001D060000}"/>
    <cellStyle name="Percent 16 5 17 2" xfId="2681" xr:uid="{00000000-0005-0000-0000-00007D0A0000}"/>
    <cellStyle name="Percent 16 5 17 3" xfId="19395" xr:uid="{00000000-0005-0000-0000-0000C74B0000}"/>
    <cellStyle name="Percent 16 5 17 4" xfId="11450" xr:uid="{00000000-0005-0000-0000-0000BE2C0000}"/>
    <cellStyle name="Percent 16 5 18" xfId="2673" xr:uid="{00000000-0005-0000-0000-0000750A0000}"/>
    <cellStyle name="Percent 16 5 18 2" xfId="12922" xr:uid="{00000000-0005-0000-0000-00007E320000}"/>
    <cellStyle name="Percent 16 5 18 3" xfId="15487" xr:uid="{00000000-0005-0000-0000-0000833C0000}"/>
    <cellStyle name="Percent 16 5 18 4" xfId="11451" xr:uid="{00000000-0005-0000-0000-0000BF2C0000}"/>
    <cellStyle name="Percent 16 5 19" xfId="9504" xr:uid="{00000000-0005-0000-0000-000024250000}"/>
    <cellStyle name="Percent 16 5 19 2" xfId="17734" xr:uid="{00000000-0005-0000-0000-00004A450000}"/>
    <cellStyle name="Percent 16 5 19 3" xfId="15365" xr:uid="{00000000-0005-0000-0000-0000093C0000}"/>
    <cellStyle name="Percent 16 5 19 4" xfId="11452" xr:uid="{00000000-0005-0000-0000-0000C02C0000}"/>
    <cellStyle name="Percent 16 5 2" xfId="1562" xr:uid="{00000000-0005-0000-0000-00001E060000}"/>
    <cellStyle name="Percent 16 5 2 2" xfId="2682" xr:uid="{00000000-0005-0000-0000-00007E0A0000}"/>
    <cellStyle name="Percent 16 5 2 3" xfId="19439" xr:uid="{00000000-0005-0000-0000-0000F34B0000}"/>
    <cellStyle name="Percent 16 5 2 4" xfId="11453" xr:uid="{00000000-0005-0000-0000-0000C12C0000}"/>
    <cellStyle name="Percent 16 5 20" xfId="12921" xr:uid="{00000000-0005-0000-0000-00007D320000}"/>
    <cellStyle name="Percent 16 5 21" xfId="15378" xr:uid="{00000000-0005-0000-0000-0000163C0000}"/>
    <cellStyle name="Percent 16 5 22" xfId="11442" xr:uid="{00000000-0005-0000-0000-0000B62C0000}"/>
    <cellStyle name="Percent 16 5 23" xfId="6720" xr:uid="{00000000-0005-0000-0000-0000441A0000}"/>
    <cellStyle name="Percent 16 5 3" xfId="1563" xr:uid="{00000000-0005-0000-0000-00001F060000}"/>
    <cellStyle name="Percent 16 5 3 2" xfId="2683" xr:uid="{00000000-0005-0000-0000-00007F0A0000}"/>
    <cellStyle name="Percent 16 5 3 3" xfId="17291" xr:uid="{00000000-0005-0000-0000-00008F430000}"/>
    <cellStyle name="Percent 16 5 3 4" xfId="11454" xr:uid="{00000000-0005-0000-0000-0000C22C0000}"/>
    <cellStyle name="Percent 16 5 4" xfId="1564" xr:uid="{00000000-0005-0000-0000-000020060000}"/>
    <cellStyle name="Percent 16 5 4 2" xfId="2684" xr:uid="{00000000-0005-0000-0000-0000800A0000}"/>
    <cellStyle name="Percent 16 5 4 3" xfId="19230" xr:uid="{00000000-0005-0000-0000-0000224B0000}"/>
    <cellStyle name="Percent 16 5 4 4" xfId="11455" xr:uid="{00000000-0005-0000-0000-0000C32C0000}"/>
    <cellStyle name="Percent 16 5 5" xfId="1565" xr:uid="{00000000-0005-0000-0000-000021060000}"/>
    <cellStyle name="Percent 16 5 5 2" xfId="2685" xr:uid="{00000000-0005-0000-0000-0000810A0000}"/>
    <cellStyle name="Percent 16 5 5 3" xfId="16646" xr:uid="{00000000-0005-0000-0000-00000A410000}"/>
    <cellStyle name="Percent 16 5 5 4" xfId="11456" xr:uid="{00000000-0005-0000-0000-0000C42C0000}"/>
    <cellStyle name="Percent 16 5 6" xfId="1566" xr:uid="{00000000-0005-0000-0000-000022060000}"/>
    <cellStyle name="Percent 16 5 6 2" xfId="2686" xr:uid="{00000000-0005-0000-0000-0000820A0000}"/>
    <cellStyle name="Percent 16 5 6 3" xfId="19545" xr:uid="{00000000-0005-0000-0000-00005D4C0000}"/>
    <cellStyle name="Percent 16 5 6 4" xfId="11457" xr:uid="{00000000-0005-0000-0000-0000C52C0000}"/>
    <cellStyle name="Percent 16 5 7" xfId="1567" xr:uid="{00000000-0005-0000-0000-000023060000}"/>
    <cellStyle name="Percent 16 5 7 2" xfId="2687" xr:uid="{00000000-0005-0000-0000-0000830A0000}"/>
    <cellStyle name="Percent 16 5 7 3" xfId="16526" xr:uid="{00000000-0005-0000-0000-000092400000}"/>
    <cellStyle name="Percent 16 5 7 4" xfId="11458" xr:uid="{00000000-0005-0000-0000-0000C62C0000}"/>
    <cellStyle name="Percent 16 5 8" xfId="1568" xr:uid="{00000000-0005-0000-0000-000024060000}"/>
    <cellStyle name="Percent 16 5 8 2" xfId="2688" xr:uid="{00000000-0005-0000-0000-0000840A0000}"/>
    <cellStyle name="Percent 16 5 8 3" xfId="16602" xr:uid="{00000000-0005-0000-0000-0000DE400000}"/>
    <cellStyle name="Percent 16 5 8 4" xfId="11459" xr:uid="{00000000-0005-0000-0000-0000C72C0000}"/>
    <cellStyle name="Percent 16 5 9" xfId="1569" xr:uid="{00000000-0005-0000-0000-000025060000}"/>
    <cellStyle name="Percent 16 5 9 2" xfId="2689" xr:uid="{00000000-0005-0000-0000-0000850A0000}"/>
    <cellStyle name="Percent 16 5 9 3" xfId="17219" xr:uid="{00000000-0005-0000-0000-000047430000}"/>
    <cellStyle name="Percent 16 5 9 4" xfId="11460" xr:uid="{00000000-0005-0000-0000-0000C82C0000}"/>
    <cellStyle name="Percent 16 6" xfId="1570" xr:uid="{00000000-0005-0000-0000-000026060000}"/>
    <cellStyle name="Percent 16 6 10" xfId="1571" xr:uid="{00000000-0005-0000-0000-000027060000}"/>
    <cellStyle name="Percent 16 6 10 2" xfId="2691" xr:uid="{00000000-0005-0000-0000-0000870A0000}"/>
    <cellStyle name="Percent 16 6 10 3" xfId="15694" xr:uid="{00000000-0005-0000-0000-0000523D0000}"/>
    <cellStyle name="Percent 16 6 10 4" xfId="11462" xr:uid="{00000000-0005-0000-0000-0000CA2C0000}"/>
    <cellStyle name="Percent 16 6 11" xfId="1572" xr:uid="{00000000-0005-0000-0000-000028060000}"/>
    <cellStyle name="Percent 16 6 11 2" xfId="2692" xr:uid="{00000000-0005-0000-0000-0000880A0000}"/>
    <cellStyle name="Percent 16 6 11 3" xfId="15537" xr:uid="{00000000-0005-0000-0000-0000B53C0000}"/>
    <cellStyle name="Percent 16 6 11 4" xfId="11463" xr:uid="{00000000-0005-0000-0000-0000CB2C0000}"/>
    <cellStyle name="Percent 16 6 12" xfId="1573" xr:uid="{00000000-0005-0000-0000-000029060000}"/>
    <cellStyle name="Percent 16 6 12 2" xfId="2693" xr:uid="{00000000-0005-0000-0000-0000890A0000}"/>
    <cellStyle name="Percent 16 6 12 3" xfId="19327" xr:uid="{00000000-0005-0000-0000-0000834B0000}"/>
    <cellStyle name="Percent 16 6 12 4" xfId="11464" xr:uid="{00000000-0005-0000-0000-0000CC2C0000}"/>
    <cellStyle name="Percent 16 6 13" xfId="1574" xr:uid="{00000000-0005-0000-0000-00002A060000}"/>
    <cellStyle name="Percent 16 6 13 2" xfId="2694" xr:uid="{00000000-0005-0000-0000-00008A0A0000}"/>
    <cellStyle name="Percent 16 6 13 3" xfId="19419" xr:uid="{00000000-0005-0000-0000-0000DF4B0000}"/>
    <cellStyle name="Percent 16 6 13 4" xfId="11465" xr:uid="{00000000-0005-0000-0000-0000CD2C0000}"/>
    <cellStyle name="Percent 16 6 14" xfId="1575" xr:uid="{00000000-0005-0000-0000-00002B060000}"/>
    <cellStyle name="Percent 16 6 14 2" xfId="2695" xr:uid="{00000000-0005-0000-0000-00008B0A0000}"/>
    <cellStyle name="Percent 16 6 14 3" xfId="19462" xr:uid="{00000000-0005-0000-0000-00000A4C0000}"/>
    <cellStyle name="Percent 16 6 14 4" xfId="11466" xr:uid="{00000000-0005-0000-0000-0000CE2C0000}"/>
    <cellStyle name="Percent 16 6 15" xfId="1576" xr:uid="{00000000-0005-0000-0000-00002C060000}"/>
    <cellStyle name="Percent 16 6 15 2" xfId="2696" xr:uid="{00000000-0005-0000-0000-00008C0A0000}"/>
    <cellStyle name="Percent 16 6 15 3" xfId="19418" xr:uid="{00000000-0005-0000-0000-0000DE4B0000}"/>
    <cellStyle name="Percent 16 6 15 4" xfId="11467" xr:uid="{00000000-0005-0000-0000-0000CF2C0000}"/>
    <cellStyle name="Percent 16 6 16" xfId="1577" xr:uid="{00000000-0005-0000-0000-00002D060000}"/>
    <cellStyle name="Percent 16 6 16 2" xfId="2697" xr:uid="{00000000-0005-0000-0000-00008D0A0000}"/>
    <cellStyle name="Percent 16 6 16 3" xfId="19123" xr:uid="{00000000-0005-0000-0000-0000B74A0000}"/>
    <cellStyle name="Percent 16 6 16 4" xfId="11468" xr:uid="{00000000-0005-0000-0000-0000D02C0000}"/>
    <cellStyle name="Percent 16 6 17" xfId="1578" xr:uid="{00000000-0005-0000-0000-00002E060000}"/>
    <cellStyle name="Percent 16 6 17 2" xfId="2698" xr:uid="{00000000-0005-0000-0000-00008E0A0000}"/>
    <cellStyle name="Percent 16 6 17 3" xfId="15724" xr:uid="{00000000-0005-0000-0000-0000703D0000}"/>
    <cellStyle name="Percent 16 6 17 4" xfId="11469" xr:uid="{00000000-0005-0000-0000-0000D12C0000}"/>
    <cellStyle name="Percent 16 6 18" xfId="2690" xr:uid="{00000000-0005-0000-0000-0000860A0000}"/>
    <cellStyle name="Percent 16 6 18 2" xfId="12924" xr:uid="{00000000-0005-0000-0000-000080320000}"/>
    <cellStyle name="Percent 16 6 18 3" xfId="15764" xr:uid="{00000000-0005-0000-0000-0000983D0000}"/>
    <cellStyle name="Percent 16 6 18 4" xfId="11470" xr:uid="{00000000-0005-0000-0000-0000D22C0000}"/>
    <cellStyle name="Percent 16 6 19" xfId="9505" xr:uid="{00000000-0005-0000-0000-000025250000}"/>
    <cellStyle name="Percent 16 6 19 2" xfId="17735" xr:uid="{00000000-0005-0000-0000-00004B450000}"/>
    <cellStyle name="Percent 16 6 19 3" xfId="19209" xr:uid="{00000000-0005-0000-0000-00000D4B0000}"/>
    <cellStyle name="Percent 16 6 19 4" xfId="11471" xr:uid="{00000000-0005-0000-0000-0000D32C0000}"/>
    <cellStyle name="Percent 16 6 2" xfId="1579" xr:uid="{00000000-0005-0000-0000-00002F060000}"/>
    <cellStyle name="Percent 16 6 2 2" xfId="2699" xr:uid="{00000000-0005-0000-0000-00008F0A0000}"/>
    <cellStyle name="Percent 16 6 2 3" xfId="15402" xr:uid="{00000000-0005-0000-0000-00002E3C0000}"/>
    <cellStyle name="Percent 16 6 2 4" xfId="11472" xr:uid="{00000000-0005-0000-0000-0000D42C0000}"/>
    <cellStyle name="Percent 16 6 20" xfId="12923" xr:uid="{00000000-0005-0000-0000-00007F320000}"/>
    <cellStyle name="Percent 16 6 21" xfId="19105" xr:uid="{00000000-0005-0000-0000-0000A54A0000}"/>
    <cellStyle name="Percent 16 6 22" xfId="11461" xr:uid="{00000000-0005-0000-0000-0000C92C0000}"/>
    <cellStyle name="Percent 16 6 23" xfId="6721" xr:uid="{00000000-0005-0000-0000-0000451A0000}"/>
    <cellStyle name="Percent 16 6 3" xfId="1580" xr:uid="{00000000-0005-0000-0000-000030060000}"/>
    <cellStyle name="Percent 16 6 3 2" xfId="2700" xr:uid="{00000000-0005-0000-0000-0000900A0000}"/>
    <cellStyle name="Percent 16 6 3 3" xfId="19127" xr:uid="{00000000-0005-0000-0000-0000BB4A0000}"/>
    <cellStyle name="Percent 16 6 3 4" xfId="11473" xr:uid="{00000000-0005-0000-0000-0000D52C0000}"/>
    <cellStyle name="Percent 16 6 4" xfId="1581" xr:uid="{00000000-0005-0000-0000-000031060000}"/>
    <cellStyle name="Percent 16 6 4 2" xfId="2701" xr:uid="{00000000-0005-0000-0000-0000910A0000}"/>
    <cellStyle name="Percent 16 6 4 3" xfId="15742" xr:uid="{00000000-0005-0000-0000-0000823D0000}"/>
    <cellStyle name="Percent 16 6 4 4" xfId="11474" xr:uid="{00000000-0005-0000-0000-0000D62C0000}"/>
    <cellStyle name="Percent 16 6 5" xfId="1582" xr:uid="{00000000-0005-0000-0000-000032060000}"/>
    <cellStyle name="Percent 16 6 5 2" xfId="2702" xr:uid="{00000000-0005-0000-0000-0000920A0000}"/>
    <cellStyle name="Percent 16 6 5 3" xfId="15689" xr:uid="{00000000-0005-0000-0000-00004D3D0000}"/>
    <cellStyle name="Percent 16 6 5 4" xfId="11475" xr:uid="{00000000-0005-0000-0000-0000D72C0000}"/>
    <cellStyle name="Percent 16 6 6" xfId="1583" xr:uid="{00000000-0005-0000-0000-000033060000}"/>
    <cellStyle name="Percent 16 6 6 2" xfId="2703" xr:uid="{00000000-0005-0000-0000-0000930A0000}"/>
    <cellStyle name="Percent 16 6 6 3" xfId="19411" xr:uid="{00000000-0005-0000-0000-0000D74B0000}"/>
    <cellStyle name="Percent 16 6 6 4" xfId="11476" xr:uid="{00000000-0005-0000-0000-0000D82C0000}"/>
    <cellStyle name="Percent 16 6 7" xfId="1584" xr:uid="{00000000-0005-0000-0000-000034060000}"/>
    <cellStyle name="Percent 16 6 7 2" xfId="2704" xr:uid="{00000000-0005-0000-0000-0000940A0000}"/>
    <cellStyle name="Percent 16 6 7 3" xfId="15501" xr:uid="{00000000-0005-0000-0000-0000913C0000}"/>
    <cellStyle name="Percent 16 6 7 4" xfId="11477" xr:uid="{00000000-0005-0000-0000-0000D92C0000}"/>
    <cellStyle name="Percent 16 6 8" xfId="1585" xr:uid="{00000000-0005-0000-0000-000035060000}"/>
    <cellStyle name="Percent 16 6 8 2" xfId="2705" xr:uid="{00000000-0005-0000-0000-0000950A0000}"/>
    <cellStyle name="Percent 16 6 8 3" xfId="15665" xr:uid="{00000000-0005-0000-0000-0000353D0000}"/>
    <cellStyle name="Percent 16 6 8 4" xfId="11478" xr:uid="{00000000-0005-0000-0000-0000DA2C0000}"/>
    <cellStyle name="Percent 16 6 9" xfId="1586" xr:uid="{00000000-0005-0000-0000-000036060000}"/>
    <cellStyle name="Percent 16 6 9 2" xfId="2706" xr:uid="{00000000-0005-0000-0000-0000960A0000}"/>
    <cellStyle name="Percent 16 6 9 3" xfId="16393" xr:uid="{00000000-0005-0000-0000-00000D400000}"/>
    <cellStyle name="Percent 16 6 9 4" xfId="11479" xr:uid="{00000000-0005-0000-0000-0000DB2C0000}"/>
    <cellStyle name="Percent 16 7" xfId="1587" xr:uid="{00000000-0005-0000-0000-000037060000}"/>
    <cellStyle name="Percent 16 7 10" xfId="1588" xr:uid="{00000000-0005-0000-0000-000038060000}"/>
    <cellStyle name="Percent 16 7 10 2" xfId="2708" xr:uid="{00000000-0005-0000-0000-0000980A0000}"/>
    <cellStyle name="Percent 16 7 10 3" xfId="17303" xr:uid="{00000000-0005-0000-0000-00009B430000}"/>
    <cellStyle name="Percent 16 7 10 4" xfId="11481" xr:uid="{00000000-0005-0000-0000-0000DD2C0000}"/>
    <cellStyle name="Percent 16 7 11" xfId="1589" xr:uid="{00000000-0005-0000-0000-000039060000}"/>
    <cellStyle name="Percent 16 7 11 2" xfId="2709" xr:uid="{00000000-0005-0000-0000-0000990A0000}"/>
    <cellStyle name="Percent 16 7 11 3" xfId="16670" xr:uid="{00000000-0005-0000-0000-000022410000}"/>
    <cellStyle name="Percent 16 7 11 4" xfId="11482" xr:uid="{00000000-0005-0000-0000-0000DE2C0000}"/>
    <cellStyle name="Percent 16 7 12" xfId="1590" xr:uid="{00000000-0005-0000-0000-00003A060000}"/>
    <cellStyle name="Percent 16 7 12 2" xfId="2710" xr:uid="{00000000-0005-0000-0000-00009A0A0000}"/>
    <cellStyle name="Percent 16 7 12 3" xfId="19126" xr:uid="{00000000-0005-0000-0000-0000BA4A0000}"/>
    <cellStyle name="Percent 16 7 12 4" xfId="11483" xr:uid="{00000000-0005-0000-0000-0000DF2C0000}"/>
    <cellStyle name="Percent 16 7 13" xfId="1591" xr:uid="{00000000-0005-0000-0000-00003B060000}"/>
    <cellStyle name="Percent 16 7 13 2" xfId="2711" xr:uid="{00000000-0005-0000-0000-00009B0A0000}"/>
    <cellStyle name="Percent 16 7 13 3" xfId="15812" xr:uid="{00000000-0005-0000-0000-0000C83D0000}"/>
    <cellStyle name="Percent 16 7 13 4" xfId="11484" xr:uid="{00000000-0005-0000-0000-0000E02C0000}"/>
    <cellStyle name="Percent 16 7 14" xfId="1592" xr:uid="{00000000-0005-0000-0000-00003C060000}"/>
    <cellStyle name="Percent 16 7 14 2" xfId="2712" xr:uid="{00000000-0005-0000-0000-00009C0A0000}"/>
    <cellStyle name="Percent 16 7 14 3" xfId="19235" xr:uid="{00000000-0005-0000-0000-0000274B0000}"/>
    <cellStyle name="Percent 16 7 14 4" xfId="11485" xr:uid="{00000000-0005-0000-0000-0000E12C0000}"/>
    <cellStyle name="Percent 16 7 15" xfId="1593" xr:uid="{00000000-0005-0000-0000-00003D060000}"/>
    <cellStyle name="Percent 16 7 15 2" xfId="2713" xr:uid="{00000000-0005-0000-0000-00009D0A0000}"/>
    <cellStyle name="Percent 16 7 15 3" xfId="15442" xr:uid="{00000000-0005-0000-0000-0000563C0000}"/>
    <cellStyle name="Percent 16 7 15 4" xfId="11486" xr:uid="{00000000-0005-0000-0000-0000E22C0000}"/>
    <cellStyle name="Percent 16 7 16" xfId="1594" xr:uid="{00000000-0005-0000-0000-00003E060000}"/>
    <cellStyle name="Percent 16 7 16 2" xfId="2714" xr:uid="{00000000-0005-0000-0000-00009E0A0000}"/>
    <cellStyle name="Percent 16 7 16 3" xfId="19121" xr:uid="{00000000-0005-0000-0000-0000B54A0000}"/>
    <cellStyle name="Percent 16 7 16 4" xfId="11487" xr:uid="{00000000-0005-0000-0000-0000E32C0000}"/>
    <cellStyle name="Percent 16 7 17" xfId="1595" xr:uid="{00000000-0005-0000-0000-00003F060000}"/>
    <cellStyle name="Percent 16 7 17 2" xfId="2715" xr:uid="{00000000-0005-0000-0000-00009F0A0000}"/>
    <cellStyle name="Percent 16 7 17 3" xfId="15446" xr:uid="{00000000-0005-0000-0000-00005A3C0000}"/>
    <cellStyle name="Percent 16 7 17 4" xfId="11488" xr:uid="{00000000-0005-0000-0000-0000E42C0000}"/>
    <cellStyle name="Percent 16 7 18" xfId="2707" xr:uid="{00000000-0005-0000-0000-0000970A0000}"/>
    <cellStyle name="Percent 16 7 18 2" xfId="12926" xr:uid="{00000000-0005-0000-0000-000082320000}"/>
    <cellStyle name="Percent 16 7 18 3" xfId="15452" xr:uid="{00000000-0005-0000-0000-0000603C0000}"/>
    <cellStyle name="Percent 16 7 18 4" xfId="11489" xr:uid="{00000000-0005-0000-0000-0000E52C0000}"/>
    <cellStyle name="Percent 16 7 19" xfId="9506" xr:uid="{00000000-0005-0000-0000-000026250000}"/>
    <cellStyle name="Percent 16 7 19 2" xfId="17736" xr:uid="{00000000-0005-0000-0000-00004C450000}"/>
    <cellStyle name="Percent 16 7 19 3" xfId="19069" xr:uid="{00000000-0005-0000-0000-0000814A0000}"/>
    <cellStyle name="Percent 16 7 19 4" xfId="11490" xr:uid="{00000000-0005-0000-0000-0000E62C0000}"/>
    <cellStyle name="Percent 16 7 2" xfId="1596" xr:uid="{00000000-0005-0000-0000-000040060000}"/>
    <cellStyle name="Percent 16 7 2 2" xfId="2716" xr:uid="{00000000-0005-0000-0000-0000A00A0000}"/>
    <cellStyle name="Percent 16 7 2 2 2" xfId="12928" xr:uid="{00000000-0005-0000-0000-000084320000}"/>
    <cellStyle name="Percent 16 7 2 2 3" xfId="16395" xr:uid="{00000000-0005-0000-0000-00000F400000}"/>
    <cellStyle name="Percent 16 7 2 2 4" xfId="11492" xr:uid="{00000000-0005-0000-0000-0000E82C0000}"/>
    <cellStyle name="Percent 16 7 2 3" xfId="9507" xr:uid="{00000000-0005-0000-0000-000027250000}"/>
    <cellStyle name="Percent 16 7 2 3 2" xfId="17737" xr:uid="{00000000-0005-0000-0000-00004D450000}"/>
    <cellStyle name="Percent 16 7 2 3 3" xfId="19449" xr:uid="{00000000-0005-0000-0000-0000FD4B0000}"/>
    <cellStyle name="Percent 16 7 2 3 4" xfId="11493" xr:uid="{00000000-0005-0000-0000-0000E92C0000}"/>
    <cellStyle name="Percent 16 7 2 4" xfId="12927" xr:uid="{00000000-0005-0000-0000-000083320000}"/>
    <cellStyle name="Percent 16 7 2 5" xfId="15645" xr:uid="{00000000-0005-0000-0000-0000213D0000}"/>
    <cellStyle name="Percent 16 7 2 6" xfId="11491" xr:uid="{00000000-0005-0000-0000-0000E72C0000}"/>
    <cellStyle name="Percent 16 7 2 7" xfId="6723" xr:uid="{00000000-0005-0000-0000-0000471A0000}"/>
    <cellStyle name="Percent 16 7 20" xfId="12925" xr:uid="{00000000-0005-0000-0000-000081320000}"/>
    <cellStyle name="Percent 16 7 21" xfId="15543" xr:uid="{00000000-0005-0000-0000-0000BB3C0000}"/>
    <cellStyle name="Percent 16 7 22" xfId="11480" xr:uid="{00000000-0005-0000-0000-0000DC2C0000}"/>
    <cellStyle name="Percent 16 7 23" xfId="6722" xr:uid="{00000000-0005-0000-0000-0000461A0000}"/>
    <cellStyle name="Percent 16 7 3" xfId="1597" xr:uid="{00000000-0005-0000-0000-000041060000}"/>
    <cellStyle name="Percent 16 7 3 2" xfId="2717" xr:uid="{00000000-0005-0000-0000-0000A10A0000}"/>
    <cellStyle name="Percent 16 7 3 2 2" xfId="12930" xr:uid="{00000000-0005-0000-0000-000086320000}"/>
    <cellStyle name="Percent 16 7 3 2 3" xfId="15636" xr:uid="{00000000-0005-0000-0000-0000183D0000}"/>
    <cellStyle name="Percent 16 7 3 2 4" xfId="11495" xr:uid="{00000000-0005-0000-0000-0000EB2C0000}"/>
    <cellStyle name="Percent 16 7 3 3" xfId="9508" xr:uid="{00000000-0005-0000-0000-000028250000}"/>
    <cellStyle name="Percent 16 7 3 3 2" xfId="17738" xr:uid="{00000000-0005-0000-0000-00004E450000}"/>
    <cellStyle name="Percent 16 7 3 3 3" xfId="16356" xr:uid="{00000000-0005-0000-0000-0000E83F0000}"/>
    <cellStyle name="Percent 16 7 3 3 4" xfId="11496" xr:uid="{00000000-0005-0000-0000-0000EC2C0000}"/>
    <cellStyle name="Percent 16 7 3 4" xfId="12929" xr:uid="{00000000-0005-0000-0000-000085320000}"/>
    <cellStyle name="Percent 16 7 3 5" xfId="15453" xr:uid="{00000000-0005-0000-0000-0000613C0000}"/>
    <cellStyle name="Percent 16 7 3 6" xfId="11494" xr:uid="{00000000-0005-0000-0000-0000EA2C0000}"/>
    <cellStyle name="Percent 16 7 3 7" xfId="6724" xr:uid="{00000000-0005-0000-0000-0000481A0000}"/>
    <cellStyle name="Percent 16 7 4" xfId="1598" xr:uid="{00000000-0005-0000-0000-000042060000}"/>
    <cellStyle name="Percent 16 7 4 2" xfId="2718" xr:uid="{00000000-0005-0000-0000-0000A20A0000}"/>
    <cellStyle name="Percent 16 7 4 3" xfId="15539" xr:uid="{00000000-0005-0000-0000-0000B73C0000}"/>
    <cellStyle name="Percent 16 7 4 4" xfId="11497" xr:uid="{00000000-0005-0000-0000-0000ED2C0000}"/>
    <cellStyle name="Percent 16 7 5" xfId="1599" xr:uid="{00000000-0005-0000-0000-000043060000}"/>
    <cellStyle name="Percent 16 7 5 2" xfId="2719" xr:uid="{00000000-0005-0000-0000-0000A30A0000}"/>
    <cellStyle name="Percent 16 7 5 3" xfId="19108" xr:uid="{00000000-0005-0000-0000-0000A84A0000}"/>
    <cellStyle name="Percent 16 7 5 4" xfId="11498" xr:uid="{00000000-0005-0000-0000-0000EE2C0000}"/>
    <cellStyle name="Percent 16 7 6" xfId="1600" xr:uid="{00000000-0005-0000-0000-000044060000}"/>
    <cellStyle name="Percent 16 7 6 2" xfId="2720" xr:uid="{00000000-0005-0000-0000-0000A40A0000}"/>
    <cellStyle name="Percent 16 7 6 3" xfId="19527" xr:uid="{00000000-0005-0000-0000-00004B4C0000}"/>
    <cellStyle name="Percent 16 7 6 4" xfId="11499" xr:uid="{00000000-0005-0000-0000-0000EF2C0000}"/>
    <cellStyle name="Percent 16 7 7" xfId="1601" xr:uid="{00000000-0005-0000-0000-000045060000}"/>
    <cellStyle name="Percent 16 7 7 2" xfId="2721" xr:uid="{00000000-0005-0000-0000-0000A50A0000}"/>
    <cellStyle name="Percent 16 7 7 3" xfId="19251" xr:uid="{00000000-0005-0000-0000-0000374B0000}"/>
    <cellStyle name="Percent 16 7 7 4" xfId="11500" xr:uid="{00000000-0005-0000-0000-0000F02C0000}"/>
    <cellStyle name="Percent 16 7 8" xfId="1602" xr:uid="{00000000-0005-0000-0000-000046060000}"/>
    <cellStyle name="Percent 16 7 8 2" xfId="2722" xr:uid="{00000000-0005-0000-0000-0000A60A0000}"/>
    <cellStyle name="Percent 16 7 8 3" xfId="19061" xr:uid="{00000000-0005-0000-0000-0000794A0000}"/>
    <cellStyle name="Percent 16 7 8 4" xfId="11501" xr:uid="{00000000-0005-0000-0000-0000F12C0000}"/>
    <cellStyle name="Percent 16 7 9" xfId="1603" xr:uid="{00000000-0005-0000-0000-000047060000}"/>
    <cellStyle name="Percent 16 7 9 2" xfId="2723" xr:uid="{00000000-0005-0000-0000-0000A70A0000}"/>
    <cellStyle name="Percent 16 7 9 3" xfId="15804" xr:uid="{00000000-0005-0000-0000-0000C03D0000}"/>
    <cellStyle name="Percent 16 7 9 4" xfId="11502" xr:uid="{00000000-0005-0000-0000-0000F22C0000}"/>
    <cellStyle name="Percent 16 8" xfId="1604" xr:uid="{00000000-0005-0000-0000-000048060000}"/>
    <cellStyle name="Percent 16 8 10" xfId="1605" xr:uid="{00000000-0005-0000-0000-000049060000}"/>
    <cellStyle name="Percent 16 8 10 2" xfId="2725" xr:uid="{00000000-0005-0000-0000-0000A90A0000}"/>
    <cellStyle name="Percent 16 8 10 3" xfId="19388" xr:uid="{00000000-0005-0000-0000-0000C04B0000}"/>
    <cellStyle name="Percent 16 8 10 4" xfId="11504" xr:uid="{00000000-0005-0000-0000-0000F42C0000}"/>
    <cellStyle name="Percent 16 8 11" xfId="1606" xr:uid="{00000000-0005-0000-0000-00004A060000}"/>
    <cellStyle name="Percent 16 8 11 2" xfId="2726" xr:uid="{00000000-0005-0000-0000-0000AA0A0000}"/>
    <cellStyle name="Percent 16 8 11 3" xfId="19431" xr:uid="{00000000-0005-0000-0000-0000EB4B0000}"/>
    <cellStyle name="Percent 16 8 11 4" xfId="11505" xr:uid="{00000000-0005-0000-0000-0000F52C0000}"/>
    <cellStyle name="Percent 16 8 12" xfId="1607" xr:uid="{00000000-0005-0000-0000-00004B060000}"/>
    <cellStyle name="Percent 16 8 12 2" xfId="2727" xr:uid="{00000000-0005-0000-0000-0000AB0A0000}"/>
    <cellStyle name="Percent 16 8 12 3" xfId="19376" xr:uid="{00000000-0005-0000-0000-0000B44B0000}"/>
    <cellStyle name="Percent 16 8 12 4" xfId="11506" xr:uid="{00000000-0005-0000-0000-0000F62C0000}"/>
    <cellStyle name="Percent 16 8 13" xfId="1608" xr:uid="{00000000-0005-0000-0000-00004C060000}"/>
    <cellStyle name="Percent 16 8 13 2" xfId="2728" xr:uid="{00000000-0005-0000-0000-0000AC0A0000}"/>
    <cellStyle name="Percent 16 8 13 3" xfId="19357" xr:uid="{00000000-0005-0000-0000-0000A14B0000}"/>
    <cellStyle name="Percent 16 8 13 4" xfId="11507" xr:uid="{00000000-0005-0000-0000-0000F72C0000}"/>
    <cellStyle name="Percent 16 8 14" xfId="1609" xr:uid="{00000000-0005-0000-0000-00004D060000}"/>
    <cellStyle name="Percent 16 8 14 2" xfId="2729" xr:uid="{00000000-0005-0000-0000-0000AD0A0000}"/>
    <cellStyle name="Percent 16 8 14 3" xfId="15778" xr:uid="{00000000-0005-0000-0000-0000A63D0000}"/>
    <cellStyle name="Percent 16 8 14 4" xfId="11508" xr:uid="{00000000-0005-0000-0000-0000F82C0000}"/>
    <cellStyle name="Percent 16 8 15" xfId="1610" xr:uid="{00000000-0005-0000-0000-00004E060000}"/>
    <cellStyle name="Percent 16 8 15 2" xfId="2730" xr:uid="{00000000-0005-0000-0000-0000AE0A0000}"/>
    <cellStyle name="Percent 16 8 15 3" xfId="19354" xr:uid="{00000000-0005-0000-0000-00009E4B0000}"/>
    <cellStyle name="Percent 16 8 15 4" xfId="11509" xr:uid="{00000000-0005-0000-0000-0000F92C0000}"/>
    <cellStyle name="Percent 16 8 16" xfId="1611" xr:uid="{00000000-0005-0000-0000-00004F060000}"/>
    <cellStyle name="Percent 16 8 16 2" xfId="2731" xr:uid="{00000000-0005-0000-0000-0000AF0A0000}"/>
    <cellStyle name="Percent 16 8 16 3" xfId="15385" xr:uid="{00000000-0005-0000-0000-00001D3C0000}"/>
    <cellStyle name="Percent 16 8 16 4" xfId="11510" xr:uid="{00000000-0005-0000-0000-0000FA2C0000}"/>
    <cellStyle name="Percent 16 8 17" xfId="1612" xr:uid="{00000000-0005-0000-0000-000050060000}"/>
    <cellStyle name="Percent 16 8 17 2" xfId="2732" xr:uid="{00000000-0005-0000-0000-0000B00A0000}"/>
    <cellStyle name="Percent 16 8 17 3" xfId="16386" xr:uid="{00000000-0005-0000-0000-000006400000}"/>
    <cellStyle name="Percent 16 8 17 4" xfId="11511" xr:uid="{00000000-0005-0000-0000-0000FB2C0000}"/>
    <cellStyle name="Percent 16 8 18" xfId="2724" xr:uid="{00000000-0005-0000-0000-0000A80A0000}"/>
    <cellStyle name="Percent 16 8 19" xfId="19323" xr:uid="{00000000-0005-0000-0000-00007F4B0000}"/>
    <cellStyle name="Percent 16 8 2" xfId="1613" xr:uid="{00000000-0005-0000-0000-000051060000}"/>
    <cellStyle name="Percent 16 8 2 2" xfId="2733" xr:uid="{00000000-0005-0000-0000-0000B10A0000}"/>
    <cellStyle name="Percent 16 8 2 3" xfId="19373" xr:uid="{00000000-0005-0000-0000-0000B14B0000}"/>
    <cellStyle name="Percent 16 8 2 4" xfId="11512" xr:uid="{00000000-0005-0000-0000-0000FC2C0000}"/>
    <cellStyle name="Percent 16 8 20" xfId="11503" xr:uid="{00000000-0005-0000-0000-0000F32C0000}"/>
    <cellStyle name="Percent 16 8 3" xfId="1614" xr:uid="{00000000-0005-0000-0000-000052060000}"/>
    <cellStyle name="Percent 16 8 3 2" xfId="2734" xr:uid="{00000000-0005-0000-0000-0000B20A0000}"/>
    <cellStyle name="Percent 16 8 3 3" xfId="15799" xr:uid="{00000000-0005-0000-0000-0000BB3D0000}"/>
    <cellStyle name="Percent 16 8 3 4" xfId="11513" xr:uid="{00000000-0005-0000-0000-0000FD2C0000}"/>
    <cellStyle name="Percent 16 8 4" xfId="1615" xr:uid="{00000000-0005-0000-0000-000053060000}"/>
    <cellStyle name="Percent 16 8 4 2" xfId="2735" xr:uid="{00000000-0005-0000-0000-0000B30A0000}"/>
    <cellStyle name="Percent 16 8 4 3" xfId="19288" xr:uid="{00000000-0005-0000-0000-00005C4B0000}"/>
    <cellStyle name="Percent 16 8 4 4" xfId="11514" xr:uid="{00000000-0005-0000-0000-0000FE2C0000}"/>
    <cellStyle name="Percent 16 8 5" xfId="1616" xr:uid="{00000000-0005-0000-0000-000054060000}"/>
    <cellStyle name="Percent 16 8 5 2" xfId="2736" xr:uid="{00000000-0005-0000-0000-0000B40A0000}"/>
    <cellStyle name="Percent 16 8 5 3" xfId="17527" xr:uid="{00000000-0005-0000-0000-00007B440000}"/>
    <cellStyle name="Percent 16 8 5 4" xfId="11515" xr:uid="{00000000-0005-0000-0000-0000FF2C0000}"/>
    <cellStyle name="Percent 16 8 6" xfId="1617" xr:uid="{00000000-0005-0000-0000-000055060000}"/>
    <cellStyle name="Percent 16 8 6 2" xfId="2737" xr:uid="{00000000-0005-0000-0000-0000B50A0000}"/>
    <cellStyle name="Percent 16 8 6 3" xfId="17234" xr:uid="{00000000-0005-0000-0000-000056430000}"/>
    <cellStyle name="Percent 16 8 6 4" xfId="11516" xr:uid="{00000000-0005-0000-0000-0000002D0000}"/>
    <cellStyle name="Percent 16 8 7" xfId="1618" xr:uid="{00000000-0005-0000-0000-000056060000}"/>
    <cellStyle name="Percent 16 8 7 2" xfId="2738" xr:uid="{00000000-0005-0000-0000-0000B60A0000}"/>
    <cellStyle name="Percent 16 8 7 3" xfId="16343" xr:uid="{00000000-0005-0000-0000-0000DB3F0000}"/>
    <cellStyle name="Percent 16 8 7 4" xfId="11517" xr:uid="{00000000-0005-0000-0000-0000012D0000}"/>
    <cellStyle name="Percent 16 8 8" xfId="1619" xr:uid="{00000000-0005-0000-0000-000057060000}"/>
    <cellStyle name="Percent 16 8 8 2" xfId="2739" xr:uid="{00000000-0005-0000-0000-0000B70A0000}"/>
    <cellStyle name="Percent 16 8 8 3" xfId="15592" xr:uid="{00000000-0005-0000-0000-0000EC3C0000}"/>
    <cellStyle name="Percent 16 8 8 4" xfId="11518" xr:uid="{00000000-0005-0000-0000-0000022D0000}"/>
    <cellStyle name="Percent 16 8 9" xfId="1620" xr:uid="{00000000-0005-0000-0000-000058060000}"/>
    <cellStyle name="Percent 16 8 9 2" xfId="2740" xr:uid="{00000000-0005-0000-0000-0000B80A0000}"/>
    <cellStyle name="Percent 16 8 9 3" xfId="16622" xr:uid="{00000000-0005-0000-0000-0000F2400000}"/>
    <cellStyle name="Percent 16 8 9 4" xfId="11519" xr:uid="{00000000-0005-0000-0000-0000032D0000}"/>
    <cellStyle name="Percent 16 9" xfId="1621" xr:uid="{00000000-0005-0000-0000-000059060000}"/>
    <cellStyle name="Percent 16 9 10" xfId="1622" xr:uid="{00000000-0005-0000-0000-00005A060000}"/>
    <cellStyle name="Percent 16 9 10 2" xfId="2742" xr:uid="{00000000-0005-0000-0000-0000BA0A0000}"/>
    <cellStyle name="Percent 16 9 10 3" xfId="19098" xr:uid="{00000000-0005-0000-0000-00009E4A0000}"/>
    <cellStyle name="Percent 16 9 10 4" xfId="11521" xr:uid="{00000000-0005-0000-0000-0000052D0000}"/>
    <cellStyle name="Percent 16 9 11" xfId="1623" xr:uid="{00000000-0005-0000-0000-00005B060000}"/>
    <cellStyle name="Percent 16 9 11 2" xfId="2743" xr:uid="{00000000-0005-0000-0000-0000BB0A0000}"/>
    <cellStyle name="Percent 16 9 11 3" xfId="15518" xr:uid="{00000000-0005-0000-0000-0000A23C0000}"/>
    <cellStyle name="Percent 16 9 11 4" xfId="11522" xr:uid="{00000000-0005-0000-0000-0000062D0000}"/>
    <cellStyle name="Percent 16 9 12" xfId="1624" xr:uid="{00000000-0005-0000-0000-00005C060000}"/>
    <cellStyle name="Percent 16 9 12 2" xfId="2744" xr:uid="{00000000-0005-0000-0000-0000BC0A0000}"/>
    <cellStyle name="Percent 16 9 12 3" xfId="19482" xr:uid="{00000000-0005-0000-0000-00001E4C0000}"/>
    <cellStyle name="Percent 16 9 12 4" xfId="11523" xr:uid="{00000000-0005-0000-0000-0000072D0000}"/>
    <cellStyle name="Percent 16 9 13" xfId="1625" xr:uid="{00000000-0005-0000-0000-00005D060000}"/>
    <cellStyle name="Percent 16 9 13 2" xfId="2745" xr:uid="{00000000-0005-0000-0000-0000BD0A0000}"/>
    <cellStyle name="Percent 16 9 13 3" xfId="16663" xr:uid="{00000000-0005-0000-0000-00001B410000}"/>
    <cellStyle name="Percent 16 9 13 4" xfId="11524" xr:uid="{00000000-0005-0000-0000-0000082D0000}"/>
    <cellStyle name="Percent 16 9 14" xfId="1626" xr:uid="{00000000-0005-0000-0000-00005E060000}"/>
    <cellStyle name="Percent 16 9 14 2" xfId="2746" xr:uid="{00000000-0005-0000-0000-0000BE0A0000}"/>
    <cellStyle name="Percent 16 9 14 3" xfId="15443" xr:uid="{00000000-0005-0000-0000-0000573C0000}"/>
    <cellStyle name="Percent 16 9 14 4" xfId="11525" xr:uid="{00000000-0005-0000-0000-0000092D0000}"/>
    <cellStyle name="Percent 16 9 15" xfId="1627" xr:uid="{00000000-0005-0000-0000-00005F060000}"/>
    <cellStyle name="Percent 16 9 15 2" xfId="2747" xr:uid="{00000000-0005-0000-0000-0000BF0A0000}"/>
    <cellStyle name="Percent 16 9 15 3" xfId="19195" xr:uid="{00000000-0005-0000-0000-0000FF4A0000}"/>
    <cellStyle name="Percent 16 9 15 4" xfId="11526" xr:uid="{00000000-0005-0000-0000-00000A2D0000}"/>
    <cellStyle name="Percent 16 9 16" xfId="1628" xr:uid="{00000000-0005-0000-0000-000060060000}"/>
    <cellStyle name="Percent 16 9 16 2" xfId="2748" xr:uid="{00000000-0005-0000-0000-0000C00A0000}"/>
    <cellStyle name="Percent 16 9 16 3" xfId="17209" xr:uid="{00000000-0005-0000-0000-00003D430000}"/>
    <cellStyle name="Percent 16 9 16 4" xfId="11527" xr:uid="{00000000-0005-0000-0000-00000B2D0000}"/>
    <cellStyle name="Percent 16 9 17" xfId="1629" xr:uid="{00000000-0005-0000-0000-000061060000}"/>
    <cellStyle name="Percent 16 9 17 2" xfId="2749" xr:uid="{00000000-0005-0000-0000-0000C10A0000}"/>
    <cellStyle name="Percent 16 9 17 3" xfId="19311" xr:uid="{00000000-0005-0000-0000-0000734B0000}"/>
    <cellStyle name="Percent 16 9 17 4" xfId="11528" xr:uid="{00000000-0005-0000-0000-00000C2D0000}"/>
    <cellStyle name="Percent 16 9 18" xfId="2741" xr:uid="{00000000-0005-0000-0000-0000B90A0000}"/>
    <cellStyle name="Percent 16 9 19" xfId="17218" xr:uid="{00000000-0005-0000-0000-000046430000}"/>
    <cellStyle name="Percent 16 9 2" xfId="1630" xr:uid="{00000000-0005-0000-0000-000062060000}"/>
    <cellStyle name="Percent 16 9 2 2" xfId="2750" xr:uid="{00000000-0005-0000-0000-0000C20A0000}"/>
    <cellStyle name="Percent 16 9 2 3" xfId="15713" xr:uid="{00000000-0005-0000-0000-0000653D0000}"/>
    <cellStyle name="Percent 16 9 2 4" xfId="11529" xr:uid="{00000000-0005-0000-0000-00000D2D0000}"/>
    <cellStyle name="Percent 16 9 20" xfId="11520" xr:uid="{00000000-0005-0000-0000-0000042D0000}"/>
    <cellStyle name="Percent 16 9 3" xfId="1631" xr:uid="{00000000-0005-0000-0000-000063060000}"/>
    <cellStyle name="Percent 16 9 3 2" xfId="2751" xr:uid="{00000000-0005-0000-0000-0000C30A0000}"/>
    <cellStyle name="Percent 16 9 3 3" xfId="19320" xr:uid="{00000000-0005-0000-0000-00007C4B0000}"/>
    <cellStyle name="Percent 16 9 3 4" xfId="11530" xr:uid="{00000000-0005-0000-0000-00000E2D0000}"/>
    <cellStyle name="Percent 16 9 4" xfId="1632" xr:uid="{00000000-0005-0000-0000-000064060000}"/>
    <cellStyle name="Percent 16 9 4 2" xfId="2752" xr:uid="{00000000-0005-0000-0000-0000C40A0000}"/>
    <cellStyle name="Percent 16 9 4 3" xfId="15632" xr:uid="{00000000-0005-0000-0000-0000143D0000}"/>
    <cellStyle name="Percent 16 9 4 4" xfId="11531" xr:uid="{00000000-0005-0000-0000-00000F2D0000}"/>
    <cellStyle name="Percent 16 9 5" xfId="1633" xr:uid="{00000000-0005-0000-0000-000065060000}"/>
    <cellStyle name="Percent 16 9 5 2" xfId="2753" xr:uid="{00000000-0005-0000-0000-0000C50A0000}"/>
    <cellStyle name="Percent 16 9 5 3" xfId="16728" xr:uid="{00000000-0005-0000-0000-00005C410000}"/>
    <cellStyle name="Percent 16 9 5 4" xfId="11532" xr:uid="{00000000-0005-0000-0000-0000102D0000}"/>
    <cellStyle name="Percent 16 9 6" xfId="1634" xr:uid="{00000000-0005-0000-0000-000066060000}"/>
    <cellStyle name="Percent 16 9 6 2" xfId="2754" xr:uid="{00000000-0005-0000-0000-0000C60A0000}"/>
    <cellStyle name="Percent 16 9 6 3" xfId="16378" xr:uid="{00000000-0005-0000-0000-0000FE3F0000}"/>
    <cellStyle name="Percent 16 9 6 4" xfId="11533" xr:uid="{00000000-0005-0000-0000-0000112D0000}"/>
    <cellStyle name="Percent 16 9 7" xfId="1635" xr:uid="{00000000-0005-0000-0000-000067060000}"/>
    <cellStyle name="Percent 16 9 7 2" xfId="2755" xr:uid="{00000000-0005-0000-0000-0000C70A0000}"/>
    <cellStyle name="Percent 16 9 7 3" xfId="16726" xr:uid="{00000000-0005-0000-0000-00005A410000}"/>
    <cellStyle name="Percent 16 9 7 4" xfId="11534" xr:uid="{00000000-0005-0000-0000-0000122D0000}"/>
    <cellStyle name="Percent 16 9 8" xfId="1636" xr:uid="{00000000-0005-0000-0000-000068060000}"/>
    <cellStyle name="Percent 16 9 8 2" xfId="2756" xr:uid="{00000000-0005-0000-0000-0000C80A0000}"/>
    <cellStyle name="Percent 16 9 8 3" xfId="16347" xr:uid="{00000000-0005-0000-0000-0000DF3F0000}"/>
    <cellStyle name="Percent 16 9 8 4" xfId="11535" xr:uid="{00000000-0005-0000-0000-0000132D0000}"/>
    <cellStyle name="Percent 16 9 9" xfId="1637" xr:uid="{00000000-0005-0000-0000-000069060000}"/>
    <cellStyle name="Percent 16 9 9 2" xfId="2757" xr:uid="{00000000-0005-0000-0000-0000C90A0000}"/>
    <cellStyle name="Percent 16 9 9 3" xfId="15651" xr:uid="{00000000-0005-0000-0000-0000273D0000}"/>
    <cellStyle name="Percent 16 9 9 4" xfId="11536" xr:uid="{00000000-0005-0000-0000-0000142D0000}"/>
    <cellStyle name="Percent 17" xfId="1638" xr:uid="{00000000-0005-0000-0000-00006A060000}"/>
    <cellStyle name="Percent 17 10" xfId="8804" xr:uid="{00000000-0005-0000-0000-000068220000}"/>
    <cellStyle name="Percent 17 10 2" xfId="17231" xr:uid="{00000000-0005-0000-0000-000053430000}"/>
    <cellStyle name="Percent 17 10 3" xfId="12931" xr:uid="{00000000-0005-0000-0000-000087320000}"/>
    <cellStyle name="Percent 17 11" xfId="16772" xr:uid="{00000000-0005-0000-0000-000088410000}"/>
    <cellStyle name="Percent 17 12" xfId="11537" xr:uid="{00000000-0005-0000-0000-0000152D0000}"/>
    <cellStyle name="Percent 17 13" xfId="6725" xr:uid="{00000000-0005-0000-0000-0000491A0000}"/>
    <cellStyle name="Percent 17 2" xfId="2758" xr:uid="{00000000-0005-0000-0000-0000CA0A0000}"/>
    <cellStyle name="Percent 17 2 2" xfId="12933" xr:uid="{00000000-0005-0000-0000-000089320000}"/>
    <cellStyle name="Percent 17 2 3" xfId="12932" xr:uid="{00000000-0005-0000-0000-000088320000}"/>
    <cellStyle name="Percent 17 2 4" xfId="16638" xr:uid="{00000000-0005-0000-0000-000002410000}"/>
    <cellStyle name="Percent 17 2 5" xfId="11538" xr:uid="{00000000-0005-0000-0000-0000162D0000}"/>
    <cellStyle name="Percent 17 2 6" xfId="6726" xr:uid="{00000000-0005-0000-0000-00004A1A0000}"/>
    <cellStyle name="Percent 17 3" xfId="6727" xr:uid="{00000000-0005-0000-0000-00004B1A0000}"/>
    <cellStyle name="Percent 17 3 2" xfId="12934" xr:uid="{00000000-0005-0000-0000-00008A320000}"/>
    <cellStyle name="Percent 17 3 3" xfId="15463" xr:uid="{00000000-0005-0000-0000-00006B3C0000}"/>
    <cellStyle name="Percent 17 3 4" xfId="11539" xr:uid="{00000000-0005-0000-0000-0000172D0000}"/>
    <cellStyle name="Percent 17 4" xfId="6728" xr:uid="{00000000-0005-0000-0000-00004C1A0000}"/>
    <cellStyle name="Percent 17 4 2" xfId="12935" xr:uid="{00000000-0005-0000-0000-00008B320000}"/>
    <cellStyle name="Percent 17 4 3" xfId="15391" xr:uid="{00000000-0005-0000-0000-0000233C0000}"/>
    <cellStyle name="Percent 17 4 4" xfId="11540" xr:uid="{00000000-0005-0000-0000-0000182D0000}"/>
    <cellStyle name="Percent 17 5" xfId="6729" xr:uid="{00000000-0005-0000-0000-00004D1A0000}"/>
    <cellStyle name="Percent 17 5 2" xfId="12936" xr:uid="{00000000-0005-0000-0000-00008C320000}"/>
    <cellStyle name="Percent 17 5 3" xfId="15805" xr:uid="{00000000-0005-0000-0000-0000C13D0000}"/>
    <cellStyle name="Percent 17 5 4" xfId="11541" xr:uid="{00000000-0005-0000-0000-0000192D0000}"/>
    <cellStyle name="Percent 17 6" xfId="6730" xr:uid="{00000000-0005-0000-0000-00004E1A0000}"/>
    <cellStyle name="Percent 17 6 2" xfId="12937" xr:uid="{00000000-0005-0000-0000-00008D320000}"/>
    <cellStyle name="Percent 17 6 3" xfId="15730" xr:uid="{00000000-0005-0000-0000-0000763D0000}"/>
    <cellStyle name="Percent 17 6 4" xfId="11542" xr:uid="{00000000-0005-0000-0000-00001A2D0000}"/>
    <cellStyle name="Percent 17 7" xfId="6731" xr:uid="{00000000-0005-0000-0000-00004F1A0000}"/>
    <cellStyle name="Percent 17 7 2" xfId="6732" xr:uid="{00000000-0005-0000-0000-0000501A0000}"/>
    <cellStyle name="Percent 17 7 2 2" xfId="12939" xr:uid="{00000000-0005-0000-0000-00008F320000}"/>
    <cellStyle name="Percent 17 7 2 3" xfId="19562" xr:uid="{00000000-0005-0000-0000-00006E4C0000}"/>
    <cellStyle name="Percent 17 7 2 4" xfId="11544" xr:uid="{00000000-0005-0000-0000-00001C2D0000}"/>
    <cellStyle name="Percent 17 7 3" xfId="6733" xr:uid="{00000000-0005-0000-0000-0000511A0000}"/>
    <cellStyle name="Percent 17 7 3 2" xfId="12940" xr:uid="{00000000-0005-0000-0000-000090320000}"/>
    <cellStyle name="Percent 17 7 3 3" xfId="17223" xr:uid="{00000000-0005-0000-0000-00004B430000}"/>
    <cellStyle name="Percent 17 7 3 4" xfId="11545" xr:uid="{00000000-0005-0000-0000-00001D2D0000}"/>
    <cellStyle name="Percent 17 7 4" xfId="12938" xr:uid="{00000000-0005-0000-0000-00008E320000}"/>
    <cellStyle name="Percent 17 7 5" xfId="16642" xr:uid="{00000000-0005-0000-0000-000006410000}"/>
    <cellStyle name="Percent 17 7 6" xfId="11543" xr:uid="{00000000-0005-0000-0000-00001B2D0000}"/>
    <cellStyle name="Percent 17 8" xfId="6734" xr:uid="{00000000-0005-0000-0000-0000521A0000}"/>
    <cellStyle name="Percent 17 8 2" xfId="6735" xr:uid="{00000000-0005-0000-0000-0000531A0000}"/>
    <cellStyle name="Percent 17 8 2 2" xfId="12942" xr:uid="{00000000-0005-0000-0000-000092320000}"/>
    <cellStyle name="Percent 17 8 2 3" xfId="15309" xr:uid="{00000000-0005-0000-0000-0000D13B0000}"/>
    <cellStyle name="Percent 17 8 2 4" xfId="11547" xr:uid="{00000000-0005-0000-0000-00001F2D0000}"/>
    <cellStyle name="Percent 17 8 3" xfId="12941" xr:uid="{00000000-0005-0000-0000-000091320000}"/>
    <cellStyle name="Percent 17 8 4" xfId="19277" xr:uid="{00000000-0005-0000-0000-0000514B0000}"/>
    <cellStyle name="Percent 17 8 5" xfId="11546" xr:uid="{00000000-0005-0000-0000-00001E2D0000}"/>
    <cellStyle name="Percent 17 9" xfId="9509" xr:uid="{00000000-0005-0000-0000-000029250000}"/>
    <cellStyle name="Percent 17 9 2" xfId="12944" xr:uid="{00000000-0005-0000-0000-000094320000}"/>
    <cellStyle name="Percent 17 9 3" xfId="12945" xr:uid="{00000000-0005-0000-0000-000095320000}"/>
    <cellStyle name="Percent 17 9 4" xfId="12946" xr:uid="{00000000-0005-0000-0000-000096320000}"/>
    <cellStyle name="Percent 17 9 5" xfId="12943" xr:uid="{00000000-0005-0000-0000-000093320000}"/>
    <cellStyle name="Percent 17 9 6" xfId="17739" xr:uid="{00000000-0005-0000-0000-00004F450000}"/>
    <cellStyle name="Percent 17 9 7" xfId="19299" xr:uid="{00000000-0005-0000-0000-0000674B0000}"/>
    <cellStyle name="Percent 17 9 8" xfId="11548" xr:uid="{00000000-0005-0000-0000-0000202D0000}"/>
    <cellStyle name="Percent 18" xfId="7852" xr:uid="{00000000-0005-0000-0000-0000B01E0000}"/>
    <cellStyle name="Percent 18 2" xfId="11550" xr:uid="{00000000-0005-0000-0000-0000222D0000}"/>
    <cellStyle name="Percent 18 2 2" xfId="19377" xr:uid="{00000000-0005-0000-0000-0000B54B0000}"/>
    <cellStyle name="Percent 18 3" xfId="12947" xr:uid="{00000000-0005-0000-0000-000097320000}"/>
    <cellStyle name="Percent 18 4" xfId="16716" xr:uid="{00000000-0005-0000-0000-000050410000}"/>
    <cellStyle name="Percent 18 5" xfId="17260" xr:uid="{00000000-0005-0000-0000-000070430000}"/>
    <cellStyle name="Percent 18 6" xfId="11549" xr:uid="{00000000-0005-0000-0000-0000212D0000}"/>
    <cellStyle name="Percent 19" xfId="7843" xr:uid="{00000000-0005-0000-0000-0000A71E0000}"/>
    <cellStyle name="Percent 19 2" xfId="8075" xr:uid="{00000000-0005-0000-0000-00008F1F0000}"/>
    <cellStyle name="Percent 19 2 2" xfId="16796" xr:uid="{00000000-0005-0000-0000-0000A0410000}"/>
    <cellStyle name="Percent 19 2 3" xfId="16376" xr:uid="{00000000-0005-0000-0000-0000FC3F0000}"/>
    <cellStyle name="Percent 19 2 4" xfId="11552" xr:uid="{00000000-0005-0000-0000-0000242D0000}"/>
    <cellStyle name="Percent 19 3" xfId="16685" xr:uid="{00000000-0005-0000-0000-000031410000}"/>
    <cellStyle name="Percent 19 4" xfId="19556" xr:uid="{00000000-0005-0000-0000-0000684C0000}"/>
    <cellStyle name="Percent 19 5" xfId="11551" xr:uid="{00000000-0005-0000-0000-0000232D0000}"/>
    <cellStyle name="Percent 2" xfId="154" xr:uid="{00000000-0005-0000-0000-00009E000000}"/>
    <cellStyle name="Percent 2 10" xfId="1640" xr:uid="{00000000-0005-0000-0000-00006C060000}"/>
    <cellStyle name="Percent 2 10 10" xfId="16590" xr:uid="{00000000-0005-0000-0000-0000D2400000}"/>
    <cellStyle name="Percent 2 10 11" xfId="11553" xr:uid="{00000000-0005-0000-0000-0000252D0000}"/>
    <cellStyle name="Percent 2 10 2" xfId="1641" xr:uid="{00000000-0005-0000-0000-00006D060000}"/>
    <cellStyle name="Percent 2 10 2 2" xfId="2761" xr:uid="{00000000-0005-0000-0000-0000CD0A0000}"/>
    <cellStyle name="Percent 2 10 2 3" xfId="19440" xr:uid="{00000000-0005-0000-0000-0000F44B0000}"/>
    <cellStyle name="Percent 2 10 2 4" xfId="11554" xr:uid="{00000000-0005-0000-0000-0000262D0000}"/>
    <cellStyle name="Percent 2 10 3" xfId="1642" xr:uid="{00000000-0005-0000-0000-00006E060000}"/>
    <cellStyle name="Percent 2 10 3 2" xfId="2762" xr:uid="{00000000-0005-0000-0000-0000CE0A0000}"/>
    <cellStyle name="Percent 2 10 3 3" xfId="19485" xr:uid="{00000000-0005-0000-0000-0000214C0000}"/>
    <cellStyle name="Percent 2 10 3 4" xfId="11555" xr:uid="{00000000-0005-0000-0000-0000272D0000}"/>
    <cellStyle name="Percent 2 10 4" xfId="1643" xr:uid="{00000000-0005-0000-0000-00006F060000}"/>
    <cellStyle name="Percent 2 10 4 2" xfId="2763" xr:uid="{00000000-0005-0000-0000-0000CF0A0000}"/>
    <cellStyle name="Percent 2 10 4 3" xfId="15507" xr:uid="{00000000-0005-0000-0000-0000973C0000}"/>
    <cellStyle name="Percent 2 10 4 4" xfId="11556" xr:uid="{00000000-0005-0000-0000-0000282D0000}"/>
    <cellStyle name="Percent 2 10 5" xfId="1644" xr:uid="{00000000-0005-0000-0000-000070060000}"/>
    <cellStyle name="Percent 2 10 5 2" xfId="2764" xr:uid="{00000000-0005-0000-0000-0000D00A0000}"/>
    <cellStyle name="Percent 2 10 5 3" xfId="19528" xr:uid="{00000000-0005-0000-0000-00004C4C0000}"/>
    <cellStyle name="Percent 2 10 5 4" xfId="11557" xr:uid="{00000000-0005-0000-0000-0000292D0000}"/>
    <cellStyle name="Percent 2 10 6" xfId="1645" xr:uid="{00000000-0005-0000-0000-000071060000}"/>
    <cellStyle name="Percent 2 10 6 2" xfId="2765" xr:uid="{00000000-0005-0000-0000-0000D10A0000}"/>
    <cellStyle name="Percent 2 10 6 3" xfId="15275" xr:uid="{00000000-0005-0000-0000-0000AF3B0000}"/>
    <cellStyle name="Percent 2 10 6 4" xfId="11558" xr:uid="{00000000-0005-0000-0000-00002A2D0000}"/>
    <cellStyle name="Percent 2 10 7" xfId="1646" xr:uid="{00000000-0005-0000-0000-000072060000}"/>
    <cellStyle name="Percent 2 10 7 2" xfId="2766" xr:uid="{00000000-0005-0000-0000-0000D20A0000}"/>
    <cellStyle name="Percent 2 10 7 3" xfId="15738" xr:uid="{00000000-0005-0000-0000-00007E3D0000}"/>
    <cellStyle name="Percent 2 10 7 4" xfId="11559" xr:uid="{00000000-0005-0000-0000-00002B2D0000}"/>
    <cellStyle name="Percent 2 10 8" xfId="1647" xr:uid="{00000000-0005-0000-0000-000073060000}"/>
    <cellStyle name="Percent 2 10 8 2" xfId="2767" xr:uid="{00000000-0005-0000-0000-0000D30A0000}"/>
    <cellStyle name="Percent 2 10 8 3" xfId="19523" xr:uid="{00000000-0005-0000-0000-0000474C0000}"/>
    <cellStyle name="Percent 2 10 8 4" xfId="11560" xr:uid="{00000000-0005-0000-0000-00002C2D0000}"/>
    <cellStyle name="Percent 2 10 9" xfId="2760" xr:uid="{00000000-0005-0000-0000-0000CC0A0000}"/>
    <cellStyle name="Percent 2 11" xfId="1648" xr:uid="{00000000-0005-0000-0000-000074060000}"/>
    <cellStyle name="Percent 2 11 10" xfId="15658" xr:uid="{00000000-0005-0000-0000-00002E3D0000}"/>
    <cellStyle name="Percent 2 11 11" xfId="11561" xr:uid="{00000000-0005-0000-0000-00002D2D0000}"/>
    <cellStyle name="Percent 2 11 2" xfId="1649" xr:uid="{00000000-0005-0000-0000-000075060000}"/>
    <cellStyle name="Percent 2 11 2 2" xfId="2769" xr:uid="{00000000-0005-0000-0000-0000D50A0000}"/>
    <cellStyle name="Percent 2 11 2 3" xfId="15531" xr:uid="{00000000-0005-0000-0000-0000AF3C0000}"/>
    <cellStyle name="Percent 2 11 2 4" xfId="11562" xr:uid="{00000000-0005-0000-0000-00002E2D0000}"/>
    <cellStyle name="Percent 2 11 3" xfId="1650" xr:uid="{00000000-0005-0000-0000-000076060000}"/>
    <cellStyle name="Percent 2 11 3 2" xfId="2770" xr:uid="{00000000-0005-0000-0000-0000D60A0000}"/>
    <cellStyle name="Percent 2 11 3 3" xfId="19062" xr:uid="{00000000-0005-0000-0000-00007A4A0000}"/>
    <cellStyle name="Percent 2 11 3 4" xfId="11563" xr:uid="{00000000-0005-0000-0000-00002F2D0000}"/>
    <cellStyle name="Percent 2 11 4" xfId="1651" xr:uid="{00000000-0005-0000-0000-000077060000}"/>
    <cellStyle name="Percent 2 11 4 2" xfId="2771" xr:uid="{00000000-0005-0000-0000-0000D70A0000}"/>
    <cellStyle name="Percent 2 11 4 3" xfId="19238" xr:uid="{00000000-0005-0000-0000-00002A4B0000}"/>
    <cellStyle name="Percent 2 11 4 4" xfId="11564" xr:uid="{00000000-0005-0000-0000-0000302D0000}"/>
    <cellStyle name="Percent 2 11 5" xfId="1652" xr:uid="{00000000-0005-0000-0000-000078060000}"/>
    <cellStyle name="Percent 2 11 5 2" xfId="2772" xr:uid="{00000000-0005-0000-0000-0000D80A0000}"/>
    <cellStyle name="Percent 2 11 5 3" xfId="15456" xr:uid="{00000000-0005-0000-0000-0000643C0000}"/>
    <cellStyle name="Percent 2 11 5 4" xfId="11565" xr:uid="{00000000-0005-0000-0000-0000312D0000}"/>
    <cellStyle name="Percent 2 11 6" xfId="1653" xr:uid="{00000000-0005-0000-0000-000079060000}"/>
    <cellStyle name="Percent 2 11 6 2" xfId="2773" xr:uid="{00000000-0005-0000-0000-0000D90A0000}"/>
    <cellStyle name="Percent 2 11 6 3" xfId="17650" xr:uid="{00000000-0005-0000-0000-0000F6440000}"/>
    <cellStyle name="Percent 2 11 6 4" xfId="11566" xr:uid="{00000000-0005-0000-0000-0000322D0000}"/>
    <cellStyle name="Percent 2 11 7" xfId="1654" xr:uid="{00000000-0005-0000-0000-00007A060000}"/>
    <cellStyle name="Percent 2 11 7 2" xfId="2774" xr:uid="{00000000-0005-0000-0000-0000DA0A0000}"/>
    <cellStyle name="Percent 2 11 7 3" xfId="15734" xr:uid="{00000000-0005-0000-0000-00007A3D0000}"/>
    <cellStyle name="Percent 2 11 7 4" xfId="11567" xr:uid="{00000000-0005-0000-0000-0000332D0000}"/>
    <cellStyle name="Percent 2 11 8" xfId="1655" xr:uid="{00000000-0005-0000-0000-00007B060000}"/>
    <cellStyle name="Percent 2 11 8 2" xfId="2775" xr:uid="{00000000-0005-0000-0000-0000DB0A0000}"/>
    <cellStyle name="Percent 2 11 8 3" xfId="19034" xr:uid="{00000000-0005-0000-0000-00005E4A0000}"/>
    <cellStyle name="Percent 2 11 8 4" xfId="11568" xr:uid="{00000000-0005-0000-0000-0000342D0000}"/>
    <cellStyle name="Percent 2 11 9" xfId="2768" xr:uid="{00000000-0005-0000-0000-0000D40A0000}"/>
    <cellStyle name="Percent 2 12" xfId="1656" xr:uid="{00000000-0005-0000-0000-00007C060000}"/>
    <cellStyle name="Percent 2 12 2" xfId="2776" xr:uid="{00000000-0005-0000-0000-0000DC0A0000}"/>
    <cellStyle name="Percent 2 12 3" xfId="15688" xr:uid="{00000000-0005-0000-0000-00004C3D0000}"/>
    <cellStyle name="Percent 2 12 4" xfId="11569" xr:uid="{00000000-0005-0000-0000-0000352D0000}"/>
    <cellStyle name="Percent 2 13" xfId="1657" xr:uid="{00000000-0005-0000-0000-00007D060000}"/>
    <cellStyle name="Percent 2 13 2" xfId="2777" xr:uid="{00000000-0005-0000-0000-0000DD0A0000}"/>
    <cellStyle name="Percent 2 13 3" xfId="15406" xr:uid="{00000000-0005-0000-0000-0000323C0000}"/>
    <cellStyle name="Percent 2 13 4" xfId="11570" xr:uid="{00000000-0005-0000-0000-0000362D0000}"/>
    <cellStyle name="Percent 2 14" xfId="1658" xr:uid="{00000000-0005-0000-0000-00007E060000}"/>
    <cellStyle name="Percent 2 14 2" xfId="2778" xr:uid="{00000000-0005-0000-0000-0000DE0A0000}"/>
    <cellStyle name="Percent 2 14 3" xfId="16626" xr:uid="{00000000-0005-0000-0000-0000F6400000}"/>
    <cellStyle name="Percent 2 14 4" xfId="11571" xr:uid="{00000000-0005-0000-0000-0000372D0000}"/>
    <cellStyle name="Percent 2 15" xfId="1659" xr:uid="{00000000-0005-0000-0000-00007F060000}"/>
    <cellStyle name="Percent 2 15 2" xfId="2779" xr:uid="{00000000-0005-0000-0000-0000DF0A0000}"/>
    <cellStyle name="Percent 2 15 3" xfId="15682" xr:uid="{00000000-0005-0000-0000-0000463D0000}"/>
    <cellStyle name="Percent 2 15 4" xfId="11572" xr:uid="{00000000-0005-0000-0000-0000382D0000}"/>
    <cellStyle name="Percent 2 16" xfId="1660" xr:uid="{00000000-0005-0000-0000-000080060000}"/>
    <cellStyle name="Percent 2 16 2" xfId="2780" xr:uid="{00000000-0005-0000-0000-0000E00A0000}"/>
    <cellStyle name="Percent 2 16 3" xfId="19059" xr:uid="{00000000-0005-0000-0000-0000774A0000}"/>
    <cellStyle name="Percent 2 16 4" xfId="11573" xr:uid="{00000000-0005-0000-0000-0000392D0000}"/>
    <cellStyle name="Percent 2 17" xfId="1661" xr:uid="{00000000-0005-0000-0000-000081060000}"/>
    <cellStyle name="Percent 2 17 2" xfId="2781" xr:uid="{00000000-0005-0000-0000-0000E10A0000}"/>
    <cellStyle name="Percent 2 17 3" xfId="16712" xr:uid="{00000000-0005-0000-0000-00004C410000}"/>
    <cellStyle name="Percent 2 17 4" xfId="11574" xr:uid="{00000000-0005-0000-0000-00003A2D0000}"/>
    <cellStyle name="Percent 2 18" xfId="1662" xr:uid="{00000000-0005-0000-0000-000082060000}"/>
    <cellStyle name="Percent 2 18 2" xfId="2782" xr:uid="{00000000-0005-0000-0000-0000E20A0000}"/>
    <cellStyle name="Percent 2 18 3" xfId="16392" xr:uid="{00000000-0005-0000-0000-00000C400000}"/>
    <cellStyle name="Percent 2 18 4" xfId="11575" xr:uid="{00000000-0005-0000-0000-00003B2D0000}"/>
    <cellStyle name="Percent 2 19" xfId="2759" xr:uid="{00000000-0005-0000-0000-0000CB0A0000}"/>
    <cellStyle name="Percent 2 19 2" xfId="12948" xr:uid="{00000000-0005-0000-0000-000098320000}"/>
    <cellStyle name="Percent 2 19 2 2" xfId="15092" xr:uid="{00000000-0005-0000-0000-0000F83A0000}"/>
    <cellStyle name="Percent 2 19 3" xfId="15093" xr:uid="{00000000-0005-0000-0000-0000F93A0000}"/>
    <cellStyle name="Percent 2 19 4" xfId="15305" xr:uid="{00000000-0005-0000-0000-0000CD3B0000}"/>
    <cellStyle name="Percent 2 19 5" xfId="11576" xr:uid="{00000000-0005-0000-0000-00003C2D0000}"/>
    <cellStyle name="Percent 2 2" xfId="155" xr:uid="{00000000-0005-0000-0000-00009F000000}"/>
    <cellStyle name="Percent 2 2 10" xfId="1663" xr:uid="{00000000-0005-0000-0000-000083060000}"/>
    <cellStyle name="Percent 2 2 11" xfId="19569" xr:uid="{00000000-0005-0000-0000-0000754C0000}"/>
    <cellStyle name="Percent 2 2 12" xfId="11577" xr:uid="{00000000-0005-0000-0000-00003D2D0000}"/>
    <cellStyle name="Percent 2 2 2" xfId="156" xr:uid="{00000000-0005-0000-0000-0000A0000000}"/>
    <cellStyle name="Percent 2 2 2 2" xfId="2784" xr:uid="{00000000-0005-0000-0000-0000E40A0000}"/>
    <cellStyle name="Percent 2 2 2 3" xfId="1664" xr:uid="{00000000-0005-0000-0000-000084060000}"/>
    <cellStyle name="Percent 2 2 2 3 2" xfId="19331" xr:uid="{00000000-0005-0000-0000-0000874B0000}"/>
    <cellStyle name="Percent 2 2 2 4" xfId="11578" xr:uid="{00000000-0005-0000-0000-00003E2D0000}"/>
    <cellStyle name="Percent 2 2 3" xfId="157" xr:uid="{00000000-0005-0000-0000-0000A1000000}"/>
    <cellStyle name="Percent 2 2 3 2" xfId="158" xr:uid="{00000000-0005-0000-0000-0000A2000000}"/>
    <cellStyle name="Percent 2 2 3 2 2" xfId="2785" xr:uid="{00000000-0005-0000-0000-0000E50A0000}"/>
    <cellStyle name="Percent 2 2 3 2 3" xfId="15772" xr:uid="{00000000-0005-0000-0000-0000A03D0000}"/>
    <cellStyle name="Percent 2 2 3 2 4" xfId="11580" xr:uid="{00000000-0005-0000-0000-0000402D0000}"/>
    <cellStyle name="Percent 2 2 3 3" xfId="1665" xr:uid="{00000000-0005-0000-0000-000085060000}"/>
    <cellStyle name="Percent 2 2 3 3 2" xfId="15315" xr:uid="{00000000-0005-0000-0000-0000D73B0000}"/>
    <cellStyle name="Percent 2 2 3 3 3" xfId="15460" xr:uid="{00000000-0005-0000-0000-0000683C0000}"/>
    <cellStyle name="Percent 2 2 3 3 4" xfId="11581" xr:uid="{00000000-0005-0000-0000-0000412D0000}"/>
    <cellStyle name="Percent 2 2 3 4" xfId="4580" xr:uid="{00000000-0005-0000-0000-0000E8110000}"/>
    <cellStyle name="Percent 2 2 3 4 2" xfId="7923" xr:uid="{00000000-0005-0000-0000-0000F71E0000}"/>
    <cellStyle name="Percent 2 2 3 4 2 2" xfId="16768" xr:uid="{00000000-0005-0000-0000-000084410000}"/>
    <cellStyle name="Percent 2 2 3 4 2 3" xfId="15813" xr:uid="{00000000-0005-0000-0000-0000C93D0000}"/>
    <cellStyle name="Percent 2 2 3 4 2 4" xfId="11583" xr:uid="{00000000-0005-0000-0000-0000432D0000}"/>
    <cellStyle name="Percent 2 2 3 4 3" xfId="15366" xr:uid="{00000000-0005-0000-0000-00000A3C0000}"/>
    <cellStyle name="Percent 2 2 3 4 4" xfId="16357" xr:uid="{00000000-0005-0000-0000-0000E93F0000}"/>
    <cellStyle name="Percent 2 2 3 4 5" xfId="11582" xr:uid="{00000000-0005-0000-0000-0000422D0000}"/>
    <cellStyle name="Percent 2 2 3 5" xfId="12949" xr:uid="{00000000-0005-0000-0000-000099320000}"/>
    <cellStyle name="Percent 2 2 3 6" xfId="19261" xr:uid="{00000000-0005-0000-0000-0000414B0000}"/>
    <cellStyle name="Percent 2 2 3 7" xfId="11579" xr:uid="{00000000-0005-0000-0000-00003F2D0000}"/>
    <cellStyle name="Percent 2 2 4" xfId="1666" xr:uid="{00000000-0005-0000-0000-000086060000}"/>
    <cellStyle name="Percent 2 2 4 2" xfId="2786" xr:uid="{00000000-0005-0000-0000-0000E60A0000}"/>
    <cellStyle name="Percent 2 2 4 2 2" xfId="15780" xr:uid="{00000000-0005-0000-0000-0000A83D0000}"/>
    <cellStyle name="Percent 2 2 4 2 3" xfId="16783" xr:uid="{00000000-0005-0000-0000-000093410000}"/>
    <cellStyle name="Percent 2 2 4 2 4" xfId="11585" xr:uid="{00000000-0005-0000-0000-0000452D0000}"/>
    <cellStyle name="Percent 2 2 4 3" xfId="8893" xr:uid="{00000000-0005-0000-0000-0000C1220000}"/>
    <cellStyle name="Percent 2 2 4 3 2" xfId="17264" xr:uid="{00000000-0005-0000-0000-000074430000}"/>
    <cellStyle name="Percent 2 2 4 3 3" xfId="19269" xr:uid="{00000000-0005-0000-0000-0000494B0000}"/>
    <cellStyle name="Percent 2 2 4 3 4" xfId="11586" xr:uid="{00000000-0005-0000-0000-0000462D0000}"/>
    <cellStyle name="Percent 2 2 4 4" xfId="12950" xr:uid="{00000000-0005-0000-0000-00009A320000}"/>
    <cellStyle name="Percent 2 2 4 5" xfId="15316" xr:uid="{00000000-0005-0000-0000-0000D83B0000}"/>
    <cellStyle name="Percent 2 2 4 6" xfId="19145" xr:uid="{00000000-0005-0000-0000-0000CD4A0000}"/>
    <cellStyle name="Percent 2 2 4 7" xfId="11584" xr:uid="{00000000-0005-0000-0000-0000442D0000}"/>
    <cellStyle name="Percent 2 2 4 8" xfId="4531" xr:uid="{00000000-0005-0000-0000-0000B7110000}"/>
    <cellStyle name="Percent 2 2 5" xfId="1667" xr:uid="{00000000-0005-0000-0000-000087060000}"/>
    <cellStyle name="Percent 2 2 5 2" xfId="2787" xr:uid="{00000000-0005-0000-0000-0000E70A0000}"/>
    <cellStyle name="Percent 2 2 5 3" xfId="15807" xr:uid="{00000000-0005-0000-0000-0000C33D0000}"/>
    <cellStyle name="Percent 2 2 5 4" xfId="11587" xr:uid="{00000000-0005-0000-0000-0000472D0000}"/>
    <cellStyle name="Percent 2 2 6" xfId="1668" xr:uid="{00000000-0005-0000-0000-000088060000}"/>
    <cellStyle name="Percent 2 2 6 2" xfId="2788" xr:uid="{00000000-0005-0000-0000-0000E80A0000}"/>
    <cellStyle name="Percent 2 2 6 2 2" xfId="16717" xr:uid="{00000000-0005-0000-0000-000051410000}"/>
    <cellStyle name="Percent 2 2 6 2 3" xfId="15709" xr:uid="{00000000-0005-0000-0000-0000613D0000}"/>
    <cellStyle name="Percent 2 2 6 2 4" xfId="11589" xr:uid="{00000000-0005-0000-0000-0000492D0000}"/>
    <cellStyle name="Percent 2 2 6 3" xfId="9510" xr:uid="{00000000-0005-0000-0000-00002A250000}"/>
    <cellStyle name="Percent 2 2 6 3 2" xfId="17740" xr:uid="{00000000-0005-0000-0000-000050450000}"/>
    <cellStyle name="Percent 2 2 6 3 3" xfId="19142" xr:uid="{00000000-0005-0000-0000-0000CA4A0000}"/>
    <cellStyle name="Percent 2 2 6 3 4" xfId="11590" xr:uid="{00000000-0005-0000-0000-00004A2D0000}"/>
    <cellStyle name="Percent 2 2 6 4" xfId="12951" xr:uid="{00000000-0005-0000-0000-00009B320000}"/>
    <cellStyle name="Percent 2 2 6 5" xfId="15781" xr:uid="{00000000-0005-0000-0000-0000A93D0000}"/>
    <cellStyle name="Percent 2 2 6 6" xfId="19072" xr:uid="{00000000-0005-0000-0000-0000844A0000}"/>
    <cellStyle name="Percent 2 2 6 7" xfId="11588" xr:uid="{00000000-0005-0000-0000-0000482D0000}"/>
    <cellStyle name="Percent 2 2 6 8" xfId="6737" xr:uid="{00000000-0005-0000-0000-0000551A0000}"/>
    <cellStyle name="Percent 2 2 7" xfId="1669" xr:uid="{00000000-0005-0000-0000-000089060000}"/>
    <cellStyle name="Percent 2 2 7 2" xfId="2789" xr:uid="{00000000-0005-0000-0000-0000E90A0000}"/>
    <cellStyle name="Percent 2 2 7 2 2" xfId="16718" xr:uid="{00000000-0005-0000-0000-000052410000}"/>
    <cellStyle name="Percent 2 2 7 2 3" xfId="19342" xr:uid="{00000000-0005-0000-0000-0000924B0000}"/>
    <cellStyle name="Percent 2 2 7 2 4" xfId="11592" xr:uid="{00000000-0005-0000-0000-00004C2D0000}"/>
    <cellStyle name="Percent 2 2 7 3" xfId="9511" xr:uid="{00000000-0005-0000-0000-00002B250000}"/>
    <cellStyle name="Percent 2 2 7 3 2" xfId="17741" xr:uid="{00000000-0005-0000-0000-000051450000}"/>
    <cellStyle name="Percent 2 2 7 3 3" xfId="15641" xr:uid="{00000000-0005-0000-0000-00001D3D0000}"/>
    <cellStyle name="Percent 2 2 7 3 4" xfId="11593" xr:uid="{00000000-0005-0000-0000-00004D2D0000}"/>
    <cellStyle name="Percent 2 2 7 4" xfId="12952" xr:uid="{00000000-0005-0000-0000-00009C320000}"/>
    <cellStyle name="Percent 2 2 7 5" xfId="15779" xr:uid="{00000000-0005-0000-0000-0000A73D0000}"/>
    <cellStyle name="Percent 2 2 7 6" xfId="19406" xr:uid="{00000000-0005-0000-0000-0000D24B0000}"/>
    <cellStyle name="Percent 2 2 7 7" xfId="11591" xr:uid="{00000000-0005-0000-0000-00004B2D0000}"/>
    <cellStyle name="Percent 2 2 7 8" xfId="6736" xr:uid="{00000000-0005-0000-0000-0000541A0000}"/>
    <cellStyle name="Percent 2 2 8" xfId="1670" xr:uid="{00000000-0005-0000-0000-00008A060000}"/>
    <cellStyle name="Percent 2 2 8 2" xfId="2790" xr:uid="{00000000-0005-0000-0000-0000EA0A0000}"/>
    <cellStyle name="Percent 2 2 8 3" xfId="15672" xr:uid="{00000000-0005-0000-0000-00003C3D0000}"/>
    <cellStyle name="Percent 2 2 8 4" xfId="11594" xr:uid="{00000000-0005-0000-0000-00004E2D0000}"/>
    <cellStyle name="Percent 2 2 9" xfId="2783" xr:uid="{00000000-0005-0000-0000-0000E30A0000}"/>
    <cellStyle name="Percent 2 2 9 2" xfId="15094" xr:uid="{00000000-0005-0000-0000-0000FA3A0000}"/>
    <cellStyle name="Percent 2 2 9 3" xfId="15775" xr:uid="{00000000-0005-0000-0000-0000A33D0000}"/>
    <cellStyle name="Percent 2 2 9 4" xfId="11595" xr:uid="{00000000-0005-0000-0000-00004F2D0000}"/>
    <cellStyle name="Percent 2 20" xfId="1639" xr:uid="{00000000-0005-0000-0000-00006B060000}"/>
    <cellStyle name="Percent 2 20 2" xfId="12954" xr:uid="{00000000-0005-0000-0000-00009E320000}"/>
    <cellStyle name="Percent 2 20 2 2" xfId="12955" xr:uid="{00000000-0005-0000-0000-00009F320000}"/>
    <cellStyle name="Percent 2 20 2 3" xfId="12956" xr:uid="{00000000-0005-0000-0000-0000A0320000}"/>
    <cellStyle name="Percent 2 20 2 4" xfId="12957" xr:uid="{00000000-0005-0000-0000-0000A1320000}"/>
    <cellStyle name="Percent 2 20 3" xfId="12953" xr:uid="{00000000-0005-0000-0000-00009D320000}"/>
    <cellStyle name="Percent 2 20 4" xfId="19037" xr:uid="{00000000-0005-0000-0000-0000614A0000}"/>
    <cellStyle name="Percent 2 20 5" xfId="11596" xr:uid="{00000000-0005-0000-0000-0000502D0000}"/>
    <cellStyle name="Percent 2 21" xfId="6738" xr:uid="{00000000-0005-0000-0000-0000561A0000}"/>
    <cellStyle name="Percent 2 21 2" xfId="12958" xr:uid="{00000000-0005-0000-0000-0000A2320000}"/>
    <cellStyle name="Percent 2 21 3" xfId="19242" xr:uid="{00000000-0005-0000-0000-00002E4B0000}"/>
    <cellStyle name="Percent 2 21 4" xfId="11597" xr:uid="{00000000-0005-0000-0000-0000512D0000}"/>
    <cellStyle name="Percent 2 22" xfId="6739" xr:uid="{00000000-0005-0000-0000-0000571A0000}"/>
    <cellStyle name="Percent 2 22 2" xfId="12959" xr:uid="{00000000-0005-0000-0000-0000A3320000}"/>
    <cellStyle name="Percent 2 22 3" xfId="15508" xr:uid="{00000000-0005-0000-0000-0000983C0000}"/>
    <cellStyle name="Percent 2 22 4" xfId="11598" xr:uid="{00000000-0005-0000-0000-0000522D0000}"/>
    <cellStyle name="Percent 2 23" xfId="6740" xr:uid="{00000000-0005-0000-0000-0000581A0000}"/>
    <cellStyle name="Percent 2 23 2" xfId="12960" xr:uid="{00000000-0005-0000-0000-0000A4320000}"/>
    <cellStyle name="Percent 2 23 3" xfId="15666" xr:uid="{00000000-0005-0000-0000-0000363D0000}"/>
    <cellStyle name="Percent 2 23 4" xfId="11599" xr:uid="{00000000-0005-0000-0000-0000532D0000}"/>
    <cellStyle name="Percent 2 24" xfId="6741" xr:uid="{00000000-0005-0000-0000-0000591A0000}"/>
    <cellStyle name="Percent 2 24 2" xfId="12961" xr:uid="{00000000-0005-0000-0000-0000A5320000}"/>
    <cellStyle name="Percent 2 24 3" xfId="15271" xr:uid="{00000000-0005-0000-0000-0000AB3B0000}"/>
    <cellStyle name="Percent 2 24 4" xfId="11600" xr:uid="{00000000-0005-0000-0000-0000542D0000}"/>
    <cellStyle name="Percent 2 25" xfId="6742" xr:uid="{00000000-0005-0000-0000-00005A1A0000}"/>
    <cellStyle name="Percent 2 25 2" xfId="12962" xr:uid="{00000000-0005-0000-0000-0000A6320000}"/>
    <cellStyle name="Percent 2 25 3" xfId="16605" xr:uid="{00000000-0005-0000-0000-0000E1400000}"/>
    <cellStyle name="Percent 2 25 4" xfId="11601" xr:uid="{00000000-0005-0000-0000-0000552D0000}"/>
    <cellStyle name="Percent 2 26" xfId="6743" xr:uid="{00000000-0005-0000-0000-00005B1A0000}"/>
    <cellStyle name="Percent 2 26 2" xfId="12963" xr:uid="{00000000-0005-0000-0000-0000A7320000}"/>
    <cellStyle name="Percent 2 26 3" xfId="19424" xr:uid="{00000000-0005-0000-0000-0000E44B0000}"/>
    <cellStyle name="Percent 2 26 4" xfId="11602" xr:uid="{00000000-0005-0000-0000-0000562D0000}"/>
    <cellStyle name="Percent 2 27" xfId="6744" xr:uid="{00000000-0005-0000-0000-00005C1A0000}"/>
    <cellStyle name="Percent 2 27 2" xfId="12964" xr:uid="{00000000-0005-0000-0000-0000A8320000}"/>
    <cellStyle name="Percent 2 27 3" xfId="19196" xr:uid="{00000000-0005-0000-0000-0000004B0000}"/>
    <cellStyle name="Percent 2 27 4" xfId="11603" xr:uid="{00000000-0005-0000-0000-0000572D0000}"/>
    <cellStyle name="Percent 2 28" xfId="6745" xr:uid="{00000000-0005-0000-0000-00005D1A0000}"/>
    <cellStyle name="Percent 2 28 2" xfId="12965" xr:uid="{00000000-0005-0000-0000-0000A9320000}"/>
    <cellStyle name="Percent 2 28 3" xfId="19393" xr:uid="{00000000-0005-0000-0000-0000C54B0000}"/>
    <cellStyle name="Percent 2 28 4" xfId="11604" xr:uid="{00000000-0005-0000-0000-0000582D0000}"/>
    <cellStyle name="Percent 2 29" xfId="6746" xr:uid="{00000000-0005-0000-0000-00005E1A0000}"/>
    <cellStyle name="Percent 2 29 2" xfId="12966" xr:uid="{00000000-0005-0000-0000-0000AA320000}"/>
    <cellStyle name="Percent 2 29 3" xfId="16341" xr:uid="{00000000-0005-0000-0000-0000D93F0000}"/>
    <cellStyle name="Percent 2 29 4" xfId="11605" xr:uid="{00000000-0005-0000-0000-0000592D0000}"/>
    <cellStyle name="Percent 2 3" xfId="159" xr:uid="{00000000-0005-0000-0000-0000A3000000}"/>
    <cellStyle name="Percent 2 3 10" xfId="1671" xr:uid="{00000000-0005-0000-0000-00008B060000}"/>
    <cellStyle name="Percent 2 3 10 2" xfId="12968" xr:uid="{00000000-0005-0000-0000-0000AC320000}"/>
    <cellStyle name="Percent 2 3 10 3" xfId="16788" xr:uid="{00000000-0005-0000-0000-000098410000}"/>
    <cellStyle name="Percent 2 3 10 4" xfId="11607" xr:uid="{00000000-0005-0000-0000-00005B2D0000}"/>
    <cellStyle name="Percent 2 3 11" xfId="6747" xr:uid="{00000000-0005-0000-0000-00005F1A0000}"/>
    <cellStyle name="Percent 2 3 11 2" xfId="12969" xr:uid="{00000000-0005-0000-0000-0000AD320000}"/>
    <cellStyle name="Percent 2 3 11 3" xfId="16702" xr:uid="{00000000-0005-0000-0000-000042410000}"/>
    <cellStyle name="Percent 2 3 11 4" xfId="11608" xr:uid="{00000000-0005-0000-0000-00005C2D0000}"/>
    <cellStyle name="Percent 2 3 12" xfId="6748" xr:uid="{00000000-0005-0000-0000-0000601A0000}"/>
    <cellStyle name="Percent 2 3 12 2" xfId="12970" xr:uid="{00000000-0005-0000-0000-0000AE320000}"/>
    <cellStyle name="Percent 2 3 12 3" xfId="19362" xr:uid="{00000000-0005-0000-0000-0000A64B0000}"/>
    <cellStyle name="Percent 2 3 12 4" xfId="11609" xr:uid="{00000000-0005-0000-0000-00005D2D0000}"/>
    <cellStyle name="Percent 2 3 13" xfId="6749" xr:uid="{00000000-0005-0000-0000-0000611A0000}"/>
    <cellStyle name="Percent 2 3 13 2" xfId="12971" xr:uid="{00000000-0005-0000-0000-0000AF320000}"/>
    <cellStyle name="Percent 2 3 13 3" xfId="19086" xr:uid="{00000000-0005-0000-0000-0000924A0000}"/>
    <cellStyle name="Percent 2 3 13 4" xfId="11610" xr:uid="{00000000-0005-0000-0000-00005E2D0000}"/>
    <cellStyle name="Percent 2 3 14" xfId="6750" xr:uid="{00000000-0005-0000-0000-0000621A0000}"/>
    <cellStyle name="Percent 2 3 14 2" xfId="12972" xr:uid="{00000000-0005-0000-0000-0000B0320000}"/>
    <cellStyle name="Percent 2 3 14 3" xfId="15601" xr:uid="{00000000-0005-0000-0000-0000F53C0000}"/>
    <cellStyle name="Percent 2 3 14 4" xfId="11611" xr:uid="{00000000-0005-0000-0000-00005F2D0000}"/>
    <cellStyle name="Percent 2 3 15" xfId="6751" xr:uid="{00000000-0005-0000-0000-0000631A0000}"/>
    <cellStyle name="Percent 2 3 15 2" xfId="12973" xr:uid="{00000000-0005-0000-0000-0000B1320000}"/>
    <cellStyle name="Percent 2 3 15 3" xfId="17373" xr:uid="{00000000-0005-0000-0000-0000E1430000}"/>
    <cellStyle name="Percent 2 3 15 4" xfId="11612" xr:uid="{00000000-0005-0000-0000-0000602D0000}"/>
    <cellStyle name="Percent 2 3 16" xfId="6752" xr:uid="{00000000-0005-0000-0000-0000641A0000}"/>
    <cellStyle name="Percent 2 3 16 2" xfId="15784" xr:uid="{00000000-0005-0000-0000-0000AC3D0000}"/>
    <cellStyle name="Percent 2 3 16 3" xfId="15484" xr:uid="{00000000-0005-0000-0000-0000803C0000}"/>
    <cellStyle name="Percent 2 3 16 4" xfId="11613" xr:uid="{00000000-0005-0000-0000-0000612D0000}"/>
    <cellStyle name="Percent 2 3 17" xfId="12967" xr:uid="{00000000-0005-0000-0000-0000AB320000}"/>
    <cellStyle name="Percent 2 3 18" xfId="15429" xr:uid="{00000000-0005-0000-0000-0000493C0000}"/>
    <cellStyle name="Percent 2 3 19" xfId="11606" xr:uid="{00000000-0005-0000-0000-00005A2D0000}"/>
    <cellStyle name="Percent 2 3 2" xfId="160" xr:uid="{00000000-0005-0000-0000-0000A4000000}"/>
    <cellStyle name="Percent 2 3 2 2" xfId="2792" xr:uid="{00000000-0005-0000-0000-0000EC0A0000}"/>
    <cellStyle name="Percent 2 3 2 3" xfId="1672" xr:uid="{00000000-0005-0000-0000-00008C060000}"/>
    <cellStyle name="Percent 2 3 2 3 2" xfId="19428" xr:uid="{00000000-0005-0000-0000-0000E84B0000}"/>
    <cellStyle name="Percent 2 3 2 4" xfId="11614" xr:uid="{00000000-0005-0000-0000-0000622D0000}"/>
    <cellStyle name="Percent 2 3 3" xfId="161" xr:uid="{00000000-0005-0000-0000-0000A5000000}"/>
    <cellStyle name="Percent 2 3 3 2" xfId="162" xr:uid="{00000000-0005-0000-0000-0000A6000000}"/>
    <cellStyle name="Percent 2 3 3 2 2" xfId="2793" xr:uid="{00000000-0005-0000-0000-0000ED0A0000}"/>
    <cellStyle name="Percent 2 3 3 2 3" xfId="17201" xr:uid="{00000000-0005-0000-0000-000035430000}"/>
    <cellStyle name="Percent 2 3 3 2 4" xfId="11616" xr:uid="{00000000-0005-0000-0000-0000642D0000}"/>
    <cellStyle name="Percent 2 3 3 3" xfId="1673" xr:uid="{00000000-0005-0000-0000-00008D060000}"/>
    <cellStyle name="Percent 2 3 3 3 2" xfId="4532" xr:uid="{00000000-0005-0000-0000-0000B8110000}"/>
    <cellStyle name="Percent 2 3 3 3 2 2" xfId="15318" xr:uid="{00000000-0005-0000-0000-0000DA3B0000}"/>
    <cellStyle name="Percent 2 3 3 3 2 3" xfId="19397" xr:uid="{00000000-0005-0000-0000-0000C94B0000}"/>
    <cellStyle name="Percent 2 3 3 3 2 4" xfId="11618" xr:uid="{00000000-0005-0000-0000-0000662D0000}"/>
    <cellStyle name="Percent 2 3 3 3 3" xfId="4533" xr:uid="{00000000-0005-0000-0000-0000B9110000}"/>
    <cellStyle name="Percent 2 3 3 3 3 2" xfId="15319" xr:uid="{00000000-0005-0000-0000-0000DB3B0000}"/>
    <cellStyle name="Percent 2 3 3 3 3 3" xfId="19047" xr:uid="{00000000-0005-0000-0000-00006B4A0000}"/>
    <cellStyle name="Percent 2 3 3 3 3 4" xfId="11619" xr:uid="{00000000-0005-0000-0000-0000672D0000}"/>
    <cellStyle name="Percent 2 3 3 3 4" xfId="4581" xr:uid="{00000000-0005-0000-0000-0000E9110000}"/>
    <cellStyle name="Percent 2 3 3 3 4 2" xfId="6753" xr:uid="{00000000-0005-0000-0000-0000651A0000}"/>
    <cellStyle name="Percent 2 3 3 3 4 2 2" xfId="15785" xr:uid="{00000000-0005-0000-0000-0000AD3D0000}"/>
    <cellStyle name="Percent 2 3 3 3 4 2 3" xfId="19329" xr:uid="{00000000-0005-0000-0000-0000854B0000}"/>
    <cellStyle name="Percent 2 3 3 3 4 2 4" xfId="11621" xr:uid="{00000000-0005-0000-0000-0000692D0000}"/>
    <cellStyle name="Percent 2 3 3 3 4 3" xfId="15367" xr:uid="{00000000-0005-0000-0000-00000B3C0000}"/>
    <cellStyle name="Percent 2 3 3 3 4 4" xfId="19222" xr:uid="{00000000-0005-0000-0000-00001A4B0000}"/>
    <cellStyle name="Percent 2 3 3 3 4 5" xfId="11620" xr:uid="{00000000-0005-0000-0000-0000682D0000}"/>
    <cellStyle name="Percent 2 3 3 3 5" xfId="15317" xr:uid="{00000000-0005-0000-0000-0000D93B0000}"/>
    <cellStyle name="Percent 2 3 3 3 6" xfId="16794" xr:uid="{00000000-0005-0000-0000-00009E410000}"/>
    <cellStyle name="Percent 2 3 3 3 7" xfId="11617" xr:uid="{00000000-0005-0000-0000-0000652D0000}"/>
    <cellStyle name="Percent 2 3 3 4" xfId="12974" xr:uid="{00000000-0005-0000-0000-0000B2320000}"/>
    <cellStyle name="Percent 2 3 3 5" xfId="19128" xr:uid="{00000000-0005-0000-0000-0000BC4A0000}"/>
    <cellStyle name="Percent 2 3 3 6" xfId="11615" xr:uid="{00000000-0005-0000-0000-0000632D0000}"/>
    <cellStyle name="Percent 2 3 4" xfId="1674" xr:uid="{00000000-0005-0000-0000-00008E060000}"/>
    <cellStyle name="Percent 2 3 4 2" xfId="2794" xr:uid="{00000000-0005-0000-0000-0000EE0A0000}"/>
    <cellStyle name="Percent 2 3 4 3" xfId="19267" xr:uid="{00000000-0005-0000-0000-0000474B0000}"/>
    <cellStyle name="Percent 2 3 4 4" xfId="11622" xr:uid="{00000000-0005-0000-0000-00006A2D0000}"/>
    <cellStyle name="Percent 2 3 5" xfId="1675" xr:uid="{00000000-0005-0000-0000-00008F060000}"/>
    <cellStyle name="Percent 2 3 5 2" xfId="2795" xr:uid="{00000000-0005-0000-0000-0000EF0A0000}"/>
    <cellStyle name="Percent 2 3 5 2 2" xfId="15786" xr:uid="{00000000-0005-0000-0000-0000AE3D0000}"/>
    <cellStyle name="Percent 2 3 5 2 3" xfId="19164" xr:uid="{00000000-0005-0000-0000-0000E04A0000}"/>
    <cellStyle name="Percent 2 3 5 2 4" xfId="11624" xr:uid="{00000000-0005-0000-0000-00006C2D0000}"/>
    <cellStyle name="Percent 2 3 5 3" xfId="12975" xr:uid="{00000000-0005-0000-0000-0000B3320000}"/>
    <cellStyle name="Percent 2 3 5 4" xfId="15619" xr:uid="{00000000-0005-0000-0000-0000073D0000}"/>
    <cellStyle name="Percent 2 3 5 5" xfId="11623" xr:uid="{00000000-0005-0000-0000-00006B2D0000}"/>
    <cellStyle name="Percent 2 3 6" xfId="1676" xr:uid="{00000000-0005-0000-0000-000090060000}"/>
    <cellStyle name="Percent 2 3 6 2" xfId="2796" xr:uid="{00000000-0005-0000-0000-0000F00A0000}"/>
    <cellStyle name="Percent 2 3 6 3" xfId="16358" xr:uid="{00000000-0005-0000-0000-0000EA3F0000}"/>
    <cellStyle name="Percent 2 3 6 4" xfId="11625" xr:uid="{00000000-0005-0000-0000-00006D2D0000}"/>
    <cellStyle name="Percent 2 3 7" xfId="1677" xr:uid="{00000000-0005-0000-0000-000091060000}"/>
    <cellStyle name="Percent 2 3 7 2" xfId="2797" xr:uid="{00000000-0005-0000-0000-0000F10A0000}"/>
    <cellStyle name="Percent 2 3 7 3" xfId="17297" xr:uid="{00000000-0005-0000-0000-000095430000}"/>
    <cellStyle name="Percent 2 3 7 4" xfId="11626" xr:uid="{00000000-0005-0000-0000-00006E2D0000}"/>
    <cellStyle name="Percent 2 3 8" xfId="1678" xr:uid="{00000000-0005-0000-0000-000092060000}"/>
    <cellStyle name="Percent 2 3 8 2" xfId="2798" xr:uid="{00000000-0005-0000-0000-0000F20A0000}"/>
    <cellStyle name="Percent 2 3 8 3" xfId="15773" xr:uid="{00000000-0005-0000-0000-0000A13D0000}"/>
    <cellStyle name="Percent 2 3 8 4" xfId="11627" xr:uid="{00000000-0005-0000-0000-00006F2D0000}"/>
    <cellStyle name="Percent 2 3 9" xfId="2791" xr:uid="{00000000-0005-0000-0000-0000EB0A0000}"/>
    <cellStyle name="Percent 2 3 9 2" xfId="12976" xr:uid="{00000000-0005-0000-0000-0000B4320000}"/>
    <cellStyle name="Percent 2 3 9 3" xfId="19405" xr:uid="{00000000-0005-0000-0000-0000D14B0000}"/>
    <cellStyle name="Percent 2 3 9 4" xfId="11628" xr:uid="{00000000-0005-0000-0000-0000702D0000}"/>
    <cellStyle name="Percent 2 30" xfId="6754" xr:uid="{00000000-0005-0000-0000-0000661A0000}"/>
    <cellStyle name="Percent 2 30 2" xfId="12977" xr:uid="{00000000-0005-0000-0000-0000B5320000}"/>
    <cellStyle name="Percent 2 30 3" xfId="15363" xr:uid="{00000000-0005-0000-0000-0000073C0000}"/>
    <cellStyle name="Percent 2 30 4" xfId="11629" xr:uid="{00000000-0005-0000-0000-0000712D0000}"/>
    <cellStyle name="Percent 2 31" xfId="6755" xr:uid="{00000000-0005-0000-0000-0000671A0000}"/>
    <cellStyle name="Percent 2 31 2" xfId="12978" xr:uid="{00000000-0005-0000-0000-0000B6320000}"/>
    <cellStyle name="Percent 2 31 3" xfId="15545" xr:uid="{00000000-0005-0000-0000-0000BD3C0000}"/>
    <cellStyle name="Percent 2 31 4" xfId="11630" xr:uid="{00000000-0005-0000-0000-0000722D0000}"/>
    <cellStyle name="Percent 2 32" xfId="6756" xr:uid="{00000000-0005-0000-0000-0000681A0000}"/>
    <cellStyle name="Percent 2 32 2" xfId="12979" xr:uid="{00000000-0005-0000-0000-0000B7320000}"/>
    <cellStyle name="Percent 2 32 3" xfId="15299" xr:uid="{00000000-0005-0000-0000-0000C73B0000}"/>
    <cellStyle name="Percent 2 32 4" xfId="11631" xr:uid="{00000000-0005-0000-0000-0000732D0000}"/>
    <cellStyle name="Percent 2 33" xfId="6757" xr:uid="{00000000-0005-0000-0000-0000691A0000}"/>
    <cellStyle name="Percent 2 33 2" xfId="12980" xr:uid="{00000000-0005-0000-0000-0000B8320000}"/>
    <cellStyle name="Percent 2 33 3" xfId="15776" xr:uid="{00000000-0005-0000-0000-0000A43D0000}"/>
    <cellStyle name="Percent 2 33 4" xfId="11632" xr:uid="{00000000-0005-0000-0000-0000742D0000}"/>
    <cellStyle name="Percent 2 34" xfId="6758" xr:uid="{00000000-0005-0000-0000-00006A1A0000}"/>
    <cellStyle name="Percent 2 34 2" xfId="12981" xr:uid="{00000000-0005-0000-0000-0000B9320000}"/>
    <cellStyle name="Percent 2 34 3" xfId="17296" xr:uid="{00000000-0005-0000-0000-000094430000}"/>
    <cellStyle name="Percent 2 34 4" xfId="11633" xr:uid="{00000000-0005-0000-0000-0000752D0000}"/>
    <cellStyle name="Percent 2 35" xfId="6759" xr:uid="{00000000-0005-0000-0000-00006B1A0000}"/>
    <cellStyle name="Percent 2 35 2" xfId="12982" xr:uid="{00000000-0005-0000-0000-0000BA320000}"/>
    <cellStyle name="Percent 2 35 3" xfId="15504" xr:uid="{00000000-0005-0000-0000-0000943C0000}"/>
    <cellStyle name="Percent 2 35 4" xfId="11634" xr:uid="{00000000-0005-0000-0000-0000762D0000}"/>
    <cellStyle name="Percent 2 36" xfId="6760" xr:uid="{00000000-0005-0000-0000-00006C1A0000}"/>
    <cellStyle name="Percent 2 36 2" xfId="12983" xr:uid="{00000000-0005-0000-0000-0000BB320000}"/>
    <cellStyle name="Percent 2 36 3" xfId="17286" xr:uid="{00000000-0005-0000-0000-00008A430000}"/>
    <cellStyle name="Percent 2 36 4" xfId="11635" xr:uid="{00000000-0005-0000-0000-0000772D0000}"/>
    <cellStyle name="Percent 2 37" xfId="6761" xr:uid="{00000000-0005-0000-0000-00006D1A0000}"/>
    <cellStyle name="Percent 2 37 2" xfId="12984" xr:uid="{00000000-0005-0000-0000-0000BC320000}"/>
    <cellStyle name="Percent 2 37 3" xfId="19198" xr:uid="{00000000-0005-0000-0000-0000024B0000}"/>
    <cellStyle name="Percent 2 37 4" xfId="11636" xr:uid="{00000000-0005-0000-0000-0000782D0000}"/>
    <cellStyle name="Percent 2 38" xfId="6762" xr:uid="{00000000-0005-0000-0000-00006E1A0000}"/>
    <cellStyle name="Percent 2 38 2" xfId="12985" xr:uid="{00000000-0005-0000-0000-0000BD320000}"/>
    <cellStyle name="Percent 2 38 3" xfId="15470" xr:uid="{00000000-0005-0000-0000-0000723C0000}"/>
    <cellStyle name="Percent 2 38 4" xfId="11637" xr:uid="{00000000-0005-0000-0000-0000792D0000}"/>
    <cellStyle name="Percent 2 39" xfId="6763" xr:uid="{00000000-0005-0000-0000-00006F1A0000}"/>
    <cellStyle name="Percent 2 39 2" xfId="12986" xr:uid="{00000000-0005-0000-0000-0000BE320000}"/>
    <cellStyle name="Percent 2 39 3" xfId="19154" xr:uid="{00000000-0005-0000-0000-0000D64A0000}"/>
    <cellStyle name="Percent 2 39 4" xfId="11638" xr:uid="{00000000-0005-0000-0000-00007A2D0000}"/>
    <cellStyle name="Percent 2 4" xfId="163" xr:uid="{00000000-0005-0000-0000-0000A7000000}"/>
    <cellStyle name="Percent 2 4 10" xfId="1679" xr:uid="{00000000-0005-0000-0000-000093060000}"/>
    <cellStyle name="Percent 2 4 10 2" xfId="12988" xr:uid="{00000000-0005-0000-0000-0000C0320000}"/>
    <cellStyle name="Percent 2 4 10 3" xfId="15505" xr:uid="{00000000-0005-0000-0000-0000953C0000}"/>
    <cellStyle name="Percent 2 4 10 4" xfId="11640" xr:uid="{00000000-0005-0000-0000-00007C2D0000}"/>
    <cellStyle name="Percent 2 4 11" xfId="6764" xr:uid="{00000000-0005-0000-0000-0000701A0000}"/>
    <cellStyle name="Percent 2 4 11 2" xfId="12989" xr:uid="{00000000-0005-0000-0000-0000C1320000}"/>
    <cellStyle name="Percent 2 4 11 3" xfId="15411" xr:uid="{00000000-0005-0000-0000-0000373C0000}"/>
    <cellStyle name="Percent 2 4 11 4" xfId="11641" xr:uid="{00000000-0005-0000-0000-00007D2D0000}"/>
    <cellStyle name="Percent 2 4 12" xfId="6765" xr:uid="{00000000-0005-0000-0000-0000711A0000}"/>
    <cellStyle name="Percent 2 4 12 2" xfId="12990" xr:uid="{00000000-0005-0000-0000-0000C2320000}"/>
    <cellStyle name="Percent 2 4 12 3" xfId="19026" xr:uid="{00000000-0005-0000-0000-0000564A0000}"/>
    <cellStyle name="Percent 2 4 12 4" xfId="11642" xr:uid="{00000000-0005-0000-0000-00007E2D0000}"/>
    <cellStyle name="Percent 2 4 13" xfId="6766" xr:uid="{00000000-0005-0000-0000-0000721A0000}"/>
    <cellStyle name="Percent 2 4 13 2" xfId="12991" xr:uid="{00000000-0005-0000-0000-0000C3320000}"/>
    <cellStyle name="Percent 2 4 13 3" xfId="15616" xr:uid="{00000000-0005-0000-0000-0000043D0000}"/>
    <cellStyle name="Percent 2 4 13 4" xfId="11643" xr:uid="{00000000-0005-0000-0000-00007F2D0000}"/>
    <cellStyle name="Percent 2 4 14" xfId="6767" xr:uid="{00000000-0005-0000-0000-0000731A0000}"/>
    <cellStyle name="Percent 2 4 14 2" xfId="12992" xr:uid="{00000000-0005-0000-0000-0000C4320000}"/>
    <cellStyle name="Percent 2 4 14 3" xfId="19214" xr:uid="{00000000-0005-0000-0000-0000124B0000}"/>
    <cellStyle name="Percent 2 4 14 4" xfId="11644" xr:uid="{00000000-0005-0000-0000-0000802D0000}"/>
    <cellStyle name="Percent 2 4 15" xfId="6768" xr:uid="{00000000-0005-0000-0000-0000741A0000}"/>
    <cellStyle name="Percent 2 4 15 2" xfId="12993" xr:uid="{00000000-0005-0000-0000-0000C5320000}"/>
    <cellStyle name="Percent 2 4 15 3" xfId="15438" xr:uid="{00000000-0005-0000-0000-0000523C0000}"/>
    <cellStyle name="Percent 2 4 15 4" xfId="11645" xr:uid="{00000000-0005-0000-0000-0000812D0000}"/>
    <cellStyle name="Percent 2 4 16" xfId="6769" xr:uid="{00000000-0005-0000-0000-0000751A0000}"/>
    <cellStyle name="Percent 2 4 16 2" xfId="15790" xr:uid="{00000000-0005-0000-0000-0000B23D0000}"/>
    <cellStyle name="Percent 2 4 16 3" xfId="15427" xr:uid="{00000000-0005-0000-0000-0000473C0000}"/>
    <cellStyle name="Percent 2 4 16 4" xfId="11646" xr:uid="{00000000-0005-0000-0000-0000822D0000}"/>
    <cellStyle name="Percent 2 4 17" xfId="8894" xr:uid="{00000000-0005-0000-0000-0000C2220000}"/>
    <cellStyle name="Percent 2 4 17 2" xfId="17265" xr:uid="{00000000-0005-0000-0000-000075430000}"/>
    <cellStyle name="Percent 2 4 17 3" xfId="16632" xr:uid="{00000000-0005-0000-0000-0000FC400000}"/>
    <cellStyle name="Percent 2 4 17 4" xfId="11647" xr:uid="{00000000-0005-0000-0000-0000832D0000}"/>
    <cellStyle name="Percent 2 4 18" xfId="12987" xr:uid="{00000000-0005-0000-0000-0000BF320000}"/>
    <cellStyle name="Percent 2 4 19" xfId="15320" xr:uid="{00000000-0005-0000-0000-0000DC3B0000}"/>
    <cellStyle name="Percent 2 4 2" xfId="1680" xr:uid="{00000000-0005-0000-0000-000094060000}"/>
    <cellStyle name="Percent 2 4 2 2" xfId="2800" xr:uid="{00000000-0005-0000-0000-0000F40A0000}"/>
    <cellStyle name="Percent 2 4 2 3" xfId="15741" xr:uid="{00000000-0005-0000-0000-0000813D0000}"/>
    <cellStyle name="Percent 2 4 2 4" xfId="11648" xr:uid="{00000000-0005-0000-0000-0000842D0000}"/>
    <cellStyle name="Percent 2 4 20" xfId="19268" xr:uid="{00000000-0005-0000-0000-0000484B0000}"/>
    <cellStyle name="Percent 2 4 21" xfId="11639" xr:uid="{00000000-0005-0000-0000-00007B2D0000}"/>
    <cellStyle name="Percent 2 4 3" xfId="1681" xr:uid="{00000000-0005-0000-0000-000095060000}"/>
    <cellStyle name="Percent 2 4 3 2" xfId="2801" xr:uid="{00000000-0005-0000-0000-0000F50A0000}"/>
    <cellStyle name="Percent 2 4 3 3" xfId="15719" xr:uid="{00000000-0005-0000-0000-00006B3D0000}"/>
    <cellStyle name="Percent 2 4 3 4" xfId="11649" xr:uid="{00000000-0005-0000-0000-0000852D0000}"/>
    <cellStyle name="Percent 2 4 4" xfId="1682" xr:uid="{00000000-0005-0000-0000-000096060000}"/>
    <cellStyle name="Percent 2 4 4 2" xfId="2802" xr:uid="{00000000-0005-0000-0000-0000F60A0000}"/>
    <cellStyle name="Percent 2 4 4 3" xfId="19175" xr:uid="{00000000-0005-0000-0000-0000EB4A0000}"/>
    <cellStyle name="Percent 2 4 4 4" xfId="11650" xr:uid="{00000000-0005-0000-0000-0000862D0000}"/>
    <cellStyle name="Percent 2 4 5" xfId="1683" xr:uid="{00000000-0005-0000-0000-000097060000}"/>
    <cellStyle name="Percent 2 4 5 2" xfId="2803" xr:uid="{00000000-0005-0000-0000-0000F70A0000}"/>
    <cellStyle name="Percent 2 4 5 3" xfId="16613" xr:uid="{00000000-0005-0000-0000-0000E9400000}"/>
    <cellStyle name="Percent 2 4 5 4" xfId="11651" xr:uid="{00000000-0005-0000-0000-0000872D0000}"/>
    <cellStyle name="Percent 2 4 6" xfId="1684" xr:uid="{00000000-0005-0000-0000-000098060000}"/>
    <cellStyle name="Percent 2 4 6 2" xfId="2804" xr:uid="{00000000-0005-0000-0000-0000F80A0000}"/>
    <cellStyle name="Percent 2 4 6 3" xfId="19231" xr:uid="{00000000-0005-0000-0000-0000234B0000}"/>
    <cellStyle name="Percent 2 4 6 4" xfId="11652" xr:uid="{00000000-0005-0000-0000-0000882D0000}"/>
    <cellStyle name="Percent 2 4 7" xfId="1685" xr:uid="{00000000-0005-0000-0000-000099060000}"/>
    <cellStyle name="Percent 2 4 7 2" xfId="2805" xr:uid="{00000000-0005-0000-0000-0000F90A0000}"/>
    <cellStyle name="Percent 2 4 7 3" xfId="15962" xr:uid="{00000000-0005-0000-0000-00005E3E0000}"/>
    <cellStyle name="Percent 2 4 7 4" xfId="11653" xr:uid="{00000000-0005-0000-0000-0000892D0000}"/>
    <cellStyle name="Percent 2 4 8" xfId="1686" xr:uid="{00000000-0005-0000-0000-00009A060000}"/>
    <cellStyle name="Percent 2 4 8 2" xfId="2806" xr:uid="{00000000-0005-0000-0000-0000FA0A0000}"/>
    <cellStyle name="Percent 2 4 8 3" xfId="17197" xr:uid="{00000000-0005-0000-0000-000031430000}"/>
    <cellStyle name="Percent 2 4 8 4" xfId="11654" xr:uid="{00000000-0005-0000-0000-00008A2D0000}"/>
    <cellStyle name="Percent 2 4 9" xfId="2799" xr:uid="{00000000-0005-0000-0000-0000F30A0000}"/>
    <cellStyle name="Percent 2 4 9 2" xfId="12994" xr:uid="{00000000-0005-0000-0000-0000C6320000}"/>
    <cellStyle name="Percent 2 4 9 3" xfId="15685" xr:uid="{00000000-0005-0000-0000-0000493D0000}"/>
    <cellStyle name="Percent 2 4 9 4" xfId="11655" xr:uid="{00000000-0005-0000-0000-00008B2D0000}"/>
    <cellStyle name="Percent 2 40" xfId="6770" xr:uid="{00000000-0005-0000-0000-0000761A0000}"/>
    <cellStyle name="Percent 2 40 2" xfId="12995" xr:uid="{00000000-0005-0000-0000-0000C7320000}"/>
    <cellStyle name="Percent 2 40 3" xfId="19351" xr:uid="{00000000-0005-0000-0000-00009B4B0000}"/>
    <cellStyle name="Percent 2 40 4" xfId="11656" xr:uid="{00000000-0005-0000-0000-00008C2D0000}"/>
    <cellStyle name="Percent 2 41" xfId="6771" xr:uid="{00000000-0005-0000-0000-0000771A0000}"/>
    <cellStyle name="Percent 2 41 2" xfId="12996" xr:uid="{00000000-0005-0000-0000-0000C8320000}"/>
    <cellStyle name="Percent 2 41 3" xfId="15597" xr:uid="{00000000-0005-0000-0000-0000F13C0000}"/>
    <cellStyle name="Percent 2 41 4" xfId="11657" xr:uid="{00000000-0005-0000-0000-00008D2D0000}"/>
    <cellStyle name="Percent 2 42" xfId="6772" xr:uid="{00000000-0005-0000-0000-0000781A0000}"/>
    <cellStyle name="Percent 2 42 2" xfId="12997" xr:uid="{00000000-0005-0000-0000-0000C9320000}"/>
    <cellStyle name="Percent 2 42 3" xfId="19302" xr:uid="{00000000-0005-0000-0000-00006A4B0000}"/>
    <cellStyle name="Percent 2 42 4" xfId="11658" xr:uid="{00000000-0005-0000-0000-00008E2D0000}"/>
    <cellStyle name="Percent 2 43" xfId="6773" xr:uid="{00000000-0005-0000-0000-0000791A0000}"/>
    <cellStyle name="Percent 2 43 2" xfId="12998" xr:uid="{00000000-0005-0000-0000-0000CA320000}"/>
    <cellStyle name="Percent 2 43 3" xfId="16361" xr:uid="{00000000-0005-0000-0000-0000ED3F0000}"/>
    <cellStyle name="Percent 2 43 4" xfId="11659" xr:uid="{00000000-0005-0000-0000-00008F2D0000}"/>
    <cellStyle name="Percent 2 44" xfId="6774" xr:uid="{00000000-0005-0000-0000-00007A1A0000}"/>
    <cellStyle name="Percent 2 44 2" xfId="12999" xr:uid="{00000000-0005-0000-0000-0000CB320000}"/>
    <cellStyle name="Percent 2 44 3" xfId="15801" xr:uid="{00000000-0005-0000-0000-0000BD3D0000}"/>
    <cellStyle name="Percent 2 44 4" xfId="11660" xr:uid="{00000000-0005-0000-0000-0000902D0000}"/>
    <cellStyle name="Percent 2 45" xfId="6775" xr:uid="{00000000-0005-0000-0000-00007B1A0000}"/>
    <cellStyle name="Percent 2 45 2" xfId="13000" xr:uid="{00000000-0005-0000-0000-0000CC320000}"/>
    <cellStyle name="Percent 2 45 3" xfId="16611" xr:uid="{00000000-0005-0000-0000-0000E7400000}"/>
    <cellStyle name="Percent 2 45 4" xfId="11661" xr:uid="{00000000-0005-0000-0000-0000912D0000}"/>
    <cellStyle name="Percent 2 46" xfId="6776" xr:uid="{00000000-0005-0000-0000-00007C1A0000}"/>
    <cellStyle name="Percent 2 46 2" xfId="13001" xr:uid="{00000000-0005-0000-0000-0000CD320000}"/>
    <cellStyle name="Percent 2 46 3" xfId="19416" xr:uid="{00000000-0005-0000-0000-0000DC4B0000}"/>
    <cellStyle name="Percent 2 46 4" xfId="11662" xr:uid="{00000000-0005-0000-0000-0000922D0000}"/>
    <cellStyle name="Percent 2 47" xfId="6777" xr:uid="{00000000-0005-0000-0000-00007D1A0000}"/>
    <cellStyle name="Percent 2 47 2" xfId="13002" xr:uid="{00000000-0005-0000-0000-0000CE320000}"/>
    <cellStyle name="Percent 2 47 3" xfId="15512" xr:uid="{00000000-0005-0000-0000-00009C3C0000}"/>
    <cellStyle name="Percent 2 47 4" xfId="11663" xr:uid="{00000000-0005-0000-0000-0000932D0000}"/>
    <cellStyle name="Percent 2 48" xfId="6778" xr:uid="{00000000-0005-0000-0000-00007E1A0000}"/>
    <cellStyle name="Percent 2 48 2" xfId="6779" xr:uid="{00000000-0005-0000-0000-00007F1A0000}"/>
    <cellStyle name="Percent 2 48 2 2" xfId="13004" xr:uid="{00000000-0005-0000-0000-0000D0320000}"/>
    <cellStyle name="Percent 2 48 2 3" xfId="16680" xr:uid="{00000000-0005-0000-0000-00002C410000}"/>
    <cellStyle name="Percent 2 48 2 4" xfId="11665" xr:uid="{00000000-0005-0000-0000-0000952D0000}"/>
    <cellStyle name="Percent 2 48 3" xfId="13005" xr:uid="{00000000-0005-0000-0000-0000D1320000}"/>
    <cellStyle name="Percent 2 48 4" xfId="13003" xr:uid="{00000000-0005-0000-0000-0000CF320000}"/>
    <cellStyle name="Percent 2 48 5" xfId="15276" xr:uid="{00000000-0005-0000-0000-0000B03B0000}"/>
    <cellStyle name="Percent 2 48 6" xfId="11664" xr:uid="{00000000-0005-0000-0000-0000942D0000}"/>
    <cellStyle name="Percent 2 49" xfId="6780" xr:uid="{00000000-0005-0000-0000-0000801A0000}"/>
    <cellStyle name="Percent 2 49 2" xfId="13007" xr:uid="{00000000-0005-0000-0000-0000D3320000}"/>
    <cellStyle name="Percent 2 49 3" xfId="13006" xr:uid="{00000000-0005-0000-0000-0000D2320000}"/>
    <cellStyle name="Percent 2 49 4" xfId="15544" xr:uid="{00000000-0005-0000-0000-0000BC3C0000}"/>
    <cellStyle name="Percent 2 49 5" xfId="11666" xr:uid="{00000000-0005-0000-0000-0000962D0000}"/>
    <cellStyle name="Percent 2 5" xfId="1687" xr:uid="{00000000-0005-0000-0000-00009B060000}"/>
    <cellStyle name="Percent 2 5 10" xfId="6781" xr:uid="{00000000-0005-0000-0000-0000811A0000}"/>
    <cellStyle name="Percent 2 5 10 2" xfId="13009" xr:uid="{00000000-0005-0000-0000-0000D5320000}"/>
    <cellStyle name="Percent 2 5 10 3" xfId="19478" xr:uid="{00000000-0005-0000-0000-00001A4C0000}"/>
    <cellStyle name="Percent 2 5 10 4" xfId="11668" xr:uid="{00000000-0005-0000-0000-0000982D0000}"/>
    <cellStyle name="Percent 2 5 11" xfId="6782" xr:uid="{00000000-0005-0000-0000-0000821A0000}"/>
    <cellStyle name="Percent 2 5 11 2" xfId="13010" xr:uid="{00000000-0005-0000-0000-0000D6320000}"/>
    <cellStyle name="Percent 2 5 11 3" xfId="19141" xr:uid="{00000000-0005-0000-0000-0000C94A0000}"/>
    <cellStyle name="Percent 2 5 11 4" xfId="11669" xr:uid="{00000000-0005-0000-0000-0000992D0000}"/>
    <cellStyle name="Percent 2 5 12" xfId="6783" xr:uid="{00000000-0005-0000-0000-0000831A0000}"/>
    <cellStyle name="Percent 2 5 12 2" xfId="13011" xr:uid="{00000000-0005-0000-0000-0000D7320000}"/>
    <cellStyle name="Percent 2 5 12 3" xfId="15310" xr:uid="{00000000-0005-0000-0000-0000D23B0000}"/>
    <cellStyle name="Percent 2 5 12 4" xfId="11670" xr:uid="{00000000-0005-0000-0000-00009A2D0000}"/>
    <cellStyle name="Percent 2 5 13" xfId="6784" xr:uid="{00000000-0005-0000-0000-0000841A0000}"/>
    <cellStyle name="Percent 2 5 13 2" xfId="13012" xr:uid="{00000000-0005-0000-0000-0000D8320000}"/>
    <cellStyle name="Percent 2 5 13 3" xfId="15810" xr:uid="{00000000-0005-0000-0000-0000C63D0000}"/>
    <cellStyle name="Percent 2 5 13 4" xfId="11671" xr:uid="{00000000-0005-0000-0000-00009B2D0000}"/>
    <cellStyle name="Percent 2 5 14" xfId="6785" xr:uid="{00000000-0005-0000-0000-0000851A0000}"/>
    <cellStyle name="Percent 2 5 14 2" xfId="13013" xr:uid="{00000000-0005-0000-0000-0000D9320000}"/>
    <cellStyle name="Percent 2 5 14 3" xfId="15532" xr:uid="{00000000-0005-0000-0000-0000B03C0000}"/>
    <cellStyle name="Percent 2 5 14 4" xfId="11672" xr:uid="{00000000-0005-0000-0000-00009C2D0000}"/>
    <cellStyle name="Percent 2 5 15" xfId="6786" xr:uid="{00000000-0005-0000-0000-0000861A0000}"/>
    <cellStyle name="Percent 2 5 15 2" xfId="13014" xr:uid="{00000000-0005-0000-0000-0000DA320000}"/>
    <cellStyle name="Percent 2 5 15 3" xfId="19533" xr:uid="{00000000-0005-0000-0000-0000514C0000}"/>
    <cellStyle name="Percent 2 5 15 4" xfId="11673" xr:uid="{00000000-0005-0000-0000-00009D2D0000}"/>
    <cellStyle name="Percent 2 5 16" xfId="13008" xr:uid="{00000000-0005-0000-0000-0000D4320000}"/>
    <cellStyle name="Percent 2 5 17" xfId="19450" xr:uid="{00000000-0005-0000-0000-0000FE4B0000}"/>
    <cellStyle name="Percent 2 5 18" xfId="11667" xr:uid="{00000000-0005-0000-0000-0000972D0000}"/>
    <cellStyle name="Percent 2 5 2" xfId="1688" xr:uid="{00000000-0005-0000-0000-00009C060000}"/>
    <cellStyle name="Percent 2 5 2 2" xfId="2808" xr:uid="{00000000-0005-0000-0000-0000FC0A0000}"/>
    <cellStyle name="Percent 2 5 2 3" xfId="16615" xr:uid="{00000000-0005-0000-0000-0000EB400000}"/>
    <cellStyle name="Percent 2 5 2 4" xfId="11674" xr:uid="{00000000-0005-0000-0000-00009E2D0000}"/>
    <cellStyle name="Percent 2 5 3" xfId="1689" xr:uid="{00000000-0005-0000-0000-00009D060000}"/>
    <cellStyle name="Percent 2 5 3 2" xfId="2809" xr:uid="{00000000-0005-0000-0000-0000FD0A0000}"/>
    <cellStyle name="Percent 2 5 3 3" xfId="19349" xr:uid="{00000000-0005-0000-0000-0000994B0000}"/>
    <cellStyle name="Percent 2 5 3 4" xfId="11675" xr:uid="{00000000-0005-0000-0000-00009F2D0000}"/>
    <cellStyle name="Percent 2 5 4" xfId="1690" xr:uid="{00000000-0005-0000-0000-00009E060000}"/>
    <cellStyle name="Percent 2 5 4 2" xfId="2810" xr:uid="{00000000-0005-0000-0000-0000FE0A0000}"/>
    <cellStyle name="Percent 2 5 4 3" xfId="15814" xr:uid="{00000000-0005-0000-0000-0000CA3D0000}"/>
    <cellStyle name="Percent 2 5 4 4" xfId="11676" xr:uid="{00000000-0005-0000-0000-0000A02D0000}"/>
    <cellStyle name="Percent 2 5 5" xfId="1691" xr:uid="{00000000-0005-0000-0000-00009F060000}"/>
    <cellStyle name="Percent 2 5 5 2" xfId="2811" xr:uid="{00000000-0005-0000-0000-0000FF0A0000}"/>
    <cellStyle name="Percent 2 5 5 3" xfId="19541" xr:uid="{00000000-0005-0000-0000-0000594C0000}"/>
    <cellStyle name="Percent 2 5 5 4" xfId="11677" xr:uid="{00000000-0005-0000-0000-0000A12D0000}"/>
    <cellStyle name="Percent 2 5 6" xfId="1692" xr:uid="{00000000-0005-0000-0000-0000A0060000}"/>
    <cellStyle name="Percent 2 5 6 2" xfId="2812" xr:uid="{00000000-0005-0000-0000-0000000B0000}"/>
    <cellStyle name="Percent 2 5 6 3" xfId="19156" xr:uid="{00000000-0005-0000-0000-0000D84A0000}"/>
    <cellStyle name="Percent 2 5 6 4" xfId="11678" xr:uid="{00000000-0005-0000-0000-0000A22D0000}"/>
    <cellStyle name="Percent 2 5 7" xfId="1693" xr:uid="{00000000-0005-0000-0000-0000A1060000}"/>
    <cellStyle name="Percent 2 5 7 2" xfId="2813" xr:uid="{00000000-0005-0000-0000-0000010B0000}"/>
    <cellStyle name="Percent 2 5 7 3" xfId="15684" xr:uid="{00000000-0005-0000-0000-0000483D0000}"/>
    <cellStyle name="Percent 2 5 7 4" xfId="11679" xr:uid="{00000000-0005-0000-0000-0000A32D0000}"/>
    <cellStyle name="Percent 2 5 8" xfId="1694" xr:uid="{00000000-0005-0000-0000-0000A2060000}"/>
    <cellStyle name="Percent 2 5 8 2" xfId="2814" xr:uid="{00000000-0005-0000-0000-0000020B0000}"/>
    <cellStyle name="Percent 2 5 8 3" xfId="19036" xr:uid="{00000000-0005-0000-0000-0000604A0000}"/>
    <cellStyle name="Percent 2 5 8 4" xfId="11680" xr:uid="{00000000-0005-0000-0000-0000A42D0000}"/>
    <cellStyle name="Percent 2 5 9" xfId="2807" xr:uid="{00000000-0005-0000-0000-0000FB0A0000}"/>
    <cellStyle name="Percent 2 5 9 2" xfId="13015" xr:uid="{00000000-0005-0000-0000-0000DB320000}"/>
    <cellStyle name="Percent 2 5 9 3" xfId="19151" xr:uid="{00000000-0005-0000-0000-0000D34A0000}"/>
    <cellStyle name="Percent 2 5 9 4" xfId="11681" xr:uid="{00000000-0005-0000-0000-0000A52D0000}"/>
    <cellStyle name="Percent 2 6" xfId="1695" xr:uid="{00000000-0005-0000-0000-0000A3060000}"/>
    <cellStyle name="Percent 2 6 10" xfId="6787" xr:uid="{00000000-0005-0000-0000-0000871A0000}"/>
    <cellStyle name="Percent 2 6 10 2" xfId="13017" xr:uid="{00000000-0005-0000-0000-0000DD320000}"/>
    <cellStyle name="Percent 2 6 10 3" xfId="17236" xr:uid="{00000000-0005-0000-0000-000058430000}"/>
    <cellStyle name="Percent 2 6 10 4" xfId="11683" xr:uid="{00000000-0005-0000-0000-0000A72D0000}"/>
    <cellStyle name="Percent 2 6 11" xfId="6788" xr:uid="{00000000-0005-0000-0000-0000881A0000}"/>
    <cellStyle name="Percent 2 6 11 2" xfId="13018" xr:uid="{00000000-0005-0000-0000-0000DE320000}"/>
    <cellStyle name="Percent 2 6 11 3" xfId="15384" xr:uid="{00000000-0005-0000-0000-00001C3C0000}"/>
    <cellStyle name="Percent 2 6 11 4" xfId="11684" xr:uid="{00000000-0005-0000-0000-0000A82D0000}"/>
    <cellStyle name="Percent 2 6 12" xfId="6789" xr:uid="{00000000-0005-0000-0000-0000891A0000}"/>
    <cellStyle name="Percent 2 6 12 2" xfId="13019" xr:uid="{00000000-0005-0000-0000-0000DF320000}"/>
    <cellStyle name="Percent 2 6 12 3" xfId="15691" xr:uid="{00000000-0005-0000-0000-00004F3D0000}"/>
    <cellStyle name="Percent 2 6 12 4" xfId="11685" xr:uid="{00000000-0005-0000-0000-0000A92D0000}"/>
    <cellStyle name="Percent 2 6 13" xfId="6790" xr:uid="{00000000-0005-0000-0000-00008A1A0000}"/>
    <cellStyle name="Percent 2 6 13 2" xfId="13020" xr:uid="{00000000-0005-0000-0000-0000E0320000}"/>
    <cellStyle name="Percent 2 6 13 3" xfId="19110" xr:uid="{00000000-0005-0000-0000-0000AA4A0000}"/>
    <cellStyle name="Percent 2 6 13 4" xfId="11686" xr:uid="{00000000-0005-0000-0000-0000AA2D0000}"/>
    <cellStyle name="Percent 2 6 14" xfId="6791" xr:uid="{00000000-0005-0000-0000-00008B1A0000}"/>
    <cellStyle name="Percent 2 6 14 2" xfId="13021" xr:uid="{00000000-0005-0000-0000-0000E1320000}"/>
    <cellStyle name="Percent 2 6 14 3" xfId="16529" xr:uid="{00000000-0005-0000-0000-000095400000}"/>
    <cellStyle name="Percent 2 6 14 4" xfId="11687" xr:uid="{00000000-0005-0000-0000-0000AB2D0000}"/>
    <cellStyle name="Percent 2 6 15" xfId="6792" xr:uid="{00000000-0005-0000-0000-00008C1A0000}"/>
    <cellStyle name="Percent 2 6 15 2" xfId="13022" xr:uid="{00000000-0005-0000-0000-0000E2320000}"/>
    <cellStyle name="Percent 2 6 15 3" xfId="16354" xr:uid="{00000000-0005-0000-0000-0000E63F0000}"/>
    <cellStyle name="Percent 2 6 15 4" xfId="11688" xr:uid="{00000000-0005-0000-0000-0000AC2D0000}"/>
    <cellStyle name="Percent 2 6 16" xfId="13016" xr:uid="{00000000-0005-0000-0000-0000DC320000}"/>
    <cellStyle name="Percent 2 6 17" xfId="15705" xr:uid="{00000000-0005-0000-0000-00005D3D0000}"/>
    <cellStyle name="Percent 2 6 18" xfId="11682" xr:uid="{00000000-0005-0000-0000-0000A62D0000}"/>
    <cellStyle name="Percent 2 6 2" xfId="1696" xr:uid="{00000000-0005-0000-0000-0000A4060000}"/>
    <cellStyle name="Percent 2 6 2 2" xfId="2816" xr:uid="{00000000-0005-0000-0000-0000040B0000}"/>
    <cellStyle name="Percent 2 6 2 3" xfId="15737" xr:uid="{00000000-0005-0000-0000-00007D3D0000}"/>
    <cellStyle name="Percent 2 6 2 4" xfId="11689" xr:uid="{00000000-0005-0000-0000-0000AD2D0000}"/>
    <cellStyle name="Percent 2 6 3" xfId="1697" xr:uid="{00000000-0005-0000-0000-0000A5060000}"/>
    <cellStyle name="Percent 2 6 3 2" xfId="2817" xr:uid="{00000000-0005-0000-0000-0000050B0000}"/>
    <cellStyle name="Percent 2 6 3 3" xfId="19433" xr:uid="{00000000-0005-0000-0000-0000ED4B0000}"/>
    <cellStyle name="Percent 2 6 3 4" xfId="11690" xr:uid="{00000000-0005-0000-0000-0000AE2D0000}"/>
    <cellStyle name="Percent 2 6 4" xfId="1698" xr:uid="{00000000-0005-0000-0000-0000A6060000}"/>
    <cellStyle name="Percent 2 6 4 2" xfId="2818" xr:uid="{00000000-0005-0000-0000-0000060B0000}"/>
    <cellStyle name="Percent 2 6 4 3" xfId="15609" xr:uid="{00000000-0005-0000-0000-0000FD3C0000}"/>
    <cellStyle name="Percent 2 6 4 4" xfId="11691" xr:uid="{00000000-0005-0000-0000-0000AF2D0000}"/>
    <cellStyle name="Percent 2 6 5" xfId="1699" xr:uid="{00000000-0005-0000-0000-0000A7060000}"/>
    <cellStyle name="Percent 2 6 5 2" xfId="2819" xr:uid="{00000000-0005-0000-0000-0000070B0000}"/>
    <cellStyle name="Percent 2 6 5 3" xfId="16755" xr:uid="{00000000-0005-0000-0000-000077410000}"/>
    <cellStyle name="Percent 2 6 5 4" xfId="11692" xr:uid="{00000000-0005-0000-0000-0000B02D0000}"/>
    <cellStyle name="Percent 2 6 6" xfId="1700" xr:uid="{00000000-0005-0000-0000-0000A8060000}"/>
    <cellStyle name="Percent 2 6 6 2" xfId="2820" xr:uid="{00000000-0005-0000-0000-0000080B0000}"/>
    <cellStyle name="Percent 2 6 6 3" xfId="15499" xr:uid="{00000000-0005-0000-0000-00008F3C0000}"/>
    <cellStyle name="Percent 2 6 6 4" xfId="11693" xr:uid="{00000000-0005-0000-0000-0000B12D0000}"/>
    <cellStyle name="Percent 2 6 7" xfId="1701" xr:uid="{00000000-0005-0000-0000-0000A9060000}"/>
    <cellStyle name="Percent 2 6 7 2" xfId="2821" xr:uid="{00000000-0005-0000-0000-0000090B0000}"/>
    <cellStyle name="Percent 2 6 7 3" xfId="19246" xr:uid="{00000000-0005-0000-0000-0000324B0000}"/>
    <cellStyle name="Percent 2 6 7 4" xfId="11694" xr:uid="{00000000-0005-0000-0000-0000B22D0000}"/>
    <cellStyle name="Percent 2 6 8" xfId="1702" xr:uid="{00000000-0005-0000-0000-0000AA060000}"/>
    <cellStyle name="Percent 2 6 8 2" xfId="2822" xr:uid="{00000000-0005-0000-0000-00000A0B0000}"/>
    <cellStyle name="Percent 2 6 8 3" xfId="16599" xr:uid="{00000000-0005-0000-0000-0000DB400000}"/>
    <cellStyle name="Percent 2 6 8 4" xfId="11695" xr:uid="{00000000-0005-0000-0000-0000B32D0000}"/>
    <cellStyle name="Percent 2 6 9" xfId="2815" xr:uid="{00000000-0005-0000-0000-0000030B0000}"/>
    <cellStyle name="Percent 2 6 9 2" xfId="13023" xr:uid="{00000000-0005-0000-0000-0000E3320000}"/>
    <cellStyle name="Percent 2 6 9 3" xfId="19568" xr:uid="{00000000-0005-0000-0000-0000744C0000}"/>
    <cellStyle name="Percent 2 6 9 4" xfId="11696" xr:uid="{00000000-0005-0000-0000-0000B42D0000}"/>
    <cellStyle name="Percent 2 7" xfId="1703" xr:uid="{00000000-0005-0000-0000-0000AB060000}"/>
    <cellStyle name="Percent 2 7 10" xfId="19425" xr:uid="{00000000-0005-0000-0000-0000E54B0000}"/>
    <cellStyle name="Percent 2 7 11" xfId="11697" xr:uid="{00000000-0005-0000-0000-0000B52D0000}"/>
    <cellStyle name="Percent 2 7 2" xfId="1704" xr:uid="{00000000-0005-0000-0000-0000AC060000}"/>
    <cellStyle name="Percent 2 7 2 2" xfId="2824" xr:uid="{00000000-0005-0000-0000-00000C0B0000}"/>
    <cellStyle name="Percent 2 7 2 3" xfId="19321" xr:uid="{00000000-0005-0000-0000-00007D4B0000}"/>
    <cellStyle name="Percent 2 7 2 4" xfId="11698" xr:uid="{00000000-0005-0000-0000-0000B62D0000}"/>
    <cellStyle name="Percent 2 7 3" xfId="1705" xr:uid="{00000000-0005-0000-0000-0000AD060000}"/>
    <cellStyle name="Percent 2 7 3 2" xfId="2825" xr:uid="{00000000-0005-0000-0000-00000D0B0000}"/>
    <cellStyle name="Percent 2 7 3 3" xfId="19075" xr:uid="{00000000-0005-0000-0000-0000874A0000}"/>
    <cellStyle name="Percent 2 7 3 4" xfId="11699" xr:uid="{00000000-0005-0000-0000-0000B72D0000}"/>
    <cellStyle name="Percent 2 7 4" xfId="1706" xr:uid="{00000000-0005-0000-0000-0000AE060000}"/>
    <cellStyle name="Percent 2 7 4 2" xfId="2826" xr:uid="{00000000-0005-0000-0000-00000E0B0000}"/>
    <cellStyle name="Percent 2 7 4 3" xfId="15686" xr:uid="{00000000-0005-0000-0000-00004A3D0000}"/>
    <cellStyle name="Percent 2 7 4 4" xfId="11700" xr:uid="{00000000-0005-0000-0000-0000B82D0000}"/>
    <cellStyle name="Percent 2 7 5" xfId="1707" xr:uid="{00000000-0005-0000-0000-0000AF060000}"/>
    <cellStyle name="Percent 2 7 5 2" xfId="2827" xr:uid="{00000000-0005-0000-0000-00000F0B0000}"/>
    <cellStyle name="Percent 2 7 5 3" xfId="19097" xr:uid="{00000000-0005-0000-0000-00009D4A0000}"/>
    <cellStyle name="Percent 2 7 5 4" xfId="11701" xr:uid="{00000000-0005-0000-0000-0000B92D0000}"/>
    <cellStyle name="Percent 2 7 6" xfId="1708" xr:uid="{00000000-0005-0000-0000-0000B0060000}"/>
    <cellStyle name="Percent 2 7 6 2" xfId="2828" xr:uid="{00000000-0005-0000-0000-0000100B0000}"/>
    <cellStyle name="Percent 2 7 6 3" xfId="15345" xr:uid="{00000000-0005-0000-0000-0000F53B0000}"/>
    <cellStyle name="Percent 2 7 6 4" xfId="11702" xr:uid="{00000000-0005-0000-0000-0000BA2D0000}"/>
    <cellStyle name="Percent 2 7 7" xfId="1709" xr:uid="{00000000-0005-0000-0000-0000B1060000}"/>
    <cellStyle name="Percent 2 7 7 2" xfId="2829" xr:uid="{00000000-0005-0000-0000-0000110B0000}"/>
    <cellStyle name="Percent 2 7 7 3" xfId="19333" xr:uid="{00000000-0005-0000-0000-0000894B0000}"/>
    <cellStyle name="Percent 2 7 7 4" xfId="11703" xr:uid="{00000000-0005-0000-0000-0000BB2D0000}"/>
    <cellStyle name="Percent 2 7 8" xfId="1710" xr:uid="{00000000-0005-0000-0000-0000B2060000}"/>
    <cellStyle name="Percent 2 7 8 2" xfId="2830" xr:uid="{00000000-0005-0000-0000-0000120B0000}"/>
    <cellStyle name="Percent 2 7 8 3" xfId="19287" xr:uid="{00000000-0005-0000-0000-00005B4B0000}"/>
    <cellStyle name="Percent 2 7 8 4" xfId="11704" xr:uid="{00000000-0005-0000-0000-0000BC2D0000}"/>
    <cellStyle name="Percent 2 7 9" xfId="2823" xr:uid="{00000000-0005-0000-0000-00000B0B0000}"/>
    <cellStyle name="Percent 2 8" xfId="1711" xr:uid="{00000000-0005-0000-0000-0000B3060000}"/>
    <cellStyle name="Percent 2 8 10" xfId="19343" xr:uid="{00000000-0005-0000-0000-0000934B0000}"/>
    <cellStyle name="Percent 2 8 11" xfId="11705" xr:uid="{00000000-0005-0000-0000-0000BD2D0000}"/>
    <cellStyle name="Percent 2 8 2" xfId="1712" xr:uid="{00000000-0005-0000-0000-0000B4060000}"/>
    <cellStyle name="Percent 2 8 2 2" xfId="2832" xr:uid="{00000000-0005-0000-0000-0000140B0000}"/>
    <cellStyle name="Percent 2 8 2 3" xfId="15493" xr:uid="{00000000-0005-0000-0000-0000893C0000}"/>
    <cellStyle name="Percent 2 8 2 4" xfId="11706" xr:uid="{00000000-0005-0000-0000-0000BE2D0000}"/>
    <cellStyle name="Percent 2 8 3" xfId="1713" xr:uid="{00000000-0005-0000-0000-0000B5060000}"/>
    <cellStyle name="Percent 2 8 3 2" xfId="2833" xr:uid="{00000000-0005-0000-0000-0000150B0000}"/>
    <cellStyle name="Percent 2 8 3 3" xfId="19547" xr:uid="{00000000-0005-0000-0000-00005F4C0000}"/>
    <cellStyle name="Percent 2 8 3 4" xfId="11707" xr:uid="{00000000-0005-0000-0000-0000BF2D0000}"/>
    <cellStyle name="Percent 2 8 4" xfId="1714" xr:uid="{00000000-0005-0000-0000-0000B6060000}"/>
    <cellStyle name="Percent 2 8 4 2" xfId="2834" xr:uid="{00000000-0005-0000-0000-0000160B0000}"/>
    <cellStyle name="Percent 2 8 4 3" xfId="15650" xr:uid="{00000000-0005-0000-0000-0000263D0000}"/>
    <cellStyle name="Percent 2 8 4 4" xfId="11708" xr:uid="{00000000-0005-0000-0000-0000C02D0000}"/>
    <cellStyle name="Percent 2 8 5" xfId="1715" xr:uid="{00000000-0005-0000-0000-0000B7060000}"/>
    <cellStyle name="Percent 2 8 5 2" xfId="2835" xr:uid="{00000000-0005-0000-0000-0000170B0000}"/>
    <cellStyle name="Percent 2 8 5 3" xfId="15693" xr:uid="{00000000-0005-0000-0000-0000513D0000}"/>
    <cellStyle name="Percent 2 8 5 4" xfId="11709" xr:uid="{00000000-0005-0000-0000-0000C12D0000}"/>
    <cellStyle name="Percent 2 8 6" xfId="1716" xr:uid="{00000000-0005-0000-0000-0000B8060000}"/>
    <cellStyle name="Percent 2 8 6 2" xfId="2836" xr:uid="{00000000-0005-0000-0000-0000180B0000}"/>
    <cellStyle name="Percent 2 8 6 3" xfId="15492" xr:uid="{00000000-0005-0000-0000-0000883C0000}"/>
    <cellStyle name="Percent 2 8 6 4" xfId="11710" xr:uid="{00000000-0005-0000-0000-0000C22D0000}"/>
    <cellStyle name="Percent 2 8 7" xfId="1717" xr:uid="{00000000-0005-0000-0000-0000B9060000}"/>
    <cellStyle name="Percent 2 8 7 2" xfId="2837" xr:uid="{00000000-0005-0000-0000-0000190B0000}"/>
    <cellStyle name="Percent 2 8 7 3" xfId="17198" xr:uid="{00000000-0005-0000-0000-000032430000}"/>
    <cellStyle name="Percent 2 8 7 4" xfId="11711" xr:uid="{00000000-0005-0000-0000-0000C32D0000}"/>
    <cellStyle name="Percent 2 8 8" xfId="1718" xr:uid="{00000000-0005-0000-0000-0000BA060000}"/>
    <cellStyle name="Percent 2 8 8 2" xfId="2838" xr:uid="{00000000-0005-0000-0000-00001A0B0000}"/>
    <cellStyle name="Percent 2 8 8 3" xfId="19252" xr:uid="{00000000-0005-0000-0000-0000384B0000}"/>
    <cellStyle name="Percent 2 8 8 4" xfId="11712" xr:uid="{00000000-0005-0000-0000-0000C42D0000}"/>
    <cellStyle name="Percent 2 8 9" xfId="2831" xr:uid="{00000000-0005-0000-0000-0000130B0000}"/>
    <cellStyle name="Percent 2 9" xfId="1719" xr:uid="{00000000-0005-0000-0000-0000BB060000}"/>
    <cellStyle name="Percent 2 9 10" xfId="19460" xr:uid="{00000000-0005-0000-0000-0000084C0000}"/>
    <cellStyle name="Percent 2 9 11" xfId="11713" xr:uid="{00000000-0005-0000-0000-0000C52D0000}"/>
    <cellStyle name="Percent 2 9 2" xfId="1720" xr:uid="{00000000-0005-0000-0000-0000BC060000}"/>
    <cellStyle name="Percent 2 9 2 2" xfId="2840" xr:uid="{00000000-0005-0000-0000-00001C0B0000}"/>
    <cellStyle name="Percent 2 9 2 3" xfId="16600" xr:uid="{00000000-0005-0000-0000-0000DC400000}"/>
    <cellStyle name="Percent 2 9 2 4" xfId="11714" xr:uid="{00000000-0005-0000-0000-0000C62D0000}"/>
    <cellStyle name="Percent 2 9 3" xfId="1721" xr:uid="{00000000-0005-0000-0000-0000BD060000}"/>
    <cellStyle name="Percent 2 9 3 2" xfId="2841" xr:uid="{00000000-0005-0000-0000-00001D0B0000}"/>
    <cellStyle name="Percent 2 9 3 3" xfId="15808" xr:uid="{00000000-0005-0000-0000-0000C43D0000}"/>
    <cellStyle name="Percent 2 9 3 4" xfId="11715" xr:uid="{00000000-0005-0000-0000-0000C72D0000}"/>
    <cellStyle name="Percent 2 9 4" xfId="1722" xr:uid="{00000000-0005-0000-0000-0000BE060000}"/>
    <cellStyle name="Percent 2 9 4 2" xfId="2842" xr:uid="{00000000-0005-0000-0000-00001E0B0000}"/>
    <cellStyle name="Percent 2 9 4 3" xfId="16687" xr:uid="{00000000-0005-0000-0000-000033410000}"/>
    <cellStyle name="Percent 2 9 4 4" xfId="11716" xr:uid="{00000000-0005-0000-0000-0000C82D0000}"/>
    <cellStyle name="Percent 2 9 5" xfId="1723" xr:uid="{00000000-0005-0000-0000-0000BF060000}"/>
    <cellStyle name="Percent 2 9 5 2" xfId="2843" xr:uid="{00000000-0005-0000-0000-00001F0B0000}"/>
    <cellStyle name="Percent 2 9 5 3" xfId="19133" xr:uid="{00000000-0005-0000-0000-0000C14A0000}"/>
    <cellStyle name="Percent 2 9 5 4" xfId="11717" xr:uid="{00000000-0005-0000-0000-0000C92D0000}"/>
    <cellStyle name="Percent 2 9 6" xfId="1724" xr:uid="{00000000-0005-0000-0000-0000C0060000}"/>
    <cellStyle name="Percent 2 9 6 2" xfId="2844" xr:uid="{00000000-0005-0000-0000-0000200B0000}"/>
    <cellStyle name="Percent 2 9 6 3" xfId="19468" xr:uid="{00000000-0005-0000-0000-0000104C0000}"/>
    <cellStyle name="Percent 2 9 6 4" xfId="11718" xr:uid="{00000000-0005-0000-0000-0000CA2D0000}"/>
    <cellStyle name="Percent 2 9 7" xfId="1725" xr:uid="{00000000-0005-0000-0000-0000C1060000}"/>
    <cellStyle name="Percent 2 9 7 2" xfId="2845" xr:uid="{00000000-0005-0000-0000-0000210B0000}"/>
    <cellStyle name="Percent 2 9 7 3" xfId="15802" xr:uid="{00000000-0005-0000-0000-0000BE3D0000}"/>
    <cellStyle name="Percent 2 9 7 4" xfId="11719" xr:uid="{00000000-0005-0000-0000-0000CB2D0000}"/>
    <cellStyle name="Percent 2 9 8" xfId="1726" xr:uid="{00000000-0005-0000-0000-0000C2060000}"/>
    <cellStyle name="Percent 2 9 8 2" xfId="2846" xr:uid="{00000000-0005-0000-0000-0000220B0000}"/>
    <cellStyle name="Percent 2 9 8 3" xfId="19502" xr:uid="{00000000-0005-0000-0000-0000324C0000}"/>
    <cellStyle name="Percent 2 9 8 4" xfId="11720" xr:uid="{00000000-0005-0000-0000-0000CC2D0000}"/>
    <cellStyle name="Percent 2 9 9" xfId="2839" xr:uid="{00000000-0005-0000-0000-00001B0B0000}"/>
    <cellStyle name="Percent 20" xfId="6793" xr:uid="{00000000-0005-0000-0000-00008D1A0000}"/>
    <cellStyle name="Percent 20 10" xfId="17200" xr:uid="{00000000-0005-0000-0000-000034430000}"/>
    <cellStyle name="Percent 20 11" xfId="11721" xr:uid="{00000000-0005-0000-0000-0000CD2D0000}"/>
    <cellStyle name="Percent 20 2" xfId="6794" xr:uid="{00000000-0005-0000-0000-00008E1A0000}"/>
    <cellStyle name="Percent 20 2 2" xfId="13026" xr:uid="{00000000-0005-0000-0000-0000E6320000}"/>
    <cellStyle name="Percent 20 2 3" xfId="13025" xr:uid="{00000000-0005-0000-0000-0000E5320000}"/>
    <cellStyle name="Percent 20 2 4" xfId="15755" xr:uid="{00000000-0005-0000-0000-00008F3D0000}"/>
    <cellStyle name="Percent 20 2 5" xfId="11722" xr:uid="{00000000-0005-0000-0000-0000CE2D0000}"/>
    <cellStyle name="Percent 20 3" xfId="6795" xr:uid="{00000000-0005-0000-0000-00008F1A0000}"/>
    <cellStyle name="Percent 20 3 2" xfId="13027" xr:uid="{00000000-0005-0000-0000-0000E7320000}"/>
    <cellStyle name="Percent 20 3 3" xfId="15448" xr:uid="{00000000-0005-0000-0000-00005C3C0000}"/>
    <cellStyle name="Percent 20 3 4" xfId="11723" xr:uid="{00000000-0005-0000-0000-0000CF2D0000}"/>
    <cellStyle name="Percent 20 4" xfId="6796" xr:uid="{00000000-0005-0000-0000-0000901A0000}"/>
    <cellStyle name="Percent 20 4 2" xfId="13028" xr:uid="{00000000-0005-0000-0000-0000E8320000}"/>
    <cellStyle name="Percent 20 4 3" xfId="19503" xr:uid="{00000000-0005-0000-0000-0000334C0000}"/>
    <cellStyle name="Percent 20 4 4" xfId="11724" xr:uid="{00000000-0005-0000-0000-0000D02D0000}"/>
    <cellStyle name="Percent 20 5" xfId="6797" xr:uid="{00000000-0005-0000-0000-0000911A0000}"/>
    <cellStyle name="Percent 20 5 2" xfId="13029" xr:uid="{00000000-0005-0000-0000-0000E9320000}"/>
    <cellStyle name="Percent 20 5 3" xfId="16396" xr:uid="{00000000-0005-0000-0000-000010400000}"/>
    <cellStyle name="Percent 20 5 4" xfId="11725" xr:uid="{00000000-0005-0000-0000-0000D12D0000}"/>
    <cellStyle name="Percent 20 6" xfId="6798" xr:uid="{00000000-0005-0000-0000-0000921A0000}"/>
    <cellStyle name="Percent 20 6 2" xfId="13030" xr:uid="{00000000-0005-0000-0000-0000EA320000}"/>
    <cellStyle name="Percent 20 6 3" xfId="15613" xr:uid="{00000000-0005-0000-0000-0000013D0000}"/>
    <cellStyle name="Percent 20 6 4" xfId="11726" xr:uid="{00000000-0005-0000-0000-0000D22D0000}"/>
    <cellStyle name="Percent 20 7" xfId="6799" xr:uid="{00000000-0005-0000-0000-0000931A0000}"/>
    <cellStyle name="Percent 20 7 2" xfId="6800" xr:uid="{00000000-0005-0000-0000-0000941A0000}"/>
    <cellStyle name="Percent 20 7 2 2" xfId="13032" xr:uid="{00000000-0005-0000-0000-0000EC320000}"/>
    <cellStyle name="Percent 20 7 2 3" xfId="15683" xr:uid="{00000000-0005-0000-0000-0000473D0000}"/>
    <cellStyle name="Percent 20 7 2 4" xfId="11728" xr:uid="{00000000-0005-0000-0000-0000D42D0000}"/>
    <cellStyle name="Percent 20 7 3" xfId="6801" xr:uid="{00000000-0005-0000-0000-0000951A0000}"/>
    <cellStyle name="Percent 20 7 3 2" xfId="13033" xr:uid="{00000000-0005-0000-0000-0000ED320000}"/>
    <cellStyle name="Percent 20 7 3 3" xfId="19262" xr:uid="{00000000-0005-0000-0000-0000424B0000}"/>
    <cellStyle name="Percent 20 7 3 4" xfId="11729" xr:uid="{00000000-0005-0000-0000-0000D52D0000}"/>
    <cellStyle name="Percent 20 7 4" xfId="13031" xr:uid="{00000000-0005-0000-0000-0000EB320000}"/>
    <cellStyle name="Percent 20 7 5" xfId="19179" xr:uid="{00000000-0005-0000-0000-0000EF4A0000}"/>
    <cellStyle name="Percent 20 7 6" xfId="11727" xr:uid="{00000000-0005-0000-0000-0000D32D0000}"/>
    <cellStyle name="Percent 20 8" xfId="13034" xr:uid="{00000000-0005-0000-0000-0000EE320000}"/>
    <cellStyle name="Percent 20 9" xfId="13024" xr:uid="{00000000-0005-0000-0000-0000E4320000}"/>
    <cellStyle name="Percent 21" xfId="6802" xr:uid="{00000000-0005-0000-0000-0000961A0000}"/>
    <cellStyle name="Percent 21 10" xfId="11730" xr:uid="{00000000-0005-0000-0000-0000D62D0000}"/>
    <cellStyle name="Percent 21 2" xfId="6803" xr:uid="{00000000-0005-0000-0000-0000971A0000}"/>
    <cellStyle name="Percent 21 2 2" xfId="13036" xr:uid="{00000000-0005-0000-0000-0000F0320000}"/>
    <cellStyle name="Percent 21 2 3" xfId="15700" xr:uid="{00000000-0005-0000-0000-0000583D0000}"/>
    <cellStyle name="Percent 21 2 4" xfId="11731" xr:uid="{00000000-0005-0000-0000-0000D72D0000}"/>
    <cellStyle name="Percent 21 3" xfId="6804" xr:uid="{00000000-0005-0000-0000-0000981A0000}"/>
    <cellStyle name="Percent 21 3 2" xfId="13037" xr:uid="{00000000-0005-0000-0000-0000F1320000}"/>
    <cellStyle name="Percent 21 3 3" xfId="19506" xr:uid="{00000000-0005-0000-0000-0000364C0000}"/>
    <cellStyle name="Percent 21 3 4" xfId="11732" xr:uid="{00000000-0005-0000-0000-0000D82D0000}"/>
    <cellStyle name="Percent 21 4" xfId="6805" xr:uid="{00000000-0005-0000-0000-0000991A0000}"/>
    <cellStyle name="Percent 21 4 2" xfId="13038" xr:uid="{00000000-0005-0000-0000-0000F2320000}"/>
    <cellStyle name="Percent 21 4 3" xfId="15329" xr:uid="{00000000-0005-0000-0000-0000E53B0000}"/>
    <cellStyle name="Percent 21 4 4" xfId="11733" xr:uid="{00000000-0005-0000-0000-0000D92D0000}"/>
    <cellStyle name="Percent 21 5" xfId="6806" xr:uid="{00000000-0005-0000-0000-00009A1A0000}"/>
    <cellStyle name="Percent 21 5 2" xfId="13039" xr:uid="{00000000-0005-0000-0000-0000F3320000}"/>
    <cellStyle name="Percent 21 5 3" xfId="19244" xr:uid="{00000000-0005-0000-0000-0000304B0000}"/>
    <cellStyle name="Percent 21 5 4" xfId="11734" xr:uid="{00000000-0005-0000-0000-0000DA2D0000}"/>
    <cellStyle name="Percent 21 6" xfId="6807" xr:uid="{00000000-0005-0000-0000-00009B1A0000}"/>
    <cellStyle name="Percent 21 6 2" xfId="13040" xr:uid="{00000000-0005-0000-0000-0000F4320000}"/>
    <cellStyle name="Percent 21 6 3" xfId="15610" xr:uid="{00000000-0005-0000-0000-0000FE3C0000}"/>
    <cellStyle name="Percent 21 6 4" xfId="11735" xr:uid="{00000000-0005-0000-0000-0000DB2D0000}"/>
    <cellStyle name="Percent 21 7" xfId="6808" xr:uid="{00000000-0005-0000-0000-00009C1A0000}"/>
    <cellStyle name="Percent 21 7 2" xfId="6809" xr:uid="{00000000-0005-0000-0000-00009D1A0000}"/>
    <cellStyle name="Percent 21 7 2 2" xfId="13042" xr:uid="{00000000-0005-0000-0000-0000F6320000}"/>
    <cellStyle name="Percent 21 7 2 3" xfId="16366" xr:uid="{00000000-0005-0000-0000-0000F23F0000}"/>
    <cellStyle name="Percent 21 7 2 4" xfId="11737" xr:uid="{00000000-0005-0000-0000-0000DD2D0000}"/>
    <cellStyle name="Percent 21 7 3" xfId="6810" xr:uid="{00000000-0005-0000-0000-00009E1A0000}"/>
    <cellStyle name="Percent 21 7 3 2" xfId="13043" xr:uid="{00000000-0005-0000-0000-0000F7320000}"/>
    <cellStyle name="Percent 21 7 3 3" xfId="19415" xr:uid="{00000000-0005-0000-0000-0000DB4B0000}"/>
    <cellStyle name="Percent 21 7 3 4" xfId="11738" xr:uid="{00000000-0005-0000-0000-0000DE2D0000}"/>
    <cellStyle name="Percent 21 7 4" xfId="13041" xr:uid="{00000000-0005-0000-0000-0000F5320000}"/>
    <cellStyle name="Percent 21 7 5" xfId="15753" xr:uid="{00000000-0005-0000-0000-00008D3D0000}"/>
    <cellStyle name="Percent 21 7 6" xfId="11736" xr:uid="{00000000-0005-0000-0000-0000DC2D0000}"/>
    <cellStyle name="Percent 21 8" xfId="13035" xr:uid="{00000000-0005-0000-0000-0000EF320000}"/>
    <cellStyle name="Percent 21 9" xfId="16672" xr:uid="{00000000-0005-0000-0000-000024410000}"/>
    <cellStyle name="Percent 22" xfId="6811" xr:uid="{00000000-0005-0000-0000-00009F1A0000}"/>
    <cellStyle name="Percent 22 10" xfId="11739" xr:uid="{00000000-0005-0000-0000-0000DF2D0000}"/>
    <cellStyle name="Percent 22 2" xfId="6812" xr:uid="{00000000-0005-0000-0000-0000A01A0000}"/>
    <cellStyle name="Percent 22 2 2" xfId="13045" xr:uid="{00000000-0005-0000-0000-0000F9320000}"/>
    <cellStyle name="Percent 22 2 3" xfId="15608" xr:uid="{00000000-0005-0000-0000-0000FC3C0000}"/>
    <cellStyle name="Percent 22 2 4" xfId="11740" xr:uid="{00000000-0005-0000-0000-0000E02D0000}"/>
    <cellStyle name="Percent 22 3" xfId="6813" xr:uid="{00000000-0005-0000-0000-0000A11A0000}"/>
    <cellStyle name="Percent 22 3 2" xfId="13046" xr:uid="{00000000-0005-0000-0000-0000FA320000}"/>
    <cellStyle name="Percent 22 3 3" xfId="19303" xr:uid="{00000000-0005-0000-0000-00006B4B0000}"/>
    <cellStyle name="Percent 22 3 4" xfId="11741" xr:uid="{00000000-0005-0000-0000-0000E12D0000}"/>
    <cellStyle name="Percent 22 4" xfId="6814" xr:uid="{00000000-0005-0000-0000-0000A21A0000}"/>
    <cellStyle name="Percent 22 4 2" xfId="13047" xr:uid="{00000000-0005-0000-0000-0000FB320000}"/>
    <cellStyle name="Percent 22 4 3" xfId="15721" xr:uid="{00000000-0005-0000-0000-00006D3D0000}"/>
    <cellStyle name="Percent 22 4 4" xfId="11742" xr:uid="{00000000-0005-0000-0000-0000E22D0000}"/>
    <cellStyle name="Percent 22 5" xfId="6815" xr:uid="{00000000-0005-0000-0000-0000A31A0000}"/>
    <cellStyle name="Percent 22 5 2" xfId="13048" xr:uid="{00000000-0005-0000-0000-0000FC320000}"/>
    <cellStyle name="Percent 22 5 3" xfId="15475" xr:uid="{00000000-0005-0000-0000-0000773C0000}"/>
    <cellStyle name="Percent 22 5 4" xfId="11743" xr:uid="{00000000-0005-0000-0000-0000E32D0000}"/>
    <cellStyle name="Percent 22 6" xfId="6816" xr:uid="{00000000-0005-0000-0000-0000A41A0000}"/>
    <cellStyle name="Percent 22 6 2" xfId="13049" xr:uid="{00000000-0005-0000-0000-0000FD320000}"/>
    <cellStyle name="Percent 22 6 3" xfId="19095" xr:uid="{00000000-0005-0000-0000-00009B4A0000}"/>
    <cellStyle name="Percent 22 6 4" xfId="11744" xr:uid="{00000000-0005-0000-0000-0000E42D0000}"/>
    <cellStyle name="Percent 22 7" xfId="6817" xr:uid="{00000000-0005-0000-0000-0000A51A0000}"/>
    <cellStyle name="Percent 22 7 2" xfId="6818" xr:uid="{00000000-0005-0000-0000-0000A61A0000}"/>
    <cellStyle name="Percent 22 7 2 2" xfId="13051" xr:uid="{00000000-0005-0000-0000-0000FF320000}"/>
    <cellStyle name="Percent 22 7 2 3" xfId="16612" xr:uid="{00000000-0005-0000-0000-0000E8400000}"/>
    <cellStyle name="Percent 22 7 2 4" xfId="11746" xr:uid="{00000000-0005-0000-0000-0000E62D0000}"/>
    <cellStyle name="Percent 22 7 3" xfId="6819" xr:uid="{00000000-0005-0000-0000-0000A71A0000}"/>
    <cellStyle name="Percent 22 7 3 2" xfId="13052" xr:uid="{00000000-0005-0000-0000-000000330000}"/>
    <cellStyle name="Percent 22 7 3 3" xfId="19171" xr:uid="{00000000-0005-0000-0000-0000E74A0000}"/>
    <cellStyle name="Percent 22 7 3 4" xfId="11747" xr:uid="{00000000-0005-0000-0000-0000E72D0000}"/>
    <cellStyle name="Percent 22 7 4" xfId="13050" xr:uid="{00000000-0005-0000-0000-0000FE320000}"/>
    <cellStyle name="Percent 22 7 5" xfId="15381" xr:uid="{00000000-0005-0000-0000-0000193C0000}"/>
    <cellStyle name="Percent 22 7 6" xfId="11745" xr:uid="{00000000-0005-0000-0000-0000E52D0000}"/>
    <cellStyle name="Percent 22 8" xfId="13044" xr:uid="{00000000-0005-0000-0000-0000F8320000}"/>
    <cellStyle name="Percent 22 9" xfId="19466" xr:uid="{00000000-0005-0000-0000-00000E4C0000}"/>
    <cellStyle name="Percent 23" xfId="6820" xr:uid="{00000000-0005-0000-0000-0000A81A0000}"/>
    <cellStyle name="Percent 23 10" xfId="11748" xr:uid="{00000000-0005-0000-0000-0000E82D0000}"/>
    <cellStyle name="Percent 23 2" xfId="6821" xr:uid="{00000000-0005-0000-0000-0000A91A0000}"/>
    <cellStyle name="Percent 23 2 2" xfId="13054" xr:uid="{00000000-0005-0000-0000-000002330000}"/>
    <cellStyle name="Percent 23 2 3" xfId="19206" xr:uid="{00000000-0005-0000-0000-00000A4B0000}"/>
    <cellStyle name="Percent 23 2 4" xfId="11749" xr:uid="{00000000-0005-0000-0000-0000E92D0000}"/>
    <cellStyle name="Percent 23 3" xfId="6822" xr:uid="{00000000-0005-0000-0000-0000AA1A0000}"/>
    <cellStyle name="Percent 23 3 2" xfId="13055" xr:uid="{00000000-0005-0000-0000-000003330000}"/>
    <cellStyle name="Percent 23 3 3" xfId="19346" xr:uid="{00000000-0005-0000-0000-0000964B0000}"/>
    <cellStyle name="Percent 23 3 4" xfId="11750" xr:uid="{00000000-0005-0000-0000-0000EA2D0000}"/>
    <cellStyle name="Percent 23 4" xfId="6823" xr:uid="{00000000-0005-0000-0000-0000AB1A0000}"/>
    <cellStyle name="Percent 23 4 2" xfId="13056" xr:uid="{00000000-0005-0000-0000-000004330000}"/>
    <cellStyle name="Percent 23 4 3" xfId="15687" xr:uid="{00000000-0005-0000-0000-00004B3D0000}"/>
    <cellStyle name="Percent 23 4 4" xfId="11751" xr:uid="{00000000-0005-0000-0000-0000EB2D0000}"/>
    <cellStyle name="Percent 23 5" xfId="6824" xr:uid="{00000000-0005-0000-0000-0000AC1A0000}"/>
    <cellStyle name="Percent 23 5 2" xfId="13057" xr:uid="{00000000-0005-0000-0000-000005330000}"/>
    <cellStyle name="Percent 23 5 3" xfId="15436" xr:uid="{00000000-0005-0000-0000-0000503C0000}"/>
    <cellStyle name="Percent 23 5 4" xfId="11752" xr:uid="{00000000-0005-0000-0000-0000EC2D0000}"/>
    <cellStyle name="Percent 23 6" xfId="6825" xr:uid="{00000000-0005-0000-0000-0000AD1A0000}"/>
    <cellStyle name="Percent 23 6 2" xfId="13058" xr:uid="{00000000-0005-0000-0000-000006330000}"/>
    <cellStyle name="Percent 23 6 3" xfId="19507" xr:uid="{00000000-0005-0000-0000-0000374C0000}"/>
    <cellStyle name="Percent 23 6 4" xfId="11753" xr:uid="{00000000-0005-0000-0000-0000ED2D0000}"/>
    <cellStyle name="Percent 23 7" xfId="6826" xr:uid="{00000000-0005-0000-0000-0000AE1A0000}"/>
    <cellStyle name="Percent 23 7 2" xfId="6827" xr:uid="{00000000-0005-0000-0000-0000AF1A0000}"/>
    <cellStyle name="Percent 23 7 2 2" xfId="13060" xr:uid="{00000000-0005-0000-0000-000008330000}"/>
    <cellStyle name="Percent 23 7 2 3" xfId="19149" xr:uid="{00000000-0005-0000-0000-0000D14A0000}"/>
    <cellStyle name="Percent 23 7 2 4" xfId="11755" xr:uid="{00000000-0005-0000-0000-0000EF2D0000}"/>
    <cellStyle name="Percent 23 7 3" xfId="6828" xr:uid="{00000000-0005-0000-0000-0000B01A0000}"/>
    <cellStyle name="Percent 23 7 3 2" xfId="13061" xr:uid="{00000000-0005-0000-0000-000009330000}"/>
    <cellStyle name="Percent 23 7 3 3" xfId="19089" xr:uid="{00000000-0005-0000-0000-0000954A0000}"/>
    <cellStyle name="Percent 23 7 3 4" xfId="11756" xr:uid="{00000000-0005-0000-0000-0000F02D0000}"/>
    <cellStyle name="Percent 23 7 4" xfId="13059" xr:uid="{00000000-0005-0000-0000-000007330000}"/>
    <cellStyle name="Percent 23 7 5" xfId="19291" xr:uid="{00000000-0005-0000-0000-00005F4B0000}"/>
    <cellStyle name="Percent 23 7 6" xfId="11754" xr:uid="{00000000-0005-0000-0000-0000EE2D0000}"/>
    <cellStyle name="Percent 23 8" xfId="13053" xr:uid="{00000000-0005-0000-0000-000001330000}"/>
    <cellStyle name="Percent 23 9" xfId="19112" xr:uid="{00000000-0005-0000-0000-0000AC4A0000}"/>
    <cellStyle name="Percent 24" xfId="7865" xr:uid="{00000000-0005-0000-0000-0000BD1E0000}"/>
    <cellStyle name="Percent 24 10" xfId="9513" xr:uid="{00000000-0005-0000-0000-00002D250000}"/>
    <cellStyle name="Percent 24 10 2" xfId="10784" xr:uid="{00000000-0005-0000-0000-0000242A0000}"/>
    <cellStyle name="Percent 24 10 2 2" xfId="19012" xr:uid="{00000000-0005-0000-0000-0000484A0000}"/>
    <cellStyle name="Percent 24 10 2 2 2" xfId="25524" xr:uid="{00000000-0005-0000-0000-0000B8630000}"/>
    <cellStyle name="Percent 24 10 2 3" xfId="22689" xr:uid="{00000000-0005-0000-0000-0000A5580000}"/>
    <cellStyle name="Percent 24 10 3" xfId="17743" xr:uid="{00000000-0005-0000-0000-000053450000}"/>
    <cellStyle name="Percent 24 10 3 2" xfId="24268" xr:uid="{00000000-0005-0000-0000-0000D05E0000}"/>
    <cellStyle name="Percent 24 10 4" xfId="21433" xr:uid="{00000000-0005-0000-0000-0000BD530000}"/>
    <cellStyle name="Percent 24 11" xfId="9731" xr:uid="{00000000-0005-0000-0000-000007260000}"/>
    <cellStyle name="Percent 24 11 2" xfId="17959" xr:uid="{00000000-0005-0000-0000-00002B460000}"/>
    <cellStyle name="Percent 24 11 2 2" xfId="24471" xr:uid="{00000000-0005-0000-0000-00009B5F0000}"/>
    <cellStyle name="Percent 24 11 3" xfId="21636" xr:uid="{00000000-0005-0000-0000-000088540000}"/>
    <cellStyle name="Percent 24 12" xfId="16753" xr:uid="{00000000-0005-0000-0000-000075410000}"/>
    <cellStyle name="Percent 24 12 2" xfId="23452" xr:uid="{00000000-0005-0000-0000-0000A05B0000}"/>
    <cellStyle name="Percent 24 13" xfId="16754" xr:uid="{00000000-0005-0000-0000-000076410000}"/>
    <cellStyle name="Percent 24 14" xfId="11757" xr:uid="{00000000-0005-0000-0000-0000F12D0000}"/>
    <cellStyle name="Percent 24 15" xfId="20074" xr:uid="{00000000-0005-0000-0000-00006E4E0000}"/>
    <cellStyle name="Percent 24 2" xfId="6829" xr:uid="{00000000-0005-0000-0000-0000B11A0000}"/>
    <cellStyle name="Percent 24 2 2" xfId="13062" xr:uid="{00000000-0005-0000-0000-00000A330000}"/>
    <cellStyle name="Percent 24 2 3" xfId="16658" xr:uid="{00000000-0005-0000-0000-000016410000}"/>
    <cellStyle name="Percent 24 2 4" xfId="11758" xr:uid="{00000000-0005-0000-0000-0000F22D0000}"/>
    <cellStyle name="Percent 24 3" xfId="6830" xr:uid="{00000000-0005-0000-0000-0000B21A0000}"/>
    <cellStyle name="Percent 24 3 2" xfId="13063" xr:uid="{00000000-0005-0000-0000-00000B330000}"/>
    <cellStyle name="Percent 24 3 3" xfId="15717" xr:uid="{00000000-0005-0000-0000-0000693D0000}"/>
    <cellStyle name="Percent 24 3 4" xfId="11759" xr:uid="{00000000-0005-0000-0000-0000F32D0000}"/>
    <cellStyle name="Percent 24 4" xfId="6831" xr:uid="{00000000-0005-0000-0000-0000B31A0000}"/>
    <cellStyle name="Percent 24 4 2" xfId="13064" xr:uid="{00000000-0005-0000-0000-00000C330000}"/>
    <cellStyle name="Percent 24 4 3" xfId="16359" xr:uid="{00000000-0005-0000-0000-0000EB3F0000}"/>
    <cellStyle name="Percent 24 4 4" xfId="11760" xr:uid="{00000000-0005-0000-0000-0000F42D0000}"/>
    <cellStyle name="Percent 24 5" xfId="6832" xr:uid="{00000000-0005-0000-0000-0000B41A0000}"/>
    <cellStyle name="Percent 24 5 2" xfId="13065" xr:uid="{00000000-0005-0000-0000-00000D330000}"/>
    <cellStyle name="Percent 24 5 3" xfId="15536" xr:uid="{00000000-0005-0000-0000-0000B43C0000}"/>
    <cellStyle name="Percent 24 5 4" xfId="11761" xr:uid="{00000000-0005-0000-0000-0000F52D0000}"/>
    <cellStyle name="Percent 24 6" xfId="6833" xr:uid="{00000000-0005-0000-0000-0000B51A0000}"/>
    <cellStyle name="Percent 24 6 2" xfId="13066" xr:uid="{00000000-0005-0000-0000-00000E330000}"/>
    <cellStyle name="Percent 24 6 3" xfId="19256" xr:uid="{00000000-0005-0000-0000-00003C4B0000}"/>
    <cellStyle name="Percent 24 6 4" xfId="11762" xr:uid="{00000000-0005-0000-0000-0000F62D0000}"/>
    <cellStyle name="Percent 24 7" xfId="6834" xr:uid="{00000000-0005-0000-0000-0000B61A0000}"/>
    <cellStyle name="Percent 24 7 2" xfId="6835" xr:uid="{00000000-0005-0000-0000-0000B71A0000}"/>
    <cellStyle name="Percent 24 7 2 2" xfId="13068" xr:uid="{00000000-0005-0000-0000-000010330000}"/>
    <cellStyle name="Percent 24 7 2 3" xfId="19046" xr:uid="{00000000-0005-0000-0000-00006A4A0000}"/>
    <cellStyle name="Percent 24 7 2 4" xfId="11764" xr:uid="{00000000-0005-0000-0000-0000F82D0000}"/>
    <cellStyle name="Percent 24 7 3" xfId="6836" xr:uid="{00000000-0005-0000-0000-0000B81A0000}"/>
    <cellStyle name="Percent 24 7 3 2" xfId="13069" xr:uid="{00000000-0005-0000-0000-000011330000}"/>
    <cellStyle name="Percent 24 7 3 3" xfId="19300" xr:uid="{00000000-0005-0000-0000-0000684B0000}"/>
    <cellStyle name="Percent 24 7 3 4" xfId="11765" xr:uid="{00000000-0005-0000-0000-0000F92D0000}"/>
    <cellStyle name="Percent 24 7 4" xfId="13067" xr:uid="{00000000-0005-0000-0000-00000F330000}"/>
    <cellStyle name="Percent 24 7 5" xfId="16633" xr:uid="{00000000-0005-0000-0000-0000FD400000}"/>
    <cellStyle name="Percent 24 7 6" xfId="11763" xr:uid="{00000000-0005-0000-0000-0000F72D0000}"/>
    <cellStyle name="Percent 24 8" xfId="8078" xr:uid="{00000000-0005-0000-0000-0000921F0000}"/>
    <cellStyle name="Percent 24 8 2" xfId="8496" xr:uid="{00000000-0005-0000-0000-000034210000}"/>
    <cellStyle name="Percent 24 8 2 2" xfId="10358" xr:uid="{00000000-0005-0000-0000-00007A280000}"/>
    <cellStyle name="Percent 24 8 2 2 2" xfId="18586" xr:uid="{00000000-0005-0000-0000-00009E480000}"/>
    <cellStyle name="Percent 24 8 2 2 2 2" xfId="25098" xr:uid="{00000000-0005-0000-0000-00000E620000}"/>
    <cellStyle name="Percent 24 8 2 2 3" xfId="22263" xr:uid="{00000000-0005-0000-0000-0000FB560000}"/>
    <cellStyle name="Percent 24 8 2 3" xfId="17176" xr:uid="{00000000-0005-0000-0000-00001C430000}"/>
    <cellStyle name="Percent 24 8 2 3 2" xfId="23833" xr:uid="{00000000-0005-0000-0000-00001D5D0000}"/>
    <cellStyle name="Percent 24 8 2 4" xfId="20701" xr:uid="{00000000-0005-0000-0000-0000E1500000}"/>
    <cellStyle name="Percent 24 8 3" xfId="9514" xr:uid="{00000000-0005-0000-0000-00002E250000}"/>
    <cellStyle name="Percent 24 8 3 2" xfId="10785" xr:uid="{00000000-0005-0000-0000-0000252A0000}"/>
    <cellStyle name="Percent 24 8 3 2 2" xfId="19013" xr:uid="{00000000-0005-0000-0000-0000494A0000}"/>
    <cellStyle name="Percent 24 8 3 2 2 2" xfId="25525" xr:uid="{00000000-0005-0000-0000-0000B9630000}"/>
    <cellStyle name="Percent 24 8 3 2 3" xfId="22690" xr:uid="{00000000-0005-0000-0000-0000A6580000}"/>
    <cellStyle name="Percent 24 8 3 3" xfId="17744" xr:uid="{00000000-0005-0000-0000-000054450000}"/>
    <cellStyle name="Percent 24 8 3 3 2" xfId="24269" xr:uid="{00000000-0005-0000-0000-0000D15E0000}"/>
    <cellStyle name="Percent 24 8 3 4" xfId="21434" xr:uid="{00000000-0005-0000-0000-0000BE530000}"/>
    <cellStyle name="Percent 24 8 4" xfId="9940" xr:uid="{00000000-0005-0000-0000-0000D8260000}"/>
    <cellStyle name="Percent 24 8 4 2" xfId="18168" xr:uid="{00000000-0005-0000-0000-0000FC460000}"/>
    <cellStyle name="Percent 24 8 4 2 2" xfId="24680" xr:uid="{00000000-0005-0000-0000-00006C600000}"/>
    <cellStyle name="Percent 24 8 4 3" xfId="21845" xr:uid="{00000000-0005-0000-0000-000059550000}"/>
    <cellStyle name="Percent 24 8 5" xfId="16798" xr:uid="{00000000-0005-0000-0000-0000A2410000}"/>
    <cellStyle name="Percent 24 8 5 2" xfId="23459" xr:uid="{00000000-0005-0000-0000-0000A75B0000}"/>
    <cellStyle name="Percent 24 8 6" xfId="19218" xr:uid="{00000000-0005-0000-0000-0000164B0000}"/>
    <cellStyle name="Percent 24 8 7" xfId="11766" xr:uid="{00000000-0005-0000-0000-0000FA2D0000}"/>
    <cellStyle name="Percent 24 8 8" xfId="20283" xr:uid="{00000000-0005-0000-0000-00003F4F0000}"/>
    <cellStyle name="Percent 24 9" xfId="8287" xr:uid="{00000000-0005-0000-0000-000063200000}"/>
    <cellStyle name="Percent 24 9 2" xfId="10149" xr:uid="{00000000-0005-0000-0000-0000A9270000}"/>
    <cellStyle name="Percent 24 9 2 2" xfId="18377" xr:uid="{00000000-0005-0000-0000-0000CD470000}"/>
    <cellStyle name="Percent 24 9 2 2 2" xfId="24889" xr:uid="{00000000-0005-0000-0000-00003D610000}"/>
    <cellStyle name="Percent 24 9 2 3" xfId="22054" xr:uid="{00000000-0005-0000-0000-00002A560000}"/>
    <cellStyle name="Percent 24 9 3" xfId="16967" xr:uid="{00000000-0005-0000-0000-00004B420000}"/>
    <cellStyle name="Percent 24 9 3 2" xfId="23624" xr:uid="{00000000-0005-0000-0000-00004C5C0000}"/>
    <cellStyle name="Percent 24 9 4" xfId="20492" xr:uid="{00000000-0005-0000-0000-000010500000}"/>
    <cellStyle name="Percent 25" xfId="6837" xr:uid="{00000000-0005-0000-0000-0000B91A0000}"/>
    <cellStyle name="Percent 25 10" xfId="11767" xr:uid="{00000000-0005-0000-0000-0000FB2D0000}"/>
    <cellStyle name="Percent 25 2" xfId="6838" xr:uid="{00000000-0005-0000-0000-0000BA1A0000}"/>
    <cellStyle name="Percent 25 2 2" xfId="13071" xr:uid="{00000000-0005-0000-0000-000013330000}"/>
    <cellStyle name="Percent 25 2 3" xfId="19519" xr:uid="{00000000-0005-0000-0000-0000434C0000}"/>
    <cellStyle name="Percent 25 2 4" xfId="11768" xr:uid="{00000000-0005-0000-0000-0000FC2D0000}"/>
    <cellStyle name="Percent 25 3" xfId="6839" xr:uid="{00000000-0005-0000-0000-0000BB1A0000}"/>
    <cellStyle name="Percent 25 3 2" xfId="13072" xr:uid="{00000000-0005-0000-0000-000014330000}"/>
    <cellStyle name="Percent 25 3 3" xfId="15623" xr:uid="{00000000-0005-0000-0000-00000B3D0000}"/>
    <cellStyle name="Percent 25 3 4" xfId="11769" xr:uid="{00000000-0005-0000-0000-0000FD2D0000}"/>
    <cellStyle name="Percent 25 4" xfId="6840" xr:uid="{00000000-0005-0000-0000-0000BC1A0000}"/>
    <cellStyle name="Percent 25 4 2" xfId="13073" xr:uid="{00000000-0005-0000-0000-000015330000}"/>
    <cellStyle name="Percent 25 4 3" xfId="15409" xr:uid="{00000000-0005-0000-0000-0000353C0000}"/>
    <cellStyle name="Percent 25 4 4" xfId="11770" xr:uid="{00000000-0005-0000-0000-0000FE2D0000}"/>
    <cellStyle name="Percent 25 5" xfId="6841" xr:uid="{00000000-0005-0000-0000-0000BD1A0000}"/>
    <cellStyle name="Percent 25 5 2" xfId="13074" xr:uid="{00000000-0005-0000-0000-000016330000}"/>
    <cellStyle name="Percent 25 5 3" xfId="16721" xr:uid="{00000000-0005-0000-0000-000055410000}"/>
    <cellStyle name="Percent 25 5 4" xfId="11771" xr:uid="{00000000-0005-0000-0000-0000FF2D0000}"/>
    <cellStyle name="Percent 25 6" xfId="6842" xr:uid="{00000000-0005-0000-0000-0000BE1A0000}"/>
    <cellStyle name="Percent 25 6 2" xfId="13075" xr:uid="{00000000-0005-0000-0000-000017330000}"/>
    <cellStyle name="Percent 25 6 3" xfId="19426" xr:uid="{00000000-0005-0000-0000-0000E64B0000}"/>
    <cellStyle name="Percent 25 6 4" xfId="11772" xr:uid="{00000000-0005-0000-0000-0000002E0000}"/>
    <cellStyle name="Percent 25 7" xfId="6843" xr:uid="{00000000-0005-0000-0000-0000BF1A0000}"/>
    <cellStyle name="Percent 25 7 2" xfId="6844" xr:uid="{00000000-0005-0000-0000-0000C01A0000}"/>
    <cellStyle name="Percent 25 7 2 2" xfId="13077" xr:uid="{00000000-0005-0000-0000-000019330000}"/>
    <cellStyle name="Percent 25 7 2 3" xfId="17220" xr:uid="{00000000-0005-0000-0000-000048430000}"/>
    <cellStyle name="Percent 25 7 2 4" xfId="11774" xr:uid="{00000000-0005-0000-0000-0000022E0000}"/>
    <cellStyle name="Percent 25 7 3" xfId="6845" xr:uid="{00000000-0005-0000-0000-0000C11A0000}"/>
    <cellStyle name="Percent 25 7 3 2" xfId="13078" xr:uid="{00000000-0005-0000-0000-00001A330000}"/>
    <cellStyle name="Percent 25 7 3 3" xfId="16799" xr:uid="{00000000-0005-0000-0000-0000A3410000}"/>
    <cellStyle name="Percent 25 7 3 4" xfId="11775" xr:uid="{00000000-0005-0000-0000-0000032E0000}"/>
    <cellStyle name="Percent 25 7 4" xfId="13076" xr:uid="{00000000-0005-0000-0000-000018330000}"/>
    <cellStyle name="Percent 25 7 5" xfId="19441" xr:uid="{00000000-0005-0000-0000-0000F54B0000}"/>
    <cellStyle name="Percent 25 7 6" xfId="11773" xr:uid="{00000000-0005-0000-0000-0000012E0000}"/>
    <cellStyle name="Percent 25 8" xfId="13070" xr:uid="{00000000-0005-0000-0000-000012330000}"/>
    <cellStyle name="Percent 25 9" xfId="19317" xr:uid="{00000000-0005-0000-0000-0000794B0000}"/>
    <cellStyle name="Percent 26" xfId="6846" xr:uid="{00000000-0005-0000-0000-0000C21A0000}"/>
    <cellStyle name="Percent 26 10" xfId="11776" xr:uid="{00000000-0005-0000-0000-0000042E0000}"/>
    <cellStyle name="Percent 26 2" xfId="6847" xr:uid="{00000000-0005-0000-0000-0000C31A0000}"/>
    <cellStyle name="Percent 26 2 2" xfId="13080" xr:uid="{00000000-0005-0000-0000-00001C330000}"/>
    <cellStyle name="Percent 26 2 3" xfId="16706" xr:uid="{00000000-0005-0000-0000-000046410000}"/>
    <cellStyle name="Percent 26 2 4" xfId="11777" xr:uid="{00000000-0005-0000-0000-0000052E0000}"/>
    <cellStyle name="Percent 26 3" xfId="6848" xr:uid="{00000000-0005-0000-0000-0000C41A0000}"/>
    <cellStyle name="Percent 26 3 2" xfId="13081" xr:uid="{00000000-0005-0000-0000-00001D330000}"/>
    <cellStyle name="Percent 26 3 3" xfId="16353" xr:uid="{00000000-0005-0000-0000-0000E53F0000}"/>
    <cellStyle name="Percent 26 3 4" xfId="11778" xr:uid="{00000000-0005-0000-0000-0000062E0000}"/>
    <cellStyle name="Percent 26 4" xfId="6849" xr:uid="{00000000-0005-0000-0000-0000C51A0000}"/>
    <cellStyle name="Percent 26 4 2" xfId="13082" xr:uid="{00000000-0005-0000-0000-00001E330000}"/>
    <cellStyle name="Percent 26 4 3" xfId="15680" xr:uid="{00000000-0005-0000-0000-0000443D0000}"/>
    <cellStyle name="Percent 26 4 4" xfId="11779" xr:uid="{00000000-0005-0000-0000-0000072E0000}"/>
    <cellStyle name="Percent 26 5" xfId="6850" xr:uid="{00000000-0005-0000-0000-0000C61A0000}"/>
    <cellStyle name="Percent 26 5 2" xfId="13083" xr:uid="{00000000-0005-0000-0000-00001F330000}"/>
    <cellStyle name="Percent 26 5 3" xfId="16636" xr:uid="{00000000-0005-0000-0000-000000410000}"/>
    <cellStyle name="Percent 26 5 4" xfId="11780" xr:uid="{00000000-0005-0000-0000-0000082E0000}"/>
    <cellStyle name="Percent 26 6" xfId="6851" xr:uid="{00000000-0005-0000-0000-0000C71A0000}"/>
    <cellStyle name="Percent 26 6 2" xfId="13084" xr:uid="{00000000-0005-0000-0000-000020330000}"/>
    <cellStyle name="Percent 26 6 3" xfId="19540" xr:uid="{00000000-0005-0000-0000-0000584C0000}"/>
    <cellStyle name="Percent 26 6 4" xfId="11781" xr:uid="{00000000-0005-0000-0000-0000092E0000}"/>
    <cellStyle name="Percent 26 7" xfId="6852" xr:uid="{00000000-0005-0000-0000-0000C81A0000}"/>
    <cellStyle name="Percent 26 7 2" xfId="6853" xr:uid="{00000000-0005-0000-0000-0000C91A0000}"/>
    <cellStyle name="Percent 26 7 2 2" xfId="13086" xr:uid="{00000000-0005-0000-0000-000022330000}"/>
    <cellStyle name="Percent 26 7 2 3" xfId="19205" xr:uid="{00000000-0005-0000-0000-0000094B0000}"/>
    <cellStyle name="Percent 26 7 2 4" xfId="11783" xr:uid="{00000000-0005-0000-0000-00000B2E0000}"/>
    <cellStyle name="Percent 26 7 3" xfId="6854" xr:uid="{00000000-0005-0000-0000-0000CA1A0000}"/>
    <cellStyle name="Percent 26 7 3 2" xfId="13087" xr:uid="{00000000-0005-0000-0000-000023330000}"/>
    <cellStyle name="Percent 26 7 3 3" xfId="17245" xr:uid="{00000000-0005-0000-0000-000061430000}"/>
    <cellStyle name="Percent 26 7 3 4" xfId="11784" xr:uid="{00000000-0005-0000-0000-00000C2E0000}"/>
    <cellStyle name="Percent 26 7 4" xfId="13085" xr:uid="{00000000-0005-0000-0000-000021330000}"/>
    <cellStyle name="Percent 26 7 5" xfId="16765" xr:uid="{00000000-0005-0000-0000-000081410000}"/>
    <cellStyle name="Percent 26 7 6" xfId="11782" xr:uid="{00000000-0005-0000-0000-00000A2E0000}"/>
    <cellStyle name="Percent 26 8" xfId="13079" xr:uid="{00000000-0005-0000-0000-00001B330000}"/>
    <cellStyle name="Percent 26 9" xfId="15663" xr:uid="{00000000-0005-0000-0000-0000333D0000}"/>
    <cellStyle name="Percent 27" xfId="6855" xr:uid="{00000000-0005-0000-0000-0000CB1A0000}"/>
    <cellStyle name="Percent 27 2" xfId="13088" xr:uid="{00000000-0005-0000-0000-000024330000}"/>
    <cellStyle name="Percent 27 3" xfId="15380" xr:uid="{00000000-0005-0000-0000-0000183C0000}"/>
    <cellStyle name="Percent 27 4" xfId="11785" xr:uid="{00000000-0005-0000-0000-00000D2E0000}"/>
    <cellStyle name="Percent 28" xfId="7881" xr:uid="{00000000-0005-0000-0000-0000CD1E0000}"/>
    <cellStyle name="Percent 28 2" xfId="8094" xr:uid="{00000000-0005-0000-0000-0000A21F0000}"/>
    <cellStyle name="Percent 28 2 2" xfId="8512" xr:uid="{00000000-0005-0000-0000-000044210000}"/>
    <cellStyle name="Percent 28 2 2 2" xfId="10374" xr:uid="{00000000-0005-0000-0000-00008A280000}"/>
    <cellStyle name="Percent 28 2 2 2 2" xfId="18602" xr:uid="{00000000-0005-0000-0000-0000AE480000}"/>
    <cellStyle name="Percent 28 2 2 2 2 2" xfId="25114" xr:uid="{00000000-0005-0000-0000-00001E620000}"/>
    <cellStyle name="Percent 28 2 2 2 3" xfId="22279" xr:uid="{00000000-0005-0000-0000-00000B570000}"/>
    <cellStyle name="Percent 28 2 2 3" xfId="17192" xr:uid="{00000000-0005-0000-0000-00002C430000}"/>
    <cellStyle name="Percent 28 2 2 3 2" xfId="23849" xr:uid="{00000000-0005-0000-0000-00002D5D0000}"/>
    <cellStyle name="Percent 28 2 2 4" xfId="20717" xr:uid="{00000000-0005-0000-0000-0000F1500000}"/>
    <cellStyle name="Percent 28 2 3" xfId="9515" xr:uid="{00000000-0005-0000-0000-00002F250000}"/>
    <cellStyle name="Percent 28 2 3 2" xfId="10786" xr:uid="{00000000-0005-0000-0000-0000262A0000}"/>
    <cellStyle name="Percent 28 2 3 2 2" xfId="19014" xr:uid="{00000000-0005-0000-0000-00004A4A0000}"/>
    <cellStyle name="Percent 28 2 3 2 2 2" xfId="25526" xr:uid="{00000000-0005-0000-0000-0000BA630000}"/>
    <cellStyle name="Percent 28 2 3 2 3" xfId="22691" xr:uid="{00000000-0005-0000-0000-0000A7580000}"/>
    <cellStyle name="Percent 28 2 3 3" xfId="17745" xr:uid="{00000000-0005-0000-0000-000055450000}"/>
    <cellStyle name="Percent 28 2 3 3 2" xfId="24270" xr:uid="{00000000-0005-0000-0000-0000D25E0000}"/>
    <cellStyle name="Percent 28 2 3 4" xfId="21435" xr:uid="{00000000-0005-0000-0000-0000BF530000}"/>
    <cellStyle name="Percent 28 2 4" xfId="9956" xr:uid="{00000000-0005-0000-0000-0000E8260000}"/>
    <cellStyle name="Percent 28 2 4 2" xfId="18184" xr:uid="{00000000-0005-0000-0000-00000C470000}"/>
    <cellStyle name="Percent 28 2 4 2 2" xfId="24696" xr:uid="{00000000-0005-0000-0000-00007C600000}"/>
    <cellStyle name="Percent 28 2 4 3" xfId="21861" xr:uid="{00000000-0005-0000-0000-000069550000}"/>
    <cellStyle name="Percent 28 2 5" xfId="16801" xr:uid="{00000000-0005-0000-0000-0000A5410000}"/>
    <cellStyle name="Percent 28 2 5 2" xfId="23460" xr:uid="{00000000-0005-0000-0000-0000A85B0000}"/>
    <cellStyle name="Percent 28 2 6" xfId="15376" xr:uid="{00000000-0005-0000-0000-0000143C0000}"/>
    <cellStyle name="Percent 28 2 7" xfId="11787" xr:uid="{00000000-0005-0000-0000-00000F2E0000}"/>
    <cellStyle name="Percent 28 2 8" xfId="20299" xr:uid="{00000000-0005-0000-0000-00004F4F0000}"/>
    <cellStyle name="Percent 28 3" xfId="8303" xr:uid="{00000000-0005-0000-0000-000073200000}"/>
    <cellStyle name="Percent 28 3 2" xfId="10165" xr:uid="{00000000-0005-0000-0000-0000B9270000}"/>
    <cellStyle name="Percent 28 3 2 2" xfId="18393" xr:uid="{00000000-0005-0000-0000-0000DD470000}"/>
    <cellStyle name="Percent 28 3 2 2 2" xfId="24905" xr:uid="{00000000-0005-0000-0000-00004D610000}"/>
    <cellStyle name="Percent 28 3 2 3" xfId="22070" xr:uid="{00000000-0005-0000-0000-00003A560000}"/>
    <cellStyle name="Percent 28 3 3" xfId="16983" xr:uid="{00000000-0005-0000-0000-00005B420000}"/>
    <cellStyle name="Percent 28 3 3 2" xfId="23640" xr:uid="{00000000-0005-0000-0000-00005C5C0000}"/>
    <cellStyle name="Percent 28 3 4" xfId="20508" xr:uid="{00000000-0005-0000-0000-000020500000}"/>
    <cellStyle name="Percent 28 4" xfId="8904" xr:uid="{00000000-0005-0000-0000-0000CC220000}"/>
    <cellStyle name="Percent 28 4 2" xfId="10392" xr:uid="{00000000-0005-0000-0000-00009C280000}"/>
    <cellStyle name="Percent 28 4 2 2" xfId="18620" xr:uid="{00000000-0005-0000-0000-0000C0480000}"/>
    <cellStyle name="Percent 28 4 2 2 2" xfId="25132" xr:uid="{00000000-0005-0000-0000-000030620000}"/>
    <cellStyle name="Percent 28 4 2 3" xfId="22297" xr:uid="{00000000-0005-0000-0000-00001D570000}"/>
    <cellStyle name="Percent 28 4 3" xfId="17274" xr:uid="{00000000-0005-0000-0000-00007E430000}"/>
    <cellStyle name="Percent 28 4 3 2" xfId="23874" xr:uid="{00000000-0005-0000-0000-0000465D0000}"/>
    <cellStyle name="Percent 28 4 4" xfId="20956" xr:uid="{00000000-0005-0000-0000-0000E0510000}"/>
    <cellStyle name="Percent 28 5" xfId="9747" xr:uid="{00000000-0005-0000-0000-000017260000}"/>
    <cellStyle name="Percent 28 5 2" xfId="17975" xr:uid="{00000000-0005-0000-0000-00003B460000}"/>
    <cellStyle name="Percent 28 5 2 2" xfId="24487" xr:uid="{00000000-0005-0000-0000-0000AB5F0000}"/>
    <cellStyle name="Percent 28 5 3" xfId="21652" xr:uid="{00000000-0005-0000-0000-000098540000}"/>
    <cellStyle name="Percent 28 6" xfId="16756" xr:uid="{00000000-0005-0000-0000-000078410000}"/>
    <cellStyle name="Percent 28 6 2" xfId="23453" xr:uid="{00000000-0005-0000-0000-0000A15B0000}"/>
    <cellStyle name="Percent 28 7" xfId="15404" xr:uid="{00000000-0005-0000-0000-0000303C0000}"/>
    <cellStyle name="Percent 28 8" xfId="11786" xr:uid="{00000000-0005-0000-0000-00000E2E0000}"/>
    <cellStyle name="Percent 28 9" xfId="20090" xr:uid="{00000000-0005-0000-0000-00007E4E0000}"/>
    <cellStyle name="Percent 3" xfId="164" xr:uid="{00000000-0005-0000-0000-0000A8000000}"/>
    <cellStyle name="Percent 3 10" xfId="1727" xr:uid="{00000000-0005-0000-0000-0000C3060000}"/>
    <cellStyle name="Percent 3 10 10" xfId="6858" xr:uid="{00000000-0005-0000-0000-0000CE1A0000}"/>
    <cellStyle name="Percent 3 10 10 2" xfId="13090" xr:uid="{00000000-0005-0000-0000-000026330000}"/>
    <cellStyle name="Percent 3 10 10 3" xfId="17277" xr:uid="{00000000-0005-0000-0000-000081430000}"/>
    <cellStyle name="Percent 3 10 10 4" xfId="11789" xr:uid="{00000000-0005-0000-0000-0000112E0000}"/>
    <cellStyle name="Percent 3 10 11" xfId="6859" xr:uid="{00000000-0005-0000-0000-0000CF1A0000}"/>
    <cellStyle name="Percent 3 10 11 2" xfId="13091" xr:uid="{00000000-0005-0000-0000-000027330000}"/>
    <cellStyle name="Percent 3 10 11 3" xfId="19293" xr:uid="{00000000-0005-0000-0000-0000614B0000}"/>
    <cellStyle name="Percent 3 10 11 4" xfId="11790" xr:uid="{00000000-0005-0000-0000-0000122E0000}"/>
    <cellStyle name="Percent 3 10 12" xfId="6860" xr:uid="{00000000-0005-0000-0000-0000D01A0000}"/>
    <cellStyle name="Percent 3 10 12 2" xfId="13092" xr:uid="{00000000-0005-0000-0000-000028330000}"/>
    <cellStyle name="Percent 3 10 12 3" xfId="16782" xr:uid="{00000000-0005-0000-0000-000092410000}"/>
    <cellStyle name="Percent 3 10 12 4" xfId="11791" xr:uid="{00000000-0005-0000-0000-0000132E0000}"/>
    <cellStyle name="Percent 3 10 13" xfId="6861" xr:uid="{00000000-0005-0000-0000-0000D11A0000}"/>
    <cellStyle name="Percent 3 10 13 2" xfId="13093" xr:uid="{00000000-0005-0000-0000-000029330000}"/>
    <cellStyle name="Percent 3 10 13 3" xfId="16371" xr:uid="{00000000-0005-0000-0000-0000F73F0000}"/>
    <cellStyle name="Percent 3 10 13 4" xfId="11792" xr:uid="{00000000-0005-0000-0000-0000142E0000}"/>
    <cellStyle name="Percent 3 10 14" xfId="6862" xr:uid="{00000000-0005-0000-0000-0000D21A0000}"/>
    <cellStyle name="Percent 3 10 14 2" xfId="13094" xr:uid="{00000000-0005-0000-0000-00002A330000}"/>
    <cellStyle name="Percent 3 10 14 3" xfId="19165" xr:uid="{00000000-0005-0000-0000-0000E14A0000}"/>
    <cellStyle name="Percent 3 10 14 4" xfId="11793" xr:uid="{00000000-0005-0000-0000-0000152E0000}"/>
    <cellStyle name="Percent 3 10 15" xfId="6863" xr:uid="{00000000-0005-0000-0000-0000D31A0000}"/>
    <cellStyle name="Percent 3 10 15 2" xfId="13095" xr:uid="{00000000-0005-0000-0000-00002B330000}"/>
    <cellStyle name="Percent 3 10 15 3" xfId="19216" xr:uid="{00000000-0005-0000-0000-0000144B0000}"/>
    <cellStyle name="Percent 3 10 15 4" xfId="11794" xr:uid="{00000000-0005-0000-0000-0000162E0000}"/>
    <cellStyle name="Percent 3 10 16" xfId="13089" xr:uid="{00000000-0005-0000-0000-000025330000}"/>
    <cellStyle name="Percent 3 10 17" xfId="19509" xr:uid="{00000000-0005-0000-0000-0000394C0000}"/>
    <cellStyle name="Percent 3 10 18" xfId="11788" xr:uid="{00000000-0005-0000-0000-0000102E0000}"/>
    <cellStyle name="Percent 3 10 19" xfId="6857" xr:uid="{00000000-0005-0000-0000-0000CD1A0000}"/>
    <cellStyle name="Percent 3 10 2" xfId="3731" xr:uid="{00000000-0005-0000-0000-0000970E0000}"/>
    <cellStyle name="Percent 3 10 2 2" xfId="13096" xr:uid="{00000000-0005-0000-0000-00002C330000}"/>
    <cellStyle name="Percent 3 10 2 3" xfId="19363" xr:uid="{00000000-0005-0000-0000-0000A74B0000}"/>
    <cellStyle name="Percent 3 10 2 4" xfId="11795" xr:uid="{00000000-0005-0000-0000-0000172E0000}"/>
    <cellStyle name="Percent 3 10 2 5" xfId="6864" xr:uid="{00000000-0005-0000-0000-0000D41A0000}"/>
    <cellStyle name="Percent 3 10 3" xfId="6865" xr:uid="{00000000-0005-0000-0000-0000D51A0000}"/>
    <cellStyle name="Percent 3 10 3 2" xfId="13097" xr:uid="{00000000-0005-0000-0000-00002D330000}"/>
    <cellStyle name="Percent 3 10 3 3" xfId="17203" xr:uid="{00000000-0005-0000-0000-000037430000}"/>
    <cellStyle name="Percent 3 10 3 4" xfId="11796" xr:uid="{00000000-0005-0000-0000-0000182E0000}"/>
    <cellStyle name="Percent 3 10 4" xfId="6866" xr:uid="{00000000-0005-0000-0000-0000D61A0000}"/>
    <cellStyle name="Percent 3 10 4 2" xfId="13098" xr:uid="{00000000-0005-0000-0000-00002E330000}"/>
    <cellStyle name="Percent 3 10 4 3" xfId="15413" xr:uid="{00000000-0005-0000-0000-0000393C0000}"/>
    <cellStyle name="Percent 3 10 4 4" xfId="11797" xr:uid="{00000000-0005-0000-0000-0000192E0000}"/>
    <cellStyle name="Percent 3 10 5" xfId="6867" xr:uid="{00000000-0005-0000-0000-0000D71A0000}"/>
    <cellStyle name="Percent 3 10 5 2" xfId="13099" xr:uid="{00000000-0005-0000-0000-00002F330000}"/>
    <cellStyle name="Percent 3 10 5 3" xfId="15630" xr:uid="{00000000-0005-0000-0000-0000123D0000}"/>
    <cellStyle name="Percent 3 10 5 4" xfId="11798" xr:uid="{00000000-0005-0000-0000-00001A2E0000}"/>
    <cellStyle name="Percent 3 10 6" xfId="6868" xr:uid="{00000000-0005-0000-0000-0000D81A0000}"/>
    <cellStyle name="Percent 3 10 6 2" xfId="13100" xr:uid="{00000000-0005-0000-0000-000030330000}"/>
    <cellStyle name="Percent 3 10 6 3" xfId="19532" xr:uid="{00000000-0005-0000-0000-0000504C0000}"/>
    <cellStyle name="Percent 3 10 6 4" xfId="11799" xr:uid="{00000000-0005-0000-0000-00001B2E0000}"/>
    <cellStyle name="Percent 3 10 7" xfId="6869" xr:uid="{00000000-0005-0000-0000-0000D91A0000}"/>
    <cellStyle name="Percent 3 10 7 2" xfId="13101" xr:uid="{00000000-0005-0000-0000-000031330000}"/>
    <cellStyle name="Percent 3 10 7 3" xfId="15940" xr:uid="{00000000-0005-0000-0000-0000483E0000}"/>
    <cellStyle name="Percent 3 10 7 4" xfId="11800" xr:uid="{00000000-0005-0000-0000-00001C2E0000}"/>
    <cellStyle name="Percent 3 10 8" xfId="6870" xr:uid="{00000000-0005-0000-0000-0000DA1A0000}"/>
    <cellStyle name="Percent 3 10 8 2" xfId="13102" xr:uid="{00000000-0005-0000-0000-000032330000}"/>
    <cellStyle name="Percent 3 10 8 3" xfId="17298" xr:uid="{00000000-0005-0000-0000-000096430000}"/>
    <cellStyle name="Percent 3 10 8 4" xfId="11801" xr:uid="{00000000-0005-0000-0000-00001D2E0000}"/>
    <cellStyle name="Percent 3 10 9" xfId="6871" xr:uid="{00000000-0005-0000-0000-0000DB1A0000}"/>
    <cellStyle name="Percent 3 10 9 2" xfId="13103" xr:uid="{00000000-0005-0000-0000-000033330000}"/>
    <cellStyle name="Percent 3 10 9 3" xfId="16671" xr:uid="{00000000-0005-0000-0000-000023410000}"/>
    <cellStyle name="Percent 3 10 9 4" xfId="11802" xr:uid="{00000000-0005-0000-0000-00001E2E0000}"/>
    <cellStyle name="Percent 3 11" xfId="3054" xr:uid="{00000000-0005-0000-0000-0000F20B0000}"/>
    <cellStyle name="Percent 3 11 2" xfId="4128" xr:uid="{00000000-0005-0000-0000-000024100000}"/>
    <cellStyle name="Percent 3 11 2 2" xfId="13104" xr:uid="{00000000-0005-0000-0000-000034330000}"/>
    <cellStyle name="Percent 3 11 3" xfId="15338" xr:uid="{00000000-0005-0000-0000-0000EE3B0000}"/>
    <cellStyle name="Percent 3 11 4" xfId="11803" xr:uid="{00000000-0005-0000-0000-00001F2E0000}"/>
    <cellStyle name="Percent 3 11 5" xfId="6872" xr:uid="{00000000-0005-0000-0000-0000DC1A0000}"/>
    <cellStyle name="Percent 3 12" xfId="3280" xr:uid="{00000000-0005-0000-0000-0000D40C0000}"/>
    <cellStyle name="Percent 3 12 2" xfId="4338" xr:uid="{00000000-0005-0000-0000-0000F6100000}"/>
    <cellStyle name="Percent 3 12 2 2" xfId="13105" xr:uid="{00000000-0005-0000-0000-000035330000}"/>
    <cellStyle name="Percent 3 12 3" xfId="16367" xr:uid="{00000000-0005-0000-0000-0000F33F0000}"/>
    <cellStyle name="Percent 3 12 4" xfId="11804" xr:uid="{00000000-0005-0000-0000-0000202E0000}"/>
    <cellStyle name="Percent 3 12 5" xfId="6873" xr:uid="{00000000-0005-0000-0000-0000DD1A0000}"/>
    <cellStyle name="Percent 3 13" xfId="6874" xr:uid="{00000000-0005-0000-0000-0000DE1A0000}"/>
    <cellStyle name="Percent 3 13 2" xfId="13106" xr:uid="{00000000-0005-0000-0000-000036330000}"/>
    <cellStyle name="Percent 3 13 3" xfId="19322" xr:uid="{00000000-0005-0000-0000-00007E4B0000}"/>
    <cellStyle name="Percent 3 13 4" xfId="11805" xr:uid="{00000000-0005-0000-0000-0000212E0000}"/>
    <cellStyle name="Percent 3 14" xfId="6875" xr:uid="{00000000-0005-0000-0000-0000DF1A0000}"/>
    <cellStyle name="Percent 3 14 2" xfId="13107" xr:uid="{00000000-0005-0000-0000-000037330000}"/>
    <cellStyle name="Percent 3 14 3" xfId="15703" xr:uid="{00000000-0005-0000-0000-00005B3D0000}"/>
    <cellStyle name="Percent 3 14 4" xfId="11806" xr:uid="{00000000-0005-0000-0000-0000222E0000}"/>
    <cellStyle name="Percent 3 15" xfId="6876" xr:uid="{00000000-0005-0000-0000-0000E01A0000}"/>
    <cellStyle name="Percent 3 15 2" xfId="13108" xr:uid="{00000000-0005-0000-0000-000038330000}"/>
    <cellStyle name="Percent 3 15 3" xfId="17204" xr:uid="{00000000-0005-0000-0000-000038430000}"/>
    <cellStyle name="Percent 3 15 4" xfId="11807" xr:uid="{00000000-0005-0000-0000-0000232E0000}"/>
    <cellStyle name="Percent 3 16" xfId="6877" xr:uid="{00000000-0005-0000-0000-0000E11A0000}"/>
    <cellStyle name="Percent 3 16 2" xfId="13109" xr:uid="{00000000-0005-0000-0000-000039330000}"/>
    <cellStyle name="Percent 3 16 3" xfId="16387" xr:uid="{00000000-0005-0000-0000-000007400000}"/>
    <cellStyle name="Percent 3 16 4" xfId="11808" xr:uid="{00000000-0005-0000-0000-0000242E0000}"/>
    <cellStyle name="Percent 3 17" xfId="6878" xr:uid="{00000000-0005-0000-0000-0000E21A0000}"/>
    <cellStyle name="Percent 3 17 2" xfId="13110" xr:uid="{00000000-0005-0000-0000-00003A330000}"/>
    <cellStyle name="Percent 3 17 3" xfId="19087" xr:uid="{00000000-0005-0000-0000-0000934A0000}"/>
    <cellStyle name="Percent 3 17 4" xfId="11809" xr:uid="{00000000-0005-0000-0000-0000252E0000}"/>
    <cellStyle name="Percent 3 18" xfId="6879" xr:uid="{00000000-0005-0000-0000-0000E31A0000}"/>
    <cellStyle name="Percent 3 18 2" xfId="13111" xr:uid="{00000000-0005-0000-0000-00003B330000}"/>
    <cellStyle name="Percent 3 18 3" xfId="15540" xr:uid="{00000000-0005-0000-0000-0000B83C0000}"/>
    <cellStyle name="Percent 3 18 4" xfId="11810" xr:uid="{00000000-0005-0000-0000-0000262E0000}"/>
    <cellStyle name="Percent 3 19" xfId="6880" xr:uid="{00000000-0005-0000-0000-0000E41A0000}"/>
    <cellStyle name="Percent 3 19 2" xfId="13112" xr:uid="{00000000-0005-0000-0000-00003C330000}"/>
    <cellStyle name="Percent 3 19 3" xfId="15407" xr:uid="{00000000-0005-0000-0000-0000333C0000}"/>
    <cellStyle name="Percent 3 19 4" xfId="11811" xr:uid="{00000000-0005-0000-0000-0000272E0000}"/>
    <cellStyle name="Percent 3 2" xfId="165" xr:uid="{00000000-0005-0000-0000-0000A9000000}"/>
    <cellStyle name="Percent 3 2 10" xfId="6882" xr:uid="{00000000-0005-0000-0000-0000E61A0000}"/>
    <cellStyle name="Percent 3 2 10 2" xfId="13114" xr:uid="{00000000-0005-0000-0000-00003E330000}"/>
    <cellStyle name="Percent 3 2 10 3" xfId="15704" xr:uid="{00000000-0005-0000-0000-00005C3D0000}"/>
    <cellStyle name="Percent 3 2 10 4" xfId="11813" xr:uid="{00000000-0005-0000-0000-0000292E0000}"/>
    <cellStyle name="Percent 3 2 11" xfId="6883" xr:uid="{00000000-0005-0000-0000-0000E71A0000}"/>
    <cellStyle name="Percent 3 2 11 2" xfId="13115" xr:uid="{00000000-0005-0000-0000-00003F330000}"/>
    <cellStyle name="Percent 3 2 11 3" xfId="19243" xr:uid="{00000000-0005-0000-0000-00002F4B0000}"/>
    <cellStyle name="Percent 3 2 11 4" xfId="11814" xr:uid="{00000000-0005-0000-0000-00002A2E0000}"/>
    <cellStyle name="Percent 3 2 12" xfId="6884" xr:uid="{00000000-0005-0000-0000-0000E81A0000}"/>
    <cellStyle name="Percent 3 2 12 2" xfId="13116" xr:uid="{00000000-0005-0000-0000-000040330000}"/>
    <cellStyle name="Percent 3 2 12 3" xfId="15495" xr:uid="{00000000-0005-0000-0000-00008B3C0000}"/>
    <cellStyle name="Percent 3 2 12 4" xfId="11815" xr:uid="{00000000-0005-0000-0000-00002B2E0000}"/>
    <cellStyle name="Percent 3 2 13" xfId="6885" xr:uid="{00000000-0005-0000-0000-0000E91A0000}"/>
    <cellStyle name="Percent 3 2 13 2" xfId="13117" xr:uid="{00000000-0005-0000-0000-000041330000}"/>
    <cellStyle name="Percent 3 2 13 3" xfId="19374" xr:uid="{00000000-0005-0000-0000-0000B24B0000}"/>
    <cellStyle name="Percent 3 2 13 4" xfId="11816" xr:uid="{00000000-0005-0000-0000-00002C2E0000}"/>
    <cellStyle name="Percent 3 2 14" xfId="6886" xr:uid="{00000000-0005-0000-0000-0000EA1A0000}"/>
    <cellStyle name="Percent 3 2 14 2" xfId="15818" xr:uid="{00000000-0005-0000-0000-0000CE3D0000}"/>
    <cellStyle name="Percent 3 2 14 3" xfId="15480" xr:uid="{00000000-0005-0000-0000-00007C3C0000}"/>
    <cellStyle name="Percent 3 2 14 4" xfId="11817" xr:uid="{00000000-0005-0000-0000-00002D2E0000}"/>
    <cellStyle name="Percent 3 2 15" xfId="6887" xr:uid="{00000000-0005-0000-0000-0000EB1A0000}"/>
    <cellStyle name="Percent 3 2 15 2" xfId="15819" xr:uid="{00000000-0005-0000-0000-0000CF3D0000}"/>
    <cellStyle name="Percent 3 2 15 3" xfId="15274" xr:uid="{00000000-0005-0000-0000-0000AE3B0000}"/>
    <cellStyle name="Percent 3 2 15 4" xfId="11818" xr:uid="{00000000-0005-0000-0000-00002E2E0000}"/>
    <cellStyle name="Percent 3 2 16" xfId="6888" xr:uid="{00000000-0005-0000-0000-0000EC1A0000}"/>
    <cellStyle name="Percent 3 2 16 2" xfId="15820" xr:uid="{00000000-0005-0000-0000-0000D03D0000}"/>
    <cellStyle name="Percent 3 2 16 3" xfId="19432" xr:uid="{00000000-0005-0000-0000-0000EC4B0000}"/>
    <cellStyle name="Percent 3 2 16 4" xfId="11819" xr:uid="{00000000-0005-0000-0000-00002F2E0000}"/>
    <cellStyle name="Percent 3 2 17" xfId="6881" xr:uid="{00000000-0005-0000-0000-0000E51A0000}"/>
    <cellStyle name="Percent 3 2 17 2" xfId="15816" xr:uid="{00000000-0005-0000-0000-0000CC3D0000}"/>
    <cellStyle name="Percent 3 2 17 3" xfId="19139" xr:uid="{00000000-0005-0000-0000-0000C74A0000}"/>
    <cellStyle name="Percent 3 2 17 4" xfId="11820" xr:uid="{00000000-0005-0000-0000-0000302E0000}"/>
    <cellStyle name="Percent 3 2 18" xfId="13113" xr:uid="{00000000-0005-0000-0000-00003D330000}"/>
    <cellStyle name="Percent 3 2 19" xfId="19402" xr:uid="{00000000-0005-0000-0000-0000CE4B0000}"/>
    <cellStyle name="Percent 3 2 2" xfId="166" xr:uid="{00000000-0005-0000-0000-0000AA000000}"/>
    <cellStyle name="Percent 3 2 2 2" xfId="2848" xr:uid="{00000000-0005-0000-0000-0000240B0000}"/>
    <cellStyle name="Percent 3 2 2 2 2" xfId="7853" xr:uid="{00000000-0005-0000-0000-0000B11E0000}"/>
    <cellStyle name="Percent 3 2 2 2 2 2" xfId="16722" xr:uid="{00000000-0005-0000-0000-000056410000}"/>
    <cellStyle name="Percent 3 2 2 2 2 3" xfId="19437" xr:uid="{00000000-0005-0000-0000-0000F14B0000}"/>
    <cellStyle name="Percent 3 2 2 2 2 4" xfId="11823" xr:uid="{00000000-0005-0000-0000-0000332E0000}"/>
    <cellStyle name="Percent 3 2 2 2 3" xfId="11824" xr:uid="{00000000-0005-0000-0000-0000342E0000}"/>
    <cellStyle name="Percent 3 2 2 2 3 2" xfId="16362" xr:uid="{00000000-0005-0000-0000-0000EE3F0000}"/>
    <cellStyle name="Percent 3 2 2 2 4" xfId="15096" xr:uid="{00000000-0005-0000-0000-0000FC3A0000}"/>
    <cellStyle name="Percent 3 2 2 2 5" xfId="15822" xr:uid="{00000000-0005-0000-0000-0000D23D0000}"/>
    <cellStyle name="Percent 3 2 2 2 6" xfId="19458" xr:uid="{00000000-0005-0000-0000-0000064C0000}"/>
    <cellStyle name="Percent 3 2 2 2 7" xfId="11822" xr:uid="{00000000-0005-0000-0000-0000322E0000}"/>
    <cellStyle name="Percent 3 2 2 3" xfId="6889" xr:uid="{00000000-0005-0000-0000-0000ED1A0000}"/>
    <cellStyle name="Percent 3 2 2 3 2" xfId="15097" xr:uid="{00000000-0005-0000-0000-0000FD3A0000}"/>
    <cellStyle name="Percent 3 2 2 3 3" xfId="15821" xr:uid="{00000000-0005-0000-0000-0000D13D0000}"/>
    <cellStyle name="Percent 3 2 2 3 4" xfId="19136" xr:uid="{00000000-0005-0000-0000-0000C44A0000}"/>
    <cellStyle name="Percent 3 2 2 3 5" xfId="11825" xr:uid="{00000000-0005-0000-0000-0000352E0000}"/>
    <cellStyle name="Percent 3 2 2 4" xfId="8895" xr:uid="{00000000-0005-0000-0000-0000C3220000}"/>
    <cellStyle name="Percent 3 2 2 4 2" xfId="17266" xr:uid="{00000000-0005-0000-0000-000076430000}"/>
    <cellStyle name="Percent 3 2 2 4 3" xfId="15095" xr:uid="{00000000-0005-0000-0000-0000FB3A0000}"/>
    <cellStyle name="Percent 3 2 2 5" xfId="19032" xr:uid="{00000000-0005-0000-0000-00005C4A0000}"/>
    <cellStyle name="Percent 3 2 2 6" xfId="11821" xr:uid="{00000000-0005-0000-0000-0000312E0000}"/>
    <cellStyle name="Percent 3 2 20" xfId="11812" xr:uid="{00000000-0005-0000-0000-0000282E0000}"/>
    <cellStyle name="Percent 3 2 3" xfId="167" xr:uid="{00000000-0005-0000-0000-0000AB000000}"/>
    <cellStyle name="Percent 3 2 3 2" xfId="6890" xr:uid="{00000000-0005-0000-0000-0000EE1A0000}"/>
    <cellStyle name="Percent 3 2 3 2 2" xfId="15823" xr:uid="{00000000-0005-0000-0000-0000D33D0000}"/>
    <cellStyle name="Percent 3 2 3 2 3" xfId="19516" xr:uid="{00000000-0005-0000-0000-0000404C0000}"/>
    <cellStyle name="Percent 3 2 3 2 4" xfId="11827" xr:uid="{00000000-0005-0000-0000-0000372E0000}"/>
    <cellStyle name="Percent 3 2 3 3" xfId="11828" xr:uid="{00000000-0005-0000-0000-0000382E0000}"/>
    <cellStyle name="Percent 3 2 3 3 2" xfId="19233" xr:uid="{00000000-0005-0000-0000-0000254B0000}"/>
    <cellStyle name="Percent 3 2 3 4" xfId="15098" xr:uid="{00000000-0005-0000-0000-0000FE3A0000}"/>
    <cellStyle name="Percent 3 2 3 5" xfId="15321" xr:uid="{00000000-0005-0000-0000-0000DD3B0000}"/>
    <cellStyle name="Percent 3 2 3 6" xfId="19487" xr:uid="{00000000-0005-0000-0000-0000234C0000}"/>
    <cellStyle name="Percent 3 2 3 7" xfId="11826" xr:uid="{00000000-0005-0000-0000-0000362E0000}"/>
    <cellStyle name="Percent 3 2 4" xfId="1728" xr:uid="{00000000-0005-0000-0000-0000C4060000}"/>
    <cellStyle name="Percent 3 2 4 2" xfId="15322" xr:uid="{00000000-0005-0000-0000-0000DE3B0000}"/>
    <cellStyle name="Percent 3 2 4 3" xfId="19429" xr:uid="{00000000-0005-0000-0000-0000E94B0000}"/>
    <cellStyle name="Percent 3 2 4 4" xfId="11829" xr:uid="{00000000-0005-0000-0000-0000392E0000}"/>
    <cellStyle name="Percent 3 2 5" xfId="6891" xr:uid="{00000000-0005-0000-0000-0000EF1A0000}"/>
    <cellStyle name="Percent 3 2 5 2" xfId="15824" xr:uid="{00000000-0005-0000-0000-0000D43D0000}"/>
    <cellStyle name="Percent 3 2 5 3" xfId="15649" xr:uid="{00000000-0005-0000-0000-0000253D0000}"/>
    <cellStyle name="Percent 3 2 5 4" xfId="11830" xr:uid="{00000000-0005-0000-0000-00003A2E0000}"/>
    <cellStyle name="Percent 3 2 6" xfId="6892" xr:uid="{00000000-0005-0000-0000-0000F01A0000}"/>
    <cellStyle name="Percent 3 2 6 2" xfId="15825" xr:uid="{00000000-0005-0000-0000-0000D53D0000}"/>
    <cellStyle name="Percent 3 2 6 3" xfId="19286" xr:uid="{00000000-0005-0000-0000-00005A4B0000}"/>
    <cellStyle name="Percent 3 2 6 4" xfId="11831" xr:uid="{00000000-0005-0000-0000-00003B2E0000}"/>
    <cellStyle name="Percent 3 2 7" xfId="6893" xr:uid="{00000000-0005-0000-0000-0000F11A0000}"/>
    <cellStyle name="Percent 3 2 7 2" xfId="15826" xr:uid="{00000000-0005-0000-0000-0000D63D0000}"/>
    <cellStyle name="Percent 3 2 7 3" xfId="15625" xr:uid="{00000000-0005-0000-0000-00000D3D0000}"/>
    <cellStyle name="Percent 3 2 7 4" xfId="11832" xr:uid="{00000000-0005-0000-0000-00003C2E0000}"/>
    <cellStyle name="Percent 3 2 8" xfId="6894" xr:uid="{00000000-0005-0000-0000-0000F21A0000}"/>
    <cellStyle name="Percent 3 2 8 2" xfId="15827" xr:uid="{00000000-0005-0000-0000-0000D73D0000}"/>
    <cellStyle name="Percent 3 2 8 3" xfId="15516" xr:uid="{00000000-0005-0000-0000-0000A03C0000}"/>
    <cellStyle name="Percent 3 2 8 4" xfId="11833" xr:uid="{00000000-0005-0000-0000-00003D2E0000}"/>
    <cellStyle name="Percent 3 2 9" xfId="6895" xr:uid="{00000000-0005-0000-0000-0000F31A0000}"/>
    <cellStyle name="Percent 3 2 9 2" xfId="15828" xr:uid="{00000000-0005-0000-0000-0000D83D0000}"/>
    <cellStyle name="Percent 3 2 9 3" xfId="19473" xr:uid="{00000000-0005-0000-0000-0000154C0000}"/>
    <cellStyle name="Percent 3 2 9 4" xfId="11834" xr:uid="{00000000-0005-0000-0000-00003E2E0000}"/>
    <cellStyle name="Percent 3 20" xfId="6896" xr:uid="{00000000-0005-0000-0000-0000F41A0000}"/>
    <cellStyle name="Percent 3 20 2" xfId="15829" xr:uid="{00000000-0005-0000-0000-0000D93D0000}"/>
    <cellStyle name="Percent 3 20 3" xfId="15267" xr:uid="{00000000-0005-0000-0000-0000A73B0000}"/>
    <cellStyle name="Percent 3 20 4" xfId="11835" xr:uid="{00000000-0005-0000-0000-00003F2E0000}"/>
    <cellStyle name="Percent 3 21" xfId="6897" xr:uid="{00000000-0005-0000-0000-0000F51A0000}"/>
    <cellStyle name="Percent 3 21 2" xfId="15830" xr:uid="{00000000-0005-0000-0000-0000DA3D0000}"/>
    <cellStyle name="Percent 3 21 3" xfId="16766" xr:uid="{00000000-0005-0000-0000-000082410000}"/>
    <cellStyle name="Percent 3 21 4" xfId="11836" xr:uid="{00000000-0005-0000-0000-0000402E0000}"/>
    <cellStyle name="Percent 3 22" xfId="6898" xr:uid="{00000000-0005-0000-0000-0000F61A0000}"/>
    <cellStyle name="Percent 3 22 2" xfId="15831" xr:uid="{00000000-0005-0000-0000-0000DB3D0000}"/>
    <cellStyle name="Percent 3 22 3" xfId="15364" xr:uid="{00000000-0005-0000-0000-0000083C0000}"/>
    <cellStyle name="Percent 3 22 4" xfId="11837" xr:uid="{00000000-0005-0000-0000-0000412E0000}"/>
    <cellStyle name="Percent 3 23" xfId="6899" xr:uid="{00000000-0005-0000-0000-0000F71A0000}"/>
    <cellStyle name="Percent 3 23 2" xfId="15832" xr:uid="{00000000-0005-0000-0000-0000DC3D0000}"/>
    <cellStyle name="Percent 3 23 3" xfId="19212" xr:uid="{00000000-0005-0000-0000-0000104B0000}"/>
    <cellStyle name="Percent 3 23 4" xfId="11838" xr:uid="{00000000-0005-0000-0000-0000422E0000}"/>
    <cellStyle name="Percent 3 24" xfId="6900" xr:uid="{00000000-0005-0000-0000-0000F81A0000}"/>
    <cellStyle name="Percent 3 24 2" xfId="15833" xr:uid="{00000000-0005-0000-0000-0000DD3D0000}"/>
    <cellStyle name="Percent 3 24 3" xfId="15547" xr:uid="{00000000-0005-0000-0000-0000BF3C0000}"/>
    <cellStyle name="Percent 3 24 4" xfId="11839" xr:uid="{00000000-0005-0000-0000-0000432E0000}"/>
    <cellStyle name="Percent 3 25" xfId="6901" xr:uid="{00000000-0005-0000-0000-0000F91A0000}"/>
    <cellStyle name="Percent 3 25 2" xfId="15834" xr:uid="{00000000-0005-0000-0000-0000DE3D0000}"/>
    <cellStyle name="Percent 3 25 3" xfId="15412" xr:uid="{00000000-0005-0000-0000-0000383C0000}"/>
    <cellStyle name="Percent 3 25 4" xfId="11840" xr:uid="{00000000-0005-0000-0000-0000442E0000}"/>
    <cellStyle name="Percent 3 26" xfId="6902" xr:uid="{00000000-0005-0000-0000-0000FA1A0000}"/>
    <cellStyle name="Percent 3 26 2" xfId="15835" xr:uid="{00000000-0005-0000-0000-0000DF3D0000}"/>
    <cellStyle name="Percent 3 26 3" xfId="15815" xr:uid="{00000000-0005-0000-0000-0000CB3D0000}"/>
    <cellStyle name="Percent 3 26 4" xfId="11841" xr:uid="{00000000-0005-0000-0000-0000452E0000}"/>
    <cellStyle name="Percent 3 27" xfId="6903" xr:uid="{00000000-0005-0000-0000-0000FB1A0000}"/>
    <cellStyle name="Percent 3 27 2" xfId="15836" xr:uid="{00000000-0005-0000-0000-0000E03D0000}"/>
    <cellStyle name="Percent 3 27 3" xfId="15594" xr:uid="{00000000-0005-0000-0000-0000EE3C0000}"/>
    <cellStyle name="Percent 3 27 4" xfId="11842" xr:uid="{00000000-0005-0000-0000-0000462E0000}"/>
    <cellStyle name="Percent 3 28" xfId="6904" xr:uid="{00000000-0005-0000-0000-0000FC1A0000}"/>
    <cellStyle name="Percent 3 28 2" xfId="15837" xr:uid="{00000000-0005-0000-0000-0000E13D0000}"/>
    <cellStyle name="Percent 3 28 3" xfId="15549" xr:uid="{00000000-0005-0000-0000-0000C13C0000}"/>
    <cellStyle name="Percent 3 28 4" xfId="11843" xr:uid="{00000000-0005-0000-0000-0000472E0000}"/>
    <cellStyle name="Percent 3 29" xfId="6905" xr:uid="{00000000-0005-0000-0000-0000FD1A0000}"/>
    <cellStyle name="Percent 3 29 2" xfId="15838" xr:uid="{00000000-0005-0000-0000-0000E23D0000}"/>
    <cellStyle name="Percent 3 29 3" xfId="19088" xr:uid="{00000000-0005-0000-0000-0000944A0000}"/>
    <cellStyle name="Percent 3 29 4" xfId="11844" xr:uid="{00000000-0005-0000-0000-0000482E0000}"/>
    <cellStyle name="Percent 3 3" xfId="168" xr:uid="{00000000-0005-0000-0000-0000AC000000}"/>
    <cellStyle name="Percent 3 3 10" xfId="6906" xr:uid="{00000000-0005-0000-0000-0000FE1A0000}"/>
    <cellStyle name="Percent 3 3 10 2" xfId="15839" xr:uid="{00000000-0005-0000-0000-0000E33D0000}"/>
    <cellStyle name="Percent 3 3 10 3" xfId="16377" xr:uid="{00000000-0005-0000-0000-0000FD3F0000}"/>
    <cellStyle name="Percent 3 3 10 4" xfId="11846" xr:uid="{00000000-0005-0000-0000-00004A2E0000}"/>
    <cellStyle name="Percent 3 3 11" xfId="6907" xr:uid="{00000000-0005-0000-0000-0000FF1A0000}"/>
    <cellStyle name="Percent 3 3 11 2" xfId="15840" xr:uid="{00000000-0005-0000-0000-0000E43D0000}"/>
    <cellStyle name="Percent 3 3 11 3" xfId="15431" xr:uid="{00000000-0005-0000-0000-00004B3C0000}"/>
    <cellStyle name="Percent 3 3 11 4" xfId="11847" xr:uid="{00000000-0005-0000-0000-00004B2E0000}"/>
    <cellStyle name="Percent 3 3 12" xfId="6908" xr:uid="{00000000-0005-0000-0000-0000001B0000}"/>
    <cellStyle name="Percent 3 3 12 2" xfId="15841" xr:uid="{00000000-0005-0000-0000-0000E53D0000}"/>
    <cellStyle name="Percent 3 3 12 3" xfId="15466" xr:uid="{00000000-0005-0000-0000-00006E3C0000}"/>
    <cellStyle name="Percent 3 3 12 4" xfId="11848" xr:uid="{00000000-0005-0000-0000-00004C2E0000}"/>
    <cellStyle name="Percent 3 3 13" xfId="6909" xr:uid="{00000000-0005-0000-0000-0000011B0000}"/>
    <cellStyle name="Percent 3 3 13 2" xfId="15842" xr:uid="{00000000-0005-0000-0000-0000E63D0000}"/>
    <cellStyle name="Percent 3 3 13 3" xfId="19162" xr:uid="{00000000-0005-0000-0000-0000DE4A0000}"/>
    <cellStyle name="Percent 3 3 13 4" xfId="11849" xr:uid="{00000000-0005-0000-0000-00004D2E0000}"/>
    <cellStyle name="Percent 3 3 14" xfId="6910" xr:uid="{00000000-0005-0000-0000-0000021B0000}"/>
    <cellStyle name="Percent 3 3 14 2" xfId="15843" xr:uid="{00000000-0005-0000-0000-0000E73D0000}"/>
    <cellStyle name="Percent 3 3 14 3" xfId="15612" xr:uid="{00000000-0005-0000-0000-0000003D0000}"/>
    <cellStyle name="Percent 3 3 14 4" xfId="11850" xr:uid="{00000000-0005-0000-0000-00004E2E0000}"/>
    <cellStyle name="Percent 3 3 15" xfId="6911" xr:uid="{00000000-0005-0000-0000-0000031B0000}"/>
    <cellStyle name="Percent 3 3 15 2" xfId="15844" xr:uid="{00000000-0005-0000-0000-0000E83D0000}"/>
    <cellStyle name="Percent 3 3 15 3" xfId="15656" xr:uid="{00000000-0005-0000-0000-00002C3D0000}"/>
    <cellStyle name="Percent 3 3 15 4" xfId="11851" xr:uid="{00000000-0005-0000-0000-00004F2E0000}"/>
    <cellStyle name="Percent 3 3 16" xfId="15099" xr:uid="{00000000-0005-0000-0000-0000FF3A0000}"/>
    <cellStyle name="Percent 3 3 17" xfId="15337" xr:uid="{00000000-0005-0000-0000-0000ED3B0000}"/>
    <cellStyle name="Percent 3 3 18" xfId="11845" xr:uid="{00000000-0005-0000-0000-0000492E0000}"/>
    <cellStyle name="Percent 3 3 2" xfId="169" xr:uid="{00000000-0005-0000-0000-0000AD000000}"/>
    <cellStyle name="Percent 3 3 2 2" xfId="2849" xr:uid="{00000000-0005-0000-0000-0000250B0000}"/>
    <cellStyle name="Percent 3 3 2 3" xfId="19279" xr:uid="{00000000-0005-0000-0000-0000534B0000}"/>
    <cellStyle name="Percent 3 3 2 4" xfId="11852" xr:uid="{00000000-0005-0000-0000-0000502E0000}"/>
    <cellStyle name="Percent 3 3 3" xfId="170" xr:uid="{00000000-0005-0000-0000-0000AE000000}"/>
    <cellStyle name="Percent 3 3 3 2" xfId="171" xr:uid="{00000000-0005-0000-0000-0000AF000000}"/>
    <cellStyle name="Percent 3 3 3 2 2" xfId="3425" xr:uid="{00000000-0005-0000-0000-0000650D0000}"/>
    <cellStyle name="Percent 3 3 3 2 3" xfId="19564" xr:uid="{00000000-0005-0000-0000-0000704C0000}"/>
    <cellStyle name="Percent 3 3 3 2 4" xfId="11854" xr:uid="{00000000-0005-0000-0000-0000522E0000}"/>
    <cellStyle name="Percent 3 3 3 3" xfId="3424" xr:uid="{00000000-0005-0000-0000-0000640D0000}"/>
    <cellStyle name="Percent 3 3 3 3 2" xfId="4534" xr:uid="{00000000-0005-0000-0000-0000BA110000}"/>
    <cellStyle name="Percent 3 3 3 3 2 2" xfId="15325" xr:uid="{00000000-0005-0000-0000-0000E13B0000}"/>
    <cellStyle name="Percent 3 3 3 3 2 3" xfId="19153" xr:uid="{00000000-0005-0000-0000-0000D54A0000}"/>
    <cellStyle name="Percent 3 3 3 3 2 4" xfId="11856" xr:uid="{00000000-0005-0000-0000-0000542E0000}"/>
    <cellStyle name="Percent 3 3 3 3 3" xfId="4535" xr:uid="{00000000-0005-0000-0000-0000BB110000}"/>
    <cellStyle name="Percent 3 3 3 3 3 2" xfId="15326" xr:uid="{00000000-0005-0000-0000-0000E23B0000}"/>
    <cellStyle name="Percent 3 3 3 3 3 3" xfId="17275" xr:uid="{00000000-0005-0000-0000-00007F430000}"/>
    <cellStyle name="Percent 3 3 3 3 3 4" xfId="11857" xr:uid="{00000000-0005-0000-0000-0000552E0000}"/>
    <cellStyle name="Percent 3 3 3 3 4" xfId="4583" xr:uid="{00000000-0005-0000-0000-0000EB110000}"/>
    <cellStyle name="Percent 3 3 3 3 4 2" xfId="6912" xr:uid="{00000000-0005-0000-0000-0000041B0000}"/>
    <cellStyle name="Percent 3 3 3 3 4 2 2" xfId="15845" xr:uid="{00000000-0005-0000-0000-0000E93D0000}"/>
    <cellStyle name="Percent 3 3 3 3 4 2 3" xfId="19309" xr:uid="{00000000-0005-0000-0000-0000714B0000}"/>
    <cellStyle name="Percent 3 3 3 3 4 2 4" xfId="11859" xr:uid="{00000000-0005-0000-0000-0000572E0000}"/>
    <cellStyle name="Percent 3 3 3 3 4 3" xfId="15369" xr:uid="{00000000-0005-0000-0000-00000D3C0000}"/>
    <cellStyle name="Percent 3 3 3 3 4 4" xfId="19118" xr:uid="{00000000-0005-0000-0000-0000B24A0000}"/>
    <cellStyle name="Percent 3 3 3 3 4 5" xfId="11858" xr:uid="{00000000-0005-0000-0000-0000562E0000}"/>
    <cellStyle name="Percent 3 3 3 3 5" xfId="15324" xr:uid="{00000000-0005-0000-0000-0000E03B0000}"/>
    <cellStyle name="Percent 3 3 3 3 6" xfId="19130" xr:uid="{00000000-0005-0000-0000-0000BE4A0000}"/>
    <cellStyle name="Percent 3 3 3 3 7" xfId="11855" xr:uid="{00000000-0005-0000-0000-0000532E0000}"/>
    <cellStyle name="Percent 3 3 3 4" xfId="15323" xr:uid="{00000000-0005-0000-0000-0000DF3B0000}"/>
    <cellStyle name="Percent 3 3 3 5" xfId="19117" xr:uid="{00000000-0005-0000-0000-0000B14A0000}"/>
    <cellStyle name="Percent 3 3 3 6" xfId="11853" xr:uid="{00000000-0005-0000-0000-0000512E0000}"/>
    <cellStyle name="Percent 3 3 4" xfId="1729" xr:uid="{00000000-0005-0000-0000-0000C5060000}"/>
    <cellStyle name="Percent 3 3 4 2" xfId="6913" xr:uid="{00000000-0005-0000-0000-0000051B0000}"/>
    <cellStyle name="Percent 3 3 4 2 2" xfId="15846" xr:uid="{00000000-0005-0000-0000-0000EA3D0000}"/>
    <cellStyle name="Percent 3 3 4 2 3" xfId="19045" xr:uid="{00000000-0005-0000-0000-0000694A0000}"/>
    <cellStyle name="Percent 3 3 4 2 4" xfId="11861" xr:uid="{00000000-0005-0000-0000-0000592E0000}"/>
    <cellStyle name="Percent 3 3 4 3" xfId="15327" xr:uid="{00000000-0005-0000-0000-0000E33B0000}"/>
    <cellStyle name="Percent 3 3 4 4" xfId="19476" xr:uid="{00000000-0005-0000-0000-0000184C0000}"/>
    <cellStyle name="Percent 3 3 4 5" xfId="11860" xr:uid="{00000000-0005-0000-0000-0000582E0000}"/>
    <cellStyle name="Percent 3 3 4 6" xfId="4536" xr:uid="{00000000-0005-0000-0000-0000BC110000}"/>
    <cellStyle name="Percent 3 3 5" xfId="4537" xr:uid="{00000000-0005-0000-0000-0000BD110000}"/>
    <cellStyle name="Percent 3 3 5 2" xfId="13118" xr:uid="{00000000-0005-0000-0000-000042330000}"/>
    <cellStyle name="Percent 3 3 5 3" xfId="13119" xr:uid="{00000000-0005-0000-0000-000043330000}"/>
    <cellStyle name="Percent 3 3 5 4" xfId="15328" xr:uid="{00000000-0005-0000-0000-0000E43B0000}"/>
    <cellStyle name="Percent 3 3 5 5" xfId="15482" xr:uid="{00000000-0005-0000-0000-00007E3C0000}"/>
    <cellStyle name="Percent 3 3 5 6" xfId="11862" xr:uid="{00000000-0005-0000-0000-00005A2E0000}"/>
    <cellStyle name="Percent 3 3 6" xfId="4582" xr:uid="{00000000-0005-0000-0000-0000EA110000}"/>
    <cellStyle name="Percent 3 3 6 2" xfId="6914" xr:uid="{00000000-0005-0000-0000-0000061B0000}"/>
    <cellStyle name="Percent 3 3 6 2 2" xfId="15847" xr:uid="{00000000-0005-0000-0000-0000EB3D0000}"/>
    <cellStyle name="Percent 3 3 6 2 3" xfId="15661" xr:uid="{00000000-0005-0000-0000-0000313D0000}"/>
    <cellStyle name="Percent 3 3 6 2 4" xfId="11864" xr:uid="{00000000-0005-0000-0000-00005C2E0000}"/>
    <cellStyle name="Percent 3 3 6 3" xfId="13120" xr:uid="{00000000-0005-0000-0000-000044330000}"/>
    <cellStyle name="Percent 3 3 6 4" xfId="15368" xr:uid="{00000000-0005-0000-0000-00000C3C0000}"/>
    <cellStyle name="Percent 3 3 6 5" xfId="15620" xr:uid="{00000000-0005-0000-0000-0000083D0000}"/>
    <cellStyle name="Percent 3 3 6 6" xfId="11863" xr:uid="{00000000-0005-0000-0000-00005B2E0000}"/>
    <cellStyle name="Percent 3 3 7" xfId="6915" xr:uid="{00000000-0005-0000-0000-0000071B0000}"/>
    <cellStyle name="Percent 3 3 7 2" xfId="13121" xr:uid="{00000000-0005-0000-0000-000045330000}"/>
    <cellStyle name="Percent 3 3 7 3" xfId="13122" xr:uid="{00000000-0005-0000-0000-000046330000}"/>
    <cellStyle name="Percent 3 3 7 4" xfId="15848" xr:uid="{00000000-0005-0000-0000-0000EC3D0000}"/>
    <cellStyle name="Percent 3 3 7 5" xfId="15664" xr:uid="{00000000-0005-0000-0000-0000343D0000}"/>
    <cellStyle name="Percent 3 3 7 6" xfId="11865" xr:uid="{00000000-0005-0000-0000-00005D2E0000}"/>
    <cellStyle name="Percent 3 3 8" xfId="6916" xr:uid="{00000000-0005-0000-0000-0000081B0000}"/>
    <cellStyle name="Percent 3 3 8 2" xfId="13123" xr:uid="{00000000-0005-0000-0000-000047330000}"/>
    <cellStyle name="Percent 3 3 8 3" xfId="13124" xr:uid="{00000000-0005-0000-0000-000048330000}"/>
    <cellStyle name="Percent 3 3 8 4" xfId="15849" xr:uid="{00000000-0005-0000-0000-0000ED3D0000}"/>
    <cellStyle name="Percent 3 3 8 5" xfId="19566" xr:uid="{00000000-0005-0000-0000-0000724C0000}"/>
    <cellStyle name="Percent 3 3 8 6" xfId="11866" xr:uid="{00000000-0005-0000-0000-00005E2E0000}"/>
    <cellStyle name="Percent 3 3 9" xfId="6917" xr:uid="{00000000-0005-0000-0000-0000091B0000}"/>
    <cellStyle name="Percent 3 3 9 2" xfId="13125" xr:uid="{00000000-0005-0000-0000-000049330000}"/>
    <cellStyle name="Percent 3 3 9 3" xfId="13126" xr:uid="{00000000-0005-0000-0000-00004A330000}"/>
    <cellStyle name="Percent 3 3 9 4" xfId="15850" xr:uid="{00000000-0005-0000-0000-0000EE3D0000}"/>
    <cellStyle name="Percent 3 3 9 5" xfId="15621" xr:uid="{00000000-0005-0000-0000-0000093D0000}"/>
    <cellStyle name="Percent 3 3 9 6" xfId="11867" xr:uid="{00000000-0005-0000-0000-00005F2E0000}"/>
    <cellStyle name="Percent 3 30" xfId="6856" xr:uid="{00000000-0005-0000-0000-0000CC1A0000}"/>
    <cellStyle name="Percent 3 30 2" xfId="15811" xr:uid="{00000000-0005-0000-0000-0000C73D0000}"/>
    <cellStyle name="Percent 3 30 3" xfId="17299" xr:uid="{00000000-0005-0000-0000-000097430000}"/>
    <cellStyle name="Percent 3 30 4" xfId="11868" xr:uid="{00000000-0005-0000-0000-0000602E0000}"/>
    <cellStyle name="Percent 3 4" xfId="172" xr:uid="{00000000-0005-0000-0000-0000B0000000}"/>
    <cellStyle name="Percent 3 4 10" xfId="6918" xr:uid="{00000000-0005-0000-0000-00000A1B0000}"/>
    <cellStyle name="Percent 3 4 10 2" xfId="13127" xr:uid="{00000000-0005-0000-0000-00004B330000}"/>
    <cellStyle name="Percent 3 4 10 3" xfId="13128" xr:uid="{00000000-0005-0000-0000-00004C330000}"/>
    <cellStyle name="Percent 3 4 10 4" xfId="15851" xr:uid="{00000000-0005-0000-0000-0000EF3D0000}"/>
    <cellStyle name="Percent 3 4 10 5" xfId="16720" xr:uid="{00000000-0005-0000-0000-000054410000}"/>
    <cellStyle name="Percent 3 4 10 6" xfId="11870" xr:uid="{00000000-0005-0000-0000-0000622E0000}"/>
    <cellStyle name="Percent 3 4 11" xfId="6919" xr:uid="{00000000-0005-0000-0000-00000B1B0000}"/>
    <cellStyle name="Percent 3 4 11 2" xfId="13129" xr:uid="{00000000-0005-0000-0000-00004D330000}"/>
    <cellStyle name="Percent 3 4 11 3" xfId="13130" xr:uid="{00000000-0005-0000-0000-00004E330000}"/>
    <cellStyle name="Percent 3 4 11 4" xfId="15852" xr:uid="{00000000-0005-0000-0000-0000F03D0000}"/>
    <cellStyle name="Percent 3 4 11 5" xfId="19065" xr:uid="{00000000-0005-0000-0000-00007D4A0000}"/>
    <cellStyle name="Percent 3 4 11 6" xfId="11871" xr:uid="{00000000-0005-0000-0000-0000632E0000}"/>
    <cellStyle name="Percent 3 4 12" xfId="6920" xr:uid="{00000000-0005-0000-0000-00000C1B0000}"/>
    <cellStyle name="Percent 3 4 12 2" xfId="13131" xr:uid="{00000000-0005-0000-0000-00004F330000}"/>
    <cellStyle name="Percent 3 4 12 3" xfId="13132" xr:uid="{00000000-0005-0000-0000-000050330000}"/>
    <cellStyle name="Percent 3 4 12 4" xfId="15853" xr:uid="{00000000-0005-0000-0000-0000F13D0000}"/>
    <cellStyle name="Percent 3 4 12 5" xfId="19294" xr:uid="{00000000-0005-0000-0000-0000624B0000}"/>
    <cellStyle name="Percent 3 4 12 6" xfId="11872" xr:uid="{00000000-0005-0000-0000-0000642E0000}"/>
    <cellStyle name="Percent 3 4 13" xfId="6921" xr:uid="{00000000-0005-0000-0000-00000D1B0000}"/>
    <cellStyle name="Percent 3 4 13 2" xfId="13133" xr:uid="{00000000-0005-0000-0000-000051330000}"/>
    <cellStyle name="Percent 3 4 13 3" xfId="13134" xr:uid="{00000000-0005-0000-0000-000052330000}"/>
    <cellStyle name="Percent 3 4 13 4" xfId="15854" xr:uid="{00000000-0005-0000-0000-0000F23D0000}"/>
    <cellStyle name="Percent 3 4 13 5" xfId="15712" xr:uid="{00000000-0005-0000-0000-0000643D0000}"/>
    <cellStyle name="Percent 3 4 13 6" xfId="11873" xr:uid="{00000000-0005-0000-0000-0000652E0000}"/>
    <cellStyle name="Percent 3 4 14" xfId="6922" xr:uid="{00000000-0005-0000-0000-00000E1B0000}"/>
    <cellStyle name="Percent 3 4 14 2" xfId="13135" xr:uid="{00000000-0005-0000-0000-000053330000}"/>
    <cellStyle name="Percent 3 4 14 3" xfId="13136" xr:uid="{00000000-0005-0000-0000-000054330000}"/>
    <cellStyle name="Percent 3 4 14 4" xfId="15855" xr:uid="{00000000-0005-0000-0000-0000F33D0000}"/>
    <cellStyle name="Percent 3 4 14 5" xfId="16681" xr:uid="{00000000-0005-0000-0000-00002D410000}"/>
    <cellStyle name="Percent 3 4 14 6" xfId="11874" xr:uid="{00000000-0005-0000-0000-0000662E0000}"/>
    <cellStyle name="Percent 3 4 15" xfId="6923" xr:uid="{00000000-0005-0000-0000-00000F1B0000}"/>
    <cellStyle name="Percent 3 4 15 2" xfId="13137" xr:uid="{00000000-0005-0000-0000-000055330000}"/>
    <cellStyle name="Percent 3 4 15 3" xfId="13138" xr:uid="{00000000-0005-0000-0000-000056330000}"/>
    <cellStyle name="Percent 3 4 15 4" xfId="15856" xr:uid="{00000000-0005-0000-0000-0000F43D0000}"/>
    <cellStyle name="Percent 3 4 15 5" xfId="19067" xr:uid="{00000000-0005-0000-0000-00007F4A0000}"/>
    <cellStyle name="Percent 3 4 15 6" xfId="11875" xr:uid="{00000000-0005-0000-0000-0000672E0000}"/>
    <cellStyle name="Percent 3 4 16" xfId="13139" xr:uid="{00000000-0005-0000-0000-000057330000}"/>
    <cellStyle name="Percent 3 4 17" xfId="13140" xr:uid="{00000000-0005-0000-0000-000058330000}"/>
    <cellStyle name="Percent 3 4 18" xfId="15100" xr:uid="{00000000-0005-0000-0000-0000003B0000}"/>
    <cellStyle name="Percent 3 4 19" xfId="15747" xr:uid="{00000000-0005-0000-0000-0000873D0000}"/>
    <cellStyle name="Percent 3 4 2" xfId="173" xr:uid="{00000000-0005-0000-0000-0000B1000000}"/>
    <cellStyle name="Percent 3 4 2 2" xfId="2850" xr:uid="{00000000-0005-0000-0000-0000260B0000}"/>
    <cellStyle name="Percent 3 4 2 2 2" xfId="13141" xr:uid="{00000000-0005-0000-0000-000059330000}"/>
    <cellStyle name="Percent 3 4 2 3" xfId="13142" xr:uid="{00000000-0005-0000-0000-00005A330000}"/>
    <cellStyle name="Percent 3 4 2 4" xfId="13143" xr:uid="{00000000-0005-0000-0000-00005B330000}"/>
    <cellStyle name="Percent 3 4 2 5" xfId="15330" xr:uid="{00000000-0005-0000-0000-0000E63B0000}"/>
    <cellStyle name="Percent 3 4 2 6" xfId="19240" xr:uid="{00000000-0005-0000-0000-00002C4B0000}"/>
    <cellStyle name="Percent 3 4 2 7" xfId="11876" xr:uid="{00000000-0005-0000-0000-0000682E0000}"/>
    <cellStyle name="Percent 3 4 20" xfId="11869" xr:uid="{00000000-0005-0000-0000-0000612E0000}"/>
    <cellStyle name="Percent 3 4 3" xfId="1730" xr:uid="{00000000-0005-0000-0000-0000C6060000}"/>
    <cellStyle name="Percent 3 4 3 2" xfId="13144" xr:uid="{00000000-0005-0000-0000-00005C330000}"/>
    <cellStyle name="Percent 3 4 3 3" xfId="13145" xr:uid="{00000000-0005-0000-0000-00005D330000}"/>
    <cellStyle name="Percent 3 4 3 4" xfId="13146" xr:uid="{00000000-0005-0000-0000-00005E330000}"/>
    <cellStyle name="Percent 3 4 3 5" xfId="15331" xr:uid="{00000000-0005-0000-0000-0000E73B0000}"/>
    <cellStyle name="Percent 3 4 3 6" xfId="19386" xr:uid="{00000000-0005-0000-0000-0000BE4B0000}"/>
    <cellStyle name="Percent 3 4 3 7" xfId="11877" xr:uid="{00000000-0005-0000-0000-0000692E0000}"/>
    <cellStyle name="Percent 3 4 4" xfId="4584" xr:uid="{00000000-0005-0000-0000-0000EC110000}"/>
    <cellStyle name="Percent 3 4 4 2" xfId="6924" xr:uid="{00000000-0005-0000-0000-0000101B0000}"/>
    <cellStyle name="Percent 3 4 4 2 2" xfId="15857" xr:uid="{00000000-0005-0000-0000-0000F53D0000}"/>
    <cellStyle name="Percent 3 4 4 2 3" xfId="16651" xr:uid="{00000000-0005-0000-0000-00000F410000}"/>
    <cellStyle name="Percent 3 4 4 2 4" xfId="11879" xr:uid="{00000000-0005-0000-0000-00006B2E0000}"/>
    <cellStyle name="Percent 3 4 4 3" xfId="13147" xr:uid="{00000000-0005-0000-0000-00005F330000}"/>
    <cellStyle name="Percent 3 4 4 4" xfId="13148" xr:uid="{00000000-0005-0000-0000-000060330000}"/>
    <cellStyle name="Percent 3 4 4 5" xfId="15370" xr:uid="{00000000-0005-0000-0000-00000E3C0000}"/>
    <cellStyle name="Percent 3 4 4 6" xfId="17206" xr:uid="{00000000-0005-0000-0000-00003A430000}"/>
    <cellStyle name="Percent 3 4 4 7" xfId="11878" xr:uid="{00000000-0005-0000-0000-00006A2E0000}"/>
    <cellStyle name="Percent 3 4 5" xfId="6925" xr:uid="{00000000-0005-0000-0000-0000111B0000}"/>
    <cellStyle name="Percent 3 4 5 2" xfId="13149" xr:uid="{00000000-0005-0000-0000-000061330000}"/>
    <cellStyle name="Percent 3 4 5 3" xfId="13150" xr:uid="{00000000-0005-0000-0000-000062330000}"/>
    <cellStyle name="Percent 3 4 5 4" xfId="13151" xr:uid="{00000000-0005-0000-0000-000063330000}"/>
    <cellStyle name="Percent 3 4 5 5" xfId="15858" xr:uid="{00000000-0005-0000-0000-0000F63D0000}"/>
    <cellStyle name="Percent 3 4 5 6" xfId="17210" xr:uid="{00000000-0005-0000-0000-00003E430000}"/>
    <cellStyle name="Percent 3 4 5 7" xfId="11880" xr:uid="{00000000-0005-0000-0000-00006C2E0000}"/>
    <cellStyle name="Percent 3 4 6" xfId="6926" xr:uid="{00000000-0005-0000-0000-0000121B0000}"/>
    <cellStyle name="Percent 3 4 6 2" xfId="13152" xr:uid="{00000000-0005-0000-0000-000064330000}"/>
    <cellStyle name="Percent 3 4 6 3" xfId="13153" xr:uid="{00000000-0005-0000-0000-000065330000}"/>
    <cellStyle name="Percent 3 4 6 4" xfId="13154" xr:uid="{00000000-0005-0000-0000-000066330000}"/>
    <cellStyle name="Percent 3 4 6 5" xfId="15859" xr:uid="{00000000-0005-0000-0000-0000F73D0000}"/>
    <cellStyle name="Percent 3 4 6 6" xfId="19498" xr:uid="{00000000-0005-0000-0000-00002E4C0000}"/>
    <cellStyle name="Percent 3 4 6 7" xfId="11881" xr:uid="{00000000-0005-0000-0000-00006D2E0000}"/>
    <cellStyle name="Percent 3 4 7" xfId="6927" xr:uid="{00000000-0005-0000-0000-0000131B0000}"/>
    <cellStyle name="Percent 3 4 7 2" xfId="13155" xr:uid="{00000000-0005-0000-0000-000067330000}"/>
    <cellStyle name="Percent 3 4 7 3" xfId="13156" xr:uid="{00000000-0005-0000-0000-000068330000}"/>
    <cellStyle name="Percent 3 4 7 4" xfId="13157" xr:uid="{00000000-0005-0000-0000-000069330000}"/>
    <cellStyle name="Percent 3 4 7 5" xfId="15860" xr:uid="{00000000-0005-0000-0000-0000F83D0000}"/>
    <cellStyle name="Percent 3 4 7 6" xfId="15809" xr:uid="{00000000-0005-0000-0000-0000C53D0000}"/>
    <cellStyle name="Percent 3 4 7 7" xfId="11882" xr:uid="{00000000-0005-0000-0000-00006E2E0000}"/>
    <cellStyle name="Percent 3 4 8" xfId="6928" xr:uid="{00000000-0005-0000-0000-0000141B0000}"/>
    <cellStyle name="Percent 3 4 8 2" xfId="13158" xr:uid="{00000000-0005-0000-0000-00006A330000}"/>
    <cellStyle name="Percent 3 4 8 3" xfId="13159" xr:uid="{00000000-0005-0000-0000-00006B330000}"/>
    <cellStyle name="Percent 3 4 8 4" xfId="13160" xr:uid="{00000000-0005-0000-0000-00006C330000}"/>
    <cellStyle name="Percent 3 4 8 5" xfId="13161" xr:uid="{00000000-0005-0000-0000-00006D330000}"/>
    <cellStyle name="Percent 3 4 8 6" xfId="13162" xr:uid="{00000000-0005-0000-0000-00006E330000}"/>
    <cellStyle name="Percent 3 4 8 7" xfId="15861" xr:uid="{00000000-0005-0000-0000-0000F93D0000}"/>
    <cellStyle name="Percent 3 4 8 8" xfId="19328" xr:uid="{00000000-0005-0000-0000-0000844B0000}"/>
    <cellStyle name="Percent 3 4 8 9" xfId="11883" xr:uid="{00000000-0005-0000-0000-00006F2E0000}"/>
    <cellStyle name="Percent 3 4 9" xfId="6929" xr:uid="{00000000-0005-0000-0000-0000151B0000}"/>
    <cellStyle name="Percent 3 4 9 2" xfId="13163" xr:uid="{00000000-0005-0000-0000-00006F330000}"/>
    <cellStyle name="Percent 3 4 9 3" xfId="13164" xr:uid="{00000000-0005-0000-0000-000070330000}"/>
    <cellStyle name="Percent 3 4 9 4" xfId="13165" xr:uid="{00000000-0005-0000-0000-000071330000}"/>
    <cellStyle name="Percent 3 4 9 5" xfId="13166" xr:uid="{00000000-0005-0000-0000-000072330000}"/>
    <cellStyle name="Percent 3 4 9 6" xfId="13167" xr:uid="{00000000-0005-0000-0000-000073330000}"/>
    <cellStyle name="Percent 3 4 9 7" xfId="15862" xr:uid="{00000000-0005-0000-0000-0000FA3D0000}"/>
    <cellStyle name="Percent 3 4 9 8" xfId="19501" xr:uid="{00000000-0005-0000-0000-0000314C0000}"/>
    <cellStyle name="Percent 3 4 9 9" xfId="11884" xr:uid="{00000000-0005-0000-0000-0000702E0000}"/>
    <cellStyle name="Percent 3 5" xfId="174" xr:uid="{00000000-0005-0000-0000-0000B2000000}"/>
    <cellStyle name="Percent 3 5 10" xfId="6930" xr:uid="{00000000-0005-0000-0000-0000161B0000}"/>
    <cellStyle name="Percent 3 5 10 2" xfId="13168" xr:uid="{00000000-0005-0000-0000-000074330000}"/>
    <cellStyle name="Percent 3 5 10 3" xfId="13169" xr:uid="{00000000-0005-0000-0000-000075330000}"/>
    <cellStyle name="Percent 3 5 10 4" xfId="13170" xr:uid="{00000000-0005-0000-0000-000076330000}"/>
    <cellStyle name="Percent 3 5 10 5" xfId="13171" xr:uid="{00000000-0005-0000-0000-000077330000}"/>
    <cellStyle name="Percent 3 5 10 6" xfId="13172" xr:uid="{00000000-0005-0000-0000-000078330000}"/>
    <cellStyle name="Percent 3 5 10 7" xfId="15863" xr:uid="{00000000-0005-0000-0000-0000FB3D0000}"/>
    <cellStyle name="Percent 3 5 10 8" xfId="15462" xr:uid="{00000000-0005-0000-0000-00006A3C0000}"/>
    <cellStyle name="Percent 3 5 10 9" xfId="11886" xr:uid="{00000000-0005-0000-0000-0000722E0000}"/>
    <cellStyle name="Percent 3 5 11" xfId="6931" xr:uid="{00000000-0005-0000-0000-0000171B0000}"/>
    <cellStyle name="Percent 3 5 11 2" xfId="13173" xr:uid="{00000000-0005-0000-0000-000079330000}"/>
    <cellStyle name="Percent 3 5 11 3" xfId="13174" xr:uid="{00000000-0005-0000-0000-00007A330000}"/>
    <cellStyle name="Percent 3 5 11 4" xfId="13175" xr:uid="{00000000-0005-0000-0000-00007B330000}"/>
    <cellStyle name="Percent 3 5 11 5" xfId="13176" xr:uid="{00000000-0005-0000-0000-00007C330000}"/>
    <cellStyle name="Percent 3 5 11 6" xfId="13177" xr:uid="{00000000-0005-0000-0000-00007D330000}"/>
    <cellStyle name="Percent 3 5 11 7" xfId="15864" xr:uid="{00000000-0005-0000-0000-0000FC3D0000}"/>
    <cellStyle name="Percent 3 5 11 8" xfId="16849" xr:uid="{00000000-0005-0000-0000-0000D5410000}"/>
    <cellStyle name="Percent 3 5 11 9" xfId="11887" xr:uid="{00000000-0005-0000-0000-0000732E0000}"/>
    <cellStyle name="Percent 3 5 12" xfId="6932" xr:uid="{00000000-0005-0000-0000-0000181B0000}"/>
    <cellStyle name="Percent 3 5 12 2" xfId="13178" xr:uid="{00000000-0005-0000-0000-00007E330000}"/>
    <cellStyle name="Percent 3 5 12 3" xfId="13179" xr:uid="{00000000-0005-0000-0000-00007F330000}"/>
    <cellStyle name="Percent 3 5 12 4" xfId="13180" xr:uid="{00000000-0005-0000-0000-000080330000}"/>
    <cellStyle name="Percent 3 5 12 5" xfId="13181" xr:uid="{00000000-0005-0000-0000-000081330000}"/>
    <cellStyle name="Percent 3 5 12 6" xfId="13182" xr:uid="{00000000-0005-0000-0000-000082330000}"/>
    <cellStyle name="Percent 3 5 12 7" xfId="15865" xr:uid="{00000000-0005-0000-0000-0000FD3D0000}"/>
    <cellStyle name="Percent 3 5 12 8" xfId="19167" xr:uid="{00000000-0005-0000-0000-0000E34A0000}"/>
    <cellStyle name="Percent 3 5 12 9" xfId="11888" xr:uid="{00000000-0005-0000-0000-0000742E0000}"/>
    <cellStyle name="Percent 3 5 13" xfId="6933" xr:uid="{00000000-0005-0000-0000-0000191B0000}"/>
    <cellStyle name="Percent 3 5 13 2" xfId="13183" xr:uid="{00000000-0005-0000-0000-000083330000}"/>
    <cellStyle name="Percent 3 5 13 3" xfId="13184" xr:uid="{00000000-0005-0000-0000-000084330000}"/>
    <cellStyle name="Percent 3 5 13 4" xfId="13185" xr:uid="{00000000-0005-0000-0000-000085330000}"/>
    <cellStyle name="Percent 3 5 13 5" xfId="13186" xr:uid="{00000000-0005-0000-0000-000086330000}"/>
    <cellStyle name="Percent 3 5 13 6" xfId="13187" xr:uid="{00000000-0005-0000-0000-000087330000}"/>
    <cellStyle name="Percent 3 5 13 7" xfId="15866" xr:uid="{00000000-0005-0000-0000-0000FE3D0000}"/>
    <cellStyle name="Percent 3 5 13 8" xfId="17254" xr:uid="{00000000-0005-0000-0000-00006A430000}"/>
    <cellStyle name="Percent 3 5 13 9" xfId="11889" xr:uid="{00000000-0005-0000-0000-0000752E0000}"/>
    <cellStyle name="Percent 3 5 14" xfId="6934" xr:uid="{00000000-0005-0000-0000-00001A1B0000}"/>
    <cellStyle name="Percent 3 5 14 2" xfId="13188" xr:uid="{00000000-0005-0000-0000-000088330000}"/>
    <cellStyle name="Percent 3 5 14 3" xfId="13189" xr:uid="{00000000-0005-0000-0000-000089330000}"/>
    <cellStyle name="Percent 3 5 14 4" xfId="13190" xr:uid="{00000000-0005-0000-0000-00008A330000}"/>
    <cellStyle name="Percent 3 5 14 5" xfId="13191" xr:uid="{00000000-0005-0000-0000-00008B330000}"/>
    <cellStyle name="Percent 3 5 14 6" xfId="13192" xr:uid="{00000000-0005-0000-0000-00008C330000}"/>
    <cellStyle name="Percent 3 5 14 7" xfId="15867" xr:uid="{00000000-0005-0000-0000-0000FF3D0000}"/>
    <cellStyle name="Percent 3 5 14 8" xfId="19042" xr:uid="{00000000-0005-0000-0000-0000664A0000}"/>
    <cellStyle name="Percent 3 5 14 9" xfId="11890" xr:uid="{00000000-0005-0000-0000-0000762E0000}"/>
    <cellStyle name="Percent 3 5 15" xfId="6935" xr:uid="{00000000-0005-0000-0000-00001B1B0000}"/>
    <cellStyle name="Percent 3 5 15 2" xfId="13193" xr:uid="{00000000-0005-0000-0000-00008D330000}"/>
    <cellStyle name="Percent 3 5 15 3" xfId="13194" xr:uid="{00000000-0005-0000-0000-00008E330000}"/>
    <cellStyle name="Percent 3 5 15 4" xfId="13195" xr:uid="{00000000-0005-0000-0000-00008F330000}"/>
    <cellStyle name="Percent 3 5 15 5" xfId="13196" xr:uid="{00000000-0005-0000-0000-000090330000}"/>
    <cellStyle name="Percent 3 5 15 6" xfId="13197" xr:uid="{00000000-0005-0000-0000-000091330000}"/>
    <cellStyle name="Percent 3 5 15 7" xfId="15868" xr:uid="{00000000-0005-0000-0000-0000003E0000}"/>
    <cellStyle name="Percent 3 5 15 8" xfId="16678" xr:uid="{00000000-0005-0000-0000-00002A410000}"/>
    <cellStyle name="Percent 3 5 15 9" xfId="11891" xr:uid="{00000000-0005-0000-0000-0000772E0000}"/>
    <cellStyle name="Percent 3 5 16" xfId="6936" xr:uid="{00000000-0005-0000-0000-00001C1B0000}"/>
    <cellStyle name="Percent 3 5 16 2" xfId="15869" xr:uid="{00000000-0005-0000-0000-0000013E0000}"/>
    <cellStyle name="Percent 3 5 16 3" xfId="15642" xr:uid="{00000000-0005-0000-0000-00001E3D0000}"/>
    <cellStyle name="Percent 3 5 16 4" xfId="11892" xr:uid="{00000000-0005-0000-0000-0000782E0000}"/>
    <cellStyle name="Percent 3 5 17" xfId="8896" xr:uid="{00000000-0005-0000-0000-0000C4220000}"/>
    <cellStyle name="Percent 3 5 17 2" xfId="17267" xr:uid="{00000000-0005-0000-0000-000077430000}"/>
    <cellStyle name="Percent 3 5 17 3" xfId="16655" xr:uid="{00000000-0005-0000-0000-000013410000}"/>
    <cellStyle name="Percent 3 5 17 4" xfId="11893" xr:uid="{00000000-0005-0000-0000-0000792E0000}"/>
    <cellStyle name="Percent 3 5 18" xfId="13198" xr:uid="{00000000-0005-0000-0000-000092330000}"/>
    <cellStyle name="Percent 3 5 19" xfId="13199" xr:uid="{00000000-0005-0000-0000-000093330000}"/>
    <cellStyle name="Percent 3 5 2" xfId="2851" xr:uid="{00000000-0005-0000-0000-0000270B0000}"/>
    <cellStyle name="Percent 3 5 2 2" xfId="13200" xr:uid="{00000000-0005-0000-0000-000094330000}"/>
    <cellStyle name="Percent 3 5 2 3" xfId="13201" xr:uid="{00000000-0005-0000-0000-000095330000}"/>
    <cellStyle name="Percent 3 5 2 4" xfId="13202" xr:uid="{00000000-0005-0000-0000-000096330000}"/>
    <cellStyle name="Percent 3 5 2 5" xfId="13203" xr:uid="{00000000-0005-0000-0000-000097330000}"/>
    <cellStyle name="Percent 3 5 2 6" xfId="13204" xr:uid="{00000000-0005-0000-0000-000098330000}"/>
    <cellStyle name="Percent 3 5 2 7" xfId="15870" xr:uid="{00000000-0005-0000-0000-0000023E0000}"/>
    <cellStyle name="Percent 3 5 2 8" xfId="19102" xr:uid="{00000000-0005-0000-0000-0000A24A0000}"/>
    <cellStyle name="Percent 3 5 2 9" xfId="11894" xr:uid="{00000000-0005-0000-0000-00007A2E0000}"/>
    <cellStyle name="Percent 3 5 20" xfId="13205" xr:uid="{00000000-0005-0000-0000-000099330000}"/>
    <cellStyle name="Percent 3 5 21" xfId="15101" xr:uid="{00000000-0005-0000-0000-0000013B0000}"/>
    <cellStyle name="Percent 3 5 22" xfId="15332" xr:uid="{00000000-0005-0000-0000-0000E83B0000}"/>
    <cellStyle name="Percent 3 5 23" xfId="16778" xr:uid="{00000000-0005-0000-0000-00008E410000}"/>
    <cellStyle name="Percent 3 5 24" xfId="11885" xr:uid="{00000000-0005-0000-0000-0000712E0000}"/>
    <cellStyle name="Percent 3 5 3" xfId="1731" xr:uid="{00000000-0005-0000-0000-0000C7060000}"/>
    <cellStyle name="Percent 3 5 3 2" xfId="13206" xr:uid="{00000000-0005-0000-0000-00009A330000}"/>
    <cellStyle name="Percent 3 5 3 3" xfId="13207" xr:uid="{00000000-0005-0000-0000-00009B330000}"/>
    <cellStyle name="Percent 3 5 3 4" xfId="13208" xr:uid="{00000000-0005-0000-0000-00009C330000}"/>
    <cellStyle name="Percent 3 5 3 5" xfId="13209" xr:uid="{00000000-0005-0000-0000-00009D330000}"/>
    <cellStyle name="Percent 3 5 3 6" xfId="13210" xr:uid="{00000000-0005-0000-0000-00009E330000}"/>
    <cellStyle name="Percent 3 5 3 7" xfId="15871" xr:uid="{00000000-0005-0000-0000-0000033E0000}"/>
    <cellStyle name="Percent 3 5 3 8" xfId="15405" xr:uid="{00000000-0005-0000-0000-0000313C0000}"/>
    <cellStyle name="Percent 3 5 3 9" xfId="11895" xr:uid="{00000000-0005-0000-0000-00007B2E0000}"/>
    <cellStyle name="Percent 3 5 4" xfId="6937" xr:uid="{00000000-0005-0000-0000-00001D1B0000}"/>
    <cellStyle name="Percent 3 5 4 2" xfId="13211" xr:uid="{00000000-0005-0000-0000-00009F330000}"/>
    <cellStyle name="Percent 3 5 4 3" xfId="13212" xr:uid="{00000000-0005-0000-0000-0000A0330000}"/>
    <cellStyle name="Percent 3 5 4 4" xfId="13213" xr:uid="{00000000-0005-0000-0000-0000A1330000}"/>
    <cellStyle name="Percent 3 5 4 5" xfId="13214" xr:uid="{00000000-0005-0000-0000-0000A2330000}"/>
    <cellStyle name="Percent 3 5 4 6" xfId="13215" xr:uid="{00000000-0005-0000-0000-0000A3330000}"/>
    <cellStyle name="Percent 3 5 4 7" xfId="15872" xr:uid="{00000000-0005-0000-0000-0000043E0000}"/>
    <cellStyle name="Percent 3 5 4 8" xfId="15639" xr:uid="{00000000-0005-0000-0000-00001B3D0000}"/>
    <cellStyle name="Percent 3 5 4 9" xfId="11896" xr:uid="{00000000-0005-0000-0000-00007C2E0000}"/>
    <cellStyle name="Percent 3 5 5" xfId="6938" xr:uid="{00000000-0005-0000-0000-00001E1B0000}"/>
    <cellStyle name="Percent 3 5 5 2" xfId="13216" xr:uid="{00000000-0005-0000-0000-0000A4330000}"/>
    <cellStyle name="Percent 3 5 5 3" xfId="13217" xr:uid="{00000000-0005-0000-0000-0000A5330000}"/>
    <cellStyle name="Percent 3 5 5 4" xfId="13218" xr:uid="{00000000-0005-0000-0000-0000A6330000}"/>
    <cellStyle name="Percent 3 5 5 5" xfId="13219" xr:uid="{00000000-0005-0000-0000-0000A7330000}"/>
    <cellStyle name="Percent 3 5 5 6" xfId="13220" xr:uid="{00000000-0005-0000-0000-0000A8330000}"/>
    <cellStyle name="Percent 3 5 5 7" xfId="15873" xr:uid="{00000000-0005-0000-0000-0000053E0000}"/>
    <cellStyle name="Percent 3 5 5 8" xfId="15553" xr:uid="{00000000-0005-0000-0000-0000C53C0000}"/>
    <cellStyle name="Percent 3 5 5 9" xfId="11897" xr:uid="{00000000-0005-0000-0000-00007D2E0000}"/>
    <cellStyle name="Percent 3 5 6" xfId="6939" xr:uid="{00000000-0005-0000-0000-00001F1B0000}"/>
    <cellStyle name="Percent 3 5 6 2" xfId="13221" xr:uid="{00000000-0005-0000-0000-0000A9330000}"/>
    <cellStyle name="Percent 3 5 6 3" xfId="13222" xr:uid="{00000000-0005-0000-0000-0000AA330000}"/>
    <cellStyle name="Percent 3 5 6 4" xfId="13223" xr:uid="{00000000-0005-0000-0000-0000AB330000}"/>
    <cellStyle name="Percent 3 5 6 5" xfId="13224" xr:uid="{00000000-0005-0000-0000-0000AC330000}"/>
    <cellStyle name="Percent 3 5 6 6" xfId="13225" xr:uid="{00000000-0005-0000-0000-0000AD330000}"/>
    <cellStyle name="Percent 3 5 6 7" xfId="15874" xr:uid="{00000000-0005-0000-0000-0000063E0000}"/>
    <cellStyle name="Percent 3 5 6 8" xfId="16700" xr:uid="{00000000-0005-0000-0000-000040410000}"/>
    <cellStyle name="Percent 3 5 6 9" xfId="11898" xr:uid="{00000000-0005-0000-0000-00007E2E0000}"/>
    <cellStyle name="Percent 3 5 7" xfId="6940" xr:uid="{00000000-0005-0000-0000-0000201B0000}"/>
    <cellStyle name="Percent 3 5 7 2" xfId="13226" xr:uid="{00000000-0005-0000-0000-0000AE330000}"/>
    <cellStyle name="Percent 3 5 7 3" xfId="13227" xr:uid="{00000000-0005-0000-0000-0000AF330000}"/>
    <cellStyle name="Percent 3 5 7 4" xfId="13228" xr:uid="{00000000-0005-0000-0000-0000B0330000}"/>
    <cellStyle name="Percent 3 5 7 5" xfId="13229" xr:uid="{00000000-0005-0000-0000-0000B1330000}"/>
    <cellStyle name="Percent 3 5 7 6" xfId="13230" xr:uid="{00000000-0005-0000-0000-0000B2330000}"/>
    <cellStyle name="Percent 3 5 7 7" xfId="15875" xr:uid="{00000000-0005-0000-0000-0000073E0000}"/>
    <cellStyle name="Percent 3 5 7 8" xfId="19085" xr:uid="{00000000-0005-0000-0000-0000914A0000}"/>
    <cellStyle name="Percent 3 5 7 9" xfId="11899" xr:uid="{00000000-0005-0000-0000-00007F2E0000}"/>
    <cellStyle name="Percent 3 5 8" xfId="6941" xr:uid="{00000000-0005-0000-0000-0000211B0000}"/>
    <cellStyle name="Percent 3 5 8 2" xfId="13231" xr:uid="{00000000-0005-0000-0000-0000B3330000}"/>
    <cellStyle name="Percent 3 5 8 3" xfId="13232" xr:uid="{00000000-0005-0000-0000-0000B4330000}"/>
    <cellStyle name="Percent 3 5 8 4" xfId="13233" xr:uid="{00000000-0005-0000-0000-0000B5330000}"/>
    <cellStyle name="Percent 3 5 8 5" xfId="13234" xr:uid="{00000000-0005-0000-0000-0000B6330000}"/>
    <cellStyle name="Percent 3 5 8 6" xfId="13235" xr:uid="{00000000-0005-0000-0000-0000B7330000}"/>
    <cellStyle name="Percent 3 5 8 7" xfId="15876" xr:uid="{00000000-0005-0000-0000-0000083E0000}"/>
    <cellStyle name="Percent 3 5 8 8" xfId="19404" xr:uid="{00000000-0005-0000-0000-0000D04B0000}"/>
    <cellStyle name="Percent 3 5 8 9" xfId="11900" xr:uid="{00000000-0005-0000-0000-0000802E0000}"/>
    <cellStyle name="Percent 3 5 9" xfId="6942" xr:uid="{00000000-0005-0000-0000-0000221B0000}"/>
    <cellStyle name="Percent 3 5 9 2" xfId="13236" xr:uid="{00000000-0005-0000-0000-0000B8330000}"/>
    <cellStyle name="Percent 3 5 9 3" xfId="13237" xr:uid="{00000000-0005-0000-0000-0000B9330000}"/>
    <cellStyle name="Percent 3 5 9 4" xfId="13238" xr:uid="{00000000-0005-0000-0000-0000BA330000}"/>
    <cellStyle name="Percent 3 5 9 5" xfId="13239" xr:uid="{00000000-0005-0000-0000-0000BB330000}"/>
    <cellStyle name="Percent 3 5 9 6" xfId="13240" xr:uid="{00000000-0005-0000-0000-0000BC330000}"/>
    <cellStyle name="Percent 3 5 9 7" xfId="15877" xr:uid="{00000000-0005-0000-0000-0000093E0000}"/>
    <cellStyle name="Percent 3 5 9 8" xfId="15361" xr:uid="{00000000-0005-0000-0000-0000053C0000}"/>
    <cellStyle name="Percent 3 5 9 9" xfId="11901" xr:uid="{00000000-0005-0000-0000-0000812E0000}"/>
    <cellStyle name="Percent 3 6" xfId="1732" xr:uid="{00000000-0005-0000-0000-0000C8060000}"/>
    <cellStyle name="Percent 3 6 10" xfId="6943" xr:uid="{00000000-0005-0000-0000-0000231B0000}"/>
    <cellStyle name="Percent 3 6 10 2" xfId="13241" xr:uid="{00000000-0005-0000-0000-0000BD330000}"/>
    <cellStyle name="Percent 3 6 10 3" xfId="13242" xr:uid="{00000000-0005-0000-0000-0000BE330000}"/>
    <cellStyle name="Percent 3 6 10 4" xfId="13243" xr:uid="{00000000-0005-0000-0000-0000BF330000}"/>
    <cellStyle name="Percent 3 6 10 5" xfId="13244" xr:uid="{00000000-0005-0000-0000-0000C0330000}"/>
    <cellStyle name="Percent 3 6 10 6" xfId="13245" xr:uid="{00000000-0005-0000-0000-0000C1330000}"/>
    <cellStyle name="Percent 3 6 10 7" xfId="15878" xr:uid="{00000000-0005-0000-0000-00000A3E0000}"/>
    <cellStyle name="Percent 3 6 10 8" xfId="16779" xr:uid="{00000000-0005-0000-0000-00008F410000}"/>
    <cellStyle name="Percent 3 6 10 9" xfId="11903" xr:uid="{00000000-0005-0000-0000-0000832E0000}"/>
    <cellStyle name="Percent 3 6 11" xfId="6944" xr:uid="{00000000-0005-0000-0000-0000241B0000}"/>
    <cellStyle name="Percent 3 6 11 2" xfId="13246" xr:uid="{00000000-0005-0000-0000-0000C2330000}"/>
    <cellStyle name="Percent 3 6 11 3" xfId="13247" xr:uid="{00000000-0005-0000-0000-0000C3330000}"/>
    <cellStyle name="Percent 3 6 11 4" xfId="13248" xr:uid="{00000000-0005-0000-0000-0000C4330000}"/>
    <cellStyle name="Percent 3 6 11 5" xfId="13249" xr:uid="{00000000-0005-0000-0000-0000C5330000}"/>
    <cellStyle name="Percent 3 6 11 6" xfId="13250" xr:uid="{00000000-0005-0000-0000-0000C6330000}"/>
    <cellStyle name="Percent 3 6 11 7" xfId="15879" xr:uid="{00000000-0005-0000-0000-00000B3E0000}"/>
    <cellStyle name="Percent 3 6 11 8" xfId="19508" xr:uid="{00000000-0005-0000-0000-0000384C0000}"/>
    <cellStyle name="Percent 3 6 11 9" xfId="11904" xr:uid="{00000000-0005-0000-0000-0000842E0000}"/>
    <cellStyle name="Percent 3 6 12" xfId="6945" xr:uid="{00000000-0005-0000-0000-0000251B0000}"/>
    <cellStyle name="Percent 3 6 12 2" xfId="13251" xr:uid="{00000000-0005-0000-0000-0000C7330000}"/>
    <cellStyle name="Percent 3 6 12 3" xfId="13252" xr:uid="{00000000-0005-0000-0000-0000C8330000}"/>
    <cellStyle name="Percent 3 6 12 4" xfId="13253" xr:uid="{00000000-0005-0000-0000-0000C9330000}"/>
    <cellStyle name="Percent 3 6 12 5" xfId="13254" xr:uid="{00000000-0005-0000-0000-0000CA330000}"/>
    <cellStyle name="Percent 3 6 12 6" xfId="13255" xr:uid="{00000000-0005-0000-0000-0000CB330000}"/>
    <cellStyle name="Percent 3 6 12 7" xfId="15880" xr:uid="{00000000-0005-0000-0000-00000C3E0000}"/>
    <cellStyle name="Percent 3 6 12 8" xfId="15343" xr:uid="{00000000-0005-0000-0000-0000F33B0000}"/>
    <cellStyle name="Percent 3 6 12 9" xfId="11905" xr:uid="{00000000-0005-0000-0000-0000852E0000}"/>
    <cellStyle name="Percent 3 6 13" xfId="6946" xr:uid="{00000000-0005-0000-0000-0000261B0000}"/>
    <cellStyle name="Percent 3 6 13 2" xfId="13256" xr:uid="{00000000-0005-0000-0000-0000CC330000}"/>
    <cellStyle name="Percent 3 6 13 3" xfId="13257" xr:uid="{00000000-0005-0000-0000-0000CD330000}"/>
    <cellStyle name="Percent 3 6 13 4" xfId="13258" xr:uid="{00000000-0005-0000-0000-0000CE330000}"/>
    <cellStyle name="Percent 3 6 13 5" xfId="13259" xr:uid="{00000000-0005-0000-0000-0000CF330000}"/>
    <cellStyle name="Percent 3 6 13 6" xfId="13260" xr:uid="{00000000-0005-0000-0000-0000D0330000}"/>
    <cellStyle name="Percent 3 6 13 7" xfId="15881" xr:uid="{00000000-0005-0000-0000-00000D3E0000}"/>
    <cellStyle name="Percent 3 6 13 8" xfId="16618" xr:uid="{00000000-0005-0000-0000-0000EE400000}"/>
    <cellStyle name="Percent 3 6 13 9" xfId="11906" xr:uid="{00000000-0005-0000-0000-0000862E0000}"/>
    <cellStyle name="Percent 3 6 14" xfId="6947" xr:uid="{00000000-0005-0000-0000-0000271B0000}"/>
    <cellStyle name="Percent 3 6 14 2" xfId="13261" xr:uid="{00000000-0005-0000-0000-0000D1330000}"/>
    <cellStyle name="Percent 3 6 14 3" xfId="13262" xr:uid="{00000000-0005-0000-0000-0000D2330000}"/>
    <cellStyle name="Percent 3 6 14 4" xfId="13263" xr:uid="{00000000-0005-0000-0000-0000D3330000}"/>
    <cellStyle name="Percent 3 6 14 5" xfId="13264" xr:uid="{00000000-0005-0000-0000-0000D4330000}"/>
    <cellStyle name="Percent 3 6 14 6" xfId="13265" xr:uid="{00000000-0005-0000-0000-0000D5330000}"/>
    <cellStyle name="Percent 3 6 14 7" xfId="15882" xr:uid="{00000000-0005-0000-0000-00000E3E0000}"/>
    <cellStyle name="Percent 3 6 14 8" xfId="19228" xr:uid="{00000000-0005-0000-0000-0000204B0000}"/>
    <cellStyle name="Percent 3 6 14 9" xfId="11907" xr:uid="{00000000-0005-0000-0000-0000872E0000}"/>
    <cellStyle name="Percent 3 6 15" xfId="6948" xr:uid="{00000000-0005-0000-0000-0000281B0000}"/>
    <cellStyle name="Percent 3 6 15 2" xfId="13266" xr:uid="{00000000-0005-0000-0000-0000D6330000}"/>
    <cellStyle name="Percent 3 6 15 3" xfId="13267" xr:uid="{00000000-0005-0000-0000-0000D7330000}"/>
    <cellStyle name="Percent 3 6 15 4" xfId="13268" xr:uid="{00000000-0005-0000-0000-0000D8330000}"/>
    <cellStyle name="Percent 3 6 15 5" xfId="13269" xr:uid="{00000000-0005-0000-0000-0000D9330000}"/>
    <cellStyle name="Percent 3 6 15 6" xfId="13270" xr:uid="{00000000-0005-0000-0000-0000DA330000}"/>
    <cellStyle name="Percent 3 6 15 7" xfId="15883" xr:uid="{00000000-0005-0000-0000-00000F3E0000}"/>
    <cellStyle name="Percent 3 6 15 8" xfId="15754" xr:uid="{00000000-0005-0000-0000-00008E3D0000}"/>
    <cellStyle name="Percent 3 6 15 9" xfId="11908" xr:uid="{00000000-0005-0000-0000-0000882E0000}"/>
    <cellStyle name="Percent 3 6 16" xfId="13271" xr:uid="{00000000-0005-0000-0000-0000DB330000}"/>
    <cellStyle name="Percent 3 6 17" xfId="13272" xr:uid="{00000000-0005-0000-0000-0000DC330000}"/>
    <cellStyle name="Percent 3 6 18" xfId="13273" xr:uid="{00000000-0005-0000-0000-0000DD330000}"/>
    <cellStyle name="Percent 3 6 19" xfId="13274" xr:uid="{00000000-0005-0000-0000-0000DE330000}"/>
    <cellStyle name="Percent 3 6 2" xfId="2852" xr:uid="{00000000-0005-0000-0000-0000280B0000}"/>
    <cellStyle name="Percent 3 6 2 2" xfId="13275" xr:uid="{00000000-0005-0000-0000-0000DF330000}"/>
    <cellStyle name="Percent 3 6 2 3" xfId="13276" xr:uid="{00000000-0005-0000-0000-0000E0330000}"/>
    <cellStyle name="Percent 3 6 2 4" xfId="13277" xr:uid="{00000000-0005-0000-0000-0000E1330000}"/>
    <cellStyle name="Percent 3 6 2 5" xfId="13278" xr:uid="{00000000-0005-0000-0000-0000E2330000}"/>
    <cellStyle name="Percent 3 6 2 6" xfId="13279" xr:uid="{00000000-0005-0000-0000-0000E3330000}"/>
    <cellStyle name="Percent 3 6 2 7" xfId="15884" xr:uid="{00000000-0005-0000-0000-0000103E0000}"/>
    <cellStyle name="Percent 3 6 2 8" xfId="19392" xr:uid="{00000000-0005-0000-0000-0000C44B0000}"/>
    <cellStyle name="Percent 3 6 2 9" xfId="11909" xr:uid="{00000000-0005-0000-0000-0000892E0000}"/>
    <cellStyle name="Percent 3 6 20" xfId="13280" xr:uid="{00000000-0005-0000-0000-0000E4330000}"/>
    <cellStyle name="Percent 3 6 21" xfId="15102" xr:uid="{00000000-0005-0000-0000-0000023B0000}"/>
    <cellStyle name="Percent 3 6 22" xfId="15311" xr:uid="{00000000-0005-0000-0000-0000D33B0000}"/>
    <cellStyle name="Percent 3 6 23" xfId="11902" xr:uid="{00000000-0005-0000-0000-0000822E0000}"/>
    <cellStyle name="Percent 3 6 3" xfId="6949" xr:uid="{00000000-0005-0000-0000-0000291B0000}"/>
    <cellStyle name="Percent 3 6 3 2" xfId="13281" xr:uid="{00000000-0005-0000-0000-0000E5330000}"/>
    <cellStyle name="Percent 3 6 3 3" xfId="13282" xr:uid="{00000000-0005-0000-0000-0000E6330000}"/>
    <cellStyle name="Percent 3 6 3 4" xfId="13283" xr:uid="{00000000-0005-0000-0000-0000E7330000}"/>
    <cellStyle name="Percent 3 6 3 5" xfId="13284" xr:uid="{00000000-0005-0000-0000-0000E8330000}"/>
    <cellStyle name="Percent 3 6 3 6" xfId="13285" xr:uid="{00000000-0005-0000-0000-0000E9330000}"/>
    <cellStyle name="Percent 3 6 3 7" xfId="15885" xr:uid="{00000000-0005-0000-0000-0000113E0000}"/>
    <cellStyle name="Percent 3 6 3 8" xfId="16699" xr:uid="{00000000-0005-0000-0000-00003F410000}"/>
    <cellStyle name="Percent 3 6 3 9" xfId="11910" xr:uid="{00000000-0005-0000-0000-00008A2E0000}"/>
    <cellStyle name="Percent 3 6 4" xfId="6950" xr:uid="{00000000-0005-0000-0000-00002A1B0000}"/>
    <cellStyle name="Percent 3 6 4 2" xfId="13286" xr:uid="{00000000-0005-0000-0000-0000EA330000}"/>
    <cellStyle name="Percent 3 6 4 3" xfId="13287" xr:uid="{00000000-0005-0000-0000-0000EB330000}"/>
    <cellStyle name="Percent 3 6 4 4" xfId="13288" xr:uid="{00000000-0005-0000-0000-0000EC330000}"/>
    <cellStyle name="Percent 3 6 4 5" xfId="13289" xr:uid="{00000000-0005-0000-0000-0000ED330000}"/>
    <cellStyle name="Percent 3 6 4 6" xfId="13290" xr:uid="{00000000-0005-0000-0000-0000EE330000}"/>
    <cellStyle name="Percent 3 6 4 7" xfId="15886" xr:uid="{00000000-0005-0000-0000-0000123E0000}"/>
    <cellStyle name="Percent 3 6 4 8" xfId="15528" xr:uid="{00000000-0005-0000-0000-0000AC3C0000}"/>
    <cellStyle name="Percent 3 6 4 9" xfId="11911" xr:uid="{00000000-0005-0000-0000-00008B2E0000}"/>
    <cellStyle name="Percent 3 6 5" xfId="6951" xr:uid="{00000000-0005-0000-0000-00002B1B0000}"/>
    <cellStyle name="Percent 3 6 5 2" xfId="13291" xr:uid="{00000000-0005-0000-0000-0000EF330000}"/>
    <cellStyle name="Percent 3 6 5 3" xfId="13292" xr:uid="{00000000-0005-0000-0000-0000F0330000}"/>
    <cellStyle name="Percent 3 6 5 4" xfId="13293" xr:uid="{00000000-0005-0000-0000-0000F1330000}"/>
    <cellStyle name="Percent 3 6 5 5" xfId="13294" xr:uid="{00000000-0005-0000-0000-0000F2330000}"/>
    <cellStyle name="Percent 3 6 5 6" xfId="13295" xr:uid="{00000000-0005-0000-0000-0000F3330000}"/>
    <cellStyle name="Percent 3 6 5 7" xfId="15887" xr:uid="{00000000-0005-0000-0000-0000133E0000}"/>
    <cellStyle name="Percent 3 6 5 8" xfId="15640" xr:uid="{00000000-0005-0000-0000-00001C3D0000}"/>
    <cellStyle name="Percent 3 6 5 9" xfId="11912" xr:uid="{00000000-0005-0000-0000-00008C2E0000}"/>
    <cellStyle name="Percent 3 6 6" xfId="6952" xr:uid="{00000000-0005-0000-0000-00002C1B0000}"/>
    <cellStyle name="Percent 3 6 6 2" xfId="13296" xr:uid="{00000000-0005-0000-0000-0000F4330000}"/>
    <cellStyle name="Percent 3 6 6 3" xfId="13297" xr:uid="{00000000-0005-0000-0000-0000F5330000}"/>
    <cellStyle name="Percent 3 6 6 4" xfId="13298" xr:uid="{00000000-0005-0000-0000-0000F6330000}"/>
    <cellStyle name="Percent 3 6 6 5" xfId="13299" xr:uid="{00000000-0005-0000-0000-0000F7330000}"/>
    <cellStyle name="Percent 3 6 6 6" xfId="13300" xr:uid="{00000000-0005-0000-0000-0000F8330000}"/>
    <cellStyle name="Percent 3 6 6 7" xfId="15888" xr:uid="{00000000-0005-0000-0000-0000143E0000}"/>
    <cellStyle name="Percent 3 6 6 8" xfId="19194" xr:uid="{00000000-0005-0000-0000-0000FE4A0000}"/>
    <cellStyle name="Percent 3 6 6 9" xfId="11913" xr:uid="{00000000-0005-0000-0000-00008D2E0000}"/>
    <cellStyle name="Percent 3 6 7" xfId="6953" xr:uid="{00000000-0005-0000-0000-00002D1B0000}"/>
    <cellStyle name="Percent 3 6 7 2" xfId="13301" xr:uid="{00000000-0005-0000-0000-0000F9330000}"/>
    <cellStyle name="Percent 3 6 7 3" xfId="13302" xr:uid="{00000000-0005-0000-0000-0000FA330000}"/>
    <cellStyle name="Percent 3 6 7 4" xfId="13303" xr:uid="{00000000-0005-0000-0000-0000FB330000}"/>
    <cellStyle name="Percent 3 6 7 5" xfId="13304" xr:uid="{00000000-0005-0000-0000-0000FC330000}"/>
    <cellStyle name="Percent 3 6 7 6" xfId="13305" xr:uid="{00000000-0005-0000-0000-0000FD330000}"/>
    <cellStyle name="Percent 3 6 7 7" xfId="15889" xr:uid="{00000000-0005-0000-0000-0000153E0000}"/>
    <cellStyle name="Percent 3 6 7 8" xfId="19561" xr:uid="{00000000-0005-0000-0000-00006D4C0000}"/>
    <cellStyle name="Percent 3 6 7 9" xfId="11914" xr:uid="{00000000-0005-0000-0000-00008E2E0000}"/>
    <cellStyle name="Percent 3 6 8" xfId="6954" xr:uid="{00000000-0005-0000-0000-00002E1B0000}"/>
    <cellStyle name="Percent 3 6 8 2" xfId="13306" xr:uid="{00000000-0005-0000-0000-0000FE330000}"/>
    <cellStyle name="Percent 3 6 8 3" xfId="13307" xr:uid="{00000000-0005-0000-0000-0000FF330000}"/>
    <cellStyle name="Percent 3 6 8 4" xfId="13308" xr:uid="{00000000-0005-0000-0000-000000340000}"/>
    <cellStyle name="Percent 3 6 8 5" xfId="13309" xr:uid="{00000000-0005-0000-0000-000001340000}"/>
    <cellStyle name="Percent 3 6 8 6" xfId="13310" xr:uid="{00000000-0005-0000-0000-000002340000}"/>
    <cellStyle name="Percent 3 6 8 7" xfId="15890" xr:uid="{00000000-0005-0000-0000-0000163E0000}"/>
    <cellStyle name="Percent 3 6 8 8" xfId="16589" xr:uid="{00000000-0005-0000-0000-0000D1400000}"/>
    <cellStyle name="Percent 3 6 8 9" xfId="11915" xr:uid="{00000000-0005-0000-0000-00008F2E0000}"/>
    <cellStyle name="Percent 3 6 9" xfId="6955" xr:uid="{00000000-0005-0000-0000-00002F1B0000}"/>
    <cellStyle name="Percent 3 6 9 2" xfId="13311" xr:uid="{00000000-0005-0000-0000-000003340000}"/>
    <cellStyle name="Percent 3 6 9 3" xfId="13312" xr:uid="{00000000-0005-0000-0000-000004340000}"/>
    <cellStyle name="Percent 3 6 9 4" xfId="13313" xr:uid="{00000000-0005-0000-0000-000005340000}"/>
    <cellStyle name="Percent 3 6 9 5" xfId="13314" xr:uid="{00000000-0005-0000-0000-000006340000}"/>
    <cellStyle name="Percent 3 6 9 6" xfId="13315" xr:uid="{00000000-0005-0000-0000-000007340000}"/>
    <cellStyle name="Percent 3 6 9 7" xfId="15891" xr:uid="{00000000-0005-0000-0000-0000173E0000}"/>
    <cellStyle name="Percent 3 6 9 8" xfId="15788" xr:uid="{00000000-0005-0000-0000-0000B03D0000}"/>
    <cellStyle name="Percent 3 6 9 9" xfId="11916" xr:uid="{00000000-0005-0000-0000-0000902E0000}"/>
    <cellStyle name="Percent 3 7" xfId="1733" xr:uid="{00000000-0005-0000-0000-0000C9060000}"/>
    <cellStyle name="Percent 3 7 10" xfId="6956" xr:uid="{00000000-0005-0000-0000-0000301B0000}"/>
    <cellStyle name="Percent 3 7 10 2" xfId="13316" xr:uid="{00000000-0005-0000-0000-000008340000}"/>
    <cellStyle name="Percent 3 7 10 3" xfId="13317" xr:uid="{00000000-0005-0000-0000-000009340000}"/>
    <cellStyle name="Percent 3 7 10 4" xfId="13318" xr:uid="{00000000-0005-0000-0000-00000A340000}"/>
    <cellStyle name="Percent 3 7 10 5" xfId="13319" xr:uid="{00000000-0005-0000-0000-00000B340000}"/>
    <cellStyle name="Percent 3 7 10 6" xfId="13320" xr:uid="{00000000-0005-0000-0000-00000C340000}"/>
    <cellStyle name="Percent 3 7 10 7" xfId="15892" xr:uid="{00000000-0005-0000-0000-0000183E0000}"/>
    <cellStyle name="Percent 3 7 10 8" xfId="15614" xr:uid="{00000000-0005-0000-0000-0000023D0000}"/>
    <cellStyle name="Percent 3 7 10 9" xfId="11918" xr:uid="{00000000-0005-0000-0000-0000922E0000}"/>
    <cellStyle name="Percent 3 7 11" xfId="6957" xr:uid="{00000000-0005-0000-0000-0000311B0000}"/>
    <cellStyle name="Percent 3 7 11 2" xfId="13321" xr:uid="{00000000-0005-0000-0000-00000D340000}"/>
    <cellStyle name="Percent 3 7 11 3" xfId="13322" xr:uid="{00000000-0005-0000-0000-00000E340000}"/>
    <cellStyle name="Percent 3 7 11 4" xfId="13323" xr:uid="{00000000-0005-0000-0000-00000F340000}"/>
    <cellStyle name="Percent 3 7 11 5" xfId="13324" xr:uid="{00000000-0005-0000-0000-000010340000}"/>
    <cellStyle name="Percent 3 7 11 6" xfId="13325" xr:uid="{00000000-0005-0000-0000-000011340000}"/>
    <cellStyle name="Percent 3 7 11 7" xfId="15893" xr:uid="{00000000-0005-0000-0000-0000193E0000}"/>
    <cellStyle name="Percent 3 7 11 8" xfId="19053" xr:uid="{00000000-0005-0000-0000-0000714A0000}"/>
    <cellStyle name="Percent 3 7 11 9" xfId="11919" xr:uid="{00000000-0005-0000-0000-0000932E0000}"/>
    <cellStyle name="Percent 3 7 12" xfId="6958" xr:uid="{00000000-0005-0000-0000-0000321B0000}"/>
    <cellStyle name="Percent 3 7 12 2" xfId="13326" xr:uid="{00000000-0005-0000-0000-000012340000}"/>
    <cellStyle name="Percent 3 7 12 3" xfId="13327" xr:uid="{00000000-0005-0000-0000-000013340000}"/>
    <cellStyle name="Percent 3 7 12 4" xfId="13328" xr:uid="{00000000-0005-0000-0000-000014340000}"/>
    <cellStyle name="Percent 3 7 12 5" xfId="13329" xr:uid="{00000000-0005-0000-0000-000015340000}"/>
    <cellStyle name="Percent 3 7 12 6" xfId="13330" xr:uid="{00000000-0005-0000-0000-000016340000}"/>
    <cellStyle name="Percent 3 7 12 7" xfId="15894" xr:uid="{00000000-0005-0000-0000-00001A3E0000}"/>
    <cellStyle name="Percent 3 7 12 8" xfId="19190" xr:uid="{00000000-0005-0000-0000-0000FA4A0000}"/>
    <cellStyle name="Percent 3 7 12 9" xfId="11920" xr:uid="{00000000-0005-0000-0000-0000942E0000}"/>
    <cellStyle name="Percent 3 7 13" xfId="6959" xr:uid="{00000000-0005-0000-0000-0000331B0000}"/>
    <cellStyle name="Percent 3 7 13 2" xfId="13331" xr:uid="{00000000-0005-0000-0000-000017340000}"/>
    <cellStyle name="Percent 3 7 13 3" xfId="13332" xr:uid="{00000000-0005-0000-0000-000018340000}"/>
    <cellStyle name="Percent 3 7 13 4" xfId="13333" xr:uid="{00000000-0005-0000-0000-000019340000}"/>
    <cellStyle name="Percent 3 7 13 5" xfId="13334" xr:uid="{00000000-0005-0000-0000-00001A340000}"/>
    <cellStyle name="Percent 3 7 13 6" xfId="13335" xr:uid="{00000000-0005-0000-0000-00001B340000}"/>
    <cellStyle name="Percent 3 7 13 7" xfId="15895" xr:uid="{00000000-0005-0000-0000-00001B3E0000}"/>
    <cellStyle name="Percent 3 7 13 8" xfId="16385" xr:uid="{00000000-0005-0000-0000-000005400000}"/>
    <cellStyle name="Percent 3 7 13 9" xfId="11921" xr:uid="{00000000-0005-0000-0000-0000952E0000}"/>
    <cellStyle name="Percent 3 7 14" xfId="6960" xr:uid="{00000000-0005-0000-0000-0000341B0000}"/>
    <cellStyle name="Percent 3 7 14 2" xfId="13336" xr:uid="{00000000-0005-0000-0000-00001C340000}"/>
    <cellStyle name="Percent 3 7 14 3" xfId="13337" xr:uid="{00000000-0005-0000-0000-00001D340000}"/>
    <cellStyle name="Percent 3 7 14 4" xfId="13338" xr:uid="{00000000-0005-0000-0000-00001E340000}"/>
    <cellStyle name="Percent 3 7 14 5" xfId="13339" xr:uid="{00000000-0005-0000-0000-00001F340000}"/>
    <cellStyle name="Percent 3 7 14 6" xfId="13340" xr:uid="{00000000-0005-0000-0000-000020340000}"/>
    <cellStyle name="Percent 3 7 14 7" xfId="15896" xr:uid="{00000000-0005-0000-0000-00001C3E0000}"/>
    <cellStyle name="Percent 3 7 14 8" xfId="19353" xr:uid="{00000000-0005-0000-0000-00009D4B0000}"/>
    <cellStyle name="Percent 3 7 14 9" xfId="11922" xr:uid="{00000000-0005-0000-0000-0000962E0000}"/>
    <cellStyle name="Percent 3 7 15" xfId="6961" xr:uid="{00000000-0005-0000-0000-0000351B0000}"/>
    <cellStyle name="Percent 3 7 15 2" xfId="13341" xr:uid="{00000000-0005-0000-0000-000021340000}"/>
    <cellStyle name="Percent 3 7 15 3" xfId="13342" xr:uid="{00000000-0005-0000-0000-000022340000}"/>
    <cellStyle name="Percent 3 7 15 4" xfId="13343" xr:uid="{00000000-0005-0000-0000-000023340000}"/>
    <cellStyle name="Percent 3 7 15 5" xfId="13344" xr:uid="{00000000-0005-0000-0000-000024340000}"/>
    <cellStyle name="Percent 3 7 15 6" xfId="13345" xr:uid="{00000000-0005-0000-0000-000025340000}"/>
    <cellStyle name="Percent 3 7 15 7" xfId="15897" xr:uid="{00000000-0005-0000-0000-00001D3E0000}"/>
    <cellStyle name="Percent 3 7 15 8" xfId="16630" xr:uid="{00000000-0005-0000-0000-0000FA400000}"/>
    <cellStyle name="Percent 3 7 15 9" xfId="11923" xr:uid="{00000000-0005-0000-0000-0000972E0000}"/>
    <cellStyle name="Percent 3 7 16" xfId="13346" xr:uid="{00000000-0005-0000-0000-000026340000}"/>
    <cellStyle name="Percent 3 7 17" xfId="13347" xr:uid="{00000000-0005-0000-0000-000027340000}"/>
    <cellStyle name="Percent 3 7 18" xfId="13348" xr:uid="{00000000-0005-0000-0000-000028340000}"/>
    <cellStyle name="Percent 3 7 19" xfId="13349" xr:uid="{00000000-0005-0000-0000-000029340000}"/>
    <cellStyle name="Percent 3 7 2" xfId="2853" xr:uid="{00000000-0005-0000-0000-0000290B0000}"/>
    <cellStyle name="Percent 3 7 2 2" xfId="13350" xr:uid="{00000000-0005-0000-0000-00002A340000}"/>
    <cellStyle name="Percent 3 7 2 3" xfId="13351" xr:uid="{00000000-0005-0000-0000-00002B340000}"/>
    <cellStyle name="Percent 3 7 2 4" xfId="13352" xr:uid="{00000000-0005-0000-0000-00002C340000}"/>
    <cellStyle name="Percent 3 7 2 5" xfId="13353" xr:uid="{00000000-0005-0000-0000-00002D340000}"/>
    <cellStyle name="Percent 3 7 2 6" xfId="13354" xr:uid="{00000000-0005-0000-0000-00002E340000}"/>
    <cellStyle name="Percent 3 7 2 7" xfId="15898" xr:uid="{00000000-0005-0000-0000-00001E3E0000}"/>
    <cellStyle name="Percent 3 7 2 8" xfId="19274" xr:uid="{00000000-0005-0000-0000-00004E4B0000}"/>
    <cellStyle name="Percent 3 7 2 9" xfId="11924" xr:uid="{00000000-0005-0000-0000-0000982E0000}"/>
    <cellStyle name="Percent 3 7 20" xfId="13355" xr:uid="{00000000-0005-0000-0000-00002F340000}"/>
    <cellStyle name="Percent 3 7 21" xfId="15103" xr:uid="{00000000-0005-0000-0000-0000033B0000}"/>
    <cellStyle name="Percent 3 7 22" xfId="15710" xr:uid="{00000000-0005-0000-0000-0000623D0000}"/>
    <cellStyle name="Percent 3 7 23" xfId="11917" xr:uid="{00000000-0005-0000-0000-0000912E0000}"/>
    <cellStyle name="Percent 3 7 3" xfId="6962" xr:uid="{00000000-0005-0000-0000-0000361B0000}"/>
    <cellStyle name="Percent 3 7 3 2" xfId="13356" xr:uid="{00000000-0005-0000-0000-000030340000}"/>
    <cellStyle name="Percent 3 7 3 3" xfId="13357" xr:uid="{00000000-0005-0000-0000-000031340000}"/>
    <cellStyle name="Percent 3 7 3 4" xfId="13358" xr:uid="{00000000-0005-0000-0000-000032340000}"/>
    <cellStyle name="Percent 3 7 3 5" xfId="13359" xr:uid="{00000000-0005-0000-0000-000033340000}"/>
    <cellStyle name="Percent 3 7 3 6" xfId="13360" xr:uid="{00000000-0005-0000-0000-000034340000}"/>
    <cellStyle name="Percent 3 7 3 7" xfId="15899" xr:uid="{00000000-0005-0000-0000-00001F3E0000}"/>
    <cellStyle name="Percent 3 7 3 8" xfId="19115" xr:uid="{00000000-0005-0000-0000-0000AF4A0000}"/>
    <cellStyle name="Percent 3 7 3 9" xfId="11925" xr:uid="{00000000-0005-0000-0000-0000992E0000}"/>
    <cellStyle name="Percent 3 7 4" xfId="6963" xr:uid="{00000000-0005-0000-0000-0000371B0000}"/>
    <cellStyle name="Percent 3 7 4 2" xfId="13361" xr:uid="{00000000-0005-0000-0000-000035340000}"/>
    <cellStyle name="Percent 3 7 4 3" xfId="13362" xr:uid="{00000000-0005-0000-0000-000036340000}"/>
    <cellStyle name="Percent 3 7 4 4" xfId="13363" xr:uid="{00000000-0005-0000-0000-000037340000}"/>
    <cellStyle name="Percent 3 7 4 5" xfId="13364" xr:uid="{00000000-0005-0000-0000-000038340000}"/>
    <cellStyle name="Percent 3 7 4 6" xfId="13365" xr:uid="{00000000-0005-0000-0000-000039340000}"/>
    <cellStyle name="Percent 3 7 4 7" xfId="15900" xr:uid="{00000000-0005-0000-0000-0000203E0000}"/>
    <cellStyle name="Percent 3 7 4 8" xfId="16606" xr:uid="{00000000-0005-0000-0000-0000E2400000}"/>
    <cellStyle name="Percent 3 7 4 9" xfId="11926" xr:uid="{00000000-0005-0000-0000-00009A2E0000}"/>
    <cellStyle name="Percent 3 7 5" xfId="6964" xr:uid="{00000000-0005-0000-0000-0000381B0000}"/>
    <cellStyle name="Percent 3 7 5 2" xfId="13366" xr:uid="{00000000-0005-0000-0000-00003A340000}"/>
    <cellStyle name="Percent 3 7 5 3" xfId="13367" xr:uid="{00000000-0005-0000-0000-00003B340000}"/>
    <cellStyle name="Percent 3 7 5 4" xfId="13368" xr:uid="{00000000-0005-0000-0000-00003C340000}"/>
    <cellStyle name="Percent 3 7 5 5" xfId="13369" xr:uid="{00000000-0005-0000-0000-00003D340000}"/>
    <cellStyle name="Percent 3 7 5 6" xfId="13370" xr:uid="{00000000-0005-0000-0000-00003E340000}"/>
    <cellStyle name="Percent 3 7 5 7" xfId="15901" xr:uid="{00000000-0005-0000-0000-0000213E0000}"/>
    <cellStyle name="Percent 3 7 5 8" xfId="15599" xr:uid="{00000000-0005-0000-0000-0000F33C0000}"/>
    <cellStyle name="Percent 3 7 5 9" xfId="11927" xr:uid="{00000000-0005-0000-0000-00009B2E0000}"/>
    <cellStyle name="Percent 3 7 6" xfId="6965" xr:uid="{00000000-0005-0000-0000-0000391B0000}"/>
    <cellStyle name="Percent 3 7 6 2" xfId="13371" xr:uid="{00000000-0005-0000-0000-00003F340000}"/>
    <cellStyle name="Percent 3 7 6 3" xfId="13372" xr:uid="{00000000-0005-0000-0000-000040340000}"/>
    <cellStyle name="Percent 3 7 6 4" xfId="13373" xr:uid="{00000000-0005-0000-0000-000041340000}"/>
    <cellStyle name="Percent 3 7 6 5" xfId="13374" xr:uid="{00000000-0005-0000-0000-000042340000}"/>
    <cellStyle name="Percent 3 7 6 6" xfId="13375" xr:uid="{00000000-0005-0000-0000-000043340000}"/>
    <cellStyle name="Percent 3 7 6 7" xfId="15902" xr:uid="{00000000-0005-0000-0000-0000223E0000}"/>
    <cellStyle name="Percent 3 7 6 8" xfId="15607" xr:uid="{00000000-0005-0000-0000-0000FB3C0000}"/>
    <cellStyle name="Percent 3 7 6 9" xfId="11928" xr:uid="{00000000-0005-0000-0000-00009C2E0000}"/>
    <cellStyle name="Percent 3 7 7" xfId="6966" xr:uid="{00000000-0005-0000-0000-00003A1B0000}"/>
    <cellStyle name="Percent 3 7 7 2" xfId="13376" xr:uid="{00000000-0005-0000-0000-000044340000}"/>
    <cellStyle name="Percent 3 7 7 3" xfId="13377" xr:uid="{00000000-0005-0000-0000-000045340000}"/>
    <cellStyle name="Percent 3 7 7 4" xfId="13378" xr:uid="{00000000-0005-0000-0000-000046340000}"/>
    <cellStyle name="Percent 3 7 7 5" xfId="13379" xr:uid="{00000000-0005-0000-0000-000047340000}"/>
    <cellStyle name="Percent 3 7 7 6" xfId="13380" xr:uid="{00000000-0005-0000-0000-000048340000}"/>
    <cellStyle name="Percent 3 7 7 7" xfId="15903" xr:uid="{00000000-0005-0000-0000-0000233E0000}"/>
    <cellStyle name="Percent 3 7 7 8" xfId="15774" xr:uid="{00000000-0005-0000-0000-0000A23D0000}"/>
    <cellStyle name="Percent 3 7 7 9" xfId="11929" xr:uid="{00000000-0005-0000-0000-00009D2E0000}"/>
    <cellStyle name="Percent 3 7 8" xfId="6967" xr:uid="{00000000-0005-0000-0000-00003B1B0000}"/>
    <cellStyle name="Percent 3 7 8 2" xfId="13381" xr:uid="{00000000-0005-0000-0000-000049340000}"/>
    <cellStyle name="Percent 3 7 8 3" xfId="13382" xr:uid="{00000000-0005-0000-0000-00004A340000}"/>
    <cellStyle name="Percent 3 7 8 4" xfId="13383" xr:uid="{00000000-0005-0000-0000-00004B340000}"/>
    <cellStyle name="Percent 3 7 8 5" xfId="13384" xr:uid="{00000000-0005-0000-0000-00004C340000}"/>
    <cellStyle name="Percent 3 7 8 6" xfId="13385" xr:uid="{00000000-0005-0000-0000-00004D340000}"/>
    <cellStyle name="Percent 3 7 8 7" xfId="15904" xr:uid="{00000000-0005-0000-0000-0000243E0000}"/>
    <cellStyle name="Percent 3 7 8 8" xfId="19028" xr:uid="{00000000-0005-0000-0000-0000584A0000}"/>
    <cellStyle name="Percent 3 7 8 9" xfId="11930" xr:uid="{00000000-0005-0000-0000-00009E2E0000}"/>
    <cellStyle name="Percent 3 7 9" xfId="6968" xr:uid="{00000000-0005-0000-0000-00003C1B0000}"/>
    <cellStyle name="Percent 3 7 9 2" xfId="13386" xr:uid="{00000000-0005-0000-0000-00004E340000}"/>
    <cellStyle name="Percent 3 7 9 3" xfId="13387" xr:uid="{00000000-0005-0000-0000-00004F340000}"/>
    <cellStyle name="Percent 3 7 9 4" xfId="13388" xr:uid="{00000000-0005-0000-0000-000050340000}"/>
    <cellStyle name="Percent 3 7 9 5" xfId="13389" xr:uid="{00000000-0005-0000-0000-000051340000}"/>
    <cellStyle name="Percent 3 7 9 6" xfId="13390" xr:uid="{00000000-0005-0000-0000-000052340000}"/>
    <cellStyle name="Percent 3 7 9 7" xfId="15905" xr:uid="{00000000-0005-0000-0000-0000253E0000}"/>
    <cellStyle name="Percent 3 7 9 8" xfId="15690" xr:uid="{00000000-0005-0000-0000-00004E3D0000}"/>
    <cellStyle name="Percent 3 7 9 9" xfId="11931" xr:uid="{00000000-0005-0000-0000-00009F2E0000}"/>
    <cellStyle name="Percent 3 8" xfId="1734" xr:uid="{00000000-0005-0000-0000-0000CA060000}"/>
    <cellStyle name="Percent 3 8 10" xfId="6969" xr:uid="{00000000-0005-0000-0000-00003D1B0000}"/>
    <cellStyle name="Percent 3 8 10 2" xfId="13391" xr:uid="{00000000-0005-0000-0000-000053340000}"/>
    <cellStyle name="Percent 3 8 10 3" xfId="13392" xr:uid="{00000000-0005-0000-0000-000054340000}"/>
    <cellStyle name="Percent 3 8 10 4" xfId="13393" xr:uid="{00000000-0005-0000-0000-000055340000}"/>
    <cellStyle name="Percent 3 8 10 5" xfId="13394" xr:uid="{00000000-0005-0000-0000-000056340000}"/>
    <cellStyle name="Percent 3 8 10 6" xfId="13395" xr:uid="{00000000-0005-0000-0000-000057340000}"/>
    <cellStyle name="Percent 3 8 10 7" xfId="15906" xr:uid="{00000000-0005-0000-0000-0000263E0000}"/>
    <cellStyle name="Percent 3 8 10 8" xfId="19054" xr:uid="{00000000-0005-0000-0000-0000724A0000}"/>
    <cellStyle name="Percent 3 8 10 9" xfId="11933" xr:uid="{00000000-0005-0000-0000-0000A12E0000}"/>
    <cellStyle name="Percent 3 8 11" xfId="6970" xr:uid="{00000000-0005-0000-0000-00003E1B0000}"/>
    <cellStyle name="Percent 3 8 11 2" xfId="13396" xr:uid="{00000000-0005-0000-0000-000058340000}"/>
    <cellStyle name="Percent 3 8 11 3" xfId="13397" xr:uid="{00000000-0005-0000-0000-000059340000}"/>
    <cellStyle name="Percent 3 8 11 4" xfId="13398" xr:uid="{00000000-0005-0000-0000-00005A340000}"/>
    <cellStyle name="Percent 3 8 11 5" xfId="13399" xr:uid="{00000000-0005-0000-0000-00005B340000}"/>
    <cellStyle name="Percent 3 8 11 6" xfId="13400" xr:uid="{00000000-0005-0000-0000-00005C340000}"/>
    <cellStyle name="Percent 3 8 11 7" xfId="15907" xr:uid="{00000000-0005-0000-0000-0000273E0000}"/>
    <cellStyle name="Percent 3 8 11 8" xfId="19447" xr:uid="{00000000-0005-0000-0000-0000FB4B0000}"/>
    <cellStyle name="Percent 3 8 11 9" xfId="11934" xr:uid="{00000000-0005-0000-0000-0000A22E0000}"/>
    <cellStyle name="Percent 3 8 12" xfId="6971" xr:uid="{00000000-0005-0000-0000-00003F1B0000}"/>
    <cellStyle name="Percent 3 8 12 2" xfId="13401" xr:uid="{00000000-0005-0000-0000-00005D340000}"/>
    <cellStyle name="Percent 3 8 12 3" xfId="13402" xr:uid="{00000000-0005-0000-0000-00005E340000}"/>
    <cellStyle name="Percent 3 8 12 4" xfId="13403" xr:uid="{00000000-0005-0000-0000-00005F340000}"/>
    <cellStyle name="Percent 3 8 12 5" xfId="13404" xr:uid="{00000000-0005-0000-0000-000060340000}"/>
    <cellStyle name="Percent 3 8 12 6" xfId="13405" xr:uid="{00000000-0005-0000-0000-000061340000}"/>
    <cellStyle name="Percent 3 8 12 7" xfId="15908" xr:uid="{00000000-0005-0000-0000-0000283E0000}"/>
    <cellStyle name="Percent 3 8 12 8" xfId="19315" xr:uid="{00000000-0005-0000-0000-0000774B0000}"/>
    <cellStyle name="Percent 3 8 12 9" xfId="11935" xr:uid="{00000000-0005-0000-0000-0000A32E0000}"/>
    <cellStyle name="Percent 3 8 13" xfId="6972" xr:uid="{00000000-0005-0000-0000-0000401B0000}"/>
    <cellStyle name="Percent 3 8 13 2" xfId="13406" xr:uid="{00000000-0005-0000-0000-000062340000}"/>
    <cellStyle name="Percent 3 8 13 3" xfId="13407" xr:uid="{00000000-0005-0000-0000-000063340000}"/>
    <cellStyle name="Percent 3 8 13 4" xfId="13408" xr:uid="{00000000-0005-0000-0000-000064340000}"/>
    <cellStyle name="Percent 3 8 13 5" xfId="13409" xr:uid="{00000000-0005-0000-0000-000065340000}"/>
    <cellStyle name="Percent 3 8 13 6" xfId="13410" xr:uid="{00000000-0005-0000-0000-000066340000}"/>
    <cellStyle name="Percent 3 8 13 7" xfId="15909" xr:uid="{00000000-0005-0000-0000-0000293E0000}"/>
    <cellStyle name="Percent 3 8 13 8" xfId="16763" xr:uid="{00000000-0005-0000-0000-00007F410000}"/>
    <cellStyle name="Percent 3 8 13 9" xfId="11936" xr:uid="{00000000-0005-0000-0000-0000A42E0000}"/>
    <cellStyle name="Percent 3 8 14" xfId="6973" xr:uid="{00000000-0005-0000-0000-0000411B0000}"/>
    <cellStyle name="Percent 3 8 14 2" xfId="13411" xr:uid="{00000000-0005-0000-0000-000067340000}"/>
    <cellStyle name="Percent 3 8 14 3" xfId="13412" xr:uid="{00000000-0005-0000-0000-000068340000}"/>
    <cellStyle name="Percent 3 8 14 4" xfId="13413" xr:uid="{00000000-0005-0000-0000-000069340000}"/>
    <cellStyle name="Percent 3 8 14 5" xfId="13414" xr:uid="{00000000-0005-0000-0000-00006A340000}"/>
    <cellStyle name="Percent 3 8 14 6" xfId="13415" xr:uid="{00000000-0005-0000-0000-00006B340000}"/>
    <cellStyle name="Percent 3 8 14 7" xfId="15910" xr:uid="{00000000-0005-0000-0000-00002A3E0000}"/>
    <cellStyle name="Percent 3 8 14 8" xfId="15726" xr:uid="{00000000-0005-0000-0000-0000723D0000}"/>
    <cellStyle name="Percent 3 8 14 9" xfId="11937" xr:uid="{00000000-0005-0000-0000-0000A52E0000}"/>
    <cellStyle name="Percent 3 8 15" xfId="6974" xr:uid="{00000000-0005-0000-0000-0000421B0000}"/>
    <cellStyle name="Percent 3 8 15 2" xfId="13416" xr:uid="{00000000-0005-0000-0000-00006C340000}"/>
    <cellStyle name="Percent 3 8 15 3" xfId="13417" xr:uid="{00000000-0005-0000-0000-00006D340000}"/>
    <cellStyle name="Percent 3 8 15 4" xfId="13418" xr:uid="{00000000-0005-0000-0000-00006E340000}"/>
    <cellStyle name="Percent 3 8 15 5" xfId="13419" xr:uid="{00000000-0005-0000-0000-00006F340000}"/>
    <cellStyle name="Percent 3 8 15 6" xfId="13420" xr:uid="{00000000-0005-0000-0000-000070340000}"/>
    <cellStyle name="Percent 3 8 15 7" xfId="15911" xr:uid="{00000000-0005-0000-0000-00002B3E0000}"/>
    <cellStyle name="Percent 3 8 15 8" xfId="19511" xr:uid="{00000000-0005-0000-0000-00003B4C0000}"/>
    <cellStyle name="Percent 3 8 15 9" xfId="11938" xr:uid="{00000000-0005-0000-0000-0000A62E0000}"/>
    <cellStyle name="Percent 3 8 16" xfId="13421" xr:uid="{00000000-0005-0000-0000-000071340000}"/>
    <cellStyle name="Percent 3 8 17" xfId="13422" xr:uid="{00000000-0005-0000-0000-000072340000}"/>
    <cellStyle name="Percent 3 8 18" xfId="13423" xr:uid="{00000000-0005-0000-0000-000073340000}"/>
    <cellStyle name="Percent 3 8 19" xfId="13424" xr:uid="{00000000-0005-0000-0000-000074340000}"/>
    <cellStyle name="Percent 3 8 2" xfId="2854" xr:uid="{00000000-0005-0000-0000-00002A0B0000}"/>
    <cellStyle name="Percent 3 8 2 2" xfId="13425" xr:uid="{00000000-0005-0000-0000-000075340000}"/>
    <cellStyle name="Percent 3 8 2 3" xfId="13426" xr:uid="{00000000-0005-0000-0000-000076340000}"/>
    <cellStyle name="Percent 3 8 2 4" xfId="13427" xr:uid="{00000000-0005-0000-0000-000077340000}"/>
    <cellStyle name="Percent 3 8 2 5" xfId="13428" xr:uid="{00000000-0005-0000-0000-000078340000}"/>
    <cellStyle name="Percent 3 8 2 6" xfId="13429" xr:uid="{00000000-0005-0000-0000-000079340000}"/>
    <cellStyle name="Percent 3 8 2 7" xfId="15912" xr:uid="{00000000-0005-0000-0000-00002C3E0000}"/>
    <cellStyle name="Percent 3 8 2 8" xfId="15796" xr:uid="{00000000-0005-0000-0000-0000B83D0000}"/>
    <cellStyle name="Percent 3 8 2 9" xfId="11939" xr:uid="{00000000-0005-0000-0000-0000A72E0000}"/>
    <cellStyle name="Percent 3 8 20" xfId="13430" xr:uid="{00000000-0005-0000-0000-00007A340000}"/>
    <cellStyle name="Percent 3 8 21" xfId="15104" xr:uid="{00000000-0005-0000-0000-0000043B0000}"/>
    <cellStyle name="Percent 3 8 22" xfId="19396" xr:uid="{00000000-0005-0000-0000-0000C84B0000}"/>
    <cellStyle name="Percent 3 8 23" xfId="11932" xr:uid="{00000000-0005-0000-0000-0000A02E0000}"/>
    <cellStyle name="Percent 3 8 3" xfId="6975" xr:uid="{00000000-0005-0000-0000-0000431B0000}"/>
    <cellStyle name="Percent 3 8 3 2" xfId="13431" xr:uid="{00000000-0005-0000-0000-00007B340000}"/>
    <cellStyle name="Percent 3 8 3 3" xfId="13432" xr:uid="{00000000-0005-0000-0000-00007C340000}"/>
    <cellStyle name="Percent 3 8 3 4" xfId="13433" xr:uid="{00000000-0005-0000-0000-00007D340000}"/>
    <cellStyle name="Percent 3 8 3 5" xfId="13434" xr:uid="{00000000-0005-0000-0000-00007E340000}"/>
    <cellStyle name="Percent 3 8 3 6" xfId="13435" xr:uid="{00000000-0005-0000-0000-00007F340000}"/>
    <cellStyle name="Percent 3 8 3 7" xfId="15913" xr:uid="{00000000-0005-0000-0000-00002D3E0000}"/>
    <cellStyle name="Percent 3 8 3 8" xfId="19422" xr:uid="{00000000-0005-0000-0000-0000E24B0000}"/>
    <cellStyle name="Percent 3 8 3 9" xfId="11940" xr:uid="{00000000-0005-0000-0000-0000A82E0000}"/>
    <cellStyle name="Percent 3 8 4" xfId="6976" xr:uid="{00000000-0005-0000-0000-0000441B0000}"/>
    <cellStyle name="Percent 3 8 4 2" xfId="13436" xr:uid="{00000000-0005-0000-0000-000080340000}"/>
    <cellStyle name="Percent 3 8 4 3" xfId="13437" xr:uid="{00000000-0005-0000-0000-000081340000}"/>
    <cellStyle name="Percent 3 8 4 4" xfId="13438" xr:uid="{00000000-0005-0000-0000-000082340000}"/>
    <cellStyle name="Percent 3 8 4 5" xfId="13439" xr:uid="{00000000-0005-0000-0000-000083340000}"/>
    <cellStyle name="Percent 3 8 4 6" xfId="13440" xr:uid="{00000000-0005-0000-0000-000084340000}"/>
    <cellStyle name="Percent 3 8 4 7" xfId="15914" xr:uid="{00000000-0005-0000-0000-00002E3E0000}"/>
    <cellStyle name="Percent 3 8 4 8" xfId="15387" xr:uid="{00000000-0005-0000-0000-00001F3C0000}"/>
    <cellStyle name="Percent 3 8 4 9" xfId="11941" xr:uid="{00000000-0005-0000-0000-0000A92E0000}"/>
    <cellStyle name="Percent 3 8 5" xfId="6977" xr:uid="{00000000-0005-0000-0000-0000451B0000}"/>
    <cellStyle name="Percent 3 8 5 2" xfId="13441" xr:uid="{00000000-0005-0000-0000-000085340000}"/>
    <cellStyle name="Percent 3 8 5 3" xfId="13442" xr:uid="{00000000-0005-0000-0000-000086340000}"/>
    <cellStyle name="Percent 3 8 5 4" xfId="13443" xr:uid="{00000000-0005-0000-0000-000087340000}"/>
    <cellStyle name="Percent 3 8 5 5" xfId="13444" xr:uid="{00000000-0005-0000-0000-000088340000}"/>
    <cellStyle name="Percent 3 8 5 6" xfId="13445" xr:uid="{00000000-0005-0000-0000-000089340000}"/>
    <cellStyle name="Percent 3 8 5 7" xfId="15915" xr:uid="{00000000-0005-0000-0000-00002F3E0000}"/>
    <cellStyle name="Percent 3 8 5 8" xfId="19064" xr:uid="{00000000-0005-0000-0000-00007C4A0000}"/>
    <cellStyle name="Percent 3 8 5 9" xfId="11942" xr:uid="{00000000-0005-0000-0000-0000AA2E0000}"/>
    <cellStyle name="Percent 3 8 6" xfId="6978" xr:uid="{00000000-0005-0000-0000-0000461B0000}"/>
    <cellStyle name="Percent 3 8 6 2" xfId="13446" xr:uid="{00000000-0005-0000-0000-00008A340000}"/>
    <cellStyle name="Percent 3 8 6 3" xfId="13447" xr:uid="{00000000-0005-0000-0000-00008B340000}"/>
    <cellStyle name="Percent 3 8 6 4" xfId="13448" xr:uid="{00000000-0005-0000-0000-00008C340000}"/>
    <cellStyle name="Percent 3 8 6 5" xfId="13449" xr:uid="{00000000-0005-0000-0000-00008D340000}"/>
    <cellStyle name="Percent 3 8 6 6" xfId="13450" xr:uid="{00000000-0005-0000-0000-00008E340000}"/>
    <cellStyle name="Percent 3 8 6 7" xfId="15916" xr:uid="{00000000-0005-0000-0000-0000303E0000}"/>
    <cellStyle name="Percent 3 8 6 8" xfId="19071" xr:uid="{00000000-0005-0000-0000-0000834A0000}"/>
    <cellStyle name="Percent 3 8 6 9" xfId="11943" xr:uid="{00000000-0005-0000-0000-0000AB2E0000}"/>
    <cellStyle name="Percent 3 8 7" xfId="6979" xr:uid="{00000000-0005-0000-0000-0000471B0000}"/>
    <cellStyle name="Percent 3 8 7 2" xfId="13451" xr:uid="{00000000-0005-0000-0000-00008F340000}"/>
    <cellStyle name="Percent 3 8 7 3" xfId="13452" xr:uid="{00000000-0005-0000-0000-000090340000}"/>
    <cellStyle name="Percent 3 8 7 4" xfId="13453" xr:uid="{00000000-0005-0000-0000-000091340000}"/>
    <cellStyle name="Percent 3 8 7 5" xfId="13454" xr:uid="{00000000-0005-0000-0000-000092340000}"/>
    <cellStyle name="Percent 3 8 7 6" xfId="13455" xr:uid="{00000000-0005-0000-0000-000093340000}"/>
    <cellStyle name="Percent 3 8 7 7" xfId="15917" xr:uid="{00000000-0005-0000-0000-0000313E0000}"/>
    <cellStyle name="Percent 3 8 7 8" xfId="15550" xr:uid="{00000000-0005-0000-0000-0000C23C0000}"/>
    <cellStyle name="Percent 3 8 7 9" xfId="11944" xr:uid="{00000000-0005-0000-0000-0000AC2E0000}"/>
    <cellStyle name="Percent 3 8 8" xfId="6980" xr:uid="{00000000-0005-0000-0000-0000481B0000}"/>
    <cellStyle name="Percent 3 8 8 2" xfId="13456" xr:uid="{00000000-0005-0000-0000-000094340000}"/>
    <cellStyle name="Percent 3 8 8 3" xfId="13457" xr:uid="{00000000-0005-0000-0000-000095340000}"/>
    <cellStyle name="Percent 3 8 8 4" xfId="13458" xr:uid="{00000000-0005-0000-0000-000096340000}"/>
    <cellStyle name="Percent 3 8 8 5" xfId="13459" xr:uid="{00000000-0005-0000-0000-000097340000}"/>
    <cellStyle name="Percent 3 8 8 6" xfId="13460" xr:uid="{00000000-0005-0000-0000-000098340000}"/>
    <cellStyle name="Percent 3 8 8 7" xfId="15918" xr:uid="{00000000-0005-0000-0000-0000323E0000}"/>
    <cellStyle name="Percent 3 8 8 8" xfId="16666" xr:uid="{00000000-0005-0000-0000-00001E410000}"/>
    <cellStyle name="Percent 3 8 8 9" xfId="11945" xr:uid="{00000000-0005-0000-0000-0000AD2E0000}"/>
    <cellStyle name="Percent 3 8 9" xfId="6981" xr:uid="{00000000-0005-0000-0000-0000491B0000}"/>
    <cellStyle name="Percent 3 8 9 2" xfId="13461" xr:uid="{00000000-0005-0000-0000-000099340000}"/>
    <cellStyle name="Percent 3 8 9 3" xfId="13462" xr:uid="{00000000-0005-0000-0000-00009A340000}"/>
    <cellStyle name="Percent 3 8 9 4" xfId="13463" xr:uid="{00000000-0005-0000-0000-00009B340000}"/>
    <cellStyle name="Percent 3 8 9 5" xfId="13464" xr:uid="{00000000-0005-0000-0000-00009C340000}"/>
    <cellStyle name="Percent 3 8 9 6" xfId="13465" xr:uid="{00000000-0005-0000-0000-00009D340000}"/>
    <cellStyle name="Percent 3 8 9 7" xfId="15919" xr:uid="{00000000-0005-0000-0000-0000333E0000}"/>
    <cellStyle name="Percent 3 8 9 8" xfId="15408" xr:uid="{00000000-0005-0000-0000-0000343C0000}"/>
    <cellStyle name="Percent 3 8 9 9" xfId="11946" xr:uid="{00000000-0005-0000-0000-0000AE2E0000}"/>
    <cellStyle name="Percent 3 9" xfId="2847" xr:uid="{00000000-0005-0000-0000-0000230B0000}"/>
    <cellStyle name="Percent 3 9 10" xfId="6983" xr:uid="{00000000-0005-0000-0000-00004B1B0000}"/>
    <cellStyle name="Percent 3 9 10 2" xfId="13466" xr:uid="{00000000-0005-0000-0000-00009E340000}"/>
    <cellStyle name="Percent 3 9 10 3" xfId="13467" xr:uid="{00000000-0005-0000-0000-00009F340000}"/>
    <cellStyle name="Percent 3 9 10 4" xfId="13468" xr:uid="{00000000-0005-0000-0000-0000A0340000}"/>
    <cellStyle name="Percent 3 9 10 5" xfId="13469" xr:uid="{00000000-0005-0000-0000-0000A1340000}"/>
    <cellStyle name="Percent 3 9 10 6" xfId="13470" xr:uid="{00000000-0005-0000-0000-0000A2340000}"/>
    <cellStyle name="Percent 3 9 10 7" xfId="15921" xr:uid="{00000000-0005-0000-0000-0000353E0000}"/>
    <cellStyle name="Percent 3 9 10 8" xfId="15526" xr:uid="{00000000-0005-0000-0000-0000AA3C0000}"/>
    <cellStyle name="Percent 3 9 10 9" xfId="11948" xr:uid="{00000000-0005-0000-0000-0000B02E0000}"/>
    <cellStyle name="Percent 3 9 11" xfId="6984" xr:uid="{00000000-0005-0000-0000-00004C1B0000}"/>
    <cellStyle name="Percent 3 9 11 2" xfId="13471" xr:uid="{00000000-0005-0000-0000-0000A3340000}"/>
    <cellStyle name="Percent 3 9 11 3" xfId="13472" xr:uid="{00000000-0005-0000-0000-0000A4340000}"/>
    <cellStyle name="Percent 3 9 11 4" xfId="13473" xr:uid="{00000000-0005-0000-0000-0000A5340000}"/>
    <cellStyle name="Percent 3 9 11 5" xfId="13474" xr:uid="{00000000-0005-0000-0000-0000A6340000}"/>
    <cellStyle name="Percent 3 9 11 6" xfId="13475" xr:uid="{00000000-0005-0000-0000-0000A7340000}"/>
    <cellStyle name="Percent 3 9 11 7" xfId="15922" xr:uid="{00000000-0005-0000-0000-0000363E0000}"/>
    <cellStyle name="Percent 3 9 11 8" xfId="19491" xr:uid="{00000000-0005-0000-0000-0000274C0000}"/>
    <cellStyle name="Percent 3 9 11 9" xfId="11949" xr:uid="{00000000-0005-0000-0000-0000B12E0000}"/>
    <cellStyle name="Percent 3 9 12" xfId="6985" xr:uid="{00000000-0005-0000-0000-00004D1B0000}"/>
    <cellStyle name="Percent 3 9 12 2" xfId="13476" xr:uid="{00000000-0005-0000-0000-0000A8340000}"/>
    <cellStyle name="Percent 3 9 12 3" xfId="13477" xr:uid="{00000000-0005-0000-0000-0000A9340000}"/>
    <cellStyle name="Percent 3 9 12 4" xfId="13478" xr:uid="{00000000-0005-0000-0000-0000AA340000}"/>
    <cellStyle name="Percent 3 9 12 5" xfId="13479" xr:uid="{00000000-0005-0000-0000-0000AB340000}"/>
    <cellStyle name="Percent 3 9 12 6" xfId="13480" xr:uid="{00000000-0005-0000-0000-0000AC340000}"/>
    <cellStyle name="Percent 3 9 12 7" xfId="15923" xr:uid="{00000000-0005-0000-0000-0000373E0000}"/>
    <cellStyle name="Percent 3 9 12 8" xfId="15546" xr:uid="{00000000-0005-0000-0000-0000BE3C0000}"/>
    <cellStyle name="Percent 3 9 12 9" xfId="11950" xr:uid="{00000000-0005-0000-0000-0000B22E0000}"/>
    <cellStyle name="Percent 3 9 13" xfId="6986" xr:uid="{00000000-0005-0000-0000-00004E1B0000}"/>
    <cellStyle name="Percent 3 9 13 2" xfId="13481" xr:uid="{00000000-0005-0000-0000-0000AD340000}"/>
    <cellStyle name="Percent 3 9 13 3" xfId="13482" xr:uid="{00000000-0005-0000-0000-0000AE340000}"/>
    <cellStyle name="Percent 3 9 13 4" xfId="13483" xr:uid="{00000000-0005-0000-0000-0000AF340000}"/>
    <cellStyle name="Percent 3 9 13 5" xfId="13484" xr:uid="{00000000-0005-0000-0000-0000B0340000}"/>
    <cellStyle name="Percent 3 9 13 6" xfId="13485" xr:uid="{00000000-0005-0000-0000-0000B1340000}"/>
    <cellStyle name="Percent 3 9 13 7" xfId="15924" xr:uid="{00000000-0005-0000-0000-0000383E0000}"/>
    <cellStyle name="Percent 3 9 13 8" xfId="15659" xr:uid="{00000000-0005-0000-0000-00002F3D0000}"/>
    <cellStyle name="Percent 3 9 13 9" xfId="11951" xr:uid="{00000000-0005-0000-0000-0000B32E0000}"/>
    <cellStyle name="Percent 3 9 14" xfId="6987" xr:uid="{00000000-0005-0000-0000-00004F1B0000}"/>
    <cellStyle name="Percent 3 9 14 2" xfId="13486" xr:uid="{00000000-0005-0000-0000-0000B2340000}"/>
    <cellStyle name="Percent 3 9 14 3" xfId="13487" xr:uid="{00000000-0005-0000-0000-0000B3340000}"/>
    <cellStyle name="Percent 3 9 14 4" xfId="13488" xr:uid="{00000000-0005-0000-0000-0000B4340000}"/>
    <cellStyle name="Percent 3 9 14 5" xfId="13489" xr:uid="{00000000-0005-0000-0000-0000B5340000}"/>
    <cellStyle name="Percent 3 9 14 6" xfId="13490" xr:uid="{00000000-0005-0000-0000-0000B6340000}"/>
    <cellStyle name="Percent 3 9 14 7" xfId="15925" xr:uid="{00000000-0005-0000-0000-0000393E0000}"/>
    <cellStyle name="Percent 3 9 14 8" xfId="15675" xr:uid="{00000000-0005-0000-0000-00003F3D0000}"/>
    <cellStyle name="Percent 3 9 14 9" xfId="11952" xr:uid="{00000000-0005-0000-0000-0000B42E0000}"/>
    <cellStyle name="Percent 3 9 15" xfId="6988" xr:uid="{00000000-0005-0000-0000-0000501B0000}"/>
    <cellStyle name="Percent 3 9 15 2" xfId="13491" xr:uid="{00000000-0005-0000-0000-0000B7340000}"/>
    <cellStyle name="Percent 3 9 15 3" xfId="13492" xr:uid="{00000000-0005-0000-0000-0000B8340000}"/>
    <cellStyle name="Percent 3 9 15 4" xfId="13493" xr:uid="{00000000-0005-0000-0000-0000B9340000}"/>
    <cellStyle name="Percent 3 9 15 5" xfId="13494" xr:uid="{00000000-0005-0000-0000-0000BA340000}"/>
    <cellStyle name="Percent 3 9 15 6" xfId="13495" xr:uid="{00000000-0005-0000-0000-0000BB340000}"/>
    <cellStyle name="Percent 3 9 15 7" xfId="15926" xr:uid="{00000000-0005-0000-0000-00003A3E0000}"/>
    <cellStyle name="Percent 3 9 15 8" xfId="16351" xr:uid="{00000000-0005-0000-0000-0000E33F0000}"/>
    <cellStyle name="Percent 3 9 15 9" xfId="11953" xr:uid="{00000000-0005-0000-0000-0000B52E0000}"/>
    <cellStyle name="Percent 3 9 16" xfId="13496" xr:uid="{00000000-0005-0000-0000-0000BC340000}"/>
    <cellStyle name="Percent 3 9 17" xfId="13497" xr:uid="{00000000-0005-0000-0000-0000BD340000}"/>
    <cellStyle name="Percent 3 9 18" xfId="13498" xr:uid="{00000000-0005-0000-0000-0000BE340000}"/>
    <cellStyle name="Percent 3 9 19" xfId="13499" xr:uid="{00000000-0005-0000-0000-0000BF340000}"/>
    <cellStyle name="Percent 3 9 2" xfId="3175" xr:uid="{00000000-0005-0000-0000-00006B0C0000}"/>
    <cellStyle name="Percent 3 9 2 10" xfId="6989" xr:uid="{00000000-0005-0000-0000-0000511B0000}"/>
    <cellStyle name="Percent 3 9 2 2" xfId="4233" xr:uid="{00000000-0005-0000-0000-00008D100000}"/>
    <cellStyle name="Percent 3 9 2 2 2" xfId="13500" xr:uid="{00000000-0005-0000-0000-0000C0340000}"/>
    <cellStyle name="Percent 3 9 2 3" xfId="13501" xr:uid="{00000000-0005-0000-0000-0000C1340000}"/>
    <cellStyle name="Percent 3 9 2 4" xfId="13502" xr:uid="{00000000-0005-0000-0000-0000C2340000}"/>
    <cellStyle name="Percent 3 9 2 5" xfId="13503" xr:uid="{00000000-0005-0000-0000-0000C3340000}"/>
    <cellStyle name="Percent 3 9 2 6" xfId="13504" xr:uid="{00000000-0005-0000-0000-0000C4340000}"/>
    <cellStyle name="Percent 3 9 2 7" xfId="15927" xr:uid="{00000000-0005-0000-0000-00003B3E0000}"/>
    <cellStyle name="Percent 3 9 2 8" xfId="15654" xr:uid="{00000000-0005-0000-0000-00002A3D0000}"/>
    <cellStyle name="Percent 3 9 2 9" xfId="11954" xr:uid="{00000000-0005-0000-0000-0000B62E0000}"/>
    <cellStyle name="Percent 3 9 20" xfId="13505" xr:uid="{00000000-0005-0000-0000-0000C5340000}"/>
    <cellStyle name="Percent 3 9 21" xfId="15920" xr:uid="{00000000-0005-0000-0000-0000343E0000}"/>
    <cellStyle name="Percent 3 9 22" xfId="16660" xr:uid="{00000000-0005-0000-0000-000018410000}"/>
    <cellStyle name="Percent 3 9 23" xfId="11947" xr:uid="{00000000-0005-0000-0000-0000AF2E0000}"/>
    <cellStyle name="Percent 3 9 24" xfId="6982" xr:uid="{00000000-0005-0000-0000-00004A1B0000}"/>
    <cellStyle name="Percent 3 9 3" xfId="3401" xr:uid="{00000000-0005-0000-0000-00004D0D0000}"/>
    <cellStyle name="Percent 3 9 3 10" xfId="6990" xr:uid="{00000000-0005-0000-0000-0000521B0000}"/>
    <cellStyle name="Percent 3 9 3 2" xfId="4443" xr:uid="{00000000-0005-0000-0000-00005F110000}"/>
    <cellStyle name="Percent 3 9 3 2 2" xfId="13506" xr:uid="{00000000-0005-0000-0000-0000C6340000}"/>
    <cellStyle name="Percent 3 9 3 3" xfId="13507" xr:uid="{00000000-0005-0000-0000-0000C7340000}"/>
    <cellStyle name="Percent 3 9 3 4" xfId="13508" xr:uid="{00000000-0005-0000-0000-0000C8340000}"/>
    <cellStyle name="Percent 3 9 3 5" xfId="13509" xr:uid="{00000000-0005-0000-0000-0000C9340000}"/>
    <cellStyle name="Percent 3 9 3 6" xfId="13510" xr:uid="{00000000-0005-0000-0000-0000CA340000}"/>
    <cellStyle name="Percent 3 9 3 7" xfId="15928" xr:uid="{00000000-0005-0000-0000-00003C3E0000}"/>
    <cellStyle name="Percent 3 9 3 8" xfId="16771" xr:uid="{00000000-0005-0000-0000-000087410000}"/>
    <cellStyle name="Percent 3 9 3 9" xfId="11955" xr:uid="{00000000-0005-0000-0000-0000B72E0000}"/>
    <cellStyle name="Percent 3 9 4" xfId="4023" xr:uid="{00000000-0005-0000-0000-0000BB0F0000}"/>
    <cellStyle name="Percent 3 9 4 10" xfId="6991" xr:uid="{00000000-0005-0000-0000-0000531B0000}"/>
    <cellStyle name="Percent 3 9 4 2" xfId="13511" xr:uid="{00000000-0005-0000-0000-0000CB340000}"/>
    <cellStyle name="Percent 3 9 4 3" xfId="13512" xr:uid="{00000000-0005-0000-0000-0000CC340000}"/>
    <cellStyle name="Percent 3 9 4 4" xfId="13513" xr:uid="{00000000-0005-0000-0000-0000CD340000}"/>
    <cellStyle name="Percent 3 9 4 5" xfId="13514" xr:uid="{00000000-0005-0000-0000-0000CE340000}"/>
    <cellStyle name="Percent 3 9 4 6" xfId="13515" xr:uid="{00000000-0005-0000-0000-0000CF340000}"/>
    <cellStyle name="Percent 3 9 4 7" xfId="15929" xr:uid="{00000000-0005-0000-0000-00003D3E0000}"/>
    <cellStyle name="Percent 3 9 4 8" xfId="19529" xr:uid="{00000000-0005-0000-0000-00004D4C0000}"/>
    <cellStyle name="Percent 3 9 4 9" xfId="11956" xr:uid="{00000000-0005-0000-0000-0000B82E0000}"/>
    <cellStyle name="Percent 3 9 5" xfId="6992" xr:uid="{00000000-0005-0000-0000-0000541B0000}"/>
    <cellStyle name="Percent 3 9 5 2" xfId="13516" xr:uid="{00000000-0005-0000-0000-0000D0340000}"/>
    <cellStyle name="Percent 3 9 5 3" xfId="13517" xr:uid="{00000000-0005-0000-0000-0000D1340000}"/>
    <cellStyle name="Percent 3 9 5 4" xfId="13518" xr:uid="{00000000-0005-0000-0000-0000D2340000}"/>
    <cellStyle name="Percent 3 9 5 5" xfId="13519" xr:uid="{00000000-0005-0000-0000-0000D3340000}"/>
    <cellStyle name="Percent 3 9 5 6" xfId="13520" xr:uid="{00000000-0005-0000-0000-0000D4340000}"/>
    <cellStyle name="Percent 3 9 5 7" xfId="15930" xr:uid="{00000000-0005-0000-0000-00003E3E0000}"/>
    <cellStyle name="Percent 3 9 5 8" xfId="15419" xr:uid="{00000000-0005-0000-0000-00003F3C0000}"/>
    <cellStyle name="Percent 3 9 5 9" xfId="11957" xr:uid="{00000000-0005-0000-0000-0000B92E0000}"/>
    <cellStyle name="Percent 3 9 6" xfId="6993" xr:uid="{00000000-0005-0000-0000-0000551B0000}"/>
    <cellStyle name="Percent 3 9 6 2" xfId="13521" xr:uid="{00000000-0005-0000-0000-0000D5340000}"/>
    <cellStyle name="Percent 3 9 6 3" xfId="13522" xr:uid="{00000000-0005-0000-0000-0000D6340000}"/>
    <cellStyle name="Percent 3 9 6 4" xfId="13523" xr:uid="{00000000-0005-0000-0000-0000D7340000}"/>
    <cellStyle name="Percent 3 9 6 5" xfId="13524" xr:uid="{00000000-0005-0000-0000-0000D8340000}"/>
    <cellStyle name="Percent 3 9 6 6" xfId="13525" xr:uid="{00000000-0005-0000-0000-0000D9340000}"/>
    <cellStyle name="Percent 3 9 6 7" xfId="15931" xr:uid="{00000000-0005-0000-0000-00003F3E0000}"/>
    <cellStyle name="Percent 3 9 6 8" xfId="15750" xr:uid="{00000000-0005-0000-0000-00008A3D0000}"/>
    <cellStyle name="Percent 3 9 6 9" xfId="11958" xr:uid="{00000000-0005-0000-0000-0000BA2E0000}"/>
    <cellStyle name="Percent 3 9 7" xfId="6994" xr:uid="{00000000-0005-0000-0000-0000561B0000}"/>
    <cellStyle name="Percent 3 9 7 2" xfId="13526" xr:uid="{00000000-0005-0000-0000-0000DA340000}"/>
    <cellStyle name="Percent 3 9 7 3" xfId="13527" xr:uid="{00000000-0005-0000-0000-0000DB340000}"/>
    <cellStyle name="Percent 3 9 7 4" xfId="13528" xr:uid="{00000000-0005-0000-0000-0000DC340000}"/>
    <cellStyle name="Percent 3 9 7 5" xfId="13529" xr:uid="{00000000-0005-0000-0000-0000DD340000}"/>
    <cellStyle name="Percent 3 9 7 6" xfId="13530" xr:uid="{00000000-0005-0000-0000-0000DE340000}"/>
    <cellStyle name="Percent 3 9 7 7" xfId="15932" xr:uid="{00000000-0005-0000-0000-0000403E0000}"/>
    <cellStyle name="Percent 3 9 7 8" xfId="19122" xr:uid="{00000000-0005-0000-0000-0000B64A0000}"/>
    <cellStyle name="Percent 3 9 7 9" xfId="11959" xr:uid="{00000000-0005-0000-0000-0000BB2E0000}"/>
    <cellStyle name="Percent 3 9 8" xfId="6995" xr:uid="{00000000-0005-0000-0000-0000571B0000}"/>
    <cellStyle name="Percent 3 9 8 2" xfId="13531" xr:uid="{00000000-0005-0000-0000-0000DF340000}"/>
    <cellStyle name="Percent 3 9 8 3" xfId="13532" xr:uid="{00000000-0005-0000-0000-0000E0340000}"/>
    <cellStyle name="Percent 3 9 8 4" xfId="13533" xr:uid="{00000000-0005-0000-0000-0000E1340000}"/>
    <cellStyle name="Percent 3 9 8 5" xfId="13534" xr:uid="{00000000-0005-0000-0000-0000E2340000}"/>
    <cellStyle name="Percent 3 9 8 6" xfId="13535" xr:uid="{00000000-0005-0000-0000-0000E3340000}"/>
    <cellStyle name="Percent 3 9 8 7" xfId="15933" xr:uid="{00000000-0005-0000-0000-0000413E0000}"/>
    <cellStyle name="Percent 3 9 8 8" xfId="19367" xr:uid="{00000000-0005-0000-0000-0000AB4B0000}"/>
    <cellStyle name="Percent 3 9 8 9" xfId="11960" xr:uid="{00000000-0005-0000-0000-0000BC2E0000}"/>
    <cellStyle name="Percent 3 9 9" xfId="6996" xr:uid="{00000000-0005-0000-0000-0000581B0000}"/>
    <cellStyle name="Percent 3 9 9 2" xfId="13536" xr:uid="{00000000-0005-0000-0000-0000E4340000}"/>
    <cellStyle name="Percent 3 9 9 3" xfId="13537" xr:uid="{00000000-0005-0000-0000-0000E5340000}"/>
    <cellStyle name="Percent 3 9 9 4" xfId="13538" xr:uid="{00000000-0005-0000-0000-0000E6340000}"/>
    <cellStyle name="Percent 3 9 9 5" xfId="13539" xr:uid="{00000000-0005-0000-0000-0000E7340000}"/>
    <cellStyle name="Percent 3 9 9 6" xfId="13540" xr:uid="{00000000-0005-0000-0000-0000E8340000}"/>
    <cellStyle name="Percent 3 9 9 7" xfId="15934" xr:uid="{00000000-0005-0000-0000-0000423E0000}"/>
    <cellStyle name="Percent 3 9 9 8" xfId="19391" xr:uid="{00000000-0005-0000-0000-0000C34B0000}"/>
    <cellStyle name="Percent 3 9 9 9" xfId="11961" xr:uid="{00000000-0005-0000-0000-0000BD2E0000}"/>
    <cellStyle name="Percent 31" xfId="6997" xr:uid="{00000000-0005-0000-0000-0000591B0000}"/>
    <cellStyle name="Percent 31 2" xfId="13541" xr:uid="{00000000-0005-0000-0000-0000E9340000}"/>
    <cellStyle name="Percent 31 3" xfId="13542" xr:uid="{00000000-0005-0000-0000-0000EA340000}"/>
    <cellStyle name="Percent 31 4" xfId="13543" xr:uid="{00000000-0005-0000-0000-0000EB340000}"/>
    <cellStyle name="Percent 31 5" xfId="13544" xr:uid="{00000000-0005-0000-0000-0000EC340000}"/>
    <cellStyle name="Percent 31 6" xfId="13545" xr:uid="{00000000-0005-0000-0000-0000ED340000}"/>
    <cellStyle name="Percent 31 7" xfId="15935" xr:uid="{00000000-0005-0000-0000-0000433E0000}"/>
    <cellStyle name="Percent 31 8" xfId="15517" xr:uid="{00000000-0005-0000-0000-0000A13C0000}"/>
    <cellStyle name="Percent 31 9" xfId="11962" xr:uid="{00000000-0005-0000-0000-0000BE2E0000}"/>
    <cellStyle name="Percent 4" xfId="175" xr:uid="{00000000-0005-0000-0000-0000B3000000}"/>
    <cellStyle name="Percent 4 10" xfId="1736" xr:uid="{00000000-0005-0000-0000-0000CC060000}"/>
    <cellStyle name="Percent 4 10 2" xfId="2856" xr:uid="{00000000-0005-0000-0000-00002C0B0000}"/>
    <cellStyle name="Percent 4 10 2 2" xfId="13546" xr:uid="{00000000-0005-0000-0000-0000EE340000}"/>
    <cellStyle name="Percent 4 10 3" xfId="13547" xr:uid="{00000000-0005-0000-0000-0000EF340000}"/>
    <cellStyle name="Percent 4 10 4" xfId="13548" xr:uid="{00000000-0005-0000-0000-0000F0340000}"/>
    <cellStyle name="Percent 4 10 5" xfId="13549" xr:uid="{00000000-0005-0000-0000-0000F1340000}"/>
    <cellStyle name="Percent 4 10 6" xfId="13550" xr:uid="{00000000-0005-0000-0000-0000F2340000}"/>
    <cellStyle name="Percent 4 10 7" xfId="15106" xr:uid="{00000000-0005-0000-0000-0000063B0000}"/>
    <cellStyle name="Percent 4 10 8" xfId="15744" xr:uid="{00000000-0005-0000-0000-0000843D0000}"/>
    <cellStyle name="Percent 4 10 9" xfId="11964" xr:uid="{00000000-0005-0000-0000-0000C02E0000}"/>
    <cellStyle name="Percent 4 11" xfId="1737" xr:uid="{00000000-0005-0000-0000-0000CD060000}"/>
    <cellStyle name="Percent 4 11 2" xfId="2857" xr:uid="{00000000-0005-0000-0000-00002D0B0000}"/>
    <cellStyle name="Percent 4 11 2 2" xfId="13551" xr:uid="{00000000-0005-0000-0000-0000F3340000}"/>
    <cellStyle name="Percent 4 11 3" xfId="13552" xr:uid="{00000000-0005-0000-0000-0000F4340000}"/>
    <cellStyle name="Percent 4 11 4" xfId="13553" xr:uid="{00000000-0005-0000-0000-0000F5340000}"/>
    <cellStyle name="Percent 4 11 5" xfId="13554" xr:uid="{00000000-0005-0000-0000-0000F6340000}"/>
    <cellStyle name="Percent 4 11 6" xfId="13555" xr:uid="{00000000-0005-0000-0000-0000F7340000}"/>
    <cellStyle name="Percent 4 11 7" xfId="15107" xr:uid="{00000000-0005-0000-0000-0000073B0000}"/>
    <cellStyle name="Percent 4 11 8" xfId="19161" xr:uid="{00000000-0005-0000-0000-0000DD4A0000}"/>
    <cellStyle name="Percent 4 11 9" xfId="11965" xr:uid="{00000000-0005-0000-0000-0000C12E0000}"/>
    <cellStyle name="Percent 4 12" xfId="1738" xr:uid="{00000000-0005-0000-0000-0000CE060000}"/>
    <cellStyle name="Percent 4 12 2" xfId="2858" xr:uid="{00000000-0005-0000-0000-00002E0B0000}"/>
    <cellStyle name="Percent 4 12 2 2" xfId="13556" xr:uid="{00000000-0005-0000-0000-0000F8340000}"/>
    <cellStyle name="Percent 4 12 3" xfId="13557" xr:uid="{00000000-0005-0000-0000-0000F9340000}"/>
    <cellStyle name="Percent 4 12 4" xfId="13558" xr:uid="{00000000-0005-0000-0000-0000FA340000}"/>
    <cellStyle name="Percent 4 12 5" xfId="13559" xr:uid="{00000000-0005-0000-0000-0000FB340000}"/>
    <cellStyle name="Percent 4 12 6" xfId="13560" xr:uid="{00000000-0005-0000-0000-0000FC340000}"/>
    <cellStyle name="Percent 4 12 7" xfId="15108" xr:uid="{00000000-0005-0000-0000-0000083B0000}"/>
    <cellStyle name="Percent 4 12 8" xfId="15432" xr:uid="{00000000-0005-0000-0000-00004C3C0000}"/>
    <cellStyle name="Percent 4 12 9" xfId="11966" xr:uid="{00000000-0005-0000-0000-0000C22E0000}"/>
    <cellStyle name="Percent 4 13" xfId="1739" xr:uid="{00000000-0005-0000-0000-0000CF060000}"/>
    <cellStyle name="Percent 4 13 2" xfId="2859" xr:uid="{00000000-0005-0000-0000-00002F0B0000}"/>
    <cellStyle name="Percent 4 13 2 2" xfId="13561" xr:uid="{00000000-0005-0000-0000-0000FD340000}"/>
    <cellStyle name="Percent 4 13 3" xfId="13562" xr:uid="{00000000-0005-0000-0000-0000FE340000}"/>
    <cellStyle name="Percent 4 13 4" xfId="13563" xr:uid="{00000000-0005-0000-0000-0000FF340000}"/>
    <cellStyle name="Percent 4 13 5" xfId="13564" xr:uid="{00000000-0005-0000-0000-000000350000}"/>
    <cellStyle name="Percent 4 13 6" xfId="13565" xr:uid="{00000000-0005-0000-0000-000001350000}"/>
    <cellStyle name="Percent 4 13 7" xfId="15109" xr:uid="{00000000-0005-0000-0000-0000093B0000}"/>
    <cellStyle name="Percent 4 13 8" xfId="15736" xr:uid="{00000000-0005-0000-0000-00007C3D0000}"/>
    <cellStyle name="Percent 4 13 9" xfId="11967" xr:uid="{00000000-0005-0000-0000-0000C32E0000}"/>
    <cellStyle name="Percent 4 14" xfId="2855" xr:uid="{00000000-0005-0000-0000-00002B0B0000}"/>
    <cellStyle name="Percent 4 14 10" xfId="11968" xr:uid="{00000000-0005-0000-0000-0000C42E0000}"/>
    <cellStyle name="Percent 4 14 2" xfId="9517" xr:uid="{00000000-0005-0000-0000-000031250000}"/>
    <cellStyle name="Percent 4 14 2 2" xfId="13567" xr:uid="{00000000-0005-0000-0000-000003350000}"/>
    <cellStyle name="Percent 4 14 2 3" xfId="13568" xr:uid="{00000000-0005-0000-0000-000004350000}"/>
    <cellStyle name="Percent 4 14 2 4" xfId="13569" xr:uid="{00000000-0005-0000-0000-000005350000}"/>
    <cellStyle name="Percent 4 14 2 5" xfId="13570" xr:uid="{00000000-0005-0000-0000-000006350000}"/>
    <cellStyle name="Percent 4 14 2 6" xfId="15111" xr:uid="{00000000-0005-0000-0000-00000B3B0000}"/>
    <cellStyle name="Percent 4 14 2 7" xfId="13566" xr:uid="{00000000-0005-0000-0000-000002350000}"/>
    <cellStyle name="Percent 4 14 3" xfId="13571" xr:uid="{00000000-0005-0000-0000-000007350000}"/>
    <cellStyle name="Percent 4 14 4" xfId="13572" xr:uid="{00000000-0005-0000-0000-000008350000}"/>
    <cellStyle name="Percent 4 14 5" xfId="13573" xr:uid="{00000000-0005-0000-0000-000009350000}"/>
    <cellStyle name="Percent 4 14 6" xfId="13574" xr:uid="{00000000-0005-0000-0000-00000A350000}"/>
    <cellStyle name="Percent 4 14 7" xfId="13575" xr:uid="{00000000-0005-0000-0000-00000B350000}"/>
    <cellStyle name="Percent 4 14 8" xfId="15110" xr:uid="{00000000-0005-0000-0000-00000A3B0000}"/>
    <cellStyle name="Percent 4 14 9" xfId="19495" xr:uid="{00000000-0005-0000-0000-00002B4C0000}"/>
    <cellStyle name="Percent 4 15" xfId="1735" xr:uid="{00000000-0005-0000-0000-0000CB060000}"/>
    <cellStyle name="Percent 4 15 2" xfId="13576" xr:uid="{00000000-0005-0000-0000-00000C350000}"/>
    <cellStyle name="Percent 4 15 3" xfId="13577" xr:uid="{00000000-0005-0000-0000-00000D350000}"/>
    <cellStyle name="Percent 4 15 4" xfId="13578" xr:uid="{00000000-0005-0000-0000-00000E350000}"/>
    <cellStyle name="Percent 4 15 5" xfId="13579" xr:uid="{00000000-0005-0000-0000-00000F350000}"/>
    <cellStyle name="Percent 4 15 6" xfId="13580" xr:uid="{00000000-0005-0000-0000-000010350000}"/>
    <cellStyle name="Percent 4 15 7" xfId="15112" xr:uid="{00000000-0005-0000-0000-00000C3B0000}"/>
    <cellStyle name="Percent 4 15 8" xfId="19081" xr:uid="{00000000-0005-0000-0000-00008D4A0000}"/>
    <cellStyle name="Percent 4 15 9" xfId="11969" xr:uid="{00000000-0005-0000-0000-0000C52E0000}"/>
    <cellStyle name="Percent 4 16" xfId="6999" xr:uid="{00000000-0005-0000-0000-00005B1B0000}"/>
    <cellStyle name="Percent 4 16 2" xfId="7854" xr:uid="{00000000-0005-0000-0000-0000B21E0000}"/>
    <cellStyle name="Percent 4 16 2 2" xfId="15114" xr:uid="{00000000-0005-0000-0000-00000E3B0000}"/>
    <cellStyle name="Percent 4 16 2 3" xfId="19413" xr:uid="{00000000-0005-0000-0000-0000D94B0000}"/>
    <cellStyle name="Percent 4 16 2 4" xfId="11971" xr:uid="{00000000-0005-0000-0000-0000C72E0000}"/>
    <cellStyle name="Percent 4 16 3" xfId="13581" xr:uid="{00000000-0005-0000-0000-000011350000}"/>
    <cellStyle name="Percent 4 16 3 2" xfId="15116" xr:uid="{00000000-0005-0000-0000-0000103B0000}"/>
    <cellStyle name="Percent 4 16 3 3" xfId="15115" xr:uid="{00000000-0005-0000-0000-00000F3B0000}"/>
    <cellStyle name="Percent 4 16 4" xfId="13582" xr:uid="{00000000-0005-0000-0000-000012350000}"/>
    <cellStyle name="Percent 4 16 5" xfId="13583" xr:uid="{00000000-0005-0000-0000-000013350000}"/>
    <cellStyle name="Percent 4 16 6" xfId="13584" xr:uid="{00000000-0005-0000-0000-000014350000}"/>
    <cellStyle name="Percent 4 16 7" xfId="15113" xr:uid="{00000000-0005-0000-0000-00000D3B0000}"/>
    <cellStyle name="Percent 4 16 8" xfId="15695" xr:uid="{00000000-0005-0000-0000-0000533D0000}"/>
    <cellStyle name="Percent 4 16 9" xfId="11970" xr:uid="{00000000-0005-0000-0000-0000C62E0000}"/>
    <cellStyle name="Percent 4 17" xfId="7000" xr:uid="{00000000-0005-0000-0000-00005C1B0000}"/>
    <cellStyle name="Percent 4 17 2" xfId="13585" xr:uid="{00000000-0005-0000-0000-000015350000}"/>
    <cellStyle name="Percent 4 17 3" xfId="13586" xr:uid="{00000000-0005-0000-0000-000016350000}"/>
    <cellStyle name="Percent 4 17 4" xfId="13587" xr:uid="{00000000-0005-0000-0000-000017350000}"/>
    <cellStyle name="Percent 4 17 5" xfId="13588" xr:uid="{00000000-0005-0000-0000-000018350000}"/>
    <cellStyle name="Percent 4 17 6" xfId="13589" xr:uid="{00000000-0005-0000-0000-000019350000}"/>
    <cellStyle name="Percent 4 17 7" xfId="15117" xr:uid="{00000000-0005-0000-0000-0000113B0000}"/>
    <cellStyle name="Percent 4 17 8" xfId="15626" xr:uid="{00000000-0005-0000-0000-00000E3D0000}"/>
    <cellStyle name="Percent 4 17 9" xfId="11972" xr:uid="{00000000-0005-0000-0000-0000C82E0000}"/>
    <cellStyle name="Percent 4 18" xfId="7001" xr:uid="{00000000-0005-0000-0000-00005D1B0000}"/>
    <cellStyle name="Percent 4 18 2" xfId="11974" xr:uid="{00000000-0005-0000-0000-0000CA2E0000}"/>
    <cellStyle name="Percent 4 18 2 2" xfId="19024" xr:uid="{00000000-0005-0000-0000-0000544A0000}"/>
    <cellStyle name="Percent 4 18 3" xfId="13590" xr:uid="{00000000-0005-0000-0000-00001A350000}"/>
    <cellStyle name="Percent 4 18 4" xfId="13591" xr:uid="{00000000-0005-0000-0000-00001B350000}"/>
    <cellStyle name="Percent 4 18 5" xfId="13592" xr:uid="{00000000-0005-0000-0000-00001C350000}"/>
    <cellStyle name="Percent 4 18 6" xfId="13593" xr:uid="{00000000-0005-0000-0000-00001D350000}"/>
    <cellStyle name="Percent 4 18 7" xfId="15941" xr:uid="{00000000-0005-0000-0000-0000493E0000}"/>
    <cellStyle name="Percent 4 18 8" xfId="15530" xr:uid="{00000000-0005-0000-0000-0000AE3C0000}"/>
    <cellStyle name="Percent 4 18 9" xfId="11973" xr:uid="{00000000-0005-0000-0000-0000C92E0000}"/>
    <cellStyle name="Percent 4 19" xfId="7002" xr:uid="{00000000-0005-0000-0000-00005E1B0000}"/>
    <cellStyle name="Percent 4 19 2" xfId="13594" xr:uid="{00000000-0005-0000-0000-00001E350000}"/>
    <cellStyle name="Percent 4 19 3" xfId="13595" xr:uid="{00000000-0005-0000-0000-00001F350000}"/>
    <cellStyle name="Percent 4 19 4" xfId="13596" xr:uid="{00000000-0005-0000-0000-000020350000}"/>
    <cellStyle name="Percent 4 19 5" xfId="13597" xr:uid="{00000000-0005-0000-0000-000021350000}"/>
    <cellStyle name="Percent 4 19 6" xfId="13598" xr:uid="{00000000-0005-0000-0000-000022350000}"/>
    <cellStyle name="Percent 4 19 7" xfId="15942" xr:uid="{00000000-0005-0000-0000-00004A3E0000}"/>
    <cellStyle name="Percent 4 19 8" xfId="19553" xr:uid="{00000000-0005-0000-0000-0000654C0000}"/>
    <cellStyle name="Percent 4 19 9" xfId="11975" xr:uid="{00000000-0005-0000-0000-0000CB2E0000}"/>
    <cellStyle name="Percent 4 2" xfId="176" xr:uid="{00000000-0005-0000-0000-0000B4000000}"/>
    <cellStyle name="Percent 4 2 10" xfId="1740" xr:uid="{00000000-0005-0000-0000-0000D0060000}"/>
    <cellStyle name="Percent 4 2 10 2" xfId="13599" xr:uid="{00000000-0005-0000-0000-000023350000}"/>
    <cellStyle name="Percent 4 2 11" xfId="13600" xr:uid="{00000000-0005-0000-0000-000024350000}"/>
    <cellStyle name="Percent 4 2 12" xfId="13601" xr:uid="{00000000-0005-0000-0000-000025350000}"/>
    <cellStyle name="Percent 4 2 13" xfId="13602" xr:uid="{00000000-0005-0000-0000-000026350000}"/>
    <cellStyle name="Percent 4 2 14" xfId="15118" xr:uid="{00000000-0005-0000-0000-0000123B0000}"/>
    <cellStyle name="Percent 4 2 15" xfId="16338" xr:uid="{00000000-0005-0000-0000-0000D63F0000}"/>
    <cellStyle name="Percent 4 2 16" xfId="11976" xr:uid="{00000000-0005-0000-0000-0000CC2E0000}"/>
    <cellStyle name="Percent 4 2 2" xfId="177" xr:uid="{00000000-0005-0000-0000-0000B5000000}"/>
    <cellStyle name="Percent 4 2 2 2" xfId="2861" xr:uid="{00000000-0005-0000-0000-0000310B0000}"/>
    <cellStyle name="Percent 4 2 2 2 2" xfId="13603" xr:uid="{00000000-0005-0000-0000-000027350000}"/>
    <cellStyle name="Percent 4 2 2 3" xfId="1741" xr:uid="{00000000-0005-0000-0000-0000D1060000}"/>
    <cellStyle name="Percent 4 2 2 3 2" xfId="13604" xr:uid="{00000000-0005-0000-0000-000028350000}"/>
    <cellStyle name="Percent 4 2 2 4" xfId="13605" xr:uid="{00000000-0005-0000-0000-000029350000}"/>
    <cellStyle name="Percent 4 2 2 5" xfId="13606" xr:uid="{00000000-0005-0000-0000-00002A350000}"/>
    <cellStyle name="Percent 4 2 2 6" xfId="15119" xr:uid="{00000000-0005-0000-0000-0000133B0000}"/>
    <cellStyle name="Percent 4 2 2 7" xfId="19445" xr:uid="{00000000-0005-0000-0000-0000F94B0000}"/>
    <cellStyle name="Percent 4 2 2 8" xfId="11977" xr:uid="{00000000-0005-0000-0000-0000CD2E0000}"/>
    <cellStyle name="Percent 4 2 3" xfId="1742" xr:uid="{00000000-0005-0000-0000-0000D2060000}"/>
    <cellStyle name="Percent 4 2 3 2" xfId="2862" xr:uid="{00000000-0005-0000-0000-0000320B0000}"/>
    <cellStyle name="Percent 4 2 3 2 2" xfId="13607" xr:uid="{00000000-0005-0000-0000-00002B350000}"/>
    <cellStyle name="Percent 4 2 3 3" xfId="13608" xr:uid="{00000000-0005-0000-0000-00002C350000}"/>
    <cellStyle name="Percent 4 2 3 4" xfId="13609" xr:uid="{00000000-0005-0000-0000-00002D350000}"/>
    <cellStyle name="Percent 4 2 3 5" xfId="13610" xr:uid="{00000000-0005-0000-0000-00002E350000}"/>
    <cellStyle name="Percent 4 2 3 6" xfId="15120" xr:uid="{00000000-0005-0000-0000-0000143B0000}"/>
    <cellStyle name="Percent 4 2 3 7" xfId="19257" xr:uid="{00000000-0005-0000-0000-00003D4B0000}"/>
    <cellStyle name="Percent 4 2 3 8" xfId="11978" xr:uid="{00000000-0005-0000-0000-0000CE2E0000}"/>
    <cellStyle name="Percent 4 2 4" xfId="1743" xr:uid="{00000000-0005-0000-0000-0000D3060000}"/>
    <cellStyle name="Percent 4 2 4 2" xfId="2863" xr:uid="{00000000-0005-0000-0000-0000330B0000}"/>
    <cellStyle name="Percent 4 2 4 2 2" xfId="15944" xr:uid="{00000000-0005-0000-0000-00004C3E0000}"/>
    <cellStyle name="Percent 4 2 4 2 3" xfId="19272" xr:uid="{00000000-0005-0000-0000-00004C4B0000}"/>
    <cellStyle name="Percent 4 2 4 2 4" xfId="11980" xr:uid="{00000000-0005-0000-0000-0000D02E0000}"/>
    <cellStyle name="Percent 4 2 4 2 5" xfId="7004" xr:uid="{00000000-0005-0000-0000-0000601B0000}"/>
    <cellStyle name="Percent 4 2 4 3" xfId="7855" xr:uid="{00000000-0005-0000-0000-0000B31E0000}"/>
    <cellStyle name="Percent 4 2 4 3 2" xfId="16724" xr:uid="{00000000-0005-0000-0000-000058410000}"/>
    <cellStyle name="Percent 4 2 4 3 3" xfId="19234" xr:uid="{00000000-0005-0000-0000-0000264B0000}"/>
    <cellStyle name="Percent 4 2 4 3 4" xfId="11981" xr:uid="{00000000-0005-0000-0000-0000D12E0000}"/>
    <cellStyle name="Percent 4 2 4 4" xfId="13611" xr:uid="{00000000-0005-0000-0000-00002F350000}"/>
    <cellStyle name="Percent 4 2 4 5" xfId="13612" xr:uid="{00000000-0005-0000-0000-000030350000}"/>
    <cellStyle name="Percent 4 2 4 6" xfId="15121" xr:uid="{00000000-0005-0000-0000-0000153B0000}"/>
    <cellStyle name="Percent 4 2 4 7" xfId="17255" xr:uid="{00000000-0005-0000-0000-00006B430000}"/>
    <cellStyle name="Percent 4 2 4 8" xfId="11979" xr:uid="{00000000-0005-0000-0000-0000CF2E0000}"/>
    <cellStyle name="Percent 4 2 5" xfId="1744" xr:uid="{00000000-0005-0000-0000-0000D4060000}"/>
    <cellStyle name="Percent 4 2 5 2" xfId="2864" xr:uid="{00000000-0005-0000-0000-0000340B0000}"/>
    <cellStyle name="Percent 4 2 5 2 2" xfId="13613" xr:uid="{00000000-0005-0000-0000-000031350000}"/>
    <cellStyle name="Percent 4 2 5 3" xfId="13614" xr:uid="{00000000-0005-0000-0000-000032350000}"/>
    <cellStyle name="Percent 4 2 5 4" xfId="13615" xr:uid="{00000000-0005-0000-0000-000033350000}"/>
    <cellStyle name="Percent 4 2 5 5" xfId="13616" xr:uid="{00000000-0005-0000-0000-000034350000}"/>
    <cellStyle name="Percent 4 2 5 6" xfId="15122" xr:uid="{00000000-0005-0000-0000-0000163B0000}"/>
    <cellStyle name="Percent 4 2 5 7" xfId="15749" xr:uid="{00000000-0005-0000-0000-0000893D0000}"/>
    <cellStyle name="Percent 4 2 5 8" xfId="11982" xr:uid="{00000000-0005-0000-0000-0000D22E0000}"/>
    <cellStyle name="Percent 4 2 6" xfId="1745" xr:uid="{00000000-0005-0000-0000-0000D5060000}"/>
    <cellStyle name="Percent 4 2 6 10" xfId="7003" xr:uid="{00000000-0005-0000-0000-00005F1B0000}"/>
    <cellStyle name="Percent 4 2 6 2" xfId="2865" xr:uid="{00000000-0005-0000-0000-0000350B0000}"/>
    <cellStyle name="Percent 4 2 6 2 2" xfId="16725" xr:uid="{00000000-0005-0000-0000-000059410000}"/>
    <cellStyle name="Percent 4 2 6 2 3" xfId="17222" xr:uid="{00000000-0005-0000-0000-00004A430000}"/>
    <cellStyle name="Percent 4 2 6 2 4" xfId="11984" xr:uid="{00000000-0005-0000-0000-0000D42E0000}"/>
    <cellStyle name="Percent 4 2 6 3" xfId="9518" xr:uid="{00000000-0005-0000-0000-000032250000}"/>
    <cellStyle name="Percent 4 2 6 3 2" xfId="17747" xr:uid="{00000000-0005-0000-0000-000057450000}"/>
    <cellStyle name="Percent 4 2 6 3 3" xfId="16369" xr:uid="{00000000-0005-0000-0000-0000F53F0000}"/>
    <cellStyle name="Percent 4 2 6 3 4" xfId="11985" xr:uid="{00000000-0005-0000-0000-0000D52E0000}"/>
    <cellStyle name="Percent 4 2 6 4" xfId="13617" xr:uid="{00000000-0005-0000-0000-000035350000}"/>
    <cellStyle name="Percent 4 2 6 5" xfId="13618" xr:uid="{00000000-0005-0000-0000-000036350000}"/>
    <cellStyle name="Percent 4 2 6 6" xfId="15123" xr:uid="{00000000-0005-0000-0000-0000173B0000}"/>
    <cellStyle name="Percent 4 2 6 7" xfId="15943" xr:uid="{00000000-0005-0000-0000-00004B3E0000}"/>
    <cellStyle name="Percent 4 2 6 8" xfId="19385" xr:uid="{00000000-0005-0000-0000-0000BD4B0000}"/>
    <cellStyle name="Percent 4 2 6 9" xfId="11983" xr:uid="{00000000-0005-0000-0000-0000D32E0000}"/>
    <cellStyle name="Percent 4 2 7" xfId="1746" xr:uid="{00000000-0005-0000-0000-0000D6060000}"/>
    <cellStyle name="Percent 4 2 7 2" xfId="2866" xr:uid="{00000000-0005-0000-0000-0000360B0000}"/>
    <cellStyle name="Percent 4 2 7 2 2" xfId="13619" xr:uid="{00000000-0005-0000-0000-000037350000}"/>
    <cellStyle name="Percent 4 2 7 3" xfId="13620" xr:uid="{00000000-0005-0000-0000-000038350000}"/>
    <cellStyle name="Percent 4 2 7 4" xfId="13621" xr:uid="{00000000-0005-0000-0000-000039350000}"/>
    <cellStyle name="Percent 4 2 7 5" xfId="13622" xr:uid="{00000000-0005-0000-0000-00003A350000}"/>
    <cellStyle name="Percent 4 2 7 6" xfId="15124" xr:uid="{00000000-0005-0000-0000-0000183B0000}"/>
    <cellStyle name="Percent 4 2 7 7" xfId="15767" xr:uid="{00000000-0005-0000-0000-00009B3D0000}"/>
    <cellStyle name="Percent 4 2 7 8" xfId="11986" xr:uid="{00000000-0005-0000-0000-0000D62E0000}"/>
    <cellStyle name="Percent 4 2 8" xfId="1747" xr:uid="{00000000-0005-0000-0000-0000D7060000}"/>
    <cellStyle name="Percent 4 2 8 2" xfId="2867" xr:uid="{00000000-0005-0000-0000-0000370B0000}"/>
    <cellStyle name="Percent 4 2 8 2 2" xfId="13623" xr:uid="{00000000-0005-0000-0000-00003B350000}"/>
    <cellStyle name="Percent 4 2 8 3" xfId="13624" xr:uid="{00000000-0005-0000-0000-00003C350000}"/>
    <cellStyle name="Percent 4 2 8 4" xfId="13625" xr:uid="{00000000-0005-0000-0000-00003D350000}"/>
    <cellStyle name="Percent 4 2 8 5" xfId="13626" xr:uid="{00000000-0005-0000-0000-00003E350000}"/>
    <cellStyle name="Percent 4 2 8 6" xfId="15125" xr:uid="{00000000-0005-0000-0000-0000193B0000}"/>
    <cellStyle name="Percent 4 2 8 7" xfId="19364" xr:uid="{00000000-0005-0000-0000-0000A84B0000}"/>
    <cellStyle name="Percent 4 2 8 8" xfId="11987" xr:uid="{00000000-0005-0000-0000-0000D72E0000}"/>
    <cellStyle name="Percent 4 2 9" xfId="2860" xr:uid="{00000000-0005-0000-0000-0000300B0000}"/>
    <cellStyle name="Percent 4 2 9 2" xfId="15126" xr:uid="{00000000-0005-0000-0000-00001A3B0000}"/>
    <cellStyle name="Percent 4 2 9 3" xfId="15458" xr:uid="{00000000-0005-0000-0000-0000663C0000}"/>
    <cellStyle name="Percent 4 2 9 4" xfId="11988" xr:uid="{00000000-0005-0000-0000-0000D82E0000}"/>
    <cellStyle name="Percent 4 20" xfId="7005" xr:uid="{00000000-0005-0000-0000-0000611B0000}"/>
    <cellStyle name="Percent 4 20 2" xfId="13627" xr:uid="{00000000-0005-0000-0000-00003F350000}"/>
    <cellStyle name="Percent 4 20 3" xfId="13628" xr:uid="{00000000-0005-0000-0000-000040350000}"/>
    <cellStyle name="Percent 4 20 4" xfId="13629" xr:uid="{00000000-0005-0000-0000-000041350000}"/>
    <cellStyle name="Percent 4 20 5" xfId="13630" xr:uid="{00000000-0005-0000-0000-000042350000}"/>
    <cellStyle name="Percent 4 20 6" xfId="13631" xr:uid="{00000000-0005-0000-0000-000043350000}"/>
    <cellStyle name="Percent 4 20 7" xfId="15945" xr:uid="{00000000-0005-0000-0000-00004D3E0000}"/>
    <cellStyle name="Percent 4 20 8" xfId="19380" xr:uid="{00000000-0005-0000-0000-0000B84B0000}"/>
    <cellStyle name="Percent 4 20 9" xfId="11989" xr:uid="{00000000-0005-0000-0000-0000D92E0000}"/>
    <cellStyle name="Percent 4 21" xfId="7006" xr:uid="{00000000-0005-0000-0000-0000621B0000}"/>
    <cellStyle name="Percent 4 21 2" xfId="13632" xr:uid="{00000000-0005-0000-0000-000044350000}"/>
    <cellStyle name="Percent 4 21 3" xfId="13633" xr:uid="{00000000-0005-0000-0000-000045350000}"/>
    <cellStyle name="Percent 4 21 4" xfId="13634" xr:uid="{00000000-0005-0000-0000-000046350000}"/>
    <cellStyle name="Percent 4 21 5" xfId="13635" xr:uid="{00000000-0005-0000-0000-000047350000}"/>
    <cellStyle name="Percent 4 21 6" xfId="13636" xr:uid="{00000000-0005-0000-0000-000048350000}"/>
    <cellStyle name="Percent 4 21 7" xfId="15946" xr:uid="{00000000-0005-0000-0000-00004E3E0000}"/>
    <cellStyle name="Percent 4 21 8" xfId="15519" xr:uid="{00000000-0005-0000-0000-0000A33C0000}"/>
    <cellStyle name="Percent 4 21 9" xfId="11990" xr:uid="{00000000-0005-0000-0000-0000DA2E0000}"/>
    <cellStyle name="Percent 4 22" xfId="7007" xr:uid="{00000000-0005-0000-0000-0000631B0000}"/>
    <cellStyle name="Percent 4 22 2" xfId="13637" xr:uid="{00000000-0005-0000-0000-000049350000}"/>
    <cellStyle name="Percent 4 22 3" xfId="13638" xr:uid="{00000000-0005-0000-0000-00004A350000}"/>
    <cellStyle name="Percent 4 22 4" xfId="13639" xr:uid="{00000000-0005-0000-0000-00004B350000}"/>
    <cellStyle name="Percent 4 22 5" xfId="13640" xr:uid="{00000000-0005-0000-0000-00004C350000}"/>
    <cellStyle name="Percent 4 22 6" xfId="13641" xr:uid="{00000000-0005-0000-0000-00004D350000}"/>
    <cellStyle name="Percent 4 22 7" xfId="15947" xr:uid="{00000000-0005-0000-0000-00004F3E0000}"/>
    <cellStyle name="Percent 4 22 8" xfId="19335" xr:uid="{00000000-0005-0000-0000-00008B4B0000}"/>
    <cellStyle name="Percent 4 22 9" xfId="11991" xr:uid="{00000000-0005-0000-0000-0000DB2E0000}"/>
    <cellStyle name="Percent 4 23" xfId="7008" xr:uid="{00000000-0005-0000-0000-0000641B0000}"/>
    <cellStyle name="Percent 4 23 2" xfId="13642" xr:uid="{00000000-0005-0000-0000-00004E350000}"/>
    <cellStyle name="Percent 4 23 3" xfId="13643" xr:uid="{00000000-0005-0000-0000-00004F350000}"/>
    <cellStyle name="Percent 4 23 4" xfId="13644" xr:uid="{00000000-0005-0000-0000-000050350000}"/>
    <cellStyle name="Percent 4 23 5" xfId="13645" xr:uid="{00000000-0005-0000-0000-000051350000}"/>
    <cellStyle name="Percent 4 23 6" xfId="13646" xr:uid="{00000000-0005-0000-0000-000052350000}"/>
    <cellStyle name="Percent 4 23 7" xfId="15948" xr:uid="{00000000-0005-0000-0000-0000503E0000}"/>
    <cellStyle name="Percent 4 23 8" xfId="19324" xr:uid="{00000000-0005-0000-0000-0000804B0000}"/>
    <cellStyle name="Percent 4 23 9" xfId="11992" xr:uid="{00000000-0005-0000-0000-0000DC2E0000}"/>
    <cellStyle name="Percent 4 24" xfId="7009" xr:uid="{00000000-0005-0000-0000-0000651B0000}"/>
    <cellStyle name="Percent 4 24 2" xfId="13647" xr:uid="{00000000-0005-0000-0000-000053350000}"/>
    <cellStyle name="Percent 4 24 3" xfId="13648" xr:uid="{00000000-0005-0000-0000-000054350000}"/>
    <cellStyle name="Percent 4 24 4" xfId="13649" xr:uid="{00000000-0005-0000-0000-000055350000}"/>
    <cellStyle name="Percent 4 24 5" xfId="13650" xr:uid="{00000000-0005-0000-0000-000056350000}"/>
    <cellStyle name="Percent 4 24 6" xfId="13651" xr:uid="{00000000-0005-0000-0000-000057350000}"/>
    <cellStyle name="Percent 4 24 7" xfId="15949" xr:uid="{00000000-0005-0000-0000-0000513E0000}"/>
    <cellStyle name="Percent 4 24 8" xfId="16657" xr:uid="{00000000-0005-0000-0000-000015410000}"/>
    <cellStyle name="Percent 4 24 9" xfId="11993" xr:uid="{00000000-0005-0000-0000-0000DD2E0000}"/>
    <cellStyle name="Percent 4 25" xfId="7010" xr:uid="{00000000-0005-0000-0000-0000661B0000}"/>
    <cellStyle name="Percent 4 25 2" xfId="13652" xr:uid="{00000000-0005-0000-0000-000058350000}"/>
    <cellStyle name="Percent 4 25 3" xfId="13653" xr:uid="{00000000-0005-0000-0000-000059350000}"/>
    <cellStyle name="Percent 4 25 4" xfId="13654" xr:uid="{00000000-0005-0000-0000-00005A350000}"/>
    <cellStyle name="Percent 4 25 5" xfId="13655" xr:uid="{00000000-0005-0000-0000-00005B350000}"/>
    <cellStyle name="Percent 4 25 6" xfId="13656" xr:uid="{00000000-0005-0000-0000-00005C350000}"/>
    <cellStyle name="Percent 4 25 7" xfId="15950" xr:uid="{00000000-0005-0000-0000-0000523E0000}"/>
    <cellStyle name="Percent 4 25 8" xfId="15595" xr:uid="{00000000-0005-0000-0000-0000EF3C0000}"/>
    <cellStyle name="Percent 4 25 9" xfId="11994" xr:uid="{00000000-0005-0000-0000-0000DE2E0000}"/>
    <cellStyle name="Percent 4 26" xfId="7011" xr:uid="{00000000-0005-0000-0000-0000671B0000}"/>
    <cellStyle name="Percent 4 26 2" xfId="13657" xr:uid="{00000000-0005-0000-0000-00005D350000}"/>
    <cellStyle name="Percent 4 26 3" xfId="13658" xr:uid="{00000000-0005-0000-0000-00005E350000}"/>
    <cellStyle name="Percent 4 26 4" xfId="13659" xr:uid="{00000000-0005-0000-0000-00005F350000}"/>
    <cellStyle name="Percent 4 26 5" xfId="13660" xr:uid="{00000000-0005-0000-0000-000060350000}"/>
    <cellStyle name="Percent 4 26 6" xfId="13661" xr:uid="{00000000-0005-0000-0000-000061350000}"/>
    <cellStyle name="Percent 4 26 7" xfId="15951" xr:uid="{00000000-0005-0000-0000-0000533E0000}"/>
    <cellStyle name="Percent 4 26 8" xfId="17284" xr:uid="{00000000-0005-0000-0000-000088430000}"/>
    <cellStyle name="Percent 4 26 9" xfId="11995" xr:uid="{00000000-0005-0000-0000-0000DF2E0000}"/>
    <cellStyle name="Percent 4 27" xfId="7012" xr:uid="{00000000-0005-0000-0000-0000681B0000}"/>
    <cellStyle name="Percent 4 27 2" xfId="13662" xr:uid="{00000000-0005-0000-0000-000062350000}"/>
    <cellStyle name="Percent 4 27 3" xfId="13663" xr:uid="{00000000-0005-0000-0000-000063350000}"/>
    <cellStyle name="Percent 4 27 4" xfId="13664" xr:uid="{00000000-0005-0000-0000-000064350000}"/>
    <cellStyle name="Percent 4 27 5" xfId="13665" xr:uid="{00000000-0005-0000-0000-000065350000}"/>
    <cellStyle name="Percent 4 27 6" xfId="13666" xr:uid="{00000000-0005-0000-0000-000066350000}"/>
    <cellStyle name="Percent 4 27 7" xfId="15952" xr:uid="{00000000-0005-0000-0000-0000543E0000}"/>
    <cellStyle name="Percent 4 27 8" xfId="16704" xr:uid="{00000000-0005-0000-0000-000044410000}"/>
    <cellStyle name="Percent 4 27 9" xfId="11996" xr:uid="{00000000-0005-0000-0000-0000E02E0000}"/>
    <cellStyle name="Percent 4 28" xfId="7013" xr:uid="{00000000-0005-0000-0000-0000691B0000}"/>
    <cellStyle name="Percent 4 28 2" xfId="13667" xr:uid="{00000000-0005-0000-0000-000067350000}"/>
    <cellStyle name="Percent 4 28 3" xfId="13668" xr:uid="{00000000-0005-0000-0000-000068350000}"/>
    <cellStyle name="Percent 4 28 4" xfId="13669" xr:uid="{00000000-0005-0000-0000-000069350000}"/>
    <cellStyle name="Percent 4 28 5" xfId="13670" xr:uid="{00000000-0005-0000-0000-00006A350000}"/>
    <cellStyle name="Percent 4 28 6" xfId="13671" xr:uid="{00000000-0005-0000-0000-00006B350000}"/>
    <cellStyle name="Percent 4 28 7" xfId="15953" xr:uid="{00000000-0005-0000-0000-0000553E0000}"/>
    <cellStyle name="Percent 4 28 8" xfId="16786" xr:uid="{00000000-0005-0000-0000-000096410000}"/>
    <cellStyle name="Percent 4 28 9" xfId="11997" xr:uid="{00000000-0005-0000-0000-0000E12E0000}"/>
    <cellStyle name="Percent 4 29" xfId="7014" xr:uid="{00000000-0005-0000-0000-00006A1B0000}"/>
    <cellStyle name="Percent 4 29 10" xfId="19736" xr:uid="{00000000-0005-0000-0000-00001C4D0000}"/>
    <cellStyle name="Percent 4 29 2" xfId="7015" xr:uid="{00000000-0005-0000-0000-00006B1B0000}"/>
    <cellStyle name="Percent 4 29 2 2" xfId="15955" xr:uid="{00000000-0005-0000-0000-0000573E0000}"/>
    <cellStyle name="Percent 4 29 2 3" xfId="16669" xr:uid="{00000000-0005-0000-0000-000021410000}"/>
    <cellStyle name="Percent 4 29 2 4" xfId="11999" xr:uid="{00000000-0005-0000-0000-0000E32E0000}"/>
    <cellStyle name="Percent 4 29 3" xfId="7965" xr:uid="{00000000-0005-0000-0000-0000211F0000}"/>
    <cellStyle name="Percent 4 29 3 2" xfId="8384" xr:uid="{00000000-0005-0000-0000-0000C4200000}"/>
    <cellStyle name="Percent 4 29 3 2 2" xfId="10246" xr:uid="{00000000-0005-0000-0000-00000A280000}"/>
    <cellStyle name="Percent 4 29 3 2 2 2" xfId="18474" xr:uid="{00000000-0005-0000-0000-00002E480000}"/>
    <cellStyle name="Percent 4 29 3 2 2 2 2" xfId="24986" xr:uid="{00000000-0005-0000-0000-00009E610000}"/>
    <cellStyle name="Percent 4 29 3 2 2 3" xfId="22151" xr:uid="{00000000-0005-0000-0000-00008B560000}"/>
    <cellStyle name="Percent 4 29 3 2 3" xfId="17064" xr:uid="{00000000-0005-0000-0000-0000AC420000}"/>
    <cellStyle name="Percent 4 29 3 2 3 2" xfId="23721" xr:uid="{00000000-0005-0000-0000-0000AD5C0000}"/>
    <cellStyle name="Percent 4 29 3 2 4" xfId="20589" xr:uid="{00000000-0005-0000-0000-000071500000}"/>
    <cellStyle name="Percent 4 29 3 3" xfId="9520" xr:uid="{00000000-0005-0000-0000-000034250000}"/>
    <cellStyle name="Percent 4 29 3 3 2" xfId="10788" xr:uid="{00000000-0005-0000-0000-0000282A0000}"/>
    <cellStyle name="Percent 4 29 3 3 2 2" xfId="19016" xr:uid="{00000000-0005-0000-0000-00004C4A0000}"/>
    <cellStyle name="Percent 4 29 3 3 2 2 2" xfId="25528" xr:uid="{00000000-0005-0000-0000-0000BC630000}"/>
    <cellStyle name="Percent 4 29 3 3 2 3" xfId="22693" xr:uid="{00000000-0005-0000-0000-0000A9580000}"/>
    <cellStyle name="Percent 4 29 3 3 3" xfId="17749" xr:uid="{00000000-0005-0000-0000-000059450000}"/>
    <cellStyle name="Percent 4 29 3 3 3 2" xfId="24272" xr:uid="{00000000-0005-0000-0000-0000D45E0000}"/>
    <cellStyle name="Percent 4 29 3 3 4" xfId="21437" xr:uid="{00000000-0005-0000-0000-0000C1530000}"/>
    <cellStyle name="Percent 4 29 3 4" xfId="9828" xr:uid="{00000000-0005-0000-0000-000068260000}"/>
    <cellStyle name="Percent 4 29 3 4 2" xfId="18056" xr:uid="{00000000-0005-0000-0000-00008C460000}"/>
    <cellStyle name="Percent 4 29 3 4 2 2" xfId="24568" xr:uid="{00000000-0005-0000-0000-0000FC5F0000}"/>
    <cellStyle name="Percent 4 29 3 4 3" xfId="21733" xr:uid="{00000000-0005-0000-0000-0000E9540000}"/>
    <cellStyle name="Percent 4 29 3 5" xfId="16777" xr:uid="{00000000-0005-0000-0000-00008D410000}"/>
    <cellStyle name="Percent 4 29 3 5 2" xfId="23457" xr:uid="{00000000-0005-0000-0000-0000A55B0000}"/>
    <cellStyle name="Percent 4 29 3 6" xfId="15533" xr:uid="{00000000-0005-0000-0000-0000B13C0000}"/>
    <cellStyle name="Percent 4 29 3 7" xfId="12000" xr:uid="{00000000-0005-0000-0000-0000E42E0000}"/>
    <cellStyle name="Percent 4 29 3 8" xfId="20171" xr:uid="{00000000-0005-0000-0000-0000CF4E0000}"/>
    <cellStyle name="Percent 4 29 4" xfId="8175" xr:uid="{00000000-0005-0000-0000-0000F31F0000}"/>
    <cellStyle name="Percent 4 29 4 2" xfId="10037" xr:uid="{00000000-0005-0000-0000-000039270000}"/>
    <cellStyle name="Percent 4 29 4 2 2" xfId="18265" xr:uid="{00000000-0005-0000-0000-00005D470000}"/>
    <cellStyle name="Percent 4 29 4 2 2 2" xfId="24777" xr:uid="{00000000-0005-0000-0000-0000CD600000}"/>
    <cellStyle name="Percent 4 29 4 2 3" xfId="21942" xr:uid="{00000000-0005-0000-0000-0000BA550000}"/>
    <cellStyle name="Percent 4 29 4 3" xfId="16856" xr:uid="{00000000-0005-0000-0000-0000DC410000}"/>
    <cellStyle name="Percent 4 29 4 3 2" xfId="23513" xr:uid="{00000000-0005-0000-0000-0000DD5B0000}"/>
    <cellStyle name="Percent 4 29 4 4" xfId="13672" xr:uid="{00000000-0005-0000-0000-00006C350000}"/>
    <cellStyle name="Percent 4 29 4 5" xfId="20380" xr:uid="{00000000-0005-0000-0000-0000A04F0000}"/>
    <cellStyle name="Percent 4 29 5" xfId="9519" xr:uid="{00000000-0005-0000-0000-000033250000}"/>
    <cellStyle name="Percent 4 29 5 2" xfId="10787" xr:uid="{00000000-0005-0000-0000-0000272A0000}"/>
    <cellStyle name="Percent 4 29 5 2 2" xfId="19015" xr:uid="{00000000-0005-0000-0000-00004B4A0000}"/>
    <cellStyle name="Percent 4 29 5 2 2 2" xfId="25527" xr:uid="{00000000-0005-0000-0000-0000BB630000}"/>
    <cellStyle name="Percent 4 29 5 2 3" xfId="22692" xr:uid="{00000000-0005-0000-0000-0000A8580000}"/>
    <cellStyle name="Percent 4 29 5 3" xfId="17748" xr:uid="{00000000-0005-0000-0000-000058450000}"/>
    <cellStyle name="Percent 4 29 5 3 2" xfId="24271" xr:uid="{00000000-0005-0000-0000-0000D35E0000}"/>
    <cellStyle name="Percent 4 29 5 4" xfId="13673" xr:uid="{00000000-0005-0000-0000-00006D350000}"/>
    <cellStyle name="Percent 4 29 5 5" xfId="21436" xr:uid="{00000000-0005-0000-0000-0000C0530000}"/>
    <cellStyle name="Percent 4 29 6" xfId="9619" xr:uid="{00000000-0005-0000-0000-000097250000}"/>
    <cellStyle name="Percent 4 29 6 2" xfId="17847" xr:uid="{00000000-0005-0000-0000-0000BB450000}"/>
    <cellStyle name="Percent 4 29 6 2 2" xfId="24359" xr:uid="{00000000-0005-0000-0000-00002B5F0000}"/>
    <cellStyle name="Percent 4 29 6 3" xfId="13674" xr:uid="{00000000-0005-0000-0000-00006E350000}"/>
    <cellStyle name="Percent 4 29 6 4" xfId="21524" xr:uid="{00000000-0005-0000-0000-000018540000}"/>
    <cellStyle name="Percent 4 29 7" xfId="15954" xr:uid="{00000000-0005-0000-0000-0000563E0000}"/>
    <cellStyle name="Percent 4 29 7 2" xfId="23256" xr:uid="{00000000-0005-0000-0000-0000DC5A0000}"/>
    <cellStyle name="Percent 4 29 8" xfId="15478" xr:uid="{00000000-0005-0000-0000-00007A3C0000}"/>
    <cellStyle name="Percent 4 29 9" xfId="11998" xr:uid="{00000000-0005-0000-0000-0000E22E0000}"/>
    <cellStyle name="Percent 4 3" xfId="178" xr:uid="{00000000-0005-0000-0000-0000B6000000}"/>
    <cellStyle name="Percent 4 3 10" xfId="1748" xr:uid="{00000000-0005-0000-0000-0000D8060000}"/>
    <cellStyle name="Percent 4 3 10 2" xfId="13675" xr:uid="{00000000-0005-0000-0000-00006F350000}"/>
    <cellStyle name="Percent 4 3 11" xfId="13676" xr:uid="{00000000-0005-0000-0000-000070350000}"/>
    <cellStyle name="Percent 4 3 12" xfId="13677" xr:uid="{00000000-0005-0000-0000-000071350000}"/>
    <cellStyle name="Percent 4 3 13" xfId="13678" xr:uid="{00000000-0005-0000-0000-000072350000}"/>
    <cellStyle name="Percent 4 3 14" xfId="15127" xr:uid="{00000000-0005-0000-0000-00001B3B0000}"/>
    <cellStyle name="Percent 4 3 15" xfId="19051" xr:uid="{00000000-0005-0000-0000-00006F4A0000}"/>
    <cellStyle name="Percent 4 3 16" xfId="12001" xr:uid="{00000000-0005-0000-0000-0000E52E0000}"/>
    <cellStyle name="Percent 4 3 2" xfId="1749" xr:uid="{00000000-0005-0000-0000-0000D9060000}"/>
    <cellStyle name="Percent 4 3 2 2" xfId="2869" xr:uid="{00000000-0005-0000-0000-0000390B0000}"/>
    <cellStyle name="Percent 4 3 2 2 2" xfId="13679" xr:uid="{00000000-0005-0000-0000-000073350000}"/>
    <cellStyle name="Percent 4 3 2 3" xfId="13680" xr:uid="{00000000-0005-0000-0000-000074350000}"/>
    <cellStyle name="Percent 4 3 2 4" xfId="13681" xr:uid="{00000000-0005-0000-0000-000075350000}"/>
    <cellStyle name="Percent 4 3 2 5" xfId="13682" xr:uid="{00000000-0005-0000-0000-000076350000}"/>
    <cellStyle name="Percent 4 3 2 6" xfId="15128" xr:uid="{00000000-0005-0000-0000-00001C3B0000}"/>
    <cellStyle name="Percent 4 3 2 7" xfId="19247" xr:uid="{00000000-0005-0000-0000-0000334B0000}"/>
    <cellStyle name="Percent 4 3 2 8" xfId="12002" xr:uid="{00000000-0005-0000-0000-0000E62E0000}"/>
    <cellStyle name="Percent 4 3 3" xfId="1750" xr:uid="{00000000-0005-0000-0000-0000DA060000}"/>
    <cellStyle name="Percent 4 3 3 2" xfId="2870" xr:uid="{00000000-0005-0000-0000-00003A0B0000}"/>
    <cellStyle name="Percent 4 3 3 2 2" xfId="13683" xr:uid="{00000000-0005-0000-0000-000077350000}"/>
    <cellStyle name="Percent 4 3 3 3" xfId="13684" xr:uid="{00000000-0005-0000-0000-000078350000}"/>
    <cellStyle name="Percent 4 3 3 4" xfId="13685" xr:uid="{00000000-0005-0000-0000-000079350000}"/>
    <cellStyle name="Percent 4 3 3 5" xfId="13686" xr:uid="{00000000-0005-0000-0000-00007A350000}"/>
    <cellStyle name="Percent 4 3 3 6" xfId="15129" xr:uid="{00000000-0005-0000-0000-00001D3B0000}"/>
    <cellStyle name="Percent 4 3 3 7" xfId="19099" xr:uid="{00000000-0005-0000-0000-00009F4A0000}"/>
    <cellStyle name="Percent 4 3 3 8" xfId="12003" xr:uid="{00000000-0005-0000-0000-0000E72E0000}"/>
    <cellStyle name="Percent 4 3 4" xfId="1751" xr:uid="{00000000-0005-0000-0000-0000DB060000}"/>
    <cellStyle name="Percent 4 3 4 2" xfId="2871" xr:uid="{00000000-0005-0000-0000-00003B0B0000}"/>
    <cellStyle name="Percent 4 3 4 2 2" xfId="13687" xr:uid="{00000000-0005-0000-0000-00007B350000}"/>
    <cellStyle name="Percent 4 3 4 3" xfId="13688" xr:uid="{00000000-0005-0000-0000-00007C350000}"/>
    <cellStyle name="Percent 4 3 4 4" xfId="13689" xr:uid="{00000000-0005-0000-0000-00007D350000}"/>
    <cellStyle name="Percent 4 3 4 5" xfId="13690" xr:uid="{00000000-0005-0000-0000-00007E350000}"/>
    <cellStyle name="Percent 4 3 4 6" xfId="15130" xr:uid="{00000000-0005-0000-0000-00001E3B0000}"/>
    <cellStyle name="Percent 4 3 4 7" xfId="19134" xr:uid="{00000000-0005-0000-0000-0000C24A0000}"/>
    <cellStyle name="Percent 4 3 4 8" xfId="12004" xr:uid="{00000000-0005-0000-0000-0000E82E0000}"/>
    <cellStyle name="Percent 4 3 5" xfId="1752" xr:uid="{00000000-0005-0000-0000-0000DC060000}"/>
    <cellStyle name="Percent 4 3 5 2" xfId="2872" xr:uid="{00000000-0005-0000-0000-00003C0B0000}"/>
    <cellStyle name="Percent 4 3 5 2 2" xfId="13691" xr:uid="{00000000-0005-0000-0000-00007F350000}"/>
    <cellStyle name="Percent 4 3 5 3" xfId="13692" xr:uid="{00000000-0005-0000-0000-000080350000}"/>
    <cellStyle name="Percent 4 3 5 4" xfId="13693" xr:uid="{00000000-0005-0000-0000-000081350000}"/>
    <cellStyle name="Percent 4 3 5 5" xfId="13694" xr:uid="{00000000-0005-0000-0000-000082350000}"/>
    <cellStyle name="Percent 4 3 5 6" xfId="15131" xr:uid="{00000000-0005-0000-0000-00001F3B0000}"/>
    <cellStyle name="Percent 4 3 5 7" xfId="19275" xr:uid="{00000000-0005-0000-0000-00004F4B0000}"/>
    <cellStyle name="Percent 4 3 5 8" xfId="12005" xr:uid="{00000000-0005-0000-0000-0000E92E0000}"/>
    <cellStyle name="Percent 4 3 6" xfId="1753" xr:uid="{00000000-0005-0000-0000-0000DD060000}"/>
    <cellStyle name="Percent 4 3 6 2" xfId="2873" xr:uid="{00000000-0005-0000-0000-00003D0B0000}"/>
    <cellStyle name="Percent 4 3 6 2 2" xfId="13695" xr:uid="{00000000-0005-0000-0000-000083350000}"/>
    <cellStyle name="Percent 4 3 6 3" xfId="13696" xr:uid="{00000000-0005-0000-0000-000084350000}"/>
    <cellStyle name="Percent 4 3 6 4" xfId="13697" xr:uid="{00000000-0005-0000-0000-000085350000}"/>
    <cellStyle name="Percent 4 3 6 5" xfId="13698" xr:uid="{00000000-0005-0000-0000-000086350000}"/>
    <cellStyle name="Percent 4 3 6 6" xfId="15132" xr:uid="{00000000-0005-0000-0000-0000203B0000}"/>
    <cellStyle name="Percent 4 3 6 7" xfId="16617" xr:uid="{00000000-0005-0000-0000-0000ED400000}"/>
    <cellStyle name="Percent 4 3 6 8" xfId="12006" xr:uid="{00000000-0005-0000-0000-0000EA2E0000}"/>
    <cellStyle name="Percent 4 3 7" xfId="1754" xr:uid="{00000000-0005-0000-0000-0000DE060000}"/>
    <cellStyle name="Percent 4 3 7 2" xfId="2874" xr:uid="{00000000-0005-0000-0000-00003E0B0000}"/>
    <cellStyle name="Percent 4 3 7 2 2" xfId="13699" xr:uid="{00000000-0005-0000-0000-000087350000}"/>
    <cellStyle name="Percent 4 3 7 3" xfId="13700" xr:uid="{00000000-0005-0000-0000-000088350000}"/>
    <cellStyle name="Percent 4 3 7 4" xfId="13701" xr:uid="{00000000-0005-0000-0000-000089350000}"/>
    <cellStyle name="Percent 4 3 7 5" xfId="13702" xr:uid="{00000000-0005-0000-0000-00008A350000}"/>
    <cellStyle name="Percent 4 3 7 6" xfId="15133" xr:uid="{00000000-0005-0000-0000-0000213B0000}"/>
    <cellStyle name="Percent 4 3 7 7" xfId="19082" xr:uid="{00000000-0005-0000-0000-00008E4A0000}"/>
    <cellStyle name="Percent 4 3 7 8" xfId="12007" xr:uid="{00000000-0005-0000-0000-0000EB2E0000}"/>
    <cellStyle name="Percent 4 3 8" xfId="1755" xr:uid="{00000000-0005-0000-0000-0000DF060000}"/>
    <cellStyle name="Percent 4 3 8 2" xfId="2875" xr:uid="{00000000-0005-0000-0000-00003F0B0000}"/>
    <cellStyle name="Percent 4 3 8 2 2" xfId="13703" xr:uid="{00000000-0005-0000-0000-00008B350000}"/>
    <cellStyle name="Percent 4 3 8 3" xfId="13704" xr:uid="{00000000-0005-0000-0000-00008C350000}"/>
    <cellStyle name="Percent 4 3 8 4" xfId="13705" xr:uid="{00000000-0005-0000-0000-00008D350000}"/>
    <cellStyle name="Percent 4 3 8 5" xfId="13706" xr:uid="{00000000-0005-0000-0000-00008E350000}"/>
    <cellStyle name="Percent 4 3 8 6" xfId="15134" xr:uid="{00000000-0005-0000-0000-0000223B0000}"/>
    <cellStyle name="Percent 4 3 8 7" xfId="19400" xr:uid="{00000000-0005-0000-0000-0000CC4B0000}"/>
    <cellStyle name="Percent 4 3 8 8" xfId="12008" xr:uid="{00000000-0005-0000-0000-0000EC2E0000}"/>
    <cellStyle name="Percent 4 3 9" xfId="2868" xr:uid="{00000000-0005-0000-0000-0000380B0000}"/>
    <cellStyle name="Percent 4 3 9 2" xfId="13707" xr:uid="{00000000-0005-0000-0000-00008F350000}"/>
    <cellStyle name="Percent 4 30" xfId="6998" xr:uid="{00000000-0005-0000-0000-00005A1B0000}"/>
    <cellStyle name="Percent 4 30 2" xfId="15936" xr:uid="{00000000-0005-0000-0000-0000443E0000}"/>
    <cellStyle name="Percent 4 30 3" xfId="17287" xr:uid="{00000000-0005-0000-0000-00008B430000}"/>
    <cellStyle name="Percent 4 30 4" xfId="12009" xr:uid="{00000000-0005-0000-0000-0000ED2E0000}"/>
    <cellStyle name="Percent 4 31" xfId="8897" xr:uid="{00000000-0005-0000-0000-0000C5220000}"/>
    <cellStyle name="Percent 4 31 2" xfId="17268" xr:uid="{00000000-0005-0000-0000-000078430000}"/>
    <cellStyle name="Percent 4 31 3" xfId="16628" xr:uid="{00000000-0005-0000-0000-0000F8400000}"/>
    <cellStyle name="Percent 4 31 4" xfId="12010" xr:uid="{00000000-0005-0000-0000-0000EE2E0000}"/>
    <cellStyle name="Percent 4 32" xfId="13708" xr:uid="{00000000-0005-0000-0000-000090350000}"/>
    <cellStyle name="Percent 4 33" xfId="13709" xr:uid="{00000000-0005-0000-0000-000091350000}"/>
    <cellStyle name="Percent 4 34" xfId="13710" xr:uid="{00000000-0005-0000-0000-000092350000}"/>
    <cellStyle name="Percent 4 35" xfId="15105" xr:uid="{00000000-0005-0000-0000-0000053B0000}"/>
    <cellStyle name="Percent 4 36" xfId="15334" xr:uid="{00000000-0005-0000-0000-0000EA3B0000}"/>
    <cellStyle name="Percent 4 37" xfId="16624" xr:uid="{00000000-0005-0000-0000-0000F4400000}"/>
    <cellStyle name="Percent 4 38" xfId="11963" xr:uid="{00000000-0005-0000-0000-0000BF2E0000}"/>
    <cellStyle name="Percent 4 4" xfId="179" xr:uid="{00000000-0005-0000-0000-0000B7000000}"/>
    <cellStyle name="Percent 4 4 10" xfId="1756" xr:uid="{00000000-0005-0000-0000-0000E0060000}"/>
    <cellStyle name="Percent 4 4 10 2" xfId="13711" xr:uid="{00000000-0005-0000-0000-000093350000}"/>
    <cellStyle name="Percent 4 4 11" xfId="13712" xr:uid="{00000000-0005-0000-0000-000094350000}"/>
    <cellStyle name="Percent 4 4 12" xfId="13713" xr:uid="{00000000-0005-0000-0000-000095350000}"/>
    <cellStyle name="Percent 4 4 13" xfId="13714" xr:uid="{00000000-0005-0000-0000-000096350000}"/>
    <cellStyle name="Percent 4 4 14" xfId="15135" xr:uid="{00000000-0005-0000-0000-0000233B0000}"/>
    <cellStyle name="Percent 4 4 15" xfId="15336" xr:uid="{00000000-0005-0000-0000-0000EC3B0000}"/>
    <cellStyle name="Percent 4 4 16" xfId="19408" xr:uid="{00000000-0005-0000-0000-0000D44B0000}"/>
    <cellStyle name="Percent 4 4 17" xfId="12011" xr:uid="{00000000-0005-0000-0000-0000EF2E0000}"/>
    <cellStyle name="Percent 4 4 2" xfId="1757" xr:uid="{00000000-0005-0000-0000-0000E1060000}"/>
    <cellStyle name="Percent 4 4 2 2" xfId="2877" xr:uid="{00000000-0005-0000-0000-0000410B0000}"/>
    <cellStyle name="Percent 4 4 2 2 2" xfId="13715" xr:uid="{00000000-0005-0000-0000-000097350000}"/>
    <cellStyle name="Percent 4 4 2 3" xfId="13716" xr:uid="{00000000-0005-0000-0000-000098350000}"/>
    <cellStyle name="Percent 4 4 2 4" xfId="13717" xr:uid="{00000000-0005-0000-0000-000099350000}"/>
    <cellStyle name="Percent 4 4 2 5" xfId="13718" xr:uid="{00000000-0005-0000-0000-00009A350000}"/>
    <cellStyle name="Percent 4 4 2 6" xfId="15136" xr:uid="{00000000-0005-0000-0000-0000243B0000}"/>
    <cellStyle name="Percent 4 4 2 7" xfId="15439" xr:uid="{00000000-0005-0000-0000-0000533C0000}"/>
    <cellStyle name="Percent 4 4 2 8" xfId="12012" xr:uid="{00000000-0005-0000-0000-0000F02E0000}"/>
    <cellStyle name="Percent 4 4 3" xfId="1758" xr:uid="{00000000-0005-0000-0000-0000E2060000}"/>
    <cellStyle name="Percent 4 4 3 2" xfId="2878" xr:uid="{00000000-0005-0000-0000-0000420B0000}"/>
    <cellStyle name="Percent 4 4 3 2 2" xfId="13719" xr:uid="{00000000-0005-0000-0000-00009B350000}"/>
    <cellStyle name="Percent 4 4 3 3" xfId="13720" xr:uid="{00000000-0005-0000-0000-00009C350000}"/>
    <cellStyle name="Percent 4 4 3 4" xfId="13721" xr:uid="{00000000-0005-0000-0000-00009D350000}"/>
    <cellStyle name="Percent 4 4 3 5" xfId="13722" xr:uid="{00000000-0005-0000-0000-00009E350000}"/>
    <cellStyle name="Percent 4 4 3 6" xfId="15137" xr:uid="{00000000-0005-0000-0000-0000253B0000}"/>
    <cellStyle name="Percent 4 4 3 7" xfId="19558" xr:uid="{00000000-0005-0000-0000-00006A4C0000}"/>
    <cellStyle name="Percent 4 4 3 8" xfId="12013" xr:uid="{00000000-0005-0000-0000-0000F12E0000}"/>
    <cellStyle name="Percent 4 4 4" xfId="1759" xr:uid="{00000000-0005-0000-0000-0000E3060000}"/>
    <cellStyle name="Percent 4 4 4 2" xfId="2879" xr:uid="{00000000-0005-0000-0000-0000430B0000}"/>
    <cellStyle name="Percent 4 4 4 2 2" xfId="13723" xr:uid="{00000000-0005-0000-0000-00009F350000}"/>
    <cellStyle name="Percent 4 4 4 3" xfId="13724" xr:uid="{00000000-0005-0000-0000-0000A0350000}"/>
    <cellStyle name="Percent 4 4 4 4" xfId="13725" xr:uid="{00000000-0005-0000-0000-0000A1350000}"/>
    <cellStyle name="Percent 4 4 4 5" xfId="13726" xr:uid="{00000000-0005-0000-0000-0000A2350000}"/>
    <cellStyle name="Percent 4 4 4 6" xfId="15138" xr:uid="{00000000-0005-0000-0000-0000263B0000}"/>
    <cellStyle name="Percent 4 4 4 7" xfId="19030" xr:uid="{00000000-0005-0000-0000-00005A4A0000}"/>
    <cellStyle name="Percent 4 4 4 8" xfId="12014" xr:uid="{00000000-0005-0000-0000-0000F22E0000}"/>
    <cellStyle name="Percent 4 4 5" xfId="1760" xr:uid="{00000000-0005-0000-0000-0000E4060000}"/>
    <cellStyle name="Percent 4 4 5 2" xfId="2880" xr:uid="{00000000-0005-0000-0000-0000440B0000}"/>
    <cellStyle name="Percent 4 4 5 2 2" xfId="13727" xr:uid="{00000000-0005-0000-0000-0000A3350000}"/>
    <cellStyle name="Percent 4 4 5 3" xfId="13728" xr:uid="{00000000-0005-0000-0000-0000A4350000}"/>
    <cellStyle name="Percent 4 4 5 4" xfId="13729" xr:uid="{00000000-0005-0000-0000-0000A5350000}"/>
    <cellStyle name="Percent 4 4 5 5" xfId="13730" xr:uid="{00000000-0005-0000-0000-0000A6350000}"/>
    <cellStyle name="Percent 4 4 5 6" xfId="15139" xr:uid="{00000000-0005-0000-0000-0000273B0000}"/>
    <cellStyle name="Percent 4 4 5 7" xfId="17278" xr:uid="{00000000-0005-0000-0000-000082430000}"/>
    <cellStyle name="Percent 4 4 5 8" xfId="12015" xr:uid="{00000000-0005-0000-0000-0000F32E0000}"/>
    <cellStyle name="Percent 4 4 6" xfId="1761" xr:uid="{00000000-0005-0000-0000-0000E5060000}"/>
    <cellStyle name="Percent 4 4 6 2" xfId="2881" xr:uid="{00000000-0005-0000-0000-0000450B0000}"/>
    <cellStyle name="Percent 4 4 6 2 2" xfId="13731" xr:uid="{00000000-0005-0000-0000-0000A7350000}"/>
    <cellStyle name="Percent 4 4 6 3" xfId="13732" xr:uid="{00000000-0005-0000-0000-0000A8350000}"/>
    <cellStyle name="Percent 4 4 6 4" xfId="13733" xr:uid="{00000000-0005-0000-0000-0000A9350000}"/>
    <cellStyle name="Percent 4 4 6 5" xfId="13734" xr:uid="{00000000-0005-0000-0000-0000AA350000}"/>
    <cellStyle name="Percent 4 4 6 6" xfId="15140" xr:uid="{00000000-0005-0000-0000-0000283B0000}"/>
    <cellStyle name="Percent 4 4 6 7" xfId="16689" xr:uid="{00000000-0005-0000-0000-000035410000}"/>
    <cellStyle name="Percent 4 4 6 8" xfId="12016" xr:uid="{00000000-0005-0000-0000-0000F42E0000}"/>
    <cellStyle name="Percent 4 4 7" xfId="1762" xr:uid="{00000000-0005-0000-0000-0000E6060000}"/>
    <cellStyle name="Percent 4 4 7 2" xfId="2882" xr:uid="{00000000-0005-0000-0000-0000460B0000}"/>
    <cellStyle name="Percent 4 4 7 2 2" xfId="13735" xr:uid="{00000000-0005-0000-0000-0000AB350000}"/>
    <cellStyle name="Percent 4 4 7 3" xfId="13736" xr:uid="{00000000-0005-0000-0000-0000AC350000}"/>
    <cellStyle name="Percent 4 4 7 4" xfId="13737" xr:uid="{00000000-0005-0000-0000-0000AD350000}"/>
    <cellStyle name="Percent 4 4 7 5" xfId="13738" xr:uid="{00000000-0005-0000-0000-0000AE350000}"/>
    <cellStyle name="Percent 4 4 7 6" xfId="15141" xr:uid="{00000000-0005-0000-0000-0000293B0000}"/>
    <cellStyle name="Percent 4 4 7 7" xfId="16789" xr:uid="{00000000-0005-0000-0000-000099410000}"/>
    <cellStyle name="Percent 4 4 7 8" xfId="12017" xr:uid="{00000000-0005-0000-0000-0000F52E0000}"/>
    <cellStyle name="Percent 4 4 8" xfId="1763" xr:uid="{00000000-0005-0000-0000-0000E7060000}"/>
    <cellStyle name="Percent 4 4 8 2" xfId="2883" xr:uid="{00000000-0005-0000-0000-0000470B0000}"/>
    <cellStyle name="Percent 4 4 8 2 2" xfId="13739" xr:uid="{00000000-0005-0000-0000-0000AF350000}"/>
    <cellStyle name="Percent 4 4 8 3" xfId="13740" xr:uid="{00000000-0005-0000-0000-0000B0350000}"/>
    <cellStyle name="Percent 4 4 8 4" xfId="13741" xr:uid="{00000000-0005-0000-0000-0000B1350000}"/>
    <cellStyle name="Percent 4 4 8 5" xfId="13742" xr:uid="{00000000-0005-0000-0000-0000B2350000}"/>
    <cellStyle name="Percent 4 4 8 6" xfId="15142" xr:uid="{00000000-0005-0000-0000-00002A3B0000}"/>
    <cellStyle name="Percent 4 4 8 7" xfId="16747" xr:uid="{00000000-0005-0000-0000-00006F410000}"/>
    <cellStyle name="Percent 4 4 8 8" xfId="12018" xr:uid="{00000000-0005-0000-0000-0000F62E0000}"/>
    <cellStyle name="Percent 4 4 9" xfId="2876" xr:uid="{00000000-0005-0000-0000-0000400B0000}"/>
    <cellStyle name="Percent 4 4 9 2" xfId="17269" xr:uid="{00000000-0005-0000-0000-000079430000}"/>
    <cellStyle name="Percent 4 4 9 3" xfId="15473" xr:uid="{00000000-0005-0000-0000-0000753C0000}"/>
    <cellStyle name="Percent 4 4 9 4" xfId="12019" xr:uid="{00000000-0005-0000-0000-0000F72E0000}"/>
    <cellStyle name="Percent 4 4 9 5" xfId="8898" xr:uid="{00000000-0005-0000-0000-0000C6220000}"/>
    <cellStyle name="Percent 4 5" xfId="1764" xr:uid="{00000000-0005-0000-0000-0000E8060000}"/>
    <cellStyle name="Percent 4 5 10" xfId="13743" xr:uid="{00000000-0005-0000-0000-0000B3350000}"/>
    <cellStyle name="Percent 4 5 11" xfId="13744" xr:uid="{00000000-0005-0000-0000-0000B4350000}"/>
    <cellStyle name="Percent 4 5 12" xfId="13745" xr:uid="{00000000-0005-0000-0000-0000B5350000}"/>
    <cellStyle name="Percent 4 5 13" xfId="13746" xr:uid="{00000000-0005-0000-0000-0000B6350000}"/>
    <cellStyle name="Percent 4 5 14" xfId="15143" xr:uid="{00000000-0005-0000-0000-00002B3B0000}"/>
    <cellStyle name="Percent 4 5 15" xfId="15956" xr:uid="{00000000-0005-0000-0000-0000583E0000}"/>
    <cellStyle name="Percent 4 5 16" xfId="19157" xr:uid="{00000000-0005-0000-0000-0000D94A0000}"/>
    <cellStyle name="Percent 4 5 17" xfId="12020" xr:uid="{00000000-0005-0000-0000-0000F82E0000}"/>
    <cellStyle name="Percent 4 5 18" xfId="7016" xr:uid="{00000000-0005-0000-0000-00006C1B0000}"/>
    <cellStyle name="Percent 4 5 2" xfId="1765" xr:uid="{00000000-0005-0000-0000-0000E9060000}"/>
    <cellStyle name="Percent 4 5 2 2" xfId="2885" xr:uid="{00000000-0005-0000-0000-0000490B0000}"/>
    <cellStyle name="Percent 4 5 2 2 2" xfId="13747" xr:uid="{00000000-0005-0000-0000-0000B7350000}"/>
    <cellStyle name="Percent 4 5 2 3" xfId="13748" xr:uid="{00000000-0005-0000-0000-0000B8350000}"/>
    <cellStyle name="Percent 4 5 2 4" xfId="13749" xr:uid="{00000000-0005-0000-0000-0000B9350000}"/>
    <cellStyle name="Percent 4 5 2 5" xfId="13750" xr:uid="{00000000-0005-0000-0000-0000BA350000}"/>
    <cellStyle name="Percent 4 5 2 6" xfId="15144" xr:uid="{00000000-0005-0000-0000-00002C3B0000}"/>
    <cellStyle name="Percent 4 5 2 7" xfId="15761" xr:uid="{00000000-0005-0000-0000-0000953D0000}"/>
    <cellStyle name="Percent 4 5 2 8" xfId="12021" xr:uid="{00000000-0005-0000-0000-0000F92E0000}"/>
    <cellStyle name="Percent 4 5 3" xfId="1766" xr:uid="{00000000-0005-0000-0000-0000EA060000}"/>
    <cellStyle name="Percent 4 5 3 2" xfId="2886" xr:uid="{00000000-0005-0000-0000-00004A0B0000}"/>
    <cellStyle name="Percent 4 5 3 2 2" xfId="13751" xr:uid="{00000000-0005-0000-0000-0000BB350000}"/>
    <cellStyle name="Percent 4 5 3 3" xfId="13752" xr:uid="{00000000-0005-0000-0000-0000BC350000}"/>
    <cellStyle name="Percent 4 5 3 4" xfId="13753" xr:uid="{00000000-0005-0000-0000-0000BD350000}"/>
    <cellStyle name="Percent 4 5 3 5" xfId="13754" xr:uid="{00000000-0005-0000-0000-0000BE350000}"/>
    <cellStyle name="Percent 4 5 3 6" xfId="15145" xr:uid="{00000000-0005-0000-0000-00002D3B0000}"/>
    <cellStyle name="Percent 4 5 3 7" xfId="15467" xr:uid="{00000000-0005-0000-0000-00006F3C0000}"/>
    <cellStyle name="Percent 4 5 3 8" xfId="12022" xr:uid="{00000000-0005-0000-0000-0000FA2E0000}"/>
    <cellStyle name="Percent 4 5 4" xfId="1767" xr:uid="{00000000-0005-0000-0000-0000EB060000}"/>
    <cellStyle name="Percent 4 5 4 2" xfId="2887" xr:uid="{00000000-0005-0000-0000-00004B0B0000}"/>
    <cellStyle name="Percent 4 5 4 2 2" xfId="13755" xr:uid="{00000000-0005-0000-0000-0000BF350000}"/>
    <cellStyle name="Percent 4 5 4 3" xfId="13756" xr:uid="{00000000-0005-0000-0000-0000C0350000}"/>
    <cellStyle name="Percent 4 5 4 4" xfId="13757" xr:uid="{00000000-0005-0000-0000-0000C1350000}"/>
    <cellStyle name="Percent 4 5 4 5" xfId="13758" xr:uid="{00000000-0005-0000-0000-0000C2350000}"/>
    <cellStyle name="Percent 4 5 4 6" xfId="15146" xr:uid="{00000000-0005-0000-0000-00002E3B0000}"/>
    <cellStyle name="Percent 4 5 4 7" xfId="19090" xr:uid="{00000000-0005-0000-0000-0000964A0000}"/>
    <cellStyle name="Percent 4 5 4 8" xfId="12023" xr:uid="{00000000-0005-0000-0000-0000FB2E0000}"/>
    <cellStyle name="Percent 4 5 5" xfId="1768" xr:uid="{00000000-0005-0000-0000-0000EC060000}"/>
    <cellStyle name="Percent 4 5 5 2" xfId="2888" xr:uid="{00000000-0005-0000-0000-00004C0B0000}"/>
    <cellStyle name="Percent 4 5 5 2 2" xfId="13759" xr:uid="{00000000-0005-0000-0000-0000C3350000}"/>
    <cellStyle name="Percent 4 5 5 3" xfId="13760" xr:uid="{00000000-0005-0000-0000-0000C4350000}"/>
    <cellStyle name="Percent 4 5 5 4" xfId="13761" xr:uid="{00000000-0005-0000-0000-0000C5350000}"/>
    <cellStyle name="Percent 4 5 5 5" xfId="13762" xr:uid="{00000000-0005-0000-0000-0000C6350000}"/>
    <cellStyle name="Percent 4 5 5 6" xfId="15147" xr:uid="{00000000-0005-0000-0000-00002F3B0000}"/>
    <cellStyle name="Percent 4 5 5 7" xfId="16701" xr:uid="{00000000-0005-0000-0000-000041410000}"/>
    <cellStyle name="Percent 4 5 5 8" xfId="12024" xr:uid="{00000000-0005-0000-0000-0000FC2E0000}"/>
    <cellStyle name="Percent 4 5 6" xfId="1769" xr:uid="{00000000-0005-0000-0000-0000ED060000}"/>
    <cellStyle name="Percent 4 5 6 2" xfId="2889" xr:uid="{00000000-0005-0000-0000-00004D0B0000}"/>
    <cellStyle name="Percent 4 5 6 2 2" xfId="13763" xr:uid="{00000000-0005-0000-0000-0000C7350000}"/>
    <cellStyle name="Percent 4 5 6 3" xfId="13764" xr:uid="{00000000-0005-0000-0000-0000C8350000}"/>
    <cellStyle name="Percent 4 5 6 4" xfId="13765" xr:uid="{00000000-0005-0000-0000-0000C9350000}"/>
    <cellStyle name="Percent 4 5 6 5" xfId="13766" xr:uid="{00000000-0005-0000-0000-0000CA350000}"/>
    <cellStyle name="Percent 4 5 6 6" xfId="15148" xr:uid="{00000000-0005-0000-0000-0000303B0000}"/>
    <cellStyle name="Percent 4 5 6 7" xfId="15938" xr:uid="{00000000-0005-0000-0000-0000463E0000}"/>
    <cellStyle name="Percent 4 5 6 8" xfId="12025" xr:uid="{00000000-0005-0000-0000-0000FD2E0000}"/>
    <cellStyle name="Percent 4 5 7" xfId="1770" xr:uid="{00000000-0005-0000-0000-0000EE060000}"/>
    <cellStyle name="Percent 4 5 7 2" xfId="2890" xr:uid="{00000000-0005-0000-0000-00004E0B0000}"/>
    <cellStyle name="Percent 4 5 7 2 2" xfId="13767" xr:uid="{00000000-0005-0000-0000-0000CB350000}"/>
    <cellStyle name="Percent 4 5 7 3" xfId="13768" xr:uid="{00000000-0005-0000-0000-0000CC350000}"/>
    <cellStyle name="Percent 4 5 7 4" xfId="13769" xr:uid="{00000000-0005-0000-0000-0000CD350000}"/>
    <cellStyle name="Percent 4 5 7 5" xfId="13770" xr:uid="{00000000-0005-0000-0000-0000CE350000}"/>
    <cellStyle name="Percent 4 5 7 6" xfId="15149" xr:uid="{00000000-0005-0000-0000-0000313B0000}"/>
    <cellStyle name="Percent 4 5 7 7" xfId="19301" xr:uid="{00000000-0005-0000-0000-0000694B0000}"/>
    <cellStyle name="Percent 4 5 7 8" xfId="12026" xr:uid="{00000000-0005-0000-0000-0000FE2E0000}"/>
    <cellStyle name="Percent 4 5 8" xfId="1771" xr:uid="{00000000-0005-0000-0000-0000EF060000}"/>
    <cellStyle name="Percent 4 5 8 2" xfId="2891" xr:uid="{00000000-0005-0000-0000-00004F0B0000}"/>
    <cellStyle name="Percent 4 5 8 2 2" xfId="13771" xr:uid="{00000000-0005-0000-0000-0000CF350000}"/>
    <cellStyle name="Percent 4 5 8 3" xfId="13772" xr:uid="{00000000-0005-0000-0000-0000D0350000}"/>
    <cellStyle name="Percent 4 5 8 4" xfId="13773" xr:uid="{00000000-0005-0000-0000-0000D1350000}"/>
    <cellStyle name="Percent 4 5 8 5" xfId="13774" xr:uid="{00000000-0005-0000-0000-0000D2350000}"/>
    <cellStyle name="Percent 4 5 8 6" xfId="15150" xr:uid="{00000000-0005-0000-0000-0000323B0000}"/>
    <cellStyle name="Percent 4 5 8 7" xfId="19044" xr:uid="{00000000-0005-0000-0000-0000684A0000}"/>
    <cellStyle name="Percent 4 5 8 8" xfId="12027" xr:uid="{00000000-0005-0000-0000-0000FF2E0000}"/>
    <cellStyle name="Percent 4 5 9" xfId="2884" xr:uid="{00000000-0005-0000-0000-0000480B0000}"/>
    <cellStyle name="Percent 4 5 9 2" xfId="17750" xr:uid="{00000000-0005-0000-0000-00005A450000}"/>
    <cellStyle name="Percent 4 5 9 3" xfId="16719" xr:uid="{00000000-0005-0000-0000-000053410000}"/>
    <cellStyle name="Percent 4 5 9 4" xfId="12028" xr:uid="{00000000-0005-0000-0000-0000002F0000}"/>
    <cellStyle name="Percent 4 5 9 5" xfId="9521" xr:uid="{00000000-0005-0000-0000-000035250000}"/>
    <cellStyle name="Percent 4 6" xfId="1772" xr:uid="{00000000-0005-0000-0000-0000F0060000}"/>
    <cellStyle name="Percent 4 6 10" xfId="13775" xr:uid="{00000000-0005-0000-0000-0000D3350000}"/>
    <cellStyle name="Percent 4 6 11" xfId="13776" xr:uid="{00000000-0005-0000-0000-0000D4350000}"/>
    <cellStyle name="Percent 4 6 12" xfId="13777" xr:uid="{00000000-0005-0000-0000-0000D5350000}"/>
    <cellStyle name="Percent 4 6 13" xfId="13778" xr:uid="{00000000-0005-0000-0000-0000D6350000}"/>
    <cellStyle name="Percent 4 6 14" xfId="15151" xr:uid="{00000000-0005-0000-0000-0000333B0000}"/>
    <cellStyle name="Percent 4 6 15" xfId="16389" xr:uid="{00000000-0005-0000-0000-000009400000}"/>
    <cellStyle name="Percent 4 6 16" xfId="12029" xr:uid="{00000000-0005-0000-0000-0000012F0000}"/>
    <cellStyle name="Percent 4 6 2" xfId="1773" xr:uid="{00000000-0005-0000-0000-0000F1060000}"/>
    <cellStyle name="Percent 4 6 2 2" xfId="2893" xr:uid="{00000000-0005-0000-0000-0000510B0000}"/>
    <cellStyle name="Percent 4 6 2 2 2" xfId="13779" xr:uid="{00000000-0005-0000-0000-0000D7350000}"/>
    <cellStyle name="Percent 4 6 2 3" xfId="13780" xr:uid="{00000000-0005-0000-0000-0000D8350000}"/>
    <cellStyle name="Percent 4 6 2 4" xfId="13781" xr:uid="{00000000-0005-0000-0000-0000D9350000}"/>
    <cellStyle name="Percent 4 6 2 5" xfId="13782" xr:uid="{00000000-0005-0000-0000-0000DA350000}"/>
    <cellStyle name="Percent 4 6 2 6" xfId="15152" xr:uid="{00000000-0005-0000-0000-0000343B0000}"/>
    <cellStyle name="Percent 4 6 2 7" xfId="19152" xr:uid="{00000000-0005-0000-0000-0000D44A0000}"/>
    <cellStyle name="Percent 4 6 2 8" xfId="12030" xr:uid="{00000000-0005-0000-0000-0000022F0000}"/>
    <cellStyle name="Percent 4 6 3" xfId="1774" xr:uid="{00000000-0005-0000-0000-0000F2060000}"/>
    <cellStyle name="Percent 4 6 3 2" xfId="2894" xr:uid="{00000000-0005-0000-0000-0000520B0000}"/>
    <cellStyle name="Percent 4 6 3 2 2" xfId="13783" xr:uid="{00000000-0005-0000-0000-0000DB350000}"/>
    <cellStyle name="Percent 4 6 3 3" xfId="13784" xr:uid="{00000000-0005-0000-0000-0000DC350000}"/>
    <cellStyle name="Percent 4 6 3 4" xfId="13785" xr:uid="{00000000-0005-0000-0000-0000DD350000}"/>
    <cellStyle name="Percent 4 6 3 5" xfId="13786" xr:uid="{00000000-0005-0000-0000-0000DE350000}"/>
    <cellStyle name="Percent 4 6 3 6" xfId="15153" xr:uid="{00000000-0005-0000-0000-0000353B0000}"/>
    <cellStyle name="Percent 4 6 3 7" xfId="15434" xr:uid="{00000000-0005-0000-0000-00004E3C0000}"/>
    <cellStyle name="Percent 4 6 3 8" xfId="12031" xr:uid="{00000000-0005-0000-0000-0000032F0000}"/>
    <cellStyle name="Percent 4 6 4" xfId="1775" xr:uid="{00000000-0005-0000-0000-0000F3060000}"/>
    <cellStyle name="Percent 4 6 4 2" xfId="2895" xr:uid="{00000000-0005-0000-0000-0000530B0000}"/>
    <cellStyle name="Percent 4 6 4 2 2" xfId="13787" xr:uid="{00000000-0005-0000-0000-0000DF350000}"/>
    <cellStyle name="Percent 4 6 4 3" xfId="13788" xr:uid="{00000000-0005-0000-0000-0000E0350000}"/>
    <cellStyle name="Percent 4 6 4 4" xfId="13789" xr:uid="{00000000-0005-0000-0000-0000E1350000}"/>
    <cellStyle name="Percent 4 6 4 5" xfId="13790" xr:uid="{00000000-0005-0000-0000-0000E2350000}"/>
    <cellStyle name="Percent 4 6 4 6" xfId="15154" xr:uid="{00000000-0005-0000-0000-0000363B0000}"/>
    <cellStyle name="Percent 4 6 4 7" xfId="16614" xr:uid="{00000000-0005-0000-0000-0000EA400000}"/>
    <cellStyle name="Percent 4 6 4 8" xfId="12032" xr:uid="{00000000-0005-0000-0000-0000042F0000}"/>
    <cellStyle name="Percent 4 6 5" xfId="1776" xr:uid="{00000000-0005-0000-0000-0000F4060000}"/>
    <cellStyle name="Percent 4 6 5 2" xfId="2896" xr:uid="{00000000-0005-0000-0000-0000540B0000}"/>
    <cellStyle name="Percent 4 6 5 2 2" xfId="13791" xr:uid="{00000000-0005-0000-0000-0000E3350000}"/>
    <cellStyle name="Percent 4 6 5 3" xfId="13792" xr:uid="{00000000-0005-0000-0000-0000E4350000}"/>
    <cellStyle name="Percent 4 6 5 4" xfId="13793" xr:uid="{00000000-0005-0000-0000-0000E5350000}"/>
    <cellStyle name="Percent 4 6 5 5" xfId="13794" xr:uid="{00000000-0005-0000-0000-0000E6350000}"/>
    <cellStyle name="Percent 4 6 5 6" xfId="15155" xr:uid="{00000000-0005-0000-0000-0000373B0000}"/>
    <cellStyle name="Percent 4 6 5 7" xfId="19284" xr:uid="{00000000-0005-0000-0000-0000584B0000}"/>
    <cellStyle name="Percent 4 6 5 8" xfId="12033" xr:uid="{00000000-0005-0000-0000-0000052F0000}"/>
    <cellStyle name="Percent 4 6 6" xfId="1777" xr:uid="{00000000-0005-0000-0000-0000F5060000}"/>
    <cellStyle name="Percent 4 6 6 2" xfId="2897" xr:uid="{00000000-0005-0000-0000-0000550B0000}"/>
    <cellStyle name="Percent 4 6 6 2 2" xfId="13795" xr:uid="{00000000-0005-0000-0000-0000E7350000}"/>
    <cellStyle name="Percent 4 6 6 3" xfId="13796" xr:uid="{00000000-0005-0000-0000-0000E8350000}"/>
    <cellStyle name="Percent 4 6 6 4" xfId="13797" xr:uid="{00000000-0005-0000-0000-0000E9350000}"/>
    <cellStyle name="Percent 4 6 6 5" xfId="13798" xr:uid="{00000000-0005-0000-0000-0000EA350000}"/>
    <cellStyle name="Percent 4 6 6 6" xfId="15156" xr:uid="{00000000-0005-0000-0000-0000383B0000}"/>
    <cellStyle name="Percent 4 6 6 7" xfId="17285" xr:uid="{00000000-0005-0000-0000-000089430000}"/>
    <cellStyle name="Percent 4 6 6 8" xfId="12034" xr:uid="{00000000-0005-0000-0000-0000062F0000}"/>
    <cellStyle name="Percent 4 6 7" xfId="1778" xr:uid="{00000000-0005-0000-0000-0000F6060000}"/>
    <cellStyle name="Percent 4 6 7 2" xfId="2898" xr:uid="{00000000-0005-0000-0000-0000560B0000}"/>
    <cellStyle name="Percent 4 6 7 2 2" xfId="13799" xr:uid="{00000000-0005-0000-0000-0000EB350000}"/>
    <cellStyle name="Percent 4 6 7 3" xfId="13800" xr:uid="{00000000-0005-0000-0000-0000EC350000}"/>
    <cellStyle name="Percent 4 6 7 4" xfId="13801" xr:uid="{00000000-0005-0000-0000-0000ED350000}"/>
    <cellStyle name="Percent 4 6 7 5" xfId="13802" xr:uid="{00000000-0005-0000-0000-0000EE350000}"/>
    <cellStyle name="Percent 4 6 7 6" xfId="15157" xr:uid="{00000000-0005-0000-0000-0000393B0000}"/>
    <cellStyle name="Percent 4 6 7 7" xfId="16610" xr:uid="{00000000-0005-0000-0000-0000E6400000}"/>
    <cellStyle name="Percent 4 6 7 8" xfId="12035" xr:uid="{00000000-0005-0000-0000-0000072F0000}"/>
    <cellStyle name="Percent 4 6 8" xfId="1779" xr:uid="{00000000-0005-0000-0000-0000F7060000}"/>
    <cellStyle name="Percent 4 6 8 2" xfId="2899" xr:uid="{00000000-0005-0000-0000-0000570B0000}"/>
    <cellStyle name="Percent 4 6 8 2 2" xfId="13803" xr:uid="{00000000-0005-0000-0000-0000EF350000}"/>
    <cellStyle name="Percent 4 6 8 3" xfId="13804" xr:uid="{00000000-0005-0000-0000-0000F0350000}"/>
    <cellStyle name="Percent 4 6 8 4" xfId="13805" xr:uid="{00000000-0005-0000-0000-0000F1350000}"/>
    <cellStyle name="Percent 4 6 8 5" xfId="13806" xr:uid="{00000000-0005-0000-0000-0000F2350000}"/>
    <cellStyle name="Percent 4 6 8 6" xfId="15158" xr:uid="{00000000-0005-0000-0000-00003A3B0000}"/>
    <cellStyle name="Percent 4 6 8 7" xfId="19465" xr:uid="{00000000-0005-0000-0000-00000D4C0000}"/>
    <cellStyle name="Percent 4 6 8 8" xfId="12036" xr:uid="{00000000-0005-0000-0000-0000082F0000}"/>
    <cellStyle name="Percent 4 6 9" xfId="2892" xr:uid="{00000000-0005-0000-0000-0000500B0000}"/>
    <cellStyle name="Percent 4 6 9 2" xfId="13807" xr:uid="{00000000-0005-0000-0000-0000F3350000}"/>
    <cellStyle name="Percent 4 7" xfId="1780" xr:uid="{00000000-0005-0000-0000-0000F8060000}"/>
    <cellStyle name="Percent 4 7 2" xfId="2900" xr:uid="{00000000-0005-0000-0000-0000580B0000}"/>
    <cellStyle name="Percent 4 7 2 2" xfId="13808" xr:uid="{00000000-0005-0000-0000-0000F4350000}"/>
    <cellStyle name="Percent 4 7 3" xfId="13809" xr:uid="{00000000-0005-0000-0000-0000F5350000}"/>
    <cellStyle name="Percent 4 7 4" xfId="13810" xr:uid="{00000000-0005-0000-0000-0000F6350000}"/>
    <cellStyle name="Percent 4 7 5" xfId="13811" xr:uid="{00000000-0005-0000-0000-0000F7350000}"/>
    <cellStyle name="Percent 4 7 6" xfId="13812" xr:uid="{00000000-0005-0000-0000-0000F8350000}"/>
    <cellStyle name="Percent 4 7 7" xfId="15159" xr:uid="{00000000-0005-0000-0000-00003B3B0000}"/>
    <cellStyle name="Percent 4 7 8" xfId="15611" xr:uid="{00000000-0005-0000-0000-0000FF3C0000}"/>
    <cellStyle name="Percent 4 7 9" xfId="12037" xr:uid="{00000000-0005-0000-0000-0000092F0000}"/>
    <cellStyle name="Percent 4 8" xfId="1781" xr:uid="{00000000-0005-0000-0000-0000F9060000}"/>
    <cellStyle name="Percent 4 8 2" xfId="2901" xr:uid="{00000000-0005-0000-0000-0000590B0000}"/>
    <cellStyle name="Percent 4 8 2 2" xfId="13813" xr:uid="{00000000-0005-0000-0000-0000F9350000}"/>
    <cellStyle name="Percent 4 8 3" xfId="13814" xr:uid="{00000000-0005-0000-0000-0000FA350000}"/>
    <cellStyle name="Percent 4 8 4" xfId="13815" xr:uid="{00000000-0005-0000-0000-0000FB350000}"/>
    <cellStyle name="Percent 4 8 5" xfId="13816" xr:uid="{00000000-0005-0000-0000-0000FC350000}"/>
    <cellStyle name="Percent 4 8 6" xfId="13817" xr:uid="{00000000-0005-0000-0000-0000FD350000}"/>
    <cellStyle name="Percent 4 8 7" xfId="15160" xr:uid="{00000000-0005-0000-0000-00003C3B0000}"/>
    <cellStyle name="Percent 4 8 8" xfId="19546" xr:uid="{00000000-0005-0000-0000-00005E4C0000}"/>
    <cellStyle name="Percent 4 8 9" xfId="12038" xr:uid="{00000000-0005-0000-0000-00000A2F0000}"/>
    <cellStyle name="Percent 4 9" xfId="1782" xr:uid="{00000000-0005-0000-0000-0000FA060000}"/>
    <cellStyle name="Percent 4 9 2" xfId="2902" xr:uid="{00000000-0005-0000-0000-00005A0B0000}"/>
    <cellStyle name="Percent 4 9 2 2" xfId="13818" xr:uid="{00000000-0005-0000-0000-0000FE350000}"/>
    <cellStyle name="Percent 4 9 3" xfId="13819" xr:uid="{00000000-0005-0000-0000-0000FF350000}"/>
    <cellStyle name="Percent 4 9 4" xfId="13820" xr:uid="{00000000-0005-0000-0000-000000360000}"/>
    <cellStyle name="Percent 4 9 5" xfId="13821" xr:uid="{00000000-0005-0000-0000-000001360000}"/>
    <cellStyle name="Percent 4 9 6" xfId="13822" xr:uid="{00000000-0005-0000-0000-000002360000}"/>
    <cellStyle name="Percent 4 9 7" xfId="15161" xr:uid="{00000000-0005-0000-0000-00003D3B0000}"/>
    <cellStyle name="Percent 4 9 8" xfId="15520" xr:uid="{00000000-0005-0000-0000-0000A43C0000}"/>
    <cellStyle name="Percent 4 9 9" xfId="12039" xr:uid="{00000000-0005-0000-0000-00000B2F0000}"/>
    <cellStyle name="Percent 5" xfId="180" xr:uid="{00000000-0005-0000-0000-0000B8000000}"/>
    <cellStyle name="Percent 5 10" xfId="1783" xr:uid="{00000000-0005-0000-0000-0000FB060000}"/>
    <cellStyle name="Percent 5 10 2" xfId="15163" xr:uid="{00000000-0005-0000-0000-00003F3B0000}"/>
    <cellStyle name="Percent 5 10 3" xfId="19049" xr:uid="{00000000-0005-0000-0000-00006D4A0000}"/>
    <cellStyle name="Percent 5 10 4" xfId="12041" xr:uid="{00000000-0005-0000-0000-00000D2F0000}"/>
    <cellStyle name="Percent 5 11" xfId="7856" xr:uid="{00000000-0005-0000-0000-0000B41E0000}"/>
    <cellStyle name="Percent 5 11 2" xfId="8076" xr:uid="{00000000-0005-0000-0000-0000901F0000}"/>
    <cellStyle name="Percent 5 11 2 2" xfId="8494" xr:uid="{00000000-0005-0000-0000-000032210000}"/>
    <cellStyle name="Percent 5 11 2 2 2" xfId="10356" xr:uid="{00000000-0005-0000-0000-000078280000}"/>
    <cellStyle name="Percent 5 11 2 2 2 2" xfId="18584" xr:uid="{00000000-0005-0000-0000-00009C480000}"/>
    <cellStyle name="Percent 5 11 2 2 2 2 2" xfId="25096" xr:uid="{00000000-0005-0000-0000-00000C620000}"/>
    <cellStyle name="Percent 5 11 2 2 2 3" xfId="22261" xr:uid="{00000000-0005-0000-0000-0000F9560000}"/>
    <cellStyle name="Percent 5 11 2 2 3" xfId="17174" xr:uid="{00000000-0005-0000-0000-00001A430000}"/>
    <cellStyle name="Percent 5 11 2 2 3 2" xfId="23831" xr:uid="{00000000-0005-0000-0000-00001B5D0000}"/>
    <cellStyle name="Percent 5 11 2 2 4" xfId="20699" xr:uid="{00000000-0005-0000-0000-0000DF500000}"/>
    <cellStyle name="Percent 5 11 2 3" xfId="9523" xr:uid="{00000000-0005-0000-0000-000037250000}"/>
    <cellStyle name="Percent 5 11 2 3 2" xfId="10790" xr:uid="{00000000-0005-0000-0000-00002A2A0000}"/>
    <cellStyle name="Percent 5 11 2 3 2 2" xfId="19018" xr:uid="{00000000-0005-0000-0000-00004E4A0000}"/>
    <cellStyle name="Percent 5 11 2 3 2 2 2" xfId="25530" xr:uid="{00000000-0005-0000-0000-0000BE630000}"/>
    <cellStyle name="Percent 5 11 2 3 2 3" xfId="22695" xr:uid="{00000000-0005-0000-0000-0000AB580000}"/>
    <cellStyle name="Percent 5 11 2 3 3" xfId="17752" xr:uid="{00000000-0005-0000-0000-00005C450000}"/>
    <cellStyle name="Percent 5 11 2 3 3 2" xfId="24274" xr:uid="{00000000-0005-0000-0000-0000D65E0000}"/>
    <cellStyle name="Percent 5 11 2 3 4" xfId="21439" xr:uid="{00000000-0005-0000-0000-0000C3530000}"/>
    <cellStyle name="Percent 5 11 2 4" xfId="9938" xr:uid="{00000000-0005-0000-0000-0000D6260000}"/>
    <cellStyle name="Percent 5 11 2 4 2" xfId="18166" xr:uid="{00000000-0005-0000-0000-0000FA460000}"/>
    <cellStyle name="Percent 5 11 2 4 2 2" xfId="24678" xr:uid="{00000000-0005-0000-0000-00006A600000}"/>
    <cellStyle name="Percent 5 11 2 4 3" xfId="21843" xr:uid="{00000000-0005-0000-0000-000057550000}"/>
    <cellStyle name="Percent 5 11 2 5" xfId="16797" xr:uid="{00000000-0005-0000-0000-0000A1410000}"/>
    <cellStyle name="Percent 5 11 2 5 2" xfId="23458" xr:uid="{00000000-0005-0000-0000-0000A65B0000}"/>
    <cellStyle name="Percent 5 11 2 6" xfId="17294" xr:uid="{00000000-0005-0000-0000-000092430000}"/>
    <cellStyle name="Percent 5 11 2 7" xfId="12043" xr:uid="{00000000-0005-0000-0000-00000F2F0000}"/>
    <cellStyle name="Percent 5 11 2 8" xfId="20281" xr:uid="{00000000-0005-0000-0000-00003D4F0000}"/>
    <cellStyle name="Percent 5 11 3" xfId="8285" xr:uid="{00000000-0005-0000-0000-000061200000}"/>
    <cellStyle name="Percent 5 11 3 2" xfId="10147" xr:uid="{00000000-0005-0000-0000-0000A7270000}"/>
    <cellStyle name="Percent 5 11 3 2 2" xfId="18375" xr:uid="{00000000-0005-0000-0000-0000CB470000}"/>
    <cellStyle name="Percent 5 11 3 2 2 2" xfId="24887" xr:uid="{00000000-0005-0000-0000-00003B610000}"/>
    <cellStyle name="Percent 5 11 3 2 3" xfId="22052" xr:uid="{00000000-0005-0000-0000-000028560000}"/>
    <cellStyle name="Percent 5 11 3 3" xfId="15164" xr:uid="{00000000-0005-0000-0000-0000403B0000}"/>
    <cellStyle name="Percent 5 11 3 3 2" xfId="23183" xr:uid="{00000000-0005-0000-0000-0000935A0000}"/>
    <cellStyle name="Percent 5 11 3 4" xfId="20490" xr:uid="{00000000-0005-0000-0000-00000E500000}"/>
    <cellStyle name="Percent 5 11 4" xfId="9522" xr:uid="{00000000-0005-0000-0000-000036250000}"/>
    <cellStyle name="Percent 5 11 4 2" xfId="10789" xr:uid="{00000000-0005-0000-0000-0000292A0000}"/>
    <cellStyle name="Percent 5 11 4 2 2" xfId="19017" xr:uid="{00000000-0005-0000-0000-00004D4A0000}"/>
    <cellStyle name="Percent 5 11 4 2 2 2" xfId="25529" xr:uid="{00000000-0005-0000-0000-0000BD630000}"/>
    <cellStyle name="Percent 5 11 4 2 3" xfId="22694" xr:uid="{00000000-0005-0000-0000-0000AA580000}"/>
    <cellStyle name="Percent 5 11 4 3" xfId="17751" xr:uid="{00000000-0005-0000-0000-00005B450000}"/>
    <cellStyle name="Percent 5 11 4 3 2" xfId="24273" xr:uid="{00000000-0005-0000-0000-0000D55E0000}"/>
    <cellStyle name="Percent 5 11 4 4" xfId="21438" xr:uid="{00000000-0005-0000-0000-0000C2530000}"/>
    <cellStyle name="Percent 5 11 5" xfId="9729" xr:uid="{00000000-0005-0000-0000-000005260000}"/>
    <cellStyle name="Percent 5 11 5 2" xfId="17957" xr:uid="{00000000-0005-0000-0000-000029460000}"/>
    <cellStyle name="Percent 5 11 5 2 2" xfId="24469" xr:uid="{00000000-0005-0000-0000-0000995F0000}"/>
    <cellStyle name="Percent 5 11 5 3" xfId="21634" xr:uid="{00000000-0005-0000-0000-000086540000}"/>
    <cellStyle name="Percent 5 11 6" xfId="19565" xr:uid="{00000000-0005-0000-0000-0000714C0000}"/>
    <cellStyle name="Percent 5 11 7" xfId="12042" xr:uid="{00000000-0005-0000-0000-00000E2F0000}"/>
    <cellStyle name="Percent 5 11 8" xfId="20072" xr:uid="{00000000-0005-0000-0000-00006C4E0000}"/>
    <cellStyle name="Percent 5 12" xfId="13823" xr:uid="{00000000-0005-0000-0000-000003360000}"/>
    <cellStyle name="Percent 5 13" xfId="13824" xr:uid="{00000000-0005-0000-0000-000004360000}"/>
    <cellStyle name="Percent 5 14" xfId="13825" xr:uid="{00000000-0005-0000-0000-000005360000}"/>
    <cellStyle name="Percent 5 15" xfId="15162" xr:uid="{00000000-0005-0000-0000-00003E3B0000}"/>
    <cellStyle name="Percent 5 16" xfId="15725" xr:uid="{00000000-0005-0000-0000-0000713D0000}"/>
    <cellStyle name="Percent 5 17" xfId="12040" xr:uid="{00000000-0005-0000-0000-00000C2F0000}"/>
    <cellStyle name="Percent 5 2" xfId="181" xr:uid="{00000000-0005-0000-0000-0000B9000000}"/>
    <cellStyle name="Percent 5 2 2" xfId="2904" xr:uid="{00000000-0005-0000-0000-00005C0B0000}"/>
    <cellStyle name="Percent 5 2 2 2" xfId="13826" xr:uid="{00000000-0005-0000-0000-000006360000}"/>
    <cellStyle name="Percent 5 2 3" xfId="1784" xr:uid="{00000000-0005-0000-0000-0000FC060000}"/>
    <cellStyle name="Percent 5 2 3 2" xfId="13827" xr:uid="{00000000-0005-0000-0000-000007360000}"/>
    <cellStyle name="Percent 5 2 4" xfId="13828" xr:uid="{00000000-0005-0000-0000-000008360000}"/>
    <cellStyle name="Percent 5 2 5" xfId="13829" xr:uid="{00000000-0005-0000-0000-000009360000}"/>
    <cellStyle name="Percent 5 2 6" xfId="15165" xr:uid="{00000000-0005-0000-0000-0000413B0000}"/>
    <cellStyle name="Percent 5 2 7" xfId="15513" xr:uid="{00000000-0005-0000-0000-00009D3C0000}"/>
    <cellStyle name="Percent 5 2 8" xfId="12044" xr:uid="{00000000-0005-0000-0000-0000102F0000}"/>
    <cellStyle name="Percent 5 3" xfId="1785" xr:uid="{00000000-0005-0000-0000-0000FD060000}"/>
    <cellStyle name="Percent 5 3 2" xfId="2905" xr:uid="{00000000-0005-0000-0000-00005D0B0000}"/>
    <cellStyle name="Percent 5 3 2 2" xfId="13830" xr:uid="{00000000-0005-0000-0000-00000A360000}"/>
    <cellStyle name="Percent 5 3 2 3" xfId="13831" xr:uid="{00000000-0005-0000-0000-00000B360000}"/>
    <cellStyle name="Percent 5 3 2 4" xfId="13832" xr:uid="{00000000-0005-0000-0000-00000C360000}"/>
    <cellStyle name="Percent 5 3 2 5" xfId="13833" xr:uid="{00000000-0005-0000-0000-00000D360000}"/>
    <cellStyle name="Percent 5 3 2 6" xfId="15958" xr:uid="{00000000-0005-0000-0000-00005A3E0000}"/>
    <cellStyle name="Percent 5 3 2 7" xfId="19427" xr:uid="{00000000-0005-0000-0000-0000E74B0000}"/>
    <cellStyle name="Percent 5 3 2 8" xfId="12046" xr:uid="{00000000-0005-0000-0000-0000122F0000}"/>
    <cellStyle name="Percent 5 3 2 9" xfId="7018" xr:uid="{00000000-0005-0000-0000-00006E1B0000}"/>
    <cellStyle name="Percent 5 3 3" xfId="13834" xr:uid="{00000000-0005-0000-0000-00000E360000}"/>
    <cellStyle name="Percent 5 3 4" xfId="13835" xr:uid="{00000000-0005-0000-0000-00000F360000}"/>
    <cellStyle name="Percent 5 3 5" xfId="13836" xr:uid="{00000000-0005-0000-0000-000010360000}"/>
    <cellStyle name="Percent 5 3 6" xfId="13837" xr:uid="{00000000-0005-0000-0000-000011360000}"/>
    <cellStyle name="Percent 5 3 7" xfId="15166" xr:uid="{00000000-0005-0000-0000-0000423B0000}"/>
    <cellStyle name="Percent 5 3 8" xfId="15307" xr:uid="{00000000-0005-0000-0000-0000CF3B0000}"/>
    <cellStyle name="Percent 5 3 9" xfId="12045" xr:uid="{00000000-0005-0000-0000-0000112F0000}"/>
    <cellStyle name="Percent 5 4" xfId="1786" xr:uid="{00000000-0005-0000-0000-0000FE060000}"/>
    <cellStyle name="Percent 5 4 2" xfId="2906" xr:uid="{00000000-0005-0000-0000-00005E0B0000}"/>
    <cellStyle name="Percent 5 4 2 2" xfId="15959" xr:uid="{00000000-0005-0000-0000-00005B3E0000}"/>
    <cellStyle name="Percent 5 4 2 3" xfId="15677" xr:uid="{00000000-0005-0000-0000-0000413D0000}"/>
    <cellStyle name="Percent 5 4 2 4" xfId="12048" xr:uid="{00000000-0005-0000-0000-0000142F0000}"/>
    <cellStyle name="Percent 5 4 3" xfId="13838" xr:uid="{00000000-0005-0000-0000-000012360000}"/>
    <cellStyle name="Percent 5 4 4" xfId="13839" xr:uid="{00000000-0005-0000-0000-000013360000}"/>
    <cellStyle name="Percent 5 4 5" xfId="13840" xr:uid="{00000000-0005-0000-0000-000014360000}"/>
    <cellStyle name="Percent 5 4 6" xfId="15167" xr:uid="{00000000-0005-0000-0000-0000433B0000}"/>
    <cellStyle name="Percent 5 4 7" xfId="19181" xr:uid="{00000000-0005-0000-0000-0000F14A0000}"/>
    <cellStyle name="Percent 5 4 8" xfId="12047" xr:uid="{00000000-0005-0000-0000-0000132F0000}"/>
    <cellStyle name="Percent 5 5" xfId="1787" xr:uid="{00000000-0005-0000-0000-0000FF060000}"/>
    <cellStyle name="Percent 5 5 10" xfId="7017" xr:uid="{00000000-0005-0000-0000-00006D1B0000}"/>
    <cellStyle name="Percent 5 5 2" xfId="2907" xr:uid="{00000000-0005-0000-0000-00005F0B0000}"/>
    <cellStyle name="Percent 5 5 2 2" xfId="16730" xr:uid="{00000000-0005-0000-0000-00005E410000}"/>
    <cellStyle name="Percent 5 5 2 3" xfId="17199" xr:uid="{00000000-0005-0000-0000-000033430000}"/>
    <cellStyle name="Percent 5 5 2 4" xfId="12050" xr:uid="{00000000-0005-0000-0000-0000162F0000}"/>
    <cellStyle name="Percent 5 5 3" xfId="9524" xr:uid="{00000000-0005-0000-0000-000038250000}"/>
    <cellStyle name="Percent 5 5 3 2" xfId="17753" xr:uid="{00000000-0005-0000-0000-00005D450000}"/>
    <cellStyle name="Percent 5 5 3 3" xfId="15483" xr:uid="{00000000-0005-0000-0000-00007F3C0000}"/>
    <cellStyle name="Percent 5 5 3 4" xfId="12051" xr:uid="{00000000-0005-0000-0000-0000172F0000}"/>
    <cellStyle name="Percent 5 5 4" xfId="13841" xr:uid="{00000000-0005-0000-0000-000015360000}"/>
    <cellStyle name="Percent 5 5 5" xfId="13842" xr:uid="{00000000-0005-0000-0000-000016360000}"/>
    <cellStyle name="Percent 5 5 6" xfId="15168" xr:uid="{00000000-0005-0000-0000-0000443B0000}"/>
    <cellStyle name="Percent 5 5 7" xfId="15957" xr:uid="{00000000-0005-0000-0000-0000593E0000}"/>
    <cellStyle name="Percent 5 5 8" xfId="15534" xr:uid="{00000000-0005-0000-0000-0000B23C0000}"/>
    <cellStyle name="Percent 5 5 9" xfId="12049" xr:uid="{00000000-0005-0000-0000-0000152F0000}"/>
    <cellStyle name="Percent 5 6" xfId="1788" xr:uid="{00000000-0005-0000-0000-000000070000}"/>
    <cellStyle name="Percent 5 6 2" xfId="2908" xr:uid="{00000000-0005-0000-0000-0000600B0000}"/>
    <cellStyle name="Percent 5 6 2 2" xfId="13843" xr:uid="{00000000-0005-0000-0000-000017360000}"/>
    <cellStyle name="Percent 5 6 3" xfId="13844" xr:uid="{00000000-0005-0000-0000-000018360000}"/>
    <cellStyle name="Percent 5 6 4" xfId="13845" xr:uid="{00000000-0005-0000-0000-000019360000}"/>
    <cellStyle name="Percent 5 6 5" xfId="13846" xr:uid="{00000000-0005-0000-0000-00001A360000}"/>
    <cellStyle name="Percent 5 6 6" xfId="15169" xr:uid="{00000000-0005-0000-0000-0000453B0000}"/>
    <cellStyle name="Percent 5 6 7" xfId="16693" xr:uid="{00000000-0005-0000-0000-000039410000}"/>
    <cellStyle name="Percent 5 6 8" xfId="12052" xr:uid="{00000000-0005-0000-0000-0000182F0000}"/>
    <cellStyle name="Percent 5 7" xfId="1789" xr:uid="{00000000-0005-0000-0000-000001070000}"/>
    <cellStyle name="Percent 5 7 2" xfId="2909" xr:uid="{00000000-0005-0000-0000-0000610B0000}"/>
    <cellStyle name="Percent 5 7 2 2" xfId="13847" xr:uid="{00000000-0005-0000-0000-00001B360000}"/>
    <cellStyle name="Percent 5 7 3" xfId="13848" xr:uid="{00000000-0005-0000-0000-00001C360000}"/>
    <cellStyle name="Percent 5 7 4" xfId="13849" xr:uid="{00000000-0005-0000-0000-00001D360000}"/>
    <cellStyle name="Percent 5 7 5" xfId="13850" xr:uid="{00000000-0005-0000-0000-00001E360000}"/>
    <cellStyle name="Percent 5 7 6" xfId="15170" xr:uid="{00000000-0005-0000-0000-0000463B0000}"/>
    <cellStyle name="Percent 5 7 7" xfId="19227" xr:uid="{00000000-0005-0000-0000-00001F4B0000}"/>
    <cellStyle name="Percent 5 7 8" xfId="12053" xr:uid="{00000000-0005-0000-0000-0000192F0000}"/>
    <cellStyle name="Percent 5 8" xfId="1790" xr:uid="{00000000-0005-0000-0000-000002070000}"/>
    <cellStyle name="Percent 5 8 2" xfId="2910" xr:uid="{00000000-0005-0000-0000-0000620B0000}"/>
    <cellStyle name="Percent 5 8 2 2" xfId="13851" xr:uid="{00000000-0005-0000-0000-00001F360000}"/>
    <cellStyle name="Percent 5 8 3" xfId="13852" xr:uid="{00000000-0005-0000-0000-000020360000}"/>
    <cellStyle name="Percent 5 8 4" xfId="13853" xr:uid="{00000000-0005-0000-0000-000021360000}"/>
    <cellStyle name="Percent 5 8 5" xfId="13854" xr:uid="{00000000-0005-0000-0000-000022360000}"/>
    <cellStyle name="Percent 5 8 6" xfId="15171" xr:uid="{00000000-0005-0000-0000-0000473B0000}"/>
    <cellStyle name="Percent 5 8 7" xfId="15344" xr:uid="{00000000-0005-0000-0000-0000F43B0000}"/>
    <cellStyle name="Percent 5 8 8" xfId="12054" xr:uid="{00000000-0005-0000-0000-00001A2F0000}"/>
    <cellStyle name="Percent 5 9" xfId="2903" xr:uid="{00000000-0005-0000-0000-00005B0B0000}"/>
    <cellStyle name="Percent 5 9 2" xfId="7857" xr:uid="{00000000-0005-0000-0000-0000B51E0000}"/>
    <cellStyle name="Percent 5 9 2 2" xfId="12057" xr:uid="{00000000-0005-0000-0000-00001D2F0000}"/>
    <cellStyle name="Percent 5 9 2 2 2" xfId="19280" xr:uid="{00000000-0005-0000-0000-0000544B0000}"/>
    <cellStyle name="Percent 5 9 2 3" xfId="15173" xr:uid="{00000000-0005-0000-0000-0000493B0000}"/>
    <cellStyle name="Percent 5 9 2 3 2" xfId="23184" xr:uid="{00000000-0005-0000-0000-0000945A0000}"/>
    <cellStyle name="Percent 5 9 2 4" xfId="16733" xr:uid="{00000000-0005-0000-0000-000061410000}"/>
    <cellStyle name="Percent 5 9 2 5" xfId="15681" xr:uid="{00000000-0005-0000-0000-0000453D0000}"/>
    <cellStyle name="Percent 5 9 2 6" xfId="12056" xr:uid="{00000000-0005-0000-0000-00001C2F0000}"/>
    <cellStyle name="Percent 5 9 3" xfId="9525" xr:uid="{00000000-0005-0000-0000-000039250000}"/>
    <cellStyle name="Percent 5 9 3 2" xfId="15174" xr:uid="{00000000-0005-0000-0000-00004A3B0000}"/>
    <cellStyle name="Percent 5 9 3 3" xfId="13855" xr:uid="{00000000-0005-0000-0000-000023360000}"/>
    <cellStyle name="Percent 5 9 4" xfId="8805" xr:uid="{00000000-0005-0000-0000-000069220000}"/>
    <cellStyle name="Percent 5 9 4 2" xfId="10378" xr:uid="{00000000-0005-0000-0000-00008E280000}"/>
    <cellStyle name="Percent 5 9 4 2 2" xfId="18606" xr:uid="{00000000-0005-0000-0000-0000B2480000}"/>
    <cellStyle name="Percent 5 9 4 2 2 2" xfId="25118" xr:uid="{00000000-0005-0000-0000-000022620000}"/>
    <cellStyle name="Percent 5 9 4 2 3" xfId="22283" xr:uid="{00000000-0005-0000-0000-00000F570000}"/>
    <cellStyle name="Percent 5 9 4 3" xfId="17232" xr:uid="{00000000-0005-0000-0000-000054430000}"/>
    <cellStyle name="Percent 5 9 4 3 2" xfId="23855" xr:uid="{00000000-0005-0000-0000-0000335D0000}"/>
    <cellStyle name="Percent 5 9 4 4" xfId="13856" xr:uid="{00000000-0005-0000-0000-000024360000}"/>
    <cellStyle name="Percent 5 9 4 5" xfId="20915" xr:uid="{00000000-0005-0000-0000-0000B7510000}"/>
    <cellStyle name="Percent 5 9 5" xfId="13857" xr:uid="{00000000-0005-0000-0000-000025360000}"/>
    <cellStyle name="Percent 5 9 6" xfId="15172" xr:uid="{00000000-0005-0000-0000-0000483B0000}"/>
    <cellStyle name="Percent 5 9 7" xfId="15486" xr:uid="{00000000-0005-0000-0000-0000823C0000}"/>
    <cellStyle name="Percent 5 9 8" xfId="12055" xr:uid="{00000000-0005-0000-0000-00001B2F0000}"/>
    <cellStyle name="Percent 6" xfId="182" xr:uid="{00000000-0005-0000-0000-0000BA000000}"/>
    <cellStyle name="Percent 6 10" xfId="1791" xr:uid="{00000000-0005-0000-0000-000003070000}"/>
    <cellStyle name="Percent 6 10 2" xfId="9526" xr:uid="{00000000-0005-0000-0000-00003A250000}"/>
    <cellStyle name="Percent 6 10 2 2" xfId="10791" xr:uid="{00000000-0005-0000-0000-00002B2A0000}"/>
    <cellStyle name="Percent 6 10 2 2 2" xfId="19019" xr:uid="{00000000-0005-0000-0000-00004F4A0000}"/>
    <cellStyle name="Percent 6 10 2 2 2 2" xfId="25531" xr:uid="{00000000-0005-0000-0000-0000BF630000}"/>
    <cellStyle name="Percent 6 10 2 2 3" xfId="22696" xr:uid="{00000000-0005-0000-0000-0000AC580000}"/>
    <cellStyle name="Percent 6 10 2 3" xfId="17754" xr:uid="{00000000-0005-0000-0000-00005E450000}"/>
    <cellStyle name="Percent 6 10 2 3 2" xfId="24275" xr:uid="{00000000-0005-0000-0000-0000D75E0000}"/>
    <cellStyle name="Percent 6 10 2 4" xfId="21440" xr:uid="{00000000-0005-0000-0000-0000C4530000}"/>
    <cellStyle name="Percent 6 10 3" xfId="9973" xr:uid="{00000000-0005-0000-0000-0000F9260000}"/>
    <cellStyle name="Percent 6 10 3 2" xfId="18201" xr:uid="{00000000-0005-0000-0000-00001D470000}"/>
    <cellStyle name="Percent 6 10 3 2 2" xfId="24713" xr:uid="{00000000-0005-0000-0000-00008D600000}"/>
    <cellStyle name="Percent 6 10 3 3" xfId="21878" xr:uid="{00000000-0005-0000-0000-00007A550000}"/>
    <cellStyle name="Percent 6 10 4" xfId="16809" xr:uid="{00000000-0005-0000-0000-0000AD410000}"/>
    <cellStyle name="Percent 6 10 4 2" xfId="23468" xr:uid="{00000000-0005-0000-0000-0000B05B0000}"/>
    <cellStyle name="Percent 6 10 5" xfId="15678" xr:uid="{00000000-0005-0000-0000-0000423D0000}"/>
    <cellStyle name="Percent 6 10 6" xfId="12059" xr:uid="{00000000-0005-0000-0000-00001F2F0000}"/>
    <cellStyle name="Percent 6 10 7" xfId="20316" xr:uid="{00000000-0005-0000-0000-0000604F0000}"/>
    <cellStyle name="Percent 6 10 8" xfId="8111" xr:uid="{00000000-0005-0000-0000-0000B31F0000}"/>
    <cellStyle name="Percent 6 11" xfId="9555" xr:uid="{00000000-0005-0000-0000-000057250000}"/>
    <cellStyle name="Percent 6 11 2" xfId="17783" xr:uid="{00000000-0005-0000-0000-00007B450000}"/>
    <cellStyle name="Percent 6 11 2 2" xfId="24295" xr:uid="{00000000-0005-0000-0000-0000EB5E0000}"/>
    <cellStyle name="Percent 6 11 3" xfId="13858" xr:uid="{00000000-0005-0000-0000-000026360000}"/>
    <cellStyle name="Percent 6 11 4" xfId="21460" xr:uid="{00000000-0005-0000-0000-0000D8530000}"/>
    <cellStyle name="Percent 6 12" xfId="13859" xr:uid="{00000000-0005-0000-0000-000027360000}"/>
    <cellStyle name="Percent 6 13" xfId="13860" xr:uid="{00000000-0005-0000-0000-000028360000}"/>
    <cellStyle name="Percent 6 14" xfId="13861" xr:uid="{00000000-0005-0000-0000-000029360000}"/>
    <cellStyle name="Percent 6 15" xfId="15175" xr:uid="{00000000-0005-0000-0000-00004B3B0000}"/>
    <cellStyle name="Percent 6 16" xfId="15348" xr:uid="{00000000-0005-0000-0000-0000F83B0000}"/>
    <cellStyle name="Percent 6 16 2" xfId="23206" xr:uid="{00000000-0005-0000-0000-0000AA5A0000}"/>
    <cellStyle name="Percent 6 17" xfId="19080" xr:uid="{00000000-0005-0000-0000-00008C4A0000}"/>
    <cellStyle name="Percent 6 18" xfId="12058" xr:uid="{00000000-0005-0000-0000-00001E2F0000}"/>
    <cellStyle name="Percent 6 19" xfId="19621" xr:uid="{00000000-0005-0000-0000-0000A94C0000}"/>
    <cellStyle name="Percent 6 2" xfId="1792" xr:uid="{00000000-0005-0000-0000-000004070000}"/>
    <cellStyle name="Percent 6 2 2" xfId="2912" xr:uid="{00000000-0005-0000-0000-0000640B0000}"/>
    <cellStyle name="Percent 6 2 2 2" xfId="13862" xr:uid="{00000000-0005-0000-0000-00002A360000}"/>
    <cellStyle name="Percent 6 2 3" xfId="13863" xr:uid="{00000000-0005-0000-0000-00002B360000}"/>
    <cellStyle name="Percent 6 2 4" xfId="13864" xr:uid="{00000000-0005-0000-0000-00002C360000}"/>
    <cellStyle name="Percent 6 2 5" xfId="13865" xr:uid="{00000000-0005-0000-0000-00002D360000}"/>
    <cellStyle name="Percent 6 2 6" xfId="15176" xr:uid="{00000000-0005-0000-0000-00004C3B0000}"/>
    <cellStyle name="Percent 6 2 7" xfId="19486" xr:uid="{00000000-0005-0000-0000-0000224C0000}"/>
    <cellStyle name="Percent 6 2 8" xfId="12060" xr:uid="{00000000-0005-0000-0000-0000202F0000}"/>
    <cellStyle name="Percent 6 20" xfId="4541" xr:uid="{00000000-0005-0000-0000-0000C1110000}"/>
    <cellStyle name="Percent 6 3" xfId="1793" xr:uid="{00000000-0005-0000-0000-000005070000}"/>
    <cellStyle name="Percent 6 3 10" xfId="7019" xr:uid="{00000000-0005-0000-0000-00006F1B0000}"/>
    <cellStyle name="Percent 6 3 2" xfId="2913" xr:uid="{00000000-0005-0000-0000-0000650B0000}"/>
    <cellStyle name="Percent 6 3 2 2" xfId="16734" xr:uid="{00000000-0005-0000-0000-000062410000}"/>
    <cellStyle name="Percent 6 3 2 3" xfId="19551" xr:uid="{00000000-0005-0000-0000-0000634C0000}"/>
    <cellStyle name="Percent 6 3 2 4" xfId="12062" xr:uid="{00000000-0005-0000-0000-0000222F0000}"/>
    <cellStyle name="Percent 6 3 3" xfId="9527" xr:uid="{00000000-0005-0000-0000-00003B250000}"/>
    <cellStyle name="Percent 6 3 3 2" xfId="17755" xr:uid="{00000000-0005-0000-0000-00005F450000}"/>
    <cellStyle name="Percent 6 3 3 3" xfId="16758" xr:uid="{00000000-0005-0000-0000-00007A410000}"/>
    <cellStyle name="Percent 6 3 3 4" xfId="12063" xr:uid="{00000000-0005-0000-0000-0000232F0000}"/>
    <cellStyle name="Percent 6 3 4" xfId="13866" xr:uid="{00000000-0005-0000-0000-00002E360000}"/>
    <cellStyle name="Percent 6 3 5" xfId="13867" xr:uid="{00000000-0005-0000-0000-00002F360000}"/>
    <cellStyle name="Percent 6 3 6" xfId="15177" xr:uid="{00000000-0005-0000-0000-00004D3B0000}"/>
    <cellStyle name="Percent 6 3 7" xfId="15960" xr:uid="{00000000-0005-0000-0000-00005C3E0000}"/>
    <cellStyle name="Percent 6 3 8" xfId="19497" xr:uid="{00000000-0005-0000-0000-00002D4C0000}"/>
    <cellStyle name="Percent 6 3 9" xfId="12061" xr:uid="{00000000-0005-0000-0000-0000212F0000}"/>
    <cellStyle name="Percent 6 4" xfId="1794" xr:uid="{00000000-0005-0000-0000-000006070000}"/>
    <cellStyle name="Percent 6 4 2" xfId="2914" xr:uid="{00000000-0005-0000-0000-0000660B0000}"/>
    <cellStyle name="Percent 6 4 2 2" xfId="13868" xr:uid="{00000000-0005-0000-0000-000030360000}"/>
    <cellStyle name="Percent 6 4 3" xfId="13869" xr:uid="{00000000-0005-0000-0000-000031360000}"/>
    <cellStyle name="Percent 6 4 4" xfId="13870" xr:uid="{00000000-0005-0000-0000-000032360000}"/>
    <cellStyle name="Percent 6 4 5" xfId="13871" xr:uid="{00000000-0005-0000-0000-000033360000}"/>
    <cellStyle name="Percent 6 4 6" xfId="15178" xr:uid="{00000000-0005-0000-0000-00004E3B0000}"/>
    <cellStyle name="Percent 6 4 7" xfId="19500" xr:uid="{00000000-0005-0000-0000-0000304C0000}"/>
    <cellStyle name="Percent 6 4 8" xfId="12064" xr:uid="{00000000-0005-0000-0000-0000242F0000}"/>
    <cellStyle name="Percent 6 5" xfId="1795" xr:uid="{00000000-0005-0000-0000-000007070000}"/>
    <cellStyle name="Percent 6 5 2" xfId="2915" xr:uid="{00000000-0005-0000-0000-0000670B0000}"/>
    <cellStyle name="Percent 6 5 2 2" xfId="13872" xr:uid="{00000000-0005-0000-0000-000034360000}"/>
    <cellStyle name="Percent 6 5 3" xfId="13873" xr:uid="{00000000-0005-0000-0000-000035360000}"/>
    <cellStyle name="Percent 6 5 4" xfId="13874" xr:uid="{00000000-0005-0000-0000-000036360000}"/>
    <cellStyle name="Percent 6 5 5" xfId="13875" xr:uid="{00000000-0005-0000-0000-000037360000}"/>
    <cellStyle name="Percent 6 5 6" xfId="15179" xr:uid="{00000000-0005-0000-0000-00004F3B0000}"/>
    <cellStyle name="Percent 6 5 7" xfId="15476" xr:uid="{00000000-0005-0000-0000-0000783C0000}"/>
    <cellStyle name="Percent 6 5 8" xfId="12065" xr:uid="{00000000-0005-0000-0000-0000252F0000}"/>
    <cellStyle name="Percent 6 6" xfId="1796" xr:uid="{00000000-0005-0000-0000-000008070000}"/>
    <cellStyle name="Percent 6 6 2" xfId="2916" xr:uid="{00000000-0005-0000-0000-0000680B0000}"/>
    <cellStyle name="Percent 6 6 2 2" xfId="13876" xr:uid="{00000000-0005-0000-0000-000038360000}"/>
    <cellStyle name="Percent 6 6 3" xfId="13877" xr:uid="{00000000-0005-0000-0000-000039360000}"/>
    <cellStyle name="Percent 6 6 4" xfId="13878" xr:uid="{00000000-0005-0000-0000-00003A360000}"/>
    <cellStyle name="Percent 6 6 5" xfId="13879" xr:uid="{00000000-0005-0000-0000-00003B360000}"/>
    <cellStyle name="Percent 6 6 6" xfId="15180" xr:uid="{00000000-0005-0000-0000-0000503B0000}"/>
    <cellStyle name="Percent 6 6 7" xfId="15699" xr:uid="{00000000-0005-0000-0000-0000573D0000}"/>
    <cellStyle name="Percent 6 6 8" xfId="12066" xr:uid="{00000000-0005-0000-0000-0000262F0000}"/>
    <cellStyle name="Percent 6 7" xfId="1797" xr:uid="{00000000-0005-0000-0000-000009070000}"/>
    <cellStyle name="Percent 6 7 2" xfId="2917" xr:uid="{00000000-0005-0000-0000-0000690B0000}"/>
    <cellStyle name="Percent 6 7 2 2" xfId="13880" xr:uid="{00000000-0005-0000-0000-00003C360000}"/>
    <cellStyle name="Percent 6 7 3" xfId="13881" xr:uid="{00000000-0005-0000-0000-00003D360000}"/>
    <cellStyle name="Percent 6 7 4" xfId="13882" xr:uid="{00000000-0005-0000-0000-00003E360000}"/>
    <cellStyle name="Percent 6 7 5" xfId="13883" xr:uid="{00000000-0005-0000-0000-00003F360000}"/>
    <cellStyle name="Percent 6 7 6" xfId="15181" xr:uid="{00000000-0005-0000-0000-0000513B0000}"/>
    <cellStyle name="Percent 6 7 7" xfId="19341" xr:uid="{00000000-0005-0000-0000-0000914B0000}"/>
    <cellStyle name="Percent 6 7 8" xfId="12067" xr:uid="{00000000-0005-0000-0000-0000272F0000}"/>
    <cellStyle name="Percent 6 8" xfId="1798" xr:uid="{00000000-0005-0000-0000-00000A070000}"/>
    <cellStyle name="Percent 6 8 2" xfId="2918" xr:uid="{00000000-0005-0000-0000-00006A0B0000}"/>
    <cellStyle name="Percent 6 8 2 2" xfId="13884" xr:uid="{00000000-0005-0000-0000-000040360000}"/>
    <cellStyle name="Percent 6 8 3" xfId="13885" xr:uid="{00000000-0005-0000-0000-000041360000}"/>
    <cellStyle name="Percent 6 8 4" xfId="13886" xr:uid="{00000000-0005-0000-0000-000042360000}"/>
    <cellStyle name="Percent 6 8 5" xfId="13887" xr:uid="{00000000-0005-0000-0000-000043360000}"/>
    <cellStyle name="Percent 6 8 6" xfId="15182" xr:uid="{00000000-0005-0000-0000-0000523B0000}"/>
    <cellStyle name="Percent 6 8 7" xfId="19229" xr:uid="{00000000-0005-0000-0000-0000214B0000}"/>
    <cellStyle name="Percent 6 8 8" xfId="12068" xr:uid="{00000000-0005-0000-0000-0000282F0000}"/>
    <cellStyle name="Percent 6 9" xfId="2911" xr:uid="{00000000-0005-0000-0000-0000630B0000}"/>
    <cellStyle name="Percent 6 9 10" xfId="7898" xr:uid="{00000000-0005-0000-0000-0000DE1E0000}"/>
    <cellStyle name="Percent 6 9 2" xfId="8320" xr:uid="{00000000-0005-0000-0000-000084200000}"/>
    <cellStyle name="Percent 6 9 2 2" xfId="10182" xr:uid="{00000000-0005-0000-0000-0000CA270000}"/>
    <cellStyle name="Percent 6 9 2 2 2" xfId="18410" xr:uid="{00000000-0005-0000-0000-0000EE470000}"/>
    <cellStyle name="Percent 6 9 2 2 2 2" xfId="24922" xr:uid="{00000000-0005-0000-0000-00005E610000}"/>
    <cellStyle name="Percent 6 9 2 2 3" xfId="22087" xr:uid="{00000000-0005-0000-0000-00004B560000}"/>
    <cellStyle name="Percent 6 9 2 3" xfId="17000" xr:uid="{00000000-0005-0000-0000-00006C420000}"/>
    <cellStyle name="Percent 6 9 2 3 2" xfId="23657" xr:uid="{00000000-0005-0000-0000-00006D5C0000}"/>
    <cellStyle name="Percent 6 9 2 4" xfId="13888" xr:uid="{00000000-0005-0000-0000-000044360000}"/>
    <cellStyle name="Percent 6 9 2 5" xfId="20525" xr:uid="{00000000-0005-0000-0000-000031500000}"/>
    <cellStyle name="Percent 6 9 3" xfId="9528" xr:uid="{00000000-0005-0000-0000-00003C250000}"/>
    <cellStyle name="Percent 6 9 3 2" xfId="10792" xr:uid="{00000000-0005-0000-0000-00002C2A0000}"/>
    <cellStyle name="Percent 6 9 3 2 2" xfId="19020" xr:uid="{00000000-0005-0000-0000-0000504A0000}"/>
    <cellStyle name="Percent 6 9 3 2 2 2" xfId="25532" xr:uid="{00000000-0005-0000-0000-0000C0630000}"/>
    <cellStyle name="Percent 6 9 3 2 3" xfId="22697" xr:uid="{00000000-0005-0000-0000-0000AD580000}"/>
    <cellStyle name="Percent 6 9 3 3" xfId="17756" xr:uid="{00000000-0005-0000-0000-000060450000}"/>
    <cellStyle name="Percent 6 9 3 3 2" xfId="24276" xr:uid="{00000000-0005-0000-0000-0000D85E0000}"/>
    <cellStyle name="Percent 6 9 3 4" xfId="13889" xr:uid="{00000000-0005-0000-0000-000045360000}"/>
    <cellStyle name="Percent 6 9 3 5" xfId="21441" xr:uid="{00000000-0005-0000-0000-0000C5530000}"/>
    <cellStyle name="Percent 6 9 4" xfId="9764" xr:uid="{00000000-0005-0000-0000-000028260000}"/>
    <cellStyle name="Percent 6 9 4 2" xfId="17992" xr:uid="{00000000-0005-0000-0000-00004C460000}"/>
    <cellStyle name="Percent 6 9 4 2 2" xfId="24504" xr:uid="{00000000-0005-0000-0000-0000BC5F0000}"/>
    <cellStyle name="Percent 6 9 4 3" xfId="13890" xr:uid="{00000000-0005-0000-0000-000046360000}"/>
    <cellStyle name="Percent 6 9 4 4" xfId="21669" xr:uid="{00000000-0005-0000-0000-0000A9540000}"/>
    <cellStyle name="Percent 6 9 5" xfId="13891" xr:uid="{00000000-0005-0000-0000-000047360000}"/>
    <cellStyle name="Percent 6 9 6" xfId="16760" xr:uid="{00000000-0005-0000-0000-00007C410000}"/>
    <cellStyle name="Percent 6 9 6 2" xfId="23454" xr:uid="{00000000-0005-0000-0000-0000A25B0000}"/>
    <cellStyle name="Percent 6 9 7" xfId="16682" xr:uid="{00000000-0005-0000-0000-00002E410000}"/>
    <cellStyle name="Percent 6 9 8" xfId="12069" xr:uid="{00000000-0005-0000-0000-0000292F0000}"/>
    <cellStyle name="Percent 6 9 9" xfId="20107" xr:uid="{00000000-0005-0000-0000-00008F4E0000}"/>
    <cellStyle name="Percent 7" xfId="1799" xr:uid="{00000000-0005-0000-0000-00000B070000}"/>
    <cellStyle name="Percent 7 10" xfId="8113" xr:uid="{00000000-0005-0000-0000-0000B51F0000}"/>
    <cellStyle name="Percent 7 10 2" xfId="9529" xr:uid="{00000000-0005-0000-0000-00003D250000}"/>
    <cellStyle name="Percent 7 10 2 2" xfId="10793" xr:uid="{00000000-0005-0000-0000-00002D2A0000}"/>
    <cellStyle name="Percent 7 10 2 2 2" xfId="19021" xr:uid="{00000000-0005-0000-0000-0000514A0000}"/>
    <cellStyle name="Percent 7 10 2 2 2 2" xfId="25533" xr:uid="{00000000-0005-0000-0000-0000C1630000}"/>
    <cellStyle name="Percent 7 10 2 2 3" xfId="22698" xr:uid="{00000000-0005-0000-0000-0000AE580000}"/>
    <cellStyle name="Percent 7 10 2 3" xfId="17757" xr:uid="{00000000-0005-0000-0000-000061450000}"/>
    <cellStyle name="Percent 7 10 2 3 2" xfId="24277" xr:uid="{00000000-0005-0000-0000-0000D95E0000}"/>
    <cellStyle name="Percent 7 10 2 4" xfId="21442" xr:uid="{00000000-0005-0000-0000-0000C6530000}"/>
    <cellStyle name="Percent 7 10 3" xfId="9975" xr:uid="{00000000-0005-0000-0000-0000FB260000}"/>
    <cellStyle name="Percent 7 10 3 2" xfId="18203" xr:uid="{00000000-0005-0000-0000-00001F470000}"/>
    <cellStyle name="Percent 7 10 3 2 2" xfId="24715" xr:uid="{00000000-0005-0000-0000-00008F600000}"/>
    <cellStyle name="Percent 7 10 3 3" xfId="21880" xr:uid="{00000000-0005-0000-0000-00007C550000}"/>
    <cellStyle name="Percent 7 10 4" xfId="16811" xr:uid="{00000000-0005-0000-0000-0000AF410000}"/>
    <cellStyle name="Percent 7 10 4 2" xfId="23470" xr:uid="{00000000-0005-0000-0000-0000B25B0000}"/>
    <cellStyle name="Percent 7 10 5" xfId="19559" xr:uid="{00000000-0005-0000-0000-00006B4C0000}"/>
    <cellStyle name="Percent 7 10 6" xfId="12071" xr:uid="{00000000-0005-0000-0000-00002B2F0000}"/>
    <cellStyle name="Percent 7 10 7" xfId="20318" xr:uid="{00000000-0005-0000-0000-0000624F0000}"/>
    <cellStyle name="Percent 7 11" xfId="9557" xr:uid="{00000000-0005-0000-0000-000059250000}"/>
    <cellStyle name="Percent 7 11 2" xfId="17785" xr:uid="{00000000-0005-0000-0000-00007D450000}"/>
    <cellStyle name="Percent 7 11 2 2" xfId="24297" xr:uid="{00000000-0005-0000-0000-0000ED5E0000}"/>
    <cellStyle name="Percent 7 11 3" xfId="13892" xr:uid="{00000000-0005-0000-0000-000048360000}"/>
    <cellStyle name="Percent 7 11 4" xfId="21462" xr:uid="{00000000-0005-0000-0000-0000DA530000}"/>
    <cellStyle name="Percent 7 12" xfId="13893" xr:uid="{00000000-0005-0000-0000-000049360000}"/>
    <cellStyle name="Percent 7 13" xfId="13894" xr:uid="{00000000-0005-0000-0000-00004A360000}"/>
    <cellStyle name="Percent 7 14" xfId="13895" xr:uid="{00000000-0005-0000-0000-00004B360000}"/>
    <cellStyle name="Percent 7 15" xfId="15183" xr:uid="{00000000-0005-0000-0000-0000533B0000}"/>
    <cellStyle name="Percent 7 16" xfId="15349" xr:uid="{00000000-0005-0000-0000-0000F93B0000}"/>
    <cellStyle name="Percent 7 16 2" xfId="23207" xr:uid="{00000000-0005-0000-0000-0000AB5A0000}"/>
    <cellStyle name="Percent 7 17" xfId="17205" xr:uid="{00000000-0005-0000-0000-000039430000}"/>
    <cellStyle name="Percent 7 18" xfId="12070" xr:uid="{00000000-0005-0000-0000-00002A2F0000}"/>
    <cellStyle name="Percent 7 19" xfId="19623" xr:uid="{00000000-0005-0000-0000-0000AB4C0000}"/>
    <cellStyle name="Percent 7 2" xfId="1800" xr:uid="{00000000-0005-0000-0000-00000C070000}"/>
    <cellStyle name="Percent 7 2 2" xfId="2920" xr:uid="{00000000-0005-0000-0000-00006C0B0000}"/>
    <cellStyle name="Percent 7 2 2 2" xfId="13896" xr:uid="{00000000-0005-0000-0000-00004C360000}"/>
    <cellStyle name="Percent 7 2 3" xfId="13897" xr:uid="{00000000-0005-0000-0000-00004D360000}"/>
    <cellStyle name="Percent 7 2 4" xfId="13898" xr:uid="{00000000-0005-0000-0000-00004E360000}"/>
    <cellStyle name="Percent 7 2 5" xfId="13899" xr:uid="{00000000-0005-0000-0000-00004F360000}"/>
    <cellStyle name="Percent 7 2 6" xfId="15184" xr:uid="{00000000-0005-0000-0000-0000543B0000}"/>
    <cellStyle name="Percent 7 2 7" xfId="17194" xr:uid="{00000000-0005-0000-0000-00002E430000}"/>
    <cellStyle name="Percent 7 2 8" xfId="12072" xr:uid="{00000000-0005-0000-0000-00002C2F0000}"/>
    <cellStyle name="Percent 7 20" xfId="4543" xr:uid="{00000000-0005-0000-0000-0000C3110000}"/>
    <cellStyle name="Percent 7 3" xfId="1801" xr:uid="{00000000-0005-0000-0000-00000D070000}"/>
    <cellStyle name="Percent 7 3 2" xfId="2921" xr:uid="{00000000-0005-0000-0000-00006D0B0000}"/>
    <cellStyle name="Percent 7 3 2 2" xfId="13900" xr:uid="{00000000-0005-0000-0000-000050360000}"/>
    <cellStyle name="Percent 7 3 3" xfId="13901" xr:uid="{00000000-0005-0000-0000-000051360000}"/>
    <cellStyle name="Percent 7 3 4" xfId="13902" xr:uid="{00000000-0005-0000-0000-000052360000}"/>
    <cellStyle name="Percent 7 3 5" xfId="13903" xr:uid="{00000000-0005-0000-0000-000053360000}"/>
    <cellStyle name="Percent 7 3 6" xfId="15185" xr:uid="{00000000-0005-0000-0000-0000553B0000}"/>
    <cellStyle name="Percent 7 3 7" xfId="16735" xr:uid="{00000000-0005-0000-0000-000063410000}"/>
    <cellStyle name="Percent 7 3 8" xfId="12073" xr:uid="{00000000-0005-0000-0000-00002D2F0000}"/>
    <cellStyle name="Percent 7 4" xfId="1802" xr:uid="{00000000-0005-0000-0000-00000E070000}"/>
    <cellStyle name="Percent 7 4 2" xfId="2922" xr:uid="{00000000-0005-0000-0000-00006E0B0000}"/>
    <cellStyle name="Percent 7 4 2 2" xfId="13904" xr:uid="{00000000-0005-0000-0000-000054360000}"/>
    <cellStyle name="Percent 7 4 3" xfId="13905" xr:uid="{00000000-0005-0000-0000-000055360000}"/>
    <cellStyle name="Percent 7 4 4" xfId="13906" xr:uid="{00000000-0005-0000-0000-000056360000}"/>
    <cellStyle name="Percent 7 4 5" xfId="13907" xr:uid="{00000000-0005-0000-0000-000057360000}"/>
    <cellStyle name="Percent 7 4 6" xfId="15186" xr:uid="{00000000-0005-0000-0000-0000563B0000}"/>
    <cellStyle name="Percent 7 4 7" xfId="16736" xr:uid="{00000000-0005-0000-0000-000064410000}"/>
    <cellStyle name="Percent 7 4 8" xfId="12074" xr:uid="{00000000-0005-0000-0000-00002E2F0000}"/>
    <cellStyle name="Percent 7 5" xfId="1803" xr:uid="{00000000-0005-0000-0000-00000F070000}"/>
    <cellStyle name="Percent 7 5 2" xfId="2923" xr:uid="{00000000-0005-0000-0000-00006F0B0000}"/>
    <cellStyle name="Percent 7 5 2 2" xfId="13908" xr:uid="{00000000-0005-0000-0000-000058360000}"/>
    <cellStyle name="Percent 7 5 3" xfId="13909" xr:uid="{00000000-0005-0000-0000-000059360000}"/>
    <cellStyle name="Percent 7 5 4" xfId="13910" xr:uid="{00000000-0005-0000-0000-00005A360000}"/>
    <cellStyle name="Percent 7 5 5" xfId="13911" xr:uid="{00000000-0005-0000-0000-00005B360000}"/>
    <cellStyle name="Percent 7 5 6" xfId="15187" xr:uid="{00000000-0005-0000-0000-0000573B0000}"/>
    <cellStyle name="Percent 7 5 7" xfId="16713" xr:uid="{00000000-0005-0000-0000-00004D410000}"/>
    <cellStyle name="Percent 7 5 8" xfId="12075" xr:uid="{00000000-0005-0000-0000-00002F2F0000}"/>
    <cellStyle name="Percent 7 6" xfId="1804" xr:uid="{00000000-0005-0000-0000-000010070000}"/>
    <cellStyle name="Percent 7 6 2" xfId="2924" xr:uid="{00000000-0005-0000-0000-0000700B0000}"/>
    <cellStyle name="Percent 7 6 2 2" xfId="13912" xr:uid="{00000000-0005-0000-0000-00005C360000}"/>
    <cellStyle name="Percent 7 6 3" xfId="13913" xr:uid="{00000000-0005-0000-0000-00005D360000}"/>
    <cellStyle name="Percent 7 6 4" xfId="13914" xr:uid="{00000000-0005-0000-0000-00005E360000}"/>
    <cellStyle name="Percent 7 6 5" xfId="13915" xr:uid="{00000000-0005-0000-0000-00005F360000}"/>
    <cellStyle name="Percent 7 6 6" xfId="15188" xr:uid="{00000000-0005-0000-0000-0000583B0000}"/>
    <cellStyle name="Percent 7 6 7" xfId="19505" xr:uid="{00000000-0005-0000-0000-0000354C0000}"/>
    <cellStyle name="Percent 7 6 8" xfId="12076" xr:uid="{00000000-0005-0000-0000-0000302F0000}"/>
    <cellStyle name="Percent 7 7" xfId="1805" xr:uid="{00000000-0005-0000-0000-000011070000}"/>
    <cellStyle name="Percent 7 7 2" xfId="2925" xr:uid="{00000000-0005-0000-0000-0000710B0000}"/>
    <cellStyle name="Percent 7 7 2 2" xfId="13916" xr:uid="{00000000-0005-0000-0000-000060360000}"/>
    <cellStyle name="Percent 7 7 3" xfId="13917" xr:uid="{00000000-0005-0000-0000-000061360000}"/>
    <cellStyle name="Percent 7 7 4" xfId="13918" xr:uid="{00000000-0005-0000-0000-000062360000}"/>
    <cellStyle name="Percent 7 7 5" xfId="13919" xr:uid="{00000000-0005-0000-0000-000063360000}"/>
    <cellStyle name="Percent 7 7 6" xfId="15189" xr:uid="{00000000-0005-0000-0000-0000593B0000}"/>
    <cellStyle name="Percent 7 7 7" xfId="15660" xr:uid="{00000000-0005-0000-0000-0000303D0000}"/>
    <cellStyle name="Percent 7 7 8" xfId="12077" xr:uid="{00000000-0005-0000-0000-0000312F0000}"/>
    <cellStyle name="Percent 7 8" xfId="1806" xr:uid="{00000000-0005-0000-0000-000012070000}"/>
    <cellStyle name="Percent 7 8 2" xfId="2926" xr:uid="{00000000-0005-0000-0000-0000720B0000}"/>
    <cellStyle name="Percent 7 8 2 2" xfId="13920" xr:uid="{00000000-0005-0000-0000-000064360000}"/>
    <cellStyle name="Percent 7 8 3" xfId="13921" xr:uid="{00000000-0005-0000-0000-000065360000}"/>
    <cellStyle name="Percent 7 8 4" xfId="13922" xr:uid="{00000000-0005-0000-0000-000066360000}"/>
    <cellStyle name="Percent 7 8 5" xfId="13923" xr:uid="{00000000-0005-0000-0000-000067360000}"/>
    <cellStyle name="Percent 7 8 6" xfId="15190" xr:uid="{00000000-0005-0000-0000-00005A3B0000}"/>
    <cellStyle name="Percent 7 8 7" xfId="16649" xr:uid="{00000000-0005-0000-0000-00000D410000}"/>
    <cellStyle name="Percent 7 8 8" xfId="12078" xr:uid="{00000000-0005-0000-0000-0000322F0000}"/>
    <cellStyle name="Percent 7 9" xfId="2919" xr:uid="{00000000-0005-0000-0000-00006B0B0000}"/>
    <cellStyle name="Percent 7 9 10" xfId="7900" xr:uid="{00000000-0005-0000-0000-0000E01E0000}"/>
    <cellStyle name="Percent 7 9 2" xfId="8322" xr:uid="{00000000-0005-0000-0000-000086200000}"/>
    <cellStyle name="Percent 7 9 2 2" xfId="10184" xr:uid="{00000000-0005-0000-0000-0000CC270000}"/>
    <cellStyle name="Percent 7 9 2 2 2" xfId="18412" xr:uid="{00000000-0005-0000-0000-0000F0470000}"/>
    <cellStyle name="Percent 7 9 2 2 2 2" xfId="24924" xr:uid="{00000000-0005-0000-0000-000060610000}"/>
    <cellStyle name="Percent 7 9 2 2 3" xfId="22089" xr:uid="{00000000-0005-0000-0000-00004D560000}"/>
    <cellStyle name="Percent 7 9 2 3" xfId="17002" xr:uid="{00000000-0005-0000-0000-00006E420000}"/>
    <cellStyle name="Percent 7 9 2 3 2" xfId="23659" xr:uid="{00000000-0005-0000-0000-00006F5C0000}"/>
    <cellStyle name="Percent 7 9 2 4" xfId="13924" xr:uid="{00000000-0005-0000-0000-000068360000}"/>
    <cellStyle name="Percent 7 9 2 5" xfId="20527" xr:uid="{00000000-0005-0000-0000-000033500000}"/>
    <cellStyle name="Percent 7 9 3" xfId="9530" xr:uid="{00000000-0005-0000-0000-00003E250000}"/>
    <cellStyle name="Percent 7 9 3 2" xfId="10794" xr:uid="{00000000-0005-0000-0000-00002E2A0000}"/>
    <cellStyle name="Percent 7 9 3 2 2" xfId="19022" xr:uid="{00000000-0005-0000-0000-0000524A0000}"/>
    <cellStyle name="Percent 7 9 3 2 2 2" xfId="25534" xr:uid="{00000000-0005-0000-0000-0000C2630000}"/>
    <cellStyle name="Percent 7 9 3 2 3" xfId="22699" xr:uid="{00000000-0005-0000-0000-0000AF580000}"/>
    <cellStyle name="Percent 7 9 3 3" xfId="17758" xr:uid="{00000000-0005-0000-0000-000062450000}"/>
    <cellStyle name="Percent 7 9 3 3 2" xfId="24278" xr:uid="{00000000-0005-0000-0000-0000DA5E0000}"/>
    <cellStyle name="Percent 7 9 3 4" xfId="13925" xr:uid="{00000000-0005-0000-0000-000069360000}"/>
    <cellStyle name="Percent 7 9 3 5" xfId="21443" xr:uid="{00000000-0005-0000-0000-0000C7530000}"/>
    <cellStyle name="Percent 7 9 4" xfId="9766" xr:uid="{00000000-0005-0000-0000-00002A260000}"/>
    <cellStyle name="Percent 7 9 4 2" xfId="17994" xr:uid="{00000000-0005-0000-0000-00004E460000}"/>
    <cellStyle name="Percent 7 9 4 2 2" xfId="24506" xr:uid="{00000000-0005-0000-0000-0000BE5F0000}"/>
    <cellStyle name="Percent 7 9 4 3" xfId="13926" xr:uid="{00000000-0005-0000-0000-00006A360000}"/>
    <cellStyle name="Percent 7 9 4 4" xfId="21671" xr:uid="{00000000-0005-0000-0000-0000AB540000}"/>
    <cellStyle name="Percent 7 9 5" xfId="13927" xr:uid="{00000000-0005-0000-0000-00006B360000}"/>
    <cellStyle name="Percent 7 9 6" xfId="16761" xr:uid="{00000000-0005-0000-0000-00007D410000}"/>
    <cellStyle name="Percent 7 9 6 2" xfId="23455" xr:uid="{00000000-0005-0000-0000-0000A35B0000}"/>
    <cellStyle name="Percent 7 9 7" xfId="16394" xr:uid="{00000000-0005-0000-0000-00000E400000}"/>
    <cellStyle name="Percent 7 9 8" xfId="12079" xr:uid="{00000000-0005-0000-0000-0000332F0000}"/>
    <cellStyle name="Percent 7 9 9" xfId="20109" xr:uid="{00000000-0005-0000-0000-0000914E0000}"/>
    <cellStyle name="Percent 8" xfId="1807" xr:uid="{00000000-0005-0000-0000-000013070000}"/>
    <cellStyle name="Percent 8 10" xfId="13928" xr:uid="{00000000-0005-0000-0000-00006C360000}"/>
    <cellStyle name="Percent 8 11" xfId="13929" xr:uid="{00000000-0005-0000-0000-00006D360000}"/>
    <cellStyle name="Percent 8 12" xfId="13930" xr:uid="{00000000-0005-0000-0000-00006E360000}"/>
    <cellStyle name="Percent 8 13" xfId="15191" xr:uid="{00000000-0005-0000-0000-00005B3B0000}"/>
    <cellStyle name="Percent 8 14" xfId="15600" xr:uid="{00000000-0005-0000-0000-0000F43C0000}"/>
    <cellStyle name="Percent 8 15" xfId="12080" xr:uid="{00000000-0005-0000-0000-0000342F0000}"/>
    <cellStyle name="Percent 8 2" xfId="1808" xr:uid="{00000000-0005-0000-0000-000014070000}"/>
    <cellStyle name="Percent 8 2 2" xfId="2928" xr:uid="{00000000-0005-0000-0000-0000740B0000}"/>
    <cellStyle name="Percent 8 2 2 2" xfId="13931" xr:uid="{00000000-0005-0000-0000-00006F360000}"/>
    <cellStyle name="Percent 8 2 3" xfId="13932" xr:uid="{00000000-0005-0000-0000-000070360000}"/>
    <cellStyle name="Percent 8 2 4" xfId="13933" xr:uid="{00000000-0005-0000-0000-000071360000}"/>
    <cellStyle name="Percent 8 2 5" xfId="13934" xr:uid="{00000000-0005-0000-0000-000072360000}"/>
    <cellStyle name="Percent 8 2 6" xfId="15192" xr:uid="{00000000-0005-0000-0000-00005C3B0000}"/>
    <cellStyle name="Percent 8 2 7" xfId="15598" xr:uid="{00000000-0005-0000-0000-0000F23C0000}"/>
    <cellStyle name="Percent 8 2 8" xfId="12081" xr:uid="{00000000-0005-0000-0000-0000352F0000}"/>
    <cellStyle name="Percent 8 3" xfId="1809" xr:uid="{00000000-0005-0000-0000-000015070000}"/>
    <cellStyle name="Percent 8 3 2" xfId="2929" xr:uid="{00000000-0005-0000-0000-0000750B0000}"/>
    <cellStyle name="Percent 8 3 2 2" xfId="13935" xr:uid="{00000000-0005-0000-0000-000073360000}"/>
    <cellStyle name="Percent 8 3 3" xfId="13936" xr:uid="{00000000-0005-0000-0000-000074360000}"/>
    <cellStyle name="Percent 8 3 4" xfId="13937" xr:uid="{00000000-0005-0000-0000-000075360000}"/>
    <cellStyle name="Percent 8 3 5" xfId="13938" xr:uid="{00000000-0005-0000-0000-000076360000}"/>
    <cellStyle name="Percent 8 3 6" xfId="15193" xr:uid="{00000000-0005-0000-0000-00005D3B0000}"/>
    <cellStyle name="Percent 8 3 7" xfId="16345" xr:uid="{00000000-0005-0000-0000-0000DD3F0000}"/>
    <cellStyle name="Percent 8 3 8" xfId="12082" xr:uid="{00000000-0005-0000-0000-0000362F0000}"/>
    <cellStyle name="Percent 8 4" xfId="1810" xr:uid="{00000000-0005-0000-0000-000016070000}"/>
    <cellStyle name="Percent 8 4 2" xfId="2930" xr:uid="{00000000-0005-0000-0000-0000760B0000}"/>
    <cellStyle name="Percent 8 4 2 2" xfId="13939" xr:uid="{00000000-0005-0000-0000-000077360000}"/>
    <cellStyle name="Percent 8 4 3" xfId="13940" xr:uid="{00000000-0005-0000-0000-000078360000}"/>
    <cellStyle name="Percent 8 4 4" xfId="13941" xr:uid="{00000000-0005-0000-0000-000079360000}"/>
    <cellStyle name="Percent 8 4 5" xfId="13942" xr:uid="{00000000-0005-0000-0000-00007A360000}"/>
    <cellStyle name="Percent 8 4 6" xfId="15194" xr:uid="{00000000-0005-0000-0000-00005E3B0000}"/>
    <cellStyle name="Percent 8 4 7" xfId="19200" xr:uid="{00000000-0005-0000-0000-0000044B0000}"/>
    <cellStyle name="Percent 8 4 8" xfId="12083" xr:uid="{00000000-0005-0000-0000-0000372F0000}"/>
    <cellStyle name="Percent 8 5" xfId="1811" xr:uid="{00000000-0005-0000-0000-000017070000}"/>
    <cellStyle name="Percent 8 5 2" xfId="2931" xr:uid="{00000000-0005-0000-0000-0000770B0000}"/>
    <cellStyle name="Percent 8 5 2 2" xfId="13943" xr:uid="{00000000-0005-0000-0000-00007B360000}"/>
    <cellStyle name="Percent 8 5 3" xfId="13944" xr:uid="{00000000-0005-0000-0000-00007C360000}"/>
    <cellStyle name="Percent 8 5 4" xfId="13945" xr:uid="{00000000-0005-0000-0000-00007D360000}"/>
    <cellStyle name="Percent 8 5 5" xfId="13946" xr:uid="{00000000-0005-0000-0000-00007E360000}"/>
    <cellStyle name="Percent 8 5 6" xfId="15195" xr:uid="{00000000-0005-0000-0000-00005F3B0000}"/>
    <cellStyle name="Percent 8 5 7" xfId="15708" xr:uid="{00000000-0005-0000-0000-0000603D0000}"/>
    <cellStyle name="Percent 8 5 8" xfId="12084" xr:uid="{00000000-0005-0000-0000-0000382F0000}"/>
    <cellStyle name="Percent 8 6" xfId="1812" xr:uid="{00000000-0005-0000-0000-000018070000}"/>
    <cellStyle name="Percent 8 6 2" xfId="2932" xr:uid="{00000000-0005-0000-0000-0000780B0000}"/>
    <cellStyle name="Percent 8 6 2 2" xfId="13947" xr:uid="{00000000-0005-0000-0000-00007F360000}"/>
    <cellStyle name="Percent 8 6 3" xfId="13948" xr:uid="{00000000-0005-0000-0000-000080360000}"/>
    <cellStyle name="Percent 8 6 4" xfId="13949" xr:uid="{00000000-0005-0000-0000-000081360000}"/>
    <cellStyle name="Percent 8 6 5" xfId="13950" xr:uid="{00000000-0005-0000-0000-000082360000}"/>
    <cellStyle name="Percent 8 6 6" xfId="15196" xr:uid="{00000000-0005-0000-0000-0000603B0000}"/>
    <cellStyle name="Percent 8 6 7" xfId="15524" xr:uid="{00000000-0005-0000-0000-0000A83C0000}"/>
    <cellStyle name="Percent 8 6 8" xfId="12085" xr:uid="{00000000-0005-0000-0000-0000392F0000}"/>
    <cellStyle name="Percent 8 7" xfId="1813" xr:uid="{00000000-0005-0000-0000-000019070000}"/>
    <cellStyle name="Percent 8 7 2" xfId="2933" xr:uid="{00000000-0005-0000-0000-0000790B0000}"/>
    <cellStyle name="Percent 8 7 2 2" xfId="13951" xr:uid="{00000000-0005-0000-0000-000083360000}"/>
    <cellStyle name="Percent 8 7 3" xfId="13952" xr:uid="{00000000-0005-0000-0000-000084360000}"/>
    <cellStyle name="Percent 8 7 4" xfId="13953" xr:uid="{00000000-0005-0000-0000-000085360000}"/>
    <cellStyle name="Percent 8 7 5" xfId="13954" xr:uid="{00000000-0005-0000-0000-000086360000}"/>
    <cellStyle name="Percent 8 7 6" xfId="15197" xr:uid="{00000000-0005-0000-0000-0000613B0000}"/>
    <cellStyle name="Percent 8 7 7" xfId="16723" xr:uid="{00000000-0005-0000-0000-000057410000}"/>
    <cellStyle name="Percent 8 7 8" xfId="12086" xr:uid="{00000000-0005-0000-0000-00003A2F0000}"/>
    <cellStyle name="Percent 8 8" xfId="1814" xr:uid="{00000000-0005-0000-0000-00001A070000}"/>
    <cellStyle name="Percent 8 8 2" xfId="2934" xr:uid="{00000000-0005-0000-0000-00007A0B0000}"/>
    <cellStyle name="Percent 8 8 2 2" xfId="13955" xr:uid="{00000000-0005-0000-0000-000087360000}"/>
    <cellStyle name="Percent 8 8 3" xfId="13956" xr:uid="{00000000-0005-0000-0000-000088360000}"/>
    <cellStyle name="Percent 8 8 4" xfId="13957" xr:uid="{00000000-0005-0000-0000-000089360000}"/>
    <cellStyle name="Percent 8 8 5" xfId="13958" xr:uid="{00000000-0005-0000-0000-00008A360000}"/>
    <cellStyle name="Percent 8 8 6" xfId="15198" xr:uid="{00000000-0005-0000-0000-0000623B0000}"/>
    <cellStyle name="Percent 8 8 7" xfId="19096" xr:uid="{00000000-0005-0000-0000-00009C4A0000}"/>
    <cellStyle name="Percent 8 8 8" xfId="12087" xr:uid="{00000000-0005-0000-0000-00003B2F0000}"/>
    <cellStyle name="Percent 8 9" xfId="2927" xr:uid="{00000000-0005-0000-0000-0000730B0000}"/>
    <cellStyle name="Percent 8 9 2" xfId="13959" xr:uid="{00000000-0005-0000-0000-00008B360000}"/>
    <cellStyle name="Percent 9" xfId="1815" xr:uid="{00000000-0005-0000-0000-00001B070000}"/>
    <cellStyle name="Percent 9 10" xfId="7020" xr:uid="{00000000-0005-0000-0000-0000701B0000}"/>
    <cellStyle name="Percent 9 10 2" xfId="13960" xr:uid="{00000000-0005-0000-0000-00008C360000}"/>
    <cellStyle name="Percent 9 10 3" xfId="13961" xr:uid="{00000000-0005-0000-0000-00008D360000}"/>
    <cellStyle name="Percent 9 10 4" xfId="13962" xr:uid="{00000000-0005-0000-0000-00008E360000}"/>
    <cellStyle name="Percent 9 10 5" xfId="13963" xr:uid="{00000000-0005-0000-0000-00008F360000}"/>
    <cellStyle name="Percent 9 10 6" xfId="13964" xr:uid="{00000000-0005-0000-0000-000090360000}"/>
    <cellStyle name="Percent 9 10 7" xfId="15963" xr:uid="{00000000-0005-0000-0000-00005F3E0000}"/>
    <cellStyle name="Percent 9 10 8" xfId="15961" xr:uid="{00000000-0005-0000-0000-00005D3E0000}"/>
    <cellStyle name="Percent 9 10 9" xfId="12089" xr:uid="{00000000-0005-0000-0000-00003D2F0000}"/>
    <cellStyle name="Percent 9 11" xfId="7021" xr:uid="{00000000-0005-0000-0000-0000711B0000}"/>
    <cellStyle name="Percent 9 11 2" xfId="13965" xr:uid="{00000000-0005-0000-0000-000091360000}"/>
    <cellStyle name="Percent 9 11 3" xfId="13966" xr:uid="{00000000-0005-0000-0000-000092360000}"/>
    <cellStyle name="Percent 9 11 4" xfId="13967" xr:uid="{00000000-0005-0000-0000-000093360000}"/>
    <cellStyle name="Percent 9 11 5" xfId="13968" xr:uid="{00000000-0005-0000-0000-000094360000}"/>
    <cellStyle name="Percent 9 11 6" xfId="13969" xr:uid="{00000000-0005-0000-0000-000095360000}"/>
    <cellStyle name="Percent 9 11 7" xfId="15964" xr:uid="{00000000-0005-0000-0000-0000603E0000}"/>
    <cellStyle name="Percent 9 11 8" xfId="15374" xr:uid="{00000000-0005-0000-0000-0000123C0000}"/>
    <cellStyle name="Percent 9 11 9" xfId="12090" xr:uid="{00000000-0005-0000-0000-00003E2F0000}"/>
    <cellStyle name="Percent 9 12" xfId="7022" xr:uid="{00000000-0005-0000-0000-0000721B0000}"/>
    <cellStyle name="Percent 9 12 2" xfId="13970" xr:uid="{00000000-0005-0000-0000-000096360000}"/>
    <cellStyle name="Percent 9 12 3" xfId="13971" xr:uid="{00000000-0005-0000-0000-000097360000}"/>
    <cellStyle name="Percent 9 12 4" xfId="13972" xr:uid="{00000000-0005-0000-0000-000098360000}"/>
    <cellStyle name="Percent 9 12 5" xfId="13973" xr:uid="{00000000-0005-0000-0000-000099360000}"/>
    <cellStyle name="Percent 9 12 6" xfId="13974" xr:uid="{00000000-0005-0000-0000-00009A360000}"/>
    <cellStyle name="Percent 9 12 7" xfId="15965" xr:uid="{00000000-0005-0000-0000-0000613E0000}"/>
    <cellStyle name="Percent 9 12 8" xfId="15671" xr:uid="{00000000-0005-0000-0000-00003B3D0000}"/>
    <cellStyle name="Percent 9 12 9" xfId="12091" xr:uid="{00000000-0005-0000-0000-00003F2F0000}"/>
    <cellStyle name="Percent 9 13" xfId="7023" xr:uid="{00000000-0005-0000-0000-0000731B0000}"/>
    <cellStyle name="Percent 9 13 2" xfId="13975" xr:uid="{00000000-0005-0000-0000-00009B360000}"/>
    <cellStyle name="Percent 9 13 3" xfId="13976" xr:uid="{00000000-0005-0000-0000-00009C360000}"/>
    <cellStyle name="Percent 9 13 4" xfId="13977" xr:uid="{00000000-0005-0000-0000-00009D360000}"/>
    <cellStyle name="Percent 9 13 5" xfId="13978" xr:uid="{00000000-0005-0000-0000-00009E360000}"/>
    <cellStyle name="Percent 9 13 6" xfId="13979" xr:uid="{00000000-0005-0000-0000-00009F360000}"/>
    <cellStyle name="Percent 9 13 7" xfId="15966" xr:uid="{00000000-0005-0000-0000-0000623E0000}"/>
    <cellStyle name="Percent 9 13 8" xfId="15635" xr:uid="{00000000-0005-0000-0000-0000173D0000}"/>
    <cellStyle name="Percent 9 13 9" xfId="12092" xr:uid="{00000000-0005-0000-0000-0000402F0000}"/>
    <cellStyle name="Percent 9 14" xfId="7024" xr:uid="{00000000-0005-0000-0000-0000741B0000}"/>
    <cellStyle name="Percent 9 14 2" xfId="13980" xr:uid="{00000000-0005-0000-0000-0000A0360000}"/>
    <cellStyle name="Percent 9 14 3" xfId="13981" xr:uid="{00000000-0005-0000-0000-0000A1360000}"/>
    <cellStyle name="Percent 9 14 4" xfId="13982" xr:uid="{00000000-0005-0000-0000-0000A2360000}"/>
    <cellStyle name="Percent 9 14 5" xfId="13983" xr:uid="{00000000-0005-0000-0000-0000A3360000}"/>
    <cellStyle name="Percent 9 14 6" xfId="13984" xr:uid="{00000000-0005-0000-0000-0000A4360000}"/>
    <cellStyle name="Percent 9 14 7" xfId="15967" xr:uid="{00000000-0005-0000-0000-0000633E0000}"/>
    <cellStyle name="Percent 9 14 8" xfId="16674" xr:uid="{00000000-0005-0000-0000-000026410000}"/>
    <cellStyle name="Percent 9 14 9" xfId="12093" xr:uid="{00000000-0005-0000-0000-0000412F0000}"/>
    <cellStyle name="Percent 9 15" xfId="7025" xr:uid="{00000000-0005-0000-0000-0000751B0000}"/>
    <cellStyle name="Percent 9 15 2" xfId="13985" xr:uid="{00000000-0005-0000-0000-0000A5360000}"/>
    <cellStyle name="Percent 9 15 3" xfId="13986" xr:uid="{00000000-0005-0000-0000-0000A6360000}"/>
    <cellStyle name="Percent 9 15 4" xfId="13987" xr:uid="{00000000-0005-0000-0000-0000A7360000}"/>
    <cellStyle name="Percent 9 15 5" xfId="13988" xr:uid="{00000000-0005-0000-0000-0000A8360000}"/>
    <cellStyle name="Percent 9 15 6" xfId="13989" xr:uid="{00000000-0005-0000-0000-0000A9360000}"/>
    <cellStyle name="Percent 9 15 7" xfId="15968" xr:uid="{00000000-0005-0000-0000-0000643E0000}"/>
    <cellStyle name="Percent 9 15 8" xfId="15496" xr:uid="{00000000-0005-0000-0000-00008C3C0000}"/>
    <cellStyle name="Percent 9 15 9" xfId="12094" xr:uid="{00000000-0005-0000-0000-0000422F0000}"/>
    <cellStyle name="Percent 9 16" xfId="7026" xr:uid="{00000000-0005-0000-0000-0000761B0000}"/>
    <cellStyle name="Percent 9 16 2" xfId="13990" xr:uid="{00000000-0005-0000-0000-0000AA360000}"/>
    <cellStyle name="Percent 9 16 3" xfId="13991" xr:uid="{00000000-0005-0000-0000-0000AB360000}"/>
    <cellStyle name="Percent 9 16 4" xfId="13992" xr:uid="{00000000-0005-0000-0000-0000AC360000}"/>
    <cellStyle name="Percent 9 16 5" xfId="13993" xr:uid="{00000000-0005-0000-0000-0000AD360000}"/>
    <cellStyle name="Percent 9 16 6" xfId="13994" xr:uid="{00000000-0005-0000-0000-0000AE360000}"/>
    <cellStyle name="Percent 9 16 7" xfId="15969" xr:uid="{00000000-0005-0000-0000-0000653E0000}"/>
    <cellStyle name="Percent 9 16 8" xfId="19177" xr:uid="{00000000-0005-0000-0000-0000ED4A0000}"/>
    <cellStyle name="Percent 9 16 9" xfId="12095" xr:uid="{00000000-0005-0000-0000-0000432F0000}"/>
    <cellStyle name="Percent 9 17" xfId="7027" xr:uid="{00000000-0005-0000-0000-0000771B0000}"/>
    <cellStyle name="Percent 9 17 2" xfId="13995" xr:uid="{00000000-0005-0000-0000-0000AF360000}"/>
    <cellStyle name="Percent 9 17 3" xfId="13996" xr:uid="{00000000-0005-0000-0000-0000B0360000}"/>
    <cellStyle name="Percent 9 17 4" xfId="13997" xr:uid="{00000000-0005-0000-0000-0000B1360000}"/>
    <cellStyle name="Percent 9 17 5" xfId="13998" xr:uid="{00000000-0005-0000-0000-0000B2360000}"/>
    <cellStyle name="Percent 9 17 6" xfId="13999" xr:uid="{00000000-0005-0000-0000-0000B3360000}"/>
    <cellStyle name="Percent 9 17 7" xfId="15970" xr:uid="{00000000-0005-0000-0000-0000663E0000}"/>
    <cellStyle name="Percent 9 17 8" xfId="19273" xr:uid="{00000000-0005-0000-0000-00004D4B0000}"/>
    <cellStyle name="Percent 9 17 9" xfId="12096" xr:uid="{00000000-0005-0000-0000-0000442F0000}"/>
    <cellStyle name="Percent 9 18" xfId="7028" xr:uid="{00000000-0005-0000-0000-0000781B0000}"/>
    <cellStyle name="Percent 9 18 2" xfId="14000" xr:uid="{00000000-0005-0000-0000-0000B4360000}"/>
    <cellStyle name="Percent 9 18 3" xfId="14001" xr:uid="{00000000-0005-0000-0000-0000B5360000}"/>
    <cellStyle name="Percent 9 18 4" xfId="14002" xr:uid="{00000000-0005-0000-0000-0000B6360000}"/>
    <cellStyle name="Percent 9 18 5" xfId="14003" xr:uid="{00000000-0005-0000-0000-0000B7360000}"/>
    <cellStyle name="Percent 9 18 6" xfId="14004" xr:uid="{00000000-0005-0000-0000-0000B8360000}"/>
    <cellStyle name="Percent 9 18 7" xfId="15971" xr:uid="{00000000-0005-0000-0000-0000673E0000}"/>
    <cellStyle name="Percent 9 18 8" xfId="19492" xr:uid="{00000000-0005-0000-0000-0000284C0000}"/>
    <cellStyle name="Percent 9 18 9" xfId="12097" xr:uid="{00000000-0005-0000-0000-0000452F0000}"/>
    <cellStyle name="Percent 9 19" xfId="7029" xr:uid="{00000000-0005-0000-0000-0000791B0000}"/>
    <cellStyle name="Percent 9 19 2" xfId="14005" xr:uid="{00000000-0005-0000-0000-0000B9360000}"/>
    <cellStyle name="Percent 9 19 3" xfId="14006" xr:uid="{00000000-0005-0000-0000-0000BA360000}"/>
    <cellStyle name="Percent 9 19 4" xfId="14007" xr:uid="{00000000-0005-0000-0000-0000BB360000}"/>
    <cellStyle name="Percent 9 19 5" xfId="14008" xr:uid="{00000000-0005-0000-0000-0000BC360000}"/>
    <cellStyle name="Percent 9 19 6" xfId="14009" xr:uid="{00000000-0005-0000-0000-0000BD360000}"/>
    <cellStyle name="Percent 9 19 7" xfId="15972" xr:uid="{00000000-0005-0000-0000-0000683E0000}"/>
    <cellStyle name="Percent 9 19 8" xfId="19557" xr:uid="{00000000-0005-0000-0000-0000694C0000}"/>
    <cellStyle name="Percent 9 19 9" xfId="12098" xr:uid="{00000000-0005-0000-0000-0000462F0000}"/>
    <cellStyle name="Percent 9 2" xfId="1816" xr:uid="{00000000-0005-0000-0000-00001C070000}"/>
    <cellStyle name="Percent 9 2 10" xfId="15711" xr:uid="{00000000-0005-0000-0000-0000633D0000}"/>
    <cellStyle name="Percent 9 2 11" xfId="12099" xr:uid="{00000000-0005-0000-0000-0000472F0000}"/>
    <cellStyle name="Percent 9 2 12" xfId="7030" xr:uid="{00000000-0005-0000-0000-00007A1B0000}"/>
    <cellStyle name="Percent 9 2 2" xfId="2936" xr:uid="{00000000-0005-0000-0000-00007C0B0000}"/>
    <cellStyle name="Percent 9 2 2 2" xfId="14010" xr:uid="{00000000-0005-0000-0000-0000BE360000}"/>
    <cellStyle name="Percent 9 2 2 3" xfId="14011" xr:uid="{00000000-0005-0000-0000-0000BF360000}"/>
    <cellStyle name="Percent 9 2 2 4" xfId="14012" xr:uid="{00000000-0005-0000-0000-0000C0360000}"/>
    <cellStyle name="Percent 9 2 2 5" xfId="14013" xr:uid="{00000000-0005-0000-0000-0000C1360000}"/>
    <cellStyle name="Percent 9 2 2 6" xfId="16738" xr:uid="{00000000-0005-0000-0000-000066410000}"/>
    <cellStyle name="Percent 9 2 2 7" xfId="19444" xr:uid="{00000000-0005-0000-0000-0000F84B0000}"/>
    <cellStyle name="Percent 9 2 2 8" xfId="12100" xr:uid="{00000000-0005-0000-0000-0000482F0000}"/>
    <cellStyle name="Percent 9 2 3" xfId="9532" xr:uid="{00000000-0005-0000-0000-000040250000}"/>
    <cellStyle name="Percent 9 2 3 2" xfId="17760" xr:uid="{00000000-0005-0000-0000-000064450000}"/>
    <cellStyle name="Percent 9 2 3 3" xfId="17211" xr:uid="{00000000-0005-0000-0000-00003F430000}"/>
    <cellStyle name="Percent 9 2 3 4" xfId="12101" xr:uid="{00000000-0005-0000-0000-0000492F0000}"/>
    <cellStyle name="Percent 9 2 4" xfId="14014" xr:uid="{00000000-0005-0000-0000-0000C2360000}"/>
    <cellStyle name="Percent 9 2 5" xfId="14015" xr:uid="{00000000-0005-0000-0000-0000C3360000}"/>
    <cellStyle name="Percent 9 2 6" xfId="14016" xr:uid="{00000000-0005-0000-0000-0000C4360000}"/>
    <cellStyle name="Percent 9 2 7" xfId="14017" xr:uid="{00000000-0005-0000-0000-0000C5360000}"/>
    <cellStyle name="Percent 9 2 8" xfId="15200" xr:uid="{00000000-0005-0000-0000-0000643B0000}"/>
    <cellStyle name="Percent 9 2 9" xfId="15973" xr:uid="{00000000-0005-0000-0000-0000693E0000}"/>
    <cellStyle name="Percent 9 20" xfId="7031" xr:uid="{00000000-0005-0000-0000-00007B1B0000}"/>
    <cellStyle name="Percent 9 20 2" xfId="14018" xr:uid="{00000000-0005-0000-0000-0000C6360000}"/>
    <cellStyle name="Percent 9 20 3" xfId="14019" xr:uid="{00000000-0005-0000-0000-0000C7360000}"/>
    <cellStyle name="Percent 9 20 4" xfId="14020" xr:uid="{00000000-0005-0000-0000-0000C8360000}"/>
    <cellStyle name="Percent 9 20 5" xfId="14021" xr:uid="{00000000-0005-0000-0000-0000C9360000}"/>
    <cellStyle name="Percent 9 20 6" xfId="14022" xr:uid="{00000000-0005-0000-0000-0000CA360000}"/>
    <cellStyle name="Percent 9 20 7" xfId="15974" xr:uid="{00000000-0005-0000-0000-00006A3E0000}"/>
    <cellStyle name="Percent 9 20 8" xfId="17193" xr:uid="{00000000-0005-0000-0000-00002D430000}"/>
    <cellStyle name="Percent 9 20 9" xfId="12102" xr:uid="{00000000-0005-0000-0000-00004A2F0000}"/>
    <cellStyle name="Percent 9 21" xfId="7858" xr:uid="{00000000-0005-0000-0000-0000B61E0000}"/>
    <cellStyle name="Percent 9 21 2" xfId="16737" xr:uid="{00000000-0005-0000-0000-000065410000}"/>
    <cellStyle name="Percent 9 21 3" xfId="16774" xr:uid="{00000000-0005-0000-0000-00008A410000}"/>
    <cellStyle name="Percent 9 21 4" xfId="12103" xr:uid="{00000000-0005-0000-0000-00004B2F0000}"/>
    <cellStyle name="Percent 9 22" xfId="9531" xr:uid="{00000000-0005-0000-0000-00003F250000}"/>
    <cellStyle name="Percent 9 22 2" xfId="17759" xr:uid="{00000000-0005-0000-0000-000063450000}"/>
    <cellStyle name="Percent 9 22 3" xfId="19078" xr:uid="{00000000-0005-0000-0000-00008A4A0000}"/>
    <cellStyle name="Percent 9 22 4" xfId="12104" xr:uid="{00000000-0005-0000-0000-00004C2F0000}"/>
    <cellStyle name="Percent 9 23" xfId="14023" xr:uid="{00000000-0005-0000-0000-0000CB360000}"/>
    <cellStyle name="Percent 9 24" xfId="14024" xr:uid="{00000000-0005-0000-0000-0000CC360000}"/>
    <cellStyle name="Percent 9 25" xfId="15199" xr:uid="{00000000-0005-0000-0000-0000633B0000}"/>
    <cellStyle name="Percent 9 26" xfId="15763" xr:uid="{00000000-0005-0000-0000-0000973D0000}"/>
    <cellStyle name="Percent 9 27" xfId="16340" xr:uid="{00000000-0005-0000-0000-0000D83F0000}"/>
    <cellStyle name="Percent 9 28" xfId="12088" xr:uid="{00000000-0005-0000-0000-00003C2F0000}"/>
    <cellStyle name="Percent 9 29" xfId="6648" xr:uid="{00000000-0005-0000-0000-0000FC190000}"/>
    <cellStyle name="Percent 9 3" xfId="1817" xr:uid="{00000000-0005-0000-0000-00001D070000}"/>
    <cellStyle name="Percent 9 3 10" xfId="19548" xr:uid="{00000000-0005-0000-0000-0000604C0000}"/>
    <cellStyle name="Percent 9 3 11" xfId="12105" xr:uid="{00000000-0005-0000-0000-00004D2F0000}"/>
    <cellStyle name="Percent 9 3 12" xfId="7032" xr:uid="{00000000-0005-0000-0000-00007C1B0000}"/>
    <cellStyle name="Percent 9 3 2" xfId="2937" xr:uid="{00000000-0005-0000-0000-00007D0B0000}"/>
    <cellStyle name="Percent 9 3 2 2" xfId="14025" xr:uid="{00000000-0005-0000-0000-0000CD360000}"/>
    <cellStyle name="Percent 9 3 2 3" xfId="14026" xr:uid="{00000000-0005-0000-0000-0000CE360000}"/>
    <cellStyle name="Percent 9 3 2 4" xfId="14027" xr:uid="{00000000-0005-0000-0000-0000CF360000}"/>
    <cellStyle name="Percent 9 3 2 5" xfId="14028" xr:uid="{00000000-0005-0000-0000-0000D0360000}"/>
    <cellStyle name="Percent 9 3 2 6" xfId="16739" xr:uid="{00000000-0005-0000-0000-000067410000}"/>
    <cellStyle name="Percent 9 3 2 7" xfId="15390" xr:uid="{00000000-0005-0000-0000-0000223C0000}"/>
    <cellStyle name="Percent 9 3 2 8" xfId="12106" xr:uid="{00000000-0005-0000-0000-00004E2F0000}"/>
    <cellStyle name="Percent 9 3 3" xfId="9533" xr:uid="{00000000-0005-0000-0000-000041250000}"/>
    <cellStyle name="Percent 9 3 3 2" xfId="17761" xr:uid="{00000000-0005-0000-0000-000065450000}"/>
    <cellStyle name="Percent 9 3 3 3" xfId="15468" xr:uid="{00000000-0005-0000-0000-0000703C0000}"/>
    <cellStyle name="Percent 9 3 3 4" xfId="12107" xr:uid="{00000000-0005-0000-0000-00004F2F0000}"/>
    <cellStyle name="Percent 9 3 4" xfId="14029" xr:uid="{00000000-0005-0000-0000-0000D1360000}"/>
    <cellStyle name="Percent 9 3 5" xfId="14030" xr:uid="{00000000-0005-0000-0000-0000D2360000}"/>
    <cellStyle name="Percent 9 3 6" xfId="14031" xr:uid="{00000000-0005-0000-0000-0000D3360000}"/>
    <cellStyle name="Percent 9 3 7" xfId="14032" xr:uid="{00000000-0005-0000-0000-0000D4360000}"/>
    <cellStyle name="Percent 9 3 8" xfId="15201" xr:uid="{00000000-0005-0000-0000-0000653B0000}"/>
    <cellStyle name="Percent 9 3 9" xfId="15975" xr:uid="{00000000-0005-0000-0000-00006B3E0000}"/>
    <cellStyle name="Percent 9 4" xfId="1818" xr:uid="{00000000-0005-0000-0000-00001E070000}"/>
    <cellStyle name="Percent 9 4 10" xfId="16645" xr:uid="{00000000-0005-0000-0000-000009410000}"/>
    <cellStyle name="Percent 9 4 11" xfId="12108" xr:uid="{00000000-0005-0000-0000-0000502F0000}"/>
    <cellStyle name="Percent 9 4 12" xfId="7033" xr:uid="{00000000-0005-0000-0000-00007D1B0000}"/>
    <cellStyle name="Percent 9 4 2" xfId="2938" xr:uid="{00000000-0005-0000-0000-00007E0B0000}"/>
    <cellStyle name="Percent 9 4 2 2" xfId="14033" xr:uid="{00000000-0005-0000-0000-0000D5360000}"/>
    <cellStyle name="Percent 9 4 2 3" xfId="14034" xr:uid="{00000000-0005-0000-0000-0000D6360000}"/>
    <cellStyle name="Percent 9 4 2 4" xfId="14035" xr:uid="{00000000-0005-0000-0000-0000D7360000}"/>
    <cellStyle name="Percent 9 4 2 5" xfId="14036" xr:uid="{00000000-0005-0000-0000-0000D8360000}"/>
    <cellStyle name="Percent 9 4 2 6" xfId="16740" xr:uid="{00000000-0005-0000-0000-000068410000}"/>
    <cellStyle name="Percent 9 4 2 7" xfId="19084" xr:uid="{00000000-0005-0000-0000-0000904A0000}"/>
    <cellStyle name="Percent 9 4 2 8" xfId="12109" xr:uid="{00000000-0005-0000-0000-0000512F0000}"/>
    <cellStyle name="Percent 9 4 3" xfId="9534" xr:uid="{00000000-0005-0000-0000-000042250000}"/>
    <cellStyle name="Percent 9 4 3 2" xfId="17762" xr:uid="{00000000-0005-0000-0000-000066450000}"/>
    <cellStyle name="Percent 9 4 3 3" xfId="19131" xr:uid="{00000000-0005-0000-0000-0000BF4A0000}"/>
    <cellStyle name="Percent 9 4 3 4" xfId="12110" xr:uid="{00000000-0005-0000-0000-0000522F0000}"/>
    <cellStyle name="Percent 9 4 4" xfId="14037" xr:uid="{00000000-0005-0000-0000-0000D9360000}"/>
    <cellStyle name="Percent 9 4 5" xfId="14038" xr:uid="{00000000-0005-0000-0000-0000DA360000}"/>
    <cellStyle name="Percent 9 4 6" xfId="14039" xr:uid="{00000000-0005-0000-0000-0000DB360000}"/>
    <cellStyle name="Percent 9 4 7" xfId="14040" xr:uid="{00000000-0005-0000-0000-0000DC360000}"/>
    <cellStyle name="Percent 9 4 8" xfId="15202" xr:uid="{00000000-0005-0000-0000-0000663B0000}"/>
    <cellStyle name="Percent 9 4 9" xfId="15976" xr:uid="{00000000-0005-0000-0000-00006C3E0000}"/>
    <cellStyle name="Percent 9 5" xfId="1819" xr:uid="{00000000-0005-0000-0000-00001F070000}"/>
    <cellStyle name="Percent 9 5 10" xfId="19403" xr:uid="{00000000-0005-0000-0000-0000CF4B0000}"/>
    <cellStyle name="Percent 9 5 11" xfId="12111" xr:uid="{00000000-0005-0000-0000-0000532F0000}"/>
    <cellStyle name="Percent 9 5 12" xfId="7034" xr:uid="{00000000-0005-0000-0000-00007E1B0000}"/>
    <cellStyle name="Percent 9 5 2" xfId="2939" xr:uid="{00000000-0005-0000-0000-00007F0B0000}"/>
    <cellStyle name="Percent 9 5 2 2" xfId="14041" xr:uid="{00000000-0005-0000-0000-0000DD360000}"/>
    <cellStyle name="Percent 9 5 2 3" xfId="14042" xr:uid="{00000000-0005-0000-0000-0000DE360000}"/>
    <cellStyle name="Percent 9 5 2 4" xfId="14043" xr:uid="{00000000-0005-0000-0000-0000DF360000}"/>
    <cellStyle name="Percent 9 5 2 5" xfId="14044" xr:uid="{00000000-0005-0000-0000-0000E0360000}"/>
    <cellStyle name="Percent 9 5 2 6" xfId="16741" xr:uid="{00000000-0005-0000-0000-000069410000}"/>
    <cellStyle name="Percent 9 5 2 7" xfId="19029" xr:uid="{00000000-0005-0000-0000-0000594A0000}"/>
    <cellStyle name="Percent 9 5 2 8" xfId="12112" xr:uid="{00000000-0005-0000-0000-0000542F0000}"/>
    <cellStyle name="Percent 9 5 3" xfId="9535" xr:uid="{00000000-0005-0000-0000-000043250000}"/>
    <cellStyle name="Percent 9 5 3 2" xfId="17763" xr:uid="{00000000-0005-0000-0000-000067450000}"/>
    <cellStyle name="Percent 9 5 3 3" xfId="15459" xr:uid="{00000000-0005-0000-0000-0000673C0000}"/>
    <cellStyle name="Percent 9 5 3 4" xfId="12113" xr:uid="{00000000-0005-0000-0000-0000552F0000}"/>
    <cellStyle name="Percent 9 5 4" xfId="14045" xr:uid="{00000000-0005-0000-0000-0000E1360000}"/>
    <cellStyle name="Percent 9 5 5" xfId="14046" xr:uid="{00000000-0005-0000-0000-0000E2360000}"/>
    <cellStyle name="Percent 9 5 6" xfId="14047" xr:uid="{00000000-0005-0000-0000-0000E3360000}"/>
    <cellStyle name="Percent 9 5 7" xfId="14048" xr:uid="{00000000-0005-0000-0000-0000E4360000}"/>
    <cellStyle name="Percent 9 5 8" xfId="15203" xr:uid="{00000000-0005-0000-0000-0000673B0000}"/>
    <cellStyle name="Percent 9 5 9" xfId="15977" xr:uid="{00000000-0005-0000-0000-00006D3E0000}"/>
    <cellStyle name="Percent 9 6" xfId="1820" xr:uid="{00000000-0005-0000-0000-000020070000}"/>
    <cellStyle name="Percent 9 6 10" xfId="16608" xr:uid="{00000000-0005-0000-0000-0000E4400000}"/>
    <cellStyle name="Percent 9 6 11" xfId="12114" xr:uid="{00000000-0005-0000-0000-0000562F0000}"/>
    <cellStyle name="Percent 9 6 12" xfId="7035" xr:uid="{00000000-0005-0000-0000-00007F1B0000}"/>
    <cellStyle name="Percent 9 6 2" xfId="2940" xr:uid="{00000000-0005-0000-0000-0000800B0000}"/>
    <cellStyle name="Percent 9 6 2 2" xfId="14049" xr:uid="{00000000-0005-0000-0000-0000E5360000}"/>
    <cellStyle name="Percent 9 6 2 3" xfId="14050" xr:uid="{00000000-0005-0000-0000-0000E6360000}"/>
    <cellStyle name="Percent 9 6 2 4" xfId="14051" xr:uid="{00000000-0005-0000-0000-0000E7360000}"/>
    <cellStyle name="Percent 9 6 2 5" xfId="14052" xr:uid="{00000000-0005-0000-0000-0000E8360000}"/>
    <cellStyle name="Percent 9 6 2 6" xfId="16742" xr:uid="{00000000-0005-0000-0000-00006A410000}"/>
    <cellStyle name="Percent 9 6 2 7" xfId="19094" xr:uid="{00000000-0005-0000-0000-00009A4A0000}"/>
    <cellStyle name="Percent 9 6 2 8" xfId="12115" xr:uid="{00000000-0005-0000-0000-0000572F0000}"/>
    <cellStyle name="Percent 9 6 3" xfId="9536" xr:uid="{00000000-0005-0000-0000-000044250000}"/>
    <cellStyle name="Percent 9 6 3 2" xfId="17764" xr:uid="{00000000-0005-0000-0000-000068450000}"/>
    <cellStyle name="Percent 9 6 3 3" xfId="19304" xr:uid="{00000000-0005-0000-0000-00006C4B0000}"/>
    <cellStyle name="Percent 9 6 3 4" xfId="12116" xr:uid="{00000000-0005-0000-0000-0000582F0000}"/>
    <cellStyle name="Percent 9 6 4" xfId="14053" xr:uid="{00000000-0005-0000-0000-0000E9360000}"/>
    <cellStyle name="Percent 9 6 5" xfId="14054" xr:uid="{00000000-0005-0000-0000-0000EA360000}"/>
    <cellStyle name="Percent 9 6 6" xfId="14055" xr:uid="{00000000-0005-0000-0000-0000EB360000}"/>
    <cellStyle name="Percent 9 6 7" xfId="14056" xr:uid="{00000000-0005-0000-0000-0000EC360000}"/>
    <cellStyle name="Percent 9 6 8" xfId="15204" xr:uid="{00000000-0005-0000-0000-0000683B0000}"/>
    <cellStyle name="Percent 9 6 9" xfId="15978" xr:uid="{00000000-0005-0000-0000-00006E3E0000}"/>
    <cellStyle name="Percent 9 7" xfId="1821" xr:uid="{00000000-0005-0000-0000-000021070000}"/>
    <cellStyle name="Percent 9 7 10" xfId="15205" xr:uid="{00000000-0005-0000-0000-0000693B0000}"/>
    <cellStyle name="Percent 9 7 11" xfId="15979" xr:uid="{00000000-0005-0000-0000-00006F3E0000}"/>
    <cellStyle name="Percent 9 7 12" xfId="15414" xr:uid="{00000000-0005-0000-0000-00003A3C0000}"/>
    <cellStyle name="Percent 9 7 13" xfId="12117" xr:uid="{00000000-0005-0000-0000-0000592F0000}"/>
    <cellStyle name="Percent 9 7 14" xfId="7036" xr:uid="{00000000-0005-0000-0000-0000801B0000}"/>
    <cellStyle name="Percent 9 7 2" xfId="2941" xr:uid="{00000000-0005-0000-0000-0000810B0000}"/>
    <cellStyle name="Percent 9 7 2 10" xfId="7037" xr:uid="{00000000-0005-0000-0000-0000811B0000}"/>
    <cellStyle name="Percent 9 7 2 2" xfId="14057" xr:uid="{00000000-0005-0000-0000-0000ED360000}"/>
    <cellStyle name="Percent 9 7 2 3" xfId="14058" xr:uid="{00000000-0005-0000-0000-0000EE360000}"/>
    <cellStyle name="Percent 9 7 2 4" xfId="14059" xr:uid="{00000000-0005-0000-0000-0000EF360000}"/>
    <cellStyle name="Percent 9 7 2 5" xfId="14060" xr:uid="{00000000-0005-0000-0000-0000F0360000}"/>
    <cellStyle name="Percent 9 7 2 6" xfId="14061" xr:uid="{00000000-0005-0000-0000-0000F1360000}"/>
    <cellStyle name="Percent 9 7 2 7" xfId="15980" xr:uid="{00000000-0005-0000-0000-0000703E0000}"/>
    <cellStyle name="Percent 9 7 2 8" xfId="16784" xr:uid="{00000000-0005-0000-0000-000094410000}"/>
    <cellStyle name="Percent 9 7 2 9" xfId="12118" xr:uid="{00000000-0005-0000-0000-00005A2F0000}"/>
    <cellStyle name="Percent 9 7 3" xfId="7038" xr:uid="{00000000-0005-0000-0000-0000821B0000}"/>
    <cellStyle name="Percent 9 7 3 2" xfId="14062" xr:uid="{00000000-0005-0000-0000-0000F2360000}"/>
    <cellStyle name="Percent 9 7 3 3" xfId="14063" xr:uid="{00000000-0005-0000-0000-0000F3360000}"/>
    <cellStyle name="Percent 9 7 3 4" xfId="14064" xr:uid="{00000000-0005-0000-0000-0000F4360000}"/>
    <cellStyle name="Percent 9 7 3 5" xfId="14065" xr:uid="{00000000-0005-0000-0000-0000F5360000}"/>
    <cellStyle name="Percent 9 7 3 6" xfId="14066" xr:uid="{00000000-0005-0000-0000-0000F6360000}"/>
    <cellStyle name="Percent 9 7 3 7" xfId="15981" xr:uid="{00000000-0005-0000-0000-0000713E0000}"/>
    <cellStyle name="Percent 9 7 3 8" xfId="15277" xr:uid="{00000000-0005-0000-0000-0000B13B0000}"/>
    <cellStyle name="Percent 9 7 3 9" xfId="12119" xr:uid="{00000000-0005-0000-0000-00005B2F0000}"/>
    <cellStyle name="Percent 9 7 4" xfId="7859" xr:uid="{00000000-0005-0000-0000-0000B71E0000}"/>
    <cellStyle name="Percent 9 7 4 2" xfId="14067" xr:uid="{00000000-0005-0000-0000-0000F7360000}"/>
    <cellStyle name="Percent 9 7 4 3" xfId="14068" xr:uid="{00000000-0005-0000-0000-0000F8360000}"/>
    <cellStyle name="Percent 9 7 4 4" xfId="14069" xr:uid="{00000000-0005-0000-0000-0000F9360000}"/>
    <cellStyle name="Percent 9 7 4 5" xfId="14070" xr:uid="{00000000-0005-0000-0000-0000FA360000}"/>
    <cellStyle name="Percent 9 7 4 6" xfId="16743" xr:uid="{00000000-0005-0000-0000-00006B410000}"/>
    <cellStyle name="Percent 9 7 4 7" xfId="19371" xr:uid="{00000000-0005-0000-0000-0000AF4B0000}"/>
    <cellStyle name="Percent 9 7 4 8" xfId="12120" xr:uid="{00000000-0005-0000-0000-00005C2F0000}"/>
    <cellStyle name="Percent 9 7 5" xfId="9537" xr:uid="{00000000-0005-0000-0000-000045250000}"/>
    <cellStyle name="Percent 9 7 5 2" xfId="17765" xr:uid="{00000000-0005-0000-0000-000069450000}"/>
    <cellStyle name="Percent 9 7 5 3" xfId="17243" xr:uid="{00000000-0005-0000-0000-00005F430000}"/>
    <cellStyle name="Percent 9 7 5 4" xfId="12121" xr:uid="{00000000-0005-0000-0000-00005D2F0000}"/>
    <cellStyle name="Percent 9 7 6" xfId="14071" xr:uid="{00000000-0005-0000-0000-0000FB360000}"/>
    <cellStyle name="Percent 9 7 7" xfId="14072" xr:uid="{00000000-0005-0000-0000-0000FC360000}"/>
    <cellStyle name="Percent 9 7 8" xfId="14073" xr:uid="{00000000-0005-0000-0000-0000FD360000}"/>
    <cellStyle name="Percent 9 7 9" xfId="14074" xr:uid="{00000000-0005-0000-0000-0000FE360000}"/>
    <cellStyle name="Percent 9 8" xfId="1822" xr:uid="{00000000-0005-0000-0000-000022070000}"/>
    <cellStyle name="Percent 9 8 10" xfId="15498" xr:uid="{00000000-0005-0000-0000-00008E3C0000}"/>
    <cellStyle name="Percent 9 8 11" xfId="12122" xr:uid="{00000000-0005-0000-0000-00005E2F0000}"/>
    <cellStyle name="Percent 9 8 12" xfId="7039" xr:uid="{00000000-0005-0000-0000-0000831B0000}"/>
    <cellStyle name="Percent 9 8 2" xfId="2942" xr:uid="{00000000-0005-0000-0000-0000820B0000}"/>
    <cellStyle name="Percent 9 8 2 2" xfId="14075" xr:uid="{00000000-0005-0000-0000-0000FF360000}"/>
    <cellStyle name="Percent 9 8 2 3" xfId="14076" xr:uid="{00000000-0005-0000-0000-000000370000}"/>
    <cellStyle name="Percent 9 8 2 4" xfId="14077" xr:uid="{00000000-0005-0000-0000-000001370000}"/>
    <cellStyle name="Percent 9 8 2 5" xfId="14078" xr:uid="{00000000-0005-0000-0000-000002370000}"/>
    <cellStyle name="Percent 9 8 2 6" xfId="16744" xr:uid="{00000000-0005-0000-0000-00006C410000}"/>
    <cellStyle name="Percent 9 8 2 7" xfId="16800" xr:uid="{00000000-0005-0000-0000-0000A4410000}"/>
    <cellStyle name="Percent 9 8 2 8" xfId="12123" xr:uid="{00000000-0005-0000-0000-00005F2F0000}"/>
    <cellStyle name="Percent 9 8 3" xfId="9538" xr:uid="{00000000-0005-0000-0000-000046250000}"/>
    <cellStyle name="Percent 9 8 3 2" xfId="17766" xr:uid="{00000000-0005-0000-0000-00006A450000}"/>
    <cellStyle name="Percent 9 8 3 3" xfId="15529" xr:uid="{00000000-0005-0000-0000-0000AD3C0000}"/>
    <cellStyle name="Percent 9 8 3 4" xfId="12124" xr:uid="{00000000-0005-0000-0000-0000602F0000}"/>
    <cellStyle name="Percent 9 8 4" xfId="14079" xr:uid="{00000000-0005-0000-0000-000003370000}"/>
    <cellStyle name="Percent 9 8 5" xfId="14080" xr:uid="{00000000-0005-0000-0000-000004370000}"/>
    <cellStyle name="Percent 9 8 6" xfId="14081" xr:uid="{00000000-0005-0000-0000-000005370000}"/>
    <cellStyle name="Percent 9 8 7" xfId="14082" xr:uid="{00000000-0005-0000-0000-000006370000}"/>
    <cellStyle name="Percent 9 8 8" xfId="15206" xr:uid="{00000000-0005-0000-0000-00006A3B0000}"/>
    <cellStyle name="Percent 9 8 9" xfId="15982" xr:uid="{00000000-0005-0000-0000-0000723E0000}"/>
    <cellStyle name="Percent 9 9" xfId="2935" xr:uid="{00000000-0005-0000-0000-00007B0B0000}"/>
    <cellStyle name="Percent 9 9 10" xfId="7040" xr:uid="{00000000-0005-0000-0000-0000841B0000}"/>
    <cellStyle name="Percent 9 9 2" xfId="14083" xr:uid="{00000000-0005-0000-0000-000007370000}"/>
    <cellStyle name="Percent 9 9 3" xfId="14084" xr:uid="{00000000-0005-0000-0000-000008370000}"/>
    <cellStyle name="Percent 9 9 4" xfId="14085" xr:uid="{00000000-0005-0000-0000-000009370000}"/>
    <cellStyle name="Percent 9 9 5" xfId="14086" xr:uid="{00000000-0005-0000-0000-00000A370000}"/>
    <cellStyle name="Percent 9 9 6" xfId="14087" xr:uid="{00000000-0005-0000-0000-00000B370000}"/>
    <cellStyle name="Percent 9 9 7" xfId="15983" xr:uid="{00000000-0005-0000-0000-0000733E0000}"/>
    <cellStyle name="Percent 9 9 8" xfId="15308" xr:uid="{00000000-0005-0000-0000-0000D03B0000}"/>
    <cellStyle name="Percent 9 9 9" xfId="12125" xr:uid="{00000000-0005-0000-0000-0000612F0000}"/>
    <cellStyle name="Percentagem 2 2" xfId="7041" xr:uid="{00000000-0005-0000-0000-0000851B0000}"/>
    <cellStyle name="Percentagem 2 2 2" xfId="14088" xr:uid="{00000000-0005-0000-0000-00000C370000}"/>
    <cellStyle name="Percentagem 2 2 3" xfId="14089" xr:uid="{00000000-0005-0000-0000-00000D370000}"/>
    <cellStyle name="Percentagem 2 2 4" xfId="14090" xr:uid="{00000000-0005-0000-0000-00000E370000}"/>
    <cellStyle name="Percentagem 2 2 5" xfId="14091" xr:uid="{00000000-0005-0000-0000-00000F370000}"/>
    <cellStyle name="Percentagem 2 2 6" xfId="14092" xr:uid="{00000000-0005-0000-0000-000010370000}"/>
    <cellStyle name="Percentagem 2 2 7" xfId="15984" xr:uid="{00000000-0005-0000-0000-0000743E0000}"/>
    <cellStyle name="Percentagem 2 2 8" xfId="19170" xr:uid="{00000000-0005-0000-0000-0000E64A0000}"/>
    <cellStyle name="Percentagem 2 2 9" xfId="12126" xr:uid="{00000000-0005-0000-0000-0000622F0000}"/>
    <cellStyle name="Percentagem 2 3" xfId="7042" xr:uid="{00000000-0005-0000-0000-0000861B0000}"/>
    <cellStyle name="Percentagem 2 3 2" xfId="14093" xr:uid="{00000000-0005-0000-0000-000011370000}"/>
    <cellStyle name="Percentagem 2 3 3" xfId="14094" xr:uid="{00000000-0005-0000-0000-000012370000}"/>
    <cellStyle name="Percentagem 2 3 4" xfId="14095" xr:uid="{00000000-0005-0000-0000-000013370000}"/>
    <cellStyle name="Percentagem 2 3 5" xfId="14096" xr:uid="{00000000-0005-0000-0000-000014370000}"/>
    <cellStyle name="Percentagem 2 3 6" xfId="14097" xr:uid="{00000000-0005-0000-0000-000015370000}"/>
    <cellStyle name="Percentagem 2 3 7" xfId="15985" xr:uid="{00000000-0005-0000-0000-0000753E0000}"/>
    <cellStyle name="Percentagem 2 3 8" xfId="19281" xr:uid="{00000000-0005-0000-0000-0000554B0000}"/>
    <cellStyle name="Percentagem 2 3 9" xfId="12127" xr:uid="{00000000-0005-0000-0000-0000632F0000}"/>
    <cellStyle name="Pilkku_Layo9704" xfId="183" xr:uid="{00000000-0005-0000-0000-0000BB000000}"/>
    <cellStyle name="Pourcentage 2" xfId="11" xr:uid="{00000000-0005-0000-0000-00000F000000}"/>
    <cellStyle name="Pourcentage 2 2" xfId="4460" xr:uid="{00000000-0005-0000-0000-000070110000}"/>
    <cellStyle name="Pourcentage 3" xfId="4457" xr:uid="{00000000-0005-0000-0000-00006D110000}"/>
    <cellStyle name="Pourcentage 4" xfId="29408" xr:uid="{00000000-0005-0000-0000-0000E4720000}"/>
    <cellStyle name="Pyör. luku_Layo9704" xfId="184" xr:uid="{00000000-0005-0000-0000-0000BC000000}"/>
    <cellStyle name="Pyör. valuutta_Layo9704" xfId="185" xr:uid="{00000000-0005-0000-0000-0000BD000000}"/>
    <cellStyle name="Satisfaisant 2" xfId="8" xr:uid="{00000000-0005-0000-0000-00000C000000}"/>
    <cellStyle name="Schlecht" xfId="7043" xr:uid="{00000000-0005-0000-0000-0000871B0000}"/>
    <cellStyle name="Schlecht 2" xfId="14098" xr:uid="{00000000-0005-0000-0000-000016370000}"/>
    <cellStyle name="Schlecht 3" xfId="14099" xr:uid="{00000000-0005-0000-0000-000017370000}"/>
    <cellStyle name="Schlecht 4" xfId="14100" xr:uid="{00000000-0005-0000-0000-000018370000}"/>
    <cellStyle name="Schlecht 5" xfId="14101" xr:uid="{00000000-0005-0000-0000-000019370000}"/>
    <cellStyle name="Schlecht 6" xfId="14102" xr:uid="{00000000-0005-0000-0000-00001A370000}"/>
    <cellStyle name="Schlecht 7" xfId="15986" xr:uid="{00000000-0005-0000-0000-0000763E0000}"/>
    <cellStyle name="Schlecht 8" xfId="16603" xr:uid="{00000000-0005-0000-0000-0000DF400000}"/>
    <cellStyle name="Schlecht 9" xfId="12128" xr:uid="{00000000-0005-0000-0000-0000642F0000}"/>
    <cellStyle name="Shade" xfId="7044" xr:uid="{00000000-0005-0000-0000-0000881B0000}"/>
    <cellStyle name="Shade 2" xfId="14103" xr:uid="{00000000-0005-0000-0000-00001B370000}"/>
    <cellStyle name="Shade 3" xfId="14104" xr:uid="{00000000-0005-0000-0000-00001C370000}"/>
    <cellStyle name="Shade 4" xfId="14105" xr:uid="{00000000-0005-0000-0000-00001D370000}"/>
    <cellStyle name="Shade 5" xfId="14106" xr:uid="{00000000-0005-0000-0000-00001E370000}"/>
    <cellStyle name="Shade 6" xfId="14107" xr:uid="{00000000-0005-0000-0000-00001F370000}"/>
    <cellStyle name="Shade 7" xfId="15987" xr:uid="{00000000-0005-0000-0000-0000773E0000}"/>
    <cellStyle name="Shade 8" xfId="19420" xr:uid="{00000000-0005-0000-0000-0000E04B0000}"/>
    <cellStyle name="Shade 9" xfId="12129" xr:uid="{00000000-0005-0000-0000-0000652F0000}"/>
    <cellStyle name="source" xfId="1823" xr:uid="{00000000-0005-0000-0000-000023070000}"/>
    <cellStyle name="source 2" xfId="7045" xr:uid="{00000000-0005-0000-0000-0000891B0000}"/>
    <cellStyle name="source 2 2" xfId="15988" xr:uid="{00000000-0005-0000-0000-0000783E0000}"/>
    <cellStyle name="source 2 3" xfId="16751" xr:uid="{00000000-0005-0000-0000-000073410000}"/>
    <cellStyle name="source 2 4" xfId="12131" xr:uid="{00000000-0005-0000-0000-0000672F0000}"/>
    <cellStyle name="source 3" xfId="14108" xr:uid="{00000000-0005-0000-0000-000020370000}"/>
    <cellStyle name="source 4" xfId="14109" xr:uid="{00000000-0005-0000-0000-000021370000}"/>
    <cellStyle name="source 5" xfId="14110" xr:uid="{00000000-0005-0000-0000-000022370000}"/>
    <cellStyle name="source 6" xfId="14111" xr:uid="{00000000-0005-0000-0000-000023370000}"/>
    <cellStyle name="source 7" xfId="15264" xr:uid="{00000000-0005-0000-0000-0000A43B0000}"/>
    <cellStyle name="source 8" xfId="15303" xr:uid="{00000000-0005-0000-0000-0000CB3B0000}"/>
    <cellStyle name="source 9" xfId="12130" xr:uid="{00000000-0005-0000-0000-0000662F0000}"/>
    <cellStyle name="Standaard_Blad1" xfId="7046" xr:uid="{00000000-0005-0000-0000-00008A1B0000}"/>
    <cellStyle name="Standard 2" xfId="7047" xr:uid="{00000000-0005-0000-0000-00008B1B0000}"/>
    <cellStyle name="Standard 2 2" xfId="14112" xr:uid="{00000000-0005-0000-0000-000024370000}"/>
    <cellStyle name="Standard 2 3" xfId="14113" xr:uid="{00000000-0005-0000-0000-000025370000}"/>
    <cellStyle name="Standard 2 4" xfId="14114" xr:uid="{00000000-0005-0000-0000-000026370000}"/>
    <cellStyle name="Standard 2 5" xfId="14115" xr:uid="{00000000-0005-0000-0000-000027370000}"/>
    <cellStyle name="Standard 2 6" xfId="16337" xr:uid="{00000000-0005-0000-0000-0000D53F0000}"/>
    <cellStyle name="Standard 3" xfId="7048" xr:uid="{00000000-0005-0000-0000-00008C1B0000}"/>
    <cellStyle name="Standard 3 2" xfId="14116" xr:uid="{00000000-0005-0000-0000-000028370000}"/>
    <cellStyle name="Standard 3 3" xfId="14117" xr:uid="{00000000-0005-0000-0000-000029370000}"/>
    <cellStyle name="Standard 3 4" xfId="14118" xr:uid="{00000000-0005-0000-0000-00002A370000}"/>
    <cellStyle name="Standard 3 5" xfId="14119" xr:uid="{00000000-0005-0000-0000-00002B370000}"/>
    <cellStyle name="Standard 3 6" xfId="16767" xr:uid="{00000000-0005-0000-0000-000083410000}"/>
    <cellStyle name="Standard_Sce_D_Extraction" xfId="186" xr:uid="{00000000-0005-0000-0000-0000BE000000}"/>
    <cellStyle name="Style 1" xfId="7049" xr:uid="{00000000-0005-0000-0000-00008D1B0000}"/>
    <cellStyle name="Style 1 2" xfId="14120" xr:uid="{00000000-0005-0000-0000-00002C370000}"/>
    <cellStyle name="Style 1 3" xfId="14121" xr:uid="{00000000-0005-0000-0000-00002D370000}"/>
    <cellStyle name="Style 1 4" xfId="14140" xr:uid="{00000000-0005-0000-0000-000040370000}"/>
    <cellStyle name="Style 1 5" xfId="14141" xr:uid="{00000000-0005-0000-0000-000041370000}"/>
    <cellStyle name="Style 1 6" xfId="14142" xr:uid="{00000000-0005-0000-0000-000042370000}"/>
    <cellStyle name="Style 1 7" xfId="15989" xr:uid="{00000000-0005-0000-0000-0000793E0000}"/>
    <cellStyle name="Style 1 8" xfId="19472" xr:uid="{00000000-0005-0000-0000-0000144C0000}"/>
    <cellStyle name="Style 1 9" xfId="12132" xr:uid="{00000000-0005-0000-0000-0000682F0000}"/>
    <cellStyle name="Style 103" xfId="7050" xr:uid="{00000000-0005-0000-0000-00008E1B0000}"/>
    <cellStyle name="Style 103 2" xfId="7051" xr:uid="{00000000-0005-0000-0000-00008F1B0000}"/>
    <cellStyle name="Style 103 2 2" xfId="15991" xr:uid="{00000000-0005-0000-0000-00007B3E0000}"/>
    <cellStyle name="Style 103 2 3" xfId="15523" xr:uid="{00000000-0005-0000-0000-0000A73C0000}"/>
    <cellStyle name="Style 103 2 4" xfId="12134" xr:uid="{00000000-0005-0000-0000-00006A2F0000}"/>
    <cellStyle name="Style 103 3" xfId="7052" xr:uid="{00000000-0005-0000-0000-0000901B0000}"/>
    <cellStyle name="Style 103 3 2" xfId="15992" xr:uid="{00000000-0005-0000-0000-00007C3E0000}"/>
    <cellStyle name="Style 103 3 3" xfId="16336" xr:uid="{00000000-0005-0000-0000-0000D43F0000}"/>
    <cellStyle name="Style 103 3 4" xfId="12135" xr:uid="{00000000-0005-0000-0000-00006B2F0000}"/>
    <cellStyle name="Style 103 4" xfId="15990" xr:uid="{00000000-0005-0000-0000-00007A3E0000}"/>
    <cellStyle name="Style 103 5" xfId="15383" xr:uid="{00000000-0005-0000-0000-00001B3C0000}"/>
    <cellStyle name="Style 103 6" xfId="12133" xr:uid="{00000000-0005-0000-0000-0000692F0000}"/>
    <cellStyle name="Style 104" xfId="7053" xr:uid="{00000000-0005-0000-0000-0000911B0000}"/>
    <cellStyle name="Style 104 2" xfId="7054" xr:uid="{00000000-0005-0000-0000-0000921B0000}"/>
    <cellStyle name="Style 104 2 2" xfId="15994" xr:uid="{00000000-0005-0000-0000-00007E3E0000}"/>
    <cellStyle name="Style 104 2 3" xfId="16659" xr:uid="{00000000-0005-0000-0000-000017410000}"/>
    <cellStyle name="Style 104 2 4" xfId="12137" xr:uid="{00000000-0005-0000-0000-00006D2F0000}"/>
    <cellStyle name="Style 104 3" xfId="7055" xr:uid="{00000000-0005-0000-0000-0000931B0000}"/>
    <cellStyle name="Style 104 3 2" xfId="15995" xr:uid="{00000000-0005-0000-0000-00007F3E0000}"/>
    <cellStyle name="Style 104 3 3" xfId="15606" xr:uid="{00000000-0005-0000-0000-0000FA3C0000}"/>
    <cellStyle name="Style 104 3 4" xfId="12138" xr:uid="{00000000-0005-0000-0000-00006E2F0000}"/>
    <cellStyle name="Style 104 4" xfId="15993" xr:uid="{00000000-0005-0000-0000-00007D3E0000}"/>
    <cellStyle name="Style 104 5" xfId="15506" xr:uid="{00000000-0005-0000-0000-0000963C0000}"/>
    <cellStyle name="Style 104 6" xfId="12136" xr:uid="{00000000-0005-0000-0000-00006C2F0000}"/>
    <cellStyle name="Style 105" xfId="7056" xr:uid="{00000000-0005-0000-0000-0000941B0000}"/>
    <cellStyle name="Style 105 2" xfId="7057" xr:uid="{00000000-0005-0000-0000-0000951B0000}"/>
    <cellStyle name="Style 105 2 2" xfId="15997" xr:uid="{00000000-0005-0000-0000-0000813E0000}"/>
    <cellStyle name="Style 105 2 3" xfId="19113" xr:uid="{00000000-0005-0000-0000-0000AD4A0000}"/>
    <cellStyle name="Style 105 2 4" xfId="12140" xr:uid="{00000000-0005-0000-0000-0000702F0000}"/>
    <cellStyle name="Style 105 3" xfId="15996" xr:uid="{00000000-0005-0000-0000-0000803E0000}"/>
    <cellStyle name="Style 105 4" xfId="16793" xr:uid="{00000000-0005-0000-0000-00009D410000}"/>
    <cellStyle name="Style 105 5" xfId="12139" xr:uid="{00000000-0005-0000-0000-00006F2F0000}"/>
    <cellStyle name="Style 106" xfId="7058" xr:uid="{00000000-0005-0000-0000-0000961B0000}"/>
    <cellStyle name="Style 106 2" xfId="7059" xr:uid="{00000000-0005-0000-0000-0000971B0000}"/>
    <cellStyle name="Style 106 2 2" xfId="15999" xr:uid="{00000000-0005-0000-0000-0000833E0000}"/>
    <cellStyle name="Style 106 2 3" xfId="15593" xr:uid="{00000000-0005-0000-0000-0000ED3C0000}"/>
    <cellStyle name="Style 106 2 4" xfId="12142" xr:uid="{00000000-0005-0000-0000-0000722F0000}"/>
    <cellStyle name="Style 106 3" xfId="15998" xr:uid="{00000000-0005-0000-0000-0000823E0000}"/>
    <cellStyle name="Style 106 4" xfId="15393" xr:uid="{00000000-0005-0000-0000-0000253C0000}"/>
    <cellStyle name="Style 106 5" xfId="12141" xr:uid="{00000000-0005-0000-0000-0000712F0000}"/>
    <cellStyle name="Style 107" xfId="7060" xr:uid="{00000000-0005-0000-0000-0000981B0000}"/>
    <cellStyle name="Style 107 2" xfId="7061" xr:uid="{00000000-0005-0000-0000-0000991B0000}"/>
    <cellStyle name="Style 107 2 2" xfId="16001" xr:uid="{00000000-0005-0000-0000-0000853E0000}"/>
    <cellStyle name="Style 107 2 3" xfId="16679" xr:uid="{00000000-0005-0000-0000-00002B410000}"/>
    <cellStyle name="Style 107 2 4" xfId="12144" xr:uid="{00000000-0005-0000-0000-0000742F0000}"/>
    <cellStyle name="Style 107 3" xfId="16000" xr:uid="{00000000-0005-0000-0000-0000843E0000}"/>
    <cellStyle name="Style 107 4" xfId="16853" xr:uid="{00000000-0005-0000-0000-0000D9410000}"/>
    <cellStyle name="Style 107 5" xfId="12143" xr:uid="{00000000-0005-0000-0000-0000732F0000}"/>
    <cellStyle name="Style 108" xfId="7062" xr:uid="{00000000-0005-0000-0000-00009A1B0000}"/>
    <cellStyle name="Style 108 2" xfId="7063" xr:uid="{00000000-0005-0000-0000-00009B1B0000}"/>
    <cellStyle name="Style 108 2 2" xfId="16003" xr:uid="{00000000-0005-0000-0000-0000873E0000}"/>
    <cellStyle name="Style 108 2 3" xfId="15701" xr:uid="{00000000-0005-0000-0000-0000593D0000}"/>
    <cellStyle name="Style 108 2 4" xfId="12146" xr:uid="{00000000-0005-0000-0000-0000762F0000}"/>
    <cellStyle name="Style 108 3" xfId="7064" xr:uid="{00000000-0005-0000-0000-00009C1B0000}"/>
    <cellStyle name="Style 108 3 2" xfId="16004" xr:uid="{00000000-0005-0000-0000-0000883E0000}"/>
    <cellStyle name="Style 108 3 3" xfId="19178" xr:uid="{00000000-0005-0000-0000-0000EE4A0000}"/>
    <cellStyle name="Style 108 3 4" xfId="12147" xr:uid="{00000000-0005-0000-0000-0000772F0000}"/>
    <cellStyle name="Style 108 4" xfId="16002" xr:uid="{00000000-0005-0000-0000-0000863E0000}"/>
    <cellStyle name="Style 108 5" xfId="19464" xr:uid="{00000000-0005-0000-0000-00000C4C0000}"/>
    <cellStyle name="Style 108 6" xfId="12145" xr:uid="{00000000-0005-0000-0000-0000752F0000}"/>
    <cellStyle name="Style 109" xfId="7065" xr:uid="{00000000-0005-0000-0000-00009D1B0000}"/>
    <cellStyle name="Style 109 2" xfId="7066" xr:uid="{00000000-0005-0000-0000-00009E1B0000}"/>
    <cellStyle name="Style 109 2 2" xfId="16006" xr:uid="{00000000-0005-0000-0000-00008A3E0000}"/>
    <cellStyle name="Style 109 2 3" xfId="19035" xr:uid="{00000000-0005-0000-0000-00005F4A0000}"/>
    <cellStyle name="Style 109 2 4" xfId="12149" xr:uid="{00000000-0005-0000-0000-0000792F0000}"/>
    <cellStyle name="Style 109 3" xfId="16005" xr:uid="{00000000-0005-0000-0000-0000893E0000}"/>
    <cellStyle name="Style 109 4" xfId="16696" xr:uid="{00000000-0005-0000-0000-00003C410000}"/>
    <cellStyle name="Style 109 5" xfId="12148" xr:uid="{00000000-0005-0000-0000-0000782F0000}"/>
    <cellStyle name="Style 110" xfId="7067" xr:uid="{00000000-0005-0000-0000-00009F1B0000}"/>
    <cellStyle name="Style 110 2" xfId="7068" xr:uid="{00000000-0005-0000-0000-0000A01B0000}"/>
    <cellStyle name="Style 110 2 2" xfId="16008" xr:uid="{00000000-0005-0000-0000-00008C3E0000}"/>
    <cellStyle name="Style 110 2 3" xfId="15441" xr:uid="{00000000-0005-0000-0000-0000553C0000}"/>
    <cellStyle name="Style 110 2 4" xfId="12151" xr:uid="{00000000-0005-0000-0000-00007B2F0000}"/>
    <cellStyle name="Style 110 3" xfId="16007" xr:uid="{00000000-0005-0000-0000-00008B3E0000}"/>
    <cellStyle name="Style 110 4" xfId="19544" xr:uid="{00000000-0005-0000-0000-00005C4C0000}"/>
    <cellStyle name="Style 110 5" xfId="12150" xr:uid="{00000000-0005-0000-0000-00007A2F0000}"/>
    <cellStyle name="Style 114" xfId="7069" xr:uid="{00000000-0005-0000-0000-0000A11B0000}"/>
    <cellStyle name="Style 114 2" xfId="7070" xr:uid="{00000000-0005-0000-0000-0000A21B0000}"/>
    <cellStyle name="Style 114 2 2" xfId="16010" xr:uid="{00000000-0005-0000-0000-00008E3E0000}"/>
    <cellStyle name="Style 114 2 3" xfId="16764" xr:uid="{00000000-0005-0000-0000-000080410000}"/>
    <cellStyle name="Style 114 2 4" xfId="12153" xr:uid="{00000000-0005-0000-0000-00007D2F0000}"/>
    <cellStyle name="Style 114 3" xfId="7071" xr:uid="{00000000-0005-0000-0000-0000A31B0000}"/>
    <cellStyle name="Style 114 3 2" xfId="16011" xr:uid="{00000000-0005-0000-0000-00008F3E0000}"/>
    <cellStyle name="Style 114 3 3" xfId="16346" xr:uid="{00000000-0005-0000-0000-0000DE3F0000}"/>
    <cellStyle name="Style 114 3 4" xfId="12154" xr:uid="{00000000-0005-0000-0000-00007E2F0000}"/>
    <cellStyle name="Style 114 4" xfId="16009" xr:uid="{00000000-0005-0000-0000-00008D3E0000}"/>
    <cellStyle name="Style 114 5" xfId="15522" xr:uid="{00000000-0005-0000-0000-0000A63C0000}"/>
    <cellStyle name="Style 114 6" xfId="12152" xr:uid="{00000000-0005-0000-0000-00007C2F0000}"/>
    <cellStyle name="Style 115" xfId="7072" xr:uid="{00000000-0005-0000-0000-0000A41B0000}"/>
    <cellStyle name="Style 115 2" xfId="7073" xr:uid="{00000000-0005-0000-0000-0000A51B0000}"/>
    <cellStyle name="Style 115 2 2" xfId="16013" xr:uid="{00000000-0005-0000-0000-0000913E0000}"/>
    <cellStyle name="Style 115 2 3" xfId="15371" xr:uid="{00000000-0005-0000-0000-00000F3C0000}"/>
    <cellStyle name="Style 115 2 4" xfId="12156" xr:uid="{00000000-0005-0000-0000-0000802F0000}"/>
    <cellStyle name="Style 115 3" xfId="7074" xr:uid="{00000000-0005-0000-0000-0000A61B0000}"/>
    <cellStyle name="Style 115 3 2" xfId="16014" xr:uid="{00000000-0005-0000-0000-0000923E0000}"/>
    <cellStyle name="Style 115 3 3" xfId="16705" xr:uid="{00000000-0005-0000-0000-000045410000}"/>
    <cellStyle name="Style 115 3 4" xfId="12157" xr:uid="{00000000-0005-0000-0000-0000812F0000}"/>
    <cellStyle name="Style 115 4" xfId="16012" xr:uid="{00000000-0005-0000-0000-0000903E0000}"/>
    <cellStyle name="Style 115 5" xfId="15423" xr:uid="{00000000-0005-0000-0000-0000433C0000}"/>
    <cellStyle name="Style 115 6" xfId="12155" xr:uid="{00000000-0005-0000-0000-00007F2F0000}"/>
    <cellStyle name="Style 116" xfId="7075" xr:uid="{00000000-0005-0000-0000-0000A71B0000}"/>
    <cellStyle name="Style 116 2" xfId="7076" xr:uid="{00000000-0005-0000-0000-0000A81B0000}"/>
    <cellStyle name="Style 116 2 2" xfId="16016" xr:uid="{00000000-0005-0000-0000-0000943E0000}"/>
    <cellStyle name="Style 116 2 3" xfId="19146" xr:uid="{00000000-0005-0000-0000-0000CE4A0000}"/>
    <cellStyle name="Style 116 2 4" xfId="12159" xr:uid="{00000000-0005-0000-0000-0000832F0000}"/>
    <cellStyle name="Style 116 3" xfId="16015" xr:uid="{00000000-0005-0000-0000-0000933E0000}"/>
    <cellStyle name="Style 116 4" xfId="19290" xr:uid="{00000000-0005-0000-0000-00005E4B0000}"/>
    <cellStyle name="Style 116 5" xfId="12158" xr:uid="{00000000-0005-0000-0000-0000822F0000}"/>
    <cellStyle name="Style 117" xfId="7077" xr:uid="{00000000-0005-0000-0000-0000A91B0000}"/>
    <cellStyle name="Style 117 2" xfId="7078" xr:uid="{00000000-0005-0000-0000-0000AA1B0000}"/>
    <cellStyle name="Style 117 2 2" xfId="16018" xr:uid="{00000000-0005-0000-0000-0000963E0000}"/>
    <cellStyle name="Style 117 2 3" xfId="15464" xr:uid="{00000000-0005-0000-0000-00006C3C0000}"/>
    <cellStyle name="Style 117 2 4" xfId="12161" xr:uid="{00000000-0005-0000-0000-0000852F0000}"/>
    <cellStyle name="Style 117 3" xfId="16017" xr:uid="{00000000-0005-0000-0000-0000953E0000}"/>
    <cellStyle name="Style 117 4" xfId="15360" xr:uid="{00000000-0005-0000-0000-0000043C0000}"/>
    <cellStyle name="Style 117 5" xfId="12160" xr:uid="{00000000-0005-0000-0000-0000842F0000}"/>
    <cellStyle name="Style 118" xfId="7079" xr:uid="{00000000-0005-0000-0000-0000AB1B0000}"/>
    <cellStyle name="Style 118 2" xfId="7080" xr:uid="{00000000-0005-0000-0000-0000AC1B0000}"/>
    <cellStyle name="Style 118 2 2" xfId="16020" xr:uid="{00000000-0005-0000-0000-0000983E0000}"/>
    <cellStyle name="Style 118 2 3" xfId="19202" xr:uid="{00000000-0005-0000-0000-0000064B0000}"/>
    <cellStyle name="Style 118 2 4" xfId="12163" xr:uid="{00000000-0005-0000-0000-0000872F0000}"/>
    <cellStyle name="Style 118 3" xfId="16019" xr:uid="{00000000-0005-0000-0000-0000973E0000}"/>
    <cellStyle name="Style 118 4" xfId="19239" xr:uid="{00000000-0005-0000-0000-00002B4B0000}"/>
    <cellStyle name="Style 118 5" xfId="12162" xr:uid="{00000000-0005-0000-0000-0000862F0000}"/>
    <cellStyle name="Style 119" xfId="7081" xr:uid="{00000000-0005-0000-0000-0000AD1B0000}"/>
    <cellStyle name="Style 119 2" xfId="7082" xr:uid="{00000000-0005-0000-0000-0000AE1B0000}"/>
    <cellStyle name="Style 119 2 2" xfId="16022" xr:uid="{00000000-0005-0000-0000-00009A3E0000}"/>
    <cellStyle name="Style 119 2 3" xfId="16528" xr:uid="{00000000-0005-0000-0000-000094400000}"/>
    <cellStyle name="Style 119 2 4" xfId="12165" xr:uid="{00000000-0005-0000-0000-0000892F0000}"/>
    <cellStyle name="Style 119 3" xfId="7083" xr:uid="{00000000-0005-0000-0000-0000AF1B0000}"/>
    <cellStyle name="Style 119 3 2" xfId="16023" xr:uid="{00000000-0005-0000-0000-00009B3E0000}"/>
    <cellStyle name="Style 119 3 3" xfId="16372" xr:uid="{00000000-0005-0000-0000-0000F83F0000}"/>
    <cellStyle name="Style 119 3 4" xfId="12166" xr:uid="{00000000-0005-0000-0000-00008A2F0000}"/>
    <cellStyle name="Style 119 4" xfId="16021" xr:uid="{00000000-0005-0000-0000-0000993E0000}"/>
    <cellStyle name="Style 119 5" xfId="16780" xr:uid="{00000000-0005-0000-0000-000090410000}"/>
    <cellStyle name="Style 119 6" xfId="12164" xr:uid="{00000000-0005-0000-0000-0000882F0000}"/>
    <cellStyle name="Style 120" xfId="7084" xr:uid="{00000000-0005-0000-0000-0000B01B0000}"/>
    <cellStyle name="Style 120 2" xfId="7085" xr:uid="{00000000-0005-0000-0000-0000B11B0000}"/>
    <cellStyle name="Style 120 2 2" xfId="16025" xr:uid="{00000000-0005-0000-0000-00009D3E0000}"/>
    <cellStyle name="Style 120 2 3" xfId="15669" xr:uid="{00000000-0005-0000-0000-0000393D0000}"/>
    <cellStyle name="Style 120 2 4" xfId="12168" xr:uid="{00000000-0005-0000-0000-00008C2F0000}"/>
    <cellStyle name="Style 120 3" xfId="16024" xr:uid="{00000000-0005-0000-0000-00009C3E0000}"/>
    <cellStyle name="Style 120 4" xfId="15602" xr:uid="{00000000-0005-0000-0000-0000F63C0000}"/>
    <cellStyle name="Style 120 5" xfId="12167" xr:uid="{00000000-0005-0000-0000-00008B2F0000}"/>
    <cellStyle name="Style 121" xfId="7086" xr:uid="{00000000-0005-0000-0000-0000B21B0000}"/>
    <cellStyle name="Style 121 2" xfId="7087" xr:uid="{00000000-0005-0000-0000-0000B31B0000}"/>
    <cellStyle name="Style 121 2 2" xfId="16027" xr:uid="{00000000-0005-0000-0000-00009F3E0000}"/>
    <cellStyle name="Style 121 2 3" xfId="19514" xr:uid="{00000000-0005-0000-0000-00003E4C0000}"/>
    <cellStyle name="Style 121 2 4" xfId="12170" xr:uid="{00000000-0005-0000-0000-00008E2F0000}"/>
    <cellStyle name="Style 121 3" xfId="16026" xr:uid="{00000000-0005-0000-0000-00009E3E0000}"/>
    <cellStyle name="Style 121 4" xfId="15769" xr:uid="{00000000-0005-0000-0000-00009D3D0000}"/>
    <cellStyle name="Style 121 5" xfId="12169" xr:uid="{00000000-0005-0000-0000-00008D2F0000}"/>
    <cellStyle name="Style 126" xfId="7088" xr:uid="{00000000-0005-0000-0000-0000B41B0000}"/>
    <cellStyle name="Style 126 2" xfId="7089" xr:uid="{00000000-0005-0000-0000-0000B51B0000}"/>
    <cellStyle name="Style 126 2 2" xfId="16029" xr:uid="{00000000-0005-0000-0000-0000A13E0000}"/>
    <cellStyle name="Style 126 2 3" xfId="15628" xr:uid="{00000000-0005-0000-0000-0000103D0000}"/>
    <cellStyle name="Style 126 2 4" xfId="12172" xr:uid="{00000000-0005-0000-0000-0000902F0000}"/>
    <cellStyle name="Style 126 3" xfId="7090" xr:uid="{00000000-0005-0000-0000-0000B61B0000}"/>
    <cellStyle name="Style 126 3 2" xfId="16030" xr:uid="{00000000-0005-0000-0000-0000A23E0000}"/>
    <cellStyle name="Style 126 3 3" xfId="15424" xr:uid="{00000000-0005-0000-0000-0000443C0000}"/>
    <cellStyle name="Style 126 3 4" xfId="12173" xr:uid="{00000000-0005-0000-0000-0000912F0000}"/>
    <cellStyle name="Style 126 4" xfId="16028" xr:uid="{00000000-0005-0000-0000-0000A03E0000}"/>
    <cellStyle name="Style 126 5" xfId="19092" xr:uid="{00000000-0005-0000-0000-0000984A0000}"/>
    <cellStyle name="Style 126 6" xfId="12171" xr:uid="{00000000-0005-0000-0000-00008F2F0000}"/>
    <cellStyle name="Style 127" xfId="7091" xr:uid="{00000000-0005-0000-0000-0000B71B0000}"/>
    <cellStyle name="Style 127 2" xfId="7092" xr:uid="{00000000-0005-0000-0000-0000B81B0000}"/>
    <cellStyle name="Style 127 2 2" xfId="16032" xr:uid="{00000000-0005-0000-0000-0000A43E0000}"/>
    <cellStyle name="Style 127 2 3" xfId="19350" xr:uid="{00000000-0005-0000-0000-00009A4B0000}"/>
    <cellStyle name="Style 127 2 4" xfId="12175" xr:uid="{00000000-0005-0000-0000-0000932F0000}"/>
    <cellStyle name="Style 127 3" xfId="16031" xr:uid="{00000000-0005-0000-0000-0000A33E0000}"/>
    <cellStyle name="Style 127 4" xfId="19125" xr:uid="{00000000-0005-0000-0000-0000B94A0000}"/>
    <cellStyle name="Style 127 5" xfId="12174" xr:uid="{00000000-0005-0000-0000-0000922F0000}"/>
    <cellStyle name="Style 128" xfId="7093" xr:uid="{00000000-0005-0000-0000-0000B91B0000}"/>
    <cellStyle name="Style 128 2" xfId="7094" xr:uid="{00000000-0005-0000-0000-0000BA1B0000}"/>
    <cellStyle name="Style 128 2 2" xfId="16034" xr:uid="{00000000-0005-0000-0000-0000A63E0000}"/>
    <cellStyle name="Style 128 2 3" xfId="19339" xr:uid="{00000000-0005-0000-0000-00008F4B0000}"/>
    <cellStyle name="Style 128 2 4" xfId="12177" xr:uid="{00000000-0005-0000-0000-0000952F0000}"/>
    <cellStyle name="Style 128 3" xfId="16033" xr:uid="{00000000-0005-0000-0000-0000A53E0000}"/>
    <cellStyle name="Style 128 4" xfId="19337" xr:uid="{00000000-0005-0000-0000-00008D4B0000}"/>
    <cellStyle name="Style 128 5" xfId="12176" xr:uid="{00000000-0005-0000-0000-0000942F0000}"/>
    <cellStyle name="Style 129" xfId="7095" xr:uid="{00000000-0005-0000-0000-0000BB1B0000}"/>
    <cellStyle name="Style 129 2" xfId="7096" xr:uid="{00000000-0005-0000-0000-0000BC1B0000}"/>
    <cellStyle name="Style 129 2 2" xfId="16036" xr:uid="{00000000-0005-0000-0000-0000A83E0000}"/>
    <cellStyle name="Style 129 2 3" xfId="19143" xr:uid="{00000000-0005-0000-0000-0000CB4A0000}"/>
    <cellStyle name="Style 129 2 4" xfId="12179" xr:uid="{00000000-0005-0000-0000-0000972F0000}"/>
    <cellStyle name="Style 129 3" xfId="16035" xr:uid="{00000000-0005-0000-0000-0000A73E0000}"/>
    <cellStyle name="Style 129 4" xfId="19410" xr:uid="{00000000-0005-0000-0000-0000D64B0000}"/>
    <cellStyle name="Style 129 5" xfId="12178" xr:uid="{00000000-0005-0000-0000-0000962F0000}"/>
    <cellStyle name="Style 130" xfId="7097" xr:uid="{00000000-0005-0000-0000-0000BD1B0000}"/>
    <cellStyle name="Style 130 2" xfId="7098" xr:uid="{00000000-0005-0000-0000-0000BE1B0000}"/>
    <cellStyle name="Style 130 2 2" xfId="16038" xr:uid="{00000000-0005-0000-0000-0000AA3E0000}"/>
    <cellStyle name="Style 130 2 3" xfId="19474" xr:uid="{00000000-0005-0000-0000-0000164C0000}"/>
    <cellStyle name="Style 130 2 4" xfId="12181" xr:uid="{00000000-0005-0000-0000-0000992F0000}"/>
    <cellStyle name="Style 130 3" xfId="7099" xr:uid="{00000000-0005-0000-0000-0000BF1B0000}"/>
    <cellStyle name="Style 130 3 2" xfId="16039" xr:uid="{00000000-0005-0000-0000-0000AB3E0000}"/>
    <cellStyle name="Style 130 3 3" xfId="16625" xr:uid="{00000000-0005-0000-0000-0000F5400000}"/>
    <cellStyle name="Style 130 3 4" xfId="12182" xr:uid="{00000000-0005-0000-0000-00009A2F0000}"/>
    <cellStyle name="Style 130 4" xfId="16037" xr:uid="{00000000-0005-0000-0000-0000A93E0000}"/>
    <cellStyle name="Style 130 5" xfId="15389" xr:uid="{00000000-0005-0000-0000-0000213C0000}"/>
    <cellStyle name="Style 130 6" xfId="12180" xr:uid="{00000000-0005-0000-0000-0000982F0000}"/>
    <cellStyle name="Style 131" xfId="7100" xr:uid="{00000000-0005-0000-0000-0000C01B0000}"/>
    <cellStyle name="Style 131 2" xfId="7101" xr:uid="{00000000-0005-0000-0000-0000C11B0000}"/>
    <cellStyle name="Style 131 2 2" xfId="16041" xr:uid="{00000000-0005-0000-0000-0000AD3E0000}"/>
    <cellStyle name="Style 131 2 3" xfId="19076" xr:uid="{00000000-0005-0000-0000-0000884A0000}"/>
    <cellStyle name="Style 131 2 4" xfId="12184" xr:uid="{00000000-0005-0000-0000-00009C2F0000}"/>
    <cellStyle name="Style 131 3" xfId="16040" xr:uid="{00000000-0005-0000-0000-0000AC3E0000}"/>
    <cellStyle name="Style 131 4" xfId="19381" xr:uid="{00000000-0005-0000-0000-0000B94B0000}"/>
    <cellStyle name="Style 131 5" xfId="12183" xr:uid="{00000000-0005-0000-0000-00009B2F0000}"/>
    <cellStyle name="Style 132" xfId="7102" xr:uid="{00000000-0005-0000-0000-0000C21B0000}"/>
    <cellStyle name="Style 132 2" xfId="7103" xr:uid="{00000000-0005-0000-0000-0000C31B0000}"/>
    <cellStyle name="Style 132 2 2" xfId="16043" xr:uid="{00000000-0005-0000-0000-0000AF3E0000}"/>
    <cellStyle name="Style 132 2 3" xfId="15500" xr:uid="{00000000-0005-0000-0000-0000903C0000}"/>
    <cellStyle name="Style 132 2 4" xfId="12186" xr:uid="{00000000-0005-0000-0000-00009E2F0000}"/>
    <cellStyle name="Style 132 3" xfId="16042" xr:uid="{00000000-0005-0000-0000-0000AE3E0000}"/>
    <cellStyle name="Style 132 4" xfId="15444" xr:uid="{00000000-0005-0000-0000-0000583C0000}"/>
    <cellStyle name="Style 132 5" xfId="12185" xr:uid="{00000000-0005-0000-0000-00009D2F0000}"/>
    <cellStyle name="Style 137" xfId="7104" xr:uid="{00000000-0005-0000-0000-0000C41B0000}"/>
    <cellStyle name="Style 137 2" xfId="7105" xr:uid="{00000000-0005-0000-0000-0000C51B0000}"/>
    <cellStyle name="Style 137 2 2" xfId="16045" xr:uid="{00000000-0005-0000-0000-0000B13E0000}"/>
    <cellStyle name="Style 137 2 3" xfId="16714" xr:uid="{00000000-0005-0000-0000-00004E410000}"/>
    <cellStyle name="Style 137 2 4" xfId="12188" xr:uid="{00000000-0005-0000-0000-0000A02F0000}"/>
    <cellStyle name="Style 137 3" xfId="7106" xr:uid="{00000000-0005-0000-0000-0000C61B0000}"/>
    <cellStyle name="Style 137 3 2" xfId="16046" xr:uid="{00000000-0005-0000-0000-0000B23E0000}"/>
    <cellStyle name="Style 137 3 3" xfId="15418" xr:uid="{00000000-0005-0000-0000-00003E3C0000}"/>
    <cellStyle name="Style 137 3 4" xfId="12189" xr:uid="{00000000-0005-0000-0000-0000A12F0000}"/>
    <cellStyle name="Style 137 4" xfId="16044" xr:uid="{00000000-0005-0000-0000-0000B03E0000}"/>
    <cellStyle name="Style 137 5" xfId="16694" xr:uid="{00000000-0005-0000-0000-00003A410000}"/>
    <cellStyle name="Style 137 6" xfId="12187" xr:uid="{00000000-0005-0000-0000-00009F2F0000}"/>
    <cellStyle name="Style 138" xfId="7107" xr:uid="{00000000-0005-0000-0000-0000C71B0000}"/>
    <cellStyle name="Style 138 2" xfId="7108" xr:uid="{00000000-0005-0000-0000-0000C81B0000}"/>
    <cellStyle name="Style 138 2 2" xfId="16048" xr:uid="{00000000-0005-0000-0000-0000B43E0000}"/>
    <cellStyle name="Style 138 2 3" xfId="19446" xr:uid="{00000000-0005-0000-0000-0000FA4B0000}"/>
    <cellStyle name="Style 138 2 4" xfId="12191" xr:uid="{00000000-0005-0000-0000-0000A32F0000}"/>
    <cellStyle name="Style 138 3" xfId="16047" xr:uid="{00000000-0005-0000-0000-0000B33E0000}"/>
    <cellStyle name="Style 138 4" xfId="15714" xr:uid="{00000000-0005-0000-0000-0000663D0000}"/>
    <cellStyle name="Style 138 5" xfId="12190" xr:uid="{00000000-0005-0000-0000-0000A22F0000}"/>
    <cellStyle name="Style 139" xfId="7109" xr:uid="{00000000-0005-0000-0000-0000C91B0000}"/>
    <cellStyle name="Style 139 2" xfId="7110" xr:uid="{00000000-0005-0000-0000-0000CA1B0000}"/>
    <cellStyle name="Style 139 2 2" xfId="16050" xr:uid="{00000000-0005-0000-0000-0000B63E0000}"/>
    <cellStyle name="Style 139 2 3" xfId="15655" xr:uid="{00000000-0005-0000-0000-00002B3D0000}"/>
    <cellStyle name="Style 139 2 4" xfId="12193" xr:uid="{00000000-0005-0000-0000-0000A52F0000}"/>
    <cellStyle name="Style 139 3" xfId="16049" xr:uid="{00000000-0005-0000-0000-0000B53E0000}"/>
    <cellStyle name="Style 139 4" xfId="15472" xr:uid="{00000000-0005-0000-0000-0000743C0000}"/>
    <cellStyle name="Style 139 5" xfId="12192" xr:uid="{00000000-0005-0000-0000-0000A42F0000}"/>
    <cellStyle name="Style 140" xfId="7111" xr:uid="{00000000-0005-0000-0000-0000CB1B0000}"/>
    <cellStyle name="Style 140 2" xfId="7112" xr:uid="{00000000-0005-0000-0000-0000CC1B0000}"/>
    <cellStyle name="Style 140 2 2" xfId="16052" xr:uid="{00000000-0005-0000-0000-0000B83E0000}"/>
    <cellStyle name="Style 140 2 3" xfId="16697" xr:uid="{00000000-0005-0000-0000-00003D410000}"/>
    <cellStyle name="Style 140 2 4" xfId="12195" xr:uid="{00000000-0005-0000-0000-0000A72F0000}"/>
    <cellStyle name="Style 140 3" xfId="16051" xr:uid="{00000000-0005-0000-0000-0000B73E0000}"/>
    <cellStyle name="Style 140 4" xfId="16710" xr:uid="{00000000-0005-0000-0000-00004A410000}"/>
    <cellStyle name="Style 140 5" xfId="12194" xr:uid="{00000000-0005-0000-0000-0000A62F0000}"/>
    <cellStyle name="Style 141" xfId="7113" xr:uid="{00000000-0005-0000-0000-0000CD1B0000}"/>
    <cellStyle name="Style 141 2" xfId="7114" xr:uid="{00000000-0005-0000-0000-0000CE1B0000}"/>
    <cellStyle name="Style 141 2 2" xfId="16054" xr:uid="{00000000-0005-0000-0000-0000BA3E0000}"/>
    <cellStyle name="Style 141 2 3" xfId="19144" xr:uid="{00000000-0005-0000-0000-0000CC4A0000}"/>
    <cellStyle name="Style 141 2 4" xfId="12197" xr:uid="{00000000-0005-0000-0000-0000A92F0000}"/>
    <cellStyle name="Style 141 3" xfId="7115" xr:uid="{00000000-0005-0000-0000-0000CF1B0000}"/>
    <cellStyle name="Style 141 3 2" xfId="16055" xr:uid="{00000000-0005-0000-0000-0000BB3E0000}"/>
    <cellStyle name="Style 141 3 3" xfId="17290" xr:uid="{00000000-0005-0000-0000-00008E430000}"/>
    <cellStyle name="Style 141 3 4" xfId="12198" xr:uid="{00000000-0005-0000-0000-0000AA2F0000}"/>
    <cellStyle name="Style 141 4" xfId="16053" xr:uid="{00000000-0005-0000-0000-0000B93E0000}"/>
    <cellStyle name="Style 141 5" xfId="19052" xr:uid="{00000000-0005-0000-0000-0000704A0000}"/>
    <cellStyle name="Style 141 6" xfId="12196" xr:uid="{00000000-0005-0000-0000-0000A82F0000}"/>
    <cellStyle name="Style 142" xfId="7116" xr:uid="{00000000-0005-0000-0000-0000D01B0000}"/>
    <cellStyle name="Style 142 2" xfId="7117" xr:uid="{00000000-0005-0000-0000-0000D11B0000}"/>
    <cellStyle name="Style 142 2 2" xfId="16057" xr:uid="{00000000-0005-0000-0000-0000BD3E0000}"/>
    <cellStyle name="Style 142 2 3" xfId="19055" xr:uid="{00000000-0005-0000-0000-0000734A0000}"/>
    <cellStyle name="Style 142 2 4" xfId="12200" xr:uid="{00000000-0005-0000-0000-0000AC2F0000}"/>
    <cellStyle name="Style 142 3" xfId="16056" xr:uid="{00000000-0005-0000-0000-0000BC3E0000}"/>
    <cellStyle name="Style 142 4" xfId="19375" xr:uid="{00000000-0005-0000-0000-0000B34B0000}"/>
    <cellStyle name="Style 142 5" xfId="12199" xr:uid="{00000000-0005-0000-0000-0000AB2F0000}"/>
    <cellStyle name="Style 143" xfId="7118" xr:uid="{00000000-0005-0000-0000-0000D21B0000}"/>
    <cellStyle name="Style 143 2" xfId="7119" xr:uid="{00000000-0005-0000-0000-0000D31B0000}"/>
    <cellStyle name="Style 143 2 2" xfId="16059" xr:uid="{00000000-0005-0000-0000-0000BF3E0000}"/>
    <cellStyle name="Style 143 2 3" xfId="17288" xr:uid="{00000000-0005-0000-0000-00008C430000}"/>
    <cellStyle name="Style 143 2 4" xfId="12202" xr:uid="{00000000-0005-0000-0000-0000AE2F0000}"/>
    <cellStyle name="Style 143 3" xfId="16058" xr:uid="{00000000-0005-0000-0000-0000BE3E0000}"/>
    <cellStyle name="Style 143 4" xfId="17246" xr:uid="{00000000-0005-0000-0000-000062430000}"/>
    <cellStyle name="Style 143 5" xfId="12201" xr:uid="{00000000-0005-0000-0000-0000AD2F0000}"/>
    <cellStyle name="Style 148" xfId="7120" xr:uid="{00000000-0005-0000-0000-0000D41B0000}"/>
    <cellStyle name="Style 148 2" xfId="7121" xr:uid="{00000000-0005-0000-0000-0000D51B0000}"/>
    <cellStyle name="Style 148 2 2" xfId="16061" xr:uid="{00000000-0005-0000-0000-0000C13E0000}"/>
    <cellStyle name="Style 148 2 3" xfId="15382" xr:uid="{00000000-0005-0000-0000-00001A3C0000}"/>
    <cellStyle name="Style 148 2 4" xfId="12204" xr:uid="{00000000-0005-0000-0000-0000B02F0000}"/>
    <cellStyle name="Style 148 3" xfId="7122" xr:uid="{00000000-0005-0000-0000-0000D61B0000}"/>
    <cellStyle name="Style 148 3 2" xfId="16062" xr:uid="{00000000-0005-0000-0000-0000C23E0000}"/>
    <cellStyle name="Style 148 3 3" xfId="15333" xr:uid="{00000000-0005-0000-0000-0000E93B0000}"/>
    <cellStyle name="Style 148 3 4" xfId="12205" xr:uid="{00000000-0005-0000-0000-0000B12F0000}"/>
    <cellStyle name="Style 148 4" xfId="16060" xr:uid="{00000000-0005-0000-0000-0000C03E0000}"/>
    <cellStyle name="Style 148 5" xfId="16749" xr:uid="{00000000-0005-0000-0000-000071410000}"/>
    <cellStyle name="Style 148 6" xfId="12203" xr:uid="{00000000-0005-0000-0000-0000AF2F0000}"/>
    <cellStyle name="Style 149" xfId="7123" xr:uid="{00000000-0005-0000-0000-0000D71B0000}"/>
    <cellStyle name="Style 149 2" xfId="7124" xr:uid="{00000000-0005-0000-0000-0000D81B0000}"/>
    <cellStyle name="Style 149 2 2" xfId="16064" xr:uid="{00000000-0005-0000-0000-0000C43E0000}"/>
    <cellStyle name="Style 149 2 3" xfId="15548" xr:uid="{00000000-0005-0000-0000-0000C03C0000}"/>
    <cellStyle name="Style 149 2 4" xfId="12207" xr:uid="{00000000-0005-0000-0000-0000B32F0000}"/>
    <cellStyle name="Style 149 3" xfId="16063" xr:uid="{00000000-0005-0000-0000-0000C33E0000}"/>
    <cellStyle name="Style 149 4" xfId="19430" xr:uid="{00000000-0005-0000-0000-0000EA4B0000}"/>
    <cellStyle name="Style 149 5" xfId="12206" xr:uid="{00000000-0005-0000-0000-0000B22F0000}"/>
    <cellStyle name="Style 150" xfId="7125" xr:uid="{00000000-0005-0000-0000-0000D91B0000}"/>
    <cellStyle name="Style 150 2" xfId="7126" xr:uid="{00000000-0005-0000-0000-0000DA1B0000}"/>
    <cellStyle name="Style 150 2 2" xfId="16066" xr:uid="{00000000-0005-0000-0000-0000C63E0000}"/>
    <cellStyle name="Style 150 2 3" xfId="19217" xr:uid="{00000000-0005-0000-0000-0000154B0000}"/>
    <cellStyle name="Style 150 2 4" xfId="12209" xr:uid="{00000000-0005-0000-0000-0000B52F0000}"/>
    <cellStyle name="Style 150 3" xfId="16065" xr:uid="{00000000-0005-0000-0000-0000C53E0000}"/>
    <cellStyle name="Style 150 4" xfId="17233" xr:uid="{00000000-0005-0000-0000-000055430000}"/>
    <cellStyle name="Style 150 5" xfId="12208" xr:uid="{00000000-0005-0000-0000-0000B42F0000}"/>
    <cellStyle name="Style 151" xfId="7127" xr:uid="{00000000-0005-0000-0000-0000DB1B0000}"/>
    <cellStyle name="Style 151 2" xfId="7128" xr:uid="{00000000-0005-0000-0000-0000DC1B0000}"/>
    <cellStyle name="Style 151 2 2" xfId="16068" xr:uid="{00000000-0005-0000-0000-0000C83E0000}"/>
    <cellStyle name="Style 151 2 3" xfId="19040" xr:uid="{00000000-0005-0000-0000-0000644A0000}"/>
    <cellStyle name="Style 151 2 4" xfId="12211" xr:uid="{00000000-0005-0000-0000-0000B72F0000}"/>
    <cellStyle name="Style 151 3" xfId="16067" xr:uid="{00000000-0005-0000-0000-0000C73E0000}"/>
    <cellStyle name="Style 151 4" xfId="16388" xr:uid="{00000000-0005-0000-0000-000008400000}"/>
    <cellStyle name="Style 151 5" xfId="12210" xr:uid="{00000000-0005-0000-0000-0000B62F0000}"/>
    <cellStyle name="Style 152" xfId="7129" xr:uid="{00000000-0005-0000-0000-0000DD1B0000}"/>
    <cellStyle name="Style 152 2" xfId="7130" xr:uid="{00000000-0005-0000-0000-0000DE1B0000}"/>
    <cellStyle name="Style 152 2 2" xfId="16070" xr:uid="{00000000-0005-0000-0000-0000CA3E0000}"/>
    <cellStyle name="Style 152 2 3" xfId="19135" xr:uid="{00000000-0005-0000-0000-0000C34A0000}"/>
    <cellStyle name="Style 152 2 4" xfId="12213" xr:uid="{00000000-0005-0000-0000-0000B92F0000}"/>
    <cellStyle name="Style 152 3" xfId="7131" xr:uid="{00000000-0005-0000-0000-0000DF1B0000}"/>
    <cellStyle name="Style 152 3 2" xfId="16071" xr:uid="{00000000-0005-0000-0000-0000CB3E0000}"/>
    <cellStyle name="Style 152 3 3" xfId="19454" xr:uid="{00000000-0005-0000-0000-0000024C0000}"/>
    <cellStyle name="Style 152 3 4" xfId="12214" xr:uid="{00000000-0005-0000-0000-0000BA2F0000}"/>
    <cellStyle name="Style 152 4" xfId="16069" xr:uid="{00000000-0005-0000-0000-0000C93E0000}"/>
    <cellStyle name="Style 152 5" xfId="15301" xr:uid="{00000000-0005-0000-0000-0000C93B0000}"/>
    <cellStyle name="Style 152 6" xfId="12212" xr:uid="{00000000-0005-0000-0000-0000B82F0000}"/>
    <cellStyle name="Style 153" xfId="7132" xr:uid="{00000000-0005-0000-0000-0000E01B0000}"/>
    <cellStyle name="Style 153 2" xfId="7133" xr:uid="{00000000-0005-0000-0000-0000E11B0000}"/>
    <cellStyle name="Style 153 2 2" xfId="16073" xr:uid="{00000000-0005-0000-0000-0000CD3E0000}"/>
    <cellStyle name="Style 153 2 3" xfId="19423" xr:uid="{00000000-0005-0000-0000-0000E34B0000}"/>
    <cellStyle name="Style 153 2 4" xfId="12216" xr:uid="{00000000-0005-0000-0000-0000BC2F0000}"/>
    <cellStyle name="Style 153 3" xfId="16072" xr:uid="{00000000-0005-0000-0000-0000CC3E0000}"/>
    <cellStyle name="Style 153 4" xfId="15489" xr:uid="{00000000-0005-0000-0000-0000853C0000}"/>
    <cellStyle name="Style 153 5" xfId="12215" xr:uid="{00000000-0005-0000-0000-0000BB2F0000}"/>
    <cellStyle name="Style 154" xfId="7134" xr:uid="{00000000-0005-0000-0000-0000E21B0000}"/>
    <cellStyle name="Style 154 2" xfId="7135" xr:uid="{00000000-0005-0000-0000-0000E31B0000}"/>
    <cellStyle name="Style 154 2 2" xfId="16075" xr:uid="{00000000-0005-0000-0000-0000CF3E0000}"/>
    <cellStyle name="Style 154 2 3" xfId="16364" xr:uid="{00000000-0005-0000-0000-0000F03F0000}"/>
    <cellStyle name="Style 154 2 4" xfId="12218" xr:uid="{00000000-0005-0000-0000-0000BE2F0000}"/>
    <cellStyle name="Style 154 3" xfId="16074" xr:uid="{00000000-0005-0000-0000-0000CE3E0000}"/>
    <cellStyle name="Style 154 4" xfId="19250" xr:uid="{00000000-0005-0000-0000-0000364B0000}"/>
    <cellStyle name="Style 154 5" xfId="12217" xr:uid="{00000000-0005-0000-0000-0000BD2F0000}"/>
    <cellStyle name="Style 159" xfId="7136" xr:uid="{00000000-0005-0000-0000-0000E41B0000}"/>
    <cellStyle name="Style 159 2" xfId="7137" xr:uid="{00000000-0005-0000-0000-0000E51B0000}"/>
    <cellStyle name="Style 159 2 2" xfId="16077" xr:uid="{00000000-0005-0000-0000-0000D13E0000}"/>
    <cellStyle name="Style 159 2 3" xfId="19224" xr:uid="{00000000-0005-0000-0000-00001C4B0000}"/>
    <cellStyle name="Style 159 2 4" xfId="12220" xr:uid="{00000000-0005-0000-0000-0000C02F0000}"/>
    <cellStyle name="Style 159 3" xfId="7138" xr:uid="{00000000-0005-0000-0000-0000E61B0000}"/>
    <cellStyle name="Style 159 3 2" xfId="16078" xr:uid="{00000000-0005-0000-0000-0000D23E0000}"/>
    <cellStyle name="Style 159 3 3" xfId="15771" xr:uid="{00000000-0005-0000-0000-00009F3D0000}"/>
    <cellStyle name="Style 159 3 4" xfId="12221" xr:uid="{00000000-0005-0000-0000-0000C12F0000}"/>
    <cellStyle name="Style 159 4" xfId="16076" xr:uid="{00000000-0005-0000-0000-0000D03E0000}"/>
    <cellStyle name="Style 159 5" xfId="16384" xr:uid="{00000000-0005-0000-0000-000004400000}"/>
    <cellStyle name="Style 159 6" xfId="12219" xr:uid="{00000000-0005-0000-0000-0000BF2F0000}"/>
    <cellStyle name="Style 160" xfId="7139" xr:uid="{00000000-0005-0000-0000-0000E71B0000}"/>
    <cellStyle name="Style 160 2" xfId="7140" xr:uid="{00000000-0005-0000-0000-0000E81B0000}"/>
    <cellStyle name="Style 160 2 2" xfId="16080" xr:uid="{00000000-0005-0000-0000-0000D43E0000}"/>
    <cellStyle name="Style 160 2 3" xfId="15939" xr:uid="{00000000-0005-0000-0000-0000473E0000}"/>
    <cellStyle name="Style 160 2 4" xfId="12223" xr:uid="{00000000-0005-0000-0000-0000C32F0000}"/>
    <cellStyle name="Style 160 3" xfId="16079" xr:uid="{00000000-0005-0000-0000-0000D33E0000}"/>
    <cellStyle name="Style 160 4" xfId="16629" xr:uid="{00000000-0005-0000-0000-0000F9400000}"/>
    <cellStyle name="Style 160 5" xfId="12222" xr:uid="{00000000-0005-0000-0000-0000C22F0000}"/>
    <cellStyle name="Style 161" xfId="7141" xr:uid="{00000000-0005-0000-0000-0000E91B0000}"/>
    <cellStyle name="Style 161 2" xfId="7142" xr:uid="{00000000-0005-0000-0000-0000EA1B0000}"/>
    <cellStyle name="Style 161 2 2" xfId="16082" xr:uid="{00000000-0005-0000-0000-0000D63E0000}"/>
    <cellStyle name="Style 161 2 3" xfId="19435" xr:uid="{00000000-0005-0000-0000-0000EF4B0000}"/>
    <cellStyle name="Style 161 2 4" xfId="12225" xr:uid="{00000000-0005-0000-0000-0000C52F0000}"/>
    <cellStyle name="Style 161 3" xfId="16081" xr:uid="{00000000-0005-0000-0000-0000D53E0000}"/>
    <cellStyle name="Style 161 4" xfId="16639" xr:uid="{00000000-0005-0000-0000-000003410000}"/>
    <cellStyle name="Style 161 5" xfId="12224" xr:uid="{00000000-0005-0000-0000-0000C42F0000}"/>
    <cellStyle name="Style 162" xfId="7143" xr:uid="{00000000-0005-0000-0000-0000EB1B0000}"/>
    <cellStyle name="Style 162 2" xfId="7144" xr:uid="{00000000-0005-0000-0000-0000EC1B0000}"/>
    <cellStyle name="Style 162 2 2" xfId="16084" xr:uid="{00000000-0005-0000-0000-0000D83E0000}"/>
    <cellStyle name="Style 162 2 3" xfId="15746" xr:uid="{00000000-0005-0000-0000-0000863D0000}"/>
    <cellStyle name="Style 162 2 4" xfId="12227" xr:uid="{00000000-0005-0000-0000-0000C72F0000}"/>
    <cellStyle name="Style 162 3" xfId="16083" xr:uid="{00000000-0005-0000-0000-0000D73E0000}"/>
    <cellStyle name="Style 162 4" xfId="19443" xr:uid="{00000000-0005-0000-0000-0000F74B0000}"/>
    <cellStyle name="Style 162 5" xfId="12226" xr:uid="{00000000-0005-0000-0000-0000C62F0000}"/>
    <cellStyle name="Style 163" xfId="7145" xr:uid="{00000000-0005-0000-0000-0000ED1B0000}"/>
    <cellStyle name="Style 163 2" xfId="7146" xr:uid="{00000000-0005-0000-0000-0000EE1B0000}"/>
    <cellStyle name="Style 163 2 2" xfId="16086" xr:uid="{00000000-0005-0000-0000-0000DA3E0000}"/>
    <cellStyle name="Style 163 2 3" xfId="15312" xr:uid="{00000000-0005-0000-0000-0000D43B0000}"/>
    <cellStyle name="Style 163 2 4" xfId="12229" xr:uid="{00000000-0005-0000-0000-0000C92F0000}"/>
    <cellStyle name="Style 163 3" xfId="7147" xr:uid="{00000000-0005-0000-0000-0000EF1B0000}"/>
    <cellStyle name="Style 163 3 2" xfId="16087" xr:uid="{00000000-0005-0000-0000-0000DB3E0000}"/>
    <cellStyle name="Style 163 3 3" xfId="16790" xr:uid="{00000000-0005-0000-0000-00009A410000}"/>
    <cellStyle name="Style 163 3 4" xfId="12230" xr:uid="{00000000-0005-0000-0000-0000CA2F0000}"/>
    <cellStyle name="Style 163 4" xfId="16085" xr:uid="{00000000-0005-0000-0000-0000D93E0000}"/>
    <cellStyle name="Style 163 5" xfId="16691" xr:uid="{00000000-0005-0000-0000-000037410000}"/>
    <cellStyle name="Style 163 6" xfId="12228" xr:uid="{00000000-0005-0000-0000-0000C82F0000}"/>
    <cellStyle name="Style 164" xfId="7148" xr:uid="{00000000-0005-0000-0000-0000F01B0000}"/>
    <cellStyle name="Style 164 2" xfId="7149" xr:uid="{00000000-0005-0000-0000-0000F11B0000}"/>
    <cellStyle name="Style 164 2 2" xfId="16089" xr:uid="{00000000-0005-0000-0000-0000DD3E0000}"/>
    <cellStyle name="Style 164 2 3" xfId="15525" xr:uid="{00000000-0005-0000-0000-0000A93C0000}"/>
    <cellStyle name="Style 164 2 4" xfId="12232" xr:uid="{00000000-0005-0000-0000-0000CC2F0000}"/>
    <cellStyle name="Style 164 3" xfId="16088" xr:uid="{00000000-0005-0000-0000-0000DC3E0000}"/>
    <cellStyle name="Style 164 4" xfId="19319" xr:uid="{00000000-0005-0000-0000-00007B4B0000}"/>
    <cellStyle name="Style 164 5" xfId="12231" xr:uid="{00000000-0005-0000-0000-0000CB2F0000}"/>
    <cellStyle name="Style 165" xfId="7150" xr:uid="{00000000-0005-0000-0000-0000F21B0000}"/>
    <cellStyle name="Style 165 2" xfId="7151" xr:uid="{00000000-0005-0000-0000-0000F31B0000}"/>
    <cellStyle name="Style 165 2 2" xfId="16091" xr:uid="{00000000-0005-0000-0000-0000DF3E0000}"/>
    <cellStyle name="Style 165 2 3" xfId="16654" xr:uid="{00000000-0005-0000-0000-000012410000}"/>
    <cellStyle name="Style 165 2 4" xfId="12234" xr:uid="{00000000-0005-0000-0000-0000CE2F0000}"/>
    <cellStyle name="Style 165 3" xfId="16090" xr:uid="{00000000-0005-0000-0000-0000DE3E0000}"/>
    <cellStyle name="Style 165 4" xfId="15425" xr:uid="{00000000-0005-0000-0000-0000453C0000}"/>
    <cellStyle name="Style 165 5" xfId="12233" xr:uid="{00000000-0005-0000-0000-0000CD2F0000}"/>
    <cellStyle name="Style 21" xfId="187" xr:uid="{00000000-0005-0000-0000-0000BF000000}"/>
    <cellStyle name="Style 21 10" xfId="12235" xr:uid="{00000000-0005-0000-0000-0000CF2F0000}"/>
    <cellStyle name="Style 21 2" xfId="188" xr:uid="{00000000-0005-0000-0000-0000C0000000}"/>
    <cellStyle name="Style 21 2 2" xfId="3427" xr:uid="{00000000-0005-0000-0000-0000670D0000}"/>
    <cellStyle name="Style 21 2 2 2" xfId="15209" xr:uid="{00000000-0005-0000-0000-00006D3B0000}"/>
    <cellStyle name="Style 21 2 2 3" xfId="19456" xr:uid="{00000000-0005-0000-0000-0000044C0000}"/>
    <cellStyle name="Style 21 2 2 4" xfId="12237" xr:uid="{00000000-0005-0000-0000-0000D12F0000}"/>
    <cellStyle name="Style 21 2 3" xfId="7153" xr:uid="{00000000-0005-0000-0000-0000F51B0000}"/>
    <cellStyle name="Style 21 2 3 2" xfId="16093" xr:uid="{00000000-0005-0000-0000-0000E13E0000}"/>
    <cellStyle name="Style 21 2 3 3" xfId="15449" xr:uid="{00000000-0005-0000-0000-00005D3C0000}"/>
    <cellStyle name="Style 21 2 3 4" xfId="12238" xr:uid="{00000000-0005-0000-0000-0000D22F0000}"/>
    <cellStyle name="Style 21 2 4" xfId="14143" xr:uid="{00000000-0005-0000-0000-000043370000}"/>
    <cellStyle name="Style 21 2 5" xfId="14144" xr:uid="{00000000-0005-0000-0000-000044370000}"/>
    <cellStyle name="Style 21 2 6" xfId="14145" xr:uid="{00000000-0005-0000-0000-000045370000}"/>
    <cellStyle name="Style 21 2 7" xfId="15208" xr:uid="{00000000-0005-0000-0000-00006C3B0000}"/>
    <cellStyle name="Style 21 2 8" xfId="16703" xr:uid="{00000000-0005-0000-0000-000043410000}"/>
    <cellStyle name="Style 21 2 9" xfId="12236" xr:uid="{00000000-0005-0000-0000-0000D02F0000}"/>
    <cellStyle name="Style 21 3" xfId="3426" xr:uid="{00000000-0005-0000-0000-0000660D0000}"/>
    <cellStyle name="Style 21 3 2" xfId="7860" xr:uid="{00000000-0005-0000-0000-0000B81E0000}"/>
    <cellStyle name="Style 21 3 2 2" xfId="16745" xr:uid="{00000000-0005-0000-0000-00006D410000}"/>
    <cellStyle name="Style 21 3 2 3" xfId="19378" xr:uid="{00000000-0005-0000-0000-0000B64B0000}"/>
    <cellStyle name="Style 21 3 2 4" xfId="12240" xr:uid="{00000000-0005-0000-0000-0000D42F0000}"/>
    <cellStyle name="Style 21 3 3" xfId="12241" xr:uid="{00000000-0005-0000-0000-0000D52F0000}"/>
    <cellStyle name="Style 21 3 3 2" xfId="15527" xr:uid="{00000000-0005-0000-0000-0000AB3C0000}"/>
    <cellStyle name="Style 21 3 4" xfId="15210" xr:uid="{00000000-0005-0000-0000-00006E3B0000}"/>
    <cellStyle name="Style 21 3 5" xfId="16094" xr:uid="{00000000-0005-0000-0000-0000E23E0000}"/>
    <cellStyle name="Style 21 3 6" xfId="19091" xr:uid="{00000000-0005-0000-0000-0000974A0000}"/>
    <cellStyle name="Style 21 3 7" xfId="12239" xr:uid="{00000000-0005-0000-0000-0000D32F0000}"/>
    <cellStyle name="Style 21 3 8" xfId="7154" xr:uid="{00000000-0005-0000-0000-0000F61B0000}"/>
    <cellStyle name="Style 21 4" xfId="7155" xr:uid="{00000000-0005-0000-0000-0000F71B0000}"/>
    <cellStyle name="Style 21 4 2" xfId="16095" xr:uid="{00000000-0005-0000-0000-0000E33E0000}"/>
    <cellStyle name="Style 21 4 3" xfId="19160" xr:uid="{00000000-0005-0000-0000-0000DC4A0000}"/>
    <cellStyle name="Style 21 4 4" xfId="12242" xr:uid="{00000000-0005-0000-0000-0000D62F0000}"/>
    <cellStyle name="Style 21 5" xfId="7152" xr:uid="{00000000-0005-0000-0000-0000F41B0000}"/>
    <cellStyle name="Style 21 5 2" xfId="16092" xr:uid="{00000000-0005-0000-0000-0000E03E0000}"/>
    <cellStyle name="Style 21 5 3" xfId="16650" xr:uid="{00000000-0005-0000-0000-00000E410000}"/>
    <cellStyle name="Style 21 5 4" xfId="12243" xr:uid="{00000000-0005-0000-0000-0000D72F0000}"/>
    <cellStyle name="Style 21 6" xfId="14146" xr:uid="{00000000-0005-0000-0000-000046370000}"/>
    <cellStyle name="Style 21 7" xfId="14147" xr:uid="{00000000-0005-0000-0000-000047370000}"/>
    <cellStyle name="Style 21 8" xfId="15207" xr:uid="{00000000-0005-0000-0000-00006B3B0000}"/>
    <cellStyle name="Style 21 9" xfId="16662" xr:uid="{00000000-0005-0000-0000-00001A410000}"/>
    <cellStyle name="Style 22" xfId="189" xr:uid="{00000000-0005-0000-0000-0000C1000000}"/>
    <cellStyle name="Style 22 2" xfId="7157" xr:uid="{00000000-0005-0000-0000-0000F91B0000}"/>
    <cellStyle name="Style 22 2 2" xfId="16097" xr:uid="{00000000-0005-0000-0000-0000E53E0000}"/>
    <cellStyle name="Style 22 2 3" xfId="15273" xr:uid="{00000000-0005-0000-0000-0000AD3B0000}"/>
    <cellStyle name="Style 22 2 4" xfId="12245" xr:uid="{00000000-0005-0000-0000-0000D92F0000}"/>
    <cellStyle name="Style 22 3" xfId="7156" xr:uid="{00000000-0005-0000-0000-0000F81B0000}"/>
    <cellStyle name="Style 22 3 2" xfId="16096" xr:uid="{00000000-0005-0000-0000-0000E43E0000}"/>
    <cellStyle name="Style 22 3 3" xfId="15552" xr:uid="{00000000-0005-0000-0000-0000C43C0000}"/>
    <cellStyle name="Style 22 3 4" xfId="12246" xr:uid="{00000000-0005-0000-0000-0000DA2F0000}"/>
    <cellStyle name="Style 22 4" xfId="14148" xr:uid="{00000000-0005-0000-0000-000048370000}"/>
    <cellStyle name="Style 22 5" xfId="14149" xr:uid="{00000000-0005-0000-0000-000049370000}"/>
    <cellStyle name="Style 22 6" xfId="14150" xr:uid="{00000000-0005-0000-0000-00004A370000}"/>
    <cellStyle name="Style 22 7" xfId="15211" xr:uid="{00000000-0005-0000-0000-00006F3B0000}"/>
    <cellStyle name="Style 22 8" xfId="19297" xr:uid="{00000000-0005-0000-0000-0000654B0000}"/>
    <cellStyle name="Style 22 9" xfId="12244" xr:uid="{00000000-0005-0000-0000-0000D82F0000}"/>
    <cellStyle name="Style 23" xfId="190" xr:uid="{00000000-0005-0000-0000-0000C2000000}"/>
    <cellStyle name="Style 23 2" xfId="7159" xr:uid="{00000000-0005-0000-0000-0000FB1B0000}"/>
    <cellStyle name="Style 23 2 2" xfId="16099" xr:uid="{00000000-0005-0000-0000-0000E73E0000}"/>
    <cellStyle name="Style 23 2 3" xfId="19210" xr:uid="{00000000-0005-0000-0000-00000E4B0000}"/>
    <cellStyle name="Style 23 2 4" xfId="12248" xr:uid="{00000000-0005-0000-0000-0000DC2F0000}"/>
    <cellStyle name="Style 23 3" xfId="7158" xr:uid="{00000000-0005-0000-0000-0000FA1B0000}"/>
    <cellStyle name="Style 23 3 2" xfId="16098" xr:uid="{00000000-0005-0000-0000-0000E63E0000}"/>
    <cellStyle name="Style 23 3 3" xfId="15756" xr:uid="{00000000-0005-0000-0000-0000903D0000}"/>
    <cellStyle name="Style 23 3 4" xfId="12249" xr:uid="{00000000-0005-0000-0000-0000DD2F0000}"/>
    <cellStyle name="Style 23 4" xfId="14151" xr:uid="{00000000-0005-0000-0000-00004B370000}"/>
    <cellStyle name="Style 23 5" xfId="14152" xr:uid="{00000000-0005-0000-0000-00004C370000}"/>
    <cellStyle name="Style 23 6" xfId="14153" xr:uid="{00000000-0005-0000-0000-00004D370000}"/>
    <cellStyle name="Style 23 7" xfId="15212" xr:uid="{00000000-0005-0000-0000-0000703B0000}"/>
    <cellStyle name="Style 23 8" xfId="15490" xr:uid="{00000000-0005-0000-0000-0000863C0000}"/>
    <cellStyle name="Style 23 9" xfId="12247" xr:uid="{00000000-0005-0000-0000-0000DB2F0000}"/>
    <cellStyle name="Style 24" xfId="191" xr:uid="{00000000-0005-0000-0000-0000C3000000}"/>
    <cellStyle name="Style 24 2" xfId="7161" xr:uid="{00000000-0005-0000-0000-0000FD1B0000}"/>
    <cellStyle name="Style 24 2 2" xfId="16101" xr:uid="{00000000-0005-0000-0000-0000E93E0000}"/>
    <cellStyle name="Style 24 2 3" xfId="16787" xr:uid="{00000000-0005-0000-0000-000097410000}"/>
    <cellStyle name="Style 24 2 4" xfId="12251" xr:uid="{00000000-0005-0000-0000-0000DF2F0000}"/>
    <cellStyle name="Style 24 3" xfId="7160" xr:uid="{00000000-0005-0000-0000-0000FC1B0000}"/>
    <cellStyle name="Style 24 3 2" xfId="16100" xr:uid="{00000000-0005-0000-0000-0000E83E0000}"/>
    <cellStyle name="Style 24 3 3" xfId="19276" xr:uid="{00000000-0005-0000-0000-0000504B0000}"/>
    <cellStyle name="Style 24 3 4" xfId="12252" xr:uid="{00000000-0005-0000-0000-0000E02F0000}"/>
    <cellStyle name="Style 24 4" xfId="14154" xr:uid="{00000000-0005-0000-0000-00004E370000}"/>
    <cellStyle name="Style 24 5" xfId="14155" xr:uid="{00000000-0005-0000-0000-00004F370000}"/>
    <cellStyle name="Style 24 6" xfId="14156" xr:uid="{00000000-0005-0000-0000-000050370000}"/>
    <cellStyle name="Style 24 7" xfId="15213" xr:uid="{00000000-0005-0000-0000-0000713B0000}"/>
    <cellStyle name="Style 24 8" xfId="17207" xr:uid="{00000000-0005-0000-0000-00003B430000}"/>
    <cellStyle name="Style 24 9" xfId="12250" xr:uid="{00000000-0005-0000-0000-0000DE2F0000}"/>
    <cellStyle name="Style 25" xfId="192" xr:uid="{00000000-0005-0000-0000-0000C4000000}"/>
    <cellStyle name="Style 25 10" xfId="12253" xr:uid="{00000000-0005-0000-0000-0000E12F0000}"/>
    <cellStyle name="Style 25 2" xfId="193" xr:uid="{00000000-0005-0000-0000-0000C5000000}"/>
    <cellStyle name="Style 25 2 2" xfId="3429" xr:uid="{00000000-0005-0000-0000-0000690D0000}"/>
    <cellStyle name="Style 25 2 2 2" xfId="15216" xr:uid="{00000000-0005-0000-0000-0000743B0000}"/>
    <cellStyle name="Style 25 2 2 3" xfId="19100" xr:uid="{00000000-0005-0000-0000-0000A04A0000}"/>
    <cellStyle name="Style 25 2 2 4" xfId="12255" xr:uid="{00000000-0005-0000-0000-0000E32F0000}"/>
    <cellStyle name="Style 25 2 3" xfId="14157" xr:uid="{00000000-0005-0000-0000-000051370000}"/>
    <cellStyle name="Style 25 2 4" xfId="14158" xr:uid="{00000000-0005-0000-0000-000052370000}"/>
    <cellStyle name="Style 25 2 5" xfId="14159" xr:uid="{00000000-0005-0000-0000-000053370000}"/>
    <cellStyle name="Style 25 2 6" xfId="14160" xr:uid="{00000000-0005-0000-0000-000054370000}"/>
    <cellStyle name="Style 25 2 7" xfId="15215" xr:uid="{00000000-0005-0000-0000-0000733B0000}"/>
    <cellStyle name="Style 25 2 8" xfId="15637" xr:uid="{00000000-0005-0000-0000-0000193D0000}"/>
    <cellStyle name="Style 25 2 9" xfId="12254" xr:uid="{00000000-0005-0000-0000-0000E22F0000}"/>
    <cellStyle name="Style 25 3" xfId="3428" xr:uid="{00000000-0005-0000-0000-0000680D0000}"/>
    <cellStyle name="Style 25 3 2" xfId="7861" xr:uid="{00000000-0005-0000-0000-0000B91E0000}"/>
    <cellStyle name="Style 25 3 2 2" xfId="16746" xr:uid="{00000000-0005-0000-0000-00006E410000}"/>
    <cellStyle name="Style 25 3 2 3" xfId="15454" xr:uid="{00000000-0005-0000-0000-0000623C0000}"/>
    <cellStyle name="Style 25 3 2 4" xfId="12257" xr:uid="{00000000-0005-0000-0000-0000E52F0000}"/>
    <cellStyle name="Style 25 3 3" xfId="12258" xr:uid="{00000000-0005-0000-0000-0000E62F0000}"/>
    <cellStyle name="Style 25 3 3 2" xfId="19259" xr:uid="{00000000-0005-0000-0000-00003F4B0000}"/>
    <cellStyle name="Style 25 3 4" xfId="15217" xr:uid="{00000000-0005-0000-0000-0000753B0000}"/>
    <cellStyle name="Style 25 3 5" xfId="16103" xr:uid="{00000000-0005-0000-0000-0000EB3E0000}"/>
    <cellStyle name="Style 25 3 6" xfId="19399" xr:uid="{00000000-0005-0000-0000-0000CB4B0000}"/>
    <cellStyle name="Style 25 3 7" xfId="12256" xr:uid="{00000000-0005-0000-0000-0000E42F0000}"/>
    <cellStyle name="Style 25 3 8" xfId="7163" xr:uid="{00000000-0005-0000-0000-0000FF1B0000}"/>
    <cellStyle name="Style 25 4" xfId="7162" xr:uid="{00000000-0005-0000-0000-0000FE1B0000}"/>
    <cellStyle name="Style 25 4 2" xfId="16102" xr:uid="{00000000-0005-0000-0000-0000EA3E0000}"/>
    <cellStyle name="Style 25 4 3" xfId="19211" xr:uid="{00000000-0005-0000-0000-00000F4B0000}"/>
    <cellStyle name="Style 25 4 4" xfId="12259" xr:uid="{00000000-0005-0000-0000-0000E72F0000}"/>
    <cellStyle name="Style 25 5" xfId="14161" xr:uid="{00000000-0005-0000-0000-000055370000}"/>
    <cellStyle name="Style 25 6" xfId="14162" xr:uid="{00000000-0005-0000-0000-000056370000}"/>
    <cellStyle name="Style 25 7" xfId="14163" xr:uid="{00000000-0005-0000-0000-000057370000}"/>
    <cellStyle name="Style 25 8" xfId="15214" xr:uid="{00000000-0005-0000-0000-0000723B0000}"/>
    <cellStyle name="Style 25 9" xfId="19526" xr:uid="{00000000-0005-0000-0000-00004A4C0000}"/>
    <cellStyle name="Style 26" xfId="194" xr:uid="{00000000-0005-0000-0000-0000C6000000}"/>
    <cellStyle name="Style 26 2" xfId="7165" xr:uid="{00000000-0005-0000-0000-0000011C0000}"/>
    <cellStyle name="Style 26 2 2" xfId="16105" xr:uid="{00000000-0005-0000-0000-0000ED3E0000}"/>
    <cellStyle name="Style 26 2 3" xfId="15596" xr:uid="{00000000-0005-0000-0000-0000F03C0000}"/>
    <cellStyle name="Style 26 2 4" xfId="12261" xr:uid="{00000000-0005-0000-0000-0000E92F0000}"/>
    <cellStyle name="Style 26 3" xfId="7164" xr:uid="{00000000-0005-0000-0000-0000001C0000}"/>
    <cellStyle name="Style 26 3 2" xfId="16104" xr:uid="{00000000-0005-0000-0000-0000EC3E0000}"/>
    <cellStyle name="Style 26 3 3" xfId="16776" xr:uid="{00000000-0005-0000-0000-00008C410000}"/>
    <cellStyle name="Style 26 3 4" xfId="12262" xr:uid="{00000000-0005-0000-0000-0000EA2F0000}"/>
    <cellStyle name="Style 26 4" xfId="14164" xr:uid="{00000000-0005-0000-0000-000058370000}"/>
    <cellStyle name="Style 26 5" xfId="14165" xr:uid="{00000000-0005-0000-0000-000059370000}"/>
    <cellStyle name="Style 26 6" xfId="14166" xr:uid="{00000000-0005-0000-0000-00005A370000}"/>
    <cellStyle name="Style 26 7" xfId="15218" xr:uid="{00000000-0005-0000-0000-0000763B0000}"/>
    <cellStyle name="Style 26 8" xfId="15401" xr:uid="{00000000-0005-0000-0000-00002D3C0000}"/>
    <cellStyle name="Style 26 9" xfId="12260" xr:uid="{00000000-0005-0000-0000-0000E82F0000}"/>
    <cellStyle name="Style 27" xfId="7166" xr:uid="{00000000-0005-0000-0000-0000021C0000}"/>
    <cellStyle name="Style 27 2" xfId="7167" xr:uid="{00000000-0005-0000-0000-0000031C0000}"/>
    <cellStyle name="Style 27 2 2" xfId="16107" xr:uid="{00000000-0005-0000-0000-0000EF3E0000}"/>
    <cellStyle name="Style 27 2 3" xfId="19057" xr:uid="{00000000-0005-0000-0000-0000754A0000}"/>
    <cellStyle name="Style 27 2 4" xfId="12264" xr:uid="{00000000-0005-0000-0000-0000EC2F0000}"/>
    <cellStyle name="Style 27 3" xfId="16106" xr:uid="{00000000-0005-0000-0000-0000EE3E0000}"/>
    <cellStyle name="Style 27 4" xfId="15674" xr:uid="{00000000-0005-0000-0000-00003E3D0000}"/>
    <cellStyle name="Style 27 5" xfId="12263" xr:uid="{00000000-0005-0000-0000-0000EB2F0000}"/>
    <cellStyle name="Style 29" xfId="1824" xr:uid="{00000000-0005-0000-0000-000024070000}"/>
    <cellStyle name="Style 29 2" xfId="1825" xr:uid="{00000000-0005-0000-0000-000025070000}"/>
    <cellStyle name="Style 29 2 2" xfId="2944" xr:uid="{00000000-0005-0000-0000-0000840B0000}"/>
    <cellStyle name="Style 29 3" xfId="2943" xr:uid="{00000000-0005-0000-0000-0000830B0000}"/>
    <cellStyle name="Style 35" xfId="1826" xr:uid="{00000000-0005-0000-0000-000026070000}"/>
    <cellStyle name="Style 35 2" xfId="1827" xr:uid="{00000000-0005-0000-0000-000027070000}"/>
    <cellStyle name="Style 35 2 2" xfId="16109" xr:uid="{00000000-0005-0000-0000-0000F13E0000}"/>
    <cellStyle name="Style 35 2 3" xfId="19204" xr:uid="{00000000-0005-0000-0000-0000084B0000}"/>
    <cellStyle name="Style 35 2 4" xfId="12266" xr:uid="{00000000-0005-0000-0000-0000EE2F0000}"/>
    <cellStyle name="Style 35 2 5" xfId="7169" xr:uid="{00000000-0005-0000-0000-0000051C0000}"/>
    <cellStyle name="Style 35 3" xfId="7170" xr:uid="{00000000-0005-0000-0000-0000061C0000}"/>
    <cellStyle name="Style 35 3 2" xfId="16110" xr:uid="{00000000-0005-0000-0000-0000F23E0000}"/>
    <cellStyle name="Style 35 3 3" xfId="19484" xr:uid="{00000000-0005-0000-0000-0000204C0000}"/>
    <cellStyle name="Style 35 3 4" xfId="12267" xr:uid="{00000000-0005-0000-0000-0000EF2F0000}"/>
    <cellStyle name="Style 35 4" xfId="16108" xr:uid="{00000000-0005-0000-0000-0000F03E0000}"/>
    <cellStyle name="Style 35 5" xfId="19496" xr:uid="{00000000-0005-0000-0000-00002C4C0000}"/>
    <cellStyle name="Style 35 6" xfId="12265" xr:uid="{00000000-0005-0000-0000-0000ED2F0000}"/>
    <cellStyle name="Style 35 7" xfId="7168" xr:uid="{00000000-0005-0000-0000-0000041C0000}"/>
    <cellStyle name="Style 36" xfId="1828" xr:uid="{00000000-0005-0000-0000-000028070000}"/>
    <cellStyle name="Style 36 2" xfId="1829" xr:uid="{00000000-0005-0000-0000-000029070000}"/>
    <cellStyle name="Style 36 2 2" xfId="16112" xr:uid="{00000000-0005-0000-0000-0000F43E0000}"/>
    <cellStyle name="Style 36 2 3" xfId="15379" xr:uid="{00000000-0005-0000-0000-0000173C0000}"/>
    <cellStyle name="Style 36 2 4" xfId="12269" xr:uid="{00000000-0005-0000-0000-0000F12F0000}"/>
    <cellStyle name="Style 36 2 5" xfId="7172" xr:uid="{00000000-0005-0000-0000-0000081C0000}"/>
    <cellStyle name="Style 36 3" xfId="16111" xr:uid="{00000000-0005-0000-0000-0000F33E0000}"/>
    <cellStyle name="Style 36 4" xfId="15479" xr:uid="{00000000-0005-0000-0000-00007B3C0000}"/>
    <cellStyle name="Style 36 5" xfId="12268" xr:uid="{00000000-0005-0000-0000-0000F02F0000}"/>
    <cellStyle name="Style 36 6" xfId="7171" xr:uid="{00000000-0005-0000-0000-0000071C0000}"/>
    <cellStyle name="Style 37" xfId="7173" xr:uid="{00000000-0005-0000-0000-0000091C0000}"/>
    <cellStyle name="Style 37 2" xfId="7174" xr:uid="{00000000-0005-0000-0000-00000A1C0000}"/>
    <cellStyle name="Style 37 2 2" xfId="16114" xr:uid="{00000000-0005-0000-0000-0000F63E0000}"/>
    <cellStyle name="Style 37 2 3" xfId="15342" xr:uid="{00000000-0005-0000-0000-0000F23B0000}"/>
    <cellStyle name="Style 37 2 4" xfId="12271" xr:uid="{00000000-0005-0000-0000-0000F32F0000}"/>
    <cellStyle name="Style 37 3" xfId="16113" xr:uid="{00000000-0005-0000-0000-0000F53E0000}"/>
    <cellStyle name="Style 37 4" xfId="17215" xr:uid="{00000000-0005-0000-0000-000043430000}"/>
    <cellStyle name="Style 37 5" xfId="12270" xr:uid="{00000000-0005-0000-0000-0000F22F0000}"/>
    <cellStyle name="Style 38" xfId="7175" xr:uid="{00000000-0005-0000-0000-00000B1C0000}"/>
    <cellStyle name="Style 38 2" xfId="7176" xr:uid="{00000000-0005-0000-0000-00000C1C0000}"/>
    <cellStyle name="Style 38 2 2" xfId="16116" xr:uid="{00000000-0005-0000-0000-0000F83E0000}"/>
    <cellStyle name="Style 38 2 3" xfId="19318" xr:uid="{00000000-0005-0000-0000-00007A4B0000}"/>
    <cellStyle name="Style 38 2 4" xfId="12273" xr:uid="{00000000-0005-0000-0000-0000F52F0000}"/>
    <cellStyle name="Style 38 3" xfId="16115" xr:uid="{00000000-0005-0000-0000-0000F73E0000}"/>
    <cellStyle name="Style 38 4" xfId="16647" xr:uid="{00000000-0005-0000-0000-00000B410000}"/>
    <cellStyle name="Style 38 5" xfId="12272" xr:uid="{00000000-0005-0000-0000-0000F42F0000}"/>
    <cellStyle name="Style 39" xfId="7177" xr:uid="{00000000-0005-0000-0000-00000D1C0000}"/>
    <cellStyle name="Style 39 2" xfId="7178" xr:uid="{00000000-0005-0000-0000-00000E1C0000}"/>
    <cellStyle name="Style 39 2 2" xfId="16118" xr:uid="{00000000-0005-0000-0000-0000FA3E0000}"/>
    <cellStyle name="Style 39 2 3" xfId="19334" xr:uid="{00000000-0005-0000-0000-00008A4B0000}"/>
    <cellStyle name="Style 39 2 4" xfId="12275" xr:uid="{00000000-0005-0000-0000-0000F72F0000}"/>
    <cellStyle name="Style 39 3" xfId="7179" xr:uid="{00000000-0005-0000-0000-00000F1C0000}"/>
    <cellStyle name="Style 39 3 2" xfId="16119" xr:uid="{00000000-0005-0000-0000-0000FB3E0000}"/>
    <cellStyle name="Style 39 3 3" xfId="15647" xr:uid="{00000000-0005-0000-0000-0000233D0000}"/>
    <cellStyle name="Style 39 3 4" xfId="12276" xr:uid="{00000000-0005-0000-0000-0000F82F0000}"/>
    <cellStyle name="Style 39 4" xfId="16117" xr:uid="{00000000-0005-0000-0000-0000F93E0000}"/>
    <cellStyle name="Style 39 5" xfId="19536" xr:uid="{00000000-0005-0000-0000-0000544C0000}"/>
    <cellStyle name="Style 39 6" xfId="12274" xr:uid="{00000000-0005-0000-0000-0000F62F0000}"/>
    <cellStyle name="Style 40" xfId="7180" xr:uid="{00000000-0005-0000-0000-0000101C0000}"/>
    <cellStyle name="Style 40 2" xfId="7181" xr:uid="{00000000-0005-0000-0000-0000111C0000}"/>
    <cellStyle name="Style 40 2 2" xfId="16121" xr:uid="{00000000-0005-0000-0000-0000FD3E0000}"/>
    <cellStyle name="Style 40 2 3" xfId="19140" xr:uid="{00000000-0005-0000-0000-0000C84A0000}"/>
    <cellStyle name="Style 40 2 4" xfId="12278" xr:uid="{00000000-0005-0000-0000-0000FA2F0000}"/>
    <cellStyle name="Style 40 3" xfId="16120" xr:uid="{00000000-0005-0000-0000-0000FC3E0000}"/>
    <cellStyle name="Style 40 4" xfId="19401" xr:uid="{00000000-0005-0000-0000-0000CD4B0000}"/>
    <cellStyle name="Style 40 5" xfId="12277" xr:uid="{00000000-0005-0000-0000-0000F92F0000}"/>
    <cellStyle name="Style 41" xfId="7182" xr:uid="{00000000-0005-0000-0000-0000121C0000}"/>
    <cellStyle name="Style 41 2" xfId="7183" xr:uid="{00000000-0005-0000-0000-0000131C0000}"/>
    <cellStyle name="Style 41 2 2" xfId="16123" xr:uid="{00000000-0005-0000-0000-0000FF3E0000}"/>
    <cellStyle name="Style 41 2 3" xfId="15667" xr:uid="{00000000-0005-0000-0000-0000373D0000}"/>
    <cellStyle name="Style 41 2 4" xfId="12280" xr:uid="{00000000-0005-0000-0000-0000FC2F0000}"/>
    <cellStyle name="Style 41 3" xfId="16122" xr:uid="{00000000-0005-0000-0000-0000FE3E0000}"/>
    <cellStyle name="Style 41 4" xfId="19109" xr:uid="{00000000-0005-0000-0000-0000A94A0000}"/>
    <cellStyle name="Style 41 5" xfId="12279" xr:uid="{00000000-0005-0000-0000-0000FB2F0000}"/>
    <cellStyle name="Style 46" xfId="7184" xr:uid="{00000000-0005-0000-0000-0000141C0000}"/>
    <cellStyle name="Style 46 2" xfId="7185" xr:uid="{00000000-0005-0000-0000-0000151C0000}"/>
    <cellStyle name="Style 46 2 2" xfId="16125" xr:uid="{00000000-0005-0000-0000-0000013F0000}"/>
    <cellStyle name="Style 46 2 3" xfId="15795" xr:uid="{00000000-0005-0000-0000-0000B73D0000}"/>
    <cellStyle name="Style 46 2 4" xfId="12282" xr:uid="{00000000-0005-0000-0000-0000FE2F0000}"/>
    <cellStyle name="Style 46 3" xfId="7186" xr:uid="{00000000-0005-0000-0000-0000161C0000}"/>
    <cellStyle name="Style 46 3 2" xfId="16126" xr:uid="{00000000-0005-0000-0000-0000023F0000}"/>
    <cellStyle name="Style 46 3 3" xfId="15426" xr:uid="{00000000-0005-0000-0000-0000463C0000}"/>
    <cellStyle name="Style 46 3 4" xfId="12283" xr:uid="{00000000-0005-0000-0000-0000FF2F0000}"/>
    <cellStyle name="Style 46 4" xfId="16124" xr:uid="{00000000-0005-0000-0000-0000003F0000}"/>
    <cellStyle name="Style 46 5" xfId="19056" xr:uid="{00000000-0005-0000-0000-0000744A0000}"/>
    <cellStyle name="Style 46 6" xfId="12281" xr:uid="{00000000-0005-0000-0000-0000FD2F0000}"/>
    <cellStyle name="Style 47" xfId="7187" xr:uid="{00000000-0005-0000-0000-0000171C0000}"/>
    <cellStyle name="Style 47 2" xfId="7188" xr:uid="{00000000-0005-0000-0000-0000181C0000}"/>
    <cellStyle name="Style 47 2 2" xfId="16128" xr:uid="{00000000-0005-0000-0000-0000043F0000}"/>
    <cellStyle name="Style 47 2 3" xfId="16365" xr:uid="{00000000-0005-0000-0000-0000F13F0000}"/>
    <cellStyle name="Style 47 2 4" xfId="12285" xr:uid="{00000000-0005-0000-0000-000001300000}"/>
    <cellStyle name="Style 47 3" xfId="16127" xr:uid="{00000000-0005-0000-0000-0000033F0000}"/>
    <cellStyle name="Style 47 4" xfId="19027" xr:uid="{00000000-0005-0000-0000-0000574A0000}"/>
    <cellStyle name="Style 47 5" xfId="12284" xr:uid="{00000000-0005-0000-0000-000000300000}"/>
    <cellStyle name="Style 48" xfId="7189" xr:uid="{00000000-0005-0000-0000-0000191C0000}"/>
    <cellStyle name="Style 48 2" xfId="7190" xr:uid="{00000000-0005-0000-0000-00001A1C0000}"/>
    <cellStyle name="Style 48 2 2" xfId="16130" xr:uid="{00000000-0005-0000-0000-0000063F0000}"/>
    <cellStyle name="Style 48 2 3" xfId="15644" xr:uid="{00000000-0005-0000-0000-0000203D0000}"/>
    <cellStyle name="Style 48 2 4" xfId="12287" xr:uid="{00000000-0005-0000-0000-000003300000}"/>
    <cellStyle name="Style 48 3" xfId="16129" xr:uid="{00000000-0005-0000-0000-0000053F0000}"/>
    <cellStyle name="Style 48 4" xfId="19307" xr:uid="{00000000-0005-0000-0000-00006F4B0000}"/>
    <cellStyle name="Style 48 5" xfId="12286" xr:uid="{00000000-0005-0000-0000-000002300000}"/>
    <cellStyle name="Style 49" xfId="7191" xr:uid="{00000000-0005-0000-0000-00001B1C0000}"/>
    <cellStyle name="Style 49 2" xfId="7192" xr:uid="{00000000-0005-0000-0000-00001C1C0000}"/>
    <cellStyle name="Style 49 2 2" xfId="16132" xr:uid="{00000000-0005-0000-0000-0000083F0000}"/>
    <cellStyle name="Style 49 2 3" xfId="19187" xr:uid="{00000000-0005-0000-0000-0000F74A0000}"/>
    <cellStyle name="Style 49 2 4" xfId="12289" xr:uid="{00000000-0005-0000-0000-000005300000}"/>
    <cellStyle name="Style 49 3" xfId="16131" xr:uid="{00000000-0005-0000-0000-0000073F0000}"/>
    <cellStyle name="Style 49 4" xfId="15770" xr:uid="{00000000-0005-0000-0000-00009E3D0000}"/>
    <cellStyle name="Style 49 5" xfId="12288" xr:uid="{00000000-0005-0000-0000-000004300000}"/>
    <cellStyle name="Style 50" xfId="7193" xr:uid="{00000000-0005-0000-0000-00001D1C0000}"/>
    <cellStyle name="Style 50 2" xfId="7194" xr:uid="{00000000-0005-0000-0000-00001E1C0000}"/>
    <cellStyle name="Style 50 2 2" xfId="16134" xr:uid="{00000000-0005-0000-0000-00000A3F0000}"/>
    <cellStyle name="Style 50 2 3" xfId="19232" xr:uid="{00000000-0005-0000-0000-0000244B0000}"/>
    <cellStyle name="Style 50 2 4" xfId="12291" xr:uid="{00000000-0005-0000-0000-000007300000}"/>
    <cellStyle name="Style 50 3" xfId="7195" xr:uid="{00000000-0005-0000-0000-00001F1C0000}"/>
    <cellStyle name="Style 50 3 2" xfId="16135" xr:uid="{00000000-0005-0000-0000-00000B3F0000}"/>
    <cellStyle name="Style 50 3 3" xfId="19245" xr:uid="{00000000-0005-0000-0000-0000314B0000}"/>
    <cellStyle name="Style 50 3 4" xfId="12292" xr:uid="{00000000-0005-0000-0000-000008300000}"/>
    <cellStyle name="Style 50 4" xfId="16133" xr:uid="{00000000-0005-0000-0000-0000093F0000}"/>
    <cellStyle name="Style 50 5" xfId="16727" xr:uid="{00000000-0005-0000-0000-00005B410000}"/>
    <cellStyle name="Style 50 6" xfId="12290" xr:uid="{00000000-0005-0000-0000-000006300000}"/>
    <cellStyle name="Style 51" xfId="7196" xr:uid="{00000000-0005-0000-0000-0000201C0000}"/>
    <cellStyle name="Style 51 2" xfId="7197" xr:uid="{00000000-0005-0000-0000-0000211C0000}"/>
    <cellStyle name="Style 51 2 2" xfId="16137" xr:uid="{00000000-0005-0000-0000-00000D3F0000}"/>
    <cellStyle name="Style 51 2 3" xfId="15803" xr:uid="{00000000-0005-0000-0000-0000BF3D0000}"/>
    <cellStyle name="Style 51 2 4" xfId="12294" xr:uid="{00000000-0005-0000-0000-00000A300000}"/>
    <cellStyle name="Style 51 3" xfId="16136" xr:uid="{00000000-0005-0000-0000-00000C3F0000}"/>
    <cellStyle name="Style 51 4" xfId="15457" xr:uid="{00000000-0005-0000-0000-0000653C0000}"/>
    <cellStyle name="Style 51 5" xfId="12293" xr:uid="{00000000-0005-0000-0000-000009300000}"/>
    <cellStyle name="Style 52" xfId="7198" xr:uid="{00000000-0005-0000-0000-0000221C0000}"/>
    <cellStyle name="Style 52 2" xfId="7199" xr:uid="{00000000-0005-0000-0000-0000231C0000}"/>
    <cellStyle name="Style 52 2 2" xfId="16139" xr:uid="{00000000-0005-0000-0000-00000F3F0000}"/>
    <cellStyle name="Style 52 2 3" xfId="19093" xr:uid="{00000000-0005-0000-0000-0000994A0000}"/>
    <cellStyle name="Style 52 2 4" xfId="12296" xr:uid="{00000000-0005-0000-0000-00000C300000}"/>
    <cellStyle name="Style 52 3" xfId="16138" xr:uid="{00000000-0005-0000-0000-00000E3F0000}"/>
    <cellStyle name="Style 52 4" xfId="16621" xr:uid="{00000000-0005-0000-0000-0000F1400000}"/>
    <cellStyle name="Style 52 5" xfId="12295" xr:uid="{00000000-0005-0000-0000-00000B300000}"/>
    <cellStyle name="Style 58" xfId="7200" xr:uid="{00000000-0005-0000-0000-0000241C0000}"/>
    <cellStyle name="Style 58 2" xfId="7201" xr:uid="{00000000-0005-0000-0000-0000251C0000}"/>
    <cellStyle name="Style 58 2 2" xfId="16141" xr:uid="{00000000-0005-0000-0000-0000113F0000}"/>
    <cellStyle name="Style 58 2 3" xfId="19111" xr:uid="{00000000-0005-0000-0000-0000AB4A0000}"/>
    <cellStyle name="Style 58 2 4" xfId="12298" xr:uid="{00000000-0005-0000-0000-00000E300000}"/>
    <cellStyle name="Style 58 3" xfId="7202" xr:uid="{00000000-0005-0000-0000-0000261C0000}"/>
    <cellStyle name="Style 58 3 2" xfId="16142" xr:uid="{00000000-0005-0000-0000-0000123F0000}"/>
    <cellStyle name="Style 58 3 3" xfId="19033" xr:uid="{00000000-0005-0000-0000-00005D4A0000}"/>
    <cellStyle name="Style 58 3 4" xfId="12299" xr:uid="{00000000-0005-0000-0000-00000F300000}"/>
    <cellStyle name="Style 58 4" xfId="16140" xr:uid="{00000000-0005-0000-0000-0000103F0000}"/>
    <cellStyle name="Style 58 5" xfId="15768" xr:uid="{00000000-0005-0000-0000-00009C3D0000}"/>
    <cellStyle name="Style 58 6" xfId="12297" xr:uid="{00000000-0005-0000-0000-00000D300000}"/>
    <cellStyle name="Style 59" xfId="7203" xr:uid="{00000000-0005-0000-0000-0000271C0000}"/>
    <cellStyle name="Style 59 2" xfId="7204" xr:uid="{00000000-0005-0000-0000-0000281C0000}"/>
    <cellStyle name="Style 59 2 2" xfId="16144" xr:uid="{00000000-0005-0000-0000-0000143F0000}"/>
    <cellStyle name="Style 59 2 3" xfId="19285" xr:uid="{00000000-0005-0000-0000-0000594B0000}"/>
    <cellStyle name="Style 59 2 4" xfId="12301" xr:uid="{00000000-0005-0000-0000-000011300000}"/>
    <cellStyle name="Style 59 3" xfId="16143" xr:uid="{00000000-0005-0000-0000-0000133F0000}"/>
    <cellStyle name="Style 59 4" xfId="19347" xr:uid="{00000000-0005-0000-0000-0000974B0000}"/>
    <cellStyle name="Style 59 5" xfId="12300" xr:uid="{00000000-0005-0000-0000-000010300000}"/>
    <cellStyle name="Style 60" xfId="7205" xr:uid="{00000000-0005-0000-0000-0000291C0000}"/>
    <cellStyle name="Style 60 2" xfId="7206" xr:uid="{00000000-0005-0000-0000-00002A1C0000}"/>
    <cellStyle name="Style 60 2 2" xfId="16146" xr:uid="{00000000-0005-0000-0000-0000163F0000}"/>
    <cellStyle name="Style 60 2 3" xfId="15604" xr:uid="{00000000-0005-0000-0000-0000F83C0000}"/>
    <cellStyle name="Style 60 2 4" xfId="12303" xr:uid="{00000000-0005-0000-0000-000013300000}"/>
    <cellStyle name="Style 60 3" xfId="16145" xr:uid="{00000000-0005-0000-0000-0000153F0000}"/>
    <cellStyle name="Style 60 4" xfId="19494" xr:uid="{00000000-0005-0000-0000-00002A4C0000}"/>
    <cellStyle name="Style 60 5" xfId="12302" xr:uid="{00000000-0005-0000-0000-000012300000}"/>
    <cellStyle name="Style 61" xfId="7207" xr:uid="{00000000-0005-0000-0000-00002B1C0000}"/>
    <cellStyle name="Style 61 2" xfId="7208" xr:uid="{00000000-0005-0000-0000-00002C1C0000}"/>
    <cellStyle name="Style 61 2 2" xfId="16148" xr:uid="{00000000-0005-0000-0000-0000183F0000}"/>
    <cellStyle name="Style 61 2 3" xfId="19434" xr:uid="{00000000-0005-0000-0000-0000EE4B0000}"/>
    <cellStyle name="Style 61 2 4" xfId="12305" xr:uid="{00000000-0005-0000-0000-000015300000}"/>
    <cellStyle name="Style 61 3" xfId="16147" xr:uid="{00000000-0005-0000-0000-0000173F0000}"/>
    <cellStyle name="Style 61 4" xfId="19407" xr:uid="{00000000-0005-0000-0000-0000D34B0000}"/>
    <cellStyle name="Style 61 5" xfId="12304" xr:uid="{00000000-0005-0000-0000-000014300000}"/>
    <cellStyle name="Style 62" xfId="7209" xr:uid="{00000000-0005-0000-0000-00002D1C0000}"/>
    <cellStyle name="Style 62 2" xfId="7210" xr:uid="{00000000-0005-0000-0000-00002E1C0000}"/>
    <cellStyle name="Style 62 2 2" xfId="16150" xr:uid="{00000000-0005-0000-0000-00001A3F0000}"/>
    <cellStyle name="Style 62 2 3" xfId="19263" xr:uid="{00000000-0005-0000-0000-0000434B0000}"/>
    <cellStyle name="Style 62 2 4" xfId="12307" xr:uid="{00000000-0005-0000-0000-000017300000}"/>
    <cellStyle name="Style 62 3" xfId="7211" xr:uid="{00000000-0005-0000-0000-00002F1C0000}"/>
    <cellStyle name="Style 62 3 2" xfId="16151" xr:uid="{00000000-0005-0000-0000-00001B3F0000}"/>
    <cellStyle name="Style 62 3 3" xfId="17282" xr:uid="{00000000-0005-0000-0000-000086430000}"/>
    <cellStyle name="Style 62 3 4" xfId="12308" xr:uid="{00000000-0005-0000-0000-000018300000}"/>
    <cellStyle name="Style 62 4" xfId="16149" xr:uid="{00000000-0005-0000-0000-0000193F0000}"/>
    <cellStyle name="Style 62 5" xfId="19535" xr:uid="{00000000-0005-0000-0000-0000534C0000}"/>
    <cellStyle name="Style 62 6" xfId="12306" xr:uid="{00000000-0005-0000-0000-000016300000}"/>
    <cellStyle name="Style 63" xfId="7212" xr:uid="{00000000-0005-0000-0000-0000301C0000}"/>
    <cellStyle name="Style 63 2" xfId="7213" xr:uid="{00000000-0005-0000-0000-0000311C0000}"/>
    <cellStyle name="Style 63 2 2" xfId="16153" xr:uid="{00000000-0005-0000-0000-00001D3F0000}"/>
    <cellStyle name="Style 63 2 3" xfId="16652" xr:uid="{00000000-0005-0000-0000-000010410000}"/>
    <cellStyle name="Style 63 2 4" xfId="12310" xr:uid="{00000000-0005-0000-0000-00001A300000}"/>
    <cellStyle name="Style 63 3" xfId="16152" xr:uid="{00000000-0005-0000-0000-00001C3F0000}"/>
    <cellStyle name="Style 63 4" xfId="15420" xr:uid="{00000000-0005-0000-0000-0000403C0000}"/>
    <cellStyle name="Style 63 5" xfId="12309" xr:uid="{00000000-0005-0000-0000-000019300000}"/>
    <cellStyle name="Style 64" xfId="7214" xr:uid="{00000000-0005-0000-0000-0000321C0000}"/>
    <cellStyle name="Style 64 2" xfId="7215" xr:uid="{00000000-0005-0000-0000-0000331C0000}"/>
    <cellStyle name="Style 64 2 2" xfId="16155" xr:uid="{00000000-0005-0000-0000-00001F3F0000}"/>
    <cellStyle name="Style 64 2 3" xfId="15652" xr:uid="{00000000-0005-0000-0000-0000283D0000}"/>
    <cellStyle name="Style 64 2 4" xfId="12312" xr:uid="{00000000-0005-0000-0000-00001C300000}"/>
    <cellStyle name="Style 64 3" xfId="16154" xr:uid="{00000000-0005-0000-0000-00001E3F0000}"/>
    <cellStyle name="Style 64 4" xfId="16609" xr:uid="{00000000-0005-0000-0000-0000E5400000}"/>
    <cellStyle name="Style 64 5" xfId="12311" xr:uid="{00000000-0005-0000-0000-00001B300000}"/>
    <cellStyle name="Style 69" xfId="7216" xr:uid="{00000000-0005-0000-0000-0000341C0000}"/>
    <cellStyle name="Style 69 2" xfId="7217" xr:uid="{00000000-0005-0000-0000-0000351C0000}"/>
    <cellStyle name="Style 69 2 2" xfId="16157" xr:uid="{00000000-0005-0000-0000-0000213F0000}"/>
    <cellStyle name="Style 69 2 3" xfId="15415" xr:uid="{00000000-0005-0000-0000-00003B3C0000}"/>
    <cellStyle name="Style 69 2 4" xfId="12314" xr:uid="{00000000-0005-0000-0000-00001E300000}"/>
    <cellStyle name="Style 69 3" xfId="7218" xr:uid="{00000000-0005-0000-0000-0000361C0000}"/>
    <cellStyle name="Style 69 3 2" xfId="16158" xr:uid="{00000000-0005-0000-0000-0000223F0000}"/>
    <cellStyle name="Style 69 3 3" xfId="19467" xr:uid="{00000000-0005-0000-0000-00000F4C0000}"/>
    <cellStyle name="Style 69 3 4" xfId="12315" xr:uid="{00000000-0005-0000-0000-00001F300000}"/>
    <cellStyle name="Style 69 4" xfId="16156" xr:uid="{00000000-0005-0000-0000-0000203F0000}"/>
    <cellStyle name="Style 69 5" xfId="19060" xr:uid="{00000000-0005-0000-0000-0000784A0000}"/>
    <cellStyle name="Style 69 6" xfId="12313" xr:uid="{00000000-0005-0000-0000-00001D300000}"/>
    <cellStyle name="Style 70" xfId="7219" xr:uid="{00000000-0005-0000-0000-0000371C0000}"/>
    <cellStyle name="Style 70 2" xfId="7220" xr:uid="{00000000-0005-0000-0000-0000381C0000}"/>
    <cellStyle name="Style 70 2 2" xfId="16160" xr:uid="{00000000-0005-0000-0000-0000243F0000}"/>
    <cellStyle name="Style 70 2 3" xfId="15740" xr:uid="{00000000-0005-0000-0000-0000803D0000}"/>
    <cellStyle name="Style 70 2 4" xfId="12317" xr:uid="{00000000-0005-0000-0000-000021300000}"/>
    <cellStyle name="Style 70 3" xfId="16159" xr:uid="{00000000-0005-0000-0000-0000233F0000}"/>
    <cellStyle name="Style 70 4" xfId="15372" xr:uid="{00000000-0005-0000-0000-0000103C0000}"/>
    <cellStyle name="Style 70 5" xfId="12316" xr:uid="{00000000-0005-0000-0000-000020300000}"/>
    <cellStyle name="Style 71" xfId="7221" xr:uid="{00000000-0005-0000-0000-0000391C0000}"/>
    <cellStyle name="Style 71 2" xfId="7222" xr:uid="{00000000-0005-0000-0000-00003A1C0000}"/>
    <cellStyle name="Style 71 2 2" xfId="16162" xr:uid="{00000000-0005-0000-0000-0000263F0000}"/>
    <cellStyle name="Style 71 2 3" xfId="16352" xr:uid="{00000000-0005-0000-0000-0000E43F0000}"/>
    <cellStyle name="Style 71 2 4" xfId="12319" xr:uid="{00000000-0005-0000-0000-000023300000}"/>
    <cellStyle name="Style 71 3" xfId="16161" xr:uid="{00000000-0005-0000-0000-0000253F0000}"/>
    <cellStyle name="Style 71 4" xfId="15400" xr:uid="{00000000-0005-0000-0000-00002C3C0000}"/>
    <cellStyle name="Style 71 5" xfId="12318" xr:uid="{00000000-0005-0000-0000-000022300000}"/>
    <cellStyle name="Style 72" xfId="7223" xr:uid="{00000000-0005-0000-0000-00003B1C0000}"/>
    <cellStyle name="Style 72 2" xfId="7224" xr:uid="{00000000-0005-0000-0000-00003C1C0000}"/>
    <cellStyle name="Style 72 2 2" xfId="16164" xr:uid="{00000000-0005-0000-0000-0000283F0000}"/>
    <cellStyle name="Style 72 2 3" xfId="17281" xr:uid="{00000000-0005-0000-0000-000085430000}"/>
    <cellStyle name="Style 72 2 4" xfId="12321" xr:uid="{00000000-0005-0000-0000-000025300000}"/>
    <cellStyle name="Style 72 3" xfId="16163" xr:uid="{00000000-0005-0000-0000-0000273F0000}"/>
    <cellStyle name="Style 72 4" xfId="19552" xr:uid="{00000000-0005-0000-0000-0000644C0000}"/>
    <cellStyle name="Style 72 5" xfId="12320" xr:uid="{00000000-0005-0000-0000-000024300000}"/>
    <cellStyle name="Style 73" xfId="7225" xr:uid="{00000000-0005-0000-0000-00003D1C0000}"/>
    <cellStyle name="Style 73 2" xfId="7226" xr:uid="{00000000-0005-0000-0000-00003E1C0000}"/>
    <cellStyle name="Style 73 2 2" xfId="16166" xr:uid="{00000000-0005-0000-0000-00002A3F0000}"/>
    <cellStyle name="Style 73 2 3" xfId="19567" xr:uid="{00000000-0005-0000-0000-0000734C0000}"/>
    <cellStyle name="Style 73 2 4" xfId="12323" xr:uid="{00000000-0005-0000-0000-000027300000}"/>
    <cellStyle name="Style 73 3" xfId="7227" xr:uid="{00000000-0005-0000-0000-00003F1C0000}"/>
    <cellStyle name="Style 73 3 2" xfId="16167" xr:uid="{00000000-0005-0000-0000-00002B3F0000}"/>
    <cellStyle name="Style 73 3 3" xfId="15617" xr:uid="{00000000-0005-0000-0000-0000053D0000}"/>
    <cellStyle name="Style 73 3 4" xfId="12324" xr:uid="{00000000-0005-0000-0000-000028300000}"/>
    <cellStyle name="Style 73 4" xfId="16165" xr:uid="{00000000-0005-0000-0000-0000293F0000}"/>
    <cellStyle name="Style 73 5" xfId="15269" xr:uid="{00000000-0005-0000-0000-0000A93B0000}"/>
    <cellStyle name="Style 73 6" xfId="12322" xr:uid="{00000000-0005-0000-0000-000026300000}"/>
    <cellStyle name="Style 74" xfId="7228" xr:uid="{00000000-0005-0000-0000-0000401C0000}"/>
    <cellStyle name="Style 74 2" xfId="7229" xr:uid="{00000000-0005-0000-0000-0000411C0000}"/>
    <cellStyle name="Style 74 2 2" xfId="16169" xr:uid="{00000000-0005-0000-0000-00002D3F0000}"/>
    <cellStyle name="Style 74 2 3" xfId="17195" xr:uid="{00000000-0005-0000-0000-00002F430000}"/>
    <cellStyle name="Style 74 2 4" xfId="12326" xr:uid="{00000000-0005-0000-0000-00002A300000}"/>
    <cellStyle name="Style 74 3" xfId="16168" xr:uid="{00000000-0005-0000-0000-00002C3F0000}"/>
    <cellStyle name="Style 74 4" xfId="15397" xr:uid="{00000000-0005-0000-0000-0000293C0000}"/>
    <cellStyle name="Style 74 5" xfId="12325" xr:uid="{00000000-0005-0000-0000-000029300000}"/>
    <cellStyle name="Style 75" xfId="7230" xr:uid="{00000000-0005-0000-0000-0000421C0000}"/>
    <cellStyle name="Style 75 2" xfId="7231" xr:uid="{00000000-0005-0000-0000-0000431C0000}"/>
    <cellStyle name="Style 75 2 2" xfId="16171" xr:uid="{00000000-0005-0000-0000-00002F3F0000}"/>
    <cellStyle name="Style 75 2 3" xfId="19332" xr:uid="{00000000-0005-0000-0000-0000884B0000}"/>
    <cellStyle name="Style 75 2 4" xfId="12328" xr:uid="{00000000-0005-0000-0000-00002C300000}"/>
    <cellStyle name="Style 75 3" xfId="16170" xr:uid="{00000000-0005-0000-0000-00002E3F0000}"/>
    <cellStyle name="Style 75 4" xfId="15447" xr:uid="{00000000-0005-0000-0000-00005B3C0000}"/>
    <cellStyle name="Style 75 5" xfId="12327" xr:uid="{00000000-0005-0000-0000-00002B300000}"/>
    <cellStyle name="Style 80" xfId="7232" xr:uid="{00000000-0005-0000-0000-0000441C0000}"/>
    <cellStyle name="Style 80 2" xfId="7233" xr:uid="{00000000-0005-0000-0000-0000451C0000}"/>
    <cellStyle name="Style 80 2 2" xfId="16173" xr:uid="{00000000-0005-0000-0000-0000313F0000}"/>
    <cellStyle name="Style 80 2 3" xfId="17248" xr:uid="{00000000-0005-0000-0000-000064430000}"/>
    <cellStyle name="Style 80 2 4" xfId="12330" xr:uid="{00000000-0005-0000-0000-00002E300000}"/>
    <cellStyle name="Style 80 3" xfId="7234" xr:uid="{00000000-0005-0000-0000-0000461C0000}"/>
    <cellStyle name="Style 80 3 2" xfId="16174" xr:uid="{00000000-0005-0000-0000-0000323F0000}"/>
    <cellStyle name="Style 80 3 3" xfId="19453" xr:uid="{00000000-0005-0000-0000-0000014C0000}"/>
    <cellStyle name="Style 80 3 4" xfId="12331" xr:uid="{00000000-0005-0000-0000-00002F300000}"/>
    <cellStyle name="Style 80 4" xfId="16172" xr:uid="{00000000-0005-0000-0000-0000303F0000}"/>
    <cellStyle name="Style 80 5" xfId="16684" xr:uid="{00000000-0005-0000-0000-000030410000}"/>
    <cellStyle name="Style 80 6" xfId="12329" xr:uid="{00000000-0005-0000-0000-00002D300000}"/>
    <cellStyle name="Style 81" xfId="7235" xr:uid="{00000000-0005-0000-0000-0000471C0000}"/>
    <cellStyle name="Style 81 2" xfId="7236" xr:uid="{00000000-0005-0000-0000-0000481C0000}"/>
    <cellStyle name="Style 81 2 2" xfId="16176" xr:uid="{00000000-0005-0000-0000-0000343F0000}"/>
    <cellStyle name="Style 81 2 3" xfId="19255" xr:uid="{00000000-0005-0000-0000-00003B4B0000}"/>
    <cellStyle name="Style 81 2 4" xfId="12333" xr:uid="{00000000-0005-0000-0000-000031300000}"/>
    <cellStyle name="Style 81 3" xfId="7237" xr:uid="{00000000-0005-0000-0000-0000491C0000}"/>
    <cellStyle name="Style 81 3 2" xfId="16177" xr:uid="{00000000-0005-0000-0000-0000353F0000}"/>
    <cellStyle name="Style 81 3 3" xfId="15346" xr:uid="{00000000-0005-0000-0000-0000F63B0000}"/>
    <cellStyle name="Style 81 3 4" xfId="12334" xr:uid="{00000000-0005-0000-0000-000032300000}"/>
    <cellStyle name="Style 81 4" xfId="16175" xr:uid="{00000000-0005-0000-0000-0000333F0000}"/>
    <cellStyle name="Style 81 5" xfId="15715" xr:uid="{00000000-0005-0000-0000-0000673D0000}"/>
    <cellStyle name="Style 81 6" xfId="12332" xr:uid="{00000000-0005-0000-0000-000030300000}"/>
    <cellStyle name="Style 82" xfId="7238" xr:uid="{00000000-0005-0000-0000-00004A1C0000}"/>
    <cellStyle name="Style 82 2" xfId="7239" xr:uid="{00000000-0005-0000-0000-00004B1C0000}"/>
    <cellStyle name="Style 82 2 2" xfId="16179" xr:uid="{00000000-0005-0000-0000-0000373F0000}"/>
    <cellStyle name="Style 82 2 3" xfId="19330" xr:uid="{00000000-0005-0000-0000-0000864B0000}"/>
    <cellStyle name="Style 82 2 4" xfId="12336" xr:uid="{00000000-0005-0000-0000-000034300000}"/>
    <cellStyle name="Style 82 3" xfId="16178" xr:uid="{00000000-0005-0000-0000-0000363F0000}"/>
    <cellStyle name="Style 82 4" xfId="19213" xr:uid="{00000000-0005-0000-0000-0000114B0000}"/>
    <cellStyle name="Style 82 5" xfId="12335" xr:uid="{00000000-0005-0000-0000-000033300000}"/>
    <cellStyle name="Style 83" xfId="7240" xr:uid="{00000000-0005-0000-0000-00004C1C0000}"/>
    <cellStyle name="Style 83 2" xfId="7241" xr:uid="{00000000-0005-0000-0000-00004D1C0000}"/>
    <cellStyle name="Style 83 2 2" xfId="16181" xr:uid="{00000000-0005-0000-0000-0000393F0000}"/>
    <cellStyle name="Style 83 2 3" xfId="19520" xr:uid="{00000000-0005-0000-0000-0000444C0000}"/>
    <cellStyle name="Style 83 2 4" xfId="12338" xr:uid="{00000000-0005-0000-0000-000036300000}"/>
    <cellStyle name="Style 83 3" xfId="16180" xr:uid="{00000000-0005-0000-0000-0000383F0000}"/>
    <cellStyle name="Style 83 4" xfId="15758" xr:uid="{00000000-0005-0000-0000-0000923D0000}"/>
    <cellStyle name="Style 83 5" xfId="12337" xr:uid="{00000000-0005-0000-0000-000035300000}"/>
    <cellStyle name="Style 84" xfId="7242" xr:uid="{00000000-0005-0000-0000-00004E1C0000}"/>
    <cellStyle name="Style 84 2" xfId="7243" xr:uid="{00000000-0005-0000-0000-00004F1C0000}"/>
    <cellStyle name="Style 84 2 2" xfId="16183" xr:uid="{00000000-0005-0000-0000-00003B3F0000}"/>
    <cellStyle name="Style 84 2 3" xfId="19530" xr:uid="{00000000-0005-0000-0000-00004E4C0000}"/>
    <cellStyle name="Style 84 2 4" xfId="12340" xr:uid="{00000000-0005-0000-0000-000038300000}"/>
    <cellStyle name="Style 84 3" xfId="16182" xr:uid="{00000000-0005-0000-0000-00003A3F0000}"/>
    <cellStyle name="Style 84 4" xfId="19219" xr:uid="{00000000-0005-0000-0000-0000174B0000}"/>
    <cellStyle name="Style 84 5" xfId="12339" xr:uid="{00000000-0005-0000-0000-000037300000}"/>
    <cellStyle name="Style 85" xfId="7244" xr:uid="{00000000-0005-0000-0000-0000501C0000}"/>
    <cellStyle name="Style 85 2" xfId="7245" xr:uid="{00000000-0005-0000-0000-0000511C0000}"/>
    <cellStyle name="Style 85 2 2" xfId="16185" xr:uid="{00000000-0005-0000-0000-00003D3F0000}"/>
    <cellStyle name="Style 85 2 3" xfId="16604" xr:uid="{00000000-0005-0000-0000-0000E0400000}"/>
    <cellStyle name="Style 85 2 4" xfId="12342" xr:uid="{00000000-0005-0000-0000-00003A300000}"/>
    <cellStyle name="Style 85 3" xfId="7246" xr:uid="{00000000-0005-0000-0000-0000521C0000}"/>
    <cellStyle name="Style 85 3 2" xfId="16186" xr:uid="{00000000-0005-0000-0000-00003E3F0000}"/>
    <cellStyle name="Style 85 3 3" xfId="15399" xr:uid="{00000000-0005-0000-0000-00002B3C0000}"/>
    <cellStyle name="Style 85 3 4" xfId="12343" xr:uid="{00000000-0005-0000-0000-00003B300000}"/>
    <cellStyle name="Style 85 4" xfId="16184" xr:uid="{00000000-0005-0000-0000-00003C3F0000}"/>
    <cellStyle name="Style 85 5" xfId="19412" xr:uid="{00000000-0005-0000-0000-0000D84B0000}"/>
    <cellStyle name="Style 85 6" xfId="12341" xr:uid="{00000000-0005-0000-0000-000039300000}"/>
    <cellStyle name="Style 86" xfId="7247" xr:uid="{00000000-0005-0000-0000-0000531C0000}"/>
    <cellStyle name="Style 86 2" xfId="7248" xr:uid="{00000000-0005-0000-0000-0000541C0000}"/>
    <cellStyle name="Style 86 2 2" xfId="16188" xr:uid="{00000000-0005-0000-0000-0000403F0000}"/>
    <cellStyle name="Style 86 2 3" xfId="19283" xr:uid="{00000000-0005-0000-0000-0000574B0000}"/>
    <cellStyle name="Style 86 2 4" xfId="12345" xr:uid="{00000000-0005-0000-0000-00003D300000}"/>
    <cellStyle name="Style 86 3" xfId="16187" xr:uid="{00000000-0005-0000-0000-00003F3F0000}"/>
    <cellStyle name="Style 86 4" xfId="15450" xr:uid="{00000000-0005-0000-0000-00005E3C0000}"/>
    <cellStyle name="Style 86 5" xfId="12344" xr:uid="{00000000-0005-0000-0000-00003C300000}"/>
    <cellStyle name="Style 87" xfId="7249" xr:uid="{00000000-0005-0000-0000-0000551C0000}"/>
    <cellStyle name="Style 87 2" xfId="7250" xr:uid="{00000000-0005-0000-0000-0000561C0000}"/>
    <cellStyle name="Style 87 2 2" xfId="16190" xr:uid="{00000000-0005-0000-0000-0000423F0000}"/>
    <cellStyle name="Style 87 2 3" xfId="15469" xr:uid="{00000000-0005-0000-0000-0000713C0000}"/>
    <cellStyle name="Style 87 2 4" xfId="12347" xr:uid="{00000000-0005-0000-0000-00003F300000}"/>
    <cellStyle name="Style 87 3" xfId="16189" xr:uid="{00000000-0005-0000-0000-0000413F0000}"/>
    <cellStyle name="Style 87 4" xfId="16370" xr:uid="{00000000-0005-0000-0000-0000F63F0000}"/>
    <cellStyle name="Style 87 5" xfId="12346" xr:uid="{00000000-0005-0000-0000-00003E300000}"/>
    <cellStyle name="Style 93" xfId="7251" xr:uid="{00000000-0005-0000-0000-0000571C0000}"/>
    <cellStyle name="Style 93 2" xfId="7252" xr:uid="{00000000-0005-0000-0000-0000581C0000}"/>
    <cellStyle name="Style 93 2 2" xfId="16192" xr:uid="{00000000-0005-0000-0000-0000443F0000}"/>
    <cellStyle name="Style 93 2 3" xfId="16641" xr:uid="{00000000-0005-0000-0000-000005410000}"/>
    <cellStyle name="Style 93 2 4" xfId="12349" xr:uid="{00000000-0005-0000-0000-000041300000}"/>
    <cellStyle name="Style 93 3" xfId="7253" xr:uid="{00000000-0005-0000-0000-0000591C0000}"/>
    <cellStyle name="Style 93 3 2" xfId="16193" xr:uid="{00000000-0005-0000-0000-0000453F0000}"/>
    <cellStyle name="Style 93 3 3" xfId="19493" xr:uid="{00000000-0005-0000-0000-0000294C0000}"/>
    <cellStyle name="Style 93 3 4" xfId="12350" xr:uid="{00000000-0005-0000-0000-000042300000}"/>
    <cellStyle name="Style 93 4" xfId="16191" xr:uid="{00000000-0005-0000-0000-0000433F0000}"/>
    <cellStyle name="Style 93 5" xfId="19068" xr:uid="{00000000-0005-0000-0000-0000804A0000}"/>
    <cellStyle name="Style 93 6" xfId="12348" xr:uid="{00000000-0005-0000-0000-000040300000}"/>
    <cellStyle name="Style 94" xfId="7254" xr:uid="{00000000-0005-0000-0000-00005A1C0000}"/>
    <cellStyle name="Style 94 2" xfId="7255" xr:uid="{00000000-0005-0000-0000-00005B1C0000}"/>
    <cellStyle name="Style 94 2 2" xfId="16195" xr:uid="{00000000-0005-0000-0000-0000473F0000}"/>
    <cellStyle name="Style 94 2 3" xfId="15388" xr:uid="{00000000-0005-0000-0000-0000203C0000}"/>
    <cellStyle name="Style 94 2 4" xfId="12352" xr:uid="{00000000-0005-0000-0000-000044300000}"/>
    <cellStyle name="Style 94 3" xfId="16194" xr:uid="{00000000-0005-0000-0000-0000463F0000}"/>
    <cellStyle name="Style 94 4" xfId="16770" xr:uid="{00000000-0005-0000-0000-000086410000}"/>
    <cellStyle name="Style 94 5" xfId="12351" xr:uid="{00000000-0005-0000-0000-000043300000}"/>
    <cellStyle name="Style 95" xfId="7256" xr:uid="{00000000-0005-0000-0000-00005C1C0000}"/>
    <cellStyle name="Style 95 2" xfId="7257" xr:uid="{00000000-0005-0000-0000-00005D1C0000}"/>
    <cellStyle name="Style 95 2 2" xfId="16197" xr:uid="{00000000-0005-0000-0000-0000493F0000}"/>
    <cellStyle name="Style 95 2 3" xfId="15638" xr:uid="{00000000-0005-0000-0000-00001A3D0000}"/>
    <cellStyle name="Style 95 2 4" xfId="12354" xr:uid="{00000000-0005-0000-0000-000046300000}"/>
    <cellStyle name="Style 95 3" xfId="16196" xr:uid="{00000000-0005-0000-0000-0000483F0000}"/>
    <cellStyle name="Style 95 4" xfId="19537" xr:uid="{00000000-0005-0000-0000-0000554C0000}"/>
    <cellStyle name="Style 95 5" xfId="12353" xr:uid="{00000000-0005-0000-0000-000045300000}"/>
    <cellStyle name="Style 96" xfId="7258" xr:uid="{00000000-0005-0000-0000-00005E1C0000}"/>
    <cellStyle name="Style 96 2" xfId="7259" xr:uid="{00000000-0005-0000-0000-00005F1C0000}"/>
    <cellStyle name="Style 96 2 2" xfId="16199" xr:uid="{00000000-0005-0000-0000-00004B3F0000}"/>
    <cellStyle name="Style 96 2 3" xfId="19271" xr:uid="{00000000-0005-0000-0000-00004B4B0000}"/>
    <cellStyle name="Style 96 2 4" xfId="12356" xr:uid="{00000000-0005-0000-0000-000048300000}"/>
    <cellStyle name="Style 96 3" xfId="16198" xr:uid="{00000000-0005-0000-0000-00004A3F0000}"/>
    <cellStyle name="Style 96 4" xfId="19469" xr:uid="{00000000-0005-0000-0000-0000114C0000}"/>
    <cellStyle name="Style 96 5" xfId="12355" xr:uid="{00000000-0005-0000-0000-000047300000}"/>
    <cellStyle name="Style 97" xfId="7260" xr:uid="{00000000-0005-0000-0000-0000601C0000}"/>
    <cellStyle name="Style 97 2" xfId="7261" xr:uid="{00000000-0005-0000-0000-0000611C0000}"/>
    <cellStyle name="Style 97 2 2" xfId="16201" xr:uid="{00000000-0005-0000-0000-00004D3F0000}"/>
    <cellStyle name="Style 97 2 3" xfId="15743" xr:uid="{00000000-0005-0000-0000-0000833D0000}"/>
    <cellStyle name="Style 97 2 4" xfId="12358" xr:uid="{00000000-0005-0000-0000-00004A300000}"/>
    <cellStyle name="Style 97 3" xfId="7262" xr:uid="{00000000-0005-0000-0000-0000621C0000}"/>
    <cellStyle name="Style 97 3 2" xfId="16202" xr:uid="{00000000-0005-0000-0000-00004E3F0000}"/>
    <cellStyle name="Style 97 3 3" xfId="15728" xr:uid="{00000000-0005-0000-0000-0000743D0000}"/>
    <cellStyle name="Style 97 3 4" xfId="12359" xr:uid="{00000000-0005-0000-0000-00004B300000}"/>
    <cellStyle name="Style 97 4" xfId="16200" xr:uid="{00000000-0005-0000-0000-00004C3F0000}"/>
    <cellStyle name="Style 97 5" xfId="19305" xr:uid="{00000000-0005-0000-0000-00006D4B0000}"/>
    <cellStyle name="Style 97 6" xfId="12357" xr:uid="{00000000-0005-0000-0000-000049300000}"/>
    <cellStyle name="Style 98" xfId="7263" xr:uid="{00000000-0005-0000-0000-0000631C0000}"/>
    <cellStyle name="Style 98 2" xfId="7264" xr:uid="{00000000-0005-0000-0000-0000641C0000}"/>
    <cellStyle name="Style 98 2 2" xfId="16204" xr:uid="{00000000-0005-0000-0000-0000503F0000}"/>
    <cellStyle name="Style 98 2 3" xfId="15541" xr:uid="{00000000-0005-0000-0000-0000B93C0000}"/>
    <cellStyle name="Style 98 2 4" xfId="12361" xr:uid="{00000000-0005-0000-0000-00004D300000}"/>
    <cellStyle name="Style 98 3" xfId="16203" xr:uid="{00000000-0005-0000-0000-00004F3F0000}"/>
    <cellStyle name="Style 98 4" xfId="17196" xr:uid="{00000000-0005-0000-0000-000030430000}"/>
    <cellStyle name="Style 98 5" xfId="12360" xr:uid="{00000000-0005-0000-0000-00004C300000}"/>
    <cellStyle name="Style 99" xfId="7265" xr:uid="{00000000-0005-0000-0000-0000651C0000}"/>
    <cellStyle name="Style 99 2" xfId="7266" xr:uid="{00000000-0005-0000-0000-0000661C0000}"/>
    <cellStyle name="Style 99 2 2" xfId="16206" xr:uid="{00000000-0005-0000-0000-0000523F0000}"/>
    <cellStyle name="Style 99 2 3" xfId="16531" xr:uid="{00000000-0005-0000-0000-000097400000}"/>
    <cellStyle name="Style 99 2 4" xfId="12363" xr:uid="{00000000-0005-0000-0000-00004F300000}"/>
    <cellStyle name="Style 99 3" xfId="16205" xr:uid="{00000000-0005-0000-0000-0000513F0000}"/>
    <cellStyle name="Style 99 4" xfId="16391" xr:uid="{00000000-0005-0000-0000-00000B400000}"/>
    <cellStyle name="Style 99 5" xfId="12362" xr:uid="{00000000-0005-0000-0000-00004E300000}"/>
    <cellStyle name="Table title" xfId="14" xr:uid="{00000000-0005-0000-0000-000012000000}"/>
    <cellStyle name="tableau | cellule | normal | decimal 1" xfId="1830" xr:uid="{00000000-0005-0000-0000-00002A070000}"/>
    <cellStyle name="tableau | cellule | normal | decimal 1 2" xfId="14167" xr:uid="{00000000-0005-0000-0000-00005B370000}"/>
    <cellStyle name="tableau | cellule | normal | decimal 1 3" xfId="14168" xr:uid="{00000000-0005-0000-0000-00005C370000}"/>
    <cellStyle name="tableau | cellule | normal | decimal 1 4" xfId="14169" xr:uid="{00000000-0005-0000-0000-00005D370000}"/>
    <cellStyle name="tableau | cellule | normal | decimal 1 5" xfId="14170" xr:uid="{00000000-0005-0000-0000-00005E370000}"/>
    <cellStyle name="tableau | cellule | normal | decimal 1 6" xfId="14171" xr:uid="{00000000-0005-0000-0000-00005F370000}"/>
    <cellStyle name="tableau | cellule | normal | decimal 1 7" xfId="15263" xr:uid="{00000000-0005-0000-0000-0000A33B0000}"/>
    <cellStyle name="tableau | cellule | normal | decimal 1 8" xfId="19524" xr:uid="{00000000-0005-0000-0000-0000484C0000}"/>
    <cellStyle name="tableau | cellule | normal | decimal 1 9" xfId="12364" xr:uid="{00000000-0005-0000-0000-000050300000}"/>
    <cellStyle name="tableau | cellule | normal | pourcentage | decimal 1" xfId="1831" xr:uid="{00000000-0005-0000-0000-00002B070000}"/>
    <cellStyle name="tableau | cellule | normal | pourcentage | decimal 1 2" xfId="14172" xr:uid="{00000000-0005-0000-0000-000060370000}"/>
    <cellStyle name="tableau | cellule | normal | pourcentage | decimal 1 3" xfId="14173" xr:uid="{00000000-0005-0000-0000-000061370000}"/>
    <cellStyle name="tableau | cellule | normal | pourcentage | decimal 1 4" xfId="14174" xr:uid="{00000000-0005-0000-0000-000062370000}"/>
    <cellStyle name="tableau | cellule | normal | pourcentage | decimal 1 5" xfId="14175" xr:uid="{00000000-0005-0000-0000-000063370000}"/>
    <cellStyle name="tableau | cellule | normal | pourcentage | decimal 1 6" xfId="14176" xr:uid="{00000000-0005-0000-0000-000064370000}"/>
    <cellStyle name="tableau | cellule | normal | pourcentage | decimal 1 7" xfId="15262" xr:uid="{00000000-0005-0000-0000-0000A23B0000}"/>
    <cellStyle name="tableau | cellule | normal | pourcentage | decimal 1 8" xfId="15362" xr:uid="{00000000-0005-0000-0000-0000063C0000}"/>
    <cellStyle name="tableau | cellule | normal | pourcentage | decimal 1 9" xfId="12365" xr:uid="{00000000-0005-0000-0000-000051300000}"/>
    <cellStyle name="tableau | cellule | total | decimal 1" xfId="1832" xr:uid="{00000000-0005-0000-0000-00002C070000}"/>
    <cellStyle name="tableau | cellule | total | decimal 1 2" xfId="14177" xr:uid="{00000000-0005-0000-0000-000065370000}"/>
    <cellStyle name="tableau | cellule | total | decimal 1 3" xfId="14178" xr:uid="{00000000-0005-0000-0000-000066370000}"/>
    <cellStyle name="tableau | cellule | total | decimal 1 4" xfId="14179" xr:uid="{00000000-0005-0000-0000-000067370000}"/>
    <cellStyle name="tableau | cellule | total | decimal 1 5" xfId="14180" xr:uid="{00000000-0005-0000-0000-000068370000}"/>
    <cellStyle name="tableau | cellule | total | decimal 1 6" xfId="14181" xr:uid="{00000000-0005-0000-0000-000069370000}"/>
    <cellStyle name="tableau | cellule | total | decimal 1 7" xfId="15261" xr:uid="{00000000-0005-0000-0000-0000A13B0000}"/>
    <cellStyle name="tableau | cellule | total | decimal 1 8" xfId="19201" xr:uid="{00000000-0005-0000-0000-0000054B0000}"/>
    <cellStyle name="tableau | cellule | total | decimal 1 9" xfId="12366" xr:uid="{00000000-0005-0000-0000-000052300000}"/>
    <cellStyle name="tableau | coin superieur gauche" xfId="1833" xr:uid="{00000000-0005-0000-0000-00002D070000}"/>
    <cellStyle name="tableau | coin superieur gauche 2" xfId="2945" xr:uid="{00000000-0005-0000-0000-0000850B0000}"/>
    <cellStyle name="tableau | coin superieur gauche 2 2" xfId="14182" xr:uid="{00000000-0005-0000-0000-00006A370000}"/>
    <cellStyle name="tableau | coin superieur gauche 3" xfId="14183" xr:uid="{00000000-0005-0000-0000-00006B370000}"/>
    <cellStyle name="tableau | coin superieur gauche 4" xfId="14184" xr:uid="{00000000-0005-0000-0000-00006C370000}"/>
    <cellStyle name="tableau | coin superieur gauche 5" xfId="14185" xr:uid="{00000000-0005-0000-0000-00006D370000}"/>
    <cellStyle name="tableau | coin superieur gauche 6" xfId="14186" xr:uid="{00000000-0005-0000-0000-00006E370000}"/>
    <cellStyle name="tableau | coin superieur gauche 7" xfId="15260" xr:uid="{00000000-0005-0000-0000-0000A03B0000}"/>
    <cellStyle name="tableau | coin superieur gauche 8" xfId="15314" xr:uid="{00000000-0005-0000-0000-0000D63B0000}"/>
    <cellStyle name="tableau | coin superieur gauche 9" xfId="12367" xr:uid="{00000000-0005-0000-0000-000053300000}"/>
    <cellStyle name="tableau | entete-colonne | series" xfId="1834" xr:uid="{00000000-0005-0000-0000-00002E070000}"/>
    <cellStyle name="tableau | entete-colonne | series 2" xfId="2946" xr:uid="{00000000-0005-0000-0000-0000860B0000}"/>
    <cellStyle name="tableau | entete-colonne | series 2 2" xfId="14187" xr:uid="{00000000-0005-0000-0000-00006F370000}"/>
    <cellStyle name="tableau | entete-colonne | series 3" xfId="14188" xr:uid="{00000000-0005-0000-0000-000070370000}"/>
    <cellStyle name="tableau | entete-colonne | series 4" xfId="14189" xr:uid="{00000000-0005-0000-0000-000071370000}"/>
    <cellStyle name="tableau | entete-colonne | series 5" xfId="14190" xr:uid="{00000000-0005-0000-0000-000072370000}"/>
    <cellStyle name="tableau | entete-colonne | series 6" xfId="14191" xr:uid="{00000000-0005-0000-0000-000073370000}"/>
    <cellStyle name="tableau | entete-colonne | series 7" xfId="15259" xr:uid="{00000000-0005-0000-0000-00009F3B0000}"/>
    <cellStyle name="tableau | entete-colonne | series 8" xfId="19452" xr:uid="{00000000-0005-0000-0000-0000004C0000}"/>
    <cellStyle name="tableau | entete-colonne | series 9" xfId="12368" xr:uid="{00000000-0005-0000-0000-000054300000}"/>
    <cellStyle name="tableau | entete-ligne | normal" xfId="1835" xr:uid="{00000000-0005-0000-0000-00002F070000}"/>
    <cellStyle name="tableau | entete-ligne | normal 2" xfId="2947" xr:uid="{00000000-0005-0000-0000-0000870B0000}"/>
    <cellStyle name="tableau | entete-ligne | normal 2 2" xfId="14192" xr:uid="{00000000-0005-0000-0000-000074370000}"/>
    <cellStyle name="tableau | entete-ligne | normal 3" xfId="14193" xr:uid="{00000000-0005-0000-0000-000075370000}"/>
    <cellStyle name="tableau | entete-ligne | normal 4" xfId="14194" xr:uid="{00000000-0005-0000-0000-000076370000}"/>
    <cellStyle name="tableau | entete-ligne | normal 5" xfId="14195" xr:uid="{00000000-0005-0000-0000-000077370000}"/>
    <cellStyle name="tableau | entete-ligne | normal 6" xfId="14196" xr:uid="{00000000-0005-0000-0000-000078370000}"/>
    <cellStyle name="tableau | entete-ligne | normal 7" xfId="15258" xr:uid="{00000000-0005-0000-0000-00009E3B0000}"/>
    <cellStyle name="tableau | entete-ligne | normal 8" xfId="19513" xr:uid="{00000000-0005-0000-0000-00003D4C0000}"/>
    <cellStyle name="tableau | entete-ligne | normal 9" xfId="12369" xr:uid="{00000000-0005-0000-0000-000055300000}"/>
    <cellStyle name="tableau | entete-ligne | total" xfId="1836" xr:uid="{00000000-0005-0000-0000-000030070000}"/>
    <cellStyle name="tableau | entete-ligne | total 2" xfId="14197" xr:uid="{00000000-0005-0000-0000-000079370000}"/>
    <cellStyle name="tableau | entete-ligne | total 3" xfId="14198" xr:uid="{00000000-0005-0000-0000-00007A370000}"/>
    <cellStyle name="tableau | entete-ligne | total 4" xfId="14199" xr:uid="{00000000-0005-0000-0000-00007B370000}"/>
    <cellStyle name="tableau | entete-ligne | total 5" xfId="14200" xr:uid="{00000000-0005-0000-0000-00007C370000}"/>
    <cellStyle name="tableau | entete-ligne | total 6" xfId="14201" xr:uid="{00000000-0005-0000-0000-00007D370000}"/>
    <cellStyle name="tableau | entete-ligne | total 7" xfId="15257" xr:uid="{00000000-0005-0000-0000-00009D3B0000}"/>
    <cellStyle name="tableau | entete-ligne | total 8" xfId="15702" xr:uid="{00000000-0005-0000-0000-00005A3D0000}"/>
    <cellStyle name="tableau | entete-ligne | total 9" xfId="12370" xr:uid="{00000000-0005-0000-0000-000056300000}"/>
    <cellStyle name="tableau | ligne-titre | niveau1" xfId="1837" xr:uid="{00000000-0005-0000-0000-000031070000}"/>
    <cellStyle name="tableau | ligne-titre | niveau1 2" xfId="2948" xr:uid="{00000000-0005-0000-0000-0000880B0000}"/>
    <cellStyle name="tableau | ligne-titre | niveau1 2 2" xfId="14202" xr:uid="{00000000-0005-0000-0000-00007E370000}"/>
    <cellStyle name="tableau | ligne-titre | niveau1 3" xfId="14203" xr:uid="{00000000-0005-0000-0000-00007F370000}"/>
    <cellStyle name="tableau | ligne-titre | niveau1 4" xfId="14204" xr:uid="{00000000-0005-0000-0000-000080370000}"/>
    <cellStyle name="tableau | ligne-titre | niveau1 5" xfId="14205" xr:uid="{00000000-0005-0000-0000-000081370000}"/>
    <cellStyle name="tableau | ligne-titre | niveau1 6" xfId="14206" xr:uid="{00000000-0005-0000-0000-000082370000}"/>
    <cellStyle name="tableau | ligne-titre | niveau1 7" xfId="15256" xr:uid="{00000000-0005-0000-0000-00009C3B0000}"/>
    <cellStyle name="tableau | ligne-titre | niveau1 8" xfId="19101" xr:uid="{00000000-0005-0000-0000-0000A14A0000}"/>
    <cellStyle name="tableau | ligne-titre | niveau1 9" xfId="12371" xr:uid="{00000000-0005-0000-0000-000057300000}"/>
    <cellStyle name="tableau | ligne-titre | niveau2" xfId="1838" xr:uid="{00000000-0005-0000-0000-000032070000}"/>
    <cellStyle name="tableau | ligne-titre | niveau2 2" xfId="2949" xr:uid="{00000000-0005-0000-0000-0000890B0000}"/>
    <cellStyle name="tableau | ligne-titre | niveau2 2 2" xfId="14207" xr:uid="{00000000-0005-0000-0000-000083370000}"/>
    <cellStyle name="tableau | ligne-titre | niveau2 3" xfId="14208" xr:uid="{00000000-0005-0000-0000-000084370000}"/>
    <cellStyle name="tableau | ligne-titre | niveau2 4" xfId="14209" xr:uid="{00000000-0005-0000-0000-000085370000}"/>
    <cellStyle name="tableau | ligne-titre | niveau2 5" xfId="14210" xr:uid="{00000000-0005-0000-0000-000086370000}"/>
    <cellStyle name="tableau | ligne-titre | niveau2 6" xfId="14211" xr:uid="{00000000-0005-0000-0000-000087370000}"/>
    <cellStyle name="tableau | ligne-titre | niveau2 7" xfId="15255" xr:uid="{00000000-0005-0000-0000-00009B3B0000}"/>
    <cellStyle name="tableau | ligne-titre | niveau2 8" xfId="19188" xr:uid="{00000000-0005-0000-0000-0000F84A0000}"/>
    <cellStyle name="tableau | ligne-titre | niveau2 9" xfId="12372" xr:uid="{00000000-0005-0000-0000-000058300000}"/>
    <cellStyle name="Title 10" xfId="7267" xr:uid="{00000000-0005-0000-0000-0000671C0000}"/>
    <cellStyle name="Title 10 2" xfId="14212" xr:uid="{00000000-0005-0000-0000-000088370000}"/>
    <cellStyle name="Title 10 3" xfId="14213" xr:uid="{00000000-0005-0000-0000-000089370000}"/>
    <cellStyle name="Title 10 4" xfId="14214" xr:uid="{00000000-0005-0000-0000-00008A370000}"/>
    <cellStyle name="Title 10 5" xfId="14215" xr:uid="{00000000-0005-0000-0000-00008B370000}"/>
    <cellStyle name="Title 10 6" xfId="14216" xr:uid="{00000000-0005-0000-0000-00008C370000}"/>
    <cellStyle name="Title 10 7" xfId="16207" xr:uid="{00000000-0005-0000-0000-0000533F0000}"/>
    <cellStyle name="Title 10 8" xfId="15723" xr:uid="{00000000-0005-0000-0000-00006F3D0000}"/>
    <cellStyle name="Title 10 9" xfId="12373" xr:uid="{00000000-0005-0000-0000-000059300000}"/>
    <cellStyle name="Title 11" xfId="7268" xr:uid="{00000000-0005-0000-0000-0000681C0000}"/>
    <cellStyle name="Title 11 2" xfId="14217" xr:uid="{00000000-0005-0000-0000-00008D370000}"/>
    <cellStyle name="Title 11 3" xfId="14218" xr:uid="{00000000-0005-0000-0000-00008E370000}"/>
    <cellStyle name="Title 11 4" xfId="14219" xr:uid="{00000000-0005-0000-0000-00008F370000}"/>
    <cellStyle name="Title 11 5" xfId="14220" xr:uid="{00000000-0005-0000-0000-000090370000}"/>
    <cellStyle name="Title 11 6" xfId="14221" xr:uid="{00000000-0005-0000-0000-000091370000}"/>
    <cellStyle name="Title 11 7" xfId="16208" xr:uid="{00000000-0005-0000-0000-0000543F0000}"/>
    <cellStyle name="Title 11 8" xfId="19457" xr:uid="{00000000-0005-0000-0000-0000054C0000}"/>
    <cellStyle name="Title 11 9" xfId="12374" xr:uid="{00000000-0005-0000-0000-00005A300000}"/>
    <cellStyle name="Title 12" xfId="7269" xr:uid="{00000000-0005-0000-0000-0000691C0000}"/>
    <cellStyle name="Title 12 2" xfId="14222" xr:uid="{00000000-0005-0000-0000-000092370000}"/>
    <cellStyle name="Title 12 3" xfId="14223" xr:uid="{00000000-0005-0000-0000-000093370000}"/>
    <cellStyle name="Title 12 4" xfId="14224" xr:uid="{00000000-0005-0000-0000-000094370000}"/>
    <cellStyle name="Title 12 5" xfId="14225" xr:uid="{00000000-0005-0000-0000-000095370000}"/>
    <cellStyle name="Title 12 6" xfId="14226" xr:uid="{00000000-0005-0000-0000-000096370000}"/>
    <cellStyle name="Title 12 7" xfId="16209" xr:uid="{00000000-0005-0000-0000-0000553F0000}"/>
    <cellStyle name="Title 12 8" xfId="15673" xr:uid="{00000000-0005-0000-0000-00003D3D0000}"/>
    <cellStyle name="Title 12 9" xfId="12375" xr:uid="{00000000-0005-0000-0000-00005B300000}"/>
    <cellStyle name="Title 13" xfId="7270" xr:uid="{00000000-0005-0000-0000-00006A1C0000}"/>
    <cellStyle name="Title 13 2" xfId="14227" xr:uid="{00000000-0005-0000-0000-000097370000}"/>
    <cellStyle name="Title 13 3" xfId="14228" xr:uid="{00000000-0005-0000-0000-000098370000}"/>
    <cellStyle name="Title 13 4" xfId="14229" xr:uid="{00000000-0005-0000-0000-000099370000}"/>
    <cellStyle name="Title 13 5" xfId="14230" xr:uid="{00000000-0005-0000-0000-00009A370000}"/>
    <cellStyle name="Title 13 6" xfId="14231" xr:uid="{00000000-0005-0000-0000-00009B370000}"/>
    <cellStyle name="Title 13 7" xfId="16210" xr:uid="{00000000-0005-0000-0000-0000563F0000}"/>
    <cellStyle name="Title 13 8" xfId="16339" xr:uid="{00000000-0005-0000-0000-0000D73F0000}"/>
    <cellStyle name="Title 13 9" xfId="12376" xr:uid="{00000000-0005-0000-0000-00005C300000}"/>
    <cellStyle name="Title 14" xfId="7271" xr:uid="{00000000-0005-0000-0000-00006B1C0000}"/>
    <cellStyle name="Title 14 2" xfId="14232" xr:uid="{00000000-0005-0000-0000-00009C370000}"/>
    <cellStyle name="Title 14 3" xfId="14233" xr:uid="{00000000-0005-0000-0000-00009D370000}"/>
    <cellStyle name="Title 14 4" xfId="14234" xr:uid="{00000000-0005-0000-0000-00009E370000}"/>
    <cellStyle name="Title 14 5" xfId="14235" xr:uid="{00000000-0005-0000-0000-00009F370000}"/>
    <cellStyle name="Title 14 6" xfId="14236" xr:uid="{00000000-0005-0000-0000-0000A0370000}"/>
    <cellStyle name="Title 14 7" xfId="16211" xr:uid="{00000000-0005-0000-0000-0000573F0000}"/>
    <cellStyle name="Title 14 8" xfId="19270" xr:uid="{00000000-0005-0000-0000-00004A4B0000}"/>
    <cellStyle name="Title 14 9" xfId="12377" xr:uid="{00000000-0005-0000-0000-00005D300000}"/>
    <cellStyle name="Title 15" xfId="7272" xr:uid="{00000000-0005-0000-0000-00006C1C0000}"/>
    <cellStyle name="Title 15 2" xfId="14237" xr:uid="{00000000-0005-0000-0000-0000A1370000}"/>
    <cellStyle name="Title 15 3" xfId="14238" xr:uid="{00000000-0005-0000-0000-0000A2370000}"/>
    <cellStyle name="Title 15 4" xfId="14239" xr:uid="{00000000-0005-0000-0000-0000A3370000}"/>
    <cellStyle name="Title 15 5" xfId="14240" xr:uid="{00000000-0005-0000-0000-0000A4370000}"/>
    <cellStyle name="Title 15 6" xfId="14241" xr:uid="{00000000-0005-0000-0000-0000A5370000}"/>
    <cellStyle name="Title 15 7" xfId="16212" xr:uid="{00000000-0005-0000-0000-0000583F0000}"/>
    <cellStyle name="Title 15 8" xfId="15762" xr:uid="{00000000-0005-0000-0000-0000963D0000}"/>
    <cellStyle name="Title 15 9" xfId="12378" xr:uid="{00000000-0005-0000-0000-00005E300000}"/>
    <cellStyle name="Title 16" xfId="7273" xr:uid="{00000000-0005-0000-0000-00006D1C0000}"/>
    <cellStyle name="Title 16 2" xfId="14242" xr:uid="{00000000-0005-0000-0000-0000A6370000}"/>
    <cellStyle name="Title 16 3" xfId="14243" xr:uid="{00000000-0005-0000-0000-0000A7370000}"/>
    <cellStyle name="Title 16 4" xfId="14244" xr:uid="{00000000-0005-0000-0000-0000A8370000}"/>
    <cellStyle name="Title 16 5" xfId="14245" xr:uid="{00000000-0005-0000-0000-0000A9370000}"/>
    <cellStyle name="Title 16 6" xfId="14246" xr:uid="{00000000-0005-0000-0000-0000AA370000}"/>
    <cellStyle name="Title 16 7" xfId="16213" xr:uid="{00000000-0005-0000-0000-0000593F0000}"/>
    <cellStyle name="Title 16 8" xfId="16690" xr:uid="{00000000-0005-0000-0000-000036410000}"/>
    <cellStyle name="Title 16 9" xfId="12379" xr:uid="{00000000-0005-0000-0000-00005F300000}"/>
    <cellStyle name="Title 17" xfId="7274" xr:uid="{00000000-0005-0000-0000-00006E1C0000}"/>
    <cellStyle name="Title 17 2" xfId="14247" xr:uid="{00000000-0005-0000-0000-0000AB370000}"/>
    <cellStyle name="Title 17 3" xfId="14248" xr:uid="{00000000-0005-0000-0000-0000AC370000}"/>
    <cellStyle name="Title 17 4" xfId="14249" xr:uid="{00000000-0005-0000-0000-0000AD370000}"/>
    <cellStyle name="Title 17 5" xfId="14250" xr:uid="{00000000-0005-0000-0000-0000AE370000}"/>
    <cellStyle name="Title 17 6" xfId="14251" xr:uid="{00000000-0005-0000-0000-0000AF370000}"/>
    <cellStyle name="Title 17 7" xfId="16214" xr:uid="{00000000-0005-0000-0000-00005A3F0000}"/>
    <cellStyle name="Title 17 8" xfId="15509" xr:uid="{00000000-0005-0000-0000-0000993C0000}"/>
    <cellStyle name="Title 17 9" xfId="12380" xr:uid="{00000000-0005-0000-0000-000060300000}"/>
    <cellStyle name="Title 18" xfId="7275" xr:uid="{00000000-0005-0000-0000-00006F1C0000}"/>
    <cellStyle name="Title 18 2" xfId="14252" xr:uid="{00000000-0005-0000-0000-0000B0370000}"/>
    <cellStyle name="Title 18 3" xfId="14253" xr:uid="{00000000-0005-0000-0000-0000B1370000}"/>
    <cellStyle name="Title 18 4" xfId="14254" xr:uid="{00000000-0005-0000-0000-0000B2370000}"/>
    <cellStyle name="Title 18 5" xfId="14255" xr:uid="{00000000-0005-0000-0000-0000B3370000}"/>
    <cellStyle name="Title 18 6" xfId="14256" xr:uid="{00000000-0005-0000-0000-0000B4370000}"/>
    <cellStyle name="Title 18 7" xfId="16215" xr:uid="{00000000-0005-0000-0000-00005B3F0000}"/>
    <cellStyle name="Title 18 8" xfId="15634" xr:uid="{00000000-0005-0000-0000-0000163D0000}"/>
    <cellStyle name="Title 18 9" xfId="12381" xr:uid="{00000000-0005-0000-0000-000061300000}"/>
    <cellStyle name="Title 19" xfId="7276" xr:uid="{00000000-0005-0000-0000-0000701C0000}"/>
    <cellStyle name="Title 19 2" xfId="14257" xr:uid="{00000000-0005-0000-0000-0000B5370000}"/>
    <cellStyle name="Title 19 3" xfId="14258" xr:uid="{00000000-0005-0000-0000-0000B6370000}"/>
    <cellStyle name="Title 19 4" xfId="14259" xr:uid="{00000000-0005-0000-0000-0000B7370000}"/>
    <cellStyle name="Title 19 5" xfId="14260" xr:uid="{00000000-0005-0000-0000-0000B8370000}"/>
    <cellStyle name="Title 19 6" xfId="14261" xr:uid="{00000000-0005-0000-0000-0000B9370000}"/>
    <cellStyle name="Title 19 7" xfId="16216" xr:uid="{00000000-0005-0000-0000-00005C3F0000}"/>
    <cellStyle name="Title 19 8" xfId="19365" xr:uid="{00000000-0005-0000-0000-0000A94B0000}"/>
    <cellStyle name="Title 19 9" xfId="12382" xr:uid="{00000000-0005-0000-0000-000062300000}"/>
    <cellStyle name="Title 2" xfId="195" xr:uid="{00000000-0005-0000-0000-0000C7000000}"/>
    <cellStyle name="Title 2 10" xfId="1839" xr:uid="{00000000-0005-0000-0000-000033070000}"/>
    <cellStyle name="Title 2 10 2" xfId="14262" xr:uid="{00000000-0005-0000-0000-0000BA370000}"/>
    <cellStyle name="Title 2 10 3" xfId="14263" xr:uid="{00000000-0005-0000-0000-0000BB370000}"/>
    <cellStyle name="Title 2 10 4" xfId="14264" xr:uid="{00000000-0005-0000-0000-0000BC370000}"/>
    <cellStyle name="Title 2 10 5" xfId="14265" xr:uid="{00000000-0005-0000-0000-0000BD370000}"/>
    <cellStyle name="Title 2 10 6" xfId="15220" xr:uid="{00000000-0005-0000-0000-0000783B0000}"/>
    <cellStyle name="Title 2 10 7" xfId="15422" xr:uid="{00000000-0005-0000-0000-0000423C0000}"/>
    <cellStyle name="Title 2 10 8" xfId="12384" xr:uid="{00000000-0005-0000-0000-000064300000}"/>
    <cellStyle name="Title 2 11" xfId="14266" xr:uid="{00000000-0005-0000-0000-0000BE370000}"/>
    <cellStyle name="Title 2 11 2" xfId="14267" xr:uid="{00000000-0005-0000-0000-0000BF370000}"/>
    <cellStyle name="Title 2 11 3" xfId="14268" xr:uid="{00000000-0005-0000-0000-0000C0370000}"/>
    <cellStyle name="Title 2 11 4" xfId="14269" xr:uid="{00000000-0005-0000-0000-0000C1370000}"/>
    <cellStyle name="Title 2 11 5" xfId="14270" xr:uid="{00000000-0005-0000-0000-0000C2370000}"/>
    <cellStyle name="Title 2 12" xfId="14271" xr:uid="{00000000-0005-0000-0000-0000C3370000}"/>
    <cellStyle name="Title 2 13" xfId="14272" xr:uid="{00000000-0005-0000-0000-0000C4370000}"/>
    <cellStyle name="Title 2 14" xfId="14273" xr:uid="{00000000-0005-0000-0000-0000C5370000}"/>
    <cellStyle name="Title 2 15" xfId="14274" xr:uid="{00000000-0005-0000-0000-0000C6370000}"/>
    <cellStyle name="Title 2 16" xfId="14275" xr:uid="{00000000-0005-0000-0000-0000C7370000}"/>
    <cellStyle name="Title 2 17" xfId="15219" xr:uid="{00000000-0005-0000-0000-0000773B0000}"/>
    <cellStyle name="Title 2 18" xfId="19158" xr:uid="{00000000-0005-0000-0000-0000DA4A0000}"/>
    <cellStyle name="Title 2 19" xfId="12383" xr:uid="{00000000-0005-0000-0000-000063300000}"/>
    <cellStyle name="Title 2 2" xfId="1840" xr:uid="{00000000-0005-0000-0000-000034070000}"/>
    <cellStyle name="Title 2 2 2" xfId="14276" xr:uid="{00000000-0005-0000-0000-0000C8370000}"/>
    <cellStyle name="Title 2 2 3" xfId="14277" xr:uid="{00000000-0005-0000-0000-0000C9370000}"/>
    <cellStyle name="Title 2 2 4" xfId="14278" xr:uid="{00000000-0005-0000-0000-0000CA370000}"/>
    <cellStyle name="Title 2 2 5" xfId="14279" xr:uid="{00000000-0005-0000-0000-0000CB370000}"/>
    <cellStyle name="Title 2 2 6" xfId="15221" xr:uid="{00000000-0005-0000-0000-0000793B0000}"/>
    <cellStyle name="Title 2 2 7" xfId="19147" xr:uid="{00000000-0005-0000-0000-0000CF4A0000}"/>
    <cellStyle name="Title 2 2 8" xfId="12385" xr:uid="{00000000-0005-0000-0000-000065300000}"/>
    <cellStyle name="Title 2 3" xfId="1841" xr:uid="{00000000-0005-0000-0000-000035070000}"/>
    <cellStyle name="Title 2 3 2" xfId="14280" xr:uid="{00000000-0005-0000-0000-0000CC370000}"/>
    <cellStyle name="Title 2 3 3" xfId="14281" xr:uid="{00000000-0005-0000-0000-0000CD370000}"/>
    <cellStyle name="Title 2 3 4" xfId="14282" xr:uid="{00000000-0005-0000-0000-0000CE370000}"/>
    <cellStyle name="Title 2 3 5" xfId="14283" xr:uid="{00000000-0005-0000-0000-0000CF370000}"/>
    <cellStyle name="Title 2 3 6" xfId="15222" xr:uid="{00000000-0005-0000-0000-00007A3B0000}"/>
    <cellStyle name="Title 2 3 7" xfId="15538" xr:uid="{00000000-0005-0000-0000-0000B63C0000}"/>
    <cellStyle name="Title 2 3 8" xfId="12386" xr:uid="{00000000-0005-0000-0000-000066300000}"/>
    <cellStyle name="Title 2 4" xfId="1842" xr:uid="{00000000-0005-0000-0000-000036070000}"/>
    <cellStyle name="Title 2 4 2" xfId="14284" xr:uid="{00000000-0005-0000-0000-0000D0370000}"/>
    <cellStyle name="Title 2 4 3" xfId="14285" xr:uid="{00000000-0005-0000-0000-0000D1370000}"/>
    <cellStyle name="Title 2 4 4" xfId="14286" xr:uid="{00000000-0005-0000-0000-0000D2370000}"/>
    <cellStyle name="Title 2 4 5" xfId="14287" xr:uid="{00000000-0005-0000-0000-0000D3370000}"/>
    <cellStyle name="Title 2 4 6" xfId="15223" xr:uid="{00000000-0005-0000-0000-00007B3B0000}"/>
    <cellStyle name="Title 2 4 7" xfId="19241" xr:uid="{00000000-0005-0000-0000-00002D4B0000}"/>
    <cellStyle name="Title 2 4 8" xfId="12387" xr:uid="{00000000-0005-0000-0000-000067300000}"/>
    <cellStyle name="Title 2 5" xfId="1843" xr:uid="{00000000-0005-0000-0000-000037070000}"/>
    <cellStyle name="Title 2 5 2" xfId="14288" xr:uid="{00000000-0005-0000-0000-0000D4370000}"/>
    <cellStyle name="Title 2 5 3" xfId="14289" xr:uid="{00000000-0005-0000-0000-0000D5370000}"/>
    <cellStyle name="Title 2 5 4" xfId="14290" xr:uid="{00000000-0005-0000-0000-0000D6370000}"/>
    <cellStyle name="Title 2 5 5" xfId="14291" xr:uid="{00000000-0005-0000-0000-0000D7370000}"/>
    <cellStyle name="Title 2 5 6" xfId="15224" xr:uid="{00000000-0005-0000-0000-00007C3B0000}"/>
    <cellStyle name="Title 2 5 7" xfId="16732" xr:uid="{00000000-0005-0000-0000-000060410000}"/>
    <cellStyle name="Title 2 5 8" xfId="12388" xr:uid="{00000000-0005-0000-0000-000068300000}"/>
    <cellStyle name="Title 2 6" xfId="1844" xr:uid="{00000000-0005-0000-0000-000038070000}"/>
    <cellStyle name="Title 2 6 2" xfId="14292" xr:uid="{00000000-0005-0000-0000-0000D8370000}"/>
    <cellStyle name="Title 2 6 3" xfId="14293" xr:uid="{00000000-0005-0000-0000-0000D9370000}"/>
    <cellStyle name="Title 2 6 4" xfId="14294" xr:uid="{00000000-0005-0000-0000-0000DA370000}"/>
    <cellStyle name="Title 2 6 5" xfId="14295" xr:uid="{00000000-0005-0000-0000-0000DB370000}"/>
    <cellStyle name="Title 2 6 6" xfId="15225" xr:uid="{00000000-0005-0000-0000-00007D3B0000}"/>
    <cellStyle name="Title 2 6 7" xfId="19163" xr:uid="{00000000-0005-0000-0000-0000DF4A0000}"/>
    <cellStyle name="Title 2 6 8" xfId="12389" xr:uid="{00000000-0005-0000-0000-000069300000}"/>
    <cellStyle name="Title 2 7" xfId="1845" xr:uid="{00000000-0005-0000-0000-000039070000}"/>
    <cellStyle name="Title 2 7 2" xfId="14296" xr:uid="{00000000-0005-0000-0000-0000DC370000}"/>
    <cellStyle name="Title 2 7 3" xfId="14297" xr:uid="{00000000-0005-0000-0000-0000DD370000}"/>
    <cellStyle name="Title 2 7 4" xfId="14298" xr:uid="{00000000-0005-0000-0000-0000DE370000}"/>
    <cellStyle name="Title 2 7 5" xfId="14299" xr:uid="{00000000-0005-0000-0000-0000DF370000}"/>
    <cellStyle name="Title 2 7 6" xfId="15226" xr:uid="{00000000-0005-0000-0000-00007E3B0000}"/>
    <cellStyle name="Title 2 7 7" xfId="19421" xr:uid="{00000000-0005-0000-0000-0000E14B0000}"/>
    <cellStyle name="Title 2 7 8" xfId="12390" xr:uid="{00000000-0005-0000-0000-00006A300000}"/>
    <cellStyle name="Title 2 8" xfId="1846" xr:uid="{00000000-0005-0000-0000-00003A070000}"/>
    <cellStyle name="Title 2 8 2" xfId="14300" xr:uid="{00000000-0005-0000-0000-0000E0370000}"/>
    <cellStyle name="Title 2 8 3" xfId="14301" xr:uid="{00000000-0005-0000-0000-0000E1370000}"/>
    <cellStyle name="Title 2 8 4" xfId="14302" xr:uid="{00000000-0005-0000-0000-0000E2370000}"/>
    <cellStyle name="Title 2 8 5" xfId="14303" xr:uid="{00000000-0005-0000-0000-0000E3370000}"/>
    <cellStyle name="Title 2 8 6" xfId="15227" xr:uid="{00000000-0005-0000-0000-00007F3B0000}"/>
    <cellStyle name="Title 2 8 7" xfId="16677" xr:uid="{00000000-0005-0000-0000-000029410000}"/>
    <cellStyle name="Title 2 8 8" xfId="12391" xr:uid="{00000000-0005-0000-0000-00006B300000}"/>
    <cellStyle name="Title 2 9" xfId="1847" xr:uid="{00000000-0005-0000-0000-00003B070000}"/>
    <cellStyle name="Title 2 9 2" xfId="14304" xr:uid="{00000000-0005-0000-0000-0000E4370000}"/>
    <cellStyle name="Title 2 9 3" xfId="14305" xr:uid="{00000000-0005-0000-0000-0000E5370000}"/>
    <cellStyle name="Title 2 9 4" xfId="14306" xr:uid="{00000000-0005-0000-0000-0000E6370000}"/>
    <cellStyle name="Title 2 9 5" xfId="14307" xr:uid="{00000000-0005-0000-0000-0000E7370000}"/>
    <cellStyle name="Title 2 9 6" xfId="15228" xr:uid="{00000000-0005-0000-0000-0000803B0000}"/>
    <cellStyle name="Title 2 9 7" xfId="15433" xr:uid="{00000000-0005-0000-0000-00004D3C0000}"/>
    <cellStyle name="Title 2 9 8" xfId="12392" xr:uid="{00000000-0005-0000-0000-00006C300000}"/>
    <cellStyle name="Title 20" xfId="7277" xr:uid="{00000000-0005-0000-0000-0000711C0000}"/>
    <cellStyle name="Title 20 2" xfId="14308" xr:uid="{00000000-0005-0000-0000-0000E8370000}"/>
    <cellStyle name="Title 20 3" xfId="14309" xr:uid="{00000000-0005-0000-0000-0000E9370000}"/>
    <cellStyle name="Title 20 4" xfId="14310" xr:uid="{00000000-0005-0000-0000-0000EA370000}"/>
    <cellStyle name="Title 20 5" xfId="14311" xr:uid="{00000000-0005-0000-0000-0000EB370000}"/>
    <cellStyle name="Title 20 6" xfId="14312" xr:uid="{00000000-0005-0000-0000-0000EC370000}"/>
    <cellStyle name="Title 20 7" xfId="16217" xr:uid="{00000000-0005-0000-0000-00005D3F0000}"/>
    <cellStyle name="Title 20 8" xfId="19192" xr:uid="{00000000-0005-0000-0000-0000FC4A0000}"/>
    <cellStyle name="Title 20 9" xfId="12393" xr:uid="{00000000-0005-0000-0000-00006D300000}"/>
    <cellStyle name="Title 21" xfId="7278" xr:uid="{00000000-0005-0000-0000-0000721C0000}"/>
    <cellStyle name="Title 21 2" xfId="14313" xr:uid="{00000000-0005-0000-0000-0000ED370000}"/>
    <cellStyle name="Title 21 3" xfId="14314" xr:uid="{00000000-0005-0000-0000-0000EE370000}"/>
    <cellStyle name="Title 21 4" xfId="14315" xr:uid="{00000000-0005-0000-0000-0000EF370000}"/>
    <cellStyle name="Title 21 5" xfId="14316" xr:uid="{00000000-0005-0000-0000-0000F0370000}"/>
    <cellStyle name="Title 21 6" xfId="14317" xr:uid="{00000000-0005-0000-0000-0000F1370000}"/>
    <cellStyle name="Title 21 7" xfId="16218" xr:uid="{00000000-0005-0000-0000-00005E3F0000}"/>
    <cellStyle name="Title 21 8" xfId="19289" xr:uid="{00000000-0005-0000-0000-00005D4B0000}"/>
    <cellStyle name="Title 21 9" xfId="12394" xr:uid="{00000000-0005-0000-0000-00006E300000}"/>
    <cellStyle name="Title 22" xfId="7279" xr:uid="{00000000-0005-0000-0000-0000731C0000}"/>
    <cellStyle name="Title 22 2" xfId="14318" xr:uid="{00000000-0005-0000-0000-0000F2370000}"/>
    <cellStyle name="Title 22 3" xfId="14319" xr:uid="{00000000-0005-0000-0000-0000F3370000}"/>
    <cellStyle name="Title 22 4" xfId="14320" xr:uid="{00000000-0005-0000-0000-0000F4370000}"/>
    <cellStyle name="Title 22 5" xfId="14321" xr:uid="{00000000-0005-0000-0000-0000F5370000}"/>
    <cellStyle name="Title 22 6" xfId="14322" xr:uid="{00000000-0005-0000-0000-0000F6370000}"/>
    <cellStyle name="Title 22 7" xfId="16219" xr:uid="{00000000-0005-0000-0000-00005F3F0000}"/>
    <cellStyle name="Title 22 8" xfId="15394" xr:uid="{00000000-0005-0000-0000-0000263C0000}"/>
    <cellStyle name="Title 22 9" xfId="12395" xr:uid="{00000000-0005-0000-0000-00006F300000}"/>
    <cellStyle name="Title 23" xfId="7280" xr:uid="{00000000-0005-0000-0000-0000741C0000}"/>
    <cellStyle name="Title 23 2" xfId="14323" xr:uid="{00000000-0005-0000-0000-0000F7370000}"/>
    <cellStyle name="Title 23 3" xfId="14324" xr:uid="{00000000-0005-0000-0000-0000F8370000}"/>
    <cellStyle name="Title 23 4" xfId="14325" xr:uid="{00000000-0005-0000-0000-0000F9370000}"/>
    <cellStyle name="Title 23 5" xfId="14326" xr:uid="{00000000-0005-0000-0000-0000FA370000}"/>
    <cellStyle name="Title 23 6" xfId="14327" xr:uid="{00000000-0005-0000-0000-0000FB370000}"/>
    <cellStyle name="Title 23 7" xfId="16220" xr:uid="{00000000-0005-0000-0000-0000603F0000}"/>
    <cellStyle name="Title 23 8" xfId="19225" xr:uid="{00000000-0005-0000-0000-00001D4B0000}"/>
    <cellStyle name="Title 23 9" xfId="12396" xr:uid="{00000000-0005-0000-0000-000070300000}"/>
    <cellStyle name="Title 24" xfId="7281" xr:uid="{00000000-0005-0000-0000-0000751C0000}"/>
    <cellStyle name="Title 24 2" xfId="14328" xr:uid="{00000000-0005-0000-0000-0000FC370000}"/>
    <cellStyle name="Title 24 3" xfId="14329" xr:uid="{00000000-0005-0000-0000-0000FD370000}"/>
    <cellStyle name="Title 24 4" xfId="14330" xr:uid="{00000000-0005-0000-0000-0000FE370000}"/>
    <cellStyle name="Title 24 5" xfId="14331" xr:uid="{00000000-0005-0000-0000-0000FF370000}"/>
    <cellStyle name="Title 24 6" xfId="14332" xr:uid="{00000000-0005-0000-0000-000000380000}"/>
    <cellStyle name="Title 24 7" xfId="16221" xr:uid="{00000000-0005-0000-0000-0000613F0000}"/>
    <cellStyle name="Title 24 8" xfId="16643" xr:uid="{00000000-0005-0000-0000-000007410000}"/>
    <cellStyle name="Title 24 9" xfId="12397" xr:uid="{00000000-0005-0000-0000-000071300000}"/>
    <cellStyle name="Title 25" xfId="7282" xr:uid="{00000000-0005-0000-0000-0000761C0000}"/>
    <cellStyle name="Title 25 2" xfId="14333" xr:uid="{00000000-0005-0000-0000-000001380000}"/>
    <cellStyle name="Title 25 3" xfId="14334" xr:uid="{00000000-0005-0000-0000-000002380000}"/>
    <cellStyle name="Title 25 4" xfId="14335" xr:uid="{00000000-0005-0000-0000-000003380000}"/>
    <cellStyle name="Title 25 5" xfId="14336" xr:uid="{00000000-0005-0000-0000-000004380000}"/>
    <cellStyle name="Title 25 6" xfId="14337" xr:uid="{00000000-0005-0000-0000-000005380000}"/>
    <cellStyle name="Title 25 7" xfId="16222" xr:uid="{00000000-0005-0000-0000-0000623F0000}"/>
    <cellStyle name="Title 25 8" xfId="19043" xr:uid="{00000000-0005-0000-0000-0000674A0000}"/>
    <cellStyle name="Title 25 9" xfId="12398" xr:uid="{00000000-0005-0000-0000-000072300000}"/>
    <cellStyle name="Title 26" xfId="7283" xr:uid="{00000000-0005-0000-0000-0000771C0000}"/>
    <cellStyle name="Title 26 2" xfId="14338" xr:uid="{00000000-0005-0000-0000-000006380000}"/>
    <cellStyle name="Title 26 3" xfId="14339" xr:uid="{00000000-0005-0000-0000-000007380000}"/>
    <cellStyle name="Title 26 4" xfId="14340" xr:uid="{00000000-0005-0000-0000-000008380000}"/>
    <cellStyle name="Title 26 5" xfId="14341" xr:uid="{00000000-0005-0000-0000-000009380000}"/>
    <cellStyle name="Title 26 6" xfId="14342" xr:uid="{00000000-0005-0000-0000-00000A380000}"/>
    <cellStyle name="Title 26 7" xfId="16223" xr:uid="{00000000-0005-0000-0000-0000633F0000}"/>
    <cellStyle name="Title 26 8" xfId="16348" xr:uid="{00000000-0005-0000-0000-0000E03F0000}"/>
    <cellStyle name="Title 26 9" xfId="12399" xr:uid="{00000000-0005-0000-0000-000073300000}"/>
    <cellStyle name="Title 27" xfId="7284" xr:uid="{00000000-0005-0000-0000-0000781C0000}"/>
    <cellStyle name="Title 27 2" xfId="14343" xr:uid="{00000000-0005-0000-0000-00000B380000}"/>
    <cellStyle name="Title 27 3" xfId="14344" xr:uid="{00000000-0005-0000-0000-00000C380000}"/>
    <cellStyle name="Title 27 4" xfId="14345" xr:uid="{00000000-0005-0000-0000-00000D380000}"/>
    <cellStyle name="Title 27 5" xfId="14346" xr:uid="{00000000-0005-0000-0000-00000E380000}"/>
    <cellStyle name="Title 27 6" xfId="14347" xr:uid="{00000000-0005-0000-0000-00000F380000}"/>
    <cellStyle name="Title 27 7" xfId="16224" xr:uid="{00000000-0005-0000-0000-0000643F0000}"/>
    <cellStyle name="Title 27 8" xfId="16640" xr:uid="{00000000-0005-0000-0000-000004410000}"/>
    <cellStyle name="Title 27 9" xfId="12400" xr:uid="{00000000-0005-0000-0000-000074300000}"/>
    <cellStyle name="Title 28" xfId="7285" xr:uid="{00000000-0005-0000-0000-0000791C0000}"/>
    <cellStyle name="Title 28 2" xfId="14348" xr:uid="{00000000-0005-0000-0000-000010380000}"/>
    <cellStyle name="Title 28 3" xfId="14349" xr:uid="{00000000-0005-0000-0000-000011380000}"/>
    <cellStyle name="Title 28 4" xfId="14350" xr:uid="{00000000-0005-0000-0000-000012380000}"/>
    <cellStyle name="Title 28 5" xfId="14351" xr:uid="{00000000-0005-0000-0000-000013380000}"/>
    <cellStyle name="Title 28 6" xfId="14352" xr:uid="{00000000-0005-0000-0000-000014380000}"/>
    <cellStyle name="Title 28 7" xfId="16225" xr:uid="{00000000-0005-0000-0000-0000653F0000}"/>
    <cellStyle name="Title 28 8" xfId="19159" xr:uid="{00000000-0005-0000-0000-0000DB4A0000}"/>
    <cellStyle name="Title 28 9" xfId="12401" xr:uid="{00000000-0005-0000-0000-000075300000}"/>
    <cellStyle name="Title 29" xfId="7286" xr:uid="{00000000-0005-0000-0000-00007A1C0000}"/>
    <cellStyle name="Title 29 2" xfId="14353" xr:uid="{00000000-0005-0000-0000-000015380000}"/>
    <cellStyle name="Title 29 3" xfId="14354" xr:uid="{00000000-0005-0000-0000-000016380000}"/>
    <cellStyle name="Title 29 4" xfId="14355" xr:uid="{00000000-0005-0000-0000-000017380000}"/>
    <cellStyle name="Title 29 5" xfId="14356" xr:uid="{00000000-0005-0000-0000-000018380000}"/>
    <cellStyle name="Title 29 6" xfId="14357" xr:uid="{00000000-0005-0000-0000-000019380000}"/>
    <cellStyle name="Title 29 7" xfId="16226" xr:uid="{00000000-0005-0000-0000-0000663F0000}"/>
    <cellStyle name="Title 29 8" xfId="16773" xr:uid="{00000000-0005-0000-0000-000089410000}"/>
    <cellStyle name="Title 29 9" xfId="12402" xr:uid="{00000000-0005-0000-0000-000076300000}"/>
    <cellStyle name="Title 3" xfId="196" xr:uid="{00000000-0005-0000-0000-0000C8000000}"/>
    <cellStyle name="Title 3 10" xfId="19191" xr:uid="{00000000-0005-0000-0000-0000FB4A0000}"/>
    <cellStyle name="Title 3 11" xfId="12403" xr:uid="{00000000-0005-0000-0000-000077300000}"/>
    <cellStyle name="Title 3 2" xfId="1848" xr:uid="{00000000-0005-0000-0000-00003C070000}"/>
    <cellStyle name="Title 3 2 2" xfId="14358" xr:uid="{00000000-0005-0000-0000-00001A380000}"/>
    <cellStyle name="Title 3 2 3" xfId="14359" xr:uid="{00000000-0005-0000-0000-00001B380000}"/>
    <cellStyle name="Title 3 2 4" xfId="14360" xr:uid="{00000000-0005-0000-0000-00001C380000}"/>
    <cellStyle name="Title 3 2 5" xfId="14361" xr:uid="{00000000-0005-0000-0000-00001D380000}"/>
    <cellStyle name="Title 3 2 6" xfId="16227" xr:uid="{00000000-0005-0000-0000-0000673F0000}"/>
    <cellStyle name="Title 3 2 7" xfId="15488" xr:uid="{00000000-0005-0000-0000-0000843C0000}"/>
    <cellStyle name="Title 3 2 8" xfId="12404" xr:uid="{00000000-0005-0000-0000-000078300000}"/>
    <cellStyle name="Title 3 2 9" xfId="7287" xr:uid="{00000000-0005-0000-0000-00007B1C0000}"/>
    <cellStyle name="Title 3 3" xfId="7862" xr:uid="{00000000-0005-0000-0000-0000BA1E0000}"/>
    <cellStyle name="Title 3 3 2" xfId="16748" xr:uid="{00000000-0005-0000-0000-000070410000}"/>
    <cellStyle name="Title 3 3 3" xfId="19483" xr:uid="{00000000-0005-0000-0000-00001F4C0000}"/>
    <cellStyle name="Title 3 3 4" xfId="12405" xr:uid="{00000000-0005-0000-0000-000079300000}"/>
    <cellStyle name="Title 3 4" xfId="8899" xr:uid="{00000000-0005-0000-0000-0000C7220000}"/>
    <cellStyle name="Title 3 4 2" xfId="17270" xr:uid="{00000000-0005-0000-0000-00007A430000}"/>
    <cellStyle name="Title 3 4 3" xfId="19215" xr:uid="{00000000-0005-0000-0000-0000134B0000}"/>
    <cellStyle name="Title 3 4 4" xfId="12406" xr:uid="{00000000-0005-0000-0000-00007A300000}"/>
    <cellStyle name="Title 3 5" xfId="14362" xr:uid="{00000000-0005-0000-0000-00001E380000}"/>
    <cellStyle name="Title 3 6" xfId="14363" xr:uid="{00000000-0005-0000-0000-00001F380000}"/>
    <cellStyle name="Title 3 7" xfId="14364" xr:uid="{00000000-0005-0000-0000-000020380000}"/>
    <cellStyle name="Title 3 8" xfId="15229" xr:uid="{00000000-0005-0000-0000-0000813B0000}"/>
    <cellStyle name="Title 3 9" xfId="15339" xr:uid="{00000000-0005-0000-0000-0000EF3B0000}"/>
    <cellStyle name="Title 30" xfId="7288" xr:uid="{00000000-0005-0000-0000-00007C1C0000}"/>
    <cellStyle name="Title 30 2" xfId="14365" xr:uid="{00000000-0005-0000-0000-000021380000}"/>
    <cellStyle name="Title 30 3" xfId="14366" xr:uid="{00000000-0005-0000-0000-000022380000}"/>
    <cellStyle name="Title 30 4" xfId="14367" xr:uid="{00000000-0005-0000-0000-000023380000}"/>
    <cellStyle name="Title 30 5" xfId="14368" xr:uid="{00000000-0005-0000-0000-000024380000}"/>
    <cellStyle name="Title 30 6" xfId="14369" xr:uid="{00000000-0005-0000-0000-000025380000}"/>
    <cellStyle name="Title 30 7" xfId="16228" xr:uid="{00000000-0005-0000-0000-0000683F0000}"/>
    <cellStyle name="Title 30 8" xfId="15304" xr:uid="{00000000-0005-0000-0000-0000CC3B0000}"/>
    <cellStyle name="Title 30 9" xfId="12407" xr:uid="{00000000-0005-0000-0000-00007B300000}"/>
    <cellStyle name="Title 31" xfId="7289" xr:uid="{00000000-0005-0000-0000-00007D1C0000}"/>
    <cellStyle name="Title 31 2" xfId="14370" xr:uid="{00000000-0005-0000-0000-000026380000}"/>
    <cellStyle name="Title 31 3" xfId="14371" xr:uid="{00000000-0005-0000-0000-000027380000}"/>
    <cellStyle name="Title 31 4" xfId="14372" xr:uid="{00000000-0005-0000-0000-000028380000}"/>
    <cellStyle name="Title 31 5" xfId="14373" xr:uid="{00000000-0005-0000-0000-000029380000}"/>
    <cellStyle name="Title 31 6" xfId="14374" xr:uid="{00000000-0005-0000-0000-00002A380000}"/>
    <cellStyle name="Title 31 7" xfId="16229" xr:uid="{00000000-0005-0000-0000-0000693F0000}"/>
    <cellStyle name="Title 31 8" xfId="19079" xr:uid="{00000000-0005-0000-0000-00008B4A0000}"/>
    <cellStyle name="Title 31 9" xfId="12408" xr:uid="{00000000-0005-0000-0000-00007C300000}"/>
    <cellStyle name="Title 32" xfId="7290" xr:uid="{00000000-0005-0000-0000-00007E1C0000}"/>
    <cellStyle name="Title 32 2" xfId="14375" xr:uid="{00000000-0005-0000-0000-00002B380000}"/>
    <cellStyle name="Title 32 3" xfId="14376" xr:uid="{00000000-0005-0000-0000-00002C380000}"/>
    <cellStyle name="Title 32 4" xfId="14377" xr:uid="{00000000-0005-0000-0000-00002D380000}"/>
    <cellStyle name="Title 32 5" xfId="14378" xr:uid="{00000000-0005-0000-0000-00002E380000}"/>
    <cellStyle name="Title 32 6" xfId="14379" xr:uid="{00000000-0005-0000-0000-00002F380000}"/>
    <cellStyle name="Title 32 7" xfId="16230" xr:uid="{00000000-0005-0000-0000-00006A3F0000}"/>
    <cellStyle name="Title 32 8" xfId="19104" xr:uid="{00000000-0005-0000-0000-0000A44A0000}"/>
    <cellStyle name="Title 32 9" xfId="12409" xr:uid="{00000000-0005-0000-0000-00007D300000}"/>
    <cellStyle name="Title 33" xfId="7291" xr:uid="{00000000-0005-0000-0000-00007F1C0000}"/>
    <cellStyle name="Title 33 2" xfId="14380" xr:uid="{00000000-0005-0000-0000-000030380000}"/>
    <cellStyle name="Title 33 3" xfId="14381" xr:uid="{00000000-0005-0000-0000-000031380000}"/>
    <cellStyle name="Title 33 4" xfId="14382" xr:uid="{00000000-0005-0000-0000-000032380000}"/>
    <cellStyle name="Title 33 5" xfId="14383" xr:uid="{00000000-0005-0000-0000-000033380000}"/>
    <cellStyle name="Title 33 6" xfId="14384" xr:uid="{00000000-0005-0000-0000-000034380000}"/>
    <cellStyle name="Title 33 7" xfId="16231" xr:uid="{00000000-0005-0000-0000-00006B3F0000}"/>
    <cellStyle name="Title 33 8" xfId="15430" xr:uid="{00000000-0005-0000-0000-00004A3C0000}"/>
    <cellStyle name="Title 33 9" xfId="12410" xr:uid="{00000000-0005-0000-0000-00007E300000}"/>
    <cellStyle name="Title 34" xfId="7292" xr:uid="{00000000-0005-0000-0000-0000801C0000}"/>
    <cellStyle name="Title 34 2" xfId="14385" xr:uid="{00000000-0005-0000-0000-000035380000}"/>
    <cellStyle name="Title 34 3" xfId="14386" xr:uid="{00000000-0005-0000-0000-000036380000}"/>
    <cellStyle name="Title 34 4" xfId="14387" xr:uid="{00000000-0005-0000-0000-000037380000}"/>
    <cellStyle name="Title 34 5" xfId="14388" xr:uid="{00000000-0005-0000-0000-000038380000}"/>
    <cellStyle name="Title 34 6" xfId="14389" xr:uid="{00000000-0005-0000-0000-000039380000}"/>
    <cellStyle name="Title 34 7" xfId="16232" xr:uid="{00000000-0005-0000-0000-00006C3F0000}"/>
    <cellStyle name="Title 34 8" xfId="19260" xr:uid="{00000000-0005-0000-0000-0000404B0000}"/>
    <cellStyle name="Title 34 9" xfId="12411" xr:uid="{00000000-0005-0000-0000-00007F300000}"/>
    <cellStyle name="Title 35" xfId="7293" xr:uid="{00000000-0005-0000-0000-0000811C0000}"/>
    <cellStyle name="Title 35 2" xfId="14390" xr:uid="{00000000-0005-0000-0000-00003A380000}"/>
    <cellStyle name="Title 35 3" xfId="14391" xr:uid="{00000000-0005-0000-0000-00003B380000}"/>
    <cellStyle name="Title 35 4" xfId="14392" xr:uid="{00000000-0005-0000-0000-00003C380000}"/>
    <cellStyle name="Title 35 5" xfId="14393" xr:uid="{00000000-0005-0000-0000-00003D380000}"/>
    <cellStyle name="Title 35 6" xfId="14394" xr:uid="{00000000-0005-0000-0000-00003E380000}"/>
    <cellStyle name="Title 35 7" xfId="16233" xr:uid="{00000000-0005-0000-0000-00006D3F0000}"/>
    <cellStyle name="Title 35 8" xfId="15395" xr:uid="{00000000-0005-0000-0000-0000273C0000}"/>
    <cellStyle name="Title 35 9" xfId="12412" xr:uid="{00000000-0005-0000-0000-000080300000}"/>
    <cellStyle name="Title 36" xfId="7294" xr:uid="{00000000-0005-0000-0000-0000821C0000}"/>
    <cellStyle name="Title 36 2" xfId="14395" xr:uid="{00000000-0005-0000-0000-00003F380000}"/>
    <cellStyle name="Title 36 3" xfId="14396" xr:uid="{00000000-0005-0000-0000-000040380000}"/>
    <cellStyle name="Title 36 4" xfId="14397" xr:uid="{00000000-0005-0000-0000-000041380000}"/>
    <cellStyle name="Title 36 5" xfId="14398" xr:uid="{00000000-0005-0000-0000-000042380000}"/>
    <cellStyle name="Title 36 6" xfId="14399" xr:uid="{00000000-0005-0000-0000-000043380000}"/>
    <cellStyle name="Title 36 7" xfId="16234" xr:uid="{00000000-0005-0000-0000-00006E3F0000}"/>
    <cellStyle name="Title 36 8" xfId="19083" xr:uid="{00000000-0005-0000-0000-00008F4A0000}"/>
    <cellStyle name="Title 36 9" xfId="12413" xr:uid="{00000000-0005-0000-0000-000081300000}"/>
    <cellStyle name="Title 37" xfId="7295" xr:uid="{00000000-0005-0000-0000-0000831C0000}"/>
    <cellStyle name="Title 37 2" xfId="14400" xr:uid="{00000000-0005-0000-0000-000044380000}"/>
    <cellStyle name="Title 37 3" xfId="14401" xr:uid="{00000000-0005-0000-0000-000045380000}"/>
    <cellStyle name="Title 37 4" xfId="14402" xr:uid="{00000000-0005-0000-0000-000046380000}"/>
    <cellStyle name="Title 37 5" xfId="14403" xr:uid="{00000000-0005-0000-0000-000047380000}"/>
    <cellStyle name="Title 37 6" xfId="14404" xr:uid="{00000000-0005-0000-0000-000048380000}"/>
    <cellStyle name="Title 37 7" xfId="16235" xr:uid="{00000000-0005-0000-0000-00006F3F0000}"/>
    <cellStyle name="Title 37 8" xfId="17301" xr:uid="{00000000-0005-0000-0000-000099430000}"/>
    <cellStyle name="Title 37 9" xfId="12414" xr:uid="{00000000-0005-0000-0000-000082300000}"/>
    <cellStyle name="Title 38" xfId="7296" xr:uid="{00000000-0005-0000-0000-0000841C0000}"/>
    <cellStyle name="Title 38 2" xfId="14405" xr:uid="{00000000-0005-0000-0000-000049380000}"/>
    <cellStyle name="Title 38 3" xfId="14406" xr:uid="{00000000-0005-0000-0000-00004A380000}"/>
    <cellStyle name="Title 38 4" xfId="14407" xr:uid="{00000000-0005-0000-0000-00004B380000}"/>
    <cellStyle name="Title 38 5" xfId="14408" xr:uid="{00000000-0005-0000-0000-00004C380000}"/>
    <cellStyle name="Title 38 6" xfId="14409" xr:uid="{00000000-0005-0000-0000-00004D380000}"/>
    <cellStyle name="Title 38 7" xfId="16236" xr:uid="{00000000-0005-0000-0000-0000703F0000}"/>
    <cellStyle name="Title 38 8" xfId="19148" xr:uid="{00000000-0005-0000-0000-0000D04A0000}"/>
    <cellStyle name="Title 38 9" xfId="12415" xr:uid="{00000000-0005-0000-0000-000083300000}"/>
    <cellStyle name="Title 39" xfId="7297" xr:uid="{00000000-0005-0000-0000-0000851C0000}"/>
    <cellStyle name="Title 39 2" xfId="14410" xr:uid="{00000000-0005-0000-0000-00004E380000}"/>
    <cellStyle name="Title 39 3" xfId="14411" xr:uid="{00000000-0005-0000-0000-00004F380000}"/>
    <cellStyle name="Title 39 4" xfId="14412" xr:uid="{00000000-0005-0000-0000-000050380000}"/>
    <cellStyle name="Title 39 5" xfId="14413" xr:uid="{00000000-0005-0000-0000-000051380000}"/>
    <cellStyle name="Title 39 6" xfId="14414" xr:uid="{00000000-0005-0000-0000-000052380000}"/>
    <cellStyle name="Title 39 7" xfId="16237" xr:uid="{00000000-0005-0000-0000-0000713F0000}"/>
    <cellStyle name="Title 39 8" xfId="16752" xr:uid="{00000000-0005-0000-0000-000074410000}"/>
    <cellStyle name="Title 39 9" xfId="12416" xr:uid="{00000000-0005-0000-0000-000084300000}"/>
    <cellStyle name="Title 4" xfId="7298" xr:uid="{00000000-0005-0000-0000-0000861C0000}"/>
    <cellStyle name="Title 4 10" xfId="12417" xr:uid="{00000000-0005-0000-0000-000085300000}"/>
    <cellStyle name="Title 4 2" xfId="14415" xr:uid="{00000000-0005-0000-0000-000053380000}"/>
    <cellStyle name="Title 4 2 2" xfId="14416" xr:uid="{00000000-0005-0000-0000-000054380000}"/>
    <cellStyle name="Title 4 2 3" xfId="14417" xr:uid="{00000000-0005-0000-0000-000055380000}"/>
    <cellStyle name="Title 4 2 4" xfId="14418" xr:uid="{00000000-0005-0000-0000-000056380000}"/>
    <cellStyle name="Title 4 2 5" xfId="14419" xr:uid="{00000000-0005-0000-0000-000057380000}"/>
    <cellStyle name="Title 4 3" xfId="14420" xr:uid="{00000000-0005-0000-0000-000058380000}"/>
    <cellStyle name="Title 4 4" xfId="14421" xr:uid="{00000000-0005-0000-0000-000059380000}"/>
    <cellStyle name="Title 4 5" xfId="14422" xr:uid="{00000000-0005-0000-0000-00005A380000}"/>
    <cellStyle name="Title 4 6" xfId="14423" xr:uid="{00000000-0005-0000-0000-00005B380000}"/>
    <cellStyle name="Title 4 7" xfId="14424" xr:uid="{00000000-0005-0000-0000-00005C380000}"/>
    <cellStyle name="Title 4 8" xfId="16238" xr:uid="{00000000-0005-0000-0000-0000723F0000}"/>
    <cellStyle name="Title 4 9" xfId="17244" xr:uid="{00000000-0005-0000-0000-000060430000}"/>
    <cellStyle name="Title 40" xfId="7299" xr:uid="{00000000-0005-0000-0000-0000871C0000}"/>
    <cellStyle name="Title 40 2" xfId="14425" xr:uid="{00000000-0005-0000-0000-00005D380000}"/>
    <cellStyle name="Title 40 3" xfId="14426" xr:uid="{00000000-0005-0000-0000-00005E380000}"/>
    <cellStyle name="Title 40 4" xfId="14427" xr:uid="{00000000-0005-0000-0000-00005F380000}"/>
    <cellStyle name="Title 40 5" xfId="14428" xr:uid="{00000000-0005-0000-0000-000060380000}"/>
    <cellStyle name="Title 40 6" xfId="14429" xr:uid="{00000000-0005-0000-0000-000061380000}"/>
    <cellStyle name="Title 40 7" xfId="16239" xr:uid="{00000000-0005-0000-0000-0000733F0000}"/>
    <cellStyle name="Title 40 8" xfId="15633" xr:uid="{00000000-0005-0000-0000-0000153D0000}"/>
    <cellStyle name="Title 40 9" xfId="12418" xr:uid="{00000000-0005-0000-0000-000086300000}"/>
    <cellStyle name="Title 41" xfId="7300" xr:uid="{00000000-0005-0000-0000-0000881C0000}"/>
    <cellStyle name="Title 41 2" xfId="14430" xr:uid="{00000000-0005-0000-0000-000062380000}"/>
    <cellStyle name="Title 41 3" xfId="14431" xr:uid="{00000000-0005-0000-0000-000063380000}"/>
    <cellStyle name="Title 41 4" xfId="14432" xr:uid="{00000000-0005-0000-0000-000064380000}"/>
    <cellStyle name="Title 41 5" xfId="14433" xr:uid="{00000000-0005-0000-0000-000065380000}"/>
    <cellStyle name="Title 41 6" xfId="14434" xr:uid="{00000000-0005-0000-0000-000066380000}"/>
    <cellStyle name="Title 41 7" xfId="16240" xr:uid="{00000000-0005-0000-0000-0000743F0000}"/>
    <cellStyle name="Title 41 8" xfId="19025" xr:uid="{00000000-0005-0000-0000-0000554A0000}"/>
    <cellStyle name="Title 41 9" xfId="12419" xr:uid="{00000000-0005-0000-0000-000087300000}"/>
    <cellStyle name="Title 42" xfId="7301" xr:uid="{00000000-0005-0000-0000-0000891C0000}"/>
    <cellStyle name="Title 42 2" xfId="14435" xr:uid="{00000000-0005-0000-0000-000067380000}"/>
    <cellStyle name="Title 42 3" xfId="14436" xr:uid="{00000000-0005-0000-0000-000068380000}"/>
    <cellStyle name="Title 42 4" xfId="14437" xr:uid="{00000000-0005-0000-0000-000069380000}"/>
    <cellStyle name="Title 42 5" xfId="14438" xr:uid="{00000000-0005-0000-0000-00006A380000}"/>
    <cellStyle name="Title 42 6" xfId="14439" xr:uid="{00000000-0005-0000-0000-00006B380000}"/>
    <cellStyle name="Title 42 7" xfId="16241" xr:uid="{00000000-0005-0000-0000-0000753F0000}"/>
    <cellStyle name="Title 42 8" xfId="15735" xr:uid="{00000000-0005-0000-0000-00007B3D0000}"/>
    <cellStyle name="Title 42 9" xfId="12420" xr:uid="{00000000-0005-0000-0000-000088300000}"/>
    <cellStyle name="Title 43" xfId="7302" xr:uid="{00000000-0005-0000-0000-00008A1C0000}"/>
    <cellStyle name="Title 43 2" xfId="14440" xr:uid="{00000000-0005-0000-0000-00006C380000}"/>
    <cellStyle name="Title 43 3" xfId="14441" xr:uid="{00000000-0005-0000-0000-00006D380000}"/>
    <cellStyle name="Title 43 4" xfId="14442" xr:uid="{00000000-0005-0000-0000-00006E380000}"/>
    <cellStyle name="Title 43 5" xfId="14443" xr:uid="{00000000-0005-0000-0000-00006F380000}"/>
    <cellStyle name="Title 43 6" xfId="14444" xr:uid="{00000000-0005-0000-0000-000070380000}"/>
    <cellStyle name="Title 43 7" xfId="16242" xr:uid="{00000000-0005-0000-0000-0000763F0000}"/>
    <cellStyle name="Title 43 8" xfId="15491" xr:uid="{00000000-0005-0000-0000-0000873C0000}"/>
    <cellStyle name="Title 43 9" xfId="12421" xr:uid="{00000000-0005-0000-0000-000089300000}"/>
    <cellStyle name="Title 5" xfId="7303" xr:uid="{00000000-0005-0000-0000-00008B1C0000}"/>
    <cellStyle name="Title 5 10" xfId="12422" xr:uid="{00000000-0005-0000-0000-00008A300000}"/>
    <cellStyle name="Title 5 2" xfId="14445" xr:uid="{00000000-0005-0000-0000-000071380000}"/>
    <cellStyle name="Title 5 2 2" xfId="14446" xr:uid="{00000000-0005-0000-0000-000072380000}"/>
    <cellStyle name="Title 5 2 3" xfId="14447" xr:uid="{00000000-0005-0000-0000-000073380000}"/>
    <cellStyle name="Title 5 2 4" xfId="14448" xr:uid="{00000000-0005-0000-0000-000074380000}"/>
    <cellStyle name="Title 5 2 5" xfId="14449" xr:uid="{00000000-0005-0000-0000-000075380000}"/>
    <cellStyle name="Title 5 3" xfId="14450" xr:uid="{00000000-0005-0000-0000-000076380000}"/>
    <cellStyle name="Title 5 4" xfId="14451" xr:uid="{00000000-0005-0000-0000-000077380000}"/>
    <cellStyle name="Title 5 5" xfId="14452" xr:uid="{00000000-0005-0000-0000-000078380000}"/>
    <cellStyle name="Title 5 6" xfId="14453" xr:uid="{00000000-0005-0000-0000-000079380000}"/>
    <cellStyle name="Title 5 7" xfId="14454" xr:uid="{00000000-0005-0000-0000-00007A380000}"/>
    <cellStyle name="Title 5 8" xfId="16243" xr:uid="{00000000-0005-0000-0000-0000773F0000}"/>
    <cellStyle name="Title 5 9" xfId="19369" xr:uid="{00000000-0005-0000-0000-0000AD4B0000}"/>
    <cellStyle name="Title 6" xfId="7304" xr:uid="{00000000-0005-0000-0000-00008C1C0000}"/>
    <cellStyle name="Title 6 10" xfId="12423" xr:uid="{00000000-0005-0000-0000-00008B300000}"/>
    <cellStyle name="Title 6 2" xfId="14455" xr:uid="{00000000-0005-0000-0000-00007B380000}"/>
    <cellStyle name="Title 6 2 2" xfId="14456" xr:uid="{00000000-0005-0000-0000-00007C380000}"/>
    <cellStyle name="Title 6 2 3" xfId="14457" xr:uid="{00000000-0005-0000-0000-00007D380000}"/>
    <cellStyle name="Title 6 2 4" xfId="14458" xr:uid="{00000000-0005-0000-0000-00007E380000}"/>
    <cellStyle name="Title 6 2 5" xfId="14459" xr:uid="{00000000-0005-0000-0000-00007F380000}"/>
    <cellStyle name="Title 6 3" xfId="14460" xr:uid="{00000000-0005-0000-0000-000080380000}"/>
    <cellStyle name="Title 6 4" xfId="14461" xr:uid="{00000000-0005-0000-0000-000081380000}"/>
    <cellStyle name="Title 6 5" xfId="14462" xr:uid="{00000000-0005-0000-0000-000082380000}"/>
    <cellStyle name="Title 6 6" xfId="14463" xr:uid="{00000000-0005-0000-0000-000083380000}"/>
    <cellStyle name="Title 6 7" xfId="14464" xr:uid="{00000000-0005-0000-0000-000084380000}"/>
    <cellStyle name="Title 6 8" xfId="16244" xr:uid="{00000000-0005-0000-0000-0000783F0000}"/>
    <cellStyle name="Title 6 9" xfId="15270" xr:uid="{00000000-0005-0000-0000-0000AA3B0000}"/>
    <cellStyle name="Title 7" xfId="7305" xr:uid="{00000000-0005-0000-0000-00008D1C0000}"/>
    <cellStyle name="Title 7 2" xfId="14465" xr:uid="{00000000-0005-0000-0000-000085380000}"/>
    <cellStyle name="Title 7 3" xfId="14466" xr:uid="{00000000-0005-0000-0000-000086380000}"/>
    <cellStyle name="Title 7 4" xfId="14467" xr:uid="{00000000-0005-0000-0000-000087380000}"/>
    <cellStyle name="Title 7 5" xfId="14468" xr:uid="{00000000-0005-0000-0000-000088380000}"/>
    <cellStyle name="Title 7 6" xfId="14469" xr:uid="{00000000-0005-0000-0000-000089380000}"/>
    <cellStyle name="Title 7 7" xfId="16245" xr:uid="{00000000-0005-0000-0000-0000793F0000}"/>
    <cellStyle name="Title 7 8" xfId="15643" xr:uid="{00000000-0005-0000-0000-00001F3D0000}"/>
    <cellStyle name="Title 7 9" xfId="12424" xr:uid="{00000000-0005-0000-0000-00008C300000}"/>
    <cellStyle name="Title 8" xfId="7306" xr:uid="{00000000-0005-0000-0000-00008E1C0000}"/>
    <cellStyle name="Title 8 2" xfId="14470" xr:uid="{00000000-0005-0000-0000-00008A380000}"/>
    <cellStyle name="Title 8 3" xfId="14471" xr:uid="{00000000-0005-0000-0000-00008B380000}"/>
    <cellStyle name="Title 8 4" xfId="14472" xr:uid="{00000000-0005-0000-0000-00008C380000}"/>
    <cellStyle name="Title 8 5" xfId="14473" xr:uid="{00000000-0005-0000-0000-00008D380000}"/>
    <cellStyle name="Title 8 6" xfId="14474" xr:uid="{00000000-0005-0000-0000-00008E380000}"/>
    <cellStyle name="Title 8 7" xfId="16246" xr:uid="{00000000-0005-0000-0000-00007A3F0000}"/>
    <cellStyle name="Title 8 8" xfId="19298" xr:uid="{00000000-0005-0000-0000-0000664B0000}"/>
    <cellStyle name="Title 8 9" xfId="12425" xr:uid="{00000000-0005-0000-0000-00008D300000}"/>
    <cellStyle name="Title 9" xfId="7307" xr:uid="{00000000-0005-0000-0000-00008F1C0000}"/>
    <cellStyle name="Title 9 2" xfId="14475" xr:uid="{00000000-0005-0000-0000-00008F380000}"/>
    <cellStyle name="Title 9 3" xfId="14476" xr:uid="{00000000-0005-0000-0000-000090380000}"/>
    <cellStyle name="Title 9 4" xfId="14477" xr:uid="{00000000-0005-0000-0000-000091380000}"/>
    <cellStyle name="Title 9 5" xfId="14478" xr:uid="{00000000-0005-0000-0000-000092380000}"/>
    <cellStyle name="Title 9 6" xfId="14479" xr:uid="{00000000-0005-0000-0000-000093380000}"/>
    <cellStyle name="Title 9 7" xfId="16247" xr:uid="{00000000-0005-0000-0000-00007B3F0000}"/>
    <cellStyle name="Title 9 8" xfId="15760" xr:uid="{00000000-0005-0000-0000-0000943D0000}"/>
    <cellStyle name="Title 9 9" xfId="12426" xr:uid="{00000000-0005-0000-0000-00008E300000}"/>
    <cellStyle name="Titre 1 2" xfId="9" xr:uid="{00000000-0005-0000-0000-00000D000000}"/>
    <cellStyle name="Titre 2 2" xfId="19" xr:uid="{00000000-0005-0000-0000-000017000000}"/>
    <cellStyle name="Titre 3 2" xfId="21" xr:uid="{00000000-0005-0000-0000-000019000000}"/>
    <cellStyle name="Titre 4 2" xfId="10" xr:uid="{00000000-0005-0000-0000-00000E000000}"/>
    <cellStyle name="Total 10" xfId="7308" xr:uid="{00000000-0005-0000-0000-0000901C0000}"/>
    <cellStyle name="Total 10 2" xfId="14480" xr:uid="{00000000-0005-0000-0000-000094380000}"/>
    <cellStyle name="Total 10 3" xfId="14481" xr:uid="{00000000-0005-0000-0000-000095380000}"/>
    <cellStyle name="Total 10 4" xfId="14482" xr:uid="{00000000-0005-0000-0000-000096380000}"/>
    <cellStyle name="Total 10 5" xfId="14483" xr:uid="{00000000-0005-0000-0000-000097380000}"/>
    <cellStyle name="Total 10 6" xfId="14484" xr:uid="{00000000-0005-0000-0000-000098380000}"/>
    <cellStyle name="Total 10 7" xfId="16248" xr:uid="{00000000-0005-0000-0000-00007C3F0000}"/>
    <cellStyle name="Total 10 8" xfId="15542" xr:uid="{00000000-0005-0000-0000-0000BA3C0000}"/>
    <cellStyle name="Total 10 9" xfId="12427" xr:uid="{00000000-0005-0000-0000-00008F300000}"/>
    <cellStyle name="Total 11" xfId="7309" xr:uid="{00000000-0005-0000-0000-0000911C0000}"/>
    <cellStyle name="Total 11 2" xfId="14485" xr:uid="{00000000-0005-0000-0000-000099380000}"/>
    <cellStyle name="Total 11 3" xfId="14486" xr:uid="{00000000-0005-0000-0000-00009A380000}"/>
    <cellStyle name="Total 11 4" xfId="14487" xr:uid="{00000000-0005-0000-0000-00009B380000}"/>
    <cellStyle name="Total 11 5" xfId="14488" xr:uid="{00000000-0005-0000-0000-00009C380000}"/>
    <cellStyle name="Total 11 6" xfId="14489" xr:uid="{00000000-0005-0000-0000-00009D380000}"/>
    <cellStyle name="Total 11 7" xfId="16249" xr:uid="{00000000-0005-0000-0000-00007D3F0000}"/>
    <cellStyle name="Total 11 8" xfId="15386" xr:uid="{00000000-0005-0000-0000-00001E3C0000}"/>
    <cellStyle name="Total 11 9" xfId="12428" xr:uid="{00000000-0005-0000-0000-000090300000}"/>
    <cellStyle name="Total 12" xfId="7310" xr:uid="{00000000-0005-0000-0000-0000921C0000}"/>
    <cellStyle name="Total 12 2" xfId="14490" xr:uid="{00000000-0005-0000-0000-00009E380000}"/>
    <cellStyle name="Total 12 3" xfId="14491" xr:uid="{00000000-0005-0000-0000-00009F380000}"/>
    <cellStyle name="Total 12 4" xfId="14492" xr:uid="{00000000-0005-0000-0000-0000A0380000}"/>
    <cellStyle name="Total 12 5" xfId="14493" xr:uid="{00000000-0005-0000-0000-0000A1380000}"/>
    <cellStyle name="Total 12 6" xfId="14494" xr:uid="{00000000-0005-0000-0000-0000A2380000}"/>
    <cellStyle name="Total 12 7" xfId="16250" xr:uid="{00000000-0005-0000-0000-00007E3F0000}"/>
    <cellStyle name="Total 12 8" xfId="19521" xr:uid="{00000000-0005-0000-0000-0000454C0000}"/>
    <cellStyle name="Total 12 9" xfId="12429" xr:uid="{00000000-0005-0000-0000-000091300000}"/>
    <cellStyle name="Total 13" xfId="7311" xr:uid="{00000000-0005-0000-0000-0000931C0000}"/>
    <cellStyle name="Total 13 2" xfId="14495" xr:uid="{00000000-0005-0000-0000-0000A3380000}"/>
    <cellStyle name="Total 13 3" xfId="14496" xr:uid="{00000000-0005-0000-0000-0000A4380000}"/>
    <cellStyle name="Total 13 4" xfId="14497" xr:uid="{00000000-0005-0000-0000-0000A5380000}"/>
    <cellStyle name="Total 13 5" xfId="14498" xr:uid="{00000000-0005-0000-0000-0000A6380000}"/>
    <cellStyle name="Total 13 6" xfId="14499" xr:uid="{00000000-0005-0000-0000-0000A7380000}"/>
    <cellStyle name="Total 13 7" xfId="16251" xr:uid="{00000000-0005-0000-0000-00007F3F0000}"/>
    <cellStyle name="Total 13 8" xfId="15471" xr:uid="{00000000-0005-0000-0000-0000733C0000}"/>
    <cellStyle name="Total 13 9" xfId="12430" xr:uid="{00000000-0005-0000-0000-000092300000}"/>
    <cellStyle name="Total 14" xfId="7312" xr:uid="{00000000-0005-0000-0000-0000941C0000}"/>
    <cellStyle name="Total 14 2" xfId="14500" xr:uid="{00000000-0005-0000-0000-0000A8380000}"/>
    <cellStyle name="Total 14 3" xfId="14501" xr:uid="{00000000-0005-0000-0000-0000A9380000}"/>
    <cellStyle name="Total 14 4" xfId="14502" xr:uid="{00000000-0005-0000-0000-0000AA380000}"/>
    <cellStyle name="Total 14 5" xfId="14503" xr:uid="{00000000-0005-0000-0000-0000AB380000}"/>
    <cellStyle name="Total 14 6" xfId="14504" xr:uid="{00000000-0005-0000-0000-0000AC380000}"/>
    <cellStyle name="Total 14 7" xfId="16252" xr:uid="{00000000-0005-0000-0000-0000803F0000}"/>
    <cellStyle name="Total 14 8" xfId="16661" xr:uid="{00000000-0005-0000-0000-000019410000}"/>
    <cellStyle name="Total 14 9" xfId="12431" xr:uid="{00000000-0005-0000-0000-000093300000}"/>
    <cellStyle name="Total 15" xfId="7313" xr:uid="{00000000-0005-0000-0000-0000951C0000}"/>
    <cellStyle name="Total 15 2" xfId="14505" xr:uid="{00000000-0005-0000-0000-0000AD380000}"/>
    <cellStyle name="Total 15 3" xfId="14506" xr:uid="{00000000-0005-0000-0000-0000AE380000}"/>
    <cellStyle name="Total 15 4" xfId="14507" xr:uid="{00000000-0005-0000-0000-0000AF380000}"/>
    <cellStyle name="Total 15 5" xfId="14508" xr:uid="{00000000-0005-0000-0000-0000B0380000}"/>
    <cellStyle name="Total 15 6" xfId="14509" xr:uid="{00000000-0005-0000-0000-0000B1380000}"/>
    <cellStyle name="Total 15 7" xfId="16253" xr:uid="{00000000-0005-0000-0000-0000813F0000}"/>
    <cellStyle name="Total 15 8" xfId="19360" xr:uid="{00000000-0005-0000-0000-0000A44B0000}"/>
    <cellStyle name="Total 15 9" xfId="12432" xr:uid="{00000000-0005-0000-0000-000094300000}"/>
    <cellStyle name="Total 16" xfId="7314" xr:uid="{00000000-0005-0000-0000-0000961C0000}"/>
    <cellStyle name="Total 16 2" xfId="14510" xr:uid="{00000000-0005-0000-0000-0000B2380000}"/>
    <cellStyle name="Total 16 3" xfId="14511" xr:uid="{00000000-0005-0000-0000-0000B3380000}"/>
    <cellStyle name="Total 16 4" xfId="14512" xr:uid="{00000000-0005-0000-0000-0000B4380000}"/>
    <cellStyle name="Total 16 5" xfId="14513" xr:uid="{00000000-0005-0000-0000-0000B5380000}"/>
    <cellStyle name="Total 16 6" xfId="14514" xr:uid="{00000000-0005-0000-0000-0000B6380000}"/>
    <cellStyle name="Total 16 7" xfId="16254" xr:uid="{00000000-0005-0000-0000-0000823F0000}"/>
    <cellStyle name="Total 16 8" xfId="15729" xr:uid="{00000000-0005-0000-0000-0000753D0000}"/>
    <cellStyle name="Total 16 9" xfId="12433" xr:uid="{00000000-0005-0000-0000-000095300000}"/>
    <cellStyle name="Total 17" xfId="7315" xr:uid="{00000000-0005-0000-0000-0000971C0000}"/>
    <cellStyle name="Total 17 2" xfId="14515" xr:uid="{00000000-0005-0000-0000-0000B7380000}"/>
    <cellStyle name="Total 17 3" xfId="14516" xr:uid="{00000000-0005-0000-0000-0000B8380000}"/>
    <cellStyle name="Total 17 4" xfId="14517" xr:uid="{00000000-0005-0000-0000-0000B9380000}"/>
    <cellStyle name="Total 17 5" xfId="14518" xr:uid="{00000000-0005-0000-0000-0000BA380000}"/>
    <cellStyle name="Total 17 6" xfId="14519" xr:uid="{00000000-0005-0000-0000-0000BB380000}"/>
    <cellStyle name="Total 17 7" xfId="16255" xr:uid="{00000000-0005-0000-0000-0000833F0000}"/>
    <cellStyle name="Total 17 8" xfId="19518" xr:uid="{00000000-0005-0000-0000-0000424C0000}"/>
    <cellStyle name="Total 17 9" xfId="12434" xr:uid="{00000000-0005-0000-0000-000096300000}"/>
    <cellStyle name="Total 18" xfId="7316" xr:uid="{00000000-0005-0000-0000-0000981C0000}"/>
    <cellStyle name="Total 18 2" xfId="14520" xr:uid="{00000000-0005-0000-0000-0000BC380000}"/>
    <cellStyle name="Total 18 3" xfId="14521" xr:uid="{00000000-0005-0000-0000-0000BD380000}"/>
    <cellStyle name="Total 18 4" xfId="14522" xr:uid="{00000000-0005-0000-0000-0000BE380000}"/>
    <cellStyle name="Total 18 5" xfId="14523" xr:uid="{00000000-0005-0000-0000-0000BF380000}"/>
    <cellStyle name="Total 18 6" xfId="14524" xr:uid="{00000000-0005-0000-0000-0000C0380000}"/>
    <cellStyle name="Total 18 7" xfId="16256" xr:uid="{00000000-0005-0000-0000-0000843F0000}"/>
    <cellStyle name="Total 18 8" xfId="17237" xr:uid="{00000000-0005-0000-0000-000059430000}"/>
    <cellStyle name="Total 18 9" xfId="12435" xr:uid="{00000000-0005-0000-0000-000097300000}"/>
    <cellStyle name="Total 19" xfId="7317" xr:uid="{00000000-0005-0000-0000-0000991C0000}"/>
    <cellStyle name="Total 19 2" xfId="14525" xr:uid="{00000000-0005-0000-0000-0000C1380000}"/>
    <cellStyle name="Total 19 3" xfId="14526" xr:uid="{00000000-0005-0000-0000-0000C2380000}"/>
    <cellStyle name="Total 19 4" xfId="14527" xr:uid="{00000000-0005-0000-0000-0000C3380000}"/>
    <cellStyle name="Total 19 5" xfId="14528" xr:uid="{00000000-0005-0000-0000-0000C4380000}"/>
    <cellStyle name="Total 19 6" xfId="14529" xr:uid="{00000000-0005-0000-0000-0000C5380000}"/>
    <cellStyle name="Total 19 7" xfId="16257" xr:uid="{00000000-0005-0000-0000-0000853F0000}"/>
    <cellStyle name="Total 19 8" xfId="19384" xr:uid="{00000000-0005-0000-0000-0000BC4B0000}"/>
    <cellStyle name="Total 19 9" xfId="12436" xr:uid="{00000000-0005-0000-0000-000098300000}"/>
    <cellStyle name="Total 2" xfId="197" xr:uid="{00000000-0005-0000-0000-0000C9000000}"/>
    <cellStyle name="Total 2 10" xfId="1849" xr:uid="{00000000-0005-0000-0000-00003D070000}"/>
    <cellStyle name="Total 2 10 2" xfId="14530" xr:uid="{00000000-0005-0000-0000-0000C6380000}"/>
    <cellStyle name="Total 2 10 3" xfId="14531" xr:uid="{00000000-0005-0000-0000-0000C7380000}"/>
    <cellStyle name="Total 2 10 4" xfId="14532" xr:uid="{00000000-0005-0000-0000-0000C8380000}"/>
    <cellStyle name="Total 2 10 5" xfId="14533" xr:uid="{00000000-0005-0000-0000-0000C9380000}"/>
    <cellStyle name="Total 2 10 6" xfId="15231" xr:uid="{00000000-0005-0000-0000-0000833B0000}"/>
    <cellStyle name="Total 2 10 7" xfId="19560" xr:uid="{00000000-0005-0000-0000-00006C4C0000}"/>
    <cellStyle name="Total 2 10 8" xfId="12438" xr:uid="{00000000-0005-0000-0000-00009A300000}"/>
    <cellStyle name="Total 2 11" xfId="14534" xr:uid="{00000000-0005-0000-0000-0000CA380000}"/>
    <cellStyle name="Total 2 11 2" xfId="14535" xr:uid="{00000000-0005-0000-0000-0000CB380000}"/>
    <cellStyle name="Total 2 11 3" xfId="14536" xr:uid="{00000000-0005-0000-0000-0000CC380000}"/>
    <cellStyle name="Total 2 11 4" xfId="14537" xr:uid="{00000000-0005-0000-0000-0000CD380000}"/>
    <cellStyle name="Total 2 11 5" xfId="14538" xr:uid="{00000000-0005-0000-0000-0000CE380000}"/>
    <cellStyle name="Total 2 12" xfId="14539" xr:uid="{00000000-0005-0000-0000-0000CF380000}"/>
    <cellStyle name="Total 2 13" xfId="14540" xr:uid="{00000000-0005-0000-0000-0000D0380000}"/>
    <cellStyle name="Total 2 14" xfId="14541" xr:uid="{00000000-0005-0000-0000-0000D1380000}"/>
    <cellStyle name="Total 2 15" xfId="14542" xr:uid="{00000000-0005-0000-0000-0000D2380000}"/>
    <cellStyle name="Total 2 16" xfId="14543" xr:uid="{00000000-0005-0000-0000-0000D3380000}"/>
    <cellStyle name="Total 2 17" xfId="15230" xr:uid="{00000000-0005-0000-0000-0000823B0000}"/>
    <cellStyle name="Total 2 18" xfId="19372" xr:uid="{00000000-0005-0000-0000-0000B04B0000}"/>
    <cellStyle name="Total 2 19" xfId="12437" xr:uid="{00000000-0005-0000-0000-000099300000}"/>
    <cellStyle name="Total 2 2" xfId="1850" xr:uid="{00000000-0005-0000-0000-00003E070000}"/>
    <cellStyle name="Total 2 2 2" xfId="14544" xr:uid="{00000000-0005-0000-0000-0000D4380000}"/>
    <cellStyle name="Total 2 2 3" xfId="14545" xr:uid="{00000000-0005-0000-0000-0000D5380000}"/>
    <cellStyle name="Total 2 2 4" xfId="14546" xr:uid="{00000000-0005-0000-0000-0000D6380000}"/>
    <cellStyle name="Total 2 2 5" xfId="14547" xr:uid="{00000000-0005-0000-0000-0000D7380000}"/>
    <cellStyle name="Total 2 2 6" xfId="15232" xr:uid="{00000000-0005-0000-0000-0000843B0000}"/>
    <cellStyle name="Total 2 2 7" xfId="15416" xr:uid="{00000000-0005-0000-0000-00003C3C0000}"/>
    <cellStyle name="Total 2 2 8" xfId="12439" xr:uid="{00000000-0005-0000-0000-00009B300000}"/>
    <cellStyle name="Total 2 3" xfId="1851" xr:uid="{00000000-0005-0000-0000-00003F070000}"/>
    <cellStyle name="Total 2 3 2" xfId="14548" xr:uid="{00000000-0005-0000-0000-0000D8380000}"/>
    <cellStyle name="Total 2 3 3" xfId="14549" xr:uid="{00000000-0005-0000-0000-0000D9380000}"/>
    <cellStyle name="Total 2 3 4" xfId="14550" xr:uid="{00000000-0005-0000-0000-0000DA380000}"/>
    <cellStyle name="Total 2 3 5" xfId="14551" xr:uid="{00000000-0005-0000-0000-0000DB380000}"/>
    <cellStyle name="Total 2 3 6" xfId="15233" xr:uid="{00000000-0005-0000-0000-0000853B0000}"/>
    <cellStyle name="Total 2 3 7" xfId="19355" xr:uid="{00000000-0005-0000-0000-00009F4B0000}"/>
    <cellStyle name="Total 2 3 8" xfId="12440" xr:uid="{00000000-0005-0000-0000-00009C300000}"/>
    <cellStyle name="Total 2 4" xfId="1852" xr:uid="{00000000-0005-0000-0000-000040070000}"/>
    <cellStyle name="Total 2 4 2" xfId="14552" xr:uid="{00000000-0005-0000-0000-0000DC380000}"/>
    <cellStyle name="Total 2 4 3" xfId="14553" xr:uid="{00000000-0005-0000-0000-0000DD380000}"/>
    <cellStyle name="Total 2 4 4" xfId="14554" xr:uid="{00000000-0005-0000-0000-0000DE380000}"/>
    <cellStyle name="Total 2 4 5" xfId="14555" xr:uid="{00000000-0005-0000-0000-0000DF380000}"/>
    <cellStyle name="Total 2 4 6" xfId="15234" xr:uid="{00000000-0005-0000-0000-0000863B0000}"/>
    <cellStyle name="Total 2 4 7" xfId="19184" xr:uid="{00000000-0005-0000-0000-0000F44A0000}"/>
    <cellStyle name="Total 2 4 8" xfId="12441" xr:uid="{00000000-0005-0000-0000-00009D300000}"/>
    <cellStyle name="Total 2 5" xfId="1853" xr:uid="{00000000-0005-0000-0000-000041070000}"/>
    <cellStyle name="Total 2 5 2" xfId="14556" xr:uid="{00000000-0005-0000-0000-0000E0380000}"/>
    <cellStyle name="Total 2 5 3" xfId="14557" xr:uid="{00000000-0005-0000-0000-0000E1380000}"/>
    <cellStyle name="Total 2 5 4" xfId="14558" xr:uid="{00000000-0005-0000-0000-0000E2380000}"/>
    <cellStyle name="Total 2 5 5" xfId="14559" xr:uid="{00000000-0005-0000-0000-0000E3380000}"/>
    <cellStyle name="Total 2 5 6" xfId="15235" xr:uid="{00000000-0005-0000-0000-0000873B0000}"/>
    <cellStyle name="Total 2 5 7" xfId="19237" xr:uid="{00000000-0005-0000-0000-0000294B0000}"/>
    <cellStyle name="Total 2 5 8" xfId="12442" xr:uid="{00000000-0005-0000-0000-00009E300000}"/>
    <cellStyle name="Total 2 6" xfId="1854" xr:uid="{00000000-0005-0000-0000-000042070000}"/>
    <cellStyle name="Total 2 6 2" xfId="14560" xr:uid="{00000000-0005-0000-0000-0000E4380000}"/>
    <cellStyle name="Total 2 6 3" xfId="14561" xr:uid="{00000000-0005-0000-0000-0000E5380000}"/>
    <cellStyle name="Total 2 6 4" xfId="14562" xr:uid="{00000000-0005-0000-0000-0000E6380000}"/>
    <cellStyle name="Total 2 6 5" xfId="14563" xr:uid="{00000000-0005-0000-0000-0000E7380000}"/>
    <cellStyle name="Total 2 6 6" xfId="15236" xr:uid="{00000000-0005-0000-0000-0000883B0000}"/>
    <cellStyle name="Total 2 6 7" xfId="17212" xr:uid="{00000000-0005-0000-0000-000040430000}"/>
    <cellStyle name="Total 2 6 8" xfId="12443" xr:uid="{00000000-0005-0000-0000-00009F300000}"/>
    <cellStyle name="Total 2 7" xfId="1855" xr:uid="{00000000-0005-0000-0000-000043070000}"/>
    <cellStyle name="Total 2 7 2" xfId="14564" xr:uid="{00000000-0005-0000-0000-0000E8380000}"/>
    <cellStyle name="Total 2 7 3" xfId="14565" xr:uid="{00000000-0005-0000-0000-0000E9380000}"/>
    <cellStyle name="Total 2 7 4" xfId="14566" xr:uid="{00000000-0005-0000-0000-0000EA380000}"/>
    <cellStyle name="Total 2 7 5" xfId="14567" xr:uid="{00000000-0005-0000-0000-0000EB380000}"/>
    <cellStyle name="Total 2 7 6" xfId="15237" xr:uid="{00000000-0005-0000-0000-0000893B0000}"/>
    <cellStyle name="Total 2 7 7" xfId="19038" xr:uid="{00000000-0005-0000-0000-0000624A0000}"/>
    <cellStyle name="Total 2 7 8" xfId="12444" xr:uid="{00000000-0005-0000-0000-0000A0300000}"/>
    <cellStyle name="Total 2 8" xfId="1856" xr:uid="{00000000-0005-0000-0000-000044070000}"/>
    <cellStyle name="Total 2 8 2" xfId="14568" xr:uid="{00000000-0005-0000-0000-0000EC380000}"/>
    <cellStyle name="Total 2 8 3" xfId="14569" xr:uid="{00000000-0005-0000-0000-0000ED380000}"/>
    <cellStyle name="Total 2 8 4" xfId="14570" xr:uid="{00000000-0005-0000-0000-0000EE380000}"/>
    <cellStyle name="Total 2 8 5" xfId="14571" xr:uid="{00000000-0005-0000-0000-0000EF380000}"/>
    <cellStyle name="Total 2 8 6" xfId="15238" xr:uid="{00000000-0005-0000-0000-00008A3B0000}"/>
    <cellStyle name="Total 2 8 7" xfId="19471" xr:uid="{00000000-0005-0000-0000-0000134C0000}"/>
    <cellStyle name="Total 2 8 8" xfId="12445" xr:uid="{00000000-0005-0000-0000-0000A1300000}"/>
    <cellStyle name="Total 2 9" xfId="1857" xr:uid="{00000000-0005-0000-0000-000045070000}"/>
    <cellStyle name="Total 2 9 2" xfId="14572" xr:uid="{00000000-0005-0000-0000-0000F0380000}"/>
    <cellStyle name="Total 2 9 3" xfId="14573" xr:uid="{00000000-0005-0000-0000-0000F1380000}"/>
    <cellStyle name="Total 2 9 4" xfId="14574" xr:uid="{00000000-0005-0000-0000-0000F2380000}"/>
    <cellStyle name="Total 2 9 5" xfId="14575" xr:uid="{00000000-0005-0000-0000-0000F3380000}"/>
    <cellStyle name="Total 2 9 6" xfId="15239" xr:uid="{00000000-0005-0000-0000-00008B3B0000}"/>
    <cellStyle name="Total 2 9 7" xfId="15494" xr:uid="{00000000-0005-0000-0000-00008A3C0000}"/>
    <cellStyle name="Total 2 9 8" xfId="12446" xr:uid="{00000000-0005-0000-0000-0000A2300000}"/>
    <cellStyle name="Total 20" xfId="7318" xr:uid="{00000000-0005-0000-0000-00009A1C0000}"/>
    <cellStyle name="Total 20 2" xfId="14576" xr:uid="{00000000-0005-0000-0000-0000F4380000}"/>
    <cellStyle name="Total 20 3" xfId="14577" xr:uid="{00000000-0005-0000-0000-0000F5380000}"/>
    <cellStyle name="Total 20 4" xfId="14578" xr:uid="{00000000-0005-0000-0000-0000F6380000}"/>
    <cellStyle name="Total 20 5" xfId="14579" xr:uid="{00000000-0005-0000-0000-0000F7380000}"/>
    <cellStyle name="Total 20 6" xfId="14580" xr:uid="{00000000-0005-0000-0000-0000F8380000}"/>
    <cellStyle name="Total 20 7" xfId="16258" xr:uid="{00000000-0005-0000-0000-0000863F0000}"/>
    <cellStyle name="Total 20 8" xfId="19129" xr:uid="{00000000-0005-0000-0000-0000BD4A0000}"/>
    <cellStyle name="Total 20 9" xfId="12447" xr:uid="{00000000-0005-0000-0000-0000A3300000}"/>
    <cellStyle name="Total 21" xfId="7319" xr:uid="{00000000-0005-0000-0000-00009B1C0000}"/>
    <cellStyle name="Total 21 2" xfId="14581" xr:uid="{00000000-0005-0000-0000-0000F9380000}"/>
    <cellStyle name="Total 21 3" xfId="14582" xr:uid="{00000000-0005-0000-0000-0000FA380000}"/>
    <cellStyle name="Total 21 4" xfId="14583" xr:uid="{00000000-0005-0000-0000-0000FB380000}"/>
    <cellStyle name="Total 21 5" xfId="14584" xr:uid="{00000000-0005-0000-0000-0000FC380000}"/>
    <cellStyle name="Total 21 6" xfId="14585" xr:uid="{00000000-0005-0000-0000-0000FD380000}"/>
    <cellStyle name="Total 21 7" xfId="16259" xr:uid="{00000000-0005-0000-0000-0000873F0000}"/>
    <cellStyle name="Total 21 8" xfId="19390" xr:uid="{00000000-0005-0000-0000-0000C24B0000}"/>
    <cellStyle name="Total 21 9" xfId="12448" xr:uid="{00000000-0005-0000-0000-0000A4300000}"/>
    <cellStyle name="Total 22" xfId="7320" xr:uid="{00000000-0005-0000-0000-00009C1C0000}"/>
    <cellStyle name="Total 22 2" xfId="14586" xr:uid="{00000000-0005-0000-0000-0000FE380000}"/>
    <cellStyle name="Total 22 3" xfId="14587" xr:uid="{00000000-0005-0000-0000-0000FF380000}"/>
    <cellStyle name="Total 22 4" xfId="14588" xr:uid="{00000000-0005-0000-0000-000000390000}"/>
    <cellStyle name="Total 22 5" xfId="14589" xr:uid="{00000000-0005-0000-0000-000001390000}"/>
    <cellStyle name="Total 22 6" xfId="14590" xr:uid="{00000000-0005-0000-0000-000002390000}"/>
    <cellStyle name="Total 22 7" xfId="16260" xr:uid="{00000000-0005-0000-0000-0000883F0000}"/>
    <cellStyle name="Total 22 8" xfId="16379" xr:uid="{00000000-0005-0000-0000-0000FF3F0000}"/>
    <cellStyle name="Total 22 9" xfId="12449" xr:uid="{00000000-0005-0000-0000-0000A5300000}"/>
    <cellStyle name="Total 23" xfId="7321" xr:uid="{00000000-0005-0000-0000-00009D1C0000}"/>
    <cellStyle name="Total 23 2" xfId="14591" xr:uid="{00000000-0005-0000-0000-000003390000}"/>
    <cellStyle name="Total 23 3" xfId="14592" xr:uid="{00000000-0005-0000-0000-000004390000}"/>
    <cellStyle name="Total 23 4" xfId="14593" xr:uid="{00000000-0005-0000-0000-000005390000}"/>
    <cellStyle name="Total 23 5" xfId="14594" xr:uid="{00000000-0005-0000-0000-000006390000}"/>
    <cellStyle name="Total 23 6" xfId="14595" xr:uid="{00000000-0005-0000-0000-000007390000}"/>
    <cellStyle name="Total 23 7" xfId="16261" xr:uid="{00000000-0005-0000-0000-0000893F0000}"/>
    <cellStyle name="Total 23 8" xfId="19282" xr:uid="{00000000-0005-0000-0000-0000564B0000}"/>
    <cellStyle name="Total 23 9" xfId="12450" xr:uid="{00000000-0005-0000-0000-0000A6300000}"/>
    <cellStyle name="Total 24" xfId="7322" xr:uid="{00000000-0005-0000-0000-00009E1C0000}"/>
    <cellStyle name="Total 24 2" xfId="14596" xr:uid="{00000000-0005-0000-0000-000008390000}"/>
    <cellStyle name="Total 24 3" xfId="14597" xr:uid="{00000000-0005-0000-0000-000009390000}"/>
    <cellStyle name="Total 24 4" xfId="14598" xr:uid="{00000000-0005-0000-0000-00000A390000}"/>
    <cellStyle name="Total 24 5" xfId="14599" xr:uid="{00000000-0005-0000-0000-00000B390000}"/>
    <cellStyle name="Total 24 6" xfId="14600" xr:uid="{00000000-0005-0000-0000-00000C390000}"/>
    <cellStyle name="Total 24 7" xfId="16262" xr:uid="{00000000-0005-0000-0000-00008A3F0000}"/>
    <cellStyle name="Total 24 8" xfId="15300" xr:uid="{00000000-0005-0000-0000-0000C83B0000}"/>
    <cellStyle name="Total 24 9" xfId="12451" xr:uid="{00000000-0005-0000-0000-0000A7300000}"/>
    <cellStyle name="Total 25" xfId="7323" xr:uid="{00000000-0005-0000-0000-00009F1C0000}"/>
    <cellStyle name="Total 25 2" xfId="14601" xr:uid="{00000000-0005-0000-0000-00000D390000}"/>
    <cellStyle name="Total 25 3" xfId="14602" xr:uid="{00000000-0005-0000-0000-00000E390000}"/>
    <cellStyle name="Total 25 4" xfId="14603" xr:uid="{00000000-0005-0000-0000-00000F390000}"/>
    <cellStyle name="Total 25 5" xfId="14604" xr:uid="{00000000-0005-0000-0000-000010390000}"/>
    <cellStyle name="Total 25 6" xfId="14605" xr:uid="{00000000-0005-0000-0000-000011390000}"/>
    <cellStyle name="Total 25 7" xfId="16263" xr:uid="{00000000-0005-0000-0000-00008B3F0000}"/>
    <cellStyle name="Total 25 8" xfId="19394" xr:uid="{00000000-0005-0000-0000-0000C64B0000}"/>
    <cellStyle name="Total 25 9" xfId="12452" xr:uid="{00000000-0005-0000-0000-0000A8300000}"/>
    <cellStyle name="Total 26" xfId="7324" xr:uid="{00000000-0005-0000-0000-0000A01C0000}"/>
    <cellStyle name="Total 26 2" xfId="14606" xr:uid="{00000000-0005-0000-0000-000012390000}"/>
    <cellStyle name="Total 26 3" xfId="14607" xr:uid="{00000000-0005-0000-0000-000013390000}"/>
    <cellStyle name="Total 26 4" xfId="14608" xr:uid="{00000000-0005-0000-0000-000014390000}"/>
    <cellStyle name="Total 26 5" xfId="14609" xr:uid="{00000000-0005-0000-0000-000015390000}"/>
    <cellStyle name="Total 26 6" xfId="14610" xr:uid="{00000000-0005-0000-0000-000016390000}"/>
    <cellStyle name="Total 26 7" xfId="16264" xr:uid="{00000000-0005-0000-0000-00008C3F0000}"/>
    <cellStyle name="Total 26 8" xfId="19534" xr:uid="{00000000-0005-0000-0000-0000524C0000}"/>
    <cellStyle name="Total 26 9" xfId="12453" xr:uid="{00000000-0005-0000-0000-0000A9300000}"/>
    <cellStyle name="Total 27" xfId="7325" xr:uid="{00000000-0005-0000-0000-0000A11C0000}"/>
    <cellStyle name="Total 27 2" xfId="14611" xr:uid="{00000000-0005-0000-0000-000017390000}"/>
    <cellStyle name="Total 27 3" xfId="14612" xr:uid="{00000000-0005-0000-0000-000018390000}"/>
    <cellStyle name="Total 27 4" xfId="14613" xr:uid="{00000000-0005-0000-0000-000019390000}"/>
    <cellStyle name="Total 27 5" xfId="14614" xr:uid="{00000000-0005-0000-0000-00001A390000}"/>
    <cellStyle name="Total 27 6" xfId="14615" xr:uid="{00000000-0005-0000-0000-00001B390000}"/>
    <cellStyle name="Total 27 7" xfId="16265" xr:uid="{00000000-0005-0000-0000-00008D3F0000}"/>
    <cellStyle name="Total 27 8" xfId="16688" xr:uid="{00000000-0005-0000-0000-000034410000}"/>
    <cellStyle name="Total 27 9" xfId="12454" xr:uid="{00000000-0005-0000-0000-0000AA300000}"/>
    <cellStyle name="Total 28" xfId="7326" xr:uid="{00000000-0005-0000-0000-0000A21C0000}"/>
    <cellStyle name="Total 28 2" xfId="14616" xr:uid="{00000000-0005-0000-0000-00001C390000}"/>
    <cellStyle name="Total 28 3" xfId="14617" xr:uid="{00000000-0005-0000-0000-00001D390000}"/>
    <cellStyle name="Total 28 4" xfId="14618" xr:uid="{00000000-0005-0000-0000-00001E390000}"/>
    <cellStyle name="Total 28 5" xfId="14619" xr:uid="{00000000-0005-0000-0000-00001F390000}"/>
    <cellStyle name="Total 28 6" xfId="14620" xr:uid="{00000000-0005-0000-0000-000020390000}"/>
    <cellStyle name="Total 28 7" xfId="16266" xr:uid="{00000000-0005-0000-0000-00008E3F0000}"/>
    <cellStyle name="Total 28 8" xfId="19477" xr:uid="{00000000-0005-0000-0000-0000194C0000}"/>
    <cellStyle name="Total 28 9" xfId="12455" xr:uid="{00000000-0005-0000-0000-0000AB300000}"/>
    <cellStyle name="Total 29" xfId="7327" xr:uid="{00000000-0005-0000-0000-0000A31C0000}"/>
    <cellStyle name="Total 29 2" xfId="14621" xr:uid="{00000000-0005-0000-0000-000021390000}"/>
    <cellStyle name="Total 29 3" xfId="14622" xr:uid="{00000000-0005-0000-0000-000022390000}"/>
    <cellStyle name="Total 29 4" xfId="14623" xr:uid="{00000000-0005-0000-0000-000023390000}"/>
    <cellStyle name="Total 29 5" xfId="14624" xr:uid="{00000000-0005-0000-0000-000024390000}"/>
    <cellStyle name="Total 29 6" xfId="14625" xr:uid="{00000000-0005-0000-0000-000025390000}"/>
    <cellStyle name="Total 29 7" xfId="16267" xr:uid="{00000000-0005-0000-0000-00008F3F0000}"/>
    <cellStyle name="Total 29 8" xfId="19048" xr:uid="{00000000-0005-0000-0000-00006C4A0000}"/>
    <cellStyle name="Total 29 9" xfId="12456" xr:uid="{00000000-0005-0000-0000-0000AC300000}"/>
    <cellStyle name="Total 3" xfId="198" xr:uid="{00000000-0005-0000-0000-0000CA000000}"/>
    <cellStyle name="Total 3 10" xfId="19031" xr:uid="{00000000-0005-0000-0000-00005B4A0000}"/>
    <cellStyle name="Total 3 11" xfId="12457" xr:uid="{00000000-0005-0000-0000-0000AD300000}"/>
    <cellStyle name="Total 3 2" xfId="1858" xr:uid="{00000000-0005-0000-0000-000046070000}"/>
    <cellStyle name="Total 3 2 2" xfId="14626" xr:uid="{00000000-0005-0000-0000-000026390000}"/>
    <cellStyle name="Total 3 2 3" xfId="14627" xr:uid="{00000000-0005-0000-0000-000027390000}"/>
    <cellStyle name="Total 3 2 4" xfId="14628" xr:uid="{00000000-0005-0000-0000-000028390000}"/>
    <cellStyle name="Total 3 2 5" xfId="14629" xr:uid="{00000000-0005-0000-0000-000029390000}"/>
    <cellStyle name="Total 3 2 6" xfId="16268" xr:uid="{00000000-0005-0000-0000-0000903F0000}"/>
    <cellStyle name="Total 3 2 7" xfId="15733" xr:uid="{00000000-0005-0000-0000-0000793D0000}"/>
    <cellStyle name="Total 3 2 8" xfId="12458" xr:uid="{00000000-0005-0000-0000-0000AE300000}"/>
    <cellStyle name="Total 3 2 9" xfId="7328" xr:uid="{00000000-0005-0000-0000-0000A41C0000}"/>
    <cellStyle name="Total 3 3" xfId="7863" xr:uid="{00000000-0005-0000-0000-0000BB1E0000}"/>
    <cellStyle name="Total 3 3 2" xfId="16750" xr:uid="{00000000-0005-0000-0000-000072410000}"/>
    <cellStyle name="Total 3 3 3" xfId="15766" xr:uid="{00000000-0005-0000-0000-00009A3D0000}"/>
    <cellStyle name="Total 3 3 4" xfId="12459" xr:uid="{00000000-0005-0000-0000-0000AF300000}"/>
    <cellStyle name="Total 3 4" xfId="8900" xr:uid="{00000000-0005-0000-0000-0000C8220000}"/>
    <cellStyle name="Total 3 4 2" xfId="17271" xr:uid="{00000000-0005-0000-0000-00007B430000}"/>
    <cellStyle name="Total 3 4 3" xfId="19174" xr:uid="{00000000-0005-0000-0000-0000EA4A0000}"/>
    <cellStyle name="Total 3 4 4" xfId="12460" xr:uid="{00000000-0005-0000-0000-0000B0300000}"/>
    <cellStyle name="Total 3 5" xfId="14630" xr:uid="{00000000-0005-0000-0000-00002A390000}"/>
    <cellStyle name="Total 3 6" xfId="14631" xr:uid="{00000000-0005-0000-0000-00002B390000}"/>
    <cellStyle name="Total 3 7" xfId="14632" xr:uid="{00000000-0005-0000-0000-00002C390000}"/>
    <cellStyle name="Total 3 8" xfId="15240" xr:uid="{00000000-0005-0000-0000-00008C3B0000}"/>
    <cellStyle name="Total 3 9" xfId="15340" xr:uid="{00000000-0005-0000-0000-0000F03B0000}"/>
    <cellStyle name="Total 30" xfId="7329" xr:uid="{00000000-0005-0000-0000-0000A51C0000}"/>
    <cellStyle name="Total 30 2" xfId="14633" xr:uid="{00000000-0005-0000-0000-00002D390000}"/>
    <cellStyle name="Total 30 3" xfId="14634" xr:uid="{00000000-0005-0000-0000-00002E390000}"/>
    <cellStyle name="Total 30 4" xfId="14635" xr:uid="{00000000-0005-0000-0000-00002F390000}"/>
    <cellStyle name="Total 30 5" xfId="14636" xr:uid="{00000000-0005-0000-0000-000030390000}"/>
    <cellStyle name="Total 30 6" xfId="14637" xr:uid="{00000000-0005-0000-0000-000031390000}"/>
    <cellStyle name="Total 30 7" xfId="16269" xr:uid="{00000000-0005-0000-0000-0000913F0000}"/>
    <cellStyle name="Total 30 8" xfId="19066" xr:uid="{00000000-0005-0000-0000-00007E4A0000}"/>
    <cellStyle name="Total 30 9" xfId="12461" xr:uid="{00000000-0005-0000-0000-0000B1300000}"/>
    <cellStyle name="Total 31" xfId="7330" xr:uid="{00000000-0005-0000-0000-0000A61C0000}"/>
    <cellStyle name="Total 31 2" xfId="14638" xr:uid="{00000000-0005-0000-0000-000032390000}"/>
    <cellStyle name="Total 31 3" xfId="14639" xr:uid="{00000000-0005-0000-0000-000033390000}"/>
    <cellStyle name="Total 31 4" xfId="14640" xr:uid="{00000000-0005-0000-0000-000034390000}"/>
    <cellStyle name="Total 31 5" xfId="14641" xr:uid="{00000000-0005-0000-0000-000035390000}"/>
    <cellStyle name="Total 31 6" xfId="14642" xr:uid="{00000000-0005-0000-0000-000036390000}"/>
    <cellStyle name="Total 31 7" xfId="16270" xr:uid="{00000000-0005-0000-0000-0000923F0000}"/>
    <cellStyle name="Total 31 8" xfId="16775" xr:uid="{00000000-0005-0000-0000-00008B410000}"/>
    <cellStyle name="Total 31 9" xfId="12462" xr:uid="{00000000-0005-0000-0000-0000B2300000}"/>
    <cellStyle name="Total 32" xfId="7331" xr:uid="{00000000-0005-0000-0000-0000A71C0000}"/>
    <cellStyle name="Total 32 2" xfId="14643" xr:uid="{00000000-0005-0000-0000-000037390000}"/>
    <cellStyle name="Total 32 3" xfId="14644" xr:uid="{00000000-0005-0000-0000-000038390000}"/>
    <cellStyle name="Total 32 4" xfId="14645" xr:uid="{00000000-0005-0000-0000-000039390000}"/>
    <cellStyle name="Total 32 5" xfId="14646" xr:uid="{00000000-0005-0000-0000-00003A390000}"/>
    <cellStyle name="Total 32 6" xfId="14647" xr:uid="{00000000-0005-0000-0000-00003B390000}"/>
    <cellStyle name="Total 32 7" xfId="16271" xr:uid="{00000000-0005-0000-0000-0000933F0000}"/>
    <cellStyle name="Total 32 8" xfId="15765" xr:uid="{00000000-0005-0000-0000-0000993D0000}"/>
    <cellStyle name="Total 32 9" xfId="12463" xr:uid="{00000000-0005-0000-0000-0000B3300000}"/>
    <cellStyle name="Total 33" xfId="7332" xr:uid="{00000000-0005-0000-0000-0000A81C0000}"/>
    <cellStyle name="Total 33 2" xfId="14648" xr:uid="{00000000-0005-0000-0000-00003C390000}"/>
    <cellStyle name="Total 33 3" xfId="14649" xr:uid="{00000000-0005-0000-0000-00003D390000}"/>
    <cellStyle name="Total 33 4" xfId="14650" xr:uid="{00000000-0005-0000-0000-00003E390000}"/>
    <cellStyle name="Total 33 5" xfId="14651" xr:uid="{00000000-0005-0000-0000-00003F390000}"/>
    <cellStyle name="Total 33 6" xfId="14652" xr:uid="{00000000-0005-0000-0000-000040390000}"/>
    <cellStyle name="Total 33 7" xfId="16272" xr:uid="{00000000-0005-0000-0000-0000943F0000}"/>
    <cellStyle name="Total 33 8" xfId="19168" xr:uid="{00000000-0005-0000-0000-0000E44A0000}"/>
    <cellStyle name="Total 33 9" xfId="12464" xr:uid="{00000000-0005-0000-0000-0000B4300000}"/>
    <cellStyle name="Total 34" xfId="7333" xr:uid="{00000000-0005-0000-0000-0000A91C0000}"/>
    <cellStyle name="Total 34 2" xfId="14653" xr:uid="{00000000-0005-0000-0000-000041390000}"/>
    <cellStyle name="Total 34 3" xfId="14654" xr:uid="{00000000-0005-0000-0000-000042390000}"/>
    <cellStyle name="Total 34 4" xfId="14655" xr:uid="{00000000-0005-0000-0000-000043390000}"/>
    <cellStyle name="Total 34 5" xfId="14656" xr:uid="{00000000-0005-0000-0000-000044390000}"/>
    <cellStyle name="Total 34 6" xfId="14657" xr:uid="{00000000-0005-0000-0000-000045390000}"/>
    <cellStyle name="Total 34 7" xfId="16273" xr:uid="{00000000-0005-0000-0000-0000953F0000}"/>
    <cellStyle name="Total 34 8" xfId="15417" xr:uid="{00000000-0005-0000-0000-00003D3C0000}"/>
    <cellStyle name="Total 34 9" xfId="12465" xr:uid="{00000000-0005-0000-0000-0000B5300000}"/>
    <cellStyle name="Total 35" xfId="7334" xr:uid="{00000000-0005-0000-0000-0000AA1C0000}"/>
    <cellStyle name="Total 35 2" xfId="14658" xr:uid="{00000000-0005-0000-0000-000046390000}"/>
    <cellStyle name="Total 35 3" xfId="14659" xr:uid="{00000000-0005-0000-0000-000047390000}"/>
    <cellStyle name="Total 35 4" xfId="14660" xr:uid="{00000000-0005-0000-0000-000048390000}"/>
    <cellStyle name="Total 35 5" xfId="14661" xr:uid="{00000000-0005-0000-0000-000049390000}"/>
    <cellStyle name="Total 35 6" xfId="14662" xr:uid="{00000000-0005-0000-0000-00004A390000}"/>
    <cellStyle name="Total 35 7" xfId="16274" xr:uid="{00000000-0005-0000-0000-0000963F0000}"/>
    <cellStyle name="Total 35 8" xfId="19448" xr:uid="{00000000-0005-0000-0000-0000FC4B0000}"/>
    <cellStyle name="Total 35 9" xfId="12466" xr:uid="{00000000-0005-0000-0000-0000B6300000}"/>
    <cellStyle name="Total 36" xfId="7335" xr:uid="{00000000-0005-0000-0000-0000AB1C0000}"/>
    <cellStyle name="Total 36 2" xfId="14663" xr:uid="{00000000-0005-0000-0000-00004B390000}"/>
    <cellStyle name="Total 36 3" xfId="14664" xr:uid="{00000000-0005-0000-0000-00004C390000}"/>
    <cellStyle name="Total 36 4" xfId="14665" xr:uid="{00000000-0005-0000-0000-00004D390000}"/>
    <cellStyle name="Total 36 5" xfId="14666" xr:uid="{00000000-0005-0000-0000-00004E390000}"/>
    <cellStyle name="Total 36 6" xfId="14667" xr:uid="{00000000-0005-0000-0000-00004F390000}"/>
    <cellStyle name="Total 36 7" xfId="16275" xr:uid="{00000000-0005-0000-0000-0000973F0000}"/>
    <cellStyle name="Total 36 8" xfId="15302" xr:uid="{00000000-0005-0000-0000-0000CA3B0000}"/>
    <cellStyle name="Total 36 9" xfId="12467" xr:uid="{00000000-0005-0000-0000-0000B7300000}"/>
    <cellStyle name="Total 37" xfId="7336" xr:uid="{00000000-0005-0000-0000-0000AC1C0000}"/>
    <cellStyle name="Total 37 2" xfId="14668" xr:uid="{00000000-0005-0000-0000-000050390000}"/>
    <cellStyle name="Total 37 3" xfId="14669" xr:uid="{00000000-0005-0000-0000-000051390000}"/>
    <cellStyle name="Total 37 4" xfId="14670" xr:uid="{00000000-0005-0000-0000-000052390000}"/>
    <cellStyle name="Total 37 5" xfId="14671" xr:uid="{00000000-0005-0000-0000-000053390000}"/>
    <cellStyle name="Total 37 6" xfId="14672" xr:uid="{00000000-0005-0000-0000-000054390000}"/>
    <cellStyle name="Total 37 7" xfId="16276" xr:uid="{00000000-0005-0000-0000-0000983F0000}"/>
    <cellStyle name="Total 37 8" xfId="19120" xr:uid="{00000000-0005-0000-0000-0000B44A0000}"/>
    <cellStyle name="Total 37 9" xfId="12468" xr:uid="{00000000-0005-0000-0000-0000B8300000}"/>
    <cellStyle name="Total 38" xfId="7337" xr:uid="{00000000-0005-0000-0000-0000AD1C0000}"/>
    <cellStyle name="Total 38 2" xfId="14673" xr:uid="{00000000-0005-0000-0000-000055390000}"/>
    <cellStyle name="Total 38 3" xfId="14674" xr:uid="{00000000-0005-0000-0000-000056390000}"/>
    <cellStyle name="Total 38 4" xfId="14675" xr:uid="{00000000-0005-0000-0000-000057390000}"/>
    <cellStyle name="Total 38 5" xfId="14676" xr:uid="{00000000-0005-0000-0000-000058390000}"/>
    <cellStyle name="Total 38 6" xfId="14677" xr:uid="{00000000-0005-0000-0000-000059390000}"/>
    <cellStyle name="Total 38 7" xfId="16277" xr:uid="{00000000-0005-0000-0000-0000993F0000}"/>
    <cellStyle name="Total 38 8" xfId="15503" xr:uid="{00000000-0005-0000-0000-0000933C0000}"/>
    <cellStyle name="Total 38 9" xfId="12469" xr:uid="{00000000-0005-0000-0000-0000B9300000}"/>
    <cellStyle name="Total 39" xfId="7338" xr:uid="{00000000-0005-0000-0000-0000AE1C0000}"/>
    <cellStyle name="Total 39 2" xfId="14678" xr:uid="{00000000-0005-0000-0000-00005A390000}"/>
    <cellStyle name="Total 39 3" xfId="14679" xr:uid="{00000000-0005-0000-0000-00005B390000}"/>
    <cellStyle name="Total 39 4" xfId="14680" xr:uid="{00000000-0005-0000-0000-00005C390000}"/>
    <cellStyle name="Total 39 5" xfId="14681" xr:uid="{00000000-0005-0000-0000-00005D390000}"/>
    <cellStyle name="Total 39 6" xfId="14682" xr:uid="{00000000-0005-0000-0000-00005E390000}"/>
    <cellStyle name="Total 39 7" xfId="16278" xr:uid="{00000000-0005-0000-0000-00009A3F0000}"/>
    <cellStyle name="Total 39 8" xfId="19479" xr:uid="{00000000-0005-0000-0000-00001B4C0000}"/>
    <cellStyle name="Total 39 9" xfId="12470" xr:uid="{00000000-0005-0000-0000-0000BA300000}"/>
    <cellStyle name="Total 4" xfId="7339" xr:uid="{00000000-0005-0000-0000-0000AF1C0000}"/>
    <cellStyle name="Total 4 10" xfId="12471" xr:uid="{00000000-0005-0000-0000-0000BB300000}"/>
    <cellStyle name="Total 4 2" xfId="14683" xr:uid="{00000000-0005-0000-0000-00005F390000}"/>
    <cellStyle name="Total 4 2 2" xfId="14684" xr:uid="{00000000-0005-0000-0000-000060390000}"/>
    <cellStyle name="Total 4 2 3" xfId="14685" xr:uid="{00000000-0005-0000-0000-000061390000}"/>
    <cellStyle name="Total 4 2 4" xfId="14686" xr:uid="{00000000-0005-0000-0000-000062390000}"/>
    <cellStyle name="Total 4 2 5" xfId="14687" xr:uid="{00000000-0005-0000-0000-000063390000}"/>
    <cellStyle name="Total 4 3" xfId="14688" xr:uid="{00000000-0005-0000-0000-000064390000}"/>
    <cellStyle name="Total 4 4" xfId="14689" xr:uid="{00000000-0005-0000-0000-000065390000}"/>
    <cellStyle name="Total 4 5" xfId="14690" xr:uid="{00000000-0005-0000-0000-000066390000}"/>
    <cellStyle name="Total 4 6" xfId="14691" xr:uid="{00000000-0005-0000-0000-000067390000}"/>
    <cellStyle name="Total 4 7" xfId="14692" xr:uid="{00000000-0005-0000-0000-000068390000}"/>
    <cellStyle name="Total 4 8" xfId="16279" xr:uid="{00000000-0005-0000-0000-00009B3F0000}"/>
    <cellStyle name="Total 4 9" xfId="16601" xr:uid="{00000000-0005-0000-0000-0000DD400000}"/>
    <cellStyle name="Total 40" xfId="7340" xr:uid="{00000000-0005-0000-0000-0000B01C0000}"/>
    <cellStyle name="Total 40 2" xfId="14693" xr:uid="{00000000-0005-0000-0000-000069390000}"/>
    <cellStyle name="Total 40 3" xfId="14694" xr:uid="{00000000-0005-0000-0000-00006A390000}"/>
    <cellStyle name="Total 40 4" xfId="14695" xr:uid="{00000000-0005-0000-0000-00006B390000}"/>
    <cellStyle name="Total 40 5" xfId="14696" xr:uid="{00000000-0005-0000-0000-00006C390000}"/>
    <cellStyle name="Total 40 6" xfId="14697" xr:uid="{00000000-0005-0000-0000-00006D390000}"/>
    <cellStyle name="Total 40 7" xfId="16280" xr:uid="{00000000-0005-0000-0000-00009C3F0000}"/>
    <cellStyle name="Total 40 8" xfId="17283" xr:uid="{00000000-0005-0000-0000-000087430000}"/>
    <cellStyle name="Total 40 9" xfId="12472" xr:uid="{00000000-0005-0000-0000-0000BC300000}"/>
    <cellStyle name="Total 41" xfId="7341" xr:uid="{00000000-0005-0000-0000-0000B11C0000}"/>
    <cellStyle name="Total 41 2" xfId="14698" xr:uid="{00000000-0005-0000-0000-00006E390000}"/>
    <cellStyle name="Total 41 3" xfId="14699" xr:uid="{00000000-0005-0000-0000-00006F390000}"/>
    <cellStyle name="Total 41 4" xfId="14700" xr:uid="{00000000-0005-0000-0000-000070390000}"/>
    <cellStyle name="Total 41 5" xfId="14701" xr:uid="{00000000-0005-0000-0000-000071390000}"/>
    <cellStyle name="Total 41 6" xfId="14702" xr:uid="{00000000-0005-0000-0000-000072390000}"/>
    <cellStyle name="Total 41 7" xfId="16281" xr:uid="{00000000-0005-0000-0000-00009D3F0000}"/>
    <cellStyle name="Total 41 8" xfId="19348" xr:uid="{00000000-0005-0000-0000-0000984B0000}"/>
    <cellStyle name="Total 41 9" xfId="12473" xr:uid="{00000000-0005-0000-0000-0000BD300000}"/>
    <cellStyle name="Total 42" xfId="7342" xr:uid="{00000000-0005-0000-0000-0000B21C0000}"/>
    <cellStyle name="Total 42 2" xfId="14703" xr:uid="{00000000-0005-0000-0000-000073390000}"/>
    <cellStyle name="Total 42 3" xfId="14704" xr:uid="{00000000-0005-0000-0000-000074390000}"/>
    <cellStyle name="Total 42 4" xfId="14705" xr:uid="{00000000-0005-0000-0000-000075390000}"/>
    <cellStyle name="Total 42 5" xfId="14706" xr:uid="{00000000-0005-0000-0000-000076390000}"/>
    <cellStyle name="Total 42 6" xfId="14707" xr:uid="{00000000-0005-0000-0000-000077390000}"/>
    <cellStyle name="Total 42 7" xfId="16282" xr:uid="{00000000-0005-0000-0000-00009E3F0000}"/>
    <cellStyle name="Total 42 8" xfId="15451" xr:uid="{00000000-0005-0000-0000-00005F3C0000}"/>
    <cellStyle name="Total 42 9" xfId="12474" xr:uid="{00000000-0005-0000-0000-0000BE300000}"/>
    <cellStyle name="Total 5" xfId="7343" xr:uid="{00000000-0005-0000-0000-0000B31C0000}"/>
    <cellStyle name="Total 5 10" xfId="12475" xr:uid="{00000000-0005-0000-0000-0000BF300000}"/>
    <cellStyle name="Total 5 2" xfId="14708" xr:uid="{00000000-0005-0000-0000-000078390000}"/>
    <cellStyle name="Total 5 2 2" xfId="14709" xr:uid="{00000000-0005-0000-0000-000079390000}"/>
    <cellStyle name="Total 5 2 3" xfId="14710" xr:uid="{00000000-0005-0000-0000-00007A390000}"/>
    <cellStyle name="Total 5 2 4" xfId="14711" xr:uid="{00000000-0005-0000-0000-00007B390000}"/>
    <cellStyle name="Total 5 2 5" xfId="14712" xr:uid="{00000000-0005-0000-0000-00007C390000}"/>
    <cellStyle name="Total 5 3" xfId="14713" xr:uid="{00000000-0005-0000-0000-00007D390000}"/>
    <cellStyle name="Total 5 4" xfId="14714" xr:uid="{00000000-0005-0000-0000-00007E390000}"/>
    <cellStyle name="Total 5 5" xfId="14715" xr:uid="{00000000-0005-0000-0000-00007F390000}"/>
    <cellStyle name="Total 5 6" xfId="14716" xr:uid="{00000000-0005-0000-0000-000080390000}"/>
    <cellStyle name="Total 5 7" xfId="14717" xr:uid="{00000000-0005-0000-0000-000081390000}"/>
    <cellStyle name="Total 5 8" xfId="16283" xr:uid="{00000000-0005-0000-0000-00009F3F0000}"/>
    <cellStyle name="Total 5 9" xfId="16653" xr:uid="{00000000-0005-0000-0000-000011410000}"/>
    <cellStyle name="Total 6" xfId="7344" xr:uid="{00000000-0005-0000-0000-0000B41C0000}"/>
    <cellStyle name="Total 6 10" xfId="12476" xr:uid="{00000000-0005-0000-0000-0000C0300000}"/>
    <cellStyle name="Total 6 2" xfId="14718" xr:uid="{00000000-0005-0000-0000-000082390000}"/>
    <cellStyle name="Total 6 2 2" xfId="14719" xr:uid="{00000000-0005-0000-0000-000083390000}"/>
    <cellStyle name="Total 6 2 3" xfId="14720" xr:uid="{00000000-0005-0000-0000-000084390000}"/>
    <cellStyle name="Total 6 2 4" xfId="14721" xr:uid="{00000000-0005-0000-0000-000085390000}"/>
    <cellStyle name="Total 6 2 5" xfId="14722" xr:uid="{00000000-0005-0000-0000-000086390000}"/>
    <cellStyle name="Total 6 3" xfId="14723" xr:uid="{00000000-0005-0000-0000-000087390000}"/>
    <cellStyle name="Total 6 4" xfId="14724" xr:uid="{00000000-0005-0000-0000-000088390000}"/>
    <cellStyle name="Total 6 5" xfId="14725" xr:uid="{00000000-0005-0000-0000-000089390000}"/>
    <cellStyle name="Total 6 6" xfId="14726" xr:uid="{00000000-0005-0000-0000-00008A390000}"/>
    <cellStyle name="Total 6 7" xfId="14727" xr:uid="{00000000-0005-0000-0000-00008B390000}"/>
    <cellStyle name="Total 6 8" xfId="16284" xr:uid="{00000000-0005-0000-0000-0000A03F0000}"/>
    <cellStyle name="Total 6 9" xfId="19295" xr:uid="{00000000-0005-0000-0000-0000634B0000}"/>
    <cellStyle name="Total 7" xfId="7345" xr:uid="{00000000-0005-0000-0000-0000B51C0000}"/>
    <cellStyle name="Total 7 2" xfId="14728" xr:uid="{00000000-0005-0000-0000-00008C390000}"/>
    <cellStyle name="Total 7 3" xfId="14729" xr:uid="{00000000-0005-0000-0000-00008D390000}"/>
    <cellStyle name="Total 7 4" xfId="14730" xr:uid="{00000000-0005-0000-0000-00008E390000}"/>
    <cellStyle name="Total 7 5" xfId="14731" xr:uid="{00000000-0005-0000-0000-00008F390000}"/>
    <cellStyle name="Total 7 6" xfId="14732" xr:uid="{00000000-0005-0000-0000-000090390000}"/>
    <cellStyle name="Total 7 7" xfId="16285" xr:uid="{00000000-0005-0000-0000-0000A13F0000}"/>
    <cellStyle name="Total 7 8" xfId="19438" xr:uid="{00000000-0005-0000-0000-0000F24B0000}"/>
    <cellStyle name="Total 7 9" xfId="12477" xr:uid="{00000000-0005-0000-0000-0000C1300000}"/>
    <cellStyle name="Total 8" xfId="7346" xr:uid="{00000000-0005-0000-0000-0000B61C0000}"/>
    <cellStyle name="Total 8 2" xfId="14733" xr:uid="{00000000-0005-0000-0000-000091390000}"/>
    <cellStyle name="Total 8 3" xfId="14734" xr:uid="{00000000-0005-0000-0000-000092390000}"/>
    <cellStyle name="Total 8 4" xfId="14735" xr:uid="{00000000-0005-0000-0000-000093390000}"/>
    <cellStyle name="Total 8 5" xfId="14736" xr:uid="{00000000-0005-0000-0000-000094390000}"/>
    <cellStyle name="Total 8 6" xfId="14737" xr:uid="{00000000-0005-0000-0000-000095390000}"/>
    <cellStyle name="Total 8 7" xfId="16286" xr:uid="{00000000-0005-0000-0000-0000A23F0000}"/>
    <cellStyle name="Total 8 8" xfId="15783" xr:uid="{00000000-0005-0000-0000-0000AB3D0000}"/>
    <cellStyle name="Total 8 9" xfId="12478" xr:uid="{00000000-0005-0000-0000-0000C2300000}"/>
    <cellStyle name="Total 9" xfId="7347" xr:uid="{00000000-0005-0000-0000-0000B71C0000}"/>
    <cellStyle name="Total 9 2" xfId="14738" xr:uid="{00000000-0005-0000-0000-000096390000}"/>
    <cellStyle name="Total 9 3" xfId="14739" xr:uid="{00000000-0005-0000-0000-000097390000}"/>
    <cellStyle name="Total 9 4" xfId="14740" xr:uid="{00000000-0005-0000-0000-000098390000}"/>
    <cellStyle name="Total 9 5" xfId="14741" xr:uid="{00000000-0005-0000-0000-000099390000}"/>
    <cellStyle name="Total 9 6" xfId="14742" xr:uid="{00000000-0005-0000-0000-00009A390000}"/>
    <cellStyle name="Total 9 7" xfId="16287" xr:uid="{00000000-0005-0000-0000-0000A33F0000}"/>
    <cellStyle name="Total 9 8" xfId="15707" xr:uid="{00000000-0005-0000-0000-00005F3D0000}"/>
    <cellStyle name="Total 9 9" xfId="12479" xr:uid="{00000000-0005-0000-0000-0000C3300000}"/>
    <cellStyle name="Überschrift" xfId="7348" xr:uid="{00000000-0005-0000-0000-0000B81C0000}"/>
    <cellStyle name="Überschrift 1" xfId="7349" xr:uid="{00000000-0005-0000-0000-0000B91C0000}"/>
    <cellStyle name="Überschrift 1 2" xfId="14743" xr:uid="{00000000-0005-0000-0000-00009B390000}"/>
    <cellStyle name="Überschrift 1 3" xfId="14744" xr:uid="{00000000-0005-0000-0000-00009C390000}"/>
    <cellStyle name="Überschrift 1 4" xfId="14745" xr:uid="{00000000-0005-0000-0000-00009D390000}"/>
    <cellStyle name="Überschrift 1 5" xfId="14746" xr:uid="{00000000-0005-0000-0000-00009E390000}"/>
    <cellStyle name="Überschrift 1 6" xfId="14747" xr:uid="{00000000-0005-0000-0000-00009F390000}"/>
    <cellStyle name="Überschrift 1 7" xfId="16289" xr:uid="{00000000-0005-0000-0000-0000A53F0000}"/>
    <cellStyle name="Überschrift 1 8" xfId="15794" xr:uid="{00000000-0005-0000-0000-0000B63D0000}"/>
    <cellStyle name="Überschrift 1 9" xfId="12481" xr:uid="{00000000-0005-0000-0000-0000C5300000}"/>
    <cellStyle name="Überschrift 10" xfId="16288" xr:uid="{00000000-0005-0000-0000-0000A43F0000}"/>
    <cellStyle name="Überschrift 11" xfId="17249" xr:uid="{00000000-0005-0000-0000-000065430000}"/>
    <cellStyle name="Überschrift 12" xfId="12480" xr:uid="{00000000-0005-0000-0000-0000C4300000}"/>
    <cellStyle name="Überschrift 2" xfId="7350" xr:uid="{00000000-0005-0000-0000-0000BA1C0000}"/>
    <cellStyle name="Überschrift 2 2" xfId="14748" xr:uid="{00000000-0005-0000-0000-0000A0390000}"/>
    <cellStyle name="Überschrift 2 3" xfId="14749" xr:uid="{00000000-0005-0000-0000-0000A1390000}"/>
    <cellStyle name="Überschrift 2 4" xfId="14750" xr:uid="{00000000-0005-0000-0000-0000A2390000}"/>
    <cellStyle name="Überschrift 2 5" xfId="14751" xr:uid="{00000000-0005-0000-0000-0000A3390000}"/>
    <cellStyle name="Überschrift 2 6" xfId="14752" xr:uid="{00000000-0005-0000-0000-0000A4390000}"/>
    <cellStyle name="Überschrift 2 7" xfId="16290" xr:uid="{00000000-0005-0000-0000-0000A63F0000}"/>
    <cellStyle name="Überschrift 2 8" xfId="15697" xr:uid="{00000000-0005-0000-0000-0000553D0000}"/>
    <cellStyle name="Überschrift 2 9" xfId="12482" xr:uid="{00000000-0005-0000-0000-0000C6300000}"/>
    <cellStyle name="Überschrift 3" xfId="7351" xr:uid="{00000000-0005-0000-0000-0000BB1C0000}"/>
    <cellStyle name="Überschrift 3 2" xfId="14753" xr:uid="{00000000-0005-0000-0000-0000A5390000}"/>
    <cellStyle name="Überschrift 3 3" xfId="14754" xr:uid="{00000000-0005-0000-0000-0000A6390000}"/>
    <cellStyle name="Überschrift 3 4" xfId="14755" xr:uid="{00000000-0005-0000-0000-0000A7390000}"/>
    <cellStyle name="Überschrift 3 5" xfId="14756" xr:uid="{00000000-0005-0000-0000-0000A8390000}"/>
    <cellStyle name="Überschrift 3 6" xfId="14757" xr:uid="{00000000-0005-0000-0000-0000A9390000}"/>
    <cellStyle name="Überschrift 3 7" xfId="16291" xr:uid="{00000000-0005-0000-0000-0000A73F0000}"/>
    <cellStyle name="Überschrift 3 8" xfId="19414" xr:uid="{00000000-0005-0000-0000-0000DA4B0000}"/>
    <cellStyle name="Überschrift 3 9" xfId="12483" xr:uid="{00000000-0005-0000-0000-0000C7300000}"/>
    <cellStyle name="Überschrift 4" xfId="7352" xr:uid="{00000000-0005-0000-0000-0000BC1C0000}"/>
    <cellStyle name="Überschrift 4 2" xfId="14758" xr:uid="{00000000-0005-0000-0000-0000AA390000}"/>
    <cellStyle name="Überschrift 4 3" xfId="14759" xr:uid="{00000000-0005-0000-0000-0000AB390000}"/>
    <cellStyle name="Überschrift 4 4" xfId="14760" xr:uid="{00000000-0005-0000-0000-0000AC390000}"/>
    <cellStyle name="Überschrift 4 5" xfId="14761" xr:uid="{00000000-0005-0000-0000-0000AD390000}"/>
    <cellStyle name="Überschrift 4 6" xfId="14762" xr:uid="{00000000-0005-0000-0000-0000AE390000}"/>
    <cellStyle name="Überschrift 4 7" xfId="16292" xr:uid="{00000000-0005-0000-0000-0000A83F0000}"/>
    <cellStyle name="Überschrift 4 8" xfId="19379" xr:uid="{00000000-0005-0000-0000-0000B74B0000}"/>
    <cellStyle name="Überschrift 4 9" xfId="12484" xr:uid="{00000000-0005-0000-0000-0000C8300000}"/>
    <cellStyle name="Überschrift 5" xfId="14763" xr:uid="{00000000-0005-0000-0000-0000AF390000}"/>
    <cellStyle name="Überschrift 6" xfId="14764" xr:uid="{00000000-0005-0000-0000-0000B0390000}"/>
    <cellStyle name="Überschrift 7" xfId="14765" xr:uid="{00000000-0005-0000-0000-0000B1390000}"/>
    <cellStyle name="Überschrift 8" xfId="14766" xr:uid="{00000000-0005-0000-0000-0000B2390000}"/>
    <cellStyle name="Überschrift 9" xfId="14767" xr:uid="{00000000-0005-0000-0000-0000B3390000}"/>
    <cellStyle name="Valuutta_Layo9704" xfId="199" xr:uid="{00000000-0005-0000-0000-0000CB000000}"/>
    <cellStyle name="Verknüpfte Zelle" xfId="7353" xr:uid="{00000000-0005-0000-0000-0000BD1C0000}"/>
    <cellStyle name="Verknüpfte Zelle 2" xfId="14768" xr:uid="{00000000-0005-0000-0000-0000B4390000}"/>
    <cellStyle name="Verknüpfte Zelle 3" xfId="14769" xr:uid="{00000000-0005-0000-0000-0000B5390000}"/>
    <cellStyle name="Verknüpfte Zelle 4" xfId="14770" xr:uid="{00000000-0005-0000-0000-0000B6390000}"/>
    <cellStyle name="Verknüpfte Zelle 5" xfId="14771" xr:uid="{00000000-0005-0000-0000-0000B7390000}"/>
    <cellStyle name="Verknüpfte Zelle 6" xfId="14772" xr:uid="{00000000-0005-0000-0000-0000B8390000}"/>
    <cellStyle name="Verknüpfte Zelle 7" xfId="16293" xr:uid="{00000000-0005-0000-0000-0000A93F0000}"/>
    <cellStyle name="Verknüpfte Zelle 8" xfId="19292" xr:uid="{00000000-0005-0000-0000-0000604B0000}"/>
    <cellStyle name="Verknüpfte Zelle 9" xfId="12485" xr:uid="{00000000-0005-0000-0000-0000C9300000}"/>
    <cellStyle name="Warnender Text" xfId="7354" xr:uid="{00000000-0005-0000-0000-0000BE1C0000}"/>
    <cellStyle name="Warnender Text 2" xfId="14773" xr:uid="{00000000-0005-0000-0000-0000B9390000}"/>
    <cellStyle name="Warnender Text 3" xfId="14774" xr:uid="{00000000-0005-0000-0000-0000BA390000}"/>
    <cellStyle name="Warnender Text 4" xfId="14775" xr:uid="{00000000-0005-0000-0000-0000BB390000}"/>
    <cellStyle name="Warnender Text 5" xfId="14776" xr:uid="{00000000-0005-0000-0000-0000BC390000}"/>
    <cellStyle name="Warnender Text 6" xfId="14777" xr:uid="{00000000-0005-0000-0000-0000BD390000}"/>
    <cellStyle name="Warnender Text 7" xfId="16294" xr:uid="{00000000-0005-0000-0000-0000AA3F0000}"/>
    <cellStyle name="Warnender Text 8" xfId="19197" xr:uid="{00000000-0005-0000-0000-0000014B0000}"/>
    <cellStyle name="Warnender Text 9" xfId="12486" xr:uid="{00000000-0005-0000-0000-0000CA300000}"/>
    <cellStyle name="Warning Text 10" xfId="7355" xr:uid="{00000000-0005-0000-0000-0000BF1C0000}"/>
    <cellStyle name="Warning Text 10 2" xfId="14778" xr:uid="{00000000-0005-0000-0000-0000BE390000}"/>
    <cellStyle name="Warning Text 10 3" xfId="14779" xr:uid="{00000000-0005-0000-0000-0000BF390000}"/>
    <cellStyle name="Warning Text 10 4" xfId="14780" xr:uid="{00000000-0005-0000-0000-0000C0390000}"/>
    <cellStyle name="Warning Text 10 5" xfId="14781" xr:uid="{00000000-0005-0000-0000-0000C1390000}"/>
    <cellStyle name="Warning Text 10 6" xfId="14782" xr:uid="{00000000-0005-0000-0000-0000C2390000}"/>
    <cellStyle name="Warning Text 10 7" xfId="16295" xr:uid="{00000000-0005-0000-0000-0000AB3F0000}"/>
    <cellStyle name="Warning Text 10 8" xfId="19265" xr:uid="{00000000-0005-0000-0000-0000454B0000}"/>
    <cellStyle name="Warning Text 10 9" xfId="12487" xr:uid="{00000000-0005-0000-0000-0000CB300000}"/>
    <cellStyle name="Warning Text 11" xfId="7356" xr:uid="{00000000-0005-0000-0000-0000C01C0000}"/>
    <cellStyle name="Warning Text 11 2" xfId="14783" xr:uid="{00000000-0005-0000-0000-0000C3390000}"/>
    <cellStyle name="Warning Text 11 3" xfId="14784" xr:uid="{00000000-0005-0000-0000-0000C4390000}"/>
    <cellStyle name="Warning Text 11 4" xfId="14785" xr:uid="{00000000-0005-0000-0000-0000C5390000}"/>
    <cellStyle name="Warning Text 11 5" xfId="14786" xr:uid="{00000000-0005-0000-0000-0000C6390000}"/>
    <cellStyle name="Warning Text 11 6" xfId="14787" xr:uid="{00000000-0005-0000-0000-0000C7390000}"/>
    <cellStyle name="Warning Text 11 7" xfId="16296" xr:uid="{00000000-0005-0000-0000-0000AC3F0000}"/>
    <cellStyle name="Warning Text 11 8" xfId="19203" xr:uid="{00000000-0005-0000-0000-0000074B0000}"/>
    <cellStyle name="Warning Text 11 9" xfId="12488" xr:uid="{00000000-0005-0000-0000-0000CC300000}"/>
    <cellStyle name="Warning Text 12" xfId="7357" xr:uid="{00000000-0005-0000-0000-0000C11C0000}"/>
    <cellStyle name="Warning Text 12 2" xfId="14788" xr:uid="{00000000-0005-0000-0000-0000C8390000}"/>
    <cellStyle name="Warning Text 12 3" xfId="14789" xr:uid="{00000000-0005-0000-0000-0000C9390000}"/>
    <cellStyle name="Warning Text 12 4" xfId="14790" xr:uid="{00000000-0005-0000-0000-0000CA390000}"/>
    <cellStyle name="Warning Text 12 5" xfId="14791" xr:uid="{00000000-0005-0000-0000-0000CB390000}"/>
    <cellStyle name="Warning Text 12 6" xfId="14792" xr:uid="{00000000-0005-0000-0000-0000CC390000}"/>
    <cellStyle name="Warning Text 12 7" xfId="16297" xr:uid="{00000000-0005-0000-0000-0000AD3F0000}"/>
    <cellStyle name="Warning Text 12 8" xfId="19382" xr:uid="{00000000-0005-0000-0000-0000BA4B0000}"/>
    <cellStyle name="Warning Text 12 9" xfId="12489" xr:uid="{00000000-0005-0000-0000-0000CD300000}"/>
    <cellStyle name="Warning Text 13" xfId="7358" xr:uid="{00000000-0005-0000-0000-0000C21C0000}"/>
    <cellStyle name="Warning Text 13 2" xfId="14793" xr:uid="{00000000-0005-0000-0000-0000CD390000}"/>
    <cellStyle name="Warning Text 13 3" xfId="14794" xr:uid="{00000000-0005-0000-0000-0000CE390000}"/>
    <cellStyle name="Warning Text 13 4" xfId="14795" xr:uid="{00000000-0005-0000-0000-0000CF390000}"/>
    <cellStyle name="Warning Text 13 5" xfId="14796" xr:uid="{00000000-0005-0000-0000-0000D0390000}"/>
    <cellStyle name="Warning Text 13 6" xfId="14797" xr:uid="{00000000-0005-0000-0000-0000D1390000}"/>
    <cellStyle name="Warning Text 13 7" xfId="16298" xr:uid="{00000000-0005-0000-0000-0000AE3F0000}"/>
    <cellStyle name="Warning Text 13 8" xfId="15646" xr:uid="{00000000-0005-0000-0000-0000223D0000}"/>
    <cellStyle name="Warning Text 13 9" xfId="12490" xr:uid="{00000000-0005-0000-0000-0000CE300000}"/>
    <cellStyle name="Warning Text 14" xfId="7359" xr:uid="{00000000-0005-0000-0000-0000C31C0000}"/>
    <cellStyle name="Warning Text 14 2" xfId="14798" xr:uid="{00000000-0005-0000-0000-0000D2390000}"/>
    <cellStyle name="Warning Text 14 3" xfId="14799" xr:uid="{00000000-0005-0000-0000-0000D3390000}"/>
    <cellStyle name="Warning Text 14 4" xfId="14800" xr:uid="{00000000-0005-0000-0000-0000D4390000}"/>
    <cellStyle name="Warning Text 14 5" xfId="14801" xr:uid="{00000000-0005-0000-0000-0000D5390000}"/>
    <cellStyle name="Warning Text 14 6" xfId="14802" xr:uid="{00000000-0005-0000-0000-0000D6390000}"/>
    <cellStyle name="Warning Text 14 7" xfId="16299" xr:uid="{00000000-0005-0000-0000-0000AF3F0000}"/>
    <cellStyle name="Warning Text 14 8" xfId="19358" xr:uid="{00000000-0005-0000-0000-0000A24B0000}"/>
    <cellStyle name="Warning Text 14 9" xfId="12491" xr:uid="{00000000-0005-0000-0000-0000CF300000}"/>
    <cellStyle name="Warning Text 15" xfId="7360" xr:uid="{00000000-0005-0000-0000-0000C41C0000}"/>
    <cellStyle name="Warning Text 15 2" xfId="14803" xr:uid="{00000000-0005-0000-0000-0000D7390000}"/>
    <cellStyle name="Warning Text 15 3" xfId="14804" xr:uid="{00000000-0005-0000-0000-0000D8390000}"/>
    <cellStyle name="Warning Text 15 4" xfId="14805" xr:uid="{00000000-0005-0000-0000-0000D9390000}"/>
    <cellStyle name="Warning Text 15 5" xfId="14806" xr:uid="{00000000-0005-0000-0000-0000DA390000}"/>
    <cellStyle name="Warning Text 15 6" xfId="14807" xr:uid="{00000000-0005-0000-0000-0000DB390000}"/>
    <cellStyle name="Warning Text 15 7" xfId="16300" xr:uid="{00000000-0005-0000-0000-0000B03F0000}"/>
    <cellStyle name="Warning Text 15 8" xfId="16637" xr:uid="{00000000-0005-0000-0000-000001410000}"/>
    <cellStyle name="Warning Text 15 9" xfId="12492" xr:uid="{00000000-0005-0000-0000-0000D0300000}"/>
    <cellStyle name="Warning Text 16" xfId="7361" xr:uid="{00000000-0005-0000-0000-0000C51C0000}"/>
    <cellStyle name="Warning Text 16 2" xfId="14808" xr:uid="{00000000-0005-0000-0000-0000DC390000}"/>
    <cellStyle name="Warning Text 16 3" xfId="14809" xr:uid="{00000000-0005-0000-0000-0000DD390000}"/>
    <cellStyle name="Warning Text 16 4" xfId="14810" xr:uid="{00000000-0005-0000-0000-0000DE390000}"/>
    <cellStyle name="Warning Text 16 5" xfId="14811" xr:uid="{00000000-0005-0000-0000-0000DF390000}"/>
    <cellStyle name="Warning Text 16 6" xfId="14812" xr:uid="{00000000-0005-0000-0000-0000E0390000}"/>
    <cellStyle name="Warning Text 16 7" xfId="16301" xr:uid="{00000000-0005-0000-0000-0000B13F0000}"/>
    <cellStyle name="Warning Text 16 8" xfId="15377" xr:uid="{00000000-0005-0000-0000-0000153C0000}"/>
    <cellStyle name="Warning Text 16 9" xfId="12493" xr:uid="{00000000-0005-0000-0000-0000D1300000}"/>
    <cellStyle name="Warning Text 17" xfId="7362" xr:uid="{00000000-0005-0000-0000-0000C61C0000}"/>
    <cellStyle name="Warning Text 17 2" xfId="14813" xr:uid="{00000000-0005-0000-0000-0000E1390000}"/>
    <cellStyle name="Warning Text 17 3" xfId="14814" xr:uid="{00000000-0005-0000-0000-0000E2390000}"/>
    <cellStyle name="Warning Text 17 4" xfId="14815" xr:uid="{00000000-0005-0000-0000-0000E3390000}"/>
    <cellStyle name="Warning Text 17 5" xfId="14816" xr:uid="{00000000-0005-0000-0000-0000E4390000}"/>
    <cellStyle name="Warning Text 17 6" xfId="14817" xr:uid="{00000000-0005-0000-0000-0000E5390000}"/>
    <cellStyle name="Warning Text 17 7" xfId="16302" xr:uid="{00000000-0005-0000-0000-0000B23F0000}"/>
    <cellStyle name="Warning Text 17 8" xfId="15662" xr:uid="{00000000-0005-0000-0000-0000323D0000}"/>
    <cellStyle name="Warning Text 17 9" xfId="12494" xr:uid="{00000000-0005-0000-0000-0000D2300000}"/>
    <cellStyle name="Warning Text 18" xfId="7363" xr:uid="{00000000-0005-0000-0000-0000C71C0000}"/>
    <cellStyle name="Warning Text 18 2" xfId="14818" xr:uid="{00000000-0005-0000-0000-0000E6390000}"/>
    <cellStyle name="Warning Text 18 3" xfId="14819" xr:uid="{00000000-0005-0000-0000-0000E7390000}"/>
    <cellStyle name="Warning Text 18 4" xfId="14820" xr:uid="{00000000-0005-0000-0000-0000E8390000}"/>
    <cellStyle name="Warning Text 18 5" xfId="14821" xr:uid="{00000000-0005-0000-0000-0000E9390000}"/>
    <cellStyle name="Warning Text 18 6" xfId="14822" xr:uid="{00000000-0005-0000-0000-0000EA390000}"/>
    <cellStyle name="Warning Text 18 7" xfId="16303" xr:uid="{00000000-0005-0000-0000-0000B33F0000}"/>
    <cellStyle name="Warning Text 18 8" xfId="19226" xr:uid="{00000000-0005-0000-0000-00001E4B0000}"/>
    <cellStyle name="Warning Text 18 9" xfId="12495" xr:uid="{00000000-0005-0000-0000-0000D3300000}"/>
    <cellStyle name="Warning Text 19" xfId="7364" xr:uid="{00000000-0005-0000-0000-0000C81C0000}"/>
    <cellStyle name="Warning Text 19 2" xfId="14823" xr:uid="{00000000-0005-0000-0000-0000EB390000}"/>
    <cellStyle name="Warning Text 19 3" xfId="14824" xr:uid="{00000000-0005-0000-0000-0000EC390000}"/>
    <cellStyle name="Warning Text 19 4" xfId="14825" xr:uid="{00000000-0005-0000-0000-0000ED390000}"/>
    <cellStyle name="Warning Text 19 5" xfId="14826" xr:uid="{00000000-0005-0000-0000-0000EE390000}"/>
    <cellStyle name="Warning Text 19 6" xfId="14827" xr:uid="{00000000-0005-0000-0000-0000EF390000}"/>
    <cellStyle name="Warning Text 19 7" xfId="16304" xr:uid="{00000000-0005-0000-0000-0000B43F0000}"/>
    <cellStyle name="Warning Text 19 8" xfId="15676" xr:uid="{00000000-0005-0000-0000-0000403D0000}"/>
    <cellStyle name="Warning Text 19 9" xfId="12496" xr:uid="{00000000-0005-0000-0000-0000D4300000}"/>
    <cellStyle name="Warning Text 2" xfId="200" xr:uid="{00000000-0005-0000-0000-0000CC000000}"/>
    <cellStyle name="Warning Text 2 10" xfId="1859" xr:uid="{00000000-0005-0000-0000-000047070000}"/>
    <cellStyle name="Warning Text 2 10 2" xfId="14828" xr:uid="{00000000-0005-0000-0000-0000F0390000}"/>
    <cellStyle name="Warning Text 2 10 3" xfId="14829" xr:uid="{00000000-0005-0000-0000-0000F1390000}"/>
    <cellStyle name="Warning Text 2 10 4" xfId="14830" xr:uid="{00000000-0005-0000-0000-0000F2390000}"/>
    <cellStyle name="Warning Text 2 10 5" xfId="14831" xr:uid="{00000000-0005-0000-0000-0000F3390000}"/>
    <cellStyle name="Warning Text 2 10 6" xfId="15242" xr:uid="{00000000-0005-0000-0000-00008E3B0000}"/>
    <cellStyle name="Warning Text 2 10 7" xfId="15306" xr:uid="{00000000-0005-0000-0000-0000CE3B0000}"/>
    <cellStyle name="Warning Text 2 10 8" xfId="12498" xr:uid="{00000000-0005-0000-0000-0000D6300000}"/>
    <cellStyle name="Warning Text 2 11" xfId="14832" xr:uid="{00000000-0005-0000-0000-0000F4390000}"/>
    <cellStyle name="Warning Text 2 12" xfId="14833" xr:uid="{00000000-0005-0000-0000-0000F5390000}"/>
    <cellStyle name="Warning Text 2 13" xfId="14834" xr:uid="{00000000-0005-0000-0000-0000F6390000}"/>
    <cellStyle name="Warning Text 2 14" xfId="14835" xr:uid="{00000000-0005-0000-0000-0000F7390000}"/>
    <cellStyle name="Warning Text 2 15" xfId="14836" xr:uid="{00000000-0005-0000-0000-0000F8390000}"/>
    <cellStyle name="Warning Text 2 16" xfId="15241" xr:uid="{00000000-0005-0000-0000-00008D3B0000}"/>
    <cellStyle name="Warning Text 2 17" xfId="19344" xr:uid="{00000000-0005-0000-0000-0000944B0000}"/>
    <cellStyle name="Warning Text 2 18" xfId="12497" xr:uid="{00000000-0005-0000-0000-0000D5300000}"/>
    <cellStyle name="Warning Text 2 2" xfId="1860" xr:uid="{00000000-0005-0000-0000-000048070000}"/>
    <cellStyle name="Warning Text 2 2 2" xfId="14837" xr:uid="{00000000-0005-0000-0000-0000F9390000}"/>
    <cellStyle name="Warning Text 2 2 3" xfId="14838" xr:uid="{00000000-0005-0000-0000-0000FA390000}"/>
    <cellStyle name="Warning Text 2 2 4" xfId="14839" xr:uid="{00000000-0005-0000-0000-0000FB390000}"/>
    <cellStyle name="Warning Text 2 2 5" xfId="14840" xr:uid="{00000000-0005-0000-0000-0000FC390000}"/>
    <cellStyle name="Warning Text 2 2 6" xfId="15243" xr:uid="{00000000-0005-0000-0000-00008F3B0000}"/>
    <cellStyle name="Warning Text 2 2 7" xfId="19356" xr:uid="{00000000-0005-0000-0000-0000A04B0000}"/>
    <cellStyle name="Warning Text 2 2 8" xfId="12499" xr:uid="{00000000-0005-0000-0000-0000D7300000}"/>
    <cellStyle name="Warning Text 2 3" xfId="1861" xr:uid="{00000000-0005-0000-0000-000049070000}"/>
    <cellStyle name="Warning Text 2 3 2" xfId="14841" xr:uid="{00000000-0005-0000-0000-0000FD390000}"/>
    <cellStyle name="Warning Text 2 3 3" xfId="14842" xr:uid="{00000000-0005-0000-0000-0000FE390000}"/>
    <cellStyle name="Warning Text 2 3 4" xfId="14843" xr:uid="{00000000-0005-0000-0000-0000FF390000}"/>
    <cellStyle name="Warning Text 2 3 5" xfId="14844" xr:uid="{00000000-0005-0000-0000-0000003A0000}"/>
    <cellStyle name="Warning Text 2 3 6" xfId="15244" xr:uid="{00000000-0005-0000-0000-0000903B0000}"/>
    <cellStyle name="Warning Text 2 3 7" xfId="19258" xr:uid="{00000000-0005-0000-0000-00003E4B0000}"/>
    <cellStyle name="Warning Text 2 3 8" xfId="12500" xr:uid="{00000000-0005-0000-0000-0000D8300000}"/>
    <cellStyle name="Warning Text 2 4" xfId="1862" xr:uid="{00000000-0005-0000-0000-00004A070000}"/>
    <cellStyle name="Warning Text 2 4 2" xfId="14845" xr:uid="{00000000-0005-0000-0000-0000013A0000}"/>
    <cellStyle name="Warning Text 2 4 3" xfId="14846" xr:uid="{00000000-0005-0000-0000-0000023A0000}"/>
    <cellStyle name="Warning Text 2 4 4" xfId="14847" xr:uid="{00000000-0005-0000-0000-0000033A0000}"/>
    <cellStyle name="Warning Text 2 4 5" xfId="14848" xr:uid="{00000000-0005-0000-0000-0000043A0000}"/>
    <cellStyle name="Warning Text 2 4 6" xfId="15245" xr:uid="{00000000-0005-0000-0000-0000913B0000}"/>
    <cellStyle name="Warning Text 2 4 7" xfId="15716" xr:uid="{00000000-0005-0000-0000-0000683D0000}"/>
    <cellStyle name="Warning Text 2 4 8" xfId="12501" xr:uid="{00000000-0005-0000-0000-0000D9300000}"/>
    <cellStyle name="Warning Text 2 5" xfId="1863" xr:uid="{00000000-0005-0000-0000-00004B070000}"/>
    <cellStyle name="Warning Text 2 5 2" xfId="14849" xr:uid="{00000000-0005-0000-0000-0000053A0000}"/>
    <cellStyle name="Warning Text 2 5 3" xfId="14850" xr:uid="{00000000-0005-0000-0000-0000063A0000}"/>
    <cellStyle name="Warning Text 2 5 4" xfId="14851" xr:uid="{00000000-0005-0000-0000-0000073A0000}"/>
    <cellStyle name="Warning Text 2 5 5" xfId="14852" xr:uid="{00000000-0005-0000-0000-0000083A0000}"/>
    <cellStyle name="Warning Text 2 5 6" xfId="15246" xr:uid="{00000000-0005-0000-0000-0000923B0000}"/>
    <cellStyle name="Warning Text 2 5 7" xfId="15670" xr:uid="{00000000-0005-0000-0000-00003A3D0000}"/>
    <cellStyle name="Warning Text 2 5 8" xfId="12502" xr:uid="{00000000-0005-0000-0000-0000DA300000}"/>
    <cellStyle name="Warning Text 2 6" xfId="1864" xr:uid="{00000000-0005-0000-0000-00004C070000}"/>
    <cellStyle name="Warning Text 2 6 2" xfId="14853" xr:uid="{00000000-0005-0000-0000-0000093A0000}"/>
    <cellStyle name="Warning Text 2 6 3" xfId="14854" xr:uid="{00000000-0005-0000-0000-00000A3A0000}"/>
    <cellStyle name="Warning Text 2 6 4" xfId="14855" xr:uid="{00000000-0005-0000-0000-00000B3A0000}"/>
    <cellStyle name="Warning Text 2 6 5" xfId="14856" xr:uid="{00000000-0005-0000-0000-00000C3A0000}"/>
    <cellStyle name="Warning Text 2 6 6" xfId="15247" xr:uid="{00000000-0005-0000-0000-0000933B0000}"/>
    <cellStyle name="Warning Text 2 6 7" xfId="19313" xr:uid="{00000000-0005-0000-0000-0000754B0000}"/>
    <cellStyle name="Warning Text 2 6 8" xfId="12503" xr:uid="{00000000-0005-0000-0000-0000DB300000}"/>
    <cellStyle name="Warning Text 2 7" xfId="1865" xr:uid="{00000000-0005-0000-0000-00004D070000}"/>
    <cellStyle name="Warning Text 2 7 2" xfId="14857" xr:uid="{00000000-0005-0000-0000-00000D3A0000}"/>
    <cellStyle name="Warning Text 2 7 3" xfId="14858" xr:uid="{00000000-0005-0000-0000-00000E3A0000}"/>
    <cellStyle name="Warning Text 2 7 4" xfId="14859" xr:uid="{00000000-0005-0000-0000-00000F3A0000}"/>
    <cellStyle name="Warning Text 2 7 5" xfId="14860" xr:uid="{00000000-0005-0000-0000-0000103A0000}"/>
    <cellStyle name="Warning Text 2 7 6" xfId="15248" xr:uid="{00000000-0005-0000-0000-0000943B0000}"/>
    <cellStyle name="Warning Text 2 7 7" xfId="19266" xr:uid="{00000000-0005-0000-0000-0000464B0000}"/>
    <cellStyle name="Warning Text 2 7 8" xfId="12504" xr:uid="{00000000-0005-0000-0000-0000DC300000}"/>
    <cellStyle name="Warning Text 2 8" xfId="1866" xr:uid="{00000000-0005-0000-0000-00004E070000}"/>
    <cellStyle name="Warning Text 2 8 2" xfId="14861" xr:uid="{00000000-0005-0000-0000-0000113A0000}"/>
    <cellStyle name="Warning Text 2 8 3" xfId="14862" xr:uid="{00000000-0005-0000-0000-0000123A0000}"/>
    <cellStyle name="Warning Text 2 8 4" xfId="14863" xr:uid="{00000000-0005-0000-0000-0000133A0000}"/>
    <cellStyle name="Warning Text 2 8 5" xfId="14864" xr:uid="{00000000-0005-0000-0000-0000143A0000}"/>
    <cellStyle name="Warning Text 2 8 6" xfId="15249" xr:uid="{00000000-0005-0000-0000-0000953B0000}"/>
    <cellStyle name="Warning Text 2 8 7" xfId="16729" xr:uid="{00000000-0005-0000-0000-00005D410000}"/>
    <cellStyle name="Warning Text 2 8 8" xfId="12505" xr:uid="{00000000-0005-0000-0000-0000DD300000}"/>
    <cellStyle name="Warning Text 2 9" xfId="1867" xr:uid="{00000000-0005-0000-0000-00004F070000}"/>
    <cellStyle name="Warning Text 2 9 2" xfId="14865" xr:uid="{00000000-0005-0000-0000-0000153A0000}"/>
    <cellStyle name="Warning Text 2 9 3" xfId="14866" xr:uid="{00000000-0005-0000-0000-0000163A0000}"/>
    <cellStyle name="Warning Text 2 9 4" xfId="14867" xr:uid="{00000000-0005-0000-0000-0000173A0000}"/>
    <cellStyle name="Warning Text 2 9 5" xfId="14868" xr:uid="{00000000-0005-0000-0000-0000183A0000}"/>
    <cellStyle name="Warning Text 2 9 6" xfId="15250" xr:uid="{00000000-0005-0000-0000-0000963B0000}"/>
    <cellStyle name="Warning Text 2 9 7" xfId="16709" xr:uid="{00000000-0005-0000-0000-000049410000}"/>
    <cellStyle name="Warning Text 2 9 8" xfId="12506" xr:uid="{00000000-0005-0000-0000-0000DE300000}"/>
    <cellStyle name="Warning Text 20" xfId="7365" xr:uid="{00000000-0005-0000-0000-0000C91C0000}"/>
    <cellStyle name="Warning Text 20 2" xfId="14869" xr:uid="{00000000-0005-0000-0000-0000193A0000}"/>
    <cellStyle name="Warning Text 20 3" xfId="14870" xr:uid="{00000000-0005-0000-0000-00001A3A0000}"/>
    <cellStyle name="Warning Text 20 4" xfId="14871" xr:uid="{00000000-0005-0000-0000-00001B3A0000}"/>
    <cellStyle name="Warning Text 20 5" xfId="14872" xr:uid="{00000000-0005-0000-0000-00001C3A0000}"/>
    <cellStyle name="Warning Text 20 6" xfId="14873" xr:uid="{00000000-0005-0000-0000-00001D3A0000}"/>
    <cellStyle name="Warning Text 20 7" xfId="16305" xr:uid="{00000000-0005-0000-0000-0000B53F0000}"/>
    <cellStyle name="Warning Text 20 8" xfId="15421" xr:uid="{00000000-0005-0000-0000-0000413C0000}"/>
    <cellStyle name="Warning Text 20 9" xfId="12507" xr:uid="{00000000-0005-0000-0000-0000DF300000}"/>
    <cellStyle name="Warning Text 21" xfId="7366" xr:uid="{00000000-0005-0000-0000-0000CA1C0000}"/>
    <cellStyle name="Warning Text 21 2" xfId="14874" xr:uid="{00000000-0005-0000-0000-00001E3A0000}"/>
    <cellStyle name="Warning Text 21 3" xfId="14875" xr:uid="{00000000-0005-0000-0000-00001F3A0000}"/>
    <cellStyle name="Warning Text 21 4" xfId="14876" xr:uid="{00000000-0005-0000-0000-0000203A0000}"/>
    <cellStyle name="Warning Text 21 5" xfId="14877" xr:uid="{00000000-0005-0000-0000-0000213A0000}"/>
    <cellStyle name="Warning Text 21 6" xfId="14878" xr:uid="{00000000-0005-0000-0000-0000223A0000}"/>
    <cellStyle name="Warning Text 21 7" xfId="16306" xr:uid="{00000000-0005-0000-0000-0000B63F0000}"/>
    <cellStyle name="Warning Text 21 8" xfId="19361" xr:uid="{00000000-0005-0000-0000-0000A54B0000}"/>
    <cellStyle name="Warning Text 21 9" xfId="12508" xr:uid="{00000000-0005-0000-0000-0000E0300000}"/>
    <cellStyle name="Warning Text 22" xfId="7367" xr:uid="{00000000-0005-0000-0000-0000CB1C0000}"/>
    <cellStyle name="Warning Text 22 2" xfId="14879" xr:uid="{00000000-0005-0000-0000-0000233A0000}"/>
    <cellStyle name="Warning Text 22 3" xfId="14880" xr:uid="{00000000-0005-0000-0000-0000243A0000}"/>
    <cellStyle name="Warning Text 22 4" xfId="14881" xr:uid="{00000000-0005-0000-0000-0000253A0000}"/>
    <cellStyle name="Warning Text 22 5" xfId="14882" xr:uid="{00000000-0005-0000-0000-0000263A0000}"/>
    <cellStyle name="Warning Text 22 6" xfId="14883" xr:uid="{00000000-0005-0000-0000-0000273A0000}"/>
    <cellStyle name="Warning Text 22 7" xfId="16307" xr:uid="{00000000-0005-0000-0000-0000B73F0000}"/>
    <cellStyle name="Warning Text 22 8" xfId="16683" xr:uid="{00000000-0005-0000-0000-00002F410000}"/>
    <cellStyle name="Warning Text 22 9" xfId="12509" xr:uid="{00000000-0005-0000-0000-0000E1300000}"/>
    <cellStyle name="Warning Text 23" xfId="7368" xr:uid="{00000000-0005-0000-0000-0000CC1C0000}"/>
    <cellStyle name="Warning Text 23 2" xfId="14884" xr:uid="{00000000-0005-0000-0000-0000283A0000}"/>
    <cellStyle name="Warning Text 23 3" xfId="14885" xr:uid="{00000000-0005-0000-0000-0000293A0000}"/>
    <cellStyle name="Warning Text 23 4" xfId="14886" xr:uid="{00000000-0005-0000-0000-00002A3A0000}"/>
    <cellStyle name="Warning Text 23 5" xfId="14887" xr:uid="{00000000-0005-0000-0000-00002B3A0000}"/>
    <cellStyle name="Warning Text 23 6" xfId="14888" xr:uid="{00000000-0005-0000-0000-00002C3A0000}"/>
    <cellStyle name="Warning Text 23 7" xfId="16308" xr:uid="{00000000-0005-0000-0000-0000B83F0000}"/>
    <cellStyle name="Warning Text 23 8" xfId="19525" xr:uid="{00000000-0005-0000-0000-0000494C0000}"/>
    <cellStyle name="Warning Text 23 9" xfId="12510" xr:uid="{00000000-0005-0000-0000-0000E2300000}"/>
    <cellStyle name="Warning Text 24" xfId="7369" xr:uid="{00000000-0005-0000-0000-0000CD1C0000}"/>
    <cellStyle name="Warning Text 24 2" xfId="14889" xr:uid="{00000000-0005-0000-0000-00002D3A0000}"/>
    <cellStyle name="Warning Text 24 3" xfId="14890" xr:uid="{00000000-0005-0000-0000-00002E3A0000}"/>
    <cellStyle name="Warning Text 24 4" xfId="14891" xr:uid="{00000000-0005-0000-0000-00002F3A0000}"/>
    <cellStyle name="Warning Text 24 5" xfId="14892" xr:uid="{00000000-0005-0000-0000-0000303A0000}"/>
    <cellStyle name="Warning Text 24 6" xfId="14893" xr:uid="{00000000-0005-0000-0000-0000313A0000}"/>
    <cellStyle name="Warning Text 24 7" xfId="16309" xr:uid="{00000000-0005-0000-0000-0000B93F0000}"/>
    <cellStyle name="Warning Text 24 8" xfId="17216" xr:uid="{00000000-0005-0000-0000-000044430000}"/>
    <cellStyle name="Warning Text 24 9" xfId="12511" xr:uid="{00000000-0005-0000-0000-0000E3300000}"/>
    <cellStyle name="Warning Text 25" xfId="7370" xr:uid="{00000000-0005-0000-0000-0000CE1C0000}"/>
    <cellStyle name="Warning Text 25 2" xfId="14894" xr:uid="{00000000-0005-0000-0000-0000323A0000}"/>
    <cellStyle name="Warning Text 25 3" xfId="14895" xr:uid="{00000000-0005-0000-0000-0000333A0000}"/>
    <cellStyle name="Warning Text 25 4" xfId="14896" xr:uid="{00000000-0005-0000-0000-0000343A0000}"/>
    <cellStyle name="Warning Text 25 5" xfId="14897" xr:uid="{00000000-0005-0000-0000-0000353A0000}"/>
    <cellStyle name="Warning Text 25 6" xfId="14898" xr:uid="{00000000-0005-0000-0000-0000363A0000}"/>
    <cellStyle name="Warning Text 25 7" xfId="16310" xr:uid="{00000000-0005-0000-0000-0000BA3F0000}"/>
    <cellStyle name="Warning Text 25 8" xfId="15722" xr:uid="{00000000-0005-0000-0000-00006E3D0000}"/>
    <cellStyle name="Warning Text 25 9" xfId="12512" xr:uid="{00000000-0005-0000-0000-0000E4300000}"/>
    <cellStyle name="Warning Text 26" xfId="7371" xr:uid="{00000000-0005-0000-0000-0000CF1C0000}"/>
    <cellStyle name="Warning Text 26 2" xfId="14899" xr:uid="{00000000-0005-0000-0000-0000373A0000}"/>
    <cellStyle name="Warning Text 26 3" xfId="14900" xr:uid="{00000000-0005-0000-0000-0000383A0000}"/>
    <cellStyle name="Warning Text 26 4" xfId="14901" xr:uid="{00000000-0005-0000-0000-0000393A0000}"/>
    <cellStyle name="Warning Text 26 5" xfId="14902" xr:uid="{00000000-0005-0000-0000-00003A3A0000}"/>
    <cellStyle name="Warning Text 26 6" xfId="14903" xr:uid="{00000000-0005-0000-0000-00003B3A0000}"/>
    <cellStyle name="Warning Text 26 7" xfId="16311" xr:uid="{00000000-0005-0000-0000-0000BB3F0000}"/>
    <cellStyle name="Warning Text 26 8" xfId="17295" xr:uid="{00000000-0005-0000-0000-000093430000}"/>
    <cellStyle name="Warning Text 26 9" xfId="12513" xr:uid="{00000000-0005-0000-0000-0000E5300000}"/>
    <cellStyle name="Warning Text 27" xfId="7372" xr:uid="{00000000-0005-0000-0000-0000D01C0000}"/>
    <cellStyle name="Warning Text 27 2" xfId="14904" xr:uid="{00000000-0005-0000-0000-00003C3A0000}"/>
    <cellStyle name="Warning Text 27 3" xfId="14905" xr:uid="{00000000-0005-0000-0000-00003D3A0000}"/>
    <cellStyle name="Warning Text 27 4" xfId="14906" xr:uid="{00000000-0005-0000-0000-00003E3A0000}"/>
    <cellStyle name="Warning Text 27 5" xfId="14907" xr:uid="{00000000-0005-0000-0000-00003F3A0000}"/>
    <cellStyle name="Warning Text 27 6" xfId="14908" xr:uid="{00000000-0005-0000-0000-0000403A0000}"/>
    <cellStyle name="Warning Text 27 7" xfId="16312" xr:uid="{00000000-0005-0000-0000-0000BC3F0000}"/>
    <cellStyle name="Warning Text 27 8" xfId="15268" xr:uid="{00000000-0005-0000-0000-0000A83B0000}"/>
    <cellStyle name="Warning Text 27 9" xfId="12514" xr:uid="{00000000-0005-0000-0000-0000E6300000}"/>
    <cellStyle name="Warning Text 28" xfId="7373" xr:uid="{00000000-0005-0000-0000-0000D11C0000}"/>
    <cellStyle name="Warning Text 28 2" xfId="14909" xr:uid="{00000000-0005-0000-0000-0000413A0000}"/>
    <cellStyle name="Warning Text 28 3" xfId="14910" xr:uid="{00000000-0005-0000-0000-0000423A0000}"/>
    <cellStyle name="Warning Text 28 4" xfId="14911" xr:uid="{00000000-0005-0000-0000-0000433A0000}"/>
    <cellStyle name="Warning Text 28 5" xfId="14912" xr:uid="{00000000-0005-0000-0000-0000443A0000}"/>
    <cellStyle name="Warning Text 28 6" xfId="14913" xr:uid="{00000000-0005-0000-0000-0000453A0000}"/>
    <cellStyle name="Warning Text 28 7" xfId="16313" xr:uid="{00000000-0005-0000-0000-0000BD3F0000}"/>
    <cellStyle name="Warning Text 28 8" xfId="16707" xr:uid="{00000000-0005-0000-0000-000047410000}"/>
    <cellStyle name="Warning Text 28 9" xfId="12515" xr:uid="{00000000-0005-0000-0000-0000E7300000}"/>
    <cellStyle name="Warning Text 29" xfId="7374" xr:uid="{00000000-0005-0000-0000-0000D21C0000}"/>
    <cellStyle name="Warning Text 29 2" xfId="14914" xr:uid="{00000000-0005-0000-0000-0000463A0000}"/>
    <cellStyle name="Warning Text 29 3" xfId="14915" xr:uid="{00000000-0005-0000-0000-0000473A0000}"/>
    <cellStyle name="Warning Text 29 4" xfId="14916" xr:uid="{00000000-0005-0000-0000-0000483A0000}"/>
    <cellStyle name="Warning Text 29 5" xfId="14917" xr:uid="{00000000-0005-0000-0000-0000493A0000}"/>
    <cellStyle name="Warning Text 29 6" xfId="14918" xr:uid="{00000000-0005-0000-0000-00004A3A0000}"/>
    <cellStyle name="Warning Text 29 7" xfId="16314" xr:uid="{00000000-0005-0000-0000-0000BE3F0000}"/>
    <cellStyle name="Warning Text 29 8" xfId="19370" xr:uid="{00000000-0005-0000-0000-0000AE4B0000}"/>
    <cellStyle name="Warning Text 29 9" xfId="12516" xr:uid="{00000000-0005-0000-0000-0000E8300000}"/>
    <cellStyle name="Warning Text 3" xfId="201" xr:uid="{00000000-0005-0000-0000-0000CD000000}"/>
    <cellStyle name="Warning Text 3 2" xfId="7375" xr:uid="{00000000-0005-0000-0000-0000D31C0000}"/>
    <cellStyle name="Warning Text 3 2 2" xfId="16315" xr:uid="{00000000-0005-0000-0000-0000BF3F0000}"/>
    <cellStyle name="Warning Text 3 2 3" xfId="15535" xr:uid="{00000000-0005-0000-0000-0000B33C0000}"/>
    <cellStyle name="Warning Text 3 2 4" xfId="12518" xr:uid="{00000000-0005-0000-0000-0000EA300000}"/>
    <cellStyle name="Warning Text 3 3" xfId="14919" xr:uid="{00000000-0005-0000-0000-00004B3A0000}"/>
    <cellStyle name="Warning Text 3 4" xfId="14920" xr:uid="{00000000-0005-0000-0000-00004C3A0000}"/>
    <cellStyle name="Warning Text 3 5" xfId="14921" xr:uid="{00000000-0005-0000-0000-00004D3A0000}"/>
    <cellStyle name="Warning Text 3 6" xfId="14922" xr:uid="{00000000-0005-0000-0000-00004E3A0000}"/>
    <cellStyle name="Warning Text 3 7" xfId="15251" xr:uid="{00000000-0005-0000-0000-0000973B0000}"/>
    <cellStyle name="Warning Text 3 8" xfId="17217" xr:uid="{00000000-0005-0000-0000-000045430000}"/>
    <cellStyle name="Warning Text 3 9" xfId="12517" xr:uid="{00000000-0005-0000-0000-0000E9300000}"/>
    <cellStyle name="Warning Text 30" xfId="7376" xr:uid="{00000000-0005-0000-0000-0000D41C0000}"/>
    <cellStyle name="Warning Text 30 2" xfId="14923" xr:uid="{00000000-0005-0000-0000-00004F3A0000}"/>
    <cellStyle name="Warning Text 30 3" xfId="14924" xr:uid="{00000000-0005-0000-0000-0000503A0000}"/>
    <cellStyle name="Warning Text 30 4" xfId="14925" xr:uid="{00000000-0005-0000-0000-0000513A0000}"/>
    <cellStyle name="Warning Text 30 5" xfId="14926" xr:uid="{00000000-0005-0000-0000-0000523A0000}"/>
    <cellStyle name="Warning Text 30 6" xfId="14927" xr:uid="{00000000-0005-0000-0000-0000533A0000}"/>
    <cellStyle name="Warning Text 30 7" xfId="16316" xr:uid="{00000000-0005-0000-0000-0000C03F0000}"/>
    <cellStyle name="Warning Text 30 8" xfId="19236" xr:uid="{00000000-0005-0000-0000-0000284B0000}"/>
    <cellStyle name="Warning Text 30 9" xfId="12519" xr:uid="{00000000-0005-0000-0000-0000EB300000}"/>
    <cellStyle name="Warning Text 31" xfId="7377" xr:uid="{00000000-0005-0000-0000-0000D51C0000}"/>
    <cellStyle name="Warning Text 31 2" xfId="14928" xr:uid="{00000000-0005-0000-0000-0000543A0000}"/>
    <cellStyle name="Warning Text 31 3" xfId="14929" xr:uid="{00000000-0005-0000-0000-0000553A0000}"/>
    <cellStyle name="Warning Text 31 4" xfId="14930" xr:uid="{00000000-0005-0000-0000-0000563A0000}"/>
    <cellStyle name="Warning Text 31 5" xfId="14931" xr:uid="{00000000-0005-0000-0000-0000573A0000}"/>
    <cellStyle name="Warning Text 31 6" xfId="14932" xr:uid="{00000000-0005-0000-0000-0000583A0000}"/>
    <cellStyle name="Warning Text 31 7" xfId="16317" xr:uid="{00000000-0005-0000-0000-0000C13F0000}"/>
    <cellStyle name="Warning Text 31 8" xfId="17543" xr:uid="{00000000-0005-0000-0000-00008B440000}"/>
    <cellStyle name="Warning Text 31 9" xfId="12520" xr:uid="{00000000-0005-0000-0000-0000EC300000}"/>
    <cellStyle name="Warning Text 32" xfId="7378" xr:uid="{00000000-0005-0000-0000-0000D61C0000}"/>
    <cellStyle name="Warning Text 32 2" xfId="14933" xr:uid="{00000000-0005-0000-0000-0000593A0000}"/>
    <cellStyle name="Warning Text 32 3" xfId="14934" xr:uid="{00000000-0005-0000-0000-00005A3A0000}"/>
    <cellStyle name="Warning Text 32 4" xfId="14935" xr:uid="{00000000-0005-0000-0000-00005B3A0000}"/>
    <cellStyle name="Warning Text 32 5" xfId="14936" xr:uid="{00000000-0005-0000-0000-00005C3A0000}"/>
    <cellStyle name="Warning Text 32 6" xfId="14937" xr:uid="{00000000-0005-0000-0000-00005D3A0000}"/>
    <cellStyle name="Warning Text 32 7" xfId="16318" xr:uid="{00000000-0005-0000-0000-0000C23F0000}"/>
    <cellStyle name="Warning Text 32 8" xfId="19512" xr:uid="{00000000-0005-0000-0000-00003C4C0000}"/>
    <cellStyle name="Warning Text 32 9" xfId="12521" xr:uid="{00000000-0005-0000-0000-0000ED300000}"/>
    <cellStyle name="Warning Text 33" xfId="7379" xr:uid="{00000000-0005-0000-0000-0000D71C0000}"/>
    <cellStyle name="Warning Text 33 2" xfId="14938" xr:uid="{00000000-0005-0000-0000-00005E3A0000}"/>
    <cellStyle name="Warning Text 33 3" xfId="14939" xr:uid="{00000000-0005-0000-0000-00005F3A0000}"/>
    <cellStyle name="Warning Text 33 4" xfId="14940" xr:uid="{00000000-0005-0000-0000-0000603A0000}"/>
    <cellStyle name="Warning Text 33 5" xfId="14941" xr:uid="{00000000-0005-0000-0000-0000613A0000}"/>
    <cellStyle name="Warning Text 33 6" xfId="14942" xr:uid="{00000000-0005-0000-0000-0000623A0000}"/>
    <cellStyle name="Warning Text 33 7" xfId="16319" xr:uid="{00000000-0005-0000-0000-0000C33F0000}"/>
    <cellStyle name="Warning Text 33 8" xfId="15511" xr:uid="{00000000-0005-0000-0000-00009B3C0000}"/>
    <cellStyle name="Warning Text 33 9" xfId="12522" xr:uid="{00000000-0005-0000-0000-0000EE300000}"/>
    <cellStyle name="Warning Text 34" xfId="7380" xr:uid="{00000000-0005-0000-0000-0000D81C0000}"/>
    <cellStyle name="Warning Text 34 2" xfId="14943" xr:uid="{00000000-0005-0000-0000-0000633A0000}"/>
    <cellStyle name="Warning Text 34 3" xfId="14944" xr:uid="{00000000-0005-0000-0000-0000643A0000}"/>
    <cellStyle name="Warning Text 34 4" xfId="14945" xr:uid="{00000000-0005-0000-0000-0000653A0000}"/>
    <cellStyle name="Warning Text 34 5" xfId="14946" xr:uid="{00000000-0005-0000-0000-0000663A0000}"/>
    <cellStyle name="Warning Text 34 6" xfId="14947" xr:uid="{00000000-0005-0000-0000-0000673A0000}"/>
    <cellStyle name="Warning Text 34 7" xfId="16320" xr:uid="{00000000-0005-0000-0000-0000C43F0000}"/>
    <cellStyle name="Warning Text 34 8" xfId="19522" xr:uid="{00000000-0005-0000-0000-0000464C0000}"/>
    <cellStyle name="Warning Text 34 9" xfId="12523" xr:uid="{00000000-0005-0000-0000-0000EF300000}"/>
    <cellStyle name="Warning Text 35" xfId="7381" xr:uid="{00000000-0005-0000-0000-0000D91C0000}"/>
    <cellStyle name="Warning Text 35 2" xfId="14948" xr:uid="{00000000-0005-0000-0000-0000683A0000}"/>
    <cellStyle name="Warning Text 35 3" xfId="14949" xr:uid="{00000000-0005-0000-0000-0000693A0000}"/>
    <cellStyle name="Warning Text 35 4" xfId="14950" xr:uid="{00000000-0005-0000-0000-00006A3A0000}"/>
    <cellStyle name="Warning Text 35 5" xfId="14951" xr:uid="{00000000-0005-0000-0000-00006B3A0000}"/>
    <cellStyle name="Warning Text 35 6" xfId="14952" xr:uid="{00000000-0005-0000-0000-00006C3A0000}"/>
    <cellStyle name="Warning Text 35 7" xfId="16321" xr:uid="{00000000-0005-0000-0000-0000C53F0000}"/>
    <cellStyle name="Warning Text 35 8" xfId="19063" xr:uid="{00000000-0005-0000-0000-00007B4A0000}"/>
    <cellStyle name="Warning Text 35 9" xfId="12524" xr:uid="{00000000-0005-0000-0000-0000F0300000}"/>
    <cellStyle name="Warning Text 36" xfId="7382" xr:uid="{00000000-0005-0000-0000-0000DA1C0000}"/>
    <cellStyle name="Warning Text 36 2" xfId="14953" xr:uid="{00000000-0005-0000-0000-00006D3A0000}"/>
    <cellStyle name="Warning Text 36 3" xfId="14954" xr:uid="{00000000-0005-0000-0000-00006E3A0000}"/>
    <cellStyle name="Warning Text 36 4" xfId="14955" xr:uid="{00000000-0005-0000-0000-00006F3A0000}"/>
    <cellStyle name="Warning Text 36 5" xfId="14956" xr:uid="{00000000-0005-0000-0000-0000703A0000}"/>
    <cellStyle name="Warning Text 36 6" xfId="14957" xr:uid="{00000000-0005-0000-0000-0000713A0000}"/>
    <cellStyle name="Warning Text 36 7" xfId="16322" xr:uid="{00000000-0005-0000-0000-0000C63F0000}"/>
    <cellStyle name="Warning Text 36 8" xfId="19073" xr:uid="{00000000-0005-0000-0000-0000854A0000}"/>
    <cellStyle name="Warning Text 36 9" xfId="12525" xr:uid="{00000000-0005-0000-0000-0000F1300000}"/>
    <cellStyle name="Warning Text 37" xfId="7383" xr:uid="{00000000-0005-0000-0000-0000DB1C0000}"/>
    <cellStyle name="Warning Text 37 2" xfId="14958" xr:uid="{00000000-0005-0000-0000-0000723A0000}"/>
    <cellStyle name="Warning Text 37 3" xfId="14959" xr:uid="{00000000-0005-0000-0000-0000733A0000}"/>
    <cellStyle name="Warning Text 37 4" xfId="14960" xr:uid="{00000000-0005-0000-0000-0000743A0000}"/>
    <cellStyle name="Warning Text 37 5" xfId="14961" xr:uid="{00000000-0005-0000-0000-0000753A0000}"/>
    <cellStyle name="Warning Text 37 6" xfId="14962" xr:uid="{00000000-0005-0000-0000-0000763A0000}"/>
    <cellStyle name="Warning Text 37 7" xfId="16323" xr:uid="{00000000-0005-0000-0000-0000C73F0000}"/>
    <cellStyle name="Warning Text 37 8" xfId="15739" xr:uid="{00000000-0005-0000-0000-00007F3D0000}"/>
    <cellStyle name="Warning Text 37 9" xfId="12526" xr:uid="{00000000-0005-0000-0000-0000F2300000}"/>
    <cellStyle name="Warning Text 38" xfId="7384" xr:uid="{00000000-0005-0000-0000-0000DC1C0000}"/>
    <cellStyle name="Warning Text 38 2" xfId="14963" xr:uid="{00000000-0005-0000-0000-0000773A0000}"/>
    <cellStyle name="Warning Text 38 3" xfId="14964" xr:uid="{00000000-0005-0000-0000-0000783A0000}"/>
    <cellStyle name="Warning Text 38 4" xfId="14965" xr:uid="{00000000-0005-0000-0000-0000793A0000}"/>
    <cellStyle name="Warning Text 38 5" xfId="14966" xr:uid="{00000000-0005-0000-0000-00007A3A0000}"/>
    <cellStyle name="Warning Text 38 6" xfId="14967" xr:uid="{00000000-0005-0000-0000-00007B3A0000}"/>
    <cellStyle name="Warning Text 38 7" xfId="16324" xr:uid="{00000000-0005-0000-0000-0000C83F0000}"/>
    <cellStyle name="Warning Text 38 8" xfId="19180" xr:uid="{00000000-0005-0000-0000-0000F04A0000}"/>
    <cellStyle name="Warning Text 38 9" xfId="12527" xr:uid="{00000000-0005-0000-0000-0000F3300000}"/>
    <cellStyle name="Warning Text 39" xfId="7385" xr:uid="{00000000-0005-0000-0000-0000DD1C0000}"/>
    <cellStyle name="Warning Text 39 2" xfId="14968" xr:uid="{00000000-0005-0000-0000-00007C3A0000}"/>
    <cellStyle name="Warning Text 39 3" xfId="14969" xr:uid="{00000000-0005-0000-0000-00007D3A0000}"/>
    <cellStyle name="Warning Text 39 4" xfId="14970" xr:uid="{00000000-0005-0000-0000-00007E3A0000}"/>
    <cellStyle name="Warning Text 39 5" xfId="14971" xr:uid="{00000000-0005-0000-0000-00007F3A0000}"/>
    <cellStyle name="Warning Text 39 6" xfId="14972" xr:uid="{00000000-0005-0000-0000-0000803A0000}"/>
    <cellStyle name="Warning Text 39 7" xfId="16325" xr:uid="{00000000-0005-0000-0000-0000C93F0000}"/>
    <cellStyle name="Warning Text 39 8" xfId="19455" xr:uid="{00000000-0005-0000-0000-0000034C0000}"/>
    <cellStyle name="Warning Text 39 9" xfId="12528" xr:uid="{00000000-0005-0000-0000-0000F4300000}"/>
    <cellStyle name="Warning Text 4" xfId="7386" xr:uid="{00000000-0005-0000-0000-0000DE1C0000}"/>
    <cellStyle name="Warning Text 4 10" xfId="12529" xr:uid="{00000000-0005-0000-0000-0000F5300000}"/>
    <cellStyle name="Warning Text 4 2" xfId="14973" xr:uid="{00000000-0005-0000-0000-0000813A0000}"/>
    <cellStyle name="Warning Text 4 2 2" xfId="14974" xr:uid="{00000000-0005-0000-0000-0000823A0000}"/>
    <cellStyle name="Warning Text 4 2 3" xfId="14975" xr:uid="{00000000-0005-0000-0000-0000833A0000}"/>
    <cellStyle name="Warning Text 4 2 4" xfId="14976" xr:uid="{00000000-0005-0000-0000-0000843A0000}"/>
    <cellStyle name="Warning Text 4 2 5" xfId="14977" xr:uid="{00000000-0005-0000-0000-0000853A0000}"/>
    <cellStyle name="Warning Text 4 3" xfId="14978" xr:uid="{00000000-0005-0000-0000-0000863A0000}"/>
    <cellStyle name="Warning Text 4 4" xfId="14979" xr:uid="{00000000-0005-0000-0000-0000873A0000}"/>
    <cellStyle name="Warning Text 4 5" xfId="14980" xr:uid="{00000000-0005-0000-0000-0000883A0000}"/>
    <cellStyle name="Warning Text 4 6" xfId="14981" xr:uid="{00000000-0005-0000-0000-0000893A0000}"/>
    <cellStyle name="Warning Text 4 7" xfId="14982" xr:uid="{00000000-0005-0000-0000-00008A3A0000}"/>
    <cellStyle name="Warning Text 4 8" xfId="16326" xr:uid="{00000000-0005-0000-0000-0000CA3F0000}"/>
    <cellStyle name="Warning Text 4 9" xfId="15445" xr:uid="{00000000-0005-0000-0000-0000593C0000}"/>
    <cellStyle name="Warning Text 40" xfId="7387" xr:uid="{00000000-0005-0000-0000-0000DF1C0000}"/>
    <cellStyle name="Warning Text 40 2" xfId="14983" xr:uid="{00000000-0005-0000-0000-00008B3A0000}"/>
    <cellStyle name="Warning Text 40 3" xfId="14984" xr:uid="{00000000-0005-0000-0000-00008C3A0000}"/>
    <cellStyle name="Warning Text 40 4" xfId="14985" xr:uid="{00000000-0005-0000-0000-00008D3A0000}"/>
    <cellStyle name="Warning Text 40 5" xfId="14986" xr:uid="{00000000-0005-0000-0000-00008E3A0000}"/>
    <cellStyle name="Warning Text 40 6" xfId="14987" xr:uid="{00000000-0005-0000-0000-00008F3A0000}"/>
    <cellStyle name="Warning Text 40 7" xfId="16327" xr:uid="{00000000-0005-0000-0000-0000CB3F0000}"/>
    <cellStyle name="Warning Text 40 8" xfId="19253" xr:uid="{00000000-0005-0000-0000-0000394B0000}"/>
    <cellStyle name="Warning Text 40 9" xfId="12530" xr:uid="{00000000-0005-0000-0000-0000F6300000}"/>
    <cellStyle name="Warning Text 41" xfId="7388" xr:uid="{00000000-0005-0000-0000-0000E01C0000}"/>
    <cellStyle name="Warning Text 41 2" xfId="14988" xr:uid="{00000000-0005-0000-0000-0000903A0000}"/>
    <cellStyle name="Warning Text 41 3" xfId="14989" xr:uid="{00000000-0005-0000-0000-0000913A0000}"/>
    <cellStyle name="Warning Text 41 4" xfId="14990" xr:uid="{00000000-0005-0000-0000-0000923A0000}"/>
    <cellStyle name="Warning Text 41 5" xfId="14991" xr:uid="{00000000-0005-0000-0000-0000933A0000}"/>
    <cellStyle name="Warning Text 41 6" xfId="14992" xr:uid="{00000000-0005-0000-0000-0000943A0000}"/>
    <cellStyle name="Warning Text 41 7" xfId="16328" xr:uid="{00000000-0005-0000-0000-0000CC3F0000}"/>
    <cellStyle name="Warning Text 41 8" xfId="16668" xr:uid="{00000000-0005-0000-0000-000020410000}"/>
    <cellStyle name="Warning Text 41 9" xfId="12531" xr:uid="{00000000-0005-0000-0000-0000F7300000}"/>
    <cellStyle name="Warning Text 5" xfId="7389" xr:uid="{00000000-0005-0000-0000-0000E11C0000}"/>
    <cellStyle name="Warning Text 5 10" xfId="12532" xr:uid="{00000000-0005-0000-0000-0000F8300000}"/>
    <cellStyle name="Warning Text 5 2" xfId="14993" xr:uid="{00000000-0005-0000-0000-0000953A0000}"/>
    <cellStyle name="Warning Text 5 2 2" xfId="14994" xr:uid="{00000000-0005-0000-0000-0000963A0000}"/>
    <cellStyle name="Warning Text 5 2 3" xfId="14995" xr:uid="{00000000-0005-0000-0000-0000973A0000}"/>
    <cellStyle name="Warning Text 5 2 4" xfId="14996" xr:uid="{00000000-0005-0000-0000-0000983A0000}"/>
    <cellStyle name="Warning Text 5 2 5" xfId="14997" xr:uid="{00000000-0005-0000-0000-0000993A0000}"/>
    <cellStyle name="Warning Text 5 3" xfId="14998" xr:uid="{00000000-0005-0000-0000-00009A3A0000}"/>
    <cellStyle name="Warning Text 5 4" xfId="14999" xr:uid="{00000000-0005-0000-0000-00009B3A0000}"/>
    <cellStyle name="Warning Text 5 5" xfId="15000" xr:uid="{00000000-0005-0000-0000-00009C3A0000}"/>
    <cellStyle name="Warning Text 5 6" xfId="15001" xr:uid="{00000000-0005-0000-0000-00009D3A0000}"/>
    <cellStyle name="Warning Text 5 7" xfId="15002" xr:uid="{00000000-0005-0000-0000-00009E3A0000}"/>
    <cellStyle name="Warning Text 5 8" xfId="16329" xr:uid="{00000000-0005-0000-0000-0000CD3F0000}"/>
    <cellStyle name="Warning Text 5 9" xfId="19185" xr:uid="{00000000-0005-0000-0000-0000F54A0000}"/>
    <cellStyle name="Warning Text 6" xfId="7390" xr:uid="{00000000-0005-0000-0000-0000E21C0000}"/>
    <cellStyle name="Warning Text 6 10" xfId="12533" xr:uid="{00000000-0005-0000-0000-0000F9300000}"/>
    <cellStyle name="Warning Text 6 2" xfId="15003" xr:uid="{00000000-0005-0000-0000-00009F3A0000}"/>
    <cellStyle name="Warning Text 6 2 2" xfId="15004" xr:uid="{00000000-0005-0000-0000-0000A03A0000}"/>
    <cellStyle name="Warning Text 6 2 3" xfId="15005" xr:uid="{00000000-0005-0000-0000-0000A13A0000}"/>
    <cellStyle name="Warning Text 6 2 4" xfId="15006" xr:uid="{00000000-0005-0000-0000-0000A23A0000}"/>
    <cellStyle name="Warning Text 6 2 5" xfId="15007" xr:uid="{00000000-0005-0000-0000-0000A33A0000}"/>
    <cellStyle name="Warning Text 6 3" xfId="15008" xr:uid="{00000000-0005-0000-0000-0000A43A0000}"/>
    <cellStyle name="Warning Text 6 4" xfId="15009" xr:uid="{00000000-0005-0000-0000-0000A53A0000}"/>
    <cellStyle name="Warning Text 6 5" xfId="15010" xr:uid="{00000000-0005-0000-0000-0000A63A0000}"/>
    <cellStyle name="Warning Text 6 6" xfId="15011" xr:uid="{00000000-0005-0000-0000-0000A73A0000}"/>
    <cellStyle name="Warning Text 6 7" xfId="15012" xr:uid="{00000000-0005-0000-0000-0000A83A0000}"/>
    <cellStyle name="Warning Text 6 8" xfId="16330" xr:uid="{00000000-0005-0000-0000-0000CE3F0000}"/>
    <cellStyle name="Warning Text 6 9" xfId="16695" xr:uid="{00000000-0005-0000-0000-00003B410000}"/>
    <cellStyle name="Warning Text 7" xfId="7391" xr:uid="{00000000-0005-0000-0000-0000E31C0000}"/>
    <cellStyle name="Warning Text 7 2" xfId="15013" xr:uid="{00000000-0005-0000-0000-0000A93A0000}"/>
    <cellStyle name="Warning Text 7 3" xfId="15014" xr:uid="{00000000-0005-0000-0000-0000AA3A0000}"/>
    <cellStyle name="Warning Text 7 4" xfId="15015" xr:uid="{00000000-0005-0000-0000-0000AB3A0000}"/>
    <cellStyle name="Warning Text 7 5" xfId="15016" xr:uid="{00000000-0005-0000-0000-0000AC3A0000}"/>
    <cellStyle name="Warning Text 7 6" xfId="15017" xr:uid="{00000000-0005-0000-0000-0000AD3A0000}"/>
    <cellStyle name="Warning Text 7 7" xfId="16331" xr:uid="{00000000-0005-0000-0000-0000CF3F0000}"/>
    <cellStyle name="Warning Text 7 8" xfId="15618" xr:uid="{00000000-0005-0000-0000-0000063D0000}"/>
    <cellStyle name="Warning Text 7 9" xfId="12534" xr:uid="{00000000-0005-0000-0000-0000FA300000}"/>
    <cellStyle name="Warning Text 8" xfId="7392" xr:uid="{00000000-0005-0000-0000-0000E41C0000}"/>
    <cellStyle name="Warning Text 8 2" xfId="15018" xr:uid="{00000000-0005-0000-0000-0000AE3A0000}"/>
    <cellStyle name="Warning Text 8 3" xfId="15019" xr:uid="{00000000-0005-0000-0000-0000AF3A0000}"/>
    <cellStyle name="Warning Text 8 4" xfId="15020" xr:uid="{00000000-0005-0000-0000-0000B03A0000}"/>
    <cellStyle name="Warning Text 8 5" xfId="15021" xr:uid="{00000000-0005-0000-0000-0000B13A0000}"/>
    <cellStyle name="Warning Text 8 6" xfId="15022" xr:uid="{00000000-0005-0000-0000-0000B23A0000}"/>
    <cellStyle name="Warning Text 8 7" xfId="16332" xr:uid="{00000000-0005-0000-0000-0000D03F0000}"/>
    <cellStyle name="Warning Text 8 8" xfId="15937" xr:uid="{00000000-0005-0000-0000-0000453E0000}"/>
    <cellStyle name="Warning Text 8 9" xfId="12535" xr:uid="{00000000-0005-0000-0000-0000FB300000}"/>
    <cellStyle name="Warning Text 9" xfId="7393" xr:uid="{00000000-0005-0000-0000-0000E51C0000}"/>
    <cellStyle name="Warning Text 9 2" xfId="15023" xr:uid="{00000000-0005-0000-0000-0000B33A0000}"/>
    <cellStyle name="Warning Text 9 3" xfId="15024" xr:uid="{00000000-0005-0000-0000-0000B43A0000}"/>
    <cellStyle name="Warning Text 9 4" xfId="15025" xr:uid="{00000000-0005-0000-0000-0000B53A0000}"/>
    <cellStyle name="Warning Text 9 5" xfId="15026" xr:uid="{00000000-0005-0000-0000-0000B63A0000}"/>
    <cellStyle name="Warning Text 9 6" xfId="15027" xr:uid="{00000000-0005-0000-0000-0000B73A0000}"/>
    <cellStyle name="Warning Text 9 7" xfId="16333" xr:uid="{00000000-0005-0000-0000-0000D13F0000}"/>
    <cellStyle name="Warning Text 9 8" xfId="19489" xr:uid="{00000000-0005-0000-0000-0000254C0000}"/>
    <cellStyle name="Warning Text 9 9" xfId="12536" xr:uid="{00000000-0005-0000-0000-0000FC300000}"/>
    <cellStyle name="Zelle überprüfen" xfId="7394" xr:uid="{00000000-0005-0000-0000-0000E61C0000}"/>
    <cellStyle name="Zelle überprüfen 2" xfId="15028" xr:uid="{00000000-0005-0000-0000-0000B83A0000}"/>
    <cellStyle name="Zelle überprüfen 3" xfId="15029" xr:uid="{00000000-0005-0000-0000-0000B93A0000}"/>
    <cellStyle name="Zelle überprüfen 4" xfId="15030" xr:uid="{00000000-0005-0000-0000-0000BA3A0000}"/>
    <cellStyle name="Zelle überprüfen 5" xfId="15031" xr:uid="{00000000-0005-0000-0000-0000BB3A0000}"/>
    <cellStyle name="Zelle überprüfen 6" xfId="15032" xr:uid="{00000000-0005-0000-0000-0000BC3A0000}"/>
    <cellStyle name="Zelle überprüfen 7" xfId="16334" xr:uid="{00000000-0005-0000-0000-0000D23F0000}"/>
    <cellStyle name="Zelle überprüfen 8" xfId="19359" xr:uid="{00000000-0005-0000-0000-0000A34B0000}"/>
    <cellStyle name="Zelle überprüfen 9" xfId="12537" xr:uid="{00000000-0005-0000-0000-0000FD300000}"/>
    <cellStyle name="Гиперссылка" xfId="7395" xr:uid="{00000000-0005-0000-0000-0000E71C0000}"/>
    <cellStyle name="Гиперссылка 2" xfId="15033" xr:uid="{00000000-0005-0000-0000-0000BD3A0000}"/>
    <cellStyle name="Гиперссылка 3" xfId="15034" xr:uid="{00000000-0005-0000-0000-0000BE3A0000}"/>
    <cellStyle name="Гиперссылка 4" xfId="15035" xr:uid="{00000000-0005-0000-0000-0000BF3A0000}"/>
    <cellStyle name="Гиперссылка 5" xfId="15036" xr:uid="{00000000-0005-0000-0000-0000C03A0000}"/>
    <cellStyle name="Гиперссылка 6" xfId="15037" xr:uid="{00000000-0005-0000-0000-0000C13A0000}"/>
    <cellStyle name="Гиперссылка 7" xfId="16335" xr:uid="{00000000-0005-0000-0000-0000D33F0000}"/>
    <cellStyle name="Гиперссылка 8" xfId="15477" xr:uid="{00000000-0005-0000-0000-0000793C0000}"/>
    <cellStyle name="Гиперссылка 9" xfId="12538" xr:uid="{00000000-0005-0000-0000-0000FE300000}"/>
    <cellStyle name="Обычный_2++" xfId="7396" xr:uid="{00000000-0005-0000-0000-0000E81C0000}"/>
    <cellStyle name="已访问的超链接" xfId="1868" xr:uid="{00000000-0005-0000-0000-000050070000}"/>
    <cellStyle name="已访问的超链接 2" xfId="15038" xr:uid="{00000000-0005-0000-0000-0000C23A0000}"/>
    <cellStyle name="已访问的超链接 3" xfId="15039" xr:uid="{00000000-0005-0000-0000-0000C33A0000}"/>
    <cellStyle name="已访问的超链接 4" xfId="15040" xr:uid="{00000000-0005-0000-0000-0000C43A0000}"/>
    <cellStyle name="已访问的超链接 5" xfId="15041" xr:uid="{00000000-0005-0000-0000-0000C53A0000}"/>
    <cellStyle name="已访问的超链接 6" xfId="15042" xr:uid="{00000000-0005-0000-0000-0000C63A0000}"/>
    <cellStyle name="已访问的超链接 7" xfId="15252" xr:uid="{00000000-0005-0000-0000-0000983B0000}"/>
    <cellStyle name="已访问的超链接 8" xfId="16344" xr:uid="{00000000-0005-0000-0000-0000DC3F0000}"/>
    <cellStyle name="已访问的超链接 9" xfId="12539" xr:uid="{00000000-0005-0000-0000-0000FF3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AB0F-F6EA-4327-8D63-84C4E46F9CAF}">
  <dimension ref="A2:T32"/>
  <sheetViews>
    <sheetView workbookViewId="0"/>
  </sheetViews>
  <sheetFormatPr defaultColWidth="8.86328125" defaultRowHeight="14.25"/>
  <cols>
    <col min="6" max="6" width="12.1328125" bestFit="1" customWidth="1"/>
    <col min="7" max="7" width="12.86328125" bestFit="1" customWidth="1"/>
    <col min="9" max="9" width="7.86328125" bestFit="1" customWidth="1"/>
    <col min="10" max="10" width="7.86328125" customWidth="1"/>
    <col min="11" max="11" width="5" bestFit="1" customWidth="1"/>
    <col min="12" max="12" width="5.86328125" bestFit="1" customWidth="1"/>
    <col min="14" max="14" width="12.3984375" bestFit="1" customWidth="1"/>
    <col min="15" max="15" width="12.86328125" bestFit="1" customWidth="1"/>
    <col min="19" max="19" width="5" bestFit="1" customWidth="1"/>
    <col min="20" max="20" width="5.86328125" bestFit="1" customWidth="1"/>
  </cols>
  <sheetData>
    <row r="2" spans="1:20">
      <c r="F2" t="s">
        <v>480</v>
      </c>
      <c r="N2" t="s">
        <v>480</v>
      </c>
    </row>
    <row r="3" spans="1:20">
      <c r="B3" t="s">
        <v>469</v>
      </c>
      <c r="C3" t="s">
        <v>470</v>
      </c>
      <c r="D3" t="s">
        <v>471</v>
      </c>
      <c r="F3" t="s">
        <v>478</v>
      </c>
      <c r="G3" t="s">
        <v>7</v>
      </c>
      <c r="H3" t="s">
        <v>476</v>
      </c>
      <c r="I3" t="s">
        <v>126</v>
      </c>
      <c r="J3" t="s">
        <v>137</v>
      </c>
      <c r="K3">
        <v>2020</v>
      </c>
      <c r="L3">
        <v>2050</v>
      </c>
      <c r="N3" t="s">
        <v>478</v>
      </c>
      <c r="O3" t="s">
        <v>7</v>
      </c>
      <c r="P3" t="s">
        <v>476</v>
      </c>
      <c r="Q3" t="s">
        <v>126</v>
      </c>
      <c r="R3" t="s">
        <v>137</v>
      </c>
      <c r="S3">
        <v>2020</v>
      </c>
      <c r="T3">
        <v>2050</v>
      </c>
    </row>
    <row r="4" spans="1:20">
      <c r="A4">
        <v>1</v>
      </c>
      <c r="B4" t="s">
        <v>638</v>
      </c>
      <c r="C4" t="s">
        <v>472</v>
      </c>
      <c r="D4" t="str">
        <f>C4</f>
        <v>Eme</v>
      </c>
      <c r="F4" t="str">
        <f>B4</f>
        <v>Africa_other</v>
      </c>
      <c r="G4" t="s">
        <v>475</v>
      </c>
      <c r="H4" t="s">
        <v>116</v>
      </c>
      <c r="I4" t="s">
        <v>477</v>
      </c>
      <c r="J4" s="11" t="s">
        <v>495</v>
      </c>
      <c r="K4">
        <f>L4+0.1</f>
        <v>0.30000000000000004</v>
      </c>
      <c r="L4">
        <v>0.2</v>
      </c>
      <c r="N4" t="str">
        <f>F4</f>
        <v>Africa_other</v>
      </c>
      <c r="O4" t="s">
        <v>475</v>
      </c>
      <c r="P4" t="s">
        <v>116</v>
      </c>
      <c r="Q4" t="s">
        <v>479</v>
      </c>
      <c r="R4" s="11" t="s">
        <v>496</v>
      </c>
      <c r="S4">
        <f>T4+0.1</f>
        <v>0.4</v>
      </c>
      <c r="T4">
        <f>L4+0.1</f>
        <v>0.30000000000000004</v>
      </c>
    </row>
    <row r="5" spans="1:20">
      <c r="A5">
        <f>A4+1</f>
        <v>2</v>
      </c>
      <c r="B5" t="s">
        <v>122</v>
      </c>
      <c r="C5" t="s">
        <v>472</v>
      </c>
      <c r="D5" t="str">
        <f t="shared" ref="D5:D32" si="0">C5</f>
        <v>Eme</v>
      </c>
      <c r="F5" t="str">
        <f t="shared" ref="F5:F25" si="1">B5</f>
        <v>India</v>
      </c>
      <c r="G5" t="s">
        <v>475</v>
      </c>
      <c r="H5" t="s">
        <v>116</v>
      </c>
      <c r="I5" t="s">
        <v>477</v>
      </c>
      <c r="J5" s="11" t="s">
        <v>495</v>
      </c>
      <c r="K5">
        <f t="shared" ref="K5:K25" si="2">L5+0.1</f>
        <v>0.30000000000000004</v>
      </c>
      <c r="L5">
        <f>L4</f>
        <v>0.2</v>
      </c>
      <c r="N5" t="str">
        <f t="shared" ref="N5:N25" si="3">F5</f>
        <v>India</v>
      </c>
      <c r="O5" t="s">
        <v>475</v>
      </c>
      <c r="P5" t="s">
        <v>116</v>
      </c>
      <c r="Q5" t="s">
        <v>479</v>
      </c>
      <c r="R5" s="11" t="s">
        <v>496</v>
      </c>
      <c r="S5">
        <f t="shared" ref="S5:S25" si="4">T5+0.1</f>
        <v>0.4</v>
      </c>
      <c r="T5">
        <f t="shared" ref="T5:T25" si="5">L5+0.1</f>
        <v>0.30000000000000004</v>
      </c>
    </row>
    <row r="6" spans="1:20">
      <c r="A6">
        <f t="shared" ref="A6:A32" si="6">A5+1</f>
        <v>3</v>
      </c>
      <c r="B6" t="s">
        <v>642</v>
      </c>
      <c r="C6" t="s">
        <v>472</v>
      </c>
      <c r="D6" t="str">
        <f t="shared" si="0"/>
        <v>Eme</v>
      </c>
      <c r="F6" t="str">
        <f t="shared" si="1"/>
        <v>Asia_other</v>
      </c>
      <c r="G6" t="s">
        <v>475</v>
      </c>
      <c r="H6" t="s">
        <v>116</v>
      </c>
      <c r="I6" t="s">
        <v>477</v>
      </c>
      <c r="J6" s="11" t="s">
        <v>495</v>
      </c>
      <c r="K6">
        <f t="shared" si="2"/>
        <v>0.30000000000000004</v>
      </c>
      <c r="L6">
        <f t="shared" ref="L6:L13" si="7">L5</f>
        <v>0.2</v>
      </c>
      <c r="N6" t="str">
        <f t="shared" si="3"/>
        <v>Asia_other</v>
      </c>
      <c r="O6" t="s">
        <v>475</v>
      </c>
      <c r="P6" t="s">
        <v>116</v>
      </c>
      <c r="Q6" t="s">
        <v>479</v>
      </c>
      <c r="R6" s="11" t="s">
        <v>496</v>
      </c>
      <c r="S6">
        <f t="shared" si="4"/>
        <v>0.4</v>
      </c>
      <c r="T6">
        <f t="shared" si="5"/>
        <v>0.30000000000000004</v>
      </c>
    </row>
    <row r="7" spans="1:20">
      <c r="A7">
        <f t="shared" si="6"/>
        <v>4</v>
      </c>
      <c r="B7" t="s">
        <v>640</v>
      </c>
      <c r="C7" t="s">
        <v>472</v>
      </c>
      <c r="D7" t="str">
        <f t="shared" si="0"/>
        <v>Eme</v>
      </c>
      <c r="F7" t="str">
        <f t="shared" si="1"/>
        <v>Asia_central</v>
      </c>
      <c r="G7" t="s">
        <v>475</v>
      </c>
      <c r="H7" t="s">
        <v>116</v>
      </c>
      <c r="I7" t="s">
        <v>477</v>
      </c>
      <c r="J7" s="11" t="s">
        <v>495</v>
      </c>
      <c r="K7">
        <f t="shared" si="2"/>
        <v>0.30000000000000004</v>
      </c>
      <c r="L7">
        <f t="shared" si="7"/>
        <v>0.2</v>
      </c>
      <c r="N7" t="str">
        <f t="shared" si="3"/>
        <v>Asia_central</v>
      </c>
      <c r="O7" t="s">
        <v>475</v>
      </c>
      <c r="P7" t="s">
        <v>116</v>
      </c>
      <c r="Q7" t="s">
        <v>479</v>
      </c>
      <c r="R7" s="11" t="s">
        <v>496</v>
      </c>
      <c r="S7">
        <f t="shared" si="4"/>
        <v>0.4</v>
      </c>
      <c r="T7">
        <f t="shared" si="5"/>
        <v>0.30000000000000004</v>
      </c>
    </row>
    <row r="8" spans="1:20">
      <c r="A8">
        <f t="shared" si="6"/>
        <v>5</v>
      </c>
      <c r="B8" t="s">
        <v>654</v>
      </c>
      <c r="C8" t="s">
        <v>472</v>
      </c>
      <c r="D8" t="str">
        <f t="shared" si="0"/>
        <v>Eme</v>
      </c>
      <c r="F8" t="str">
        <f t="shared" si="1"/>
        <v>LatAm_other</v>
      </c>
      <c r="G8" t="s">
        <v>475</v>
      </c>
      <c r="H8" t="s">
        <v>116</v>
      </c>
      <c r="I8" t="s">
        <v>477</v>
      </c>
      <c r="J8" s="11" t="s">
        <v>495</v>
      </c>
      <c r="K8">
        <f t="shared" si="2"/>
        <v>0.30000000000000004</v>
      </c>
      <c r="L8">
        <f t="shared" si="7"/>
        <v>0.2</v>
      </c>
      <c r="N8" t="str">
        <f t="shared" si="3"/>
        <v>LatAm_other</v>
      </c>
      <c r="O8" t="s">
        <v>475</v>
      </c>
      <c r="P8" t="s">
        <v>116</v>
      </c>
      <c r="Q8" t="s">
        <v>479</v>
      </c>
      <c r="R8" s="11" t="s">
        <v>496</v>
      </c>
      <c r="S8">
        <f t="shared" si="4"/>
        <v>0.4</v>
      </c>
      <c r="T8">
        <f t="shared" si="5"/>
        <v>0.30000000000000004</v>
      </c>
    </row>
    <row r="9" spans="1:20">
      <c r="A9">
        <f t="shared" si="6"/>
        <v>6</v>
      </c>
      <c r="B9" t="s">
        <v>644</v>
      </c>
      <c r="C9" t="s">
        <v>472</v>
      </c>
      <c r="D9" t="str">
        <f t="shared" si="0"/>
        <v>Eme</v>
      </c>
      <c r="F9" t="str">
        <f t="shared" si="1"/>
        <v>Brazil</v>
      </c>
      <c r="G9" t="s">
        <v>475</v>
      </c>
      <c r="H9" t="s">
        <v>116</v>
      </c>
      <c r="I9" t="s">
        <v>477</v>
      </c>
      <c r="J9" s="11" t="s">
        <v>495</v>
      </c>
      <c r="K9">
        <f t="shared" si="2"/>
        <v>0.30000000000000004</v>
      </c>
      <c r="L9">
        <f t="shared" si="7"/>
        <v>0.2</v>
      </c>
      <c r="N9" t="str">
        <f t="shared" si="3"/>
        <v>Brazil</v>
      </c>
      <c r="O9" t="s">
        <v>475</v>
      </c>
      <c r="P9" t="s">
        <v>116</v>
      </c>
      <c r="Q9" t="s">
        <v>479</v>
      </c>
      <c r="R9" s="11" t="s">
        <v>496</v>
      </c>
      <c r="S9">
        <f t="shared" si="4"/>
        <v>0.4</v>
      </c>
      <c r="T9">
        <f t="shared" si="5"/>
        <v>0.30000000000000004</v>
      </c>
    </row>
    <row r="10" spans="1:20">
      <c r="A10">
        <f t="shared" si="6"/>
        <v>7</v>
      </c>
      <c r="B10" t="s">
        <v>637</v>
      </c>
      <c r="C10" t="s">
        <v>472</v>
      </c>
      <c r="D10" t="str">
        <f t="shared" si="0"/>
        <v>Eme</v>
      </c>
      <c r="F10" t="str">
        <f t="shared" si="1"/>
        <v>Africa_north</v>
      </c>
      <c r="G10" t="s">
        <v>475</v>
      </c>
      <c r="H10" t="s">
        <v>116</v>
      </c>
      <c r="I10" t="s">
        <v>477</v>
      </c>
      <c r="J10" s="11" t="s">
        <v>495</v>
      </c>
      <c r="K10">
        <f t="shared" si="2"/>
        <v>0.30000000000000004</v>
      </c>
      <c r="L10">
        <f t="shared" si="7"/>
        <v>0.2</v>
      </c>
      <c r="N10" t="str">
        <f t="shared" si="3"/>
        <v>Africa_north</v>
      </c>
      <c r="O10" t="s">
        <v>475</v>
      </c>
      <c r="P10" t="s">
        <v>116</v>
      </c>
      <c r="Q10" t="s">
        <v>479</v>
      </c>
      <c r="R10" s="11" t="s">
        <v>496</v>
      </c>
      <c r="S10">
        <f t="shared" si="4"/>
        <v>0.4</v>
      </c>
      <c r="T10">
        <f t="shared" si="5"/>
        <v>0.30000000000000004</v>
      </c>
    </row>
    <row r="11" spans="1:20">
      <c r="A11">
        <f t="shared" si="6"/>
        <v>8</v>
      </c>
      <c r="B11" t="s">
        <v>659</v>
      </c>
      <c r="C11" t="s">
        <v>472</v>
      </c>
      <c r="D11" t="s">
        <v>472</v>
      </c>
      <c r="F11" t="str">
        <f t="shared" si="1"/>
        <v>SouthAfrica</v>
      </c>
      <c r="G11" t="s">
        <v>475</v>
      </c>
      <c r="H11" t="s">
        <v>116</v>
      </c>
      <c r="I11" t="s">
        <v>477</v>
      </c>
      <c r="J11" s="11" t="s">
        <v>495</v>
      </c>
      <c r="K11">
        <f t="shared" si="2"/>
        <v>0.30000000000000004</v>
      </c>
      <c r="L11">
        <f t="shared" si="7"/>
        <v>0.2</v>
      </c>
      <c r="N11" t="str">
        <f t="shared" si="3"/>
        <v>SouthAfrica</v>
      </c>
      <c r="O11" t="s">
        <v>475</v>
      </c>
      <c r="P11" t="s">
        <v>116</v>
      </c>
      <c r="Q11" t="s">
        <v>479</v>
      </c>
      <c r="R11" s="11" t="s">
        <v>496</v>
      </c>
      <c r="S11">
        <f t="shared" si="4"/>
        <v>0.4</v>
      </c>
      <c r="T11">
        <f t="shared" si="5"/>
        <v>0.30000000000000004</v>
      </c>
    </row>
    <row r="12" spans="1:20">
      <c r="A12">
        <f t="shared" si="6"/>
        <v>9</v>
      </c>
      <c r="B12" t="s">
        <v>656</v>
      </c>
      <c r="C12" t="s">
        <v>472</v>
      </c>
      <c r="D12" t="str">
        <f t="shared" si="0"/>
        <v>Eme</v>
      </c>
      <c r="F12" t="str">
        <f t="shared" si="1"/>
        <v>MidEast_other</v>
      </c>
      <c r="G12" t="s">
        <v>475</v>
      </c>
      <c r="H12" t="s">
        <v>116</v>
      </c>
      <c r="I12" t="s">
        <v>477</v>
      </c>
      <c r="J12" s="11" t="s">
        <v>495</v>
      </c>
      <c r="K12">
        <f t="shared" si="2"/>
        <v>0.30000000000000004</v>
      </c>
      <c r="L12">
        <f t="shared" si="7"/>
        <v>0.2</v>
      </c>
      <c r="N12" t="str">
        <f t="shared" si="3"/>
        <v>MidEast_other</v>
      </c>
      <c r="O12" t="s">
        <v>475</v>
      </c>
      <c r="P12" t="s">
        <v>116</v>
      </c>
      <c r="Q12" t="s">
        <v>479</v>
      </c>
      <c r="R12" s="11" t="s">
        <v>496</v>
      </c>
      <c r="S12">
        <f t="shared" si="4"/>
        <v>0.4</v>
      </c>
      <c r="T12">
        <f t="shared" si="5"/>
        <v>0.30000000000000004</v>
      </c>
    </row>
    <row r="13" spans="1:20">
      <c r="A13">
        <f t="shared" si="6"/>
        <v>10</v>
      </c>
      <c r="B13" t="s">
        <v>655</v>
      </c>
      <c r="C13" t="s">
        <v>472</v>
      </c>
      <c r="D13" t="str">
        <f t="shared" si="0"/>
        <v>Eme</v>
      </c>
      <c r="F13" t="str">
        <f t="shared" si="1"/>
        <v>Mexico</v>
      </c>
      <c r="G13" t="s">
        <v>475</v>
      </c>
      <c r="H13" t="s">
        <v>116</v>
      </c>
      <c r="I13" t="s">
        <v>477</v>
      </c>
      <c r="J13" s="11" t="s">
        <v>495</v>
      </c>
      <c r="K13">
        <f t="shared" ref="K13:K14" si="8">L13+0.1</f>
        <v>0.30000000000000004</v>
      </c>
      <c r="L13">
        <f t="shared" si="7"/>
        <v>0.2</v>
      </c>
      <c r="N13" t="str">
        <f t="shared" si="3"/>
        <v>Mexico</v>
      </c>
      <c r="O13" t="s">
        <v>475</v>
      </c>
      <c r="P13" t="s">
        <v>116</v>
      </c>
      <c r="Q13" t="s">
        <v>479</v>
      </c>
      <c r="R13" s="11" t="s">
        <v>496</v>
      </c>
      <c r="S13">
        <f t="shared" si="4"/>
        <v>0.4</v>
      </c>
      <c r="T13">
        <f t="shared" si="5"/>
        <v>0.30000000000000004</v>
      </c>
    </row>
    <row r="14" spans="1:20">
      <c r="A14">
        <f t="shared" si="6"/>
        <v>11</v>
      </c>
      <c r="B14" t="s">
        <v>652</v>
      </c>
      <c r="C14" t="s">
        <v>473</v>
      </c>
      <c r="D14" t="str">
        <f t="shared" si="0"/>
        <v>Dev</v>
      </c>
      <c r="F14" t="str">
        <f t="shared" si="1"/>
        <v>Europe_other</v>
      </c>
      <c r="G14" t="s">
        <v>475</v>
      </c>
      <c r="H14" t="s">
        <v>116</v>
      </c>
      <c r="I14" t="s">
        <v>477</v>
      </c>
      <c r="J14" s="11" t="s">
        <v>495</v>
      </c>
      <c r="K14">
        <f t="shared" si="8"/>
        <v>0.2</v>
      </c>
      <c r="L14">
        <f>L13-0.1</f>
        <v>0.1</v>
      </c>
      <c r="N14" t="str">
        <f t="shared" si="3"/>
        <v>Europe_other</v>
      </c>
      <c r="O14" t="s">
        <v>475</v>
      </c>
      <c r="P14" t="s">
        <v>116</v>
      </c>
      <c r="Q14" t="s">
        <v>479</v>
      </c>
      <c r="R14" s="11" t="s">
        <v>496</v>
      </c>
      <c r="S14">
        <f t="shared" si="4"/>
        <v>0.30000000000000004</v>
      </c>
      <c r="T14">
        <f t="shared" si="5"/>
        <v>0.2</v>
      </c>
    </row>
    <row r="15" spans="1:20">
      <c r="A15">
        <f t="shared" si="6"/>
        <v>12</v>
      </c>
      <c r="B15" t="s">
        <v>639</v>
      </c>
      <c r="C15" t="s">
        <v>473</v>
      </c>
      <c r="D15" t="str">
        <f t="shared" si="0"/>
        <v>Dev</v>
      </c>
      <c r="F15" t="str">
        <f t="shared" si="1"/>
        <v>Arg-Chi</v>
      </c>
      <c r="G15" t="s">
        <v>475</v>
      </c>
      <c r="H15" t="s">
        <v>116</v>
      </c>
      <c r="I15" t="s">
        <v>477</v>
      </c>
      <c r="J15" s="11" t="s">
        <v>495</v>
      </c>
      <c r="K15">
        <f t="shared" si="2"/>
        <v>0.2</v>
      </c>
      <c r="L15">
        <f t="shared" ref="L15:L32" si="9">L14</f>
        <v>0.1</v>
      </c>
      <c r="N15" t="str">
        <f t="shared" si="3"/>
        <v>Arg-Chi</v>
      </c>
      <c r="O15" t="s">
        <v>475</v>
      </c>
      <c r="P15" t="s">
        <v>116</v>
      </c>
      <c r="Q15" t="s">
        <v>479</v>
      </c>
      <c r="R15" s="11" t="s">
        <v>496</v>
      </c>
      <c r="S15">
        <f t="shared" si="4"/>
        <v>0.30000000000000004</v>
      </c>
      <c r="T15">
        <f t="shared" si="5"/>
        <v>0.2</v>
      </c>
    </row>
    <row r="16" spans="1:20">
      <c r="A16">
        <f t="shared" si="6"/>
        <v>13</v>
      </c>
      <c r="B16" t="s">
        <v>123</v>
      </c>
      <c r="C16" t="s">
        <v>473</v>
      </c>
      <c r="D16" t="str">
        <f t="shared" si="0"/>
        <v>Dev</v>
      </c>
      <c r="F16" t="str">
        <f t="shared" si="1"/>
        <v>Russia</v>
      </c>
      <c r="G16" t="s">
        <v>475</v>
      </c>
      <c r="H16" t="s">
        <v>116</v>
      </c>
      <c r="I16" t="s">
        <v>477</v>
      </c>
      <c r="J16" s="11" t="s">
        <v>495</v>
      </c>
      <c r="K16">
        <f t="shared" si="2"/>
        <v>0.2</v>
      </c>
      <c r="L16">
        <f t="shared" si="9"/>
        <v>0.1</v>
      </c>
      <c r="N16" t="str">
        <f t="shared" si="3"/>
        <v>Russia</v>
      </c>
      <c r="O16" t="s">
        <v>475</v>
      </c>
      <c r="P16" t="s">
        <v>116</v>
      </c>
      <c r="Q16" t="s">
        <v>479</v>
      </c>
      <c r="R16" s="11" t="s">
        <v>496</v>
      </c>
      <c r="S16">
        <f t="shared" si="4"/>
        <v>0.30000000000000004</v>
      </c>
      <c r="T16">
        <f t="shared" si="5"/>
        <v>0.2</v>
      </c>
    </row>
    <row r="17" spans="1:20">
      <c r="A17">
        <f t="shared" si="6"/>
        <v>14</v>
      </c>
      <c r="B17" t="s">
        <v>650</v>
      </c>
      <c r="C17" t="s">
        <v>473</v>
      </c>
      <c r="D17" t="str">
        <f t="shared" si="0"/>
        <v>Dev</v>
      </c>
      <c r="F17" t="str">
        <f t="shared" si="1"/>
        <v>EU_southeast</v>
      </c>
      <c r="G17" t="s">
        <v>475</v>
      </c>
      <c r="H17" t="s">
        <v>116</v>
      </c>
      <c r="I17" t="s">
        <v>477</v>
      </c>
      <c r="J17" s="11" t="s">
        <v>495</v>
      </c>
      <c r="K17">
        <f t="shared" si="2"/>
        <v>0.2</v>
      </c>
      <c r="L17">
        <f t="shared" si="9"/>
        <v>0.1</v>
      </c>
      <c r="N17" t="str">
        <f t="shared" si="3"/>
        <v>EU_southeast</v>
      </c>
      <c r="O17" t="s">
        <v>475</v>
      </c>
      <c r="P17" t="s">
        <v>116</v>
      </c>
      <c r="Q17" t="s">
        <v>479</v>
      </c>
      <c r="R17" s="11" t="s">
        <v>496</v>
      </c>
      <c r="S17">
        <f t="shared" si="4"/>
        <v>0.30000000000000004</v>
      </c>
      <c r="T17">
        <f t="shared" si="5"/>
        <v>0.2</v>
      </c>
    </row>
    <row r="18" spans="1:20">
      <c r="A18">
        <f t="shared" si="6"/>
        <v>15</v>
      </c>
      <c r="B18" t="s">
        <v>651</v>
      </c>
      <c r="C18" t="s">
        <v>473</v>
      </c>
      <c r="D18" t="str">
        <f t="shared" si="0"/>
        <v>Dev</v>
      </c>
      <c r="F18" t="str">
        <f t="shared" si="1"/>
        <v>EU_southwest</v>
      </c>
      <c r="G18" t="s">
        <v>475</v>
      </c>
      <c r="H18" t="s">
        <v>116</v>
      </c>
      <c r="I18" t="s">
        <v>477</v>
      </c>
      <c r="J18" s="11" t="s">
        <v>495</v>
      </c>
      <c r="K18">
        <f t="shared" si="2"/>
        <v>0.2</v>
      </c>
      <c r="L18">
        <f t="shared" si="9"/>
        <v>0.1</v>
      </c>
      <c r="N18" t="str">
        <f t="shared" si="3"/>
        <v>EU_southwest</v>
      </c>
      <c r="O18" t="s">
        <v>475</v>
      </c>
      <c r="P18" t="s">
        <v>116</v>
      </c>
      <c r="Q18" t="s">
        <v>479</v>
      </c>
      <c r="R18" s="11" t="s">
        <v>496</v>
      </c>
      <c r="S18">
        <f t="shared" si="4"/>
        <v>0.30000000000000004</v>
      </c>
      <c r="T18">
        <f t="shared" si="5"/>
        <v>0.2</v>
      </c>
    </row>
    <row r="19" spans="1:20">
      <c r="A19">
        <f t="shared" si="6"/>
        <v>16</v>
      </c>
      <c r="B19" t="s">
        <v>121</v>
      </c>
      <c r="C19" t="s">
        <v>473</v>
      </c>
      <c r="D19" t="s">
        <v>474</v>
      </c>
      <c r="F19" t="str">
        <f t="shared" si="1"/>
        <v>China</v>
      </c>
      <c r="G19" t="s">
        <v>475</v>
      </c>
      <c r="H19" t="s">
        <v>116</v>
      </c>
      <c r="I19" t="s">
        <v>477</v>
      </c>
      <c r="J19" s="11" t="s">
        <v>495</v>
      </c>
      <c r="K19">
        <f t="shared" si="2"/>
        <v>0.2</v>
      </c>
      <c r="L19">
        <f t="shared" si="9"/>
        <v>0.1</v>
      </c>
      <c r="N19" t="str">
        <f t="shared" si="3"/>
        <v>China</v>
      </c>
      <c r="O19" t="s">
        <v>475</v>
      </c>
      <c r="P19" t="s">
        <v>116</v>
      </c>
      <c r="Q19" t="s">
        <v>479</v>
      </c>
      <c r="R19" s="11" t="s">
        <v>496</v>
      </c>
      <c r="S19">
        <f t="shared" si="4"/>
        <v>0.30000000000000004</v>
      </c>
      <c r="T19">
        <f t="shared" si="5"/>
        <v>0.2</v>
      </c>
    </row>
    <row r="20" spans="1:20">
      <c r="A20">
        <f t="shared" si="6"/>
        <v>17</v>
      </c>
      <c r="B20" t="s">
        <v>649</v>
      </c>
      <c r="C20" t="s">
        <v>473</v>
      </c>
      <c r="D20" t="str">
        <f t="shared" si="0"/>
        <v>Dev</v>
      </c>
      <c r="F20" t="str">
        <f t="shared" si="1"/>
        <v>EU_south</v>
      </c>
      <c r="G20" t="s">
        <v>475</v>
      </c>
      <c r="H20" t="s">
        <v>116</v>
      </c>
      <c r="I20" t="s">
        <v>477</v>
      </c>
      <c r="J20" s="11" t="s">
        <v>495</v>
      </c>
      <c r="K20">
        <f t="shared" si="2"/>
        <v>0.2</v>
      </c>
      <c r="L20">
        <f t="shared" si="9"/>
        <v>0.1</v>
      </c>
      <c r="N20" t="str">
        <f t="shared" si="3"/>
        <v>EU_south</v>
      </c>
      <c r="O20" t="s">
        <v>475</v>
      </c>
      <c r="P20" t="s">
        <v>116</v>
      </c>
      <c r="Q20" t="s">
        <v>479</v>
      </c>
      <c r="R20" s="11" t="s">
        <v>496</v>
      </c>
      <c r="S20">
        <f t="shared" si="4"/>
        <v>0.30000000000000004</v>
      </c>
      <c r="T20">
        <f t="shared" si="5"/>
        <v>0.2</v>
      </c>
    </row>
    <row r="21" spans="1:20">
      <c r="A21">
        <f t="shared" si="6"/>
        <v>18</v>
      </c>
      <c r="B21" t="s">
        <v>647</v>
      </c>
      <c r="C21" t="s">
        <v>473</v>
      </c>
      <c r="D21" t="str">
        <f t="shared" si="0"/>
        <v>Dev</v>
      </c>
      <c r="F21" t="str">
        <f t="shared" si="1"/>
        <v>EU_northeast</v>
      </c>
      <c r="G21" t="s">
        <v>475</v>
      </c>
      <c r="H21" t="s">
        <v>116</v>
      </c>
      <c r="I21" t="s">
        <v>477</v>
      </c>
      <c r="J21" s="11" t="s">
        <v>495</v>
      </c>
      <c r="K21">
        <f t="shared" si="2"/>
        <v>0.2</v>
      </c>
      <c r="L21">
        <f t="shared" si="9"/>
        <v>0.1</v>
      </c>
      <c r="N21" t="str">
        <f t="shared" si="3"/>
        <v>EU_northeast</v>
      </c>
      <c r="O21" t="s">
        <v>475</v>
      </c>
      <c r="P21" t="s">
        <v>116</v>
      </c>
      <c r="Q21" t="s">
        <v>479</v>
      </c>
      <c r="R21" s="11" t="s">
        <v>496</v>
      </c>
      <c r="S21">
        <f t="shared" si="4"/>
        <v>0.30000000000000004</v>
      </c>
      <c r="T21">
        <f t="shared" si="5"/>
        <v>0.2</v>
      </c>
    </row>
    <row r="22" spans="1:20">
      <c r="A22">
        <f t="shared" si="6"/>
        <v>19</v>
      </c>
      <c r="B22" t="s">
        <v>653</v>
      </c>
      <c r="C22" t="s">
        <v>473</v>
      </c>
      <c r="D22" t="str">
        <f t="shared" si="0"/>
        <v>Dev</v>
      </c>
      <c r="F22" t="str">
        <f t="shared" si="1"/>
        <v>France</v>
      </c>
      <c r="G22" t="s">
        <v>475</v>
      </c>
      <c r="H22" t="s">
        <v>116</v>
      </c>
      <c r="I22" t="s">
        <v>477</v>
      </c>
      <c r="J22" s="11" t="s">
        <v>495</v>
      </c>
      <c r="K22">
        <f t="shared" si="2"/>
        <v>0.2</v>
      </c>
      <c r="L22">
        <f t="shared" si="9"/>
        <v>0.1</v>
      </c>
      <c r="N22" t="str">
        <f t="shared" si="3"/>
        <v>France</v>
      </c>
      <c r="O22" t="s">
        <v>475</v>
      </c>
      <c r="P22" t="s">
        <v>116</v>
      </c>
      <c r="Q22" t="s">
        <v>479</v>
      </c>
      <c r="R22" s="11" t="s">
        <v>496</v>
      </c>
      <c r="S22">
        <f t="shared" si="4"/>
        <v>0.30000000000000004</v>
      </c>
      <c r="T22">
        <f t="shared" si="5"/>
        <v>0.2</v>
      </c>
    </row>
    <row r="23" spans="1:20">
      <c r="A23">
        <f t="shared" si="6"/>
        <v>20</v>
      </c>
      <c r="B23" t="s">
        <v>660</v>
      </c>
      <c r="C23" t="s">
        <v>473</v>
      </c>
      <c r="D23" t="str">
        <f t="shared" si="0"/>
        <v>Dev</v>
      </c>
      <c r="F23" t="str">
        <f t="shared" si="1"/>
        <v>UK</v>
      </c>
      <c r="G23" t="s">
        <v>475</v>
      </c>
      <c r="H23" t="s">
        <v>116</v>
      </c>
      <c r="I23" t="s">
        <v>477</v>
      </c>
      <c r="J23" s="11" t="s">
        <v>495</v>
      </c>
      <c r="K23">
        <f t="shared" si="2"/>
        <v>0.2</v>
      </c>
      <c r="L23">
        <f t="shared" si="9"/>
        <v>0.1</v>
      </c>
      <c r="N23" t="str">
        <f t="shared" si="3"/>
        <v>UK</v>
      </c>
      <c r="O23" t="s">
        <v>475</v>
      </c>
      <c r="P23" t="s">
        <v>116</v>
      </c>
      <c r="Q23" t="s">
        <v>479</v>
      </c>
      <c r="R23" s="11" t="s">
        <v>496</v>
      </c>
      <c r="S23">
        <f t="shared" si="4"/>
        <v>0.30000000000000004</v>
      </c>
      <c r="T23">
        <f t="shared" si="5"/>
        <v>0.2</v>
      </c>
    </row>
    <row r="24" spans="1:20">
      <c r="A24">
        <f t="shared" si="6"/>
        <v>21</v>
      </c>
      <c r="B24" t="s">
        <v>643</v>
      </c>
      <c r="C24" t="s">
        <v>473</v>
      </c>
      <c r="D24" t="str">
        <f t="shared" si="0"/>
        <v>Dev</v>
      </c>
      <c r="F24" t="str">
        <f t="shared" si="1"/>
        <v>Australia_NZ</v>
      </c>
      <c r="G24" t="s">
        <v>475</v>
      </c>
      <c r="H24" t="s">
        <v>116</v>
      </c>
      <c r="I24" t="s">
        <v>477</v>
      </c>
      <c r="J24" s="11" t="s">
        <v>495</v>
      </c>
      <c r="K24">
        <f t="shared" si="2"/>
        <v>0.2</v>
      </c>
      <c r="L24">
        <f t="shared" si="9"/>
        <v>0.1</v>
      </c>
      <c r="N24" t="str">
        <f t="shared" si="3"/>
        <v>Australia_NZ</v>
      </c>
      <c r="O24" t="s">
        <v>475</v>
      </c>
      <c r="P24" t="s">
        <v>116</v>
      </c>
      <c r="Q24" t="s">
        <v>479</v>
      </c>
      <c r="R24" s="11" t="s">
        <v>496</v>
      </c>
      <c r="S24">
        <f t="shared" si="4"/>
        <v>0.30000000000000004</v>
      </c>
      <c r="T24">
        <f t="shared" si="5"/>
        <v>0.2</v>
      </c>
    </row>
    <row r="25" spans="1:20">
      <c r="A25">
        <f t="shared" si="6"/>
        <v>22</v>
      </c>
      <c r="B25" t="s">
        <v>658</v>
      </c>
      <c r="C25" t="s">
        <v>473</v>
      </c>
      <c r="D25" t="str">
        <f t="shared" si="0"/>
        <v>Dev</v>
      </c>
      <c r="F25" t="str">
        <f t="shared" si="1"/>
        <v>SaudiArabia</v>
      </c>
      <c r="G25" t="s">
        <v>475</v>
      </c>
      <c r="H25" t="s">
        <v>116</v>
      </c>
      <c r="I25" t="s">
        <v>477</v>
      </c>
      <c r="J25" s="11" t="s">
        <v>495</v>
      </c>
      <c r="K25">
        <f t="shared" si="2"/>
        <v>0.2</v>
      </c>
      <c r="L25">
        <f t="shared" si="9"/>
        <v>0.1</v>
      </c>
      <c r="N25" t="str">
        <f t="shared" si="3"/>
        <v>SaudiArabia</v>
      </c>
      <c r="O25" t="s">
        <v>475</v>
      </c>
      <c r="P25" t="s">
        <v>116</v>
      </c>
      <c r="Q25" t="s">
        <v>479</v>
      </c>
      <c r="R25" s="11" t="s">
        <v>496</v>
      </c>
      <c r="S25">
        <f t="shared" si="4"/>
        <v>0.30000000000000004</v>
      </c>
      <c r="T25">
        <f t="shared" si="5"/>
        <v>0.2</v>
      </c>
    </row>
    <row r="26" spans="1:20">
      <c r="A26">
        <f t="shared" si="6"/>
        <v>23</v>
      </c>
      <c r="B26" t="s">
        <v>646</v>
      </c>
      <c r="C26" t="s">
        <v>473</v>
      </c>
      <c r="D26" t="str">
        <f t="shared" si="0"/>
        <v>Dev</v>
      </c>
      <c r="F26" t="str">
        <f t="shared" ref="F26:F27" si="10">B26</f>
        <v>EU_north</v>
      </c>
      <c r="G26" t="s">
        <v>475</v>
      </c>
      <c r="H26" t="s">
        <v>116</v>
      </c>
      <c r="I26" t="s">
        <v>477</v>
      </c>
      <c r="J26" s="11" t="s">
        <v>495</v>
      </c>
      <c r="K26">
        <f t="shared" ref="K26:K27" si="11">L26+0.1</f>
        <v>0.2</v>
      </c>
      <c r="L26">
        <f t="shared" si="9"/>
        <v>0.1</v>
      </c>
      <c r="N26" t="str">
        <f t="shared" ref="N26:N27" si="12">F26</f>
        <v>EU_north</v>
      </c>
      <c r="O26" t="s">
        <v>475</v>
      </c>
      <c r="P26" t="s">
        <v>116</v>
      </c>
      <c r="Q26" t="s">
        <v>479</v>
      </c>
      <c r="R26" s="11" t="s">
        <v>496</v>
      </c>
      <c r="S26">
        <f t="shared" ref="S26:S27" si="13">T26+0.1</f>
        <v>0.30000000000000004</v>
      </c>
      <c r="T26">
        <f t="shared" ref="T26:T27" si="14">L26+0.1</f>
        <v>0.2</v>
      </c>
    </row>
    <row r="27" spans="1:20">
      <c r="A27">
        <f t="shared" si="6"/>
        <v>24</v>
      </c>
      <c r="B27" t="s">
        <v>636</v>
      </c>
      <c r="C27" t="s">
        <v>473</v>
      </c>
      <c r="D27" t="str">
        <f t="shared" si="0"/>
        <v>Dev</v>
      </c>
      <c r="F27" t="str">
        <f t="shared" si="10"/>
        <v>Germany</v>
      </c>
      <c r="G27" t="s">
        <v>475</v>
      </c>
      <c r="H27" t="s">
        <v>116</v>
      </c>
      <c r="I27" t="s">
        <v>477</v>
      </c>
      <c r="J27" s="11" t="s">
        <v>495</v>
      </c>
      <c r="K27">
        <f t="shared" si="11"/>
        <v>0.2</v>
      </c>
      <c r="L27">
        <f t="shared" si="9"/>
        <v>0.1</v>
      </c>
      <c r="N27" t="str">
        <f t="shared" si="12"/>
        <v>Germany</v>
      </c>
      <c r="O27" t="s">
        <v>475</v>
      </c>
      <c r="P27" t="s">
        <v>116</v>
      </c>
      <c r="Q27" t="s">
        <v>479</v>
      </c>
      <c r="R27" s="11" t="s">
        <v>496</v>
      </c>
      <c r="S27">
        <f t="shared" si="13"/>
        <v>0.30000000000000004</v>
      </c>
      <c r="T27">
        <f t="shared" si="14"/>
        <v>0.2</v>
      </c>
    </row>
    <row r="28" spans="1:20">
      <c r="A28">
        <f t="shared" si="6"/>
        <v>25</v>
      </c>
      <c r="B28" t="s">
        <v>645</v>
      </c>
      <c r="C28" t="s">
        <v>473</v>
      </c>
      <c r="D28" t="str">
        <f t="shared" si="0"/>
        <v>Dev</v>
      </c>
      <c r="F28" t="str">
        <f t="shared" ref="F28:F32" si="15">B28</f>
        <v>Canada</v>
      </c>
      <c r="G28" t="s">
        <v>475</v>
      </c>
      <c r="H28" t="s">
        <v>116</v>
      </c>
      <c r="I28" t="s">
        <v>477</v>
      </c>
      <c r="J28" s="11" t="s">
        <v>495</v>
      </c>
      <c r="K28">
        <f t="shared" ref="K28:K32" si="16">L28+0.1</f>
        <v>0.2</v>
      </c>
      <c r="L28">
        <f t="shared" si="9"/>
        <v>0.1</v>
      </c>
      <c r="N28" t="str">
        <f t="shared" ref="N28:N32" si="17">F28</f>
        <v>Canada</v>
      </c>
      <c r="O28" t="s">
        <v>475</v>
      </c>
      <c r="P28" t="s">
        <v>116</v>
      </c>
      <c r="Q28" t="s">
        <v>479</v>
      </c>
      <c r="R28" s="11" t="s">
        <v>496</v>
      </c>
      <c r="S28">
        <f t="shared" ref="S28:S32" si="18">T28+0.1</f>
        <v>0.30000000000000004</v>
      </c>
      <c r="T28">
        <f t="shared" ref="T28:T32" si="19">L28+0.1</f>
        <v>0.2</v>
      </c>
    </row>
    <row r="29" spans="1:20">
      <c r="A29">
        <f t="shared" si="6"/>
        <v>26</v>
      </c>
      <c r="B29" t="s">
        <v>641</v>
      </c>
      <c r="C29" t="s">
        <v>473</v>
      </c>
      <c r="D29" t="str">
        <f t="shared" si="0"/>
        <v>Dev</v>
      </c>
      <c r="F29" t="str">
        <f t="shared" si="15"/>
        <v>Asia_east</v>
      </c>
      <c r="G29" t="s">
        <v>475</v>
      </c>
      <c r="H29" t="s">
        <v>116</v>
      </c>
      <c r="I29" t="s">
        <v>477</v>
      </c>
      <c r="J29" s="11" t="s">
        <v>495</v>
      </c>
      <c r="K29">
        <f t="shared" si="16"/>
        <v>0.2</v>
      </c>
      <c r="L29">
        <f t="shared" si="9"/>
        <v>0.1</v>
      </c>
      <c r="N29" t="str">
        <f t="shared" si="17"/>
        <v>Asia_east</v>
      </c>
      <c r="O29" t="s">
        <v>475</v>
      </c>
      <c r="P29" t="s">
        <v>116</v>
      </c>
      <c r="Q29" t="s">
        <v>479</v>
      </c>
      <c r="R29" s="11" t="s">
        <v>496</v>
      </c>
      <c r="S29">
        <f t="shared" si="18"/>
        <v>0.30000000000000004</v>
      </c>
      <c r="T29">
        <f t="shared" si="19"/>
        <v>0.2</v>
      </c>
    </row>
    <row r="30" spans="1:20">
      <c r="A30">
        <f t="shared" si="6"/>
        <v>27</v>
      </c>
      <c r="B30" t="s">
        <v>648</v>
      </c>
      <c r="C30" t="s">
        <v>473</v>
      </c>
      <c r="D30" t="str">
        <f t="shared" si="0"/>
        <v>Dev</v>
      </c>
      <c r="F30" t="str">
        <f t="shared" si="15"/>
        <v>EU_northwest</v>
      </c>
      <c r="G30" t="s">
        <v>475</v>
      </c>
      <c r="H30" t="s">
        <v>116</v>
      </c>
      <c r="I30" t="s">
        <v>477</v>
      </c>
      <c r="J30" s="11" t="s">
        <v>495</v>
      </c>
      <c r="K30">
        <f t="shared" si="16"/>
        <v>0.2</v>
      </c>
      <c r="L30">
        <f t="shared" si="9"/>
        <v>0.1</v>
      </c>
      <c r="N30" t="str">
        <f t="shared" si="17"/>
        <v>EU_northwest</v>
      </c>
      <c r="O30" t="s">
        <v>475</v>
      </c>
      <c r="P30" t="s">
        <v>116</v>
      </c>
      <c r="Q30" t="s">
        <v>479</v>
      </c>
      <c r="R30" s="11" t="s">
        <v>496</v>
      </c>
      <c r="S30">
        <f t="shared" si="18"/>
        <v>0.30000000000000004</v>
      </c>
      <c r="T30">
        <f t="shared" si="19"/>
        <v>0.2</v>
      </c>
    </row>
    <row r="31" spans="1:20">
      <c r="A31">
        <f t="shared" si="6"/>
        <v>28</v>
      </c>
      <c r="B31" t="s">
        <v>657</v>
      </c>
      <c r="C31" t="s">
        <v>473</v>
      </c>
      <c r="D31" t="str">
        <f t="shared" si="0"/>
        <v>Dev</v>
      </c>
      <c r="F31" t="str">
        <f t="shared" si="15"/>
        <v>Nor-Ice</v>
      </c>
      <c r="G31" t="s">
        <v>475</v>
      </c>
      <c r="H31" t="s">
        <v>116</v>
      </c>
      <c r="I31" t="s">
        <v>477</v>
      </c>
      <c r="J31" s="11" t="s">
        <v>495</v>
      </c>
      <c r="K31">
        <f t="shared" si="16"/>
        <v>0.2</v>
      </c>
      <c r="L31">
        <f t="shared" si="9"/>
        <v>0.1</v>
      </c>
      <c r="N31" t="str">
        <f t="shared" si="17"/>
        <v>Nor-Ice</v>
      </c>
      <c r="O31" t="s">
        <v>475</v>
      </c>
      <c r="P31" t="s">
        <v>116</v>
      </c>
      <c r="Q31" t="s">
        <v>479</v>
      </c>
      <c r="R31" s="11" t="s">
        <v>496</v>
      </c>
      <c r="S31">
        <f t="shared" si="18"/>
        <v>0.30000000000000004</v>
      </c>
      <c r="T31">
        <f t="shared" si="19"/>
        <v>0.2</v>
      </c>
    </row>
    <row r="32" spans="1:20">
      <c r="A32">
        <f t="shared" si="6"/>
        <v>29</v>
      </c>
      <c r="B32" t="s">
        <v>661</v>
      </c>
      <c r="C32" t="s">
        <v>473</v>
      </c>
      <c r="D32" t="str">
        <f t="shared" si="0"/>
        <v>Dev</v>
      </c>
      <c r="F32" t="str">
        <f t="shared" si="15"/>
        <v>USA</v>
      </c>
      <c r="G32" t="s">
        <v>475</v>
      </c>
      <c r="H32" t="s">
        <v>116</v>
      </c>
      <c r="I32" t="s">
        <v>477</v>
      </c>
      <c r="J32" s="11" t="s">
        <v>495</v>
      </c>
      <c r="K32">
        <f t="shared" si="16"/>
        <v>0.2</v>
      </c>
      <c r="L32">
        <f t="shared" si="9"/>
        <v>0.1</v>
      </c>
      <c r="N32" t="str">
        <f t="shared" si="17"/>
        <v>USA</v>
      </c>
      <c r="O32" t="s">
        <v>475</v>
      </c>
      <c r="P32" t="s">
        <v>116</v>
      </c>
      <c r="Q32" t="s">
        <v>479</v>
      </c>
      <c r="R32" s="11" t="s">
        <v>496</v>
      </c>
      <c r="S32">
        <f t="shared" si="18"/>
        <v>0.30000000000000004</v>
      </c>
      <c r="T32">
        <f t="shared" si="19"/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BA06-89E1-4D7B-8A21-F8FD31559394}">
  <dimension ref="A1:BA100"/>
  <sheetViews>
    <sheetView workbookViewId="0"/>
  </sheetViews>
  <sheetFormatPr defaultColWidth="8.86328125" defaultRowHeight="14.25"/>
  <cols>
    <col min="3" max="3" width="11.3984375" bestFit="1" customWidth="1"/>
    <col min="12" max="12" width="6.59765625" bestFit="1" customWidth="1"/>
    <col min="13" max="13" width="5.59765625" bestFit="1" customWidth="1"/>
    <col min="14" max="17" width="6.59765625" bestFit="1" customWidth="1"/>
    <col min="18" max="18" width="7.59765625" bestFit="1" customWidth="1"/>
    <col min="19" max="21" width="6.59765625" bestFit="1" customWidth="1"/>
    <col min="22" max="22" width="5.59765625" bestFit="1" customWidth="1"/>
    <col min="23" max="23" width="6.59765625" bestFit="1" customWidth="1"/>
    <col min="24" max="24" width="5.59765625" bestFit="1" customWidth="1"/>
    <col min="25" max="25" width="6.59765625" bestFit="1" customWidth="1"/>
    <col min="26" max="26" width="7.59765625" bestFit="1" customWidth="1"/>
    <col min="27" max="28" width="12" bestFit="1" customWidth="1"/>
    <col min="29" max="49" width="0.86328125" customWidth="1"/>
    <col min="50" max="50" width="5.1328125" bestFit="1" customWidth="1"/>
    <col min="51" max="51" width="5" bestFit="1" customWidth="1"/>
  </cols>
  <sheetData>
    <row r="1" spans="1:5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637</v>
      </c>
      <c r="M1" t="s">
        <v>638</v>
      </c>
      <c r="N1" t="s">
        <v>639</v>
      </c>
      <c r="O1" t="s">
        <v>640</v>
      </c>
      <c r="P1" t="s">
        <v>641</v>
      </c>
      <c r="Q1" t="s">
        <v>642</v>
      </c>
      <c r="R1" t="s">
        <v>643</v>
      </c>
      <c r="S1" t="s">
        <v>644</v>
      </c>
      <c r="T1" t="s">
        <v>645</v>
      </c>
      <c r="U1" t="s">
        <v>121</v>
      </c>
      <c r="V1" t="s">
        <v>646</v>
      </c>
      <c r="W1" t="s">
        <v>647</v>
      </c>
      <c r="X1" t="s">
        <v>648</v>
      </c>
      <c r="Y1" t="s">
        <v>649</v>
      </c>
      <c r="Z1" t="s">
        <v>650</v>
      </c>
      <c r="AA1" t="s">
        <v>651</v>
      </c>
      <c r="AB1" t="s">
        <v>652</v>
      </c>
      <c r="AC1" t="s">
        <v>653</v>
      </c>
      <c r="AD1" t="s">
        <v>636</v>
      </c>
      <c r="AE1" t="s">
        <v>122</v>
      </c>
      <c r="AF1" t="s">
        <v>654</v>
      </c>
      <c r="AG1" t="s">
        <v>655</v>
      </c>
      <c r="AH1" t="s">
        <v>656</v>
      </c>
      <c r="AI1" t="s">
        <v>657</v>
      </c>
      <c r="AJ1" t="s">
        <v>123</v>
      </c>
      <c r="AK1" t="s">
        <v>658</v>
      </c>
      <c r="AL1" t="s">
        <v>659</v>
      </c>
      <c r="AM1" t="s">
        <v>660</v>
      </c>
      <c r="AN1" t="s">
        <v>661</v>
      </c>
      <c r="AO1" t="s">
        <v>124</v>
      </c>
      <c r="AX1" s="2" t="s">
        <v>38</v>
      </c>
      <c r="AY1" s="2" t="s">
        <v>39</v>
      </c>
    </row>
    <row r="2" spans="1:53">
      <c r="A2" t="s">
        <v>17</v>
      </c>
      <c r="B2" t="s">
        <v>5</v>
      </c>
      <c r="C2" t="s">
        <v>616</v>
      </c>
      <c r="D2" t="s">
        <v>19</v>
      </c>
      <c r="E2" t="s">
        <v>19</v>
      </c>
      <c r="F2" t="s">
        <v>19</v>
      </c>
      <c r="G2" t="s">
        <v>100</v>
      </c>
      <c r="H2" t="s">
        <v>19</v>
      </c>
      <c r="I2" t="s">
        <v>19</v>
      </c>
      <c r="J2" t="s">
        <v>19</v>
      </c>
      <c r="K2" t="s">
        <v>19</v>
      </c>
      <c r="L2">
        <v>3.3811993900799999</v>
      </c>
      <c r="M2">
        <v>38.545148524608003</v>
      </c>
      <c r="N2">
        <v>0.73020237091200002</v>
      </c>
      <c r="O2">
        <v>0</v>
      </c>
      <c r="P2">
        <v>0</v>
      </c>
      <c r="Q2">
        <v>5.1697344079800001</v>
      </c>
      <c r="R2">
        <v>0</v>
      </c>
      <c r="S2">
        <v>0.72475247615399996</v>
      </c>
      <c r="T2">
        <v>0</v>
      </c>
      <c r="U2">
        <v>5.2520684580000003E-3</v>
      </c>
      <c r="V2">
        <v>0.276628867956</v>
      </c>
      <c r="W2">
        <v>0</v>
      </c>
      <c r="X2">
        <v>0.30212786159999999</v>
      </c>
      <c r="Y2">
        <v>0.103891966956</v>
      </c>
      <c r="Z2">
        <v>0</v>
      </c>
      <c r="AA2">
        <v>0.192247221528</v>
      </c>
      <c r="AB2">
        <v>0</v>
      </c>
      <c r="AC2">
        <v>0.51884161189199995</v>
      </c>
      <c r="AD2">
        <v>1.966400079012</v>
      </c>
      <c r="AE2">
        <v>11.523119965056001</v>
      </c>
      <c r="AF2">
        <v>2.6367986174040001</v>
      </c>
      <c r="AG2">
        <v>0</v>
      </c>
      <c r="AH2">
        <v>0</v>
      </c>
      <c r="AI2">
        <v>5.9347261980000003E-2</v>
      </c>
      <c r="AJ2">
        <v>0</v>
      </c>
      <c r="AK2">
        <v>0</v>
      </c>
      <c r="AL2">
        <v>0</v>
      </c>
      <c r="AM2">
        <v>0.27629991108000002</v>
      </c>
      <c r="AN2">
        <v>0</v>
      </c>
      <c r="AO2" t="s">
        <v>19</v>
      </c>
      <c r="AX2" s="2" t="str">
        <f>LEFT(C2,3)</f>
        <v>CCK</v>
      </c>
      <c r="AY2" s="2" t="str">
        <f>IF(LEFT(MID(C2,4,3),1)="E","ELC",IF(LEFT(MID(C2,4,3),1)="N","NGA",MID(C2,4,3)))</f>
        <v>BIO</v>
      </c>
      <c r="BA2" t="s">
        <v>103</v>
      </c>
    </row>
    <row r="3" spans="1:53">
      <c r="A3" t="s">
        <v>17</v>
      </c>
      <c r="B3" t="s">
        <v>5</v>
      </c>
      <c r="C3" t="s">
        <v>595</v>
      </c>
      <c r="D3" t="s">
        <v>19</v>
      </c>
      <c r="E3" t="s">
        <v>19</v>
      </c>
      <c r="F3" t="s">
        <v>19</v>
      </c>
      <c r="G3" t="s">
        <v>100</v>
      </c>
      <c r="H3" t="s">
        <v>19</v>
      </c>
      <c r="I3" t="s">
        <v>19</v>
      </c>
      <c r="J3" t="s">
        <v>19</v>
      </c>
      <c r="K3" t="s">
        <v>19</v>
      </c>
      <c r="L3">
        <v>0</v>
      </c>
      <c r="M3">
        <v>1.0866127644000001E-2</v>
      </c>
      <c r="N3">
        <v>0</v>
      </c>
      <c r="O3">
        <v>0</v>
      </c>
      <c r="P3">
        <v>0.2147064978888</v>
      </c>
      <c r="Q3">
        <v>1.596735951444</v>
      </c>
      <c r="R3">
        <v>0</v>
      </c>
      <c r="S3">
        <v>0</v>
      </c>
      <c r="T3">
        <v>0</v>
      </c>
      <c r="U3">
        <v>27.6920790743808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18.116144640108001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4.7838808040399998</v>
      </c>
      <c r="AM3">
        <v>0</v>
      </c>
      <c r="AN3">
        <v>0</v>
      </c>
      <c r="AO3" t="s">
        <v>19</v>
      </c>
      <c r="AX3" s="2" t="str">
        <f t="shared" ref="AX3:AX66" si="0">LEFT(C3,3)</f>
        <v>CCK</v>
      </c>
      <c r="AY3" s="2" t="str">
        <f t="shared" ref="AY3:AY66" si="1">IF(LEFT(MID(C3,4,3),1)="E","ELC",IF(LEFT(MID(C3,4,3),1)="N","NGA",MID(C3,4,3)))</f>
        <v>COA</v>
      </c>
    </row>
    <row r="4" spans="1:53">
      <c r="A4" t="s">
        <v>17</v>
      </c>
      <c r="B4" t="s">
        <v>5</v>
      </c>
      <c r="C4" t="s">
        <v>18</v>
      </c>
      <c r="D4" t="s">
        <v>19</v>
      </c>
      <c r="E4" t="s">
        <v>19</v>
      </c>
      <c r="F4" t="s">
        <v>19</v>
      </c>
      <c r="G4" t="s">
        <v>100</v>
      </c>
      <c r="H4" t="s">
        <v>19</v>
      </c>
      <c r="I4" t="s">
        <v>19</v>
      </c>
      <c r="J4" t="s">
        <v>19</v>
      </c>
      <c r="K4" t="s">
        <v>19</v>
      </c>
      <c r="L4">
        <v>0</v>
      </c>
      <c r="M4">
        <v>0</v>
      </c>
      <c r="N4">
        <v>6.2009710902000004</v>
      </c>
      <c r="O4">
        <v>0</v>
      </c>
      <c r="P4">
        <v>0</v>
      </c>
      <c r="Q4">
        <v>22.477068167399999</v>
      </c>
      <c r="R4">
        <v>0</v>
      </c>
      <c r="S4">
        <v>0.54368947440000004</v>
      </c>
      <c r="T4">
        <v>0</v>
      </c>
      <c r="U4">
        <v>109.1265586641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15.747953191200001</v>
      </c>
      <c r="AC4">
        <v>0</v>
      </c>
      <c r="AD4">
        <v>0</v>
      </c>
      <c r="AE4">
        <v>0</v>
      </c>
      <c r="AF4">
        <v>7.4514028716</v>
      </c>
      <c r="AG4">
        <v>0.40049965836000001</v>
      </c>
      <c r="AH4">
        <v>12.546955347840001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19</v>
      </c>
      <c r="AX4" s="2" t="str">
        <f t="shared" si="0"/>
        <v>CCK</v>
      </c>
      <c r="AY4" s="2" t="str">
        <f t="shared" si="1"/>
        <v>DST</v>
      </c>
    </row>
    <row r="5" spans="1:53">
      <c r="A5" t="s">
        <v>17</v>
      </c>
      <c r="B5" t="s">
        <v>5</v>
      </c>
      <c r="C5" t="s">
        <v>20</v>
      </c>
      <c r="D5" t="s">
        <v>19</v>
      </c>
      <c r="E5" t="s">
        <v>19</v>
      </c>
      <c r="F5" t="s">
        <v>19</v>
      </c>
      <c r="G5" t="s">
        <v>100</v>
      </c>
      <c r="H5" t="s">
        <v>19</v>
      </c>
      <c r="I5" t="s">
        <v>19</v>
      </c>
      <c r="J5" t="s">
        <v>19</v>
      </c>
      <c r="K5" t="s">
        <v>19</v>
      </c>
      <c r="L5">
        <v>6.6993241985459999</v>
      </c>
      <c r="M5">
        <v>4.1299979774760001</v>
      </c>
      <c r="N5">
        <v>2.1880840214520001</v>
      </c>
      <c r="O5">
        <v>2.0507424239484</v>
      </c>
      <c r="P5">
        <v>0</v>
      </c>
      <c r="Q5">
        <v>8.1627637130424002</v>
      </c>
      <c r="R5">
        <v>10.182163475862</v>
      </c>
      <c r="S5">
        <v>7.1085267277920003</v>
      </c>
      <c r="T5">
        <v>15.2556768169344</v>
      </c>
      <c r="U5">
        <v>61.402910776703997</v>
      </c>
      <c r="V5">
        <v>5.5769599679472002</v>
      </c>
      <c r="W5">
        <v>7.0898345163576</v>
      </c>
      <c r="X5">
        <v>7.3767031080623999</v>
      </c>
      <c r="Y5">
        <v>11.1273842487024</v>
      </c>
      <c r="Z5">
        <v>2.6893994875775999</v>
      </c>
      <c r="AA5">
        <v>9.1798286969087997</v>
      </c>
      <c r="AB5">
        <v>10.301247405716399</v>
      </c>
      <c r="AC5">
        <v>13.7701947340944</v>
      </c>
      <c r="AD5">
        <v>13.1013792415296</v>
      </c>
      <c r="AE5">
        <v>8.5926575251188009</v>
      </c>
      <c r="AF5">
        <v>4.5034690618008</v>
      </c>
      <c r="AG5">
        <v>1.4473115715239999</v>
      </c>
      <c r="AH5">
        <v>11.7092832177132</v>
      </c>
      <c r="AI5">
        <v>2.7776497120847998</v>
      </c>
      <c r="AJ5">
        <v>11.556888826543201</v>
      </c>
      <c r="AK5">
        <v>9.2530280913588001</v>
      </c>
      <c r="AL5">
        <v>4.6755580722480001</v>
      </c>
      <c r="AM5">
        <v>9.0841598982287994</v>
      </c>
      <c r="AN5">
        <v>35.452379052337399</v>
      </c>
      <c r="AO5" t="s">
        <v>19</v>
      </c>
      <c r="AX5" s="2" t="str">
        <f t="shared" si="0"/>
        <v>CCK</v>
      </c>
      <c r="AY5" s="2" t="str">
        <f t="shared" si="1"/>
        <v>ELC</v>
      </c>
    </row>
    <row r="6" spans="1:53">
      <c r="A6" t="s">
        <v>17</v>
      </c>
      <c r="B6" t="s">
        <v>5</v>
      </c>
      <c r="C6" t="s">
        <v>21</v>
      </c>
      <c r="D6" t="s">
        <v>19</v>
      </c>
      <c r="E6" t="s">
        <v>19</v>
      </c>
      <c r="F6" t="s">
        <v>19</v>
      </c>
      <c r="G6" t="s">
        <v>100</v>
      </c>
      <c r="H6" t="s">
        <v>19</v>
      </c>
      <c r="I6" t="s">
        <v>19</v>
      </c>
      <c r="J6" t="s">
        <v>19</v>
      </c>
      <c r="K6" t="s">
        <v>19</v>
      </c>
      <c r="L6">
        <v>0</v>
      </c>
      <c r="M6">
        <v>2.8837108350000001E-2</v>
      </c>
      <c r="N6">
        <v>1.1248884900000001E-3</v>
      </c>
      <c r="O6">
        <v>1.0917081E-2</v>
      </c>
      <c r="P6">
        <v>0</v>
      </c>
      <c r="Q6">
        <v>2.4624695601000002</v>
      </c>
      <c r="R6">
        <v>3.0898584000000002E-4</v>
      </c>
      <c r="S6">
        <v>0</v>
      </c>
      <c r="T6">
        <v>6.5524791176999999</v>
      </c>
      <c r="U6">
        <v>12.74137819812</v>
      </c>
      <c r="V6">
        <v>8.5358385000000002E-3</v>
      </c>
      <c r="W6">
        <v>3.548313E-4</v>
      </c>
      <c r="X6">
        <v>0.88988549939999995</v>
      </c>
      <c r="Y6">
        <v>2.52097695E-2</v>
      </c>
      <c r="Z6">
        <v>3.1955751E-3</v>
      </c>
      <c r="AA6">
        <v>2.1980700000000001E-5</v>
      </c>
      <c r="AB6">
        <v>0</v>
      </c>
      <c r="AC6">
        <v>0</v>
      </c>
      <c r="AD6">
        <v>0</v>
      </c>
      <c r="AE6">
        <v>0</v>
      </c>
      <c r="AF6">
        <v>7.61871996E-3</v>
      </c>
      <c r="AG6">
        <v>0</v>
      </c>
      <c r="AH6">
        <v>0.15156111329999999</v>
      </c>
      <c r="AI6">
        <v>1.7165879999999999E-4</v>
      </c>
      <c r="AJ6">
        <v>0</v>
      </c>
      <c r="AK6">
        <v>0</v>
      </c>
      <c r="AL6">
        <v>7.5838857839999996E-2</v>
      </c>
      <c r="AM6">
        <v>8.5355004158999996</v>
      </c>
      <c r="AN6">
        <v>0</v>
      </c>
      <c r="AO6" t="s">
        <v>19</v>
      </c>
      <c r="AX6" s="2" t="str">
        <f t="shared" si="0"/>
        <v>CCK</v>
      </c>
      <c r="AY6" s="2" t="str">
        <f t="shared" si="1"/>
        <v>KER</v>
      </c>
    </row>
    <row r="7" spans="1:53">
      <c r="A7" t="s">
        <v>17</v>
      </c>
      <c r="B7" t="s">
        <v>5</v>
      </c>
      <c r="C7" t="s">
        <v>22</v>
      </c>
      <c r="D7" t="s">
        <v>19</v>
      </c>
      <c r="E7" t="s">
        <v>19</v>
      </c>
      <c r="F7" t="s">
        <v>19</v>
      </c>
      <c r="G7" t="s">
        <v>100</v>
      </c>
      <c r="H7" t="s">
        <v>19</v>
      </c>
      <c r="I7" t="s">
        <v>19</v>
      </c>
      <c r="J7" t="s">
        <v>19</v>
      </c>
      <c r="K7" t="s">
        <v>19</v>
      </c>
      <c r="L7">
        <v>3.1517337564900001</v>
      </c>
      <c r="M7">
        <v>7.67811348612</v>
      </c>
      <c r="N7">
        <v>8.6678652186720004</v>
      </c>
      <c r="O7">
        <v>7.3074941967993898E-2</v>
      </c>
      <c r="P7">
        <v>0</v>
      </c>
      <c r="Q7">
        <v>53.149923734292003</v>
      </c>
      <c r="R7">
        <v>0.49972497616799999</v>
      </c>
      <c r="S7">
        <v>13.520610676584001</v>
      </c>
      <c r="T7">
        <v>13.85819097894</v>
      </c>
      <c r="U7">
        <v>23.37842623149</v>
      </c>
      <c r="V7">
        <v>0.24873736932000001</v>
      </c>
      <c r="W7">
        <v>0.18258623256137199</v>
      </c>
      <c r="X7">
        <v>2.3324453460000001</v>
      </c>
      <c r="Y7">
        <v>6.13915895439</v>
      </c>
      <c r="Z7">
        <v>0.109334388580277</v>
      </c>
      <c r="AA7">
        <v>3.1497234644700001</v>
      </c>
      <c r="AB7">
        <v>13.616384281335</v>
      </c>
      <c r="AC7">
        <v>3.7877516958599999</v>
      </c>
      <c r="AD7">
        <v>2.2896500744699999</v>
      </c>
      <c r="AE7">
        <v>61.212254225165999</v>
      </c>
      <c r="AF7">
        <v>13.421470120542001</v>
      </c>
      <c r="AG7">
        <v>29.955185230409999</v>
      </c>
      <c r="AH7">
        <v>5.2055262621449998</v>
      </c>
      <c r="AI7">
        <v>0.33894375470999999</v>
      </c>
      <c r="AJ7">
        <v>3.8981385546075498E-2</v>
      </c>
      <c r="AK7">
        <v>0</v>
      </c>
      <c r="AL7">
        <v>0.74585978874000003</v>
      </c>
      <c r="AM7">
        <v>4.4874611208899999</v>
      </c>
      <c r="AN7">
        <v>2.7414357551930402</v>
      </c>
      <c r="AO7" t="s">
        <v>19</v>
      </c>
      <c r="AX7" s="2" t="str">
        <f t="shared" si="0"/>
        <v>CCK</v>
      </c>
      <c r="AY7" s="2" t="str">
        <f t="shared" si="1"/>
        <v>LPG</v>
      </c>
    </row>
    <row r="8" spans="1:53">
      <c r="A8" t="s">
        <v>17</v>
      </c>
      <c r="B8" t="s">
        <v>5</v>
      </c>
      <c r="C8" t="s">
        <v>23</v>
      </c>
      <c r="D8" t="s">
        <v>19</v>
      </c>
      <c r="E8" t="s">
        <v>19</v>
      </c>
      <c r="F8" t="s">
        <v>19</v>
      </c>
      <c r="G8" t="s">
        <v>100</v>
      </c>
      <c r="H8" t="s">
        <v>19</v>
      </c>
      <c r="I8" t="s">
        <v>19</v>
      </c>
      <c r="J8" t="s">
        <v>19</v>
      </c>
      <c r="K8" t="s">
        <v>19</v>
      </c>
      <c r="L8">
        <v>8.2131364729259992</v>
      </c>
      <c r="M8">
        <v>2.5826150196E-2</v>
      </c>
      <c r="N8">
        <v>22.031050456799999</v>
      </c>
      <c r="O8">
        <v>41.108653726687798</v>
      </c>
      <c r="P8">
        <v>130.67407846104501</v>
      </c>
      <c r="Q8">
        <v>16.622344809179999</v>
      </c>
      <c r="R8">
        <v>3.398479025436</v>
      </c>
      <c r="S8">
        <v>2.3700497810219998</v>
      </c>
      <c r="T8">
        <v>32.592873500945998</v>
      </c>
      <c r="U8">
        <v>161.09949155840101</v>
      </c>
      <c r="V8">
        <v>1.614147973416</v>
      </c>
      <c r="W8">
        <v>15.9377952196386</v>
      </c>
      <c r="X8">
        <v>24.261910888248</v>
      </c>
      <c r="Y8">
        <v>33.531664445928001</v>
      </c>
      <c r="Z8">
        <v>9.6605502274908002</v>
      </c>
      <c r="AA8">
        <v>10.341178412004</v>
      </c>
      <c r="AB8">
        <v>101.983533560509</v>
      </c>
      <c r="AC8">
        <v>28.127932256160001</v>
      </c>
      <c r="AD8">
        <v>45.458430868223999</v>
      </c>
      <c r="AE8">
        <v>37.458825633305999</v>
      </c>
      <c r="AF8">
        <v>13.976015737068</v>
      </c>
      <c r="AG8">
        <v>3.7983332467080002</v>
      </c>
      <c r="AH8">
        <v>234.978013139285</v>
      </c>
      <c r="AI8">
        <v>0.31901561247600002</v>
      </c>
      <c r="AJ8">
        <v>24.669804665682001</v>
      </c>
      <c r="AK8">
        <v>0</v>
      </c>
      <c r="AL8">
        <v>0.427580592516</v>
      </c>
      <c r="AM8">
        <v>29.374872874379999</v>
      </c>
      <c r="AN8">
        <v>190.61431357141799</v>
      </c>
      <c r="AO8" t="s">
        <v>19</v>
      </c>
      <c r="AX8" s="2" t="str">
        <f t="shared" si="0"/>
        <v>CCK</v>
      </c>
      <c r="AY8" s="2" t="str">
        <f t="shared" si="1"/>
        <v>NGA</v>
      </c>
    </row>
    <row r="9" spans="1:53">
      <c r="A9" t="s">
        <v>17</v>
      </c>
      <c r="B9" t="s">
        <v>5</v>
      </c>
      <c r="C9" t="s">
        <v>24</v>
      </c>
      <c r="D9" t="s">
        <v>19</v>
      </c>
      <c r="E9" t="s">
        <v>19</v>
      </c>
      <c r="F9" t="s">
        <v>19</v>
      </c>
      <c r="G9" t="s">
        <v>100</v>
      </c>
      <c r="H9" t="s">
        <v>19</v>
      </c>
      <c r="I9" t="s">
        <v>19</v>
      </c>
      <c r="J9" t="s">
        <v>19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0.20821291344000001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">
        <v>19</v>
      </c>
      <c r="AX9" s="2" t="str">
        <f t="shared" si="0"/>
        <v>CCK</v>
      </c>
      <c r="AY9" s="2" t="str">
        <f t="shared" si="1"/>
        <v>STH</v>
      </c>
    </row>
    <row r="10" spans="1:53">
      <c r="A10" t="s">
        <v>17</v>
      </c>
      <c r="B10" t="s">
        <v>5</v>
      </c>
      <c r="C10" t="s">
        <v>25</v>
      </c>
      <c r="D10" t="s">
        <v>19</v>
      </c>
      <c r="E10" t="s">
        <v>19</v>
      </c>
      <c r="F10" t="s">
        <v>19</v>
      </c>
      <c r="G10" t="s">
        <v>100</v>
      </c>
      <c r="H10" t="s">
        <v>19</v>
      </c>
      <c r="I10" t="s">
        <v>19</v>
      </c>
      <c r="J10" t="s">
        <v>19</v>
      </c>
      <c r="K10" t="s">
        <v>19</v>
      </c>
      <c r="L10">
        <v>14.088330792000001</v>
      </c>
      <c r="M10">
        <v>160.60478551919999</v>
      </c>
      <c r="N10">
        <v>3.4771541471999998</v>
      </c>
      <c r="O10">
        <v>0</v>
      </c>
      <c r="P10">
        <v>0</v>
      </c>
      <c r="Q10">
        <v>51.697344079799997</v>
      </c>
      <c r="R10">
        <v>5.8124821049999997E-2</v>
      </c>
      <c r="S10">
        <v>3.4512022673999998</v>
      </c>
      <c r="T10">
        <v>0</v>
      </c>
      <c r="U10">
        <v>8.7534474299999998E-2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54.8719998336</v>
      </c>
      <c r="AF10">
        <v>12.5561838924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19</v>
      </c>
      <c r="AX10" s="2" t="str">
        <f t="shared" si="0"/>
        <v>CHW</v>
      </c>
      <c r="AY10" s="2" t="str">
        <f t="shared" si="1"/>
        <v>BIO</v>
      </c>
    </row>
    <row r="11" spans="1:53">
      <c r="A11" t="s">
        <v>17</v>
      </c>
      <c r="B11" t="s">
        <v>5</v>
      </c>
      <c r="C11" t="s">
        <v>485</v>
      </c>
      <c r="D11" t="s">
        <v>19</v>
      </c>
      <c r="E11" t="s">
        <v>19</v>
      </c>
      <c r="F11" t="s">
        <v>19</v>
      </c>
      <c r="G11" t="s">
        <v>100</v>
      </c>
      <c r="H11" t="s">
        <v>19</v>
      </c>
      <c r="I11" t="s">
        <v>19</v>
      </c>
      <c r="J11" t="s">
        <v>19</v>
      </c>
      <c r="K11" t="s">
        <v>19</v>
      </c>
      <c r="L11">
        <v>0</v>
      </c>
      <c r="M11">
        <v>0.38635120511999999</v>
      </c>
      <c r="N11">
        <v>0</v>
      </c>
      <c r="O11">
        <v>0</v>
      </c>
      <c r="P11">
        <v>20.578632454655999</v>
      </c>
      <c r="Q11">
        <v>34.063700297472003</v>
      </c>
      <c r="R11">
        <v>2.7120199254646198</v>
      </c>
      <c r="S11">
        <v>0</v>
      </c>
      <c r="T11">
        <v>0</v>
      </c>
      <c r="U11">
        <v>984.60725597798398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386.47775232230401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170.09353969919999</v>
      </c>
      <c r="AM11">
        <v>0</v>
      </c>
      <c r="AN11">
        <v>0</v>
      </c>
      <c r="AO11" t="s">
        <v>19</v>
      </c>
      <c r="AX11" s="2" t="str">
        <f t="shared" si="0"/>
        <v>CHW</v>
      </c>
      <c r="AY11" s="2" t="str">
        <f t="shared" si="1"/>
        <v>COA</v>
      </c>
    </row>
    <row r="12" spans="1:53">
      <c r="A12" t="s">
        <v>17</v>
      </c>
      <c r="B12" t="s">
        <v>5</v>
      </c>
      <c r="C12" t="s">
        <v>61</v>
      </c>
      <c r="D12" t="s">
        <v>19</v>
      </c>
      <c r="E12" t="s">
        <v>19</v>
      </c>
      <c r="F12" t="s">
        <v>19</v>
      </c>
      <c r="G12" t="s">
        <v>100</v>
      </c>
      <c r="H12" t="s">
        <v>19</v>
      </c>
      <c r="I12" t="s">
        <v>19</v>
      </c>
      <c r="J12" t="s">
        <v>19</v>
      </c>
      <c r="K12" t="s">
        <v>19</v>
      </c>
      <c r="L12">
        <v>21.28426936272</v>
      </c>
      <c r="M12">
        <v>188.80292664324</v>
      </c>
      <c r="N12">
        <v>64.49009933808</v>
      </c>
      <c r="O12">
        <v>42.177165872400003</v>
      </c>
      <c r="P12">
        <v>631.78890797669396</v>
      </c>
      <c r="Q12">
        <v>487.00314362699999</v>
      </c>
      <c r="R12">
        <v>31.706904355199999</v>
      </c>
      <c r="S12">
        <v>5.6543705337599999</v>
      </c>
      <c r="T12">
        <v>8.2331998488</v>
      </c>
      <c r="U12">
        <v>993.05168384331</v>
      </c>
      <c r="V12">
        <v>39.602630842982997</v>
      </c>
      <c r="W12">
        <v>37.932492259349999</v>
      </c>
      <c r="X12">
        <v>85.170198084776999</v>
      </c>
      <c r="Y12">
        <v>14.332356525006</v>
      </c>
      <c r="Z12">
        <v>13.94336545875</v>
      </c>
      <c r="AA12">
        <v>90.349913373876007</v>
      </c>
      <c r="AB12">
        <v>102.36169574279999</v>
      </c>
      <c r="AC12">
        <v>164.15101569087</v>
      </c>
      <c r="AD12">
        <v>252.06342637694399</v>
      </c>
      <c r="AE12">
        <v>0</v>
      </c>
      <c r="AF12">
        <v>77.494589864640005</v>
      </c>
      <c r="AG12">
        <v>2.6032477793400002</v>
      </c>
      <c r="AH12">
        <v>81.555209760959997</v>
      </c>
      <c r="AI12">
        <v>22.790238284853</v>
      </c>
      <c r="AJ12">
        <v>98.874733493250005</v>
      </c>
      <c r="AK12">
        <v>0</v>
      </c>
      <c r="AL12">
        <v>11.35620263232</v>
      </c>
      <c r="AM12">
        <v>74.186423276238003</v>
      </c>
      <c r="AN12">
        <v>269.83252685227302</v>
      </c>
      <c r="AO12" t="s">
        <v>19</v>
      </c>
      <c r="AX12" s="2" t="str">
        <f t="shared" si="0"/>
        <v>CHW</v>
      </c>
      <c r="AY12" s="2" t="str">
        <f t="shared" si="1"/>
        <v>DST</v>
      </c>
    </row>
    <row r="13" spans="1:53">
      <c r="A13" t="s">
        <v>17</v>
      </c>
      <c r="B13" t="s">
        <v>5</v>
      </c>
      <c r="C13" t="s">
        <v>62</v>
      </c>
      <c r="D13" t="s">
        <v>19</v>
      </c>
      <c r="E13" t="s">
        <v>19</v>
      </c>
      <c r="F13" t="s">
        <v>19</v>
      </c>
      <c r="G13" t="s">
        <v>100</v>
      </c>
      <c r="H13" t="s">
        <v>19</v>
      </c>
      <c r="I13" t="s">
        <v>19</v>
      </c>
      <c r="J13" t="s">
        <v>19</v>
      </c>
      <c r="K13" t="s">
        <v>19</v>
      </c>
      <c r="L13">
        <v>87.091214581098001</v>
      </c>
      <c r="M13">
        <v>53.689973707188003</v>
      </c>
      <c r="N13">
        <v>28.445092278876</v>
      </c>
      <c r="O13">
        <v>88.865505037763995</v>
      </c>
      <c r="P13">
        <v>0</v>
      </c>
      <c r="Q13">
        <v>636.695569617307</v>
      </c>
      <c r="R13">
        <v>203.64326951723999</v>
      </c>
      <c r="S13">
        <v>92.410847461296001</v>
      </c>
      <c r="T13">
        <v>114.417576127008</v>
      </c>
      <c r="U13">
        <v>319.29513603886102</v>
      </c>
      <c r="V13">
        <v>108.75071937497</v>
      </c>
      <c r="W13">
        <v>307.22616237549602</v>
      </c>
      <c r="X13">
        <v>143.845710607217</v>
      </c>
      <c r="Y13">
        <v>216.98399284969699</v>
      </c>
      <c r="Z13">
        <v>116.540644461696</v>
      </c>
      <c r="AA13">
        <v>179.00665958972201</v>
      </c>
      <c r="AB13">
        <v>223.19369379052199</v>
      </c>
      <c r="AC13">
        <v>268.51879731484098</v>
      </c>
      <c r="AD13">
        <v>255.47689520982701</v>
      </c>
      <c r="AE13">
        <v>37.234849275514797</v>
      </c>
      <c r="AF13">
        <v>58.5450978034104</v>
      </c>
      <c r="AG13">
        <v>47.037626074530003</v>
      </c>
      <c r="AH13">
        <v>253.70113638378601</v>
      </c>
      <c r="AI13">
        <v>54.164169385653601</v>
      </c>
      <c r="AJ13">
        <v>500.798515816872</v>
      </c>
      <c r="AK13">
        <v>200.48227531277399</v>
      </c>
      <c r="AL13">
        <v>60.782254939224003</v>
      </c>
      <c r="AM13">
        <v>177.14111801546201</v>
      </c>
      <c r="AN13">
        <v>844.56440864188403</v>
      </c>
      <c r="AO13" t="s">
        <v>19</v>
      </c>
      <c r="AX13" s="2" t="str">
        <f t="shared" si="0"/>
        <v>CHW</v>
      </c>
      <c r="AY13" s="2" t="str">
        <f t="shared" si="1"/>
        <v>ELC</v>
      </c>
    </row>
    <row r="14" spans="1:53">
      <c r="A14" t="s">
        <v>17</v>
      </c>
      <c r="B14" t="s">
        <v>5</v>
      </c>
      <c r="C14" t="s">
        <v>63</v>
      </c>
      <c r="D14" t="s">
        <v>19</v>
      </c>
      <c r="E14" t="s">
        <v>19</v>
      </c>
      <c r="F14" t="s">
        <v>19</v>
      </c>
      <c r="G14" t="s">
        <v>100</v>
      </c>
      <c r="H14" t="s">
        <v>19</v>
      </c>
      <c r="I14" t="s">
        <v>19</v>
      </c>
      <c r="J14" t="s">
        <v>19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0.61317528192000004</v>
      </c>
      <c r="X14">
        <v>0</v>
      </c>
      <c r="Y14">
        <v>0</v>
      </c>
      <c r="Z14">
        <v>3.2156533180800002</v>
      </c>
      <c r="AA14">
        <v>0</v>
      </c>
      <c r="AB14">
        <v>0.10343405663999999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19</v>
      </c>
      <c r="AX14" s="2" t="str">
        <f t="shared" si="0"/>
        <v>CHW</v>
      </c>
      <c r="AY14" s="2" t="str">
        <f t="shared" si="1"/>
        <v>GEO</v>
      </c>
    </row>
    <row r="15" spans="1:53">
      <c r="A15" t="s">
        <v>17</v>
      </c>
      <c r="B15" t="s">
        <v>5</v>
      </c>
      <c r="C15" t="s">
        <v>64</v>
      </c>
      <c r="D15" t="s">
        <v>19</v>
      </c>
      <c r="E15" t="s">
        <v>19</v>
      </c>
      <c r="F15" t="s">
        <v>19</v>
      </c>
      <c r="G15" t="s">
        <v>100</v>
      </c>
      <c r="H15" t="s">
        <v>19</v>
      </c>
      <c r="I15" t="s">
        <v>19</v>
      </c>
      <c r="J15" t="s">
        <v>19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12.5510885568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19</v>
      </c>
      <c r="AX15" s="2" t="str">
        <f t="shared" si="0"/>
        <v>CHW</v>
      </c>
      <c r="AY15" s="2" t="str">
        <f t="shared" si="1"/>
        <v>HET</v>
      </c>
    </row>
    <row r="16" spans="1:53">
      <c r="A16" t="s">
        <v>17</v>
      </c>
      <c r="B16" t="s">
        <v>5</v>
      </c>
      <c r="C16" t="s">
        <v>65</v>
      </c>
      <c r="D16" t="s">
        <v>19</v>
      </c>
      <c r="E16" t="s">
        <v>19</v>
      </c>
      <c r="F16" t="s">
        <v>19</v>
      </c>
      <c r="G16" t="s">
        <v>100</v>
      </c>
      <c r="H16" t="s">
        <v>19</v>
      </c>
      <c r="I16" t="s">
        <v>19</v>
      </c>
      <c r="J16" t="s">
        <v>19</v>
      </c>
      <c r="K16" t="s">
        <v>19</v>
      </c>
      <c r="L16">
        <v>0</v>
      </c>
      <c r="M16">
        <v>0</v>
      </c>
      <c r="N16">
        <v>0</v>
      </c>
      <c r="O16">
        <v>2.62009944E-2</v>
      </c>
      <c r="P16">
        <v>363.91987481183997</v>
      </c>
      <c r="Q16">
        <v>0</v>
      </c>
      <c r="R16">
        <v>0</v>
      </c>
      <c r="S16">
        <v>0</v>
      </c>
      <c r="T16">
        <v>5.69265154116923</v>
      </c>
      <c r="U16">
        <v>76.448269188720005</v>
      </c>
      <c r="V16">
        <v>6.1458037200000003E-2</v>
      </c>
      <c r="W16">
        <v>8.5159511999999998E-4</v>
      </c>
      <c r="X16">
        <v>6.4071755956800001</v>
      </c>
      <c r="Y16">
        <v>0.1815103404</v>
      </c>
      <c r="Z16">
        <v>7.6693802399999999E-3</v>
      </c>
      <c r="AA16">
        <v>1.5826104000000001E-4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1.2359433600000001E-3</v>
      </c>
      <c r="AJ16">
        <v>0</v>
      </c>
      <c r="AK16">
        <v>0</v>
      </c>
      <c r="AL16">
        <v>0</v>
      </c>
      <c r="AM16">
        <v>61.455602994480003</v>
      </c>
      <c r="AN16">
        <v>0</v>
      </c>
      <c r="AO16" t="s">
        <v>19</v>
      </c>
      <c r="AX16" s="2" t="str">
        <f t="shared" si="0"/>
        <v>CHW</v>
      </c>
      <c r="AY16" s="2" t="str">
        <f t="shared" si="1"/>
        <v>KER</v>
      </c>
    </row>
    <row r="17" spans="1:51">
      <c r="A17" t="s">
        <v>17</v>
      </c>
      <c r="B17" t="s">
        <v>5</v>
      </c>
      <c r="C17" t="s">
        <v>66</v>
      </c>
      <c r="D17" t="s">
        <v>19</v>
      </c>
      <c r="E17" t="s">
        <v>19</v>
      </c>
      <c r="F17" t="s">
        <v>19</v>
      </c>
      <c r="G17" t="s">
        <v>100</v>
      </c>
      <c r="H17" t="s">
        <v>19</v>
      </c>
      <c r="I17" t="s">
        <v>19</v>
      </c>
      <c r="J17" t="s">
        <v>19</v>
      </c>
      <c r="K17" t="s">
        <v>19</v>
      </c>
      <c r="L17">
        <v>3.8202833412000001</v>
      </c>
      <c r="M17">
        <v>9.3068042256000005</v>
      </c>
      <c r="N17">
        <v>10.50650329536</v>
      </c>
      <c r="O17">
        <v>2.4275918780953099</v>
      </c>
      <c r="P17">
        <v>224.47455517152</v>
      </c>
      <c r="Q17">
        <v>165.66209995104001</v>
      </c>
      <c r="R17">
        <v>3.14512222763077</v>
      </c>
      <c r="S17">
        <v>16.388619001919999</v>
      </c>
      <c r="T17">
        <v>16.613215958769199</v>
      </c>
      <c r="U17">
        <v>127.5186885354</v>
      </c>
      <c r="V17">
        <v>1.6280991446399999</v>
      </c>
      <c r="W17">
        <v>6.0656203519415097</v>
      </c>
      <c r="X17">
        <v>15.266914992</v>
      </c>
      <c r="Y17">
        <v>40.183585883280003</v>
      </c>
      <c r="Z17">
        <v>3.6321516865555399</v>
      </c>
      <c r="AA17">
        <v>20.61637176744</v>
      </c>
      <c r="AB17">
        <v>17.475573409199999</v>
      </c>
      <c r="AC17">
        <v>24.792556554720001</v>
      </c>
      <c r="AD17">
        <v>14.98680048744</v>
      </c>
      <c r="AE17">
        <v>74.196671788079996</v>
      </c>
      <c r="AF17">
        <v>16.268448630959998</v>
      </c>
      <c r="AG17">
        <v>36.309315430799998</v>
      </c>
      <c r="AH17">
        <v>6.6808893204000004</v>
      </c>
      <c r="AI17">
        <v>2.21854093992</v>
      </c>
      <c r="AJ17">
        <v>1.29498419567685</v>
      </c>
      <c r="AK17">
        <v>0</v>
      </c>
      <c r="AL17">
        <v>0.90407247120000001</v>
      </c>
      <c r="AM17">
        <v>29.37247279128</v>
      </c>
      <c r="AN17">
        <v>36.428833164405802</v>
      </c>
      <c r="AO17" t="s">
        <v>19</v>
      </c>
      <c r="AX17" s="2" t="str">
        <f t="shared" si="0"/>
        <v>CHW</v>
      </c>
      <c r="AY17" s="2" t="str">
        <f t="shared" si="1"/>
        <v>LPG</v>
      </c>
    </row>
    <row r="18" spans="1:51">
      <c r="A18" t="s">
        <v>17</v>
      </c>
      <c r="B18" t="s">
        <v>5</v>
      </c>
      <c r="C18" t="s">
        <v>67</v>
      </c>
      <c r="D18" t="s">
        <v>19</v>
      </c>
      <c r="E18" t="s">
        <v>19</v>
      </c>
      <c r="F18" t="s">
        <v>19</v>
      </c>
      <c r="G18" t="s">
        <v>100</v>
      </c>
      <c r="H18" t="s">
        <v>19</v>
      </c>
      <c r="I18" t="s">
        <v>19</v>
      </c>
      <c r="J18" t="s">
        <v>19</v>
      </c>
      <c r="K18" t="s">
        <v>19</v>
      </c>
      <c r="L18">
        <v>41.599002914819998</v>
      </c>
      <c r="M18">
        <v>0.13080777371999999</v>
      </c>
      <c r="N18">
        <v>74.390559984000006</v>
      </c>
      <c r="O18">
        <v>255.69976002246</v>
      </c>
      <c r="P18">
        <v>1400.6714118340301</v>
      </c>
      <c r="Q18">
        <v>157.15671455952</v>
      </c>
      <c r="R18">
        <v>108.13342353660001</v>
      </c>
      <c r="S18">
        <v>8.0027654943600002</v>
      </c>
      <c r="T18">
        <v>444.44827501290001</v>
      </c>
      <c r="U18">
        <v>865.41049184265</v>
      </c>
      <c r="V18">
        <v>25.752997212227999</v>
      </c>
      <c r="W18">
        <v>99.13461141402</v>
      </c>
      <c r="X18">
        <v>387.08776008068401</v>
      </c>
      <c r="Y18">
        <v>534.98246456912398</v>
      </c>
      <c r="Z18">
        <v>60.089546869560003</v>
      </c>
      <c r="AA18">
        <v>164.988801027882</v>
      </c>
      <c r="AB18">
        <v>228.84682444532999</v>
      </c>
      <c r="AC18">
        <v>448.76837372327998</v>
      </c>
      <c r="AD18">
        <v>725.268601579392</v>
      </c>
      <c r="AE18">
        <v>158.10543286785</v>
      </c>
      <c r="AF18">
        <v>47.191741449840002</v>
      </c>
      <c r="AG18">
        <v>12.82554083304</v>
      </c>
      <c r="AH18">
        <v>527.28092706743996</v>
      </c>
      <c r="AI18">
        <v>5.0897490899579996</v>
      </c>
      <c r="AJ18">
        <v>153.44854576739999</v>
      </c>
      <c r="AK18">
        <v>0</v>
      </c>
      <c r="AL18">
        <v>2.1656679361200002</v>
      </c>
      <c r="AM18">
        <v>468.66274449578998</v>
      </c>
      <c r="AN18">
        <v>2385.0519076762298</v>
      </c>
      <c r="AO18" t="s">
        <v>19</v>
      </c>
      <c r="AX18" s="2" t="str">
        <f t="shared" si="0"/>
        <v>CHW</v>
      </c>
      <c r="AY18" s="2" t="str">
        <f t="shared" si="1"/>
        <v>NGA</v>
      </c>
    </row>
    <row r="19" spans="1:51">
      <c r="A19" t="s">
        <v>17</v>
      </c>
      <c r="B19" t="s">
        <v>5</v>
      </c>
      <c r="C19" t="s">
        <v>68</v>
      </c>
      <c r="D19" t="s">
        <v>19</v>
      </c>
      <c r="E19" t="s">
        <v>19</v>
      </c>
      <c r="F19" t="s">
        <v>19</v>
      </c>
      <c r="G19" t="s">
        <v>100</v>
      </c>
      <c r="H19" t="s">
        <v>19</v>
      </c>
      <c r="I19" t="s">
        <v>19</v>
      </c>
      <c r="J19" t="s">
        <v>19</v>
      </c>
      <c r="K19" t="s">
        <v>19</v>
      </c>
      <c r="L19">
        <v>1.10698992</v>
      </c>
      <c r="M19">
        <v>0</v>
      </c>
      <c r="N19">
        <v>0</v>
      </c>
      <c r="O19">
        <v>3.0489114960000001</v>
      </c>
      <c r="P19">
        <v>16.86170898</v>
      </c>
      <c r="Q19">
        <v>5.3710782479999999</v>
      </c>
      <c r="R19">
        <v>3.62312789538462</v>
      </c>
      <c r="S19">
        <v>0</v>
      </c>
      <c r="T19">
        <v>0</v>
      </c>
      <c r="U19">
        <v>976.32001760399999</v>
      </c>
      <c r="V19">
        <v>0.91649051999999998</v>
      </c>
      <c r="W19">
        <v>30.579089291999999</v>
      </c>
      <c r="X19">
        <v>3.0587086079999999</v>
      </c>
      <c r="Y19">
        <v>28.025559972</v>
      </c>
      <c r="Z19">
        <v>8.4109462560000008</v>
      </c>
      <c r="AA19">
        <v>36.9139689</v>
      </c>
      <c r="AB19">
        <v>6.3914432760000004</v>
      </c>
      <c r="AC19">
        <v>5.6816969400000001</v>
      </c>
      <c r="AD19">
        <v>12.639991068</v>
      </c>
      <c r="AE19">
        <v>39.560453553599999</v>
      </c>
      <c r="AF19">
        <v>5.9198839919999999</v>
      </c>
      <c r="AG19">
        <v>51.750020304000003</v>
      </c>
      <c r="AH19">
        <v>29.220472692000001</v>
      </c>
      <c r="AI19">
        <v>0</v>
      </c>
      <c r="AJ19">
        <v>0</v>
      </c>
      <c r="AK19">
        <v>0</v>
      </c>
      <c r="AL19">
        <v>0</v>
      </c>
      <c r="AM19">
        <v>7.1899916399999997</v>
      </c>
      <c r="AN19">
        <v>302.1302229552</v>
      </c>
      <c r="AO19" t="s">
        <v>19</v>
      </c>
      <c r="AX19" s="2" t="str">
        <f t="shared" si="0"/>
        <v>CHW</v>
      </c>
      <c r="AY19" s="2" t="str">
        <f t="shared" si="1"/>
        <v>STH</v>
      </c>
    </row>
    <row r="20" spans="1:51">
      <c r="A20" t="s">
        <v>17</v>
      </c>
      <c r="B20" t="s">
        <v>5</v>
      </c>
      <c r="C20" t="s">
        <v>69</v>
      </c>
      <c r="D20" t="s">
        <v>19</v>
      </c>
      <c r="E20" t="s">
        <v>19</v>
      </c>
      <c r="F20" t="s">
        <v>19</v>
      </c>
      <c r="G20" t="s">
        <v>100</v>
      </c>
      <c r="H20" t="s">
        <v>19</v>
      </c>
      <c r="I20" t="s">
        <v>19</v>
      </c>
      <c r="J20" t="s">
        <v>19</v>
      </c>
      <c r="K20" t="s">
        <v>19</v>
      </c>
      <c r="L20">
        <v>2.75629338454464</v>
      </c>
      <c r="M20">
        <v>1.69919916787584</v>
      </c>
      <c r="N20">
        <v>3.9385512386135999</v>
      </c>
      <c r="O20">
        <v>1.40622337642176</v>
      </c>
      <c r="P20">
        <v>0</v>
      </c>
      <c r="Q20">
        <v>24.488291139127199</v>
      </c>
      <c r="R20">
        <v>10.4730824323152</v>
      </c>
      <c r="S20">
        <v>12.7953481100256</v>
      </c>
      <c r="T20">
        <v>24.8449593875789</v>
      </c>
      <c r="U20">
        <v>6.3157279656038403</v>
      </c>
      <c r="V20">
        <v>6.5250431624982204</v>
      </c>
      <c r="W20">
        <v>4.8616008112166398</v>
      </c>
      <c r="X20">
        <v>8.6307426364330109</v>
      </c>
      <c r="Y20">
        <v>13.0190395709818</v>
      </c>
      <c r="Z20">
        <v>1.8441596486246401</v>
      </c>
      <c r="AA20">
        <v>10.7403995753833</v>
      </c>
      <c r="AB20">
        <v>6.3573412560992599</v>
      </c>
      <c r="AC20">
        <v>16.1111278388905</v>
      </c>
      <c r="AD20">
        <v>15.3286137125896</v>
      </c>
      <c r="AE20">
        <v>9.8201800287072007</v>
      </c>
      <c r="AF20">
        <v>8.10624431124144</v>
      </c>
      <c r="AG20">
        <v>2.3570502736247998</v>
      </c>
      <c r="AH20">
        <v>7.22630050007443</v>
      </c>
      <c r="AI20">
        <v>3.2498501631392198</v>
      </c>
      <c r="AJ20">
        <v>7.9247237667724804</v>
      </c>
      <c r="AK20">
        <v>5.7104401935242901</v>
      </c>
      <c r="AL20">
        <v>1.92365817829632</v>
      </c>
      <c r="AM20">
        <v>10.628467080927701</v>
      </c>
      <c r="AN20">
        <v>163.32315531089699</v>
      </c>
      <c r="AO20" t="s">
        <v>19</v>
      </c>
      <c r="AX20" s="2" t="str">
        <f t="shared" si="0"/>
        <v>CLA</v>
      </c>
      <c r="AY20" s="2" t="str">
        <f t="shared" si="1"/>
        <v>CFL</v>
      </c>
    </row>
    <row r="21" spans="1:51">
      <c r="A21" t="s">
        <v>17</v>
      </c>
      <c r="B21" t="s">
        <v>5</v>
      </c>
      <c r="C21" t="s">
        <v>486</v>
      </c>
      <c r="D21" t="s">
        <v>19</v>
      </c>
      <c r="E21" t="s">
        <v>19</v>
      </c>
      <c r="F21" t="s">
        <v>19</v>
      </c>
      <c r="G21" t="s">
        <v>100</v>
      </c>
      <c r="H21" t="s">
        <v>19</v>
      </c>
      <c r="I21" t="s">
        <v>19</v>
      </c>
      <c r="J21" t="s">
        <v>19</v>
      </c>
      <c r="K21" t="s">
        <v>19</v>
      </c>
      <c r="L21">
        <v>82.688801536339199</v>
      </c>
      <c r="M21">
        <v>50.975975036275202</v>
      </c>
      <c r="N21">
        <v>106.34088344256701</v>
      </c>
      <c r="O21">
        <v>42.186701292652799</v>
      </c>
      <c r="P21">
        <v>909.84209780802701</v>
      </c>
      <c r="Q21">
        <v>220.39462025214499</v>
      </c>
      <c r="R21">
        <v>78.548118242363998</v>
      </c>
      <c r="S21">
        <v>345.47439897069103</v>
      </c>
      <c r="T21">
        <v>74.534878162736604</v>
      </c>
      <c r="U21">
        <v>435.785229626665</v>
      </c>
      <c r="V21">
        <v>110.459659250863</v>
      </c>
      <c r="W21">
        <v>145.84802433649901</v>
      </c>
      <c r="X21">
        <v>146.10614320247299</v>
      </c>
      <c r="Y21">
        <v>220.393741308763</v>
      </c>
      <c r="Z21">
        <v>55.324789458739197</v>
      </c>
      <c r="AA21">
        <v>181.81962138327401</v>
      </c>
      <c r="AB21">
        <v>190.720237682978</v>
      </c>
      <c r="AC21">
        <v>272.73837841550301</v>
      </c>
      <c r="AD21">
        <v>259.49153213455298</v>
      </c>
      <c r="AE21">
        <v>147.30270043060801</v>
      </c>
      <c r="AF21">
        <v>218.86859640351901</v>
      </c>
      <c r="AG21">
        <v>47.376710499858497</v>
      </c>
      <c r="AH21">
        <v>216.78901500223299</v>
      </c>
      <c r="AI21">
        <v>55.015320618856698</v>
      </c>
      <c r="AJ21">
        <v>237.741713003174</v>
      </c>
      <c r="AK21">
        <v>171.31320580572901</v>
      </c>
      <c r="AL21">
        <v>57.709745348889598</v>
      </c>
      <c r="AM21">
        <v>179.92476415570499</v>
      </c>
      <c r="AN21">
        <v>2764.8277006201902</v>
      </c>
      <c r="AO21" t="s">
        <v>19</v>
      </c>
      <c r="AX21" s="2" t="str">
        <f t="shared" si="0"/>
        <v>CLA</v>
      </c>
      <c r="AY21" s="2" t="str">
        <f t="shared" si="1"/>
        <v>FLE</v>
      </c>
    </row>
    <row r="22" spans="1:51">
      <c r="A22" t="s">
        <v>17</v>
      </c>
      <c r="B22" t="s">
        <v>5</v>
      </c>
      <c r="C22" t="s">
        <v>108</v>
      </c>
      <c r="D22" t="s">
        <v>19</v>
      </c>
      <c r="E22" t="s">
        <v>19</v>
      </c>
      <c r="F22" t="s">
        <v>19</v>
      </c>
      <c r="G22" t="s">
        <v>100</v>
      </c>
      <c r="H22" t="s">
        <v>19</v>
      </c>
      <c r="I22" t="s">
        <v>19</v>
      </c>
      <c r="J22" t="s">
        <v>19</v>
      </c>
      <c r="K22" t="s">
        <v>19</v>
      </c>
      <c r="L22">
        <v>1.83752892302976</v>
      </c>
      <c r="M22">
        <v>1.1327994452505601</v>
      </c>
      <c r="N22">
        <v>0</v>
      </c>
      <c r="O22">
        <v>0.93748225094783999</v>
      </c>
      <c r="P22">
        <v>0</v>
      </c>
      <c r="Q22">
        <v>4.8976582278254401</v>
      </c>
      <c r="R22">
        <v>15.7096236484728</v>
      </c>
      <c r="S22">
        <v>0</v>
      </c>
      <c r="T22">
        <v>62.112398468947198</v>
      </c>
      <c r="U22">
        <v>8.8420191518453795</v>
      </c>
      <c r="V22">
        <v>0.93214902321403204</v>
      </c>
      <c r="W22">
        <v>3.24106720747776</v>
      </c>
      <c r="X22">
        <v>1.23296323377614</v>
      </c>
      <c r="Y22">
        <v>1.85986279585454</v>
      </c>
      <c r="Z22">
        <v>1.22943976574976</v>
      </c>
      <c r="AA22">
        <v>1.5343427964833301</v>
      </c>
      <c r="AB22">
        <v>4.2382275040661801</v>
      </c>
      <c r="AC22">
        <v>2.3015896912700602</v>
      </c>
      <c r="AD22">
        <v>2.1898019589413802</v>
      </c>
      <c r="AE22">
        <v>0</v>
      </c>
      <c r="AF22">
        <v>0</v>
      </c>
      <c r="AG22">
        <v>0.94282010944992001</v>
      </c>
      <c r="AH22">
        <v>4.8175336667162902</v>
      </c>
      <c r="AI22">
        <v>0.46426430901988802</v>
      </c>
      <c r="AJ22">
        <v>5.2831491778483199</v>
      </c>
      <c r="AK22">
        <v>3.8069601290161899</v>
      </c>
      <c r="AL22">
        <v>1.2824387855308801</v>
      </c>
      <c r="AM22">
        <v>1.5183524401325299</v>
      </c>
      <c r="AN22">
        <v>23.331879330128199</v>
      </c>
      <c r="AO22" t="s">
        <v>19</v>
      </c>
      <c r="AX22" s="2" t="str">
        <f t="shared" si="0"/>
        <v>CLA</v>
      </c>
      <c r="AY22" s="2" t="str">
        <f t="shared" si="1"/>
        <v>HAE</v>
      </c>
    </row>
    <row r="23" spans="1:51">
      <c r="A23" t="s">
        <v>17</v>
      </c>
      <c r="B23" t="s">
        <v>5</v>
      </c>
      <c r="C23" t="s">
        <v>109</v>
      </c>
      <c r="D23" t="s">
        <v>19</v>
      </c>
      <c r="E23" t="s">
        <v>19</v>
      </c>
      <c r="F23" t="s">
        <v>19</v>
      </c>
      <c r="G23" t="s">
        <v>100</v>
      </c>
      <c r="H23" t="s">
        <v>19</v>
      </c>
      <c r="I23" t="s">
        <v>19</v>
      </c>
      <c r="J23" t="s">
        <v>19</v>
      </c>
      <c r="K23" t="s">
        <v>19</v>
      </c>
      <c r="L23">
        <v>8.0391890382552003</v>
      </c>
      <c r="M23">
        <v>4.9559975729712002</v>
      </c>
      <c r="N23">
        <v>0</v>
      </c>
      <c r="O23">
        <v>4.1014848478968</v>
      </c>
      <c r="P23">
        <v>0</v>
      </c>
      <c r="Q23">
        <v>34.283607594778097</v>
      </c>
      <c r="R23">
        <v>9.1639471282757992</v>
      </c>
      <c r="S23">
        <v>0</v>
      </c>
      <c r="T23">
        <v>108.696697320658</v>
      </c>
      <c r="U23">
        <v>552.62619699033598</v>
      </c>
      <c r="V23">
        <v>13.0500863249964</v>
      </c>
      <c r="W23">
        <v>14.1796690327152</v>
      </c>
      <c r="X23">
        <v>17.261485272866</v>
      </c>
      <c r="Y23">
        <v>26.0380791419636</v>
      </c>
      <c r="Z23">
        <v>5.3787989751551999</v>
      </c>
      <c r="AA23">
        <v>21.4807991507666</v>
      </c>
      <c r="AB23">
        <v>18.5422453302895</v>
      </c>
      <c r="AC23">
        <v>32.2222556777809</v>
      </c>
      <c r="AD23">
        <v>30.6572274251793</v>
      </c>
      <c r="AE23">
        <v>68.741260200950407</v>
      </c>
      <c r="AF23">
        <v>0</v>
      </c>
      <c r="AG23">
        <v>0.82496759576867995</v>
      </c>
      <c r="AH23">
        <v>21.0767097918838</v>
      </c>
      <c r="AI23">
        <v>6.4997003262784299</v>
      </c>
      <c r="AJ23">
        <v>23.113777653086402</v>
      </c>
      <c r="AK23">
        <v>16.6554505644458</v>
      </c>
      <c r="AL23">
        <v>5.6106696866975998</v>
      </c>
      <c r="AM23">
        <v>21.256934161855401</v>
      </c>
      <c r="AN23">
        <v>326.64631062179501</v>
      </c>
      <c r="AO23" t="s">
        <v>19</v>
      </c>
      <c r="AX23" s="2" t="str">
        <f t="shared" si="0"/>
        <v>CLA</v>
      </c>
      <c r="AY23" s="2" t="str">
        <f t="shared" si="1"/>
        <v>HID</v>
      </c>
    </row>
    <row r="24" spans="1:51">
      <c r="A24" t="s">
        <v>17</v>
      </c>
      <c r="B24" t="s">
        <v>5</v>
      </c>
      <c r="C24" t="s">
        <v>110</v>
      </c>
      <c r="D24" t="s">
        <v>19</v>
      </c>
      <c r="E24" t="s">
        <v>19</v>
      </c>
      <c r="F24" t="s">
        <v>19</v>
      </c>
      <c r="G24" t="s">
        <v>100</v>
      </c>
      <c r="H24" t="s">
        <v>19</v>
      </c>
      <c r="I24" t="s">
        <v>19</v>
      </c>
      <c r="J24" t="s">
        <v>19</v>
      </c>
      <c r="K24" t="s">
        <v>19</v>
      </c>
      <c r="L24">
        <v>22.969111537871999</v>
      </c>
      <c r="M24">
        <v>14.159993065631999</v>
      </c>
      <c r="N24">
        <v>3.2821260321780001</v>
      </c>
      <c r="O24">
        <v>11.718528136848001</v>
      </c>
      <c r="P24">
        <v>186.00663042283</v>
      </c>
      <c r="Q24">
        <v>244.88291139127199</v>
      </c>
      <c r="R24">
        <v>17.455137387192</v>
      </c>
      <c r="S24">
        <v>10.662790091688001</v>
      </c>
      <c r="T24">
        <v>41.408265645964804</v>
      </c>
      <c r="U24">
        <v>534.73163442112502</v>
      </c>
      <c r="V24">
        <v>3.8839542633918001</v>
      </c>
      <c r="W24">
        <v>40.513340093472003</v>
      </c>
      <c r="X24">
        <v>5.1373468074005997</v>
      </c>
      <c r="Y24">
        <v>7.7494283160605999</v>
      </c>
      <c r="Z24">
        <v>15.367997071872001</v>
      </c>
      <c r="AA24">
        <v>6.3930949853471999</v>
      </c>
      <c r="AB24">
        <v>52.977843800827202</v>
      </c>
      <c r="AC24">
        <v>9.5899570469586006</v>
      </c>
      <c r="AD24">
        <v>9.1241748289223992</v>
      </c>
      <c r="AE24">
        <v>40.91741678628</v>
      </c>
      <c r="AF24">
        <v>6.7552035927012</v>
      </c>
      <c r="AG24">
        <v>9.8210428067700004</v>
      </c>
      <c r="AH24">
        <v>60.219170833953598</v>
      </c>
      <c r="AI24">
        <v>1.9344346209162</v>
      </c>
      <c r="AJ24">
        <v>66.039364723104001</v>
      </c>
      <c r="AK24">
        <v>47.587001612702402</v>
      </c>
      <c r="AL24">
        <v>16.030484819135999</v>
      </c>
      <c r="AM24">
        <v>6.3264685005521999</v>
      </c>
      <c r="AN24">
        <v>97.216163875534093</v>
      </c>
      <c r="AO24" t="s">
        <v>19</v>
      </c>
      <c r="AX24" s="2" t="str">
        <f t="shared" si="0"/>
        <v>CLA</v>
      </c>
      <c r="AY24" s="2" t="str">
        <f t="shared" si="1"/>
        <v>ICE</v>
      </c>
    </row>
    <row r="25" spans="1:51">
      <c r="A25" t="s">
        <v>17</v>
      </c>
      <c r="B25" t="s">
        <v>5</v>
      </c>
      <c r="C25" t="s">
        <v>111</v>
      </c>
      <c r="D25" t="s">
        <v>19</v>
      </c>
      <c r="E25" t="s">
        <v>19</v>
      </c>
      <c r="F25" t="s">
        <v>19</v>
      </c>
      <c r="G25" t="s">
        <v>100</v>
      </c>
      <c r="H25" t="s">
        <v>19</v>
      </c>
      <c r="I25" t="s">
        <v>19</v>
      </c>
      <c r="J25" t="s">
        <v>19</v>
      </c>
      <c r="K25" t="s">
        <v>19</v>
      </c>
      <c r="L25">
        <v>0</v>
      </c>
      <c r="M25">
        <v>0.21916202345999999</v>
      </c>
      <c r="N25">
        <v>8.5491525240000005E-3</v>
      </c>
      <c r="O25">
        <v>8.7336648000000002E-4</v>
      </c>
      <c r="P25">
        <v>0</v>
      </c>
      <c r="Q25">
        <v>0.78799025923199995</v>
      </c>
      <c r="R25">
        <v>0</v>
      </c>
      <c r="S25">
        <v>0</v>
      </c>
      <c r="T25">
        <v>6.1670391695999999E-2</v>
      </c>
      <c r="U25">
        <v>16.563791657555999</v>
      </c>
      <c r="V25">
        <v>0</v>
      </c>
      <c r="W25">
        <v>2.8386504000000001E-5</v>
      </c>
      <c r="X25">
        <v>0</v>
      </c>
      <c r="Y25">
        <v>0</v>
      </c>
      <c r="Z25">
        <v>2.5564600800000002E-4</v>
      </c>
      <c r="AA25">
        <v>0</v>
      </c>
      <c r="AB25">
        <v>0</v>
      </c>
      <c r="AC25">
        <v>0</v>
      </c>
      <c r="AD25">
        <v>0</v>
      </c>
      <c r="AE25">
        <v>0.75773962439999998</v>
      </c>
      <c r="AF25">
        <v>5.7902271695999999E-2</v>
      </c>
      <c r="AG25">
        <v>0</v>
      </c>
      <c r="AH25">
        <v>0.54562000787999998</v>
      </c>
      <c r="AI25">
        <v>0</v>
      </c>
      <c r="AJ25">
        <v>0</v>
      </c>
      <c r="AK25">
        <v>0</v>
      </c>
      <c r="AL25">
        <v>0.57637531958400001</v>
      </c>
      <c r="AM25">
        <v>0</v>
      </c>
      <c r="AN25">
        <v>0</v>
      </c>
      <c r="AO25" t="s">
        <v>19</v>
      </c>
      <c r="AX25" s="2" t="str">
        <f t="shared" si="0"/>
        <v>CLA</v>
      </c>
      <c r="AY25" s="2" t="str">
        <f t="shared" si="1"/>
        <v>KER</v>
      </c>
    </row>
    <row r="26" spans="1:51">
      <c r="A26" t="s">
        <v>17</v>
      </c>
      <c r="B26" t="s">
        <v>5</v>
      </c>
      <c r="C26" t="s">
        <v>112</v>
      </c>
      <c r="D26" t="s">
        <v>19</v>
      </c>
      <c r="E26" t="s">
        <v>19</v>
      </c>
      <c r="F26" t="s">
        <v>19</v>
      </c>
      <c r="G26" t="s">
        <v>100</v>
      </c>
      <c r="H26" t="s">
        <v>19</v>
      </c>
      <c r="I26" t="s">
        <v>19</v>
      </c>
      <c r="J26" t="s">
        <v>19</v>
      </c>
      <c r="K26" t="s">
        <v>19</v>
      </c>
      <c r="L26">
        <v>0</v>
      </c>
      <c r="M26">
        <v>0</v>
      </c>
      <c r="N26">
        <v>1.1590513823999999</v>
      </c>
      <c r="O26">
        <v>1.993900698</v>
      </c>
      <c r="P26">
        <v>166.87276424999999</v>
      </c>
      <c r="Q26">
        <v>22.9765973688</v>
      </c>
      <c r="R26">
        <v>0.227154473068966</v>
      </c>
      <c r="S26">
        <v>1.1504007558</v>
      </c>
      <c r="T26">
        <v>0</v>
      </c>
      <c r="U26">
        <v>5.0019699600000002E-2</v>
      </c>
      <c r="V26">
        <v>12.2946163536</v>
      </c>
      <c r="W26">
        <v>32.166130721999998</v>
      </c>
      <c r="X26">
        <v>13.427904959999999</v>
      </c>
      <c r="Y26">
        <v>4.6174207536000003</v>
      </c>
      <c r="Z26">
        <v>18.086745726</v>
      </c>
      <c r="AA26">
        <v>8.5443209568</v>
      </c>
      <c r="AB26">
        <v>36.713511894</v>
      </c>
      <c r="AC26">
        <v>23.059627195200001</v>
      </c>
      <c r="AD26">
        <v>87.395559067199997</v>
      </c>
      <c r="AE26">
        <v>18.290666611199999</v>
      </c>
      <c r="AF26">
        <v>4.1853946308000003</v>
      </c>
      <c r="AG26">
        <v>0</v>
      </c>
      <c r="AH26">
        <v>18.327828648000001</v>
      </c>
      <c r="AI26">
        <v>2.637656088</v>
      </c>
      <c r="AJ26">
        <v>79.966316927999998</v>
      </c>
      <c r="AK26">
        <v>0</v>
      </c>
      <c r="AL26">
        <v>0</v>
      </c>
      <c r="AM26">
        <v>12.279996047999999</v>
      </c>
      <c r="AN26">
        <v>145.74624123000001</v>
      </c>
      <c r="AO26" t="s">
        <v>19</v>
      </c>
      <c r="AX26" s="2" t="str">
        <f t="shared" si="0"/>
        <v>CSH</v>
      </c>
      <c r="AY26" s="2" t="str">
        <f t="shared" si="1"/>
        <v>BIO</v>
      </c>
    </row>
    <row r="27" spans="1:51">
      <c r="A27" t="s">
        <v>17</v>
      </c>
      <c r="B27" t="s">
        <v>5</v>
      </c>
      <c r="C27" t="s">
        <v>113</v>
      </c>
      <c r="D27" t="s">
        <v>19</v>
      </c>
      <c r="E27" t="s">
        <v>19</v>
      </c>
      <c r="F27" t="s">
        <v>19</v>
      </c>
      <c r="G27" t="s">
        <v>100</v>
      </c>
      <c r="H27" t="s">
        <v>19</v>
      </c>
      <c r="I27" t="s">
        <v>19</v>
      </c>
      <c r="J27" t="s">
        <v>19</v>
      </c>
      <c r="K27" t="s">
        <v>19</v>
      </c>
      <c r="L27">
        <v>0</v>
      </c>
      <c r="M27">
        <v>0</v>
      </c>
      <c r="N27">
        <v>0</v>
      </c>
      <c r="O27">
        <v>65.983716791999996</v>
      </c>
      <c r="P27">
        <v>1.5558441876</v>
      </c>
      <c r="Q27">
        <v>7.0966042286400004</v>
      </c>
      <c r="R27">
        <v>1.7096246297379301</v>
      </c>
      <c r="S27">
        <v>0</v>
      </c>
      <c r="T27">
        <v>0</v>
      </c>
      <c r="U27">
        <v>410.25302332415998</v>
      </c>
      <c r="V27">
        <v>0.20880408959999999</v>
      </c>
      <c r="W27">
        <v>56.8414286856</v>
      </c>
      <c r="X27">
        <v>0.29465023680000002</v>
      </c>
      <c r="Y27">
        <v>0</v>
      </c>
      <c r="Z27">
        <v>0.4796314344</v>
      </c>
      <c r="AA27">
        <v>0</v>
      </c>
      <c r="AB27">
        <v>292.10155579439999</v>
      </c>
      <c r="AC27">
        <v>2.9200417920000001</v>
      </c>
      <c r="AD27">
        <v>0.1539821304</v>
      </c>
      <c r="AE27">
        <v>80.516198400479993</v>
      </c>
      <c r="AF27">
        <v>8.2061280000000003E-4</v>
      </c>
      <c r="AG27">
        <v>0</v>
      </c>
      <c r="AH27">
        <v>0</v>
      </c>
      <c r="AI27">
        <v>7.8711839999999998E-3</v>
      </c>
      <c r="AJ27">
        <v>61.675206516000003</v>
      </c>
      <c r="AK27">
        <v>0</v>
      </c>
      <c r="AL27">
        <v>0</v>
      </c>
      <c r="AM27">
        <v>1.3141946520000001</v>
      </c>
      <c r="AN27">
        <v>31.644805737599999</v>
      </c>
      <c r="AO27" t="s">
        <v>19</v>
      </c>
      <c r="AX27" s="2" t="str">
        <f t="shared" si="0"/>
        <v>CSH</v>
      </c>
      <c r="AY27" s="2" t="str">
        <f t="shared" si="1"/>
        <v>COA</v>
      </c>
    </row>
    <row r="28" spans="1:51">
      <c r="A28" t="s">
        <v>17</v>
      </c>
      <c r="B28" t="s">
        <v>5</v>
      </c>
      <c r="C28" t="s">
        <v>70</v>
      </c>
      <c r="D28" t="s">
        <v>19</v>
      </c>
      <c r="E28" t="s">
        <v>19</v>
      </c>
      <c r="F28" t="s">
        <v>19</v>
      </c>
      <c r="G28" t="s">
        <v>100</v>
      </c>
      <c r="H28" t="s">
        <v>19</v>
      </c>
      <c r="I28" t="s">
        <v>19</v>
      </c>
      <c r="J28" t="s">
        <v>19</v>
      </c>
      <c r="K28" t="s">
        <v>19</v>
      </c>
      <c r="L28">
        <v>3.5083960487999999</v>
      </c>
      <c r="M28">
        <v>31.121361534599998</v>
      </c>
      <c r="N28">
        <v>6.2009710902000004</v>
      </c>
      <c r="O28">
        <v>48.665960622</v>
      </c>
      <c r="P28">
        <v>394.04713595219999</v>
      </c>
      <c r="Q28">
        <v>74.923560558000005</v>
      </c>
      <c r="R28">
        <v>65.600491769379303</v>
      </c>
      <c r="S28">
        <v>0.54368947440000004</v>
      </c>
      <c r="T28">
        <v>14.9694542705455</v>
      </c>
      <c r="U28">
        <v>163.68983799615</v>
      </c>
      <c r="V28">
        <v>36.1432093743</v>
      </c>
      <c r="W28">
        <v>43.768260299250002</v>
      </c>
      <c r="X28">
        <v>77.730298121700002</v>
      </c>
      <c r="Y28">
        <v>13.0803775326</v>
      </c>
      <c r="Z28">
        <v>16.088498606249999</v>
      </c>
      <c r="AA28">
        <v>82.457548059600001</v>
      </c>
      <c r="AB28">
        <v>13.123294326</v>
      </c>
      <c r="AC28">
        <v>149.81187872699999</v>
      </c>
      <c r="AD28">
        <v>230.04484806240001</v>
      </c>
      <c r="AE28">
        <v>0</v>
      </c>
      <c r="AF28">
        <v>7.4514028716</v>
      </c>
      <c r="AG28">
        <v>0.33374971530000003</v>
      </c>
      <c r="AH28">
        <v>10.455796123200001</v>
      </c>
      <c r="AI28">
        <v>20.7994352013</v>
      </c>
      <c r="AJ28">
        <v>114.08623095375</v>
      </c>
      <c r="AK28">
        <v>0</v>
      </c>
      <c r="AL28">
        <v>1.8719015327999999</v>
      </c>
      <c r="AM28">
        <v>67.705992559799995</v>
      </c>
      <c r="AN28">
        <v>646.75034271540005</v>
      </c>
      <c r="AO28" t="s">
        <v>19</v>
      </c>
      <c r="AX28" s="2" t="str">
        <f t="shared" si="0"/>
        <v>CSH</v>
      </c>
      <c r="AY28" s="2" t="str">
        <f t="shared" si="1"/>
        <v>DST</v>
      </c>
    </row>
    <row r="29" spans="1:51">
      <c r="A29" t="s">
        <v>17</v>
      </c>
      <c r="B29" t="s">
        <v>5</v>
      </c>
      <c r="C29" t="s">
        <v>71</v>
      </c>
      <c r="D29" t="s">
        <v>19</v>
      </c>
      <c r="E29" t="s">
        <v>19</v>
      </c>
      <c r="F29" t="s">
        <v>19</v>
      </c>
      <c r="G29" t="s">
        <v>100</v>
      </c>
      <c r="H29" t="s">
        <v>19</v>
      </c>
      <c r="I29" t="s">
        <v>19</v>
      </c>
      <c r="J29" t="s">
        <v>19</v>
      </c>
      <c r="K29" t="s">
        <v>19</v>
      </c>
      <c r="L29">
        <v>0</v>
      </c>
      <c r="M29">
        <v>0</v>
      </c>
      <c r="N29">
        <v>0.20838895442399999</v>
      </c>
      <c r="O29">
        <v>9.7654401140400005</v>
      </c>
      <c r="P29">
        <v>316.92579533010002</v>
      </c>
      <c r="Q29">
        <v>23.322182037264</v>
      </c>
      <c r="R29">
        <v>4.0126752614234498</v>
      </c>
      <c r="S29">
        <v>0.67700254550400096</v>
      </c>
      <c r="T29">
        <v>28.06780366752</v>
      </c>
      <c r="U29">
        <v>55.788930362833902</v>
      </c>
      <c r="V29">
        <v>49.794285428099997</v>
      </c>
      <c r="W29">
        <v>22.50741116304</v>
      </c>
      <c r="X29">
        <v>65.863420607699993</v>
      </c>
      <c r="Y29">
        <v>99.351645077699999</v>
      </c>
      <c r="Z29">
        <v>8.5377761510399992</v>
      </c>
      <c r="AA29">
        <v>81.962756222400003</v>
      </c>
      <c r="AB29">
        <v>32.702372716559999</v>
      </c>
      <c r="AC29">
        <v>122.9481672687</v>
      </c>
      <c r="AD29">
        <v>116.9766003708</v>
      </c>
      <c r="AE29">
        <v>10.638528364432799</v>
      </c>
      <c r="AF29">
        <v>0.42890181540959998</v>
      </c>
      <c r="AG29">
        <v>5.1689698983000003</v>
      </c>
      <c r="AH29">
        <v>37.172327675280002</v>
      </c>
      <c r="AI29">
        <v>24.8004438579</v>
      </c>
      <c r="AJ29">
        <v>55.032803935920001</v>
      </c>
      <c r="AK29">
        <v>29.37469235352</v>
      </c>
      <c r="AL29">
        <v>0</v>
      </c>
      <c r="AM29">
        <v>81.108570519899999</v>
      </c>
      <c r="AN29">
        <v>631.20069632571597</v>
      </c>
      <c r="AO29" t="s">
        <v>19</v>
      </c>
      <c r="AX29" s="2" t="str">
        <f t="shared" si="0"/>
        <v>CSH</v>
      </c>
      <c r="AY29" s="2" t="str">
        <f t="shared" si="1"/>
        <v>ELC</v>
      </c>
    </row>
    <row r="30" spans="1:51">
      <c r="A30" t="s">
        <v>17</v>
      </c>
      <c r="B30" t="s">
        <v>5</v>
      </c>
      <c r="C30" t="s">
        <v>72</v>
      </c>
      <c r="D30" t="s">
        <v>19</v>
      </c>
      <c r="E30" t="s">
        <v>19</v>
      </c>
      <c r="F30" t="s">
        <v>19</v>
      </c>
      <c r="G30" t="s">
        <v>100</v>
      </c>
      <c r="H30" t="s">
        <v>19</v>
      </c>
      <c r="I30" t="s">
        <v>19</v>
      </c>
      <c r="J30" t="s">
        <v>19</v>
      </c>
      <c r="K30" t="s">
        <v>19</v>
      </c>
      <c r="L30">
        <v>0</v>
      </c>
      <c r="M30">
        <v>0</v>
      </c>
      <c r="N30">
        <v>10.315253243988</v>
      </c>
      <c r="O30">
        <v>27.668746989780001</v>
      </c>
      <c r="P30">
        <v>129.65146172595001</v>
      </c>
      <c r="Q30">
        <v>104.94981916768801</v>
      </c>
      <c r="R30">
        <v>38.120414983522799</v>
      </c>
      <c r="S30">
        <v>33.511626002447997</v>
      </c>
      <c r="T30">
        <v>266.64413484144001</v>
      </c>
      <c r="U30">
        <v>89.063460107542994</v>
      </c>
      <c r="V30">
        <v>74.691428142150002</v>
      </c>
      <c r="W30">
        <v>101.28335023368</v>
      </c>
      <c r="X30">
        <v>98.795130911550004</v>
      </c>
      <c r="Y30">
        <v>149.02746761655001</v>
      </c>
      <c r="Z30">
        <v>38.41999267968</v>
      </c>
      <c r="AA30">
        <v>122.9441343336</v>
      </c>
      <c r="AB30">
        <v>65.404745433119999</v>
      </c>
      <c r="AC30">
        <v>184.42225090305001</v>
      </c>
      <c r="AD30">
        <v>175.46490055620001</v>
      </c>
      <c r="AE30">
        <v>21.959013675303598</v>
      </c>
      <c r="AF30">
        <v>21.230639862775199</v>
      </c>
      <c r="AG30">
        <v>14.64541471185</v>
      </c>
      <c r="AH30">
        <v>74.344655350560004</v>
      </c>
      <c r="AI30">
        <v>37.200665786850003</v>
      </c>
      <c r="AJ30">
        <v>155.92627781844001</v>
      </c>
      <c r="AK30">
        <v>58.749384707040001</v>
      </c>
      <c r="AL30">
        <v>0</v>
      </c>
      <c r="AM30">
        <v>121.66285577985001</v>
      </c>
      <c r="AN30">
        <v>431.65576135869799</v>
      </c>
      <c r="AO30" t="s">
        <v>19</v>
      </c>
      <c r="AX30" s="2" t="str">
        <f t="shared" si="0"/>
        <v>CSH</v>
      </c>
      <c r="AY30" s="2" t="str">
        <f t="shared" si="1"/>
        <v>ELC</v>
      </c>
    </row>
    <row r="31" spans="1:51">
      <c r="A31" t="s">
        <v>17</v>
      </c>
      <c r="B31" t="s">
        <v>5</v>
      </c>
      <c r="C31" t="s">
        <v>73</v>
      </c>
      <c r="D31" t="s">
        <v>19</v>
      </c>
      <c r="E31" t="s">
        <v>19</v>
      </c>
      <c r="F31" t="s">
        <v>19</v>
      </c>
      <c r="G31" t="s">
        <v>100</v>
      </c>
      <c r="H31" t="s">
        <v>19</v>
      </c>
      <c r="I31" t="s">
        <v>19</v>
      </c>
      <c r="J31" t="s">
        <v>19</v>
      </c>
      <c r="K31" t="s">
        <v>19</v>
      </c>
      <c r="L31">
        <v>0</v>
      </c>
      <c r="M31">
        <v>0</v>
      </c>
      <c r="N31">
        <v>0</v>
      </c>
      <c r="O31">
        <v>1.6740061505999999</v>
      </c>
      <c r="P31">
        <v>23.166838861919999</v>
      </c>
      <c r="Q31">
        <v>0</v>
      </c>
      <c r="R31">
        <v>7.3793172922758599</v>
      </c>
      <c r="S31">
        <v>0</v>
      </c>
      <c r="T31">
        <v>0</v>
      </c>
      <c r="U31">
        <v>447.544134144</v>
      </c>
      <c r="V31">
        <v>0</v>
      </c>
      <c r="W31">
        <v>1.8395258457599999</v>
      </c>
      <c r="X31">
        <v>0</v>
      </c>
      <c r="Y31">
        <v>9.3194190498796594</v>
      </c>
      <c r="Z31">
        <v>9.6469599542399997</v>
      </c>
      <c r="AA31">
        <v>0.19638388935270201</v>
      </c>
      <c r="AB31">
        <v>0.31030216991999998</v>
      </c>
      <c r="AC31">
        <v>1.8044442334436099</v>
      </c>
      <c r="AD31">
        <v>6.0049337718440503</v>
      </c>
      <c r="AE31">
        <v>0</v>
      </c>
      <c r="AF31">
        <v>0.30720226319999999</v>
      </c>
      <c r="AG31">
        <v>0</v>
      </c>
      <c r="AH31">
        <v>0</v>
      </c>
      <c r="AI31">
        <v>0.66234243297455597</v>
      </c>
      <c r="AJ31">
        <v>0</v>
      </c>
      <c r="AK31">
        <v>0</v>
      </c>
      <c r="AL31">
        <v>0</v>
      </c>
      <c r="AM31">
        <v>4.3808713778679703E-2</v>
      </c>
      <c r="AN31">
        <v>0</v>
      </c>
      <c r="AO31" t="s">
        <v>19</v>
      </c>
      <c r="AX31" s="2" t="str">
        <f t="shared" si="0"/>
        <v>CSH</v>
      </c>
      <c r="AY31" s="2" t="str">
        <f t="shared" si="1"/>
        <v>GEO</v>
      </c>
    </row>
    <row r="32" spans="1:51">
      <c r="A32" t="s">
        <v>17</v>
      </c>
      <c r="B32" t="s">
        <v>5</v>
      </c>
      <c r="C32" t="s">
        <v>74</v>
      </c>
      <c r="D32" t="s">
        <v>19</v>
      </c>
      <c r="E32" t="s">
        <v>19</v>
      </c>
      <c r="F32" t="s">
        <v>19</v>
      </c>
      <c r="G32" t="s">
        <v>100</v>
      </c>
      <c r="H32" t="s">
        <v>19</v>
      </c>
      <c r="I32" t="s">
        <v>19</v>
      </c>
      <c r="J32" t="s">
        <v>19</v>
      </c>
      <c r="K32" t="s">
        <v>19</v>
      </c>
      <c r="L32">
        <v>0</v>
      </c>
      <c r="M32">
        <v>0</v>
      </c>
      <c r="N32">
        <v>0</v>
      </c>
      <c r="O32">
        <v>432.76388441040001</v>
      </c>
      <c r="P32">
        <v>104.7091340196</v>
      </c>
      <c r="Q32">
        <v>37.653265670400003</v>
      </c>
      <c r="R32">
        <v>0</v>
      </c>
      <c r="S32">
        <v>0</v>
      </c>
      <c r="T32">
        <v>0.79636361563636404</v>
      </c>
      <c r="U32">
        <v>415.41960486239998</v>
      </c>
      <c r="V32">
        <v>384.25063313160001</v>
      </c>
      <c r="W32">
        <v>338.02316112599999</v>
      </c>
      <c r="X32">
        <v>46.263294266400003</v>
      </c>
      <c r="Y32">
        <v>37.240417882800003</v>
      </c>
      <c r="Z32">
        <v>66.985429625999998</v>
      </c>
      <c r="AA32">
        <v>2.9988708624</v>
      </c>
      <c r="AB32">
        <v>368.82104839919998</v>
      </c>
      <c r="AC32">
        <v>100.5270609168</v>
      </c>
      <c r="AD32">
        <v>174.58199863920001</v>
      </c>
      <c r="AE32">
        <v>0</v>
      </c>
      <c r="AF32">
        <v>0</v>
      </c>
      <c r="AG32">
        <v>0</v>
      </c>
      <c r="AH32">
        <v>0</v>
      </c>
      <c r="AI32">
        <v>83.358400881600005</v>
      </c>
      <c r="AJ32">
        <v>2374.0488030420001</v>
      </c>
      <c r="AK32">
        <v>0</v>
      </c>
      <c r="AL32">
        <v>0</v>
      </c>
      <c r="AM32">
        <v>37.684955559599999</v>
      </c>
      <c r="AN32">
        <v>159.03672006240001</v>
      </c>
      <c r="AO32" t="s">
        <v>19</v>
      </c>
      <c r="AX32" s="2" t="str">
        <f t="shared" si="0"/>
        <v>CSH</v>
      </c>
      <c r="AY32" s="2" t="str">
        <f t="shared" si="1"/>
        <v>HET</v>
      </c>
    </row>
    <row r="33" spans="1:51">
      <c r="A33" t="s">
        <v>17</v>
      </c>
      <c r="B33" t="s">
        <v>5</v>
      </c>
      <c r="C33" t="s">
        <v>75</v>
      </c>
      <c r="D33" t="s">
        <v>19</v>
      </c>
      <c r="E33" t="s">
        <v>19</v>
      </c>
      <c r="F33" t="s">
        <v>19</v>
      </c>
      <c r="G33" t="s">
        <v>100</v>
      </c>
      <c r="H33" t="s">
        <v>19</v>
      </c>
      <c r="I33" t="s">
        <v>19</v>
      </c>
      <c r="J33" t="s">
        <v>19</v>
      </c>
      <c r="K33" t="s">
        <v>19</v>
      </c>
      <c r="L33">
        <v>0</v>
      </c>
      <c r="M33">
        <v>0</v>
      </c>
      <c r="N33">
        <v>0</v>
      </c>
      <c r="O33">
        <v>2.62009944E-2</v>
      </c>
      <c r="P33">
        <v>181.95993740591999</v>
      </c>
      <c r="Q33">
        <v>1.9699756480799999</v>
      </c>
      <c r="R33">
        <v>1.4206245517241401E-4</v>
      </c>
      <c r="S33">
        <v>0</v>
      </c>
      <c r="T33">
        <v>1.4015998112727299</v>
      </c>
      <c r="U33">
        <v>12.74137819812</v>
      </c>
      <c r="V33">
        <v>1.3657341599999999E-2</v>
      </c>
      <c r="W33">
        <v>8.5159511999999998E-4</v>
      </c>
      <c r="X33">
        <v>1.4238167990399999</v>
      </c>
      <c r="Y33">
        <v>4.0335631199999999E-2</v>
      </c>
      <c r="Z33">
        <v>7.6693802399999999E-3</v>
      </c>
      <c r="AA33">
        <v>3.5169120000000003E-5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2.7465408E-4</v>
      </c>
      <c r="AJ33">
        <v>0</v>
      </c>
      <c r="AK33">
        <v>0</v>
      </c>
      <c r="AL33">
        <v>0</v>
      </c>
      <c r="AM33">
        <v>13.65680066544</v>
      </c>
      <c r="AN33">
        <v>1.7519999544</v>
      </c>
      <c r="AO33" t="s">
        <v>19</v>
      </c>
      <c r="AX33" s="2" t="str">
        <f t="shared" si="0"/>
        <v>CSH</v>
      </c>
      <c r="AY33" s="2" t="str">
        <f t="shared" si="1"/>
        <v>KER</v>
      </c>
    </row>
    <row r="34" spans="1:51">
      <c r="A34" t="s">
        <v>17</v>
      </c>
      <c r="B34" t="s">
        <v>5</v>
      </c>
      <c r="C34" t="s">
        <v>76</v>
      </c>
      <c r="D34" t="s">
        <v>19</v>
      </c>
      <c r="E34" t="s">
        <v>19</v>
      </c>
      <c r="F34" t="s">
        <v>19</v>
      </c>
      <c r="G34" t="s">
        <v>100</v>
      </c>
      <c r="H34" t="s">
        <v>19</v>
      </c>
      <c r="I34" t="s">
        <v>19</v>
      </c>
      <c r="J34" t="s">
        <v>19</v>
      </c>
      <c r="K34" t="s">
        <v>19</v>
      </c>
      <c r="L34">
        <v>0</v>
      </c>
      <c r="M34">
        <v>0</v>
      </c>
      <c r="N34">
        <v>0</v>
      </c>
      <c r="O34">
        <v>2.6192651311997701</v>
      </c>
      <c r="P34">
        <v>112.23727758576</v>
      </c>
      <c r="Q34">
        <v>27.61034999184</v>
      </c>
      <c r="R34">
        <v>1.4098823779034499</v>
      </c>
      <c r="S34">
        <v>0</v>
      </c>
      <c r="T34">
        <v>13.089200452363601</v>
      </c>
      <c r="U34">
        <v>42.506229511800001</v>
      </c>
      <c r="V34">
        <v>0.36179980991999999</v>
      </c>
      <c r="W34">
        <v>6.54453824396602</v>
      </c>
      <c r="X34">
        <v>3.392647776</v>
      </c>
      <c r="Y34">
        <v>8.9296857518399992</v>
      </c>
      <c r="Z34">
        <v>3.9189323171107802</v>
      </c>
      <c r="AA34">
        <v>4.5814159483200001</v>
      </c>
      <c r="AB34">
        <v>2.9125955682</v>
      </c>
      <c r="AC34">
        <v>5.5094570121600004</v>
      </c>
      <c r="AD34">
        <v>3.3304001083200001</v>
      </c>
      <c r="AE34">
        <v>0</v>
      </c>
      <c r="AF34">
        <v>0</v>
      </c>
      <c r="AG34">
        <v>0</v>
      </c>
      <c r="AH34">
        <v>1.1134815534</v>
      </c>
      <c r="AI34">
        <v>0.49300909776000001</v>
      </c>
      <c r="AJ34">
        <v>1.3972311325462301</v>
      </c>
      <c r="AK34">
        <v>0</v>
      </c>
      <c r="AL34">
        <v>0</v>
      </c>
      <c r="AM34">
        <v>6.5272161758399996</v>
      </c>
      <c r="AN34">
        <v>98.262781873250802</v>
      </c>
      <c r="AO34" t="s">
        <v>19</v>
      </c>
      <c r="AX34" s="2" t="str">
        <f t="shared" si="0"/>
        <v>CSH</v>
      </c>
      <c r="AY34" s="2" t="str">
        <f t="shared" si="1"/>
        <v>LPG</v>
      </c>
    </row>
    <row r="35" spans="1:51">
      <c r="A35" t="s">
        <v>17</v>
      </c>
      <c r="B35" t="s">
        <v>5</v>
      </c>
      <c r="C35" t="s">
        <v>77</v>
      </c>
      <c r="D35" t="s">
        <v>19</v>
      </c>
      <c r="E35" t="s">
        <v>19</v>
      </c>
      <c r="F35" t="s">
        <v>19</v>
      </c>
      <c r="G35" t="s">
        <v>100</v>
      </c>
      <c r="H35" t="s">
        <v>19</v>
      </c>
      <c r="I35" t="s">
        <v>19</v>
      </c>
      <c r="J35" t="s">
        <v>19</v>
      </c>
      <c r="K35" t="s">
        <v>19</v>
      </c>
      <c r="L35">
        <v>0</v>
      </c>
      <c r="M35">
        <v>0</v>
      </c>
      <c r="N35">
        <v>13.352151792000001</v>
      </c>
      <c r="O35">
        <v>641.88507450561201</v>
      </c>
      <c r="P35">
        <v>154.69379744141901</v>
      </c>
      <c r="Q35">
        <v>11.2819178688866</v>
      </c>
      <c r="R35">
        <v>81.950220085772202</v>
      </c>
      <c r="S35">
        <v>1.4363938066799999</v>
      </c>
      <c r="T35">
        <v>914.48599616290596</v>
      </c>
      <c r="U35">
        <v>186.377466324746</v>
      </c>
      <c r="V35">
        <v>17.9739412209805</v>
      </c>
      <c r="W35">
        <v>249.082574343131</v>
      </c>
      <c r="X35">
        <v>270.16244321836399</v>
      </c>
      <c r="Y35">
        <v>373.38346652152001</v>
      </c>
      <c r="Z35">
        <v>150.97914655532199</v>
      </c>
      <c r="AA35">
        <v>115.15160691226799</v>
      </c>
      <c r="AB35">
        <v>27.380642364789701</v>
      </c>
      <c r="AC35">
        <v>313.21155765540601</v>
      </c>
      <c r="AD35">
        <v>506.19099232539099</v>
      </c>
      <c r="AE35">
        <v>11.3398081235372</v>
      </c>
      <c r="AF35">
        <v>8.4703125679200006</v>
      </c>
      <c r="AG35">
        <v>2.3017899475050498</v>
      </c>
      <c r="AH35">
        <v>63.0871349200536</v>
      </c>
      <c r="AI35">
        <v>3.5523185988233799</v>
      </c>
      <c r="AJ35">
        <v>385.20306481333301</v>
      </c>
      <c r="AK35">
        <v>0</v>
      </c>
      <c r="AL35">
        <v>0</v>
      </c>
      <c r="AM35">
        <v>327.09655317443998</v>
      </c>
      <c r="AN35">
        <v>5080.8275458097996</v>
      </c>
      <c r="AO35" t="s">
        <v>19</v>
      </c>
      <c r="AX35" s="2" t="str">
        <f t="shared" si="0"/>
        <v>CSH</v>
      </c>
      <c r="AY35" s="2" t="str">
        <f t="shared" si="1"/>
        <v>NGA</v>
      </c>
    </row>
    <row r="36" spans="1:51">
      <c r="A36" t="s">
        <v>17</v>
      </c>
      <c r="B36" t="s">
        <v>5</v>
      </c>
      <c r="C36" t="s">
        <v>78</v>
      </c>
      <c r="D36" t="s">
        <v>19</v>
      </c>
      <c r="E36" t="s">
        <v>19</v>
      </c>
      <c r="F36" t="s">
        <v>19</v>
      </c>
      <c r="G36" t="s">
        <v>100</v>
      </c>
      <c r="H36" t="s">
        <v>19</v>
      </c>
      <c r="I36" t="s">
        <v>19</v>
      </c>
      <c r="J36" t="s">
        <v>19</v>
      </c>
      <c r="K36" t="s">
        <v>19</v>
      </c>
      <c r="L36">
        <v>0</v>
      </c>
      <c r="M36">
        <v>0</v>
      </c>
      <c r="N36">
        <v>0</v>
      </c>
      <c r="O36">
        <v>1.74400349143524</v>
      </c>
      <c r="P36">
        <v>4.1992515699950599E-2</v>
      </c>
      <c r="Q36">
        <v>3.06254110423646E-3</v>
      </c>
      <c r="R36">
        <v>0.22265897063201401</v>
      </c>
      <c r="S36">
        <v>0</v>
      </c>
      <c r="T36">
        <v>76.768338411319206</v>
      </c>
      <c r="U36">
        <v>5.0593228753872399E-2</v>
      </c>
      <c r="V36">
        <v>4.8791291014614602E-3</v>
      </c>
      <c r="W36">
        <v>6.7614888810580503E-2</v>
      </c>
      <c r="X36">
        <v>7.3337139730377907E-2</v>
      </c>
      <c r="Y36">
        <v>0.10135707662063501</v>
      </c>
      <c r="Z36">
        <v>4.0984152480259502E-2</v>
      </c>
      <c r="AA36">
        <v>3.1258562018099602E-2</v>
      </c>
      <c r="AB36">
        <v>7.43263190506118E-3</v>
      </c>
      <c r="AC36">
        <v>8.5023067956110601E-2</v>
      </c>
      <c r="AD36">
        <v>0.13740843876075301</v>
      </c>
      <c r="AE36">
        <v>3.0810289481939999E-2</v>
      </c>
      <c r="AF36">
        <v>0</v>
      </c>
      <c r="AG36">
        <v>6.2483404058393097E-4</v>
      </c>
      <c r="AH36">
        <v>1.7125363443214098E-2</v>
      </c>
      <c r="AI36">
        <v>9.6429719225689403E-4</v>
      </c>
      <c r="AJ36">
        <v>1.0465977736956</v>
      </c>
      <c r="AK36">
        <v>0</v>
      </c>
      <c r="AL36">
        <v>0</v>
      </c>
      <c r="AM36">
        <v>8.87922293702752E-2</v>
      </c>
      <c r="AN36">
        <v>18.3580960469247</v>
      </c>
      <c r="AO36" t="s">
        <v>19</v>
      </c>
      <c r="AX36" s="2" t="str">
        <f t="shared" si="0"/>
        <v>CSH</v>
      </c>
      <c r="AY36" s="2" t="str">
        <f t="shared" si="1"/>
        <v>NGA</v>
      </c>
    </row>
    <row r="37" spans="1:51">
      <c r="A37" t="s">
        <v>17</v>
      </c>
      <c r="B37" t="s">
        <v>5</v>
      </c>
      <c r="C37" t="s">
        <v>79</v>
      </c>
      <c r="D37" t="s">
        <v>19</v>
      </c>
      <c r="E37" t="s">
        <v>19</v>
      </c>
      <c r="F37" t="s">
        <v>19</v>
      </c>
      <c r="G37" t="s">
        <v>100</v>
      </c>
      <c r="H37" t="s">
        <v>19</v>
      </c>
      <c r="I37" t="s">
        <v>19</v>
      </c>
      <c r="J37" t="s">
        <v>19</v>
      </c>
      <c r="K37" t="s">
        <v>19</v>
      </c>
      <c r="L37">
        <v>21.3</v>
      </c>
      <c r="M37">
        <v>1799.6790000000001</v>
      </c>
      <c r="N37">
        <v>12.238</v>
      </c>
      <c r="O37">
        <v>3.3000000000000002E-2</v>
      </c>
      <c r="P37">
        <v>0</v>
      </c>
      <c r="Q37">
        <v>801.178</v>
      </c>
      <c r="R37">
        <v>1.2E-2</v>
      </c>
      <c r="S37">
        <v>43.179000000000002</v>
      </c>
      <c r="T37">
        <v>0</v>
      </c>
      <c r="U37">
        <v>356.20400000000001</v>
      </c>
      <c r="V37">
        <v>0.34</v>
      </c>
      <c r="W37">
        <v>0.95099999999999996</v>
      </c>
      <c r="X37">
        <v>0.11899999999999999</v>
      </c>
      <c r="Y37">
        <v>0.82799999999999996</v>
      </c>
      <c r="Z37">
        <v>0.56200000000000006</v>
      </c>
      <c r="AA37">
        <v>0.31</v>
      </c>
      <c r="AB37">
        <v>2.5190000000000001</v>
      </c>
      <c r="AC37">
        <v>0.76800000000000002</v>
      </c>
      <c r="AD37">
        <v>0.73199999999999998</v>
      </c>
      <c r="AE37">
        <v>823.37800000000004</v>
      </c>
      <c r="AF37">
        <v>109.277</v>
      </c>
      <c r="AG37">
        <v>33.356000000000002</v>
      </c>
      <c r="AH37">
        <v>0.14299999999999999</v>
      </c>
      <c r="AI37">
        <v>5.6000000000000001E-2</v>
      </c>
      <c r="AJ37">
        <v>9.0999999999999998E-2</v>
      </c>
      <c r="AK37">
        <v>3.0000000000000001E-3</v>
      </c>
      <c r="AL37">
        <v>20.475000000000001</v>
      </c>
      <c r="AM37">
        <v>7.9000000000000001E-2</v>
      </c>
      <c r="AN37">
        <v>0</v>
      </c>
      <c r="AO37" t="s">
        <v>19</v>
      </c>
      <c r="AX37" s="2" t="str">
        <f t="shared" si="0"/>
        <v>RCK</v>
      </c>
      <c r="AY37" s="2" t="str">
        <f t="shared" si="1"/>
        <v>BIO</v>
      </c>
    </row>
    <row r="38" spans="1:51">
      <c r="A38" t="s">
        <v>17</v>
      </c>
      <c r="B38" t="s">
        <v>5</v>
      </c>
      <c r="C38" t="s">
        <v>80</v>
      </c>
      <c r="D38" t="s">
        <v>19</v>
      </c>
      <c r="E38" t="s">
        <v>19</v>
      </c>
      <c r="F38" t="s">
        <v>19</v>
      </c>
      <c r="G38" t="s">
        <v>100</v>
      </c>
      <c r="H38" t="s">
        <v>19</v>
      </c>
      <c r="I38" t="s">
        <v>19</v>
      </c>
      <c r="J38" t="s">
        <v>19</v>
      </c>
      <c r="K38" t="s">
        <v>19</v>
      </c>
      <c r="L38">
        <v>0</v>
      </c>
      <c r="M38">
        <v>2E-3</v>
      </c>
      <c r="N38">
        <v>0</v>
      </c>
      <c r="O38">
        <v>2.0649999999999999</v>
      </c>
      <c r="P38">
        <v>0</v>
      </c>
      <c r="Q38">
        <v>21.798999999999999</v>
      </c>
      <c r="R38">
        <v>0</v>
      </c>
      <c r="S38">
        <v>0</v>
      </c>
      <c r="T38">
        <v>0</v>
      </c>
      <c r="U38">
        <v>19.163</v>
      </c>
      <c r="V38">
        <v>0</v>
      </c>
      <c r="W38">
        <v>0.66</v>
      </c>
      <c r="X38">
        <v>1E-3</v>
      </c>
      <c r="Y38">
        <v>0</v>
      </c>
      <c r="Z38">
        <v>2.5000000000000001E-2</v>
      </c>
      <c r="AA38">
        <v>0</v>
      </c>
      <c r="AB38">
        <v>0</v>
      </c>
      <c r="AC38">
        <v>0</v>
      </c>
      <c r="AD38">
        <v>1E-3</v>
      </c>
      <c r="AE38">
        <v>30.731999999999999</v>
      </c>
      <c r="AF38">
        <v>4.4999999999999998E-2</v>
      </c>
      <c r="AG38">
        <v>0</v>
      </c>
      <c r="AH38">
        <v>0</v>
      </c>
      <c r="AI38">
        <v>0</v>
      </c>
      <c r="AJ38">
        <v>0.73899999999999999</v>
      </c>
      <c r="AK38">
        <v>0</v>
      </c>
      <c r="AL38">
        <v>1.7390000000000001</v>
      </c>
      <c r="AM38">
        <v>1E-3</v>
      </c>
      <c r="AN38">
        <v>0</v>
      </c>
      <c r="AO38" t="s">
        <v>19</v>
      </c>
      <c r="AX38" s="2" t="str">
        <f t="shared" si="0"/>
        <v>RCK</v>
      </c>
      <c r="AY38" s="2" t="str">
        <f t="shared" si="1"/>
        <v>COA</v>
      </c>
    </row>
    <row r="39" spans="1:51">
      <c r="A39" t="s">
        <v>17</v>
      </c>
      <c r="B39" t="s">
        <v>5</v>
      </c>
      <c r="C39" t="s">
        <v>26</v>
      </c>
      <c r="D39" t="s">
        <v>19</v>
      </c>
      <c r="E39" t="s">
        <v>19</v>
      </c>
      <c r="F39" t="s">
        <v>19</v>
      </c>
      <c r="G39" t="s">
        <v>100</v>
      </c>
      <c r="H39" t="s">
        <v>19</v>
      </c>
      <c r="I39" t="s">
        <v>19</v>
      </c>
      <c r="J39" t="s">
        <v>19</v>
      </c>
      <c r="K39" t="s">
        <v>19</v>
      </c>
      <c r="L39">
        <v>0.154</v>
      </c>
      <c r="M39">
        <v>6.5359999999999996</v>
      </c>
      <c r="N39">
        <v>0</v>
      </c>
      <c r="O39">
        <v>8.3859999999999992</v>
      </c>
      <c r="P39">
        <v>1.68</v>
      </c>
      <c r="Q39">
        <v>1.4</v>
      </c>
      <c r="R39">
        <v>1.4999999999999999E-2</v>
      </c>
      <c r="S39">
        <v>0</v>
      </c>
      <c r="T39">
        <v>0</v>
      </c>
      <c r="U39">
        <v>19.712</v>
      </c>
      <c r="V39">
        <v>0.441</v>
      </c>
      <c r="W39">
        <v>13.856</v>
      </c>
      <c r="X39">
        <v>1.7170000000000001</v>
      </c>
      <c r="Y39">
        <v>1.3320000000000001</v>
      </c>
      <c r="Z39">
        <v>2.4319999999999999</v>
      </c>
      <c r="AA39">
        <v>1.026</v>
      </c>
      <c r="AB39">
        <v>15.816000000000001</v>
      </c>
      <c r="AC39">
        <v>2.254</v>
      </c>
      <c r="AD39">
        <v>7.3680000000000003</v>
      </c>
      <c r="AE39">
        <v>0</v>
      </c>
      <c r="AF39">
        <v>0.41699999999999998</v>
      </c>
      <c r="AG39">
        <v>0</v>
      </c>
      <c r="AH39">
        <v>5.86</v>
      </c>
      <c r="AI39">
        <v>6.0000000000000001E-3</v>
      </c>
      <c r="AJ39">
        <v>8.0719999999999992</v>
      </c>
      <c r="AK39">
        <v>0</v>
      </c>
      <c r="AL39">
        <v>0.111</v>
      </c>
      <c r="AM39">
        <v>0.111</v>
      </c>
      <c r="AN39">
        <v>4.7770000000000001</v>
      </c>
      <c r="AO39" t="s">
        <v>19</v>
      </c>
      <c r="AX39" s="2" t="str">
        <f t="shared" si="0"/>
        <v>RCK</v>
      </c>
      <c r="AY39" s="2" t="str">
        <f t="shared" si="1"/>
        <v>DST</v>
      </c>
    </row>
    <row r="40" spans="1:51">
      <c r="A40" t="s">
        <v>17</v>
      </c>
      <c r="B40" t="s">
        <v>5</v>
      </c>
      <c r="C40" t="s">
        <v>27</v>
      </c>
      <c r="D40" t="s">
        <v>19</v>
      </c>
      <c r="E40" t="s">
        <v>19</v>
      </c>
      <c r="F40" t="s">
        <v>19</v>
      </c>
      <c r="G40" t="s">
        <v>100</v>
      </c>
      <c r="H40" t="s">
        <v>19</v>
      </c>
      <c r="I40" t="s">
        <v>19</v>
      </c>
      <c r="J40" t="s">
        <v>19</v>
      </c>
      <c r="K40" t="s">
        <v>19</v>
      </c>
      <c r="L40">
        <v>0</v>
      </c>
      <c r="M40">
        <v>0</v>
      </c>
      <c r="N40">
        <v>0.21</v>
      </c>
      <c r="O40">
        <v>9.2530000000000001</v>
      </c>
      <c r="P40">
        <v>41.368000000000002</v>
      </c>
      <c r="Q40">
        <v>17.762</v>
      </c>
      <c r="R40">
        <v>10.977</v>
      </c>
      <c r="S40">
        <v>0.52900000000000003</v>
      </c>
      <c r="T40">
        <v>25.617000000000001</v>
      </c>
      <c r="U40">
        <v>59.786999999999999</v>
      </c>
      <c r="V40">
        <v>23.181999999999999</v>
      </c>
      <c r="W40">
        <v>19.731999999999999</v>
      </c>
      <c r="X40">
        <v>15.369</v>
      </c>
      <c r="Y40">
        <v>25.888999999999999</v>
      </c>
      <c r="Z40">
        <v>11.846</v>
      </c>
      <c r="AA40">
        <v>26.073</v>
      </c>
      <c r="AB40">
        <v>5.5010000000000003</v>
      </c>
      <c r="AC40">
        <v>48.308999999999997</v>
      </c>
      <c r="AD40">
        <v>38.273000000000003</v>
      </c>
      <c r="AE40">
        <v>3.06</v>
      </c>
      <c r="AF40">
        <v>0.42199999999999999</v>
      </c>
      <c r="AG40">
        <v>0.38800000000000001</v>
      </c>
      <c r="AH40">
        <v>10.007999999999999</v>
      </c>
      <c r="AI40">
        <v>12.384</v>
      </c>
      <c r="AJ40">
        <v>26.036999999999999</v>
      </c>
      <c r="AK40">
        <v>4.8049999999999997</v>
      </c>
      <c r="AL40">
        <v>0</v>
      </c>
      <c r="AM40">
        <v>31.402999999999999</v>
      </c>
      <c r="AN40">
        <v>159.46</v>
      </c>
      <c r="AO40" t="s">
        <v>19</v>
      </c>
      <c r="AX40" s="2" t="str">
        <f t="shared" si="0"/>
        <v>RCK</v>
      </c>
      <c r="AY40" s="2" t="str">
        <f t="shared" si="1"/>
        <v>ELC</v>
      </c>
    </row>
    <row r="41" spans="1:51">
      <c r="A41" t="s">
        <v>17</v>
      </c>
      <c r="B41" t="s">
        <v>5</v>
      </c>
      <c r="C41" t="s">
        <v>28</v>
      </c>
      <c r="D41" t="s">
        <v>19</v>
      </c>
      <c r="E41" t="s">
        <v>19</v>
      </c>
      <c r="F41" t="s">
        <v>19</v>
      </c>
      <c r="G41" t="s">
        <v>100</v>
      </c>
      <c r="H41" t="s">
        <v>19</v>
      </c>
      <c r="I41" t="s">
        <v>19</v>
      </c>
      <c r="J41" t="s">
        <v>19</v>
      </c>
      <c r="K41" t="s">
        <v>19</v>
      </c>
      <c r="L41">
        <v>1.9770000000000001</v>
      </c>
      <c r="M41">
        <v>21.827000000000002</v>
      </c>
      <c r="N41">
        <v>1.575</v>
      </c>
      <c r="O41">
        <v>0.51500000000000001</v>
      </c>
      <c r="P41">
        <v>18.768000000000001</v>
      </c>
      <c r="Q41">
        <v>15.032999999999999</v>
      </c>
      <c r="R41">
        <v>0</v>
      </c>
      <c r="S41">
        <v>2.8000000000000001E-2</v>
      </c>
      <c r="T41">
        <v>0</v>
      </c>
      <c r="U41">
        <v>2.9449999999999998</v>
      </c>
      <c r="V41">
        <v>2E-3</v>
      </c>
      <c r="W41">
        <v>0</v>
      </c>
      <c r="X41">
        <v>0.55700000000000005</v>
      </c>
      <c r="Y41">
        <v>1.2E-2</v>
      </c>
      <c r="Z41">
        <v>0</v>
      </c>
      <c r="AA41">
        <v>0</v>
      </c>
      <c r="AB41">
        <v>9.0999999999999998E-2</v>
      </c>
      <c r="AC41">
        <v>0.11799999999999999</v>
      </c>
      <c r="AD41">
        <v>4.0000000000000001E-3</v>
      </c>
      <c r="AE41">
        <v>43.1</v>
      </c>
      <c r="AF41">
        <v>3.7759999999999998</v>
      </c>
      <c r="AG41">
        <v>0</v>
      </c>
      <c r="AH41">
        <v>37.475999999999999</v>
      </c>
      <c r="AI41">
        <v>0</v>
      </c>
      <c r="AJ41">
        <v>0</v>
      </c>
      <c r="AK41">
        <v>5.3129999999999997</v>
      </c>
      <c r="AL41">
        <v>4.8390000000000004</v>
      </c>
      <c r="AM41">
        <v>1.2350000000000001</v>
      </c>
      <c r="AN41">
        <v>0.13300000000000001</v>
      </c>
      <c r="AO41" t="s">
        <v>19</v>
      </c>
      <c r="AX41" s="2" t="str">
        <f t="shared" si="0"/>
        <v>RCK</v>
      </c>
      <c r="AY41" s="2" t="str">
        <f t="shared" si="1"/>
        <v>KER</v>
      </c>
    </row>
    <row r="42" spans="1:51">
      <c r="A42" t="s">
        <v>17</v>
      </c>
      <c r="B42" t="s">
        <v>5</v>
      </c>
      <c r="C42" t="s">
        <v>29</v>
      </c>
      <c r="D42" t="s">
        <v>19</v>
      </c>
      <c r="E42" t="s">
        <v>19</v>
      </c>
      <c r="F42" t="s">
        <v>19</v>
      </c>
      <c r="G42" t="s">
        <v>100</v>
      </c>
      <c r="H42" t="s">
        <v>19</v>
      </c>
      <c r="I42" t="s">
        <v>19</v>
      </c>
      <c r="J42" t="s">
        <v>19</v>
      </c>
      <c r="K42" t="s">
        <v>19</v>
      </c>
      <c r="L42">
        <v>175.57</v>
      </c>
      <c r="M42">
        <v>54.582999999999998</v>
      </c>
      <c r="N42">
        <v>40.862000000000002</v>
      </c>
      <c r="O42">
        <v>5.3840000000000003</v>
      </c>
      <c r="P42">
        <v>12.62</v>
      </c>
      <c r="Q42">
        <v>330.22399999999999</v>
      </c>
      <c r="R42">
        <v>2.415</v>
      </c>
      <c r="S42">
        <v>121.637</v>
      </c>
      <c r="T42">
        <v>0</v>
      </c>
      <c r="U42">
        <v>230.732</v>
      </c>
      <c r="V42">
        <v>0.02</v>
      </c>
      <c r="W42">
        <v>10.260999999999999</v>
      </c>
      <c r="X42">
        <v>0.13200000000000001</v>
      </c>
      <c r="Y42">
        <v>0.872</v>
      </c>
      <c r="Z42">
        <v>6.4249999999999998</v>
      </c>
      <c r="AA42">
        <v>0.86099999999999999</v>
      </c>
      <c r="AB42">
        <v>5.2370000000000001</v>
      </c>
      <c r="AC42">
        <v>0.56799999999999995</v>
      </c>
      <c r="AD42">
        <v>0.58599999999999997</v>
      </c>
      <c r="AE42">
        <v>513.88</v>
      </c>
      <c r="AF42">
        <v>101.41800000000001</v>
      </c>
      <c r="AG42">
        <v>48.478000000000002</v>
      </c>
      <c r="AH42">
        <v>73.266999999999996</v>
      </c>
      <c r="AI42">
        <v>4.0000000000000001E-3</v>
      </c>
      <c r="AJ42">
        <v>41.895000000000003</v>
      </c>
      <c r="AK42">
        <v>12.59</v>
      </c>
      <c r="AL42">
        <v>4.508</v>
      </c>
      <c r="AM42">
        <v>0.16300000000000001</v>
      </c>
      <c r="AN42">
        <v>2.3490000000000002</v>
      </c>
      <c r="AO42" t="s">
        <v>19</v>
      </c>
      <c r="AX42" s="2" t="str">
        <f t="shared" si="0"/>
        <v>RCK</v>
      </c>
      <c r="AY42" s="2" t="str">
        <f t="shared" si="1"/>
        <v>LPG</v>
      </c>
    </row>
    <row r="43" spans="1:51">
      <c r="A43" t="s">
        <v>17</v>
      </c>
      <c r="B43" t="s">
        <v>5</v>
      </c>
      <c r="C43" t="s">
        <v>30</v>
      </c>
      <c r="D43" t="s">
        <v>19</v>
      </c>
      <c r="E43" t="s">
        <v>19</v>
      </c>
      <c r="F43" t="s">
        <v>19</v>
      </c>
      <c r="G43" t="s">
        <v>100</v>
      </c>
      <c r="H43" t="s">
        <v>19</v>
      </c>
      <c r="I43" t="s">
        <v>19</v>
      </c>
      <c r="J43" t="s">
        <v>19</v>
      </c>
      <c r="K43" t="s">
        <v>19</v>
      </c>
      <c r="L43">
        <v>85.715000000000003</v>
      </c>
      <c r="M43">
        <v>0</v>
      </c>
      <c r="N43">
        <v>64.650999999999996</v>
      </c>
      <c r="O43">
        <v>37.07</v>
      </c>
      <c r="P43">
        <v>61.35</v>
      </c>
      <c r="Q43">
        <v>252.64099999999999</v>
      </c>
      <c r="R43">
        <v>3.871</v>
      </c>
      <c r="S43">
        <v>2.9390000000000001</v>
      </c>
      <c r="T43">
        <v>3.7669999999999999</v>
      </c>
      <c r="U43">
        <v>423.37599999999998</v>
      </c>
      <c r="V43">
        <v>0.51600000000000001</v>
      </c>
      <c r="W43">
        <v>20.919</v>
      </c>
      <c r="X43">
        <v>8.0039999999999996</v>
      </c>
      <c r="Y43">
        <v>12.375999999999999</v>
      </c>
      <c r="Z43">
        <v>14.956</v>
      </c>
      <c r="AA43">
        <v>2.8039999999999998</v>
      </c>
      <c r="AB43">
        <v>46.44</v>
      </c>
      <c r="AC43">
        <v>8.5169999999999995</v>
      </c>
      <c r="AD43">
        <v>16.992999999999999</v>
      </c>
      <c r="AE43">
        <v>8.1720000000000006</v>
      </c>
      <c r="AF43">
        <v>14.113</v>
      </c>
      <c r="AG43">
        <v>4.452</v>
      </c>
      <c r="AH43">
        <v>87.692999999999998</v>
      </c>
      <c r="AI43">
        <v>1E-3</v>
      </c>
      <c r="AJ43">
        <v>163.61699999999999</v>
      </c>
      <c r="AK43">
        <v>0</v>
      </c>
      <c r="AL43">
        <v>3.5999999999999997E-2</v>
      </c>
      <c r="AM43">
        <v>17.105</v>
      </c>
      <c r="AN43">
        <v>105.342</v>
      </c>
      <c r="AO43" t="s">
        <v>19</v>
      </c>
      <c r="AX43" s="2" t="str">
        <f t="shared" si="0"/>
        <v>RCK</v>
      </c>
      <c r="AY43" s="2" t="str">
        <f t="shared" si="1"/>
        <v>NGA</v>
      </c>
    </row>
    <row r="44" spans="1:51">
      <c r="A44" t="s">
        <v>17</v>
      </c>
      <c r="B44" t="s">
        <v>5</v>
      </c>
      <c r="C44" t="s">
        <v>31</v>
      </c>
      <c r="D44" t="s">
        <v>19</v>
      </c>
      <c r="E44" t="s">
        <v>19</v>
      </c>
      <c r="F44" t="s">
        <v>19</v>
      </c>
      <c r="G44" t="s">
        <v>100</v>
      </c>
      <c r="H44" t="s">
        <v>19</v>
      </c>
      <c r="I44" t="s">
        <v>19</v>
      </c>
      <c r="J44" t="s">
        <v>19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19</v>
      </c>
      <c r="AX44" s="2" t="str">
        <f t="shared" si="0"/>
        <v>RCK</v>
      </c>
      <c r="AY44" s="2" t="str">
        <f t="shared" si="1"/>
        <v>STH</v>
      </c>
    </row>
    <row r="45" spans="1:51">
      <c r="A45" t="s">
        <v>17</v>
      </c>
      <c r="B45" t="s">
        <v>5</v>
      </c>
      <c r="C45" t="s">
        <v>32</v>
      </c>
      <c r="D45" t="s">
        <v>19</v>
      </c>
      <c r="E45" t="s">
        <v>19</v>
      </c>
      <c r="F45" t="s">
        <v>19</v>
      </c>
      <c r="G45" t="s">
        <v>100</v>
      </c>
      <c r="H45" t="s">
        <v>19</v>
      </c>
      <c r="I45" t="s">
        <v>19</v>
      </c>
      <c r="J45" t="s">
        <v>19</v>
      </c>
      <c r="K45" t="s">
        <v>19</v>
      </c>
      <c r="L45">
        <v>39.936999999999998</v>
      </c>
      <c r="M45">
        <v>3374.3969999999999</v>
      </c>
      <c r="N45">
        <v>13.148999999999999</v>
      </c>
      <c r="O45">
        <v>1.337</v>
      </c>
      <c r="P45">
        <v>0</v>
      </c>
      <c r="Q45">
        <v>0</v>
      </c>
      <c r="R45">
        <v>0.22800000000000001</v>
      </c>
      <c r="S45">
        <v>46.390999999999998</v>
      </c>
      <c r="T45">
        <v>4.524</v>
      </c>
      <c r="U45">
        <v>1102.3340000000001</v>
      </c>
      <c r="V45">
        <v>11.326000000000001</v>
      </c>
      <c r="W45">
        <v>38.295000000000002</v>
      </c>
      <c r="X45">
        <v>3.96</v>
      </c>
      <c r="Y45">
        <v>27.565000000000001</v>
      </c>
      <c r="Z45">
        <v>22.643999999999998</v>
      </c>
      <c r="AA45">
        <v>10.305999999999999</v>
      </c>
      <c r="AB45">
        <v>32.764000000000003</v>
      </c>
      <c r="AC45">
        <v>25.567</v>
      </c>
      <c r="AD45">
        <v>24.358000000000001</v>
      </c>
      <c r="AE45">
        <v>0</v>
      </c>
      <c r="AF45">
        <v>117.40600000000001</v>
      </c>
      <c r="AG45">
        <v>0</v>
      </c>
      <c r="AH45">
        <v>1.8560000000000001</v>
      </c>
      <c r="AI45">
        <v>1.849</v>
      </c>
      <c r="AJ45">
        <v>3.6749999999999998</v>
      </c>
      <c r="AK45">
        <v>3.3000000000000002E-2</v>
      </c>
      <c r="AL45">
        <v>38.39</v>
      </c>
      <c r="AM45">
        <v>2.6269999999999998</v>
      </c>
      <c r="AN45">
        <v>0</v>
      </c>
      <c r="AO45" t="s">
        <v>19</v>
      </c>
      <c r="AX45" s="2" t="str">
        <f t="shared" si="0"/>
        <v>RHW</v>
      </c>
      <c r="AY45" s="2" t="str">
        <f t="shared" si="1"/>
        <v>BIO</v>
      </c>
    </row>
    <row r="46" spans="1:51">
      <c r="A46" t="s">
        <v>17</v>
      </c>
      <c r="B46" t="s">
        <v>5</v>
      </c>
      <c r="C46" t="s">
        <v>487</v>
      </c>
      <c r="D46" t="s">
        <v>19</v>
      </c>
      <c r="E46" t="s">
        <v>19</v>
      </c>
      <c r="F46" t="s">
        <v>19</v>
      </c>
      <c r="G46" t="s">
        <v>100</v>
      </c>
      <c r="H46" t="s">
        <v>19</v>
      </c>
      <c r="I46" t="s">
        <v>19</v>
      </c>
      <c r="J46" t="s">
        <v>19</v>
      </c>
      <c r="K46" t="s">
        <v>19</v>
      </c>
      <c r="L46">
        <v>0</v>
      </c>
      <c r="M46">
        <v>0.40100000000000002</v>
      </c>
      <c r="N46">
        <v>0</v>
      </c>
      <c r="O46">
        <v>123.889</v>
      </c>
      <c r="P46">
        <v>15.689</v>
      </c>
      <c r="Q46">
        <v>0</v>
      </c>
      <c r="R46">
        <v>6.4000000000000001E-2</v>
      </c>
      <c r="S46">
        <v>0</v>
      </c>
      <c r="T46">
        <v>0</v>
      </c>
      <c r="U46">
        <v>1570.008</v>
      </c>
      <c r="V46">
        <v>3.3000000000000002E-2</v>
      </c>
      <c r="W46">
        <v>97.843999999999994</v>
      </c>
      <c r="X46">
        <v>3.4830000000000001</v>
      </c>
      <c r="Y46">
        <v>0.03</v>
      </c>
      <c r="Z46">
        <v>3.698</v>
      </c>
      <c r="AA46">
        <v>0.57699999999999996</v>
      </c>
      <c r="AB46">
        <v>80.096000000000004</v>
      </c>
      <c r="AC46">
        <v>0.217</v>
      </c>
      <c r="AD46">
        <v>3.0680000000000001</v>
      </c>
      <c r="AE46">
        <v>0</v>
      </c>
      <c r="AF46">
        <v>7.3620000000000001</v>
      </c>
      <c r="AG46">
        <v>0</v>
      </c>
      <c r="AH46">
        <v>0.34</v>
      </c>
      <c r="AI46">
        <v>0</v>
      </c>
      <c r="AJ46">
        <v>44.356999999999999</v>
      </c>
      <c r="AK46">
        <v>0</v>
      </c>
      <c r="AL46">
        <v>286.06</v>
      </c>
      <c r="AM46">
        <v>4.0540000000000003</v>
      </c>
      <c r="AN46">
        <v>0</v>
      </c>
      <c r="AO46" t="s">
        <v>19</v>
      </c>
      <c r="AX46" s="2" t="str">
        <f t="shared" si="0"/>
        <v>RHW</v>
      </c>
      <c r="AY46" s="2" t="str">
        <f t="shared" si="1"/>
        <v>COA</v>
      </c>
    </row>
    <row r="47" spans="1:51">
      <c r="A47" t="s">
        <v>17</v>
      </c>
      <c r="B47" t="s">
        <v>5</v>
      </c>
      <c r="C47" t="s">
        <v>81</v>
      </c>
      <c r="D47" t="s">
        <v>19</v>
      </c>
      <c r="E47" t="s">
        <v>19</v>
      </c>
      <c r="F47" t="s">
        <v>19</v>
      </c>
      <c r="G47" t="s">
        <v>100</v>
      </c>
      <c r="H47" t="s">
        <v>19</v>
      </c>
      <c r="I47" t="s">
        <v>19</v>
      </c>
      <c r="J47" t="s">
        <v>19</v>
      </c>
      <c r="K47" t="s">
        <v>19</v>
      </c>
      <c r="L47">
        <v>0.23100000000000001</v>
      </c>
      <c r="M47">
        <v>9.7850000000000001</v>
      </c>
      <c r="N47">
        <v>0</v>
      </c>
      <c r="O47">
        <v>59.203000000000003</v>
      </c>
      <c r="P47">
        <v>63.192</v>
      </c>
      <c r="Q47">
        <v>1.7769999999999999</v>
      </c>
      <c r="R47">
        <v>0.253</v>
      </c>
      <c r="S47">
        <v>0</v>
      </c>
      <c r="T47">
        <v>28.321000000000002</v>
      </c>
      <c r="U47">
        <v>510.43700000000001</v>
      </c>
      <c r="V47">
        <v>22.553000000000001</v>
      </c>
      <c r="W47">
        <v>17.501999999999999</v>
      </c>
      <c r="X47">
        <v>87.81</v>
      </c>
      <c r="Y47">
        <v>68.100999999999999</v>
      </c>
      <c r="Z47">
        <v>3.0720000000000001</v>
      </c>
      <c r="AA47">
        <v>52.451999999999998</v>
      </c>
      <c r="AB47">
        <v>63.762</v>
      </c>
      <c r="AC47">
        <v>115.253</v>
      </c>
      <c r="AD47">
        <v>376.74900000000002</v>
      </c>
      <c r="AE47">
        <v>0</v>
      </c>
      <c r="AF47">
        <v>0.97399999999999998</v>
      </c>
      <c r="AG47">
        <v>0</v>
      </c>
      <c r="AH47">
        <v>23.625</v>
      </c>
      <c r="AI47">
        <v>0.316</v>
      </c>
      <c r="AJ47">
        <v>56.984000000000002</v>
      </c>
      <c r="AK47">
        <v>0</v>
      </c>
      <c r="AL47">
        <v>0.16700000000000001</v>
      </c>
      <c r="AM47">
        <v>5.6859999999999999</v>
      </c>
      <c r="AN47">
        <v>349.51400000000001</v>
      </c>
      <c r="AO47" t="s">
        <v>19</v>
      </c>
      <c r="AX47" s="2" t="str">
        <f t="shared" si="0"/>
        <v>RHW</v>
      </c>
      <c r="AY47" s="2" t="str">
        <f t="shared" si="1"/>
        <v>DST</v>
      </c>
    </row>
    <row r="48" spans="1:51">
      <c r="A48" t="s">
        <v>17</v>
      </c>
      <c r="B48" t="s">
        <v>5</v>
      </c>
      <c r="C48" t="s">
        <v>82</v>
      </c>
      <c r="D48" t="s">
        <v>19</v>
      </c>
      <c r="E48" t="s">
        <v>19</v>
      </c>
      <c r="F48" t="s">
        <v>19</v>
      </c>
      <c r="G48" t="s">
        <v>100</v>
      </c>
      <c r="H48" t="s">
        <v>19</v>
      </c>
      <c r="I48" t="s">
        <v>19</v>
      </c>
      <c r="J48" t="s">
        <v>19</v>
      </c>
      <c r="K48" t="s">
        <v>19</v>
      </c>
      <c r="L48">
        <v>184.952</v>
      </c>
      <c r="M48">
        <v>124.383</v>
      </c>
      <c r="N48">
        <v>226.834</v>
      </c>
      <c r="O48">
        <v>74.335999999999999</v>
      </c>
      <c r="P48">
        <v>767.18899999999996</v>
      </c>
      <c r="Q48">
        <v>310.08199999999999</v>
      </c>
      <c r="R48">
        <v>367.69</v>
      </c>
      <c r="S48">
        <v>569.69100000000003</v>
      </c>
      <c r="T48">
        <v>543.82000000000005</v>
      </c>
      <c r="U48">
        <v>6635.5919999999996</v>
      </c>
      <c r="V48">
        <v>263.35000000000002</v>
      </c>
      <c r="W48">
        <v>363.31299999999999</v>
      </c>
      <c r="X48">
        <v>174.584</v>
      </c>
      <c r="Y48">
        <v>294.09699999999998</v>
      </c>
      <c r="Z48">
        <v>218.12299999999999</v>
      </c>
      <c r="AA48">
        <v>296.18900000000002</v>
      </c>
      <c r="AB48">
        <v>227.923</v>
      </c>
      <c r="AC48">
        <v>548.78800000000001</v>
      </c>
      <c r="AD48">
        <v>434.77499999999998</v>
      </c>
      <c r="AE48">
        <v>0</v>
      </c>
      <c r="AF48">
        <v>455.11399999999998</v>
      </c>
      <c r="AG48">
        <v>14.872999999999999</v>
      </c>
      <c r="AH48">
        <v>414.67</v>
      </c>
      <c r="AI48">
        <v>140.68100000000001</v>
      </c>
      <c r="AJ48">
        <v>209.17099999999999</v>
      </c>
      <c r="AK48">
        <v>199.09200000000001</v>
      </c>
      <c r="AL48">
        <v>78.835999999999999</v>
      </c>
      <c r="AM48">
        <v>356.73099999999999</v>
      </c>
      <c r="AN48">
        <v>4232.99</v>
      </c>
      <c r="AO48" t="s">
        <v>19</v>
      </c>
      <c r="AX48" s="2" t="str">
        <f t="shared" si="0"/>
        <v>RHW</v>
      </c>
      <c r="AY48" s="2" t="str">
        <f t="shared" si="1"/>
        <v>ELC</v>
      </c>
    </row>
    <row r="49" spans="1:51">
      <c r="A49" t="s">
        <v>17</v>
      </c>
      <c r="B49" t="s">
        <v>5</v>
      </c>
      <c r="C49" t="s">
        <v>83</v>
      </c>
      <c r="D49" t="s">
        <v>19</v>
      </c>
      <c r="E49" t="s">
        <v>19</v>
      </c>
      <c r="F49" t="s">
        <v>19</v>
      </c>
      <c r="G49" t="s">
        <v>100</v>
      </c>
      <c r="H49" t="s">
        <v>19</v>
      </c>
      <c r="I49" t="s">
        <v>19</v>
      </c>
      <c r="J49" t="s">
        <v>19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19</v>
      </c>
      <c r="AX49" s="2" t="str">
        <f t="shared" si="0"/>
        <v>RHW</v>
      </c>
      <c r="AY49" s="2" t="str">
        <f t="shared" si="1"/>
        <v>GEO</v>
      </c>
    </row>
    <row r="50" spans="1:51">
      <c r="A50" t="s">
        <v>17</v>
      </c>
      <c r="B50" t="s">
        <v>5</v>
      </c>
      <c r="C50" t="s">
        <v>84</v>
      </c>
      <c r="D50" t="s">
        <v>19</v>
      </c>
      <c r="E50" t="s">
        <v>19</v>
      </c>
      <c r="F50" t="s">
        <v>19</v>
      </c>
      <c r="G50" t="s">
        <v>100</v>
      </c>
      <c r="H50" t="s">
        <v>19</v>
      </c>
      <c r="I50" t="s">
        <v>19</v>
      </c>
      <c r="J50" t="s">
        <v>19</v>
      </c>
      <c r="K50" t="s">
        <v>19</v>
      </c>
      <c r="L50">
        <v>0</v>
      </c>
      <c r="M50">
        <v>0</v>
      </c>
      <c r="N50">
        <v>0</v>
      </c>
      <c r="O50">
        <v>330.53</v>
      </c>
      <c r="P50">
        <v>845.62</v>
      </c>
      <c r="Q50">
        <v>0</v>
      </c>
      <c r="R50">
        <v>0</v>
      </c>
      <c r="S50">
        <v>0</v>
      </c>
      <c r="T50">
        <v>0</v>
      </c>
      <c r="U50">
        <v>0</v>
      </c>
      <c r="V50">
        <v>350.17200000000003</v>
      </c>
      <c r="W50">
        <v>890.06</v>
      </c>
      <c r="X50">
        <v>18.189</v>
      </c>
      <c r="Y50">
        <v>56.798999999999999</v>
      </c>
      <c r="Z50">
        <v>212.51599999999999</v>
      </c>
      <c r="AA50">
        <v>5.1999999999999998E-2</v>
      </c>
      <c r="AB50">
        <v>370.54</v>
      </c>
      <c r="AC50">
        <v>77.793000000000006</v>
      </c>
      <c r="AD50">
        <v>239.589</v>
      </c>
      <c r="AE50">
        <v>0</v>
      </c>
      <c r="AF50">
        <v>0</v>
      </c>
      <c r="AG50">
        <v>0</v>
      </c>
      <c r="AH50">
        <v>0</v>
      </c>
      <c r="AI50">
        <v>30.600999999999999</v>
      </c>
      <c r="AJ50">
        <v>5921.3280000000004</v>
      </c>
      <c r="AK50">
        <v>0</v>
      </c>
      <c r="AL50">
        <v>0</v>
      </c>
      <c r="AM50">
        <v>16.276</v>
      </c>
      <c r="AN50">
        <v>0</v>
      </c>
      <c r="AO50" t="s">
        <v>19</v>
      </c>
      <c r="AX50" s="2" t="str">
        <f t="shared" si="0"/>
        <v>RHW</v>
      </c>
      <c r="AY50" s="2" t="str">
        <f t="shared" si="1"/>
        <v>HET</v>
      </c>
    </row>
    <row r="51" spans="1:51">
      <c r="A51" t="s">
        <v>17</v>
      </c>
      <c r="B51" t="s">
        <v>5</v>
      </c>
      <c r="C51" t="s">
        <v>85</v>
      </c>
      <c r="D51" t="s">
        <v>19</v>
      </c>
      <c r="E51" t="s">
        <v>19</v>
      </c>
      <c r="F51" t="s">
        <v>19</v>
      </c>
      <c r="G51" t="s">
        <v>100</v>
      </c>
      <c r="H51" t="s">
        <v>19</v>
      </c>
      <c r="I51" t="s">
        <v>19</v>
      </c>
      <c r="J51" t="s">
        <v>19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19</v>
      </c>
      <c r="AX51" s="2" t="str">
        <f t="shared" si="0"/>
        <v>RHW</v>
      </c>
      <c r="AY51" s="2" t="str">
        <f t="shared" si="1"/>
        <v>HFO</v>
      </c>
    </row>
    <row r="52" spans="1:51">
      <c r="A52" t="s">
        <v>17</v>
      </c>
      <c r="B52" t="s">
        <v>5</v>
      </c>
      <c r="C52" t="s">
        <v>86</v>
      </c>
      <c r="D52" t="s">
        <v>19</v>
      </c>
      <c r="E52" t="s">
        <v>19</v>
      </c>
      <c r="F52" t="s">
        <v>19</v>
      </c>
      <c r="G52" t="s">
        <v>100</v>
      </c>
      <c r="H52" t="s">
        <v>19</v>
      </c>
      <c r="I52" t="s">
        <v>19</v>
      </c>
      <c r="J52" t="s">
        <v>19</v>
      </c>
      <c r="K52" t="s">
        <v>19</v>
      </c>
      <c r="L52">
        <v>2.96</v>
      </c>
      <c r="M52">
        <v>32.677999999999997</v>
      </c>
      <c r="N52">
        <v>3.6829999999999998</v>
      </c>
      <c r="O52">
        <v>3.6360000000000001</v>
      </c>
      <c r="P52">
        <v>705.92600000000004</v>
      </c>
      <c r="Q52">
        <v>19.077000000000002</v>
      </c>
      <c r="R52">
        <v>0</v>
      </c>
      <c r="S52">
        <v>6.5000000000000002E-2</v>
      </c>
      <c r="T52">
        <v>1.31</v>
      </c>
      <c r="U52">
        <v>76.274000000000001</v>
      </c>
      <c r="V52">
        <v>0.127</v>
      </c>
      <c r="W52">
        <v>0</v>
      </c>
      <c r="X52">
        <v>28.457000000000001</v>
      </c>
      <c r="Y52">
        <v>0.61599999999999999</v>
      </c>
      <c r="Z52">
        <v>0</v>
      </c>
      <c r="AA52">
        <v>3.0000000000000001E-3</v>
      </c>
      <c r="AB52">
        <v>0.36799999999999999</v>
      </c>
      <c r="AC52">
        <v>6.0149999999999997</v>
      </c>
      <c r="AD52">
        <v>0.21099999999999999</v>
      </c>
      <c r="AE52">
        <v>52.243000000000002</v>
      </c>
      <c r="AF52">
        <v>8.83</v>
      </c>
      <c r="AG52">
        <v>0</v>
      </c>
      <c r="AH52">
        <v>151.08600000000001</v>
      </c>
      <c r="AI52">
        <v>0.02</v>
      </c>
      <c r="AJ52">
        <v>0</v>
      </c>
      <c r="AK52">
        <v>21.420999999999999</v>
      </c>
      <c r="AL52">
        <v>7.2439999999999998</v>
      </c>
      <c r="AM52">
        <v>63.122999999999998</v>
      </c>
      <c r="AN52">
        <v>9.702</v>
      </c>
      <c r="AO52" t="s">
        <v>19</v>
      </c>
      <c r="AX52" s="2" t="str">
        <f t="shared" si="0"/>
        <v>RHW</v>
      </c>
      <c r="AY52" s="2" t="str">
        <f t="shared" si="1"/>
        <v>KER</v>
      </c>
    </row>
    <row r="53" spans="1:51">
      <c r="A53" t="s">
        <v>17</v>
      </c>
      <c r="B53" t="s">
        <v>5</v>
      </c>
      <c r="C53" t="s">
        <v>87</v>
      </c>
      <c r="D53" t="s">
        <v>19</v>
      </c>
      <c r="E53" t="s">
        <v>19</v>
      </c>
      <c r="F53" t="s">
        <v>19</v>
      </c>
      <c r="G53" t="s">
        <v>100</v>
      </c>
      <c r="H53" t="s">
        <v>19</v>
      </c>
      <c r="I53" t="s">
        <v>19</v>
      </c>
      <c r="J53" t="s">
        <v>19</v>
      </c>
      <c r="K53" t="s">
        <v>19</v>
      </c>
      <c r="L53">
        <v>235.31</v>
      </c>
      <c r="M53">
        <v>73.155000000000001</v>
      </c>
      <c r="N53">
        <v>54.765999999999998</v>
      </c>
      <c r="O53">
        <v>34.023000000000003</v>
      </c>
      <c r="P53">
        <v>424.96</v>
      </c>
      <c r="Q53">
        <v>375.15499999999997</v>
      </c>
      <c r="R53">
        <v>36.838000000000001</v>
      </c>
      <c r="S53">
        <v>163.02500000000001</v>
      </c>
      <c r="T53">
        <v>8.18</v>
      </c>
      <c r="U53">
        <v>5348.8519999999999</v>
      </c>
      <c r="V53">
        <v>0.91400000000000003</v>
      </c>
      <c r="W53">
        <v>11.603</v>
      </c>
      <c r="X53">
        <v>6.0259999999999998</v>
      </c>
      <c r="Y53">
        <v>39.890999999999998</v>
      </c>
      <c r="Z53">
        <v>7.2649999999999997</v>
      </c>
      <c r="AA53">
        <v>39.395000000000003</v>
      </c>
      <c r="AB53">
        <v>18.899999999999999</v>
      </c>
      <c r="AC53">
        <v>26.001999999999999</v>
      </c>
      <c r="AD53">
        <v>26.811</v>
      </c>
      <c r="AE53">
        <v>557.62599999999998</v>
      </c>
      <c r="AF53">
        <v>135.92699999999999</v>
      </c>
      <c r="AG53">
        <v>691.70699999999999</v>
      </c>
      <c r="AH53">
        <v>264.43200000000002</v>
      </c>
      <c r="AI53">
        <v>0.184</v>
      </c>
      <c r="AJ53">
        <v>264.76900000000001</v>
      </c>
      <c r="AK53">
        <v>45.439</v>
      </c>
      <c r="AL53">
        <v>6.0419999999999998</v>
      </c>
      <c r="AM53">
        <v>7.468</v>
      </c>
      <c r="AN53">
        <v>153.84</v>
      </c>
      <c r="AO53" t="s">
        <v>19</v>
      </c>
      <c r="AX53" s="2" t="str">
        <f t="shared" si="0"/>
        <v>RHW</v>
      </c>
      <c r="AY53" s="2" t="str">
        <f t="shared" si="1"/>
        <v>LPG</v>
      </c>
    </row>
    <row r="54" spans="1:51">
      <c r="A54" t="s">
        <v>17</v>
      </c>
      <c r="B54" t="s">
        <v>5</v>
      </c>
      <c r="C54" t="s">
        <v>88</v>
      </c>
      <c r="D54" t="s">
        <v>19</v>
      </c>
      <c r="E54" t="s">
        <v>19</v>
      </c>
      <c r="F54" t="s">
        <v>19</v>
      </c>
      <c r="G54" t="s">
        <v>100</v>
      </c>
      <c r="H54" t="s">
        <v>19</v>
      </c>
      <c r="I54" t="s">
        <v>19</v>
      </c>
      <c r="J54" t="s">
        <v>19</v>
      </c>
      <c r="K54" t="s">
        <v>19</v>
      </c>
      <c r="L54">
        <v>2119.29</v>
      </c>
      <c r="M54">
        <v>2E-3</v>
      </c>
      <c r="N54">
        <v>1598.498</v>
      </c>
      <c r="O54">
        <v>781.70500000000004</v>
      </c>
      <c r="P54">
        <v>3183.9430000000002</v>
      </c>
      <c r="Q54">
        <v>0</v>
      </c>
      <c r="R54">
        <v>263.83600000000001</v>
      </c>
      <c r="S54">
        <v>72.655000000000001</v>
      </c>
      <c r="T54">
        <v>940.59699999999998</v>
      </c>
      <c r="U54">
        <v>8282.7520000000004</v>
      </c>
      <c r="V54">
        <v>35.143000000000001</v>
      </c>
      <c r="W54">
        <v>441.11900000000003</v>
      </c>
      <c r="X54">
        <v>545.40499999999997</v>
      </c>
      <c r="Y54">
        <v>843.31299999999999</v>
      </c>
      <c r="Z54">
        <v>315.38799999999998</v>
      </c>
      <c r="AA54">
        <v>191.09100000000001</v>
      </c>
      <c r="AB54">
        <v>1489.6669999999999</v>
      </c>
      <c r="AC54">
        <v>580.37199999999996</v>
      </c>
      <c r="AD54">
        <v>1157.893</v>
      </c>
      <c r="AE54">
        <v>559.75800000000004</v>
      </c>
      <c r="AF54">
        <v>348.93099999999998</v>
      </c>
      <c r="AG54">
        <v>113.608</v>
      </c>
      <c r="AH54">
        <v>2812.962</v>
      </c>
      <c r="AI54">
        <v>7.9000000000000001E-2</v>
      </c>
      <c r="AJ54">
        <v>3450.2339999999999</v>
      </c>
      <c r="AK54">
        <v>0</v>
      </c>
      <c r="AL54">
        <v>0.88800000000000001</v>
      </c>
      <c r="AM54">
        <v>1165.518</v>
      </c>
      <c r="AN54">
        <v>8734.2970000000005</v>
      </c>
      <c r="AO54" t="s">
        <v>19</v>
      </c>
      <c r="AX54" s="2" t="str">
        <f t="shared" si="0"/>
        <v>RHW</v>
      </c>
      <c r="AY54" s="2" t="str">
        <f t="shared" si="1"/>
        <v>NGA</v>
      </c>
    </row>
    <row r="55" spans="1:51">
      <c r="A55" t="s">
        <v>17</v>
      </c>
      <c r="B55" t="s">
        <v>5</v>
      </c>
      <c r="C55" t="s">
        <v>89</v>
      </c>
      <c r="D55" t="s">
        <v>19</v>
      </c>
      <c r="E55" t="s">
        <v>19</v>
      </c>
      <c r="F55" t="s">
        <v>19</v>
      </c>
      <c r="G55" t="s">
        <v>100</v>
      </c>
      <c r="H55" t="s">
        <v>19</v>
      </c>
      <c r="I55" t="s">
        <v>19</v>
      </c>
      <c r="J55" t="s">
        <v>19</v>
      </c>
      <c r="K55" t="s">
        <v>19</v>
      </c>
      <c r="L55">
        <v>24.617999999999999</v>
      </c>
      <c r="M55">
        <v>0</v>
      </c>
      <c r="N55">
        <v>0</v>
      </c>
      <c r="O55">
        <v>1.825</v>
      </c>
      <c r="P55">
        <v>78.228999999999999</v>
      </c>
      <c r="Q55">
        <v>36.994999999999997</v>
      </c>
      <c r="R55">
        <v>133.73699999999999</v>
      </c>
      <c r="S55">
        <v>0</v>
      </c>
      <c r="T55">
        <v>0</v>
      </c>
      <c r="U55">
        <v>8786.8799999999992</v>
      </c>
      <c r="V55">
        <v>10.563000000000001</v>
      </c>
      <c r="W55">
        <v>83.707999999999998</v>
      </c>
      <c r="X55">
        <v>26.306999999999999</v>
      </c>
      <c r="Y55">
        <v>213.285</v>
      </c>
      <c r="Z55">
        <v>19.036999999999999</v>
      </c>
      <c r="AA55">
        <v>130.608</v>
      </c>
      <c r="AB55">
        <v>249.63499999999999</v>
      </c>
      <c r="AC55">
        <v>71.510000000000005</v>
      </c>
      <c r="AD55">
        <v>292.11</v>
      </c>
      <c r="AE55">
        <v>370.15600000000001</v>
      </c>
      <c r="AF55">
        <v>12.074999999999999</v>
      </c>
      <c r="AG55">
        <v>78.849999999999994</v>
      </c>
      <c r="AH55">
        <v>232.67099999999999</v>
      </c>
      <c r="AI55">
        <v>0</v>
      </c>
      <c r="AJ55">
        <v>0</v>
      </c>
      <c r="AK55">
        <v>0</v>
      </c>
      <c r="AL55">
        <v>0</v>
      </c>
      <c r="AM55">
        <v>15.13</v>
      </c>
      <c r="AN55">
        <v>373.899</v>
      </c>
      <c r="AO55" t="s">
        <v>19</v>
      </c>
      <c r="AX55" s="2" t="str">
        <f t="shared" si="0"/>
        <v>RHW</v>
      </c>
      <c r="AY55" s="2" t="str">
        <f t="shared" si="1"/>
        <v>STH</v>
      </c>
    </row>
    <row r="56" spans="1:51">
      <c r="A56" t="s">
        <v>17</v>
      </c>
      <c r="B56" t="s">
        <v>5</v>
      </c>
      <c r="C56" t="s">
        <v>90</v>
      </c>
      <c r="D56" t="s">
        <v>19</v>
      </c>
      <c r="E56" t="s">
        <v>19</v>
      </c>
      <c r="F56" t="s">
        <v>19</v>
      </c>
      <c r="G56" t="s">
        <v>100</v>
      </c>
      <c r="H56" t="s">
        <v>19</v>
      </c>
      <c r="I56" t="s">
        <v>19</v>
      </c>
      <c r="J56" t="s">
        <v>19</v>
      </c>
      <c r="K56" t="s">
        <v>19</v>
      </c>
      <c r="L56">
        <v>24.66</v>
      </c>
      <c r="M56">
        <v>16.584</v>
      </c>
      <c r="N56">
        <v>14.352</v>
      </c>
      <c r="O56">
        <v>12.519</v>
      </c>
      <c r="P56">
        <v>0</v>
      </c>
      <c r="Q56">
        <v>105.63800000000001</v>
      </c>
      <c r="R56">
        <v>20.9</v>
      </c>
      <c r="S56">
        <v>36.043999999999997</v>
      </c>
      <c r="T56">
        <v>40.271000000000001</v>
      </c>
      <c r="U56">
        <v>150.15700000000001</v>
      </c>
      <c r="V56">
        <v>13.430999999999999</v>
      </c>
      <c r="W56">
        <v>0.84599999999999997</v>
      </c>
      <c r="X56">
        <v>8.9039999999999999</v>
      </c>
      <c r="Y56">
        <v>14.999000000000001</v>
      </c>
      <c r="Z56">
        <v>0.50800000000000001</v>
      </c>
      <c r="AA56">
        <v>15.106</v>
      </c>
      <c r="AB56">
        <v>12.313000000000001</v>
      </c>
      <c r="AC56">
        <v>27.989000000000001</v>
      </c>
      <c r="AD56">
        <v>22.173999999999999</v>
      </c>
      <c r="AE56">
        <v>71.135999999999996</v>
      </c>
      <c r="AF56">
        <v>28.795000000000002</v>
      </c>
      <c r="AG56">
        <v>29.128</v>
      </c>
      <c r="AH56">
        <v>22.402000000000001</v>
      </c>
      <c r="AI56">
        <v>7.1749999999999998</v>
      </c>
      <c r="AJ56">
        <v>35.225000000000001</v>
      </c>
      <c r="AK56">
        <v>10.756</v>
      </c>
      <c r="AL56">
        <v>10.510999999999999</v>
      </c>
      <c r="AM56">
        <v>18.193999999999999</v>
      </c>
      <c r="AN56">
        <v>624.529</v>
      </c>
      <c r="AO56" t="s">
        <v>19</v>
      </c>
      <c r="AX56" s="2" t="str">
        <f t="shared" si="0"/>
        <v>RLI</v>
      </c>
      <c r="AY56" s="2" t="str">
        <f t="shared" si="1"/>
        <v>CFL</v>
      </c>
    </row>
    <row r="57" spans="1:51">
      <c r="A57" t="s">
        <v>17</v>
      </c>
      <c r="B57" t="s">
        <v>5</v>
      </c>
      <c r="C57" t="s">
        <v>488</v>
      </c>
      <c r="D57" t="s">
        <v>19</v>
      </c>
      <c r="E57" t="s">
        <v>19</v>
      </c>
      <c r="F57" t="s">
        <v>19</v>
      </c>
      <c r="G57" t="s">
        <v>100</v>
      </c>
      <c r="H57" t="s">
        <v>19</v>
      </c>
      <c r="I57" t="s">
        <v>19</v>
      </c>
      <c r="J57" t="s">
        <v>19</v>
      </c>
      <c r="K57" t="s">
        <v>19</v>
      </c>
      <c r="L57">
        <v>14.18</v>
      </c>
      <c r="M57">
        <v>9.5359999999999996</v>
      </c>
      <c r="N57">
        <v>0.82499999999999996</v>
      </c>
      <c r="O57">
        <v>4.7990000000000004</v>
      </c>
      <c r="P57">
        <v>0</v>
      </c>
      <c r="Q57">
        <v>40.494</v>
      </c>
      <c r="R57">
        <v>12.016999999999999</v>
      </c>
      <c r="S57">
        <v>2.073</v>
      </c>
      <c r="T57">
        <v>7.7190000000000003</v>
      </c>
      <c r="U57">
        <v>132.38800000000001</v>
      </c>
      <c r="V57">
        <v>3.6040000000000001</v>
      </c>
      <c r="W57">
        <v>0.48699999999999999</v>
      </c>
      <c r="X57">
        <v>2.3889999999999998</v>
      </c>
      <c r="Y57">
        <v>4.0250000000000004</v>
      </c>
      <c r="Z57">
        <v>0.29199999999999998</v>
      </c>
      <c r="AA57">
        <v>4.0529999999999999</v>
      </c>
      <c r="AB57">
        <v>7.08</v>
      </c>
      <c r="AC57">
        <v>7.51</v>
      </c>
      <c r="AD57">
        <v>5.95</v>
      </c>
      <c r="AE57">
        <v>163.61199999999999</v>
      </c>
      <c r="AF57">
        <v>1.6559999999999999</v>
      </c>
      <c r="AG57">
        <v>0.33500000000000002</v>
      </c>
      <c r="AH57">
        <v>12.881</v>
      </c>
      <c r="AI57">
        <v>1.925</v>
      </c>
      <c r="AJ57">
        <v>13.503</v>
      </c>
      <c r="AK57">
        <v>6.1840000000000002</v>
      </c>
      <c r="AL57">
        <v>6.0439999999999996</v>
      </c>
      <c r="AM57">
        <v>4.8819999999999997</v>
      </c>
      <c r="AN57">
        <v>167.58199999999999</v>
      </c>
      <c r="AO57" t="s">
        <v>19</v>
      </c>
      <c r="AX57" s="2" t="str">
        <f t="shared" si="0"/>
        <v>RLI</v>
      </c>
      <c r="AY57" s="2" t="str">
        <f t="shared" si="1"/>
        <v>FLE</v>
      </c>
    </row>
    <row r="58" spans="1:51">
      <c r="A58" t="s">
        <v>17</v>
      </c>
      <c r="B58" t="s">
        <v>5</v>
      </c>
      <c r="C58" t="s">
        <v>33</v>
      </c>
      <c r="D58" t="s">
        <v>19</v>
      </c>
      <c r="E58" t="s">
        <v>19</v>
      </c>
      <c r="F58" t="s">
        <v>19</v>
      </c>
      <c r="G58" t="s">
        <v>100</v>
      </c>
      <c r="H58" t="s">
        <v>19</v>
      </c>
      <c r="I58" t="s">
        <v>19</v>
      </c>
      <c r="J58" t="s">
        <v>19</v>
      </c>
      <c r="K58" t="s">
        <v>19</v>
      </c>
      <c r="L58">
        <v>8.6310000000000002</v>
      </c>
      <c r="M58">
        <v>5.8049999999999997</v>
      </c>
      <c r="N58">
        <v>0</v>
      </c>
      <c r="O58">
        <v>2.9209999999999998</v>
      </c>
      <c r="P58">
        <v>0</v>
      </c>
      <c r="Q58">
        <v>24.649000000000001</v>
      </c>
      <c r="R58">
        <v>2.4380000000000002</v>
      </c>
      <c r="S58">
        <v>0</v>
      </c>
      <c r="T58">
        <v>9.3970000000000002</v>
      </c>
      <c r="U58">
        <v>14.715</v>
      </c>
      <c r="V58">
        <v>1.254</v>
      </c>
      <c r="W58">
        <v>0.29599999999999999</v>
      </c>
      <c r="X58">
        <v>0.83099999999999996</v>
      </c>
      <c r="Y58">
        <v>1.4</v>
      </c>
      <c r="Z58">
        <v>0.17799999999999999</v>
      </c>
      <c r="AA58">
        <v>1.41</v>
      </c>
      <c r="AB58">
        <v>4.3099999999999996</v>
      </c>
      <c r="AC58">
        <v>2.6120000000000001</v>
      </c>
      <c r="AD58">
        <v>2.0699999999999998</v>
      </c>
      <c r="AE58">
        <v>0</v>
      </c>
      <c r="AF58">
        <v>0</v>
      </c>
      <c r="AG58">
        <v>0</v>
      </c>
      <c r="AH58">
        <v>7.8410000000000002</v>
      </c>
      <c r="AI58">
        <v>0.67</v>
      </c>
      <c r="AJ58">
        <v>8.2189999999999994</v>
      </c>
      <c r="AK58">
        <v>3.7639999999999998</v>
      </c>
      <c r="AL58">
        <v>3.6789999999999998</v>
      </c>
      <c r="AM58">
        <v>1.698</v>
      </c>
      <c r="AN58">
        <v>58.289000000000001</v>
      </c>
      <c r="AO58" t="s">
        <v>19</v>
      </c>
      <c r="AX58" s="2" t="str">
        <f t="shared" si="0"/>
        <v>RLI</v>
      </c>
      <c r="AY58" s="2" t="str">
        <f t="shared" si="1"/>
        <v>HAE</v>
      </c>
    </row>
    <row r="59" spans="1:51">
      <c r="A59" t="s">
        <v>17</v>
      </c>
      <c r="B59" t="s">
        <v>5</v>
      </c>
      <c r="C59" t="s">
        <v>34</v>
      </c>
      <c r="D59" t="s">
        <v>19</v>
      </c>
      <c r="E59" t="s">
        <v>19</v>
      </c>
      <c r="F59" t="s">
        <v>19</v>
      </c>
      <c r="G59" t="s">
        <v>100</v>
      </c>
      <c r="H59" t="s">
        <v>19</v>
      </c>
      <c r="I59" t="s">
        <v>19</v>
      </c>
      <c r="J59" t="s">
        <v>19</v>
      </c>
      <c r="K59" t="s">
        <v>19</v>
      </c>
      <c r="L59">
        <v>49.32</v>
      </c>
      <c r="M59">
        <v>33.168999999999997</v>
      </c>
      <c r="N59">
        <v>14.172000000000001</v>
      </c>
      <c r="O59">
        <v>15.648</v>
      </c>
      <c r="P59">
        <v>0</v>
      </c>
      <c r="Q59">
        <v>132.047</v>
      </c>
      <c r="R59">
        <v>8.7080000000000002</v>
      </c>
      <c r="S59">
        <v>35.594000000000001</v>
      </c>
      <c r="T59">
        <v>18.457999999999998</v>
      </c>
      <c r="U59">
        <v>53.555999999999997</v>
      </c>
      <c r="V59">
        <v>6.6040000000000001</v>
      </c>
      <c r="W59">
        <v>1.6919999999999999</v>
      </c>
      <c r="X59">
        <v>4.3780000000000001</v>
      </c>
      <c r="Y59">
        <v>7.375</v>
      </c>
      <c r="Z59">
        <v>1.016</v>
      </c>
      <c r="AA59">
        <v>7.4269999999999996</v>
      </c>
      <c r="AB59">
        <v>24.626000000000001</v>
      </c>
      <c r="AC59">
        <v>13.760999999999999</v>
      </c>
      <c r="AD59">
        <v>10.901999999999999</v>
      </c>
      <c r="AE59">
        <v>65.207999999999998</v>
      </c>
      <c r="AF59">
        <v>28.434999999999999</v>
      </c>
      <c r="AG59">
        <v>29.055</v>
      </c>
      <c r="AH59">
        <v>44.804000000000002</v>
      </c>
      <c r="AI59">
        <v>3.528</v>
      </c>
      <c r="AJ59">
        <v>44.031999999999996</v>
      </c>
      <c r="AK59">
        <v>21.510999999999999</v>
      </c>
      <c r="AL59">
        <v>21.023</v>
      </c>
      <c r="AM59">
        <v>8.9450000000000003</v>
      </c>
      <c r="AN59">
        <v>307.06</v>
      </c>
      <c r="AO59" t="s">
        <v>19</v>
      </c>
      <c r="AX59" s="2" t="str">
        <f t="shared" si="0"/>
        <v>RLI</v>
      </c>
      <c r="AY59" s="2" t="str">
        <f t="shared" si="1"/>
        <v>ICE</v>
      </c>
    </row>
    <row r="60" spans="1:51">
      <c r="A60" t="s">
        <v>17</v>
      </c>
      <c r="B60" t="s">
        <v>5</v>
      </c>
      <c r="C60" t="s">
        <v>35</v>
      </c>
      <c r="D60" t="s">
        <v>19</v>
      </c>
      <c r="E60" t="s">
        <v>19</v>
      </c>
      <c r="F60" t="s">
        <v>19</v>
      </c>
      <c r="G60" t="s">
        <v>100</v>
      </c>
      <c r="H60" t="s">
        <v>19</v>
      </c>
      <c r="I60" t="s">
        <v>19</v>
      </c>
      <c r="J60" t="s">
        <v>19</v>
      </c>
      <c r="K60" t="s">
        <v>19</v>
      </c>
      <c r="L60">
        <v>3.3000000000000002E-2</v>
      </c>
      <c r="M60">
        <v>0.36799999999999999</v>
      </c>
      <c r="N60">
        <v>0</v>
      </c>
      <c r="O60">
        <v>0</v>
      </c>
      <c r="P60">
        <v>0</v>
      </c>
      <c r="Q60">
        <v>8.3000000000000004E-2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1E-3</v>
      </c>
      <c r="AG60">
        <v>0</v>
      </c>
      <c r="AH60">
        <v>2E-3</v>
      </c>
      <c r="AI60">
        <v>0</v>
      </c>
      <c r="AJ60">
        <v>0</v>
      </c>
      <c r="AK60">
        <v>0</v>
      </c>
      <c r="AL60">
        <v>8.2000000000000003E-2</v>
      </c>
      <c r="AM60">
        <v>0</v>
      </c>
      <c r="AN60">
        <v>0</v>
      </c>
      <c r="AO60" t="s">
        <v>19</v>
      </c>
      <c r="AX60" s="2" t="str">
        <f t="shared" si="0"/>
        <v>RLI</v>
      </c>
      <c r="AY60" s="2" t="str">
        <f t="shared" si="1"/>
        <v>KER</v>
      </c>
    </row>
    <row r="61" spans="1:51">
      <c r="A61" t="s">
        <v>17</v>
      </c>
      <c r="B61" t="s">
        <v>5</v>
      </c>
      <c r="C61" t="s">
        <v>36</v>
      </c>
      <c r="D61" t="s">
        <v>19</v>
      </c>
      <c r="E61" t="s">
        <v>19</v>
      </c>
      <c r="F61" t="s">
        <v>19</v>
      </c>
      <c r="G61" t="s">
        <v>100</v>
      </c>
      <c r="H61" t="s">
        <v>19</v>
      </c>
      <c r="I61" t="s">
        <v>19</v>
      </c>
      <c r="J61" t="s">
        <v>19</v>
      </c>
      <c r="K61" t="s">
        <v>19</v>
      </c>
      <c r="L61">
        <v>0</v>
      </c>
      <c r="M61">
        <v>0</v>
      </c>
      <c r="N61">
        <v>26.207999999999998</v>
      </c>
      <c r="O61">
        <v>20.149000000000001</v>
      </c>
      <c r="P61">
        <v>8.0630000000000006</v>
      </c>
      <c r="Q61">
        <v>0</v>
      </c>
      <c r="R61">
        <v>66.888000000000005</v>
      </c>
      <c r="S61">
        <v>92.465000000000003</v>
      </c>
      <c r="T61">
        <v>113.971</v>
      </c>
      <c r="U61">
        <v>773.83600000000001</v>
      </c>
      <c r="V61">
        <v>152.744</v>
      </c>
      <c r="W61">
        <v>576.95699999999999</v>
      </c>
      <c r="X61">
        <v>53.41</v>
      </c>
      <c r="Y61">
        <v>371.73700000000002</v>
      </c>
      <c r="Z61">
        <v>341.16199999999998</v>
      </c>
      <c r="AA61">
        <v>138.98400000000001</v>
      </c>
      <c r="AB61">
        <v>397.09100000000001</v>
      </c>
      <c r="AC61">
        <v>344.79300000000001</v>
      </c>
      <c r="AD61">
        <v>328.48899999999998</v>
      </c>
      <c r="AE61">
        <v>0</v>
      </c>
      <c r="AF61">
        <v>234.012</v>
      </c>
      <c r="AG61">
        <v>112.473</v>
      </c>
      <c r="AH61">
        <v>22.495000000000001</v>
      </c>
      <c r="AI61">
        <v>24.942</v>
      </c>
      <c r="AJ61">
        <v>55.372</v>
      </c>
      <c r="AK61">
        <v>0.40300000000000002</v>
      </c>
      <c r="AL61">
        <v>0</v>
      </c>
      <c r="AM61">
        <v>35.423999999999999</v>
      </c>
      <c r="AN61">
        <v>454.61500000000001</v>
      </c>
      <c r="AO61" t="s">
        <v>19</v>
      </c>
      <c r="AX61" s="2" t="str">
        <f t="shared" si="0"/>
        <v>RSH</v>
      </c>
      <c r="AY61" s="2" t="str">
        <f t="shared" si="1"/>
        <v>BIO</v>
      </c>
    </row>
    <row r="62" spans="1:51">
      <c r="A62" t="s">
        <v>17</v>
      </c>
      <c r="B62" t="s">
        <v>5</v>
      </c>
      <c r="C62" t="s">
        <v>37</v>
      </c>
      <c r="D62" t="s">
        <v>19</v>
      </c>
      <c r="E62" t="s">
        <v>19</v>
      </c>
      <c r="F62" t="s">
        <v>19</v>
      </c>
      <c r="G62" t="s">
        <v>100</v>
      </c>
      <c r="H62" t="s">
        <v>19</v>
      </c>
      <c r="I62" t="s">
        <v>19</v>
      </c>
      <c r="J62" t="s">
        <v>19</v>
      </c>
      <c r="K62" t="s">
        <v>19</v>
      </c>
      <c r="L62">
        <v>0</v>
      </c>
      <c r="M62">
        <v>0.20200000000000001</v>
      </c>
      <c r="N62">
        <v>0</v>
      </c>
      <c r="O62">
        <v>537.35599999999999</v>
      </c>
      <c r="P62">
        <v>31.129000000000001</v>
      </c>
      <c r="Q62">
        <v>0</v>
      </c>
      <c r="R62">
        <v>0.73799999999999999</v>
      </c>
      <c r="S62">
        <v>0</v>
      </c>
      <c r="T62">
        <v>0</v>
      </c>
      <c r="U62">
        <v>3293.4229999999998</v>
      </c>
      <c r="V62">
        <v>0.497</v>
      </c>
      <c r="W62">
        <v>724.36099999999999</v>
      </c>
      <c r="X62">
        <v>52.088000000000001</v>
      </c>
      <c r="Y62">
        <v>0.45300000000000001</v>
      </c>
      <c r="Z62">
        <v>27.379000000000001</v>
      </c>
      <c r="AA62">
        <v>8.6259999999999994</v>
      </c>
      <c r="AB62">
        <v>230.11699999999999</v>
      </c>
      <c r="AC62">
        <v>3.2480000000000002</v>
      </c>
      <c r="AD62">
        <v>45.884</v>
      </c>
      <c r="AE62">
        <v>0</v>
      </c>
      <c r="AF62">
        <v>3.7040000000000002</v>
      </c>
      <c r="AG62">
        <v>0</v>
      </c>
      <c r="AH62">
        <v>0.97699999999999998</v>
      </c>
      <c r="AI62">
        <v>0</v>
      </c>
      <c r="AJ62">
        <v>192.39500000000001</v>
      </c>
      <c r="AK62">
        <v>0</v>
      </c>
      <c r="AL62">
        <v>143.92400000000001</v>
      </c>
      <c r="AM62">
        <v>60.62</v>
      </c>
      <c r="AN62">
        <v>0</v>
      </c>
      <c r="AO62" t="s">
        <v>19</v>
      </c>
      <c r="AX62" s="2" t="str">
        <f t="shared" si="0"/>
        <v>RSH</v>
      </c>
      <c r="AY62" s="2" t="str">
        <f t="shared" si="1"/>
        <v>COA</v>
      </c>
    </row>
    <row r="63" spans="1:51">
      <c r="A63" t="s">
        <v>17</v>
      </c>
      <c r="B63" t="s">
        <v>5</v>
      </c>
      <c r="C63" t="s">
        <v>91</v>
      </c>
      <c r="D63" t="s">
        <v>19</v>
      </c>
      <c r="E63" t="s">
        <v>19</v>
      </c>
      <c r="F63" t="s">
        <v>19</v>
      </c>
      <c r="G63" t="s">
        <v>100</v>
      </c>
      <c r="H63" t="s">
        <v>19</v>
      </c>
      <c r="I63" t="s">
        <v>19</v>
      </c>
      <c r="J63" t="s">
        <v>19</v>
      </c>
      <c r="K63" t="s">
        <v>19</v>
      </c>
      <c r="L63">
        <v>1.7000000000000001E-2</v>
      </c>
      <c r="M63">
        <v>0.71</v>
      </c>
      <c r="N63">
        <v>0</v>
      </c>
      <c r="O63">
        <v>325.92</v>
      </c>
      <c r="P63">
        <v>70.796000000000006</v>
      </c>
      <c r="Q63">
        <v>0</v>
      </c>
      <c r="R63">
        <v>0.126</v>
      </c>
      <c r="S63">
        <v>0</v>
      </c>
      <c r="T63">
        <v>134.05600000000001</v>
      </c>
      <c r="U63">
        <v>0</v>
      </c>
      <c r="V63">
        <v>94.691999999999993</v>
      </c>
      <c r="W63">
        <v>49.527000000000001</v>
      </c>
      <c r="X63">
        <v>368.673</v>
      </c>
      <c r="Y63">
        <v>285.92599999999999</v>
      </c>
      <c r="Z63">
        <v>8.6940000000000008</v>
      </c>
      <c r="AA63">
        <v>220.22</v>
      </c>
      <c r="AB63">
        <v>101.846</v>
      </c>
      <c r="AC63">
        <v>483.89400000000001</v>
      </c>
      <c r="AD63">
        <v>1581.7929999999999</v>
      </c>
      <c r="AE63">
        <v>0</v>
      </c>
      <c r="AF63">
        <v>0.14199999999999999</v>
      </c>
      <c r="AG63">
        <v>0</v>
      </c>
      <c r="AH63">
        <v>37.734999999999999</v>
      </c>
      <c r="AI63">
        <v>1.3260000000000001</v>
      </c>
      <c r="AJ63">
        <v>313.69900000000001</v>
      </c>
      <c r="AK63">
        <v>0</v>
      </c>
      <c r="AL63">
        <v>1.2E-2</v>
      </c>
      <c r="AM63">
        <v>23.873000000000001</v>
      </c>
      <c r="AN63">
        <v>861.49300000000005</v>
      </c>
      <c r="AO63" t="s">
        <v>19</v>
      </c>
      <c r="AX63" s="2" t="str">
        <f t="shared" si="0"/>
        <v>RSH</v>
      </c>
      <c r="AY63" s="2" t="str">
        <f t="shared" si="1"/>
        <v>DST</v>
      </c>
    </row>
    <row r="64" spans="1:51">
      <c r="A64" t="s">
        <v>17</v>
      </c>
      <c r="B64" t="s">
        <v>5</v>
      </c>
      <c r="C64" t="s">
        <v>92</v>
      </c>
      <c r="D64" t="s">
        <v>19</v>
      </c>
      <c r="E64" t="s">
        <v>19</v>
      </c>
      <c r="F64" t="s">
        <v>19</v>
      </c>
      <c r="G64" t="s">
        <v>100</v>
      </c>
      <c r="H64" t="s">
        <v>19</v>
      </c>
      <c r="I64" t="s">
        <v>19</v>
      </c>
      <c r="J64" t="s">
        <v>19</v>
      </c>
      <c r="K64" t="s">
        <v>19</v>
      </c>
      <c r="L64">
        <v>0</v>
      </c>
      <c r="M64">
        <v>0</v>
      </c>
      <c r="N64">
        <v>1.4999999999999999E-2</v>
      </c>
      <c r="O64">
        <v>1.659</v>
      </c>
      <c r="P64">
        <v>831.18499999999995</v>
      </c>
      <c r="Q64">
        <v>0</v>
      </c>
      <c r="R64">
        <v>12.183</v>
      </c>
      <c r="S64">
        <v>3.7999999999999999E-2</v>
      </c>
      <c r="T64">
        <v>106.483</v>
      </c>
      <c r="U64">
        <v>249.46199999999999</v>
      </c>
      <c r="V64">
        <v>75.594999999999999</v>
      </c>
      <c r="W64">
        <v>11.932</v>
      </c>
      <c r="X64">
        <v>50.113999999999997</v>
      </c>
      <c r="Y64">
        <v>84.421000000000006</v>
      </c>
      <c r="Z64">
        <v>7.1639999999999997</v>
      </c>
      <c r="AA64">
        <v>85.021000000000001</v>
      </c>
      <c r="AB64">
        <v>10.122999999999999</v>
      </c>
      <c r="AC64">
        <v>157.53</v>
      </c>
      <c r="AD64">
        <v>124.80200000000001</v>
      </c>
      <c r="AE64">
        <v>0</v>
      </c>
      <c r="AF64">
        <v>3.1E-2</v>
      </c>
      <c r="AG64">
        <v>12.381</v>
      </c>
      <c r="AH64">
        <v>18.417999999999999</v>
      </c>
      <c r="AI64">
        <v>40.381999999999998</v>
      </c>
      <c r="AJ64">
        <v>4.6669999999999998</v>
      </c>
      <c r="AK64">
        <v>8.843</v>
      </c>
      <c r="AL64">
        <v>0</v>
      </c>
      <c r="AM64">
        <v>102.4</v>
      </c>
      <c r="AN64">
        <v>808.596</v>
      </c>
      <c r="AO64" t="s">
        <v>19</v>
      </c>
      <c r="AX64" s="2" t="str">
        <f t="shared" si="0"/>
        <v>RSH</v>
      </c>
      <c r="AY64" s="2" t="str">
        <f t="shared" si="1"/>
        <v>ELC</v>
      </c>
    </row>
    <row r="65" spans="1:51">
      <c r="A65" t="s">
        <v>17</v>
      </c>
      <c r="B65" t="s">
        <v>5</v>
      </c>
      <c r="C65" t="s">
        <v>93</v>
      </c>
      <c r="D65" t="s">
        <v>19</v>
      </c>
      <c r="E65" t="s">
        <v>19</v>
      </c>
      <c r="F65" t="s">
        <v>19</v>
      </c>
      <c r="G65" t="s">
        <v>100</v>
      </c>
      <c r="H65" t="s">
        <v>19</v>
      </c>
      <c r="I65" t="s">
        <v>19</v>
      </c>
      <c r="J65" t="s">
        <v>19</v>
      </c>
      <c r="K65" t="s">
        <v>19</v>
      </c>
      <c r="L65">
        <v>0</v>
      </c>
      <c r="M65">
        <v>0</v>
      </c>
      <c r="N65">
        <v>7.6029999999999998</v>
      </c>
      <c r="O65">
        <v>82.102000000000004</v>
      </c>
      <c r="P65">
        <v>507.94600000000003</v>
      </c>
      <c r="Q65">
        <v>0</v>
      </c>
      <c r="R65">
        <v>115.742</v>
      </c>
      <c r="S65">
        <v>19.094999999999999</v>
      </c>
      <c r="T65">
        <v>1011.592</v>
      </c>
      <c r="U65">
        <v>1187.538</v>
      </c>
      <c r="V65">
        <v>198.43600000000001</v>
      </c>
      <c r="W65">
        <v>113.35599999999999</v>
      </c>
      <c r="X65">
        <v>131.55099999999999</v>
      </c>
      <c r="Y65">
        <v>221.60400000000001</v>
      </c>
      <c r="Z65">
        <v>68.055999999999997</v>
      </c>
      <c r="AA65">
        <v>223.18100000000001</v>
      </c>
      <c r="AB65">
        <v>45.555</v>
      </c>
      <c r="AC65">
        <v>413.51600000000002</v>
      </c>
      <c r="AD65">
        <v>327.60599999999999</v>
      </c>
      <c r="AE65">
        <v>0</v>
      </c>
      <c r="AF65">
        <v>15.254</v>
      </c>
      <c r="AG65">
        <v>32.500999999999998</v>
      </c>
      <c r="AH65">
        <v>82.88</v>
      </c>
      <c r="AI65">
        <v>106.004</v>
      </c>
      <c r="AJ65">
        <v>231.023</v>
      </c>
      <c r="AK65">
        <v>39.792000000000002</v>
      </c>
      <c r="AL65">
        <v>0</v>
      </c>
      <c r="AM65">
        <v>268.8</v>
      </c>
      <c r="AN65">
        <v>1005.208</v>
      </c>
      <c r="AO65" t="s">
        <v>19</v>
      </c>
      <c r="AX65" s="2" t="str">
        <f t="shared" si="0"/>
        <v>RSH</v>
      </c>
      <c r="AY65" s="2" t="str">
        <f t="shared" si="1"/>
        <v>ELC</v>
      </c>
    </row>
    <row r="66" spans="1:51">
      <c r="A66" t="s">
        <v>17</v>
      </c>
      <c r="B66" t="s">
        <v>5</v>
      </c>
      <c r="C66" t="s">
        <v>94</v>
      </c>
      <c r="D66" t="s">
        <v>19</v>
      </c>
      <c r="E66" t="s">
        <v>19</v>
      </c>
      <c r="F66" t="s">
        <v>19</v>
      </c>
      <c r="G66" t="s">
        <v>100</v>
      </c>
      <c r="H66" t="s">
        <v>19</v>
      </c>
      <c r="I66" t="s">
        <v>19</v>
      </c>
      <c r="J66" t="s">
        <v>19</v>
      </c>
      <c r="K66" t="s">
        <v>19</v>
      </c>
      <c r="L66">
        <v>0</v>
      </c>
      <c r="M66">
        <v>0</v>
      </c>
      <c r="N66">
        <v>0</v>
      </c>
      <c r="O66">
        <v>1.3260000000000001</v>
      </c>
      <c r="P66">
        <v>19.904</v>
      </c>
      <c r="Q66">
        <v>0</v>
      </c>
      <c r="R66">
        <v>0.89600000000000002</v>
      </c>
      <c r="S66">
        <v>0</v>
      </c>
      <c r="T66">
        <v>0</v>
      </c>
      <c r="U66">
        <v>2846.002</v>
      </c>
      <c r="V66">
        <v>0</v>
      </c>
      <c r="W66">
        <v>3.9390000000000001</v>
      </c>
      <c r="X66">
        <v>0</v>
      </c>
      <c r="Y66">
        <v>0.19900000000000001</v>
      </c>
      <c r="Z66">
        <v>0.746</v>
      </c>
      <c r="AA66">
        <v>1.9E-2</v>
      </c>
      <c r="AB66">
        <v>277.79399999999998</v>
      </c>
      <c r="AC66">
        <v>0</v>
      </c>
      <c r="AD66">
        <v>5.3</v>
      </c>
      <c r="AE66">
        <v>0</v>
      </c>
      <c r="AF66">
        <v>0</v>
      </c>
      <c r="AG66">
        <v>0</v>
      </c>
      <c r="AH66">
        <v>0</v>
      </c>
      <c r="AI66">
        <v>2.4700000000000002</v>
      </c>
      <c r="AJ66">
        <v>0</v>
      </c>
      <c r="AK66">
        <v>0</v>
      </c>
      <c r="AL66">
        <v>0</v>
      </c>
      <c r="AM66">
        <v>8.5000000000000006E-2</v>
      </c>
      <c r="AN66">
        <v>42.289000000000001</v>
      </c>
      <c r="AO66" t="s">
        <v>19</v>
      </c>
      <c r="AX66" s="2" t="str">
        <f t="shared" si="0"/>
        <v>RSH</v>
      </c>
      <c r="AY66" s="2" t="str">
        <f t="shared" si="1"/>
        <v>GEO</v>
      </c>
    </row>
    <row r="67" spans="1:51">
      <c r="A67" t="s">
        <v>17</v>
      </c>
      <c r="B67" t="s">
        <v>5</v>
      </c>
      <c r="C67" t="s">
        <v>95</v>
      </c>
      <c r="D67" t="s">
        <v>19</v>
      </c>
      <c r="E67" t="s">
        <v>19</v>
      </c>
      <c r="F67" t="s">
        <v>19</v>
      </c>
      <c r="G67" t="s">
        <v>100</v>
      </c>
      <c r="H67" t="s">
        <v>19</v>
      </c>
      <c r="I67" t="s">
        <v>19</v>
      </c>
      <c r="J67" t="s">
        <v>19</v>
      </c>
      <c r="K67" t="s">
        <v>19</v>
      </c>
      <c r="L67">
        <v>0</v>
      </c>
      <c r="M67">
        <v>0</v>
      </c>
      <c r="N67">
        <v>0</v>
      </c>
      <c r="O67">
        <v>384.62200000000001</v>
      </c>
      <c r="P67">
        <v>0</v>
      </c>
      <c r="Q67">
        <v>0</v>
      </c>
      <c r="R67">
        <v>0</v>
      </c>
      <c r="S67">
        <v>0</v>
      </c>
      <c r="T67">
        <v>0</v>
      </c>
      <c r="U67">
        <v>6441.6030000000001</v>
      </c>
      <c r="V67">
        <v>1038.7170000000001</v>
      </c>
      <c r="W67">
        <v>981.84299999999996</v>
      </c>
      <c r="X67">
        <v>53.954999999999998</v>
      </c>
      <c r="Y67">
        <v>168.48400000000001</v>
      </c>
      <c r="Z67">
        <v>234.43100000000001</v>
      </c>
      <c r="AA67">
        <v>0.154</v>
      </c>
      <c r="AB67">
        <v>865.31299999999999</v>
      </c>
      <c r="AC67">
        <v>230.75700000000001</v>
      </c>
      <c r="AD67">
        <v>710.69500000000005</v>
      </c>
      <c r="AE67">
        <v>0</v>
      </c>
      <c r="AF67">
        <v>0</v>
      </c>
      <c r="AG67">
        <v>0</v>
      </c>
      <c r="AH67">
        <v>0</v>
      </c>
      <c r="AI67">
        <v>90.771000000000001</v>
      </c>
      <c r="AJ67">
        <v>6890.3680000000004</v>
      </c>
      <c r="AK67">
        <v>0</v>
      </c>
      <c r="AL67">
        <v>0</v>
      </c>
      <c r="AM67">
        <v>48.277999999999999</v>
      </c>
      <c r="AN67">
        <v>0</v>
      </c>
      <c r="AO67" t="s">
        <v>19</v>
      </c>
      <c r="AX67" s="2" t="str">
        <f t="shared" ref="AX67:AX100" si="2">LEFT(C67,3)</f>
        <v>RSH</v>
      </c>
      <c r="AY67" s="2" t="str">
        <f t="shared" ref="AY67:AY100" si="3">IF(LEFT(MID(C67,4,3),1)="E","ELC",IF(LEFT(MID(C67,4,3),1)="N","NGA",MID(C67,4,3)))</f>
        <v>HET</v>
      </c>
    </row>
    <row r="68" spans="1:51">
      <c r="A68" t="s">
        <v>17</v>
      </c>
      <c r="B68" t="s">
        <v>5</v>
      </c>
      <c r="C68" t="s">
        <v>96</v>
      </c>
      <c r="D68" t="s">
        <v>19</v>
      </c>
      <c r="E68" t="s">
        <v>19</v>
      </c>
      <c r="F68" t="s">
        <v>19</v>
      </c>
      <c r="G68" t="s">
        <v>100</v>
      </c>
      <c r="H68" t="s">
        <v>19</v>
      </c>
      <c r="I68" t="s">
        <v>19</v>
      </c>
      <c r="J68" t="s">
        <v>19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19</v>
      </c>
      <c r="AX68" s="2" t="str">
        <f t="shared" si="2"/>
        <v>RSH</v>
      </c>
      <c r="AY68" s="2" t="str">
        <f t="shared" si="3"/>
        <v>HFO</v>
      </c>
    </row>
    <row r="69" spans="1:51">
      <c r="A69" t="s">
        <v>17</v>
      </c>
      <c r="B69" t="s">
        <v>5</v>
      </c>
      <c r="C69" t="s">
        <v>97</v>
      </c>
      <c r="D69" t="s">
        <v>19</v>
      </c>
      <c r="E69" t="s">
        <v>19</v>
      </c>
      <c r="F69" t="s">
        <v>19</v>
      </c>
      <c r="G69" t="s">
        <v>100</v>
      </c>
      <c r="H69" t="s">
        <v>19</v>
      </c>
      <c r="I69" t="s">
        <v>19</v>
      </c>
      <c r="J69" t="s">
        <v>19</v>
      </c>
      <c r="K69" t="s">
        <v>19</v>
      </c>
      <c r="L69">
        <v>0.2</v>
      </c>
      <c r="M69">
        <v>2.2120000000000002</v>
      </c>
      <c r="N69">
        <v>0.501</v>
      </c>
      <c r="O69">
        <v>18.681000000000001</v>
      </c>
      <c r="P69">
        <v>738.14200000000005</v>
      </c>
      <c r="Q69">
        <v>0</v>
      </c>
      <c r="R69">
        <v>0</v>
      </c>
      <c r="S69">
        <v>8.9999999999999993E-3</v>
      </c>
      <c r="T69">
        <v>5.7869999999999999</v>
      </c>
      <c r="U69">
        <v>0</v>
      </c>
      <c r="V69">
        <v>0.499</v>
      </c>
      <c r="W69">
        <v>0</v>
      </c>
      <c r="X69">
        <v>111.51300000000001</v>
      </c>
      <c r="Y69">
        <v>2.4119999999999999</v>
      </c>
      <c r="Z69">
        <v>0</v>
      </c>
      <c r="AA69">
        <v>1.4E-2</v>
      </c>
      <c r="AB69">
        <v>0.54800000000000004</v>
      </c>
      <c r="AC69">
        <v>23.568999999999999</v>
      </c>
      <c r="AD69">
        <v>0.82699999999999996</v>
      </c>
      <c r="AE69">
        <v>0</v>
      </c>
      <c r="AF69">
        <v>1.2010000000000001</v>
      </c>
      <c r="AG69">
        <v>0</v>
      </c>
      <c r="AH69">
        <v>225.238</v>
      </c>
      <c r="AI69">
        <v>7.8E-2</v>
      </c>
      <c r="AJ69">
        <v>0</v>
      </c>
      <c r="AK69">
        <v>31.934000000000001</v>
      </c>
      <c r="AL69">
        <v>0.49</v>
      </c>
      <c r="AM69">
        <v>247.357</v>
      </c>
      <c r="AN69">
        <v>22.32</v>
      </c>
      <c r="AO69" t="s">
        <v>19</v>
      </c>
      <c r="AX69" s="2" t="str">
        <f t="shared" si="2"/>
        <v>RSH</v>
      </c>
      <c r="AY69" s="2" t="str">
        <f t="shared" si="3"/>
        <v>KER</v>
      </c>
    </row>
    <row r="70" spans="1:51">
      <c r="A70" t="s">
        <v>17</v>
      </c>
      <c r="B70" t="s">
        <v>5</v>
      </c>
      <c r="C70" t="s">
        <v>98</v>
      </c>
      <c r="D70" t="s">
        <v>19</v>
      </c>
      <c r="E70" t="s">
        <v>19</v>
      </c>
      <c r="F70" t="s">
        <v>19</v>
      </c>
      <c r="G70" t="s">
        <v>100</v>
      </c>
      <c r="H70" t="s">
        <v>19</v>
      </c>
      <c r="I70" t="s">
        <v>19</v>
      </c>
      <c r="J70" t="s">
        <v>19</v>
      </c>
      <c r="K70" t="s">
        <v>19</v>
      </c>
      <c r="L70">
        <v>17.105</v>
      </c>
      <c r="M70">
        <v>5.3179999999999996</v>
      </c>
      <c r="N70">
        <v>3.9809999999999999</v>
      </c>
      <c r="O70">
        <v>187.76300000000001</v>
      </c>
      <c r="P70">
        <v>477.26799999999997</v>
      </c>
      <c r="Q70">
        <v>0</v>
      </c>
      <c r="R70">
        <v>18.329999999999998</v>
      </c>
      <c r="S70">
        <v>11.85</v>
      </c>
      <c r="T70">
        <v>38.817</v>
      </c>
      <c r="U70">
        <v>0</v>
      </c>
      <c r="V70">
        <v>3.847</v>
      </c>
      <c r="W70">
        <v>32.914999999999999</v>
      </c>
      <c r="X70">
        <v>25.361000000000001</v>
      </c>
      <c r="Y70">
        <v>167.899</v>
      </c>
      <c r="Z70">
        <v>20.61</v>
      </c>
      <c r="AA70">
        <v>165.809</v>
      </c>
      <c r="AB70">
        <v>30.263999999999999</v>
      </c>
      <c r="AC70">
        <v>109.43899999999999</v>
      </c>
      <c r="AD70">
        <v>112.84399999999999</v>
      </c>
      <c r="AE70">
        <v>0</v>
      </c>
      <c r="AF70">
        <v>9.8810000000000002</v>
      </c>
      <c r="AG70">
        <v>16.068999999999999</v>
      </c>
      <c r="AH70">
        <v>423.41300000000001</v>
      </c>
      <c r="AI70">
        <v>0.77400000000000002</v>
      </c>
      <c r="AJ70">
        <v>1461.1769999999999</v>
      </c>
      <c r="AK70">
        <v>72.757999999999996</v>
      </c>
      <c r="AL70">
        <v>0.439</v>
      </c>
      <c r="AM70">
        <v>31.433</v>
      </c>
      <c r="AN70">
        <v>380.125</v>
      </c>
      <c r="AO70" t="s">
        <v>19</v>
      </c>
      <c r="AX70" s="2" t="str">
        <f t="shared" si="2"/>
        <v>RSH</v>
      </c>
      <c r="AY70" s="2" t="str">
        <f t="shared" si="3"/>
        <v>LPG</v>
      </c>
    </row>
    <row r="71" spans="1:51">
      <c r="A71" t="s">
        <v>17</v>
      </c>
      <c r="B71" t="s">
        <v>5</v>
      </c>
      <c r="C71" t="s">
        <v>99</v>
      </c>
      <c r="D71" t="s">
        <v>19</v>
      </c>
      <c r="E71" t="s">
        <v>19</v>
      </c>
      <c r="F71" t="s">
        <v>19</v>
      </c>
      <c r="G71" t="s">
        <v>100</v>
      </c>
      <c r="H71" t="s">
        <v>19</v>
      </c>
      <c r="I71" t="s">
        <v>19</v>
      </c>
      <c r="J71" t="s">
        <v>19</v>
      </c>
      <c r="K71" t="s">
        <v>19</v>
      </c>
      <c r="L71">
        <v>3.0649999999999999</v>
      </c>
      <c r="M71">
        <v>0</v>
      </c>
      <c r="N71">
        <v>2.3140000000000001</v>
      </c>
      <c r="O71">
        <v>1673.364</v>
      </c>
      <c r="P71">
        <v>536.98500000000001</v>
      </c>
      <c r="Q71">
        <v>0</v>
      </c>
      <c r="R71">
        <v>343.38</v>
      </c>
      <c r="S71">
        <v>0.105</v>
      </c>
      <c r="T71">
        <v>1245.992</v>
      </c>
      <c r="U71">
        <v>0</v>
      </c>
      <c r="V71">
        <v>91.031999999999996</v>
      </c>
      <c r="W71">
        <v>944.28499999999997</v>
      </c>
      <c r="X71">
        <v>1412.7619999999999</v>
      </c>
      <c r="Y71">
        <v>2184.4349999999999</v>
      </c>
      <c r="Z71">
        <v>675.13900000000001</v>
      </c>
      <c r="AA71">
        <v>494.98399999999998</v>
      </c>
      <c r="AB71">
        <v>2429.4369999999999</v>
      </c>
      <c r="AC71">
        <v>1503.338</v>
      </c>
      <c r="AD71">
        <v>2999.2910000000002</v>
      </c>
      <c r="AE71">
        <v>0</v>
      </c>
      <c r="AF71">
        <v>0.505</v>
      </c>
      <c r="AG71">
        <v>2.3180000000000001</v>
      </c>
      <c r="AH71">
        <v>4587.5460000000003</v>
      </c>
      <c r="AI71">
        <v>0.20499999999999999</v>
      </c>
      <c r="AJ71">
        <v>7385.7749999999996</v>
      </c>
      <c r="AK71">
        <v>0</v>
      </c>
      <c r="AL71">
        <v>1E-3</v>
      </c>
      <c r="AM71">
        <v>3019.0419999999999</v>
      </c>
      <c r="AN71">
        <v>8357.8220000000001</v>
      </c>
      <c r="AO71" t="s">
        <v>19</v>
      </c>
      <c r="AX71" s="2" t="str">
        <f t="shared" si="2"/>
        <v>RSH</v>
      </c>
      <c r="AY71" s="2" t="str">
        <f t="shared" si="3"/>
        <v>NGA</v>
      </c>
    </row>
    <row r="72" spans="1:51">
      <c r="A72" t="s">
        <v>17</v>
      </c>
      <c r="B72" t="s">
        <v>5</v>
      </c>
      <c r="C72" t="s">
        <v>101</v>
      </c>
      <c r="D72" t="s">
        <v>19</v>
      </c>
      <c r="E72" t="s">
        <v>19</v>
      </c>
      <c r="F72" t="s">
        <v>19</v>
      </c>
      <c r="G72" t="s">
        <v>100</v>
      </c>
      <c r="H72" t="s">
        <v>19</v>
      </c>
      <c r="I72" t="s">
        <v>19</v>
      </c>
      <c r="J72" t="s">
        <v>19</v>
      </c>
      <c r="K72" t="s">
        <v>19</v>
      </c>
      <c r="L72">
        <v>7.0000000000000001E-3</v>
      </c>
      <c r="M72">
        <v>0</v>
      </c>
      <c r="N72">
        <v>1E-3</v>
      </c>
      <c r="O72">
        <v>4.0739999999999998</v>
      </c>
      <c r="P72">
        <v>68.745999999999995</v>
      </c>
      <c r="Q72">
        <v>0</v>
      </c>
      <c r="R72">
        <v>0.83599999999999997</v>
      </c>
      <c r="S72">
        <v>0</v>
      </c>
      <c r="T72">
        <v>159.51499999999999</v>
      </c>
      <c r="U72">
        <v>0</v>
      </c>
      <c r="V72">
        <v>2.2370000000000001</v>
      </c>
      <c r="W72">
        <v>2.2989999999999999</v>
      </c>
      <c r="X72">
        <v>34.712000000000003</v>
      </c>
      <c r="Y72">
        <v>53.671999999999997</v>
      </c>
      <c r="Z72">
        <v>1.6439999999999999</v>
      </c>
      <c r="AA72">
        <v>12.162000000000001</v>
      </c>
      <c r="AB72">
        <v>5.915</v>
      </c>
      <c r="AC72">
        <v>36.936999999999998</v>
      </c>
      <c r="AD72">
        <v>73.692999999999998</v>
      </c>
      <c r="AE72">
        <v>0</v>
      </c>
      <c r="AF72">
        <v>0</v>
      </c>
      <c r="AG72">
        <v>1E-3</v>
      </c>
      <c r="AH72">
        <v>11.17</v>
      </c>
      <c r="AI72">
        <v>5.0000000000000001E-3</v>
      </c>
      <c r="AJ72">
        <v>17.983000000000001</v>
      </c>
      <c r="AK72">
        <v>0</v>
      </c>
      <c r="AL72">
        <v>0</v>
      </c>
      <c r="AM72">
        <v>74.177999999999997</v>
      </c>
      <c r="AN72">
        <v>6.1349999999999998</v>
      </c>
      <c r="AO72" t="s">
        <v>19</v>
      </c>
      <c r="AX72" s="2" t="str">
        <f t="shared" si="2"/>
        <v>RSH</v>
      </c>
      <c r="AY72" s="2" t="str">
        <f t="shared" si="3"/>
        <v>NGA</v>
      </c>
    </row>
    <row r="73" spans="1:51">
      <c r="AX73" s="2" t="str">
        <f t="shared" si="2"/>
        <v/>
      </c>
      <c r="AY73" s="2" t="str">
        <f t="shared" si="3"/>
        <v/>
      </c>
    </row>
    <row r="74" spans="1:51">
      <c r="AX74" s="2" t="str">
        <f t="shared" si="2"/>
        <v/>
      </c>
      <c r="AY74" s="2" t="str">
        <f t="shared" si="3"/>
        <v/>
      </c>
    </row>
    <row r="75" spans="1:51">
      <c r="AX75" s="2" t="str">
        <f t="shared" si="2"/>
        <v/>
      </c>
      <c r="AY75" s="2" t="str">
        <f t="shared" si="3"/>
        <v/>
      </c>
    </row>
    <row r="76" spans="1:51">
      <c r="AX76" s="2" t="str">
        <f t="shared" si="2"/>
        <v/>
      </c>
      <c r="AY76" s="2" t="str">
        <f t="shared" si="3"/>
        <v/>
      </c>
    </row>
    <row r="77" spans="1:51">
      <c r="AX77" s="2" t="str">
        <f t="shared" si="2"/>
        <v/>
      </c>
      <c r="AY77" s="2" t="str">
        <f t="shared" si="3"/>
        <v/>
      </c>
    </row>
    <row r="78" spans="1:51">
      <c r="AX78" s="2" t="str">
        <f t="shared" si="2"/>
        <v/>
      </c>
      <c r="AY78" s="2" t="str">
        <f t="shared" si="3"/>
        <v/>
      </c>
    </row>
    <row r="79" spans="1:51">
      <c r="AX79" s="2" t="str">
        <f t="shared" si="2"/>
        <v/>
      </c>
      <c r="AY79" s="2" t="str">
        <f t="shared" si="3"/>
        <v/>
      </c>
    </row>
    <row r="80" spans="1:51">
      <c r="AX80" s="2" t="str">
        <f t="shared" si="2"/>
        <v/>
      </c>
      <c r="AY80" s="2" t="str">
        <f t="shared" si="3"/>
        <v/>
      </c>
    </row>
    <row r="81" spans="12:51">
      <c r="AX81" s="2" t="str">
        <f t="shared" si="2"/>
        <v/>
      </c>
      <c r="AY81" s="2" t="str">
        <f t="shared" si="3"/>
        <v/>
      </c>
    </row>
    <row r="82" spans="12:51">
      <c r="AX82" s="2" t="str">
        <f t="shared" si="2"/>
        <v/>
      </c>
      <c r="AY82" s="2" t="str">
        <f t="shared" si="3"/>
        <v/>
      </c>
    </row>
    <row r="83" spans="12:51">
      <c r="AX83" s="2" t="str">
        <f t="shared" si="2"/>
        <v/>
      </c>
      <c r="AY83" s="2" t="str">
        <f t="shared" si="3"/>
        <v/>
      </c>
    </row>
    <row r="84" spans="12:51">
      <c r="AX84" s="2" t="str">
        <f t="shared" si="2"/>
        <v/>
      </c>
      <c r="AY84" s="2" t="str">
        <f t="shared" si="3"/>
        <v/>
      </c>
    </row>
    <row r="85" spans="12:51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X85" s="2" t="str">
        <f t="shared" si="2"/>
        <v/>
      </c>
      <c r="AY85" s="2" t="str">
        <f t="shared" si="3"/>
        <v/>
      </c>
    </row>
    <row r="86" spans="12:51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X86" s="2" t="str">
        <f t="shared" si="2"/>
        <v/>
      </c>
      <c r="AY86" s="2" t="str">
        <f t="shared" si="3"/>
        <v/>
      </c>
    </row>
    <row r="87" spans="12:51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X87" s="2" t="str">
        <f t="shared" si="2"/>
        <v/>
      </c>
      <c r="AY87" s="2" t="str">
        <f t="shared" si="3"/>
        <v/>
      </c>
    </row>
    <row r="88" spans="12:51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X88" s="2" t="str">
        <f t="shared" si="2"/>
        <v/>
      </c>
      <c r="AY88" s="2" t="str">
        <f t="shared" si="3"/>
        <v/>
      </c>
    </row>
    <row r="89" spans="12:51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X89" s="2" t="str">
        <f t="shared" si="2"/>
        <v/>
      </c>
      <c r="AY89" s="2" t="str">
        <f t="shared" si="3"/>
        <v/>
      </c>
    </row>
    <row r="90" spans="12:51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X90" s="2" t="str">
        <f t="shared" si="2"/>
        <v/>
      </c>
      <c r="AY90" s="2" t="str">
        <f t="shared" si="3"/>
        <v/>
      </c>
    </row>
    <row r="91" spans="12:51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X91" s="2" t="str">
        <f t="shared" si="2"/>
        <v/>
      </c>
      <c r="AY91" s="2" t="str">
        <f t="shared" si="3"/>
        <v/>
      </c>
    </row>
    <row r="92" spans="12:51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X92" s="2" t="str">
        <f t="shared" si="2"/>
        <v/>
      </c>
      <c r="AY92" s="2" t="str">
        <f t="shared" si="3"/>
        <v/>
      </c>
    </row>
    <row r="93" spans="12:51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X93" s="2" t="str">
        <f t="shared" si="2"/>
        <v/>
      </c>
      <c r="AY93" s="2" t="str">
        <f t="shared" si="3"/>
        <v/>
      </c>
    </row>
    <row r="94" spans="12:51"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X94" s="2" t="str">
        <f t="shared" si="2"/>
        <v/>
      </c>
      <c r="AY94" s="2" t="str">
        <f t="shared" si="3"/>
        <v/>
      </c>
    </row>
    <row r="95" spans="12:51"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X95" s="2" t="str">
        <f t="shared" si="2"/>
        <v/>
      </c>
      <c r="AY95" s="2" t="str">
        <f t="shared" si="3"/>
        <v/>
      </c>
    </row>
    <row r="96" spans="12:51"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X96" s="2" t="str">
        <f t="shared" si="2"/>
        <v/>
      </c>
      <c r="AY96" s="2" t="str">
        <f t="shared" si="3"/>
        <v/>
      </c>
    </row>
    <row r="97" spans="12:51"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X97" s="2" t="str">
        <f t="shared" si="2"/>
        <v/>
      </c>
      <c r="AY97" s="2" t="str">
        <f t="shared" si="3"/>
        <v/>
      </c>
    </row>
    <row r="98" spans="12:51"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X98" s="2" t="str">
        <f t="shared" si="2"/>
        <v/>
      </c>
      <c r="AY98" s="2" t="str">
        <f t="shared" si="3"/>
        <v/>
      </c>
    </row>
    <row r="99" spans="12:51"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X99" s="2" t="str">
        <f t="shared" si="2"/>
        <v/>
      </c>
      <c r="AY99" s="2" t="str">
        <f t="shared" si="3"/>
        <v/>
      </c>
    </row>
    <row r="100" spans="12:51"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X100" s="2" t="str">
        <f t="shared" si="2"/>
        <v/>
      </c>
      <c r="AY100" s="2" t="str">
        <f t="shared" si="3"/>
        <v/>
      </c>
    </row>
  </sheetData>
  <sortState xmlns:xlrd2="http://schemas.microsoft.com/office/spreadsheetml/2017/richdata2" ref="BA2:BA100">
    <sortCondition ref="BA2:BA1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D145"/>
  <sheetViews>
    <sheetView tabSelected="1" topLeftCell="AA1" workbookViewId="0">
      <selection activeCell="AJ7" sqref="AJ7"/>
    </sheetView>
  </sheetViews>
  <sheetFormatPr defaultColWidth="8.86328125" defaultRowHeight="14.25"/>
  <cols>
    <col min="1" max="1" width="9" bestFit="1" customWidth="1"/>
    <col min="2" max="2" width="8.86328125" bestFit="1" customWidth="1"/>
    <col min="3" max="3" width="6.3984375" customWidth="1"/>
    <col min="4" max="6" width="7.86328125" bestFit="1" customWidth="1"/>
    <col min="7" max="7" width="8.1328125" bestFit="1" customWidth="1"/>
    <col min="8" max="16" width="7.86328125" bestFit="1" customWidth="1"/>
    <col min="17" max="17" width="8.1328125" bestFit="1" customWidth="1"/>
    <col min="18" max="18" width="7.86328125" bestFit="1" customWidth="1"/>
    <col min="19" max="34" width="7.86328125" customWidth="1"/>
    <col min="36" max="36" width="11" customWidth="1"/>
    <col min="38" max="38" width="18.86328125" customWidth="1"/>
    <col min="39" max="39" width="10.3984375" bestFit="1" customWidth="1"/>
    <col min="40" max="40" width="6.59765625" bestFit="1" customWidth="1"/>
    <col min="41" max="41" width="2" bestFit="1" customWidth="1"/>
    <col min="42" max="42" width="5" bestFit="1" customWidth="1"/>
    <col min="43" max="43" width="6.1328125" customWidth="1"/>
    <col min="44" max="44" width="8.3984375" bestFit="1" customWidth="1"/>
    <col min="45" max="45" width="7.86328125" bestFit="1" customWidth="1"/>
    <col min="46" max="46" width="7.86328125" customWidth="1"/>
    <col min="47" max="47" width="8" customWidth="1"/>
    <col min="48" max="61" width="6.1328125" bestFit="1" customWidth="1"/>
    <col min="62" max="76" width="6.1328125" customWidth="1"/>
    <col min="82" max="82" width="4" bestFit="1" customWidth="1"/>
  </cols>
  <sheetData>
    <row r="2" spans="2:82">
      <c r="B2" t="s">
        <v>40</v>
      </c>
      <c r="C2" t="s">
        <v>39</v>
      </c>
      <c r="D2" t="str">
        <f>IF(BY_RESCOM!L$1="","*"&amp;COLUMN(),BY_RESCOM!L$1)</f>
        <v>Africa_north</v>
      </c>
      <c r="E2" t="str">
        <f>IF(BY_RESCOM!M$1="","*"&amp;COLUMN(),BY_RESCOM!M$1)</f>
        <v>Africa_other</v>
      </c>
      <c r="F2" t="str">
        <f>IF(BY_RESCOM!N$1="","*"&amp;COLUMN(),BY_RESCOM!N$1)</f>
        <v>Arg-Chi</v>
      </c>
      <c r="G2" t="str">
        <f>IF(BY_RESCOM!O$1="","*"&amp;COLUMN(),BY_RESCOM!O$1)</f>
        <v>Asia_central</v>
      </c>
      <c r="H2" t="str">
        <f>IF(BY_RESCOM!P$1="","*"&amp;COLUMN(),BY_RESCOM!P$1)</f>
        <v>Asia_east</v>
      </c>
      <c r="I2" t="str">
        <f>IF(BY_RESCOM!Q$1="","*"&amp;COLUMN(),BY_RESCOM!Q$1)</f>
        <v>Asia_other</v>
      </c>
      <c r="J2" t="str">
        <f>IF(BY_RESCOM!R$1="","*"&amp;COLUMN(),BY_RESCOM!R$1)</f>
        <v>Australia_NZ</v>
      </c>
      <c r="K2" t="str">
        <f>IF(BY_RESCOM!S$1="","*"&amp;COLUMN(),BY_RESCOM!S$1)</f>
        <v>Brazil</v>
      </c>
      <c r="L2" t="str">
        <f>IF(BY_RESCOM!T$1="","*"&amp;COLUMN(),BY_RESCOM!T$1)</f>
        <v>Canada</v>
      </c>
      <c r="M2" t="str">
        <f>IF(BY_RESCOM!U$1="","*"&amp;COLUMN(),BY_RESCOM!U$1)</f>
        <v>China</v>
      </c>
      <c r="N2" t="str">
        <f>IF(BY_RESCOM!V$1="","*"&amp;COLUMN(),BY_RESCOM!V$1)</f>
        <v>EU_north</v>
      </c>
      <c r="O2" t="str">
        <f>IF(BY_RESCOM!W$1="","*"&amp;COLUMN(),BY_RESCOM!W$1)</f>
        <v>EU_northeast</v>
      </c>
      <c r="P2" t="str">
        <f>IF(BY_RESCOM!X$1="","*"&amp;COLUMN(),BY_RESCOM!X$1)</f>
        <v>EU_northwest</v>
      </c>
      <c r="Q2" t="str">
        <f>IF(BY_RESCOM!Y$1="","*"&amp;COLUMN(),BY_RESCOM!Y$1)</f>
        <v>EU_south</v>
      </c>
      <c r="R2" t="str">
        <f>IF(BY_RESCOM!Z$1="","*"&amp;COLUMN(),BY_RESCOM!Z$1)</f>
        <v>EU_southeast</v>
      </c>
      <c r="S2" t="str">
        <f>IF(BY_RESCOM!AA$1="","*"&amp;COLUMN(),BY_RESCOM!AA$1)</f>
        <v>EU_southwest</v>
      </c>
      <c r="T2" t="str">
        <f>IF(BY_RESCOM!AB$1="","*"&amp;COLUMN(),BY_RESCOM!AB$1)</f>
        <v>Europe_other</v>
      </c>
      <c r="U2" t="str">
        <f>IF(BY_RESCOM!AC$1="","*"&amp;COLUMN(),BY_RESCOM!AC$1)</f>
        <v>France</v>
      </c>
      <c r="V2" t="str">
        <f>IF(BY_RESCOM!AD$1="","*"&amp;COLUMN(),BY_RESCOM!AD$1)</f>
        <v>Germany</v>
      </c>
      <c r="W2" t="str">
        <f>IF(BY_RESCOM!AE$1="","*"&amp;COLUMN(),BY_RESCOM!AE$1)</f>
        <v>India</v>
      </c>
      <c r="X2" t="str">
        <f>IF(BY_RESCOM!AF$1="","*"&amp;COLUMN(),BY_RESCOM!AF$1)</f>
        <v>LatAm_other</v>
      </c>
      <c r="Y2" t="str">
        <f>IF(BY_RESCOM!AG$1="","*"&amp;COLUMN(),BY_RESCOM!AG$1)</f>
        <v>Mexico</v>
      </c>
      <c r="Z2" t="str">
        <f>IF(BY_RESCOM!AH$1="","*"&amp;COLUMN(),BY_RESCOM!AH$1)</f>
        <v>MidEast_other</v>
      </c>
      <c r="AA2" t="str">
        <f>IF(BY_RESCOM!AI$1="","*"&amp;COLUMN(),BY_RESCOM!AI$1)</f>
        <v>Nor-Ice</v>
      </c>
      <c r="AB2" t="str">
        <f>IF(BY_RESCOM!AJ$1="","*"&amp;COLUMN(),BY_RESCOM!AJ$1)</f>
        <v>Russia</v>
      </c>
      <c r="AC2" t="str">
        <f>IF(BY_RESCOM!AK$1="","*"&amp;COLUMN(),BY_RESCOM!AK$1)</f>
        <v>SaudiArabia</v>
      </c>
      <c r="AD2" t="str">
        <f>IF(BY_RESCOM!AL$1="","*"&amp;COLUMN(),BY_RESCOM!AL$1)</f>
        <v>SouthAfrica</v>
      </c>
      <c r="AE2" t="str">
        <f>IF(BY_RESCOM!AM$1="","*"&amp;COLUMN(),BY_RESCOM!AM$1)</f>
        <v>UK</v>
      </c>
      <c r="AF2" t="str">
        <f>IF(BY_RESCOM!AN$1="","*"&amp;COLUMN(),BY_RESCOM!AN$1)</f>
        <v>USA</v>
      </c>
      <c r="AG2" t="str">
        <f>IF(BY_RESCOM!AO$1="","*"&amp;COLUMN(),BY_RESCOM!AO$1)</f>
        <v>year2</v>
      </c>
      <c r="AH2" t="str">
        <f>IF(BY_RESCOM!AP$1="","*"&amp;COLUMN(),BY_RESCOM!AP$1)</f>
        <v>*34</v>
      </c>
      <c r="AJ2" t="s">
        <v>119</v>
      </c>
      <c r="AR2" t="str">
        <f>B2</f>
        <v>Demand</v>
      </c>
      <c r="AS2" t="str">
        <f>C2</f>
        <v>Fuel</v>
      </c>
      <c r="AU2" t="str">
        <f>IF(BY_RESCOM!L$1="","*"&amp;COLUMN(),BY_RESCOM!L$1)</f>
        <v>Africa_north</v>
      </c>
      <c r="AV2" t="str">
        <f>IF(BY_RESCOM!M$1="","*"&amp;COLUMN(),BY_RESCOM!M$1)</f>
        <v>Africa_other</v>
      </c>
      <c r="AW2" t="str">
        <f>IF(BY_RESCOM!N$1="","*"&amp;COLUMN(),BY_RESCOM!N$1)</f>
        <v>Arg-Chi</v>
      </c>
      <c r="AX2" t="str">
        <f>IF(BY_RESCOM!O$1="","*"&amp;COLUMN(),BY_RESCOM!O$1)</f>
        <v>Asia_central</v>
      </c>
      <c r="AY2" t="str">
        <f>IF(BY_RESCOM!P$1="","*"&amp;COLUMN(),BY_RESCOM!P$1)</f>
        <v>Asia_east</v>
      </c>
      <c r="AZ2" t="str">
        <f>IF(BY_RESCOM!Q$1="","*"&amp;COLUMN(),BY_RESCOM!Q$1)</f>
        <v>Asia_other</v>
      </c>
      <c r="BA2" t="str">
        <f>IF(BY_RESCOM!R$1="","*"&amp;COLUMN(),BY_RESCOM!R$1)</f>
        <v>Australia_NZ</v>
      </c>
      <c r="BB2" t="str">
        <f>IF(BY_RESCOM!S$1="","*"&amp;COLUMN(),BY_RESCOM!S$1)</f>
        <v>Brazil</v>
      </c>
      <c r="BC2" t="str">
        <f>IF(BY_RESCOM!T$1="","*"&amp;COLUMN(),BY_RESCOM!T$1)</f>
        <v>Canada</v>
      </c>
      <c r="BD2" t="str">
        <f>IF(BY_RESCOM!U$1="","*"&amp;COLUMN(),BY_RESCOM!U$1)</f>
        <v>China</v>
      </c>
      <c r="BE2" t="str">
        <f>IF(BY_RESCOM!V$1="","*"&amp;COLUMN(),BY_RESCOM!V$1)</f>
        <v>EU_north</v>
      </c>
      <c r="BF2" t="str">
        <f>IF(BY_RESCOM!W$1="","*"&amp;COLUMN(),BY_RESCOM!W$1)</f>
        <v>EU_northeast</v>
      </c>
      <c r="BG2" t="str">
        <f>IF(BY_RESCOM!X$1="","*"&amp;COLUMN(),BY_RESCOM!X$1)</f>
        <v>EU_northwest</v>
      </c>
      <c r="BH2" t="str">
        <f>IF(BY_RESCOM!Y$1="","*"&amp;COLUMN(),BY_RESCOM!Y$1)</f>
        <v>EU_south</v>
      </c>
      <c r="BI2" t="str">
        <f>IF(BY_RESCOM!Z$1="","*"&amp;COLUMN(),BY_RESCOM!Z$1)</f>
        <v>EU_southeast</v>
      </c>
      <c r="BJ2" t="str">
        <f>IF(BY_RESCOM!AA$1="","*"&amp;COLUMN(),BY_RESCOM!AA$1)</f>
        <v>EU_southwest</v>
      </c>
      <c r="BK2" t="str">
        <f>IF(BY_RESCOM!AB$1="","*"&amp;COLUMN(),BY_RESCOM!AB$1)</f>
        <v>Europe_other</v>
      </c>
      <c r="BL2" t="str">
        <f>IF(BY_RESCOM!AC$1="","*"&amp;COLUMN(),BY_RESCOM!AC$1)</f>
        <v>France</v>
      </c>
      <c r="BM2" t="str">
        <f>IF(BY_RESCOM!AD$1="","*"&amp;COLUMN(),BY_RESCOM!AD$1)</f>
        <v>Germany</v>
      </c>
      <c r="BN2" t="str">
        <f>IF(BY_RESCOM!AE$1="","*"&amp;COLUMN(),BY_RESCOM!AE$1)</f>
        <v>India</v>
      </c>
      <c r="BO2" t="str">
        <f>IF(BY_RESCOM!AF$1="","*"&amp;COLUMN(),BY_RESCOM!AF$1)</f>
        <v>LatAm_other</v>
      </c>
      <c r="BP2" t="str">
        <f>IF(BY_RESCOM!AG$1="","*"&amp;COLUMN(),BY_RESCOM!AG$1)</f>
        <v>Mexico</v>
      </c>
      <c r="BQ2" t="str">
        <f>IF(BY_RESCOM!AH$1="","*"&amp;COLUMN(),BY_RESCOM!AH$1)</f>
        <v>MidEast_other</v>
      </c>
      <c r="BR2" t="str">
        <f>IF(BY_RESCOM!AI$1="","*"&amp;COLUMN(),BY_RESCOM!AI$1)</f>
        <v>Nor-Ice</v>
      </c>
      <c r="BS2" t="str">
        <f>IF(BY_RESCOM!AJ$1="","*"&amp;COLUMN(),BY_RESCOM!AJ$1)</f>
        <v>Russia</v>
      </c>
      <c r="BT2" t="str">
        <f>IF(BY_RESCOM!AK$1="","*"&amp;COLUMN(),BY_RESCOM!AK$1)</f>
        <v>SaudiArabia</v>
      </c>
      <c r="BU2" t="str">
        <f>IF(BY_RESCOM!AL$1="","*"&amp;COLUMN(),BY_RESCOM!AL$1)</f>
        <v>SouthAfrica</v>
      </c>
      <c r="BV2" t="str">
        <f>IF(BY_RESCOM!AM$1="","*"&amp;COLUMN(),BY_RESCOM!AM$1)</f>
        <v>UK</v>
      </c>
      <c r="BW2" t="str">
        <f>IF(BY_RESCOM!AN$1="","*"&amp;COLUMN(),BY_RESCOM!AN$1)</f>
        <v>USA</v>
      </c>
      <c r="BX2" t="str">
        <f>IF(BY_RESCOM!AO$1="","*"&amp;COLUMN(),BY_RESCOM!AO$1)</f>
        <v>year2</v>
      </c>
    </row>
    <row r="3" spans="2:82">
      <c r="B3" t="s">
        <v>41</v>
      </c>
      <c r="C3" t="s">
        <v>42</v>
      </c>
      <c r="D3" s="3">
        <f>IFERROR(SUMIFS(BY_RESCOM!L$2:L$100,BY_RESCOM!$AX$2:$AX$100,RESCOM!$B3,BY_RESCOM!$AY$2:$AY$100,RESCOM!$C3)/SUMIFS(BY_RESCOM!L$2:L$100,BY_RESCOM!$AX$2:$AX$100,RESCOM!$B3),"")</f>
        <v>7.4811391000154534E-2</v>
      </c>
      <c r="E3" s="3">
        <f>IFERROR(SUMIFS(BY_RESCOM!M$2:M$100,BY_RESCOM!$AX$2:$AX$100,RESCOM!$B3,BY_RESCOM!$AY$2:$AY$100,RESCOM!$C3)/SUMIFS(BY_RESCOM!M$2:M$100,BY_RESCOM!$AX$2:$AX$100,RESCOM!$B3),"")</f>
        <v>0.95594028981842916</v>
      </c>
      <c r="F3" s="3">
        <f>IFERROR(SUMIFS(BY_RESCOM!N$2:N$100,BY_RESCOM!$AX$2:$AX$100,RESCOM!$B3,BY_RESCOM!$AY$2:$AY$100,RESCOM!$C3)/SUMIFS(BY_RESCOM!N$2:N$100,BY_RESCOM!$AX$2:$AX$100,RESCOM!$B3),"")</f>
        <v>0.10237919957167714</v>
      </c>
      <c r="G3" s="3">
        <f>IFERROR(SUMIFS(BY_RESCOM!O$2:O$100,BY_RESCOM!$AX$2:$AX$100,RESCOM!$B3,BY_RESCOM!$AY$2:$AY$100,RESCOM!$C3)/SUMIFS(BY_RESCOM!O$2:O$100,BY_RESCOM!$AX$2:$AX$100,RESCOM!$B3),"")</f>
        <v>5.2626542914553632E-4</v>
      </c>
      <c r="H3" s="3">
        <f>IFERROR(SUMIFS(BY_RESCOM!P$2:P$100,BY_RESCOM!$AX$2:$AX$100,RESCOM!$B3,BY_RESCOM!$AY$2:$AY$100,RESCOM!$C3)/SUMIFS(BY_RESCOM!P$2:P$100,BY_RESCOM!$AX$2:$AX$100,RESCOM!$B3),"")</f>
        <v>0</v>
      </c>
      <c r="I3" s="3">
        <f>IFERROR(SUMIFS(BY_RESCOM!Q$2:Q$100,BY_RESCOM!$AX$2:$AX$100,RESCOM!$B3,BY_RESCOM!$AY$2:$AY$100,RESCOM!$C3)/SUMIFS(BY_RESCOM!Q$2:Q$100,BY_RESCOM!$AX$2:$AX$100,RESCOM!$B3),"")</f>
        <v>0.55635931576758091</v>
      </c>
      <c r="J3" s="3">
        <f>IFERROR(SUMIFS(BY_RESCOM!R$2:R$100,BY_RESCOM!$AX$2:$AX$100,RESCOM!$B3,BY_RESCOM!$AY$2:$AY$100,RESCOM!$C3)/SUMIFS(BY_RESCOM!R$2:R$100,BY_RESCOM!$AX$2:$AX$100,RESCOM!$B3),"")</f>
        <v>6.9404279930595722E-4</v>
      </c>
      <c r="K3" s="3">
        <f>IFERROR(SUMIFS(BY_RESCOM!S$2:S$100,BY_RESCOM!$AX$2:$AX$100,RESCOM!$B3,BY_RESCOM!$AY$2:$AY$100,RESCOM!$C3)/SUMIFS(BY_RESCOM!S$2:S$100,BY_RESCOM!$AX$2:$AX$100,RESCOM!$B3),"")</f>
        <v>0.25654142307143879</v>
      </c>
      <c r="L3" s="3">
        <f>IFERROR(SUMIFS(BY_RESCOM!T$2:T$100,BY_RESCOM!$AX$2:$AX$100,RESCOM!$B3,BY_RESCOM!$AY$2:$AY$100,RESCOM!$C3)/SUMIFS(BY_RESCOM!T$2:T$100,BY_RESCOM!$AX$2:$AX$100,RESCOM!$B3),"")</f>
        <v>0</v>
      </c>
      <c r="M3" s="3">
        <f>IFERROR(SUMIFS(BY_RESCOM!U$2:U$100,BY_RESCOM!$AX$2:$AX$100,RESCOM!$B3,BY_RESCOM!$AY$2:$AY$100,RESCOM!$C3)/SUMIFS(BY_RESCOM!U$2:U$100,BY_RESCOM!$AX$2:$AX$100,RESCOM!$B3),"")</f>
        <v>0.32035067302564307</v>
      </c>
      <c r="N3" s="3">
        <f>IFERROR(SUMIFS(BY_RESCOM!V$2:V$100,BY_RESCOM!$AX$2:$AX$100,RESCOM!$B3,BY_RESCOM!$AY$2:$AY$100,RESCOM!$C3)/SUMIFS(BY_RESCOM!V$2:V$100,BY_RESCOM!$AX$2:$AX$100,RESCOM!$B3),"")</f>
        <v>1.3876984612872947E-2</v>
      </c>
      <c r="O3" s="3">
        <f>IFERROR(SUMIFS(BY_RESCOM!W$2:W$100,BY_RESCOM!$AX$2:$AX$100,RESCOM!$B3,BY_RESCOM!$AY$2:$AY$100,RESCOM!$C3)/SUMIFS(BY_RESCOM!W$2:W$100,BY_RESCOM!$AX$2:$AX$100,RESCOM!$B3),"")</f>
        <v>1.4326820229289385E-2</v>
      </c>
      <c r="P3" s="3">
        <f>IFERROR(SUMIFS(BY_RESCOM!X$2:X$100,BY_RESCOM!$AX$2:$AX$100,RESCOM!$B3,BY_RESCOM!$AY$2:$AY$100,RESCOM!$C3)/SUMIFS(BY_RESCOM!X$2:X$100,BY_RESCOM!$AX$2:$AX$100,RESCOM!$B3),"")</f>
        <v>4.5947719989188765E-3</v>
      </c>
      <c r="Q3" s="3">
        <f>IFERROR(SUMIFS(BY_RESCOM!Y$2:Y$100,BY_RESCOM!$AX$2:$AX$100,RESCOM!$B3,BY_RESCOM!$AY$2:$AY$100,RESCOM!$C3)/SUMIFS(BY_RESCOM!Y$2:Y$100,BY_RESCOM!$AX$2:$AX$100,RESCOM!$B3),"")</f>
        <v>2.0044058195550607E-2</v>
      </c>
      <c r="R3" s="3">
        <f>IFERROR(SUMIFS(BY_RESCOM!Z$2:Z$100,BY_RESCOM!$AX$2:$AX$100,RESCOM!$B3,BY_RESCOM!$AY$2:$AY$100,RESCOM!$C3)/SUMIFS(BY_RESCOM!Z$2:Z$100,BY_RESCOM!$AX$2:$AX$100,RESCOM!$B3),"")</f>
        <v>1.5505159189979587E-2</v>
      </c>
      <c r="S3" s="3">
        <f>IFERROR(SUMIFS(BY_RESCOM!AA$2:AA$100,BY_RESCOM!$AX$2:$AX$100,RESCOM!$B3,BY_RESCOM!$AY$2:$AY$100,RESCOM!$C3)/SUMIFS(BY_RESCOM!AA$2:AA$100,BY_RESCOM!$AX$2:$AX$100,RESCOM!$B3),"")</f>
        <v>9.9761858788697949E-3</v>
      </c>
      <c r="T3" s="3">
        <f>IFERROR(SUMIFS(BY_RESCOM!AB$2:AB$100,BY_RESCOM!$AX$2:$AX$100,RESCOM!$B3,BY_RESCOM!$AY$2:$AY$100,RESCOM!$C3)/SUMIFS(BY_RESCOM!AB$2:AB$100,BY_RESCOM!$AX$2:$AX$100,RESCOM!$B3),"")</f>
        <v>3.3318342944817739E-2</v>
      </c>
      <c r="U3" s="3">
        <f>IFERROR(SUMIFS(BY_RESCOM!AC$2:AC$100,BY_RESCOM!$AX$2:$AX$100,RESCOM!$B3,BY_RESCOM!$AY$2:$AY$100,RESCOM!$C3)/SUMIFS(BY_RESCOM!AC$2:AC$100,BY_RESCOM!$AX$2:$AX$100,RESCOM!$B3),"")</f>
        <v>1.2687084943998415E-2</v>
      </c>
      <c r="V3" s="3">
        <f>IFERROR(SUMIFS(BY_RESCOM!AD$2:AD$100,BY_RESCOM!$AX$2:$AX$100,RESCOM!$B3,BY_RESCOM!$AY$2:$AY$100,RESCOM!$C3)/SUMIFS(BY_RESCOM!AD$2:AD$100,BY_RESCOM!$AX$2:$AX$100,RESCOM!$B3),"")</f>
        <v>1.144518973685445E-2</v>
      </c>
      <c r="W3" s="3">
        <f>IFERROR(SUMIFS(BY_RESCOM!AE$2:AE$100,BY_RESCOM!$AX$2:$AX$100,RESCOM!$B3,BY_RESCOM!$AY$2:$AY$100,RESCOM!$C3)/SUMIFS(BY_RESCOM!AE$2:AE$100,BY_RESCOM!$AX$2:$AX$100,RESCOM!$B3),"")</f>
        <v>0.57889704300432676</v>
      </c>
      <c r="X3" s="3">
        <f>IFERROR(SUMIFS(BY_RESCOM!AF$2:AF$100,BY_RESCOM!$AX$2:$AX$100,RESCOM!$B3,BY_RESCOM!$AY$2:$AY$100,RESCOM!$C3)/SUMIFS(BY_RESCOM!AF$2:AF$100,BY_RESCOM!$AX$2:$AX$100,RESCOM!$B3),"")</f>
        <v>0.47621890633988179</v>
      </c>
      <c r="Y3" s="3">
        <f>IFERROR(SUMIFS(BY_RESCOM!AG$2:AG$100,BY_RESCOM!$AX$2:$AX$100,RESCOM!$B3,BY_RESCOM!$AY$2:$AY$100,RESCOM!$C3)/SUMIFS(BY_RESCOM!AG$2:AG$100,BY_RESCOM!$AX$2:$AX$100,RESCOM!$B3),"")</f>
        <v>0.38484435932344185</v>
      </c>
      <c r="Z3" s="3">
        <f>IFERROR(SUMIFS(BY_RESCOM!AH$2:AH$100,BY_RESCOM!$AX$2:$AX$100,RESCOM!$B3,BY_RESCOM!$AY$2:$AY$100,RESCOM!$C3)/SUMIFS(BY_RESCOM!AH$2:AH$100,BY_RESCOM!$AX$2:$AX$100,RESCOM!$B3),"")</f>
        <v>6.6683143154252556E-4</v>
      </c>
      <c r="AA3" s="3">
        <f>IFERROR(SUMIFS(BY_RESCOM!AI$2:AI$100,BY_RESCOM!$AX$2:$AX$100,RESCOM!$B3,BY_RESCOM!$AY$2:$AY$100,RESCOM!$C3)/SUMIFS(BY_RESCOM!AI$2:AI$100,BY_RESCOM!$AX$2:$AX$100,RESCOM!$B3),"")</f>
        <v>4.4976307123925797E-3</v>
      </c>
      <c r="AB3" s="3">
        <f>IFERROR(SUMIFS(BY_RESCOM!AJ$2:AJ$100,BY_RESCOM!$AX$2:$AX$100,RESCOM!$B3,BY_RESCOM!$AY$2:$AY$100,RESCOM!$C3)/SUMIFS(BY_RESCOM!AJ$2:AJ$100,BY_RESCOM!$AX$2:$AX$100,RESCOM!$B3),"")</f>
        <v>3.7845548573305998E-4</v>
      </c>
      <c r="AC3" s="3">
        <f>IFERROR(SUMIFS(BY_RESCOM!AK$2:AK$100,BY_RESCOM!$AX$2:$AX$100,RESCOM!$B3,BY_RESCOM!$AY$2:$AY$100,RESCOM!$C3)/SUMIFS(BY_RESCOM!AK$2:AK$100,BY_RESCOM!$AX$2:$AX$100,RESCOM!$B3),"")</f>
        <v>1.3209457971907887E-4</v>
      </c>
      <c r="AD3" s="3">
        <f>IFERROR(SUMIFS(BY_RESCOM!AL$2:AL$100,BY_RESCOM!$AX$2:$AX$100,RESCOM!$B3,BY_RESCOM!$AY$2:$AY$100,RESCOM!$C3)/SUMIFS(BY_RESCOM!AL$2:AL$100,BY_RESCOM!$AX$2:$AX$100,RESCOM!$B3),"")</f>
        <v>0.64573609183802194</v>
      </c>
      <c r="AE3" s="3">
        <f>IFERROR(SUMIFS(BY_RESCOM!AM$2:AM$100,BY_RESCOM!$AX$2:$AX$100,RESCOM!$B3,BY_RESCOM!$AY$2:$AY$100,RESCOM!$C3)/SUMIFS(BY_RESCOM!AM$2:AM$100,BY_RESCOM!$AX$2:$AX$100,RESCOM!$B3),"")</f>
        <v>1.5769407349741503E-3</v>
      </c>
      <c r="AF3" s="3">
        <f>IFERROR(SUMIFS(BY_RESCOM!AN$2:AN$100,BY_RESCOM!$AX$2:$AX$100,RESCOM!$B3,BY_RESCOM!$AY$2:$AY$100,RESCOM!$C3)/SUMIFS(BY_RESCOM!AN$2:AN$100,BY_RESCOM!$AX$2:$AX$100,RESCOM!$B3),"")</f>
        <v>0</v>
      </c>
      <c r="AG3" s="3" t="str">
        <f>IFERROR(SUMIFS(BY_RESCOM!AO$2:AO$100,BY_RESCOM!$AX$2:$AX$100,RESCOM!$B3,BY_RESCOM!$AY$2:$AY$100,RESCOM!$C3)/SUMIFS(BY_RESCOM!AO$2:AO$100,BY_RESCOM!$AX$2:$AX$100,RESCOM!$B3),"")</f>
        <v/>
      </c>
      <c r="AH3" s="3" t="str">
        <f>IFERROR(SUMIFS(BY_RESCOM!AP$2:AP$100,BY_RESCOM!$AX$2:$AX$100,RESCOM!$B3,BY_RESCOM!$AY$2:$AY$100,RESCOM!$C3)/SUMIFS(BY_RESCOM!AP$2:AP$100,BY_RESCOM!$AX$2:$AX$100,RESCOM!$B3),"")</f>
        <v/>
      </c>
      <c r="AJ3" t="s">
        <v>3</v>
      </c>
      <c r="AK3" t="s">
        <v>0</v>
      </c>
      <c r="AL3" t="s">
        <v>4</v>
      </c>
      <c r="AM3" t="s">
        <v>1</v>
      </c>
      <c r="AN3" t="s">
        <v>52</v>
      </c>
      <c r="AR3" t="s">
        <v>41</v>
      </c>
      <c r="AS3" t="s">
        <v>120</v>
      </c>
      <c r="AU3" s="3">
        <f>SUMIFS(BY_RESCOM!L$2:L$100,BY_RESCOM!$AX$2:$AX$100,RESCOM!$AR3,BY_RESCOM!$AY$2:$AY$100,RESCOM!$AS3)/SUMIFS(BY_RESCOM!L$2:L$100,BY_RESCOM!$AX$2:$AX$100,RESCOM!$AR3)</f>
        <v>0.30105438401775803</v>
      </c>
      <c r="AV3" s="3">
        <f>SUMIFS(BY_RESCOM!M$2:M$100,BY_RESCOM!$AX$2:$AX$100,RESCOM!$AR3,BY_RESCOM!$AY$2:$AY$100,RESCOM!$AS3)/SUMIFS(BY_RESCOM!M$2:M$100,BY_RESCOM!$AX$2:$AX$100,RESCOM!$AR3)</f>
        <v>0</v>
      </c>
      <c r="AW3" s="3">
        <f>SUMIFS(BY_RESCOM!N$2:N$100,BY_RESCOM!$AX$2:$AX$100,RESCOM!$AR3,BY_RESCOM!$AY$2:$AY$100,RESCOM!$AS3)/SUMIFS(BY_RESCOM!N$2:N$100,BY_RESCOM!$AX$2:$AX$100,RESCOM!$AR3)</f>
        <v>0.54084961852496316</v>
      </c>
      <c r="AX3" s="3">
        <f>SUMIFS(BY_RESCOM!O$2:O$100,BY_RESCOM!$AX$2:$AX$100,RESCOM!$AR3,BY_RESCOM!$AY$2:$AY$100,RESCOM!$AS3)/SUMIFS(BY_RESCOM!O$2:O$100,BY_RESCOM!$AX$2:$AX$100,RESCOM!$AR3)</f>
        <v>0.5911714987401524</v>
      </c>
      <c r="AY3" s="3">
        <f>SUMIFS(BY_RESCOM!P$2:P$100,BY_RESCOM!$AX$2:$AX$100,RESCOM!$AR3,BY_RESCOM!$AY$2:$AY$100,RESCOM!$AS3)/SUMIFS(BY_RESCOM!P$2:P$100,BY_RESCOM!$AX$2:$AX$100,RESCOM!$AR3)</f>
        <v>0.45181388361097607</v>
      </c>
      <c r="AZ3" s="3">
        <f>SUMIFS(BY_RESCOM!Q$2:Q$100,BY_RESCOM!$AX$2:$AX$100,RESCOM!$AR3,BY_RESCOM!$AY$2:$AY$100,RESCOM!$AS3)/SUMIFS(BY_RESCOM!Q$2:Q$100,BY_RESCOM!$AX$2:$AX$100,RESCOM!$AR3)</f>
        <v>0.17544063103934135</v>
      </c>
      <c r="BA3" s="3">
        <f>SUMIFS(BY_RESCOM!R$2:R$100,BY_RESCOM!$AX$2:$AX$100,RESCOM!$AR3,BY_RESCOM!$AY$2:$AY$100,RESCOM!$AS3)/SUMIFS(BY_RESCOM!R$2:R$100,BY_RESCOM!$AX$2:$AX$100,RESCOM!$AR3)</f>
        <v>0.22388663967611336</v>
      </c>
      <c r="BB3" s="3">
        <f>SUMIFS(BY_RESCOM!S$2:S$100,BY_RESCOM!$AX$2:$AX$100,RESCOM!$AR3,BY_RESCOM!$AY$2:$AY$100,RESCOM!$AS3)/SUMIFS(BY_RESCOM!S$2:S$100,BY_RESCOM!$AX$2:$AX$100,RESCOM!$AR3)</f>
        <v>1.7461618898236612E-2</v>
      </c>
      <c r="BC3" s="3">
        <f>SUMIFS(BY_RESCOM!T$2:T$100,BY_RESCOM!$AX$2:$AX$100,RESCOM!$AR3,BY_RESCOM!$AY$2:$AY$100,RESCOM!$AS3)/SUMIFS(BY_RESCOM!T$2:T$100,BY_RESCOM!$AX$2:$AX$100,RESCOM!$AR3)</f>
        <v>0.12819901987476176</v>
      </c>
      <c r="BD3" s="3">
        <f>SUMIFS(BY_RESCOM!U$2:U$100,BY_RESCOM!$AX$2:$AX$100,RESCOM!$AR3,BY_RESCOM!$AY$2:$AY$100,RESCOM!$AS3)/SUMIFS(BY_RESCOM!U$2:U$100,BY_RESCOM!$AX$2:$AX$100,RESCOM!$AR3)</f>
        <v>0.38076154827824693</v>
      </c>
      <c r="BE3" s="3">
        <f>SUMIFS(BY_RESCOM!V$2:V$100,BY_RESCOM!$AX$2:$AX$100,RESCOM!$AR3,BY_RESCOM!$AY$2:$AY$100,RESCOM!$AS3)/SUMIFS(BY_RESCOM!V$2:V$100,BY_RESCOM!$AX$2:$AX$100,RESCOM!$AR3)</f>
        <v>2.1060364883066E-2</v>
      </c>
      <c r="BF3" s="3">
        <f>SUMIFS(BY_RESCOM!W$2:W$100,BY_RESCOM!$AX$2:$AX$100,RESCOM!$AR3,BY_RESCOM!$AY$2:$AY$100,RESCOM!$AS3)/SUMIFS(BY_RESCOM!W$2:W$100,BY_RESCOM!$AX$2:$AX$100,RESCOM!$AR3)</f>
        <v>0.31514485002787029</v>
      </c>
      <c r="BG3" s="3">
        <f>SUMIFS(BY_RESCOM!X$2:X$100,BY_RESCOM!$AX$2:$AX$100,RESCOM!$AR3,BY_RESCOM!$AY$2:$AY$100,RESCOM!$AS3)/SUMIFS(BY_RESCOM!X$2:X$100,BY_RESCOM!$AX$2:$AX$100,RESCOM!$AR3)</f>
        <v>0.30904668133904784</v>
      </c>
      <c r="BH3" s="3">
        <f>SUMIFS(BY_RESCOM!Y$2:Y$100,BY_RESCOM!$AX$2:$AX$100,RESCOM!$AR3,BY_RESCOM!$AY$2:$AY$100,RESCOM!$AS3)/SUMIFS(BY_RESCOM!Y$2:Y$100,BY_RESCOM!$AX$2:$AX$100,RESCOM!$AR3)</f>
        <v>0.29959572974412357</v>
      </c>
      <c r="BI3" s="3">
        <f>SUMIFS(BY_RESCOM!Z$2:Z$100,BY_RESCOM!$AX$2:$AX$100,RESCOM!$AR3,BY_RESCOM!$AY$2:$AY$100,RESCOM!$AS3)/SUMIFS(BY_RESCOM!Z$2:Z$100,BY_RESCOM!$AX$2:$AX$100,RESCOM!$AR3)</f>
        <v>0.41262484136180549</v>
      </c>
      <c r="BJ3" s="3">
        <f>SUMIFS(BY_RESCOM!AA$2:AA$100,BY_RESCOM!$AX$2:$AX$100,RESCOM!$AR3,BY_RESCOM!$AY$2:$AY$100,RESCOM!$AS3)/SUMIFS(BY_RESCOM!AA$2:AA$100,BY_RESCOM!$AX$2:$AX$100,RESCOM!$AR3)</f>
        <v>9.0236210336615816E-2</v>
      </c>
      <c r="BK3" s="3">
        <f>SUMIFS(BY_RESCOM!AB$2:AB$100,BY_RESCOM!$AX$2:$AX$100,RESCOM!$AR3,BY_RESCOM!$AY$2:$AY$100,RESCOM!$AS3)/SUMIFS(BY_RESCOM!AB$2:AB$100,BY_RESCOM!$AX$2:$AX$100,RESCOM!$AR3)</f>
        <v>0.61425321411565525</v>
      </c>
      <c r="BL3" s="3">
        <f>SUMIFS(BY_RESCOM!AC$2:AC$100,BY_RESCOM!$AX$2:$AX$100,RESCOM!$AR3,BY_RESCOM!$AY$2:$AY$100,RESCOM!$AS3)/SUMIFS(BY_RESCOM!AC$2:AC$100,BY_RESCOM!$AX$2:$AX$100,RESCOM!$AR3)</f>
        <v>0.14069778967191993</v>
      </c>
      <c r="BM3" s="3">
        <f>SUMIFS(BY_RESCOM!AD$2:AD$100,BY_RESCOM!$AX$2:$AX$100,RESCOM!$AR3,BY_RESCOM!$AY$2:$AY$100,RESCOM!$AS3)/SUMIFS(BY_RESCOM!AD$2:AD$100,BY_RESCOM!$AX$2:$AX$100,RESCOM!$AR3)</f>
        <v>0.26569413824913612</v>
      </c>
      <c r="BN3" s="3">
        <f>SUMIFS(BY_RESCOM!AE$2:AE$100,BY_RESCOM!$AX$2:$AX$100,RESCOM!$AR3,BY_RESCOM!$AY$2:$AY$100,RESCOM!$AS3)/SUMIFS(BY_RESCOM!AE$2:AE$100,BY_RESCOM!$AX$2:$AX$100,RESCOM!$AR3)</f>
        <v>5.7455344148512081E-3</v>
      </c>
      <c r="BO3" s="3">
        <f>SUMIFS(BY_RESCOM!AF$2:AF$100,BY_RESCOM!$AX$2:$AX$100,RESCOM!$AR3,BY_RESCOM!$AY$2:$AY$100,RESCOM!$AS3)/SUMIFS(BY_RESCOM!AF$2:AF$100,BY_RESCOM!$AX$2:$AX$100,RESCOM!$AR3)</f>
        <v>6.150312897658932E-2</v>
      </c>
      <c r="BP3" s="3">
        <f>SUMIFS(BY_RESCOM!AG$2:AG$100,BY_RESCOM!$AX$2:$AX$100,RESCOM!$AR3,BY_RESCOM!$AY$2:$AY$100,RESCOM!$AS3)/SUMIFS(BY_RESCOM!AG$2:AG$100,BY_RESCOM!$AX$2:$AX$100,RESCOM!$AR3)</f>
        <v>5.1364884509772245E-2</v>
      </c>
      <c r="BQ3" s="3">
        <f>SUMIFS(BY_RESCOM!AH$2:AH$100,BY_RESCOM!$AX$2:$AX$100,RESCOM!$AR3,BY_RESCOM!$AY$2:$AY$100,RESCOM!$AS3)/SUMIFS(BY_RESCOM!AH$2:AH$100,BY_RESCOM!$AX$2:$AX$100,RESCOM!$AR3)</f>
        <v>0.40892621486894198</v>
      </c>
      <c r="BR3" s="3">
        <f>SUMIFS(BY_RESCOM!AI$2:AI$100,BY_RESCOM!$AX$2:$AX$100,RESCOM!$AR3,BY_RESCOM!$AY$2:$AY$100,RESCOM!$AS3)/SUMIFS(BY_RESCOM!AI$2:AI$100,BY_RESCOM!$AX$2:$AX$100,RESCOM!$AR3)</f>
        <v>8.0314834149867496E-5</v>
      </c>
      <c r="BS3" s="3">
        <f>SUMIFS(BY_RESCOM!AJ$2:AJ$100,BY_RESCOM!$AX$2:$AX$100,RESCOM!$AR3,BY_RESCOM!$AY$2:$AY$100,RESCOM!$AS3)/SUMIFS(BY_RESCOM!AJ$2:AJ$100,BY_RESCOM!$AX$2:$AX$100,RESCOM!$AR3)</f>
        <v>0.68045880449655016</v>
      </c>
      <c r="BT3" s="3">
        <f>SUMIFS(BY_RESCOM!AK$2:AK$100,BY_RESCOM!$AX$2:$AX$100,RESCOM!$AR3,BY_RESCOM!$AY$2:$AY$100,RESCOM!$AS3)/SUMIFS(BY_RESCOM!AK$2:AK$100,BY_RESCOM!$AX$2:$AX$100,RESCOM!$AR3)</f>
        <v>0</v>
      </c>
      <c r="BU3" s="3">
        <f>SUMIFS(BY_RESCOM!AL$2:AL$100,BY_RESCOM!$AX$2:$AX$100,RESCOM!$AR3,BY_RESCOM!$AY$2:$AY$100,RESCOM!$AS3)/SUMIFS(BY_RESCOM!AL$2:AL$100,BY_RESCOM!$AX$2:$AX$100,RESCOM!$AR3)</f>
        <v>1.135360161473445E-3</v>
      </c>
      <c r="BV3" s="3">
        <f>SUMIFS(BY_RESCOM!AM$2:AM$100,BY_RESCOM!$AX$2:$AX$100,RESCOM!$AR3,BY_RESCOM!$AY$2:$AY$100,RESCOM!$AS3)/SUMIFS(BY_RESCOM!AM$2:AM$100,BY_RESCOM!$AX$2:$AX$100,RESCOM!$AR3)</f>
        <v>0.34143761103459291</v>
      </c>
      <c r="BW3" s="3">
        <f>SUMIFS(BY_RESCOM!AN$2:AN$100,BY_RESCOM!$AX$2:$AX$100,RESCOM!$AR3,BY_RESCOM!$AY$2:$AY$100,RESCOM!$AS3)/SUMIFS(BY_RESCOM!AN$2:AN$100,BY_RESCOM!$AX$2:$AX$100,RESCOM!$AR3)</f>
        <v>0.38719992942759163</v>
      </c>
      <c r="BX3" s="3" t="e">
        <f>SUMIFS(BY_RESCOM!AO$2:AO$100,BY_RESCOM!$AX$2:$AX$100,RESCOM!$AR3,BY_RESCOM!$AY$2:$AY$100,RESCOM!$AS3)/SUMIFS(BY_RESCOM!AO$2:AO$100,BY_RESCOM!$AX$2:$AX$100,RESCOM!$AR3)</f>
        <v>#DIV/0!</v>
      </c>
    </row>
    <row r="4" spans="2:82">
      <c r="B4" t="s">
        <v>43</v>
      </c>
      <c r="C4" t="s">
        <v>42</v>
      </c>
      <c r="D4" s="3">
        <f>IFERROR(SUMIFS(BY_RESCOM!L$2:L$100,BY_RESCOM!$AX$2:$AX$100,RESCOM!$B4,BY_RESCOM!$AY$2:$AY$100,RESCOM!$C4)/SUMIFS(BY_RESCOM!L$2:L$100,BY_RESCOM!$AX$2:$AX$100,RESCOM!$B4),"")</f>
        <v>0.15766553035903674</v>
      </c>
      <c r="E4" s="3">
        <f>IFERROR(SUMIFS(BY_RESCOM!M$2:M$100,BY_RESCOM!$AX$2:$AX$100,RESCOM!$B4,BY_RESCOM!$AY$2:$AY$100,RESCOM!$C4)/SUMIFS(BY_RESCOM!M$2:M$100,BY_RESCOM!$AX$2:$AX$100,RESCOM!$B4),"")</f>
        <v>0.76449968360771037</v>
      </c>
      <c r="F4" s="3">
        <f>IFERROR(SUMIFS(BY_RESCOM!N$2:N$100,BY_RESCOM!$AX$2:$AX$100,RESCOM!$B4,BY_RESCOM!$AY$2:$AY$100,RESCOM!$C4)/SUMIFS(BY_RESCOM!N$2:N$100,BY_RESCOM!$AX$2:$AX$100,RESCOM!$B4),"")</f>
        <v>1.8337901639019622E-2</v>
      </c>
      <c r="G4" s="3">
        <f>IFERROR(SUMIFS(BY_RESCOM!O$2:O$100,BY_RESCOM!$AX$2:$AX$100,RESCOM!$B4,BY_RESCOM!$AY$2:$AY$100,RESCOM!$C4)/SUMIFS(BY_RESCOM!O$2:O$100,BY_RESCOM!$AX$2:$AX$100,RESCOM!$B4),"")</f>
        <v>0</v>
      </c>
      <c r="H4" s="3">
        <f>IFERROR(SUMIFS(BY_RESCOM!P$2:P$100,BY_RESCOM!$AX$2:$AX$100,RESCOM!$B4,BY_RESCOM!$AY$2:$AY$100,RESCOM!$C4)/SUMIFS(BY_RESCOM!P$2:P$100,BY_RESCOM!$AX$2:$AX$100,RESCOM!$B4),"")</f>
        <v>0</v>
      </c>
      <c r="I4" s="3">
        <f>IFERROR(SUMIFS(BY_RESCOM!Q$2:Q$100,BY_RESCOM!$AX$2:$AX$100,RESCOM!$B4,BY_RESCOM!$AY$2:$AY$100,RESCOM!$C4)/SUMIFS(BY_RESCOM!Q$2:Q$100,BY_RESCOM!$AX$2:$AX$100,RESCOM!$B4),"")</f>
        <v>4.7151453431911815E-2</v>
      </c>
      <c r="J4" s="3">
        <f>IFERROR(SUMIFS(BY_RESCOM!R$2:R$100,BY_RESCOM!$AX$2:$AX$100,RESCOM!$B4,BY_RESCOM!$AY$2:$AY$100,RESCOM!$C4)/SUMIFS(BY_RESCOM!R$2:R$100,BY_RESCOM!$AX$2:$AX$100,RESCOM!$B4),"")</f>
        <v>0</v>
      </c>
      <c r="K4" s="3">
        <f>IFERROR(SUMIFS(BY_RESCOM!S$2:S$100,BY_RESCOM!$AX$2:$AX$100,RESCOM!$B4,BY_RESCOM!$AY$2:$AY$100,RESCOM!$C4)/SUMIFS(BY_RESCOM!S$2:S$100,BY_RESCOM!$AX$2:$AX$100,RESCOM!$B4),"")</f>
        <v>2.9864988956844318E-2</v>
      </c>
      <c r="L4" s="3">
        <f>IFERROR(SUMIFS(BY_RESCOM!T$2:T$100,BY_RESCOM!$AX$2:$AX$100,RESCOM!$B4,BY_RESCOM!$AY$2:$AY$100,RESCOM!$C4)/SUMIFS(BY_RESCOM!T$2:T$100,BY_RESCOM!$AX$2:$AX$100,RESCOM!$B4),"")</f>
        <v>0</v>
      </c>
      <c r="M4" s="3">
        <f>IFERROR(SUMIFS(BY_RESCOM!U$2:U$100,BY_RESCOM!$AX$2:$AX$100,RESCOM!$B4,BY_RESCOM!$AY$2:$AY$100,RESCOM!$C4)/SUMIFS(BY_RESCOM!U$2:U$100,BY_RESCOM!$AX$2:$AX$100,RESCOM!$B4),"")</f>
        <v>1.3281376408904163E-5</v>
      </c>
      <c r="N4" s="3">
        <f>IFERROR(SUMIFS(BY_RESCOM!V$2:V$100,BY_RESCOM!$AX$2:$AX$100,RESCOM!$B4,BY_RESCOM!$AY$2:$AY$100,RESCOM!$C4)/SUMIFS(BY_RESCOM!V$2:V$100,BY_RESCOM!$AX$2:$AX$100,RESCOM!$B4),"")</f>
        <v>3.5809515760141866E-2</v>
      </c>
      <c r="O4" s="3">
        <f>IFERROR(SUMIFS(BY_RESCOM!W$2:W$100,BY_RESCOM!$AX$2:$AX$100,RESCOM!$B4,BY_RESCOM!$AY$2:$AY$100,RESCOM!$C4)/SUMIFS(BY_RESCOM!W$2:W$100,BY_RESCOM!$AX$2:$AX$100,RESCOM!$B4),"")</f>
        <v>0</v>
      </c>
      <c r="P4" s="3">
        <f>IFERROR(SUMIFS(BY_RESCOM!X$2:X$100,BY_RESCOM!$AX$2:$AX$100,RESCOM!$B4,BY_RESCOM!$AY$2:$AY$100,RESCOM!$C4)/SUMIFS(BY_RESCOM!X$2:X$100,BY_RESCOM!$AX$2:$AX$100,RESCOM!$B4),"")</f>
        <v>8.5921917048949036E-3</v>
      </c>
      <c r="Q4" s="3">
        <f>IFERROR(SUMIFS(BY_RESCOM!Y$2:Y$100,BY_RESCOM!$AX$2:$AX$100,RESCOM!$B4,BY_RESCOM!$AY$2:$AY$100,RESCOM!$C4)/SUMIFS(BY_RESCOM!Y$2:Y$100,BY_RESCOM!$AX$2:$AX$100,RESCOM!$B4),"")</f>
        <v>2.0400050230344234E-3</v>
      </c>
      <c r="R4" s="3">
        <f>IFERROR(SUMIFS(BY_RESCOM!Z$2:Z$100,BY_RESCOM!$AX$2:$AX$100,RESCOM!$B4,BY_RESCOM!$AY$2:$AY$100,RESCOM!$C4)/SUMIFS(BY_RESCOM!Z$2:Z$100,BY_RESCOM!$AX$2:$AX$100,RESCOM!$B4),"")</f>
        <v>0</v>
      </c>
      <c r="S4" s="3">
        <f>IFERROR(SUMIFS(BY_RESCOM!AA$2:AA$100,BY_RESCOM!$AX$2:$AX$100,RESCOM!$B4,BY_RESCOM!$AY$2:$AY$100,RESCOM!$C4)/SUMIFS(BY_RESCOM!AA$2:AA$100,BY_RESCOM!$AX$2:$AX$100,RESCOM!$B4),"")</f>
        <v>8.4086613049386694E-3</v>
      </c>
      <c r="T4" s="3">
        <f>IFERROR(SUMIFS(BY_RESCOM!AB$2:AB$100,BY_RESCOM!$AX$2:$AX$100,RESCOM!$B4,BY_RESCOM!$AY$2:$AY$100,RESCOM!$C4)/SUMIFS(BY_RESCOM!AB$2:AB$100,BY_RESCOM!$AX$2:$AX$100,RESCOM!$B4),"")</f>
        <v>0</v>
      </c>
      <c r="U4" s="3">
        <f>IFERROR(SUMIFS(BY_RESCOM!AC$2:AC$100,BY_RESCOM!$AX$2:$AX$100,RESCOM!$B4,BY_RESCOM!$AY$2:$AY$100,RESCOM!$C4)/SUMIFS(BY_RESCOM!AC$2:AC$100,BY_RESCOM!$AX$2:$AX$100,RESCOM!$B4),"")</f>
        <v>1.1229190622638321E-2</v>
      </c>
      <c r="V4" s="3">
        <f>IFERROR(SUMIFS(BY_RESCOM!AD$2:AD$100,BY_RESCOM!$AX$2:$AX$100,RESCOM!$B4,BY_RESCOM!$AY$2:$AY$100,RESCOM!$C4)/SUMIFS(BY_RESCOM!AD$2:AD$100,BY_RESCOM!$AX$2:$AX$100,RESCOM!$B4),"")</f>
        <v>3.1304197232540014E-2</v>
      </c>
      <c r="W4" s="3">
        <f>IFERROR(SUMIFS(BY_RESCOM!AE$2:AE$100,BY_RESCOM!$AX$2:$AX$100,RESCOM!$B4,BY_RESCOM!$AY$2:$AY$100,RESCOM!$C4)/SUMIFS(BY_RESCOM!AE$2:AE$100,BY_RESCOM!$AX$2:$AX$100,RESCOM!$B4),"")</f>
        <v>8.4042140340421886E-2</v>
      </c>
      <c r="X4" s="3">
        <f>IFERROR(SUMIFS(BY_RESCOM!AF$2:AF$100,BY_RESCOM!$AX$2:$AX$100,RESCOM!$B4,BY_RESCOM!$AY$2:$AY$100,RESCOM!$C4)/SUMIFS(BY_RESCOM!AF$2:AF$100,BY_RESCOM!$AX$2:$AX$100,RESCOM!$B4),"")</f>
        <v>6.2785740318009972E-2</v>
      </c>
      <c r="Y4" s="3">
        <f>IFERROR(SUMIFS(BY_RESCOM!AG$2:AG$100,BY_RESCOM!$AX$2:$AX$100,RESCOM!$B4,BY_RESCOM!$AY$2:$AY$100,RESCOM!$C4)/SUMIFS(BY_RESCOM!AG$2:AG$100,BY_RESCOM!$AX$2:$AX$100,RESCOM!$B4),"")</f>
        <v>0</v>
      </c>
      <c r="Z4" s="3">
        <f>IFERROR(SUMIFS(BY_RESCOM!AH$2:AH$100,BY_RESCOM!$AX$2:$AX$100,RESCOM!$B4,BY_RESCOM!$AY$2:$AY$100,RESCOM!$C4)/SUMIFS(BY_RESCOM!AH$2:AH$100,BY_RESCOM!$AX$2:$AX$100,RESCOM!$B4),"")</f>
        <v>0</v>
      </c>
      <c r="AA4" s="3">
        <f>IFERROR(SUMIFS(BY_RESCOM!AI$2:AI$100,BY_RESCOM!$AX$2:$AX$100,RESCOM!$B4,BY_RESCOM!$AY$2:$AY$100,RESCOM!$C4)/SUMIFS(BY_RESCOM!AI$2:AI$100,BY_RESCOM!$AX$2:$AX$100,RESCOM!$B4),"")</f>
        <v>1.6979996720903334E-2</v>
      </c>
      <c r="AB4" s="3">
        <f>IFERROR(SUMIFS(BY_RESCOM!AJ$2:AJ$100,BY_RESCOM!$AX$2:$AX$100,RESCOM!$B4,BY_RESCOM!$AY$2:$AY$100,RESCOM!$C4)/SUMIFS(BY_RESCOM!AJ$2:AJ$100,BY_RESCOM!$AX$2:$AX$100,RESCOM!$B4),"")</f>
        <v>0</v>
      </c>
      <c r="AC4" s="3">
        <f>IFERROR(SUMIFS(BY_RESCOM!AK$2:AK$100,BY_RESCOM!$AX$2:$AX$100,RESCOM!$B4,BY_RESCOM!$AY$2:$AY$100,RESCOM!$C4)/SUMIFS(BY_RESCOM!AK$2:AK$100,BY_RESCOM!$AX$2:$AX$100,RESCOM!$B4),"")</f>
        <v>0</v>
      </c>
      <c r="AD4" s="3">
        <f>IFERROR(SUMIFS(BY_RESCOM!AL$2:AL$100,BY_RESCOM!$AX$2:$AX$100,RESCOM!$B4,BY_RESCOM!$AY$2:$AY$100,RESCOM!$C4)/SUMIFS(BY_RESCOM!AL$2:AL$100,BY_RESCOM!$AX$2:$AX$100,RESCOM!$B4),"")</f>
        <v>0</v>
      </c>
      <c r="AE4" s="3">
        <f>IFERROR(SUMIFS(BY_RESCOM!AM$2:AM$100,BY_RESCOM!$AX$2:$AX$100,RESCOM!$B4,BY_RESCOM!$AY$2:$AY$100,RESCOM!$C4)/SUMIFS(BY_RESCOM!AM$2:AM$100,BY_RESCOM!$AX$2:$AX$100,RESCOM!$B4),"")</f>
        <v>5.3382731259075875E-3</v>
      </c>
      <c r="AF4" s="3">
        <f>IFERROR(SUMIFS(BY_RESCOM!AN$2:AN$100,BY_RESCOM!$AX$2:$AX$100,RESCOM!$B4,BY_RESCOM!$AY$2:$AY$100,RESCOM!$C4)/SUMIFS(BY_RESCOM!AN$2:AN$100,BY_RESCOM!$AX$2:$AX$100,RESCOM!$B4),"")</f>
        <v>0</v>
      </c>
      <c r="AG4" s="3" t="str">
        <f>IFERROR(SUMIFS(BY_RESCOM!AO$2:AO$100,BY_RESCOM!$AX$2:$AX$100,RESCOM!$B4,BY_RESCOM!$AY$2:$AY$100,RESCOM!$C4)/SUMIFS(BY_RESCOM!AO$2:AO$100,BY_RESCOM!$AX$2:$AX$100,RESCOM!$B4),"")</f>
        <v/>
      </c>
      <c r="AH4" s="3" t="str">
        <f>IFERROR(SUMIFS(BY_RESCOM!AP$2:AP$100,BY_RESCOM!$AX$2:$AX$100,RESCOM!$B4,BY_RESCOM!$AY$2:$AY$100,RESCOM!$C4)/SUMIFS(BY_RESCOM!AP$2:AP$100,BY_RESCOM!$AX$2:$AX$100,RESCOM!$B4),"")</f>
        <v/>
      </c>
      <c r="AK4" t="s">
        <v>5</v>
      </c>
      <c r="AL4" t="s">
        <v>105</v>
      </c>
      <c r="AM4" t="s">
        <v>2</v>
      </c>
      <c r="AN4">
        <v>2019</v>
      </c>
      <c r="AR4" t="s">
        <v>43</v>
      </c>
      <c r="AS4" t="s">
        <v>120</v>
      </c>
      <c r="AU4" s="3">
        <f>SUMIFS(BY_RESCOM!L$2:L$100,BY_RESCOM!$AX$2:$AX$100,RESCOM!$AR4,BY_RESCOM!$AY$2:$AY$100,RESCOM!$AS4)/SUMIFS(BY_RESCOM!L$2:L$100,BY_RESCOM!$AX$2:$AX$100,RESCOM!$AR4)</f>
        <v>0.3829790463449681</v>
      </c>
      <c r="AV4" s="3">
        <f>SUMIFS(BY_RESCOM!M$2:M$100,BY_RESCOM!$AX$2:$AX$100,RESCOM!$AR4,BY_RESCOM!$AY$2:$AY$100,RESCOM!$AS4)/SUMIFS(BY_RESCOM!M$2:M$100,BY_RESCOM!$AX$2:$AX$100,RESCOM!$AR4)</f>
        <v>5.1223265208180961E-4</v>
      </c>
      <c r="AW4" s="3">
        <f>SUMIFS(BY_RESCOM!N$2:N$100,BY_RESCOM!$AX$2:$AX$100,RESCOM!$AR4,BY_RESCOM!$AY$2:$AY$100,RESCOM!$AS4)/SUMIFS(BY_RESCOM!N$2:N$100,BY_RESCOM!$AX$2:$AX$100,RESCOM!$AR4)</f>
        <v>0.55327571146679411</v>
      </c>
      <c r="AX4" s="3">
        <f>SUMIFS(BY_RESCOM!O$2:O$100,BY_RESCOM!$AX$2:$AX$100,RESCOM!$AR4,BY_RESCOM!$AY$2:$AY$100,RESCOM!$AS4)/SUMIFS(BY_RESCOM!O$2:O$100,BY_RESCOM!$AX$2:$AX$100,RESCOM!$AR4)</f>
        <v>0.95063443136448222</v>
      </c>
      <c r="AY4" s="3">
        <f>SUMIFS(BY_RESCOM!P$2:P$100,BY_RESCOM!$AX$2:$AX$100,RESCOM!$AR4,BY_RESCOM!$AY$2:$AY$100,RESCOM!$AS4)/SUMIFS(BY_RESCOM!P$2:P$100,BY_RESCOM!$AX$2:$AX$100,RESCOM!$AR4)</f>
        <v>0.99835962647253407</v>
      </c>
      <c r="AZ4" s="3">
        <f>SUMIFS(BY_RESCOM!Q$2:Q$100,BY_RESCOM!$AX$2:$AX$100,RESCOM!$AR4,BY_RESCOM!$AY$2:$AY$100,RESCOM!$AS4)/SUMIFS(BY_RESCOM!Q$2:Q$100,BY_RESCOM!$AX$2:$AX$100,RESCOM!$AR4)</f>
        <v>0.15160695992223669</v>
      </c>
      <c r="BA4" s="3">
        <f>SUMIFS(BY_RESCOM!R$2:R$100,BY_RESCOM!$AX$2:$AX$100,RESCOM!$AR4,BY_RESCOM!$AY$2:$AY$100,RESCOM!$AS4)/SUMIFS(BY_RESCOM!R$2:R$100,BY_RESCOM!$AX$2:$AX$100,RESCOM!$AR4)</f>
        <v>0.24135765311363966</v>
      </c>
      <c r="BB4" s="3">
        <f>SUMIFS(BY_RESCOM!S$2:S$100,BY_RESCOM!$AX$2:$AX$100,RESCOM!$AR4,BY_RESCOM!$AY$2:$AY$100,RESCOM!$AS4)/SUMIFS(BY_RESCOM!S$2:S$100,BY_RESCOM!$AX$2:$AX$100,RESCOM!$AR4)</f>
        <v>9.7663013051028494E-2</v>
      </c>
      <c r="BC4" s="3">
        <f>SUMIFS(BY_RESCOM!T$2:T$100,BY_RESCOM!$AX$2:$AX$100,RESCOM!$AR4,BY_RESCOM!$AY$2:$AY$100,RESCOM!$AS4)/SUMIFS(BY_RESCOM!T$2:T$100,BY_RESCOM!$AX$2:$AX$100,RESCOM!$AR4)</f>
        <v>0.47748675274956259</v>
      </c>
      <c r="BD4" s="3">
        <f>SUMIFS(BY_RESCOM!U$2:U$100,BY_RESCOM!$AX$2:$AX$100,RESCOM!$AR4,BY_RESCOM!$AY$2:$AY$100,RESCOM!$AS4)/SUMIFS(BY_RESCOM!U$2:U$100,BY_RESCOM!$AX$2:$AX$100,RESCOM!$AR4)</f>
        <v>0.40738672844431578</v>
      </c>
      <c r="BE4" s="3">
        <f>SUMIFS(BY_RESCOM!V$2:V$100,BY_RESCOM!$AX$2:$AX$100,RESCOM!$AR4,BY_RESCOM!$AY$2:$AY$100,RESCOM!$AS4)/SUMIFS(BY_RESCOM!V$2:V$100,BY_RESCOM!$AX$2:$AX$100,RESCOM!$AR4)</f>
        <v>0.20895092301948454</v>
      </c>
      <c r="BF4" s="3">
        <f>SUMIFS(BY_RESCOM!W$2:W$100,BY_RESCOM!$AX$2:$AX$100,RESCOM!$AR4,BY_RESCOM!$AY$2:$AY$100,RESCOM!$AS4)/SUMIFS(BY_RESCOM!W$2:W$100,BY_RESCOM!$AX$2:$AX$100,RESCOM!$AR4)</f>
        <v>0.68666106305909547</v>
      </c>
      <c r="BG4" s="3">
        <f>SUMIFS(BY_RESCOM!X$2:X$100,BY_RESCOM!$AX$2:$AX$100,RESCOM!$AR4,BY_RESCOM!$AY$2:$AY$100,RESCOM!$AS4)/SUMIFS(BY_RESCOM!X$2:X$100,BY_RESCOM!$AX$2:$AX$100,RESCOM!$AR4)</f>
        <v>0.68998267281584535</v>
      </c>
      <c r="BH4" s="3">
        <f>SUMIFS(BY_RESCOM!Y$2:Y$100,BY_RESCOM!$AX$2:$AX$100,RESCOM!$AR4,BY_RESCOM!$AY$2:$AY$100,RESCOM!$AS4)/SUMIFS(BY_RESCOM!Y$2:Y$100,BY_RESCOM!$AX$2:$AX$100,RESCOM!$AR4)</f>
        <v>0.65842206962323158</v>
      </c>
      <c r="BI4" s="3">
        <f>SUMIFS(BY_RESCOM!Z$2:Z$100,BY_RESCOM!$AX$2:$AX$100,RESCOM!$AR4,BY_RESCOM!$AY$2:$AY$100,RESCOM!$AS4)/SUMIFS(BY_RESCOM!Z$2:Z$100,BY_RESCOM!$AX$2:$AX$100,RESCOM!$AR4)</f>
        <v>0.77517079076680107</v>
      </c>
      <c r="BJ4" s="3">
        <f>SUMIFS(BY_RESCOM!AA$2:AA$100,BY_RESCOM!$AX$2:$AX$100,RESCOM!$AR4,BY_RESCOM!$AY$2:$AY$100,RESCOM!$AS4)/SUMIFS(BY_RESCOM!AA$2:AA$100,BY_RESCOM!$AX$2:$AX$100,RESCOM!$AR4)</f>
        <v>0.45231065536008513</v>
      </c>
      <c r="BK4" s="3">
        <f>SUMIFS(BY_RESCOM!AB$2:AB$100,BY_RESCOM!$AX$2:$AX$100,RESCOM!$AR4,BY_RESCOM!$AY$2:$AY$100,RESCOM!$AS4)/SUMIFS(BY_RESCOM!AB$2:AB$100,BY_RESCOM!$AX$2:$AX$100,RESCOM!$AR4)</f>
        <v>0.71997294924641453</v>
      </c>
      <c r="BL4" s="3">
        <f>SUMIFS(BY_RESCOM!AC$2:AC$100,BY_RESCOM!$AX$2:$AX$100,RESCOM!$AR4,BY_RESCOM!$AY$2:$AY$100,RESCOM!$AS4)/SUMIFS(BY_RESCOM!AC$2:AC$100,BY_RESCOM!$AX$2:$AX$100,RESCOM!$AR4)</f>
        <v>0.60876750415852299</v>
      </c>
      <c r="BM4" s="3">
        <f>SUMIFS(BY_RESCOM!AD$2:AD$100,BY_RESCOM!$AX$2:$AX$100,RESCOM!$AR4,BY_RESCOM!$AY$2:$AY$100,RESCOM!$AS4)/SUMIFS(BY_RESCOM!AD$2:AD$100,BY_RESCOM!$AX$2:$AX$100,RESCOM!$AR4)</f>
        <v>0.72367759794622399</v>
      </c>
      <c r="BN4" s="3">
        <f>SUMIFS(BY_RESCOM!AE$2:AE$100,BY_RESCOM!$AX$2:$AX$100,RESCOM!$AR4,BY_RESCOM!$AY$2:$AY$100,RESCOM!$AS4)/SUMIFS(BY_RESCOM!AE$2:AE$100,BY_RESCOM!$AX$2:$AX$100,RESCOM!$AR4)</f>
        <v>0.27320030429331699</v>
      </c>
      <c r="BO4" s="3">
        <f>SUMIFS(BY_RESCOM!AF$2:AF$100,BY_RESCOM!$AX$2:$AX$100,RESCOM!$AR4,BY_RESCOM!$AY$2:$AY$100,RESCOM!$AS4)/SUMIFS(BY_RESCOM!AF$2:AF$100,BY_RESCOM!$AX$2:$AX$100,RESCOM!$AR4)</f>
        <v>0.33278783178818916</v>
      </c>
      <c r="BP4" s="3">
        <f>SUMIFS(BY_RESCOM!AG$2:AG$100,BY_RESCOM!$AX$2:$AX$100,RESCOM!$AR4,BY_RESCOM!$AY$2:$AY$100,RESCOM!$AS4)/SUMIFS(BY_RESCOM!AG$2:AG$100,BY_RESCOM!$AX$2:$AX$100,RESCOM!$AR4)</f>
        <v>0.10669076907992434</v>
      </c>
      <c r="BQ4" s="3">
        <f>SUMIFS(BY_RESCOM!AH$2:AH$100,BY_RESCOM!$AX$2:$AX$100,RESCOM!$AR4,BY_RESCOM!$AY$2:$AY$100,RESCOM!$AS4)/SUMIFS(BY_RESCOM!AH$2:AH$100,BY_RESCOM!$AX$2:$AX$100,RESCOM!$AR4)</f>
        <v>0.88807900498960457</v>
      </c>
      <c r="BR4" s="3">
        <f>SUMIFS(BY_RESCOM!AI$2:AI$100,BY_RESCOM!$AX$2:$AX$100,RESCOM!$AR4,BY_RESCOM!$AY$2:$AY$100,RESCOM!$AS4)/SUMIFS(BY_RESCOM!AI$2:AI$100,BY_RESCOM!$AX$2:$AX$100,RESCOM!$AR4)</f>
        <v>9.1274371774471008E-2</v>
      </c>
      <c r="BS4" s="3">
        <f>SUMIFS(BY_RESCOM!AJ$2:AJ$100,BY_RESCOM!$AX$2:$AX$100,RESCOM!$AR4,BY_RESCOM!$AY$2:$AY$100,RESCOM!$AS4)/SUMIFS(BY_RESCOM!AJ$2:AJ$100,BY_RESCOM!$AX$2:$AX$100,RESCOM!$AR4)</f>
        <v>0.68025218747006244</v>
      </c>
      <c r="BT4" s="3">
        <f>SUMIFS(BY_RESCOM!AK$2:AK$100,BY_RESCOM!$AX$2:$AX$100,RESCOM!$AR4,BY_RESCOM!$AY$2:$AY$100,RESCOM!$AS4)/SUMIFS(BY_RESCOM!AK$2:AK$100,BY_RESCOM!$AX$2:$AX$100,RESCOM!$AR4)</f>
        <v>0</v>
      </c>
      <c r="BU4" s="3">
        <f>SUMIFS(BY_RESCOM!AL$2:AL$100,BY_RESCOM!$AX$2:$AX$100,RESCOM!$AR4,BY_RESCOM!$AY$2:$AY$100,RESCOM!$AS4)/SUMIFS(BY_RESCOM!AL$2:AL$100,BY_RESCOM!$AX$2:$AX$100,RESCOM!$AR4)</f>
        <v>3.9928270396971548E-2</v>
      </c>
      <c r="BV4" s="3">
        <f>SUMIFS(BY_RESCOM!AM$2:AM$100,BY_RESCOM!$AX$2:$AX$100,RESCOM!$AR4,BY_RESCOM!$AY$2:$AY$100,RESCOM!$AS4)/SUMIFS(BY_RESCOM!AM$2:AM$100,BY_RESCOM!$AX$2:$AX$100,RESCOM!$AR4)</f>
        <v>0.56753943144357855</v>
      </c>
      <c r="BW4" s="3">
        <f>SUMIFS(BY_RESCOM!AN$2:AN$100,BY_RESCOM!$AX$2:$AX$100,RESCOM!$AR4,BY_RESCOM!$AY$2:$AY$100,RESCOM!$AS4)/SUMIFS(BY_RESCOM!AN$2:AN$100,BY_RESCOM!$AX$2:$AX$100,RESCOM!$AR4)</f>
        <v>0.83307492142816519</v>
      </c>
      <c r="BX4" s="3" t="e">
        <f>SUMIFS(BY_RESCOM!AO$2:AO$100,BY_RESCOM!$AX$2:$AX$100,RESCOM!$AR4,BY_RESCOM!$AY$2:$AY$100,RESCOM!$AS4)/SUMIFS(BY_RESCOM!AO$2:AO$100,BY_RESCOM!$AX$2:$AX$100,RESCOM!$AR4)</f>
        <v>#DIV/0!</v>
      </c>
    </row>
    <row r="5" spans="2:82">
      <c r="B5" t="s">
        <v>59</v>
      </c>
      <c r="C5" t="s">
        <v>42</v>
      </c>
      <c r="D5" s="3">
        <f>IFERROR(SUMIFS(BY_RESCOM!L$2:L$100,BY_RESCOM!$AX$2:$AX$100,RESCOM!$B5,BY_RESCOM!$AY$2:$AY$100,RESCOM!$C5)/SUMIFS(BY_RESCOM!L$2:L$100,BY_RESCOM!$AX$2:$AX$100,RESCOM!$B5),"")</f>
        <v>1.531738988025151E-2</v>
      </c>
      <c r="E5" s="3">
        <f>IFERROR(SUMIFS(BY_RESCOM!M$2:M$100,BY_RESCOM!$AX$2:$AX$100,RESCOM!$B5,BY_RESCOM!$AY$2:$AY$100,RESCOM!$C5)/SUMIFS(BY_RESCOM!M$2:M$100,BY_RESCOM!$AX$2:$AX$100,RESCOM!$B5),"")</f>
        <v>0.93349454091663697</v>
      </c>
      <c r="F5" s="3">
        <f>IFERROR(SUMIFS(BY_RESCOM!N$2:N$100,BY_RESCOM!$AX$2:$AX$100,RESCOM!$B5,BY_RESCOM!$AY$2:$AY$100,RESCOM!$C5)/SUMIFS(BY_RESCOM!N$2:N$100,BY_RESCOM!$AX$2:$AX$100,RESCOM!$B5),"")</f>
        <v>6.9317265265455225E-3</v>
      </c>
      <c r="G5" s="3">
        <f>IFERROR(SUMIFS(BY_RESCOM!O$2:O$100,BY_RESCOM!$AX$2:$AX$100,RESCOM!$B5,BY_RESCOM!$AY$2:$AY$100,RESCOM!$C5)/SUMIFS(BY_RESCOM!O$2:O$100,BY_RESCOM!$AX$2:$AX$100,RESCOM!$B5),"")</f>
        <v>9.4790157137549934E-4</v>
      </c>
      <c r="H5" s="3">
        <f>IFERROR(SUMIFS(BY_RESCOM!P$2:P$100,BY_RESCOM!$AX$2:$AX$100,RESCOM!$B5,BY_RESCOM!$AY$2:$AY$100,RESCOM!$C5)/SUMIFS(BY_RESCOM!P$2:P$100,BY_RESCOM!$AX$2:$AX$100,RESCOM!$B5),"")</f>
        <v>0</v>
      </c>
      <c r="I5" s="3">
        <f>IFERROR(SUMIFS(BY_RESCOM!Q$2:Q$100,BY_RESCOM!$AX$2:$AX$100,RESCOM!$B5,BY_RESCOM!$AY$2:$AY$100,RESCOM!$C5)/SUMIFS(BY_RESCOM!Q$2:Q$100,BY_RESCOM!$AX$2:$AX$100,RESCOM!$B5),"")</f>
        <v>0</v>
      </c>
      <c r="J5" s="3">
        <f>IFERROR(SUMIFS(BY_RESCOM!R$2:R$100,BY_RESCOM!$AX$2:$AX$100,RESCOM!$B5,BY_RESCOM!$AY$2:$AY$100,RESCOM!$C5)/SUMIFS(BY_RESCOM!R$2:R$100,BY_RESCOM!$AX$2:$AX$100,RESCOM!$B5),"")</f>
        <v>2.8406046999548989E-4</v>
      </c>
      <c r="K5" s="3">
        <f>IFERROR(SUMIFS(BY_RESCOM!S$2:S$100,BY_RESCOM!$AX$2:$AX$100,RESCOM!$B5,BY_RESCOM!$AY$2:$AY$100,RESCOM!$C5)/SUMIFS(BY_RESCOM!S$2:S$100,BY_RESCOM!$AX$2:$AX$100,RESCOM!$B5),"")</f>
        <v>5.446058882848278E-2</v>
      </c>
      <c r="L5" s="3">
        <f>IFERROR(SUMIFS(BY_RESCOM!T$2:T$100,BY_RESCOM!$AX$2:$AX$100,RESCOM!$B5,BY_RESCOM!$AY$2:$AY$100,RESCOM!$C5)/SUMIFS(BY_RESCOM!T$2:T$100,BY_RESCOM!$AX$2:$AX$100,RESCOM!$B5),"")</f>
        <v>2.9631531512649078E-3</v>
      </c>
      <c r="M5" s="3">
        <f>IFERROR(SUMIFS(BY_RESCOM!U$2:U$100,BY_RESCOM!$AX$2:$AX$100,RESCOM!$B5,BY_RESCOM!$AY$2:$AY$100,RESCOM!$C5)/SUMIFS(BY_RESCOM!U$2:U$100,BY_RESCOM!$AX$2:$AX$100,RESCOM!$B5),"")</f>
        <v>3.4114121229175919E-2</v>
      </c>
      <c r="N5" s="3">
        <f>IFERROR(SUMIFS(BY_RESCOM!V$2:V$100,BY_RESCOM!$AX$2:$AX$100,RESCOM!$B5,BY_RESCOM!$AY$2:$AY$100,RESCOM!$C5)/SUMIFS(BY_RESCOM!V$2:V$100,BY_RESCOM!$AX$2:$AX$100,RESCOM!$B5),"")</f>
        <v>1.6315629497206063E-2</v>
      </c>
      <c r="O5" s="3">
        <f>IFERROR(SUMIFS(BY_RESCOM!W$2:W$100,BY_RESCOM!$AX$2:$AX$100,RESCOM!$B5,BY_RESCOM!$AY$2:$AY$100,RESCOM!$C5)/SUMIFS(BY_RESCOM!W$2:W$100,BY_RESCOM!$AX$2:$AX$100,RESCOM!$B5),"")</f>
        <v>1.9704709783250767E-2</v>
      </c>
      <c r="P5" s="3">
        <f>IFERROR(SUMIFS(BY_RESCOM!X$2:X$100,BY_RESCOM!$AX$2:$AX$100,RESCOM!$B5,BY_RESCOM!$AY$2:$AY$100,RESCOM!$C5)/SUMIFS(BY_RESCOM!X$2:X$100,BY_RESCOM!$AX$2:$AX$100,RESCOM!$B5),"")</f>
        <v>4.4284354762413316E-3</v>
      </c>
      <c r="Q5" s="3">
        <f>IFERROR(SUMIFS(BY_RESCOM!Y$2:Y$100,BY_RESCOM!$AX$2:$AX$100,RESCOM!$B5,BY_RESCOM!$AY$2:$AY$100,RESCOM!$C5)/SUMIFS(BY_RESCOM!Y$2:Y$100,BY_RESCOM!$AX$2:$AX$100,RESCOM!$B5),"")</f>
        <v>1.7856483493846265E-2</v>
      </c>
      <c r="R5" s="3">
        <f>IFERROR(SUMIFS(BY_RESCOM!Z$2:Z$100,BY_RESCOM!$AX$2:$AX$100,RESCOM!$B5,BY_RESCOM!$AY$2:$AY$100,RESCOM!$C5)/SUMIFS(BY_RESCOM!Z$2:Z$100,BY_RESCOM!$AX$2:$AX$100,RESCOM!$B5),"")</f>
        <v>2.8243464551608182E-2</v>
      </c>
      <c r="S5" s="3">
        <f>IFERROR(SUMIFS(BY_RESCOM!AA$2:AA$100,BY_RESCOM!$AX$2:$AX$100,RESCOM!$B5,BY_RESCOM!$AY$2:$AY$100,RESCOM!$C5)/SUMIFS(BY_RESCOM!AA$2:AA$100,BY_RESCOM!$AX$2:$AX$100,RESCOM!$B5),"")</f>
        <v>1.4300521873304535E-2</v>
      </c>
      <c r="T5" s="3">
        <f>IFERROR(SUMIFS(BY_RESCOM!AB$2:AB$100,BY_RESCOM!$AX$2:$AX$100,RESCOM!$B5,BY_RESCOM!$AY$2:$AY$100,RESCOM!$C5)/SUMIFS(BY_RESCOM!AB$2:AB$100,BY_RESCOM!$AX$2:$AX$100,RESCOM!$B5),"")</f>
        <v>1.2931515932516466E-2</v>
      </c>
      <c r="U5" s="3">
        <f>IFERROR(SUMIFS(BY_RESCOM!AC$2:AC$100,BY_RESCOM!$AX$2:$AX$100,RESCOM!$B5,BY_RESCOM!$AY$2:$AY$100,RESCOM!$C5)/SUMIFS(BY_RESCOM!AC$2:AC$100,BY_RESCOM!$AX$2:$AX$100,RESCOM!$B5),"")</f>
        <v>1.761398591955864E-2</v>
      </c>
      <c r="V5" s="3">
        <f>IFERROR(SUMIFS(BY_RESCOM!AD$2:AD$100,BY_RESCOM!$AX$2:$AX$100,RESCOM!$B5,BY_RESCOM!$AY$2:$AY$100,RESCOM!$C5)/SUMIFS(BY_RESCOM!AD$2:AD$100,BY_RESCOM!$AX$2:$AX$100,RESCOM!$B5),"")</f>
        <v>9.5313598094197618E-3</v>
      </c>
      <c r="W5" s="3">
        <f>IFERROR(SUMIFS(BY_RESCOM!AE$2:AE$100,BY_RESCOM!$AX$2:$AX$100,RESCOM!$B5,BY_RESCOM!$AY$2:$AY$100,RESCOM!$C5)/SUMIFS(BY_RESCOM!AE$2:AE$100,BY_RESCOM!$AX$2:$AX$100,RESCOM!$B5),"")</f>
        <v>0</v>
      </c>
      <c r="X5" s="3">
        <f>IFERROR(SUMIFS(BY_RESCOM!AF$2:AF$100,BY_RESCOM!$AX$2:$AX$100,RESCOM!$B5,BY_RESCOM!$AY$2:$AY$100,RESCOM!$C5)/SUMIFS(BY_RESCOM!AF$2:AF$100,BY_RESCOM!$AX$2:$AX$100,RESCOM!$B5),"")</f>
        <v>0.10804707077641748</v>
      </c>
      <c r="Y5" s="3">
        <f>IFERROR(SUMIFS(BY_RESCOM!AG$2:AG$100,BY_RESCOM!$AX$2:$AX$100,RESCOM!$B5,BY_RESCOM!$AY$2:$AY$100,RESCOM!$C5)/SUMIFS(BY_RESCOM!AG$2:AG$100,BY_RESCOM!$AX$2:$AX$100,RESCOM!$B5),"")</f>
        <v>0</v>
      </c>
      <c r="Z5" s="3">
        <f>IFERROR(SUMIFS(BY_RESCOM!AH$2:AH$100,BY_RESCOM!$AX$2:$AX$100,RESCOM!$B5,BY_RESCOM!$AY$2:$AY$100,RESCOM!$C5)/SUMIFS(BY_RESCOM!AH$2:AH$100,BY_RESCOM!$AX$2:$AX$100,RESCOM!$B5),"")</f>
        <v>4.7569715519773473E-4</v>
      </c>
      <c r="AA5" s="3">
        <f>IFERROR(SUMIFS(BY_RESCOM!AI$2:AI$100,BY_RESCOM!$AX$2:$AX$100,RESCOM!$B5,BY_RESCOM!$AY$2:$AY$100,RESCOM!$C5)/SUMIFS(BY_RESCOM!AI$2:AI$100,BY_RESCOM!$AX$2:$AX$100,RESCOM!$B5),"")</f>
        <v>1.064295170667127E-2</v>
      </c>
      <c r="AB5" s="3">
        <f>IFERROR(SUMIFS(BY_RESCOM!AJ$2:AJ$100,BY_RESCOM!$AX$2:$AX$100,RESCOM!$B5,BY_RESCOM!$AY$2:$AY$100,RESCOM!$C5)/SUMIFS(BY_RESCOM!AJ$2:AJ$100,BY_RESCOM!$AX$2:$AX$100,RESCOM!$B5),"")</f>
        <v>3.6932750636700521E-4</v>
      </c>
      <c r="AC5" s="3">
        <f>IFERROR(SUMIFS(BY_RESCOM!AK$2:AK$100,BY_RESCOM!$AX$2:$AX$100,RESCOM!$B5,BY_RESCOM!$AY$2:$AY$100,RESCOM!$C5)/SUMIFS(BY_RESCOM!AK$2:AK$100,BY_RESCOM!$AX$2:$AX$100,RESCOM!$B5),"")</f>
        <v>1.2406714664360771E-4</v>
      </c>
      <c r="AD5" s="3">
        <f>IFERROR(SUMIFS(BY_RESCOM!AL$2:AL$100,BY_RESCOM!$AX$2:$AX$100,RESCOM!$B5,BY_RESCOM!$AY$2:$AY$100,RESCOM!$C5)/SUMIFS(BY_RESCOM!AL$2:AL$100,BY_RESCOM!$AX$2:$AX$100,RESCOM!$B5),"")</f>
        <v>9.1924133257667739E-2</v>
      </c>
      <c r="AE5" s="3">
        <f>IFERROR(SUMIFS(BY_RESCOM!AM$2:AM$100,BY_RESCOM!$AX$2:$AX$100,RESCOM!$B5,BY_RESCOM!$AY$2:$AY$100,RESCOM!$C5)/SUMIFS(BY_RESCOM!AM$2:AM$100,BY_RESCOM!$AX$2:$AX$100,RESCOM!$B5),"")</f>
        <v>1.6051442827351361E-3</v>
      </c>
      <c r="AF5" s="3">
        <f>IFERROR(SUMIFS(BY_RESCOM!AN$2:AN$100,BY_RESCOM!$AX$2:$AX$100,RESCOM!$B5,BY_RESCOM!$AY$2:$AY$100,RESCOM!$C5)/SUMIFS(BY_RESCOM!AN$2:AN$100,BY_RESCOM!$AX$2:$AX$100,RESCOM!$B5),"")</f>
        <v>0</v>
      </c>
      <c r="AG5" s="3" t="str">
        <f>IFERROR(SUMIFS(BY_RESCOM!AO$2:AO$100,BY_RESCOM!$AX$2:$AX$100,RESCOM!$B5,BY_RESCOM!$AY$2:$AY$100,RESCOM!$C5)/SUMIFS(BY_RESCOM!AO$2:AO$100,BY_RESCOM!$AX$2:$AX$100,RESCOM!$B5),"")</f>
        <v/>
      </c>
      <c r="AH5" s="3" t="str">
        <f>IFERROR(SUMIFS(BY_RESCOM!AP$2:AP$100,BY_RESCOM!$AX$2:$AX$100,RESCOM!$B5,BY_RESCOM!$AY$2:$AY$100,RESCOM!$C5)/SUMIFS(BY_RESCOM!AP$2:AP$100,BY_RESCOM!$AX$2:$AX$100,RESCOM!$B5),"")</f>
        <v/>
      </c>
    </row>
    <row r="6" spans="2:82">
      <c r="B6" t="s">
        <v>41</v>
      </c>
      <c r="C6" t="s">
        <v>481</v>
      </c>
      <c r="D6" s="3">
        <f>IFERROR(SUMIFS(BY_RESCOM!L$2:L$100,BY_RESCOM!$AX$2:$AX$100,RESCOM!$B6,BY_RESCOM!$AY$2:$AY$100,RESCOM!$C6)/SUMIFS(BY_RESCOM!L$2:L$100,BY_RESCOM!$AX$2:$AX$100,RESCOM!$B6),"")</f>
        <v>0</v>
      </c>
      <c r="E6" s="3">
        <f>IFERROR(SUMIFS(BY_RESCOM!M$2:M$100,BY_RESCOM!$AX$2:$AX$100,RESCOM!$B6,BY_RESCOM!$AY$2:$AY$100,RESCOM!$C6)/SUMIFS(BY_RESCOM!M$2:M$100,BY_RESCOM!$AX$2:$AX$100,RESCOM!$B6),"")</f>
        <v>0</v>
      </c>
      <c r="F6" s="3">
        <f>IFERROR(SUMIFS(BY_RESCOM!N$2:N$100,BY_RESCOM!$AX$2:$AX$100,RESCOM!$B6,BY_RESCOM!$AY$2:$AY$100,RESCOM!$C6)/SUMIFS(BY_RESCOM!N$2:N$100,BY_RESCOM!$AX$2:$AX$100,RESCOM!$B6),"")</f>
        <v>0</v>
      </c>
      <c r="G6" s="3">
        <f>IFERROR(SUMIFS(BY_RESCOM!O$2:O$100,BY_RESCOM!$AX$2:$AX$100,RESCOM!$B6,BY_RESCOM!$AY$2:$AY$100,RESCOM!$C6)/SUMIFS(BY_RESCOM!O$2:O$100,BY_RESCOM!$AX$2:$AX$100,RESCOM!$B6),"")</f>
        <v>0</v>
      </c>
      <c r="H6" s="3">
        <f>IFERROR(SUMIFS(BY_RESCOM!P$2:P$100,BY_RESCOM!$AX$2:$AX$100,RESCOM!$B6,BY_RESCOM!$AY$2:$AY$100,RESCOM!$C6)/SUMIFS(BY_RESCOM!P$2:P$100,BY_RESCOM!$AX$2:$AX$100,RESCOM!$B6),"")</f>
        <v>0</v>
      </c>
      <c r="I6" s="3">
        <f>IFERROR(SUMIFS(BY_RESCOM!Q$2:Q$100,BY_RESCOM!$AX$2:$AX$100,RESCOM!$B6,BY_RESCOM!$AY$2:$AY$100,RESCOM!$C6)/SUMIFS(BY_RESCOM!Q$2:Q$100,BY_RESCOM!$AX$2:$AX$100,RESCOM!$B6),"")</f>
        <v>0</v>
      </c>
      <c r="J6" s="3">
        <f>IFERROR(SUMIFS(BY_RESCOM!R$2:R$100,BY_RESCOM!$AX$2:$AX$100,RESCOM!$B6,BY_RESCOM!$AY$2:$AY$100,RESCOM!$C6)/SUMIFS(BY_RESCOM!R$2:R$100,BY_RESCOM!$AX$2:$AX$100,RESCOM!$B6),"")</f>
        <v>0</v>
      </c>
      <c r="K6" s="3">
        <f>IFERROR(SUMIFS(BY_RESCOM!S$2:S$100,BY_RESCOM!$AX$2:$AX$100,RESCOM!$B6,BY_RESCOM!$AY$2:$AY$100,RESCOM!$C6)/SUMIFS(BY_RESCOM!S$2:S$100,BY_RESCOM!$AX$2:$AX$100,RESCOM!$B6),"")</f>
        <v>0</v>
      </c>
      <c r="L6" s="3">
        <f>IFERROR(SUMIFS(BY_RESCOM!T$2:T$100,BY_RESCOM!$AX$2:$AX$100,RESCOM!$B6,BY_RESCOM!$AY$2:$AY$100,RESCOM!$C6)/SUMIFS(BY_RESCOM!T$2:T$100,BY_RESCOM!$AX$2:$AX$100,RESCOM!$B6),"")</f>
        <v>0</v>
      </c>
      <c r="M6" s="3">
        <f>IFERROR(SUMIFS(BY_RESCOM!U$2:U$100,BY_RESCOM!$AX$2:$AX$100,RESCOM!$B6,BY_RESCOM!$AY$2:$AY$100,RESCOM!$C6)/SUMIFS(BY_RESCOM!U$2:U$100,BY_RESCOM!$AX$2:$AX$100,RESCOM!$B6),"")</f>
        <v>0</v>
      </c>
      <c r="N6" s="3">
        <f>IFERROR(SUMIFS(BY_RESCOM!V$2:V$100,BY_RESCOM!$AX$2:$AX$100,RESCOM!$B6,BY_RESCOM!$AY$2:$AY$100,RESCOM!$C6)/SUMIFS(BY_RESCOM!V$2:V$100,BY_RESCOM!$AX$2:$AX$100,RESCOM!$B6),"")</f>
        <v>0</v>
      </c>
      <c r="O6" s="3">
        <f>IFERROR(SUMIFS(BY_RESCOM!W$2:W$100,BY_RESCOM!$AX$2:$AX$100,RESCOM!$B6,BY_RESCOM!$AY$2:$AY$100,RESCOM!$C6)/SUMIFS(BY_RESCOM!W$2:W$100,BY_RESCOM!$AX$2:$AX$100,RESCOM!$B6),"")</f>
        <v>0</v>
      </c>
      <c r="P6" s="3">
        <f>IFERROR(SUMIFS(BY_RESCOM!X$2:X$100,BY_RESCOM!$AX$2:$AX$100,RESCOM!$B6,BY_RESCOM!$AY$2:$AY$100,RESCOM!$C6)/SUMIFS(BY_RESCOM!X$2:X$100,BY_RESCOM!$AX$2:$AX$100,RESCOM!$B6),"")</f>
        <v>0</v>
      </c>
      <c r="Q6" s="3">
        <f>IFERROR(SUMIFS(BY_RESCOM!Y$2:Y$100,BY_RESCOM!$AX$2:$AX$100,RESCOM!$B6,BY_RESCOM!$AY$2:$AY$100,RESCOM!$C6)/SUMIFS(BY_RESCOM!Y$2:Y$100,BY_RESCOM!$AX$2:$AX$100,RESCOM!$B6),"")</f>
        <v>0</v>
      </c>
      <c r="R6" s="3">
        <f>IFERROR(SUMIFS(BY_RESCOM!Z$2:Z$100,BY_RESCOM!$AX$2:$AX$100,RESCOM!$B6,BY_RESCOM!$AY$2:$AY$100,RESCOM!$C6)/SUMIFS(BY_RESCOM!Z$2:Z$100,BY_RESCOM!$AX$2:$AX$100,RESCOM!$B6),"")</f>
        <v>0</v>
      </c>
      <c r="S6" s="3">
        <f>IFERROR(SUMIFS(BY_RESCOM!AA$2:AA$100,BY_RESCOM!$AX$2:$AX$100,RESCOM!$B6,BY_RESCOM!$AY$2:$AY$100,RESCOM!$C6)/SUMIFS(BY_RESCOM!AA$2:AA$100,BY_RESCOM!$AX$2:$AX$100,RESCOM!$B6),"")</f>
        <v>0</v>
      </c>
      <c r="T6" s="3">
        <f>IFERROR(SUMIFS(BY_RESCOM!AB$2:AB$100,BY_RESCOM!$AX$2:$AX$100,RESCOM!$B6,BY_RESCOM!$AY$2:$AY$100,RESCOM!$C6)/SUMIFS(BY_RESCOM!AB$2:AB$100,BY_RESCOM!$AX$2:$AX$100,RESCOM!$B6),"")</f>
        <v>0</v>
      </c>
      <c r="U6" s="3">
        <f>IFERROR(SUMIFS(BY_RESCOM!AC$2:AC$100,BY_RESCOM!$AX$2:$AX$100,RESCOM!$B6,BY_RESCOM!$AY$2:$AY$100,RESCOM!$C6)/SUMIFS(BY_RESCOM!AC$2:AC$100,BY_RESCOM!$AX$2:$AX$100,RESCOM!$B6),"")</f>
        <v>0</v>
      </c>
      <c r="V6" s="3">
        <f>IFERROR(SUMIFS(BY_RESCOM!AD$2:AD$100,BY_RESCOM!$AX$2:$AX$100,RESCOM!$B6,BY_RESCOM!$AY$2:$AY$100,RESCOM!$C6)/SUMIFS(BY_RESCOM!AD$2:AD$100,BY_RESCOM!$AX$2:$AX$100,RESCOM!$B6),"")</f>
        <v>0</v>
      </c>
      <c r="W6" s="3">
        <f>IFERROR(SUMIFS(BY_RESCOM!AE$2:AE$100,BY_RESCOM!$AX$2:$AX$100,RESCOM!$B6,BY_RESCOM!$AY$2:$AY$100,RESCOM!$C6)/SUMIFS(BY_RESCOM!AE$2:AE$100,BY_RESCOM!$AX$2:$AX$100,RESCOM!$B6),"")</f>
        <v>0</v>
      </c>
      <c r="X6" s="3">
        <f>IFERROR(SUMIFS(BY_RESCOM!AF$2:AF$100,BY_RESCOM!$AX$2:$AX$100,RESCOM!$B6,BY_RESCOM!$AY$2:$AY$100,RESCOM!$C6)/SUMIFS(BY_RESCOM!AF$2:AF$100,BY_RESCOM!$AX$2:$AX$100,RESCOM!$B6),"")</f>
        <v>0</v>
      </c>
      <c r="Y6" s="3">
        <f>IFERROR(SUMIFS(BY_RESCOM!AG$2:AG$100,BY_RESCOM!$AX$2:$AX$100,RESCOM!$B6,BY_RESCOM!$AY$2:$AY$100,RESCOM!$C6)/SUMIFS(BY_RESCOM!AG$2:AG$100,BY_RESCOM!$AX$2:$AX$100,RESCOM!$B6),"")</f>
        <v>0</v>
      </c>
      <c r="Z6" s="3">
        <f>IFERROR(SUMIFS(BY_RESCOM!AH$2:AH$100,BY_RESCOM!$AX$2:$AX$100,RESCOM!$B6,BY_RESCOM!$AY$2:$AY$100,RESCOM!$C6)/SUMIFS(BY_RESCOM!AH$2:AH$100,BY_RESCOM!$AX$2:$AX$100,RESCOM!$B6),"")</f>
        <v>0</v>
      </c>
      <c r="AA6" s="3">
        <f>IFERROR(SUMIFS(BY_RESCOM!AI$2:AI$100,BY_RESCOM!$AX$2:$AX$100,RESCOM!$B6,BY_RESCOM!$AY$2:$AY$100,RESCOM!$C6)/SUMIFS(BY_RESCOM!AI$2:AI$100,BY_RESCOM!$AX$2:$AX$100,RESCOM!$B6),"")</f>
        <v>0</v>
      </c>
      <c r="AB6" s="3">
        <f>IFERROR(SUMIFS(BY_RESCOM!AJ$2:AJ$100,BY_RESCOM!$AX$2:$AX$100,RESCOM!$B6,BY_RESCOM!$AY$2:$AY$100,RESCOM!$C6)/SUMIFS(BY_RESCOM!AJ$2:AJ$100,BY_RESCOM!$AX$2:$AX$100,RESCOM!$B6),"")</f>
        <v>0</v>
      </c>
      <c r="AC6" s="3">
        <f>IFERROR(SUMIFS(BY_RESCOM!AK$2:AK$100,BY_RESCOM!$AX$2:$AX$100,RESCOM!$B6,BY_RESCOM!$AY$2:$AY$100,RESCOM!$C6)/SUMIFS(BY_RESCOM!AK$2:AK$100,BY_RESCOM!$AX$2:$AX$100,RESCOM!$B6),"")</f>
        <v>0</v>
      </c>
      <c r="AD6" s="3">
        <f>IFERROR(SUMIFS(BY_RESCOM!AL$2:AL$100,BY_RESCOM!$AX$2:$AX$100,RESCOM!$B6,BY_RESCOM!$AY$2:$AY$100,RESCOM!$C6)/SUMIFS(BY_RESCOM!AL$2:AL$100,BY_RESCOM!$AX$2:$AX$100,RESCOM!$B6),"")</f>
        <v>0</v>
      </c>
      <c r="AE6" s="3">
        <f>IFERROR(SUMIFS(BY_RESCOM!AM$2:AM$100,BY_RESCOM!$AX$2:$AX$100,RESCOM!$B6,BY_RESCOM!$AY$2:$AY$100,RESCOM!$C6)/SUMIFS(BY_RESCOM!AM$2:AM$100,BY_RESCOM!$AX$2:$AX$100,RESCOM!$B6),"")</f>
        <v>0</v>
      </c>
      <c r="AF6" s="3">
        <f>IFERROR(SUMIFS(BY_RESCOM!AN$2:AN$100,BY_RESCOM!$AX$2:$AX$100,RESCOM!$B6,BY_RESCOM!$AY$2:$AY$100,RESCOM!$C6)/SUMIFS(BY_RESCOM!AN$2:AN$100,BY_RESCOM!$AX$2:$AX$100,RESCOM!$B6),"")</f>
        <v>0</v>
      </c>
      <c r="AG6" s="3" t="str">
        <f>IFERROR(SUMIFS(BY_RESCOM!AO$2:AO$100,BY_RESCOM!$AX$2:$AX$100,RESCOM!$B6,BY_RESCOM!$AY$2:$AY$100,RESCOM!$C6)/SUMIFS(BY_RESCOM!AO$2:AO$100,BY_RESCOM!$AX$2:$AX$100,RESCOM!$B6),"")</f>
        <v/>
      </c>
      <c r="AH6" s="3" t="str">
        <f>IFERROR(SUMIFS(BY_RESCOM!AP$2:AP$100,BY_RESCOM!$AX$2:$AX$100,RESCOM!$B6,BY_RESCOM!$AY$2:$AY$100,RESCOM!$C6)/SUMIFS(BY_RESCOM!AP$2:AP$100,BY_RESCOM!$AX$2:$AX$100,RESCOM!$B6),"")</f>
        <v/>
      </c>
    </row>
    <row r="7" spans="2:82">
      <c r="B7" t="s">
        <v>43</v>
      </c>
      <c r="C7" t="s">
        <v>481</v>
      </c>
      <c r="D7" s="3">
        <f>IFERROR(SUMIFS(BY_RESCOM!L$2:L$100,BY_RESCOM!$AX$2:$AX$100,RESCOM!$B7,BY_RESCOM!$AY$2:$AY$100,RESCOM!$C7)/SUMIFS(BY_RESCOM!L$2:L$100,BY_RESCOM!$AX$2:$AX$100,RESCOM!$B7),"")</f>
        <v>0</v>
      </c>
      <c r="E7" s="3">
        <f>IFERROR(SUMIFS(BY_RESCOM!M$2:M$100,BY_RESCOM!$AX$2:$AX$100,RESCOM!$B7,BY_RESCOM!$AY$2:$AY$100,RESCOM!$C7)/SUMIFS(BY_RESCOM!M$2:M$100,BY_RESCOM!$AX$2:$AX$100,RESCOM!$B7),"")</f>
        <v>0</v>
      </c>
      <c r="F7" s="3">
        <f>IFERROR(SUMIFS(BY_RESCOM!N$2:N$100,BY_RESCOM!$AX$2:$AX$100,RESCOM!$B7,BY_RESCOM!$AY$2:$AY$100,RESCOM!$C7)/SUMIFS(BY_RESCOM!N$2:N$100,BY_RESCOM!$AX$2:$AX$100,RESCOM!$B7),"")</f>
        <v>0</v>
      </c>
      <c r="G7" s="3">
        <f>IFERROR(SUMIFS(BY_RESCOM!O$2:O$100,BY_RESCOM!$AX$2:$AX$100,RESCOM!$B7,BY_RESCOM!$AY$2:$AY$100,RESCOM!$C7)/SUMIFS(BY_RESCOM!O$2:O$100,BY_RESCOM!$AX$2:$AX$100,RESCOM!$B7),"")</f>
        <v>0</v>
      </c>
      <c r="H7" s="3">
        <f>IFERROR(SUMIFS(BY_RESCOM!P$2:P$100,BY_RESCOM!$AX$2:$AX$100,RESCOM!$B7,BY_RESCOM!$AY$2:$AY$100,RESCOM!$C7)/SUMIFS(BY_RESCOM!P$2:P$100,BY_RESCOM!$AX$2:$AX$100,RESCOM!$B7),"")</f>
        <v>0</v>
      </c>
      <c r="I7" s="3">
        <f>IFERROR(SUMIFS(BY_RESCOM!Q$2:Q$100,BY_RESCOM!$AX$2:$AX$100,RESCOM!$B7,BY_RESCOM!$AY$2:$AY$100,RESCOM!$C7)/SUMIFS(BY_RESCOM!Q$2:Q$100,BY_RESCOM!$AX$2:$AX$100,RESCOM!$B7),"")</f>
        <v>0</v>
      </c>
      <c r="J7" s="3">
        <f>IFERROR(SUMIFS(BY_RESCOM!R$2:R$100,BY_RESCOM!$AX$2:$AX$100,RESCOM!$B7,BY_RESCOM!$AY$2:$AY$100,RESCOM!$C7)/SUMIFS(BY_RESCOM!R$2:R$100,BY_RESCOM!$AX$2:$AX$100,RESCOM!$B7),"")</f>
        <v>0</v>
      </c>
      <c r="K7" s="3">
        <f>IFERROR(SUMIFS(BY_RESCOM!S$2:S$100,BY_RESCOM!$AX$2:$AX$100,RESCOM!$B7,BY_RESCOM!$AY$2:$AY$100,RESCOM!$C7)/SUMIFS(BY_RESCOM!S$2:S$100,BY_RESCOM!$AX$2:$AX$100,RESCOM!$B7),"")</f>
        <v>0</v>
      </c>
      <c r="L7" s="3">
        <f>IFERROR(SUMIFS(BY_RESCOM!T$2:T$100,BY_RESCOM!$AX$2:$AX$100,RESCOM!$B7,BY_RESCOM!$AY$2:$AY$100,RESCOM!$C7)/SUMIFS(BY_RESCOM!T$2:T$100,BY_RESCOM!$AX$2:$AX$100,RESCOM!$B7),"")</f>
        <v>0</v>
      </c>
      <c r="M7" s="3">
        <f>IFERROR(SUMIFS(BY_RESCOM!U$2:U$100,BY_RESCOM!$AX$2:$AX$100,RESCOM!$B7,BY_RESCOM!$AY$2:$AY$100,RESCOM!$C7)/SUMIFS(BY_RESCOM!U$2:U$100,BY_RESCOM!$AX$2:$AX$100,RESCOM!$B7),"")</f>
        <v>0</v>
      </c>
      <c r="N7" s="3">
        <f>IFERROR(SUMIFS(BY_RESCOM!V$2:V$100,BY_RESCOM!$AX$2:$AX$100,RESCOM!$B7,BY_RESCOM!$AY$2:$AY$100,RESCOM!$C7)/SUMIFS(BY_RESCOM!V$2:V$100,BY_RESCOM!$AX$2:$AX$100,RESCOM!$B7),"")</f>
        <v>0</v>
      </c>
      <c r="O7" s="3">
        <f>IFERROR(SUMIFS(BY_RESCOM!W$2:W$100,BY_RESCOM!$AX$2:$AX$100,RESCOM!$B7,BY_RESCOM!$AY$2:$AY$100,RESCOM!$C7)/SUMIFS(BY_RESCOM!W$2:W$100,BY_RESCOM!$AX$2:$AX$100,RESCOM!$B7),"")</f>
        <v>0</v>
      </c>
      <c r="P7" s="3">
        <f>IFERROR(SUMIFS(BY_RESCOM!X$2:X$100,BY_RESCOM!$AX$2:$AX$100,RESCOM!$B7,BY_RESCOM!$AY$2:$AY$100,RESCOM!$C7)/SUMIFS(BY_RESCOM!X$2:X$100,BY_RESCOM!$AX$2:$AX$100,RESCOM!$B7),"")</f>
        <v>0</v>
      </c>
      <c r="Q7" s="3">
        <f>IFERROR(SUMIFS(BY_RESCOM!Y$2:Y$100,BY_RESCOM!$AX$2:$AX$100,RESCOM!$B7,BY_RESCOM!$AY$2:$AY$100,RESCOM!$C7)/SUMIFS(BY_RESCOM!Y$2:Y$100,BY_RESCOM!$AX$2:$AX$100,RESCOM!$B7),"")</f>
        <v>0</v>
      </c>
      <c r="R7" s="3">
        <f>IFERROR(SUMIFS(BY_RESCOM!Z$2:Z$100,BY_RESCOM!$AX$2:$AX$100,RESCOM!$B7,BY_RESCOM!$AY$2:$AY$100,RESCOM!$C7)/SUMIFS(BY_RESCOM!Z$2:Z$100,BY_RESCOM!$AX$2:$AX$100,RESCOM!$B7),"")</f>
        <v>0</v>
      </c>
      <c r="S7" s="3">
        <f>IFERROR(SUMIFS(BY_RESCOM!AA$2:AA$100,BY_RESCOM!$AX$2:$AX$100,RESCOM!$B7,BY_RESCOM!$AY$2:$AY$100,RESCOM!$C7)/SUMIFS(BY_RESCOM!AA$2:AA$100,BY_RESCOM!$AX$2:$AX$100,RESCOM!$B7),"")</f>
        <v>0</v>
      </c>
      <c r="T7" s="3">
        <f>IFERROR(SUMIFS(BY_RESCOM!AB$2:AB$100,BY_RESCOM!$AX$2:$AX$100,RESCOM!$B7,BY_RESCOM!$AY$2:$AY$100,RESCOM!$C7)/SUMIFS(BY_RESCOM!AB$2:AB$100,BY_RESCOM!$AX$2:$AX$100,RESCOM!$B7),"")</f>
        <v>0</v>
      </c>
      <c r="U7" s="3">
        <f>IFERROR(SUMIFS(BY_RESCOM!AC$2:AC$100,BY_RESCOM!$AX$2:$AX$100,RESCOM!$B7,BY_RESCOM!$AY$2:$AY$100,RESCOM!$C7)/SUMIFS(BY_RESCOM!AC$2:AC$100,BY_RESCOM!$AX$2:$AX$100,RESCOM!$B7),"")</f>
        <v>0</v>
      </c>
      <c r="V7" s="3">
        <f>IFERROR(SUMIFS(BY_RESCOM!AD$2:AD$100,BY_RESCOM!$AX$2:$AX$100,RESCOM!$B7,BY_RESCOM!$AY$2:$AY$100,RESCOM!$C7)/SUMIFS(BY_RESCOM!AD$2:AD$100,BY_RESCOM!$AX$2:$AX$100,RESCOM!$B7),"")</f>
        <v>0</v>
      </c>
      <c r="W7" s="3">
        <f>IFERROR(SUMIFS(BY_RESCOM!AE$2:AE$100,BY_RESCOM!$AX$2:$AX$100,RESCOM!$B7,BY_RESCOM!$AY$2:$AY$100,RESCOM!$C7)/SUMIFS(BY_RESCOM!AE$2:AE$100,BY_RESCOM!$AX$2:$AX$100,RESCOM!$B7),"")</f>
        <v>1.5185695319564049E-3</v>
      </c>
      <c r="X7" s="3">
        <f>IFERROR(SUMIFS(BY_RESCOM!AF$2:AF$100,BY_RESCOM!$AX$2:$AX$100,RESCOM!$B7,BY_RESCOM!$AY$2:$AY$100,RESCOM!$C7)/SUMIFS(BY_RESCOM!AF$2:AF$100,BY_RESCOM!$AX$2:$AX$100,RESCOM!$B7),"")</f>
        <v>0</v>
      </c>
      <c r="Y7" s="3">
        <f>IFERROR(SUMIFS(BY_RESCOM!AG$2:AG$100,BY_RESCOM!$AX$2:$AX$100,RESCOM!$B7,BY_RESCOM!$AY$2:$AY$100,RESCOM!$C7)/SUMIFS(BY_RESCOM!AG$2:AG$100,BY_RESCOM!$AX$2:$AX$100,RESCOM!$B7),"")</f>
        <v>0</v>
      </c>
      <c r="Z7" s="3">
        <f>IFERROR(SUMIFS(BY_RESCOM!AH$2:AH$100,BY_RESCOM!$AX$2:$AX$100,RESCOM!$B7,BY_RESCOM!$AY$2:$AY$100,RESCOM!$C7)/SUMIFS(BY_RESCOM!AH$2:AH$100,BY_RESCOM!$AX$2:$AX$100,RESCOM!$B7),"")</f>
        <v>0</v>
      </c>
      <c r="AA7" s="3">
        <f>IFERROR(SUMIFS(BY_RESCOM!AI$2:AI$100,BY_RESCOM!$AX$2:$AX$100,RESCOM!$B7,BY_RESCOM!$AY$2:$AY$100,RESCOM!$C7)/SUMIFS(BY_RESCOM!AI$2:AI$100,BY_RESCOM!$AX$2:$AX$100,RESCOM!$B7),"")</f>
        <v>0</v>
      </c>
      <c r="AB7" s="3">
        <f>IFERROR(SUMIFS(BY_RESCOM!AJ$2:AJ$100,BY_RESCOM!$AX$2:$AX$100,RESCOM!$B7,BY_RESCOM!$AY$2:$AY$100,RESCOM!$C7)/SUMIFS(BY_RESCOM!AJ$2:AJ$100,BY_RESCOM!$AX$2:$AX$100,RESCOM!$B7),"")</f>
        <v>0</v>
      </c>
      <c r="AC7" s="3">
        <f>IFERROR(SUMIFS(BY_RESCOM!AK$2:AK$100,BY_RESCOM!$AX$2:$AX$100,RESCOM!$B7,BY_RESCOM!$AY$2:$AY$100,RESCOM!$C7)/SUMIFS(BY_RESCOM!AK$2:AK$100,BY_RESCOM!$AX$2:$AX$100,RESCOM!$B7),"")</f>
        <v>0</v>
      </c>
      <c r="AD7" s="3">
        <f>IFERROR(SUMIFS(BY_RESCOM!AL$2:AL$100,BY_RESCOM!$AX$2:$AX$100,RESCOM!$B7,BY_RESCOM!$AY$2:$AY$100,RESCOM!$C7)/SUMIFS(BY_RESCOM!AL$2:AL$100,BY_RESCOM!$AX$2:$AX$100,RESCOM!$B7),"")</f>
        <v>0</v>
      </c>
      <c r="AE7" s="3">
        <f>IFERROR(SUMIFS(BY_RESCOM!AM$2:AM$100,BY_RESCOM!$AX$2:$AX$100,RESCOM!$B7,BY_RESCOM!$AY$2:$AY$100,RESCOM!$C7)/SUMIFS(BY_RESCOM!AM$2:AM$100,BY_RESCOM!$AX$2:$AX$100,RESCOM!$B7),"")</f>
        <v>0</v>
      </c>
      <c r="AF7" s="3">
        <f>IFERROR(SUMIFS(BY_RESCOM!AN$2:AN$100,BY_RESCOM!$AX$2:$AX$100,RESCOM!$B7,BY_RESCOM!$AY$2:$AY$100,RESCOM!$C7)/SUMIFS(BY_RESCOM!AN$2:AN$100,BY_RESCOM!$AX$2:$AX$100,RESCOM!$B7),"")</f>
        <v>0</v>
      </c>
      <c r="AG7" s="3" t="str">
        <f>IFERROR(SUMIFS(BY_RESCOM!AO$2:AO$100,BY_RESCOM!$AX$2:$AX$100,RESCOM!$B7,BY_RESCOM!$AY$2:$AY$100,RESCOM!$C7)/SUMIFS(BY_RESCOM!AO$2:AO$100,BY_RESCOM!$AX$2:$AX$100,RESCOM!$B7),"")</f>
        <v/>
      </c>
      <c r="AH7" s="3" t="str">
        <f>IFERROR(SUMIFS(BY_RESCOM!AP$2:AP$100,BY_RESCOM!$AX$2:$AX$100,RESCOM!$B7,BY_RESCOM!$AY$2:$AY$100,RESCOM!$C7)/SUMIFS(BY_RESCOM!AP$2:AP$100,BY_RESCOM!$AX$2:$AX$100,RESCOM!$B7),"")</f>
        <v/>
      </c>
      <c r="AJ7" t="s">
        <v>696</v>
      </c>
      <c r="AQ7" t="s">
        <v>53</v>
      </c>
    </row>
    <row r="8" spans="2:82">
      <c r="B8" t="s">
        <v>44</v>
      </c>
      <c r="C8" t="s">
        <v>45</v>
      </c>
      <c r="D8" s="3">
        <f>IFERROR(SUMIFS(BY_RESCOM!L$2:L$100,BY_RESCOM!$AX$2:$AX$100,RESCOM!$B8,BY_RESCOM!$AY$2:$AY$100,RESCOM!$C8)/SUMIFS(BY_RESCOM!L$2:L$100,BY_RESCOM!$AX$2:$AX$100,RESCOM!$B8),"")</f>
        <v>3.408245889448897E-4</v>
      </c>
      <c r="E8" s="3">
        <f>IFERROR(SUMIFS(BY_RESCOM!M$2:M$100,BY_RESCOM!$AX$2:$AX$100,RESCOM!$B8,BY_RESCOM!$AY$2:$AY$100,RESCOM!$C8)/SUMIFS(BY_RESCOM!M$2:M$100,BY_RESCOM!$AX$2:$AX$100,RESCOM!$B8),"")</f>
        <v>5.6215819864959835E-3</v>
      </c>
      <c r="F8" s="3">
        <f>IFERROR(SUMIFS(BY_RESCOM!N$2:N$100,BY_RESCOM!$AX$2:$AX$100,RESCOM!$B8,BY_RESCOM!$AY$2:$AY$100,RESCOM!$C8)/SUMIFS(BY_RESCOM!N$2:N$100,BY_RESCOM!$AX$2:$AX$100,RESCOM!$B8),"")</f>
        <v>0</v>
      </c>
      <c r="G8" s="3">
        <f>IFERROR(SUMIFS(BY_RESCOM!O$2:O$100,BY_RESCOM!$AX$2:$AX$100,RESCOM!$B8,BY_RESCOM!$AY$2:$AY$100,RESCOM!$C8)/SUMIFS(BY_RESCOM!O$2:O$100,BY_RESCOM!$AX$2:$AX$100,RESCOM!$B8),"")</f>
        <v>0</v>
      </c>
      <c r="H8" s="3" t="str">
        <f>IFERROR(SUMIFS(BY_RESCOM!P$2:P$100,BY_RESCOM!$AX$2:$AX$100,RESCOM!$B8,BY_RESCOM!$AY$2:$AY$100,RESCOM!$C8)/SUMIFS(BY_RESCOM!P$2:P$100,BY_RESCOM!$AX$2:$AX$100,RESCOM!$B8),"")</f>
        <v/>
      </c>
      <c r="I8" s="3">
        <f>IFERROR(SUMIFS(BY_RESCOM!Q$2:Q$100,BY_RESCOM!$AX$2:$AX$100,RESCOM!$B8,BY_RESCOM!$AY$2:$AY$100,RESCOM!$C8)/SUMIFS(BY_RESCOM!Q$2:Q$100,BY_RESCOM!$AX$2:$AX$100,RESCOM!$B8),"")</f>
        <v>2.7400787690113601E-4</v>
      </c>
      <c r="J8" s="3">
        <f>IFERROR(SUMIFS(BY_RESCOM!R$2:R$100,BY_RESCOM!$AX$2:$AX$100,RESCOM!$B8,BY_RESCOM!$AY$2:$AY$100,RESCOM!$C8)/SUMIFS(BY_RESCOM!R$2:R$100,BY_RESCOM!$AX$2:$AX$100,RESCOM!$B8),"")</f>
        <v>0</v>
      </c>
      <c r="K8" s="3">
        <f>IFERROR(SUMIFS(BY_RESCOM!S$2:S$100,BY_RESCOM!$AX$2:$AX$100,RESCOM!$B8,BY_RESCOM!$AY$2:$AY$100,RESCOM!$C8)/SUMIFS(BY_RESCOM!S$2:S$100,BY_RESCOM!$AX$2:$AX$100,RESCOM!$B8),"")</f>
        <v>0</v>
      </c>
      <c r="L8" s="3">
        <f>IFERROR(SUMIFS(BY_RESCOM!T$2:T$100,BY_RESCOM!$AX$2:$AX$100,RESCOM!$B8,BY_RESCOM!$AY$2:$AY$100,RESCOM!$C8)/SUMIFS(BY_RESCOM!T$2:T$100,BY_RESCOM!$AX$2:$AX$100,RESCOM!$B8),"")</f>
        <v>0</v>
      </c>
      <c r="M8" s="3">
        <f>IFERROR(SUMIFS(BY_RESCOM!U$2:U$100,BY_RESCOM!$AX$2:$AX$100,RESCOM!$B8,BY_RESCOM!$AY$2:$AY$100,RESCOM!$C8)/SUMIFS(BY_RESCOM!U$2:U$100,BY_RESCOM!$AX$2:$AX$100,RESCOM!$B8),"")</f>
        <v>0</v>
      </c>
      <c r="N8" s="3">
        <f>IFERROR(SUMIFS(BY_RESCOM!V$2:V$100,BY_RESCOM!$AX$2:$AX$100,RESCOM!$B8,BY_RESCOM!$AY$2:$AY$100,RESCOM!$C8)/SUMIFS(BY_RESCOM!V$2:V$100,BY_RESCOM!$AX$2:$AX$100,RESCOM!$B8),"")</f>
        <v>0</v>
      </c>
      <c r="O8" s="3">
        <f>IFERROR(SUMIFS(BY_RESCOM!W$2:W$100,BY_RESCOM!$AX$2:$AX$100,RESCOM!$B8,BY_RESCOM!$AY$2:$AY$100,RESCOM!$C8)/SUMIFS(BY_RESCOM!W$2:W$100,BY_RESCOM!$AX$2:$AX$100,RESCOM!$B8),"")</f>
        <v>0</v>
      </c>
      <c r="P8" s="3">
        <f>IFERROR(SUMIFS(BY_RESCOM!X$2:X$100,BY_RESCOM!$AX$2:$AX$100,RESCOM!$B8,BY_RESCOM!$AY$2:$AY$100,RESCOM!$C8)/SUMIFS(BY_RESCOM!X$2:X$100,BY_RESCOM!$AX$2:$AX$100,RESCOM!$B8),"")</f>
        <v>0</v>
      </c>
      <c r="Q8" s="3">
        <f>IFERROR(SUMIFS(BY_RESCOM!Y$2:Y$100,BY_RESCOM!$AX$2:$AX$100,RESCOM!$B8,BY_RESCOM!$AY$2:$AY$100,RESCOM!$C8)/SUMIFS(BY_RESCOM!Y$2:Y$100,BY_RESCOM!$AX$2:$AX$100,RESCOM!$B8),"")</f>
        <v>0</v>
      </c>
      <c r="R8" s="3">
        <f>IFERROR(SUMIFS(BY_RESCOM!Z$2:Z$100,BY_RESCOM!$AX$2:$AX$100,RESCOM!$B8,BY_RESCOM!$AY$2:$AY$100,RESCOM!$C8)/SUMIFS(BY_RESCOM!Z$2:Z$100,BY_RESCOM!$AX$2:$AX$100,RESCOM!$B8),"")</f>
        <v>0</v>
      </c>
      <c r="S8" s="3">
        <f>IFERROR(SUMIFS(BY_RESCOM!AA$2:AA$100,BY_RESCOM!$AX$2:$AX$100,RESCOM!$B8,BY_RESCOM!$AY$2:$AY$100,RESCOM!$C8)/SUMIFS(BY_RESCOM!AA$2:AA$100,BY_RESCOM!$AX$2:$AX$100,RESCOM!$B8),"")</f>
        <v>0</v>
      </c>
      <c r="T8" s="3">
        <f>IFERROR(SUMIFS(BY_RESCOM!AB$2:AB$100,BY_RESCOM!$AX$2:$AX$100,RESCOM!$B8,BY_RESCOM!$AY$2:$AY$100,RESCOM!$C8)/SUMIFS(BY_RESCOM!AB$2:AB$100,BY_RESCOM!$AX$2:$AX$100,RESCOM!$B8),"")</f>
        <v>0</v>
      </c>
      <c r="U8" s="3">
        <f>IFERROR(SUMIFS(BY_RESCOM!AC$2:AC$100,BY_RESCOM!$AX$2:$AX$100,RESCOM!$B8,BY_RESCOM!$AY$2:$AY$100,RESCOM!$C8)/SUMIFS(BY_RESCOM!AC$2:AC$100,BY_RESCOM!$AX$2:$AX$100,RESCOM!$B8),"")</f>
        <v>0</v>
      </c>
      <c r="V8" s="3">
        <f>IFERROR(SUMIFS(BY_RESCOM!AD$2:AD$100,BY_RESCOM!$AX$2:$AX$100,RESCOM!$B8,BY_RESCOM!$AY$2:$AY$100,RESCOM!$C8)/SUMIFS(BY_RESCOM!AD$2:AD$100,BY_RESCOM!$AX$2:$AX$100,RESCOM!$B8),"")</f>
        <v>0</v>
      </c>
      <c r="W8" s="3">
        <f>IFERROR(SUMIFS(BY_RESCOM!AE$2:AE$100,BY_RESCOM!$AX$2:$AX$100,RESCOM!$B8,BY_RESCOM!$AY$2:$AY$100,RESCOM!$C8)/SUMIFS(BY_RESCOM!AE$2:AE$100,BY_RESCOM!$AX$2:$AX$100,RESCOM!$B8),"")</f>
        <v>0</v>
      </c>
      <c r="X8" s="3">
        <f>IFERROR(SUMIFS(BY_RESCOM!AF$2:AF$100,BY_RESCOM!$AX$2:$AX$100,RESCOM!$B8,BY_RESCOM!$AY$2:$AY$100,RESCOM!$C8)/SUMIFS(BY_RESCOM!AF$2:AF$100,BY_RESCOM!$AX$2:$AX$100,RESCOM!$B8),"")</f>
        <v>1.6981676770764347E-5</v>
      </c>
      <c r="Y8" s="3">
        <f>IFERROR(SUMIFS(BY_RESCOM!AG$2:AG$100,BY_RESCOM!$AX$2:$AX$100,RESCOM!$B8,BY_RESCOM!$AY$2:$AY$100,RESCOM!$C8)/SUMIFS(BY_RESCOM!AG$2:AG$100,BY_RESCOM!$AX$2:$AX$100,RESCOM!$B8),"")</f>
        <v>0</v>
      </c>
      <c r="Z8" s="3">
        <f>IFERROR(SUMIFS(BY_RESCOM!AH$2:AH$100,BY_RESCOM!$AX$2:$AX$100,RESCOM!$B8,BY_RESCOM!$AY$2:$AY$100,RESCOM!$C8)/SUMIFS(BY_RESCOM!AH$2:AH$100,BY_RESCOM!$AX$2:$AX$100,RESCOM!$B8),"")</f>
        <v>2.2745365631752532E-5</v>
      </c>
      <c r="AA8" s="3">
        <f>IFERROR(SUMIFS(BY_RESCOM!AI$2:AI$100,BY_RESCOM!$AX$2:$AX$100,RESCOM!$B8,BY_RESCOM!$AY$2:$AY$100,RESCOM!$C8)/SUMIFS(BY_RESCOM!AI$2:AI$100,BY_RESCOM!$AX$2:$AX$100,RESCOM!$B8),"")</f>
        <v>0</v>
      </c>
      <c r="AB8" s="3">
        <f>IFERROR(SUMIFS(BY_RESCOM!AJ$2:AJ$100,BY_RESCOM!$AX$2:$AX$100,RESCOM!$B8,BY_RESCOM!$AY$2:$AY$100,RESCOM!$C8)/SUMIFS(BY_RESCOM!AJ$2:AJ$100,BY_RESCOM!$AX$2:$AX$100,RESCOM!$B8),"")</f>
        <v>0</v>
      </c>
      <c r="AC8" s="3">
        <f>IFERROR(SUMIFS(BY_RESCOM!AK$2:AK$100,BY_RESCOM!$AX$2:$AX$100,RESCOM!$B8,BY_RESCOM!$AY$2:$AY$100,RESCOM!$C8)/SUMIFS(BY_RESCOM!AK$2:AK$100,BY_RESCOM!$AX$2:$AX$100,RESCOM!$B8),"")</f>
        <v>0</v>
      </c>
      <c r="AD8" s="3">
        <f>IFERROR(SUMIFS(BY_RESCOM!AL$2:AL$100,BY_RESCOM!$AX$2:$AX$100,RESCOM!$B8,BY_RESCOM!$AY$2:$AY$100,RESCOM!$C8)/SUMIFS(BY_RESCOM!AL$2:AL$100,BY_RESCOM!$AX$2:$AX$100,RESCOM!$B8),"")</f>
        <v>1.9835990227146279E-3</v>
      </c>
      <c r="AE8" s="3">
        <f>IFERROR(SUMIFS(BY_RESCOM!AM$2:AM$100,BY_RESCOM!$AX$2:$AX$100,RESCOM!$B8,BY_RESCOM!$AY$2:$AY$100,RESCOM!$C8)/SUMIFS(BY_RESCOM!AM$2:AM$100,BY_RESCOM!$AX$2:$AX$100,RESCOM!$B8),"")</f>
        <v>0</v>
      </c>
      <c r="AF8" s="3">
        <f>IFERROR(SUMIFS(BY_RESCOM!AN$2:AN$100,BY_RESCOM!$AX$2:$AX$100,RESCOM!$B8,BY_RESCOM!$AY$2:$AY$100,RESCOM!$C8)/SUMIFS(BY_RESCOM!AN$2:AN$100,BY_RESCOM!$AX$2:$AX$100,RESCOM!$B8),"")</f>
        <v>0</v>
      </c>
      <c r="AG8" s="3" t="str">
        <f>IFERROR(SUMIFS(BY_RESCOM!AO$2:AO$100,BY_RESCOM!$AX$2:$AX$100,RESCOM!$B8,BY_RESCOM!$AY$2:$AY$100,RESCOM!$C8)/SUMIFS(BY_RESCOM!AO$2:AO$100,BY_RESCOM!$AX$2:$AX$100,RESCOM!$B8),"")</f>
        <v/>
      </c>
      <c r="AH8" s="3" t="str">
        <f>IFERROR(SUMIFS(BY_RESCOM!AP$2:AP$100,BY_RESCOM!$AX$2:$AX$100,RESCOM!$B8,BY_RESCOM!$AY$2:$AY$100,RESCOM!$C8)/SUMIFS(BY_RESCOM!AP$2:AP$100,BY_RESCOM!$AX$2:$AX$100,RESCOM!$B8),"")</f>
        <v/>
      </c>
      <c r="AJ8" t="s">
        <v>7</v>
      </c>
      <c r="AK8" t="s">
        <v>115</v>
      </c>
      <c r="AL8" t="s">
        <v>4</v>
      </c>
      <c r="AM8" t="s">
        <v>50</v>
      </c>
      <c r="AN8">
        <v>2025</v>
      </c>
      <c r="AO8">
        <v>0</v>
      </c>
      <c r="AQ8" t="s">
        <v>52</v>
      </c>
      <c r="AR8" t="s">
        <v>4</v>
      </c>
      <c r="AS8" t="s">
        <v>49</v>
      </c>
      <c r="AT8" t="s">
        <v>171</v>
      </c>
      <c r="AU8" t="str">
        <f>IF(BY_RESCOM!L$1="","*"&amp;COLUMN(),BY_RESCOM!L$1)</f>
        <v>Africa_north</v>
      </c>
      <c r="AV8" t="str">
        <f>IF(BY_RESCOM!M$1="","*"&amp;COLUMN(),BY_RESCOM!M$1)</f>
        <v>Africa_other</v>
      </c>
      <c r="AW8" t="str">
        <f>IF(BY_RESCOM!N$1="","*"&amp;COLUMN(),BY_RESCOM!N$1)</f>
        <v>Arg-Chi</v>
      </c>
      <c r="AX8" t="str">
        <f>IF(BY_RESCOM!O$1="","*"&amp;COLUMN(),BY_RESCOM!O$1)</f>
        <v>Asia_central</v>
      </c>
      <c r="AY8" t="str">
        <f>IF(BY_RESCOM!P$1="","*"&amp;COLUMN(),BY_RESCOM!P$1)</f>
        <v>Asia_east</v>
      </c>
      <c r="AZ8" t="str">
        <f>IF(BY_RESCOM!Q$1="","*"&amp;COLUMN(),BY_RESCOM!Q$1)</f>
        <v>Asia_other</v>
      </c>
      <c r="BA8" t="str">
        <f>IF(BY_RESCOM!R$1="","*"&amp;COLUMN(),BY_RESCOM!R$1)</f>
        <v>Australia_NZ</v>
      </c>
      <c r="BB8" t="str">
        <f>IF(BY_RESCOM!S$1="","*"&amp;COLUMN(),BY_RESCOM!S$1)</f>
        <v>Brazil</v>
      </c>
      <c r="BC8" t="str">
        <f>IF(BY_RESCOM!T$1="","*"&amp;COLUMN(),BY_RESCOM!T$1)</f>
        <v>Canada</v>
      </c>
      <c r="BD8" t="str">
        <f>IF(BY_RESCOM!U$1="","*"&amp;COLUMN(),BY_RESCOM!U$1)</f>
        <v>China</v>
      </c>
      <c r="BE8" t="str">
        <f>IF(BY_RESCOM!V$1="","*"&amp;COLUMN(),BY_RESCOM!V$1)</f>
        <v>EU_north</v>
      </c>
      <c r="BF8" t="str">
        <f>IF(BY_RESCOM!W$1="","*"&amp;COLUMN(),BY_RESCOM!W$1)</f>
        <v>EU_northeast</v>
      </c>
      <c r="BG8" t="str">
        <f>IF(BY_RESCOM!X$1="","*"&amp;COLUMN(),BY_RESCOM!X$1)</f>
        <v>EU_northwest</v>
      </c>
      <c r="BH8" t="str">
        <f>IF(BY_RESCOM!Y$1="","*"&amp;COLUMN(),BY_RESCOM!Y$1)</f>
        <v>EU_south</v>
      </c>
      <c r="BI8" t="str">
        <f>IF(BY_RESCOM!Z$1="","*"&amp;COLUMN(),BY_RESCOM!Z$1)</f>
        <v>EU_southeast</v>
      </c>
      <c r="BJ8" t="str">
        <f>IF(BY_RESCOM!AA$1="","*"&amp;COLUMN(),BY_RESCOM!AA$1)</f>
        <v>EU_southwest</v>
      </c>
      <c r="BK8" t="str">
        <f>IF(BY_RESCOM!AB$1="","*"&amp;COLUMN(),BY_RESCOM!AB$1)</f>
        <v>Europe_other</v>
      </c>
      <c r="BL8" t="str">
        <f>IF(BY_RESCOM!AC$1="","*"&amp;COLUMN(),BY_RESCOM!AC$1)</f>
        <v>France</v>
      </c>
      <c r="BM8" t="str">
        <f>IF(BY_RESCOM!AD$1="","*"&amp;COLUMN(),BY_RESCOM!AD$1)</f>
        <v>Germany</v>
      </c>
      <c r="BN8" t="str">
        <f>IF(BY_RESCOM!AE$1="","*"&amp;COLUMN(),BY_RESCOM!AE$1)</f>
        <v>India</v>
      </c>
      <c r="BO8" t="str">
        <f>IF(BY_RESCOM!AF$1="","*"&amp;COLUMN(),BY_RESCOM!AF$1)</f>
        <v>LatAm_other</v>
      </c>
      <c r="BP8" t="str">
        <f>IF(BY_RESCOM!AG$1="","*"&amp;COLUMN(),BY_RESCOM!AG$1)</f>
        <v>Mexico</v>
      </c>
      <c r="BQ8" t="str">
        <f>IF(BY_RESCOM!AH$1="","*"&amp;COLUMN(),BY_RESCOM!AH$1)</f>
        <v>MidEast_other</v>
      </c>
      <c r="BR8" t="str">
        <f>IF(BY_RESCOM!AI$1="","*"&amp;COLUMN(),BY_RESCOM!AI$1)</f>
        <v>Nor-Ice</v>
      </c>
      <c r="BS8" t="str">
        <f>IF(BY_RESCOM!AJ$1="","*"&amp;COLUMN(),BY_RESCOM!AJ$1)</f>
        <v>Russia</v>
      </c>
      <c r="BT8" t="str">
        <f>IF(BY_RESCOM!AK$1="","*"&amp;COLUMN(),BY_RESCOM!AK$1)</f>
        <v>SaudiArabia</v>
      </c>
      <c r="BU8" t="str">
        <f>IF(BY_RESCOM!AL$1="","*"&amp;COLUMN(),BY_RESCOM!AL$1)</f>
        <v>SouthAfrica</v>
      </c>
      <c r="BV8" t="str">
        <f>IF(BY_RESCOM!AM$1="","*"&amp;COLUMN(),BY_RESCOM!AM$1)</f>
        <v>UK</v>
      </c>
      <c r="BW8" t="str">
        <f>IF(BY_RESCOM!AN$1="","*"&amp;COLUMN(),BY_RESCOM!AN$1)</f>
        <v>USA</v>
      </c>
      <c r="BX8" t="str">
        <f>IF(BY_RESCOM!AO$1="","*"&amp;COLUMN(),BY_RESCOM!AO$1)</f>
        <v>year2</v>
      </c>
      <c r="BY8" t="s">
        <v>50</v>
      </c>
      <c r="BZ8" t="s">
        <v>54</v>
      </c>
      <c r="CA8" t="s">
        <v>107</v>
      </c>
      <c r="CB8" t="s">
        <v>51</v>
      </c>
    </row>
    <row r="9" spans="2:82">
      <c r="B9" t="s">
        <v>104</v>
      </c>
      <c r="C9" t="s">
        <v>106</v>
      </c>
      <c r="D9" s="3">
        <f>IFERROR(SUMIFS(BY_RESCOM!L$2:L$100,BY_RESCOM!$AX$2:$AX$100,RESCOM!$B9,BY_RESCOM!$AY$2:$AY$100,RESCOM!$C9)/SUMIFS(BY_RESCOM!L$2:L$100,BY_RESCOM!$AX$2:$AX$100,RESCOM!$B9),"")</f>
        <v>0.1941747572815534</v>
      </c>
      <c r="E9" s="3">
        <f>IFERROR(SUMIFS(BY_RESCOM!M$2:M$100,BY_RESCOM!$AX$2:$AX$100,RESCOM!$B9,BY_RESCOM!$AY$2:$AY$100,RESCOM!$C9)/SUMIFS(BY_RESCOM!M$2:M$100,BY_RESCOM!$AX$2:$AX$100,RESCOM!$B9),"")</f>
        <v>0.19359294276450001</v>
      </c>
      <c r="F9" s="3">
        <f>IFERROR(SUMIFS(BY_RESCOM!N$2:N$100,BY_RESCOM!$AX$2:$AX$100,RESCOM!$B9,BY_RESCOM!$AY$2:$AY$100,RESCOM!$C9)/SUMIFS(BY_RESCOM!N$2:N$100,BY_RESCOM!$AX$2:$AX$100,RESCOM!$B9),"")</f>
        <v>2.8899558484657042E-2</v>
      </c>
      <c r="G9" s="3">
        <f>IFERROR(SUMIFS(BY_RESCOM!O$2:O$100,BY_RESCOM!$AX$2:$AX$100,RESCOM!$B9,BY_RESCOM!$AY$2:$AY$100,RESCOM!$C9)/SUMIFS(BY_RESCOM!O$2:O$100,BY_RESCOM!$AX$2:$AX$100,RESCOM!$B9),"")</f>
        <v>0.19417194730491366</v>
      </c>
      <c r="H9" s="3">
        <f>IFERROR(SUMIFS(BY_RESCOM!P$2:P$100,BY_RESCOM!$AX$2:$AX$100,RESCOM!$B9,BY_RESCOM!$AY$2:$AY$100,RESCOM!$C9)/SUMIFS(BY_RESCOM!P$2:P$100,BY_RESCOM!$AX$2:$AX$100,RESCOM!$B9),"")</f>
        <v>0.16973750630994475</v>
      </c>
      <c r="I9" s="3">
        <f>IFERROR(SUMIFS(BY_RESCOM!Q$2:Q$100,BY_RESCOM!$AX$2:$AX$100,RESCOM!$B9,BY_RESCOM!$AY$2:$AY$100,RESCOM!$C9)/SUMIFS(BY_RESCOM!Q$2:Q$100,BY_RESCOM!$AX$2:$AX$100,RESCOM!$B9),"")</f>
        <v>0.46227429740209031</v>
      </c>
      <c r="J9" s="3">
        <f>IFERROR(SUMIFS(BY_RESCOM!R$2:R$100,BY_RESCOM!$AX$2:$AX$100,RESCOM!$B9,BY_RESCOM!$AY$2:$AY$100,RESCOM!$C9)/SUMIFS(BY_RESCOM!R$2:R$100,BY_RESCOM!$AX$2:$AX$100,RESCOM!$B9),"")</f>
        <v>0.13289036544850499</v>
      </c>
      <c r="K9" s="3">
        <f>IFERROR(SUMIFS(BY_RESCOM!S$2:S$100,BY_RESCOM!$AX$2:$AX$100,RESCOM!$B9,BY_RESCOM!$AY$2:$AY$100,RESCOM!$C9)/SUMIFS(BY_RESCOM!S$2:S$100,BY_RESCOM!$AX$2:$AX$100,RESCOM!$B9),"")</f>
        <v>2.8901734104046256E-2</v>
      </c>
      <c r="L9" s="3">
        <f>IFERROR(SUMIFS(BY_RESCOM!T$2:T$100,BY_RESCOM!$AX$2:$AX$100,RESCOM!$B9,BY_RESCOM!$AY$2:$AY$100,RESCOM!$C9)/SUMIFS(BY_RESCOM!T$2:T$100,BY_RESCOM!$AX$2:$AX$100,RESCOM!$B9),"")</f>
        <v>0.13286406938670431</v>
      </c>
      <c r="M9" s="3">
        <f>IFERROR(SUMIFS(BY_RESCOM!U$2:U$100,BY_RESCOM!$AX$2:$AX$100,RESCOM!$B9,BY_RESCOM!$AY$2:$AY$100,RESCOM!$C9)/SUMIFS(BY_RESCOM!U$2:U$100,BY_RESCOM!$AX$2:$AX$100,RESCOM!$B9),"")</f>
        <v>0.34390881012108115</v>
      </c>
      <c r="N9" s="3">
        <f>IFERROR(SUMIFS(BY_RESCOM!V$2:V$100,BY_RESCOM!$AX$2:$AX$100,RESCOM!$B9,BY_RESCOM!$AY$2:$AY$100,RESCOM!$C9)/SUMIFS(BY_RESCOM!V$2:V$100,BY_RESCOM!$AX$2:$AX$100,RESCOM!$B9),"")</f>
        <v>2.8801843317972316E-2</v>
      </c>
      <c r="O9" s="3">
        <f>IFERROR(SUMIFS(BY_RESCOM!W$2:W$100,BY_RESCOM!$AX$2:$AX$100,RESCOM!$B9,BY_RESCOM!$AY$2:$AY$100,RESCOM!$C9)/SUMIFS(BY_RESCOM!W$2:W$100,BY_RESCOM!$AX$2:$AX$100,RESCOM!$B9),"")</f>
        <v>0.19417473086358969</v>
      </c>
      <c r="P9" s="3">
        <f>IFERROR(SUMIFS(BY_RESCOM!X$2:X$100,BY_RESCOM!$AX$2:$AX$100,RESCOM!$B9,BY_RESCOM!$AY$2:$AY$100,RESCOM!$C9)/SUMIFS(BY_RESCOM!X$2:X$100,BY_RESCOM!$AX$2:$AX$100,RESCOM!$B9),"")</f>
        <v>2.8801843317972364E-2</v>
      </c>
      <c r="Q9" s="3">
        <f>IFERROR(SUMIFS(BY_RESCOM!Y$2:Y$100,BY_RESCOM!$AX$2:$AX$100,RESCOM!$B9,BY_RESCOM!$AY$2:$AY$100,RESCOM!$C9)/SUMIFS(BY_RESCOM!Y$2:Y$100,BY_RESCOM!$AX$2:$AX$100,RESCOM!$B9),"")</f>
        <v>2.8801843317972406E-2</v>
      </c>
      <c r="R9" s="3">
        <f>IFERROR(SUMIFS(BY_RESCOM!Z$2:Z$100,BY_RESCOM!$AX$2:$AX$100,RESCOM!$B9,BY_RESCOM!$AY$2:$AY$100,RESCOM!$C9)/SUMIFS(BY_RESCOM!Z$2:Z$100,BY_RESCOM!$AX$2:$AX$100,RESCOM!$B9),"")</f>
        <v>0.19417413008179057</v>
      </c>
      <c r="S9" s="3">
        <f>IFERROR(SUMIFS(BY_RESCOM!AA$2:AA$100,BY_RESCOM!$AX$2:$AX$100,RESCOM!$B9,BY_RESCOM!$AY$2:$AY$100,RESCOM!$C9)/SUMIFS(BY_RESCOM!AA$2:AA$100,BY_RESCOM!$AX$2:$AX$100,RESCOM!$B9),"")</f>
        <v>2.8801843317972396E-2</v>
      </c>
      <c r="T9" s="3">
        <f>IFERROR(SUMIFS(BY_RESCOM!AB$2:AB$100,BY_RESCOM!$AX$2:$AX$100,RESCOM!$B9,BY_RESCOM!$AY$2:$AY$100,RESCOM!$C9)/SUMIFS(BY_RESCOM!AB$2:AB$100,BY_RESCOM!$AX$2:$AX$100,RESCOM!$B9),"")</f>
        <v>0.19417475728155337</v>
      </c>
      <c r="U9" s="3">
        <f>IFERROR(SUMIFS(BY_RESCOM!AC$2:AC$100,BY_RESCOM!$AX$2:$AX$100,RESCOM!$B9,BY_RESCOM!$AY$2:$AY$100,RESCOM!$C9)/SUMIFS(BY_RESCOM!AC$2:AC$100,BY_RESCOM!$AX$2:$AX$100,RESCOM!$B9),"")</f>
        <v>2.8801843317972309E-2</v>
      </c>
      <c r="V9" s="3">
        <f>IFERROR(SUMIFS(BY_RESCOM!AD$2:AD$100,BY_RESCOM!$AX$2:$AX$100,RESCOM!$B9,BY_RESCOM!$AY$2:$AY$100,RESCOM!$C9)/SUMIFS(BY_RESCOM!AD$2:AD$100,BY_RESCOM!$AX$2:$AX$100,RESCOM!$B9),"")</f>
        <v>2.8801843317972354E-2</v>
      </c>
      <c r="W9" s="3">
        <f>IFERROR(SUMIFS(BY_RESCOM!AE$2:AE$100,BY_RESCOM!$AX$2:$AX$100,RESCOM!$B9,BY_RESCOM!$AY$2:$AY$100,RESCOM!$C9)/SUMIFS(BY_RESCOM!AE$2:AE$100,BY_RESCOM!$AX$2:$AX$100,RESCOM!$B9),"")</f>
        <v>0.15293983812564771</v>
      </c>
      <c r="X9" s="3">
        <f>IFERROR(SUMIFS(BY_RESCOM!AF$2:AF$100,BY_RESCOM!$AX$2:$AX$100,RESCOM!$B9,BY_RESCOM!$AY$2:$AY$100,RESCOM!$C9)/SUMIFS(BY_RESCOM!AF$2:AF$100,BY_RESCOM!$AX$2:$AX$100,RESCOM!$B9),"")</f>
        <v>2.8894576010204929E-2</v>
      </c>
      <c r="Y9" s="3">
        <f>IFERROR(SUMIFS(BY_RESCOM!AG$2:AG$100,BY_RESCOM!$AX$2:$AX$100,RESCOM!$B9,BY_RESCOM!$AY$2:$AY$100,RESCOM!$C9)/SUMIFS(BY_RESCOM!AG$2:AG$100,BY_RESCOM!$AX$2:$AX$100,RESCOM!$B9),"")</f>
        <v>0.16015374759769374</v>
      </c>
      <c r="Z9" s="3">
        <f>IFERROR(SUMIFS(BY_RESCOM!AH$2:AH$100,BY_RESCOM!$AX$2:$AX$100,RESCOM!$B9,BY_RESCOM!$AY$2:$AY$100,RESCOM!$C9)/SUMIFS(BY_RESCOM!AH$2:AH$100,BY_RESCOM!$AX$2:$AX$100,RESCOM!$B9),"")</f>
        <v>0.19383373900094752</v>
      </c>
      <c r="AA9" s="3">
        <f>IFERROR(SUMIFS(BY_RESCOM!AI$2:AI$100,BY_RESCOM!$AX$2:$AX$100,RESCOM!$B9,BY_RESCOM!$AY$2:$AY$100,RESCOM!$C9)/SUMIFS(BY_RESCOM!AI$2:AI$100,BY_RESCOM!$AX$2:$AX$100,RESCOM!$B9),"")</f>
        <v>2.8801843317972354E-2</v>
      </c>
      <c r="AB9" s="3">
        <f>IFERROR(SUMIFS(BY_RESCOM!AJ$2:AJ$100,BY_RESCOM!$AX$2:$AX$100,RESCOM!$B9,BY_RESCOM!$AY$2:$AY$100,RESCOM!$C9)/SUMIFS(BY_RESCOM!AJ$2:AJ$100,BY_RESCOM!$AX$2:$AX$100,RESCOM!$B9),"")</f>
        <v>0.19417475728155364</v>
      </c>
      <c r="AC9" s="3">
        <f>IFERROR(SUMIFS(BY_RESCOM!AK$2:AK$100,BY_RESCOM!$AX$2:$AX$100,RESCOM!$B9,BY_RESCOM!$AY$2:$AY$100,RESCOM!$C9)/SUMIFS(BY_RESCOM!AK$2:AK$100,BY_RESCOM!$AX$2:$AX$100,RESCOM!$B9),"")</f>
        <v>0.19417475728155315</v>
      </c>
      <c r="AD9" s="3">
        <f>IFERROR(SUMIFS(BY_RESCOM!AL$2:AL$100,BY_RESCOM!$AX$2:$AX$100,RESCOM!$B9,BY_RESCOM!$AY$2:$AY$100,RESCOM!$C9)/SUMIFS(BY_RESCOM!AL$2:AL$100,BY_RESCOM!$AX$2:$AX$100,RESCOM!$B9),"")</f>
        <v>0.19282851647711038</v>
      </c>
      <c r="AE9" s="3">
        <f>IFERROR(SUMIFS(BY_RESCOM!AM$2:AM$100,BY_RESCOM!$AX$2:$AX$100,RESCOM!$B9,BY_RESCOM!$AY$2:$AY$100,RESCOM!$C9)/SUMIFS(BY_RESCOM!AM$2:AM$100,BY_RESCOM!$AX$2:$AX$100,RESCOM!$B9),"")</f>
        <v>2.8801843317972291E-2</v>
      </c>
      <c r="AF9" s="3">
        <f>IFERROR(SUMIFS(BY_RESCOM!AN$2:AN$100,BY_RESCOM!$AX$2:$AX$100,RESCOM!$B9,BY_RESCOM!$AY$2:$AY$100,RESCOM!$C9)/SUMIFS(BY_RESCOM!AN$2:AN$100,BY_RESCOM!$AX$2:$AX$100,RESCOM!$B9),"")</f>
        <v>2.880184331797234E-2</v>
      </c>
      <c r="AG9" s="3" t="str">
        <f>IFERROR(SUMIFS(BY_RESCOM!AO$2:AO$100,BY_RESCOM!$AX$2:$AX$100,RESCOM!$B9,BY_RESCOM!$AY$2:$AY$100,RESCOM!$C9)/SUMIFS(BY_RESCOM!AO$2:AO$100,BY_RESCOM!$AX$2:$AX$100,RESCOM!$B9),"")</f>
        <v/>
      </c>
      <c r="AH9" s="3" t="str">
        <f>IFERROR(SUMIFS(BY_RESCOM!AP$2:AP$100,BY_RESCOM!$AX$2:$AX$100,RESCOM!$B9,BY_RESCOM!$AY$2:$AY$100,RESCOM!$C9)/SUMIFS(BY_RESCOM!AP$2:AP$100,BY_RESCOM!$AX$2:$AX$100,RESCOM!$B9),"")</f>
        <v/>
      </c>
      <c r="AJ9" t="s">
        <v>114</v>
      </c>
      <c r="AK9" t="s">
        <v>116</v>
      </c>
      <c r="AL9" t="s">
        <v>468</v>
      </c>
      <c r="AM9" t="str">
        <f>AL9</f>
        <v>CLA,CRF</v>
      </c>
      <c r="AN9">
        <v>0.25</v>
      </c>
      <c r="AO9">
        <v>5</v>
      </c>
      <c r="AQ9">
        <v>2020</v>
      </c>
      <c r="AR9" t="str">
        <f>AR3</f>
        <v>RCK</v>
      </c>
      <c r="AS9" t="str">
        <f>"*"&amp;AS3</f>
        <v>*NGA</v>
      </c>
      <c r="AU9" s="4">
        <f>AU3</f>
        <v>0.30105438401775803</v>
      </c>
      <c r="AV9" s="4">
        <f t="shared" ref="AV9:BI10" si="0">AV3</f>
        <v>0</v>
      </c>
      <c r="AW9" s="4">
        <f t="shared" si="0"/>
        <v>0.54084961852496316</v>
      </c>
      <c r="AX9" s="4">
        <f t="shared" si="0"/>
        <v>0.5911714987401524</v>
      </c>
      <c r="AY9" s="4">
        <f t="shared" si="0"/>
        <v>0.45181388361097607</v>
      </c>
      <c r="AZ9" s="4">
        <f t="shared" si="0"/>
        <v>0.17544063103934135</v>
      </c>
      <c r="BA9" s="4">
        <f t="shared" si="0"/>
        <v>0.22388663967611336</v>
      </c>
      <c r="BB9" s="4">
        <f t="shared" si="0"/>
        <v>1.7461618898236612E-2</v>
      </c>
      <c r="BC9" s="4">
        <f t="shared" si="0"/>
        <v>0.12819901987476176</v>
      </c>
      <c r="BD9" s="4">
        <f t="shared" si="0"/>
        <v>0.38076154827824693</v>
      </c>
      <c r="BE9" s="4">
        <f t="shared" si="0"/>
        <v>2.1060364883066E-2</v>
      </c>
      <c r="BF9" s="4">
        <f t="shared" si="0"/>
        <v>0.31514485002787029</v>
      </c>
      <c r="BG9" s="4">
        <f t="shared" si="0"/>
        <v>0.30904668133904784</v>
      </c>
      <c r="BH9" s="4">
        <f t="shared" si="0"/>
        <v>0.29959572974412357</v>
      </c>
      <c r="BI9" s="4">
        <f t="shared" si="0"/>
        <v>0.41262484136180549</v>
      </c>
      <c r="BJ9" s="4">
        <f t="shared" ref="BJ9:BK9" si="1">BJ3</f>
        <v>9.0236210336615816E-2</v>
      </c>
      <c r="BK9" s="4">
        <f t="shared" si="1"/>
        <v>0.61425321411565525</v>
      </c>
      <c r="BL9" s="4">
        <f t="shared" ref="BL9:BV9" si="2">BL3</f>
        <v>0.14069778967191993</v>
      </c>
      <c r="BM9" s="4">
        <f t="shared" si="2"/>
        <v>0.26569413824913612</v>
      </c>
      <c r="BN9" s="4">
        <f t="shared" si="2"/>
        <v>5.7455344148512081E-3</v>
      </c>
      <c r="BO9" s="4">
        <f t="shared" si="2"/>
        <v>6.150312897658932E-2</v>
      </c>
      <c r="BP9" s="4">
        <f t="shared" si="2"/>
        <v>5.1364884509772245E-2</v>
      </c>
      <c r="BQ9" s="4">
        <f t="shared" si="2"/>
        <v>0.40892621486894198</v>
      </c>
      <c r="BR9" s="4">
        <f t="shared" si="2"/>
        <v>8.0314834149867496E-5</v>
      </c>
      <c r="BS9" s="4">
        <f t="shared" si="2"/>
        <v>0.68045880449655016</v>
      </c>
      <c r="BT9" s="4">
        <f t="shared" si="2"/>
        <v>0</v>
      </c>
      <c r="BU9" s="4">
        <f t="shared" si="2"/>
        <v>1.135360161473445E-3</v>
      </c>
      <c r="BV9" s="4">
        <f t="shared" si="2"/>
        <v>0.34143761103459291</v>
      </c>
      <c r="BW9" s="4">
        <f t="shared" ref="BW9:BX9" si="3">BW3</f>
        <v>0.38719992942759163</v>
      </c>
      <c r="BX9" s="4" t="e">
        <f t="shared" si="3"/>
        <v>#DIV/0!</v>
      </c>
      <c r="BY9" s="4" t="str">
        <f t="shared" ref="BY9:BY17" si="4">AR9</f>
        <v>RCK</v>
      </c>
      <c r="BZ9" t="s">
        <v>55</v>
      </c>
      <c r="CB9" t="str">
        <f>"Techs_"&amp;AR9&amp;AS3</f>
        <v>Techs_RCKNGA</v>
      </c>
    </row>
    <row r="10" spans="2:82">
      <c r="B10" t="s">
        <v>44</v>
      </c>
      <c r="C10" t="s">
        <v>106</v>
      </c>
      <c r="D10" s="3">
        <f>IFERROR(SUMIFS(BY_RESCOM!L$2:L$100,BY_RESCOM!$AX$2:$AX$100,RESCOM!$B10,BY_RESCOM!$AY$2:$AY$100,RESCOM!$C10)/SUMIFS(BY_RESCOM!L$2:L$100,BY_RESCOM!$AX$2:$AX$100,RESCOM!$B10),"")</f>
        <v>0.50937784020490784</v>
      </c>
      <c r="E10" s="3">
        <f>IFERROR(SUMIFS(BY_RESCOM!M$2:M$100,BY_RESCOM!$AX$2:$AX$100,RESCOM!$B10,BY_RESCOM!$AY$2:$AY$100,RESCOM!$C10)/SUMIFS(BY_RESCOM!M$2:M$100,BY_RESCOM!$AX$2:$AX$100,RESCOM!$B10),"")</f>
        <v>0.50669090464697075</v>
      </c>
      <c r="F10" s="3">
        <f>IFERROR(SUMIFS(BY_RESCOM!N$2:N$100,BY_RESCOM!$AX$2:$AX$100,RESCOM!$B10,BY_RESCOM!$AY$2:$AY$100,RESCOM!$C10)/SUMIFS(BY_RESCOM!N$2:N$100,BY_RESCOM!$AX$2:$AX$100,RESCOM!$B10),"")</f>
        <v>0.4828784626392722</v>
      </c>
      <c r="G10" s="3">
        <f>IFERROR(SUMIFS(BY_RESCOM!O$2:O$100,BY_RESCOM!$AX$2:$AX$100,RESCOM!$B10,BY_RESCOM!$AY$2:$AY$100,RESCOM!$C10)/SUMIFS(BY_RESCOM!O$2:O$100,BY_RESCOM!$AX$2:$AX$100,RESCOM!$B10),"")</f>
        <v>0.43603533312898818</v>
      </c>
      <c r="H10" s="3" t="str">
        <f>IFERROR(SUMIFS(BY_RESCOM!P$2:P$100,BY_RESCOM!$AX$2:$AX$100,RESCOM!$B10,BY_RESCOM!$AY$2:$AY$100,RESCOM!$C10)/SUMIFS(BY_RESCOM!P$2:P$100,BY_RESCOM!$AX$2:$AX$100,RESCOM!$B10),"")</f>
        <v/>
      </c>
      <c r="I10" s="3">
        <f>IFERROR(SUMIFS(BY_RESCOM!Q$2:Q$100,BY_RESCOM!$AX$2:$AX$100,RESCOM!$B10,BY_RESCOM!$AY$2:$AY$100,RESCOM!$C10)/SUMIFS(BY_RESCOM!Q$2:Q$100,BY_RESCOM!$AX$2:$AX$100,RESCOM!$B10),"")</f>
        <v>0.43592672435137714</v>
      </c>
      <c r="J10" s="3">
        <f>IFERROR(SUMIFS(BY_RESCOM!R$2:R$100,BY_RESCOM!$AX$2:$AX$100,RESCOM!$B10,BY_RESCOM!$AY$2:$AY$100,RESCOM!$C10)/SUMIFS(BY_RESCOM!R$2:R$100,BY_RESCOM!$AX$2:$AX$100,RESCOM!$B10),"")</f>
        <v>0.19762612622835485</v>
      </c>
      <c r="K10" s="3">
        <f>IFERROR(SUMIFS(BY_RESCOM!S$2:S$100,BY_RESCOM!$AX$2:$AX$100,RESCOM!$B10,BY_RESCOM!$AY$2:$AY$100,RESCOM!$C10)/SUMIFS(BY_RESCOM!S$2:S$100,BY_RESCOM!$AX$2:$AX$100,RESCOM!$B10),"")</f>
        <v>0.48288586506762898</v>
      </c>
      <c r="L10" s="3">
        <f>IFERROR(SUMIFS(BY_RESCOM!T$2:T$100,BY_RESCOM!$AX$2:$AX$100,RESCOM!$B10,BY_RESCOM!$AY$2:$AY$100,RESCOM!$C10)/SUMIFS(BY_RESCOM!T$2:T$100,BY_RESCOM!$AX$2:$AX$100,RESCOM!$B10),"")</f>
        <v>0.2433647570703408</v>
      </c>
      <c r="M10" s="3">
        <f>IFERROR(SUMIFS(BY_RESCOM!U$2:U$100,BY_RESCOM!$AX$2:$AX$100,RESCOM!$B10,BY_RESCOM!$AY$2:$AY$100,RESCOM!$C10)/SUMIFS(BY_RESCOM!U$2:U$100,BY_RESCOM!$AX$2:$AX$100,RESCOM!$B10),"")</f>
        <v>0.15266122411748609</v>
      </c>
      <c r="N10" s="3">
        <f>IFERROR(SUMIFS(BY_RESCOM!V$2:V$100,BY_RESCOM!$AX$2:$AX$100,RESCOM!$B10,BY_RESCOM!$AY$2:$AY$100,RESCOM!$C10)/SUMIFS(BY_RESCOM!V$2:V$100,BY_RESCOM!$AX$2:$AX$100,RESCOM!$B10),"")</f>
        <v>0.2652954645884385</v>
      </c>
      <c r="O10" s="3">
        <f>IFERROR(SUMIFS(BY_RESCOM!W$2:W$100,BY_RESCOM!$AX$2:$AX$100,RESCOM!$B10,BY_RESCOM!$AY$2:$AY$100,RESCOM!$C10)/SUMIFS(BY_RESCOM!W$2:W$100,BY_RESCOM!$AX$2:$AX$100,RESCOM!$B10),"")</f>
        <v>0.50948509485094851</v>
      </c>
      <c r="P10" s="3">
        <f>IFERROR(SUMIFS(BY_RESCOM!X$2:X$100,BY_RESCOM!$AX$2:$AX$100,RESCOM!$B10,BY_RESCOM!$AY$2:$AY$100,RESCOM!$C10)/SUMIFS(BY_RESCOM!X$2:X$100,BY_RESCOM!$AX$2:$AX$100,RESCOM!$B10),"")</f>
        <v>0.26530117561507699</v>
      </c>
      <c r="Q10" s="3">
        <f>IFERROR(SUMIFS(BY_RESCOM!Y$2:Y$100,BY_RESCOM!$AX$2:$AX$100,RESCOM!$B10,BY_RESCOM!$AY$2:$AY$100,RESCOM!$C10)/SUMIFS(BY_RESCOM!Y$2:Y$100,BY_RESCOM!$AX$2:$AX$100,RESCOM!$B10),"")</f>
        <v>0.2652973128529803</v>
      </c>
      <c r="R10" s="3">
        <f>IFERROR(SUMIFS(BY_RESCOM!Z$2:Z$100,BY_RESCOM!$AX$2:$AX$100,RESCOM!$B10,BY_RESCOM!$AY$2:$AY$100,RESCOM!$C10)/SUMIFS(BY_RESCOM!Z$2:Z$100,BY_RESCOM!$AX$2:$AX$100,RESCOM!$B10),"")</f>
        <v>0.50952858575727178</v>
      </c>
      <c r="S10" s="3">
        <f>IFERROR(SUMIFS(BY_RESCOM!AA$2:AA$100,BY_RESCOM!$AX$2:$AX$100,RESCOM!$B10,BY_RESCOM!$AY$2:$AY$100,RESCOM!$C10)/SUMIFS(BY_RESCOM!AA$2:AA$100,BY_RESCOM!$AX$2:$AX$100,RESCOM!$B10),"")</f>
        <v>0.2652878982711816</v>
      </c>
      <c r="T10" s="3">
        <f>IFERROR(SUMIFS(BY_RESCOM!AB$2:AB$100,BY_RESCOM!$AX$2:$AX$100,RESCOM!$B10,BY_RESCOM!$AY$2:$AY$100,RESCOM!$C10)/SUMIFS(BY_RESCOM!AB$2:AB$100,BY_RESCOM!$AX$2:$AX$100,RESCOM!$B10),"")</f>
        <v>0.50954913199114404</v>
      </c>
      <c r="U10" s="3">
        <f>IFERROR(SUMIFS(BY_RESCOM!AC$2:AC$100,BY_RESCOM!$AX$2:$AX$100,RESCOM!$B10,BY_RESCOM!$AY$2:$AY$100,RESCOM!$C10)/SUMIFS(BY_RESCOM!AC$2:AC$100,BY_RESCOM!$AX$2:$AX$100,RESCOM!$B10),"")</f>
        <v>0.26528763109191855</v>
      </c>
      <c r="V10" s="3">
        <f>IFERROR(SUMIFS(BY_RESCOM!AD$2:AD$100,BY_RESCOM!$AX$2:$AX$100,RESCOM!$B10,BY_RESCOM!$AY$2:$AY$100,RESCOM!$C10)/SUMIFS(BY_RESCOM!AD$2:AD$100,BY_RESCOM!$AX$2:$AX$100,RESCOM!$B10),"")</f>
        <v>0.26528129258321981</v>
      </c>
      <c r="W10" s="3">
        <f>IFERROR(SUMIFS(BY_RESCOM!AE$2:AE$100,BY_RESCOM!$AX$2:$AX$100,RESCOM!$B10,BY_RESCOM!$AY$2:$AY$100,RESCOM!$C10)/SUMIFS(BY_RESCOM!AE$2:AE$100,BY_RESCOM!$AX$2:$AX$100,RESCOM!$B10),"")</f>
        <v>0.21739188414300761</v>
      </c>
      <c r="X10" s="3">
        <f>IFERROR(SUMIFS(BY_RESCOM!AF$2:AF$100,BY_RESCOM!$AX$2:$AX$100,RESCOM!$B10,BY_RESCOM!$AY$2:$AY$100,RESCOM!$C10)/SUMIFS(BY_RESCOM!AF$2:AF$100,BY_RESCOM!$AX$2:$AX$100,RESCOM!$B10),"")</f>
        <v>0.48287397897668421</v>
      </c>
      <c r="Y10" s="3">
        <f>IFERROR(SUMIFS(BY_RESCOM!AG$2:AG$100,BY_RESCOM!$AX$2:$AX$100,RESCOM!$B10,BY_RESCOM!$AY$2:$AY$100,RESCOM!$C10)/SUMIFS(BY_RESCOM!AG$2:AG$100,BY_RESCOM!$AX$2:$AX$100,RESCOM!$B10),"")</f>
        <v>0.49651389316107863</v>
      </c>
      <c r="Z10" s="3">
        <f>IFERROR(SUMIFS(BY_RESCOM!AH$2:AH$100,BY_RESCOM!$AX$2:$AX$100,RESCOM!$B10,BY_RESCOM!$AY$2:$AY$100,RESCOM!$C10)/SUMIFS(BY_RESCOM!AH$2:AH$100,BY_RESCOM!$AX$2:$AX$100,RESCOM!$B10),"")</f>
        <v>0.50954168088252028</v>
      </c>
      <c r="AA10" s="3">
        <f>IFERROR(SUMIFS(BY_RESCOM!AI$2:AI$100,BY_RESCOM!$AX$2:$AX$100,RESCOM!$B10,BY_RESCOM!$AY$2:$AY$100,RESCOM!$C10)/SUMIFS(BY_RESCOM!AI$2:AI$100,BY_RESCOM!$AX$2:$AX$100,RESCOM!$B10),"")</f>
        <v>0.26530305309069036</v>
      </c>
      <c r="AB10" s="3">
        <f>IFERROR(SUMIFS(BY_RESCOM!AJ$2:AJ$100,BY_RESCOM!$AX$2:$AX$100,RESCOM!$B10,BY_RESCOM!$AY$2:$AY$100,RESCOM!$C10)/SUMIFS(BY_RESCOM!AJ$2:AJ$100,BY_RESCOM!$AX$2:$AX$100,RESCOM!$B10),"")</f>
        <v>0.43605106012141137</v>
      </c>
      <c r="AC10" s="3">
        <f>IFERROR(SUMIFS(BY_RESCOM!AK$2:AK$100,BY_RESCOM!$AX$2:$AX$100,RESCOM!$B10,BY_RESCOM!$AY$2:$AY$100,RESCOM!$C10)/SUMIFS(BY_RESCOM!AK$2:AK$100,BY_RESCOM!$AX$2:$AX$100,RESCOM!$B10),"")</f>
        <v>0.50955821390500999</v>
      </c>
      <c r="AD10" s="3">
        <f>IFERROR(SUMIFS(BY_RESCOM!AL$2:AL$100,BY_RESCOM!$AX$2:$AX$100,RESCOM!$B10,BY_RESCOM!$AY$2:$AY$100,RESCOM!$C10)/SUMIFS(BY_RESCOM!AL$2:AL$100,BY_RESCOM!$AX$2:$AX$100,RESCOM!$B10),"")</f>
        <v>0.50855124700645882</v>
      </c>
      <c r="AE10" s="3">
        <f>IFERROR(SUMIFS(BY_RESCOM!AM$2:AM$100,BY_RESCOM!$AX$2:$AX$100,RESCOM!$B10,BY_RESCOM!$AY$2:$AY$100,RESCOM!$C10)/SUMIFS(BY_RESCOM!AM$2:AM$100,BY_RESCOM!$AX$2:$AX$100,RESCOM!$B10),"")</f>
        <v>0.26528070227468192</v>
      </c>
      <c r="AF10" s="3">
        <f>IFERROR(SUMIFS(BY_RESCOM!AN$2:AN$100,BY_RESCOM!$AX$2:$AX$100,RESCOM!$B10,BY_RESCOM!$AY$2:$AY$100,RESCOM!$C10)/SUMIFS(BY_RESCOM!AN$2:AN$100,BY_RESCOM!$AX$2:$AX$100,RESCOM!$B10),"")</f>
        <v>0.26528778532303493</v>
      </c>
      <c r="AG10" s="3" t="str">
        <f>IFERROR(SUMIFS(BY_RESCOM!AO$2:AO$100,BY_RESCOM!$AX$2:$AX$100,RESCOM!$B10,BY_RESCOM!$AY$2:$AY$100,RESCOM!$C10)/SUMIFS(BY_RESCOM!AO$2:AO$100,BY_RESCOM!$AX$2:$AX$100,RESCOM!$B10),"")</f>
        <v/>
      </c>
      <c r="AH10" s="3" t="str">
        <f>IFERROR(SUMIFS(BY_RESCOM!AP$2:AP$100,BY_RESCOM!$AX$2:$AX$100,RESCOM!$B10,BY_RESCOM!$AY$2:$AY$100,RESCOM!$C10)/SUMIFS(BY_RESCOM!AP$2:AP$100,BY_RESCOM!$AX$2:$AX$100,RESCOM!$B10),"")</f>
        <v/>
      </c>
      <c r="AJ10" t="s">
        <v>114</v>
      </c>
      <c r="AK10" t="s">
        <v>116</v>
      </c>
      <c r="AL10" t="s">
        <v>679</v>
      </c>
      <c r="AM10" t="str">
        <f>AL10</f>
        <v>RLI,RRF,RSH</v>
      </c>
      <c r="AN10">
        <v>0.25</v>
      </c>
      <c r="AO10">
        <v>5</v>
      </c>
      <c r="AQ10">
        <v>2020</v>
      </c>
      <c r="AR10" t="str">
        <f>AR4</f>
        <v>CCK</v>
      </c>
      <c r="AS10" t="str">
        <f>"*"&amp;AS4</f>
        <v>*NGA</v>
      </c>
      <c r="AU10" s="4">
        <f>AU4</f>
        <v>0.3829790463449681</v>
      </c>
      <c r="AV10" s="4">
        <f t="shared" si="0"/>
        <v>5.1223265208180961E-4</v>
      </c>
      <c r="AW10" s="4">
        <f t="shared" si="0"/>
        <v>0.55327571146679411</v>
      </c>
      <c r="AX10" s="4">
        <f t="shared" si="0"/>
        <v>0.95063443136448222</v>
      </c>
      <c r="AY10" s="4">
        <f t="shared" si="0"/>
        <v>0.99835962647253407</v>
      </c>
      <c r="AZ10" s="4">
        <f t="shared" si="0"/>
        <v>0.15160695992223669</v>
      </c>
      <c r="BA10" s="4">
        <f t="shared" si="0"/>
        <v>0.24135765311363966</v>
      </c>
      <c r="BB10" s="4">
        <f t="shared" si="0"/>
        <v>9.7663013051028494E-2</v>
      </c>
      <c r="BC10" s="4">
        <f t="shared" si="0"/>
        <v>0.47748675274956259</v>
      </c>
      <c r="BD10" s="4">
        <f t="shared" si="0"/>
        <v>0.40738672844431578</v>
      </c>
      <c r="BE10" s="4">
        <f t="shared" si="0"/>
        <v>0.20895092301948454</v>
      </c>
      <c r="BF10" s="4">
        <f t="shared" si="0"/>
        <v>0.68666106305909547</v>
      </c>
      <c r="BG10" s="4">
        <f t="shared" si="0"/>
        <v>0.68998267281584535</v>
      </c>
      <c r="BH10" s="4">
        <f t="shared" si="0"/>
        <v>0.65842206962323158</v>
      </c>
      <c r="BI10" s="4">
        <f t="shared" si="0"/>
        <v>0.77517079076680107</v>
      </c>
      <c r="BJ10" s="4">
        <f t="shared" ref="BJ10:BK10" si="5">BJ4</f>
        <v>0.45231065536008513</v>
      </c>
      <c r="BK10" s="4">
        <f t="shared" si="5"/>
        <v>0.71997294924641453</v>
      </c>
      <c r="BL10" s="4">
        <f t="shared" ref="BL10:BV10" si="6">BL4</f>
        <v>0.60876750415852299</v>
      </c>
      <c r="BM10" s="4">
        <f t="shared" si="6"/>
        <v>0.72367759794622399</v>
      </c>
      <c r="BN10" s="4">
        <f t="shared" si="6"/>
        <v>0.27320030429331699</v>
      </c>
      <c r="BO10" s="4">
        <f t="shared" si="6"/>
        <v>0.33278783178818916</v>
      </c>
      <c r="BP10" s="4">
        <f t="shared" si="6"/>
        <v>0.10669076907992434</v>
      </c>
      <c r="BQ10" s="4">
        <f t="shared" si="6"/>
        <v>0.88807900498960457</v>
      </c>
      <c r="BR10" s="4">
        <f t="shared" si="6"/>
        <v>9.1274371774471008E-2</v>
      </c>
      <c r="BS10" s="4">
        <f t="shared" si="6"/>
        <v>0.68025218747006244</v>
      </c>
      <c r="BT10" s="4">
        <f t="shared" si="6"/>
        <v>0</v>
      </c>
      <c r="BU10" s="4">
        <f t="shared" si="6"/>
        <v>3.9928270396971548E-2</v>
      </c>
      <c r="BV10" s="4">
        <f t="shared" si="6"/>
        <v>0.56753943144357855</v>
      </c>
      <c r="BW10" s="4">
        <f t="shared" ref="BW10:BX10" si="7">BW4</f>
        <v>0.83307492142816519</v>
      </c>
      <c r="BX10" s="4" t="e">
        <f t="shared" si="7"/>
        <v>#DIV/0!</v>
      </c>
      <c r="BY10" s="4" t="str">
        <f t="shared" si="4"/>
        <v>CCK</v>
      </c>
      <c r="BZ10" t="s">
        <v>55</v>
      </c>
      <c r="CB10" t="str">
        <f>"Techs_"&amp;AR10&amp;AS4</f>
        <v>Techs_CCKNGA</v>
      </c>
    </row>
    <row r="11" spans="2:82">
      <c r="B11" t="s">
        <v>46</v>
      </c>
      <c r="C11" t="s">
        <v>47</v>
      </c>
      <c r="D11" s="3">
        <f>IFERROR(SUMIFS(BY_RESCOM!L$2:L$100,BY_RESCOM!$AX$2:$AX$100,RESCOM!$B11,BY_RESCOM!$AY$2:$AY$100,RESCOM!$C11)/SUMIFS(BY_RESCOM!L$2:L$100,BY_RESCOM!$AX$2:$AX$100,RESCOM!$B11),"")</f>
        <v>0</v>
      </c>
      <c r="E11" s="3">
        <f>IFERROR(SUMIFS(BY_RESCOM!M$2:M$100,BY_RESCOM!$AX$2:$AX$100,RESCOM!$B11,BY_RESCOM!$AY$2:$AY$100,RESCOM!$C11)/SUMIFS(BY_RESCOM!M$2:M$100,BY_RESCOM!$AX$2:$AX$100,RESCOM!$B11),"")</f>
        <v>2.3927979151859749E-2</v>
      </c>
      <c r="F11" s="3">
        <f>IFERROR(SUMIFS(BY_RESCOM!N$2:N$100,BY_RESCOM!$AX$2:$AX$100,RESCOM!$B11,BY_RESCOM!$AY$2:$AY$100,RESCOM!$C11)/SUMIFS(BY_RESCOM!N$2:N$100,BY_RESCOM!$AX$2:$AX$100,RESCOM!$B11),"")</f>
        <v>0</v>
      </c>
      <c r="G11" s="3">
        <f>IFERROR(SUMIFS(BY_RESCOM!O$2:O$100,BY_RESCOM!$AX$2:$AX$100,RESCOM!$B11,BY_RESCOM!$AY$2:$AY$100,RESCOM!$C11)/SUMIFS(BY_RESCOM!O$2:O$100,BY_RESCOM!$AX$2:$AX$100,RESCOM!$B11),"")</f>
        <v>0.16600350446213424</v>
      </c>
      <c r="H11" s="3">
        <f>IFERROR(SUMIFS(BY_RESCOM!P$2:P$100,BY_RESCOM!$AX$2:$AX$100,RESCOM!$B11,BY_RESCOM!$AY$2:$AY$100,RESCOM!$C11)/SUMIFS(BY_RESCOM!P$2:P$100,BY_RESCOM!$AX$2:$AX$100,RESCOM!$B11),"")</f>
        <v>9.4612305040113493E-3</v>
      </c>
      <c r="I11" s="3" t="str">
        <f>IFERROR(SUMIFS(BY_RESCOM!Q$2:Q$100,BY_RESCOM!$AX$2:$AX$100,RESCOM!$B11,BY_RESCOM!$AY$2:$AY$100,RESCOM!$C11)/SUMIFS(BY_RESCOM!Q$2:Q$100,BY_RESCOM!$AX$2:$AX$100,RESCOM!$B11),"")</f>
        <v/>
      </c>
      <c r="J11" s="3">
        <f>IFERROR(SUMIFS(BY_RESCOM!R$2:R$100,BY_RESCOM!$AX$2:$AX$100,RESCOM!$B11,BY_RESCOM!$AY$2:$AY$100,RESCOM!$C11)/SUMIFS(BY_RESCOM!R$2:R$100,BY_RESCOM!$AX$2:$AX$100,RESCOM!$B11),"")</f>
        <v>1.3199336813808865E-3</v>
      </c>
      <c r="K11" s="3">
        <f>IFERROR(SUMIFS(BY_RESCOM!S$2:S$100,BY_RESCOM!$AX$2:$AX$100,RESCOM!$B11,BY_RESCOM!$AY$2:$AY$100,RESCOM!$C11)/SUMIFS(BY_RESCOM!S$2:S$100,BY_RESCOM!$AX$2:$AX$100,RESCOM!$B11),"")</f>
        <v>0</v>
      </c>
      <c r="L11" s="3">
        <f>IFERROR(SUMIFS(BY_RESCOM!T$2:T$100,BY_RESCOM!$AX$2:$AX$100,RESCOM!$B11,BY_RESCOM!$AY$2:$AY$100,RESCOM!$C11)/SUMIFS(BY_RESCOM!T$2:T$100,BY_RESCOM!$AX$2:$AX$100,RESCOM!$B11),"")</f>
        <v>0</v>
      </c>
      <c r="M11" s="3">
        <f>IFERROR(SUMIFS(BY_RESCOM!U$2:U$100,BY_RESCOM!$AX$2:$AX$100,RESCOM!$B11,BY_RESCOM!$AY$2:$AY$100,RESCOM!$C11)/SUMIFS(BY_RESCOM!U$2:U$100,BY_RESCOM!$AX$2:$AX$100,RESCOM!$B11),"")</f>
        <v>0.22265097894355976</v>
      </c>
      <c r="N11" s="3">
        <f>IFERROR(SUMIFS(BY_RESCOM!V$2:V$100,BY_RESCOM!$AX$2:$AX$100,RESCOM!$B11,BY_RESCOM!$AY$2:$AY$100,RESCOM!$C11)/SUMIFS(BY_RESCOM!V$2:V$100,BY_RESCOM!$AX$2:$AX$100,RESCOM!$B11),"")</f>
        <v>2.9970523959534366E-4</v>
      </c>
      <c r="O11" s="3">
        <f>IFERROR(SUMIFS(BY_RESCOM!W$2:W$100,BY_RESCOM!$AX$2:$AX$100,RESCOM!$B11,BY_RESCOM!$AY$2:$AY$100,RESCOM!$C11)/SUMIFS(BY_RESCOM!W$2:W$100,BY_RESCOM!$AX$2:$AX$100,RESCOM!$B11),"")</f>
        <v>0.21048353961482114</v>
      </c>
      <c r="P11" s="3">
        <f>IFERROR(SUMIFS(BY_RESCOM!X$2:X$100,BY_RESCOM!$AX$2:$AX$100,RESCOM!$B11,BY_RESCOM!$AY$2:$AY$100,RESCOM!$C11)/SUMIFS(BY_RESCOM!X$2:X$100,BY_RESCOM!$AX$2:$AX$100,RESCOM!$B11),"")</f>
        <v>2.2704814311600124E-2</v>
      </c>
      <c r="Q11" s="3">
        <f>IFERROR(SUMIFS(BY_RESCOM!Y$2:Y$100,BY_RESCOM!$AX$2:$AX$100,RESCOM!$B11,BY_RESCOM!$AY$2:$AY$100,RESCOM!$C11)/SUMIFS(BY_RESCOM!Y$2:Y$100,BY_RESCOM!$AX$2:$AX$100,RESCOM!$B11),"")</f>
        <v>1.2792122085980004E-4</v>
      </c>
      <c r="R11" s="3">
        <f>IFERROR(SUMIFS(BY_RESCOM!Z$2:Z$100,BY_RESCOM!$AX$2:$AX$100,RESCOM!$B11,BY_RESCOM!$AY$2:$AY$100,RESCOM!$C11)/SUMIFS(BY_RESCOM!Z$2:Z$100,BY_RESCOM!$AX$2:$AX$100,RESCOM!$B11),"")</f>
        <v>1.9767874226097003E-2</v>
      </c>
      <c r="S11" s="3">
        <f>IFERROR(SUMIFS(BY_RESCOM!AA$2:AA$100,BY_RESCOM!$AX$2:$AX$100,RESCOM!$B11,BY_RESCOM!$AY$2:$AY$100,RESCOM!$C11)/SUMIFS(BY_RESCOM!AA$2:AA$100,BY_RESCOM!$AX$2:$AX$100,RESCOM!$B11),"")</f>
        <v>6.393541529854563E-3</v>
      </c>
      <c r="T11" s="3">
        <f>IFERROR(SUMIFS(BY_RESCOM!AB$2:AB$100,BY_RESCOM!$AX$2:$AX$100,RESCOM!$B11,BY_RESCOM!$AY$2:$AY$100,RESCOM!$C11)/SUMIFS(BY_RESCOM!AB$2:AB$100,BY_RESCOM!$AX$2:$AX$100,RESCOM!$B11),"")</f>
        <v>5.2370697061426677E-2</v>
      </c>
      <c r="U11" s="3">
        <f>IFERROR(SUMIFS(BY_RESCOM!AC$2:AC$100,BY_RESCOM!$AX$2:$AX$100,RESCOM!$B11,BY_RESCOM!$AY$2:$AY$100,RESCOM!$C11)/SUMIFS(BY_RESCOM!AC$2:AC$100,BY_RESCOM!$AX$2:$AX$100,RESCOM!$B11),"")</f>
        <v>9.8215281971296832E-4</v>
      </c>
      <c r="V11" s="3">
        <f>IFERROR(SUMIFS(BY_RESCOM!AD$2:AD$100,BY_RESCOM!$AX$2:$AX$100,RESCOM!$B11,BY_RESCOM!$AY$2:$AY$100,RESCOM!$C11)/SUMIFS(BY_RESCOM!AD$2:AD$100,BY_RESCOM!$AX$2:$AX$100,RESCOM!$B11),"")</f>
        <v>7.2702220678587852E-3</v>
      </c>
      <c r="W11" s="3" t="str">
        <f>IFERROR(SUMIFS(BY_RESCOM!AE$2:AE$100,BY_RESCOM!$AX$2:$AX$100,RESCOM!$B11,BY_RESCOM!$AY$2:$AY$100,RESCOM!$C11)/SUMIFS(BY_RESCOM!AE$2:AE$100,BY_RESCOM!$AX$2:$AX$100,RESCOM!$B11),"")</f>
        <v/>
      </c>
      <c r="X11" s="3">
        <f>IFERROR(SUMIFS(BY_RESCOM!AF$2:AF$100,BY_RESCOM!$AX$2:$AX$100,RESCOM!$B11,BY_RESCOM!$AY$2:$AY$100,RESCOM!$C11)/SUMIFS(BY_RESCOM!AF$2:AF$100,BY_RESCOM!$AX$2:$AX$100,RESCOM!$B11),"")</f>
        <v>1.3991614097382239E-2</v>
      </c>
      <c r="Y11" s="3">
        <f>IFERROR(SUMIFS(BY_RESCOM!AG$2:AG$100,BY_RESCOM!$AX$2:$AX$100,RESCOM!$B11,BY_RESCOM!$AY$2:$AY$100,RESCOM!$C11)/SUMIFS(BY_RESCOM!AG$2:AG$100,BY_RESCOM!$AX$2:$AX$100,RESCOM!$B11),"")</f>
        <v>0</v>
      </c>
      <c r="Z11" s="3">
        <f>IFERROR(SUMIFS(BY_RESCOM!AH$2:AH$100,BY_RESCOM!$AX$2:$AX$100,RESCOM!$B11,BY_RESCOM!$AY$2:$AY$100,RESCOM!$C11)/SUMIFS(BY_RESCOM!AH$2:AH$100,BY_RESCOM!$AX$2:$AX$100,RESCOM!$B11),"")</f>
        <v>1.8059577010324826E-4</v>
      </c>
      <c r="AA11" s="3">
        <f>IFERROR(SUMIFS(BY_RESCOM!AI$2:AI$100,BY_RESCOM!$AX$2:$AX$100,RESCOM!$B11,BY_RESCOM!$AY$2:$AY$100,RESCOM!$C11)/SUMIFS(BY_RESCOM!AI$2:AI$100,BY_RESCOM!$AX$2:$AX$100,RESCOM!$B11),"")</f>
        <v>0</v>
      </c>
      <c r="AB11" s="3">
        <f>IFERROR(SUMIFS(BY_RESCOM!AJ$2:AJ$100,BY_RESCOM!$AX$2:$AX$100,RESCOM!$B11,BY_RESCOM!$AY$2:$AY$100,RESCOM!$C11)/SUMIFS(BY_RESCOM!AJ$2:AJ$100,BY_RESCOM!$AX$2:$AX$100,RESCOM!$B11),"")</f>
        <v>1.1623348530873871E-2</v>
      </c>
      <c r="AC11" s="3">
        <f>IFERROR(SUMIFS(BY_RESCOM!AK$2:AK$100,BY_RESCOM!$AX$2:$AX$100,RESCOM!$B11,BY_RESCOM!$AY$2:$AY$100,RESCOM!$C11)/SUMIFS(BY_RESCOM!AK$2:AK$100,BY_RESCOM!$AX$2:$AX$100,RESCOM!$B11),"")</f>
        <v>0</v>
      </c>
      <c r="AD11" s="3">
        <f>IFERROR(SUMIFS(BY_RESCOM!AL$2:AL$100,BY_RESCOM!$AX$2:$AX$100,RESCOM!$B11,BY_RESCOM!$AY$2:$AY$100,RESCOM!$C11)/SUMIFS(BY_RESCOM!AL$2:AL$100,BY_RESCOM!$AX$2:$AX$100,RESCOM!$B11),"")</f>
        <v>0.99349743901260468</v>
      </c>
      <c r="AE11" s="3">
        <f>IFERROR(SUMIFS(BY_RESCOM!AM$2:AM$100,BY_RESCOM!$AX$2:$AX$100,RESCOM!$B11,BY_RESCOM!$AY$2:$AY$100,RESCOM!$C11)/SUMIFS(BY_RESCOM!AM$2:AM$100,BY_RESCOM!$AX$2:$AX$100,RESCOM!$B11),"")</f>
        <v>1.5497930456168877E-2</v>
      </c>
      <c r="AF11" s="3">
        <f>IFERROR(SUMIFS(BY_RESCOM!AN$2:AN$100,BY_RESCOM!$AX$2:$AX$100,RESCOM!$B11,BY_RESCOM!$AY$2:$AY$100,RESCOM!$C11)/SUMIFS(BY_RESCOM!AN$2:AN$100,BY_RESCOM!$AX$2:$AX$100,RESCOM!$B11),"")</f>
        <v>0</v>
      </c>
      <c r="AG11" s="3" t="str">
        <f>IFERROR(SUMIFS(BY_RESCOM!AO$2:AO$100,BY_RESCOM!$AX$2:$AX$100,RESCOM!$B11,BY_RESCOM!$AY$2:$AY$100,RESCOM!$C11)/SUMIFS(BY_RESCOM!AO$2:AO$100,BY_RESCOM!$AX$2:$AX$100,RESCOM!$B11),"")</f>
        <v/>
      </c>
      <c r="AH11" s="3" t="str">
        <f>IFERROR(SUMIFS(BY_RESCOM!AP$2:AP$100,BY_RESCOM!$AX$2:$AX$100,RESCOM!$B11,BY_RESCOM!$AY$2:$AY$100,RESCOM!$C11)/SUMIFS(BY_RESCOM!AP$2:AP$100,BY_RESCOM!$AX$2:$AX$100,RESCOM!$B11),"")</f>
        <v/>
      </c>
      <c r="AJ11" t="s">
        <v>114</v>
      </c>
      <c r="AK11" t="s">
        <v>116</v>
      </c>
      <c r="AL11" t="s">
        <v>684</v>
      </c>
      <c r="AM11" t="str">
        <f>AL11</f>
        <v>CHW,CSH</v>
      </c>
      <c r="AN11">
        <f>1/3</f>
        <v>0.33333333333333331</v>
      </c>
      <c r="AO11">
        <v>5</v>
      </c>
      <c r="AQ11">
        <v>2050</v>
      </c>
      <c r="AR11" t="str">
        <f>AR9</f>
        <v>RCK</v>
      </c>
      <c r="AS11" t="str">
        <f t="shared" ref="AS11:AS14" si="8">AS9</f>
        <v>*NGA</v>
      </c>
      <c r="AU11" s="8">
        <f>AU9+(MAX($AU9:$BW9)-AU9)*$CD11</f>
        <v>0.4528161522092749</v>
      </c>
      <c r="AV11" s="8">
        <f t="shared" ref="AV11:BW14" si="9">AV9+(MAX($AU9:$BW9)-AV9)*$CD11</f>
        <v>0.2721835217986201</v>
      </c>
      <c r="AW11" s="8">
        <f t="shared" si="9"/>
        <v>0.59669329291359796</v>
      </c>
      <c r="AX11" s="8">
        <f t="shared" si="9"/>
        <v>0.62688642104271153</v>
      </c>
      <c r="AY11" s="8">
        <f t="shared" si="9"/>
        <v>0.54327185196520578</v>
      </c>
      <c r="AZ11" s="8">
        <f t="shared" si="9"/>
        <v>0.37744790042222487</v>
      </c>
      <c r="BA11" s="8">
        <f t="shared" si="9"/>
        <v>0.40651550560428806</v>
      </c>
      <c r="BB11" s="8">
        <f t="shared" si="9"/>
        <v>0.28266049313756203</v>
      </c>
      <c r="BC11" s="8">
        <f t="shared" si="9"/>
        <v>0.34910293372347712</v>
      </c>
      <c r="BD11" s="8">
        <f t="shared" si="9"/>
        <v>0.50064045076556818</v>
      </c>
      <c r="BE11" s="8">
        <f t="shared" si="9"/>
        <v>0.28481974072845972</v>
      </c>
      <c r="BF11" s="8">
        <f t="shared" si="9"/>
        <v>0.46127043181534222</v>
      </c>
      <c r="BG11" s="8">
        <f t="shared" si="9"/>
        <v>0.45761153060204873</v>
      </c>
      <c r="BH11" s="8">
        <f t="shared" si="9"/>
        <v>0.45194095964509423</v>
      </c>
      <c r="BI11" s="8">
        <f t="shared" si="9"/>
        <v>0.51975842661570337</v>
      </c>
      <c r="BJ11" s="8">
        <f t="shared" si="9"/>
        <v>0.3263252480005896</v>
      </c>
      <c r="BK11" s="8">
        <f t="shared" si="9"/>
        <v>0.64073545026801326</v>
      </c>
      <c r="BL11" s="8">
        <f t="shared" si="9"/>
        <v>0.35660219560177203</v>
      </c>
      <c r="BM11" s="8">
        <f t="shared" si="9"/>
        <v>0.43160000474810178</v>
      </c>
      <c r="BN11" s="8">
        <f t="shared" si="9"/>
        <v>0.27563084244753078</v>
      </c>
      <c r="BO11" s="8">
        <f t="shared" si="9"/>
        <v>0.30908539918457367</v>
      </c>
      <c r="BP11" s="8">
        <f t="shared" si="9"/>
        <v>0.30300245250448338</v>
      </c>
      <c r="BQ11" s="8">
        <f t="shared" si="9"/>
        <v>0.5175392507199853</v>
      </c>
      <c r="BR11" s="8">
        <f t="shared" si="9"/>
        <v>0.27223171069911001</v>
      </c>
      <c r="BS11" s="8">
        <f t="shared" si="9"/>
        <v>0.68045880449655016</v>
      </c>
      <c r="BT11" s="8">
        <f t="shared" si="9"/>
        <v>0.2721835217986201</v>
      </c>
      <c r="BU11" s="8">
        <f t="shared" si="9"/>
        <v>0.27286473789550414</v>
      </c>
      <c r="BV11" s="8">
        <f t="shared" si="9"/>
        <v>0.47704608841937579</v>
      </c>
      <c r="BW11" s="8">
        <f t="shared" si="9"/>
        <v>0.50450347945517504</v>
      </c>
      <c r="BX11" s="8" t="e">
        <f t="shared" ref="BX11" si="10">BX9+(MAX($AU9:$BI9)-BX9)*$CD11</f>
        <v>#DIV/0!</v>
      </c>
      <c r="BY11" s="4" t="str">
        <f t="shared" si="4"/>
        <v>RCK</v>
      </c>
      <c r="BZ11" t="s">
        <v>55</v>
      </c>
      <c r="CB11" t="str">
        <f>CB9</f>
        <v>Techs_RCKNGA</v>
      </c>
      <c r="CD11" s="5">
        <v>0.4</v>
      </c>
    </row>
    <row r="12" spans="2:82">
      <c r="B12" t="s">
        <v>48</v>
      </c>
      <c r="C12" t="s">
        <v>47</v>
      </c>
      <c r="D12" s="3">
        <f>IFERROR(SUMIFS(BY_RESCOM!L$2:L$100,BY_RESCOM!$AX$2:$AX$100,RESCOM!$B12,BY_RESCOM!$AY$2:$AY$100,RESCOM!$C12)/SUMIFS(BY_RESCOM!L$2:L$100,BY_RESCOM!$AX$2:$AX$100,RESCOM!$B12),"")</f>
        <v>0</v>
      </c>
      <c r="E12" s="3">
        <f>IFERROR(SUMIFS(BY_RESCOM!M$2:M$100,BY_RESCOM!$AX$2:$AX$100,RESCOM!$B12,BY_RESCOM!$AY$2:$AY$100,RESCOM!$C12)/SUMIFS(BY_RESCOM!M$2:M$100,BY_RESCOM!$AX$2:$AX$100,RESCOM!$B12),"")</f>
        <v>0</v>
      </c>
      <c r="F12" s="3">
        <f>IFERROR(SUMIFS(BY_RESCOM!N$2:N$100,BY_RESCOM!$AX$2:$AX$100,RESCOM!$B12,BY_RESCOM!$AY$2:$AY$100,RESCOM!$C12)/SUMIFS(BY_RESCOM!N$2:N$100,BY_RESCOM!$AX$2:$AX$100,RESCOM!$B12),"")</f>
        <v>0</v>
      </c>
      <c r="G12" s="3">
        <f>IFERROR(SUMIFS(BY_RESCOM!O$2:O$100,BY_RESCOM!$AX$2:$AX$100,RESCOM!$B12,BY_RESCOM!$AY$2:$AY$100,RESCOM!$C12)/SUMIFS(BY_RESCOM!O$2:O$100,BY_RESCOM!$AX$2:$AX$100,RESCOM!$B12),"")</f>
        <v>5.3437188598817992E-2</v>
      </c>
      <c r="H12" s="3">
        <f>IFERROR(SUMIFS(BY_RESCOM!P$2:P$100,BY_RESCOM!$AX$2:$AX$100,RESCOM!$B12,BY_RESCOM!$AY$2:$AY$100,RESCOM!$C12)/SUMIFS(BY_RESCOM!P$2:P$100,BY_RESCOM!$AX$2:$AX$100,RESCOM!$B12),"")</f>
        <v>9.8107162409564151E-4</v>
      </c>
      <c r="I12" s="3">
        <f>IFERROR(SUMIFS(BY_RESCOM!Q$2:Q$100,BY_RESCOM!$AX$2:$AX$100,RESCOM!$B12,BY_RESCOM!$AY$2:$AY$100,RESCOM!$C12)/SUMIFS(BY_RESCOM!Q$2:Q$100,BY_RESCOM!$AX$2:$AX$100,RESCOM!$B12),"")</f>
        <v>2.2761040716432951E-2</v>
      </c>
      <c r="J12" s="3">
        <f>IFERROR(SUMIFS(BY_RESCOM!R$2:R$100,BY_RESCOM!$AX$2:$AX$100,RESCOM!$B12,BY_RESCOM!$AY$2:$AY$100,RESCOM!$C12)/SUMIFS(BY_RESCOM!R$2:R$100,BY_RESCOM!$AX$2:$AX$100,RESCOM!$B12),"")</f>
        <v>8.521171454282845E-3</v>
      </c>
      <c r="K12" s="3">
        <f>IFERROR(SUMIFS(BY_RESCOM!S$2:S$100,BY_RESCOM!$AX$2:$AX$100,RESCOM!$B12,BY_RESCOM!$AY$2:$AY$100,RESCOM!$C12)/SUMIFS(BY_RESCOM!S$2:S$100,BY_RESCOM!$AX$2:$AX$100,RESCOM!$B12),"")</f>
        <v>0</v>
      </c>
      <c r="L12" s="3">
        <f>IFERROR(SUMIFS(BY_RESCOM!T$2:T$100,BY_RESCOM!$AX$2:$AX$100,RESCOM!$B12,BY_RESCOM!$AY$2:$AY$100,RESCOM!$C12)/SUMIFS(BY_RESCOM!T$2:T$100,BY_RESCOM!$AX$2:$AX$100,RESCOM!$B12),"")</f>
        <v>0</v>
      </c>
      <c r="M12" s="3">
        <f>IFERROR(SUMIFS(BY_RESCOM!U$2:U$100,BY_RESCOM!$AX$2:$AX$100,RESCOM!$B12,BY_RESCOM!$AY$2:$AY$100,RESCOM!$C12)/SUMIFS(BY_RESCOM!U$2:U$100,BY_RESCOM!$AX$2:$AX$100,RESCOM!$B12),"")</f>
        <v>0.22498298358508717</v>
      </c>
      <c r="N12" s="3">
        <f>IFERROR(SUMIFS(BY_RESCOM!V$2:V$100,BY_RESCOM!$AX$2:$AX$100,RESCOM!$B12,BY_RESCOM!$AY$2:$AY$100,RESCOM!$C12)/SUMIFS(BY_RESCOM!V$2:V$100,BY_RESCOM!$AX$2:$AX$100,RESCOM!$B12),"")</f>
        <v>3.6267253533050218E-4</v>
      </c>
      <c r="O12" s="3">
        <f>IFERROR(SUMIFS(BY_RESCOM!W$2:W$100,BY_RESCOM!$AX$2:$AX$100,RESCOM!$B12,BY_RESCOM!$AY$2:$AY$100,RESCOM!$C12)/SUMIFS(BY_RESCOM!W$2:W$100,BY_RESCOM!$AX$2:$AX$100,RESCOM!$B12),"")</f>
        <v>6.6705517244279033E-2</v>
      </c>
      <c r="P12" s="3">
        <f>IFERROR(SUMIFS(BY_RESCOM!X$2:X$100,BY_RESCOM!$AX$2:$AX$100,RESCOM!$B12,BY_RESCOM!$AY$2:$AY$100,RESCOM!$C12)/SUMIFS(BY_RESCOM!X$2:X$100,BY_RESCOM!$AX$2:$AX$100,RESCOM!$B12),"")</f>
        <v>5.1028141281362596E-4</v>
      </c>
      <c r="Q12" s="3">
        <f>IFERROR(SUMIFS(BY_RESCOM!Y$2:Y$100,BY_RESCOM!$AX$2:$AX$100,RESCOM!$B12,BY_RESCOM!$AY$2:$AY$100,RESCOM!$C12)/SUMIFS(BY_RESCOM!Y$2:Y$100,BY_RESCOM!$AX$2:$AX$100,RESCOM!$B12),"")</f>
        <v>0</v>
      </c>
      <c r="R12" s="3">
        <f>IFERROR(SUMIFS(BY_RESCOM!Z$2:Z$100,BY_RESCOM!$AX$2:$AX$100,RESCOM!$B12,BY_RESCOM!$AY$2:$AY$100,RESCOM!$C12)/SUMIFS(BY_RESCOM!Z$2:Z$100,BY_RESCOM!$AX$2:$AX$100,RESCOM!$B12),"")</f>
        <v>1.5314305341844105E-3</v>
      </c>
      <c r="S12" s="3">
        <f>IFERROR(SUMIFS(BY_RESCOM!AA$2:AA$100,BY_RESCOM!$AX$2:$AX$100,RESCOM!$B12,BY_RESCOM!$AY$2:$AY$100,RESCOM!$C12)/SUMIFS(BY_RESCOM!AA$2:AA$100,BY_RESCOM!$AX$2:$AX$100,RESCOM!$B12),"")</f>
        <v>0</v>
      </c>
      <c r="T12" s="3">
        <f>IFERROR(SUMIFS(BY_RESCOM!AB$2:AB$100,BY_RESCOM!$AX$2:$AX$100,RESCOM!$B12,BY_RESCOM!$AY$2:$AY$100,RESCOM!$C12)/SUMIFS(BY_RESCOM!AB$2:AB$100,BY_RESCOM!$AX$2:$AX$100,RESCOM!$B12),"")</f>
        <v>0.34795638399208989</v>
      </c>
      <c r="U12" s="3">
        <f>IFERROR(SUMIFS(BY_RESCOM!AC$2:AC$100,BY_RESCOM!$AX$2:$AX$100,RESCOM!$B12,BY_RESCOM!$AY$2:$AY$100,RESCOM!$C12)/SUMIFS(BY_RESCOM!AC$2:AC$100,BY_RESCOM!$AX$2:$AX$100,RESCOM!$B12),"")</f>
        <v>3.2290648879885046E-3</v>
      </c>
      <c r="V12" s="3">
        <f>IFERROR(SUMIFS(BY_RESCOM!AD$2:AD$100,BY_RESCOM!$AX$2:$AX$100,RESCOM!$B12,BY_RESCOM!$AY$2:$AY$100,RESCOM!$C12)/SUMIFS(BY_RESCOM!AD$2:AD$100,BY_RESCOM!$AX$2:$AX$100,RESCOM!$B12),"")</f>
        <v>1.1842213842030167E-4</v>
      </c>
      <c r="W12" s="3">
        <f>IFERROR(SUMIFS(BY_RESCOM!AE$2:AE$100,BY_RESCOM!$AX$2:$AX$100,RESCOM!$B12,BY_RESCOM!$AY$2:$AY$100,RESCOM!$C12)/SUMIFS(BY_RESCOM!AE$2:AE$100,BY_RESCOM!$AX$2:$AX$100,RESCOM!$B12),"")</f>
        <v>0.56393755237351451</v>
      </c>
      <c r="X12" s="3">
        <f>IFERROR(SUMIFS(BY_RESCOM!AF$2:AF$100,BY_RESCOM!$AX$2:$AX$100,RESCOM!$B12,BY_RESCOM!$AY$2:$AY$100,RESCOM!$C12)/SUMIFS(BY_RESCOM!AF$2:AF$100,BY_RESCOM!$AX$2:$AX$100,RESCOM!$B12),"")</f>
        <v>1.9503723019216535E-5</v>
      </c>
      <c r="Y12" s="3">
        <f>IFERROR(SUMIFS(BY_RESCOM!AG$2:AG$100,BY_RESCOM!$AX$2:$AX$100,RESCOM!$B12,BY_RESCOM!$AY$2:$AY$100,RESCOM!$C12)/SUMIFS(BY_RESCOM!AG$2:AG$100,BY_RESCOM!$AX$2:$AX$100,RESCOM!$B12),"")</f>
        <v>0</v>
      </c>
      <c r="Z12" s="3">
        <f>IFERROR(SUMIFS(BY_RESCOM!AH$2:AH$100,BY_RESCOM!$AX$2:$AX$100,RESCOM!$B12,BY_RESCOM!$AY$2:$AY$100,RESCOM!$C12)/SUMIFS(BY_RESCOM!AH$2:AH$100,BY_RESCOM!$AX$2:$AX$100,RESCOM!$B12),"")</f>
        <v>0</v>
      </c>
      <c r="AA12" s="3">
        <f>IFERROR(SUMIFS(BY_RESCOM!AI$2:AI$100,BY_RESCOM!$AX$2:$AX$100,RESCOM!$B12,BY_RESCOM!$AY$2:$AY$100,RESCOM!$C12)/SUMIFS(BY_RESCOM!AI$2:AI$100,BY_RESCOM!$AX$2:$AX$100,RESCOM!$B12),"")</f>
        <v>4.5363555857317863E-5</v>
      </c>
      <c r="AB12" s="3">
        <f>IFERROR(SUMIFS(BY_RESCOM!AJ$2:AJ$100,BY_RESCOM!$AX$2:$AX$100,RESCOM!$B12,BY_RESCOM!$AY$2:$AY$100,RESCOM!$C12)/SUMIFS(BY_RESCOM!AJ$2:AJ$100,BY_RESCOM!$AX$2:$AX$100,RESCOM!$B12),"")</f>
        <v>1.9104057802077374E-2</v>
      </c>
      <c r="AC12" s="3">
        <f>IFERROR(SUMIFS(BY_RESCOM!AK$2:AK$100,BY_RESCOM!$AX$2:$AX$100,RESCOM!$B12,BY_RESCOM!$AY$2:$AY$100,RESCOM!$C12)/SUMIFS(BY_RESCOM!AK$2:AK$100,BY_RESCOM!$AX$2:$AX$100,RESCOM!$B12),"")</f>
        <v>0</v>
      </c>
      <c r="AD12" s="3">
        <f>IFERROR(SUMIFS(BY_RESCOM!AL$2:AL$100,BY_RESCOM!$AX$2:$AX$100,RESCOM!$B12,BY_RESCOM!$AY$2:$AY$100,RESCOM!$C12)/SUMIFS(BY_RESCOM!AL$2:AL$100,BY_RESCOM!$AX$2:$AX$100,RESCOM!$B12),"")</f>
        <v>0</v>
      </c>
      <c r="AE12" s="3">
        <f>IFERROR(SUMIFS(BY_RESCOM!AM$2:AM$100,BY_RESCOM!$AX$2:$AX$100,RESCOM!$B12,BY_RESCOM!$AY$2:$AY$100,RESCOM!$C12)/SUMIFS(BY_RESCOM!AM$2:AM$100,BY_RESCOM!$AX$2:$AX$100,RESCOM!$B12),"")</f>
        <v>1.9639182424812727E-3</v>
      </c>
      <c r="AF12" s="3">
        <f>IFERROR(SUMIFS(BY_RESCOM!AN$2:AN$100,BY_RESCOM!$AX$2:$AX$100,RESCOM!$B12,BY_RESCOM!$AY$2:$AY$100,RESCOM!$C12)/SUMIFS(BY_RESCOM!AN$2:AN$100,BY_RESCOM!$AX$2:$AX$100,RESCOM!$B12),"")</f>
        <v>4.3676714111288732E-3</v>
      </c>
      <c r="AG12" s="3" t="str">
        <f>IFERROR(SUMIFS(BY_RESCOM!AO$2:AO$100,BY_RESCOM!$AX$2:$AX$100,RESCOM!$B12,BY_RESCOM!$AY$2:$AY$100,RESCOM!$C12)/SUMIFS(BY_RESCOM!AO$2:AO$100,BY_RESCOM!$AX$2:$AX$100,RESCOM!$B12),"")</f>
        <v/>
      </c>
      <c r="AH12" s="3" t="str">
        <f>IFERROR(SUMIFS(BY_RESCOM!AP$2:AP$100,BY_RESCOM!$AX$2:$AX$100,RESCOM!$B12,BY_RESCOM!$AY$2:$AY$100,RESCOM!$C12)/SUMIFS(BY_RESCOM!AP$2:AP$100,BY_RESCOM!$AX$2:$AX$100,RESCOM!$B12),"")</f>
        <v/>
      </c>
      <c r="AJ12" t="s">
        <v>114</v>
      </c>
      <c r="AK12" t="s">
        <v>116</v>
      </c>
      <c r="AL12" t="s">
        <v>676</v>
      </c>
      <c r="AM12" t="str">
        <f>AL12</f>
        <v>CSC</v>
      </c>
      <c r="AN12">
        <v>0.2</v>
      </c>
      <c r="AO12">
        <v>5</v>
      </c>
      <c r="AQ12">
        <v>2050</v>
      </c>
      <c r="AR12" t="str">
        <f t="shared" ref="AR12" si="11">AR10</f>
        <v>CCK</v>
      </c>
      <c r="AS12" t="str">
        <f t="shared" si="8"/>
        <v>*NGA</v>
      </c>
      <c r="AU12" s="8">
        <f>AU10+(MAX($AU10:$BW10)-AU10)*$CD12</f>
        <v>0.62913127839599459</v>
      </c>
      <c r="AV12" s="8">
        <f t="shared" si="9"/>
        <v>0.39965119018026279</v>
      </c>
      <c r="AW12" s="8">
        <f t="shared" si="9"/>
        <v>0.73130927746909014</v>
      </c>
      <c r="AX12" s="8">
        <f t="shared" si="9"/>
        <v>0.96972450940770294</v>
      </c>
      <c r="AY12" s="8">
        <f t="shared" si="9"/>
        <v>0.99835962647253407</v>
      </c>
      <c r="AZ12" s="8">
        <f t="shared" si="9"/>
        <v>0.49030802654235561</v>
      </c>
      <c r="BA12" s="8">
        <f t="shared" si="9"/>
        <v>0.54415844245719747</v>
      </c>
      <c r="BB12" s="8">
        <f t="shared" si="9"/>
        <v>0.45794165841963069</v>
      </c>
      <c r="BC12" s="8">
        <f t="shared" si="9"/>
        <v>0.68583590223875124</v>
      </c>
      <c r="BD12" s="8">
        <f t="shared" si="9"/>
        <v>0.64377588765560312</v>
      </c>
      <c r="BE12" s="8">
        <f t="shared" si="9"/>
        <v>0.52471440440070438</v>
      </c>
      <c r="BF12" s="8">
        <f t="shared" si="9"/>
        <v>0.81134048842447093</v>
      </c>
      <c r="BG12" s="8">
        <f t="shared" si="9"/>
        <v>0.81333345427852088</v>
      </c>
      <c r="BH12" s="8">
        <f t="shared" si="9"/>
        <v>0.79439709236295264</v>
      </c>
      <c r="BI12" s="8">
        <f t="shared" si="9"/>
        <v>0.86444632504909424</v>
      </c>
      <c r="BJ12" s="8">
        <f t="shared" si="9"/>
        <v>0.67073024380506474</v>
      </c>
      <c r="BK12" s="8">
        <f t="shared" si="9"/>
        <v>0.83132762013686234</v>
      </c>
      <c r="BL12" s="8">
        <f t="shared" si="9"/>
        <v>0.76460435308412744</v>
      </c>
      <c r="BM12" s="8">
        <f t="shared" si="9"/>
        <v>0.83355040935674807</v>
      </c>
      <c r="BN12" s="8">
        <f t="shared" si="9"/>
        <v>0.56326403316500384</v>
      </c>
      <c r="BO12" s="8">
        <f t="shared" si="9"/>
        <v>0.59901654966192708</v>
      </c>
      <c r="BP12" s="8">
        <f t="shared" si="9"/>
        <v>0.4633583120369682</v>
      </c>
      <c r="BQ12" s="8">
        <f t="shared" si="9"/>
        <v>0.93219125358277632</v>
      </c>
      <c r="BR12" s="8">
        <f t="shared" si="9"/>
        <v>0.45410847365369622</v>
      </c>
      <c r="BS12" s="8">
        <f t="shared" si="9"/>
        <v>0.80749516307105107</v>
      </c>
      <c r="BT12" s="8">
        <f t="shared" si="9"/>
        <v>0.39934385058901367</v>
      </c>
      <c r="BU12" s="8">
        <f t="shared" si="9"/>
        <v>0.42330081282719656</v>
      </c>
      <c r="BV12" s="8">
        <f t="shared" si="9"/>
        <v>0.73986750945516078</v>
      </c>
      <c r="BW12" s="8">
        <f t="shared" si="9"/>
        <v>0.89918880344591279</v>
      </c>
      <c r="BX12" s="8" t="e">
        <f t="shared" ref="BX12" si="12">BX10+(MAX($AU10:$BI10)-BX10)*$CD12</f>
        <v>#DIV/0!</v>
      </c>
      <c r="BY12" s="4" t="str">
        <f t="shared" si="4"/>
        <v>CCK</v>
      </c>
      <c r="BZ12" t="s">
        <v>55</v>
      </c>
      <c r="CB12" t="str">
        <f t="shared" ref="CB12:CB14" si="13">CB10</f>
        <v>Techs_CCKNGA</v>
      </c>
      <c r="CD12" s="5">
        <v>0.4</v>
      </c>
    </row>
    <row r="13" spans="2:82">
      <c r="B13" t="s">
        <v>46</v>
      </c>
      <c r="C13" t="s">
        <v>102</v>
      </c>
      <c r="D13" s="3">
        <f>IFERROR(SUMIFS(BY_RESCOM!L$2:L$100,BY_RESCOM!$AX$2:$AX$100,RESCOM!$B13,BY_RESCOM!$AY$2:$AY$100,RESCOM!$C13)/SUMIFS(BY_RESCOM!L$2:L$100,BY_RESCOM!$AX$2:$AX$100,RESCOM!$B13),"")</f>
        <v>0.8387270765911542</v>
      </c>
      <c r="E13" s="3">
        <f>IFERROR(SUMIFS(BY_RESCOM!M$2:M$100,BY_RESCOM!$AX$2:$AX$100,RESCOM!$B13,BY_RESCOM!$AY$2:$AY$100,RESCOM!$C13)/SUMIFS(BY_RESCOM!M$2:M$100,BY_RESCOM!$AX$2:$AX$100,RESCOM!$B13),"")</f>
        <v>0.62994551054252546</v>
      </c>
      <c r="F13" s="3">
        <f>IFERROR(SUMIFS(BY_RESCOM!N$2:N$100,BY_RESCOM!$AX$2:$AX$100,RESCOM!$B13,BY_RESCOM!$AY$2:$AY$100,RESCOM!$C13)/SUMIFS(BY_RESCOM!N$2:N$100,BY_RESCOM!$AX$2:$AX$100,RESCOM!$B13),"")</f>
        <v>9.7998670703788496E-2</v>
      </c>
      <c r="G13" s="3">
        <f>IFERROR(SUMIFS(BY_RESCOM!O$2:O$100,BY_RESCOM!$AX$2:$AX$100,RESCOM!$B13,BY_RESCOM!$AY$2:$AY$100,RESCOM!$C13)/SUMIFS(BY_RESCOM!O$2:O$100,BY_RESCOM!$AX$2:$AX$100,RESCOM!$B13),"")</f>
        <v>5.8004965066592196E-2</v>
      </c>
      <c r="H13" s="3">
        <f>IFERROR(SUMIFS(BY_RESCOM!P$2:P$100,BY_RESCOM!$AX$2:$AX$100,RESCOM!$B13,BY_RESCOM!$AY$2:$AY$100,RESCOM!$C13)/SUMIFS(BY_RESCOM!P$2:P$100,BY_RESCOM!$AX$2:$AX$100,RESCOM!$B13),"")</f>
        <v>0.14505903049209704</v>
      </c>
      <c r="I13" s="3" t="str">
        <f>IFERROR(SUMIFS(BY_RESCOM!Q$2:Q$100,BY_RESCOM!$AX$2:$AX$100,RESCOM!$B13,BY_RESCOM!$AY$2:$AY$100,RESCOM!$C13)/SUMIFS(BY_RESCOM!Q$2:Q$100,BY_RESCOM!$AX$2:$AX$100,RESCOM!$B13),"")</f>
        <v/>
      </c>
      <c r="J13" s="3">
        <f>IFERROR(SUMIFS(BY_RESCOM!R$2:R$100,BY_RESCOM!$AX$2:$AX$100,RESCOM!$B13,BY_RESCOM!$AY$2:$AY$100,RESCOM!$C13)/SUMIFS(BY_RESCOM!R$2:R$100,BY_RESCOM!$AX$2:$AX$100,RESCOM!$B13),"")</f>
        <v>3.2783718671696001E-2</v>
      </c>
      <c r="K13" s="3">
        <f>IFERROR(SUMIFS(BY_RESCOM!S$2:S$100,BY_RESCOM!$AX$2:$AX$100,RESCOM!$B13,BY_RESCOM!$AY$2:$AY$100,RESCOM!$C13)/SUMIFS(BY_RESCOM!S$2:S$100,BY_RESCOM!$AX$2:$AX$100,RESCOM!$B13),"")</f>
        <v>9.5903271232255866E-2</v>
      </c>
      <c r="L13" s="3">
        <f>IFERROR(SUMIFS(BY_RESCOM!T$2:T$100,BY_RESCOM!$AX$2:$AX$100,RESCOM!$B13,BY_RESCOM!$AY$2:$AY$100,RESCOM!$C13)/SUMIFS(BY_RESCOM!T$2:T$100,BY_RESCOM!$AX$2:$AX$100,RESCOM!$B13),"")</f>
        <v>1.3783403457053853E-2</v>
      </c>
      <c r="M13" s="3">
        <f>IFERROR(SUMIFS(BY_RESCOM!U$2:U$100,BY_RESCOM!$AX$2:$AX$100,RESCOM!$B13,BY_RESCOM!$AY$2:$AY$100,RESCOM!$C13)/SUMIFS(BY_RESCOM!U$2:U$100,BY_RESCOM!$AX$2:$AX$100,RESCOM!$B13),"")</f>
        <v>0</v>
      </c>
      <c r="N13" s="3">
        <f>IFERROR(SUMIFS(BY_RESCOM!V$2:V$100,BY_RESCOM!$AX$2:$AX$100,RESCOM!$B13,BY_RESCOM!$AY$2:$AY$100,RESCOM!$C13)/SUMIFS(BY_RESCOM!V$2:V$100,BY_RESCOM!$AX$2:$AX$100,RESCOM!$B13),"")</f>
        <v>2.3198512207712012E-3</v>
      </c>
      <c r="O13" s="3">
        <f>IFERROR(SUMIFS(BY_RESCOM!W$2:W$100,BY_RESCOM!$AX$2:$AX$100,RESCOM!$B13,BY_RESCOM!$AY$2:$AY$100,RESCOM!$C13)/SUMIFS(BY_RESCOM!W$2:W$100,BY_RESCOM!$AX$2:$AX$100,RESCOM!$B13),"")</f>
        <v>9.5643825474063856E-3</v>
      </c>
      <c r="P13" s="3">
        <f>IFERROR(SUMIFS(BY_RESCOM!X$2:X$100,BY_RESCOM!$AX$2:$AX$100,RESCOM!$B13,BY_RESCOM!$AY$2:$AY$100,RESCOM!$C13)/SUMIFS(BY_RESCOM!X$2:X$100,BY_RESCOM!$AX$2:$AX$100,RESCOM!$B13),"")</f>
        <v>1.1054691978123383E-2</v>
      </c>
      <c r="Q13" s="3">
        <f>IFERROR(SUMIFS(BY_RESCOM!Y$2:Y$100,BY_RESCOM!$AX$2:$AX$100,RESCOM!$B13,BY_RESCOM!$AY$2:$AY$100,RESCOM!$C13)/SUMIFS(BY_RESCOM!Y$2:Y$100,BY_RESCOM!$AX$2:$AX$100,RESCOM!$B13),"")</f>
        <v>4.7412461503619351E-2</v>
      </c>
      <c r="R13" s="3">
        <f>IFERROR(SUMIFS(BY_RESCOM!Z$2:Z$100,BY_RESCOM!$AX$2:$AX$100,RESCOM!$B13,BY_RESCOM!$AY$2:$AY$100,RESCOM!$C13)/SUMIFS(BY_RESCOM!Z$2:Z$100,BY_RESCOM!$AX$2:$AX$100,RESCOM!$B13),"")</f>
        <v>1.4880597823143988E-2</v>
      </c>
      <c r="S13" s="3">
        <f>IFERROR(SUMIFS(BY_RESCOM!AA$2:AA$100,BY_RESCOM!$AX$2:$AX$100,RESCOM!$B13,BY_RESCOM!$AY$2:$AY$100,RESCOM!$C13)/SUMIFS(BY_RESCOM!AA$2:AA$100,BY_RESCOM!$AX$2:$AX$100,RESCOM!$B13),"")</f>
        <v>0.12289667604030317</v>
      </c>
      <c r="T13" s="3">
        <f>IFERROR(SUMIFS(BY_RESCOM!AB$2:AB$100,BY_RESCOM!$AX$2:$AX$100,RESCOM!$B13,BY_RESCOM!$AY$2:$AY$100,RESCOM!$C13)/SUMIFS(BY_RESCOM!AB$2:AB$100,BY_RESCOM!$AX$2:$AX$100,RESCOM!$B13),"")</f>
        <v>6.8875692620146145E-3</v>
      </c>
      <c r="U13" s="3">
        <f>IFERROR(SUMIFS(BY_RESCOM!AC$2:AC$100,BY_RESCOM!$AX$2:$AX$100,RESCOM!$B13,BY_RESCOM!$AY$2:$AY$100,RESCOM!$C13)/SUMIFS(BY_RESCOM!AC$2:AC$100,BY_RESCOM!$AX$2:$AX$100,RESCOM!$B13),"")</f>
        <v>3.3092925627022027E-2</v>
      </c>
      <c r="V13" s="3">
        <f>IFERROR(SUMIFS(BY_RESCOM!AD$2:AD$100,BY_RESCOM!$AX$2:$AX$100,RESCOM!$B13,BY_RESCOM!$AY$2:$AY$100,RESCOM!$C13)/SUMIFS(BY_RESCOM!AD$2:AD$100,BY_RESCOM!$AX$2:$AX$100,RESCOM!$B13),"")</f>
        <v>1.787989144419529E-2</v>
      </c>
      <c r="W13" s="3" t="str">
        <f>IFERROR(SUMIFS(BY_RESCOM!AE$2:AE$100,BY_RESCOM!$AX$2:$AX$100,RESCOM!$B13,BY_RESCOM!$AY$2:$AY$100,RESCOM!$C13)/SUMIFS(BY_RESCOM!AE$2:AE$100,BY_RESCOM!$AX$2:$AX$100,RESCOM!$B13),"")</f>
        <v/>
      </c>
      <c r="X13" s="3">
        <f>IFERROR(SUMIFS(BY_RESCOM!AF$2:AF$100,BY_RESCOM!$AX$2:$AX$100,RESCOM!$B13,BY_RESCOM!$AY$2:$AY$100,RESCOM!$C13)/SUMIFS(BY_RESCOM!AF$2:AF$100,BY_RESCOM!$AX$2:$AX$100,RESCOM!$B13),"")</f>
        <v>3.7324821516261847E-2</v>
      </c>
      <c r="Y13" s="3">
        <f>IFERROR(SUMIFS(BY_RESCOM!AG$2:AG$100,BY_RESCOM!$AX$2:$AX$100,RESCOM!$B13,BY_RESCOM!$AY$2:$AY$100,RESCOM!$C13)/SUMIFS(BY_RESCOM!AG$2:AG$100,BY_RESCOM!$AX$2:$AX$100,RESCOM!$B13),"")</f>
        <v>9.1434651735773254E-2</v>
      </c>
      <c r="Z13" s="3">
        <f>IFERROR(SUMIFS(BY_RESCOM!AH$2:AH$100,BY_RESCOM!$AX$2:$AX$100,RESCOM!$B13,BY_RESCOM!$AY$2:$AY$100,RESCOM!$C13)/SUMIFS(BY_RESCOM!AH$2:AH$100,BY_RESCOM!$AX$2:$AX$100,RESCOM!$B13),"")</f>
        <v>7.8266731634315925E-2</v>
      </c>
      <c r="AA13" s="3">
        <f>IFERROR(SUMIFS(BY_RESCOM!AI$2:AI$100,BY_RESCOM!$AX$2:$AX$100,RESCOM!$B13,BY_RESCOM!$AY$2:$AY$100,RESCOM!$C13)/SUMIFS(BY_RESCOM!AI$2:AI$100,BY_RESCOM!$AX$2:$AX$100,RESCOM!$B13),"")</f>
        <v>2.8993433399386427E-3</v>
      </c>
      <c r="AB13" s="3">
        <f>IFERROR(SUMIFS(BY_RESCOM!AJ$2:AJ$100,BY_RESCOM!$AX$2:$AX$100,RESCOM!$B13,BY_RESCOM!$AY$2:$AY$100,RESCOM!$C13)/SUMIFS(BY_RESCOM!AJ$2:AJ$100,BY_RESCOM!$AX$2:$AX$100,RESCOM!$B13),"")</f>
        <v>8.8275524500619498E-2</v>
      </c>
      <c r="AC13" s="3">
        <f>IFERROR(SUMIFS(BY_RESCOM!AK$2:AK$100,BY_RESCOM!$AX$2:$AX$100,RESCOM!$B13,BY_RESCOM!$AY$2:$AY$100,RESCOM!$C13)/SUMIFS(BY_RESCOM!AK$2:AK$100,BY_RESCOM!$AX$2:$AX$100,RESCOM!$B13),"")</f>
        <v>0.47328432966889994</v>
      </c>
      <c r="AD13" s="3">
        <f>IFERROR(SUMIFS(BY_RESCOM!AL$2:AL$100,BY_RESCOM!$AX$2:$AX$100,RESCOM!$B13,BY_RESCOM!$AY$2:$AY$100,RESCOM!$C13)/SUMIFS(BY_RESCOM!AL$2:AL$100,BY_RESCOM!$AX$2:$AX$100,RESCOM!$B13),"")</f>
        <v>3.030386702193751E-3</v>
      </c>
      <c r="AE13" s="3">
        <f>IFERROR(SUMIFS(BY_RESCOM!AM$2:AM$100,BY_RESCOM!$AX$2:$AX$100,RESCOM!$B13,BY_RESCOM!$AY$2:$AY$100,RESCOM!$C13)/SUMIFS(BY_RESCOM!AM$2:AM$100,BY_RESCOM!$AX$2:$AX$100,RESCOM!$B13),"")</f>
        <v>8.0360680968122131E-3</v>
      </c>
      <c r="AF13" s="3">
        <f>IFERROR(SUMIFS(BY_RESCOM!AN$2:AN$100,BY_RESCOM!$AX$2:$AX$100,RESCOM!$B13,BY_RESCOM!$AY$2:$AY$100,RESCOM!$C13)/SUMIFS(BY_RESCOM!AN$2:AN$100,BY_RESCOM!$AX$2:$AX$100,RESCOM!$B13),"")</f>
        <v>3.1839989988778419E-2</v>
      </c>
      <c r="AG13" s="3" t="str">
        <f>IFERROR(SUMIFS(BY_RESCOM!AO$2:AO$100,BY_RESCOM!$AX$2:$AX$100,RESCOM!$B13,BY_RESCOM!$AY$2:$AY$100,RESCOM!$C13)/SUMIFS(BY_RESCOM!AO$2:AO$100,BY_RESCOM!$AX$2:$AX$100,RESCOM!$B13),"")</f>
        <v/>
      </c>
      <c r="AH13" s="3" t="str">
        <f>IFERROR(SUMIFS(BY_RESCOM!AP$2:AP$100,BY_RESCOM!$AX$2:$AX$100,RESCOM!$B13,BY_RESCOM!$AY$2:$AY$100,RESCOM!$C13)/SUMIFS(BY_RESCOM!AP$2:AP$100,BY_RESCOM!$AX$2:$AX$100,RESCOM!$B13),"")</f>
        <v/>
      </c>
      <c r="AQ13">
        <v>2100</v>
      </c>
      <c r="AR13" t="str">
        <f t="shared" ref="AR13" si="14">AR11</f>
        <v>RCK</v>
      </c>
      <c r="AS13" t="str">
        <f t="shared" si="8"/>
        <v>*NGA</v>
      </c>
      <c r="AU13" s="8">
        <f>AU11+(MAX($AU11:$BW11)-AU11)*$CD13</f>
        <v>0.63493027403909519</v>
      </c>
      <c r="AV13" s="8">
        <f t="shared" si="9"/>
        <v>0.59880374795696412</v>
      </c>
      <c r="AW13" s="8">
        <f t="shared" si="9"/>
        <v>0.66370570217995972</v>
      </c>
      <c r="AX13" s="8">
        <f t="shared" si="9"/>
        <v>0.66974432780578241</v>
      </c>
      <c r="AY13" s="8">
        <f t="shared" si="9"/>
        <v>0.65302141399028124</v>
      </c>
      <c r="AZ13" s="8">
        <f t="shared" si="9"/>
        <v>0.61985662368168515</v>
      </c>
      <c r="BA13" s="8">
        <f t="shared" si="9"/>
        <v>0.62567014471809779</v>
      </c>
      <c r="BB13" s="8">
        <f t="shared" si="9"/>
        <v>0.60089914222475249</v>
      </c>
      <c r="BC13" s="8">
        <f t="shared" si="9"/>
        <v>0.61418763034193558</v>
      </c>
      <c r="BD13" s="8">
        <f t="shared" si="9"/>
        <v>0.64449513375035372</v>
      </c>
      <c r="BE13" s="8">
        <f t="shared" si="9"/>
        <v>0.60133099174293214</v>
      </c>
      <c r="BF13" s="8">
        <f t="shared" si="9"/>
        <v>0.63662112996030862</v>
      </c>
      <c r="BG13" s="8">
        <f t="shared" si="9"/>
        <v>0.63588934971764988</v>
      </c>
      <c r="BH13" s="8">
        <f t="shared" si="9"/>
        <v>0.63475523552625901</v>
      </c>
      <c r="BI13" s="8">
        <f t="shared" si="9"/>
        <v>0.64831872892038078</v>
      </c>
      <c r="BJ13" s="8">
        <f t="shared" si="9"/>
        <v>0.609632093197358</v>
      </c>
      <c r="BK13" s="8">
        <f t="shared" si="9"/>
        <v>0.67251413365084278</v>
      </c>
      <c r="BL13" s="8">
        <f t="shared" si="9"/>
        <v>0.61568748271759455</v>
      </c>
      <c r="BM13" s="8">
        <f t="shared" si="9"/>
        <v>0.63068704454686053</v>
      </c>
      <c r="BN13" s="8">
        <f t="shared" si="9"/>
        <v>0.59949321208674633</v>
      </c>
      <c r="BO13" s="8">
        <f t="shared" si="9"/>
        <v>0.60618412343415495</v>
      </c>
      <c r="BP13" s="8">
        <f t="shared" si="9"/>
        <v>0.60496753409813686</v>
      </c>
      <c r="BQ13" s="8">
        <f t="shared" si="9"/>
        <v>0.64787489374123719</v>
      </c>
      <c r="BR13" s="8">
        <f t="shared" si="9"/>
        <v>0.59881338573706211</v>
      </c>
      <c r="BS13" s="8">
        <f t="shared" si="9"/>
        <v>0.68045880449655016</v>
      </c>
      <c r="BT13" s="8">
        <f t="shared" si="9"/>
        <v>0.59880374795696412</v>
      </c>
      <c r="BU13" s="8">
        <f t="shared" si="9"/>
        <v>0.598939991176341</v>
      </c>
      <c r="BV13" s="8">
        <f t="shared" si="9"/>
        <v>0.63977626128111531</v>
      </c>
      <c r="BW13" s="8">
        <f t="shared" si="9"/>
        <v>0.64526773948827509</v>
      </c>
      <c r="BX13" s="8" t="e">
        <f t="shared" ref="BX13" si="15">BX11+(MAX($AU11:$BI11)-BX11)*$CD13</f>
        <v>#DIV/0!</v>
      </c>
      <c r="BY13" s="4" t="str">
        <f t="shared" si="4"/>
        <v>RCK</v>
      </c>
      <c r="BZ13" t="s">
        <v>55</v>
      </c>
      <c r="CB13" t="str">
        <f t="shared" si="13"/>
        <v>Techs_RCKNGA</v>
      </c>
      <c r="CD13" s="5">
        <v>0.8</v>
      </c>
    </row>
    <row r="14" spans="2:82">
      <c r="B14" t="s">
        <v>48</v>
      </c>
      <c r="C14" t="s">
        <v>102</v>
      </c>
      <c r="D14" s="3">
        <f>IFERROR(SUMIFS(BY_RESCOM!L$2:L$100,BY_RESCOM!$AX$2:$AX$100,RESCOM!$B14,BY_RESCOM!$AY$2:$AY$100,RESCOM!$C14)/SUMIFS(BY_RESCOM!L$2:L$100,BY_RESCOM!$AX$2:$AX$100,RESCOM!$B14),"")</f>
        <v>0</v>
      </c>
      <c r="E14" s="3">
        <f>IFERROR(SUMIFS(BY_RESCOM!M$2:M$100,BY_RESCOM!$AX$2:$AX$100,RESCOM!$B14,BY_RESCOM!$AY$2:$AY$100,RESCOM!$C14)/SUMIFS(BY_RESCOM!M$2:M$100,BY_RESCOM!$AX$2:$AX$100,RESCOM!$B14),"")</f>
        <v>0</v>
      </c>
      <c r="F14" s="3">
        <f>IFERROR(SUMIFS(BY_RESCOM!N$2:N$100,BY_RESCOM!$AX$2:$AX$100,RESCOM!$B14,BY_RESCOM!$AY$2:$AY$100,RESCOM!$C14)/SUMIFS(BY_RESCOM!N$2:N$100,BY_RESCOM!$AX$2:$AX$100,RESCOM!$B14),"")</f>
        <v>0</v>
      </c>
      <c r="G14" s="3">
        <f>IFERROR(SUMIFS(BY_RESCOM!O$2:O$100,BY_RESCOM!$AX$2:$AX$100,RESCOM!$B14,BY_RESCOM!$AY$2:$AY$100,RESCOM!$C14)/SUMIFS(BY_RESCOM!O$2:O$100,BY_RESCOM!$AX$2:$AX$100,RESCOM!$B14),"")</f>
        <v>2.1212228048238663E-3</v>
      </c>
      <c r="H14" s="3">
        <f>IFERROR(SUMIFS(BY_RESCOM!P$2:P$100,BY_RESCOM!$AX$2:$AX$100,RESCOM!$B14,BY_RESCOM!$AY$2:$AY$100,RESCOM!$C14)/SUMIFS(BY_RESCOM!P$2:P$100,BY_RESCOM!$AX$2:$AX$100,RESCOM!$B14),"")</f>
        <v>7.0773673278293842E-2</v>
      </c>
      <c r="I14" s="3">
        <f>IFERROR(SUMIFS(BY_RESCOM!Q$2:Q$100,BY_RESCOM!$AX$2:$AX$100,RESCOM!$B14,BY_RESCOM!$AY$2:$AY$100,RESCOM!$C14)/SUMIFS(BY_RESCOM!Q$2:Q$100,BY_RESCOM!$AX$2:$AX$100,RESCOM!$B14),"")</f>
        <v>8.8555072272879065E-2</v>
      </c>
      <c r="J14" s="3">
        <f>IFERROR(SUMIFS(BY_RESCOM!R$2:R$100,BY_RESCOM!$AX$2:$AX$100,RESCOM!$B14,BY_RESCOM!$AY$2:$AY$100,RESCOM!$C14)/SUMIFS(BY_RESCOM!R$2:R$100,BY_RESCOM!$AX$2:$AX$100,RESCOM!$B14),"")</f>
        <v>7.0271855374058985E-3</v>
      </c>
      <c r="K14" s="3">
        <f>IFERROR(SUMIFS(BY_RESCOM!S$2:S$100,BY_RESCOM!$AX$2:$AX$100,RESCOM!$B14,BY_RESCOM!$AY$2:$AY$100,RESCOM!$C14)/SUMIFS(BY_RESCOM!S$2:S$100,BY_RESCOM!$AX$2:$AX$100,RESCOM!$B14),"")</f>
        <v>0</v>
      </c>
      <c r="L14" s="3">
        <f>IFERROR(SUMIFS(BY_RESCOM!T$2:T$100,BY_RESCOM!$AX$2:$AX$100,RESCOM!$B14,BY_RESCOM!$AY$2:$AY$100,RESCOM!$C14)/SUMIFS(BY_RESCOM!T$2:T$100,BY_RESCOM!$AX$2:$AX$100,RESCOM!$B14),"")</f>
        <v>9.9445166464944071E-3</v>
      </c>
      <c r="M14" s="3">
        <f>IFERROR(SUMIFS(BY_RESCOM!U$2:U$100,BY_RESCOM!$AX$2:$AX$100,RESCOM!$B14,BY_RESCOM!$AY$2:$AY$100,RESCOM!$C14)/SUMIFS(BY_RESCOM!U$2:U$100,BY_RESCOM!$AX$2:$AX$100,RESCOM!$B14),"")</f>
        <v>2.3310439638030249E-2</v>
      </c>
      <c r="N14" s="3">
        <f>IFERROR(SUMIFS(BY_RESCOM!V$2:V$100,BY_RESCOM!$AX$2:$AX$100,RESCOM!$B14,BY_RESCOM!$AY$2:$AY$100,RESCOM!$C14)/SUMIFS(BY_RESCOM!V$2:V$100,BY_RESCOM!$AX$2:$AX$100,RESCOM!$B14),"")</f>
        <v>6.2841132373003187E-4</v>
      </c>
      <c r="O14" s="3">
        <f>IFERROR(SUMIFS(BY_RESCOM!W$2:W$100,BY_RESCOM!$AX$2:$AX$100,RESCOM!$B14,BY_RESCOM!$AY$2:$AY$100,RESCOM!$C14)/SUMIFS(BY_RESCOM!W$2:W$100,BY_RESCOM!$AX$2:$AX$100,RESCOM!$B14),"")</f>
        <v>7.6802574949935186E-3</v>
      </c>
      <c r="P14" s="3">
        <f>IFERROR(SUMIFS(BY_RESCOM!X$2:X$100,BY_RESCOM!$AX$2:$AX$100,RESCOM!$B14,BY_RESCOM!$AY$2:$AY$100,RESCOM!$C14)/SUMIFS(BY_RESCOM!X$2:X$100,BY_RESCOM!$AX$2:$AX$100,RESCOM!$B14),"")</f>
        <v>5.8754580315894247E-3</v>
      </c>
      <c r="Q14" s="3">
        <f>IFERROR(SUMIFS(BY_RESCOM!Y$2:Y$100,BY_RESCOM!$AX$2:$AX$100,RESCOM!$B14,BY_RESCOM!$AY$2:$AY$100,RESCOM!$C14)/SUMIFS(BY_RESCOM!Y$2:Y$100,BY_RESCOM!$AX$2:$AX$100,RESCOM!$B14),"")</f>
        <v>1.2846775652482639E-2</v>
      </c>
      <c r="R14" s="3">
        <f>IFERROR(SUMIFS(BY_RESCOM!Z$2:Z$100,BY_RESCOM!$AX$2:$AX$100,RESCOM!$B14,BY_RESCOM!$AY$2:$AY$100,RESCOM!$C14)/SUMIFS(BY_RESCOM!Z$2:Z$100,BY_RESCOM!$AX$2:$AX$100,RESCOM!$B14),"")</f>
        <v>1.2512884230228243E-2</v>
      </c>
      <c r="S14" s="3">
        <f>IFERROR(SUMIFS(BY_RESCOM!AA$2:AA$100,BY_RESCOM!$AX$2:$AX$100,RESCOM!$B14,BY_RESCOM!$AY$2:$AY$100,RESCOM!$C14)/SUMIFS(BY_RESCOM!AA$2:AA$100,BY_RESCOM!$AX$2:$AX$100,RESCOM!$B14),"")</f>
        <v>1.0937604039681111E-2</v>
      </c>
      <c r="T14" s="3">
        <f>IFERROR(SUMIFS(BY_RESCOM!AB$2:AB$100,BY_RESCOM!$AX$2:$AX$100,RESCOM!$B14,BY_RESCOM!$AY$2:$AY$100,RESCOM!$C14)/SUMIFS(BY_RESCOM!AB$2:AB$100,BY_RESCOM!$AX$2:$AX$100,RESCOM!$B14),"")</f>
        <v>3.4695338037007742E-3</v>
      </c>
      <c r="U14" s="3">
        <f>IFERROR(SUMIFS(BY_RESCOM!AC$2:AC$100,BY_RESCOM!$AX$2:$AX$100,RESCOM!$B14,BY_RESCOM!$AY$2:$AY$100,RESCOM!$C14)/SUMIFS(BY_RESCOM!AC$2:AC$100,BY_RESCOM!$AX$2:$AX$100,RESCOM!$B14),"")</f>
        <v>6.0925135518909426E-3</v>
      </c>
      <c r="V14" s="3">
        <f>IFERROR(SUMIFS(BY_RESCOM!AD$2:AD$100,BY_RESCOM!$AX$2:$AX$100,RESCOM!$B14,BY_RESCOM!$AY$2:$AY$100,RESCOM!$C14)/SUMIFS(BY_RESCOM!AD$2:AD$100,BY_RESCOM!$AX$2:$AX$100,RESCOM!$B14),"")</f>
        <v>2.5612913758105709E-3</v>
      </c>
      <c r="W14" s="3">
        <f>IFERROR(SUMIFS(BY_RESCOM!AE$2:AE$100,BY_RESCOM!$AX$2:$AX$100,RESCOM!$B14,BY_RESCOM!$AY$2:$AY$100,RESCOM!$C14)/SUMIFS(BY_RESCOM!AE$2:AE$100,BY_RESCOM!$AX$2:$AX$100,RESCOM!$B14),"")</f>
        <v>0</v>
      </c>
      <c r="X14" s="3">
        <f>IFERROR(SUMIFS(BY_RESCOM!AF$2:AF$100,BY_RESCOM!$AX$2:$AX$100,RESCOM!$B14,BY_RESCOM!$AY$2:$AY$100,RESCOM!$C14)/SUMIFS(BY_RESCOM!AF$2:AF$100,BY_RESCOM!$AX$2:$AX$100,RESCOM!$B14),"")</f>
        <v>0</v>
      </c>
      <c r="Y14" s="3">
        <f>IFERROR(SUMIFS(BY_RESCOM!AG$2:AG$100,BY_RESCOM!$AX$2:$AX$100,RESCOM!$B14,BY_RESCOM!$AY$2:$AY$100,RESCOM!$C14)/SUMIFS(BY_RESCOM!AG$2:AG$100,BY_RESCOM!$AX$2:$AX$100,RESCOM!$B14),"")</f>
        <v>0</v>
      </c>
      <c r="Z14" s="3">
        <f>IFERROR(SUMIFS(BY_RESCOM!AH$2:AH$100,BY_RESCOM!$AX$2:$AX$100,RESCOM!$B14,BY_RESCOM!$AY$2:$AY$100,RESCOM!$C14)/SUMIFS(BY_RESCOM!AH$2:AH$100,BY_RESCOM!$AX$2:$AX$100,RESCOM!$B14),"")</f>
        <v>5.4444090488359491E-3</v>
      </c>
      <c r="AA14" s="3">
        <f>IFERROR(SUMIFS(BY_RESCOM!AI$2:AI$100,BY_RESCOM!$AX$2:$AX$100,RESCOM!$B14,BY_RESCOM!$AY$2:$AY$100,RESCOM!$C14)/SUMIFS(BY_RESCOM!AI$2:AI$100,BY_RESCOM!$AX$2:$AX$100,RESCOM!$B14),"")</f>
        <v>2.8413318433925115E-3</v>
      </c>
      <c r="AB14" s="3">
        <f>IFERROR(SUMIFS(BY_RESCOM!AJ$2:AJ$100,BY_RESCOM!$AX$2:$AX$100,RESCOM!$B14,BY_RESCOM!$AY$2:$AY$100,RESCOM!$C14)/SUMIFS(BY_RESCOM!AJ$2:AJ$100,BY_RESCOM!$AX$2:$AX$100,RESCOM!$B14),"")</f>
        <v>4.3279602658647726E-4</v>
      </c>
      <c r="AC14" s="3">
        <f>IFERROR(SUMIFS(BY_RESCOM!AK$2:AK$100,BY_RESCOM!$AX$2:$AX$100,RESCOM!$B14,BY_RESCOM!$AY$2:$AY$100,RESCOM!$C14)/SUMIFS(BY_RESCOM!AK$2:AK$100,BY_RESCOM!$AX$2:$AX$100,RESCOM!$B14),"")</f>
        <v>0</v>
      </c>
      <c r="AD14" s="3">
        <f>IFERROR(SUMIFS(BY_RESCOM!AL$2:AL$100,BY_RESCOM!$AX$2:$AX$100,RESCOM!$B14,BY_RESCOM!$AY$2:$AY$100,RESCOM!$C14)/SUMIFS(BY_RESCOM!AL$2:AL$100,BY_RESCOM!$AX$2:$AX$100,RESCOM!$B14),"")</f>
        <v>0</v>
      </c>
      <c r="AE14" s="3">
        <f>IFERROR(SUMIFS(BY_RESCOM!AM$2:AM$100,BY_RESCOM!$AX$2:$AX$100,RESCOM!$B14,BY_RESCOM!$AY$2:$AY$100,RESCOM!$C14)/SUMIFS(BY_RESCOM!AM$2:AM$100,BY_RESCOM!$AX$2:$AX$100,RESCOM!$B14),"")</f>
        <v>9.7542011001510495E-3</v>
      </c>
      <c r="AF14" s="3">
        <f>IFERROR(SUMIFS(BY_RESCOM!AN$2:AN$100,BY_RESCOM!$AX$2:$AX$100,RESCOM!$B14,BY_RESCOM!$AY$2:$AY$100,RESCOM!$C14)/SUMIFS(BY_RESCOM!AN$2:AN$100,BY_RESCOM!$AX$2:$AX$100,RESCOM!$B14),"")</f>
        <v>1.356240094265593E-2</v>
      </c>
      <c r="AG14" s="3" t="str">
        <f>IFERROR(SUMIFS(BY_RESCOM!AO$2:AO$100,BY_RESCOM!$AX$2:$AX$100,RESCOM!$B14,BY_RESCOM!$AY$2:$AY$100,RESCOM!$C14)/SUMIFS(BY_RESCOM!AO$2:AO$100,BY_RESCOM!$AX$2:$AX$100,RESCOM!$B14),"")</f>
        <v/>
      </c>
      <c r="AH14" s="3" t="str">
        <f>IFERROR(SUMIFS(BY_RESCOM!AP$2:AP$100,BY_RESCOM!$AX$2:$AX$100,RESCOM!$B14,BY_RESCOM!$AY$2:$AY$100,RESCOM!$C14)/SUMIFS(BY_RESCOM!AP$2:AP$100,BY_RESCOM!$AX$2:$AX$100,RESCOM!$B14),"")</f>
        <v/>
      </c>
      <c r="AQ14">
        <v>2100</v>
      </c>
      <c r="AR14" t="str">
        <f t="shared" ref="AR14" si="16">AR12</f>
        <v>CCK</v>
      </c>
      <c r="AS14" t="str">
        <f t="shared" si="8"/>
        <v>*NGA</v>
      </c>
      <c r="AU14" s="8">
        <f>AU12+(MAX($AU12:$BW12)-AU12)*$CD14</f>
        <v>0.92451395685722626</v>
      </c>
      <c r="AV14" s="8">
        <f t="shared" si="9"/>
        <v>0.87861793921407982</v>
      </c>
      <c r="AW14" s="8">
        <f t="shared" si="9"/>
        <v>0.94494955667184533</v>
      </c>
      <c r="AX14" s="8">
        <f t="shared" si="9"/>
        <v>0.9926326030595678</v>
      </c>
      <c r="AY14" s="8">
        <f t="shared" si="9"/>
        <v>0.99835962647253407</v>
      </c>
      <c r="AZ14" s="8">
        <f t="shared" si="9"/>
        <v>0.89674930648649842</v>
      </c>
      <c r="BA14" s="8">
        <f t="shared" si="9"/>
        <v>0.90751938966946677</v>
      </c>
      <c r="BB14" s="8">
        <f t="shared" si="9"/>
        <v>0.89027603286195345</v>
      </c>
      <c r="BC14" s="8">
        <f t="shared" si="9"/>
        <v>0.93585488162577746</v>
      </c>
      <c r="BD14" s="8">
        <f t="shared" si="9"/>
        <v>0.92744287870914788</v>
      </c>
      <c r="BE14" s="8">
        <f t="shared" si="9"/>
        <v>0.90363058205816815</v>
      </c>
      <c r="BF14" s="8">
        <f t="shared" si="9"/>
        <v>0.96095579886292148</v>
      </c>
      <c r="BG14" s="8">
        <f t="shared" si="9"/>
        <v>0.96135439203373141</v>
      </c>
      <c r="BH14" s="8">
        <f t="shared" si="9"/>
        <v>0.9575671196506178</v>
      </c>
      <c r="BI14" s="8">
        <f t="shared" si="9"/>
        <v>0.97157696618784617</v>
      </c>
      <c r="BJ14" s="8">
        <f t="shared" si="9"/>
        <v>0.93283374993904022</v>
      </c>
      <c r="BK14" s="8">
        <f t="shared" si="9"/>
        <v>0.96495322520539972</v>
      </c>
      <c r="BL14" s="8">
        <f t="shared" si="9"/>
        <v>0.95160857179485281</v>
      </c>
      <c r="BM14" s="8">
        <f t="shared" si="9"/>
        <v>0.96539778304937685</v>
      </c>
      <c r="BN14" s="8">
        <f t="shared" si="9"/>
        <v>0.91134050781102804</v>
      </c>
      <c r="BO14" s="8">
        <f t="shared" si="9"/>
        <v>0.91849101111041276</v>
      </c>
      <c r="BP14" s="8">
        <f t="shared" si="9"/>
        <v>0.89135936358542089</v>
      </c>
      <c r="BQ14" s="8">
        <f t="shared" si="9"/>
        <v>0.98512595189458252</v>
      </c>
      <c r="BR14" s="8">
        <f t="shared" si="9"/>
        <v>0.88950939590876654</v>
      </c>
      <c r="BS14" s="8">
        <f t="shared" si="9"/>
        <v>0.96018673379223751</v>
      </c>
      <c r="BT14" s="8">
        <f t="shared" si="9"/>
        <v>0.87855647129583003</v>
      </c>
      <c r="BU14" s="8">
        <f t="shared" si="9"/>
        <v>0.88334786374346663</v>
      </c>
      <c r="BV14" s="8">
        <f t="shared" si="9"/>
        <v>0.94666120306905943</v>
      </c>
      <c r="BW14" s="8">
        <f t="shared" si="9"/>
        <v>0.97852546186720979</v>
      </c>
      <c r="BX14" s="8" t="e">
        <f t="shared" ref="BX14" si="17">BX12+(MAX($AU12:$BI12)-BX12)*$CD14</f>
        <v>#DIV/0!</v>
      </c>
      <c r="BY14" s="4" t="str">
        <f t="shared" si="4"/>
        <v>CCK</v>
      </c>
      <c r="BZ14" t="s">
        <v>55</v>
      </c>
      <c r="CB14" t="str">
        <f t="shared" si="13"/>
        <v>Techs_CCKNGA</v>
      </c>
      <c r="CD14" s="5">
        <v>0.8</v>
      </c>
    </row>
    <row r="15" spans="2:82">
      <c r="B15" t="s">
        <v>46</v>
      </c>
      <c r="C15" t="s">
        <v>58</v>
      </c>
      <c r="D15" s="3">
        <f>IFERROR(SUMIFS(BY_RESCOM!L$2:L$100,BY_RESCOM!$AX$2:$AX$100,RESCOM!$B15,BY_RESCOM!$AY$2:$AY$100,RESCOM!$C15)/SUMIFS(BY_RESCOM!L$2:L$100,BY_RESCOM!$AX$2:$AX$100,RESCOM!$B15),"")</f>
        <v>0</v>
      </c>
      <c r="E15" s="3">
        <f>IFERROR(SUMIFS(BY_RESCOM!M$2:M$100,BY_RESCOM!$AX$2:$AX$100,RESCOM!$B15,BY_RESCOM!$AY$2:$AY$100,RESCOM!$C15)/SUMIFS(BY_RESCOM!M$2:M$100,BY_RESCOM!$AX$2:$AX$100,RESCOM!$B15),"")</f>
        <v>0</v>
      </c>
      <c r="F15" s="3">
        <f>IFERROR(SUMIFS(BY_RESCOM!N$2:N$100,BY_RESCOM!$AX$2:$AX$100,RESCOM!$B15,BY_RESCOM!$AY$2:$AY$100,RESCOM!$C15)/SUMIFS(BY_RESCOM!N$2:N$100,BY_RESCOM!$AX$2:$AX$100,RESCOM!$B15),"")</f>
        <v>0.18752923220835488</v>
      </c>
      <c r="G15" s="3">
        <f>IFERROR(SUMIFS(BY_RESCOM!O$2:O$100,BY_RESCOM!$AX$2:$AX$100,RESCOM!$B15,BY_RESCOM!$AY$2:$AY$100,RESCOM!$C15)/SUMIFS(BY_RESCOM!O$2:O$100,BY_RESCOM!$AX$2:$AX$100,RESCOM!$B15),"")</f>
        <v>2.5875991962968366E-2</v>
      </c>
      <c r="H15" s="3">
        <f>IFERROR(SUMIFS(BY_RESCOM!P$2:P$100,BY_RESCOM!$AX$2:$AX$100,RESCOM!$B15,BY_RESCOM!$AY$2:$AY$100,RESCOM!$C15)/SUMIFS(BY_RESCOM!P$2:P$100,BY_RESCOM!$AX$2:$AX$100,RESCOM!$B15),"")</f>
        <v>0.40701041042331015</v>
      </c>
      <c r="I15" s="3" t="str">
        <f>IFERROR(SUMIFS(BY_RESCOM!Q$2:Q$100,BY_RESCOM!$AX$2:$AX$100,RESCOM!$B15,BY_RESCOM!$AY$2:$AY$100,RESCOM!$C15)/SUMIFS(BY_RESCOM!Q$2:Q$100,BY_RESCOM!$AX$2:$AX$100,RESCOM!$B15),"")</f>
        <v/>
      </c>
      <c r="J15" s="3">
        <f>IFERROR(SUMIFS(BY_RESCOM!R$2:R$100,BY_RESCOM!$AX$2:$AX$100,RESCOM!$B15,BY_RESCOM!$AY$2:$AY$100,RESCOM!$C15)/SUMIFS(BY_RESCOM!R$2:R$100,BY_RESCOM!$AX$2:$AX$100,RESCOM!$B15),"")</f>
        <v>0.22879744741280481</v>
      </c>
      <c r="K15" s="3">
        <f>IFERROR(SUMIFS(BY_RESCOM!S$2:S$100,BY_RESCOM!$AX$2:$AX$100,RESCOM!$B15,BY_RESCOM!$AY$2:$AY$100,RESCOM!$C15)/SUMIFS(BY_RESCOM!S$2:S$100,BY_RESCOM!$AX$2:$AX$100,RESCOM!$B15),"")</f>
        <v>0.15484534080056975</v>
      </c>
      <c r="L15" s="3">
        <f>IFERROR(SUMIFS(BY_RESCOM!T$2:T$100,BY_RESCOM!$AX$2:$AX$100,RESCOM!$B15,BY_RESCOM!$AY$2:$AY$100,RESCOM!$C15)/SUMIFS(BY_RESCOM!T$2:T$100,BY_RESCOM!$AX$2:$AX$100,RESCOM!$B15),"")</f>
        <v>0.39701364918065507</v>
      </c>
      <c r="M15" s="3">
        <f>IFERROR(SUMIFS(BY_RESCOM!U$2:U$100,BY_RESCOM!$AX$2:$AX$100,RESCOM!$B15,BY_RESCOM!$AY$2:$AY$100,RESCOM!$C15)/SUMIFS(BY_RESCOM!U$2:U$100,BY_RESCOM!$AX$2:$AX$100,RESCOM!$B15),"")</f>
        <v>9.7147999738234472E-2</v>
      </c>
      <c r="N15" s="3">
        <f>IFERROR(SUMIFS(BY_RESCOM!V$2:V$100,BY_RESCOM!$AX$2:$AX$100,RESCOM!$B15,BY_RESCOM!$AY$2:$AY$100,RESCOM!$C15)/SUMIFS(BY_RESCOM!V$2:V$100,BY_RESCOM!$AX$2:$AX$100,RESCOM!$B15),"")</f>
        <v>0.16524854428883626</v>
      </c>
      <c r="O15" s="3">
        <f>IFERROR(SUMIFS(BY_RESCOM!W$2:W$100,BY_RESCOM!$AX$2:$AX$100,RESCOM!$B15,BY_RESCOM!$AY$2:$AY$100,RESCOM!$C15)/SUMIFS(BY_RESCOM!W$2:W$100,BY_RESCOM!$AX$2:$AX$100,RESCOM!$B15),"")</f>
        <v>3.6405965687359904E-2</v>
      </c>
      <c r="P15" s="3">
        <f>IFERROR(SUMIFS(BY_RESCOM!X$2:X$100,BY_RESCOM!$AX$2:$AX$100,RESCOM!$B15,BY_RESCOM!$AY$2:$AY$100,RESCOM!$C15)/SUMIFS(BY_RESCOM!X$2:X$100,BY_RESCOM!$AX$2:$AX$100,RESCOM!$B15),"")</f>
        <v>7.918657064807319E-2</v>
      </c>
      <c r="Q15" s="3">
        <f>IFERROR(SUMIFS(BY_RESCOM!Y$2:Y$100,BY_RESCOM!$AX$2:$AX$100,RESCOM!$B15,BY_RESCOM!$AY$2:$AY$100,RESCOM!$C15)/SUMIFS(BY_RESCOM!Y$2:Y$100,BY_RESCOM!$AX$2:$AX$100,RESCOM!$B15),"")</f>
        <v>8.6417420780618787E-2</v>
      </c>
      <c r="R15" s="3">
        <f>IFERROR(SUMIFS(BY_RESCOM!Z$2:Z$100,BY_RESCOM!$AX$2:$AX$100,RESCOM!$B15,BY_RESCOM!$AY$2:$AY$100,RESCOM!$C15)/SUMIFS(BY_RESCOM!Z$2:Z$100,BY_RESCOM!$AX$2:$AX$100,RESCOM!$B15),"")</f>
        <v>5.4309488998393537E-2</v>
      </c>
      <c r="S15" s="3">
        <f>IFERROR(SUMIFS(BY_RESCOM!AA$2:AA$100,BY_RESCOM!$AX$2:$AX$100,RESCOM!$B15,BY_RESCOM!$AY$2:$AY$100,RESCOM!$C15)/SUMIFS(BY_RESCOM!AA$2:AA$100,BY_RESCOM!$AX$2:$AX$100,RESCOM!$B15),"")</f>
        <v>0.22843754771437932</v>
      </c>
      <c r="T15" s="3">
        <f>IFERROR(SUMIFS(BY_RESCOM!AB$2:AB$100,BY_RESCOM!$AX$2:$AX$100,RESCOM!$B15,BY_RESCOM!$AY$2:$AY$100,RESCOM!$C15)/SUMIFS(BY_RESCOM!AB$2:AB$100,BY_RESCOM!$AX$2:$AX$100,RESCOM!$B15),"")</f>
        <v>1.2671361398706374E-2</v>
      </c>
      <c r="U15" s="3">
        <f>IFERROR(SUMIFS(BY_RESCOM!AC$2:AC$100,BY_RESCOM!$AX$2:$AX$100,RESCOM!$B15,BY_RESCOM!$AY$2:$AY$100,RESCOM!$C15)/SUMIFS(BY_RESCOM!AC$2:AC$100,BY_RESCOM!$AX$2:$AX$100,RESCOM!$B15),"")</f>
        <v>0.17267685932444943</v>
      </c>
      <c r="V15" s="3">
        <f>IFERROR(SUMIFS(BY_RESCOM!AD$2:AD$100,BY_RESCOM!$AX$2:$AX$100,RESCOM!$B15,BY_RESCOM!$AY$2:$AY$100,RESCOM!$C15)/SUMIFS(BY_RESCOM!AD$2:AD$100,BY_RESCOM!$AX$2:$AX$100,RESCOM!$B15),"")</f>
        <v>7.1683083978638679E-2</v>
      </c>
      <c r="W15" s="3" t="str">
        <f>IFERROR(SUMIFS(BY_RESCOM!AE$2:AE$100,BY_RESCOM!$AX$2:$AX$100,RESCOM!$B15,BY_RESCOM!$AY$2:$AY$100,RESCOM!$C15)/SUMIFS(BY_RESCOM!AE$2:AE$100,BY_RESCOM!$AX$2:$AX$100,RESCOM!$B15),"")</f>
        <v/>
      </c>
      <c r="X15" s="3">
        <f>IFERROR(SUMIFS(BY_RESCOM!AF$2:AF$100,BY_RESCOM!$AX$2:$AX$100,RESCOM!$B15,BY_RESCOM!$AY$2:$AY$100,RESCOM!$C15)/SUMIFS(BY_RESCOM!AF$2:AF$100,BY_RESCOM!$AX$2:$AX$100,RESCOM!$B15),"")</f>
        <v>5.7738072753371353E-2</v>
      </c>
      <c r="Y15" s="3">
        <f>IFERROR(SUMIFS(BY_RESCOM!AG$2:AG$100,BY_RESCOM!$AX$2:$AX$100,RESCOM!$B15,BY_RESCOM!$AY$2:$AY$100,RESCOM!$C15)/SUMIFS(BY_RESCOM!AG$2:AG$100,BY_RESCOM!$AX$2:$AX$100,RESCOM!$B15),"")</f>
        <v>0.25538428273103336</v>
      </c>
      <c r="Z15" s="3">
        <f>IFERROR(SUMIFS(BY_RESCOM!AH$2:AH$100,BY_RESCOM!$AX$2:$AX$100,RESCOM!$B15,BY_RESCOM!$AY$2:$AY$100,RESCOM!$C15)/SUMIFS(BY_RESCOM!AH$2:AH$100,BY_RESCOM!$AX$2:$AX$100,RESCOM!$B15),"")</f>
        <v>1.8724657441063299E-2</v>
      </c>
      <c r="AA15" s="3">
        <f>IFERROR(SUMIFS(BY_RESCOM!AI$2:AI$100,BY_RESCOM!$AX$2:$AX$100,RESCOM!$B15,BY_RESCOM!$AY$2:$AY$100,RESCOM!$C15)/SUMIFS(BY_RESCOM!AI$2:AI$100,BY_RESCOM!$AX$2:$AX$100,RESCOM!$B15),"")</f>
        <v>0.5483504834111862</v>
      </c>
      <c r="AB15" s="3">
        <f>IFERROR(SUMIFS(BY_RESCOM!AJ$2:AJ$100,BY_RESCOM!$AX$2:$AX$100,RESCOM!$B15,BY_RESCOM!$AY$2:$AY$100,RESCOM!$C15)/SUMIFS(BY_RESCOM!AJ$2:AJ$100,BY_RESCOM!$AX$2:$AX$100,RESCOM!$B15),"")</f>
        <v>1.4238971985975011E-2</v>
      </c>
      <c r="AC15" s="3">
        <f>IFERROR(SUMIFS(BY_RESCOM!AK$2:AK$100,BY_RESCOM!$AX$2:$AX$100,RESCOM!$B15,BY_RESCOM!$AY$2:$AY$100,RESCOM!$C15)/SUMIFS(BY_RESCOM!AK$2:AK$100,BY_RESCOM!$AX$2:$AX$100,RESCOM!$B15),"")</f>
        <v>0.3163663565992324</v>
      </c>
      <c r="AD15" s="3">
        <f>IFERROR(SUMIFS(BY_RESCOM!AL$2:AL$100,BY_RESCOM!$AX$2:$AX$100,RESCOM!$B15,BY_RESCOM!$AY$2:$AY$100,RESCOM!$C15)/SUMIFS(BY_RESCOM!AL$2:AL$100,BY_RESCOM!$AX$2:$AX$100,RESCOM!$B15),"")</f>
        <v>0</v>
      </c>
      <c r="AE15" s="3">
        <f>IFERROR(SUMIFS(BY_RESCOM!AM$2:AM$100,BY_RESCOM!$AX$2:$AX$100,RESCOM!$B15,BY_RESCOM!$AY$2:$AY$100,RESCOM!$C15)/SUMIFS(BY_RESCOM!AM$2:AM$100,BY_RESCOM!$AX$2:$AX$100,RESCOM!$B15),"")</f>
        <v>9.4899897481522402E-2</v>
      </c>
      <c r="AF15" s="3">
        <f>IFERROR(SUMIFS(BY_RESCOM!AN$2:AN$100,BY_RESCOM!$AX$2:$AX$100,RESCOM!$B15,BY_RESCOM!$AY$2:$AY$100,RESCOM!$C15)/SUMIFS(BY_RESCOM!AN$2:AN$100,BY_RESCOM!$AX$2:$AX$100,RESCOM!$B15),"")</f>
        <v>0.15192765853760276</v>
      </c>
      <c r="AG15" s="3" t="str">
        <f>IFERROR(SUMIFS(BY_RESCOM!AO$2:AO$100,BY_RESCOM!$AX$2:$AX$100,RESCOM!$B15,BY_RESCOM!$AY$2:$AY$100,RESCOM!$C15)/SUMIFS(BY_RESCOM!AO$2:AO$100,BY_RESCOM!$AX$2:$AX$100,RESCOM!$B15),"")</f>
        <v/>
      </c>
      <c r="AH15" s="3" t="str">
        <f>IFERROR(SUMIFS(BY_RESCOM!AP$2:AP$100,BY_RESCOM!$AX$2:$AX$100,RESCOM!$B15,BY_RESCOM!$AY$2:$AY$100,RESCOM!$C15)/SUMIFS(BY_RESCOM!AP$2:AP$100,BY_RESCOM!$AX$2:$AX$100,RESCOM!$B15),"")</f>
        <v/>
      </c>
      <c r="AQ15">
        <v>2050</v>
      </c>
      <c r="AR15" t="s">
        <v>59</v>
      </c>
      <c r="AS15" t="s">
        <v>482</v>
      </c>
      <c r="AT15">
        <v>0.2</v>
      </c>
      <c r="BY15" s="4" t="str">
        <f t="shared" si="4"/>
        <v>RHW</v>
      </c>
      <c r="BZ15" t="s">
        <v>55</v>
      </c>
      <c r="CB15" t="s">
        <v>483</v>
      </c>
    </row>
    <row r="16" spans="2:82">
      <c r="B16" t="s">
        <v>48</v>
      </c>
      <c r="C16" t="s">
        <v>58</v>
      </c>
      <c r="D16" s="3">
        <f>IFERROR(SUMIFS(BY_RESCOM!L$2:L$100,BY_RESCOM!$AX$2:$AX$100,RESCOM!$B16,BY_RESCOM!$AY$2:$AY$100,RESCOM!$C16)/SUMIFS(BY_RESCOM!L$2:L$100,BY_RESCOM!$AX$2:$AX$100,RESCOM!$B16),"")</f>
        <v>0</v>
      </c>
      <c r="E16" s="3">
        <f>IFERROR(SUMIFS(BY_RESCOM!M$2:M$100,BY_RESCOM!$AX$2:$AX$100,RESCOM!$B16,BY_RESCOM!$AY$2:$AY$100,RESCOM!$C16)/SUMIFS(BY_RESCOM!M$2:M$100,BY_RESCOM!$AX$2:$AX$100,RESCOM!$B16),"")</f>
        <v>0</v>
      </c>
      <c r="F16" s="3">
        <f>IFERROR(SUMIFS(BY_RESCOM!N$2:N$100,BY_RESCOM!$AX$2:$AX$100,RESCOM!$B16,BY_RESCOM!$AY$2:$AY$100,RESCOM!$C16)/SUMIFS(BY_RESCOM!N$2:N$100,BY_RESCOM!$AX$2:$AX$100,RESCOM!$B16),"")</f>
        <v>0.33690946452043624</v>
      </c>
      <c r="G16" s="3">
        <f>IFERROR(SUMIFS(BY_RESCOM!O$2:O$100,BY_RESCOM!$AX$2:$AX$100,RESCOM!$B16,BY_RESCOM!$AY$2:$AY$100,RESCOM!$C16)/SUMIFS(BY_RESCOM!O$2:O$100,BY_RESCOM!$AX$2:$AX$100,RESCOM!$B16),"")</f>
        <v>3.0316232755060561E-2</v>
      </c>
      <c r="H16" s="3">
        <f>IFERROR(SUMIFS(BY_RESCOM!P$2:P$100,BY_RESCOM!$AX$2:$AX$100,RESCOM!$B16,BY_RESCOM!$AY$2:$AY$100,RESCOM!$C16)/SUMIFS(BY_RESCOM!P$2:P$100,BY_RESCOM!$AX$2:$AX$100,RESCOM!$B16),"")</f>
        <v>0.28159906908158561</v>
      </c>
      <c r="I16" s="3">
        <f>IFERROR(SUMIFS(BY_RESCOM!Q$2:Q$100,BY_RESCOM!$AX$2:$AX$100,RESCOM!$B16,BY_RESCOM!$AY$2:$AY$100,RESCOM!$C16)/SUMIFS(BY_RESCOM!Q$2:Q$100,BY_RESCOM!$AX$2:$AX$100,RESCOM!$B16),"")</f>
        <v>0.41140863265581384</v>
      </c>
      <c r="J16" s="3">
        <f>IFERROR(SUMIFS(BY_RESCOM!R$2:R$100,BY_RESCOM!$AX$2:$AX$100,RESCOM!$B16,BY_RESCOM!$AY$2:$AY$100,RESCOM!$C16)/SUMIFS(BY_RESCOM!R$2:R$100,BY_RESCOM!$AX$2:$AX$100,RESCOM!$B16),"")</f>
        <v>0.21000123631290568</v>
      </c>
      <c r="K16" s="3">
        <f>IFERROR(SUMIFS(BY_RESCOM!S$2:S$100,BY_RESCOM!$AX$2:$AX$100,RESCOM!$B16,BY_RESCOM!$AY$2:$AY$100,RESCOM!$C16)/SUMIFS(BY_RESCOM!S$2:S$100,BY_RESCOM!$AX$2:$AX$100,RESCOM!$B16),"")</f>
        <v>0.91611579643637198</v>
      </c>
      <c r="L16" s="3">
        <f>IFERROR(SUMIFS(BY_RESCOM!T$2:T$100,BY_RESCOM!$AX$2:$AX$100,RESCOM!$B16,BY_RESCOM!$AY$2:$AY$100,RESCOM!$C16)/SUMIFS(BY_RESCOM!T$2:T$100,BY_RESCOM!$AX$2:$AX$100,RESCOM!$B16),"")</f>
        <v>0.22390731879224612</v>
      </c>
      <c r="M16" s="3">
        <f>IFERROR(SUMIFS(BY_RESCOM!U$2:U$100,BY_RESCOM!$AX$2:$AX$100,RESCOM!$B16,BY_RESCOM!$AY$2:$AY$100,RESCOM!$C16)/SUMIFS(BY_RESCOM!U$2:U$100,BY_RESCOM!$AX$2:$AX$100,RESCOM!$B16),"")</f>
        <v>7.9437130586864926E-2</v>
      </c>
      <c r="N16" s="3">
        <f>IFERROR(SUMIFS(BY_RESCOM!V$2:V$100,BY_RESCOM!$AX$2:$AX$100,RESCOM!$B16,BY_RESCOM!$AY$2:$AY$100,RESCOM!$C16)/SUMIFS(BY_RESCOM!V$2:V$100,BY_RESCOM!$AX$2:$AX$100,RESCOM!$B16),"")</f>
        <v>0.2162196604455264</v>
      </c>
      <c r="O16" s="3">
        <f>IFERROR(SUMIFS(BY_RESCOM!W$2:W$100,BY_RESCOM!$AX$2:$AX$100,RESCOM!$B16,BY_RESCOM!$AY$2:$AY$100,RESCOM!$C16)/SUMIFS(BY_RESCOM!W$2:W$100,BY_RESCOM!$AX$2:$AX$100,RESCOM!$B16),"")</f>
        <v>0.14527303341907855</v>
      </c>
      <c r="P16" s="3">
        <f>IFERROR(SUMIFS(BY_RESCOM!X$2:X$100,BY_RESCOM!$AX$2:$AX$100,RESCOM!$B16,BY_RESCOM!$AY$2:$AY$100,RESCOM!$C16)/SUMIFS(BY_RESCOM!X$2:X$100,BY_RESCOM!$AX$2:$AX$100,RESCOM!$B16),"")</f>
        <v>0.28515910665335703</v>
      </c>
      <c r="Q16" s="3">
        <f>IFERROR(SUMIFS(BY_RESCOM!Y$2:Y$100,BY_RESCOM!$AX$2:$AX$100,RESCOM!$B16,BY_RESCOM!$AY$2:$AY$100,RESCOM!$C16)/SUMIFS(BY_RESCOM!Y$2:Y$100,BY_RESCOM!$AX$2:$AX$100,RESCOM!$B16),"")</f>
        <v>0.35733292595299226</v>
      </c>
      <c r="R16" s="3">
        <f>IFERROR(SUMIFS(BY_RESCOM!Z$2:Z$100,BY_RESCOM!$AX$2:$AX$100,RESCOM!$B16,BY_RESCOM!$AY$2:$AY$100,RESCOM!$C16)/SUMIFS(BY_RESCOM!Z$2:Z$100,BY_RESCOM!$AX$2:$AX$100,RESCOM!$B16),"")</f>
        <v>0.14993296070032894</v>
      </c>
      <c r="S16" s="3">
        <f>IFERROR(SUMIFS(BY_RESCOM!AA$2:AA$100,BY_RESCOM!$AX$2:$AX$100,RESCOM!$B16,BY_RESCOM!$AY$2:$AY$100,RESCOM!$C16)/SUMIFS(BY_RESCOM!AA$2:AA$100,BY_RESCOM!$AX$2:$AX$100,RESCOM!$B16),"")</f>
        <v>0.4891916514861836</v>
      </c>
      <c r="T16" s="3">
        <f>IFERROR(SUMIFS(BY_RESCOM!AB$2:AB$100,BY_RESCOM!$AX$2:$AX$100,RESCOM!$B16,BY_RESCOM!$AY$2:$AY$100,RESCOM!$C16)/SUMIFS(BY_RESCOM!AB$2:AB$100,BY_RESCOM!$AX$2:$AX$100,RESCOM!$B16),"")</f>
        <v>0.11686688207602433</v>
      </c>
      <c r="U16" s="3">
        <f>IFERROR(SUMIFS(BY_RESCOM!AC$2:AC$100,BY_RESCOM!$AX$2:$AX$100,RESCOM!$B16,BY_RESCOM!$AY$2:$AY$100,RESCOM!$C16)/SUMIFS(BY_RESCOM!AC$2:AC$100,BY_RESCOM!$AX$2:$AX$100,RESCOM!$B16),"")</f>
        <v>0.33989891091419755</v>
      </c>
      <c r="V16" s="3">
        <f>IFERROR(SUMIFS(BY_RESCOM!AD$2:AD$100,BY_RESCOM!$AX$2:$AX$100,RESCOM!$B16,BY_RESCOM!$AY$2:$AY$100,RESCOM!$C16)/SUMIFS(BY_RESCOM!AD$2:AD$100,BY_RESCOM!$AX$2:$AX$100,RESCOM!$B16),"")</f>
        <v>0.22490627849254624</v>
      </c>
      <c r="W16" s="3">
        <f>IFERROR(SUMIFS(BY_RESCOM!AE$2:AE$100,BY_RESCOM!$AX$2:$AX$100,RESCOM!$B16,BY_RESCOM!$AY$2:$AY$100,RESCOM!$C16)/SUMIFS(BY_RESCOM!AE$2:AE$100,BY_RESCOM!$AX$2:$AX$100,RESCOM!$B16),"")</f>
        <v>0.2283140341505753</v>
      </c>
      <c r="X16" s="3">
        <f>IFERROR(SUMIFS(BY_RESCOM!AF$2:AF$100,BY_RESCOM!$AX$2:$AX$100,RESCOM!$B16,BY_RESCOM!$AY$2:$AY$100,RESCOM!$C16)/SUMIFS(BY_RESCOM!AF$2:AF$100,BY_RESCOM!$AX$2:$AX$100,RESCOM!$B16),"")</f>
        <v>0.51478809691305427</v>
      </c>
      <c r="Y16" s="3">
        <f>IFERROR(SUMIFS(BY_RESCOM!AG$2:AG$100,BY_RESCOM!$AX$2:$AX$100,RESCOM!$B16,BY_RESCOM!$AY$2:$AY$100,RESCOM!$C16)/SUMIFS(BY_RESCOM!AG$2:AG$100,BY_RESCOM!$AX$2:$AX$100,RESCOM!$B16),"")</f>
        <v>0.88257906368872729</v>
      </c>
      <c r="Z16" s="3">
        <f>IFERROR(SUMIFS(BY_RESCOM!AH$2:AH$100,BY_RESCOM!$AX$2:$AX$100,RESCOM!$B16,BY_RESCOM!$AY$2:$AY$100,RESCOM!$C16)/SUMIFS(BY_RESCOM!AH$2:AH$100,BY_RESCOM!$AX$2:$AX$100,RESCOM!$B16),"")</f>
        <v>0.54526639406900146</v>
      </c>
      <c r="AA16" s="3">
        <f>IFERROR(SUMIFS(BY_RESCOM!AI$2:AI$100,BY_RESCOM!$AX$2:$AX$100,RESCOM!$B16,BY_RESCOM!$AY$2:$AY$100,RESCOM!$C16)/SUMIFS(BY_RESCOM!AI$2:AI$100,BY_RESCOM!$AX$2:$AX$100,RESCOM!$B16),"")</f>
        <v>0.3573275380915128</v>
      </c>
      <c r="AB16" s="3">
        <f>IFERROR(SUMIFS(BY_RESCOM!AJ$2:AJ$100,BY_RESCOM!$AX$2:$AX$100,RESCOM!$B16,BY_RESCOM!$AY$2:$AY$100,RESCOM!$C16)/SUMIFS(BY_RESCOM!AJ$2:AJ$100,BY_RESCOM!$AX$2:$AX$100,RESCOM!$B16),"")</f>
        <v>6.5345131688581165E-2</v>
      </c>
      <c r="AC16" s="3">
        <f>IFERROR(SUMIFS(BY_RESCOM!AK$2:AK$100,BY_RESCOM!$AX$2:$AX$100,RESCOM!$B16,BY_RESCOM!$AY$2:$AY$100,RESCOM!$C16)/SUMIFS(BY_RESCOM!AK$2:AK$100,BY_RESCOM!$AX$2:$AX$100,RESCOM!$B16),"")</f>
        <v>1</v>
      </c>
      <c r="AD16" s="3">
        <f>IFERROR(SUMIFS(BY_RESCOM!AL$2:AL$100,BY_RESCOM!$AX$2:$AX$100,RESCOM!$B16,BY_RESCOM!$AY$2:$AY$100,RESCOM!$C16)/SUMIFS(BY_RESCOM!AL$2:AL$100,BY_RESCOM!$AX$2:$AX$100,RESCOM!$B16),"")</f>
        <v>0</v>
      </c>
      <c r="AE16" s="3">
        <f>IFERROR(SUMIFS(BY_RESCOM!AM$2:AM$100,BY_RESCOM!$AX$2:$AX$100,RESCOM!$B16,BY_RESCOM!$AY$2:$AY$100,RESCOM!$C16)/SUMIFS(BY_RESCOM!AM$2:AM$100,BY_RESCOM!$AX$2:$AX$100,RESCOM!$B16),"")</f>
        <v>0.30301942148218841</v>
      </c>
      <c r="AF16" s="3">
        <f>IFERROR(SUMIFS(BY_RESCOM!AN$2:AN$100,BY_RESCOM!$AX$2:$AX$100,RESCOM!$B16,BY_RESCOM!$AY$2:$AY$100,RESCOM!$C16)/SUMIFS(BY_RESCOM!AN$2:AN$100,BY_RESCOM!$AX$2:$AX$100,RESCOM!$B16),"")</f>
        <v>0.14669730643491047</v>
      </c>
      <c r="AG16" s="3" t="str">
        <f>IFERROR(SUMIFS(BY_RESCOM!AO$2:AO$100,BY_RESCOM!$AX$2:$AX$100,RESCOM!$B16,BY_RESCOM!$AY$2:$AY$100,RESCOM!$C16)/SUMIFS(BY_RESCOM!AO$2:AO$100,BY_RESCOM!$AX$2:$AX$100,RESCOM!$B16),"")</f>
        <v/>
      </c>
      <c r="AH16" s="3" t="str">
        <f>IFERROR(SUMIFS(BY_RESCOM!AP$2:AP$100,BY_RESCOM!$AX$2:$AX$100,RESCOM!$B16,BY_RESCOM!$AY$2:$AY$100,RESCOM!$C16)/SUMIFS(BY_RESCOM!AP$2:AP$100,BY_RESCOM!$AX$2:$AX$100,RESCOM!$B16),"")</f>
        <v/>
      </c>
      <c r="AQ16">
        <v>2050</v>
      </c>
      <c r="AR16" t="s">
        <v>60</v>
      </c>
      <c r="AS16" t="s">
        <v>482</v>
      </c>
      <c r="AT16">
        <v>0.2</v>
      </c>
      <c r="BY16" s="4" t="str">
        <f t="shared" si="4"/>
        <v>CHW</v>
      </c>
      <c r="BZ16" t="s">
        <v>55</v>
      </c>
      <c r="CB16" t="s">
        <v>484</v>
      </c>
    </row>
    <row r="17" spans="1:80">
      <c r="B17" t="s">
        <v>46</v>
      </c>
      <c r="C17" t="s">
        <v>118</v>
      </c>
      <c r="D17" s="3">
        <f>IFERROR(SUMIFS(BY_RESCOM!L$2:L$100,BY_RESCOM!$AX$2:$AX$100,RESCOM!$B17,BY_RESCOM!$AY$2:$AY$100,RESCOM!$C17)/SUMIFS(BY_RESCOM!L$2:L$100,BY_RESCOM!$AX$2:$AX$100,RESCOM!$B17),"")</f>
        <v>0</v>
      </c>
      <c r="E17" s="3">
        <f>IFERROR(SUMIFS(BY_RESCOM!M$2:M$100,BY_RESCOM!$AX$2:$AX$100,RESCOM!$B17,BY_RESCOM!$AY$2:$AY$100,RESCOM!$C17)/SUMIFS(BY_RESCOM!M$2:M$100,BY_RESCOM!$AX$2:$AX$100,RESCOM!$B17),"")</f>
        <v>0</v>
      </c>
      <c r="F17" s="3">
        <f>IFERROR(SUMIFS(BY_RESCOM!N$2:N$100,BY_RESCOM!$AX$2:$AX$100,RESCOM!$B17,BY_RESCOM!$AY$2:$AY$100,RESCOM!$C17)/SUMIFS(BY_RESCOM!N$2:N$100,BY_RESCOM!$AX$2:$AX$100,RESCOM!$B17),"")</f>
        <v>0</v>
      </c>
      <c r="G17" s="3">
        <f>IFERROR(SUMIFS(BY_RESCOM!O$2:O$100,BY_RESCOM!$AX$2:$AX$100,RESCOM!$B17,BY_RESCOM!$AY$2:$AY$100,RESCOM!$C17)/SUMIFS(BY_RESCOM!O$2:O$100,BY_RESCOM!$AX$2:$AX$100,RESCOM!$B17),"")</f>
        <v>0.11881992551164405</v>
      </c>
      <c r="H17" s="3">
        <f>IFERROR(SUMIFS(BY_RESCOM!P$2:P$100,BY_RESCOM!$AX$2:$AX$100,RESCOM!$B17,BY_RESCOM!$AY$2:$AY$100,RESCOM!$C17)/SUMIFS(BY_RESCOM!P$2:P$100,BY_RESCOM!$AX$2:$AX$100,RESCOM!$B17),"")</f>
        <v>0</v>
      </c>
      <c r="I17" s="3" t="str">
        <f>IFERROR(SUMIFS(BY_RESCOM!Q$2:Q$100,BY_RESCOM!$AX$2:$AX$100,RESCOM!$B17,BY_RESCOM!$AY$2:$AY$100,RESCOM!$C17)/SUMIFS(BY_RESCOM!Q$2:Q$100,BY_RESCOM!$AX$2:$AX$100,RESCOM!$B17),"")</f>
        <v/>
      </c>
      <c r="J17" s="3">
        <f>IFERROR(SUMIFS(BY_RESCOM!R$2:R$100,BY_RESCOM!$AX$2:$AX$100,RESCOM!$B17,BY_RESCOM!$AY$2:$AY$100,RESCOM!$C17)/SUMIFS(BY_RESCOM!R$2:R$100,BY_RESCOM!$AX$2:$AX$100,RESCOM!$B17),"")</f>
        <v>0</v>
      </c>
      <c r="K17" s="3">
        <f>IFERROR(SUMIFS(BY_RESCOM!S$2:S$100,BY_RESCOM!$AX$2:$AX$100,RESCOM!$B17,BY_RESCOM!$AY$2:$AY$100,RESCOM!$C17)/SUMIFS(BY_RESCOM!S$2:S$100,BY_RESCOM!$AX$2:$AX$100,RESCOM!$B17),"")</f>
        <v>0</v>
      </c>
      <c r="L17" s="3">
        <f>IFERROR(SUMIFS(BY_RESCOM!T$2:T$100,BY_RESCOM!$AX$2:$AX$100,RESCOM!$B17,BY_RESCOM!$AY$2:$AY$100,RESCOM!$C17)/SUMIFS(BY_RESCOM!T$2:T$100,BY_RESCOM!$AX$2:$AX$100,RESCOM!$B17),"")</f>
        <v>0</v>
      </c>
      <c r="M17" s="3">
        <f>IFERROR(SUMIFS(BY_RESCOM!U$2:U$100,BY_RESCOM!$AX$2:$AX$100,RESCOM!$B17,BY_RESCOM!$AY$2:$AY$100,RESCOM!$C17)/SUMIFS(BY_RESCOM!U$2:U$100,BY_RESCOM!$AX$2:$AX$100,RESCOM!$B17),"")</f>
        <v>0.43548284381197661</v>
      </c>
      <c r="N17" s="3">
        <f>IFERROR(SUMIFS(BY_RESCOM!V$2:V$100,BY_RESCOM!$AX$2:$AX$100,RESCOM!$B17,BY_RESCOM!$AY$2:$AY$100,RESCOM!$C17)/SUMIFS(BY_RESCOM!V$2:V$100,BY_RESCOM!$AX$2:$AX$100,RESCOM!$B17),"")</f>
        <v>0.62637611138180405</v>
      </c>
      <c r="O17" s="3">
        <f>IFERROR(SUMIFS(BY_RESCOM!W$2:W$100,BY_RESCOM!$AX$2:$AX$100,RESCOM!$B17,BY_RESCOM!$AY$2:$AY$100,RESCOM!$C17)/SUMIFS(BY_RESCOM!W$2:W$100,BY_RESCOM!$AX$2:$AX$100,RESCOM!$B17),"")</f>
        <v>0.28530220426836178</v>
      </c>
      <c r="P17" s="3">
        <f>IFERROR(SUMIFS(BY_RESCOM!X$2:X$100,BY_RESCOM!$AX$2:$AX$100,RESCOM!$B17,BY_RESCOM!$AY$2:$AY$100,RESCOM!$C17)/SUMIFS(BY_RESCOM!X$2:X$100,BY_RESCOM!$AX$2:$AX$100,RESCOM!$B17),"")</f>
        <v>2.3518627249700212E-2</v>
      </c>
      <c r="Q17" s="3">
        <f>IFERROR(SUMIFS(BY_RESCOM!Y$2:Y$100,BY_RESCOM!$AX$2:$AX$100,RESCOM!$B17,BY_RESCOM!$AY$2:$AY$100,RESCOM!$C17)/SUMIFS(BY_RESCOM!Y$2:Y$100,BY_RESCOM!$AX$2:$AX$100,RESCOM!$B17),"")</f>
        <v>4.757765778221313E-2</v>
      </c>
      <c r="R17" s="3">
        <f>IFERROR(SUMIFS(BY_RESCOM!Z$2:Z$100,BY_RESCOM!$AX$2:$AX$100,RESCOM!$B17,BY_RESCOM!$AY$2:$AY$100,RESCOM!$C17)/SUMIFS(BY_RESCOM!Z$2:Z$100,BY_RESCOM!$AX$2:$AX$100,RESCOM!$B17),"")</f>
        <v>0.16926120467139585</v>
      </c>
      <c r="S17" s="3">
        <f>IFERROR(SUMIFS(BY_RESCOM!AA$2:AA$100,BY_RESCOM!$AX$2:$AX$100,RESCOM!$B17,BY_RESCOM!$AY$2:$AY$100,RESCOM!$C17)/SUMIFS(BY_RESCOM!AA$2:AA$100,BY_RESCOM!$AX$2:$AX$100,RESCOM!$B17),"")</f>
        <v>1.1414391323876683E-4</v>
      </c>
      <c r="T17" s="3">
        <f>IFERROR(SUMIFS(BY_RESCOM!AB$2:AB$100,BY_RESCOM!$AX$2:$AX$100,RESCOM!$B17,BY_RESCOM!$AY$2:$AY$100,RESCOM!$C17)/SUMIFS(BY_RESCOM!AB$2:AB$100,BY_RESCOM!$AX$2:$AX$100,RESCOM!$B17),"")</f>
        <v>0.19693045271020526</v>
      </c>
      <c r="U17" s="3">
        <f>IFERROR(SUMIFS(BY_RESCOM!AC$2:AC$100,BY_RESCOM!$AX$2:$AX$100,RESCOM!$B17,BY_RESCOM!$AY$2:$AY$100,RESCOM!$C17)/SUMIFS(BY_RESCOM!AC$2:AC$100,BY_RESCOM!$AX$2:$AX$100,RESCOM!$B17),"")</f>
        <v>6.9777905855451183E-2</v>
      </c>
      <c r="V17" s="3">
        <f>IFERROR(SUMIFS(BY_RESCOM!AD$2:AD$100,BY_RESCOM!$AX$2:$AX$100,RESCOM!$B17,BY_RESCOM!$AY$2:$AY$100,RESCOM!$C17)/SUMIFS(BY_RESCOM!AD$2:AD$100,BY_RESCOM!$AX$2:$AX$100,RESCOM!$B17),"")</f>
        <v>0.11260810898171257</v>
      </c>
      <c r="W17" s="3" t="str">
        <f>IFERROR(SUMIFS(BY_RESCOM!AE$2:AE$100,BY_RESCOM!$AX$2:$AX$100,RESCOM!$B17,BY_RESCOM!$AY$2:$AY$100,RESCOM!$C17)/SUMIFS(BY_RESCOM!AE$2:AE$100,BY_RESCOM!$AX$2:$AX$100,RESCOM!$B17),"")</f>
        <v/>
      </c>
      <c r="X17" s="3">
        <f>IFERROR(SUMIFS(BY_RESCOM!AF$2:AF$100,BY_RESCOM!$AX$2:$AX$100,RESCOM!$B17,BY_RESCOM!$AY$2:$AY$100,RESCOM!$C17)/SUMIFS(BY_RESCOM!AF$2:AF$100,BY_RESCOM!$AX$2:$AX$100,RESCOM!$B17),"")</f>
        <v>0</v>
      </c>
      <c r="Y17" s="3">
        <f>IFERROR(SUMIFS(BY_RESCOM!AG$2:AG$100,BY_RESCOM!$AX$2:$AX$100,RESCOM!$B17,BY_RESCOM!$AY$2:$AY$100,RESCOM!$C17)/SUMIFS(BY_RESCOM!AG$2:AG$100,BY_RESCOM!$AX$2:$AX$100,RESCOM!$B17),"")</f>
        <v>0</v>
      </c>
      <c r="Z17" s="3">
        <f>IFERROR(SUMIFS(BY_RESCOM!AH$2:AH$100,BY_RESCOM!$AX$2:$AX$100,RESCOM!$B17,BY_RESCOM!$AY$2:$AY$100,RESCOM!$C17)/SUMIFS(BY_RESCOM!AH$2:AH$100,BY_RESCOM!$AX$2:$AX$100,RESCOM!$B17),"")</f>
        <v>0</v>
      </c>
      <c r="AA17" s="3">
        <f>IFERROR(SUMIFS(BY_RESCOM!AI$2:AI$100,BY_RESCOM!$AX$2:$AX$100,RESCOM!$B17,BY_RESCOM!$AY$2:$AY$100,RESCOM!$C17)/SUMIFS(BY_RESCOM!AI$2:AI$100,BY_RESCOM!$AX$2:$AX$100,RESCOM!$B17),"")</f>
        <v>0.34002105207954847</v>
      </c>
      <c r="AB17" s="3">
        <f>IFERROR(SUMIFS(BY_RESCOM!AJ$2:AJ$100,BY_RESCOM!$AX$2:$AX$100,RESCOM!$B17,BY_RESCOM!$AY$2:$AY$100,RESCOM!$C17)/SUMIFS(BY_RESCOM!AJ$2:AJ$100,BY_RESCOM!$AX$2:$AX$100,RESCOM!$B17),"")</f>
        <v>0.41627458494233388</v>
      </c>
      <c r="AC17" s="3">
        <f>IFERROR(SUMIFS(BY_RESCOM!AK$2:AK$100,BY_RESCOM!$AX$2:$AX$100,RESCOM!$B17,BY_RESCOM!$AY$2:$AY$100,RESCOM!$C17)/SUMIFS(BY_RESCOM!AK$2:AK$100,BY_RESCOM!$AX$2:$AX$100,RESCOM!$B17),"")</f>
        <v>0</v>
      </c>
      <c r="AD17" s="3">
        <f>IFERROR(SUMIFS(BY_RESCOM!AL$2:AL$100,BY_RESCOM!$AX$2:$AX$100,RESCOM!$B17,BY_RESCOM!$AY$2:$AY$100,RESCOM!$C17)/SUMIFS(BY_RESCOM!AL$2:AL$100,BY_RESCOM!$AX$2:$AX$100,RESCOM!$B17),"")</f>
        <v>0</v>
      </c>
      <c r="AE17" s="3">
        <f>IFERROR(SUMIFS(BY_RESCOM!AM$2:AM$100,BY_RESCOM!$AX$2:$AX$100,RESCOM!$B17,BY_RESCOM!$AY$2:$AY$100,RESCOM!$C17)/SUMIFS(BY_RESCOM!AM$2:AM$100,BY_RESCOM!$AX$2:$AX$100,RESCOM!$B17),"")</f>
        <v>1.234261112772882E-2</v>
      </c>
      <c r="AF17" s="3">
        <f>IFERROR(SUMIFS(BY_RESCOM!AN$2:AN$100,BY_RESCOM!$AX$2:$AX$100,RESCOM!$B17,BY_RESCOM!$AY$2:$AY$100,RESCOM!$C17)/SUMIFS(BY_RESCOM!AN$2:AN$100,BY_RESCOM!$AX$2:$AX$100,RESCOM!$B17),"")</f>
        <v>0</v>
      </c>
      <c r="AG17" s="3" t="str">
        <f>IFERROR(SUMIFS(BY_RESCOM!AO$2:AO$100,BY_RESCOM!$AX$2:$AX$100,RESCOM!$B17,BY_RESCOM!$AY$2:$AY$100,RESCOM!$C17)/SUMIFS(BY_RESCOM!AO$2:AO$100,BY_RESCOM!$AX$2:$AX$100,RESCOM!$B17),"")</f>
        <v/>
      </c>
      <c r="AH17" s="3" t="str">
        <f>IFERROR(SUMIFS(BY_RESCOM!AP$2:AP$100,BY_RESCOM!$AX$2:$AX$100,RESCOM!$B17,BY_RESCOM!$AY$2:$AY$100,RESCOM!$C17)/SUMIFS(BY_RESCOM!AP$2:AP$100,BY_RESCOM!$AX$2:$AX$100,RESCOM!$B17),"")</f>
        <v/>
      </c>
      <c r="AQ17">
        <v>2020</v>
      </c>
      <c r="AR17" t="s">
        <v>48</v>
      </c>
      <c r="AT17">
        <v>0.05</v>
      </c>
      <c r="BY17" s="4" t="str">
        <f t="shared" si="4"/>
        <v>CSH</v>
      </c>
      <c r="BZ17" t="s">
        <v>55</v>
      </c>
      <c r="CA17" t="s">
        <v>682</v>
      </c>
      <c r="CB17" t="s">
        <v>677</v>
      </c>
    </row>
    <row r="18" spans="1:80">
      <c r="B18" t="s">
        <v>48</v>
      </c>
      <c r="C18" t="s">
        <v>118</v>
      </c>
      <c r="D18" s="3">
        <f>IFERROR(SUMIFS(BY_RESCOM!L$2:L$100,BY_RESCOM!$AX$2:$AX$100,RESCOM!$B18,BY_RESCOM!$AY$2:$AY$100,RESCOM!$C18)/SUMIFS(BY_RESCOM!L$2:L$100,BY_RESCOM!$AX$2:$AX$100,RESCOM!$B18),"")</f>
        <v>0</v>
      </c>
      <c r="E18" s="3">
        <f>IFERROR(SUMIFS(BY_RESCOM!M$2:M$100,BY_RESCOM!$AX$2:$AX$100,RESCOM!$B18,BY_RESCOM!$AY$2:$AY$100,RESCOM!$C18)/SUMIFS(BY_RESCOM!M$2:M$100,BY_RESCOM!$AX$2:$AX$100,RESCOM!$B18),"")</f>
        <v>0</v>
      </c>
      <c r="F18" s="3">
        <f>IFERROR(SUMIFS(BY_RESCOM!N$2:N$100,BY_RESCOM!$AX$2:$AX$100,RESCOM!$B18,BY_RESCOM!$AY$2:$AY$100,RESCOM!$C18)/SUMIFS(BY_RESCOM!N$2:N$100,BY_RESCOM!$AX$2:$AX$100,RESCOM!$B18),"")</f>
        <v>0</v>
      </c>
      <c r="G18" s="3">
        <f>IFERROR(SUMIFS(BY_RESCOM!O$2:O$100,BY_RESCOM!$AX$2:$AX$100,RESCOM!$B18,BY_RESCOM!$AY$2:$AY$100,RESCOM!$C18)/SUMIFS(BY_RESCOM!O$2:O$100,BY_RESCOM!$AX$2:$AX$100,RESCOM!$B18),"")</f>
        <v>0.35047563905644402</v>
      </c>
      <c r="H18" s="3">
        <f>IFERROR(SUMIFS(BY_RESCOM!P$2:P$100,BY_RESCOM!$AX$2:$AX$100,RESCOM!$B18,BY_RESCOM!$AY$2:$AY$100,RESCOM!$C18)/SUMIFS(BY_RESCOM!P$2:P$100,BY_RESCOM!$AX$2:$AX$100,RESCOM!$B18),"")</f>
        <v>6.602663749300057E-2</v>
      </c>
      <c r="I18" s="3">
        <f>IFERROR(SUMIFS(BY_RESCOM!Q$2:Q$100,BY_RESCOM!$AX$2:$AX$100,RESCOM!$B18,BY_RESCOM!$AY$2:$AY$100,RESCOM!$C18)/SUMIFS(BY_RESCOM!Q$2:Q$100,BY_RESCOM!$AX$2:$AX$100,RESCOM!$B18),"")</f>
        <v>0.12076586003935619</v>
      </c>
      <c r="J18" s="3">
        <f>IFERROR(SUMIFS(BY_RESCOM!R$2:R$100,BY_RESCOM!$AX$2:$AX$100,RESCOM!$B18,BY_RESCOM!$AY$2:$AY$100,RESCOM!$C18)/SUMIFS(BY_RESCOM!R$2:R$100,BY_RESCOM!$AX$2:$AX$100,RESCOM!$B18),"")</f>
        <v>0</v>
      </c>
      <c r="K18" s="3">
        <f>IFERROR(SUMIFS(BY_RESCOM!S$2:S$100,BY_RESCOM!$AX$2:$AX$100,RESCOM!$B18,BY_RESCOM!$AY$2:$AY$100,RESCOM!$C18)/SUMIFS(BY_RESCOM!S$2:S$100,BY_RESCOM!$AX$2:$AX$100,RESCOM!$B18),"")</f>
        <v>0</v>
      </c>
      <c r="L18" s="3">
        <f>IFERROR(SUMIFS(BY_RESCOM!T$2:T$100,BY_RESCOM!$AX$2:$AX$100,RESCOM!$B18,BY_RESCOM!$AY$2:$AY$100,RESCOM!$C18)/SUMIFS(BY_RESCOM!T$2:T$100,BY_RESCOM!$AX$2:$AX$100,RESCOM!$B18),"")</f>
        <v>6.0503705029043458E-4</v>
      </c>
      <c r="M18" s="3">
        <f>IFERROR(SUMIFS(BY_RESCOM!U$2:U$100,BY_RESCOM!$AX$2:$AX$100,RESCOM!$B18,BY_RESCOM!$AY$2:$AY$100,RESCOM!$C18)/SUMIFS(BY_RESCOM!U$2:U$100,BY_RESCOM!$AX$2:$AX$100,RESCOM!$B18),"")</f>
        <v>0.22781633974171053</v>
      </c>
      <c r="N18" s="3">
        <f>IFERROR(SUMIFS(BY_RESCOM!V$2:V$100,BY_RESCOM!$AX$2:$AX$100,RESCOM!$B18,BY_RESCOM!$AY$2:$AY$100,RESCOM!$C18)/SUMIFS(BY_RESCOM!V$2:V$100,BY_RESCOM!$AX$2:$AX$100,RESCOM!$B18),"")</f>
        <v>0.66740623513241781</v>
      </c>
      <c r="O18" s="3">
        <f>IFERROR(SUMIFS(BY_RESCOM!W$2:W$100,BY_RESCOM!$AX$2:$AX$100,RESCOM!$B18,BY_RESCOM!$AY$2:$AY$100,RESCOM!$C18)/SUMIFS(BY_RESCOM!W$2:W$100,BY_RESCOM!$AX$2:$AX$100,RESCOM!$B18),"")</f>
        <v>0.39668267186198181</v>
      </c>
      <c r="P18" s="3">
        <f>IFERROR(SUMIFS(BY_RESCOM!X$2:X$100,BY_RESCOM!$AX$2:$AX$100,RESCOM!$B18,BY_RESCOM!$AY$2:$AY$100,RESCOM!$C18)/SUMIFS(BY_RESCOM!X$2:X$100,BY_RESCOM!$AX$2:$AX$100,RESCOM!$B18),"")</f>
        <v>8.0119735914874077E-2</v>
      </c>
      <c r="Q18" s="3">
        <f>IFERROR(SUMIFS(BY_RESCOM!Y$2:Y$100,BY_RESCOM!$AX$2:$AX$100,RESCOM!$B18,BY_RESCOM!$AY$2:$AY$100,RESCOM!$C18)/SUMIFS(BY_RESCOM!Y$2:Y$100,BY_RESCOM!$AX$2:$AX$100,RESCOM!$B18),"")</f>
        <v>5.3576274355058219E-2</v>
      </c>
      <c r="R18" s="3">
        <f>IFERROR(SUMIFS(BY_RESCOM!Z$2:Z$100,BY_RESCOM!$AX$2:$AX$100,RESCOM!$B18,BY_RESCOM!$AY$2:$AY$100,RESCOM!$C18)/SUMIFS(BY_RESCOM!Z$2:Z$100,BY_RESCOM!$AX$2:$AX$100,RESCOM!$B18),"")</f>
        <v>0.21387991886529575</v>
      </c>
      <c r="S18" s="3">
        <f>IFERROR(SUMIFS(BY_RESCOM!AA$2:AA$100,BY_RESCOM!$AX$2:$AX$100,RESCOM!$B18,BY_RESCOM!$AY$2:$AY$100,RESCOM!$C18)/SUMIFS(BY_RESCOM!AA$2:AA$100,BY_RESCOM!$AX$2:$AX$100,RESCOM!$B18),"")</f>
        <v>7.1594595271569058E-3</v>
      </c>
      <c r="T18" s="3">
        <f>IFERROR(SUMIFS(BY_RESCOM!AB$2:AB$100,BY_RESCOM!$AX$2:$AX$100,RESCOM!$B18,BY_RESCOM!$AY$2:$AY$100,RESCOM!$C18)/SUMIFS(BY_RESCOM!AB$2:AB$100,BY_RESCOM!$AX$2:$AX$100,RESCOM!$B18),"")</f>
        <v>0.43934595963428125</v>
      </c>
      <c r="U18" s="3">
        <f>IFERROR(SUMIFS(BY_RESCOM!AC$2:AC$100,BY_RESCOM!$AX$2:$AX$100,RESCOM!$B18,BY_RESCOM!$AY$2:$AY$100,RESCOM!$C18)/SUMIFS(BY_RESCOM!AC$2:AC$100,BY_RESCOM!$AX$2:$AX$100,RESCOM!$B18),"")</f>
        <v>0.11116567015870996</v>
      </c>
      <c r="V18" s="3">
        <f>IFERROR(SUMIFS(BY_RESCOM!AD$2:AD$100,BY_RESCOM!$AX$2:$AX$100,RESCOM!$B18,BY_RESCOM!$AY$2:$AY$100,RESCOM!$C18)/SUMIFS(BY_RESCOM!AD$2:AD$100,BY_RESCOM!$AX$2:$AX$100,RESCOM!$B18),"")</f>
        <v>0.13426475887064529</v>
      </c>
      <c r="W18" s="3">
        <f>IFERROR(SUMIFS(BY_RESCOM!AE$2:AE$100,BY_RESCOM!$AX$2:$AX$100,RESCOM!$B18,BY_RESCOM!$AY$2:$AY$100,RESCOM!$C18)/SUMIFS(BY_RESCOM!AE$2:AE$100,BY_RESCOM!$AX$2:$AX$100,RESCOM!$B18),"")</f>
        <v>0</v>
      </c>
      <c r="X18" s="3">
        <f>IFERROR(SUMIFS(BY_RESCOM!AF$2:AF$100,BY_RESCOM!$AX$2:$AX$100,RESCOM!$B18,BY_RESCOM!$AY$2:$AY$100,RESCOM!$C18)/SUMIFS(BY_RESCOM!AF$2:AF$100,BY_RESCOM!$AX$2:$AX$100,RESCOM!$B18),"")</f>
        <v>0</v>
      </c>
      <c r="Y18" s="3">
        <f>IFERROR(SUMIFS(BY_RESCOM!AG$2:AG$100,BY_RESCOM!$AX$2:$AX$100,RESCOM!$B18,BY_RESCOM!$AY$2:$AY$100,RESCOM!$C18)/SUMIFS(BY_RESCOM!AG$2:AG$100,BY_RESCOM!$AX$2:$AX$100,RESCOM!$B18),"")</f>
        <v>0</v>
      </c>
      <c r="Z18" s="3">
        <f>IFERROR(SUMIFS(BY_RESCOM!AH$2:AH$100,BY_RESCOM!$AX$2:$AX$100,RESCOM!$B18,BY_RESCOM!$AY$2:$AY$100,RESCOM!$C18)/SUMIFS(BY_RESCOM!AH$2:AH$100,BY_RESCOM!$AX$2:$AX$100,RESCOM!$B18),"")</f>
        <v>0</v>
      </c>
      <c r="AA18" s="3">
        <f>IFERROR(SUMIFS(BY_RESCOM!AI$2:AI$100,BY_RESCOM!$AX$2:$AX$100,RESCOM!$B18,BY_RESCOM!$AY$2:$AY$100,RESCOM!$C18)/SUMIFS(BY_RESCOM!AI$2:AI$100,BY_RESCOM!$AX$2:$AX$100,RESCOM!$B18),"")</f>
        <v>0.48041482381420081</v>
      </c>
      <c r="AB18" s="3">
        <f>IFERROR(SUMIFS(BY_RESCOM!AJ$2:AJ$100,BY_RESCOM!$AX$2:$AX$100,RESCOM!$B18,BY_RESCOM!$AY$2:$AY$100,RESCOM!$C18)/SUMIFS(BY_RESCOM!AJ$2:AJ$100,BY_RESCOM!$AX$2:$AX$100,RESCOM!$B18),"")</f>
        <v>0.73536787503907397</v>
      </c>
      <c r="AC18" s="3">
        <f>IFERROR(SUMIFS(BY_RESCOM!AK$2:AK$100,BY_RESCOM!$AX$2:$AX$100,RESCOM!$B18,BY_RESCOM!$AY$2:$AY$100,RESCOM!$C18)/SUMIFS(BY_RESCOM!AK$2:AK$100,BY_RESCOM!$AX$2:$AX$100,RESCOM!$B18),"")</f>
        <v>0</v>
      </c>
      <c r="AD18" s="3">
        <f>IFERROR(SUMIFS(BY_RESCOM!AL$2:AL$100,BY_RESCOM!$AX$2:$AX$100,RESCOM!$B18,BY_RESCOM!$AY$2:$AY$100,RESCOM!$C18)/SUMIFS(BY_RESCOM!AL$2:AL$100,BY_RESCOM!$AX$2:$AX$100,RESCOM!$B18),"")</f>
        <v>0</v>
      </c>
      <c r="AE18" s="3">
        <f>IFERROR(SUMIFS(BY_RESCOM!AM$2:AM$100,BY_RESCOM!$AX$2:$AX$100,RESCOM!$B18,BY_RESCOM!$AY$2:$AY$100,RESCOM!$C18)/SUMIFS(BY_RESCOM!AM$2:AM$100,BY_RESCOM!$AX$2:$AX$100,RESCOM!$B18),"")</f>
        <v>5.6315989094889801E-2</v>
      </c>
      <c r="AF18" s="3">
        <f>IFERROR(SUMIFS(BY_RESCOM!AN$2:AN$100,BY_RESCOM!$AX$2:$AX$100,RESCOM!$B18,BY_RESCOM!$AY$2:$AY$100,RESCOM!$C18)/SUMIFS(BY_RESCOM!AN$2:AN$100,BY_RESCOM!$AX$2:$AX$100,RESCOM!$B18),"")</f>
        <v>2.1950526139931724E-2</v>
      </c>
      <c r="AG18" s="3" t="str">
        <f>IFERROR(SUMIFS(BY_RESCOM!AO$2:AO$100,BY_RESCOM!$AX$2:$AX$100,RESCOM!$B18,BY_RESCOM!$AY$2:$AY$100,RESCOM!$C18)/SUMIFS(BY_RESCOM!AO$2:AO$100,BY_RESCOM!$AX$2:$AX$100,RESCOM!$B18),"")</f>
        <v/>
      </c>
      <c r="AH18" s="3" t="str">
        <f>IFERROR(SUMIFS(BY_RESCOM!AP$2:AP$100,BY_RESCOM!$AX$2:$AX$100,RESCOM!$B18,BY_RESCOM!$AY$2:$AY$100,RESCOM!$C18)/SUMIFS(BY_RESCOM!AP$2:AP$100,BY_RESCOM!$AX$2:$AX$100,RESCOM!$B18),"")</f>
        <v/>
      </c>
      <c r="AQ18">
        <v>2050</v>
      </c>
      <c r="AR18" t="s">
        <v>48</v>
      </c>
      <c r="AT18">
        <v>0.75</v>
      </c>
      <c r="BY18" s="4" t="str">
        <f t="shared" ref="BY18:BY19" si="18">AR18</f>
        <v>CSH</v>
      </c>
      <c r="BZ18" t="s">
        <v>55</v>
      </c>
      <c r="CA18" t="str">
        <f>CA17</f>
        <v>C*HP*,-*000</v>
      </c>
      <c r="CB18" t="s">
        <v>677</v>
      </c>
    </row>
    <row r="19" spans="1:80">
      <c r="B19" t="s">
        <v>41</v>
      </c>
      <c r="C19" t="s">
        <v>47</v>
      </c>
      <c r="D19" s="3">
        <f>IFERROR(SUMIFS(BY_RESCOM!L$2:L$100,BY_RESCOM!$AX$2:$AX$100,RESCOM!$B19,BY_RESCOM!$AY$2:$AY$100,RESCOM!$C19)/SUMIFS(BY_RESCOM!L$2:L$100,BY_RESCOM!$AX$2:$AX$100,RESCOM!$B19),"")</f>
        <v>0</v>
      </c>
      <c r="E19" s="3">
        <f>IFERROR(SUMIFS(BY_RESCOM!M$2:M$100,BY_RESCOM!$AX$2:$AX$100,RESCOM!$B19,BY_RESCOM!$AY$2:$AY$100,RESCOM!$C19)/SUMIFS(BY_RESCOM!M$2:M$100,BY_RESCOM!$AX$2:$AX$100,RESCOM!$B19),"")</f>
        <v>1.0623453291597326E-6</v>
      </c>
      <c r="F19" s="3">
        <f>IFERROR(SUMIFS(BY_RESCOM!N$2:N$100,BY_RESCOM!$AX$2:$AX$100,RESCOM!$B19,BY_RESCOM!$AY$2:$AY$100,RESCOM!$C19)/SUMIFS(BY_RESCOM!N$2:N$100,BY_RESCOM!$AX$2:$AX$100,RESCOM!$B19),"")</f>
        <v>0</v>
      </c>
      <c r="G19" s="3">
        <f>IFERROR(SUMIFS(BY_RESCOM!O$2:O$100,BY_RESCOM!$AX$2:$AX$100,RESCOM!$B19,BY_RESCOM!$AY$2:$AY$100,RESCOM!$C19)/SUMIFS(BY_RESCOM!O$2:O$100,BY_RESCOM!$AX$2:$AX$100,RESCOM!$B19),"")</f>
        <v>3.2931457914713101E-2</v>
      </c>
      <c r="H19" s="3">
        <f>IFERROR(SUMIFS(BY_RESCOM!P$2:P$100,BY_RESCOM!$AX$2:$AX$100,RESCOM!$B19,BY_RESCOM!$AY$2:$AY$100,RESCOM!$C19)/SUMIFS(BY_RESCOM!P$2:P$100,BY_RESCOM!$AX$2:$AX$100,RESCOM!$B19),"")</f>
        <v>0</v>
      </c>
      <c r="I19" s="3">
        <f>IFERROR(SUMIFS(BY_RESCOM!Q$2:Q$100,BY_RESCOM!$AX$2:$AX$100,RESCOM!$B19,BY_RESCOM!$AY$2:$AY$100,RESCOM!$C19)/SUMIFS(BY_RESCOM!Q$2:Q$100,BY_RESCOM!$AX$2:$AX$100,RESCOM!$B19),"")</f>
        <v>1.5137805486942348E-2</v>
      </c>
      <c r="J19" s="3">
        <f>IFERROR(SUMIFS(BY_RESCOM!R$2:R$100,BY_RESCOM!$AX$2:$AX$100,RESCOM!$B19,BY_RESCOM!$AY$2:$AY$100,RESCOM!$C19)/SUMIFS(BY_RESCOM!R$2:R$100,BY_RESCOM!$AX$2:$AX$100,RESCOM!$B19),"")</f>
        <v>0</v>
      </c>
      <c r="K19" s="3">
        <f>IFERROR(SUMIFS(BY_RESCOM!S$2:S$100,BY_RESCOM!$AX$2:$AX$100,RESCOM!$B19,BY_RESCOM!$AY$2:$AY$100,RESCOM!$C19)/SUMIFS(BY_RESCOM!S$2:S$100,BY_RESCOM!$AX$2:$AX$100,RESCOM!$B19),"")</f>
        <v>0</v>
      </c>
      <c r="L19" s="3">
        <f>IFERROR(SUMIFS(BY_RESCOM!T$2:T$100,BY_RESCOM!$AX$2:$AX$100,RESCOM!$B19,BY_RESCOM!$AY$2:$AY$100,RESCOM!$C19)/SUMIFS(BY_RESCOM!T$2:T$100,BY_RESCOM!$AX$2:$AX$100,RESCOM!$B19),"")</f>
        <v>0</v>
      </c>
      <c r="M19" s="3">
        <f>IFERROR(SUMIFS(BY_RESCOM!U$2:U$100,BY_RESCOM!$AX$2:$AX$100,RESCOM!$B19,BY_RESCOM!$AY$2:$AY$100,RESCOM!$C19)/SUMIFS(BY_RESCOM!U$2:U$100,BY_RESCOM!$AX$2:$AX$100,RESCOM!$B19),"")</f>
        <v>1.723416903569415E-2</v>
      </c>
      <c r="N19" s="3">
        <f>IFERROR(SUMIFS(BY_RESCOM!V$2:V$100,BY_RESCOM!$AX$2:$AX$100,RESCOM!$B19,BY_RESCOM!$AY$2:$AY$100,RESCOM!$C19)/SUMIFS(BY_RESCOM!V$2:V$100,BY_RESCOM!$AX$2:$AX$100,RESCOM!$B19),"")</f>
        <v>0</v>
      </c>
      <c r="O19" s="3">
        <f>IFERROR(SUMIFS(BY_RESCOM!W$2:W$100,BY_RESCOM!$AX$2:$AX$100,RESCOM!$B19,BY_RESCOM!$AY$2:$AY$100,RESCOM!$C19)/SUMIFS(BY_RESCOM!W$2:W$100,BY_RESCOM!$AX$2:$AX$100,RESCOM!$B19),"")</f>
        <v>9.9429036291598261E-3</v>
      </c>
      <c r="P19" s="3">
        <f>IFERROR(SUMIFS(BY_RESCOM!X$2:X$100,BY_RESCOM!$AX$2:$AX$100,RESCOM!$B19,BY_RESCOM!$AY$2:$AY$100,RESCOM!$C19)/SUMIFS(BY_RESCOM!X$2:X$100,BY_RESCOM!$AX$2:$AX$100,RESCOM!$B19),"")</f>
        <v>3.861152940267964E-5</v>
      </c>
      <c r="Q19" s="3">
        <f>IFERROR(SUMIFS(BY_RESCOM!Y$2:Y$100,BY_RESCOM!$AX$2:$AX$100,RESCOM!$B19,BY_RESCOM!$AY$2:$AY$100,RESCOM!$C19)/SUMIFS(BY_RESCOM!Y$2:Y$100,BY_RESCOM!$AX$2:$AX$100,RESCOM!$B19),"")</f>
        <v>0</v>
      </c>
      <c r="R19" s="3">
        <f>IFERROR(SUMIFS(BY_RESCOM!Z$2:Z$100,BY_RESCOM!$AX$2:$AX$100,RESCOM!$B19,BY_RESCOM!$AY$2:$AY$100,RESCOM!$C19)/SUMIFS(BY_RESCOM!Z$2:Z$100,BY_RESCOM!$AX$2:$AX$100,RESCOM!$B19),"")</f>
        <v>6.8973128069304212E-4</v>
      </c>
      <c r="S19" s="3">
        <f>IFERROR(SUMIFS(BY_RESCOM!AA$2:AA$100,BY_RESCOM!$AX$2:$AX$100,RESCOM!$B19,BY_RESCOM!$AY$2:$AY$100,RESCOM!$C19)/SUMIFS(BY_RESCOM!AA$2:AA$100,BY_RESCOM!$AX$2:$AX$100,RESCOM!$B19),"")</f>
        <v>0</v>
      </c>
      <c r="T19" s="3">
        <f>IFERROR(SUMIFS(BY_RESCOM!AB$2:AB$100,BY_RESCOM!$AX$2:$AX$100,RESCOM!$B19,BY_RESCOM!$AY$2:$AY$100,RESCOM!$C19)/SUMIFS(BY_RESCOM!AB$2:AB$100,BY_RESCOM!$AX$2:$AX$100,RESCOM!$B19),"")</f>
        <v>0</v>
      </c>
      <c r="U19" s="3">
        <f>IFERROR(SUMIFS(BY_RESCOM!AC$2:AC$100,BY_RESCOM!$AX$2:$AX$100,RESCOM!$B19,BY_RESCOM!$AY$2:$AY$100,RESCOM!$C19)/SUMIFS(BY_RESCOM!AC$2:AC$100,BY_RESCOM!$AX$2:$AX$100,RESCOM!$B19),"")</f>
        <v>0</v>
      </c>
      <c r="V19" s="3">
        <f>IFERROR(SUMIFS(BY_RESCOM!AD$2:AD$100,BY_RESCOM!$AX$2:$AX$100,RESCOM!$B19,BY_RESCOM!$AY$2:$AY$100,RESCOM!$C19)/SUMIFS(BY_RESCOM!AD$2:AD$100,BY_RESCOM!$AX$2:$AX$100,RESCOM!$B19),"")</f>
        <v>1.5635505104992417E-5</v>
      </c>
      <c r="W19" s="3">
        <f>IFERROR(SUMIFS(BY_RESCOM!AE$2:AE$100,BY_RESCOM!$AX$2:$AX$100,RESCOM!$B19,BY_RESCOM!$AY$2:$AY$100,RESCOM!$C19)/SUMIFS(BY_RESCOM!AE$2:AE$100,BY_RESCOM!$AX$2:$AX$100,RESCOM!$B19),"")</f>
        <v>2.1606921639403733E-2</v>
      </c>
      <c r="X19" s="3">
        <f>IFERROR(SUMIFS(BY_RESCOM!AF$2:AF$100,BY_RESCOM!$AX$2:$AX$100,RESCOM!$B19,BY_RESCOM!$AY$2:$AY$100,RESCOM!$C19)/SUMIFS(BY_RESCOM!AF$2:AF$100,BY_RESCOM!$AX$2:$AX$100,RESCOM!$B19),"")</f>
        <v>1.9610577509718128E-4</v>
      </c>
      <c r="Y19" s="3">
        <f>IFERROR(SUMIFS(BY_RESCOM!AG$2:AG$100,BY_RESCOM!$AX$2:$AX$100,RESCOM!$B19,BY_RESCOM!$AY$2:$AY$100,RESCOM!$C19)/SUMIFS(BY_RESCOM!AG$2:AG$100,BY_RESCOM!$AX$2:$AX$100,RESCOM!$B19),"")</f>
        <v>0</v>
      </c>
      <c r="Z19" s="3">
        <f>IFERROR(SUMIFS(BY_RESCOM!AH$2:AH$100,BY_RESCOM!$AX$2:$AX$100,RESCOM!$B19,BY_RESCOM!$AY$2:$AY$100,RESCOM!$C19)/SUMIFS(BY_RESCOM!AH$2:AH$100,BY_RESCOM!$AX$2:$AX$100,RESCOM!$B19),"")</f>
        <v>0</v>
      </c>
      <c r="AA19" s="3">
        <f>IFERROR(SUMIFS(BY_RESCOM!AI$2:AI$100,BY_RESCOM!$AX$2:$AX$100,RESCOM!$B19,BY_RESCOM!$AY$2:$AY$100,RESCOM!$C19)/SUMIFS(BY_RESCOM!AI$2:AI$100,BY_RESCOM!$AX$2:$AX$100,RESCOM!$B19),"")</f>
        <v>0</v>
      </c>
      <c r="AB19" s="3">
        <f>IFERROR(SUMIFS(BY_RESCOM!AJ$2:AJ$100,BY_RESCOM!$AX$2:$AX$100,RESCOM!$B19,BY_RESCOM!$AY$2:$AY$100,RESCOM!$C19)/SUMIFS(BY_RESCOM!AJ$2:AJ$100,BY_RESCOM!$AX$2:$AX$100,RESCOM!$B19),"")</f>
        <v>3.0733912522717729E-3</v>
      </c>
      <c r="AC19" s="3">
        <f>IFERROR(SUMIFS(BY_RESCOM!AK$2:AK$100,BY_RESCOM!$AX$2:$AX$100,RESCOM!$B19,BY_RESCOM!$AY$2:$AY$100,RESCOM!$C19)/SUMIFS(BY_RESCOM!AK$2:AK$100,BY_RESCOM!$AX$2:$AX$100,RESCOM!$B19),"")</f>
        <v>0</v>
      </c>
      <c r="AD19" s="3">
        <f>IFERROR(SUMIFS(BY_RESCOM!AL$2:AL$100,BY_RESCOM!$AX$2:$AX$100,RESCOM!$B19,BY_RESCOM!$AY$2:$AY$100,RESCOM!$C19)/SUMIFS(BY_RESCOM!AL$2:AL$100,BY_RESCOM!$AX$2:$AX$100,RESCOM!$B19),"")</f>
        <v>5.4844203355620035E-2</v>
      </c>
      <c r="AE19" s="3">
        <f>IFERROR(SUMIFS(BY_RESCOM!AM$2:AM$100,BY_RESCOM!$AX$2:$AX$100,RESCOM!$B19,BY_RESCOM!$AY$2:$AY$100,RESCOM!$C19)/SUMIFS(BY_RESCOM!AM$2:AM$100,BY_RESCOM!$AX$2:$AX$100,RESCOM!$B19),"")</f>
        <v>1.9961275126255068E-5</v>
      </c>
      <c r="AF19" s="3">
        <f>IFERROR(SUMIFS(BY_RESCOM!AN$2:AN$100,BY_RESCOM!$AX$2:$AX$100,RESCOM!$B19,BY_RESCOM!$AY$2:$AY$100,RESCOM!$C19)/SUMIFS(BY_RESCOM!AN$2:AN$100,BY_RESCOM!$AX$2:$AX$100,RESCOM!$B19),"")</f>
        <v>0</v>
      </c>
      <c r="AG19" s="3" t="str">
        <f>IFERROR(SUMIFS(BY_RESCOM!AO$2:AO$100,BY_RESCOM!$AX$2:$AX$100,RESCOM!$B19,BY_RESCOM!$AY$2:$AY$100,RESCOM!$C19)/SUMIFS(BY_RESCOM!AO$2:AO$100,BY_RESCOM!$AX$2:$AX$100,RESCOM!$B19),"")</f>
        <v/>
      </c>
      <c r="AH19" s="3" t="str">
        <f>IFERROR(SUMIFS(BY_RESCOM!AP$2:AP$100,BY_RESCOM!$AX$2:$AX$100,RESCOM!$B19,BY_RESCOM!$AY$2:$AY$100,RESCOM!$C19)/SUMIFS(BY_RESCOM!AP$2:AP$100,BY_RESCOM!$AX$2:$AX$100,RESCOM!$B19),"")</f>
        <v/>
      </c>
      <c r="AQ19">
        <v>2020</v>
      </c>
      <c r="AR19" t="s">
        <v>46</v>
      </c>
      <c r="AT19">
        <v>0.05</v>
      </c>
      <c r="BY19" s="4" t="str">
        <f t="shared" si="18"/>
        <v>RSH</v>
      </c>
      <c r="BZ19" t="s">
        <v>55</v>
      </c>
      <c r="CA19" t="s">
        <v>683</v>
      </c>
      <c r="CB19" t="s">
        <v>678</v>
      </c>
    </row>
    <row r="20" spans="1:80">
      <c r="B20" t="s">
        <v>43</v>
      </c>
      <c r="C20" t="s">
        <v>47</v>
      </c>
      <c r="D20" s="3">
        <f>IFERROR(SUMIFS(BY_RESCOM!L$2:L$100,BY_RESCOM!$AX$2:$AX$100,RESCOM!$B20,BY_RESCOM!$AY$2:$AY$100,RESCOM!$C20)/SUMIFS(BY_RESCOM!L$2:L$100,BY_RESCOM!$AX$2:$AX$100,RESCOM!$B20),"")</f>
        <v>0</v>
      </c>
      <c r="E20" s="3">
        <f>IFERROR(SUMIFS(BY_RESCOM!M$2:M$100,BY_RESCOM!$AX$2:$AX$100,RESCOM!$B20,BY_RESCOM!$AY$2:$AY$100,RESCOM!$C20)/SUMIFS(BY_RESCOM!M$2:M$100,BY_RESCOM!$AX$2:$AX$100,RESCOM!$B20),"")</f>
        <v>2.1551742473052197E-4</v>
      </c>
      <c r="F20" s="3">
        <f>IFERROR(SUMIFS(BY_RESCOM!N$2:N$100,BY_RESCOM!$AX$2:$AX$100,RESCOM!$B20,BY_RESCOM!$AY$2:$AY$100,RESCOM!$C20)/SUMIFS(BY_RESCOM!N$2:N$100,BY_RESCOM!$AX$2:$AX$100,RESCOM!$B20),"")</f>
        <v>0</v>
      </c>
      <c r="G20" s="3">
        <f>IFERROR(SUMIFS(BY_RESCOM!O$2:O$100,BY_RESCOM!$AX$2:$AX$100,RESCOM!$B20,BY_RESCOM!$AY$2:$AY$100,RESCOM!$C20)/SUMIFS(BY_RESCOM!O$2:O$100,BY_RESCOM!$AX$2:$AX$100,RESCOM!$B20),"")</f>
        <v>0</v>
      </c>
      <c r="H20" s="3">
        <f>IFERROR(SUMIFS(BY_RESCOM!P$2:P$100,BY_RESCOM!$AX$2:$AX$100,RESCOM!$B20,BY_RESCOM!$AY$2:$AY$100,RESCOM!$C20)/SUMIFS(BY_RESCOM!P$2:P$100,BY_RESCOM!$AX$2:$AX$100,RESCOM!$B20),"")</f>
        <v>1.640373527465809E-3</v>
      </c>
      <c r="I20" s="3">
        <f>IFERROR(SUMIFS(BY_RESCOM!Q$2:Q$100,BY_RESCOM!$AX$2:$AX$100,RESCOM!$B20,BY_RESCOM!$AY$2:$AY$100,RESCOM!$C20)/SUMIFS(BY_RESCOM!Q$2:Q$100,BY_RESCOM!$AX$2:$AX$100,RESCOM!$B20),"")</f>
        <v>1.4563305368522607E-2</v>
      </c>
      <c r="J20" s="3">
        <f>IFERROR(SUMIFS(BY_RESCOM!R$2:R$100,BY_RESCOM!$AX$2:$AX$100,RESCOM!$B20,BY_RESCOM!$AY$2:$AY$100,RESCOM!$C20)/SUMIFS(BY_RESCOM!R$2:R$100,BY_RESCOM!$AX$2:$AX$100,RESCOM!$B20),"")</f>
        <v>0</v>
      </c>
      <c r="K20" s="3">
        <f>IFERROR(SUMIFS(BY_RESCOM!S$2:S$100,BY_RESCOM!$AX$2:$AX$100,RESCOM!$B20,BY_RESCOM!$AY$2:$AY$100,RESCOM!$C20)/SUMIFS(BY_RESCOM!S$2:S$100,BY_RESCOM!$AX$2:$AX$100,RESCOM!$B20),"")</f>
        <v>0</v>
      </c>
      <c r="L20" s="3">
        <f>IFERROR(SUMIFS(BY_RESCOM!T$2:T$100,BY_RESCOM!$AX$2:$AX$100,RESCOM!$B20,BY_RESCOM!$AY$2:$AY$100,RESCOM!$C20)/SUMIFS(BY_RESCOM!T$2:T$100,BY_RESCOM!$AX$2:$AX$100,RESCOM!$B20),"")</f>
        <v>0</v>
      </c>
      <c r="M20" s="3">
        <f>IFERROR(SUMIFS(BY_RESCOM!U$2:U$100,BY_RESCOM!$AX$2:$AX$100,RESCOM!$B20,BY_RESCOM!$AY$2:$AY$100,RESCOM!$C20)/SUMIFS(BY_RESCOM!U$2:U$100,BY_RESCOM!$AX$2:$AX$100,RESCOM!$B20),"")</f>
        <v>7.0027443220350677E-2</v>
      </c>
      <c r="N20" s="3">
        <f>IFERROR(SUMIFS(BY_RESCOM!V$2:V$100,BY_RESCOM!$AX$2:$AX$100,RESCOM!$B20,BY_RESCOM!$AY$2:$AY$100,RESCOM!$C20)/SUMIFS(BY_RESCOM!V$2:V$100,BY_RESCOM!$AX$2:$AX$100,RESCOM!$B20),"")</f>
        <v>0</v>
      </c>
      <c r="O20" s="3">
        <f>IFERROR(SUMIFS(BY_RESCOM!W$2:W$100,BY_RESCOM!$AX$2:$AX$100,RESCOM!$B20,BY_RESCOM!$AY$2:$AY$100,RESCOM!$C20)/SUMIFS(BY_RESCOM!W$2:W$100,BY_RESCOM!$AX$2:$AX$100,RESCOM!$B20),"")</f>
        <v>0</v>
      </c>
      <c r="P20" s="3">
        <f>IFERROR(SUMIFS(BY_RESCOM!X$2:X$100,BY_RESCOM!$AX$2:$AX$100,RESCOM!$B20,BY_RESCOM!$AY$2:$AY$100,RESCOM!$C20)/SUMIFS(BY_RESCOM!X$2:X$100,BY_RESCOM!$AX$2:$AX$100,RESCOM!$B20),"")</f>
        <v>0</v>
      </c>
      <c r="Q20" s="3">
        <f>IFERROR(SUMIFS(BY_RESCOM!Y$2:Y$100,BY_RESCOM!$AX$2:$AX$100,RESCOM!$B20,BY_RESCOM!$AY$2:$AY$100,RESCOM!$C20)/SUMIFS(BY_RESCOM!Y$2:Y$100,BY_RESCOM!$AX$2:$AX$100,RESCOM!$B20),"")</f>
        <v>0</v>
      </c>
      <c r="R20" s="3">
        <f>IFERROR(SUMIFS(BY_RESCOM!Z$2:Z$100,BY_RESCOM!$AX$2:$AX$100,RESCOM!$B20,BY_RESCOM!$AY$2:$AY$100,RESCOM!$C20)/SUMIFS(BY_RESCOM!Z$2:Z$100,BY_RESCOM!$AX$2:$AX$100,RESCOM!$B20),"")</f>
        <v>0</v>
      </c>
      <c r="S20" s="3">
        <f>IFERROR(SUMIFS(BY_RESCOM!AA$2:AA$100,BY_RESCOM!$AX$2:$AX$100,RESCOM!$B20,BY_RESCOM!$AY$2:$AY$100,RESCOM!$C20)/SUMIFS(BY_RESCOM!AA$2:AA$100,BY_RESCOM!$AX$2:$AX$100,RESCOM!$B20),"")</f>
        <v>0</v>
      </c>
      <c r="T20" s="3">
        <f>IFERROR(SUMIFS(BY_RESCOM!AB$2:AB$100,BY_RESCOM!$AX$2:$AX$100,RESCOM!$B20,BY_RESCOM!$AY$2:$AY$100,RESCOM!$C20)/SUMIFS(BY_RESCOM!AB$2:AB$100,BY_RESCOM!$AX$2:$AX$100,RESCOM!$B20),"")</f>
        <v>0</v>
      </c>
      <c r="U20" s="3">
        <f>IFERROR(SUMIFS(BY_RESCOM!AC$2:AC$100,BY_RESCOM!$AX$2:$AX$100,RESCOM!$B20,BY_RESCOM!$AY$2:$AY$100,RESCOM!$C20)/SUMIFS(BY_RESCOM!AC$2:AC$100,BY_RESCOM!$AX$2:$AX$100,RESCOM!$B20),"")</f>
        <v>0</v>
      </c>
      <c r="V20" s="3">
        <f>IFERROR(SUMIFS(BY_RESCOM!AD$2:AD$100,BY_RESCOM!$AX$2:$AX$100,RESCOM!$B20,BY_RESCOM!$AY$2:$AY$100,RESCOM!$C20)/SUMIFS(BY_RESCOM!AD$2:AD$100,BY_RESCOM!$AX$2:$AX$100,RESCOM!$B20),"")</f>
        <v>0</v>
      </c>
      <c r="W20" s="3">
        <f>IFERROR(SUMIFS(BY_RESCOM!AE$2:AE$100,BY_RESCOM!$AX$2:$AX$100,RESCOM!$B20,BY_RESCOM!$AY$2:$AY$100,RESCOM!$C20)/SUMIFS(BY_RESCOM!AE$2:AE$100,BY_RESCOM!$AX$2:$AX$100,RESCOM!$B20),"")</f>
        <v>0.1321273730455291</v>
      </c>
      <c r="X20" s="3">
        <f>IFERROR(SUMIFS(BY_RESCOM!AF$2:AF$100,BY_RESCOM!$AX$2:$AX$100,RESCOM!$B20,BY_RESCOM!$AY$2:$AY$100,RESCOM!$C20)/SUMIFS(BY_RESCOM!AF$2:AF$100,BY_RESCOM!$AX$2:$AX$100,RESCOM!$B20),"")</f>
        <v>0</v>
      </c>
      <c r="Y20" s="3">
        <f>IFERROR(SUMIFS(BY_RESCOM!AG$2:AG$100,BY_RESCOM!$AX$2:$AX$100,RESCOM!$B20,BY_RESCOM!$AY$2:$AY$100,RESCOM!$C20)/SUMIFS(BY_RESCOM!AG$2:AG$100,BY_RESCOM!$AX$2:$AX$100,RESCOM!$B20),"")</f>
        <v>0</v>
      </c>
      <c r="Z20" s="3">
        <f>IFERROR(SUMIFS(BY_RESCOM!AH$2:AH$100,BY_RESCOM!$AX$2:$AX$100,RESCOM!$B20,BY_RESCOM!$AY$2:$AY$100,RESCOM!$C20)/SUMIFS(BY_RESCOM!AH$2:AH$100,BY_RESCOM!$AX$2:$AX$100,RESCOM!$B20),"")</f>
        <v>0</v>
      </c>
      <c r="AA20" s="3">
        <f>IFERROR(SUMIFS(BY_RESCOM!AI$2:AI$100,BY_RESCOM!$AX$2:$AX$100,RESCOM!$B20,BY_RESCOM!$AY$2:$AY$100,RESCOM!$C20)/SUMIFS(BY_RESCOM!AI$2:AI$100,BY_RESCOM!$AX$2:$AX$100,RESCOM!$B20),"")</f>
        <v>0</v>
      </c>
      <c r="AB20" s="3">
        <f>IFERROR(SUMIFS(BY_RESCOM!AJ$2:AJ$100,BY_RESCOM!$AX$2:$AX$100,RESCOM!$B20,BY_RESCOM!$AY$2:$AY$100,RESCOM!$C20)/SUMIFS(BY_RESCOM!AJ$2:AJ$100,BY_RESCOM!$AX$2:$AX$100,RESCOM!$B20),"")</f>
        <v>0</v>
      </c>
      <c r="AC20" s="3">
        <f>IFERROR(SUMIFS(BY_RESCOM!AK$2:AK$100,BY_RESCOM!$AX$2:$AX$100,RESCOM!$B20,BY_RESCOM!$AY$2:$AY$100,RESCOM!$C20)/SUMIFS(BY_RESCOM!AK$2:AK$100,BY_RESCOM!$AX$2:$AX$100,RESCOM!$B20),"")</f>
        <v>0</v>
      </c>
      <c r="AD20" s="3">
        <f>IFERROR(SUMIFS(BY_RESCOM!AL$2:AL$100,BY_RESCOM!$AX$2:$AX$100,RESCOM!$B20,BY_RESCOM!$AY$2:$AY$100,RESCOM!$C20)/SUMIFS(BY_RESCOM!AL$2:AL$100,BY_RESCOM!$AX$2:$AX$100,RESCOM!$B20),"")</f>
        <v>0.44672768042773864</v>
      </c>
      <c r="AE20" s="3">
        <f>IFERROR(SUMIFS(BY_RESCOM!AM$2:AM$100,BY_RESCOM!$AX$2:$AX$100,RESCOM!$B20,BY_RESCOM!$AY$2:$AY$100,RESCOM!$C20)/SUMIFS(BY_RESCOM!AM$2:AM$100,BY_RESCOM!$AX$2:$AX$100,RESCOM!$B20),"")</f>
        <v>0</v>
      </c>
      <c r="AF20" s="3">
        <f>IFERROR(SUMIFS(BY_RESCOM!AN$2:AN$100,BY_RESCOM!$AX$2:$AX$100,RESCOM!$B20,BY_RESCOM!$AY$2:$AY$100,RESCOM!$C20)/SUMIFS(BY_RESCOM!AN$2:AN$100,BY_RESCOM!$AX$2:$AX$100,RESCOM!$B20),"")</f>
        <v>0</v>
      </c>
      <c r="AG20" s="3" t="str">
        <f>IFERROR(SUMIFS(BY_RESCOM!AO$2:AO$100,BY_RESCOM!$AX$2:$AX$100,RESCOM!$B20,BY_RESCOM!$AY$2:$AY$100,RESCOM!$C20)/SUMIFS(BY_RESCOM!AO$2:AO$100,BY_RESCOM!$AX$2:$AX$100,RESCOM!$B20),"")</f>
        <v/>
      </c>
      <c r="AH20" s="3" t="str">
        <f>IFERROR(SUMIFS(BY_RESCOM!AP$2:AP$100,BY_RESCOM!$AX$2:$AX$100,RESCOM!$B20,BY_RESCOM!$AY$2:$AY$100,RESCOM!$C20)/SUMIFS(BY_RESCOM!AP$2:AP$100,BY_RESCOM!$AX$2:$AX$100,RESCOM!$B20),"")</f>
        <v/>
      </c>
      <c r="AQ20">
        <v>2050</v>
      </c>
      <c r="AR20" t="s">
        <v>46</v>
      </c>
      <c r="AT20">
        <v>0.75</v>
      </c>
      <c r="BY20" s="4" t="str">
        <f t="shared" ref="BY20" si="19">AR20</f>
        <v>RSH</v>
      </c>
      <c r="BZ20" t="s">
        <v>55</v>
      </c>
      <c r="CA20" t="str">
        <f>CA19</f>
        <v>R*HP*,-*000</v>
      </c>
      <c r="CB20" t="s">
        <v>678</v>
      </c>
    </row>
    <row r="21" spans="1:80">
      <c r="B21" t="s">
        <v>41</v>
      </c>
      <c r="C21" t="s">
        <v>58</v>
      </c>
      <c r="D21" s="3">
        <f>IFERROR(SUMIFS(BY_RESCOM!L$2:L$100,BY_RESCOM!$AX$2:$AX$100,RESCOM!$B21,BY_RESCOM!$AY$2:$AY$100,RESCOM!$C21)/SUMIFS(BY_RESCOM!L$2:L$100,BY_RESCOM!$AX$2:$AX$100,RESCOM!$B21),"")</f>
        <v>0</v>
      </c>
      <c r="E21" s="3">
        <f>IFERROR(SUMIFS(BY_RESCOM!M$2:M$100,BY_RESCOM!$AX$2:$AX$100,RESCOM!$B21,BY_RESCOM!$AY$2:$AY$100,RESCOM!$C21)/SUMIFS(BY_RESCOM!M$2:M$100,BY_RESCOM!$AX$2:$AX$100,RESCOM!$B21),"")</f>
        <v>0</v>
      </c>
      <c r="F21" s="3">
        <f>IFERROR(SUMIFS(BY_RESCOM!N$2:N$100,BY_RESCOM!$AX$2:$AX$100,RESCOM!$B21,BY_RESCOM!$AY$2:$AY$100,RESCOM!$C21)/SUMIFS(BY_RESCOM!N$2:N$100,BY_RESCOM!$AX$2:$AX$100,RESCOM!$B21),"")</f>
        <v>1.7567929326730023E-3</v>
      </c>
      <c r="G21" s="3">
        <f>IFERROR(SUMIFS(BY_RESCOM!O$2:O$100,BY_RESCOM!$AX$2:$AX$100,RESCOM!$B21,BY_RESCOM!$AY$2:$AY$100,RESCOM!$C21)/SUMIFS(BY_RESCOM!O$2:O$100,BY_RESCOM!$AX$2:$AX$100,RESCOM!$B21),"")</f>
        <v>0.14756163684495902</v>
      </c>
      <c r="H21" s="3">
        <f>IFERROR(SUMIFS(BY_RESCOM!P$2:P$100,BY_RESCOM!$AX$2:$AX$100,RESCOM!$B21,BY_RESCOM!$AY$2:$AY$100,RESCOM!$C21)/SUMIFS(BY_RESCOM!P$2:P$100,BY_RESCOM!$AX$2:$AX$100,RESCOM!$B21),"")</f>
        <v>0.30465585553738972</v>
      </c>
      <c r="I21" s="3">
        <f>IFERROR(SUMIFS(BY_RESCOM!Q$2:Q$100,BY_RESCOM!$AX$2:$AX$100,RESCOM!$B21,BY_RESCOM!$AY$2:$AY$100,RESCOM!$C21)/SUMIFS(BY_RESCOM!Q$2:Q$100,BY_RESCOM!$AX$2:$AX$100,RESCOM!$B21),"")</f>
        <v>1.2334405296530576E-2</v>
      </c>
      <c r="J21" s="3">
        <f>IFERROR(SUMIFS(BY_RESCOM!R$2:R$100,BY_RESCOM!$AX$2:$AX$100,RESCOM!$B21,BY_RESCOM!$AY$2:$AY$100,RESCOM!$C21)/SUMIFS(BY_RESCOM!R$2:R$100,BY_RESCOM!$AX$2:$AX$100,RESCOM!$B21),"")</f>
        <v>0.63487565066512441</v>
      </c>
      <c r="K21" s="3">
        <f>IFERROR(SUMIFS(BY_RESCOM!S$2:S$100,BY_RESCOM!$AX$2:$AX$100,RESCOM!$B21,BY_RESCOM!$AY$2:$AY$100,RESCOM!$C21)/SUMIFS(BY_RESCOM!S$2:S$100,BY_RESCOM!$AX$2:$AX$100,RESCOM!$B21),"")</f>
        <v>3.1429725747421462E-3</v>
      </c>
      <c r="L21" s="3">
        <f>IFERROR(SUMIFS(BY_RESCOM!T$2:T$100,BY_RESCOM!$AX$2:$AX$100,RESCOM!$B21,BY_RESCOM!$AY$2:$AY$100,RESCOM!$C21)/SUMIFS(BY_RESCOM!T$2:T$100,BY_RESCOM!$AX$2:$AX$100,RESCOM!$B21),"")</f>
        <v>0.87180098012523821</v>
      </c>
      <c r="M21" s="3">
        <f>IFERROR(SUMIFS(BY_RESCOM!U$2:U$100,BY_RESCOM!$AX$2:$AX$100,RESCOM!$B21,BY_RESCOM!$AY$2:$AY$100,RESCOM!$C21)/SUMIFS(BY_RESCOM!U$2:U$100,BY_RESCOM!$AX$2:$AX$100,RESCOM!$B21),"")</f>
        <v>5.3769204411472427E-2</v>
      </c>
      <c r="N21" s="3">
        <f>IFERROR(SUMIFS(BY_RESCOM!V$2:V$100,BY_RESCOM!$AX$2:$AX$100,RESCOM!$B21,BY_RESCOM!$AY$2:$AY$100,RESCOM!$C21)/SUMIFS(BY_RESCOM!V$2:V$100,BY_RESCOM!$AX$2:$AX$100,RESCOM!$B21),"")</f>
        <v>0.94616546263417822</v>
      </c>
      <c r="O21" s="3">
        <f>IFERROR(SUMIFS(BY_RESCOM!W$2:W$100,BY_RESCOM!$AX$2:$AX$100,RESCOM!$B21,BY_RESCOM!$AY$2:$AY$100,RESCOM!$C21)/SUMIFS(BY_RESCOM!W$2:W$100,BY_RESCOM!$AX$2:$AX$100,RESCOM!$B21),"")</f>
        <v>0.29726268850088133</v>
      </c>
      <c r="P21" s="3">
        <f>IFERROR(SUMIFS(BY_RESCOM!X$2:X$100,BY_RESCOM!$AX$2:$AX$100,RESCOM!$B21,BY_RESCOM!$AY$2:$AY$100,RESCOM!$C21)/SUMIFS(BY_RESCOM!X$2:X$100,BY_RESCOM!$AX$2:$AX$100,RESCOM!$B21),"")</f>
        <v>0.59342059538978331</v>
      </c>
      <c r="Q21" s="3">
        <f>IFERROR(SUMIFS(BY_RESCOM!Y$2:Y$100,BY_RESCOM!$AX$2:$AX$100,RESCOM!$B21,BY_RESCOM!$AY$2:$AY$100,RESCOM!$C21)/SUMIFS(BY_RESCOM!Y$2:Y$100,BY_RESCOM!$AX$2:$AX$100,RESCOM!$B21),"")</f>
        <v>0.62671572780749962</v>
      </c>
      <c r="R21" s="3">
        <f>IFERROR(SUMIFS(BY_RESCOM!Z$2:Z$100,BY_RESCOM!$AX$2:$AX$100,RESCOM!$B21,BY_RESCOM!$AY$2:$AY$100,RESCOM!$C21)/SUMIFS(BY_RESCOM!Z$2:Z$100,BY_RESCOM!$AX$2:$AX$100,RESCOM!$B21),"")</f>
        <v>0.32682227004359105</v>
      </c>
      <c r="S21" s="3">
        <f>IFERROR(SUMIFS(BY_RESCOM!AA$2:AA$100,BY_RESCOM!$AX$2:$AX$100,RESCOM!$B21,BY_RESCOM!$AY$2:$AY$100,RESCOM!$C21)/SUMIFS(BY_RESCOM!AA$2:AA$100,BY_RESCOM!$AX$2:$AX$100,RESCOM!$B21),"")</f>
        <v>0.83906159490249088</v>
      </c>
      <c r="T21" s="3">
        <f>IFERROR(SUMIFS(BY_RESCOM!AB$2:AB$100,BY_RESCOM!$AX$2:$AX$100,RESCOM!$B21,BY_RESCOM!$AY$2:$AY$100,RESCOM!$C21)/SUMIFS(BY_RESCOM!AB$2:AB$100,BY_RESCOM!$AX$2:$AX$100,RESCOM!$B21),"")</f>
        <v>7.2760700492037464E-2</v>
      </c>
      <c r="U21" s="3">
        <f>IFERROR(SUMIFS(BY_RESCOM!AC$2:AC$100,BY_RESCOM!$AX$2:$AX$100,RESCOM!$B21,BY_RESCOM!$AY$2:$AY$100,RESCOM!$C21)/SUMIFS(BY_RESCOM!AC$2:AC$100,BY_RESCOM!$AX$2:$AX$100,RESCOM!$B21),"")</f>
        <v>0.79804737833283779</v>
      </c>
      <c r="V21" s="3">
        <f>IFERROR(SUMIFS(BY_RESCOM!AD$2:AD$100,BY_RESCOM!$AX$2:$AX$100,RESCOM!$B21,BY_RESCOM!$AY$2:$AY$100,RESCOM!$C21)/SUMIFS(BY_RESCOM!AD$2:AD$100,BY_RESCOM!$AX$2:$AX$100,RESCOM!$B21),"")</f>
        <v>0.59841768688337493</v>
      </c>
      <c r="W21" s="3">
        <f>IFERROR(SUMIFS(BY_RESCOM!AE$2:AE$100,BY_RESCOM!$AX$2:$AX$100,RESCOM!$B21,BY_RESCOM!$AY$2:$AY$100,RESCOM!$C21)/SUMIFS(BY_RESCOM!AE$2:AE$100,BY_RESCOM!$AX$2:$AX$100,RESCOM!$B21),"")</f>
        <v>2.1514115650323904E-3</v>
      </c>
      <c r="X21" s="3">
        <f>IFERROR(SUMIFS(BY_RESCOM!AF$2:AF$100,BY_RESCOM!$AX$2:$AX$100,RESCOM!$B21,BY_RESCOM!$AY$2:$AY$100,RESCOM!$C21)/SUMIFS(BY_RESCOM!AF$2:AF$100,BY_RESCOM!$AX$2:$AX$100,RESCOM!$B21),"")</f>
        <v>1.8390363798002334E-3</v>
      </c>
      <c r="Y21" s="3">
        <f>IFERROR(SUMIFS(BY_RESCOM!AG$2:AG$100,BY_RESCOM!$AX$2:$AX$100,RESCOM!$B21,BY_RESCOM!$AY$2:$AY$100,RESCOM!$C21)/SUMIFS(BY_RESCOM!AG$2:AG$100,BY_RESCOM!$AX$2:$AX$100,RESCOM!$B21),"")</f>
        <v>4.4765442924060272E-3</v>
      </c>
      <c r="Z21" s="3">
        <f>IFERROR(SUMIFS(BY_RESCOM!AH$2:AH$100,BY_RESCOM!$AX$2:$AX$100,RESCOM!$B21,BY_RESCOM!$AY$2:$AY$100,RESCOM!$C21)/SUMIFS(BY_RESCOM!AH$2:AH$100,BY_RESCOM!$AX$2:$AX$100,RESCOM!$B21),"")</f>
        <v>4.6668873894248925E-2</v>
      </c>
      <c r="AA21" s="3">
        <f>IFERROR(SUMIFS(BY_RESCOM!AI$2:AI$100,BY_RESCOM!$AX$2:$AX$100,RESCOM!$B21,BY_RESCOM!$AY$2:$AY$100,RESCOM!$C21)/SUMIFS(BY_RESCOM!AI$2:AI$100,BY_RESCOM!$AX$2:$AX$100,RESCOM!$B21),"")</f>
        <v>0.99461890611195902</v>
      </c>
      <c r="AB21" s="3">
        <f>IFERROR(SUMIFS(BY_RESCOM!AJ$2:AJ$100,BY_RESCOM!$AX$2:$AX$100,RESCOM!$B21,BY_RESCOM!$AY$2:$AY$100,RESCOM!$C21)/SUMIFS(BY_RESCOM!AJ$2:AJ$100,BY_RESCOM!$AX$2:$AX$100,RESCOM!$B21),"")</f>
        <v>0.10828401628606243</v>
      </c>
      <c r="AC21" s="3">
        <f>IFERROR(SUMIFS(BY_RESCOM!AK$2:AK$100,BY_RESCOM!$AX$2:$AX$100,RESCOM!$B21,BY_RESCOM!$AY$2:$AY$100,RESCOM!$C21)/SUMIFS(BY_RESCOM!AK$2:AK$100,BY_RESCOM!$AX$2:$AX$100,RESCOM!$B21),"")</f>
        <v>0.21157148518339131</v>
      </c>
      <c r="AD21" s="3">
        <f>IFERROR(SUMIFS(BY_RESCOM!AL$2:AL$100,BY_RESCOM!$AX$2:$AX$100,RESCOM!$B21,BY_RESCOM!$AY$2:$AY$100,RESCOM!$C21)/SUMIFS(BY_RESCOM!AL$2:AL$100,BY_RESCOM!$AX$2:$AX$100,RESCOM!$B21),"")</f>
        <v>0</v>
      </c>
      <c r="AE21" s="3">
        <f>IFERROR(SUMIFS(BY_RESCOM!AM$2:AM$100,BY_RESCOM!$AX$2:$AX$100,RESCOM!$B21,BY_RESCOM!$AY$2:$AY$100,RESCOM!$C21)/SUMIFS(BY_RESCOM!AM$2:AM$100,BY_RESCOM!$AX$2:$AX$100,RESCOM!$B21),"")</f>
        <v>0.62684392278978784</v>
      </c>
      <c r="AF21" s="3">
        <f>IFERROR(SUMIFS(BY_RESCOM!AN$2:AN$100,BY_RESCOM!$AX$2:$AX$100,RESCOM!$B21,BY_RESCOM!$AY$2:$AY$100,RESCOM!$C21)/SUMIFS(BY_RESCOM!AN$2:AN$100,BY_RESCOM!$AX$2:$AX$100,RESCOM!$B21),"")</f>
        <v>0.58611855429480897</v>
      </c>
      <c r="AG21" s="3" t="str">
        <f>IFERROR(SUMIFS(BY_RESCOM!AO$2:AO$100,BY_RESCOM!$AX$2:$AX$100,RESCOM!$B21,BY_RESCOM!$AY$2:$AY$100,RESCOM!$C21)/SUMIFS(BY_RESCOM!AO$2:AO$100,BY_RESCOM!$AX$2:$AX$100,RESCOM!$B21),"")</f>
        <v/>
      </c>
      <c r="AH21" s="3" t="str">
        <f>IFERROR(SUMIFS(BY_RESCOM!AP$2:AP$100,BY_RESCOM!$AX$2:$AX$100,RESCOM!$B21,BY_RESCOM!$AY$2:$AY$100,RESCOM!$C21)/SUMIFS(BY_RESCOM!AP$2:AP$100,BY_RESCOM!$AX$2:$AX$100,RESCOM!$B21),"")</f>
        <v/>
      </c>
    </row>
    <row r="22" spans="1:80">
      <c r="B22" t="s">
        <v>43</v>
      </c>
      <c r="C22" t="s">
        <v>58</v>
      </c>
      <c r="D22" s="3">
        <f>IFERROR(SUMIFS(BY_RESCOM!L$2:L$100,BY_RESCOM!$AX$2:$AX$100,RESCOM!$B22,BY_RESCOM!$AY$2:$AY$100,RESCOM!$C22)/SUMIFS(BY_RESCOM!L$2:L$100,BY_RESCOM!$AX$2:$AX$100,RESCOM!$B22),"")</f>
        <v>0.31238988919428756</v>
      </c>
      <c r="E22" s="3">
        <f>IFERROR(SUMIFS(BY_RESCOM!M$2:M$100,BY_RESCOM!$AX$2:$AX$100,RESCOM!$B22,BY_RESCOM!$AY$2:$AY$100,RESCOM!$C22)/SUMIFS(BY_RESCOM!M$2:M$100,BY_RESCOM!$AX$2:$AX$100,RESCOM!$B22),"")</f>
        <v>8.1913866412141309E-2</v>
      </c>
      <c r="F22" s="3">
        <f>IFERROR(SUMIFS(BY_RESCOM!N$2:N$100,BY_RESCOM!$AX$2:$AX$100,RESCOM!$B22,BY_RESCOM!$AY$2:$AY$100,RESCOM!$C22)/SUMIFS(BY_RESCOM!N$2:N$100,BY_RESCOM!$AX$2:$AX$100,RESCOM!$B22),"")</f>
        <v>5.4950341387117886E-2</v>
      </c>
      <c r="G22" s="3">
        <f>IFERROR(SUMIFS(BY_RESCOM!O$2:O$100,BY_RESCOM!$AX$2:$AX$100,RESCOM!$B22,BY_RESCOM!$AY$2:$AY$100,RESCOM!$C22)/SUMIFS(BY_RESCOM!O$2:O$100,BY_RESCOM!$AX$2:$AX$100,RESCOM!$B22),"")</f>
        <v>4.7423259614059916E-2</v>
      </c>
      <c r="H22" s="3">
        <f>IFERROR(SUMIFS(BY_RESCOM!P$2:P$100,BY_RESCOM!$AX$2:$AX$100,RESCOM!$B22,BY_RESCOM!$AY$2:$AY$100,RESCOM!$C22)/SUMIFS(BY_RESCOM!P$2:P$100,BY_RESCOM!$AX$2:$AX$100,RESCOM!$B22),"")</f>
        <v>0</v>
      </c>
      <c r="I22" s="3">
        <f>IFERROR(SUMIFS(BY_RESCOM!Q$2:Q$100,BY_RESCOM!$AX$2:$AX$100,RESCOM!$B22,BY_RESCOM!$AY$2:$AY$100,RESCOM!$C22)/SUMIFS(BY_RESCOM!Q$2:Q$100,BY_RESCOM!$AX$2:$AX$100,RESCOM!$B22),"")</f>
        <v>7.4449892918504318E-2</v>
      </c>
      <c r="J22" s="3">
        <f>IFERROR(SUMIFS(BY_RESCOM!R$2:R$100,BY_RESCOM!$AX$2:$AX$100,RESCOM!$B22,BY_RESCOM!$AY$2:$AY$100,RESCOM!$C22)/SUMIFS(BY_RESCOM!R$2:R$100,BY_RESCOM!$AX$2:$AX$100,RESCOM!$B22),"")</f>
        <v>0.72313027732698365</v>
      </c>
      <c r="K22" s="3">
        <f>IFERROR(SUMIFS(BY_RESCOM!S$2:S$100,BY_RESCOM!$AX$2:$AX$100,RESCOM!$B22,BY_RESCOM!$AY$2:$AY$100,RESCOM!$C22)/SUMIFS(BY_RESCOM!S$2:S$100,BY_RESCOM!$AX$2:$AX$100,RESCOM!$B22),"")</f>
        <v>0.29292217579099483</v>
      </c>
      <c r="L22" s="3">
        <f>IFERROR(SUMIFS(BY_RESCOM!T$2:T$100,BY_RESCOM!$AX$2:$AX$100,RESCOM!$B22,BY_RESCOM!$AY$2:$AY$100,RESCOM!$C22)/SUMIFS(BY_RESCOM!T$2:T$100,BY_RESCOM!$AX$2:$AX$100,RESCOM!$B22),"")</f>
        <v>0.22349620643615123</v>
      </c>
      <c r="M22" s="3">
        <f>IFERROR(SUMIFS(BY_RESCOM!U$2:U$100,BY_RESCOM!$AX$2:$AX$100,RESCOM!$B22,BY_RESCOM!$AY$2:$AY$100,RESCOM!$C22)/SUMIFS(BY_RESCOM!U$2:U$100,BY_RESCOM!$AX$2:$AX$100,RESCOM!$B22),"")</f>
        <v>0.155275045850852</v>
      </c>
      <c r="N22" s="3">
        <f>IFERROR(SUMIFS(BY_RESCOM!V$2:V$100,BY_RESCOM!$AX$2:$AX$100,RESCOM!$B22,BY_RESCOM!$AY$2:$AY$100,RESCOM!$C22)/SUMIFS(BY_RESCOM!V$2:V$100,BY_RESCOM!$AX$2:$AX$100,RESCOM!$B22),"")</f>
        <v>0.72193562928381982</v>
      </c>
      <c r="O22" s="3">
        <f>IFERROR(SUMIFS(BY_RESCOM!W$2:W$100,BY_RESCOM!$AX$2:$AX$100,RESCOM!$B22,BY_RESCOM!$AY$2:$AY$100,RESCOM!$C22)/SUMIFS(BY_RESCOM!W$2:W$100,BY_RESCOM!$AX$2:$AX$100,RESCOM!$B22),"")</f>
        <v>0.30545713750396464</v>
      </c>
      <c r="P22" s="3">
        <f>IFERROR(SUMIFS(BY_RESCOM!X$2:X$100,BY_RESCOM!$AX$2:$AX$100,RESCOM!$B22,BY_RESCOM!$AY$2:$AY$100,RESCOM!$C22)/SUMIFS(BY_RESCOM!X$2:X$100,BY_RESCOM!$AX$2:$AX$100,RESCOM!$B22),"")</f>
        <v>0.20978550908515814</v>
      </c>
      <c r="Q22" s="3">
        <f>IFERROR(SUMIFS(BY_RESCOM!Y$2:Y$100,BY_RESCOM!$AX$2:$AX$100,RESCOM!$B22,BY_RESCOM!$AY$2:$AY$100,RESCOM!$C22)/SUMIFS(BY_RESCOM!Y$2:Y$100,BY_RESCOM!$AX$2:$AX$100,RESCOM!$B22),"")</f>
        <v>0.21849542775718953</v>
      </c>
      <c r="R22" s="3">
        <f>IFERROR(SUMIFS(BY_RESCOM!Z$2:Z$100,BY_RESCOM!$AX$2:$AX$100,RESCOM!$B22,BY_RESCOM!$AY$2:$AY$100,RESCOM!$C22)/SUMIFS(BY_RESCOM!Z$2:Z$100,BY_RESCOM!$AX$2:$AX$100,RESCOM!$B22),"")</f>
        <v>0.21579970895869377</v>
      </c>
      <c r="S22" s="3">
        <f>IFERROR(SUMIFS(BY_RESCOM!AA$2:AA$100,BY_RESCOM!$AX$2:$AX$100,RESCOM!$B22,BY_RESCOM!$AY$2:$AY$100,RESCOM!$C22)/SUMIFS(BY_RESCOM!AA$2:AA$100,BY_RESCOM!$AX$2:$AX$100,RESCOM!$B22),"")</f>
        <v>0.40151462130972948</v>
      </c>
      <c r="T22" s="3">
        <f>IFERROR(SUMIFS(BY_RESCOM!AB$2:AB$100,BY_RESCOM!$AX$2:$AX$100,RESCOM!$B22,BY_RESCOM!$AY$2:$AY$100,RESCOM!$C22)/SUMIFS(BY_RESCOM!AB$2:AB$100,BY_RESCOM!$AX$2:$AX$100,RESCOM!$B22),"")</f>
        <v>7.2723695842625155E-2</v>
      </c>
      <c r="U22" s="3">
        <f>IFERROR(SUMIFS(BY_RESCOM!AC$2:AC$100,BY_RESCOM!$AX$2:$AX$100,RESCOM!$B22,BY_RESCOM!$AY$2:$AY$100,RESCOM!$C22)/SUMIFS(BY_RESCOM!AC$2:AC$100,BY_RESCOM!$AX$2:$AX$100,RESCOM!$B22),"")</f>
        <v>0.29802571350461227</v>
      </c>
      <c r="V22" s="3">
        <f>IFERROR(SUMIFS(BY_RESCOM!AD$2:AD$100,BY_RESCOM!$AX$2:$AX$100,RESCOM!$B22,BY_RESCOM!$AY$2:$AY$100,RESCOM!$C22)/SUMIFS(BY_RESCOM!AD$2:AD$100,BY_RESCOM!$AX$2:$AX$100,RESCOM!$B22),"")</f>
        <v>0.20856801429809405</v>
      </c>
      <c r="W22" s="3">
        <f>IFERROR(SUMIFS(BY_RESCOM!AE$2:AE$100,BY_RESCOM!$AX$2:$AX$100,RESCOM!$B22,BY_RESCOM!$AY$2:$AY$100,RESCOM!$C22)/SUMIFS(BY_RESCOM!AE$2:AE$100,BY_RESCOM!$AX$2:$AX$100,RESCOM!$B22),"")</f>
        <v>6.2669253796986485E-2</v>
      </c>
      <c r="X22" s="3">
        <f>IFERROR(SUMIFS(BY_RESCOM!AF$2:AF$100,BY_RESCOM!$AX$2:$AX$100,RESCOM!$B22,BY_RESCOM!$AY$2:$AY$100,RESCOM!$C22)/SUMIFS(BY_RESCOM!AF$2:AF$100,BY_RESCOM!$AX$2:$AX$100,RESCOM!$B22),"")</f>
        <v>0.10723368753992889</v>
      </c>
      <c r="Y22" s="3">
        <f>IFERROR(SUMIFS(BY_RESCOM!AG$2:AG$100,BY_RESCOM!$AX$2:$AX$100,RESCOM!$B22,BY_RESCOM!$AY$2:$AY$100,RESCOM!$C22)/SUMIFS(BY_RESCOM!AG$2:AG$100,BY_RESCOM!$AX$2:$AX$100,RESCOM!$B22),"")</f>
        <v>4.0653300970366443E-2</v>
      </c>
      <c r="Z22" s="3">
        <f>IFERROR(SUMIFS(BY_RESCOM!AH$2:AH$100,BY_RESCOM!$AX$2:$AX$100,RESCOM!$B22,BY_RESCOM!$AY$2:$AY$100,RESCOM!$C22)/SUMIFS(BY_RESCOM!AH$2:AH$100,BY_RESCOM!$AX$2:$AX$100,RESCOM!$B22),"")</f>
        <v>4.4254219576553594E-2</v>
      </c>
      <c r="AA22" s="3">
        <f>IFERROR(SUMIFS(BY_RESCOM!AI$2:AI$100,BY_RESCOM!$AX$2:$AX$100,RESCOM!$B22,BY_RESCOM!$AY$2:$AY$100,RESCOM!$C22)/SUMIFS(BY_RESCOM!AI$2:AI$100,BY_RESCOM!$AX$2:$AX$100,RESCOM!$B22),"")</f>
        <v>0.79472045431366989</v>
      </c>
      <c r="AB22" s="3">
        <f>IFERROR(SUMIFS(BY_RESCOM!AJ$2:AJ$100,BY_RESCOM!$AX$2:$AX$100,RESCOM!$B22,BY_RESCOM!$AY$2:$AY$100,RESCOM!$C22)/SUMIFS(BY_RESCOM!AJ$2:AJ$100,BY_RESCOM!$AX$2:$AX$100,RESCOM!$B22),"")</f>
        <v>0.31867292875409564</v>
      </c>
      <c r="AC22" s="3">
        <f>IFERROR(SUMIFS(BY_RESCOM!AK$2:AK$100,BY_RESCOM!$AX$2:$AX$100,RESCOM!$B22,BY_RESCOM!$AY$2:$AY$100,RESCOM!$C22)/SUMIFS(BY_RESCOM!AK$2:AK$100,BY_RESCOM!$AX$2:$AX$100,RESCOM!$B22),"")</f>
        <v>1</v>
      </c>
      <c r="AD22" s="3">
        <f>IFERROR(SUMIFS(BY_RESCOM!AL$2:AL$100,BY_RESCOM!$AX$2:$AX$100,RESCOM!$B22,BY_RESCOM!$AY$2:$AY$100,RESCOM!$C22)/SUMIFS(BY_RESCOM!AL$2:AL$100,BY_RESCOM!$AX$2:$AX$100,RESCOM!$B22),"")</f>
        <v>0.43661230241284954</v>
      </c>
      <c r="AE22" s="3">
        <f>IFERROR(SUMIFS(BY_RESCOM!AM$2:AM$100,BY_RESCOM!$AX$2:$AX$100,RESCOM!$B22,BY_RESCOM!$AY$2:$AY$100,RESCOM!$C22)/SUMIFS(BY_RESCOM!AM$2:AM$100,BY_RESCOM!$AX$2:$AX$100,RESCOM!$B22),"")</f>
        <v>0.17551119168518772</v>
      </c>
      <c r="AF22" s="3">
        <f>IFERROR(SUMIFS(BY_RESCOM!AN$2:AN$100,BY_RESCOM!$AX$2:$AX$100,RESCOM!$B22,BY_RESCOM!$AY$2:$AY$100,RESCOM!$C22)/SUMIFS(BY_RESCOM!AN$2:AN$100,BY_RESCOM!$AX$2:$AX$100,RESCOM!$B22),"")</f>
        <v>0.15494370459436532</v>
      </c>
      <c r="AG22" s="3" t="str">
        <f>IFERROR(SUMIFS(BY_RESCOM!AO$2:AO$100,BY_RESCOM!$AX$2:$AX$100,RESCOM!$B22,BY_RESCOM!$AY$2:$AY$100,RESCOM!$C22)/SUMIFS(BY_RESCOM!AO$2:AO$100,BY_RESCOM!$AX$2:$AX$100,RESCOM!$B22),"")</f>
        <v/>
      </c>
      <c r="AH22" s="3" t="str">
        <f>IFERROR(SUMIFS(BY_RESCOM!AP$2:AP$100,BY_RESCOM!$AX$2:$AX$100,RESCOM!$B22,BY_RESCOM!$AY$2:$AY$100,RESCOM!$C22)/SUMIFS(BY_RESCOM!AP$2:AP$100,BY_RESCOM!$AX$2:$AX$100,RESCOM!$B22),"")</f>
        <v/>
      </c>
    </row>
    <row r="23" spans="1:80">
      <c r="B23" t="s">
        <v>41</v>
      </c>
      <c r="C23" t="s">
        <v>45</v>
      </c>
      <c r="D23" s="3">
        <f>IFERROR(SUMIFS(BY_RESCOM!L$2:L$100,BY_RESCOM!$AX$2:$AX$100,RESCOM!$B23,BY_RESCOM!$AY$2:$AY$100,RESCOM!$C23)/SUMIFS(BY_RESCOM!L$2:L$100,BY_RESCOM!$AX$2:$AX$100,RESCOM!$B23),"")</f>
        <v>6.9437615026904003E-3</v>
      </c>
      <c r="E23" s="3">
        <f>IFERROR(SUMIFS(BY_RESCOM!M$2:M$100,BY_RESCOM!$AX$2:$AX$100,RESCOM!$B23,BY_RESCOM!$AY$2:$AY$100,RESCOM!$C23)/SUMIFS(BY_RESCOM!M$2:M$100,BY_RESCOM!$AX$2:$AX$100,RESCOM!$B23),"")</f>
        <v>1.1593905749784743E-2</v>
      </c>
      <c r="F23" s="3">
        <f>IFERROR(SUMIFS(BY_RESCOM!N$2:N$100,BY_RESCOM!$AX$2:$AX$100,RESCOM!$B23,BY_RESCOM!$AY$2:$AY$100,RESCOM!$C23)/SUMIFS(BY_RESCOM!N$2:N$100,BY_RESCOM!$AX$2:$AX$100,RESCOM!$B23),"")</f>
        <v>1.3175946995047516E-2</v>
      </c>
      <c r="G23" s="3">
        <f>IFERROR(SUMIFS(BY_RESCOM!O$2:O$100,BY_RESCOM!$AX$2:$AX$100,RESCOM!$B23,BY_RESCOM!$AY$2:$AY$100,RESCOM!$C23)/SUMIFS(BY_RESCOM!O$2:O$100,BY_RESCOM!$AX$2:$AX$100,RESCOM!$B23),"")</f>
        <v>8.2129301821197327E-3</v>
      </c>
      <c r="H23" s="3">
        <f>IFERROR(SUMIFS(BY_RESCOM!P$2:P$100,BY_RESCOM!$AX$2:$AX$100,RESCOM!$B23,BY_RESCOM!$AY$2:$AY$100,RESCOM!$C23)/SUMIFS(BY_RESCOM!P$2:P$100,BY_RESCOM!$AX$2:$AX$100,RESCOM!$B23),"")</f>
        <v>0.13821748928460961</v>
      </c>
      <c r="I23" s="3">
        <f>IFERROR(SUMIFS(BY_RESCOM!Q$2:Q$100,BY_RESCOM!$AX$2:$AX$100,RESCOM!$B23,BY_RESCOM!$AY$2:$AY$100,RESCOM!$C23)/SUMIFS(BY_RESCOM!Q$2:Q$100,BY_RESCOM!$AX$2:$AX$100,RESCOM!$B23),"")</f>
        <v>1.0439315100931434E-2</v>
      </c>
      <c r="J23" s="3">
        <f>IFERROR(SUMIFS(BY_RESCOM!R$2:R$100,BY_RESCOM!$AX$2:$AX$100,RESCOM!$B23,BY_RESCOM!$AY$2:$AY$100,RESCOM!$C23)/SUMIFS(BY_RESCOM!R$2:R$100,BY_RESCOM!$AX$2:$AX$100,RESCOM!$B23),"")</f>
        <v>0</v>
      </c>
      <c r="K23" s="3">
        <f>IFERROR(SUMIFS(BY_RESCOM!S$2:S$100,BY_RESCOM!$AX$2:$AX$100,RESCOM!$B23,BY_RESCOM!$AY$2:$AY$100,RESCOM!$C23)/SUMIFS(BY_RESCOM!S$2:S$100,BY_RESCOM!$AX$2:$AX$100,RESCOM!$B23),"")</f>
        <v>1.6635771662151244E-4</v>
      </c>
      <c r="L23" s="3">
        <f>IFERROR(SUMIFS(BY_RESCOM!T$2:T$100,BY_RESCOM!$AX$2:$AX$100,RESCOM!$B23,BY_RESCOM!$AY$2:$AY$100,RESCOM!$C23)/SUMIFS(BY_RESCOM!T$2:T$100,BY_RESCOM!$AX$2:$AX$100,RESCOM!$B23),"")</f>
        <v>0</v>
      </c>
      <c r="M23" s="3">
        <f>IFERROR(SUMIFS(BY_RESCOM!U$2:U$100,BY_RESCOM!$AX$2:$AX$100,RESCOM!$B23,BY_RESCOM!$AY$2:$AY$100,RESCOM!$C23)/SUMIFS(BY_RESCOM!U$2:U$100,BY_RESCOM!$AX$2:$AX$100,RESCOM!$B23),"")</f>
        <v>2.6485742216834141E-3</v>
      </c>
      <c r="N23" s="3">
        <f>IFERROR(SUMIFS(BY_RESCOM!V$2:V$100,BY_RESCOM!$AX$2:$AX$100,RESCOM!$B23,BY_RESCOM!$AY$2:$AY$100,RESCOM!$C23)/SUMIFS(BY_RESCOM!V$2:V$100,BY_RESCOM!$AX$2:$AX$100,RESCOM!$B23),"")</f>
        <v>8.1629321252193793E-5</v>
      </c>
      <c r="O23" s="3">
        <f>IFERROR(SUMIFS(BY_RESCOM!W$2:W$100,BY_RESCOM!$AX$2:$AX$100,RESCOM!$B23,BY_RESCOM!$AY$2:$AY$100,RESCOM!$C23)/SUMIFS(BY_RESCOM!W$2:W$100,BY_RESCOM!$AX$2:$AX$100,RESCOM!$B23),"")</f>
        <v>0</v>
      </c>
      <c r="P23" s="3">
        <f>IFERROR(SUMIFS(BY_RESCOM!X$2:X$100,BY_RESCOM!$AX$2:$AX$100,RESCOM!$B23,BY_RESCOM!$AY$2:$AY$100,RESCOM!$C23)/SUMIFS(BY_RESCOM!X$2:X$100,BY_RESCOM!$AX$2:$AX$100,RESCOM!$B23),"")</f>
        <v>2.1506621877292562E-2</v>
      </c>
      <c r="Q23" s="3">
        <f>IFERROR(SUMIFS(BY_RESCOM!Y$2:Y$100,BY_RESCOM!$AX$2:$AX$100,RESCOM!$B23,BY_RESCOM!$AY$2:$AY$100,RESCOM!$C23)/SUMIFS(BY_RESCOM!Y$2:Y$100,BY_RESCOM!$AX$2:$AX$100,RESCOM!$B23),"")</f>
        <v>2.9049359703696534E-4</v>
      </c>
      <c r="R23" s="3">
        <f>IFERROR(SUMIFS(BY_RESCOM!Z$2:Z$100,BY_RESCOM!$AX$2:$AX$100,RESCOM!$B23,BY_RESCOM!$AY$2:$AY$100,RESCOM!$C23)/SUMIFS(BY_RESCOM!Z$2:Z$100,BY_RESCOM!$AX$2:$AX$100,RESCOM!$B23),"")</f>
        <v>0</v>
      </c>
      <c r="S23" s="3">
        <f>IFERROR(SUMIFS(BY_RESCOM!AA$2:AA$100,BY_RESCOM!$AX$2:$AX$100,RESCOM!$B23,BY_RESCOM!$AY$2:$AY$100,RESCOM!$C23)/SUMIFS(BY_RESCOM!AA$2:AA$100,BY_RESCOM!$AX$2:$AX$100,RESCOM!$B23),"")</f>
        <v>0</v>
      </c>
      <c r="T23" s="3">
        <f>IFERROR(SUMIFS(BY_RESCOM!AB$2:AB$100,BY_RESCOM!$AX$2:$AX$100,RESCOM!$B23,BY_RESCOM!$AY$2:$AY$100,RESCOM!$C23)/SUMIFS(BY_RESCOM!AB$2:AB$100,BY_RESCOM!$AX$2:$AX$100,RESCOM!$B23),"")</f>
        <v>1.2036400190466113E-3</v>
      </c>
      <c r="U23" s="3">
        <f>IFERROR(SUMIFS(BY_RESCOM!AC$2:AC$100,BY_RESCOM!$AX$2:$AX$100,RESCOM!$B23,BY_RESCOM!$AY$2:$AY$100,RESCOM!$C23)/SUMIFS(BY_RESCOM!AC$2:AC$100,BY_RESCOM!$AX$2:$AX$100,RESCOM!$B23),"")</f>
        <v>1.9493177387914231E-3</v>
      </c>
      <c r="V23" s="3">
        <f>IFERROR(SUMIFS(BY_RESCOM!AD$2:AD$100,BY_RESCOM!$AX$2:$AX$100,RESCOM!$B23,BY_RESCOM!$AY$2:$AY$100,RESCOM!$C23)/SUMIFS(BY_RESCOM!AD$2:AD$100,BY_RESCOM!$AX$2:$AX$100,RESCOM!$B23),"")</f>
        <v>6.2542020419969669E-5</v>
      </c>
      <c r="W23" s="3">
        <f>IFERROR(SUMIFS(BY_RESCOM!AE$2:AE$100,BY_RESCOM!$AX$2:$AX$100,RESCOM!$B23,BY_RESCOM!$AY$2:$AY$100,RESCOM!$C23)/SUMIFS(BY_RESCOM!AE$2:AE$100,BY_RESCOM!$AX$2:$AX$100,RESCOM!$B23),"")</f>
        <v>3.0302561585913736E-2</v>
      </c>
      <c r="X23" s="3">
        <f>IFERROR(SUMIFS(BY_RESCOM!AF$2:AF$100,BY_RESCOM!$AX$2:$AX$100,RESCOM!$B23,BY_RESCOM!$AY$2:$AY$100,RESCOM!$C23)/SUMIFS(BY_RESCOM!AF$2:AF$100,BY_RESCOM!$AX$2:$AX$100,RESCOM!$B23),"")</f>
        <v>1.6455453483710143E-2</v>
      </c>
      <c r="Y23" s="3">
        <f>IFERROR(SUMIFS(BY_RESCOM!AG$2:AG$100,BY_RESCOM!$AX$2:$AX$100,RESCOM!$B23,BY_RESCOM!$AY$2:$AY$100,RESCOM!$C23)/SUMIFS(BY_RESCOM!AG$2:AG$100,BY_RESCOM!$AX$2:$AX$100,RESCOM!$B23),"")</f>
        <v>0</v>
      </c>
      <c r="Z23" s="3">
        <f>IFERROR(SUMIFS(BY_RESCOM!AH$2:AH$100,BY_RESCOM!$AX$2:$AX$100,RESCOM!$B23,BY_RESCOM!$AY$2:$AY$100,RESCOM!$C23)/SUMIFS(BY_RESCOM!AH$2:AH$100,BY_RESCOM!$AX$2:$AX$100,RESCOM!$B23),"")</f>
        <v>0.17475646663278105</v>
      </c>
      <c r="AA23" s="3">
        <f>IFERROR(SUMIFS(BY_RESCOM!AI$2:AI$100,BY_RESCOM!$AX$2:$AX$100,RESCOM!$B23,BY_RESCOM!$AY$2:$AY$100,RESCOM!$C23)/SUMIFS(BY_RESCOM!AI$2:AI$100,BY_RESCOM!$AX$2:$AX$100,RESCOM!$B23),"")</f>
        <v>0</v>
      </c>
      <c r="AB23" s="3">
        <f>IFERROR(SUMIFS(BY_RESCOM!AJ$2:AJ$100,BY_RESCOM!$AX$2:$AX$100,RESCOM!$B23,BY_RESCOM!$AY$2:$AY$100,RESCOM!$C23)/SUMIFS(BY_RESCOM!AJ$2:AJ$100,BY_RESCOM!$AX$2:$AX$100,RESCOM!$B23),"")</f>
        <v>0</v>
      </c>
      <c r="AC23" s="3">
        <f>IFERROR(SUMIFS(BY_RESCOM!AK$2:AK$100,BY_RESCOM!$AX$2:$AX$100,RESCOM!$B23,BY_RESCOM!$AY$2:$AY$100,RESCOM!$C23)/SUMIFS(BY_RESCOM!AK$2:AK$100,BY_RESCOM!$AX$2:$AX$100,RESCOM!$B23),"")</f>
        <v>0.23393950068248867</v>
      </c>
      <c r="AD23" s="3">
        <f>IFERROR(SUMIFS(BY_RESCOM!AL$2:AL$100,BY_RESCOM!$AX$2:$AX$100,RESCOM!$B23,BY_RESCOM!$AY$2:$AY$100,RESCOM!$C23)/SUMIFS(BY_RESCOM!AL$2:AL$100,BY_RESCOM!$AX$2:$AX$100,RESCOM!$B23),"")</f>
        <v>0.15261132837138894</v>
      </c>
      <c r="AE23" s="3">
        <f>IFERROR(SUMIFS(BY_RESCOM!AM$2:AM$100,BY_RESCOM!$AX$2:$AX$100,RESCOM!$B23,BY_RESCOM!$AY$2:$AY$100,RESCOM!$C23)/SUMIFS(BY_RESCOM!AM$2:AM$100,BY_RESCOM!$AX$2:$AX$100,RESCOM!$B23),"")</f>
        <v>2.4652174780925011E-2</v>
      </c>
      <c r="AF23" s="3">
        <f>IFERROR(SUMIFS(BY_RESCOM!AN$2:AN$100,BY_RESCOM!$AX$2:$AX$100,RESCOM!$B23,BY_RESCOM!$AY$2:$AY$100,RESCOM!$C23)/SUMIFS(BY_RESCOM!AN$2:AN$100,BY_RESCOM!$AX$2:$AX$100,RESCOM!$B23),"")</f>
        <v>4.8886095397723307E-4</v>
      </c>
      <c r="AG23" s="3" t="str">
        <f>IFERROR(SUMIFS(BY_RESCOM!AO$2:AO$100,BY_RESCOM!$AX$2:$AX$100,RESCOM!$B23,BY_RESCOM!$AY$2:$AY$100,RESCOM!$C23)/SUMIFS(BY_RESCOM!AO$2:AO$100,BY_RESCOM!$AX$2:$AX$100,RESCOM!$B23),"")</f>
        <v/>
      </c>
      <c r="AH23" s="3" t="str">
        <f>IFERROR(SUMIFS(BY_RESCOM!AP$2:AP$100,BY_RESCOM!$AX$2:$AX$100,RESCOM!$B23,BY_RESCOM!$AY$2:$AY$100,RESCOM!$C23)/SUMIFS(BY_RESCOM!AP$2:AP$100,BY_RESCOM!$AX$2:$AX$100,RESCOM!$B23),"")</f>
        <v/>
      </c>
    </row>
    <row r="24" spans="1:80">
      <c r="B24" t="s">
        <v>43</v>
      </c>
      <c r="C24" t="s">
        <v>45</v>
      </c>
      <c r="D24" s="3">
        <f>IFERROR(SUMIFS(BY_RESCOM!L$2:L$100,BY_RESCOM!$AX$2:$AX$100,RESCOM!$B24,BY_RESCOM!$AY$2:$AY$100,RESCOM!$C24)/SUMIFS(BY_RESCOM!L$2:L$100,BY_RESCOM!$AX$2:$AX$100,RESCOM!$B24),"")</f>
        <v>0</v>
      </c>
      <c r="E24" s="3">
        <f>IFERROR(SUMIFS(BY_RESCOM!M$2:M$100,BY_RESCOM!$AX$2:$AX$100,RESCOM!$B24,BY_RESCOM!$AY$2:$AY$100,RESCOM!$C24)/SUMIFS(BY_RESCOM!M$2:M$100,BY_RESCOM!$AX$2:$AX$100,RESCOM!$B24),"")</f>
        <v>5.7195162176276672E-4</v>
      </c>
      <c r="F24" s="3">
        <f>IFERROR(SUMIFS(BY_RESCOM!N$2:N$100,BY_RESCOM!$AX$2:$AX$100,RESCOM!$B24,BY_RESCOM!$AY$2:$AY$100,RESCOM!$C24)/SUMIFS(BY_RESCOM!N$2:N$100,BY_RESCOM!$AX$2:$AX$100,RESCOM!$B24),"")</f>
        <v>2.8249832246807775E-5</v>
      </c>
      <c r="G24" s="3">
        <f>IFERROR(SUMIFS(BY_RESCOM!O$2:O$100,BY_RESCOM!$AX$2:$AX$100,RESCOM!$B24,BY_RESCOM!$AY$2:$AY$100,RESCOM!$C24)/SUMIFS(BY_RESCOM!O$2:O$100,BY_RESCOM!$AX$2:$AX$100,RESCOM!$B24),"")</f>
        <v>2.5245665201284565E-4</v>
      </c>
      <c r="H24" s="3">
        <f>IFERROR(SUMIFS(BY_RESCOM!P$2:P$100,BY_RESCOM!$AX$2:$AX$100,RESCOM!$B24,BY_RESCOM!$AY$2:$AY$100,RESCOM!$C24)/SUMIFS(BY_RESCOM!P$2:P$100,BY_RESCOM!$AX$2:$AX$100,RESCOM!$B24),"")</f>
        <v>0</v>
      </c>
      <c r="I24" s="3">
        <f>IFERROR(SUMIFS(BY_RESCOM!Q$2:Q$100,BY_RESCOM!$AX$2:$AX$100,RESCOM!$B24,BY_RESCOM!$AY$2:$AY$100,RESCOM!$C24)/SUMIFS(BY_RESCOM!Q$2:Q$100,BY_RESCOM!$AX$2:$AX$100,RESCOM!$B24),"")</f>
        <v>2.2459377915300581E-2</v>
      </c>
      <c r="J24" s="3">
        <f>IFERROR(SUMIFS(BY_RESCOM!R$2:R$100,BY_RESCOM!$AX$2:$AX$100,RESCOM!$B24,BY_RESCOM!$AY$2:$AY$100,RESCOM!$C24)/SUMIFS(BY_RESCOM!R$2:R$100,BY_RESCOM!$AX$2:$AX$100,RESCOM!$B24),"")</f>
        <v>2.1943962763806964E-5</v>
      </c>
      <c r="K24" s="3">
        <f>IFERROR(SUMIFS(BY_RESCOM!S$2:S$100,BY_RESCOM!$AX$2:$AX$100,RESCOM!$B24,BY_RESCOM!$AY$2:$AY$100,RESCOM!$C24)/SUMIFS(BY_RESCOM!S$2:S$100,BY_RESCOM!$AX$2:$AX$100,RESCOM!$B24),"")</f>
        <v>0</v>
      </c>
      <c r="L24" s="3">
        <f>IFERROR(SUMIFS(BY_RESCOM!T$2:T$100,BY_RESCOM!$AX$2:$AX$100,RESCOM!$B24,BY_RESCOM!$AY$2:$AY$100,RESCOM!$C24)/SUMIFS(BY_RESCOM!T$2:T$100,BY_RESCOM!$AX$2:$AX$100,RESCOM!$B24),"")</f>
        <v>9.599405146892255E-2</v>
      </c>
      <c r="M24" s="3">
        <f>IFERROR(SUMIFS(BY_RESCOM!U$2:U$100,BY_RESCOM!$AX$2:$AX$100,RESCOM!$B24,BY_RESCOM!$AY$2:$AY$100,RESCOM!$C24)/SUMIFS(BY_RESCOM!U$2:U$100,BY_RESCOM!$AX$2:$AX$100,RESCOM!$B24),"")</f>
        <v>3.2220265438405449E-2</v>
      </c>
      <c r="N24" s="3">
        <f>IFERROR(SUMIFS(BY_RESCOM!V$2:V$100,BY_RESCOM!$AX$2:$AX$100,RESCOM!$B24,BY_RESCOM!$AY$2:$AY$100,RESCOM!$C24)/SUMIFS(BY_RESCOM!V$2:V$100,BY_RESCOM!$AX$2:$AX$100,RESCOM!$B24),"")</f>
        <v>1.1049614797989703E-3</v>
      </c>
      <c r="O24" s="3">
        <f>IFERROR(SUMIFS(BY_RESCOM!W$2:W$100,BY_RESCOM!$AX$2:$AX$100,RESCOM!$B24,BY_RESCOM!$AY$2:$AY$100,RESCOM!$C24)/SUMIFS(BY_RESCOM!W$2:W$100,BY_RESCOM!$AX$2:$AX$100,RESCOM!$B24),"")</f>
        <v>1.5287487027340895E-5</v>
      </c>
      <c r="P24" s="3">
        <f>IFERROR(SUMIFS(BY_RESCOM!X$2:X$100,BY_RESCOM!$AX$2:$AX$100,RESCOM!$B24,BY_RESCOM!$AY$2:$AY$100,RESCOM!$C24)/SUMIFS(BY_RESCOM!X$2:X$100,BY_RESCOM!$AX$2:$AX$100,RESCOM!$B24),"")</f>
        <v>2.530738729542889E-2</v>
      </c>
      <c r="Q24" s="3">
        <f>IFERROR(SUMIFS(BY_RESCOM!Y$2:Y$100,BY_RESCOM!$AX$2:$AX$100,RESCOM!$B24,BY_RESCOM!$AY$2:$AY$100,RESCOM!$C24)/SUMIFS(BY_RESCOM!Y$2:Y$100,BY_RESCOM!$AX$2:$AX$100,RESCOM!$B24),"")</f>
        <v>4.9501475346328417E-4</v>
      </c>
      <c r="R24" s="3">
        <f>IFERROR(SUMIFS(BY_RESCOM!Z$2:Z$100,BY_RESCOM!$AX$2:$AX$100,RESCOM!$B24,BY_RESCOM!$AY$2:$AY$100,RESCOM!$C24)/SUMIFS(BY_RESCOM!Z$2:Z$100,BY_RESCOM!$AX$2:$AX$100,RESCOM!$B24),"")</f>
        <v>2.5641567187059672E-4</v>
      </c>
      <c r="S24" s="3">
        <f>IFERROR(SUMIFS(BY_RESCOM!AA$2:AA$100,BY_RESCOM!$AX$2:$AX$100,RESCOM!$B24,BY_RESCOM!$AY$2:$AY$100,RESCOM!$C24)/SUMIFS(BY_RESCOM!AA$2:AA$100,BY_RESCOM!$AX$2:$AX$100,RESCOM!$B24),"")</f>
        <v>9.614092733118952E-7</v>
      </c>
      <c r="T24" s="3">
        <f>IFERROR(SUMIFS(BY_RESCOM!AB$2:AB$100,BY_RESCOM!$AX$2:$AX$100,RESCOM!$B24,BY_RESCOM!$AY$2:$AY$100,RESCOM!$C24)/SUMIFS(BY_RESCOM!AB$2:AB$100,BY_RESCOM!$AX$2:$AX$100,RESCOM!$B24),"")</f>
        <v>0</v>
      </c>
      <c r="U24" s="3">
        <f>IFERROR(SUMIFS(BY_RESCOM!AC$2:AC$100,BY_RESCOM!$AX$2:$AX$100,RESCOM!$B24,BY_RESCOM!$AY$2:$AY$100,RESCOM!$C24)/SUMIFS(BY_RESCOM!AC$2:AC$100,BY_RESCOM!$AX$2:$AX$100,RESCOM!$B24),"")</f>
        <v>0</v>
      </c>
      <c r="V24" s="3">
        <f>IFERROR(SUMIFS(BY_RESCOM!AD$2:AD$100,BY_RESCOM!$AX$2:$AX$100,RESCOM!$B24,BY_RESCOM!$AY$2:$AY$100,RESCOM!$C24)/SUMIFS(BY_RESCOM!AD$2:AD$100,BY_RESCOM!$AX$2:$AX$100,RESCOM!$B24),"")</f>
        <v>0</v>
      </c>
      <c r="W24" s="3">
        <f>IFERROR(SUMIFS(BY_RESCOM!AE$2:AE$100,BY_RESCOM!$AX$2:$AX$100,RESCOM!$B24,BY_RESCOM!$AY$2:$AY$100,RESCOM!$C24)/SUMIFS(BY_RESCOM!AE$2:AE$100,BY_RESCOM!$AX$2:$AX$100,RESCOM!$B24),"")</f>
        <v>0</v>
      </c>
      <c r="X24" s="3">
        <f>IFERROR(SUMIFS(BY_RESCOM!AF$2:AF$100,BY_RESCOM!$AX$2:$AX$100,RESCOM!$B24,BY_RESCOM!$AY$2:$AY$100,RESCOM!$C24)/SUMIFS(BY_RESCOM!AF$2:AF$100,BY_RESCOM!$AX$2:$AX$100,RESCOM!$B24),"")</f>
        <v>1.8141202358303149E-4</v>
      </c>
      <c r="Y24" s="3">
        <f>IFERROR(SUMIFS(BY_RESCOM!AG$2:AG$100,BY_RESCOM!$AX$2:$AX$100,RESCOM!$B24,BY_RESCOM!$AY$2:$AY$100,RESCOM!$C24)/SUMIFS(BY_RESCOM!AG$2:AG$100,BY_RESCOM!$AX$2:$AX$100,RESCOM!$B24),"")</f>
        <v>0</v>
      </c>
      <c r="Z24" s="3">
        <f>IFERROR(SUMIFS(BY_RESCOM!AH$2:AH$100,BY_RESCOM!$AX$2:$AX$100,RESCOM!$B24,BY_RESCOM!$AY$2:$AY$100,RESCOM!$C24)/SUMIFS(BY_RESCOM!AH$2:AH$100,BY_RESCOM!$AX$2:$AX$100,RESCOM!$B24),"")</f>
        <v>5.7281207248440131E-4</v>
      </c>
      <c r="AA24" s="3">
        <f>IFERROR(SUMIFS(BY_RESCOM!AI$2:AI$100,BY_RESCOM!$AX$2:$AX$100,RESCOM!$B24,BY_RESCOM!$AY$2:$AY$100,RESCOM!$C24)/SUMIFS(BY_RESCOM!AI$2:AI$100,BY_RESCOM!$AX$2:$AX$100,RESCOM!$B24),"")</f>
        <v>4.9113737750807706E-5</v>
      </c>
      <c r="AB24" s="3">
        <f>IFERROR(SUMIFS(BY_RESCOM!AJ$2:AJ$100,BY_RESCOM!$AX$2:$AX$100,RESCOM!$B24,BY_RESCOM!$AY$2:$AY$100,RESCOM!$C24)/SUMIFS(BY_RESCOM!AJ$2:AJ$100,BY_RESCOM!$AX$2:$AX$100,RESCOM!$B24),"")</f>
        <v>0</v>
      </c>
      <c r="AC24" s="3">
        <f>IFERROR(SUMIFS(BY_RESCOM!AK$2:AK$100,BY_RESCOM!$AX$2:$AX$100,RESCOM!$B24,BY_RESCOM!$AY$2:$AY$100,RESCOM!$C24)/SUMIFS(BY_RESCOM!AK$2:AK$100,BY_RESCOM!$AX$2:$AX$100,RESCOM!$B24),"")</f>
        <v>0</v>
      </c>
      <c r="AD24" s="3">
        <f>IFERROR(SUMIFS(BY_RESCOM!AL$2:AL$100,BY_RESCOM!$AX$2:$AX$100,RESCOM!$B24,BY_RESCOM!$AY$2:$AY$100,RESCOM!$C24)/SUMIFS(BY_RESCOM!AL$2:AL$100,BY_RESCOM!$AX$2:$AX$100,RESCOM!$B24),"")</f>
        <v>7.0819734932653514E-3</v>
      </c>
      <c r="AE24" s="3">
        <f>IFERROR(SUMIFS(BY_RESCOM!AM$2:AM$100,BY_RESCOM!$AX$2:$AX$100,RESCOM!$B24,BY_RESCOM!$AY$2:$AY$100,RESCOM!$C24)/SUMIFS(BY_RESCOM!AM$2:AM$100,BY_RESCOM!$AX$2:$AX$100,RESCOM!$B24),"")</f>
        <v>0.16491077506419879</v>
      </c>
      <c r="AF24" s="3">
        <f>IFERROR(SUMIFS(BY_RESCOM!AN$2:AN$100,BY_RESCOM!$AX$2:$AX$100,RESCOM!$B24,BY_RESCOM!$AY$2:$AY$100,RESCOM!$C24)/SUMIFS(BY_RESCOM!AN$2:AN$100,BY_RESCOM!$AX$2:$AX$100,RESCOM!$B24),"")</f>
        <v>0</v>
      </c>
      <c r="AG24" s="3" t="str">
        <f>IFERROR(SUMIFS(BY_RESCOM!AO$2:AO$100,BY_RESCOM!$AX$2:$AX$100,RESCOM!$B24,BY_RESCOM!$AY$2:$AY$100,RESCOM!$C24)/SUMIFS(BY_RESCOM!AO$2:AO$100,BY_RESCOM!$AX$2:$AX$100,RESCOM!$B24),"")</f>
        <v/>
      </c>
      <c r="AH24" s="3" t="str">
        <f>IFERROR(SUMIFS(BY_RESCOM!AP$2:AP$100,BY_RESCOM!$AX$2:$AX$100,RESCOM!$B24,BY_RESCOM!$AY$2:$AY$100,RESCOM!$C24)/SUMIFS(BY_RESCOM!AP$2:AP$100,BY_RESCOM!$AX$2:$AX$100,RESCOM!$B24),"")</f>
        <v/>
      </c>
    </row>
    <row r="25" spans="1:80">
      <c r="B25" t="s">
        <v>59</v>
      </c>
      <c r="C25" t="s">
        <v>58</v>
      </c>
      <c r="D25" s="3">
        <f>IFERROR(SUMIFS(BY_RESCOM!L$2:L$100,BY_RESCOM!$AX$2:$AX$100,RESCOM!$B25,BY_RESCOM!$AY$2:$AY$100,RESCOM!$C25)/SUMIFS(BY_RESCOM!L$2:L$100,BY_RESCOM!$AX$2:$AX$100,RESCOM!$B25),"")</f>
        <v>7.0936271956638638E-2</v>
      </c>
      <c r="E25" s="3">
        <f>IFERROR(SUMIFS(BY_RESCOM!M$2:M$100,BY_RESCOM!$AX$2:$AX$100,RESCOM!$B25,BY_RESCOM!$AY$2:$AY$100,RESCOM!$C25)/SUMIFS(BY_RESCOM!M$2:M$100,BY_RESCOM!$AX$2:$AX$100,RESCOM!$B25),"")</f>
        <v>3.4409363060373177E-2</v>
      </c>
      <c r="F25" s="3">
        <f>IFERROR(SUMIFS(BY_RESCOM!N$2:N$100,BY_RESCOM!$AX$2:$AX$100,RESCOM!$B25,BY_RESCOM!$AY$2:$AY$100,RESCOM!$C25)/SUMIFS(BY_RESCOM!N$2:N$100,BY_RESCOM!$AX$2:$AX$100,RESCOM!$B25),"")</f>
        <v>0.11957953113715318</v>
      </c>
      <c r="G25" s="3">
        <f>IFERROR(SUMIFS(BY_RESCOM!O$2:O$100,BY_RESCOM!$AX$2:$AX$100,RESCOM!$B25,BY_RESCOM!$AY$2:$AY$100,RESCOM!$C25)/SUMIFS(BY_RESCOM!O$2:O$100,BY_RESCOM!$AX$2:$AX$100,RESCOM!$B25),"")</f>
        <v>5.2702476596685956E-2</v>
      </c>
      <c r="H25" s="3">
        <f>IFERROR(SUMIFS(BY_RESCOM!P$2:P$100,BY_RESCOM!$AX$2:$AX$100,RESCOM!$B25,BY_RESCOM!$AY$2:$AY$100,RESCOM!$C25)/SUMIFS(BY_RESCOM!P$2:P$100,BY_RESCOM!$AX$2:$AX$100,RESCOM!$B25),"")</f>
        <v>0.12608393971286894</v>
      </c>
      <c r="I25" s="3">
        <f>IFERROR(SUMIFS(BY_RESCOM!Q$2:Q$100,BY_RESCOM!$AX$2:$AX$100,RESCOM!$B25,BY_RESCOM!$AY$2:$AY$100,RESCOM!$C25)/SUMIFS(BY_RESCOM!Q$2:Q$100,BY_RESCOM!$AX$2:$AX$100,RESCOM!$B25),"")</f>
        <v>0.41728951965183037</v>
      </c>
      <c r="J25" s="3">
        <f>IFERROR(SUMIFS(BY_RESCOM!R$2:R$100,BY_RESCOM!$AX$2:$AX$100,RESCOM!$B25,BY_RESCOM!$AY$2:$AY$100,RESCOM!$C25)/SUMIFS(BY_RESCOM!R$2:R$100,BY_RESCOM!$AX$2:$AX$100,RESCOM!$B25),"")</f>
        <v>0.45809734303790212</v>
      </c>
      <c r="K25" s="3">
        <f>IFERROR(SUMIFS(BY_RESCOM!S$2:S$100,BY_RESCOM!$AX$2:$AX$100,RESCOM!$B25,BY_RESCOM!$AY$2:$AY$100,RESCOM!$C25)/SUMIFS(BY_RESCOM!S$2:S$100,BY_RESCOM!$AX$2:$AX$100,RESCOM!$B25),"")</f>
        <v>0.66878720679198944</v>
      </c>
      <c r="L25" s="3">
        <f>IFERROR(SUMIFS(BY_RESCOM!T$2:T$100,BY_RESCOM!$AX$2:$AX$100,RESCOM!$B25,BY_RESCOM!$AY$2:$AY$100,RESCOM!$C25)/SUMIFS(BY_RESCOM!T$2:T$100,BY_RESCOM!$AX$2:$AX$100,RESCOM!$B25),"")</f>
        <v>0.3561940642619103</v>
      </c>
      <c r="M25" s="3">
        <f>IFERROR(SUMIFS(BY_RESCOM!U$2:U$100,BY_RESCOM!$AX$2:$AX$100,RESCOM!$B25,BY_RESCOM!$AY$2:$AY$100,RESCOM!$C25)/SUMIFS(BY_RESCOM!U$2:U$100,BY_RESCOM!$AX$2:$AX$100,RESCOM!$B25),"")</f>
        <v>0.20535281495023275</v>
      </c>
      <c r="N25" s="3">
        <f>IFERROR(SUMIFS(BY_RESCOM!V$2:V$100,BY_RESCOM!$AX$2:$AX$100,RESCOM!$B25,BY_RESCOM!$AY$2:$AY$100,RESCOM!$C25)/SUMIFS(BY_RESCOM!V$2:V$100,BY_RESCOM!$AX$2:$AX$100,RESCOM!$B25),"")</f>
        <v>0.3793679170129981</v>
      </c>
      <c r="O25" s="3">
        <f>IFERROR(SUMIFS(BY_RESCOM!W$2:W$100,BY_RESCOM!$AX$2:$AX$100,RESCOM!$B25,BY_RESCOM!$AY$2:$AY$100,RESCOM!$C25)/SUMIFS(BY_RESCOM!W$2:W$100,BY_RESCOM!$AX$2:$AX$100,RESCOM!$B25),"")</f>
        <v>0.18694287049176617</v>
      </c>
      <c r="P25" s="3">
        <f>IFERROR(SUMIFS(BY_RESCOM!X$2:X$100,BY_RESCOM!$AX$2:$AX$100,RESCOM!$B25,BY_RESCOM!$AY$2:$AY$100,RESCOM!$C25)/SUMIFS(BY_RESCOM!X$2:X$100,BY_RESCOM!$AX$2:$AX$100,RESCOM!$B25),"")</f>
        <v>0.19523585332932239</v>
      </c>
      <c r="Q25" s="3">
        <f>IFERROR(SUMIFS(BY_RESCOM!Y$2:Y$100,BY_RESCOM!$AX$2:$AX$100,RESCOM!$B25,BY_RESCOM!$AY$2:$AY$100,RESCOM!$C25)/SUMIFS(BY_RESCOM!Y$2:Y$100,BY_RESCOM!$AX$2:$AX$100,RESCOM!$B25),"")</f>
        <v>0.19051471888589533</v>
      </c>
      <c r="R25" s="3">
        <f>IFERROR(SUMIFS(BY_RESCOM!Z$2:Z$100,BY_RESCOM!$AX$2:$AX$100,RESCOM!$B25,BY_RESCOM!$AY$2:$AY$100,RESCOM!$C25)/SUMIFS(BY_RESCOM!Z$2:Z$100,BY_RESCOM!$AX$2:$AX$100,RESCOM!$B25),"")</f>
        <v>0.27206099710256282</v>
      </c>
      <c r="S25" s="3">
        <f>IFERROR(SUMIFS(BY_RESCOM!AA$2:AA$100,BY_RESCOM!$AX$2:$AX$100,RESCOM!$B25,BY_RESCOM!$AY$2:$AY$100,RESCOM!$C25)/SUMIFS(BY_RESCOM!AA$2:AA$100,BY_RESCOM!$AX$2:$AX$100,RESCOM!$B25),"")</f>
        <v>0.41098945013896737</v>
      </c>
      <c r="T25" s="3">
        <f>IFERROR(SUMIFS(BY_RESCOM!AB$2:AB$100,BY_RESCOM!$AX$2:$AX$100,RESCOM!$B25,BY_RESCOM!$AY$2:$AY$100,RESCOM!$C25)/SUMIFS(BY_RESCOM!AB$2:AB$100,BY_RESCOM!$AX$2:$AX$100,RESCOM!$B25),"")</f>
        <v>8.9958182941244969E-2</v>
      </c>
      <c r="U25" s="3">
        <f>IFERROR(SUMIFS(BY_RESCOM!AC$2:AC$100,BY_RESCOM!$AX$2:$AX$100,RESCOM!$B25,BY_RESCOM!$AY$2:$AY$100,RESCOM!$C25)/SUMIFS(BY_RESCOM!AC$2:AC$100,BY_RESCOM!$AX$2:$AX$100,RESCOM!$B25),"")</f>
        <v>0.37807893397045989</v>
      </c>
      <c r="V25" s="3">
        <f>IFERROR(SUMIFS(BY_RESCOM!AD$2:AD$100,BY_RESCOM!$AX$2:$AX$100,RESCOM!$B25,BY_RESCOM!$AY$2:$AY$100,RESCOM!$C25)/SUMIFS(BY_RESCOM!AD$2:AD$100,BY_RESCOM!$AX$2:$AX$100,RESCOM!$B25),"")</f>
        <v>0.17012878566140391</v>
      </c>
      <c r="W25" s="3">
        <f>IFERROR(SUMIFS(BY_RESCOM!AE$2:AE$100,BY_RESCOM!$AX$2:$AX$100,RESCOM!$B25,BY_RESCOM!$AY$2:$AY$100,RESCOM!$C25)/SUMIFS(BY_RESCOM!AE$2:AE$100,BY_RESCOM!$AX$2:$AX$100,RESCOM!$B25),"")</f>
        <v>0</v>
      </c>
      <c r="X25" s="3">
        <f>IFERROR(SUMIFS(BY_RESCOM!AF$2:AF$100,BY_RESCOM!$AX$2:$AX$100,RESCOM!$B25,BY_RESCOM!$AY$2:$AY$100,RESCOM!$C25)/SUMIFS(BY_RESCOM!AF$2:AF$100,BY_RESCOM!$AX$2:$AX$100,RESCOM!$B25),"")</f>
        <v>0.41883493662452059</v>
      </c>
      <c r="Y25" s="3">
        <f>IFERROR(SUMIFS(BY_RESCOM!AG$2:AG$100,BY_RESCOM!$AX$2:$AX$100,RESCOM!$B25,BY_RESCOM!$AY$2:$AY$100,RESCOM!$C25)/SUMIFS(BY_RESCOM!AG$2:AG$100,BY_RESCOM!$AX$2:$AX$100,RESCOM!$B25),"")</f>
        <v>1.654323843930957E-2</v>
      </c>
      <c r="Z25" s="3">
        <f>IFERROR(SUMIFS(BY_RESCOM!AH$2:AH$100,BY_RESCOM!$AX$2:$AX$100,RESCOM!$B25,BY_RESCOM!$AY$2:$AY$100,RESCOM!$C25)/SUMIFS(BY_RESCOM!AH$2:AH$100,BY_RESCOM!$AX$2:$AX$100,RESCOM!$B25),"")</f>
        <v>0.10628089404409734</v>
      </c>
      <c r="AA25" s="3">
        <f>IFERROR(SUMIFS(BY_RESCOM!AI$2:AI$100,BY_RESCOM!$AX$2:$AX$100,RESCOM!$B25,BY_RESCOM!$AY$2:$AY$100,RESCOM!$C25)/SUMIFS(BY_RESCOM!AI$2:AI$100,BY_RESCOM!$AX$2:$AX$100,RESCOM!$B25),"")</f>
        <v>0.80976803085247218</v>
      </c>
      <c r="AB25" s="3">
        <f>IFERROR(SUMIFS(BY_RESCOM!AJ$2:AJ$100,BY_RESCOM!$AX$2:$AX$100,RESCOM!$B25,BY_RESCOM!$AY$2:$AY$100,RESCOM!$C25)/SUMIFS(BY_RESCOM!AJ$2:AJ$100,BY_RESCOM!$AX$2:$AX$100,RESCOM!$B25),"")</f>
        <v>2.1021116689603495E-2</v>
      </c>
      <c r="AC25" s="3">
        <f>IFERROR(SUMIFS(BY_RESCOM!AK$2:AK$100,BY_RESCOM!$AX$2:$AX$100,RESCOM!$B25,BY_RESCOM!$AY$2:$AY$100,RESCOM!$C25)/SUMIFS(BY_RESCOM!AK$2:AK$100,BY_RESCOM!$AX$2:$AX$100,RESCOM!$B25),"")</f>
        <v>0.74850837453239849</v>
      </c>
      <c r="AD25" s="3">
        <f>IFERROR(SUMIFS(BY_RESCOM!AL$2:AL$100,BY_RESCOM!$AX$2:$AX$100,RESCOM!$B25,BY_RESCOM!$AY$2:$AY$100,RESCOM!$C25)/SUMIFS(BY_RESCOM!AL$2:AL$100,BY_RESCOM!$AX$2:$AX$100,RESCOM!$B25),"")</f>
        <v>0.18877131986198212</v>
      </c>
      <c r="AE25" s="3">
        <f>IFERROR(SUMIFS(BY_RESCOM!AM$2:AM$100,BY_RESCOM!$AX$2:$AX$100,RESCOM!$B25,BY_RESCOM!$AY$2:$AY$100,RESCOM!$C25)/SUMIFS(BY_RESCOM!AM$2:AM$100,BY_RESCOM!$AX$2:$AX$100,RESCOM!$B25),"")</f>
        <v>0.21796906171465089</v>
      </c>
      <c r="AF25" s="3">
        <f>IFERROR(SUMIFS(BY_RESCOM!AN$2:AN$100,BY_RESCOM!$AX$2:$AX$100,RESCOM!$B25,BY_RESCOM!$AY$2:$AY$100,RESCOM!$C25)/SUMIFS(BY_RESCOM!AN$2:AN$100,BY_RESCOM!$AX$2:$AX$100,RESCOM!$B25),"")</f>
        <v>0.30553746643085922</v>
      </c>
      <c r="AG25" s="3" t="str">
        <f>IFERROR(SUMIFS(BY_RESCOM!AO$2:AO$100,BY_RESCOM!$AX$2:$AX$100,RESCOM!$B25,BY_RESCOM!$AY$2:$AY$100,RESCOM!$C25)/SUMIFS(BY_RESCOM!AO$2:AO$100,BY_RESCOM!$AX$2:$AX$100,RESCOM!$B25),"")</f>
        <v/>
      </c>
      <c r="AH25" s="3" t="str">
        <f>IFERROR(SUMIFS(BY_RESCOM!AP$2:AP$100,BY_RESCOM!$AX$2:$AX$100,RESCOM!$B25,BY_RESCOM!$AY$2:$AY$100,RESCOM!$C25)/SUMIFS(BY_RESCOM!AP$2:AP$100,BY_RESCOM!$AX$2:$AX$100,RESCOM!$B25),"")</f>
        <v/>
      </c>
    </row>
    <row r="26" spans="1:80">
      <c r="B26" t="s">
        <v>60</v>
      </c>
      <c r="C26" t="s">
        <v>58</v>
      </c>
      <c r="D26" s="3">
        <f>IFERROR(SUMIFS(BY_RESCOM!L$2:L$100,BY_RESCOM!$AX$2:$AX$100,RESCOM!$B26,BY_RESCOM!$AY$2:$AY$100,RESCOM!$C26)/SUMIFS(BY_RESCOM!L$2:L$100,BY_RESCOM!$AX$2:$AX$100,RESCOM!$B26),"")</f>
        <v>0.51536284826625378</v>
      </c>
      <c r="E26" s="3">
        <f>IFERROR(SUMIFS(BY_RESCOM!M$2:M$100,BY_RESCOM!$AX$2:$AX$100,RESCOM!$B26,BY_RESCOM!$AY$2:$AY$100,RESCOM!$C26)/SUMIFS(BY_RESCOM!M$2:M$100,BY_RESCOM!$AX$2:$AX$100,RESCOM!$B26),"")</f>
        <v>0.13002460352365139</v>
      </c>
      <c r="F26" s="3">
        <f>IFERROR(SUMIFS(BY_RESCOM!N$2:N$100,BY_RESCOM!$AX$2:$AX$100,RESCOM!$B26,BY_RESCOM!$AY$2:$AY$100,RESCOM!$C26)/SUMIFS(BY_RESCOM!N$2:N$100,BY_RESCOM!$AX$2:$AX$100,RESCOM!$B26),"")</f>
        <v>0.15688701666910682</v>
      </c>
      <c r="G26" s="3">
        <f>IFERROR(SUMIFS(BY_RESCOM!O$2:O$100,BY_RESCOM!$AX$2:$AX$100,RESCOM!$B26,BY_RESCOM!$AY$2:$AY$100,RESCOM!$C26)/SUMIFS(BY_RESCOM!O$2:O$100,BY_RESCOM!$AX$2:$AX$100,RESCOM!$B26),"")</f>
        <v>0.22655604121015699</v>
      </c>
      <c r="H26" s="3">
        <f>IFERROR(SUMIFS(BY_RESCOM!P$2:P$100,BY_RESCOM!$AX$2:$AX$100,RESCOM!$B26,BY_RESCOM!$AY$2:$AY$100,RESCOM!$C26)/SUMIFS(BY_RESCOM!P$2:P$100,BY_RESCOM!$AX$2:$AX$100,RESCOM!$B26),"")</f>
        <v>0</v>
      </c>
      <c r="I26" s="3">
        <f>IFERROR(SUMIFS(BY_RESCOM!Q$2:Q$100,BY_RESCOM!$AX$2:$AX$100,RESCOM!$B26,BY_RESCOM!$AY$2:$AY$100,RESCOM!$C26)/SUMIFS(BY_RESCOM!Q$2:Q$100,BY_RESCOM!$AX$2:$AX$100,RESCOM!$B26),"")</f>
        <v>0.4107181435443808</v>
      </c>
      <c r="J26" s="3">
        <f>IFERROR(SUMIFS(BY_RESCOM!R$2:R$100,BY_RESCOM!$AX$2:$AX$100,RESCOM!$B26,BY_RESCOM!$AY$2:$AY$100,RESCOM!$C26)/SUMIFS(BY_RESCOM!R$2:R$100,BY_RESCOM!$AX$2:$AX$100,RESCOM!$B26),"")</f>
        <v>0.57685717595901187</v>
      </c>
      <c r="K26" s="3">
        <f>IFERROR(SUMIFS(BY_RESCOM!S$2:S$100,BY_RESCOM!$AX$2:$AX$100,RESCOM!$B26,BY_RESCOM!$AY$2:$AY$100,RESCOM!$C26)/SUMIFS(BY_RESCOM!S$2:S$100,BY_RESCOM!$AX$2:$AX$100,RESCOM!$B26),"")</f>
        <v>0.73395646630781364</v>
      </c>
      <c r="L26" s="3">
        <f>IFERROR(SUMIFS(BY_RESCOM!T$2:T$100,BY_RESCOM!$AX$2:$AX$100,RESCOM!$B26,BY_RESCOM!$AY$2:$AY$100,RESCOM!$C26)/SUMIFS(BY_RESCOM!T$2:T$100,BY_RESCOM!$AX$2:$AX$100,RESCOM!$B26),"")</f>
        <v>0.19412389095835481</v>
      </c>
      <c r="M26" s="3">
        <f>IFERROR(SUMIFS(BY_RESCOM!U$2:U$100,BY_RESCOM!$AX$2:$AX$100,RESCOM!$B26,BY_RESCOM!$AY$2:$AY$100,RESCOM!$C26)/SUMIFS(BY_RESCOM!U$2:U$100,BY_RESCOM!$AX$2:$AX$100,RESCOM!$B26),"")</f>
        <v>7.3523905153032268E-2</v>
      </c>
      <c r="N26" s="3">
        <f>IFERROR(SUMIFS(BY_RESCOM!V$2:V$100,BY_RESCOM!$AX$2:$AX$100,RESCOM!$B26,BY_RESCOM!$AY$2:$AY$100,RESCOM!$C26)/SUMIFS(BY_RESCOM!V$2:V$100,BY_RESCOM!$AX$2:$AX$100,RESCOM!$B26),"")</f>
        <v>0.61541081650623808</v>
      </c>
      <c r="O26" s="3">
        <f>IFERROR(SUMIFS(BY_RESCOM!W$2:W$100,BY_RESCOM!$AX$2:$AX$100,RESCOM!$B26,BY_RESCOM!$AY$2:$AY$100,RESCOM!$C26)/SUMIFS(BY_RESCOM!W$2:W$100,BY_RESCOM!$AX$2:$AX$100,RESCOM!$B26),"")</f>
        <v>0.63799166182666611</v>
      </c>
      <c r="P26" s="3">
        <f>IFERROR(SUMIFS(BY_RESCOM!X$2:X$100,BY_RESCOM!$AX$2:$AX$100,RESCOM!$B26,BY_RESCOM!$AY$2:$AY$100,RESCOM!$C26)/SUMIFS(BY_RESCOM!X$2:X$100,BY_RESCOM!$AX$2:$AX$100,RESCOM!$B26),"")</f>
        <v>0.22446555056900966</v>
      </c>
      <c r="Q26" s="3">
        <f>IFERROR(SUMIFS(BY_RESCOM!Y$2:Y$100,BY_RESCOM!$AX$2:$AX$100,RESCOM!$B26,BY_RESCOM!$AY$2:$AY$100,RESCOM!$C26)/SUMIFS(BY_RESCOM!Y$2:Y$100,BY_RESCOM!$AX$2:$AX$100,RESCOM!$B26),"")</f>
        <v>0.25995774549957013</v>
      </c>
      <c r="R26" s="3">
        <f>IFERROR(SUMIFS(BY_RESCOM!Z$2:Z$100,BY_RESCOM!$AX$2:$AX$100,RESCOM!$B26,BY_RESCOM!$AY$2:$AY$100,RESCOM!$C26)/SUMIFS(BY_RESCOM!Z$2:Z$100,BY_RESCOM!$AX$2:$AX$100,RESCOM!$B26),"")</f>
        <v>0.56617109035988344</v>
      </c>
      <c r="S26" s="3">
        <f>IFERROR(SUMIFS(BY_RESCOM!AA$2:AA$100,BY_RESCOM!$AX$2:$AX$100,RESCOM!$B26,BY_RESCOM!$AY$2:$AY$100,RESCOM!$C26)/SUMIFS(BY_RESCOM!AA$2:AA$100,BY_RESCOM!$AX$2:$AX$100,RESCOM!$B26),"")</f>
        <v>0.36392648927273302</v>
      </c>
      <c r="T26" s="3">
        <f>IFERROR(SUMIFS(BY_RESCOM!AB$2:AB$100,BY_RESCOM!$AX$2:$AX$100,RESCOM!$B26,BY_RESCOM!$AY$2:$AY$100,RESCOM!$C26)/SUMIFS(BY_RESCOM!AB$2:AB$100,BY_RESCOM!$AX$2:$AX$100,RESCOM!$B26),"")</f>
        <v>0.38589945100255379</v>
      </c>
      <c r="U26" s="3">
        <f>IFERROR(SUMIFS(BY_RESCOM!AC$2:AC$100,BY_RESCOM!$AX$2:$AX$100,RESCOM!$B26,BY_RESCOM!$AY$2:$AY$100,RESCOM!$C26)/SUMIFS(BY_RESCOM!AC$2:AC$100,BY_RESCOM!$AX$2:$AX$100,RESCOM!$B26),"")</f>
        <v>0.29445677618891541</v>
      </c>
      <c r="V26" s="3">
        <f>IFERROR(SUMIFS(BY_RESCOM!AD$2:AD$100,BY_RESCOM!$AX$2:$AX$100,RESCOM!$B26,BY_RESCOM!$AY$2:$AY$100,RESCOM!$C26)/SUMIFS(BY_RESCOM!AD$2:AD$100,BY_RESCOM!$AX$2:$AX$100,RESCOM!$B26),"")</f>
        <v>0.20268934958436582</v>
      </c>
      <c r="W26" s="3">
        <f>IFERROR(SUMIFS(BY_RESCOM!AE$2:AE$100,BY_RESCOM!$AX$2:$AX$100,RESCOM!$B26,BY_RESCOM!$AY$2:$AY$100,RESCOM!$C26)/SUMIFS(BY_RESCOM!AE$2:AE$100,BY_RESCOM!$AX$2:$AX$100,RESCOM!$B26),"")</f>
        <v>4.9616883476952318E-2</v>
      </c>
      <c r="X26" s="3">
        <f>IFERROR(SUMIFS(BY_RESCOM!AF$2:AF$100,BY_RESCOM!$AX$2:$AX$100,RESCOM!$B26,BY_RESCOM!$AY$2:$AY$100,RESCOM!$C26)/SUMIFS(BY_RESCOM!AF$2:AF$100,BY_RESCOM!$AX$2:$AX$100,RESCOM!$B26),"")</f>
        <v>0.26858513049836191</v>
      </c>
      <c r="Y26" s="3">
        <f>IFERROR(SUMIFS(BY_RESCOM!AG$2:AG$100,BY_RESCOM!$AX$2:$AX$100,RESCOM!$B26,BY_RESCOM!$AY$2:$AY$100,RESCOM!$C26)/SUMIFS(BY_RESCOM!AG$2:AG$100,BY_RESCOM!$AX$2:$AX$100,RESCOM!$B26),"")</f>
        <v>0.31248889935941399</v>
      </c>
      <c r="Z26" s="3">
        <f>IFERROR(SUMIFS(BY_RESCOM!AH$2:AH$100,BY_RESCOM!$AX$2:$AX$100,RESCOM!$B26,BY_RESCOM!$AY$2:$AY$100,RESCOM!$C26)/SUMIFS(BY_RESCOM!AH$2:AH$100,BY_RESCOM!$AX$2:$AX$100,RESCOM!$B26),"")</f>
        <v>0.28238003847682641</v>
      </c>
      <c r="AA26" s="3">
        <f>IFERROR(SUMIFS(BY_RESCOM!AI$2:AI$100,BY_RESCOM!$AX$2:$AX$100,RESCOM!$B26,BY_RESCOM!$AY$2:$AY$100,RESCOM!$C26)/SUMIFS(BY_RESCOM!AI$2:AI$100,BY_RESCOM!$AX$2:$AX$100,RESCOM!$B26),"")</f>
        <v>0.64279184514043297</v>
      </c>
      <c r="AB26" s="3">
        <f>IFERROR(SUMIFS(BY_RESCOM!AJ$2:AJ$100,BY_RESCOM!$AX$2:$AX$100,RESCOM!$B26,BY_RESCOM!$AY$2:$AY$100,RESCOM!$C26)/SUMIFS(BY_RESCOM!AJ$2:AJ$100,BY_RESCOM!$AX$2:$AX$100,RESCOM!$B26),"")</f>
        <v>0.66382208028212031</v>
      </c>
      <c r="AC26" s="3">
        <f>IFERROR(SUMIFS(BY_RESCOM!AK$2:AK$100,BY_RESCOM!$AX$2:$AX$100,RESCOM!$B26,BY_RESCOM!$AY$2:$AY$100,RESCOM!$C26)/SUMIFS(BY_RESCOM!AK$2:AK$100,BY_RESCOM!$AX$2:$AX$100,RESCOM!$B26),"")</f>
        <v>1</v>
      </c>
      <c r="AD26" s="3">
        <f>IFERROR(SUMIFS(BY_RESCOM!AL$2:AL$100,BY_RESCOM!$AX$2:$AX$100,RESCOM!$B26,BY_RESCOM!$AY$2:$AY$100,RESCOM!$C26)/SUMIFS(BY_RESCOM!AL$2:AL$100,BY_RESCOM!$AX$2:$AX$100,RESCOM!$B26),"")</f>
        <v>0.24778566802896085</v>
      </c>
      <c r="AE26" s="3">
        <f>IFERROR(SUMIFS(BY_RESCOM!AM$2:AM$100,BY_RESCOM!$AX$2:$AX$100,RESCOM!$B26,BY_RESCOM!$AY$2:$AY$100,RESCOM!$C26)/SUMIFS(BY_RESCOM!AM$2:AM$100,BY_RESCOM!$AX$2:$AX$100,RESCOM!$B26),"")</f>
        <v>0.2165517226317154</v>
      </c>
      <c r="AF26" s="3">
        <f>IFERROR(SUMIFS(BY_RESCOM!AN$2:AN$100,BY_RESCOM!$AX$2:$AX$100,RESCOM!$B26,BY_RESCOM!$AY$2:$AY$100,RESCOM!$C26)/SUMIFS(BY_RESCOM!AN$2:AN$100,BY_RESCOM!$AX$2:$AX$100,RESCOM!$B26),"")</f>
        <v>0.22005280624829437</v>
      </c>
      <c r="AG26" s="3" t="str">
        <f>IFERROR(SUMIFS(BY_RESCOM!AO$2:AO$100,BY_RESCOM!$AX$2:$AX$100,RESCOM!$B26,BY_RESCOM!$AY$2:$AY$100,RESCOM!$C26)/SUMIFS(BY_RESCOM!AO$2:AO$100,BY_RESCOM!$AX$2:$AX$100,RESCOM!$B26),"")</f>
        <v/>
      </c>
      <c r="AH26" s="3" t="str">
        <f>IFERROR(SUMIFS(BY_RESCOM!AP$2:AP$100,BY_RESCOM!$AX$2:$AX$100,RESCOM!$B26,BY_RESCOM!$AY$2:$AY$100,RESCOM!$C26)/SUMIFS(BY_RESCOM!AP$2:AP$100,BY_RESCOM!$AX$2:$AX$100,RESCOM!$B26),"")</f>
        <v/>
      </c>
    </row>
    <row r="27" spans="1:80">
      <c r="B27" s="14" t="str">
        <f>B17</f>
        <v>RSH</v>
      </c>
      <c r="C27" s="14" t="str">
        <f>C17</f>
        <v>HET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4"/>
      <c r="AA27" s="14"/>
      <c r="AB27" s="14"/>
      <c r="AC27" s="14"/>
      <c r="AD27" s="14"/>
      <c r="AE27" s="14"/>
      <c r="AF27" s="14"/>
      <c r="AG27" s="14"/>
    </row>
    <row r="28" spans="1:80">
      <c r="B28" s="14" t="str">
        <f>B18</f>
        <v>CSH</v>
      </c>
      <c r="C28" s="14" t="str">
        <f>C18</f>
        <v>HET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31" spans="1:80">
      <c r="A31" t="s">
        <v>53</v>
      </c>
    </row>
    <row r="32" spans="1:80">
      <c r="A32" t="s">
        <v>52</v>
      </c>
      <c r="B32" t="s">
        <v>4</v>
      </c>
      <c r="C32" t="s">
        <v>49</v>
      </c>
      <c r="D32" t="str">
        <f>IF(BY_RESCOM!L$1="","*"&amp;COLUMN(),BY_RESCOM!L$1)</f>
        <v>Africa_north</v>
      </c>
      <c r="E32" t="str">
        <f>IF(BY_RESCOM!M$1="","*"&amp;COLUMN(),BY_RESCOM!M$1)</f>
        <v>Africa_other</v>
      </c>
      <c r="F32" t="str">
        <f>IF(BY_RESCOM!N$1="","*"&amp;COLUMN(),BY_RESCOM!N$1)</f>
        <v>Arg-Chi</v>
      </c>
      <c r="G32" t="str">
        <f>IF(BY_RESCOM!O$1="","*"&amp;COLUMN(),BY_RESCOM!O$1)</f>
        <v>Asia_central</v>
      </c>
      <c r="H32" t="str">
        <f>IF(BY_RESCOM!P$1="","*"&amp;COLUMN(),BY_RESCOM!P$1)</f>
        <v>Asia_east</v>
      </c>
      <c r="I32" t="str">
        <f>IF(BY_RESCOM!Q$1="","*"&amp;COLUMN(),BY_RESCOM!Q$1)</f>
        <v>Asia_other</v>
      </c>
      <c r="J32" t="str">
        <f>IF(BY_RESCOM!R$1="","*"&amp;COLUMN(),BY_RESCOM!R$1)</f>
        <v>Australia_NZ</v>
      </c>
      <c r="K32" t="str">
        <f>IF(BY_RESCOM!S$1="","*"&amp;COLUMN(),BY_RESCOM!S$1)</f>
        <v>Brazil</v>
      </c>
      <c r="L32" t="str">
        <f>IF(BY_RESCOM!T$1="","*"&amp;COLUMN(),BY_RESCOM!T$1)</f>
        <v>Canada</v>
      </c>
      <c r="M32" t="str">
        <f>IF(BY_RESCOM!U$1="","*"&amp;COLUMN(),BY_RESCOM!U$1)</f>
        <v>China</v>
      </c>
      <c r="N32" t="str">
        <f>IF(BY_RESCOM!V$1="","*"&amp;COLUMN(),BY_RESCOM!V$1)</f>
        <v>EU_north</v>
      </c>
      <c r="O32" t="str">
        <f>IF(BY_RESCOM!W$1="","*"&amp;COLUMN(),BY_RESCOM!W$1)</f>
        <v>EU_northeast</v>
      </c>
      <c r="P32" t="str">
        <f>IF(BY_RESCOM!X$1="","*"&amp;COLUMN(),BY_RESCOM!X$1)</f>
        <v>EU_northwest</v>
      </c>
      <c r="Q32" t="str">
        <f>IF(BY_RESCOM!Y$1="","*"&amp;COLUMN(),BY_RESCOM!Y$1)</f>
        <v>EU_south</v>
      </c>
      <c r="R32" t="str">
        <f>IF(BY_RESCOM!Z$1="","*"&amp;COLUMN(),BY_RESCOM!Z$1)</f>
        <v>EU_southeast</v>
      </c>
      <c r="S32" t="str">
        <f>IF(BY_RESCOM!AA$1="","*"&amp;COLUMN(),BY_RESCOM!AA$1)</f>
        <v>EU_southwest</v>
      </c>
      <c r="T32" t="str">
        <f>IF(BY_RESCOM!AB$1="","*"&amp;COLUMN(),BY_RESCOM!AB$1)</f>
        <v>Europe_other</v>
      </c>
      <c r="U32" t="str">
        <f>IF(BY_RESCOM!AC$1="","*"&amp;COLUMN(),BY_RESCOM!AC$1)</f>
        <v>France</v>
      </c>
      <c r="V32" t="str">
        <f>IF(BY_RESCOM!AD$1="","*"&amp;COLUMN(),BY_RESCOM!AD$1)</f>
        <v>Germany</v>
      </c>
      <c r="W32" t="str">
        <f>IF(BY_RESCOM!AE$1="","*"&amp;COLUMN(),BY_RESCOM!AE$1)</f>
        <v>India</v>
      </c>
      <c r="X32" t="str">
        <f>IF(BY_RESCOM!AF$1="","*"&amp;COLUMN(),BY_RESCOM!AF$1)</f>
        <v>LatAm_other</v>
      </c>
      <c r="Y32" t="str">
        <f>IF(BY_RESCOM!AG$1="","*"&amp;COLUMN(),BY_RESCOM!AG$1)</f>
        <v>Mexico</v>
      </c>
      <c r="Z32" t="str">
        <f>IF(BY_RESCOM!AH$1="","*"&amp;COLUMN(),BY_RESCOM!AH$1)</f>
        <v>MidEast_other</v>
      </c>
      <c r="AA32" t="str">
        <f>IF(BY_RESCOM!AI$1="","*"&amp;COLUMN(),BY_RESCOM!AI$1)</f>
        <v>Nor-Ice</v>
      </c>
      <c r="AB32" t="str">
        <f>IF(BY_RESCOM!AJ$1="","*"&amp;COLUMN(),BY_RESCOM!AJ$1)</f>
        <v>Russia</v>
      </c>
      <c r="AC32" t="str">
        <f>IF(BY_RESCOM!AK$1="","*"&amp;COLUMN(),BY_RESCOM!AK$1)</f>
        <v>SaudiArabia</v>
      </c>
      <c r="AD32" t="str">
        <f>IF(BY_RESCOM!AL$1="","*"&amp;COLUMN(),BY_RESCOM!AL$1)</f>
        <v>SouthAfrica</v>
      </c>
      <c r="AE32" t="str">
        <f>IF(BY_RESCOM!AM$1="","*"&amp;COLUMN(),BY_RESCOM!AM$1)</f>
        <v>UK</v>
      </c>
      <c r="AF32" t="str">
        <f>IF(BY_RESCOM!AN$1="","*"&amp;COLUMN(),BY_RESCOM!AN$1)</f>
        <v>USA</v>
      </c>
      <c r="AG32" t="str">
        <f>IF(BY_RESCOM!AO$1="","*"&amp;COLUMN(),BY_RESCOM!AO$1)</f>
        <v>year2</v>
      </c>
      <c r="AH32" t="str">
        <f>IF(BY_RESCOM!AP$1="","*"&amp;COLUMN(),BY_RESCOM!AP$1)</f>
        <v>*34</v>
      </c>
      <c r="AI32" t="s">
        <v>50</v>
      </c>
      <c r="AJ32" t="s">
        <v>54</v>
      </c>
      <c r="AK32" t="s">
        <v>107</v>
      </c>
      <c r="AL32" t="s">
        <v>51</v>
      </c>
    </row>
    <row r="33" spans="1:38">
      <c r="A33">
        <v>2020</v>
      </c>
      <c r="B33" t="str">
        <f t="shared" ref="B33:B54" si="20">B3</f>
        <v>RCK</v>
      </c>
      <c r="C33" t="str">
        <f t="shared" ref="C33:C38" si="21">"*"&amp;C3</f>
        <v>*BIO</v>
      </c>
      <c r="D33" s="4">
        <f t="shared" ref="D33:R33" si="22">D3</f>
        <v>7.4811391000154534E-2</v>
      </c>
      <c r="E33" s="4">
        <f t="shared" si="22"/>
        <v>0.95594028981842916</v>
      </c>
      <c r="F33" s="4">
        <f t="shared" si="22"/>
        <v>0.10237919957167714</v>
      </c>
      <c r="G33" s="4">
        <f t="shared" si="22"/>
        <v>5.2626542914553632E-4</v>
      </c>
      <c r="H33" s="4">
        <f t="shared" si="22"/>
        <v>0</v>
      </c>
      <c r="I33" s="4">
        <f t="shared" si="22"/>
        <v>0.55635931576758091</v>
      </c>
      <c r="J33" s="4">
        <f t="shared" si="22"/>
        <v>6.9404279930595722E-4</v>
      </c>
      <c r="K33" s="4">
        <f t="shared" si="22"/>
        <v>0.25654142307143879</v>
      </c>
      <c r="L33" s="4">
        <f t="shared" si="22"/>
        <v>0</v>
      </c>
      <c r="M33" s="4">
        <f t="shared" si="22"/>
        <v>0.32035067302564307</v>
      </c>
      <c r="N33" s="4">
        <f t="shared" si="22"/>
        <v>1.3876984612872947E-2</v>
      </c>
      <c r="O33" s="4">
        <f t="shared" si="22"/>
        <v>1.4326820229289385E-2</v>
      </c>
      <c r="P33" s="4">
        <f t="shared" si="22"/>
        <v>4.5947719989188765E-3</v>
      </c>
      <c r="Q33" s="4">
        <f t="shared" si="22"/>
        <v>2.0044058195550607E-2</v>
      </c>
      <c r="R33" s="4">
        <f t="shared" si="22"/>
        <v>1.5505159189979587E-2</v>
      </c>
      <c r="S33" s="4">
        <f t="shared" ref="S33:T33" si="23">S3</f>
        <v>9.9761858788697949E-3</v>
      </c>
      <c r="T33" s="4">
        <f t="shared" si="23"/>
        <v>3.3318342944817739E-2</v>
      </c>
      <c r="U33" s="4">
        <f t="shared" ref="U33:AH33" si="24">U3</f>
        <v>1.2687084943998415E-2</v>
      </c>
      <c r="V33" s="4">
        <f t="shared" si="24"/>
        <v>1.144518973685445E-2</v>
      </c>
      <c r="W33" s="4">
        <f t="shared" si="24"/>
        <v>0.57889704300432676</v>
      </c>
      <c r="X33" s="4">
        <f t="shared" si="24"/>
        <v>0.47621890633988179</v>
      </c>
      <c r="Y33" s="4">
        <f t="shared" si="24"/>
        <v>0.38484435932344185</v>
      </c>
      <c r="Z33" s="4">
        <f t="shared" si="24"/>
        <v>6.6683143154252556E-4</v>
      </c>
      <c r="AA33" s="4">
        <f t="shared" si="24"/>
        <v>4.4976307123925797E-3</v>
      </c>
      <c r="AB33" s="4">
        <f t="shared" si="24"/>
        <v>3.7845548573305998E-4</v>
      </c>
      <c r="AC33" s="4">
        <f t="shared" si="24"/>
        <v>1.3209457971907887E-4</v>
      </c>
      <c r="AD33" s="4">
        <f t="shared" si="24"/>
        <v>0.64573609183802194</v>
      </c>
      <c r="AE33" s="4">
        <f t="shared" si="24"/>
        <v>1.5769407349741503E-3</v>
      </c>
      <c r="AF33" s="4">
        <f t="shared" si="24"/>
        <v>0</v>
      </c>
      <c r="AG33" s="4" t="str">
        <f t="shared" si="24"/>
        <v/>
      </c>
      <c r="AH33" s="4" t="str">
        <f t="shared" si="24"/>
        <v/>
      </c>
      <c r="AI33" s="4" t="str">
        <f>B33</f>
        <v>RCK</v>
      </c>
      <c r="AJ33" t="s">
        <v>56</v>
      </c>
      <c r="AL33" t="str">
        <f t="shared" ref="AL33:AL54" si="25">"Techs_"&amp;B33&amp;C3</f>
        <v>Techs_RCKBIO</v>
      </c>
    </row>
    <row r="34" spans="1:38">
      <c r="A34">
        <v>2020</v>
      </c>
      <c r="B34" t="str">
        <f t="shared" si="20"/>
        <v>CCK</v>
      </c>
      <c r="C34" t="str">
        <f t="shared" si="21"/>
        <v>*BIO</v>
      </c>
      <c r="D34" s="4">
        <f t="shared" ref="D34:R34" si="26">D4</f>
        <v>0.15766553035903674</v>
      </c>
      <c r="E34" s="4">
        <f t="shared" si="26"/>
        <v>0.76449968360771037</v>
      </c>
      <c r="F34" s="4">
        <f t="shared" si="26"/>
        <v>1.8337901639019622E-2</v>
      </c>
      <c r="G34" s="4">
        <f t="shared" si="26"/>
        <v>0</v>
      </c>
      <c r="H34" s="4">
        <f t="shared" si="26"/>
        <v>0</v>
      </c>
      <c r="I34" s="4">
        <f t="shared" si="26"/>
        <v>4.7151453431911815E-2</v>
      </c>
      <c r="J34" s="4">
        <f t="shared" si="26"/>
        <v>0</v>
      </c>
      <c r="K34" s="4">
        <f t="shared" si="26"/>
        <v>2.9864988956844318E-2</v>
      </c>
      <c r="L34" s="4">
        <f t="shared" si="26"/>
        <v>0</v>
      </c>
      <c r="M34" s="4">
        <f t="shared" si="26"/>
        <v>1.3281376408904163E-5</v>
      </c>
      <c r="N34" s="4">
        <f t="shared" si="26"/>
        <v>3.5809515760141866E-2</v>
      </c>
      <c r="O34" s="4">
        <f t="shared" si="26"/>
        <v>0</v>
      </c>
      <c r="P34" s="4">
        <f t="shared" si="26"/>
        <v>8.5921917048949036E-3</v>
      </c>
      <c r="Q34" s="4">
        <f t="shared" si="26"/>
        <v>2.0400050230344234E-3</v>
      </c>
      <c r="R34" s="4">
        <f t="shared" si="26"/>
        <v>0</v>
      </c>
      <c r="S34" s="4">
        <f t="shared" ref="S34:T34" si="27">S4</f>
        <v>8.4086613049386694E-3</v>
      </c>
      <c r="T34" s="4">
        <f t="shared" si="27"/>
        <v>0</v>
      </c>
      <c r="U34" s="4">
        <f t="shared" ref="U34:AH34" si="28">U4</f>
        <v>1.1229190622638321E-2</v>
      </c>
      <c r="V34" s="4">
        <f t="shared" si="28"/>
        <v>3.1304197232540014E-2</v>
      </c>
      <c r="W34" s="4">
        <f t="shared" si="28"/>
        <v>8.4042140340421886E-2</v>
      </c>
      <c r="X34" s="4">
        <f t="shared" si="28"/>
        <v>6.2785740318009972E-2</v>
      </c>
      <c r="Y34" s="4">
        <f t="shared" si="28"/>
        <v>0</v>
      </c>
      <c r="Z34" s="4">
        <f t="shared" si="28"/>
        <v>0</v>
      </c>
      <c r="AA34" s="4">
        <f t="shared" si="28"/>
        <v>1.6979996720903334E-2</v>
      </c>
      <c r="AB34" s="4">
        <f t="shared" si="28"/>
        <v>0</v>
      </c>
      <c r="AC34" s="4">
        <f t="shared" si="28"/>
        <v>0</v>
      </c>
      <c r="AD34" s="4">
        <f t="shared" si="28"/>
        <v>0</v>
      </c>
      <c r="AE34" s="4">
        <f t="shared" si="28"/>
        <v>5.3382731259075875E-3</v>
      </c>
      <c r="AF34" s="4">
        <f t="shared" si="28"/>
        <v>0</v>
      </c>
      <c r="AG34" s="4" t="str">
        <f t="shared" si="28"/>
        <v/>
      </c>
      <c r="AH34" s="4" t="str">
        <f t="shared" si="28"/>
        <v/>
      </c>
      <c r="AI34" s="4" t="str">
        <f>B34</f>
        <v>CCK</v>
      </c>
      <c r="AJ34" t="s">
        <v>56</v>
      </c>
      <c r="AL34" t="str">
        <f t="shared" si="25"/>
        <v>Techs_CCKBIO</v>
      </c>
    </row>
    <row r="35" spans="1:38">
      <c r="A35">
        <v>2020</v>
      </c>
      <c r="B35" t="str">
        <f t="shared" si="20"/>
        <v>RHW</v>
      </c>
      <c r="C35" t="str">
        <f t="shared" si="21"/>
        <v>*BIO</v>
      </c>
      <c r="D35" s="4">
        <f t="shared" ref="D35:R35" si="29">D5</f>
        <v>1.531738988025151E-2</v>
      </c>
      <c r="E35" s="4">
        <f t="shared" si="29"/>
        <v>0.93349454091663697</v>
      </c>
      <c r="F35" s="4">
        <f t="shared" si="29"/>
        <v>6.9317265265455225E-3</v>
      </c>
      <c r="G35" s="4">
        <f t="shared" si="29"/>
        <v>9.4790157137549934E-4</v>
      </c>
      <c r="H35" s="4">
        <f t="shared" si="29"/>
        <v>0</v>
      </c>
      <c r="I35" s="4">
        <f t="shared" si="29"/>
        <v>0</v>
      </c>
      <c r="J35" s="4">
        <f t="shared" si="29"/>
        <v>2.8406046999548989E-4</v>
      </c>
      <c r="K35" s="4">
        <f t="shared" si="29"/>
        <v>5.446058882848278E-2</v>
      </c>
      <c r="L35" s="4">
        <f t="shared" si="29"/>
        <v>2.9631531512649078E-3</v>
      </c>
      <c r="M35" s="4">
        <f t="shared" si="29"/>
        <v>3.4114121229175919E-2</v>
      </c>
      <c r="N35" s="4">
        <f t="shared" si="29"/>
        <v>1.6315629497206063E-2</v>
      </c>
      <c r="O35" s="4">
        <f t="shared" si="29"/>
        <v>1.9704709783250767E-2</v>
      </c>
      <c r="P35" s="4">
        <f t="shared" si="29"/>
        <v>4.4284354762413316E-3</v>
      </c>
      <c r="Q35" s="4">
        <f t="shared" si="29"/>
        <v>1.7856483493846265E-2</v>
      </c>
      <c r="R35" s="4">
        <f t="shared" si="29"/>
        <v>2.8243464551608182E-2</v>
      </c>
      <c r="S35" s="4">
        <f t="shared" ref="S35:T35" si="30">S5</f>
        <v>1.4300521873304535E-2</v>
      </c>
      <c r="T35" s="4">
        <f t="shared" si="30"/>
        <v>1.2931515932516466E-2</v>
      </c>
      <c r="U35" s="4">
        <f t="shared" ref="U35:AH35" si="31">U5</f>
        <v>1.761398591955864E-2</v>
      </c>
      <c r="V35" s="4">
        <f t="shared" si="31"/>
        <v>9.5313598094197618E-3</v>
      </c>
      <c r="W35" s="4">
        <f t="shared" si="31"/>
        <v>0</v>
      </c>
      <c r="X35" s="4">
        <f t="shared" si="31"/>
        <v>0.10804707077641748</v>
      </c>
      <c r="Y35" s="4">
        <f t="shared" si="31"/>
        <v>0</v>
      </c>
      <c r="Z35" s="4">
        <f t="shared" si="31"/>
        <v>4.7569715519773473E-4</v>
      </c>
      <c r="AA35" s="4">
        <f t="shared" si="31"/>
        <v>1.064295170667127E-2</v>
      </c>
      <c r="AB35" s="4">
        <f t="shared" si="31"/>
        <v>3.6932750636700521E-4</v>
      </c>
      <c r="AC35" s="4">
        <f t="shared" si="31"/>
        <v>1.2406714664360771E-4</v>
      </c>
      <c r="AD35" s="4">
        <f t="shared" si="31"/>
        <v>9.1924133257667739E-2</v>
      </c>
      <c r="AE35" s="4">
        <f t="shared" si="31"/>
        <v>1.6051442827351361E-3</v>
      </c>
      <c r="AF35" s="4">
        <f t="shared" si="31"/>
        <v>0</v>
      </c>
      <c r="AG35" s="4" t="str">
        <f t="shared" si="31"/>
        <v/>
      </c>
      <c r="AH35" s="4" t="str">
        <f t="shared" si="31"/>
        <v/>
      </c>
      <c r="AI35" s="4" t="str">
        <f>B35</f>
        <v>RHW</v>
      </c>
      <c r="AJ35" t="s">
        <v>56</v>
      </c>
      <c r="AL35" t="str">
        <f t="shared" si="25"/>
        <v>Techs_RHWBIO</v>
      </c>
    </row>
    <row r="36" spans="1:38">
      <c r="A36">
        <v>2020</v>
      </c>
      <c r="B36" t="str">
        <f t="shared" si="20"/>
        <v>RCK</v>
      </c>
      <c r="C36" t="str">
        <f t="shared" si="21"/>
        <v>*STH</v>
      </c>
      <c r="D36" s="4">
        <f t="shared" ref="D36:R36" si="32">D6</f>
        <v>0</v>
      </c>
      <c r="E36" s="4">
        <f t="shared" si="32"/>
        <v>0</v>
      </c>
      <c r="F36" s="4">
        <f t="shared" si="32"/>
        <v>0</v>
      </c>
      <c r="G36" s="4">
        <f t="shared" si="32"/>
        <v>0</v>
      </c>
      <c r="H36" s="4">
        <f t="shared" si="32"/>
        <v>0</v>
      </c>
      <c r="I36" s="4">
        <f t="shared" si="32"/>
        <v>0</v>
      </c>
      <c r="J36" s="4">
        <f t="shared" si="32"/>
        <v>0</v>
      </c>
      <c r="K36" s="4">
        <f t="shared" si="32"/>
        <v>0</v>
      </c>
      <c r="L36" s="4">
        <f t="shared" si="32"/>
        <v>0</v>
      </c>
      <c r="M36" s="4">
        <f t="shared" si="32"/>
        <v>0</v>
      </c>
      <c r="N36" s="4">
        <f t="shared" si="32"/>
        <v>0</v>
      </c>
      <c r="O36" s="4">
        <f t="shared" si="32"/>
        <v>0</v>
      </c>
      <c r="P36" s="4">
        <f t="shared" si="32"/>
        <v>0</v>
      </c>
      <c r="Q36" s="4">
        <f t="shared" si="32"/>
        <v>0</v>
      </c>
      <c r="R36" s="4">
        <f t="shared" si="32"/>
        <v>0</v>
      </c>
      <c r="S36" s="4">
        <f t="shared" ref="S36:T36" si="33">S6</f>
        <v>0</v>
      </c>
      <c r="T36" s="4">
        <f t="shared" si="33"/>
        <v>0</v>
      </c>
      <c r="U36" s="4">
        <f t="shared" ref="U36:AH36" si="34">U6</f>
        <v>0</v>
      </c>
      <c r="V36" s="4">
        <f t="shared" si="34"/>
        <v>0</v>
      </c>
      <c r="W36" s="4">
        <f t="shared" si="34"/>
        <v>0</v>
      </c>
      <c r="X36" s="4">
        <f t="shared" si="34"/>
        <v>0</v>
      </c>
      <c r="Y36" s="4">
        <f t="shared" si="34"/>
        <v>0</v>
      </c>
      <c r="Z36" s="4">
        <f t="shared" si="34"/>
        <v>0</v>
      </c>
      <c r="AA36" s="4">
        <f t="shared" si="34"/>
        <v>0</v>
      </c>
      <c r="AB36" s="4">
        <f t="shared" si="34"/>
        <v>0</v>
      </c>
      <c r="AC36" s="4">
        <f t="shared" si="34"/>
        <v>0</v>
      </c>
      <c r="AD36" s="4">
        <f t="shared" si="34"/>
        <v>0</v>
      </c>
      <c r="AE36" s="4">
        <f t="shared" si="34"/>
        <v>0</v>
      </c>
      <c r="AF36" s="4">
        <f t="shared" si="34"/>
        <v>0</v>
      </c>
      <c r="AG36" s="4" t="str">
        <f t="shared" si="34"/>
        <v/>
      </c>
      <c r="AH36" s="4" t="str">
        <f t="shared" si="34"/>
        <v/>
      </c>
      <c r="AI36" s="4" t="str">
        <f t="shared" ref="AI36:AI42" si="35">B36</f>
        <v>RCK</v>
      </c>
      <c r="AJ36" t="s">
        <v>55</v>
      </c>
      <c r="AL36" t="str">
        <f t="shared" si="25"/>
        <v>Techs_RCKSTH</v>
      </c>
    </row>
    <row r="37" spans="1:38">
      <c r="A37">
        <v>2020</v>
      </c>
      <c r="B37" t="str">
        <f t="shared" si="20"/>
        <v>CCK</v>
      </c>
      <c r="C37" t="str">
        <f t="shared" si="21"/>
        <v>*STH</v>
      </c>
      <c r="D37" s="4">
        <f t="shared" ref="D37:R37" si="36">D7</f>
        <v>0</v>
      </c>
      <c r="E37" s="4">
        <f t="shared" si="36"/>
        <v>0</v>
      </c>
      <c r="F37" s="4">
        <f t="shared" si="36"/>
        <v>0</v>
      </c>
      <c r="G37" s="4">
        <f t="shared" si="36"/>
        <v>0</v>
      </c>
      <c r="H37" s="4">
        <f t="shared" si="36"/>
        <v>0</v>
      </c>
      <c r="I37" s="4">
        <f t="shared" si="36"/>
        <v>0</v>
      </c>
      <c r="J37" s="4">
        <f t="shared" si="36"/>
        <v>0</v>
      </c>
      <c r="K37" s="4">
        <f t="shared" si="36"/>
        <v>0</v>
      </c>
      <c r="L37" s="4">
        <f t="shared" si="36"/>
        <v>0</v>
      </c>
      <c r="M37" s="4">
        <f t="shared" si="36"/>
        <v>0</v>
      </c>
      <c r="N37" s="4">
        <f t="shared" si="36"/>
        <v>0</v>
      </c>
      <c r="O37" s="4">
        <f t="shared" si="36"/>
        <v>0</v>
      </c>
      <c r="P37" s="4">
        <f t="shared" si="36"/>
        <v>0</v>
      </c>
      <c r="Q37" s="4">
        <f t="shared" si="36"/>
        <v>0</v>
      </c>
      <c r="R37" s="4">
        <f t="shared" si="36"/>
        <v>0</v>
      </c>
      <c r="S37" s="4">
        <f t="shared" ref="S37:T37" si="37">S7</f>
        <v>0</v>
      </c>
      <c r="T37" s="4">
        <f t="shared" si="37"/>
        <v>0</v>
      </c>
      <c r="U37" s="4">
        <f t="shared" ref="U37:AH37" si="38">U7</f>
        <v>0</v>
      </c>
      <c r="V37" s="4">
        <f t="shared" si="38"/>
        <v>0</v>
      </c>
      <c r="W37" s="4">
        <f t="shared" si="38"/>
        <v>1.5185695319564049E-3</v>
      </c>
      <c r="X37" s="4">
        <f t="shared" si="38"/>
        <v>0</v>
      </c>
      <c r="Y37" s="4">
        <f t="shared" si="38"/>
        <v>0</v>
      </c>
      <c r="Z37" s="4">
        <f t="shared" si="38"/>
        <v>0</v>
      </c>
      <c r="AA37" s="4">
        <f t="shared" si="38"/>
        <v>0</v>
      </c>
      <c r="AB37" s="4">
        <f t="shared" si="38"/>
        <v>0</v>
      </c>
      <c r="AC37" s="4">
        <f t="shared" si="38"/>
        <v>0</v>
      </c>
      <c r="AD37" s="4">
        <f t="shared" si="38"/>
        <v>0</v>
      </c>
      <c r="AE37" s="4">
        <f t="shared" si="38"/>
        <v>0</v>
      </c>
      <c r="AF37" s="4">
        <f t="shared" si="38"/>
        <v>0</v>
      </c>
      <c r="AG37" s="4" t="str">
        <f t="shared" si="38"/>
        <v/>
      </c>
      <c r="AH37" s="4" t="str">
        <f t="shared" si="38"/>
        <v/>
      </c>
      <c r="AI37" s="4" t="str">
        <f t="shared" si="35"/>
        <v>CCK</v>
      </c>
      <c r="AJ37" t="s">
        <v>55</v>
      </c>
      <c r="AL37" t="str">
        <f t="shared" si="25"/>
        <v>Techs_CCKSTH</v>
      </c>
    </row>
    <row r="38" spans="1:38">
      <c r="A38">
        <v>2020</v>
      </c>
      <c r="B38" t="str">
        <f t="shared" si="20"/>
        <v>RLI</v>
      </c>
      <c r="C38" t="str">
        <f t="shared" si="21"/>
        <v>*KER</v>
      </c>
      <c r="D38" s="4">
        <f t="shared" ref="D38:R38" si="39">D8</f>
        <v>3.408245889448897E-4</v>
      </c>
      <c r="E38" s="4">
        <f t="shared" si="39"/>
        <v>5.6215819864959835E-3</v>
      </c>
      <c r="F38" s="4">
        <f t="shared" si="39"/>
        <v>0</v>
      </c>
      <c r="G38" s="4">
        <f t="shared" si="39"/>
        <v>0</v>
      </c>
      <c r="H38" s="4" t="str">
        <f t="shared" si="39"/>
        <v/>
      </c>
      <c r="I38" s="4">
        <f t="shared" si="39"/>
        <v>2.7400787690113601E-4</v>
      </c>
      <c r="J38" s="4">
        <f t="shared" si="39"/>
        <v>0</v>
      </c>
      <c r="K38" s="4">
        <f t="shared" si="39"/>
        <v>0</v>
      </c>
      <c r="L38" s="4">
        <f t="shared" si="39"/>
        <v>0</v>
      </c>
      <c r="M38" s="4">
        <f t="shared" si="39"/>
        <v>0</v>
      </c>
      <c r="N38" s="4">
        <f t="shared" si="39"/>
        <v>0</v>
      </c>
      <c r="O38" s="4">
        <f t="shared" si="39"/>
        <v>0</v>
      </c>
      <c r="P38" s="4">
        <f t="shared" si="39"/>
        <v>0</v>
      </c>
      <c r="Q38" s="4">
        <f t="shared" si="39"/>
        <v>0</v>
      </c>
      <c r="R38" s="4">
        <f t="shared" si="39"/>
        <v>0</v>
      </c>
      <c r="S38" s="4">
        <f t="shared" ref="S38:T38" si="40">S8</f>
        <v>0</v>
      </c>
      <c r="T38" s="4">
        <f t="shared" si="40"/>
        <v>0</v>
      </c>
      <c r="U38" s="4">
        <f t="shared" ref="U38:AH38" si="41">U8</f>
        <v>0</v>
      </c>
      <c r="V38" s="4">
        <f t="shared" si="41"/>
        <v>0</v>
      </c>
      <c r="W38" s="4">
        <f t="shared" si="41"/>
        <v>0</v>
      </c>
      <c r="X38" s="4">
        <f t="shared" si="41"/>
        <v>1.6981676770764347E-5</v>
      </c>
      <c r="Y38" s="4">
        <f t="shared" si="41"/>
        <v>0</v>
      </c>
      <c r="Z38" s="4">
        <f t="shared" si="41"/>
        <v>2.2745365631752532E-5</v>
      </c>
      <c r="AA38" s="4">
        <f t="shared" si="41"/>
        <v>0</v>
      </c>
      <c r="AB38" s="4">
        <f t="shared" si="41"/>
        <v>0</v>
      </c>
      <c r="AC38" s="4">
        <f t="shared" si="41"/>
        <v>0</v>
      </c>
      <c r="AD38" s="4">
        <f t="shared" si="41"/>
        <v>1.9835990227146279E-3</v>
      </c>
      <c r="AE38" s="4">
        <f t="shared" si="41"/>
        <v>0</v>
      </c>
      <c r="AF38" s="4">
        <f t="shared" si="41"/>
        <v>0</v>
      </c>
      <c r="AG38" s="4" t="str">
        <f t="shared" si="41"/>
        <v/>
      </c>
      <c r="AH38" s="4" t="str">
        <f t="shared" si="41"/>
        <v/>
      </c>
      <c r="AI38" s="4" t="str">
        <f t="shared" si="35"/>
        <v>RLI</v>
      </c>
      <c r="AJ38" t="s">
        <v>57</v>
      </c>
      <c r="AL38" t="str">
        <f t="shared" si="25"/>
        <v>Techs_RLIKER</v>
      </c>
    </row>
    <row r="39" spans="1:38">
      <c r="A39">
        <v>2020</v>
      </c>
      <c r="B39" t="str">
        <f t="shared" si="20"/>
        <v>CLA</v>
      </c>
      <c r="D39" s="4">
        <f t="shared" ref="D39:R39" si="42">D9</f>
        <v>0.1941747572815534</v>
      </c>
      <c r="E39" s="4">
        <f t="shared" si="42"/>
        <v>0.19359294276450001</v>
      </c>
      <c r="F39" s="4">
        <f t="shared" si="42"/>
        <v>2.8899558484657042E-2</v>
      </c>
      <c r="G39" s="4">
        <f t="shared" si="42"/>
        <v>0.19417194730491366</v>
      </c>
      <c r="H39" s="4">
        <f t="shared" si="42"/>
        <v>0.16973750630994475</v>
      </c>
      <c r="I39" s="4">
        <f t="shared" si="42"/>
        <v>0.46227429740209031</v>
      </c>
      <c r="J39" s="4">
        <f t="shared" si="42"/>
        <v>0.13289036544850499</v>
      </c>
      <c r="K39" s="4">
        <f t="shared" si="42"/>
        <v>2.8901734104046256E-2</v>
      </c>
      <c r="L39" s="4">
        <f t="shared" si="42"/>
        <v>0.13286406938670431</v>
      </c>
      <c r="M39" s="4">
        <f t="shared" si="42"/>
        <v>0.34390881012108115</v>
      </c>
      <c r="N39" s="4">
        <f t="shared" si="42"/>
        <v>2.8801843317972316E-2</v>
      </c>
      <c r="O39" s="4">
        <f t="shared" si="42"/>
        <v>0.19417473086358969</v>
      </c>
      <c r="P39" s="4">
        <f t="shared" si="42"/>
        <v>2.8801843317972364E-2</v>
      </c>
      <c r="Q39" s="4">
        <f t="shared" si="42"/>
        <v>2.8801843317972406E-2</v>
      </c>
      <c r="R39" s="4">
        <f t="shared" si="42"/>
        <v>0.19417413008179057</v>
      </c>
      <c r="S39" s="4">
        <f t="shared" ref="S39:T39" si="43">S9</f>
        <v>2.8801843317972396E-2</v>
      </c>
      <c r="T39" s="4">
        <f t="shared" si="43"/>
        <v>0.19417475728155337</v>
      </c>
      <c r="U39" s="4">
        <f t="shared" ref="U39:AH39" si="44">U9</f>
        <v>2.8801843317972309E-2</v>
      </c>
      <c r="V39" s="4">
        <f t="shared" si="44"/>
        <v>2.8801843317972354E-2</v>
      </c>
      <c r="W39" s="4">
        <f t="shared" si="44"/>
        <v>0.15293983812564771</v>
      </c>
      <c r="X39" s="4">
        <f t="shared" si="44"/>
        <v>2.8894576010204929E-2</v>
      </c>
      <c r="Y39" s="4">
        <f t="shared" si="44"/>
        <v>0.16015374759769374</v>
      </c>
      <c r="Z39" s="4">
        <f t="shared" si="44"/>
        <v>0.19383373900094752</v>
      </c>
      <c r="AA39" s="4">
        <f t="shared" si="44"/>
        <v>2.8801843317972354E-2</v>
      </c>
      <c r="AB39" s="4">
        <f t="shared" si="44"/>
        <v>0.19417475728155364</v>
      </c>
      <c r="AC39" s="4">
        <f t="shared" si="44"/>
        <v>0.19417475728155315</v>
      </c>
      <c r="AD39" s="4">
        <f t="shared" si="44"/>
        <v>0.19282851647711038</v>
      </c>
      <c r="AE39" s="4">
        <f t="shared" si="44"/>
        <v>2.8801843317972291E-2</v>
      </c>
      <c r="AF39" s="4">
        <f t="shared" si="44"/>
        <v>2.880184331797234E-2</v>
      </c>
      <c r="AG39" s="4" t="str">
        <f t="shared" si="44"/>
        <v/>
      </c>
      <c r="AH39" s="4" t="str">
        <f t="shared" si="44"/>
        <v/>
      </c>
      <c r="AI39" s="4" t="str">
        <f t="shared" ref="AI39:AI40" si="45">B39</f>
        <v>CLA</v>
      </c>
      <c r="AJ39" t="s">
        <v>57</v>
      </c>
      <c r="AK39" t="str">
        <f>"*"&amp;C9&amp;"*"</f>
        <v>*ICE*</v>
      </c>
      <c r="AL39" t="str">
        <f t="shared" si="25"/>
        <v>Techs_CLAICE</v>
      </c>
    </row>
    <row r="40" spans="1:38">
      <c r="A40">
        <v>2020</v>
      </c>
      <c r="B40" t="str">
        <f t="shared" si="20"/>
        <v>RLI</v>
      </c>
      <c r="D40" s="4">
        <f t="shared" ref="D40:R40" si="46">D10</f>
        <v>0.50937784020490784</v>
      </c>
      <c r="E40" s="4">
        <f t="shared" si="46"/>
        <v>0.50669090464697075</v>
      </c>
      <c r="F40" s="4">
        <f t="shared" si="46"/>
        <v>0.4828784626392722</v>
      </c>
      <c r="G40" s="4">
        <f t="shared" si="46"/>
        <v>0.43603533312898818</v>
      </c>
      <c r="H40" s="4" t="str">
        <f t="shared" si="46"/>
        <v/>
      </c>
      <c r="I40" s="4">
        <f t="shared" si="46"/>
        <v>0.43592672435137714</v>
      </c>
      <c r="J40" s="4">
        <f t="shared" si="46"/>
        <v>0.19762612622835485</v>
      </c>
      <c r="K40" s="4">
        <f t="shared" si="46"/>
        <v>0.48288586506762898</v>
      </c>
      <c r="L40" s="4">
        <f t="shared" si="46"/>
        <v>0.2433647570703408</v>
      </c>
      <c r="M40" s="4">
        <f t="shared" si="46"/>
        <v>0.15266122411748609</v>
      </c>
      <c r="N40" s="4">
        <f t="shared" si="46"/>
        <v>0.2652954645884385</v>
      </c>
      <c r="O40" s="4">
        <f t="shared" si="46"/>
        <v>0.50948509485094851</v>
      </c>
      <c r="P40" s="4">
        <f t="shared" si="46"/>
        <v>0.26530117561507699</v>
      </c>
      <c r="Q40" s="4">
        <f t="shared" si="46"/>
        <v>0.2652973128529803</v>
      </c>
      <c r="R40" s="4">
        <f t="shared" si="46"/>
        <v>0.50952858575727178</v>
      </c>
      <c r="S40" s="4">
        <f t="shared" ref="S40:T40" si="47">S10</f>
        <v>0.2652878982711816</v>
      </c>
      <c r="T40" s="4">
        <f t="shared" si="47"/>
        <v>0.50954913199114404</v>
      </c>
      <c r="U40" s="4">
        <f t="shared" ref="U40:AH40" si="48">U10</f>
        <v>0.26528763109191855</v>
      </c>
      <c r="V40" s="4">
        <f t="shared" si="48"/>
        <v>0.26528129258321981</v>
      </c>
      <c r="W40" s="4">
        <f t="shared" si="48"/>
        <v>0.21739188414300761</v>
      </c>
      <c r="X40" s="4">
        <f t="shared" si="48"/>
        <v>0.48287397897668421</v>
      </c>
      <c r="Y40" s="4">
        <f t="shared" si="48"/>
        <v>0.49651389316107863</v>
      </c>
      <c r="Z40" s="4">
        <f t="shared" si="48"/>
        <v>0.50954168088252028</v>
      </c>
      <c r="AA40" s="4">
        <f t="shared" si="48"/>
        <v>0.26530305309069036</v>
      </c>
      <c r="AB40" s="4">
        <f t="shared" si="48"/>
        <v>0.43605106012141137</v>
      </c>
      <c r="AC40" s="4">
        <f t="shared" si="48"/>
        <v>0.50955821390500999</v>
      </c>
      <c r="AD40" s="4">
        <f t="shared" si="48"/>
        <v>0.50855124700645882</v>
      </c>
      <c r="AE40" s="4">
        <f t="shared" si="48"/>
        <v>0.26528070227468192</v>
      </c>
      <c r="AF40" s="4">
        <f t="shared" si="48"/>
        <v>0.26528778532303493</v>
      </c>
      <c r="AG40" s="4" t="str">
        <f t="shared" si="48"/>
        <v/>
      </c>
      <c r="AH40" s="4" t="str">
        <f t="shared" si="48"/>
        <v/>
      </c>
      <c r="AI40" s="4" t="str">
        <f t="shared" si="45"/>
        <v>RLI</v>
      </c>
      <c r="AJ40" t="s">
        <v>57</v>
      </c>
      <c r="AK40" t="str">
        <f>"*"&amp;C10&amp;"*"</f>
        <v>*ICE*</v>
      </c>
      <c r="AL40" t="str">
        <f t="shared" si="25"/>
        <v>Techs_RLIICE</v>
      </c>
    </row>
    <row r="41" spans="1:38">
      <c r="A41">
        <v>2020</v>
      </c>
      <c r="B41" t="str">
        <f t="shared" si="20"/>
        <v>RSH</v>
      </c>
      <c r="C41" t="str">
        <f t="shared" ref="C41:C54" si="49">"*"&amp;C11</f>
        <v>*COA</v>
      </c>
      <c r="D41" s="4">
        <f t="shared" ref="D41:R41" si="50">D11</f>
        <v>0</v>
      </c>
      <c r="E41" s="4">
        <f t="shared" si="50"/>
        <v>2.3927979151859749E-2</v>
      </c>
      <c r="F41" s="4">
        <f t="shared" si="50"/>
        <v>0</v>
      </c>
      <c r="G41" s="4">
        <f t="shared" si="50"/>
        <v>0.16600350446213424</v>
      </c>
      <c r="H41" s="4">
        <f t="shared" si="50"/>
        <v>9.4612305040113493E-3</v>
      </c>
      <c r="I41" s="4" t="str">
        <f t="shared" si="50"/>
        <v/>
      </c>
      <c r="J41" s="4">
        <f t="shared" si="50"/>
        <v>1.3199336813808865E-3</v>
      </c>
      <c r="K41" s="4">
        <f t="shared" si="50"/>
        <v>0</v>
      </c>
      <c r="L41" s="4">
        <f t="shared" si="50"/>
        <v>0</v>
      </c>
      <c r="M41" s="4">
        <f t="shared" si="50"/>
        <v>0.22265097894355976</v>
      </c>
      <c r="N41" s="4">
        <f t="shared" si="50"/>
        <v>2.9970523959534366E-4</v>
      </c>
      <c r="O41" s="4">
        <f t="shared" si="50"/>
        <v>0.21048353961482114</v>
      </c>
      <c r="P41" s="4">
        <f t="shared" si="50"/>
        <v>2.2704814311600124E-2</v>
      </c>
      <c r="Q41" s="4">
        <f t="shared" si="50"/>
        <v>1.2792122085980004E-4</v>
      </c>
      <c r="R41" s="4">
        <f t="shared" si="50"/>
        <v>1.9767874226097003E-2</v>
      </c>
      <c r="S41" s="4">
        <f t="shared" ref="S41:T41" si="51">S11</f>
        <v>6.393541529854563E-3</v>
      </c>
      <c r="T41" s="4">
        <f t="shared" si="51"/>
        <v>5.2370697061426677E-2</v>
      </c>
      <c r="U41" s="4">
        <f t="shared" ref="U41:AH41" si="52">U11</f>
        <v>9.8215281971296832E-4</v>
      </c>
      <c r="V41" s="4">
        <f t="shared" si="52"/>
        <v>7.2702220678587852E-3</v>
      </c>
      <c r="W41" s="4" t="str">
        <f t="shared" si="52"/>
        <v/>
      </c>
      <c r="X41" s="4">
        <f t="shared" si="52"/>
        <v>1.3991614097382239E-2</v>
      </c>
      <c r="Y41" s="4">
        <f t="shared" si="52"/>
        <v>0</v>
      </c>
      <c r="Z41" s="4">
        <f t="shared" si="52"/>
        <v>1.8059577010324826E-4</v>
      </c>
      <c r="AA41" s="4">
        <f t="shared" si="52"/>
        <v>0</v>
      </c>
      <c r="AB41" s="4">
        <f t="shared" si="52"/>
        <v>1.1623348530873871E-2</v>
      </c>
      <c r="AC41" s="4">
        <f t="shared" si="52"/>
        <v>0</v>
      </c>
      <c r="AD41" s="4">
        <f t="shared" si="52"/>
        <v>0.99349743901260468</v>
      </c>
      <c r="AE41" s="4">
        <f t="shared" si="52"/>
        <v>1.5497930456168877E-2</v>
      </c>
      <c r="AF41" s="4">
        <f t="shared" si="52"/>
        <v>0</v>
      </c>
      <c r="AG41" s="4" t="str">
        <f t="shared" si="52"/>
        <v/>
      </c>
      <c r="AH41" s="4" t="str">
        <f t="shared" si="52"/>
        <v/>
      </c>
      <c r="AI41" s="4" t="str">
        <f t="shared" si="35"/>
        <v>RSH</v>
      </c>
      <c r="AJ41" t="s">
        <v>55</v>
      </c>
      <c r="AL41" t="str">
        <f t="shared" si="25"/>
        <v>Techs_RSHCOA</v>
      </c>
    </row>
    <row r="42" spans="1:38">
      <c r="A42">
        <v>2020</v>
      </c>
      <c r="B42" t="str">
        <f t="shared" si="20"/>
        <v>CSH</v>
      </c>
      <c r="C42" t="str">
        <f t="shared" si="49"/>
        <v>*COA</v>
      </c>
      <c r="D42" s="4">
        <f t="shared" ref="D42:R42" si="53">D12</f>
        <v>0</v>
      </c>
      <c r="E42" s="4">
        <f t="shared" si="53"/>
        <v>0</v>
      </c>
      <c r="F42" s="4">
        <f t="shared" si="53"/>
        <v>0</v>
      </c>
      <c r="G42" s="4">
        <f t="shared" si="53"/>
        <v>5.3437188598817992E-2</v>
      </c>
      <c r="H42" s="4">
        <f t="shared" si="53"/>
        <v>9.8107162409564151E-4</v>
      </c>
      <c r="I42" s="4">
        <f t="shared" si="53"/>
        <v>2.2761040716432951E-2</v>
      </c>
      <c r="J42" s="4">
        <f t="shared" si="53"/>
        <v>8.521171454282845E-3</v>
      </c>
      <c r="K42" s="4">
        <f t="shared" si="53"/>
        <v>0</v>
      </c>
      <c r="L42" s="4">
        <f t="shared" si="53"/>
        <v>0</v>
      </c>
      <c r="M42" s="4">
        <f t="shared" si="53"/>
        <v>0.22498298358508717</v>
      </c>
      <c r="N42" s="4">
        <f t="shared" si="53"/>
        <v>3.6267253533050218E-4</v>
      </c>
      <c r="O42" s="4">
        <f t="shared" si="53"/>
        <v>6.6705517244279033E-2</v>
      </c>
      <c r="P42" s="4">
        <f t="shared" si="53"/>
        <v>5.1028141281362596E-4</v>
      </c>
      <c r="Q42" s="4">
        <f t="shared" si="53"/>
        <v>0</v>
      </c>
      <c r="R42" s="4">
        <f t="shared" si="53"/>
        <v>1.5314305341844105E-3</v>
      </c>
      <c r="S42" s="4">
        <f t="shared" ref="S42:T42" si="54">S12</f>
        <v>0</v>
      </c>
      <c r="T42" s="4">
        <f t="shared" si="54"/>
        <v>0.34795638399208989</v>
      </c>
      <c r="U42" s="4">
        <f t="shared" ref="U42:AH42" si="55">U12</f>
        <v>3.2290648879885046E-3</v>
      </c>
      <c r="V42" s="4">
        <f t="shared" si="55"/>
        <v>1.1842213842030167E-4</v>
      </c>
      <c r="W42" s="4">
        <f t="shared" si="55"/>
        <v>0.56393755237351451</v>
      </c>
      <c r="X42" s="4">
        <f t="shared" si="55"/>
        <v>1.9503723019216535E-5</v>
      </c>
      <c r="Y42" s="4">
        <f t="shared" si="55"/>
        <v>0</v>
      </c>
      <c r="Z42" s="4">
        <f t="shared" si="55"/>
        <v>0</v>
      </c>
      <c r="AA42" s="4">
        <f t="shared" si="55"/>
        <v>4.5363555857317863E-5</v>
      </c>
      <c r="AB42" s="4">
        <f t="shared" si="55"/>
        <v>1.9104057802077374E-2</v>
      </c>
      <c r="AC42" s="4">
        <f t="shared" si="55"/>
        <v>0</v>
      </c>
      <c r="AD42" s="4">
        <f t="shared" si="55"/>
        <v>0</v>
      </c>
      <c r="AE42" s="4">
        <f t="shared" si="55"/>
        <v>1.9639182424812727E-3</v>
      </c>
      <c r="AF42" s="4">
        <f t="shared" si="55"/>
        <v>4.3676714111288732E-3</v>
      </c>
      <c r="AG42" s="4" t="str">
        <f t="shared" si="55"/>
        <v/>
      </c>
      <c r="AH42" s="4" t="str">
        <f t="shared" si="55"/>
        <v/>
      </c>
      <c r="AI42" s="4" t="str">
        <f t="shared" si="35"/>
        <v>CSH</v>
      </c>
      <c r="AJ42" t="s">
        <v>55</v>
      </c>
      <c r="AL42" t="str">
        <f t="shared" si="25"/>
        <v>Techs_CSHCOA</v>
      </c>
    </row>
    <row r="43" spans="1:38">
      <c r="A43">
        <v>2020</v>
      </c>
      <c r="B43" t="str">
        <f t="shared" si="20"/>
        <v>RSH</v>
      </c>
      <c r="C43" t="str">
        <f t="shared" si="49"/>
        <v>*LPG</v>
      </c>
      <c r="D43" s="4">
        <f t="shared" ref="D43:R43" si="56">D13</f>
        <v>0.8387270765911542</v>
      </c>
      <c r="E43" s="4">
        <f t="shared" si="56"/>
        <v>0.62994551054252546</v>
      </c>
      <c r="F43" s="4">
        <f t="shared" si="56"/>
        <v>9.7998670703788496E-2</v>
      </c>
      <c r="G43" s="4">
        <f t="shared" si="56"/>
        <v>5.8004965066592196E-2</v>
      </c>
      <c r="H43" s="4">
        <f t="shared" si="56"/>
        <v>0.14505903049209704</v>
      </c>
      <c r="I43" s="4" t="str">
        <f t="shared" si="56"/>
        <v/>
      </c>
      <c r="J43" s="4">
        <f t="shared" si="56"/>
        <v>3.2783718671696001E-2</v>
      </c>
      <c r="K43" s="4">
        <f t="shared" si="56"/>
        <v>9.5903271232255866E-2</v>
      </c>
      <c r="L43" s="4">
        <f t="shared" si="56"/>
        <v>1.3783403457053853E-2</v>
      </c>
      <c r="M43" s="4">
        <f t="shared" si="56"/>
        <v>0</v>
      </c>
      <c r="N43" s="4">
        <f t="shared" si="56"/>
        <v>2.3198512207712012E-3</v>
      </c>
      <c r="O43" s="4">
        <f t="shared" si="56"/>
        <v>9.5643825474063856E-3</v>
      </c>
      <c r="P43" s="4">
        <f t="shared" si="56"/>
        <v>1.1054691978123383E-2</v>
      </c>
      <c r="Q43" s="4">
        <f t="shared" si="56"/>
        <v>4.7412461503619351E-2</v>
      </c>
      <c r="R43" s="4">
        <f t="shared" si="56"/>
        <v>1.4880597823143988E-2</v>
      </c>
      <c r="S43" s="4">
        <f t="shared" ref="S43:T43" si="57">S13</f>
        <v>0.12289667604030317</v>
      </c>
      <c r="T43" s="4">
        <f t="shared" si="57"/>
        <v>6.8875692620146145E-3</v>
      </c>
      <c r="U43" s="4">
        <f t="shared" ref="U43:AH43" si="58">U13</f>
        <v>3.3092925627022027E-2</v>
      </c>
      <c r="V43" s="4">
        <f t="shared" si="58"/>
        <v>1.787989144419529E-2</v>
      </c>
      <c r="W43" s="4" t="str">
        <f t="shared" si="58"/>
        <v/>
      </c>
      <c r="X43" s="4">
        <f t="shared" si="58"/>
        <v>3.7324821516261847E-2</v>
      </c>
      <c r="Y43" s="4">
        <f t="shared" si="58"/>
        <v>9.1434651735773254E-2</v>
      </c>
      <c r="Z43" s="4">
        <f t="shared" si="58"/>
        <v>7.8266731634315925E-2</v>
      </c>
      <c r="AA43" s="4">
        <f t="shared" si="58"/>
        <v>2.8993433399386427E-3</v>
      </c>
      <c r="AB43" s="4">
        <f t="shared" si="58"/>
        <v>8.8275524500619498E-2</v>
      </c>
      <c r="AC43" s="4">
        <f t="shared" si="58"/>
        <v>0.47328432966889994</v>
      </c>
      <c r="AD43" s="4">
        <f t="shared" si="58"/>
        <v>3.030386702193751E-3</v>
      </c>
      <c r="AE43" s="4">
        <f t="shared" si="58"/>
        <v>8.0360680968122131E-3</v>
      </c>
      <c r="AF43" s="4">
        <f t="shared" si="58"/>
        <v>3.1839989988778419E-2</v>
      </c>
      <c r="AG43" s="4" t="str">
        <f t="shared" si="58"/>
        <v/>
      </c>
      <c r="AH43" s="4" t="str">
        <f t="shared" si="58"/>
        <v/>
      </c>
      <c r="AI43" s="4" t="str">
        <f t="shared" ref="AI43:AI46" si="59">B43</f>
        <v>RSH</v>
      </c>
      <c r="AJ43" t="s">
        <v>55</v>
      </c>
      <c r="AL43" t="str">
        <f t="shared" si="25"/>
        <v>Techs_RSHLPG</v>
      </c>
    </row>
    <row r="44" spans="1:38">
      <c r="A44">
        <v>2020</v>
      </c>
      <c r="B44" t="str">
        <f t="shared" si="20"/>
        <v>CSH</v>
      </c>
      <c r="C44" t="str">
        <f t="shared" si="49"/>
        <v>*LPG</v>
      </c>
      <c r="D44" s="4">
        <f t="shared" ref="D44:R44" si="60">D14</f>
        <v>0</v>
      </c>
      <c r="E44" s="4">
        <f t="shared" si="60"/>
        <v>0</v>
      </c>
      <c r="F44" s="4">
        <f t="shared" si="60"/>
        <v>0</v>
      </c>
      <c r="G44" s="4">
        <f t="shared" si="60"/>
        <v>2.1212228048238663E-3</v>
      </c>
      <c r="H44" s="4">
        <f t="shared" si="60"/>
        <v>7.0773673278293842E-2</v>
      </c>
      <c r="I44" s="4">
        <f t="shared" si="60"/>
        <v>8.8555072272879065E-2</v>
      </c>
      <c r="J44" s="4">
        <f t="shared" si="60"/>
        <v>7.0271855374058985E-3</v>
      </c>
      <c r="K44" s="4">
        <f t="shared" si="60"/>
        <v>0</v>
      </c>
      <c r="L44" s="4">
        <f t="shared" si="60"/>
        <v>9.9445166464944071E-3</v>
      </c>
      <c r="M44" s="4">
        <f t="shared" si="60"/>
        <v>2.3310439638030249E-2</v>
      </c>
      <c r="N44" s="4">
        <f t="shared" si="60"/>
        <v>6.2841132373003187E-4</v>
      </c>
      <c r="O44" s="4">
        <f t="shared" si="60"/>
        <v>7.6802574949935186E-3</v>
      </c>
      <c r="P44" s="4">
        <f t="shared" si="60"/>
        <v>5.8754580315894247E-3</v>
      </c>
      <c r="Q44" s="4">
        <f t="shared" si="60"/>
        <v>1.2846775652482639E-2</v>
      </c>
      <c r="R44" s="4">
        <f t="shared" si="60"/>
        <v>1.2512884230228243E-2</v>
      </c>
      <c r="S44" s="4">
        <f t="shared" ref="S44:T44" si="61">S14</f>
        <v>1.0937604039681111E-2</v>
      </c>
      <c r="T44" s="4">
        <f t="shared" si="61"/>
        <v>3.4695338037007742E-3</v>
      </c>
      <c r="U44" s="4">
        <f t="shared" ref="U44:AH44" si="62">U14</f>
        <v>6.0925135518909426E-3</v>
      </c>
      <c r="V44" s="4">
        <f t="shared" si="62"/>
        <v>2.5612913758105709E-3</v>
      </c>
      <c r="W44" s="4">
        <f t="shared" si="62"/>
        <v>0</v>
      </c>
      <c r="X44" s="4">
        <f t="shared" si="62"/>
        <v>0</v>
      </c>
      <c r="Y44" s="4">
        <f t="shared" si="62"/>
        <v>0</v>
      </c>
      <c r="Z44" s="4">
        <f t="shared" si="62"/>
        <v>5.4444090488359491E-3</v>
      </c>
      <c r="AA44" s="4">
        <f t="shared" si="62"/>
        <v>2.8413318433925115E-3</v>
      </c>
      <c r="AB44" s="4">
        <f t="shared" si="62"/>
        <v>4.3279602658647726E-4</v>
      </c>
      <c r="AC44" s="4">
        <f t="shared" si="62"/>
        <v>0</v>
      </c>
      <c r="AD44" s="4">
        <f t="shared" si="62"/>
        <v>0</v>
      </c>
      <c r="AE44" s="4">
        <f t="shared" si="62"/>
        <v>9.7542011001510495E-3</v>
      </c>
      <c r="AF44" s="4">
        <f t="shared" si="62"/>
        <v>1.356240094265593E-2</v>
      </c>
      <c r="AG44" s="4" t="str">
        <f t="shared" si="62"/>
        <v/>
      </c>
      <c r="AH44" s="4" t="str">
        <f t="shared" si="62"/>
        <v/>
      </c>
      <c r="AI44" s="4" t="str">
        <f t="shared" si="59"/>
        <v>CSH</v>
      </c>
      <c r="AJ44" t="s">
        <v>55</v>
      </c>
      <c r="AL44" t="str">
        <f t="shared" si="25"/>
        <v>Techs_CSHLPG</v>
      </c>
    </row>
    <row r="45" spans="1:38">
      <c r="A45">
        <v>2020</v>
      </c>
      <c r="B45" t="str">
        <f t="shared" si="20"/>
        <v>RSH</v>
      </c>
      <c r="C45" t="str">
        <f t="shared" si="49"/>
        <v>*ELC</v>
      </c>
      <c r="D45" s="4">
        <f t="shared" ref="D45:R45" si="63">D15</f>
        <v>0</v>
      </c>
      <c r="E45" s="4">
        <f t="shared" si="63"/>
        <v>0</v>
      </c>
      <c r="F45" s="4">
        <f t="shared" si="63"/>
        <v>0.18752923220835488</v>
      </c>
      <c r="G45" s="4">
        <f t="shared" si="63"/>
        <v>2.5875991962968366E-2</v>
      </c>
      <c r="H45" s="4">
        <f t="shared" si="63"/>
        <v>0.40701041042331015</v>
      </c>
      <c r="I45" s="4" t="str">
        <f t="shared" si="63"/>
        <v/>
      </c>
      <c r="J45" s="4">
        <f t="shared" si="63"/>
        <v>0.22879744741280481</v>
      </c>
      <c r="K45" s="4">
        <f t="shared" si="63"/>
        <v>0.15484534080056975</v>
      </c>
      <c r="L45" s="4">
        <f t="shared" si="63"/>
        <v>0.39701364918065507</v>
      </c>
      <c r="M45" s="4">
        <f t="shared" si="63"/>
        <v>9.7147999738234472E-2</v>
      </c>
      <c r="N45" s="4">
        <f t="shared" si="63"/>
        <v>0.16524854428883626</v>
      </c>
      <c r="O45" s="4">
        <f t="shared" si="63"/>
        <v>3.6405965687359904E-2</v>
      </c>
      <c r="P45" s="4">
        <f t="shared" si="63"/>
        <v>7.918657064807319E-2</v>
      </c>
      <c r="Q45" s="4">
        <f t="shared" si="63"/>
        <v>8.6417420780618787E-2</v>
      </c>
      <c r="R45" s="4">
        <f t="shared" si="63"/>
        <v>5.4309488998393537E-2</v>
      </c>
      <c r="S45" s="4">
        <f t="shared" ref="S45:T45" si="64">S15</f>
        <v>0.22843754771437932</v>
      </c>
      <c r="T45" s="4">
        <f t="shared" si="64"/>
        <v>1.2671361398706374E-2</v>
      </c>
      <c r="U45" s="4">
        <f t="shared" ref="U45:AH45" si="65">U15</f>
        <v>0.17267685932444943</v>
      </c>
      <c r="V45" s="4">
        <f t="shared" si="65"/>
        <v>7.1683083978638679E-2</v>
      </c>
      <c r="W45" s="4" t="str">
        <f t="shared" si="65"/>
        <v/>
      </c>
      <c r="X45" s="4">
        <f t="shared" si="65"/>
        <v>5.7738072753371353E-2</v>
      </c>
      <c r="Y45" s="4">
        <f t="shared" si="65"/>
        <v>0.25538428273103336</v>
      </c>
      <c r="Z45" s="4">
        <f t="shared" si="65"/>
        <v>1.8724657441063299E-2</v>
      </c>
      <c r="AA45" s="4">
        <f t="shared" si="65"/>
        <v>0.5483504834111862</v>
      </c>
      <c r="AB45" s="4">
        <f t="shared" si="65"/>
        <v>1.4238971985975011E-2</v>
      </c>
      <c r="AC45" s="4">
        <f t="shared" si="65"/>
        <v>0.3163663565992324</v>
      </c>
      <c r="AD45" s="4">
        <f t="shared" si="65"/>
        <v>0</v>
      </c>
      <c r="AE45" s="4">
        <f t="shared" si="65"/>
        <v>9.4899897481522402E-2</v>
      </c>
      <c r="AF45" s="4">
        <f t="shared" si="65"/>
        <v>0.15192765853760276</v>
      </c>
      <c r="AG45" s="4" t="str">
        <f t="shared" si="65"/>
        <v/>
      </c>
      <c r="AH45" s="4" t="str">
        <f t="shared" si="65"/>
        <v/>
      </c>
      <c r="AI45" s="4" t="str">
        <f t="shared" si="59"/>
        <v>RSH</v>
      </c>
      <c r="AJ45" t="s">
        <v>57</v>
      </c>
      <c r="AL45" t="str">
        <f t="shared" si="25"/>
        <v>Techs_RSHELC</v>
      </c>
    </row>
    <row r="46" spans="1:38">
      <c r="A46">
        <v>2020</v>
      </c>
      <c r="B46" t="str">
        <f t="shared" si="20"/>
        <v>CSH</v>
      </c>
      <c r="C46" t="str">
        <f t="shared" si="49"/>
        <v>*ELC</v>
      </c>
      <c r="D46" s="4">
        <f t="shared" ref="D46:R46" si="66">D16</f>
        <v>0</v>
      </c>
      <c r="E46" s="4">
        <f t="shared" si="66"/>
        <v>0</v>
      </c>
      <c r="F46" s="4">
        <f t="shared" si="66"/>
        <v>0.33690946452043624</v>
      </c>
      <c r="G46" s="4">
        <f t="shared" si="66"/>
        <v>3.0316232755060561E-2</v>
      </c>
      <c r="H46" s="4">
        <f t="shared" si="66"/>
        <v>0.28159906908158561</v>
      </c>
      <c r="I46" s="4">
        <f t="shared" si="66"/>
        <v>0.41140863265581384</v>
      </c>
      <c r="J46" s="4">
        <f t="shared" si="66"/>
        <v>0.21000123631290568</v>
      </c>
      <c r="K46" s="4">
        <f t="shared" si="66"/>
        <v>0.91611579643637198</v>
      </c>
      <c r="L46" s="4">
        <f t="shared" si="66"/>
        <v>0.22390731879224612</v>
      </c>
      <c r="M46" s="4">
        <f t="shared" si="66"/>
        <v>7.9437130586864926E-2</v>
      </c>
      <c r="N46" s="4">
        <f t="shared" si="66"/>
        <v>0.2162196604455264</v>
      </c>
      <c r="O46" s="4">
        <f t="shared" si="66"/>
        <v>0.14527303341907855</v>
      </c>
      <c r="P46" s="4">
        <f t="shared" si="66"/>
        <v>0.28515910665335703</v>
      </c>
      <c r="Q46" s="4">
        <f t="shared" si="66"/>
        <v>0.35733292595299226</v>
      </c>
      <c r="R46" s="4">
        <f t="shared" si="66"/>
        <v>0.14993296070032894</v>
      </c>
      <c r="S46" s="4">
        <f t="shared" ref="S46:T46" si="67">S16</f>
        <v>0.4891916514861836</v>
      </c>
      <c r="T46" s="4">
        <f t="shared" si="67"/>
        <v>0.11686688207602433</v>
      </c>
      <c r="U46" s="4">
        <f t="shared" ref="U46:AH46" si="68">U16</f>
        <v>0.33989891091419755</v>
      </c>
      <c r="V46" s="4">
        <f t="shared" si="68"/>
        <v>0.22490627849254624</v>
      </c>
      <c r="W46" s="4">
        <f t="shared" si="68"/>
        <v>0.2283140341505753</v>
      </c>
      <c r="X46" s="4">
        <f t="shared" si="68"/>
        <v>0.51478809691305427</v>
      </c>
      <c r="Y46" s="4">
        <f t="shared" si="68"/>
        <v>0.88257906368872729</v>
      </c>
      <c r="Z46" s="4">
        <f t="shared" si="68"/>
        <v>0.54526639406900146</v>
      </c>
      <c r="AA46" s="4">
        <f t="shared" si="68"/>
        <v>0.3573275380915128</v>
      </c>
      <c r="AB46" s="4">
        <f t="shared" si="68"/>
        <v>6.5345131688581165E-2</v>
      </c>
      <c r="AC46" s="4">
        <f t="shared" si="68"/>
        <v>1</v>
      </c>
      <c r="AD46" s="4">
        <f t="shared" si="68"/>
        <v>0</v>
      </c>
      <c r="AE46" s="4">
        <f t="shared" si="68"/>
        <v>0.30301942148218841</v>
      </c>
      <c r="AF46" s="4">
        <f t="shared" si="68"/>
        <v>0.14669730643491047</v>
      </c>
      <c r="AG46" s="4" t="str">
        <f t="shared" si="68"/>
        <v/>
      </c>
      <c r="AH46" s="4" t="str">
        <f t="shared" si="68"/>
        <v/>
      </c>
      <c r="AI46" s="4" t="str">
        <f t="shared" si="59"/>
        <v>CSH</v>
      </c>
      <c r="AJ46" t="s">
        <v>57</v>
      </c>
      <c r="AL46" t="str">
        <f t="shared" si="25"/>
        <v>Techs_CSHELC</v>
      </c>
    </row>
    <row r="47" spans="1:38">
      <c r="A47">
        <v>2020</v>
      </c>
      <c r="B47" t="str">
        <f t="shared" si="20"/>
        <v>RSH</v>
      </c>
      <c r="C47" t="str">
        <f t="shared" si="49"/>
        <v>*HET</v>
      </c>
      <c r="D47" s="4">
        <f t="shared" ref="D47:R47" si="69">D17</f>
        <v>0</v>
      </c>
      <c r="E47" s="4">
        <f t="shared" si="69"/>
        <v>0</v>
      </c>
      <c r="F47" s="4">
        <f t="shared" si="69"/>
        <v>0</v>
      </c>
      <c r="G47" s="4">
        <f t="shared" si="69"/>
        <v>0.11881992551164405</v>
      </c>
      <c r="H47" s="4">
        <f t="shared" si="69"/>
        <v>0</v>
      </c>
      <c r="I47" s="4" t="str">
        <f t="shared" si="69"/>
        <v/>
      </c>
      <c r="J47" s="4">
        <f t="shared" si="69"/>
        <v>0</v>
      </c>
      <c r="K47" s="4">
        <f t="shared" si="69"/>
        <v>0</v>
      </c>
      <c r="L47" s="4">
        <f t="shared" si="69"/>
        <v>0</v>
      </c>
      <c r="M47" s="4">
        <f t="shared" si="69"/>
        <v>0.43548284381197661</v>
      </c>
      <c r="N47" s="4">
        <f t="shared" si="69"/>
        <v>0.62637611138180405</v>
      </c>
      <c r="O47" s="4">
        <f t="shared" si="69"/>
        <v>0.28530220426836178</v>
      </c>
      <c r="P47" s="4">
        <f t="shared" si="69"/>
        <v>2.3518627249700212E-2</v>
      </c>
      <c r="Q47" s="4">
        <f t="shared" si="69"/>
        <v>4.757765778221313E-2</v>
      </c>
      <c r="R47" s="4">
        <f t="shared" si="69"/>
        <v>0.16926120467139585</v>
      </c>
      <c r="S47" s="4">
        <f t="shared" ref="S47:T47" si="70">S17</f>
        <v>1.1414391323876683E-4</v>
      </c>
      <c r="T47" s="4">
        <f t="shared" si="70"/>
        <v>0.19693045271020526</v>
      </c>
      <c r="U47" s="4">
        <f t="shared" ref="U47:AH47" si="71">U17</f>
        <v>6.9777905855451183E-2</v>
      </c>
      <c r="V47" s="4">
        <f t="shared" si="71"/>
        <v>0.11260810898171257</v>
      </c>
      <c r="W47" s="4" t="str">
        <f t="shared" si="71"/>
        <v/>
      </c>
      <c r="X47" s="4">
        <f t="shared" si="71"/>
        <v>0</v>
      </c>
      <c r="Y47" s="4">
        <f t="shared" si="71"/>
        <v>0</v>
      </c>
      <c r="Z47" s="4">
        <f t="shared" si="71"/>
        <v>0</v>
      </c>
      <c r="AA47" s="4">
        <f t="shared" si="71"/>
        <v>0.34002105207954847</v>
      </c>
      <c r="AB47" s="4">
        <f t="shared" si="71"/>
        <v>0.41627458494233388</v>
      </c>
      <c r="AC47" s="4">
        <f t="shared" si="71"/>
        <v>0</v>
      </c>
      <c r="AD47" s="4">
        <f t="shared" si="71"/>
        <v>0</v>
      </c>
      <c r="AE47" s="4">
        <f t="shared" si="71"/>
        <v>1.234261112772882E-2</v>
      </c>
      <c r="AF47" s="4">
        <f t="shared" si="71"/>
        <v>0</v>
      </c>
      <c r="AG47" s="4" t="str">
        <f t="shared" si="71"/>
        <v/>
      </c>
      <c r="AH47" s="4" t="str">
        <f t="shared" si="71"/>
        <v/>
      </c>
      <c r="AI47" s="4" t="str">
        <f t="shared" ref="AI47:AI48" si="72">B47</f>
        <v>RSH</v>
      </c>
      <c r="AJ47" t="s">
        <v>57</v>
      </c>
      <c r="AL47" t="str">
        <f t="shared" si="25"/>
        <v>Techs_RSHHET</v>
      </c>
    </row>
    <row r="48" spans="1:38">
      <c r="A48">
        <v>2020</v>
      </c>
      <c r="B48" t="str">
        <f t="shared" si="20"/>
        <v>CSH</v>
      </c>
      <c r="C48" t="str">
        <f t="shared" si="49"/>
        <v>*HET</v>
      </c>
      <c r="D48" s="4">
        <f t="shared" ref="D48:R48" si="73">D18</f>
        <v>0</v>
      </c>
      <c r="E48" s="4">
        <f t="shared" si="73"/>
        <v>0</v>
      </c>
      <c r="F48" s="4">
        <f t="shared" si="73"/>
        <v>0</v>
      </c>
      <c r="G48" s="4">
        <f t="shared" si="73"/>
        <v>0.35047563905644402</v>
      </c>
      <c r="H48" s="4">
        <f t="shared" si="73"/>
        <v>6.602663749300057E-2</v>
      </c>
      <c r="I48" s="4">
        <f t="shared" si="73"/>
        <v>0.12076586003935619</v>
      </c>
      <c r="J48" s="4">
        <f t="shared" si="73"/>
        <v>0</v>
      </c>
      <c r="K48" s="4">
        <f t="shared" si="73"/>
        <v>0</v>
      </c>
      <c r="L48" s="4">
        <f t="shared" si="73"/>
        <v>6.0503705029043458E-4</v>
      </c>
      <c r="M48" s="4">
        <f t="shared" si="73"/>
        <v>0.22781633974171053</v>
      </c>
      <c r="N48" s="4">
        <f t="shared" si="73"/>
        <v>0.66740623513241781</v>
      </c>
      <c r="O48" s="4">
        <f t="shared" si="73"/>
        <v>0.39668267186198181</v>
      </c>
      <c r="P48" s="4">
        <f t="shared" si="73"/>
        <v>8.0119735914874077E-2</v>
      </c>
      <c r="Q48" s="4">
        <f t="shared" si="73"/>
        <v>5.3576274355058219E-2</v>
      </c>
      <c r="R48" s="4">
        <f t="shared" si="73"/>
        <v>0.21387991886529575</v>
      </c>
      <c r="S48" s="4">
        <f t="shared" ref="S48:T48" si="74">S18</f>
        <v>7.1594595271569058E-3</v>
      </c>
      <c r="T48" s="4">
        <f t="shared" si="74"/>
        <v>0.43934595963428125</v>
      </c>
      <c r="U48" s="4">
        <f t="shared" ref="U48:AH48" si="75">U18</f>
        <v>0.11116567015870996</v>
      </c>
      <c r="V48" s="4">
        <f t="shared" si="75"/>
        <v>0.13426475887064529</v>
      </c>
      <c r="W48" s="4">
        <f t="shared" si="75"/>
        <v>0</v>
      </c>
      <c r="X48" s="4">
        <f t="shared" si="75"/>
        <v>0</v>
      </c>
      <c r="Y48" s="4">
        <f t="shared" si="75"/>
        <v>0</v>
      </c>
      <c r="Z48" s="4">
        <f t="shared" si="75"/>
        <v>0</v>
      </c>
      <c r="AA48" s="4">
        <f t="shared" si="75"/>
        <v>0.48041482381420081</v>
      </c>
      <c r="AB48" s="4">
        <f t="shared" si="75"/>
        <v>0.73536787503907397</v>
      </c>
      <c r="AC48" s="4">
        <f t="shared" si="75"/>
        <v>0</v>
      </c>
      <c r="AD48" s="4">
        <f t="shared" si="75"/>
        <v>0</v>
      </c>
      <c r="AE48" s="4">
        <f t="shared" si="75"/>
        <v>5.6315989094889801E-2</v>
      </c>
      <c r="AF48" s="4">
        <f t="shared" si="75"/>
        <v>2.1950526139931724E-2</v>
      </c>
      <c r="AG48" s="4" t="str">
        <f t="shared" si="75"/>
        <v/>
      </c>
      <c r="AH48" s="4" t="str">
        <f t="shared" si="75"/>
        <v/>
      </c>
      <c r="AI48" s="4" t="str">
        <f t="shared" si="72"/>
        <v>CSH</v>
      </c>
      <c r="AJ48" t="s">
        <v>57</v>
      </c>
      <c r="AL48" t="str">
        <f t="shared" si="25"/>
        <v>Techs_CSHHET</v>
      </c>
    </row>
    <row r="49" spans="1:40">
      <c r="A49">
        <v>2020</v>
      </c>
      <c r="B49" t="str">
        <f t="shared" si="20"/>
        <v>RCK</v>
      </c>
      <c r="C49" t="str">
        <f t="shared" si="49"/>
        <v>*COA</v>
      </c>
      <c r="D49" s="4">
        <f t="shared" ref="D49:R49" si="76">D19</f>
        <v>0</v>
      </c>
      <c r="E49" s="4">
        <f t="shared" si="76"/>
        <v>1.0623453291597326E-6</v>
      </c>
      <c r="F49" s="4">
        <f t="shared" si="76"/>
        <v>0</v>
      </c>
      <c r="G49" s="4">
        <f t="shared" si="76"/>
        <v>3.2931457914713101E-2</v>
      </c>
      <c r="H49" s="4">
        <f t="shared" si="76"/>
        <v>0</v>
      </c>
      <c r="I49" s="4">
        <f t="shared" si="76"/>
        <v>1.5137805486942348E-2</v>
      </c>
      <c r="J49" s="4">
        <f t="shared" si="76"/>
        <v>0</v>
      </c>
      <c r="K49" s="4">
        <f t="shared" si="76"/>
        <v>0</v>
      </c>
      <c r="L49" s="4">
        <f t="shared" si="76"/>
        <v>0</v>
      </c>
      <c r="M49" s="4">
        <f t="shared" si="76"/>
        <v>1.723416903569415E-2</v>
      </c>
      <c r="N49" s="4">
        <f t="shared" si="76"/>
        <v>0</v>
      </c>
      <c r="O49" s="4">
        <f t="shared" si="76"/>
        <v>9.9429036291598261E-3</v>
      </c>
      <c r="P49" s="4">
        <f t="shared" si="76"/>
        <v>3.861152940267964E-5</v>
      </c>
      <c r="Q49" s="4">
        <f t="shared" si="76"/>
        <v>0</v>
      </c>
      <c r="R49" s="4">
        <f t="shared" si="76"/>
        <v>6.8973128069304212E-4</v>
      </c>
      <c r="S49" s="4">
        <f t="shared" ref="S49:T49" si="77">S19</f>
        <v>0</v>
      </c>
      <c r="T49" s="4">
        <f t="shared" si="77"/>
        <v>0</v>
      </c>
      <c r="U49" s="4">
        <f t="shared" ref="U49:AH49" si="78">U19</f>
        <v>0</v>
      </c>
      <c r="V49" s="4">
        <f t="shared" si="78"/>
        <v>1.5635505104992417E-5</v>
      </c>
      <c r="W49" s="4">
        <f t="shared" si="78"/>
        <v>2.1606921639403733E-2</v>
      </c>
      <c r="X49" s="4">
        <f t="shared" si="78"/>
        <v>1.9610577509718128E-4</v>
      </c>
      <c r="Y49" s="4">
        <f t="shared" si="78"/>
        <v>0</v>
      </c>
      <c r="Z49" s="4">
        <f t="shared" si="78"/>
        <v>0</v>
      </c>
      <c r="AA49" s="4">
        <f t="shared" si="78"/>
        <v>0</v>
      </c>
      <c r="AB49" s="4">
        <f t="shared" si="78"/>
        <v>3.0733912522717729E-3</v>
      </c>
      <c r="AC49" s="4">
        <f t="shared" si="78"/>
        <v>0</v>
      </c>
      <c r="AD49" s="4">
        <f t="shared" si="78"/>
        <v>5.4844203355620035E-2</v>
      </c>
      <c r="AE49" s="4">
        <f t="shared" si="78"/>
        <v>1.9961275126255068E-5</v>
      </c>
      <c r="AF49" s="4">
        <f t="shared" si="78"/>
        <v>0</v>
      </c>
      <c r="AG49" s="4" t="str">
        <f t="shared" si="78"/>
        <v/>
      </c>
      <c r="AH49" s="4" t="str">
        <f t="shared" si="78"/>
        <v/>
      </c>
      <c r="AI49" s="4" t="str">
        <f t="shared" ref="AI49:AI50" si="79">B49</f>
        <v>RCK</v>
      </c>
      <c r="AJ49" t="s">
        <v>55</v>
      </c>
      <c r="AL49" t="str">
        <f t="shared" si="25"/>
        <v>Techs_RCKCOA</v>
      </c>
    </row>
    <row r="50" spans="1:40">
      <c r="A50">
        <v>2020</v>
      </c>
      <c r="B50" t="str">
        <f t="shared" si="20"/>
        <v>CCK</v>
      </c>
      <c r="C50" t="str">
        <f t="shared" si="49"/>
        <v>*COA</v>
      </c>
      <c r="D50" s="4">
        <f t="shared" ref="D50:R50" si="80">D20</f>
        <v>0</v>
      </c>
      <c r="E50" s="4">
        <f t="shared" si="80"/>
        <v>2.1551742473052197E-4</v>
      </c>
      <c r="F50" s="4">
        <f t="shared" si="80"/>
        <v>0</v>
      </c>
      <c r="G50" s="4">
        <f t="shared" si="80"/>
        <v>0</v>
      </c>
      <c r="H50" s="4">
        <f t="shared" si="80"/>
        <v>1.640373527465809E-3</v>
      </c>
      <c r="I50" s="4">
        <f t="shared" si="80"/>
        <v>1.4563305368522607E-2</v>
      </c>
      <c r="J50" s="4">
        <f t="shared" si="80"/>
        <v>0</v>
      </c>
      <c r="K50" s="4">
        <f t="shared" si="80"/>
        <v>0</v>
      </c>
      <c r="L50" s="4">
        <f t="shared" si="80"/>
        <v>0</v>
      </c>
      <c r="M50" s="4">
        <f t="shared" si="80"/>
        <v>7.0027443220350677E-2</v>
      </c>
      <c r="N50" s="4">
        <f t="shared" si="80"/>
        <v>0</v>
      </c>
      <c r="O50" s="4">
        <f t="shared" si="80"/>
        <v>0</v>
      </c>
      <c r="P50" s="4">
        <f t="shared" si="80"/>
        <v>0</v>
      </c>
      <c r="Q50" s="4">
        <f t="shared" si="80"/>
        <v>0</v>
      </c>
      <c r="R50" s="4">
        <f t="shared" si="80"/>
        <v>0</v>
      </c>
      <c r="S50" s="4">
        <f t="shared" ref="S50:T50" si="81">S20</f>
        <v>0</v>
      </c>
      <c r="T50" s="4">
        <f t="shared" si="81"/>
        <v>0</v>
      </c>
      <c r="U50" s="4">
        <f t="shared" ref="U50:AH50" si="82">U20</f>
        <v>0</v>
      </c>
      <c r="V50" s="4">
        <f t="shared" si="82"/>
        <v>0</v>
      </c>
      <c r="W50" s="4">
        <f t="shared" si="82"/>
        <v>0.1321273730455291</v>
      </c>
      <c r="X50" s="4">
        <f t="shared" si="82"/>
        <v>0</v>
      </c>
      <c r="Y50" s="4">
        <f t="shared" si="82"/>
        <v>0</v>
      </c>
      <c r="Z50" s="4">
        <f t="shared" si="82"/>
        <v>0</v>
      </c>
      <c r="AA50" s="4">
        <f t="shared" si="82"/>
        <v>0</v>
      </c>
      <c r="AB50" s="4">
        <f t="shared" si="82"/>
        <v>0</v>
      </c>
      <c r="AC50" s="4">
        <f t="shared" si="82"/>
        <v>0</v>
      </c>
      <c r="AD50" s="4">
        <f t="shared" si="82"/>
        <v>0.44672768042773864</v>
      </c>
      <c r="AE50" s="4">
        <f t="shared" si="82"/>
        <v>0</v>
      </c>
      <c r="AF50" s="4">
        <f t="shared" si="82"/>
        <v>0</v>
      </c>
      <c r="AG50" s="4" t="str">
        <f t="shared" si="82"/>
        <v/>
      </c>
      <c r="AH50" s="4" t="str">
        <f t="shared" si="82"/>
        <v/>
      </c>
      <c r="AI50" s="4" t="str">
        <f t="shared" si="79"/>
        <v>CCK</v>
      </c>
      <c r="AJ50" t="s">
        <v>55</v>
      </c>
      <c r="AL50" t="str">
        <f t="shared" si="25"/>
        <v>Techs_CCKCOA</v>
      </c>
    </row>
    <row r="51" spans="1:40">
      <c r="A51">
        <v>2020</v>
      </c>
      <c r="B51" t="str">
        <f t="shared" si="20"/>
        <v>RCK</v>
      </c>
      <c r="C51" t="str">
        <f t="shared" si="49"/>
        <v>*ELC</v>
      </c>
      <c r="D51" s="4">
        <f t="shared" ref="D51:R51" si="83">D21</f>
        <v>0</v>
      </c>
      <c r="E51" s="4">
        <f t="shared" si="83"/>
        <v>0</v>
      </c>
      <c r="F51" s="4">
        <f t="shared" si="83"/>
        <v>1.7567929326730023E-3</v>
      </c>
      <c r="G51" s="4">
        <f t="shared" si="83"/>
        <v>0.14756163684495902</v>
      </c>
      <c r="H51" s="4">
        <f t="shared" si="83"/>
        <v>0.30465585553738972</v>
      </c>
      <c r="I51" s="4">
        <f t="shared" si="83"/>
        <v>1.2334405296530576E-2</v>
      </c>
      <c r="J51" s="4">
        <f t="shared" si="83"/>
        <v>0.63487565066512441</v>
      </c>
      <c r="K51" s="4">
        <f t="shared" si="83"/>
        <v>3.1429725747421462E-3</v>
      </c>
      <c r="L51" s="4">
        <f t="shared" si="83"/>
        <v>0.87180098012523821</v>
      </c>
      <c r="M51" s="4">
        <f t="shared" si="83"/>
        <v>5.3769204411472427E-2</v>
      </c>
      <c r="N51" s="4">
        <f t="shared" si="83"/>
        <v>0.94616546263417822</v>
      </c>
      <c r="O51" s="4">
        <f t="shared" si="83"/>
        <v>0.29726268850088133</v>
      </c>
      <c r="P51" s="4">
        <f t="shared" si="83"/>
        <v>0.59342059538978331</v>
      </c>
      <c r="Q51" s="4">
        <f t="shared" si="83"/>
        <v>0.62671572780749962</v>
      </c>
      <c r="R51" s="4">
        <f t="shared" si="83"/>
        <v>0.32682227004359105</v>
      </c>
      <c r="S51" s="4">
        <f t="shared" ref="S51:T51" si="84">S21</f>
        <v>0.83906159490249088</v>
      </c>
      <c r="T51" s="4">
        <f t="shared" si="84"/>
        <v>7.2760700492037464E-2</v>
      </c>
      <c r="U51" s="4">
        <f t="shared" ref="U51:AH51" si="85">U21</f>
        <v>0.79804737833283779</v>
      </c>
      <c r="V51" s="4">
        <f t="shared" si="85"/>
        <v>0.59841768688337493</v>
      </c>
      <c r="W51" s="4">
        <f t="shared" si="85"/>
        <v>2.1514115650323904E-3</v>
      </c>
      <c r="X51" s="4">
        <f t="shared" si="85"/>
        <v>1.8390363798002334E-3</v>
      </c>
      <c r="Y51" s="4">
        <f t="shared" si="85"/>
        <v>4.4765442924060272E-3</v>
      </c>
      <c r="Z51" s="4">
        <f t="shared" si="85"/>
        <v>4.6668873894248925E-2</v>
      </c>
      <c r="AA51" s="4">
        <f t="shared" si="85"/>
        <v>0.99461890611195902</v>
      </c>
      <c r="AB51" s="4">
        <f t="shared" si="85"/>
        <v>0.10828401628606243</v>
      </c>
      <c r="AC51" s="4">
        <f t="shared" si="85"/>
        <v>0.21157148518339131</v>
      </c>
      <c r="AD51" s="4">
        <f t="shared" si="85"/>
        <v>0</v>
      </c>
      <c r="AE51" s="4">
        <f t="shared" si="85"/>
        <v>0.62684392278978784</v>
      </c>
      <c r="AF51" s="4">
        <f t="shared" si="85"/>
        <v>0.58611855429480897</v>
      </c>
      <c r="AG51" s="4" t="str">
        <f t="shared" si="85"/>
        <v/>
      </c>
      <c r="AH51" s="4" t="str">
        <f t="shared" si="85"/>
        <v/>
      </c>
      <c r="AI51" s="4" t="str">
        <f t="shared" ref="AI51:AI58" si="86">B51</f>
        <v>RCK</v>
      </c>
      <c r="AJ51" t="s">
        <v>57</v>
      </c>
      <c r="AL51" t="str">
        <f t="shared" si="25"/>
        <v>Techs_RCKELC</v>
      </c>
    </row>
    <row r="52" spans="1:40">
      <c r="A52">
        <v>2020</v>
      </c>
      <c r="B52" t="str">
        <f t="shared" si="20"/>
        <v>CCK</v>
      </c>
      <c r="C52" t="str">
        <f t="shared" si="49"/>
        <v>*ELC</v>
      </c>
      <c r="D52" s="4">
        <f t="shared" ref="D52:R52" si="87">D22</f>
        <v>0.31238988919428756</v>
      </c>
      <c r="E52" s="4">
        <f t="shared" si="87"/>
        <v>8.1913866412141309E-2</v>
      </c>
      <c r="F52" s="4">
        <f t="shared" si="87"/>
        <v>5.4950341387117886E-2</v>
      </c>
      <c r="G52" s="4">
        <f t="shared" si="87"/>
        <v>4.7423259614059916E-2</v>
      </c>
      <c r="H52" s="4">
        <f t="shared" si="87"/>
        <v>0</v>
      </c>
      <c r="I52" s="4">
        <f t="shared" si="87"/>
        <v>7.4449892918504318E-2</v>
      </c>
      <c r="J52" s="4">
        <f t="shared" si="87"/>
        <v>0.72313027732698365</v>
      </c>
      <c r="K52" s="4">
        <f t="shared" si="87"/>
        <v>0.29292217579099483</v>
      </c>
      <c r="L52" s="4">
        <f t="shared" si="87"/>
        <v>0.22349620643615123</v>
      </c>
      <c r="M52" s="4">
        <f t="shared" si="87"/>
        <v>0.155275045850852</v>
      </c>
      <c r="N52" s="4">
        <f t="shared" si="87"/>
        <v>0.72193562928381982</v>
      </c>
      <c r="O52" s="4">
        <f t="shared" si="87"/>
        <v>0.30545713750396464</v>
      </c>
      <c r="P52" s="4">
        <f t="shared" si="87"/>
        <v>0.20978550908515814</v>
      </c>
      <c r="Q52" s="4">
        <f t="shared" si="87"/>
        <v>0.21849542775718953</v>
      </c>
      <c r="R52" s="4">
        <f t="shared" si="87"/>
        <v>0.21579970895869377</v>
      </c>
      <c r="S52" s="4">
        <f t="shared" ref="S52:T52" si="88">S22</f>
        <v>0.40151462130972948</v>
      </c>
      <c r="T52" s="4">
        <f t="shared" si="88"/>
        <v>7.2723695842625155E-2</v>
      </c>
      <c r="U52" s="4">
        <f t="shared" ref="U52:AH52" si="89">U22</f>
        <v>0.29802571350461227</v>
      </c>
      <c r="V52" s="4">
        <f t="shared" si="89"/>
        <v>0.20856801429809405</v>
      </c>
      <c r="W52" s="4">
        <f t="shared" si="89"/>
        <v>6.2669253796986485E-2</v>
      </c>
      <c r="X52" s="4">
        <f t="shared" si="89"/>
        <v>0.10723368753992889</v>
      </c>
      <c r="Y52" s="4">
        <f t="shared" si="89"/>
        <v>4.0653300970366443E-2</v>
      </c>
      <c r="Z52" s="4">
        <f t="shared" si="89"/>
        <v>4.4254219576553594E-2</v>
      </c>
      <c r="AA52" s="4">
        <f t="shared" si="89"/>
        <v>0.79472045431366989</v>
      </c>
      <c r="AB52" s="4">
        <f t="shared" si="89"/>
        <v>0.31867292875409564</v>
      </c>
      <c r="AC52" s="4">
        <f t="shared" si="89"/>
        <v>1</v>
      </c>
      <c r="AD52" s="4">
        <f t="shared" si="89"/>
        <v>0.43661230241284954</v>
      </c>
      <c r="AE52" s="4">
        <f t="shared" si="89"/>
        <v>0.17551119168518772</v>
      </c>
      <c r="AF52" s="4">
        <f t="shared" si="89"/>
        <v>0.15494370459436532</v>
      </c>
      <c r="AG52" s="4" t="str">
        <f t="shared" si="89"/>
        <v/>
      </c>
      <c r="AH52" s="4" t="str">
        <f t="shared" si="89"/>
        <v/>
      </c>
      <c r="AI52" s="4" t="str">
        <f t="shared" si="86"/>
        <v>CCK</v>
      </c>
      <c r="AJ52" t="s">
        <v>57</v>
      </c>
      <c r="AL52" t="str">
        <f t="shared" si="25"/>
        <v>Techs_CCKELC</v>
      </c>
    </row>
    <row r="53" spans="1:40">
      <c r="A53">
        <v>2020</v>
      </c>
      <c r="B53" t="str">
        <f t="shared" si="20"/>
        <v>RCK</v>
      </c>
      <c r="C53" t="str">
        <f t="shared" si="49"/>
        <v>*KER</v>
      </c>
      <c r="D53" s="4">
        <f t="shared" ref="D53:R53" si="90">D23</f>
        <v>6.9437615026904003E-3</v>
      </c>
      <c r="E53" s="4">
        <f t="shared" si="90"/>
        <v>1.1593905749784743E-2</v>
      </c>
      <c r="F53" s="4">
        <f t="shared" si="90"/>
        <v>1.3175946995047516E-2</v>
      </c>
      <c r="G53" s="4">
        <f t="shared" si="90"/>
        <v>8.2129301821197327E-3</v>
      </c>
      <c r="H53" s="4">
        <f t="shared" si="90"/>
        <v>0.13821748928460961</v>
      </c>
      <c r="I53" s="4">
        <f t="shared" si="90"/>
        <v>1.0439315100931434E-2</v>
      </c>
      <c r="J53" s="4">
        <f t="shared" si="90"/>
        <v>0</v>
      </c>
      <c r="K53" s="4">
        <f t="shared" si="90"/>
        <v>1.6635771662151244E-4</v>
      </c>
      <c r="L53" s="4">
        <f t="shared" si="90"/>
        <v>0</v>
      </c>
      <c r="M53" s="4">
        <f t="shared" si="90"/>
        <v>2.6485742216834141E-3</v>
      </c>
      <c r="N53" s="4">
        <f t="shared" si="90"/>
        <v>8.1629321252193793E-5</v>
      </c>
      <c r="O53" s="4">
        <f t="shared" si="90"/>
        <v>0</v>
      </c>
      <c r="P53" s="4">
        <f t="shared" si="90"/>
        <v>2.1506621877292562E-2</v>
      </c>
      <c r="Q53" s="4">
        <f t="shared" si="90"/>
        <v>2.9049359703696534E-4</v>
      </c>
      <c r="R53" s="4">
        <f t="shared" si="90"/>
        <v>0</v>
      </c>
      <c r="S53" s="4">
        <f t="shared" ref="S53:T53" si="91">S23</f>
        <v>0</v>
      </c>
      <c r="T53" s="4">
        <f t="shared" si="91"/>
        <v>1.2036400190466113E-3</v>
      </c>
      <c r="U53" s="4">
        <f t="shared" ref="U53:AH53" si="92">U23</f>
        <v>1.9493177387914231E-3</v>
      </c>
      <c r="V53" s="4">
        <f t="shared" si="92"/>
        <v>6.2542020419969669E-5</v>
      </c>
      <c r="W53" s="4">
        <f t="shared" si="92"/>
        <v>3.0302561585913736E-2</v>
      </c>
      <c r="X53" s="4">
        <f t="shared" si="92"/>
        <v>1.6455453483710143E-2</v>
      </c>
      <c r="Y53" s="4">
        <f t="shared" si="92"/>
        <v>0</v>
      </c>
      <c r="Z53" s="4">
        <f t="shared" si="92"/>
        <v>0.17475646663278105</v>
      </c>
      <c r="AA53" s="4">
        <f t="shared" si="92"/>
        <v>0</v>
      </c>
      <c r="AB53" s="4">
        <f t="shared" si="92"/>
        <v>0</v>
      </c>
      <c r="AC53" s="4">
        <f t="shared" si="92"/>
        <v>0.23393950068248867</v>
      </c>
      <c r="AD53" s="4">
        <f t="shared" si="92"/>
        <v>0.15261132837138894</v>
      </c>
      <c r="AE53" s="4">
        <f t="shared" si="92"/>
        <v>2.4652174780925011E-2</v>
      </c>
      <c r="AF53" s="4">
        <f t="shared" si="92"/>
        <v>4.8886095397723307E-4</v>
      </c>
      <c r="AG53" s="4" t="str">
        <f t="shared" si="92"/>
        <v/>
      </c>
      <c r="AH53" s="4" t="str">
        <f t="shared" si="92"/>
        <v/>
      </c>
      <c r="AI53" s="4" t="str">
        <f t="shared" ref="AI53:AI54" si="93">B53</f>
        <v>RCK</v>
      </c>
      <c r="AJ53" t="s">
        <v>55</v>
      </c>
      <c r="AL53" t="str">
        <f t="shared" si="25"/>
        <v>Techs_RCKKER</v>
      </c>
    </row>
    <row r="54" spans="1:40">
      <c r="A54">
        <v>2020</v>
      </c>
      <c r="B54" t="str">
        <f t="shared" si="20"/>
        <v>CCK</v>
      </c>
      <c r="C54" t="str">
        <f t="shared" si="49"/>
        <v>*KER</v>
      </c>
      <c r="D54" s="4">
        <f t="shared" ref="D54:R54" si="94">D24</f>
        <v>0</v>
      </c>
      <c r="E54" s="4">
        <f t="shared" si="94"/>
        <v>5.7195162176276672E-4</v>
      </c>
      <c r="F54" s="4">
        <f t="shared" si="94"/>
        <v>2.8249832246807775E-5</v>
      </c>
      <c r="G54" s="4">
        <f t="shared" si="94"/>
        <v>2.5245665201284565E-4</v>
      </c>
      <c r="H54" s="4">
        <f t="shared" si="94"/>
        <v>0</v>
      </c>
      <c r="I54" s="4">
        <f t="shared" si="94"/>
        <v>2.2459377915300581E-2</v>
      </c>
      <c r="J54" s="4">
        <f t="shared" si="94"/>
        <v>2.1943962763806964E-5</v>
      </c>
      <c r="K54" s="4">
        <f t="shared" si="94"/>
        <v>0</v>
      </c>
      <c r="L54" s="4">
        <f t="shared" si="94"/>
        <v>9.599405146892255E-2</v>
      </c>
      <c r="M54" s="4">
        <f t="shared" si="94"/>
        <v>3.2220265438405449E-2</v>
      </c>
      <c r="N54" s="4">
        <f t="shared" si="94"/>
        <v>1.1049614797989703E-3</v>
      </c>
      <c r="O54" s="4">
        <f t="shared" si="94"/>
        <v>1.5287487027340895E-5</v>
      </c>
      <c r="P54" s="4">
        <f t="shared" si="94"/>
        <v>2.530738729542889E-2</v>
      </c>
      <c r="Q54" s="4">
        <f t="shared" si="94"/>
        <v>4.9501475346328417E-4</v>
      </c>
      <c r="R54" s="4">
        <f t="shared" si="94"/>
        <v>2.5641567187059672E-4</v>
      </c>
      <c r="S54" s="4">
        <f t="shared" ref="S54:T54" si="95">S24</f>
        <v>9.614092733118952E-7</v>
      </c>
      <c r="T54" s="4">
        <f t="shared" si="95"/>
        <v>0</v>
      </c>
      <c r="U54" s="4">
        <f t="shared" ref="U54:AH54" si="96">U24</f>
        <v>0</v>
      </c>
      <c r="V54" s="4">
        <f t="shared" si="96"/>
        <v>0</v>
      </c>
      <c r="W54" s="4">
        <f t="shared" si="96"/>
        <v>0</v>
      </c>
      <c r="X54" s="4">
        <f t="shared" si="96"/>
        <v>1.8141202358303149E-4</v>
      </c>
      <c r="Y54" s="4">
        <f t="shared" si="96"/>
        <v>0</v>
      </c>
      <c r="Z54" s="4">
        <f t="shared" si="96"/>
        <v>5.7281207248440131E-4</v>
      </c>
      <c r="AA54" s="4">
        <f t="shared" si="96"/>
        <v>4.9113737750807706E-5</v>
      </c>
      <c r="AB54" s="4">
        <f t="shared" si="96"/>
        <v>0</v>
      </c>
      <c r="AC54" s="4">
        <f t="shared" si="96"/>
        <v>0</v>
      </c>
      <c r="AD54" s="4">
        <f t="shared" si="96"/>
        <v>7.0819734932653514E-3</v>
      </c>
      <c r="AE54" s="4">
        <f t="shared" si="96"/>
        <v>0.16491077506419879</v>
      </c>
      <c r="AF54" s="4">
        <f t="shared" si="96"/>
        <v>0</v>
      </c>
      <c r="AG54" s="4" t="str">
        <f t="shared" si="96"/>
        <v/>
      </c>
      <c r="AH54" s="4" t="str">
        <f t="shared" si="96"/>
        <v/>
      </c>
      <c r="AI54" s="4" t="str">
        <f t="shared" si="93"/>
        <v>CCK</v>
      </c>
      <c r="AJ54" t="s">
        <v>55</v>
      </c>
      <c r="AL54" t="str">
        <f t="shared" si="25"/>
        <v>Techs_CCKKER</v>
      </c>
    </row>
    <row r="55" spans="1:40">
      <c r="A55">
        <v>2020</v>
      </c>
      <c r="B55" t="str">
        <f t="shared" ref="B55:B56" si="97">B25</f>
        <v>RHW</v>
      </c>
      <c r="C55" t="str">
        <f>"*"&amp;C25&amp;",-*STH"</f>
        <v>*ELC,-*STH</v>
      </c>
      <c r="D55" s="4">
        <f t="shared" ref="D55:R55" si="98">D25</f>
        <v>7.0936271956638638E-2</v>
      </c>
      <c r="E55" s="4">
        <f t="shared" si="98"/>
        <v>3.4409363060373177E-2</v>
      </c>
      <c r="F55" s="4">
        <f t="shared" si="98"/>
        <v>0.11957953113715318</v>
      </c>
      <c r="G55" s="4">
        <f t="shared" si="98"/>
        <v>5.2702476596685956E-2</v>
      </c>
      <c r="H55" s="4">
        <f t="shared" si="98"/>
        <v>0.12608393971286894</v>
      </c>
      <c r="I55" s="4">
        <f t="shared" si="98"/>
        <v>0.41728951965183037</v>
      </c>
      <c r="J55" s="4">
        <f t="shared" si="98"/>
        <v>0.45809734303790212</v>
      </c>
      <c r="K55" s="4">
        <f t="shared" si="98"/>
        <v>0.66878720679198944</v>
      </c>
      <c r="L55" s="4">
        <f t="shared" si="98"/>
        <v>0.3561940642619103</v>
      </c>
      <c r="M55" s="4">
        <f t="shared" si="98"/>
        <v>0.20535281495023275</v>
      </c>
      <c r="N55" s="4">
        <f t="shared" si="98"/>
        <v>0.3793679170129981</v>
      </c>
      <c r="O55" s="4">
        <f t="shared" si="98"/>
        <v>0.18694287049176617</v>
      </c>
      <c r="P55" s="4">
        <f t="shared" si="98"/>
        <v>0.19523585332932239</v>
      </c>
      <c r="Q55" s="4">
        <f t="shared" si="98"/>
        <v>0.19051471888589533</v>
      </c>
      <c r="R55" s="4">
        <f t="shared" si="98"/>
        <v>0.27206099710256282</v>
      </c>
      <c r="S55" s="4">
        <f t="shared" ref="S55:T55" si="99">S25</f>
        <v>0.41098945013896737</v>
      </c>
      <c r="T55" s="4">
        <f t="shared" si="99"/>
        <v>8.9958182941244969E-2</v>
      </c>
      <c r="U55" s="4">
        <f t="shared" ref="U55:AH55" si="100">U25</f>
        <v>0.37807893397045989</v>
      </c>
      <c r="V55" s="4">
        <f t="shared" si="100"/>
        <v>0.17012878566140391</v>
      </c>
      <c r="W55" s="4">
        <f t="shared" si="100"/>
        <v>0</v>
      </c>
      <c r="X55" s="4">
        <f t="shared" si="100"/>
        <v>0.41883493662452059</v>
      </c>
      <c r="Y55" s="4">
        <f t="shared" si="100"/>
        <v>1.654323843930957E-2</v>
      </c>
      <c r="Z55" s="4">
        <f t="shared" si="100"/>
        <v>0.10628089404409734</v>
      </c>
      <c r="AA55" s="4">
        <f t="shared" si="100"/>
        <v>0.80976803085247218</v>
      </c>
      <c r="AB55" s="4">
        <f t="shared" si="100"/>
        <v>2.1021116689603495E-2</v>
      </c>
      <c r="AC55" s="4">
        <f t="shared" si="100"/>
        <v>0.74850837453239849</v>
      </c>
      <c r="AD55" s="4">
        <f t="shared" si="100"/>
        <v>0.18877131986198212</v>
      </c>
      <c r="AE55" s="4">
        <f t="shared" si="100"/>
        <v>0.21796906171465089</v>
      </c>
      <c r="AF55" s="4">
        <f t="shared" si="100"/>
        <v>0.30553746643085922</v>
      </c>
      <c r="AG55" s="4" t="str">
        <f t="shared" si="100"/>
        <v/>
      </c>
      <c r="AH55" s="4" t="str">
        <f t="shared" si="100"/>
        <v/>
      </c>
      <c r="AI55" s="4" t="str">
        <f t="shared" si="86"/>
        <v>RHW</v>
      </c>
      <c r="AJ55" t="s">
        <v>57</v>
      </c>
      <c r="AL55" t="str">
        <f t="shared" ref="AL55:AL58" si="101">"Techs_"&amp;B55&amp;C25</f>
        <v>Techs_RHWELC</v>
      </c>
    </row>
    <row r="56" spans="1:40">
      <c r="A56">
        <v>2020</v>
      </c>
      <c r="B56" t="str">
        <f t="shared" si="97"/>
        <v>CHW</v>
      </c>
      <c r="C56" t="str">
        <f>"*"&amp;C26&amp;",-*STH"</f>
        <v>*ELC,-*STH</v>
      </c>
      <c r="D56" s="4">
        <f t="shared" ref="D56:R56" si="102">D26</f>
        <v>0.51536284826625378</v>
      </c>
      <c r="E56" s="4">
        <f t="shared" si="102"/>
        <v>0.13002460352365139</v>
      </c>
      <c r="F56" s="4">
        <f t="shared" si="102"/>
        <v>0.15688701666910682</v>
      </c>
      <c r="G56" s="4">
        <f t="shared" si="102"/>
        <v>0.22655604121015699</v>
      </c>
      <c r="H56" s="4">
        <f t="shared" si="102"/>
        <v>0</v>
      </c>
      <c r="I56" s="4">
        <f t="shared" si="102"/>
        <v>0.4107181435443808</v>
      </c>
      <c r="J56" s="4">
        <f t="shared" si="102"/>
        <v>0.57685717595901187</v>
      </c>
      <c r="K56" s="4">
        <f t="shared" si="102"/>
        <v>0.73395646630781364</v>
      </c>
      <c r="L56" s="4">
        <f t="shared" si="102"/>
        <v>0.19412389095835481</v>
      </c>
      <c r="M56" s="4">
        <f t="shared" si="102"/>
        <v>7.3523905153032268E-2</v>
      </c>
      <c r="N56" s="4">
        <f t="shared" si="102"/>
        <v>0.61541081650623808</v>
      </c>
      <c r="O56" s="4">
        <f t="shared" si="102"/>
        <v>0.63799166182666611</v>
      </c>
      <c r="P56" s="4">
        <f t="shared" si="102"/>
        <v>0.22446555056900966</v>
      </c>
      <c r="Q56" s="4">
        <f t="shared" si="102"/>
        <v>0.25995774549957013</v>
      </c>
      <c r="R56" s="4">
        <f t="shared" si="102"/>
        <v>0.56617109035988344</v>
      </c>
      <c r="S56" s="4">
        <f t="shared" ref="S56:T56" si="103">S26</f>
        <v>0.36392648927273302</v>
      </c>
      <c r="T56" s="4">
        <f t="shared" si="103"/>
        <v>0.38589945100255379</v>
      </c>
      <c r="U56" s="4">
        <f t="shared" ref="U56:AH56" si="104">U26</f>
        <v>0.29445677618891541</v>
      </c>
      <c r="V56" s="4">
        <f t="shared" si="104"/>
        <v>0.20268934958436582</v>
      </c>
      <c r="W56" s="4">
        <f t="shared" si="104"/>
        <v>4.9616883476952318E-2</v>
      </c>
      <c r="X56" s="4">
        <f t="shared" si="104"/>
        <v>0.26858513049836191</v>
      </c>
      <c r="Y56" s="4">
        <f t="shared" si="104"/>
        <v>0.31248889935941399</v>
      </c>
      <c r="Z56" s="4">
        <f t="shared" si="104"/>
        <v>0.28238003847682641</v>
      </c>
      <c r="AA56" s="4">
        <f t="shared" si="104"/>
        <v>0.64279184514043297</v>
      </c>
      <c r="AB56" s="4">
        <f t="shared" si="104"/>
        <v>0.66382208028212031</v>
      </c>
      <c r="AC56" s="4">
        <f t="shared" si="104"/>
        <v>1</v>
      </c>
      <c r="AD56" s="4">
        <f t="shared" si="104"/>
        <v>0.24778566802896085</v>
      </c>
      <c r="AE56" s="4">
        <f t="shared" si="104"/>
        <v>0.2165517226317154</v>
      </c>
      <c r="AF56" s="4">
        <f t="shared" si="104"/>
        <v>0.22005280624829437</v>
      </c>
      <c r="AG56" s="4" t="str">
        <f t="shared" si="104"/>
        <v/>
      </c>
      <c r="AH56" s="4" t="str">
        <f t="shared" si="104"/>
        <v/>
      </c>
      <c r="AI56" s="4" t="str">
        <f t="shared" si="86"/>
        <v>CHW</v>
      </c>
      <c r="AJ56" t="s">
        <v>57</v>
      </c>
      <c r="AL56" t="str">
        <f t="shared" si="101"/>
        <v>Techs_CHWELC</v>
      </c>
    </row>
    <row r="57" spans="1:40">
      <c r="A57" s="14">
        <f>A56</f>
        <v>2020</v>
      </c>
      <c r="B57" s="14" t="str">
        <f>B45</f>
        <v>RSH</v>
      </c>
      <c r="C57" s="14" t="str">
        <f t="shared" ref="C57" si="105">"*"&amp;C27</f>
        <v>*HET</v>
      </c>
      <c r="D57" s="15">
        <f>IF(D47="",0%,D47*1.01)</f>
        <v>0</v>
      </c>
      <c r="E57" s="15">
        <f t="shared" ref="E57:Y57" si="106">IF(E47="",0%,E47*1.01)</f>
        <v>0</v>
      </c>
      <c r="F57" s="15">
        <f t="shared" si="106"/>
        <v>0</v>
      </c>
      <c r="G57" s="15">
        <f t="shared" si="106"/>
        <v>0.1200081247667605</v>
      </c>
      <c r="H57" s="15">
        <f t="shared" si="106"/>
        <v>0</v>
      </c>
      <c r="I57" s="15">
        <f t="shared" si="106"/>
        <v>0</v>
      </c>
      <c r="J57" s="15">
        <f t="shared" si="106"/>
        <v>0</v>
      </c>
      <c r="K57" s="15">
        <f t="shared" si="106"/>
        <v>0</v>
      </c>
      <c r="L57" s="15">
        <f t="shared" si="106"/>
        <v>0</v>
      </c>
      <c r="M57" s="15">
        <f t="shared" si="106"/>
        <v>0.4398376722500964</v>
      </c>
      <c r="N57" s="15">
        <f t="shared" si="106"/>
        <v>0.63263987249562215</v>
      </c>
      <c r="O57" s="15">
        <f t="shared" si="106"/>
        <v>0.2881552263110454</v>
      </c>
      <c r="P57" s="15">
        <f t="shared" si="106"/>
        <v>2.3753813522197215E-2</v>
      </c>
      <c r="Q57" s="15">
        <f t="shared" si="106"/>
        <v>4.8053434360035265E-2</v>
      </c>
      <c r="R57" s="15">
        <f t="shared" si="106"/>
        <v>0.1709538167181098</v>
      </c>
      <c r="S57" s="15">
        <f t="shared" si="106"/>
        <v>1.152853523711545E-4</v>
      </c>
      <c r="T57" s="15">
        <f t="shared" si="106"/>
        <v>0.19889975723730732</v>
      </c>
      <c r="U57" s="15">
        <f t="shared" si="106"/>
        <v>7.0475684914005701E-2</v>
      </c>
      <c r="V57" s="15">
        <f t="shared" si="106"/>
        <v>0.1137341900715297</v>
      </c>
      <c r="W57" s="15">
        <f t="shared" si="106"/>
        <v>0</v>
      </c>
      <c r="X57" s="15">
        <f t="shared" si="106"/>
        <v>0</v>
      </c>
      <c r="Y57" s="15">
        <f t="shared" si="106"/>
        <v>0</v>
      </c>
      <c r="Z57" s="15">
        <f t="shared" ref="Z57:AA57" si="107">IF(Z47="",0%,Z47*1.01)</f>
        <v>0</v>
      </c>
      <c r="AA57" s="15">
        <f t="shared" si="107"/>
        <v>0.34342126260034395</v>
      </c>
      <c r="AB57" s="15">
        <f t="shared" ref="AB57:AF57" si="108">IF(AB47="",0%,AB47*1.01)</f>
        <v>0.42043733079175721</v>
      </c>
      <c r="AC57" s="15">
        <f t="shared" si="108"/>
        <v>0</v>
      </c>
      <c r="AD57" s="15">
        <f t="shared" si="108"/>
        <v>0</v>
      </c>
      <c r="AE57" s="15">
        <f t="shared" si="108"/>
        <v>1.2466037239006109E-2</v>
      </c>
      <c r="AF57" s="15">
        <f t="shared" si="108"/>
        <v>0</v>
      </c>
      <c r="AG57" s="4"/>
      <c r="AH57" s="4"/>
      <c r="AI57" s="15" t="str">
        <f t="shared" si="86"/>
        <v>RSH</v>
      </c>
      <c r="AJ57" s="14" t="str">
        <f>AJ53</f>
        <v>UP</v>
      </c>
      <c r="AL57" s="14" t="str">
        <f t="shared" si="101"/>
        <v>Techs_RSHHET</v>
      </c>
    </row>
    <row r="58" spans="1:40">
      <c r="A58" s="14">
        <f>A57</f>
        <v>2020</v>
      </c>
      <c r="B58" s="14" t="str">
        <f>B46</f>
        <v>CSH</v>
      </c>
      <c r="C58" s="14" t="str">
        <f>C57</f>
        <v>*HET</v>
      </c>
      <c r="D58" s="15">
        <f>IF(D48="",0%,D48*1.01)</f>
        <v>0</v>
      </c>
      <c r="E58" s="15">
        <f t="shared" ref="E58:Y58" si="109">IF(E48="",0%,E48*1.01)</f>
        <v>0</v>
      </c>
      <c r="F58" s="15">
        <f t="shared" si="109"/>
        <v>0</v>
      </c>
      <c r="G58" s="15">
        <f t="shared" si="109"/>
        <v>0.35398039544700849</v>
      </c>
      <c r="H58" s="15">
        <f t="shared" si="109"/>
        <v>6.668690386793058E-2</v>
      </c>
      <c r="I58" s="15">
        <f t="shared" si="109"/>
        <v>0.12197351863974976</v>
      </c>
      <c r="J58" s="15">
        <f t="shared" si="109"/>
        <v>0</v>
      </c>
      <c r="K58" s="15">
        <f t="shared" si="109"/>
        <v>0</v>
      </c>
      <c r="L58" s="15">
        <f t="shared" si="109"/>
        <v>6.1108742079333893E-4</v>
      </c>
      <c r="M58" s="15">
        <f t="shared" si="109"/>
        <v>0.23009450313912763</v>
      </c>
      <c r="N58" s="15">
        <f t="shared" si="109"/>
        <v>0.67408029748374199</v>
      </c>
      <c r="O58" s="15">
        <f t="shared" si="109"/>
        <v>0.40064949858060162</v>
      </c>
      <c r="P58" s="15">
        <f t="shared" si="109"/>
        <v>8.0920933274022819E-2</v>
      </c>
      <c r="Q58" s="15">
        <f t="shared" si="109"/>
        <v>5.4112037098608803E-2</v>
      </c>
      <c r="R58" s="15">
        <f t="shared" si="109"/>
        <v>0.21601871805394871</v>
      </c>
      <c r="S58" s="15">
        <f t="shared" si="109"/>
        <v>7.2310541224284751E-3</v>
      </c>
      <c r="T58" s="15">
        <f t="shared" si="109"/>
        <v>0.44373941923062404</v>
      </c>
      <c r="U58" s="15">
        <f t="shared" si="109"/>
        <v>0.11227732686029705</v>
      </c>
      <c r="V58" s="15">
        <f t="shared" si="109"/>
        <v>0.13560740645935174</v>
      </c>
      <c r="W58" s="15">
        <f t="shared" si="109"/>
        <v>0</v>
      </c>
      <c r="X58" s="15">
        <f t="shared" si="109"/>
        <v>0</v>
      </c>
      <c r="Y58" s="15">
        <f t="shared" si="109"/>
        <v>0</v>
      </c>
      <c r="Z58" s="15">
        <f t="shared" ref="Z58:AA58" si="110">IF(Z48="",0%,Z48*1.01)</f>
        <v>0</v>
      </c>
      <c r="AA58" s="15">
        <f t="shared" si="110"/>
        <v>0.48521897205234282</v>
      </c>
      <c r="AB58" s="15">
        <f t="shared" ref="AB58:AF58" si="111">IF(AB48="",0%,AB48*1.01)</f>
        <v>0.74272155378946469</v>
      </c>
      <c r="AC58" s="15">
        <f t="shared" si="111"/>
        <v>0</v>
      </c>
      <c r="AD58" s="15">
        <f t="shared" si="111"/>
        <v>0</v>
      </c>
      <c r="AE58" s="15">
        <f t="shared" si="111"/>
        <v>5.68791489858387E-2</v>
      </c>
      <c r="AF58" s="15">
        <f t="shared" si="111"/>
        <v>2.2170031401331041E-2</v>
      </c>
      <c r="AI58" s="15" t="str">
        <f t="shared" si="86"/>
        <v>CSH</v>
      </c>
      <c r="AJ58" s="14" t="str">
        <f>AJ54</f>
        <v>UP</v>
      </c>
      <c r="AL58" s="14" t="str">
        <f t="shared" si="101"/>
        <v>Techs_CSHHET</v>
      </c>
    </row>
    <row r="60" spans="1:40">
      <c r="A60" t="s">
        <v>53</v>
      </c>
    </row>
    <row r="61" spans="1:40">
      <c r="A61" t="s">
        <v>52</v>
      </c>
      <c r="B61" t="s">
        <v>4</v>
      </c>
      <c r="C61" t="s">
        <v>49</v>
      </c>
      <c r="D61" t="str">
        <f>D$2</f>
        <v>Africa_north</v>
      </c>
      <c r="E61" t="str">
        <f t="shared" ref="E61:AH61" si="112">E$2</f>
        <v>Africa_other</v>
      </c>
      <c r="F61" t="str">
        <f t="shared" si="112"/>
        <v>Arg-Chi</v>
      </c>
      <c r="G61" t="str">
        <f t="shared" si="112"/>
        <v>Asia_central</v>
      </c>
      <c r="H61" t="str">
        <f t="shared" si="112"/>
        <v>Asia_east</v>
      </c>
      <c r="I61" t="str">
        <f t="shared" si="112"/>
        <v>Asia_other</v>
      </c>
      <c r="J61" t="str">
        <f t="shared" si="112"/>
        <v>Australia_NZ</v>
      </c>
      <c r="K61" t="str">
        <f t="shared" si="112"/>
        <v>Brazil</v>
      </c>
      <c r="L61" t="str">
        <f t="shared" si="112"/>
        <v>Canada</v>
      </c>
      <c r="M61" t="str">
        <f t="shared" si="112"/>
        <v>China</v>
      </c>
      <c r="N61" t="str">
        <f t="shared" si="112"/>
        <v>EU_north</v>
      </c>
      <c r="O61" t="str">
        <f t="shared" si="112"/>
        <v>EU_northeast</v>
      </c>
      <c r="P61" t="str">
        <f t="shared" si="112"/>
        <v>EU_northwest</v>
      </c>
      <c r="Q61" t="str">
        <f t="shared" si="112"/>
        <v>EU_south</v>
      </c>
      <c r="R61" t="str">
        <f t="shared" si="112"/>
        <v>EU_southeast</v>
      </c>
      <c r="S61" t="str">
        <f t="shared" si="112"/>
        <v>EU_southwest</v>
      </c>
      <c r="T61" t="str">
        <f t="shared" si="112"/>
        <v>Europe_other</v>
      </c>
      <c r="U61" t="str">
        <f t="shared" si="112"/>
        <v>France</v>
      </c>
      <c r="V61" t="str">
        <f t="shared" si="112"/>
        <v>Germany</v>
      </c>
      <c r="W61" t="str">
        <f t="shared" si="112"/>
        <v>India</v>
      </c>
      <c r="X61" t="str">
        <f t="shared" si="112"/>
        <v>LatAm_other</v>
      </c>
      <c r="Y61" t="str">
        <f t="shared" si="112"/>
        <v>Mexico</v>
      </c>
      <c r="Z61" t="str">
        <f t="shared" si="112"/>
        <v>MidEast_other</v>
      </c>
      <c r="AA61" t="str">
        <f t="shared" si="112"/>
        <v>Nor-Ice</v>
      </c>
      <c r="AB61" t="str">
        <f t="shared" si="112"/>
        <v>Russia</v>
      </c>
      <c r="AC61" t="str">
        <f t="shared" si="112"/>
        <v>SaudiArabia</v>
      </c>
      <c r="AD61" t="str">
        <f t="shared" si="112"/>
        <v>SouthAfrica</v>
      </c>
      <c r="AE61" t="str">
        <f t="shared" si="112"/>
        <v>UK</v>
      </c>
      <c r="AF61" t="str">
        <f t="shared" si="112"/>
        <v>USA</v>
      </c>
      <c r="AG61" t="str">
        <f t="shared" si="112"/>
        <v>year2</v>
      </c>
      <c r="AH61" t="str">
        <f t="shared" si="112"/>
        <v>*34</v>
      </c>
      <c r="AI61" t="s">
        <v>50</v>
      </c>
      <c r="AJ61" t="s">
        <v>54</v>
      </c>
      <c r="AK61" t="s">
        <v>107</v>
      </c>
      <c r="AL61" t="s">
        <v>51</v>
      </c>
    </row>
    <row r="62" spans="1:40">
      <c r="A62">
        <v>2050</v>
      </c>
      <c r="B62" t="str">
        <f t="shared" ref="B62:C64" si="113">B33</f>
        <v>RCK</v>
      </c>
      <c r="C62" t="str">
        <f t="shared" si="113"/>
        <v>*BIO</v>
      </c>
      <c r="D62" s="4">
        <f t="shared" ref="D62:R62" si="114">D33*$AN62</f>
        <v>1.8702847750038634E-2</v>
      </c>
      <c r="E62" s="4">
        <f t="shared" si="114"/>
        <v>0.23898507245460729</v>
      </c>
      <c r="F62" s="4">
        <f t="shared" si="114"/>
        <v>2.5594799892919285E-2</v>
      </c>
      <c r="G62" s="4">
        <f t="shared" si="114"/>
        <v>1.3156635728638408E-4</v>
      </c>
      <c r="H62" s="4">
        <f t="shared" si="114"/>
        <v>0</v>
      </c>
      <c r="I62" s="4">
        <f t="shared" si="114"/>
        <v>0.13908982894189523</v>
      </c>
      <c r="J62" s="4">
        <f t="shared" si="114"/>
        <v>1.735106998264893E-4</v>
      </c>
      <c r="K62" s="4">
        <f t="shared" si="114"/>
        <v>6.4135355767859697E-2</v>
      </c>
      <c r="L62" s="4">
        <f t="shared" si="114"/>
        <v>0</v>
      </c>
      <c r="M62" s="4">
        <f t="shared" si="114"/>
        <v>8.0087668256410768E-2</v>
      </c>
      <c r="N62" s="4">
        <f t="shared" si="114"/>
        <v>3.4692461532182368E-3</v>
      </c>
      <c r="O62" s="4">
        <f t="shared" si="114"/>
        <v>3.5817050573223462E-3</v>
      </c>
      <c r="P62" s="4">
        <f t="shared" si="114"/>
        <v>1.1486929997297191E-3</v>
      </c>
      <c r="Q62" s="4">
        <f t="shared" si="114"/>
        <v>5.0110145488876517E-3</v>
      </c>
      <c r="R62" s="4">
        <f t="shared" si="114"/>
        <v>3.8762897974948967E-3</v>
      </c>
      <c r="S62" s="4">
        <f t="shared" ref="S62:AH62" si="115">S33*$AN62</f>
        <v>2.4940464697174487E-3</v>
      </c>
      <c r="T62" s="4">
        <f t="shared" si="115"/>
        <v>8.3295857362044347E-3</v>
      </c>
      <c r="U62" s="4">
        <f t="shared" ref="U62:AG62" si="116">U33*$AN62</f>
        <v>3.1717712359996039E-3</v>
      </c>
      <c r="V62" s="4">
        <f t="shared" si="116"/>
        <v>2.8612974342136126E-3</v>
      </c>
      <c r="W62" s="4">
        <f t="shared" si="116"/>
        <v>0.14472426075108169</v>
      </c>
      <c r="X62" s="4">
        <f t="shared" si="116"/>
        <v>0.11905472658497045</v>
      </c>
      <c r="Y62" s="4">
        <f t="shared" si="116"/>
        <v>9.6211089830860463E-2</v>
      </c>
      <c r="Z62" s="4">
        <f t="shared" si="116"/>
        <v>1.6670785788563139E-4</v>
      </c>
      <c r="AA62" s="4">
        <f t="shared" si="116"/>
        <v>1.1244076780981449E-3</v>
      </c>
      <c r="AB62" s="4">
        <f t="shared" si="116"/>
        <v>9.4613871433264996E-5</v>
      </c>
      <c r="AC62" s="4">
        <f t="shared" si="116"/>
        <v>3.3023644929769717E-5</v>
      </c>
      <c r="AD62" s="4">
        <f t="shared" si="116"/>
        <v>0.16143402295950549</v>
      </c>
      <c r="AE62" s="4">
        <f t="shared" si="116"/>
        <v>3.9423518374353758E-4</v>
      </c>
      <c r="AF62" s="4">
        <f t="shared" si="116"/>
        <v>0</v>
      </c>
      <c r="AG62" s="4" t="e">
        <f t="shared" si="116"/>
        <v>#VALUE!</v>
      </c>
      <c r="AH62" s="4" t="e">
        <f t="shared" si="115"/>
        <v>#VALUE!</v>
      </c>
      <c r="AI62" t="str">
        <f t="shared" ref="AI62:AJ64" si="117">AI33</f>
        <v>RCK</v>
      </c>
      <c r="AJ62" t="str">
        <f t="shared" si="117"/>
        <v>FX</v>
      </c>
      <c r="AL62" t="str">
        <f t="shared" ref="AL62:AL67" si="118">AL33</f>
        <v>Techs_RCKBIO</v>
      </c>
      <c r="AN62" s="5">
        <v>0.25</v>
      </c>
    </row>
    <row r="63" spans="1:40">
      <c r="A63">
        <v>2050</v>
      </c>
      <c r="B63" t="str">
        <f t="shared" si="113"/>
        <v>CCK</v>
      </c>
      <c r="C63" t="str">
        <f t="shared" si="113"/>
        <v>*BIO</v>
      </c>
      <c r="D63" s="4">
        <f t="shared" ref="D63:R63" si="119">D34*$AN63</f>
        <v>3.9416382589759186E-2</v>
      </c>
      <c r="E63" s="4">
        <f t="shared" si="119"/>
        <v>0.19112492090192759</v>
      </c>
      <c r="F63" s="4">
        <f t="shared" si="119"/>
        <v>4.5844754097549055E-3</v>
      </c>
      <c r="G63" s="4">
        <f t="shared" si="119"/>
        <v>0</v>
      </c>
      <c r="H63" s="4">
        <f t="shared" si="119"/>
        <v>0</v>
      </c>
      <c r="I63" s="4">
        <f t="shared" si="119"/>
        <v>1.1787863357977954E-2</v>
      </c>
      <c r="J63" s="4">
        <f t="shared" si="119"/>
        <v>0</v>
      </c>
      <c r="K63" s="4">
        <f t="shared" si="119"/>
        <v>7.4662472392110794E-3</v>
      </c>
      <c r="L63" s="4">
        <f t="shared" si="119"/>
        <v>0</v>
      </c>
      <c r="M63" s="4">
        <f t="shared" si="119"/>
        <v>3.3203441022260408E-6</v>
      </c>
      <c r="N63" s="4">
        <f t="shared" si="119"/>
        <v>8.9523789400354666E-3</v>
      </c>
      <c r="O63" s="4">
        <f t="shared" si="119"/>
        <v>0</v>
      </c>
      <c r="P63" s="4">
        <f t="shared" si="119"/>
        <v>2.1480479262237259E-3</v>
      </c>
      <c r="Q63" s="4">
        <f t="shared" si="119"/>
        <v>5.1000125575860586E-4</v>
      </c>
      <c r="R63" s="4">
        <f t="shared" si="119"/>
        <v>0</v>
      </c>
      <c r="S63" s="4">
        <f t="shared" ref="S63:AH63" si="120">S34*$AN63</f>
        <v>2.1021653262346673E-3</v>
      </c>
      <c r="T63" s="4">
        <f t="shared" si="120"/>
        <v>0</v>
      </c>
      <c r="U63" s="4">
        <f t="shared" ref="U63:AG63" si="121">U34*$AN63</f>
        <v>2.8072976556595803E-3</v>
      </c>
      <c r="V63" s="4">
        <f t="shared" si="121"/>
        <v>7.8260493081350035E-3</v>
      </c>
      <c r="W63" s="4">
        <f t="shared" si="121"/>
        <v>2.1010535085105472E-2</v>
      </c>
      <c r="X63" s="4">
        <f t="shared" si="121"/>
        <v>1.5696435079502493E-2</v>
      </c>
      <c r="Y63" s="4">
        <f t="shared" si="121"/>
        <v>0</v>
      </c>
      <c r="Z63" s="4">
        <f t="shared" si="121"/>
        <v>0</v>
      </c>
      <c r="AA63" s="4">
        <f t="shared" si="121"/>
        <v>4.2449991802258336E-3</v>
      </c>
      <c r="AB63" s="4">
        <f t="shared" si="121"/>
        <v>0</v>
      </c>
      <c r="AC63" s="4">
        <f t="shared" si="121"/>
        <v>0</v>
      </c>
      <c r="AD63" s="4">
        <f t="shared" si="121"/>
        <v>0</v>
      </c>
      <c r="AE63" s="4">
        <f t="shared" si="121"/>
        <v>1.3345682814768969E-3</v>
      </c>
      <c r="AF63" s="4">
        <f t="shared" si="121"/>
        <v>0</v>
      </c>
      <c r="AG63" s="4" t="e">
        <f t="shared" si="121"/>
        <v>#VALUE!</v>
      </c>
      <c r="AH63" s="4" t="e">
        <f t="shared" si="120"/>
        <v>#VALUE!</v>
      </c>
      <c r="AI63" t="str">
        <f t="shared" si="117"/>
        <v>CCK</v>
      </c>
      <c r="AJ63" t="str">
        <f t="shared" si="117"/>
        <v>FX</v>
      </c>
      <c r="AL63" t="str">
        <f t="shared" si="118"/>
        <v>Techs_CCKBIO</v>
      </c>
      <c r="AN63" s="5">
        <v>0.25</v>
      </c>
    </row>
    <row r="64" spans="1:40">
      <c r="A64">
        <v>2050</v>
      </c>
      <c r="B64" t="str">
        <f t="shared" si="113"/>
        <v>RHW</v>
      </c>
      <c r="C64" t="str">
        <f t="shared" si="113"/>
        <v>*BIO</v>
      </c>
      <c r="D64" s="4">
        <f t="shared" ref="D64:R64" si="122">D35*$AN64</f>
        <v>3.8293474700628774E-3</v>
      </c>
      <c r="E64" s="4">
        <f t="shared" si="122"/>
        <v>0.23337363522915924</v>
      </c>
      <c r="F64" s="4">
        <f t="shared" si="122"/>
        <v>1.7329316316363806E-3</v>
      </c>
      <c r="G64" s="4">
        <f t="shared" si="122"/>
        <v>2.3697539284387484E-4</v>
      </c>
      <c r="H64" s="4">
        <f t="shared" si="122"/>
        <v>0</v>
      </c>
      <c r="I64" s="4">
        <f t="shared" si="122"/>
        <v>0</v>
      </c>
      <c r="J64" s="4">
        <f t="shared" si="122"/>
        <v>7.1015117498872472E-5</v>
      </c>
      <c r="K64" s="4">
        <f t="shared" si="122"/>
        <v>1.3615147207120695E-2</v>
      </c>
      <c r="L64" s="4">
        <f t="shared" si="122"/>
        <v>7.4078828781622694E-4</v>
      </c>
      <c r="M64" s="4">
        <f t="shared" si="122"/>
        <v>8.5285303072939796E-3</v>
      </c>
      <c r="N64" s="4">
        <f t="shared" si="122"/>
        <v>4.0789073743015157E-3</v>
      </c>
      <c r="O64" s="4">
        <f t="shared" si="122"/>
        <v>4.9261774458126918E-3</v>
      </c>
      <c r="P64" s="4">
        <f t="shared" si="122"/>
        <v>1.1071088690603329E-3</v>
      </c>
      <c r="Q64" s="4">
        <f t="shared" si="122"/>
        <v>4.4641208734615663E-3</v>
      </c>
      <c r="R64" s="4">
        <f t="shared" si="122"/>
        <v>7.0608661379020455E-3</v>
      </c>
      <c r="S64" s="4">
        <f t="shared" ref="S64:AH64" si="123">S35*$AN64</f>
        <v>3.5751304683261337E-3</v>
      </c>
      <c r="T64" s="4">
        <f t="shared" si="123"/>
        <v>3.2328789831291165E-3</v>
      </c>
      <c r="U64" s="4">
        <f t="shared" ref="U64:AG64" si="124">U35*$AN64</f>
        <v>4.4034964798896599E-3</v>
      </c>
      <c r="V64" s="4">
        <f t="shared" si="124"/>
        <v>2.3828399523549404E-3</v>
      </c>
      <c r="W64" s="4">
        <f t="shared" si="124"/>
        <v>0</v>
      </c>
      <c r="X64" s="4">
        <f t="shared" si="124"/>
        <v>2.701176769410437E-2</v>
      </c>
      <c r="Y64" s="4">
        <f t="shared" si="124"/>
        <v>0</v>
      </c>
      <c r="Z64" s="4">
        <f t="shared" si="124"/>
        <v>1.1892428879943368E-4</v>
      </c>
      <c r="AA64" s="4">
        <f t="shared" si="124"/>
        <v>2.6607379266678174E-3</v>
      </c>
      <c r="AB64" s="4">
        <f t="shared" si="124"/>
        <v>9.2331876591751302E-5</v>
      </c>
      <c r="AC64" s="4">
        <f t="shared" si="124"/>
        <v>3.1016786660901929E-5</v>
      </c>
      <c r="AD64" s="4">
        <f t="shared" si="124"/>
        <v>2.2981033314416935E-2</v>
      </c>
      <c r="AE64" s="4">
        <f t="shared" si="124"/>
        <v>4.0128607068378401E-4</v>
      </c>
      <c r="AF64" s="4">
        <f t="shared" si="124"/>
        <v>0</v>
      </c>
      <c r="AG64" s="4" t="e">
        <f t="shared" si="124"/>
        <v>#VALUE!</v>
      </c>
      <c r="AH64" s="4" t="e">
        <f t="shared" si="123"/>
        <v>#VALUE!</v>
      </c>
      <c r="AI64" t="str">
        <f t="shared" si="117"/>
        <v>RHW</v>
      </c>
      <c r="AJ64" t="str">
        <f t="shared" si="117"/>
        <v>FX</v>
      </c>
      <c r="AL64" t="str">
        <f t="shared" si="118"/>
        <v>Techs_RHWBIO</v>
      </c>
      <c r="AN64" s="5">
        <v>0.25</v>
      </c>
    </row>
    <row r="65" spans="1:40">
      <c r="A65">
        <v>2050</v>
      </c>
      <c r="B65" t="str">
        <f t="shared" ref="B65" si="125">B36</f>
        <v>RCK</v>
      </c>
      <c r="C65" t="str">
        <f>C36</f>
        <v>*STH</v>
      </c>
      <c r="D65" s="4">
        <f t="shared" ref="D65:R65" si="126">D36*$AN65</f>
        <v>0</v>
      </c>
      <c r="E65" s="4">
        <f t="shared" si="126"/>
        <v>0</v>
      </c>
      <c r="F65" s="4">
        <f t="shared" si="126"/>
        <v>0</v>
      </c>
      <c r="G65" s="4">
        <f t="shared" si="126"/>
        <v>0</v>
      </c>
      <c r="H65" s="4">
        <f t="shared" si="126"/>
        <v>0</v>
      </c>
      <c r="I65" s="4">
        <f t="shared" si="126"/>
        <v>0</v>
      </c>
      <c r="J65" s="4">
        <f t="shared" si="126"/>
        <v>0</v>
      </c>
      <c r="K65" s="4">
        <f t="shared" si="126"/>
        <v>0</v>
      </c>
      <c r="L65" s="4">
        <f t="shared" si="126"/>
        <v>0</v>
      </c>
      <c r="M65" s="4">
        <f t="shared" si="126"/>
        <v>0</v>
      </c>
      <c r="N65" s="4">
        <f t="shared" si="126"/>
        <v>0</v>
      </c>
      <c r="O65" s="4">
        <f t="shared" si="126"/>
        <v>0</v>
      </c>
      <c r="P65" s="4">
        <f t="shared" si="126"/>
        <v>0</v>
      </c>
      <c r="Q65" s="4">
        <f t="shared" si="126"/>
        <v>0</v>
      </c>
      <c r="R65" s="4">
        <f t="shared" si="126"/>
        <v>0</v>
      </c>
      <c r="S65" s="4">
        <f t="shared" ref="S65:AH65" si="127">S36*$AN65</f>
        <v>0</v>
      </c>
      <c r="T65" s="4">
        <f t="shared" si="127"/>
        <v>0</v>
      </c>
      <c r="U65" s="4">
        <f t="shared" ref="U65:AG65" si="128">U36*$AN65</f>
        <v>0</v>
      </c>
      <c r="V65" s="4">
        <f t="shared" si="128"/>
        <v>0</v>
      </c>
      <c r="W65" s="4">
        <f t="shared" si="128"/>
        <v>0</v>
      </c>
      <c r="X65" s="4">
        <f t="shared" si="128"/>
        <v>0</v>
      </c>
      <c r="Y65" s="4">
        <f t="shared" si="128"/>
        <v>0</v>
      </c>
      <c r="Z65" s="4">
        <f t="shared" si="128"/>
        <v>0</v>
      </c>
      <c r="AA65" s="4">
        <f t="shared" si="128"/>
        <v>0</v>
      </c>
      <c r="AB65" s="4">
        <f t="shared" si="128"/>
        <v>0</v>
      </c>
      <c r="AC65" s="4">
        <f t="shared" si="128"/>
        <v>0</v>
      </c>
      <c r="AD65" s="4">
        <f t="shared" si="128"/>
        <v>0</v>
      </c>
      <c r="AE65" s="4">
        <f t="shared" si="128"/>
        <v>0</v>
      </c>
      <c r="AF65" s="4">
        <f t="shared" si="128"/>
        <v>0</v>
      </c>
      <c r="AG65" s="4" t="e">
        <f t="shared" si="128"/>
        <v>#VALUE!</v>
      </c>
      <c r="AH65" s="4" t="e">
        <f t="shared" si="127"/>
        <v>#VALUE!</v>
      </c>
      <c r="AI65" t="str">
        <f t="shared" ref="AI65:AJ65" si="129">AI36</f>
        <v>RCK</v>
      </c>
      <c r="AJ65" t="str">
        <f t="shared" si="129"/>
        <v>UP</v>
      </c>
      <c r="AL65" t="str">
        <f t="shared" si="118"/>
        <v>Techs_RCKSTH</v>
      </c>
      <c r="AN65" s="5">
        <v>0.1</v>
      </c>
    </row>
    <row r="66" spans="1:40">
      <c r="A66">
        <v>2050</v>
      </c>
      <c r="B66" t="str">
        <f t="shared" ref="B66" si="130">B37</f>
        <v>CCK</v>
      </c>
      <c r="C66" t="str">
        <f>C37</f>
        <v>*STH</v>
      </c>
      <c r="D66" s="4">
        <f t="shared" ref="D66:R66" si="131">D37*$AN66</f>
        <v>0</v>
      </c>
      <c r="E66" s="4">
        <f t="shared" si="131"/>
        <v>0</v>
      </c>
      <c r="F66" s="4">
        <f t="shared" si="131"/>
        <v>0</v>
      </c>
      <c r="G66" s="4">
        <f t="shared" si="131"/>
        <v>0</v>
      </c>
      <c r="H66" s="4">
        <f t="shared" si="131"/>
        <v>0</v>
      </c>
      <c r="I66" s="4">
        <f t="shared" si="131"/>
        <v>0</v>
      </c>
      <c r="J66" s="4">
        <f t="shared" si="131"/>
        <v>0</v>
      </c>
      <c r="K66" s="4">
        <f t="shared" si="131"/>
        <v>0</v>
      </c>
      <c r="L66" s="4">
        <f t="shared" si="131"/>
        <v>0</v>
      </c>
      <c r="M66" s="4">
        <f t="shared" si="131"/>
        <v>0</v>
      </c>
      <c r="N66" s="4">
        <f t="shared" si="131"/>
        <v>0</v>
      </c>
      <c r="O66" s="4">
        <f t="shared" si="131"/>
        <v>0</v>
      </c>
      <c r="P66" s="4">
        <f t="shared" si="131"/>
        <v>0</v>
      </c>
      <c r="Q66" s="4">
        <f t="shared" si="131"/>
        <v>0</v>
      </c>
      <c r="R66" s="4">
        <f t="shared" si="131"/>
        <v>0</v>
      </c>
      <c r="S66" s="4">
        <f t="shared" ref="S66:AH66" si="132">S37*$AN66</f>
        <v>0</v>
      </c>
      <c r="T66" s="4">
        <f t="shared" si="132"/>
        <v>0</v>
      </c>
      <c r="U66" s="4">
        <f t="shared" ref="U66:AG66" si="133">U37*$AN66</f>
        <v>0</v>
      </c>
      <c r="V66" s="4">
        <f t="shared" si="133"/>
        <v>0</v>
      </c>
      <c r="W66" s="4">
        <f t="shared" si="133"/>
        <v>1.5185695319564049E-4</v>
      </c>
      <c r="X66" s="4">
        <f t="shared" si="133"/>
        <v>0</v>
      </c>
      <c r="Y66" s="4">
        <f t="shared" si="133"/>
        <v>0</v>
      </c>
      <c r="Z66" s="4">
        <f t="shared" si="133"/>
        <v>0</v>
      </c>
      <c r="AA66" s="4">
        <f t="shared" si="133"/>
        <v>0</v>
      </c>
      <c r="AB66" s="4">
        <f t="shared" si="133"/>
        <v>0</v>
      </c>
      <c r="AC66" s="4">
        <f t="shared" si="133"/>
        <v>0</v>
      </c>
      <c r="AD66" s="4">
        <f t="shared" si="133"/>
        <v>0</v>
      </c>
      <c r="AE66" s="4">
        <f t="shared" si="133"/>
        <v>0</v>
      </c>
      <c r="AF66" s="4">
        <f t="shared" si="133"/>
        <v>0</v>
      </c>
      <c r="AG66" s="4" t="e">
        <f t="shared" si="133"/>
        <v>#VALUE!</v>
      </c>
      <c r="AH66" s="4" t="e">
        <f t="shared" si="132"/>
        <v>#VALUE!</v>
      </c>
      <c r="AI66" t="str">
        <f t="shared" ref="AI66:AJ66" si="134">AI37</f>
        <v>CCK</v>
      </c>
      <c r="AJ66" t="str">
        <f t="shared" si="134"/>
        <v>UP</v>
      </c>
      <c r="AL66" t="str">
        <f t="shared" si="118"/>
        <v>Techs_CCKSTH</v>
      </c>
      <c r="AN66" s="5">
        <v>0.1</v>
      </c>
    </row>
    <row r="67" spans="1:40">
      <c r="A67">
        <v>2050</v>
      </c>
      <c r="B67" t="str">
        <f>B38</f>
        <v>RLI</v>
      </c>
      <c r="C67" t="str">
        <f>C38</f>
        <v>*KER</v>
      </c>
      <c r="D67" s="4">
        <f t="shared" ref="D67:R67" si="135">D38*$AN67</f>
        <v>0</v>
      </c>
      <c r="E67" s="4">
        <f t="shared" si="135"/>
        <v>0</v>
      </c>
      <c r="F67" s="4">
        <f t="shared" si="135"/>
        <v>0</v>
      </c>
      <c r="G67" s="4">
        <f t="shared" si="135"/>
        <v>0</v>
      </c>
      <c r="H67" s="4" t="e">
        <f t="shared" si="135"/>
        <v>#VALUE!</v>
      </c>
      <c r="I67" s="4">
        <f t="shared" si="135"/>
        <v>0</v>
      </c>
      <c r="J67" s="4">
        <f t="shared" si="135"/>
        <v>0</v>
      </c>
      <c r="K67" s="4">
        <f t="shared" si="135"/>
        <v>0</v>
      </c>
      <c r="L67" s="4">
        <f t="shared" si="135"/>
        <v>0</v>
      </c>
      <c r="M67" s="4">
        <f t="shared" si="135"/>
        <v>0</v>
      </c>
      <c r="N67" s="4">
        <f t="shared" si="135"/>
        <v>0</v>
      </c>
      <c r="O67" s="4">
        <f t="shared" si="135"/>
        <v>0</v>
      </c>
      <c r="P67" s="4">
        <f t="shared" si="135"/>
        <v>0</v>
      </c>
      <c r="Q67" s="4">
        <f t="shared" si="135"/>
        <v>0</v>
      </c>
      <c r="R67" s="4">
        <f t="shared" si="135"/>
        <v>0</v>
      </c>
      <c r="S67" s="4">
        <f t="shared" ref="S67:AH67" si="136">S38*$AN67</f>
        <v>0</v>
      </c>
      <c r="T67" s="4">
        <f t="shared" si="136"/>
        <v>0</v>
      </c>
      <c r="U67" s="4">
        <f t="shared" ref="U67:AG67" si="137">U38*$AN67</f>
        <v>0</v>
      </c>
      <c r="V67" s="4">
        <f t="shared" si="137"/>
        <v>0</v>
      </c>
      <c r="W67" s="4">
        <f t="shared" si="137"/>
        <v>0</v>
      </c>
      <c r="X67" s="4">
        <f t="shared" si="137"/>
        <v>0</v>
      </c>
      <c r="Y67" s="4">
        <f t="shared" si="137"/>
        <v>0</v>
      </c>
      <c r="Z67" s="4">
        <f t="shared" si="137"/>
        <v>0</v>
      </c>
      <c r="AA67" s="4">
        <f t="shared" si="137"/>
        <v>0</v>
      </c>
      <c r="AB67" s="4">
        <f t="shared" si="137"/>
        <v>0</v>
      </c>
      <c r="AC67" s="4">
        <f t="shared" si="137"/>
        <v>0</v>
      </c>
      <c r="AD67" s="4">
        <f t="shared" si="137"/>
        <v>0</v>
      </c>
      <c r="AE67" s="4">
        <f t="shared" si="137"/>
        <v>0</v>
      </c>
      <c r="AF67" s="4">
        <f t="shared" si="137"/>
        <v>0</v>
      </c>
      <c r="AG67" s="4" t="e">
        <f t="shared" si="137"/>
        <v>#VALUE!</v>
      </c>
      <c r="AH67" s="4" t="e">
        <f t="shared" si="136"/>
        <v>#VALUE!</v>
      </c>
      <c r="AI67" t="str">
        <f t="shared" ref="AI67:AJ67" si="138">AI38</f>
        <v>RLI</v>
      </c>
      <c r="AJ67" t="str">
        <f t="shared" si="138"/>
        <v>LO</v>
      </c>
      <c r="AL67" t="str">
        <f t="shared" si="118"/>
        <v>Techs_RLIKER</v>
      </c>
      <c r="AN67" s="5">
        <v>0</v>
      </c>
    </row>
    <row r="68" spans="1:40">
      <c r="A68" s="6">
        <v>2035</v>
      </c>
      <c r="B68" t="str">
        <f>B39</f>
        <v>CLA</v>
      </c>
      <c r="D68" s="4">
        <f t="shared" ref="D68:R68" si="139">D39*$AN68</f>
        <v>0</v>
      </c>
      <c r="E68" s="4">
        <f t="shared" si="139"/>
        <v>0</v>
      </c>
      <c r="F68" s="4">
        <f t="shared" si="139"/>
        <v>0</v>
      </c>
      <c r="G68" s="4">
        <f t="shared" si="139"/>
        <v>0</v>
      </c>
      <c r="H68" s="4">
        <f t="shared" si="139"/>
        <v>0</v>
      </c>
      <c r="I68" s="4">
        <f t="shared" si="139"/>
        <v>0</v>
      </c>
      <c r="J68" s="4">
        <f t="shared" si="139"/>
        <v>0</v>
      </c>
      <c r="K68" s="4">
        <f t="shared" si="139"/>
        <v>0</v>
      </c>
      <c r="L68" s="4">
        <f t="shared" si="139"/>
        <v>0</v>
      </c>
      <c r="M68" s="4">
        <f t="shared" si="139"/>
        <v>0</v>
      </c>
      <c r="N68" s="4">
        <f t="shared" si="139"/>
        <v>0</v>
      </c>
      <c r="O68" s="4">
        <f t="shared" si="139"/>
        <v>0</v>
      </c>
      <c r="P68" s="4">
        <f t="shared" si="139"/>
        <v>0</v>
      </c>
      <c r="Q68" s="4">
        <f t="shared" si="139"/>
        <v>0</v>
      </c>
      <c r="R68" s="4">
        <f t="shared" si="139"/>
        <v>0</v>
      </c>
      <c r="S68" s="4">
        <f t="shared" ref="S68:AH68" si="140">S39*$AN68</f>
        <v>0</v>
      </c>
      <c r="T68" s="4">
        <f t="shared" si="140"/>
        <v>0</v>
      </c>
      <c r="U68" s="4">
        <f t="shared" ref="U68:AG68" si="141">U39*$AN68</f>
        <v>0</v>
      </c>
      <c r="V68" s="4">
        <f t="shared" si="141"/>
        <v>0</v>
      </c>
      <c r="W68" s="4">
        <f t="shared" si="141"/>
        <v>0</v>
      </c>
      <c r="X68" s="4">
        <f t="shared" si="141"/>
        <v>0</v>
      </c>
      <c r="Y68" s="4">
        <f t="shared" si="141"/>
        <v>0</v>
      </c>
      <c r="Z68" s="4">
        <f t="shared" si="141"/>
        <v>0</v>
      </c>
      <c r="AA68" s="4">
        <f t="shared" si="141"/>
        <v>0</v>
      </c>
      <c r="AB68" s="4">
        <f t="shared" si="141"/>
        <v>0</v>
      </c>
      <c r="AC68" s="4">
        <f t="shared" si="141"/>
        <v>0</v>
      </c>
      <c r="AD68" s="4">
        <f t="shared" si="141"/>
        <v>0</v>
      </c>
      <c r="AE68" s="4">
        <f t="shared" si="141"/>
        <v>0</v>
      </c>
      <c r="AF68" s="4">
        <f t="shared" si="141"/>
        <v>0</v>
      </c>
      <c r="AG68" s="4" t="e">
        <f t="shared" si="141"/>
        <v>#VALUE!</v>
      </c>
      <c r="AH68" s="4" t="e">
        <f t="shared" si="140"/>
        <v>#VALUE!</v>
      </c>
      <c r="AI68" t="str">
        <f t="shared" ref="AI68:AL68" si="142">AI39</f>
        <v>CLA</v>
      </c>
      <c r="AJ68" t="str">
        <f t="shared" si="142"/>
        <v>LO</v>
      </c>
      <c r="AK68" t="str">
        <f>AK39</f>
        <v>*ICE*</v>
      </c>
      <c r="AL68" t="str">
        <f t="shared" si="142"/>
        <v>Techs_CLAICE</v>
      </c>
      <c r="AN68" s="5">
        <v>0</v>
      </c>
    </row>
    <row r="69" spans="1:40">
      <c r="A69" s="6">
        <v>2035</v>
      </c>
      <c r="B69" t="str">
        <f>B40</f>
        <v>RLI</v>
      </c>
      <c r="D69" s="4">
        <f t="shared" ref="D69:R69" si="143">D40*$AN69</f>
        <v>0</v>
      </c>
      <c r="E69" s="4">
        <f t="shared" si="143"/>
        <v>0</v>
      </c>
      <c r="F69" s="4">
        <f t="shared" si="143"/>
        <v>0</v>
      </c>
      <c r="G69" s="4">
        <f t="shared" si="143"/>
        <v>0</v>
      </c>
      <c r="H69" s="4" t="e">
        <f t="shared" si="143"/>
        <v>#VALUE!</v>
      </c>
      <c r="I69" s="4">
        <f t="shared" si="143"/>
        <v>0</v>
      </c>
      <c r="J69" s="4">
        <f t="shared" si="143"/>
        <v>0</v>
      </c>
      <c r="K69" s="4">
        <f t="shared" si="143"/>
        <v>0</v>
      </c>
      <c r="L69" s="4">
        <f t="shared" si="143"/>
        <v>0</v>
      </c>
      <c r="M69" s="4">
        <f t="shared" si="143"/>
        <v>0</v>
      </c>
      <c r="N69" s="4">
        <f t="shared" si="143"/>
        <v>0</v>
      </c>
      <c r="O69" s="4">
        <f t="shared" si="143"/>
        <v>0</v>
      </c>
      <c r="P69" s="4">
        <f t="shared" si="143"/>
        <v>0</v>
      </c>
      <c r="Q69" s="4">
        <f t="shared" si="143"/>
        <v>0</v>
      </c>
      <c r="R69" s="4">
        <f t="shared" si="143"/>
        <v>0</v>
      </c>
      <c r="S69" s="4">
        <f t="shared" ref="S69:AH69" si="144">S40*$AN69</f>
        <v>0</v>
      </c>
      <c r="T69" s="4">
        <f t="shared" si="144"/>
        <v>0</v>
      </c>
      <c r="U69" s="4">
        <f t="shared" ref="U69:AG69" si="145">U40*$AN69</f>
        <v>0</v>
      </c>
      <c r="V69" s="4">
        <f t="shared" si="145"/>
        <v>0</v>
      </c>
      <c r="W69" s="4">
        <f t="shared" si="145"/>
        <v>0</v>
      </c>
      <c r="X69" s="4">
        <f t="shared" si="145"/>
        <v>0</v>
      </c>
      <c r="Y69" s="4">
        <f t="shared" si="145"/>
        <v>0</v>
      </c>
      <c r="Z69" s="4">
        <f t="shared" si="145"/>
        <v>0</v>
      </c>
      <c r="AA69" s="4">
        <f t="shared" si="145"/>
        <v>0</v>
      </c>
      <c r="AB69" s="4">
        <f t="shared" si="145"/>
        <v>0</v>
      </c>
      <c r="AC69" s="4">
        <f t="shared" si="145"/>
        <v>0</v>
      </c>
      <c r="AD69" s="4">
        <f t="shared" si="145"/>
        <v>0</v>
      </c>
      <c r="AE69" s="4">
        <f t="shared" si="145"/>
        <v>0</v>
      </c>
      <c r="AF69" s="4">
        <f t="shared" si="145"/>
        <v>0</v>
      </c>
      <c r="AG69" s="4" t="e">
        <f t="shared" si="145"/>
        <v>#VALUE!</v>
      </c>
      <c r="AH69" s="4" t="e">
        <f t="shared" si="144"/>
        <v>#VALUE!</v>
      </c>
      <c r="AI69" t="str">
        <f t="shared" ref="AI69:AL69" si="146">AI40</f>
        <v>RLI</v>
      </c>
      <c r="AJ69" t="str">
        <f t="shared" si="146"/>
        <v>LO</v>
      </c>
      <c r="AK69" t="str">
        <f>AK40</f>
        <v>*ICE*</v>
      </c>
      <c r="AL69" t="str">
        <f t="shared" si="146"/>
        <v>Techs_RLIICE</v>
      </c>
      <c r="AN69" s="5">
        <v>0</v>
      </c>
    </row>
    <row r="70" spans="1:40">
      <c r="A70">
        <v>2050</v>
      </c>
      <c r="B70" t="str">
        <f>B41</f>
        <v>RSH</v>
      </c>
      <c r="C70" t="str">
        <f>C41</f>
        <v>*COA</v>
      </c>
      <c r="D70" s="4">
        <f t="shared" ref="D70:R70" si="147">D41*$AN70</f>
        <v>0</v>
      </c>
      <c r="E70" s="4">
        <f t="shared" si="147"/>
        <v>2.3927979151859749E-2</v>
      </c>
      <c r="F70" s="4">
        <f t="shared" si="147"/>
        <v>0</v>
      </c>
      <c r="G70" s="4">
        <f t="shared" si="147"/>
        <v>0.16600350446213424</v>
      </c>
      <c r="H70" s="4">
        <f t="shared" si="147"/>
        <v>9.4612305040113493E-3</v>
      </c>
      <c r="I70" s="4" t="e">
        <f t="shared" si="147"/>
        <v>#VALUE!</v>
      </c>
      <c r="J70" s="4">
        <f t="shared" si="147"/>
        <v>1.3199336813808865E-3</v>
      </c>
      <c r="K70" s="4">
        <f t="shared" si="147"/>
        <v>0</v>
      </c>
      <c r="L70" s="4">
        <f t="shared" si="147"/>
        <v>0</v>
      </c>
      <c r="M70" s="4">
        <f t="shared" si="147"/>
        <v>0.22265097894355976</v>
      </c>
      <c r="N70" s="4">
        <f t="shared" si="147"/>
        <v>2.9970523959534366E-4</v>
      </c>
      <c r="O70" s="4">
        <f t="shared" si="147"/>
        <v>0.21048353961482114</v>
      </c>
      <c r="P70" s="4">
        <f t="shared" si="147"/>
        <v>2.2704814311600124E-2</v>
      </c>
      <c r="Q70" s="4">
        <f t="shared" si="147"/>
        <v>1.2792122085980004E-4</v>
      </c>
      <c r="R70" s="4">
        <f t="shared" si="147"/>
        <v>1.9767874226097003E-2</v>
      </c>
      <c r="S70" s="4">
        <f t="shared" ref="S70:AH70" si="148">S41*$AN70</f>
        <v>6.393541529854563E-3</v>
      </c>
      <c r="T70" s="4">
        <f t="shared" si="148"/>
        <v>5.2370697061426677E-2</v>
      </c>
      <c r="U70" s="4">
        <f t="shared" ref="U70:AG70" si="149">U41*$AN70</f>
        <v>9.8215281971296832E-4</v>
      </c>
      <c r="V70" s="4">
        <f t="shared" si="149"/>
        <v>7.2702220678587852E-3</v>
      </c>
      <c r="W70" s="4" t="e">
        <f t="shared" si="149"/>
        <v>#VALUE!</v>
      </c>
      <c r="X70" s="4">
        <f t="shared" si="149"/>
        <v>1.3991614097382239E-2</v>
      </c>
      <c r="Y70" s="4">
        <f t="shared" si="149"/>
        <v>0</v>
      </c>
      <c r="Z70" s="4">
        <f t="shared" si="149"/>
        <v>1.8059577010324826E-4</v>
      </c>
      <c r="AA70" s="4">
        <f t="shared" si="149"/>
        <v>0</v>
      </c>
      <c r="AB70" s="4">
        <f t="shared" si="149"/>
        <v>1.1623348530873871E-2</v>
      </c>
      <c r="AC70" s="4">
        <f t="shared" si="149"/>
        <v>0</v>
      </c>
      <c r="AD70" s="4">
        <f t="shared" si="149"/>
        <v>0.99349743901260468</v>
      </c>
      <c r="AE70" s="4">
        <f t="shared" si="149"/>
        <v>1.5497930456168877E-2</v>
      </c>
      <c r="AF70" s="4">
        <f t="shared" si="149"/>
        <v>0</v>
      </c>
      <c r="AG70" s="4" t="e">
        <f t="shared" si="149"/>
        <v>#VALUE!</v>
      </c>
      <c r="AH70" s="4" t="e">
        <f t="shared" si="148"/>
        <v>#VALUE!</v>
      </c>
      <c r="AI70" t="str">
        <f t="shared" ref="AI70:AJ70" si="150">AI41</f>
        <v>RSH</v>
      </c>
      <c r="AJ70" t="str">
        <f t="shared" si="150"/>
        <v>UP</v>
      </c>
      <c r="AL70" t="str">
        <f>AL41</f>
        <v>Techs_RSHCOA</v>
      </c>
      <c r="AN70" s="5">
        <v>1</v>
      </c>
    </row>
    <row r="71" spans="1:40">
      <c r="A71">
        <v>2050</v>
      </c>
      <c r="B71" t="str">
        <f>B42</f>
        <v>CSH</v>
      </c>
      <c r="C71" t="str">
        <f>C42</f>
        <v>*COA</v>
      </c>
      <c r="D71" s="4">
        <f t="shared" ref="D71:R71" si="151">D42*$AN71</f>
        <v>0</v>
      </c>
      <c r="E71" s="4">
        <f t="shared" si="151"/>
        <v>0</v>
      </c>
      <c r="F71" s="4">
        <f t="shared" si="151"/>
        <v>0</v>
      </c>
      <c r="G71" s="4">
        <f t="shared" si="151"/>
        <v>5.3437188598817992E-2</v>
      </c>
      <c r="H71" s="4">
        <f t="shared" si="151"/>
        <v>9.8107162409564151E-4</v>
      </c>
      <c r="I71" s="4">
        <f t="shared" si="151"/>
        <v>2.2761040716432951E-2</v>
      </c>
      <c r="J71" s="4">
        <f t="shared" si="151"/>
        <v>8.521171454282845E-3</v>
      </c>
      <c r="K71" s="4">
        <f t="shared" si="151"/>
        <v>0</v>
      </c>
      <c r="L71" s="4">
        <f t="shared" si="151"/>
        <v>0</v>
      </c>
      <c r="M71" s="4">
        <f t="shared" si="151"/>
        <v>0.22498298358508717</v>
      </c>
      <c r="N71" s="4">
        <f t="shared" si="151"/>
        <v>3.6267253533050218E-4</v>
      </c>
      <c r="O71" s="4">
        <f t="shared" si="151"/>
        <v>6.6705517244279033E-2</v>
      </c>
      <c r="P71" s="4">
        <f t="shared" si="151"/>
        <v>5.1028141281362596E-4</v>
      </c>
      <c r="Q71" s="4">
        <f t="shared" si="151"/>
        <v>0</v>
      </c>
      <c r="R71" s="4">
        <f t="shared" si="151"/>
        <v>1.5314305341844105E-3</v>
      </c>
      <c r="S71" s="4">
        <f t="shared" ref="S71:AH71" si="152">S42*$AN71</f>
        <v>0</v>
      </c>
      <c r="T71" s="4">
        <f t="shared" si="152"/>
        <v>0.34795638399208989</v>
      </c>
      <c r="U71" s="4">
        <f t="shared" ref="U71:AG71" si="153">U42*$AN71</f>
        <v>3.2290648879885046E-3</v>
      </c>
      <c r="V71" s="4">
        <f t="shared" si="153"/>
        <v>1.1842213842030167E-4</v>
      </c>
      <c r="W71" s="4">
        <f t="shared" si="153"/>
        <v>0.56393755237351451</v>
      </c>
      <c r="X71" s="4">
        <f t="shared" si="153"/>
        <v>1.9503723019216535E-5</v>
      </c>
      <c r="Y71" s="4">
        <f t="shared" si="153"/>
        <v>0</v>
      </c>
      <c r="Z71" s="4">
        <f t="shared" si="153"/>
        <v>0</v>
      </c>
      <c r="AA71" s="4">
        <f t="shared" si="153"/>
        <v>4.5363555857317863E-5</v>
      </c>
      <c r="AB71" s="4">
        <f t="shared" si="153"/>
        <v>1.9104057802077374E-2</v>
      </c>
      <c r="AC71" s="4">
        <f t="shared" si="153"/>
        <v>0</v>
      </c>
      <c r="AD71" s="4">
        <f t="shared" si="153"/>
        <v>0</v>
      </c>
      <c r="AE71" s="4">
        <f t="shared" si="153"/>
        <v>1.9639182424812727E-3</v>
      </c>
      <c r="AF71" s="4">
        <f t="shared" si="153"/>
        <v>4.3676714111288732E-3</v>
      </c>
      <c r="AG71" s="4" t="e">
        <f t="shared" si="153"/>
        <v>#VALUE!</v>
      </c>
      <c r="AH71" s="4" t="e">
        <f t="shared" si="152"/>
        <v>#VALUE!</v>
      </c>
      <c r="AI71" t="str">
        <f t="shared" ref="AI71:AJ71" si="154">AI42</f>
        <v>CSH</v>
      </c>
      <c r="AJ71" t="str">
        <f t="shared" si="154"/>
        <v>UP</v>
      </c>
      <c r="AL71" t="str">
        <f>AL42</f>
        <v>Techs_CSHCOA</v>
      </c>
      <c r="AN71" s="5">
        <v>1</v>
      </c>
    </row>
    <row r="72" spans="1:40">
      <c r="A72">
        <v>2050</v>
      </c>
      <c r="B72" t="str">
        <f t="shared" ref="B72:C72" si="155">B43</f>
        <v>RSH</v>
      </c>
      <c r="C72" t="str">
        <f t="shared" si="155"/>
        <v>*LPG</v>
      </c>
      <c r="D72" s="4">
        <f t="shared" ref="D72:R72" si="156">D43*$AN72</f>
        <v>0.8387270765911542</v>
      </c>
      <c r="E72" s="4">
        <f t="shared" si="156"/>
        <v>0.62994551054252546</v>
      </c>
      <c r="F72" s="4">
        <f t="shared" si="156"/>
        <v>9.7998670703788496E-2</v>
      </c>
      <c r="G72" s="4">
        <f t="shared" si="156"/>
        <v>5.8004965066592196E-2</v>
      </c>
      <c r="H72" s="4">
        <f t="shared" si="156"/>
        <v>0.14505903049209704</v>
      </c>
      <c r="I72" s="4" t="e">
        <f t="shared" si="156"/>
        <v>#VALUE!</v>
      </c>
      <c r="J72" s="4">
        <f t="shared" si="156"/>
        <v>3.2783718671696001E-2</v>
      </c>
      <c r="K72" s="4">
        <f t="shared" si="156"/>
        <v>9.5903271232255866E-2</v>
      </c>
      <c r="L72" s="4">
        <f t="shared" si="156"/>
        <v>1.3783403457053853E-2</v>
      </c>
      <c r="M72" s="4">
        <f t="shared" si="156"/>
        <v>0</v>
      </c>
      <c r="N72" s="4">
        <f t="shared" si="156"/>
        <v>2.3198512207712012E-3</v>
      </c>
      <c r="O72" s="4">
        <f t="shared" si="156"/>
        <v>9.5643825474063856E-3</v>
      </c>
      <c r="P72" s="4">
        <f t="shared" si="156"/>
        <v>1.1054691978123383E-2</v>
      </c>
      <c r="Q72" s="4">
        <f t="shared" si="156"/>
        <v>4.7412461503619351E-2</v>
      </c>
      <c r="R72" s="4">
        <f t="shared" si="156"/>
        <v>1.4880597823143988E-2</v>
      </c>
      <c r="S72" s="4">
        <f t="shared" ref="S72:AH72" si="157">S43*$AN72</f>
        <v>0.12289667604030317</v>
      </c>
      <c r="T72" s="4">
        <f t="shared" si="157"/>
        <v>6.8875692620146145E-3</v>
      </c>
      <c r="U72" s="4">
        <f t="shared" ref="U72:AG72" si="158">U43*$AN72</f>
        <v>3.3092925627022027E-2</v>
      </c>
      <c r="V72" s="4">
        <f t="shared" si="158"/>
        <v>1.787989144419529E-2</v>
      </c>
      <c r="W72" s="4" t="e">
        <f t="shared" si="158"/>
        <v>#VALUE!</v>
      </c>
      <c r="X72" s="4">
        <f t="shared" si="158"/>
        <v>3.7324821516261847E-2</v>
      </c>
      <c r="Y72" s="4">
        <f t="shared" si="158"/>
        <v>9.1434651735773254E-2</v>
      </c>
      <c r="Z72" s="4">
        <f t="shared" si="158"/>
        <v>7.8266731634315925E-2</v>
      </c>
      <c r="AA72" s="4">
        <f t="shared" si="158"/>
        <v>2.8993433399386427E-3</v>
      </c>
      <c r="AB72" s="4">
        <f t="shared" si="158"/>
        <v>8.8275524500619498E-2</v>
      </c>
      <c r="AC72" s="4">
        <f t="shared" si="158"/>
        <v>0.47328432966889994</v>
      </c>
      <c r="AD72" s="4">
        <f t="shared" si="158"/>
        <v>3.030386702193751E-3</v>
      </c>
      <c r="AE72" s="4">
        <f t="shared" si="158"/>
        <v>8.0360680968122131E-3</v>
      </c>
      <c r="AF72" s="4">
        <f t="shared" si="158"/>
        <v>3.1839989988778419E-2</v>
      </c>
      <c r="AG72" s="4" t="e">
        <f t="shared" si="158"/>
        <v>#VALUE!</v>
      </c>
      <c r="AH72" s="4" t="e">
        <f t="shared" si="157"/>
        <v>#VALUE!</v>
      </c>
      <c r="AI72" t="str">
        <f t="shared" ref="AI72:AL72" si="159">AI43</f>
        <v>RSH</v>
      </c>
      <c r="AJ72" t="str">
        <f t="shared" si="159"/>
        <v>UP</v>
      </c>
      <c r="AL72" t="str">
        <f t="shared" si="159"/>
        <v>Techs_RSHLPG</v>
      </c>
      <c r="AN72" s="5">
        <v>1</v>
      </c>
    </row>
    <row r="73" spans="1:40">
      <c r="A73">
        <v>2050</v>
      </c>
      <c r="B73" t="str">
        <f t="shared" ref="B73:C73" si="160">B44</f>
        <v>CSH</v>
      </c>
      <c r="C73" t="str">
        <f t="shared" si="160"/>
        <v>*LPG</v>
      </c>
      <c r="D73" s="4">
        <f t="shared" ref="D73:R73" si="161">D44*$AN73</f>
        <v>0</v>
      </c>
      <c r="E73" s="4">
        <f t="shared" si="161"/>
        <v>0</v>
      </c>
      <c r="F73" s="4">
        <f t="shared" si="161"/>
        <v>0</v>
      </c>
      <c r="G73" s="4">
        <f t="shared" si="161"/>
        <v>2.1212228048238663E-3</v>
      </c>
      <c r="H73" s="4">
        <f t="shared" si="161"/>
        <v>7.0773673278293842E-2</v>
      </c>
      <c r="I73" s="4">
        <f t="shared" si="161"/>
        <v>8.8555072272879065E-2</v>
      </c>
      <c r="J73" s="4">
        <f t="shared" si="161"/>
        <v>7.0271855374058985E-3</v>
      </c>
      <c r="K73" s="4">
        <f t="shared" si="161"/>
        <v>0</v>
      </c>
      <c r="L73" s="4">
        <f t="shared" si="161"/>
        <v>9.9445166464944071E-3</v>
      </c>
      <c r="M73" s="4">
        <f t="shared" si="161"/>
        <v>2.3310439638030249E-2</v>
      </c>
      <c r="N73" s="4">
        <f t="shared" si="161"/>
        <v>6.2841132373003187E-4</v>
      </c>
      <c r="O73" s="4">
        <f t="shared" si="161"/>
        <v>7.6802574949935186E-3</v>
      </c>
      <c r="P73" s="4">
        <f t="shared" si="161"/>
        <v>5.8754580315894247E-3</v>
      </c>
      <c r="Q73" s="4">
        <f t="shared" si="161"/>
        <v>1.2846775652482639E-2</v>
      </c>
      <c r="R73" s="4">
        <f t="shared" si="161"/>
        <v>1.2512884230228243E-2</v>
      </c>
      <c r="S73" s="4">
        <f t="shared" ref="S73:AH73" si="162">S44*$AN73</f>
        <v>1.0937604039681111E-2</v>
      </c>
      <c r="T73" s="4">
        <f t="shared" si="162"/>
        <v>3.4695338037007742E-3</v>
      </c>
      <c r="U73" s="4">
        <f t="shared" ref="U73:AG73" si="163">U44*$AN73</f>
        <v>6.0925135518909426E-3</v>
      </c>
      <c r="V73" s="4">
        <f t="shared" si="163"/>
        <v>2.5612913758105709E-3</v>
      </c>
      <c r="W73" s="4">
        <f t="shared" si="163"/>
        <v>0</v>
      </c>
      <c r="X73" s="4">
        <f t="shared" si="163"/>
        <v>0</v>
      </c>
      <c r="Y73" s="4">
        <f t="shared" si="163"/>
        <v>0</v>
      </c>
      <c r="Z73" s="4">
        <f t="shared" si="163"/>
        <v>5.4444090488359491E-3</v>
      </c>
      <c r="AA73" s="4">
        <f t="shared" si="163"/>
        <v>2.8413318433925115E-3</v>
      </c>
      <c r="AB73" s="4">
        <f t="shared" si="163"/>
        <v>4.3279602658647726E-4</v>
      </c>
      <c r="AC73" s="4">
        <f t="shared" si="163"/>
        <v>0</v>
      </c>
      <c r="AD73" s="4">
        <f t="shared" si="163"/>
        <v>0</v>
      </c>
      <c r="AE73" s="4">
        <f t="shared" si="163"/>
        <v>9.7542011001510495E-3</v>
      </c>
      <c r="AF73" s="4">
        <f t="shared" si="163"/>
        <v>1.356240094265593E-2</v>
      </c>
      <c r="AG73" s="4" t="e">
        <f t="shared" si="163"/>
        <v>#VALUE!</v>
      </c>
      <c r="AH73" s="4" t="e">
        <f t="shared" si="162"/>
        <v>#VALUE!</v>
      </c>
      <c r="AI73" t="str">
        <f t="shared" ref="AI73:AL73" si="164">AI44</f>
        <v>CSH</v>
      </c>
      <c r="AJ73" t="str">
        <f t="shared" si="164"/>
        <v>UP</v>
      </c>
      <c r="AL73" t="str">
        <f t="shared" si="164"/>
        <v>Techs_CSHLPG</v>
      </c>
      <c r="AN73" s="5">
        <v>1</v>
      </c>
    </row>
    <row r="74" spans="1:40">
      <c r="A74">
        <v>2050</v>
      </c>
      <c r="B74" t="str">
        <f t="shared" ref="B74:C74" si="165">B45</f>
        <v>RSH</v>
      </c>
      <c r="C74" t="str">
        <f t="shared" si="165"/>
        <v>*ELC</v>
      </c>
      <c r="D74" s="4">
        <f t="shared" ref="D74:R74" si="166">D45*$AN74</f>
        <v>0</v>
      </c>
      <c r="E74" s="4">
        <f t="shared" si="166"/>
        <v>0</v>
      </c>
      <c r="F74" s="4">
        <f t="shared" si="166"/>
        <v>0.18752923220835488</v>
      </c>
      <c r="G74" s="4">
        <f t="shared" si="166"/>
        <v>2.5875991962968366E-2</v>
      </c>
      <c r="H74" s="4">
        <f t="shared" si="166"/>
        <v>0.40701041042331015</v>
      </c>
      <c r="I74" s="4" t="e">
        <f t="shared" si="166"/>
        <v>#VALUE!</v>
      </c>
      <c r="J74" s="4">
        <f t="shared" si="166"/>
        <v>0.22879744741280481</v>
      </c>
      <c r="K74" s="4">
        <f t="shared" si="166"/>
        <v>0.15484534080056975</v>
      </c>
      <c r="L74" s="4">
        <f t="shared" si="166"/>
        <v>0.39701364918065507</v>
      </c>
      <c r="M74" s="4">
        <f t="shared" si="166"/>
        <v>9.7147999738234472E-2</v>
      </c>
      <c r="N74" s="4">
        <f t="shared" si="166"/>
        <v>0.16524854428883626</v>
      </c>
      <c r="O74" s="4">
        <f t="shared" si="166"/>
        <v>3.6405965687359904E-2</v>
      </c>
      <c r="P74" s="4">
        <f t="shared" si="166"/>
        <v>7.918657064807319E-2</v>
      </c>
      <c r="Q74" s="4">
        <f t="shared" si="166"/>
        <v>8.6417420780618787E-2</v>
      </c>
      <c r="R74" s="4">
        <f t="shared" si="166"/>
        <v>5.4309488998393537E-2</v>
      </c>
      <c r="S74" s="4">
        <f t="shared" ref="S74:AH74" si="167">S45*$AN74</f>
        <v>0.22843754771437932</v>
      </c>
      <c r="T74" s="4">
        <f t="shared" si="167"/>
        <v>1.2671361398706374E-2</v>
      </c>
      <c r="U74" s="4">
        <f t="shared" ref="U74:AG74" si="168">U45*$AN74</f>
        <v>0.17267685932444943</v>
      </c>
      <c r="V74" s="4">
        <f t="shared" si="168"/>
        <v>7.1683083978638679E-2</v>
      </c>
      <c r="W74" s="4" t="e">
        <f t="shared" si="168"/>
        <v>#VALUE!</v>
      </c>
      <c r="X74" s="4">
        <f t="shared" si="168"/>
        <v>5.7738072753371353E-2</v>
      </c>
      <c r="Y74" s="4">
        <f t="shared" si="168"/>
        <v>0.25538428273103336</v>
      </c>
      <c r="Z74" s="4">
        <f t="shared" si="168"/>
        <v>1.8724657441063299E-2</v>
      </c>
      <c r="AA74" s="4">
        <f t="shared" si="168"/>
        <v>0.5483504834111862</v>
      </c>
      <c r="AB74" s="4">
        <f t="shared" si="168"/>
        <v>1.4238971985975011E-2</v>
      </c>
      <c r="AC74" s="4">
        <f t="shared" si="168"/>
        <v>0.3163663565992324</v>
      </c>
      <c r="AD74" s="4">
        <f t="shared" si="168"/>
        <v>0</v>
      </c>
      <c r="AE74" s="4">
        <f t="shared" si="168"/>
        <v>9.4899897481522402E-2</v>
      </c>
      <c r="AF74" s="4">
        <f t="shared" si="168"/>
        <v>0.15192765853760276</v>
      </c>
      <c r="AG74" s="4" t="e">
        <f t="shared" si="168"/>
        <v>#VALUE!</v>
      </c>
      <c r="AH74" s="4" t="e">
        <f t="shared" si="167"/>
        <v>#VALUE!</v>
      </c>
      <c r="AI74" t="str">
        <f t="shared" ref="AI74:AL74" si="169">AI45</f>
        <v>RSH</v>
      </c>
      <c r="AJ74" t="str">
        <f t="shared" si="169"/>
        <v>LO</v>
      </c>
      <c r="AL74" t="str">
        <f t="shared" si="169"/>
        <v>Techs_RSHELC</v>
      </c>
      <c r="AN74" s="5">
        <v>1</v>
      </c>
    </row>
    <row r="75" spans="1:40">
      <c r="A75">
        <v>2050</v>
      </c>
      <c r="B75" t="str">
        <f t="shared" ref="B75:C75" si="170">B46</f>
        <v>CSH</v>
      </c>
      <c r="C75" t="str">
        <f t="shared" si="170"/>
        <v>*ELC</v>
      </c>
      <c r="D75" s="4">
        <f t="shared" ref="D75:R75" si="171">D46*$AN75</f>
        <v>0</v>
      </c>
      <c r="E75" s="4">
        <f t="shared" si="171"/>
        <v>0</v>
      </c>
      <c r="F75" s="4">
        <f t="shared" si="171"/>
        <v>0.33690946452043624</v>
      </c>
      <c r="G75" s="4">
        <f t="shared" si="171"/>
        <v>3.0316232755060561E-2</v>
      </c>
      <c r="H75" s="4">
        <f t="shared" si="171"/>
        <v>0.28159906908158561</v>
      </c>
      <c r="I75" s="4">
        <f t="shared" si="171"/>
        <v>0.41140863265581384</v>
      </c>
      <c r="J75" s="4">
        <f t="shared" si="171"/>
        <v>0.21000123631290568</v>
      </c>
      <c r="K75" s="4">
        <f t="shared" si="171"/>
        <v>0.91611579643637198</v>
      </c>
      <c r="L75" s="4">
        <f t="shared" si="171"/>
        <v>0.22390731879224612</v>
      </c>
      <c r="M75" s="4">
        <f t="shared" si="171"/>
        <v>7.9437130586864926E-2</v>
      </c>
      <c r="N75" s="4">
        <f t="shared" si="171"/>
        <v>0.2162196604455264</v>
      </c>
      <c r="O75" s="4">
        <f t="shared" si="171"/>
        <v>0.14527303341907855</v>
      </c>
      <c r="P75" s="4">
        <f t="shared" si="171"/>
        <v>0.28515910665335703</v>
      </c>
      <c r="Q75" s="4">
        <f t="shared" si="171"/>
        <v>0.35733292595299226</v>
      </c>
      <c r="R75" s="4">
        <f t="shared" si="171"/>
        <v>0.14993296070032894</v>
      </c>
      <c r="S75" s="4">
        <f t="shared" ref="S75:AH75" si="172">S46*$AN75</f>
        <v>0.4891916514861836</v>
      </c>
      <c r="T75" s="4">
        <f t="shared" si="172"/>
        <v>0.11686688207602433</v>
      </c>
      <c r="U75" s="4">
        <f t="shared" ref="U75:AG75" si="173">U46*$AN75</f>
        <v>0.33989891091419755</v>
      </c>
      <c r="V75" s="4">
        <f t="shared" si="173"/>
        <v>0.22490627849254624</v>
      </c>
      <c r="W75" s="4">
        <f t="shared" si="173"/>
        <v>0.2283140341505753</v>
      </c>
      <c r="X75" s="4">
        <f t="shared" si="173"/>
        <v>0.51478809691305427</v>
      </c>
      <c r="Y75" s="4">
        <f t="shared" si="173"/>
        <v>0.88257906368872729</v>
      </c>
      <c r="Z75" s="4">
        <f t="shared" si="173"/>
        <v>0.54526639406900146</v>
      </c>
      <c r="AA75" s="4">
        <f t="shared" si="173"/>
        <v>0.3573275380915128</v>
      </c>
      <c r="AB75" s="4">
        <f t="shared" si="173"/>
        <v>6.5345131688581165E-2</v>
      </c>
      <c r="AC75" s="4">
        <f t="shared" si="173"/>
        <v>1</v>
      </c>
      <c r="AD75" s="4">
        <f t="shared" si="173"/>
        <v>0</v>
      </c>
      <c r="AE75" s="4">
        <f t="shared" si="173"/>
        <v>0.30301942148218841</v>
      </c>
      <c r="AF75" s="4">
        <f t="shared" si="173"/>
        <v>0.14669730643491047</v>
      </c>
      <c r="AG75" s="4" t="e">
        <f t="shared" si="173"/>
        <v>#VALUE!</v>
      </c>
      <c r="AH75" s="4" t="e">
        <f t="shared" si="172"/>
        <v>#VALUE!</v>
      </c>
      <c r="AI75" t="str">
        <f t="shared" ref="AI75:AL75" si="174">AI46</f>
        <v>CSH</v>
      </c>
      <c r="AJ75" t="str">
        <f t="shared" si="174"/>
        <v>LO</v>
      </c>
      <c r="AL75" t="str">
        <f t="shared" si="174"/>
        <v>Techs_CSHELC</v>
      </c>
      <c r="AN75" s="5">
        <v>1</v>
      </c>
    </row>
    <row r="76" spans="1:40">
      <c r="A76">
        <v>2050</v>
      </c>
      <c r="B76" t="str">
        <f t="shared" ref="B76:C76" si="175">B47</f>
        <v>RSH</v>
      </c>
      <c r="C76" t="str">
        <f t="shared" si="175"/>
        <v>*HET</v>
      </c>
      <c r="D76" s="4">
        <f t="shared" ref="D76:R76" si="176">D47*$AN76</f>
        <v>0</v>
      </c>
      <c r="E76" s="4">
        <f t="shared" si="176"/>
        <v>0</v>
      </c>
      <c r="F76" s="4">
        <f t="shared" si="176"/>
        <v>0</v>
      </c>
      <c r="G76" s="4">
        <f t="shared" si="176"/>
        <v>0.11881992551164405</v>
      </c>
      <c r="H76" s="4">
        <f t="shared" si="176"/>
        <v>0</v>
      </c>
      <c r="I76" s="4" t="e">
        <f t="shared" si="176"/>
        <v>#VALUE!</v>
      </c>
      <c r="J76" s="4">
        <f t="shared" si="176"/>
        <v>0</v>
      </c>
      <c r="K76" s="4">
        <f t="shared" si="176"/>
        <v>0</v>
      </c>
      <c r="L76" s="4">
        <f t="shared" si="176"/>
        <v>0</v>
      </c>
      <c r="M76" s="4">
        <f t="shared" si="176"/>
        <v>0.43548284381197661</v>
      </c>
      <c r="N76" s="4">
        <f t="shared" si="176"/>
        <v>0.62637611138180405</v>
      </c>
      <c r="O76" s="4">
        <f t="shared" si="176"/>
        <v>0.28530220426836178</v>
      </c>
      <c r="P76" s="4">
        <f t="shared" si="176"/>
        <v>2.3518627249700212E-2</v>
      </c>
      <c r="Q76" s="4">
        <f t="shared" si="176"/>
        <v>4.757765778221313E-2</v>
      </c>
      <c r="R76" s="4">
        <f t="shared" si="176"/>
        <v>0.16926120467139585</v>
      </c>
      <c r="S76" s="4">
        <f t="shared" ref="S76:AH76" si="177">S47*$AN76</f>
        <v>1.1414391323876683E-4</v>
      </c>
      <c r="T76" s="4">
        <f t="shared" si="177"/>
        <v>0.19693045271020526</v>
      </c>
      <c r="U76" s="4">
        <f t="shared" ref="U76:AG76" si="178">U47*$AN76</f>
        <v>6.9777905855451183E-2</v>
      </c>
      <c r="V76" s="4">
        <f t="shared" si="178"/>
        <v>0.11260810898171257</v>
      </c>
      <c r="W76" s="4" t="e">
        <f t="shared" si="178"/>
        <v>#VALUE!</v>
      </c>
      <c r="X76" s="4">
        <f t="shared" si="178"/>
        <v>0</v>
      </c>
      <c r="Y76" s="4">
        <f t="shared" si="178"/>
        <v>0</v>
      </c>
      <c r="Z76" s="4">
        <f t="shared" si="178"/>
        <v>0</v>
      </c>
      <c r="AA76" s="4">
        <f t="shared" si="178"/>
        <v>0.34002105207954847</v>
      </c>
      <c r="AB76" s="4">
        <f t="shared" si="178"/>
        <v>0.41627458494233388</v>
      </c>
      <c r="AC76" s="4">
        <f t="shared" si="178"/>
        <v>0</v>
      </c>
      <c r="AD76" s="4">
        <f t="shared" si="178"/>
        <v>0</v>
      </c>
      <c r="AE76" s="4">
        <f t="shared" si="178"/>
        <v>1.234261112772882E-2</v>
      </c>
      <c r="AF76" s="4">
        <f t="shared" si="178"/>
        <v>0</v>
      </c>
      <c r="AG76" s="4" t="e">
        <f t="shared" si="178"/>
        <v>#VALUE!</v>
      </c>
      <c r="AH76" s="4" t="e">
        <f t="shared" si="177"/>
        <v>#VALUE!</v>
      </c>
      <c r="AI76" t="str">
        <f t="shared" ref="AI76:AJ76" si="179">AI47</f>
        <v>RSH</v>
      </c>
      <c r="AJ76" t="str">
        <f t="shared" si="179"/>
        <v>LO</v>
      </c>
      <c r="AL76" t="str">
        <f t="shared" ref="AL76" si="180">AL47</f>
        <v>Techs_RSHHET</v>
      </c>
      <c r="AN76" s="5">
        <v>1</v>
      </c>
    </row>
    <row r="77" spans="1:40">
      <c r="A77">
        <v>2050</v>
      </c>
      <c r="B77" t="str">
        <f t="shared" ref="B77:C77" si="181">B48</f>
        <v>CSH</v>
      </c>
      <c r="C77" t="str">
        <f t="shared" si="181"/>
        <v>*HET</v>
      </c>
      <c r="D77" s="4">
        <f t="shared" ref="D77:R77" si="182">D48*$AN77</f>
        <v>0</v>
      </c>
      <c r="E77" s="4">
        <f t="shared" si="182"/>
        <v>0</v>
      </c>
      <c r="F77" s="4">
        <f t="shared" si="182"/>
        <v>0</v>
      </c>
      <c r="G77" s="4">
        <f t="shared" si="182"/>
        <v>0.35047563905644402</v>
      </c>
      <c r="H77" s="4">
        <f t="shared" si="182"/>
        <v>6.602663749300057E-2</v>
      </c>
      <c r="I77" s="4">
        <f t="shared" si="182"/>
        <v>0.12076586003935619</v>
      </c>
      <c r="J77" s="4">
        <f t="shared" si="182"/>
        <v>0</v>
      </c>
      <c r="K77" s="4">
        <f t="shared" si="182"/>
        <v>0</v>
      </c>
      <c r="L77" s="4">
        <f t="shared" si="182"/>
        <v>6.0503705029043458E-4</v>
      </c>
      <c r="M77" s="4">
        <f t="shared" si="182"/>
        <v>0.22781633974171053</v>
      </c>
      <c r="N77" s="4">
        <f t="shared" si="182"/>
        <v>0.66740623513241781</v>
      </c>
      <c r="O77" s="4">
        <f t="shared" si="182"/>
        <v>0.39668267186198181</v>
      </c>
      <c r="P77" s="4">
        <f t="shared" si="182"/>
        <v>8.0119735914874077E-2</v>
      </c>
      <c r="Q77" s="4">
        <f t="shared" si="182"/>
        <v>5.3576274355058219E-2</v>
      </c>
      <c r="R77" s="4">
        <f t="shared" si="182"/>
        <v>0.21387991886529575</v>
      </c>
      <c r="S77" s="4">
        <f t="shared" ref="S77:AH77" si="183">S48*$AN77</f>
        <v>7.1594595271569058E-3</v>
      </c>
      <c r="T77" s="4">
        <f t="shared" si="183"/>
        <v>0.43934595963428125</v>
      </c>
      <c r="U77" s="4">
        <f t="shared" ref="U77:AG77" si="184">U48*$AN77</f>
        <v>0.11116567015870996</v>
      </c>
      <c r="V77" s="4">
        <f t="shared" si="184"/>
        <v>0.13426475887064529</v>
      </c>
      <c r="W77" s="4">
        <f t="shared" si="184"/>
        <v>0</v>
      </c>
      <c r="X77" s="4">
        <f t="shared" si="184"/>
        <v>0</v>
      </c>
      <c r="Y77" s="4">
        <f t="shared" si="184"/>
        <v>0</v>
      </c>
      <c r="Z77" s="4">
        <f t="shared" si="184"/>
        <v>0</v>
      </c>
      <c r="AA77" s="4">
        <f t="shared" si="184"/>
        <v>0.48041482381420081</v>
      </c>
      <c r="AB77" s="4">
        <f t="shared" si="184"/>
        <v>0.73536787503907397</v>
      </c>
      <c r="AC77" s="4">
        <f t="shared" si="184"/>
        <v>0</v>
      </c>
      <c r="AD77" s="4">
        <f t="shared" si="184"/>
        <v>0</v>
      </c>
      <c r="AE77" s="4">
        <f t="shared" si="184"/>
        <v>5.6315989094889801E-2</v>
      </c>
      <c r="AF77" s="4">
        <f t="shared" si="184"/>
        <v>2.1950526139931724E-2</v>
      </c>
      <c r="AG77" s="4" t="e">
        <f t="shared" si="184"/>
        <v>#VALUE!</v>
      </c>
      <c r="AH77" s="4" t="e">
        <f t="shared" si="183"/>
        <v>#VALUE!</v>
      </c>
      <c r="AI77" t="str">
        <f t="shared" ref="AI77:AJ77" si="185">AI48</f>
        <v>CSH</v>
      </c>
      <c r="AJ77" t="str">
        <f t="shared" si="185"/>
        <v>LO</v>
      </c>
      <c r="AL77" t="str">
        <f t="shared" ref="AL77" si="186">AL48</f>
        <v>Techs_CSHHET</v>
      </c>
      <c r="AN77" s="5">
        <v>1</v>
      </c>
    </row>
    <row r="78" spans="1:40">
      <c r="A78">
        <v>2050</v>
      </c>
      <c r="B78" t="str">
        <f t="shared" ref="B78:C81" si="187">B49</f>
        <v>RCK</v>
      </c>
      <c r="C78" t="str">
        <f t="shared" si="187"/>
        <v>*COA</v>
      </c>
      <c r="D78" s="4">
        <f t="shared" ref="D78:R78" si="188">D49*$AN78</f>
        <v>0</v>
      </c>
      <c r="E78" s="4">
        <f t="shared" si="188"/>
        <v>1.0623453291597326E-6</v>
      </c>
      <c r="F78" s="4">
        <f t="shared" si="188"/>
        <v>0</v>
      </c>
      <c r="G78" s="4">
        <f t="shared" si="188"/>
        <v>3.2931457914713101E-2</v>
      </c>
      <c r="H78" s="4">
        <f t="shared" si="188"/>
        <v>0</v>
      </c>
      <c r="I78" s="4">
        <f t="shared" si="188"/>
        <v>1.5137805486942348E-2</v>
      </c>
      <c r="J78" s="4">
        <f t="shared" si="188"/>
        <v>0</v>
      </c>
      <c r="K78" s="4">
        <f t="shared" si="188"/>
        <v>0</v>
      </c>
      <c r="L78" s="4">
        <f t="shared" si="188"/>
        <v>0</v>
      </c>
      <c r="M78" s="4">
        <f t="shared" si="188"/>
        <v>1.723416903569415E-2</v>
      </c>
      <c r="N78" s="4">
        <f t="shared" si="188"/>
        <v>0</v>
      </c>
      <c r="O78" s="4">
        <f t="shared" si="188"/>
        <v>9.9429036291598261E-3</v>
      </c>
      <c r="P78" s="4">
        <f t="shared" si="188"/>
        <v>3.861152940267964E-5</v>
      </c>
      <c r="Q78" s="4">
        <f t="shared" si="188"/>
        <v>0</v>
      </c>
      <c r="R78" s="4">
        <f t="shared" si="188"/>
        <v>6.8973128069304212E-4</v>
      </c>
      <c r="S78" s="4">
        <f t="shared" ref="S78:AH78" si="189">S49*$AN78</f>
        <v>0</v>
      </c>
      <c r="T78" s="4">
        <f t="shared" si="189"/>
        <v>0</v>
      </c>
      <c r="U78" s="4">
        <f t="shared" ref="U78:AG78" si="190">U49*$AN78</f>
        <v>0</v>
      </c>
      <c r="V78" s="4">
        <f t="shared" si="190"/>
        <v>1.5635505104992417E-5</v>
      </c>
      <c r="W78" s="4">
        <f t="shared" si="190"/>
        <v>2.1606921639403733E-2</v>
      </c>
      <c r="X78" s="4">
        <f t="shared" si="190"/>
        <v>1.9610577509718128E-4</v>
      </c>
      <c r="Y78" s="4">
        <f t="shared" si="190"/>
        <v>0</v>
      </c>
      <c r="Z78" s="4">
        <f t="shared" si="190"/>
        <v>0</v>
      </c>
      <c r="AA78" s="4">
        <f t="shared" si="190"/>
        <v>0</v>
      </c>
      <c r="AB78" s="4">
        <f t="shared" si="190"/>
        <v>3.0733912522717729E-3</v>
      </c>
      <c r="AC78" s="4">
        <f t="shared" si="190"/>
        <v>0</v>
      </c>
      <c r="AD78" s="4">
        <f t="shared" si="190"/>
        <v>5.4844203355620035E-2</v>
      </c>
      <c r="AE78" s="4">
        <f t="shared" si="190"/>
        <v>1.9961275126255068E-5</v>
      </c>
      <c r="AF78" s="4">
        <f t="shared" si="190"/>
        <v>0</v>
      </c>
      <c r="AG78" s="4" t="e">
        <f t="shared" si="190"/>
        <v>#VALUE!</v>
      </c>
      <c r="AH78" s="4" t="e">
        <f t="shared" si="189"/>
        <v>#VALUE!</v>
      </c>
      <c r="AI78" t="str">
        <f t="shared" ref="AI78:AJ78" si="191">AI49</f>
        <v>RCK</v>
      </c>
      <c r="AJ78" t="str">
        <f t="shared" si="191"/>
        <v>UP</v>
      </c>
      <c r="AL78" t="str">
        <f>AL49</f>
        <v>Techs_RCKCOA</v>
      </c>
      <c r="AN78" s="5">
        <v>1</v>
      </c>
    </row>
    <row r="79" spans="1:40">
      <c r="A79">
        <v>2050</v>
      </c>
      <c r="B79" t="str">
        <f t="shared" si="187"/>
        <v>CCK</v>
      </c>
      <c r="C79" t="str">
        <f t="shared" si="187"/>
        <v>*COA</v>
      </c>
      <c r="D79" s="4">
        <f t="shared" ref="D79:R79" si="192">D50*$AN79</f>
        <v>0</v>
      </c>
      <c r="E79" s="4">
        <f t="shared" si="192"/>
        <v>2.1551742473052197E-4</v>
      </c>
      <c r="F79" s="4">
        <f t="shared" si="192"/>
        <v>0</v>
      </c>
      <c r="G79" s="4">
        <f t="shared" si="192"/>
        <v>0</v>
      </c>
      <c r="H79" s="4">
        <f t="shared" si="192"/>
        <v>1.640373527465809E-3</v>
      </c>
      <c r="I79" s="4">
        <f t="shared" si="192"/>
        <v>1.4563305368522607E-2</v>
      </c>
      <c r="J79" s="4">
        <f t="shared" si="192"/>
        <v>0</v>
      </c>
      <c r="K79" s="4">
        <f t="shared" si="192"/>
        <v>0</v>
      </c>
      <c r="L79" s="4">
        <f t="shared" si="192"/>
        <v>0</v>
      </c>
      <c r="M79" s="4">
        <f t="shared" si="192"/>
        <v>7.0027443220350677E-2</v>
      </c>
      <c r="N79" s="4">
        <f t="shared" si="192"/>
        <v>0</v>
      </c>
      <c r="O79" s="4">
        <f t="shared" si="192"/>
        <v>0</v>
      </c>
      <c r="P79" s="4">
        <f t="shared" si="192"/>
        <v>0</v>
      </c>
      <c r="Q79" s="4">
        <f t="shared" si="192"/>
        <v>0</v>
      </c>
      <c r="R79" s="4">
        <f t="shared" si="192"/>
        <v>0</v>
      </c>
      <c r="S79" s="4">
        <f t="shared" ref="S79:AH79" si="193">S50*$AN79</f>
        <v>0</v>
      </c>
      <c r="T79" s="4">
        <f t="shared" si="193"/>
        <v>0</v>
      </c>
      <c r="U79" s="4">
        <f t="shared" ref="U79:AG79" si="194">U50*$AN79</f>
        <v>0</v>
      </c>
      <c r="V79" s="4">
        <f t="shared" si="194"/>
        <v>0</v>
      </c>
      <c r="W79" s="4">
        <f t="shared" si="194"/>
        <v>0.1321273730455291</v>
      </c>
      <c r="X79" s="4">
        <f t="shared" si="194"/>
        <v>0</v>
      </c>
      <c r="Y79" s="4">
        <f t="shared" si="194"/>
        <v>0</v>
      </c>
      <c r="Z79" s="4">
        <f t="shared" si="194"/>
        <v>0</v>
      </c>
      <c r="AA79" s="4">
        <f t="shared" si="194"/>
        <v>0</v>
      </c>
      <c r="AB79" s="4">
        <f t="shared" si="194"/>
        <v>0</v>
      </c>
      <c r="AC79" s="4">
        <f t="shared" si="194"/>
        <v>0</v>
      </c>
      <c r="AD79" s="4">
        <f t="shared" si="194"/>
        <v>0.44672768042773864</v>
      </c>
      <c r="AE79" s="4">
        <f t="shared" si="194"/>
        <v>0</v>
      </c>
      <c r="AF79" s="4">
        <f t="shared" si="194"/>
        <v>0</v>
      </c>
      <c r="AG79" s="4" t="e">
        <f t="shared" si="194"/>
        <v>#VALUE!</v>
      </c>
      <c r="AH79" s="4" t="e">
        <f t="shared" si="193"/>
        <v>#VALUE!</v>
      </c>
      <c r="AI79" t="str">
        <f t="shared" ref="AI79:AJ79" si="195">AI50</f>
        <v>CCK</v>
      </c>
      <c r="AJ79" t="str">
        <f t="shared" si="195"/>
        <v>UP</v>
      </c>
      <c r="AL79" t="str">
        <f>AL50</f>
        <v>Techs_CCKCOA</v>
      </c>
      <c r="AN79" s="5">
        <v>1</v>
      </c>
    </row>
    <row r="80" spans="1:40">
      <c r="A80">
        <v>2050</v>
      </c>
      <c r="B80" t="str">
        <f t="shared" si="187"/>
        <v>RCK</v>
      </c>
      <c r="C80" t="str">
        <f t="shared" si="187"/>
        <v>*ELC</v>
      </c>
      <c r="D80" s="4">
        <f t="shared" ref="D80:R80" si="196">D51*$AN80</f>
        <v>0</v>
      </c>
      <c r="E80" s="4">
        <f t="shared" si="196"/>
        <v>0</v>
      </c>
      <c r="F80" s="4">
        <f t="shared" si="196"/>
        <v>1.7567929326730023E-3</v>
      </c>
      <c r="G80" s="4">
        <f t="shared" si="196"/>
        <v>0.14756163684495902</v>
      </c>
      <c r="H80" s="4">
        <f t="shared" si="196"/>
        <v>0.30465585553738972</v>
      </c>
      <c r="I80" s="4">
        <f t="shared" si="196"/>
        <v>1.2334405296530576E-2</v>
      </c>
      <c r="J80" s="4">
        <f t="shared" si="196"/>
        <v>0.63487565066512441</v>
      </c>
      <c r="K80" s="4">
        <f t="shared" si="196"/>
        <v>3.1429725747421462E-3</v>
      </c>
      <c r="L80" s="4">
        <f t="shared" si="196"/>
        <v>0.87180098012523821</v>
      </c>
      <c r="M80" s="4">
        <f t="shared" si="196"/>
        <v>5.3769204411472427E-2</v>
      </c>
      <c r="N80" s="4">
        <f t="shared" si="196"/>
        <v>0.94616546263417822</v>
      </c>
      <c r="O80" s="4">
        <f t="shared" si="196"/>
        <v>0.29726268850088133</v>
      </c>
      <c r="P80" s="4">
        <f t="shared" si="196"/>
        <v>0.59342059538978331</v>
      </c>
      <c r="Q80" s="4">
        <f t="shared" si="196"/>
        <v>0.62671572780749962</v>
      </c>
      <c r="R80" s="4">
        <f t="shared" si="196"/>
        <v>0.32682227004359105</v>
      </c>
      <c r="S80" s="4">
        <f t="shared" ref="S80:AH80" si="197">S51*$AN80</f>
        <v>0.83906159490249088</v>
      </c>
      <c r="T80" s="4">
        <f t="shared" si="197"/>
        <v>7.2760700492037464E-2</v>
      </c>
      <c r="U80" s="4">
        <f t="shared" ref="U80:AG80" si="198">U51*$AN80</f>
        <v>0.79804737833283779</v>
      </c>
      <c r="V80" s="4">
        <f t="shared" si="198"/>
        <v>0.59841768688337493</v>
      </c>
      <c r="W80" s="4">
        <f t="shared" si="198"/>
        <v>2.1514115650323904E-3</v>
      </c>
      <c r="X80" s="4">
        <f t="shared" si="198"/>
        <v>1.8390363798002334E-3</v>
      </c>
      <c r="Y80" s="4">
        <f t="shared" si="198"/>
        <v>4.4765442924060272E-3</v>
      </c>
      <c r="Z80" s="4">
        <f t="shared" si="198"/>
        <v>4.6668873894248925E-2</v>
      </c>
      <c r="AA80" s="4">
        <f t="shared" si="198"/>
        <v>0.99461890611195902</v>
      </c>
      <c r="AB80" s="4">
        <f t="shared" si="198"/>
        <v>0.10828401628606243</v>
      </c>
      <c r="AC80" s="4">
        <f t="shared" si="198"/>
        <v>0.21157148518339131</v>
      </c>
      <c r="AD80" s="4">
        <f t="shared" si="198"/>
        <v>0</v>
      </c>
      <c r="AE80" s="4">
        <f t="shared" si="198"/>
        <v>0.62684392278978784</v>
      </c>
      <c r="AF80" s="4">
        <f t="shared" si="198"/>
        <v>0.58611855429480897</v>
      </c>
      <c r="AG80" s="4" t="e">
        <f t="shared" si="198"/>
        <v>#VALUE!</v>
      </c>
      <c r="AH80" s="4" t="e">
        <f t="shared" si="197"/>
        <v>#VALUE!</v>
      </c>
      <c r="AI80" t="str">
        <f t="shared" ref="AI80:AJ80" si="199">AI51</f>
        <v>RCK</v>
      </c>
      <c r="AJ80" t="str">
        <f t="shared" si="199"/>
        <v>LO</v>
      </c>
      <c r="AL80" t="str">
        <f>AL51</f>
        <v>Techs_RCKELC</v>
      </c>
      <c r="AN80" s="5">
        <v>1</v>
      </c>
    </row>
    <row r="81" spans="1:41">
      <c r="A81">
        <v>2050</v>
      </c>
      <c r="B81" t="str">
        <f t="shared" si="187"/>
        <v>CCK</v>
      </c>
      <c r="C81" t="str">
        <f t="shared" si="187"/>
        <v>*ELC</v>
      </c>
      <c r="D81" s="4">
        <f t="shared" ref="D81:R81" si="200">D52*$AN81</f>
        <v>0.31238988919428756</v>
      </c>
      <c r="E81" s="4">
        <f t="shared" si="200"/>
        <v>8.1913866412141309E-2</v>
      </c>
      <c r="F81" s="4">
        <f t="shared" si="200"/>
        <v>5.4950341387117886E-2</v>
      </c>
      <c r="G81" s="4">
        <f t="shared" si="200"/>
        <v>4.7423259614059916E-2</v>
      </c>
      <c r="H81" s="4">
        <f t="shared" si="200"/>
        <v>0</v>
      </c>
      <c r="I81" s="4">
        <f t="shared" si="200"/>
        <v>7.4449892918504318E-2</v>
      </c>
      <c r="J81" s="4">
        <f t="shared" si="200"/>
        <v>0.72313027732698365</v>
      </c>
      <c r="K81" s="4">
        <f t="shared" si="200"/>
        <v>0.29292217579099483</v>
      </c>
      <c r="L81" s="4">
        <f t="shared" si="200"/>
        <v>0.22349620643615123</v>
      </c>
      <c r="M81" s="4">
        <f t="shared" si="200"/>
        <v>0.155275045850852</v>
      </c>
      <c r="N81" s="4">
        <f t="shared" si="200"/>
        <v>0.72193562928381982</v>
      </c>
      <c r="O81" s="4">
        <f t="shared" si="200"/>
        <v>0.30545713750396464</v>
      </c>
      <c r="P81" s="4">
        <f t="shared" si="200"/>
        <v>0.20978550908515814</v>
      </c>
      <c r="Q81" s="4">
        <f t="shared" si="200"/>
        <v>0.21849542775718953</v>
      </c>
      <c r="R81" s="4">
        <f t="shared" si="200"/>
        <v>0.21579970895869377</v>
      </c>
      <c r="S81" s="4">
        <f t="shared" ref="S81:AH81" si="201">S52*$AN81</f>
        <v>0.40151462130972948</v>
      </c>
      <c r="T81" s="4">
        <f t="shared" si="201"/>
        <v>7.2723695842625155E-2</v>
      </c>
      <c r="U81" s="4">
        <f t="shared" ref="U81:AG81" si="202">U52*$AN81</f>
        <v>0.29802571350461227</v>
      </c>
      <c r="V81" s="4">
        <f t="shared" si="202"/>
        <v>0.20856801429809405</v>
      </c>
      <c r="W81" s="4">
        <f t="shared" si="202"/>
        <v>6.2669253796986485E-2</v>
      </c>
      <c r="X81" s="4">
        <f t="shared" si="202"/>
        <v>0.10723368753992889</v>
      </c>
      <c r="Y81" s="4">
        <f t="shared" si="202"/>
        <v>4.0653300970366443E-2</v>
      </c>
      <c r="Z81" s="4">
        <f t="shared" si="202"/>
        <v>4.4254219576553594E-2</v>
      </c>
      <c r="AA81" s="4">
        <f t="shared" si="202"/>
        <v>0.79472045431366989</v>
      </c>
      <c r="AB81" s="4">
        <f t="shared" si="202"/>
        <v>0.31867292875409564</v>
      </c>
      <c r="AC81" s="4">
        <f t="shared" si="202"/>
        <v>1</v>
      </c>
      <c r="AD81" s="4">
        <f t="shared" si="202"/>
        <v>0.43661230241284954</v>
      </c>
      <c r="AE81" s="4">
        <f t="shared" si="202"/>
        <v>0.17551119168518772</v>
      </c>
      <c r="AF81" s="4">
        <f t="shared" si="202"/>
        <v>0.15494370459436532</v>
      </c>
      <c r="AG81" s="4" t="e">
        <f t="shared" si="202"/>
        <v>#VALUE!</v>
      </c>
      <c r="AH81" s="4" t="e">
        <f t="shared" si="201"/>
        <v>#VALUE!</v>
      </c>
      <c r="AI81" t="str">
        <f t="shared" ref="AI81:AJ81" si="203">AI52</f>
        <v>CCK</v>
      </c>
      <c r="AJ81" t="str">
        <f t="shared" si="203"/>
        <v>LO</v>
      </c>
      <c r="AL81" t="str">
        <f>AL52</f>
        <v>Techs_CCKELC</v>
      </c>
      <c r="AN81" s="5">
        <v>1</v>
      </c>
    </row>
    <row r="82" spans="1:41">
      <c r="A82">
        <v>2050</v>
      </c>
      <c r="B82" t="str">
        <f t="shared" ref="B82:C82" si="204">B53</f>
        <v>RCK</v>
      </c>
      <c r="C82" t="str">
        <f t="shared" si="204"/>
        <v>*KER</v>
      </c>
      <c r="D82" s="4">
        <f t="shared" ref="D82:R82" si="205">D53*$AN82</f>
        <v>6.9437615026904003E-3</v>
      </c>
      <c r="E82" s="4">
        <f t="shared" si="205"/>
        <v>1.1593905749784743E-2</v>
      </c>
      <c r="F82" s="4">
        <f t="shared" si="205"/>
        <v>1.3175946995047516E-2</v>
      </c>
      <c r="G82" s="4">
        <f t="shared" si="205"/>
        <v>8.2129301821197327E-3</v>
      </c>
      <c r="H82" s="4">
        <f t="shared" si="205"/>
        <v>0.13821748928460961</v>
      </c>
      <c r="I82" s="4">
        <f t="shared" si="205"/>
        <v>1.0439315100931434E-2</v>
      </c>
      <c r="J82" s="4">
        <f t="shared" si="205"/>
        <v>0</v>
      </c>
      <c r="K82" s="4">
        <f t="shared" si="205"/>
        <v>1.6635771662151244E-4</v>
      </c>
      <c r="L82" s="4">
        <f t="shared" si="205"/>
        <v>0</v>
      </c>
      <c r="M82" s="4">
        <f t="shared" si="205"/>
        <v>2.6485742216834141E-3</v>
      </c>
      <c r="N82" s="4">
        <f t="shared" si="205"/>
        <v>8.1629321252193793E-5</v>
      </c>
      <c r="O82" s="4">
        <f t="shared" si="205"/>
        <v>0</v>
      </c>
      <c r="P82" s="4">
        <f t="shared" si="205"/>
        <v>2.1506621877292562E-2</v>
      </c>
      <c r="Q82" s="4">
        <f t="shared" si="205"/>
        <v>2.9049359703696534E-4</v>
      </c>
      <c r="R82" s="4">
        <f t="shared" si="205"/>
        <v>0</v>
      </c>
      <c r="S82" s="4">
        <f t="shared" ref="S82:AH82" si="206">S53*$AN82</f>
        <v>0</v>
      </c>
      <c r="T82" s="4">
        <f t="shared" si="206"/>
        <v>1.2036400190466113E-3</v>
      </c>
      <c r="U82" s="4">
        <f t="shared" ref="U82:AG82" si="207">U53*$AN82</f>
        <v>1.9493177387914231E-3</v>
      </c>
      <c r="V82" s="4">
        <f t="shared" si="207"/>
        <v>6.2542020419969669E-5</v>
      </c>
      <c r="W82" s="4">
        <f t="shared" si="207"/>
        <v>3.0302561585913736E-2</v>
      </c>
      <c r="X82" s="4">
        <f t="shared" si="207"/>
        <v>1.6455453483710143E-2</v>
      </c>
      <c r="Y82" s="4">
        <f t="shared" si="207"/>
        <v>0</v>
      </c>
      <c r="Z82" s="4">
        <f t="shared" si="207"/>
        <v>0.17475646663278105</v>
      </c>
      <c r="AA82" s="4">
        <f t="shared" si="207"/>
        <v>0</v>
      </c>
      <c r="AB82" s="4">
        <f t="shared" si="207"/>
        <v>0</v>
      </c>
      <c r="AC82" s="4">
        <f t="shared" si="207"/>
        <v>0.23393950068248867</v>
      </c>
      <c r="AD82" s="4">
        <f t="shared" si="207"/>
        <v>0.15261132837138894</v>
      </c>
      <c r="AE82" s="4">
        <f t="shared" si="207"/>
        <v>2.4652174780925011E-2</v>
      </c>
      <c r="AF82" s="4">
        <f t="shared" si="207"/>
        <v>4.8886095397723307E-4</v>
      </c>
      <c r="AG82" s="4" t="e">
        <f t="shared" si="207"/>
        <v>#VALUE!</v>
      </c>
      <c r="AH82" s="4" t="e">
        <f t="shared" si="206"/>
        <v>#VALUE!</v>
      </c>
      <c r="AI82" t="str">
        <f t="shared" ref="AI82:AL82" si="208">AI53</f>
        <v>RCK</v>
      </c>
      <c r="AJ82" t="str">
        <f t="shared" si="208"/>
        <v>UP</v>
      </c>
      <c r="AL82" t="str">
        <f t="shared" si="208"/>
        <v>Techs_RCKKER</v>
      </c>
      <c r="AN82" s="5">
        <v>1</v>
      </c>
    </row>
    <row r="83" spans="1:41">
      <c r="A83">
        <v>2050</v>
      </c>
      <c r="B83" t="str">
        <f t="shared" ref="B83:C83" si="209">B54</f>
        <v>CCK</v>
      </c>
      <c r="C83" t="str">
        <f t="shared" si="209"/>
        <v>*KER</v>
      </c>
      <c r="D83" s="4">
        <f t="shared" ref="D83:R83" si="210">D54*$AN83</f>
        <v>0</v>
      </c>
      <c r="E83" s="4">
        <f t="shared" si="210"/>
        <v>5.7195162176276672E-4</v>
      </c>
      <c r="F83" s="4">
        <f t="shared" si="210"/>
        <v>2.8249832246807775E-5</v>
      </c>
      <c r="G83" s="4">
        <f t="shared" si="210"/>
        <v>2.5245665201284565E-4</v>
      </c>
      <c r="H83" s="4">
        <f t="shared" si="210"/>
        <v>0</v>
      </c>
      <c r="I83" s="4">
        <f t="shared" si="210"/>
        <v>2.2459377915300581E-2</v>
      </c>
      <c r="J83" s="4">
        <f t="shared" si="210"/>
        <v>2.1943962763806964E-5</v>
      </c>
      <c r="K83" s="4">
        <f t="shared" si="210"/>
        <v>0</v>
      </c>
      <c r="L83" s="4">
        <f t="shared" si="210"/>
        <v>9.599405146892255E-2</v>
      </c>
      <c r="M83" s="4">
        <f t="shared" si="210"/>
        <v>3.2220265438405449E-2</v>
      </c>
      <c r="N83" s="4">
        <f t="shared" si="210"/>
        <v>1.1049614797989703E-3</v>
      </c>
      <c r="O83" s="4">
        <f t="shared" si="210"/>
        <v>1.5287487027340895E-5</v>
      </c>
      <c r="P83" s="4">
        <f t="shared" si="210"/>
        <v>2.530738729542889E-2</v>
      </c>
      <c r="Q83" s="4">
        <f t="shared" si="210"/>
        <v>4.9501475346328417E-4</v>
      </c>
      <c r="R83" s="4">
        <f t="shared" si="210"/>
        <v>2.5641567187059672E-4</v>
      </c>
      <c r="S83" s="4">
        <f t="shared" ref="S83:AH83" si="211">S54*$AN83</f>
        <v>9.614092733118952E-7</v>
      </c>
      <c r="T83" s="4">
        <f t="shared" si="211"/>
        <v>0</v>
      </c>
      <c r="U83" s="4">
        <f t="shared" ref="U83:AG83" si="212">U54*$AN83</f>
        <v>0</v>
      </c>
      <c r="V83" s="4">
        <f t="shared" si="212"/>
        <v>0</v>
      </c>
      <c r="W83" s="4">
        <f t="shared" si="212"/>
        <v>0</v>
      </c>
      <c r="X83" s="4">
        <f t="shared" si="212"/>
        <v>1.8141202358303149E-4</v>
      </c>
      <c r="Y83" s="4">
        <f t="shared" si="212"/>
        <v>0</v>
      </c>
      <c r="Z83" s="4">
        <f t="shared" si="212"/>
        <v>5.7281207248440131E-4</v>
      </c>
      <c r="AA83" s="4">
        <f t="shared" si="212"/>
        <v>4.9113737750807706E-5</v>
      </c>
      <c r="AB83" s="4">
        <f t="shared" si="212"/>
        <v>0</v>
      </c>
      <c r="AC83" s="4">
        <f t="shared" si="212"/>
        <v>0</v>
      </c>
      <c r="AD83" s="4">
        <f t="shared" si="212"/>
        <v>7.0819734932653514E-3</v>
      </c>
      <c r="AE83" s="4">
        <f t="shared" si="212"/>
        <v>0.16491077506419879</v>
      </c>
      <c r="AF83" s="4">
        <f t="shared" si="212"/>
        <v>0</v>
      </c>
      <c r="AG83" s="4" t="e">
        <f t="shared" si="212"/>
        <v>#VALUE!</v>
      </c>
      <c r="AH83" s="4" t="e">
        <f t="shared" si="211"/>
        <v>#VALUE!</v>
      </c>
      <c r="AI83" t="str">
        <f t="shared" ref="AI83:AL83" si="213">AI54</f>
        <v>CCK</v>
      </c>
      <c r="AJ83" t="str">
        <f t="shared" si="213"/>
        <v>UP</v>
      </c>
      <c r="AL83" t="str">
        <f t="shared" si="213"/>
        <v>Techs_CCKKER</v>
      </c>
      <c r="AN83" s="5">
        <v>1</v>
      </c>
    </row>
    <row r="84" spans="1:41">
      <c r="A84">
        <v>2050</v>
      </c>
      <c r="B84" t="str">
        <f t="shared" ref="B84:C85" si="214">B55</f>
        <v>RHW</v>
      </c>
      <c r="C84" t="str">
        <f t="shared" si="214"/>
        <v>*ELC,-*STH</v>
      </c>
      <c r="D84" s="4">
        <f t="shared" ref="D84:R84" si="215">D55*$AN84</f>
        <v>7.0936271956638638E-2</v>
      </c>
      <c r="E84" s="4">
        <f t="shared" si="215"/>
        <v>3.4409363060373177E-2</v>
      </c>
      <c r="F84" s="4">
        <f t="shared" si="215"/>
        <v>0.11957953113715318</v>
      </c>
      <c r="G84" s="4">
        <f t="shared" si="215"/>
        <v>5.2702476596685956E-2</v>
      </c>
      <c r="H84" s="4">
        <f t="shared" si="215"/>
        <v>0.12608393971286894</v>
      </c>
      <c r="I84" s="4">
        <f t="shared" si="215"/>
        <v>0.41728951965183037</v>
      </c>
      <c r="J84" s="4">
        <f t="shared" si="215"/>
        <v>0.45809734303790212</v>
      </c>
      <c r="K84" s="4">
        <f t="shared" si="215"/>
        <v>0.66878720679198944</v>
      </c>
      <c r="L84" s="4">
        <f t="shared" si="215"/>
        <v>0.3561940642619103</v>
      </c>
      <c r="M84" s="4">
        <f t="shared" si="215"/>
        <v>0.20535281495023275</v>
      </c>
      <c r="N84" s="4">
        <f t="shared" si="215"/>
        <v>0.3793679170129981</v>
      </c>
      <c r="O84" s="4">
        <f t="shared" si="215"/>
        <v>0.18694287049176617</v>
      </c>
      <c r="P84" s="4">
        <f t="shared" si="215"/>
        <v>0.19523585332932239</v>
      </c>
      <c r="Q84" s="4">
        <f t="shared" si="215"/>
        <v>0.19051471888589533</v>
      </c>
      <c r="R84" s="4">
        <f t="shared" si="215"/>
        <v>0.27206099710256282</v>
      </c>
      <c r="S84" s="4">
        <f t="shared" ref="S84:AH84" si="216">S55*$AN84</f>
        <v>0.41098945013896737</v>
      </c>
      <c r="T84" s="4">
        <f t="shared" si="216"/>
        <v>8.9958182941244969E-2</v>
      </c>
      <c r="U84" s="4">
        <f t="shared" ref="U84:AG84" si="217">U55*$AN84</f>
        <v>0.37807893397045989</v>
      </c>
      <c r="V84" s="4">
        <f t="shared" si="217"/>
        <v>0.17012878566140391</v>
      </c>
      <c r="W84" s="4">
        <f t="shared" si="217"/>
        <v>0</v>
      </c>
      <c r="X84" s="4">
        <f t="shared" si="217"/>
        <v>0.41883493662452059</v>
      </c>
      <c r="Y84" s="4">
        <f t="shared" si="217"/>
        <v>1.654323843930957E-2</v>
      </c>
      <c r="Z84" s="4">
        <f t="shared" si="217"/>
        <v>0.10628089404409734</v>
      </c>
      <c r="AA84" s="4">
        <f t="shared" si="217"/>
        <v>0.80976803085247218</v>
      </c>
      <c r="AB84" s="4">
        <f t="shared" si="217"/>
        <v>2.1021116689603495E-2</v>
      </c>
      <c r="AC84" s="4">
        <f t="shared" si="217"/>
        <v>0.74850837453239849</v>
      </c>
      <c r="AD84" s="4">
        <f t="shared" si="217"/>
        <v>0.18877131986198212</v>
      </c>
      <c r="AE84" s="4">
        <f t="shared" si="217"/>
        <v>0.21796906171465089</v>
      </c>
      <c r="AF84" s="4">
        <f t="shared" si="217"/>
        <v>0.30553746643085922</v>
      </c>
      <c r="AG84" s="4" t="e">
        <f t="shared" si="217"/>
        <v>#VALUE!</v>
      </c>
      <c r="AH84" s="4" t="e">
        <f t="shared" si="216"/>
        <v>#VALUE!</v>
      </c>
      <c r="AI84" t="str">
        <f t="shared" ref="AI84:AJ84" si="218">AI55</f>
        <v>RHW</v>
      </c>
      <c r="AJ84" t="str">
        <f t="shared" si="218"/>
        <v>LO</v>
      </c>
      <c r="AL84" t="str">
        <f>AL55</f>
        <v>Techs_RHWELC</v>
      </c>
      <c r="AN84" s="5">
        <v>1</v>
      </c>
    </row>
    <row r="85" spans="1:41">
      <c r="A85">
        <v>2050</v>
      </c>
      <c r="B85" t="str">
        <f t="shared" si="214"/>
        <v>CHW</v>
      </c>
      <c r="C85" t="str">
        <f t="shared" si="214"/>
        <v>*ELC,-*STH</v>
      </c>
      <c r="D85" s="4">
        <f t="shared" ref="D85:R85" si="219">D56*$AN85</f>
        <v>0.51536284826625378</v>
      </c>
      <c r="E85" s="4">
        <f t="shared" si="219"/>
        <v>0.13002460352365139</v>
      </c>
      <c r="F85" s="4">
        <f t="shared" si="219"/>
        <v>0.15688701666910682</v>
      </c>
      <c r="G85" s="4">
        <f t="shared" si="219"/>
        <v>0.22655604121015699</v>
      </c>
      <c r="H85" s="4">
        <f t="shared" si="219"/>
        <v>0</v>
      </c>
      <c r="I85" s="4">
        <f t="shared" si="219"/>
        <v>0.4107181435443808</v>
      </c>
      <c r="J85" s="4">
        <f t="shared" si="219"/>
        <v>0.57685717595901187</v>
      </c>
      <c r="K85" s="4">
        <f t="shared" si="219"/>
        <v>0.73395646630781364</v>
      </c>
      <c r="L85" s="4">
        <f t="shared" si="219"/>
        <v>0.19412389095835481</v>
      </c>
      <c r="M85" s="4">
        <f t="shared" si="219"/>
        <v>7.3523905153032268E-2</v>
      </c>
      <c r="N85" s="4">
        <f t="shared" si="219"/>
        <v>0.61541081650623808</v>
      </c>
      <c r="O85" s="4">
        <f t="shared" si="219"/>
        <v>0.63799166182666611</v>
      </c>
      <c r="P85" s="4">
        <f t="shared" si="219"/>
        <v>0.22446555056900966</v>
      </c>
      <c r="Q85" s="4">
        <f t="shared" si="219"/>
        <v>0.25995774549957013</v>
      </c>
      <c r="R85" s="4">
        <f t="shared" si="219"/>
        <v>0.56617109035988344</v>
      </c>
      <c r="S85" s="4">
        <f t="shared" ref="S85:AH85" si="220">S56*$AN85</f>
        <v>0.36392648927273302</v>
      </c>
      <c r="T85" s="4">
        <f t="shared" si="220"/>
        <v>0.38589945100255379</v>
      </c>
      <c r="U85" s="4">
        <f t="shared" ref="U85:AG85" si="221">U56*$AN85</f>
        <v>0.29445677618891541</v>
      </c>
      <c r="V85" s="4">
        <f t="shared" si="221"/>
        <v>0.20268934958436582</v>
      </c>
      <c r="W85" s="4">
        <f t="shared" si="221"/>
        <v>4.9616883476952318E-2</v>
      </c>
      <c r="X85" s="4">
        <f t="shared" si="221"/>
        <v>0.26858513049836191</v>
      </c>
      <c r="Y85" s="4">
        <f t="shared" si="221"/>
        <v>0.31248889935941399</v>
      </c>
      <c r="Z85" s="4">
        <f t="shared" si="221"/>
        <v>0.28238003847682641</v>
      </c>
      <c r="AA85" s="4">
        <f t="shared" si="221"/>
        <v>0.64279184514043297</v>
      </c>
      <c r="AB85" s="4">
        <f t="shared" si="221"/>
        <v>0.66382208028212031</v>
      </c>
      <c r="AC85" s="4">
        <f t="shared" si="221"/>
        <v>1</v>
      </c>
      <c r="AD85" s="4">
        <f t="shared" si="221"/>
        <v>0.24778566802896085</v>
      </c>
      <c r="AE85" s="4">
        <f t="shared" si="221"/>
        <v>0.2165517226317154</v>
      </c>
      <c r="AF85" s="4">
        <f t="shared" si="221"/>
        <v>0.22005280624829437</v>
      </c>
      <c r="AG85" s="4" t="e">
        <f t="shared" si="221"/>
        <v>#VALUE!</v>
      </c>
      <c r="AH85" s="4" t="e">
        <f t="shared" si="220"/>
        <v>#VALUE!</v>
      </c>
      <c r="AI85" t="str">
        <f t="shared" ref="AI85:AJ85" si="222">AI56</f>
        <v>CHW</v>
      </c>
      <c r="AJ85" t="str">
        <f t="shared" si="222"/>
        <v>LO</v>
      </c>
      <c r="AL85" t="str">
        <f>AL56</f>
        <v>Techs_CHWELC</v>
      </c>
      <c r="AN85" s="5">
        <v>1</v>
      </c>
    </row>
    <row r="86" spans="1:41">
      <c r="A86" s="14">
        <f>A85</f>
        <v>2050</v>
      </c>
      <c r="B86" s="14" t="str">
        <f>B57</f>
        <v>RSH</v>
      </c>
      <c r="C86" s="14" t="str">
        <f>C57</f>
        <v>*HET</v>
      </c>
      <c r="D86" s="15">
        <f>IF(D57="","",D57*$AN$86)</f>
        <v>0</v>
      </c>
      <c r="E86" s="15">
        <f t="shared" ref="E86:Y86" si="223">IF(E57="","",E57*$AN$86)</f>
        <v>0</v>
      </c>
      <c r="F86" s="15">
        <f t="shared" si="223"/>
        <v>0</v>
      </c>
      <c r="G86" s="15">
        <f t="shared" si="223"/>
        <v>0.15001015595845063</v>
      </c>
      <c r="H86" s="15">
        <f t="shared" si="223"/>
        <v>0</v>
      </c>
      <c r="I86" s="15">
        <f t="shared" si="223"/>
        <v>0</v>
      </c>
      <c r="J86" s="16">
        <f>IF(J57="","",J57*$AO$86)</f>
        <v>0</v>
      </c>
      <c r="K86" s="15">
        <f t="shared" si="223"/>
        <v>0</v>
      </c>
      <c r="L86" s="16">
        <f>IF(L57="","",L57*$AO$86)</f>
        <v>0</v>
      </c>
      <c r="M86" s="15">
        <f>IF(M57="","",M57*$AO$86)</f>
        <v>0.52780520670011566</v>
      </c>
      <c r="N86" s="15">
        <f t="shared" si="223"/>
        <v>0.79079984061952768</v>
      </c>
      <c r="O86" s="15">
        <f t="shared" si="223"/>
        <v>0.36019403288880675</v>
      </c>
      <c r="P86" s="15">
        <f t="shared" si="223"/>
        <v>2.9692266902746518E-2</v>
      </c>
      <c r="Q86" s="15">
        <f t="shared" si="223"/>
        <v>6.0066792950044079E-2</v>
      </c>
      <c r="R86" s="15">
        <f t="shared" si="223"/>
        <v>0.21369227089763726</v>
      </c>
      <c r="S86" s="15">
        <f t="shared" si="223"/>
        <v>1.4410669046394312E-4</v>
      </c>
      <c r="T86" s="15">
        <f t="shared" si="223"/>
        <v>0.24862469654663416</v>
      </c>
      <c r="U86" s="15">
        <f t="shared" si="223"/>
        <v>8.8094606142507123E-2</v>
      </c>
      <c r="V86" s="15">
        <f t="shared" si="223"/>
        <v>0.14216773758941212</v>
      </c>
      <c r="W86" s="15">
        <f t="shared" si="223"/>
        <v>0</v>
      </c>
      <c r="X86" s="15">
        <f t="shared" si="223"/>
        <v>0</v>
      </c>
      <c r="Y86" s="15">
        <f t="shared" si="223"/>
        <v>0</v>
      </c>
      <c r="Z86" s="15">
        <f t="shared" ref="Z86:AA86" si="224">IF(Z57="","",Z57*$AN$86)</f>
        <v>0</v>
      </c>
      <c r="AA86" s="15">
        <f t="shared" si="224"/>
        <v>0.42927657825042992</v>
      </c>
      <c r="AB86" s="15">
        <f t="shared" ref="AB86:AF86" si="225">IF(AB57="","",AB57*$AN$86)</f>
        <v>0.52554666348969648</v>
      </c>
      <c r="AC86" s="15">
        <f t="shared" si="225"/>
        <v>0</v>
      </c>
      <c r="AD86" s="15">
        <f t="shared" si="225"/>
        <v>0</v>
      </c>
      <c r="AE86" s="15">
        <f t="shared" si="225"/>
        <v>1.5582546548757636E-2</v>
      </c>
      <c r="AF86" s="15">
        <f t="shared" si="225"/>
        <v>0</v>
      </c>
      <c r="AG86" s="15"/>
      <c r="AH86" s="15"/>
      <c r="AI86" s="15" t="str">
        <f>AI57</f>
        <v>RSH</v>
      </c>
      <c r="AJ86" s="14" t="str">
        <f>AJ82</f>
        <v>UP</v>
      </c>
      <c r="AK86" s="14"/>
      <c r="AL86" s="14" t="str">
        <f>AL57</f>
        <v>Techs_RSHHET</v>
      </c>
      <c r="AN86" s="5">
        <v>1.25</v>
      </c>
      <c r="AO86" s="5">
        <v>1.2</v>
      </c>
    </row>
    <row r="87" spans="1:41">
      <c r="A87" s="14">
        <f>A86</f>
        <v>2050</v>
      </c>
      <c r="B87" s="14" t="str">
        <f>B58</f>
        <v>CSH</v>
      </c>
      <c r="C87" s="14" t="str">
        <f>C58</f>
        <v>*HET</v>
      </c>
      <c r="D87" s="15">
        <f>IF(D58="","",D58*$AN$87)</f>
        <v>0</v>
      </c>
      <c r="E87" s="15">
        <f t="shared" ref="E87:Y87" si="226">IF(E58="","",E58*$AN$87)</f>
        <v>0</v>
      </c>
      <c r="F87" s="15">
        <f t="shared" si="226"/>
        <v>0</v>
      </c>
      <c r="G87" s="15">
        <f t="shared" si="226"/>
        <v>0.35398039544700849</v>
      </c>
      <c r="H87" s="15">
        <f t="shared" si="226"/>
        <v>6.668690386793058E-2</v>
      </c>
      <c r="I87" s="15">
        <f t="shared" si="226"/>
        <v>0.12197351863974976</v>
      </c>
      <c r="J87" s="16">
        <f>IF(J58="","",J58*$AO$87)</f>
        <v>0</v>
      </c>
      <c r="K87" s="15">
        <f t="shared" si="226"/>
        <v>0</v>
      </c>
      <c r="L87" s="16">
        <f>IF(L58="","",L58*$AO$87)</f>
        <v>7.3330490495200672E-4</v>
      </c>
      <c r="M87" s="15">
        <f>IF(M58="","",M58*$AO$87)</f>
        <v>0.27611340376695315</v>
      </c>
      <c r="N87" s="15">
        <f t="shared" si="226"/>
        <v>0.67408029748374199</v>
      </c>
      <c r="O87" s="15">
        <f t="shared" si="226"/>
        <v>0.40064949858060162</v>
      </c>
      <c r="P87" s="15">
        <f t="shared" si="226"/>
        <v>8.0920933274022819E-2</v>
      </c>
      <c r="Q87" s="15">
        <f t="shared" si="226"/>
        <v>5.4112037098608803E-2</v>
      </c>
      <c r="R87" s="15">
        <f t="shared" si="226"/>
        <v>0.21601871805394871</v>
      </c>
      <c r="S87" s="15">
        <f t="shared" si="226"/>
        <v>7.2310541224284751E-3</v>
      </c>
      <c r="T87" s="15">
        <f t="shared" si="226"/>
        <v>0.44373941923062404</v>
      </c>
      <c r="U87" s="15">
        <f t="shared" si="226"/>
        <v>0.11227732686029705</v>
      </c>
      <c r="V87" s="15">
        <f t="shared" si="226"/>
        <v>0.13560740645935174</v>
      </c>
      <c r="W87" s="15">
        <f t="shared" si="226"/>
        <v>0</v>
      </c>
      <c r="X87" s="15">
        <f t="shared" si="226"/>
        <v>0</v>
      </c>
      <c r="Y87" s="15">
        <f t="shared" si="226"/>
        <v>0</v>
      </c>
      <c r="Z87" s="15">
        <f t="shared" ref="Z87:AA87" si="227">IF(Z58="","",Z58*$AN$87)</f>
        <v>0</v>
      </c>
      <c r="AA87" s="15">
        <f t="shared" si="227"/>
        <v>0.48521897205234282</v>
      </c>
      <c r="AB87" s="15">
        <f t="shared" ref="AB87:AF87" si="228">IF(AB58="","",AB58*$AN$87)</f>
        <v>0.74272155378946469</v>
      </c>
      <c r="AC87" s="15">
        <f t="shared" si="228"/>
        <v>0</v>
      </c>
      <c r="AD87" s="15">
        <f t="shared" si="228"/>
        <v>0</v>
      </c>
      <c r="AE87" s="15">
        <f t="shared" si="228"/>
        <v>5.68791489858387E-2</v>
      </c>
      <c r="AF87" s="15">
        <f t="shared" si="228"/>
        <v>2.2170031401331041E-2</v>
      </c>
      <c r="AG87" s="14"/>
      <c r="AH87" s="14"/>
      <c r="AI87" s="15" t="str">
        <f>AI58</f>
        <v>CSH</v>
      </c>
      <c r="AJ87" s="14" t="str">
        <f>AJ83</f>
        <v>UP</v>
      </c>
      <c r="AK87" s="14"/>
      <c r="AL87" s="14" t="str">
        <f>AL58</f>
        <v>Techs_CSHHET</v>
      </c>
      <c r="AN87" s="5">
        <v>1</v>
      </c>
      <c r="AO87" s="5">
        <v>1.2</v>
      </c>
    </row>
    <row r="89" spans="1:41">
      <c r="A89" t="s">
        <v>53</v>
      </c>
    </row>
    <row r="90" spans="1:41">
      <c r="A90" t="s">
        <v>52</v>
      </c>
      <c r="B90" t="s">
        <v>4</v>
      </c>
      <c r="C90" t="s">
        <v>49</v>
      </c>
      <c r="D90" t="str">
        <f>D$2</f>
        <v>Africa_north</v>
      </c>
      <c r="E90" t="str">
        <f t="shared" ref="E90:AH90" si="229">E$2</f>
        <v>Africa_other</v>
      </c>
      <c r="F90" t="str">
        <f t="shared" si="229"/>
        <v>Arg-Chi</v>
      </c>
      <c r="G90" t="str">
        <f t="shared" si="229"/>
        <v>Asia_central</v>
      </c>
      <c r="H90" t="str">
        <f t="shared" si="229"/>
        <v>Asia_east</v>
      </c>
      <c r="I90" t="str">
        <f t="shared" si="229"/>
        <v>Asia_other</v>
      </c>
      <c r="J90" t="str">
        <f t="shared" si="229"/>
        <v>Australia_NZ</v>
      </c>
      <c r="K90" t="str">
        <f t="shared" si="229"/>
        <v>Brazil</v>
      </c>
      <c r="L90" t="str">
        <f t="shared" si="229"/>
        <v>Canada</v>
      </c>
      <c r="M90" t="str">
        <f t="shared" si="229"/>
        <v>China</v>
      </c>
      <c r="N90" t="str">
        <f t="shared" si="229"/>
        <v>EU_north</v>
      </c>
      <c r="O90" t="str">
        <f t="shared" si="229"/>
        <v>EU_northeast</v>
      </c>
      <c r="P90" t="str">
        <f t="shared" si="229"/>
        <v>EU_northwest</v>
      </c>
      <c r="Q90" t="str">
        <f t="shared" si="229"/>
        <v>EU_south</v>
      </c>
      <c r="R90" t="str">
        <f t="shared" si="229"/>
        <v>EU_southeast</v>
      </c>
      <c r="S90" t="str">
        <f t="shared" si="229"/>
        <v>EU_southwest</v>
      </c>
      <c r="T90" t="str">
        <f t="shared" si="229"/>
        <v>Europe_other</v>
      </c>
      <c r="U90" t="str">
        <f t="shared" si="229"/>
        <v>France</v>
      </c>
      <c r="V90" t="str">
        <f t="shared" si="229"/>
        <v>Germany</v>
      </c>
      <c r="W90" t="str">
        <f t="shared" si="229"/>
        <v>India</v>
      </c>
      <c r="X90" t="str">
        <f t="shared" si="229"/>
        <v>LatAm_other</v>
      </c>
      <c r="Y90" t="str">
        <f t="shared" si="229"/>
        <v>Mexico</v>
      </c>
      <c r="Z90" t="str">
        <f t="shared" si="229"/>
        <v>MidEast_other</v>
      </c>
      <c r="AA90" t="str">
        <f t="shared" si="229"/>
        <v>Nor-Ice</v>
      </c>
      <c r="AB90" t="str">
        <f t="shared" si="229"/>
        <v>Russia</v>
      </c>
      <c r="AC90" t="str">
        <f t="shared" si="229"/>
        <v>SaudiArabia</v>
      </c>
      <c r="AD90" t="str">
        <f t="shared" si="229"/>
        <v>SouthAfrica</v>
      </c>
      <c r="AE90" t="str">
        <f t="shared" si="229"/>
        <v>UK</v>
      </c>
      <c r="AF90" t="str">
        <f t="shared" si="229"/>
        <v>USA</v>
      </c>
      <c r="AG90" t="str">
        <f t="shared" si="229"/>
        <v>year2</v>
      </c>
      <c r="AH90" t="str">
        <f t="shared" si="229"/>
        <v>*34</v>
      </c>
      <c r="AI90" t="s">
        <v>50</v>
      </c>
      <c r="AJ90" t="s">
        <v>54</v>
      </c>
      <c r="AK90" t="s">
        <v>107</v>
      </c>
      <c r="AL90" t="s">
        <v>51</v>
      </c>
    </row>
    <row r="91" spans="1:41">
      <c r="A91">
        <v>2070</v>
      </c>
      <c r="B91" t="str">
        <f t="shared" ref="B91:C93" si="230">B62</f>
        <v>RCK</v>
      </c>
      <c r="C91" t="str">
        <f t="shared" si="230"/>
        <v>*BIO</v>
      </c>
      <c r="D91" s="4">
        <f t="shared" ref="D91:R91" si="231">D33*$AN91</f>
        <v>0</v>
      </c>
      <c r="E91" s="4">
        <f t="shared" si="231"/>
        <v>0</v>
      </c>
      <c r="F91" s="4">
        <f t="shared" si="231"/>
        <v>0</v>
      </c>
      <c r="G91" s="4">
        <f t="shared" si="231"/>
        <v>0</v>
      </c>
      <c r="H91" s="4">
        <f t="shared" si="231"/>
        <v>0</v>
      </c>
      <c r="I91" s="4">
        <f t="shared" si="231"/>
        <v>0</v>
      </c>
      <c r="J91" s="4">
        <f t="shared" si="231"/>
        <v>0</v>
      </c>
      <c r="K91" s="4">
        <f t="shared" si="231"/>
        <v>0</v>
      </c>
      <c r="L91" s="4">
        <f t="shared" si="231"/>
        <v>0</v>
      </c>
      <c r="M91" s="4">
        <f t="shared" si="231"/>
        <v>0</v>
      </c>
      <c r="N91" s="4">
        <f t="shared" si="231"/>
        <v>0</v>
      </c>
      <c r="O91" s="4">
        <f t="shared" si="231"/>
        <v>0</v>
      </c>
      <c r="P91" s="4">
        <f t="shared" si="231"/>
        <v>0</v>
      </c>
      <c r="Q91" s="4">
        <f t="shared" si="231"/>
        <v>0</v>
      </c>
      <c r="R91" s="4">
        <f t="shared" si="231"/>
        <v>0</v>
      </c>
      <c r="S91" s="4">
        <f t="shared" ref="S91:AH91" si="232">S33*$AN91</f>
        <v>0</v>
      </c>
      <c r="T91" s="4">
        <f t="shared" si="232"/>
        <v>0</v>
      </c>
      <c r="U91" s="4">
        <f t="shared" ref="U91:AG91" si="233">U33*$AN91</f>
        <v>0</v>
      </c>
      <c r="V91" s="4">
        <f t="shared" si="233"/>
        <v>0</v>
      </c>
      <c r="W91" s="4">
        <f t="shared" si="233"/>
        <v>0</v>
      </c>
      <c r="X91" s="4">
        <f t="shared" si="233"/>
        <v>0</v>
      </c>
      <c r="Y91" s="4">
        <f t="shared" si="233"/>
        <v>0</v>
      </c>
      <c r="Z91" s="4">
        <f t="shared" si="233"/>
        <v>0</v>
      </c>
      <c r="AA91" s="4">
        <f t="shared" si="233"/>
        <v>0</v>
      </c>
      <c r="AB91" s="4">
        <f t="shared" si="233"/>
        <v>0</v>
      </c>
      <c r="AC91" s="4">
        <f t="shared" si="233"/>
        <v>0</v>
      </c>
      <c r="AD91" s="4">
        <f t="shared" si="233"/>
        <v>0</v>
      </c>
      <c r="AE91" s="4">
        <f t="shared" si="233"/>
        <v>0</v>
      </c>
      <c r="AF91" s="4">
        <f t="shared" si="233"/>
        <v>0</v>
      </c>
      <c r="AG91" s="4" t="e">
        <f t="shared" si="233"/>
        <v>#VALUE!</v>
      </c>
      <c r="AH91" s="4" t="e">
        <f t="shared" si="232"/>
        <v>#VALUE!</v>
      </c>
      <c r="AI91" t="str">
        <f t="shared" ref="AI91:AJ93" si="234">AI62</f>
        <v>RCK</v>
      </c>
      <c r="AJ91" t="str">
        <f t="shared" si="234"/>
        <v>FX</v>
      </c>
      <c r="AL91" t="str">
        <f t="shared" ref="AL91:AL96" si="235">AL62</f>
        <v>Techs_RCKBIO</v>
      </c>
      <c r="AN91" s="5">
        <v>0</v>
      </c>
    </row>
    <row r="92" spans="1:41">
      <c r="A92">
        <v>2070</v>
      </c>
      <c r="B92" t="str">
        <f t="shared" si="230"/>
        <v>CCK</v>
      </c>
      <c r="C92" t="str">
        <f t="shared" si="230"/>
        <v>*BIO</v>
      </c>
      <c r="D92" s="4">
        <f t="shared" ref="D92:R92" si="236">D34*$AN92</f>
        <v>0</v>
      </c>
      <c r="E92" s="4">
        <f t="shared" si="236"/>
        <v>0</v>
      </c>
      <c r="F92" s="4">
        <f t="shared" si="236"/>
        <v>0</v>
      </c>
      <c r="G92" s="4">
        <f t="shared" si="236"/>
        <v>0</v>
      </c>
      <c r="H92" s="4">
        <f t="shared" si="236"/>
        <v>0</v>
      </c>
      <c r="I92" s="4">
        <f t="shared" si="236"/>
        <v>0</v>
      </c>
      <c r="J92" s="4">
        <f t="shared" si="236"/>
        <v>0</v>
      </c>
      <c r="K92" s="4">
        <f t="shared" si="236"/>
        <v>0</v>
      </c>
      <c r="L92" s="4">
        <f t="shared" si="236"/>
        <v>0</v>
      </c>
      <c r="M92" s="4">
        <f t="shared" si="236"/>
        <v>0</v>
      </c>
      <c r="N92" s="4">
        <f t="shared" si="236"/>
        <v>0</v>
      </c>
      <c r="O92" s="4">
        <f t="shared" si="236"/>
        <v>0</v>
      </c>
      <c r="P92" s="4">
        <f t="shared" si="236"/>
        <v>0</v>
      </c>
      <c r="Q92" s="4">
        <f t="shared" si="236"/>
        <v>0</v>
      </c>
      <c r="R92" s="4">
        <f t="shared" si="236"/>
        <v>0</v>
      </c>
      <c r="S92" s="4">
        <f t="shared" ref="S92:AH92" si="237">S34*$AN92</f>
        <v>0</v>
      </c>
      <c r="T92" s="4">
        <f t="shared" si="237"/>
        <v>0</v>
      </c>
      <c r="U92" s="4">
        <f t="shared" ref="U92:AG92" si="238">U34*$AN92</f>
        <v>0</v>
      </c>
      <c r="V92" s="4">
        <f t="shared" si="238"/>
        <v>0</v>
      </c>
      <c r="W92" s="4">
        <f t="shared" si="238"/>
        <v>0</v>
      </c>
      <c r="X92" s="4">
        <f t="shared" si="238"/>
        <v>0</v>
      </c>
      <c r="Y92" s="4">
        <f t="shared" si="238"/>
        <v>0</v>
      </c>
      <c r="Z92" s="4">
        <f t="shared" si="238"/>
        <v>0</v>
      </c>
      <c r="AA92" s="4">
        <f t="shared" si="238"/>
        <v>0</v>
      </c>
      <c r="AB92" s="4">
        <f t="shared" si="238"/>
        <v>0</v>
      </c>
      <c r="AC92" s="4">
        <f t="shared" si="238"/>
        <v>0</v>
      </c>
      <c r="AD92" s="4">
        <f t="shared" si="238"/>
        <v>0</v>
      </c>
      <c r="AE92" s="4">
        <f t="shared" si="238"/>
        <v>0</v>
      </c>
      <c r="AF92" s="4">
        <f t="shared" si="238"/>
        <v>0</v>
      </c>
      <c r="AG92" s="4" t="e">
        <f t="shared" si="238"/>
        <v>#VALUE!</v>
      </c>
      <c r="AH92" s="4" t="e">
        <f t="shared" si="237"/>
        <v>#VALUE!</v>
      </c>
      <c r="AI92" t="str">
        <f t="shared" si="234"/>
        <v>CCK</v>
      </c>
      <c r="AJ92" t="str">
        <f t="shared" si="234"/>
        <v>FX</v>
      </c>
      <c r="AL92" t="str">
        <f t="shared" si="235"/>
        <v>Techs_CCKBIO</v>
      </c>
      <c r="AN92" s="5">
        <v>0</v>
      </c>
    </row>
    <row r="93" spans="1:41">
      <c r="A93">
        <v>2070</v>
      </c>
      <c r="B93" t="str">
        <f t="shared" si="230"/>
        <v>RHW</v>
      </c>
      <c r="C93" t="str">
        <f t="shared" si="230"/>
        <v>*BIO</v>
      </c>
      <c r="D93" s="4">
        <f t="shared" ref="D93:R93" si="239">D35*$AN93</f>
        <v>0</v>
      </c>
      <c r="E93" s="4">
        <f t="shared" si="239"/>
        <v>0</v>
      </c>
      <c r="F93" s="4">
        <f t="shared" si="239"/>
        <v>0</v>
      </c>
      <c r="G93" s="4">
        <f t="shared" si="239"/>
        <v>0</v>
      </c>
      <c r="H93" s="4">
        <f t="shared" si="239"/>
        <v>0</v>
      </c>
      <c r="I93" s="4">
        <f t="shared" si="239"/>
        <v>0</v>
      </c>
      <c r="J93" s="4">
        <f t="shared" si="239"/>
        <v>0</v>
      </c>
      <c r="K93" s="4">
        <f t="shared" si="239"/>
        <v>0</v>
      </c>
      <c r="L93" s="4">
        <f t="shared" si="239"/>
        <v>0</v>
      </c>
      <c r="M93" s="4">
        <f t="shared" si="239"/>
        <v>0</v>
      </c>
      <c r="N93" s="4">
        <f t="shared" si="239"/>
        <v>0</v>
      </c>
      <c r="O93" s="4">
        <f t="shared" si="239"/>
        <v>0</v>
      </c>
      <c r="P93" s="4">
        <f t="shared" si="239"/>
        <v>0</v>
      </c>
      <c r="Q93" s="4">
        <f t="shared" si="239"/>
        <v>0</v>
      </c>
      <c r="R93" s="4">
        <f t="shared" si="239"/>
        <v>0</v>
      </c>
      <c r="S93" s="4">
        <f t="shared" ref="S93:AH93" si="240">S35*$AN93</f>
        <v>0</v>
      </c>
      <c r="T93" s="4">
        <f t="shared" si="240"/>
        <v>0</v>
      </c>
      <c r="U93" s="4">
        <f t="shared" ref="U93:AG93" si="241">U35*$AN93</f>
        <v>0</v>
      </c>
      <c r="V93" s="4">
        <f t="shared" si="241"/>
        <v>0</v>
      </c>
      <c r="W93" s="4">
        <f t="shared" si="241"/>
        <v>0</v>
      </c>
      <c r="X93" s="4">
        <f t="shared" si="241"/>
        <v>0</v>
      </c>
      <c r="Y93" s="4">
        <f t="shared" si="241"/>
        <v>0</v>
      </c>
      <c r="Z93" s="4">
        <f t="shared" si="241"/>
        <v>0</v>
      </c>
      <c r="AA93" s="4">
        <f t="shared" si="241"/>
        <v>0</v>
      </c>
      <c r="AB93" s="4">
        <f t="shared" si="241"/>
        <v>0</v>
      </c>
      <c r="AC93" s="4">
        <f t="shared" si="241"/>
        <v>0</v>
      </c>
      <c r="AD93" s="4">
        <f t="shared" si="241"/>
        <v>0</v>
      </c>
      <c r="AE93" s="4">
        <f t="shared" si="241"/>
        <v>0</v>
      </c>
      <c r="AF93" s="4">
        <f t="shared" si="241"/>
        <v>0</v>
      </c>
      <c r="AG93" s="4" t="e">
        <f t="shared" si="241"/>
        <v>#VALUE!</v>
      </c>
      <c r="AH93" s="4" t="e">
        <f t="shared" si="240"/>
        <v>#VALUE!</v>
      </c>
      <c r="AI93" t="str">
        <f t="shared" si="234"/>
        <v>RHW</v>
      </c>
      <c r="AJ93" t="str">
        <f t="shared" si="234"/>
        <v>FX</v>
      </c>
      <c r="AL93" t="str">
        <f t="shared" si="235"/>
        <v>Techs_RHWBIO</v>
      </c>
      <c r="AN93" s="5">
        <v>0</v>
      </c>
    </row>
    <row r="94" spans="1:41">
      <c r="A94">
        <v>2070</v>
      </c>
      <c r="B94" t="str">
        <f t="shared" ref="B94" si="242">B65</f>
        <v>RCK</v>
      </c>
      <c r="C94" t="str">
        <f>C65</f>
        <v>*STH</v>
      </c>
      <c r="D94" s="4">
        <f t="shared" ref="D94:R94" si="243">D36*$AN94</f>
        <v>0</v>
      </c>
      <c r="E94" s="4">
        <f t="shared" si="243"/>
        <v>0</v>
      </c>
      <c r="F94" s="4">
        <f t="shared" si="243"/>
        <v>0</v>
      </c>
      <c r="G94" s="4">
        <f t="shared" si="243"/>
        <v>0</v>
      </c>
      <c r="H94" s="4">
        <f t="shared" si="243"/>
        <v>0</v>
      </c>
      <c r="I94" s="4">
        <f t="shared" si="243"/>
        <v>0</v>
      </c>
      <c r="J94" s="4">
        <f t="shared" si="243"/>
        <v>0</v>
      </c>
      <c r="K94" s="4">
        <f t="shared" si="243"/>
        <v>0</v>
      </c>
      <c r="L94" s="4">
        <f t="shared" si="243"/>
        <v>0</v>
      </c>
      <c r="M94" s="4">
        <f t="shared" si="243"/>
        <v>0</v>
      </c>
      <c r="N94" s="4">
        <f t="shared" si="243"/>
        <v>0</v>
      </c>
      <c r="O94" s="4">
        <f t="shared" si="243"/>
        <v>0</v>
      </c>
      <c r="P94" s="4">
        <f t="shared" si="243"/>
        <v>0</v>
      </c>
      <c r="Q94" s="4">
        <f t="shared" si="243"/>
        <v>0</v>
      </c>
      <c r="R94" s="4">
        <f t="shared" si="243"/>
        <v>0</v>
      </c>
      <c r="S94" s="4">
        <f t="shared" ref="S94:AH94" si="244">S36*$AN94</f>
        <v>0</v>
      </c>
      <c r="T94" s="4">
        <f t="shared" si="244"/>
        <v>0</v>
      </c>
      <c r="U94" s="4">
        <f t="shared" ref="U94:AG94" si="245">U36*$AN94</f>
        <v>0</v>
      </c>
      <c r="V94" s="4">
        <f t="shared" si="245"/>
        <v>0</v>
      </c>
      <c r="W94" s="4">
        <f t="shared" si="245"/>
        <v>0</v>
      </c>
      <c r="X94" s="4">
        <f t="shared" si="245"/>
        <v>0</v>
      </c>
      <c r="Y94" s="4">
        <f t="shared" si="245"/>
        <v>0</v>
      </c>
      <c r="Z94" s="4">
        <f t="shared" si="245"/>
        <v>0</v>
      </c>
      <c r="AA94" s="4">
        <f t="shared" si="245"/>
        <v>0</v>
      </c>
      <c r="AB94" s="4">
        <f t="shared" si="245"/>
        <v>0</v>
      </c>
      <c r="AC94" s="4">
        <f t="shared" si="245"/>
        <v>0</v>
      </c>
      <c r="AD94" s="4">
        <f t="shared" si="245"/>
        <v>0</v>
      </c>
      <c r="AE94" s="4">
        <f t="shared" si="245"/>
        <v>0</v>
      </c>
      <c r="AF94" s="4">
        <f t="shared" si="245"/>
        <v>0</v>
      </c>
      <c r="AG94" s="4" t="e">
        <f t="shared" si="245"/>
        <v>#VALUE!</v>
      </c>
      <c r="AH94" s="4" t="e">
        <f t="shared" si="244"/>
        <v>#VALUE!</v>
      </c>
      <c r="AI94" t="str">
        <f t="shared" ref="AI94:AJ94" si="246">AI65</f>
        <v>RCK</v>
      </c>
      <c r="AJ94" t="str">
        <f t="shared" si="246"/>
        <v>UP</v>
      </c>
      <c r="AL94" t="str">
        <f t="shared" si="235"/>
        <v>Techs_RCKSTH</v>
      </c>
      <c r="AN94" s="5">
        <v>0.1</v>
      </c>
    </row>
    <row r="95" spans="1:41">
      <c r="A95">
        <v>2070</v>
      </c>
      <c r="B95" t="str">
        <f t="shared" ref="B95" si="247">B66</f>
        <v>CCK</v>
      </c>
      <c r="C95" t="str">
        <f>C66</f>
        <v>*STH</v>
      </c>
      <c r="D95" s="4">
        <f t="shared" ref="D95:R95" si="248">D37*$AN95</f>
        <v>0</v>
      </c>
      <c r="E95" s="4">
        <f t="shared" si="248"/>
        <v>0</v>
      </c>
      <c r="F95" s="4">
        <f t="shared" si="248"/>
        <v>0</v>
      </c>
      <c r="G95" s="4">
        <f t="shared" si="248"/>
        <v>0</v>
      </c>
      <c r="H95" s="4">
        <f t="shared" si="248"/>
        <v>0</v>
      </c>
      <c r="I95" s="4">
        <f t="shared" si="248"/>
        <v>0</v>
      </c>
      <c r="J95" s="4">
        <f t="shared" si="248"/>
        <v>0</v>
      </c>
      <c r="K95" s="4">
        <f t="shared" si="248"/>
        <v>0</v>
      </c>
      <c r="L95" s="4">
        <f t="shared" si="248"/>
        <v>0</v>
      </c>
      <c r="M95" s="4">
        <f t="shared" si="248"/>
        <v>0</v>
      </c>
      <c r="N95" s="4">
        <f t="shared" si="248"/>
        <v>0</v>
      </c>
      <c r="O95" s="4">
        <f t="shared" si="248"/>
        <v>0</v>
      </c>
      <c r="P95" s="4">
        <f t="shared" si="248"/>
        <v>0</v>
      </c>
      <c r="Q95" s="4">
        <f t="shared" si="248"/>
        <v>0</v>
      </c>
      <c r="R95" s="4">
        <f t="shared" si="248"/>
        <v>0</v>
      </c>
      <c r="S95" s="4">
        <f t="shared" ref="S95:AH95" si="249">S37*$AN95</f>
        <v>0</v>
      </c>
      <c r="T95" s="4">
        <f t="shared" si="249"/>
        <v>0</v>
      </c>
      <c r="U95" s="4">
        <f t="shared" ref="U95:AG95" si="250">U37*$AN95</f>
        <v>0</v>
      </c>
      <c r="V95" s="4">
        <f t="shared" si="250"/>
        <v>0</v>
      </c>
      <c r="W95" s="4">
        <f t="shared" si="250"/>
        <v>1.5185695319564049E-4</v>
      </c>
      <c r="X95" s="4">
        <f t="shared" si="250"/>
        <v>0</v>
      </c>
      <c r="Y95" s="4">
        <f t="shared" si="250"/>
        <v>0</v>
      </c>
      <c r="Z95" s="4">
        <f t="shared" si="250"/>
        <v>0</v>
      </c>
      <c r="AA95" s="4">
        <f t="shared" si="250"/>
        <v>0</v>
      </c>
      <c r="AB95" s="4">
        <f t="shared" si="250"/>
        <v>0</v>
      </c>
      <c r="AC95" s="4">
        <f t="shared" si="250"/>
        <v>0</v>
      </c>
      <c r="AD95" s="4">
        <f t="shared" si="250"/>
        <v>0</v>
      </c>
      <c r="AE95" s="4">
        <f t="shared" si="250"/>
        <v>0</v>
      </c>
      <c r="AF95" s="4">
        <f t="shared" si="250"/>
        <v>0</v>
      </c>
      <c r="AG95" s="4" t="e">
        <f t="shared" si="250"/>
        <v>#VALUE!</v>
      </c>
      <c r="AH95" s="4" t="e">
        <f t="shared" si="249"/>
        <v>#VALUE!</v>
      </c>
      <c r="AI95" t="str">
        <f t="shared" ref="AI95:AJ95" si="251">AI66</f>
        <v>CCK</v>
      </c>
      <c r="AJ95" t="str">
        <f t="shared" si="251"/>
        <v>UP</v>
      </c>
      <c r="AL95" t="str">
        <f t="shared" si="235"/>
        <v>Techs_CCKSTH</v>
      </c>
      <c r="AN95" s="5">
        <v>0.1</v>
      </c>
    </row>
    <row r="96" spans="1:41">
      <c r="A96">
        <v>2070</v>
      </c>
      <c r="B96" t="str">
        <f>B67</f>
        <v>RLI</v>
      </c>
      <c r="C96" t="str">
        <f>C67</f>
        <v>*KER</v>
      </c>
      <c r="D96" s="4">
        <f t="shared" ref="D96:R96" si="252">D38*$AN96</f>
        <v>0</v>
      </c>
      <c r="E96" s="4">
        <f t="shared" si="252"/>
        <v>0</v>
      </c>
      <c r="F96" s="4">
        <f t="shared" si="252"/>
        <v>0</v>
      </c>
      <c r="G96" s="4">
        <f t="shared" si="252"/>
        <v>0</v>
      </c>
      <c r="H96" s="4" t="e">
        <f t="shared" si="252"/>
        <v>#VALUE!</v>
      </c>
      <c r="I96" s="4">
        <f t="shared" si="252"/>
        <v>0</v>
      </c>
      <c r="J96" s="4">
        <f t="shared" si="252"/>
        <v>0</v>
      </c>
      <c r="K96" s="4">
        <f t="shared" si="252"/>
        <v>0</v>
      </c>
      <c r="L96" s="4">
        <f t="shared" si="252"/>
        <v>0</v>
      </c>
      <c r="M96" s="4">
        <f t="shared" si="252"/>
        <v>0</v>
      </c>
      <c r="N96" s="4">
        <f t="shared" si="252"/>
        <v>0</v>
      </c>
      <c r="O96" s="4">
        <f t="shared" si="252"/>
        <v>0</v>
      </c>
      <c r="P96" s="4">
        <f t="shared" si="252"/>
        <v>0</v>
      </c>
      <c r="Q96" s="4">
        <f t="shared" si="252"/>
        <v>0</v>
      </c>
      <c r="R96" s="4">
        <f t="shared" si="252"/>
        <v>0</v>
      </c>
      <c r="S96" s="4">
        <f t="shared" ref="S96:AH96" si="253">S38*$AN96</f>
        <v>0</v>
      </c>
      <c r="T96" s="4">
        <f t="shared" si="253"/>
        <v>0</v>
      </c>
      <c r="U96" s="4">
        <f t="shared" ref="U96:AG96" si="254">U38*$AN96</f>
        <v>0</v>
      </c>
      <c r="V96" s="4">
        <f t="shared" si="254"/>
        <v>0</v>
      </c>
      <c r="W96" s="4">
        <f t="shared" si="254"/>
        <v>0</v>
      </c>
      <c r="X96" s="4">
        <f t="shared" si="254"/>
        <v>0</v>
      </c>
      <c r="Y96" s="4">
        <f t="shared" si="254"/>
        <v>0</v>
      </c>
      <c r="Z96" s="4">
        <f t="shared" si="254"/>
        <v>0</v>
      </c>
      <c r="AA96" s="4">
        <f t="shared" si="254"/>
        <v>0</v>
      </c>
      <c r="AB96" s="4">
        <f t="shared" si="254"/>
        <v>0</v>
      </c>
      <c r="AC96" s="4">
        <f t="shared" si="254"/>
        <v>0</v>
      </c>
      <c r="AD96" s="4">
        <f t="shared" si="254"/>
        <v>0</v>
      </c>
      <c r="AE96" s="4">
        <f t="shared" si="254"/>
        <v>0</v>
      </c>
      <c r="AF96" s="4">
        <f t="shared" si="254"/>
        <v>0</v>
      </c>
      <c r="AG96" s="4" t="e">
        <f t="shared" si="254"/>
        <v>#VALUE!</v>
      </c>
      <c r="AH96" s="4" t="e">
        <f t="shared" si="253"/>
        <v>#VALUE!</v>
      </c>
      <c r="AI96" t="str">
        <f t="shared" ref="AI96:AJ96" si="255">AI67</f>
        <v>RLI</v>
      </c>
      <c r="AJ96" t="str">
        <f t="shared" si="255"/>
        <v>LO</v>
      </c>
      <c r="AL96" t="str">
        <f t="shared" si="235"/>
        <v>Techs_RLIKER</v>
      </c>
      <c r="AN96" s="5">
        <v>0</v>
      </c>
    </row>
    <row r="97" spans="1:40">
      <c r="A97">
        <v>2070</v>
      </c>
      <c r="B97" t="str">
        <f>B68</f>
        <v>CLA</v>
      </c>
      <c r="D97" s="4">
        <f t="shared" ref="D97:R97" si="256">D39*$AN97</f>
        <v>0</v>
      </c>
      <c r="E97" s="4">
        <f t="shared" si="256"/>
        <v>0</v>
      </c>
      <c r="F97" s="4">
        <f t="shared" si="256"/>
        <v>0</v>
      </c>
      <c r="G97" s="4">
        <f t="shared" si="256"/>
        <v>0</v>
      </c>
      <c r="H97" s="4">
        <f t="shared" si="256"/>
        <v>0</v>
      </c>
      <c r="I97" s="4">
        <f t="shared" si="256"/>
        <v>0</v>
      </c>
      <c r="J97" s="4">
        <f t="shared" si="256"/>
        <v>0</v>
      </c>
      <c r="K97" s="4">
        <f t="shared" si="256"/>
        <v>0</v>
      </c>
      <c r="L97" s="4">
        <f t="shared" si="256"/>
        <v>0</v>
      </c>
      <c r="M97" s="4">
        <f t="shared" si="256"/>
        <v>0</v>
      </c>
      <c r="N97" s="4">
        <f t="shared" si="256"/>
        <v>0</v>
      </c>
      <c r="O97" s="4">
        <f t="shared" si="256"/>
        <v>0</v>
      </c>
      <c r="P97" s="4">
        <f t="shared" si="256"/>
        <v>0</v>
      </c>
      <c r="Q97" s="4">
        <f t="shared" si="256"/>
        <v>0</v>
      </c>
      <c r="R97" s="4">
        <f t="shared" si="256"/>
        <v>0</v>
      </c>
      <c r="S97" s="4">
        <f t="shared" ref="S97:AH97" si="257">S39*$AN97</f>
        <v>0</v>
      </c>
      <c r="T97" s="4">
        <f t="shared" si="257"/>
        <v>0</v>
      </c>
      <c r="U97" s="4">
        <f t="shared" ref="U97:AG97" si="258">U39*$AN97</f>
        <v>0</v>
      </c>
      <c r="V97" s="4">
        <f t="shared" si="258"/>
        <v>0</v>
      </c>
      <c r="W97" s="4">
        <f t="shared" si="258"/>
        <v>0</v>
      </c>
      <c r="X97" s="4">
        <f t="shared" si="258"/>
        <v>0</v>
      </c>
      <c r="Y97" s="4">
        <f t="shared" si="258"/>
        <v>0</v>
      </c>
      <c r="Z97" s="4">
        <f t="shared" si="258"/>
        <v>0</v>
      </c>
      <c r="AA97" s="4">
        <f t="shared" si="258"/>
        <v>0</v>
      </c>
      <c r="AB97" s="4">
        <f t="shared" si="258"/>
        <v>0</v>
      </c>
      <c r="AC97" s="4">
        <f t="shared" si="258"/>
        <v>0</v>
      </c>
      <c r="AD97" s="4">
        <f t="shared" si="258"/>
        <v>0</v>
      </c>
      <c r="AE97" s="4">
        <f t="shared" si="258"/>
        <v>0</v>
      </c>
      <c r="AF97" s="4">
        <f t="shared" si="258"/>
        <v>0</v>
      </c>
      <c r="AG97" s="4" t="e">
        <f t="shared" si="258"/>
        <v>#VALUE!</v>
      </c>
      <c r="AH97" s="4" t="e">
        <f t="shared" si="257"/>
        <v>#VALUE!</v>
      </c>
      <c r="AI97" t="str">
        <f t="shared" ref="AI97:AL97" si="259">AI68</f>
        <v>CLA</v>
      </c>
      <c r="AJ97" t="str">
        <f t="shared" si="259"/>
        <v>LO</v>
      </c>
      <c r="AK97" t="str">
        <f>AK68</f>
        <v>*ICE*</v>
      </c>
      <c r="AL97" t="str">
        <f t="shared" si="259"/>
        <v>Techs_CLAICE</v>
      </c>
      <c r="AN97" s="5">
        <v>0</v>
      </c>
    </row>
    <row r="98" spans="1:40">
      <c r="A98">
        <v>2070</v>
      </c>
      <c r="B98" t="str">
        <f>B69</f>
        <v>RLI</v>
      </c>
      <c r="D98" s="4">
        <f t="shared" ref="D98:R98" si="260">D40*$AN98</f>
        <v>0</v>
      </c>
      <c r="E98" s="4">
        <f t="shared" si="260"/>
        <v>0</v>
      </c>
      <c r="F98" s="4">
        <f t="shared" si="260"/>
        <v>0</v>
      </c>
      <c r="G98" s="4">
        <f t="shared" si="260"/>
        <v>0</v>
      </c>
      <c r="H98" s="4" t="e">
        <f t="shared" si="260"/>
        <v>#VALUE!</v>
      </c>
      <c r="I98" s="4">
        <f t="shared" si="260"/>
        <v>0</v>
      </c>
      <c r="J98" s="4">
        <f t="shared" si="260"/>
        <v>0</v>
      </c>
      <c r="K98" s="4">
        <f t="shared" si="260"/>
        <v>0</v>
      </c>
      <c r="L98" s="4">
        <f t="shared" si="260"/>
        <v>0</v>
      </c>
      <c r="M98" s="4">
        <f t="shared" si="260"/>
        <v>0</v>
      </c>
      <c r="N98" s="4">
        <f t="shared" si="260"/>
        <v>0</v>
      </c>
      <c r="O98" s="4">
        <f t="shared" si="260"/>
        <v>0</v>
      </c>
      <c r="P98" s="4">
        <f t="shared" si="260"/>
        <v>0</v>
      </c>
      <c r="Q98" s="4">
        <f t="shared" si="260"/>
        <v>0</v>
      </c>
      <c r="R98" s="4">
        <f t="shared" si="260"/>
        <v>0</v>
      </c>
      <c r="S98" s="4">
        <f t="shared" ref="S98:AH98" si="261">S40*$AN98</f>
        <v>0</v>
      </c>
      <c r="T98" s="4">
        <f t="shared" si="261"/>
        <v>0</v>
      </c>
      <c r="U98" s="4">
        <f t="shared" ref="U98:AG98" si="262">U40*$AN98</f>
        <v>0</v>
      </c>
      <c r="V98" s="4">
        <f t="shared" si="262"/>
        <v>0</v>
      </c>
      <c r="W98" s="4">
        <f t="shared" si="262"/>
        <v>0</v>
      </c>
      <c r="X98" s="4">
        <f t="shared" si="262"/>
        <v>0</v>
      </c>
      <c r="Y98" s="4">
        <f t="shared" si="262"/>
        <v>0</v>
      </c>
      <c r="Z98" s="4">
        <f t="shared" si="262"/>
        <v>0</v>
      </c>
      <c r="AA98" s="4">
        <f t="shared" si="262"/>
        <v>0</v>
      </c>
      <c r="AB98" s="4">
        <f t="shared" si="262"/>
        <v>0</v>
      </c>
      <c r="AC98" s="4">
        <f t="shared" si="262"/>
        <v>0</v>
      </c>
      <c r="AD98" s="4">
        <f t="shared" si="262"/>
        <v>0</v>
      </c>
      <c r="AE98" s="4">
        <f t="shared" si="262"/>
        <v>0</v>
      </c>
      <c r="AF98" s="4">
        <f t="shared" si="262"/>
        <v>0</v>
      </c>
      <c r="AG98" s="4" t="e">
        <f t="shared" si="262"/>
        <v>#VALUE!</v>
      </c>
      <c r="AH98" s="4" t="e">
        <f t="shared" si="261"/>
        <v>#VALUE!</v>
      </c>
      <c r="AI98" t="str">
        <f t="shared" ref="AI98:AL98" si="263">AI69</f>
        <v>RLI</v>
      </c>
      <c r="AJ98" t="str">
        <f t="shared" si="263"/>
        <v>LO</v>
      </c>
      <c r="AK98" t="str">
        <f>AK69</f>
        <v>*ICE*</v>
      </c>
      <c r="AL98" t="str">
        <f t="shared" si="263"/>
        <v>Techs_RLIICE</v>
      </c>
      <c r="AN98" s="5">
        <v>0</v>
      </c>
    </row>
    <row r="99" spans="1:40">
      <c r="A99">
        <v>2070</v>
      </c>
      <c r="B99" t="str">
        <f>B70</f>
        <v>RSH</v>
      </c>
      <c r="C99" t="str">
        <f>C70</f>
        <v>*COA</v>
      </c>
      <c r="D99" s="4">
        <f t="shared" ref="D99:R99" si="264">D41*$AN99</f>
        <v>0</v>
      </c>
      <c r="E99" s="4">
        <f t="shared" si="264"/>
        <v>2.3927979151859749E-2</v>
      </c>
      <c r="F99" s="4">
        <f t="shared" si="264"/>
        <v>0</v>
      </c>
      <c r="G99" s="4">
        <f t="shared" si="264"/>
        <v>0.16600350446213424</v>
      </c>
      <c r="H99" s="4">
        <f t="shared" si="264"/>
        <v>9.4612305040113493E-3</v>
      </c>
      <c r="I99" s="4" t="e">
        <f t="shared" si="264"/>
        <v>#VALUE!</v>
      </c>
      <c r="J99" s="4">
        <f t="shared" si="264"/>
        <v>1.3199336813808865E-3</v>
      </c>
      <c r="K99" s="4">
        <f t="shared" si="264"/>
        <v>0</v>
      </c>
      <c r="L99" s="4">
        <f t="shared" si="264"/>
        <v>0</v>
      </c>
      <c r="M99" s="4">
        <f t="shared" si="264"/>
        <v>0.22265097894355976</v>
      </c>
      <c r="N99" s="4">
        <f t="shared" si="264"/>
        <v>2.9970523959534366E-4</v>
      </c>
      <c r="O99" s="4">
        <f t="shared" si="264"/>
        <v>0.21048353961482114</v>
      </c>
      <c r="P99" s="4">
        <f t="shared" si="264"/>
        <v>2.2704814311600124E-2</v>
      </c>
      <c r="Q99" s="4">
        <f t="shared" si="264"/>
        <v>1.2792122085980004E-4</v>
      </c>
      <c r="R99" s="4">
        <f t="shared" si="264"/>
        <v>1.9767874226097003E-2</v>
      </c>
      <c r="S99" s="4">
        <f t="shared" ref="S99:AH99" si="265">S41*$AN99</f>
        <v>6.393541529854563E-3</v>
      </c>
      <c r="T99" s="4">
        <f t="shared" si="265"/>
        <v>5.2370697061426677E-2</v>
      </c>
      <c r="U99" s="4">
        <f t="shared" ref="U99:AG99" si="266">U41*$AN99</f>
        <v>9.8215281971296832E-4</v>
      </c>
      <c r="V99" s="4">
        <f t="shared" si="266"/>
        <v>7.2702220678587852E-3</v>
      </c>
      <c r="W99" s="4" t="e">
        <f t="shared" si="266"/>
        <v>#VALUE!</v>
      </c>
      <c r="X99" s="4">
        <f t="shared" si="266"/>
        <v>1.3991614097382239E-2</v>
      </c>
      <c r="Y99" s="4">
        <f t="shared" si="266"/>
        <v>0</v>
      </c>
      <c r="Z99" s="4">
        <f t="shared" si="266"/>
        <v>1.8059577010324826E-4</v>
      </c>
      <c r="AA99" s="4">
        <f t="shared" si="266"/>
        <v>0</v>
      </c>
      <c r="AB99" s="4">
        <f t="shared" si="266"/>
        <v>1.1623348530873871E-2</v>
      </c>
      <c r="AC99" s="4">
        <f t="shared" si="266"/>
        <v>0</v>
      </c>
      <c r="AD99" s="4">
        <f t="shared" si="266"/>
        <v>0.99349743901260468</v>
      </c>
      <c r="AE99" s="4">
        <f t="shared" si="266"/>
        <v>1.5497930456168877E-2</v>
      </c>
      <c r="AF99" s="4">
        <f t="shared" si="266"/>
        <v>0</v>
      </c>
      <c r="AG99" s="4" t="e">
        <f t="shared" si="266"/>
        <v>#VALUE!</v>
      </c>
      <c r="AH99" s="4" t="e">
        <f t="shared" si="265"/>
        <v>#VALUE!</v>
      </c>
      <c r="AI99" t="str">
        <f t="shared" ref="AI99:AJ99" si="267">AI70</f>
        <v>RSH</v>
      </c>
      <c r="AJ99" t="str">
        <f t="shared" si="267"/>
        <v>UP</v>
      </c>
      <c r="AL99" t="str">
        <f>AL70</f>
        <v>Techs_RSHCOA</v>
      </c>
      <c r="AN99" s="5">
        <v>1</v>
      </c>
    </row>
    <row r="100" spans="1:40">
      <c r="A100">
        <v>2070</v>
      </c>
      <c r="B100" t="str">
        <f>B71</f>
        <v>CSH</v>
      </c>
      <c r="C100" t="str">
        <f>C71</f>
        <v>*COA</v>
      </c>
      <c r="D100" s="4">
        <f t="shared" ref="D100:R100" si="268">D42*$AN100</f>
        <v>0</v>
      </c>
      <c r="E100" s="4">
        <f t="shared" si="268"/>
        <v>0</v>
      </c>
      <c r="F100" s="4">
        <f t="shared" si="268"/>
        <v>0</v>
      </c>
      <c r="G100" s="4">
        <f t="shared" si="268"/>
        <v>5.3437188598817992E-2</v>
      </c>
      <c r="H100" s="4">
        <f t="shared" si="268"/>
        <v>9.8107162409564151E-4</v>
      </c>
      <c r="I100" s="4">
        <f t="shared" si="268"/>
        <v>2.2761040716432951E-2</v>
      </c>
      <c r="J100" s="4">
        <f t="shared" si="268"/>
        <v>8.521171454282845E-3</v>
      </c>
      <c r="K100" s="4">
        <f t="shared" si="268"/>
        <v>0</v>
      </c>
      <c r="L100" s="4">
        <f t="shared" si="268"/>
        <v>0</v>
      </c>
      <c r="M100" s="4">
        <f t="shared" si="268"/>
        <v>0.22498298358508717</v>
      </c>
      <c r="N100" s="4">
        <f t="shared" si="268"/>
        <v>3.6267253533050218E-4</v>
      </c>
      <c r="O100" s="4">
        <f t="shared" si="268"/>
        <v>6.6705517244279033E-2</v>
      </c>
      <c r="P100" s="4">
        <f t="shared" si="268"/>
        <v>5.1028141281362596E-4</v>
      </c>
      <c r="Q100" s="4">
        <f t="shared" si="268"/>
        <v>0</v>
      </c>
      <c r="R100" s="4">
        <f t="shared" si="268"/>
        <v>1.5314305341844105E-3</v>
      </c>
      <c r="S100" s="4">
        <f t="shared" ref="S100:AH100" si="269">S42*$AN100</f>
        <v>0</v>
      </c>
      <c r="T100" s="4">
        <f t="shared" si="269"/>
        <v>0.34795638399208989</v>
      </c>
      <c r="U100" s="4">
        <f t="shared" ref="U100:AG100" si="270">U42*$AN100</f>
        <v>3.2290648879885046E-3</v>
      </c>
      <c r="V100" s="4">
        <f t="shared" si="270"/>
        <v>1.1842213842030167E-4</v>
      </c>
      <c r="W100" s="4">
        <f t="shared" si="270"/>
        <v>0.56393755237351451</v>
      </c>
      <c r="X100" s="4">
        <f t="shared" si="270"/>
        <v>1.9503723019216535E-5</v>
      </c>
      <c r="Y100" s="4">
        <f t="shared" si="270"/>
        <v>0</v>
      </c>
      <c r="Z100" s="4">
        <f t="shared" si="270"/>
        <v>0</v>
      </c>
      <c r="AA100" s="4">
        <f t="shared" si="270"/>
        <v>4.5363555857317863E-5</v>
      </c>
      <c r="AB100" s="4">
        <f t="shared" si="270"/>
        <v>1.9104057802077374E-2</v>
      </c>
      <c r="AC100" s="4">
        <f t="shared" si="270"/>
        <v>0</v>
      </c>
      <c r="AD100" s="4">
        <f t="shared" si="270"/>
        <v>0</v>
      </c>
      <c r="AE100" s="4">
        <f t="shared" si="270"/>
        <v>1.9639182424812727E-3</v>
      </c>
      <c r="AF100" s="4">
        <f t="shared" si="270"/>
        <v>4.3676714111288732E-3</v>
      </c>
      <c r="AG100" s="4" t="e">
        <f t="shared" si="270"/>
        <v>#VALUE!</v>
      </c>
      <c r="AH100" s="4" t="e">
        <f t="shared" si="269"/>
        <v>#VALUE!</v>
      </c>
      <c r="AI100" t="str">
        <f t="shared" ref="AI100:AJ100" si="271">AI71</f>
        <v>CSH</v>
      </c>
      <c r="AJ100" t="str">
        <f t="shared" si="271"/>
        <v>UP</v>
      </c>
      <c r="AL100" t="str">
        <f>AL71</f>
        <v>Techs_CSHCOA</v>
      </c>
      <c r="AN100" s="5">
        <v>1</v>
      </c>
    </row>
    <row r="101" spans="1:40">
      <c r="A101">
        <v>2070</v>
      </c>
      <c r="B101" t="str">
        <f t="shared" ref="B101:C101" si="272">B72</f>
        <v>RSH</v>
      </c>
      <c r="C101" t="str">
        <f t="shared" si="272"/>
        <v>*LPG</v>
      </c>
      <c r="D101" s="4">
        <f t="shared" ref="D101:R101" si="273">D43*$AN101</f>
        <v>0.8387270765911542</v>
      </c>
      <c r="E101" s="4">
        <f t="shared" si="273"/>
        <v>0.62994551054252546</v>
      </c>
      <c r="F101" s="4">
        <f t="shared" si="273"/>
        <v>9.7998670703788496E-2</v>
      </c>
      <c r="G101" s="4">
        <f t="shared" si="273"/>
        <v>5.8004965066592196E-2</v>
      </c>
      <c r="H101" s="4">
        <f t="shared" si="273"/>
        <v>0.14505903049209704</v>
      </c>
      <c r="I101" s="4" t="e">
        <f t="shared" si="273"/>
        <v>#VALUE!</v>
      </c>
      <c r="J101" s="4">
        <f t="shared" si="273"/>
        <v>3.2783718671696001E-2</v>
      </c>
      <c r="K101" s="4">
        <f t="shared" si="273"/>
        <v>9.5903271232255866E-2</v>
      </c>
      <c r="L101" s="4">
        <f t="shared" si="273"/>
        <v>1.3783403457053853E-2</v>
      </c>
      <c r="M101" s="4">
        <f t="shared" si="273"/>
        <v>0</v>
      </c>
      <c r="N101" s="4">
        <f t="shared" si="273"/>
        <v>2.3198512207712012E-3</v>
      </c>
      <c r="O101" s="4">
        <f t="shared" si="273"/>
        <v>9.5643825474063856E-3</v>
      </c>
      <c r="P101" s="4">
        <f t="shared" si="273"/>
        <v>1.1054691978123383E-2</v>
      </c>
      <c r="Q101" s="4">
        <f t="shared" si="273"/>
        <v>4.7412461503619351E-2</v>
      </c>
      <c r="R101" s="4">
        <f t="shared" si="273"/>
        <v>1.4880597823143988E-2</v>
      </c>
      <c r="S101" s="4">
        <f t="shared" ref="S101:AH101" si="274">S43*$AN101</f>
        <v>0.12289667604030317</v>
      </c>
      <c r="T101" s="4">
        <f t="shared" si="274"/>
        <v>6.8875692620146145E-3</v>
      </c>
      <c r="U101" s="4">
        <f t="shared" ref="U101:AG101" si="275">U43*$AN101</f>
        <v>3.3092925627022027E-2</v>
      </c>
      <c r="V101" s="4">
        <f t="shared" si="275"/>
        <v>1.787989144419529E-2</v>
      </c>
      <c r="W101" s="4" t="e">
        <f t="shared" si="275"/>
        <v>#VALUE!</v>
      </c>
      <c r="X101" s="4">
        <f t="shared" si="275"/>
        <v>3.7324821516261847E-2</v>
      </c>
      <c r="Y101" s="4">
        <f t="shared" si="275"/>
        <v>9.1434651735773254E-2</v>
      </c>
      <c r="Z101" s="4">
        <f t="shared" si="275"/>
        <v>7.8266731634315925E-2</v>
      </c>
      <c r="AA101" s="4">
        <f t="shared" si="275"/>
        <v>2.8993433399386427E-3</v>
      </c>
      <c r="AB101" s="4">
        <f t="shared" si="275"/>
        <v>8.8275524500619498E-2</v>
      </c>
      <c r="AC101" s="4">
        <f t="shared" si="275"/>
        <v>0.47328432966889994</v>
      </c>
      <c r="AD101" s="4">
        <f t="shared" si="275"/>
        <v>3.030386702193751E-3</v>
      </c>
      <c r="AE101" s="4">
        <f t="shared" si="275"/>
        <v>8.0360680968122131E-3</v>
      </c>
      <c r="AF101" s="4">
        <f t="shared" si="275"/>
        <v>3.1839989988778419E-2</v>
      </c>
      <c r="AG101" s="4" t="e">
        <f t="shared" si="275"/>
        <v>#VALUE!</v>
      </c>
      <c r="AH101" s="4" t="e">
        <f t="shared" si="274"/>
        <v>#VALUE!</v>
      </c>
      <c r="AI101" t="str">
        <f t="shared" ref="AI101:AL101" si="276">AI72</f>
        <v>RSH</v>
      </c>
      <c r="AJ101" t="str">
        <f t="shared" si="276"/>
        <v>UP</v>
      </c>
      <c r="AL101" t="str">
        <f t="shared" si="276"/>
        <v>Techs_RSHLPG</v>
      </c>
      <c r="AN101" s="5">
        <v>1</v>
      </c>
    </row>
    <row r="102" spans="1:40">
      <c r="A102">
        <v>2070</v>
      </c>
      <c r="B102" t="str">
        <f t="shared" ref="B102:C102" si="277">B73</f>
        <v>CSH</v>
      </c>
      <c r="C102" t="str">
        <f t="shared" si="277"/>
        <v>*LPG</v>
      </c>
      <c r="D102" s="4">
        <f t="shared" ref="D102:R102" si="278">D44*$AN102</f>
        <v>0</v>
      </c>
      <c r="E102" s="4">
        <f t="shared" si="278"/>
        <v>0</v>
      </c>
      <c r="F102" s="4">
        <f t="shared" si="278"/>
        <v>0</v>
      </c>
      <c r="G102" s="4">
        <f t="shared" si="278"/>
        <v>2.1212228048238663E-3</v>
      </c>
      <c r="H102" s="4">
        <f t="shared" si="278"/>
        <v>7.0773673278293842E-2</v>
      </c>
      <c r="I102" s="4">
        <f t="shared" si="278"/>
        <v>8.8555072272879065E-2</v>
      </c>
      <c r="J102" s="4">
        <f t="shared" si="278"/>
        <v>7.0271855374058985E-3</v>
      </c>
      <c r="K102" s="4">
        <f t="shared" si="278"/>
        <v>0</v>
      </c>
      <c r="L102" s="4">
        <f t="shared" si="278"/>
        <v>9.9445166464944071E-3</v>
      </c>
      <c r="M102" s="4">
        <f t="shared" si="278"/>
        <v>2.3310439638030249E-2</v>
      </c>
      <c r="N102" s="4">
        <f t="shared" si="278"/>
        <v>6.2841132373003187E-4</v>
      </c>
      <c r="O102" s="4">
        <f t="shared" si="278"/>
        <v>7.6802574949935186E-3</v>
      </c>
      <c r="P102" s="4">
        <f t="shared" si="278"/>
        <v>5.8754580315894247E-3</v>
      </c>
      <c r="Q102" s="4">
        <f t="shared" si="278"/>
        <v>1.2846775652482639E-2</v>
      </c>
      <c r="R102" s="4">
        <f t="shared" si="278"/>
        <v>1.2512884230228243E-2</v>
      </c>
      <c r="S102" s="4">
        <f t="shared" ref="S102:AH102" si="279">S44*$AN102</f>
        <v>1.0937604039681111E-2</v>
      </c>
      <c r="T102" s="4">
        <f t="shared" si="279"/>
        <v>3.4695338037007742E-3</v>
      </c>
      <c r="U102" s="4">
        <f t="shared" ref="U102:AG102" si="280">U44*$AN102</f>
        <v>6.0925135518909426E-3</v>
      </c>
      <c r="V102" s="4">
        <f t="shared" si="280"/>
        <v>2.5612913758105709E-3</v>
      </c>
      <c r="W102" s="4">
        <f t="shared" si="280"/>
        <v>0</v>
      </c>
      <c r="X102" s="4">
        <f t="shared" si="280"/>
        <v>0</v>
      </c>
      <c r="Y102" s="4">
        <f t="shared" si="280"/>
        <v>0</v>
      </c>
      <c r="Z102" s="4">
        <f t="shared" si="280"/>
        <v>5.4444090488359491E-3</v>
      </c>
      <c r="AA102" s="4">
        <f t="shared" si="280"/>
        <v>2.8413318433925115E-3</v>
      </c>
      <c r="AB102" s="4">
        <f t="shared" si="280"/>
        <v>4.3279602658647726E-4</v>
      </c>
      <c r="AC102" s="4">
        <f t="shared" si="280"/>
        <v>0</v>
      </c>
      <c r="AD102" s="4">
        <f t="shared" si="280"/>
        <v>0</v>
      </c>
      <c r="AE102" s="4">
        <f t="shared" si="280"/>
        <v>9.7542011001510495E-3</v>
      </c>
      <c r="AF102" s="4">
        <f t="shared" si="280"/>
        <v>1.356240094265593E-2</v>
      </c>
      <c r="AG102" s="4" t="e">
        <f t="shared" si="280"/>
        <v>#VALUE!</v>
      </c>
      <c r="AH102" s="4" t="e">
        <f t="shared" si="279"/>
        <v>#VALUE!</v>
      </c>
      <c r="AI102" t="str">
        <f t="shared" ref="AI102:AL102" si="281">AI73</f>
        <v>CSH</v>
      </c>
      <c r="AJ102" t="str">
        <f t="shared" si="281"/>
        <v>UP</v>
      </c>
      <c r="AL102" t="str">
        <f t="shared" si="281"/>
        <v>Techs_CSHLPG</v>
      </c>
      <c r="AN102" s="5">
        <v>1</v>
      </c>
    </row>
    <row r="103" spans="1:40">
      <c r="A103">
        <v>2070</v>
      </c>
      <c r="B103" t="str">
        <f t="shared" ref="B103:C103" si="282">B74</f>
        <v>RSH</v>
      </c>
      <c r="C103" t="str">
        <f t="shared" si="282"/>
        <v>*ELC</v>
      </c>
      <c r="D103" s="4">
        <f t="shared" ref="D103:R103" si="283">D45*$AN103</f>
        <v>0</v>
      </c>
      <c r="E103" s="4">
        <f t="shared" si="283"/>
        <v>0</v>
      </c>
      <c r="F103" s="4">
        <f t="shared" si="283"/>
        <v>0.18752923220835488</v>
      </c>
      <c r="G103" s="4">
        <f t="shared" si="283"/>
        <v>2.5875991962968366E-2</v>
      </c>
      <c r="H103" s="4">
        <f t="shared" si="283"/>
        <v>0.40701041042331015</v>
      </c>
      <c r="I103" s="4" t="e">
        <f t="shared" si="283"/>
        <v>#VALUE!</v>
      </c>
      <c r="J103" s="4">
        <f t="shared" si="283"/>
        <v>0.22879744741280481</v>
      </c>
      <c r="K103" s="4">
        <f t="shared" si="283"/>
        <v>0.15484534080056975</v>
      </c>
      <c r="L103" s="4">
        <f t="shared" si="283"/>
        <v>0.39701364918065507</v>
      </c>
      <c r="M103" s="4">
        <f t="shared" si="283"/>
        <v>9.7147999738234472E-2</v>
      </c>
      <c r="N103" s="4">
        <f t="shared" si="283"/>
        <v>0.16524854428883626</v>
      </c>
      <c r="O103" s="4">
        <f t="shared" si="283"/>
        <v>3.6405965687359904E-2</v>
      </c>
      <c r="P103" s="4">
        <f t="shared" si="283"/>
        <v>7.918657064807319E-2</v>
      </c>
      <c r="Q103" s="4">
        <f t="shared" si="283"/>
        <v>8.6417420780618787E-2</v>
      </c>
      <c r="R103" s="4">
        <f t="shared" si="283"/>
        <v>5.4309488998393537E-2</v>
      </c>
      <c r="S103" s="4">
        <f t="shared" ref="S103:AH103" si="284">S45*$AN103</f>
        <v>0.22843754771437932</v>
      </c>
      <c r="T103" s="4">
        <f t="shared" si="284"/>
        <v>1.2671361398706374E-2</v>
      </c>
      <c r="U103" s="4">
        <f t="shared" ref="U103:AG103" si="285">U45*$AN103</f>
        <v>0.17267685932444943</v>
      </c>
      <c r="V103" s="4">
        <f t="shared" si="285"/>
        <v>7.1683083978638679E-2</v>
      </c>
      <c r="W103" s="4" t="e">
        <f t="shared" si="285"/>
        <v>#VALUE!</v>
      </c>
      <c r="X103" s="4">
        <f t="shared" si="285"/>
        <v>5.7738072753371353E-2</v>
      </c>
      <c r="Y103" s="4">
        <f t="shared" si="285"/>
        <v>0.25538428273103336</v>
      </c>
      <c r="Z103" s="4">
        <f t="shared" si="285"/>
        <v>1.8724657441063299E-2</v>
      </c>
      <c r="AA103" s="4">
        <f t="shared" si="285"/>
        <v>0.5483504834111862</v>
      </c>
      <c r="AB103" s="4">
        <f t="shared" si="285"/>
        <v>1.4238971985975011E-2</v>
      </c>
      <c r="AC103" s="4">
        <f t="shared" si="285"/>
        <v>0.3163663565992324</v>
      </c>
      <c r="AD103" s="4">
        <f t="shared" si="285"/>
        <v>0</v>
      </c>
      <c r="AE103" s="4">
        <f t="shared" si="285"/>
        <v>9.4899897481522402E-2</v>
      </c>
      <c r="AF103" s="4">
        <f t="shared" si="285"/>
        <v>0.15192765853760276</v>
      </c>
      <c r="AG103" s="4" t="e">
        <f t="shared" si="285"/>
        <v>#VALUE!</v>
      </c>
      <c r="AH103" s="4" t="e">
        <f t="shared" si="284"/>
        <v>#VALUE!</v>
      </c>
      <c r="AI103" t="str">
        <f t="shared" ref="AI103:AL103" si="286">AI74</f>
        <v>RSH</v>
      </c>
      <c r="AJ103" t="str">
        <f t="shared" si="286"/>
        <v>LO</v>
      </c>
      <c r="AL103" t="str">
        <f t="shared" si="286"/>
        <v>Techs_RSHELC</v>
      </c>
      <c r="AN103" s="5">
        <v>1</v>
      </c>
    </row>
    <row r="104" spans="1:40">
      <c r="A104">
        <v>2070</v>
      </c>
      <c r="B104" t="str">
        <f t="shared" ref="B104:C104" si="287">B75</f>
        <v>CSH</v>
      </c>
      <c r="C104" t="str">
        <f t="shared" si="287"/>
        <v>*ELC</v>
      </c>
      <c r="D104" s="4">
        <f t="shared" ref="D104:R104" si="288">D46*$AN104</f>
        <v>0</v>
      </c>
      <c r="E104" s="4">
        <f t="shared" si="288"/>
        <v>0</v>
      </c>
      <c r="F104" s="4">
        <f t="shared" si="288"/>
        <v>0.33690946452043624</v>
      </c>
      <c r="G104" s="4">
        <f t="shared" si="288"/>
        <v>3.0316232755060561E-2</v>
      </c>
      <c r="H104" s="4">
        <f t="shared" si="288"/>
        <v>0.28159906908158561</v>
      </c>
      <c r="I104" s="4">
        <f t="shared" si="288"/>
        <v>0.41140863265581384</v>
      </c>
      <c r="J104" s="4">
        <f t="shared" si="288"/>
        <v>0.21000123631290568</v>
      </c>
      <c r="K104" s="4">
        <f t="shared" si="288"/>
        <v>0.91611579643637198</v>
      </c>
      <c r="L104" s="4">
        <f t="shared" si="288"/>
        <v>0.22390731879224612</v>
      </c>
      <c r="M104" s="4">
        <f t="shared" si="288"/>
        <v>7.9437130586864926E-2</v>
      </c>
      <c r="N104" s="4">
        <f t="shared" si="288"/>
        <v>0.2162196604455264</v>
      </c>
      <c r="O104" s="4">
        <f t="shared" si="288"/>
        <v>0.14527303341907855</v>
      </c>
      <c r="P104" s="4">
        <f t="shared" si="288"/>
        <v>0.28515910665335703</v>
      </c>
      <c r="Q104" s="4">
        <f t="shared" si="288"/>
        <v>0.35733292595299226</v>
      </c>
      <c r="R104" s="4">
        <f t="shared" si="288"/>
        <v>0.14993296070032894</v>
      </c>
      <c r="S104" s="4">
        <f t="shared" ref="S104:AH104" si="289">S46*$AN104</f>
        <v>0.4891916514861836</v>
      </c>
      <c r="T104" s="4">
        <f t="shared" si="289"/>
        <v>0.11686688207602433</v>
      </c>
      <c r="U104" s="4">
        <f t="shared" ref="U104:AG104" si="290">U46*$AN104</f>
        <v>0.33989891091419755</v>
      </c>
      <c r="V104" s="4">
        <f t="shared" si="290"/>
        <v>0.22490627849254624</v>
      </c>
      <c r="W104" s="4">
        <f t="shared" si="290"/>
        <v>0.2283140341505753</v>
      </c>
      <c r="X104" s="4">
        <f t="shared" si="290"/>
        <v>0.51478809691305427</v>
      </c>
      <c r="Y104" s="4">
        <f t="shared" si="290"/>
        <v>0.88257906368872729</v>
      </c>
      <c r="Z104" s="4">
        <f t="shared" si="290"/>
        <v>0.54526639406900146</v>
      </c>
      <c r="AA104" s="4">
        <f t="shared" si="290"/>
        <v>0.3573275380915128</v>
      </c>
      <c r="AB104" s="4">
        <f t="shared" si="290"/>
        <v>6.5345131688581165E-2</v>
      </c>
      <c r="AC104" s="4">
        <f t="shared" si="290"/>
        <v>1</v>
      </c>
      <c r="AD104" s="4">
        <f t="shared" si="290"/>
        <v>0</v>
      </c>
      <c r="AE104" s="4">
        <f t="shared" si="290"/>
        <v>0.30301942148218841</v>
      </c>
      <c r="AF104" s="4">
        <f t="shared" si="290"/>
        <v>0.14669730643491047</v>
      </c>
      <c r="AG104" s="4" t="e">
        <f t="shared" si="290"/>
        <v>#VALUE!</v>
      </c>
      <c r="AH104" s="4" t="e">
        <f t="shared" si="289"/>
        <v>#VALUE!</v>
      </c>
      <c r="AI104" t="str">
        <f t="shared" ref="AI104:AL104" si="291">AI75</f>
        <v>CSH</v>
      </c>
      <c r="AJ104" t="str">
        <f t="shared" si="291"/>
        <v>LO</v>
      </c>
      <c r="AL104" t="str">
        <f t="shared" si="291"/>
        <v>Techs_CSHELC</v>
      </c>
      <c r="AN104" s="5">
        <v>1</v>
      </c>
    </row>
    <row r="105" spans="1:40">
      <c r="A105">
        <v>2070</v>
      </c>
      <c r="B105" t="str">
        <f t="shared" ref="B105:C105" si="292">B76</f>
        <v>RSH</v>
      </c>
      <c r="C105" t="str">
        <f t="shared" si="292"/>
        <v>*HET</v>
      </c>
      <c r="D105" s="4">
        <f t="shared" ref="D105:R105" si="293">D47*$AN105</f>
        <v>0</v>
      </c>
      <c r="E105" s="4">
        <f t="shared" si="293"/>
        <v>0</v>
      </c>
      <c r="F105" s="4">
        <f t="shared" si="293"/>
        <v>0</v>
      </c>
      <c r="G105" s="4">
        <f t="shared" si="293"/>
        <v>0.11881992551164405</v>
      </c>
      <c r="H105" s="4">
        <f t="shared" si="293"/>
        <v>0</v>
      </c>
      <c r="I105" s="4" t="e">
        <f t="shared" si="293"/>
        <v>#VALUE!</v>
      </c>
      <c r="J105" s="4">
        <f t="shared" si="293"/>
        <v>0</v>
      </c>
      <c r="K105" s="4">
        <f t="shared" si="293"/>
        <v>0</v>
      </c>
      <c r="L105" s="4">
        <f t="shared" si="293"/>
        <v>0</v>
      </c>
      <c r="M105" s="4">
        <f t="shared" si="293"/>
        <v>0.43548284381197661</v>
      </c>
      <c r="N105" s="4">
        <f t="shared" si="293"/>
        <v>0.62637611138180405</v>
      </c>
      <c r="O105" s="4">
        <f t="shared" si="293"/>
        <v>0.28530220426836178</v>
      </c>
      <c r="P105" s="4">
        <f t="shared" si="293"/>
        <v>2.3518627249700212E-2</v>
      </c>
      <c r="Q105" s="4">
        <f t="shared" si="293"/>
        <v>4.757765778221313E-2</v>
      </c>
      <c r="R105" s="4">
        <f t="shared" si="293"/>
        <v>0.16926120467139585</v>
      </c>
      <c r="S105" s="4">
        <f t="shared" ref="S105:AH105" si="294">S47*$AN105</f>
        <v>1.1414391323876683E-4</v>
      </c>
      <c r="T105" s="4">
        <f t="shared" si="294"/>
        <v>0.19693045271020526</v>
      </c>
      <c r="U105" s="4">
        <f t="shared" ref="U105:AG105" si="295">U47*$AN105</f>
        <v>6.9777905855451183E-2</v>
      </c>
      <c r="V105" s="4">
        <f t="shared" si="295"/>
        <v>0.11260810898171257</v>
      </c>
      <c r="W105" s="4" t="e">
        <f t="shared" si="295"/>
        <v>#VALUE!</v>
      </c>
      <c r="X105" s="4">
        <f t="shared" si="295"/>
        <v>0</v>
      </c>
      <c r="Y105" s="4">
        <f t="shared" si="295"/>
        <v>0</v>
      </c>
      <c r="Z105" s="4">
        <f t="shared" si="295"/>
        <v>0</v>
      </c>
      <c r="AA105" s="4">
        <f t="shared" si="295"/>
        <v>0.34002105207954847</v>
      </c>
      <c r="AB105" s="4">
        <f t="shared" si="295"/>
        <v>0.41627458494233388</v>
      </c>
      <c r="AC105" s="4">
        <f t="shared" si="295"/>
        <v>0</v>
      </c>
      <c r="AD105" s="4">
        <f t="shared" si="295"/>
        <v>0</v>
      </c>
      <c r="AE105" s="4">
        <f t="shared" si="295"/>
        <v>1.234261112772882E-2</v>
      </c>
      <c r="AF105" s="4">
        <f t="shared" si="295"/>
        <v>0</v>
      </c>
      <c r="AG105" s="4" t="e">
        <f t="shared" si="295"/>
        <v>#VALUE!</v>
      </c>
      <c r="AH105" s="4" t="e">
        <f t="shared" si="294"/>
        <v>#VALUE!</v>
      </c>
      <c r="AI105" t="str">
        <f t="shared" ref="AI105:AJ105" si="296">AI76</f>
        <v>RSH</v>
      </c>
      <c r="AJ105" t="str">
        <f t="shared" si="296"/>
        <v>LO</v>
      </c>
      <c r="AL105" t="str">
        <f t="shared" ref="AL105" si="297">AL76</f>
        <v>Techs_RSHHET</v>
      </c>
      <c r="AN105" s="5">
        <v>1</v>
      </c>
    </row>
    <row r="106" spans="1:40">
      <c r="A106">
        <v>2070</v>
      </c>
      <c r="B106" t="str">
        <f t="shared" ref="B106:C106" si="298">B77</f>
        <v>CSH</v>
      </c>
      <c r="C106" t="str">
        <f t="shared" si="298"/>
        <v>*HET</v>
      </c>
      <c r="D106" s="4">
        <f t="shared" ref="D106:R106" si="299">D48*$AN106</f>
        <v>0</v>
      </c>
      <c r="E106" s="4">
        <f t="shared" si="299"/>
        <v>0</v>
      </c>
      <c r="F106" s="4">
        <f t="shared" si="299"/>
        <v>0</v>
      </c>
      <c r="G106" s="4">
        <f t="shared" si="299"/>
        <v>0.35047563905644402</v>
      </c>
      <c r="H106" s="4">
        <f t="shared" si="299"/>
        <v>6.602663749300057E-2</v>
      </c>
      <c r="I106" s="4">
        <f t="shared" si="299"/>
        <v>0.12076586003935619</v>
      </c>
      <c r="J106" s="4">
        <f t="shared" si="299"/>
        <v>0</v>
      </c>
      <c r="K106" s="4">
        <f t="shared" si="299"/>
        <v>0</v>
      </c>
      <c r="L106" s="4">
        <f t="shared" si="299"/>
        <v>6.0503705029043458E-4</v>
      </c>
      <c r="M106" s="4">
        <f t="shared" si="299"/>
        <v>0.22781633974171053</v>
      </c>
      <c r="N106" s="4">
        <f t="shared" si="299"/>
        <v>0.66740623513241781</v>
      </c>
      <c r="O106" s="4">
        <f t="shared" si="299"/>
        <v>0.39668267186198181</v>
      </c>
      <c r="P106" s="4">
        <f t="shared" si="299"/>
        <v>8.0119735914874077E-2</v>
      </c>
      <c r="Q106" s="4">
        <f t="shared" si="299"/>
        <v>5.3576274355058219E-2</v>
      </c>
      <c r="R106" s="4">
        <f t="shared" si="299"/>
        <v>0.21387991886529575</v>
      </c>
      <c r="S106" s="4">
        <f t="shared" ref="S106:AH106" si="300">S48*$AN106</f>
        <v>7.1594595271569058E-3</v>
      </c>
      <c r="T106" s="4">
        <f t="shared" si="300"/>
        <v>0.43934595963428125</v>
      </c>
      <c r="U106" s="4">
        <f t="shared" ref="U106:AG106" si="301">U48*$AN106</f>
        <v>0.11116567015870996</v>
      </c>
      <c r="V106" s="4">
        <f t="shared" si="301"/>
        <v>0.13426475887064529</v>
      </c>
      <c r="W106" s="4">
        <f t="shared" si="301"/>
        <v>0</v>
      </c>
      <c r="X106" s="4">
        <f t="shared" si="301"/>
        <v>0</v>
      </c>
      <c r="Y106" s="4">
        <f t="shared" si="301"/>
        <v>0</v>
      </c>
      <c r="Z106" s="4">
        <f t="shared" si="301"/>
        <v>0</v>
      </c>
      <c r="AA106" s="4">
        <f t="shared" si="301"/>
        <v>0.48041482381420081</v>
      </c>
      <c r="AB106" s="4">
        <f t="shared" si="301"/>
        <v>0.73536787503907397</v>
      </c>
      <c r="AC106" s="4">
        <f t="shared" si="301"/>
        <v>0</v>
      </c>
      <c r="AD106" s="4">
        <f t="shared" si="301"/>
        <v>0</v>
      </c>
      <c r="AE106" s="4">
        <f t="shared" si="301"/>
        <v>5.6315989094889801E-2</v>
      </c>
      <c r="AF106" s="4">
        <f t="shared" si="301"/>
        <v>2.1950526139931724E-2</v>
      </c>
      <c r="AG106" s="4" t="e">
        <f t="shared" si="301"/>
        <v>#VALUE!</v>
      </c>
      <c r="AH106" s="4" t="e">
        <f t="shared" si="300"/>
        <v>#VALUE!</v>
      </c>
      <c r="AI106" t="str">
        <f t="shared" ref="AI106:AJ106" si="302">AI77</f>
        <v>CSH</v>
      </c>
      <c r="AJ106" t="str">
        <f t="shared" si="302"/>
        <v>LO</v>
      </c>
      <c r="AL106" t="str">
        <f t="shared" ref="AL106" si="303">AL77</f>
        <v>Techs_CSHHET</v>
      </c>
      <c r="AN106" s="5">
        <v>1</v>
      </c>
    </row>
    <row r="107" spans="1:40">
      <c r="A107">
        <v>2070</v>
      </c>
      <c r="B107" t="str">
        <f>B78</f>
        <v>RCK</v>
      </c>
      <c r="C107" t="str">
        <f>C78</f>
        <v>*COA</v>
      </c>
      <c r="D107" s="4">
        <f t="shared" ref="D107:R107" si="304">D49*$AN107</f>
        <v>0</v>
      </c>
      <c r="E107" s="4">
        <f t="shared" si="304"/>
        <v>1.0623453291597326E-6</v>
      </c>
      <c r="F107" s="4">
        <f t="shared" si="304"/>
        <v>0</v>
      </c>
      <c r="G107" s="4">
        <f t="shared" si="304"/>
        <v>3.2931457914713101E-2</v>
      </c>
      <c r="H107" s="4">
        <f t="shared" si="304"/>
        <v>0</v>
      </c>
      <c r="I107" s="4">
        <f t="shared" si="304"/>
        <v>1.5137805486942348E-2</v>
      </c>
      <c r="J107" s="4">
        <f t="shared" si="304"/>
        <v>0</v>
      </c>
      <c r="K107" s="4">
        <f t="shared" si="304"/>
        <v>0</v>
      </c>
      <c r="L107" s="4">
        <f t="shared" si="304"/>
        <v>0</v>
      </c>
      <c r="M107" s="4">
        <f t="shared" si="304"/>
        <v>1.723416903569415E-2</v>
      </c>
      <c r="N107" s="4">
        <f t="shared" si="304"/>
        <v>0</v>
      </c>
      <c r="O107" s="4">
        <f t="shared" si="304"/>
        <v>9.9429036291598261E-3</v>
      </c>
      <c r="P107" s="4">
        <f t="shared" si="304"/>
        <v>3.861152940267964E-5</v>
      </c>
      <c r="Q107" s="4">
        <f t="shared" si="304"/>
        <v>0</v>
      </c>
      <c r="R107" s="4">
        <f t="shared" si="304"/>
        <v>6.8973128069304212E-4</v>
      </c>
      <c r="S107" s="4">
        <f t="shared" ref="S107:AH107" si="305">S49*$AN107</f>
        <v>0</v>
      </c>
      <c r="T107" s="4">
        <f t="shared" si="305"/>
        <v>0</v>
      </c>
      <c r="U107" s="4">
        <f t="shared" ref="U107:AG107" si="306">U49*$AN107</f>
        <v>0</v>
      </c>
      <c r="V107" s="4">
        <f t="shared" si="306"/>
        <v>1.5635505104992417E-5</v>
      </c>
      <c r="W107" s="4">
        <f t="shared" si="306"/>
        <v>2.1606921639403733E-2</v>
      </c>
      <c r="X107" s="4">
        <f t="shared" si="306"/>
        <v>1.9610577509718128E-4</v>
      </c>
      <c r="Y107" s="4">
        <f t="shared" si="306"/>
        <v>0</v>
      </c>
      <c r="Z107" s="4">
        <f t="shared" si="306"/>
        <v>0</v>
      </c>
      <c r="AA107" s="4">
        <f t="shared" si="306"/>
        <v>0</v>
      </c>
      <c r="AB107" s="4">
        <f t="shared" si="306"/>
        <v>3.0733912522717729E-3</v>
      </c>
      <c r="AC107" s="4">
        <f t="shared" si="306"/>
        <v>0</v>
      </c>
      <c r="AD107" s="4">
        <f t="shared" si="306"/>
        <v>5.4844203355620035E-2</v>
      </c>
      <c r="AE107" s="4">
        <f t="shared" si="306"/>
        <v>1.9961275126255068E-5</v>
      </c>
      <c r="AF107" s="4">
        <f t="shared" si="306"/>
        <v>0</v>
      </c>
      <c r="AG107" s="4" t="e">
        <f t="shared" si="306"/>
        <v>#VALUE!</v>
      </c>
      <c r="AH107" s="4" t="e">
        <f t="shared" si="305"/>
        <v>#VALUE!</v>
      </c>
      <c r="AI107" t="str">
        <f t="shared" ref="AI107:AJ107" si="307">AI78</f>
        <v>RCK</v>
      </c>
      <c r="AJ107" t="str">
        <f t="shared" si="307"/>
        <v>UP</v>
      </c>
      <c r="AL107" t="str">
        <f>AL78</f>
        <v>Techs_RCKCOA</v>
      </c>
      <c r="AN107" s="5">
        <v>1</v>
      </c>
    </row>
    <row r="108" spans="1:40">
      <c r="A108">
        <v>2070</v>
      </c>
      <c r="B108" t="str">
        <f>B79</f>
        <v>CCK</v>
      </c>
      <c r="C108" t="str">
        <f>C79</f>
        <v>*COA</v>
      </c>
      <c r="D108" s="4">
        <f t="shared" ref="D108:R108" si="308">D50*$AN108</f>
        <v>0</v>
      </c>
      <c r="E108" s="4">
        <f t="shared" si="308"/>
        <v>2.1551742473052197E-4</v>
      </c>
      <c r="F108" s="4">
        <f t="shared" si="308"/>
        <v>0</v>
      </c>
      <c r="G108" s="4">
        <f t="shared" si="308"/>
        <v>0</v>
      </c>
      <c r="H108" s="4">
        <f t="shared" si="308"/>
        <v>1.640373527465809E-3</v>
      </c>
      <c r="I108" s="4">
        <f t="shared" si="308"/>
        <v>1.4563305368522607E-2</v>
      </c>
      <c r="J108" s="4">
        <f t="shared" si="308"/>
        <v>0</v>
      </c>
      <c r="K108" s="4">
        <f t="shared" si="308"/>
        <v>0</v>
      </c>
      <c r="L108" s="4">
        <f t="shared" si="308"/>
        <v>0</v>
      </c>
      <c r="M108" s="4">
        <f t="shared" si="308"/>
        <v>7.0027443220350677E-2</v>
      </c>
      <c r="N108" s="4">
        <f t="shared" si="308"/>
        <v>0</v>
      </c>
      <c r="O108" s="4">
        <f t="shared" si="308"/>
        <v>0</v>
      </c>
      <c r="P108" s="4">
        <f t="shared" si="308"/>
        <v>0</v>
      </c>
      <c r="Q108" s="4">
        <f t="shared" si="308"/>
        <v>0</v>
      </c>
      <c r="R108" s="4">
        <f t="shared" si="308"/>
        <v>0</v>
      </c>
      <c r="S108" s="4">
        <f t="shared" ref="S108:AH108" si="309">S50*$AN108</f>
        <v>0</v>
      </c>
      <c r="T108" s="4">
        <f t="shared" si="309"/>
        <v>0</v>
      </c>
      <c r="U108" s="4">
        <f t="shared" ref="U108:AG108" si="310">U50*$AN108</f>
        <v>0</v>
      </c>
      <c r="V108" s="4">
        <f t="shared" si="310"/>
        <v>0</v>
      </c>
      <c r="W108" s="4">
        <f t="shared" si="310"/>
        <v>0.1321273730455291</v>
      </c>
      <c r="X108" s="4">
        <f t="shared" si="310"/>
        <v>0</v>
      </c>
      <c r="Y108" s="4">
        <f t="shared" si="310"/>
        <v>0</v>
      </c>
      <c r="Z108" s="4">
        <f t="shared" si="310"/>
        <v>0</v>
      </c>
      <c r="AA108" s="4">
        <f t="shared" si="310"/>
        <v>0</v>
      </c>
      <c r="AB108" s="4">
        <f t="shared" si="310"/>
        <v>0</v>
      </c>
      <c r="AC108" s="4">
        <f t="shared" si="310"/>
        <v>0</v>
      </c>
      <c r="AD108" s="4">
        <f t="shared" si="310"/>
        <v>0.44672768042773864</v>
      </c>
      <c r="AE108" s="4">
        <f t="shared" si="310"/>
        <v>0</v>
      </c>
      <c r="AF108" s="4">
        <f t="shared" si="310"/>
        <v>0</v>
      </c>
      <c r="AG108" s="4" t="e">
        <f t="shared" si="310"/>
        <v>#VALUE!</v>
      </c>
      <c r="AH108" s="4" t="e">
        <f t="shared" si="309"/>
        <v>#VALUE!</v>
      </c>
      <c r="AI108" t="str">
        <f t="shared" ref="AI108:AJ108" si="311">AI79</f>
        <v>CCK</v>
      </c>
      <c r="AJ108" t="str">
        <f t="shared" si="311"/>
        <v>UP</v>
      </c>
      <c r="AL108" t="str">
        <f>AL79</f>
        <v>Techs_CCKCOA</v>
      </c>
      <c r="AN108" s="5">
        <v>1</v>
      </c>
    </row>
    <row r="109" spans="1:40">
      <c r="A109">
        <v>2070</v>
      </c>
      <c r="B109" t="str">
        <f t="shared" ref="B109:C109" si="312">B80</f>
        <v>RCK</v>
      </c>
      <c r="C109" t="str">
        <f t="shared" si="312"/>
        <v>*ELC</v>
      </c>
      <c r="D109" s="4">
        <f t="shared" ref="D109:R109" si="313">D51*$AN109</f>
        <v>0</v>
      </c>
      <c r="E109" s="4">
        <f t="shared" si="313"/>
        <v>0</v>
      </c>
      <c r="F109" s="4">
        <f t="shared" si="313"/>
        <v>1.7567929326730023E-3</v>
      </c>
      <c r="G109" s="4">
        <f t="shared" si="313"/>
        <v>0.14756163684495902</v>
      </c>
      <c r="H109" s="4">
        <f t="shared" si="313"/>
        <v>0.30465585553738972</v>
      </c>
      <c r="I109" s="4">
        <f t="shared" si="313"/>
        <v>1.2334405296530576E-2</v>
      </c>
      <c r="J109" s="4">
        <f t="shared" si="313"/>
        <v>0.63487565066512441</v>
      </c>
      <c r="K109" s="4">
        <f t="shared" si="313"/>
        <v>3.1429725747421462E-3</v>
      </c>
      <c r="L109" s="4">
        <f t="shared" si="313"/>
        <v>0.87180098012523821</v>
      </c>
      <c r="M109" s="4">
        <f t="shared" si="313"/>
        <v>5.3769204411472427E-2</v>
      </c>
      <c r="N109" s="4">
        <f t="shared" si="313"/>
        <v>0.94616546263417822</v>
      </c>
      <c r="O109" s="4">
        <f t="shared" si="313"/>
        <v>0.29726268850088133</v>
      </c>
      <c r="P109" s="4">
        <f t="shared" si="313"/>
        <v>0.59342059538978331</v>
      </c>
      <c r="Q109" s="4">
        <f t="shared" si="313"/>
        <v>0.62671572780749962</v>
      </c>
      <c r="R109" s="4">
        <f t="shared" si="313"/>
        <v>0.32682227004359105</v>
      </c>
      <c r="S109" s="4">
        <f t="shared" ref="S109:AH109" si="314">S51*$AN109</f>
        <v>0.83906159490249088</v>
      </c>
      <c r="T109" s="4">
        <f t="shared" si="314"/>
        <v>7.2760700492037464E-2</v>
      </c>
      <c r="U109" s="4">
        <f t="shared" ref="U109:AG109" si="315">U51*$AN109</f>
        <v>0.79804737833283779</v>
      </c>
      <c r="V109" s="4">
        <f t="shared" si="315"/>
        <v>0.59841768688337493</v>
      </c>
      <c r="W109" s="4">
        <f t="shared" si="315"/>
        <v>2.1514115650323904E-3</v>
      </c>
      <c r="X109" s="4">
        <f t="shared" si="315"/>
        <v>1.8390363798002334E-3</v>
      </c>
      <c r="Y109" s="4">
        <f t="shared" si="315"/>
        <v>4.4765442924060272E-3</v>
      </c>
      <c r="Z109" s="4">
        <f t="shared" si="315"/>
        <v>4.6668873894248925E-2</v>
      </c>
      <c r="AA109" s="4">
        <f t="shared" si="315"/>
        <v>0.99461890611195902</v>
      </c>
      <c r="AB109" s="4">
        <f t="shared" si="315"/>
        <v>0.10828401628606243</v>
      </c>
      <c r="AC109" s="4">
        <f t="shared" si="315"/>
        <v>0.21157148518339131</v>
      </c>
      <c r="AD109" s="4">
        <f t="shared" si="315"/>
        <v>0</v>
      </c>
      <c r="AE109" s="4">
        <f t="shared" si="315"/>
        <v>0.62684392278978784</v>
      </c>
      <c r="AF109" s="4">
        <f t="shared" si="315"/>
        <v>0.58611855429480897</v>
      </c>
      <c r="AG109" s="4" t="e">
        <f t="shared" si="315"/>
        <v>#VALUE!</v>
      </c>
      <c r="AH109" s="4" t="e">
        <f t="shared" si="314"/>
        <v>#VALUE!</v>
      </c>
      <c r="AI109" t="str">
        <f t="shared" ref="AI109:AL109" si="316">AI80</f>
        <v>RCK</v>
      </c>
      <c r="AJ109" t="str">
        <f t="shared" si="316"/>
        <v>LO</v>
      </c>
      <c r="AL109" t="str">
        <f t="shared" si="316"/>
        <v>Techs_RCKELC</v>
      </c>
      <c r="AN109" s="5">
        <v>1</v>
      </c>
    </row>
    <row r="110" spans="1:40">
      <c r="A110">
        <v>2070</v>
      </c>
      <c r="B110" t="str">
        <f t="shared" ref="B110:C110" si="317">B81</f>
        <v>CCK</v>
      </c>
      <c r="C110" t="str">
        <f t="shared" si="317"/>
        <v>*ELC</v>
      </c>
      <c r="D110" s="4">
        <f t="shared" ref="D110:R110" si="318">D52*$AN110</f>
        <v>0.31238988919428756</v>
      </c>
      <c r="E110" s="4">
        <f t="shared" si="318"/>
        <v>8.1913866412141309E-2</v>
      </c>
      <c r="F110" s="4">
        <f t="shared" si="318"/>
        <v>5.4950341387117886E-2</v>
      </c>
      <c r="G110" s="4">
        <f t="shared" si="318"/>
        <v>4.7423259614059916E-2</v>
      </c>
      <c r="H110" s="4">
        <f t="shared" si="318"/>
        <v>0</v>
      </c>
      <c r="I110" s="4">
        <f t="shared" si="318"/>
        <v>7.4449892918504318E-2</v>
      </c>
      <c r="J110" s="4">
        <f t="shared" si="318"/>
        <v>0.72313027732698365</v>
      </c>
      <c r="K110" s="4">
        <f t="shared" si="318"/>
        <v>0.29292217579099483</v>
      </c>
      <c r="L110" s="4">
        <f t="shared" si="318"/>
        <v>0.22349620643615123</v>
      </c>
      <c r="M110" s="4">
        <f t="shared" si="318"/>
        <v>0.155275045850852</v>
      </c>
      <c r="N110" s="4">
        <f t="shared" si="318"/>
        <v>0.72193562928381982</v>
      </c>
      <c r="O110" s="4">
        <f t="shared" si="318"/>
        <v>0.30545713750396464</v>
      </c>
      <c r="P110" s="4">
        <f t="shared" si="318"/>
        <v>0.20978550908515814</v>
      </c>
      <c r="Q110" s="4">
        <f t="shared" si="318"/>
        <v>0.21849542775718953</v>
      </c>
      <c r="R110" s="4">
        <f t="shared" si="318"/>
        <v>0.21579970895869377</v>
      </c>
      <c r="S110" s="4">
        <f t="shared" ref="S110:AH110" si="319">S52*$AN110</f>
        <v>0.40151462130972948</v>
      </c>
      <c r="T110" s="4">
        <f t="shared" si="319"/>
        <v>7.2723695842625155E-2</v>
      </c>
      <c r="U110" s="4">
        <f t="shared" ref="U110:AG110" si="320">U52*$AN110</f>
        <v>0.29802571350461227</v>
      </c>
      <c r="V110" s="4">
        <f t="shared" si="320"/>
        <v>0.20856801429809405</v>
      </c>
      <c r="W110" s="4">
        <f t="shared" si="320"/>
        <v>6.2669253796986485E-2</v>
      </c>
      <c r="X110" s="4">
        <f t="shared" si="320"/>
        <v>0.10723368753992889</v>
      </c>
      <c r="Y110" s="4">
        <f t="shared" si="320"/>
        <v>4.0653300970366443E-2</v>
      </c>
      <c r="Z110" s="4">
        <f t="shared" si="320"/>
        <v>4.4254219576553594E-2</v>
      </c>
      <c r="AA110" s="4">
        <f t="shared" si="320"/>
        <v>0.79472045431366989</v>
      </c>
      <c r="AB110" s="4">
        <f t="shared" si="320"/>
        <v>0.31867292875409564</v>
      </c>
      <c r="AC110" s="4">
        <f t="shared" si="320"/>
        <v>1</v>
      </c>
      <c r="AD110" s="4">
        <f t="shared" si="320"/>
        <v>0.43661230241284954</v>
      </c>
      <c r="AE110" s="4">
        <f t="shared" si="320"/>
        <v>0.17551119168518772</v>
      </c>
      <c r="AF110" s="4">
        <f t="shared" si="320"/>
        <v>0.15494370459436532</v>
      </c>
      <c r="AG110" s="4" t="e">
        <f t="shared" si="320"/>
        <v>#VALUE!</v>
      </c>
      <c r="AH110" s="4" t="e">
        <f t="shared" si="319"/>
        <v>#VALUE!</v>
      </c>
      <c r="AI110" t="str">
        <f t="shared" ref="AI110:AL110" si="321">AI81</f>
        <v>CCK</v>
      </c>
      <c r="AJ110" t="str">
        <f t="shared" si="321"/>
        <v>LO</v>
      </c>
      <c r="AL110" t="str">
        <f t="shared" si="321"/>
        <v>Techs_CCKELC</v>
      </c>
      <c r="AN110" s="5">
        <v>1</v>
      </c>
    </row>
    <row r="111" spans="1:40">
      <c r="A111">
        <v>2070</v>
      </c>
      <c r="B111" t="str">
        <f t="shared" ref="B111:C111" si="322">B82</f>
        <v>RCK</v>
      </c>
      <c r="C111" t="str">
        <f t="shared" si="322"/>
        <v>*KER</v>
      </c>
      <c r="D111" s="4">
        <f t="shared" ref="D111:R111" si="323">D53*$AN111</f>
        <v>6.9437615026904003E-3</v>
      </c>
      <c r="E111" s="4">
        <f t="shared" si="323"/>
        <v>1.1593905749784743E-2</v>
      </c>
      <c r="F111" s="4">
        <f t="shared" si="323"/>
        <v>1.3175946995047516E-2</v>
      </c>
      <c r="G111" s="4">
        <f t="shared" si="323"/>
        <v>8.2129301821197327E-3</v>
      </c>
      <c r="H111" s="4">
        <f t="shared" si="323"/>
        <v>0.13821748928460961</v>
      </c>
      <c r="I111" s="4">
        <f t="shared" si="323"/>
        <v>1.0439315100931434E-2</v>
      </c>
      <c r="J111" s="4">
        <f t="shared" si="323"/>
        <v>0</v>
      </c>
      <c r="K111" s="4">
        <f t="shared" si="323"/>
        <v>1.6635771662151244E-4</v>
      </c>
      <c r="L111" s="4">
        <f t="shared" si="323"/>
        <v>0</v>
      </c>
      <c r="M111" s="4">
        <f t="shared" si="323"/>
        <v>2.6485742216834141E-3</v>
      </c>
      <c r="N111" s="4">
        <f t="shared" si="323"/>
        <v>8.1629321252193793E-5</v>
      </c>
      <c r="O111" s="4">
        <f t="shared" si="323"/>
        <v>0</v>
      </c>
      <c r="P111" s="4">
        <f t="shared" si="323"/>
        <v>2.1506621877292562E-2</v>
      </c>
      <c r="Q111" s="4">
        <f t="shared" si="323"/>
        <v>2.9049359703696534E-4</v>
      </c>
      <c r="R111" s="4">
        <f t="shared" si="323"/>
        <v>0</v>
      </c>
      <c r="S111" s="4">
        <f t="shared" ref="S111:AH111" si="324">S53*$AN111</f>
        <v>0</v>
      </c>
      <c r="T111" s="4">
        <f t="shared" si="324"/>
        <v>1.2036400190466113E-3</v>
      </c>
      <c r="U111" s="4">
        <f t="shared" ref="U111:AG111" si="325">U53*$AN111</f>
        <v>1.9493177387914231E-3</v>
      </c>
      <c r="V111" s="4">
        <f t="shared" si="325"/>
        <v>6.2542020419969669E-5</v>
      </c>
      <c r="W111" s="4">
        <f t="shared" si="325"/>
        <v>3.0302561585913736E-2</v>
      </c>
      <c r="X111" s="4">
        <f t="shared" si="325"/>
        <v>1.6455453483710143E-2</v>
      </c>
      <c r="Y111" s="4">
        <f t="shared" si="325"/>
        <v>0</v>
      </c>
      <c r="Z111" s="4">
        <f t="shared" si="325"/>
        <v>0.17475646663278105</v>
      </c>
      <c r="AA111" s="4">
        <f t="shared" si="325"/>
        <v>0</v>
      </c>
      <c r="AB111" s="4">
        <f t="shared" si="325"/>
        <v>0</v>
      </c>
      <c r="AC111" s="4">
        <f t="shared" si="325"/>
        <v>0.23393950068248867</v>
      </c>
      <c r="AD111" s="4">
        <f t="shared" si="325"/>
        <v>0.15261132837138894</v>
      </c>
      <c r="AE111" s="4">
        <f t="shared" si="325"/>
        <v>2.4652174780925011E-2</v>
      </c>
      <c r="AF111" s="4">
        <f t="shared" si="325"/>
        <v>4.8886095397723307E-4</v>
      </c>
      <c r="AG111" s="4" t="e">
        <f t="shared" si="325"/>
        <v>#VALUE!</v>
      </c>
      <c r="AH111" s="4" t="e">
        <f t="shared" si="324"/>
        <v>#VALUE!</v>
      </c>
      <c r="AI111" t="str">
        <f t="shared" ref="AI111:AL111" si="326">AI82</f>
        <v>RCK</v>
      </c>
      <c r="AJ111" t="str">
        <f t="shared" si="326"/>
        <v>UP</v>
      </c>
      <c r="AL111" t="str">
        <f t="shared" si="326"/>
        <v>Techs_RCKKER</v>
      </c>
      <c r="AN111" s="5">
        <v>1</v>
      </c>
    </row>
    <row r="112" spans="1:40">
      <c r="A112">
        <v>2070</v>
      </c>
      <c r="B112" t="str">
        <f t="shared" ref="B112:C112" si="327">B83</f>
        <v>CCK</v>
      </c>
      <c r="C112" t="str">
        <f t="shared" si="327"/>
        <v>*KER</v>
      </c>
      <c r="D112" s="4">
        <f t="shared" ref="D112:R112" si="328">D54*$AN112</f>
        <v>0</v>
      </c>
      <c r="E112" s="4">
        <f t="shared" si="328"/>
        <v>5.7195162176276672E-4</v>
      </c>
      <c r="F112" s="4">
        <f t="shared" si="328"/>
        <v>2.8249832246807775E-5</v>
      </c>
      <c r="G112" s="4">
        <f t="shared" si="328"/>
        <v>2.5245665201284565E-4</v>
      </c>
      <c r="H112" s="4">
        <f t="shared" si="328"/>
        <v>0</v>
      </c>
      <c r="I112" s="4">
        <f t="shared" si="328"/>
        <v>2.2459377915300581E-2</v>
      </c>
      <c r="J112" s="4">
        <f t="shared" si="328"/>
        <v>2.1943962763806964E-5</v>
      </c>
      <c r="K112" s="4">
        <f t="shared" si="328"/>
        <v>0</v>
      </c>
      <c r="L112" s="4">
        <f t="shared" si="328"/>
        <v>9.599405146892255E-2</v>
      </c>
      <c r="M112" s="4">
        <f t="shared" si="328"/>
        <v>3.2220265438405449E-2</v>
      </c>
      <c r="N112" s="4">
        <f t="shared" si="328"/>
        <v>1.1049614797989703E-3</v>
      </c>
      <c r="O112" s="4">
        <f t="shared" si="328"/>
        <v>1.5287487027340895E-5</v>
      </c>
      <c r="P112" s="4">
        <f t="shared" si="328"/>
        <v>2.530738729542889E-2</v>
      </c>
      <c r="Q112" s="4">
        <f t="shared" si="328"/>
        <v>4.9501475346328417E-4</v>
      </c>
      <c r="R112" s="4">
        <f t="shared" si="328"/>
        <v>2.5641567187059672E-4</v>
      </c>
      <c r="S112" s="4">
        <f t="shared" ref="S112:AH112" si="329">S54*$AN112</f>
        <v>9.614092733118952E-7</v>
      </c>
      <c r="T112" s="4">
        <f t="shared" si="329"/>
        <v>0</v>
      </c>
      <c r="U112" s="4">
        <f t="shared" ref="U112:AG112" si="330">U54*$AN112</f>
        <v>0</v>
      </c>
      <c r="V112" s="4">
        <f t="shared" si="330"/>
        <v>0</v>
      </c>
      <c r="W112" s="4">
        <f t="shared" si="330"/>
        <v>0</v>
      </c>
      <c r="X112" s="4">
        <f t="shared" si="330"/>
        <v>1.8141202358303149E-4</v>
      </c>
      <c r="Y112" s="4">
        <f t="shared" si="330"/>
        <v>0</v>
      </c>
      <c r="Z112" s="4">
        <f t="shared" si="330"/>
        <v>5.7281207248440131E-4</v>
      </c>
      <c r="AA112" s="4">
        <f t="shared" si="330"/>
        <v>4.9113737750807706E-5</v>
      </c>
      <c r="AB112" s="4">
        <f t="shared" si="330"/>
        <v>0</v>
      </c>
      <c r="AC112" s="4">
        <f t="shared" si="330"/>
        <v>0</v>
      </c>
      <c r="AD112" s="4">
        <f t="shared" si="330"/>
        <v>7.0819734932653514E-3</v>
      </c>
      <c r="AE112" s="4">
        <f t="shared" si="330"/>
        <v>0.16491077506419879</v>
      </c>
      <c r="AF112" s="4">
        <f t="shared" si="330"/>
        <v>0</v>
      </c>
      <c r="AG112" s="4" t="e">
        <f t="shared" si="330"/>
        <v>#VALUE!</v>
      </c>
      <c r="AH112" s="4" t="e">
        <f t="shared" si="329"/>
        <v>#VALUE!</v>
      </c>
      <c r="AI112" t="str">
        <f t="shared" ref="AI112:AL112" si="331">AI83</f>
        <v>CCK</v>
      </c>
      <c r="AJ112" t="str">
        <f t="shared" si="331"/>
        <v>UP</v>
      </c>
      <c r="AL112" t="str">
        <f t="shared" si="331"/>
        <v>Techs_CCKKER</v>
      </c>
      <c r="AN112" s="5">
        <v>1</v>
      </c>
    </row>
    <row r="113" spans="1:40">
      <c r="A113">
        <v>2070</v>
      </c>
      <c r="B113" t="str">
        <f t="shared" ref="B113:C113" si="332">B84</f>
        <v>RHW</v>
      </c>
      <c r="C113" t="str">
        <f t="shared" si="332"/>
        <v>*ELC,-*STH</v>
      </c>
      <c r="D113" s="4">
        <f t="shared" ref="D113:R113" si="333">D55*$AN113</f>
        <v>7.0936271956638638E-2</v>
      </c>
      <c r="E113" s="4">
        <f t="shared" si="333"/>
        <v>3.4409363060373177E-2</v>
      </c>
      <c r="F113" s="4">
        <f t="shared" si="333"/>
        <v>0.11957953113715318</v>
      </c>
      <c r="G113" s="4">
        <f t="shared" si="333"/>
        <v>5.2702476596685956E-2</v>
      </c>
      <c r="H113" s="4">
        <f t="shared" si="333"/>
        <v>0.12608393971286894</v>
      </c>
      <c r="I113" s="4">
        <f t="shared" si="333"/>
        <v>0.41728951965183037</v>
      </c>
      <c r="J113" s="4">
        <f t="shared" si="333"/>
        <v>0.45809734303790212</v>
      </c>
      <c r="K113" s="4">
        <f t="shared" si="333"/>
        <v>0.66878720679198944</v>
      </c>
      <c r="L113" s="4">
        <f t="shared" si="333"/>
        <v>0.3561940642619103</v>
      </c>
      <c r="M113" s="4">
        <f t="shared" si="333"/>
        <v>0.20535281495023275</v>
      </c>
      <c r="N113" s="4">
        <f t="shared" si="333"/>
        <v>0.3793679170129981</v>
      </c>
      <c r="O113" s="4">
        <f t="shared" si="333"/>
        <v>0.18694287049176617</v>
      </c>
      <c r="P113" s="4">
        <f t="shared" si="333"/>
        <v>0.19523585332932239</v>
      </c>
      <c r="Q113" s="4">
        <f t="shared" si="333"/>
        <v>0.19051471888589533</v>
      </c>
      <c r="R113" s="4">
        <f t="shared" si="333"/>
        <v>0.27206099710256282</v>
      </c>
      <c r="S113" s="4">
        <f t="shared" ref="S113:AH113" si="334">S55*$AN113</f>
        <v>0.41098945013896737</v>
      </c>
      <c r="T113" s="4">
        <f t="shared" si="334"/>
        <v>8.9958182941244969E-2</v>
      </c>
      <c r="U113" s="4">
        <f t="shared" ref="U113:AG113" si="335">U55*$AN113</f>
        <v>0.37807893397045989</v>
      </c>
      <c r="V113" s="4">
        <f t="shared" si="335"/>
        <v>0.17012878566140391</v>
      </c>
      <c r="W113" s="4">
        <f t="shared" si="335"/>
        <v>0</v>
      </c>
      <c r="X113" s="4">
        <f t="shared" si="335"/>
        <v>0.41883493662452059</v>
      </c>
      <c r="Y113" s="4">
        <f t="shared" si="335"/>
        <v>1.654323843930957E-2</v>
      </c>
      <c r="Z113" s="4">
        <f t="shared" si="335"/>
        <v>0.10628089404409734</v>
      </c>
      <c r="AA113" s="4">
        <f t="shared" si="335"/>
        <v>0.80976803085247218</v>
      </c>
      <c r="AB113" s="4">
        <f t="shared" si="335"/>
        <v>2.1021116689603495E-2</v>
      </c>
      <c r="AC113" s="4">
        <f t="shared" si="335"/>
        <v>0.74850837453239849</v>
      </c>
      <c r="AD113" s="4">
        <f t="shared" si="335"/>
        <v>0.18877131986198212</v>
      </c>
      <c r="AE113" s="4">
        <f t="shared" si="335"/>
        <v>0.21796906171465089</v>
      </c>
      <c r="AF113" s="4">
        <f t="shared" si="335"/>
        <v>0.30553746643085922</v>
      </c>
      <c r="AG113" s="4" t="e">
        <f t="shared" si="335"/>
        <v>#VALUE!</v>
      </c>
      <c r="AH113" s="4" t="e">
        <f t="shared" si="334"/>
        <v>#VALUE!</v>
      </c>
      <c r="AI113" t="str">
        <f t="shared" ref="AI113:AL113" si="336">AI84</f>
        <v>RHW</v>
      </c>
      <c r="AJ113" t="str">
        <f t="shared" si="336"/>
        <v>LO</v>
      </c>
      <c r="AL113" t="str">
        <f t="shared" si="336"/>
        <v>Techs_RHWELC</v>
      </c>
      <c r="AN113" s="5">
        <v>1</v>
      </c>
    </row>
    <row r="114" spans="1:40">
      <c r="A114">
        <v>2070</v>
      </c>
      <c r="B114" t="str">
        <f t="shared" ref="B114:C114" si="337">B85</f>
        <v>CHW</v>
      </c>
      <c r="C114" t="str">
        <f t="shared" si="337"/>
        <v>*ELC,-*STH</v>
      </c>
      <c r="D114" s="4">
        <f t="shared" ref="D114:R114" si="338">D56*$AN114</f>
        <v>0.51536284826625378</v>
      </c>
      <c r="E114" s="4">
        <f t="shared" si="338"/>
        <v>0.13002460352365139</v>
      </c>
      <c r="F114" s="4">
        <f t="shared" si="338"/>
        <v>0.15688701666910682</v>
      </c>
      <c r="G114" s="4">
        <f t="shared" si="338"/>
        <v>0.22655604121015699</v>
      </c>
      <c r="H114" s="4">
        <f t="shared" si="338"/>
        <v>0</v>
      </c>
      <c r="I114" s="4">
        <f t="shared" si="338"/>
        <v>0.4107181435443808</v>
      </c>
      <c r="J114" s="4">
        <f t="shared" si="338"/>
        <v>0.57685717595901187</v>
      </c>
      <c r="K114" s="4">
        <f t="shared" si="338"/>
        <v>0.73395646630781364</v>
      </c>
      <c r="L114" s="4">
        <f t="shared" si="338"/>
        <v>0.19412389095835481</v>
      </c>
      <c r="M114" s="4">
        <f t="shared" si="338"/>
        <v>7.3523905153032268E-2</v>
      </c>
      <c r="N114" s="4">
        <f t="shared" si="338"/>
        <v>0.61541081650623808</v>
      </c>
      <c r="O114" s="4">
        <f t="shared" si="338"/>
        <v>0.63799166182666611</v>
      </c>
      <c r="P114" s="4">
        <f t="shared" si="338"/>
        <v>0.22446555056900966</v>
      </c>
      <c r="Q114" s="4">
        <f t="shared" si="338"/>
        <v>0.25995774549957013</v>
      </c>
      <c r="R114" s="4">
        <f t="shared" si="338"/>
        <v>0.56617109035988344</v>
      </c>
      <c r="S114" s="4">
        <f t="shared" ref="S114:AH114" si="339">S56*$AN114</f>
        <v>0.36392648927273302</v>
      </c>
      <c r="T114" s="4">
        <f t="shared" si="339"/>
        <v>0.38589945100255379</v>
      </c>
      <c r="U114" s="4">
        <f t="shared" ref="U114:AG114" si="340">U56*$AN114</f>
        <v>0.29445677618891541</v>
      </c>
      <c r="V114" s="4">
        <f t="shared" si="340"/>
        <v>0.20268934958436582</v>
      </c>
      <c r="W114" s="4">
        <f t="shared" si="340"/>
        <v>4.9616883476952318E-2</v>
      </c>
      <c r="X114" s="4">
        <f t="shared" si="340"/>
        <v>0.26858513049836191</v>
      </c>
      <c r="Y114" s="4">
        <f t="shared" si="340"/>
        <v>0.31248889935941399</v>
      </c>
      <c r="Z114" s="4">
        <f t="shared" si="340"/>
        <v>0.28238003847682641</v>
      </c>
      <c r="AA114" s="4">
        <f t="shared" si="340"/>
        <v>0.64279184514043297</v>
      </c>
      <c r="AB114" s="4">
        <f t="shared" si="340"/>
        <v>0.66382208028212031</v>
      </c>
      <c r="AC114" s="4">
        <f t="shared" si="340"/>
        <v>1</v>
      </c>
      <c r="AD114" s="4">
        <f t="shared" si="340"/>
        <v>0.24778566802896085</v>
      </c>
      <c r="AE114" s="4">
        <f t="shared" si="340"/>
        <v>0.2165517226317154</v>
      </c>
      <c r="AF114" s="4">
        <f t="shared" si="340"/>
        <v>0.22005280624829437</v>
      </c>
      <c r="AG114" s="4" t="e">
        <f t="shared" si="340"/>
        <v>#VALUE!</v>
      </c>
      <c r="AH114" s="4" t="e">
        <f t="shared" si="339"/>
        <v>#VALUE!</v>
      </c>
      <c r="AI114" t="str">
        <f t="shared" ref="AI114:AL114" si="341">AI85</f>
        <v>CHW</v>
      </c>
      <c r="AJ114" t="str">
        <f t="shared" si="341"/>
        <v>LO</v>
      </c>
      <c r="AL114" t="str">
        <f t="shared" si="341"/>
        <v>Techs_CHWELC</v>
      </c>
      <c r="AN114" s="5">
        <v>1</v>
      </c>
    </row>
    <row r="115" spans="1:40">
      <c r="A115" s="14">
        <f>A113</f>
        <v>2070</v>
      </c>
      <c r="B115" s="14" t="str">
        <f t="shared" ref="B115:D116" si="342">B86</f>
        <v>RSH</v>
      </c>
      <c r="C115" s="14" t="str">
        <f t="shared" si="342"/>
        <v>*HET</v>
      </c>
      <c r="D115" s="15">
        <f t="shared" si="342"/>
        <v>0</v>
      </c>
      <c r="E115" s="15">
        <f t="shared" ref="E115:Y115" si="343">E86</f>
        <v>0</v>
      </c>
      <c r="F115" s="15">
        <f t="shared" si="343"/>
        <v>0</v>
      </c>
      <c r="G115" s="15">
        <f t="shared" si="343"/>
        <v>0.15001015595845063</v>
      </c>
      <c r="H115" s="15">
        <f t="shared" si="343"/>
        <v>0</v>
      </c>
      <c r="I115" s="15">
        <f t="shared" si="343"/>
        <v>0</v>
      </c>
      <c r="J115" s="15">
        <f t="shared" si="343"/>
        <v>0</v>
      </c>
      <c r="K115" s="15">
        <f t="shared" si="343"/>
        <v>0</v>
      </c>
      <c r="L115" s="15">
        <f t="shared" si="343"/>
        <v>0</v>
      </c>
      <c r="M115" s="15">
        <f t="shared" si="343"/>
        <v>0.52780520670011566</v>
      </c>
      <c r="N115" s="15">
        <f t="shared" si="343"/>
        <v>0.79079984061952768</v>
      </c>
      <c r="O115" s="15">
        <f t="shared" si="343"/>
        <v>0.36019403288880675</v>
      </c>
      <c r="P115" s="15">
        <f t="shared" si="343"/>
        <v>2.9692266902746518E-2</v>
      </c>
      <c r="Q115" s="15">
        <f t="shared" si="343"/>
        <v>6.0066792950044079E-2</v>
      </c>
      <c r="R115" s="15">
        <f t="shared" si="343"/>
        <v>0.21369227089763726</v>
      </c>
      <c r="S115" s="15">
        <f t="shared" si="343"/>
        <v>1.4410669046394312E-4</v>
      </c>
      <c r="T115" s="15">
        <f t="shared" si="343"/>
        <v>0.24862469654663416</v>
      </c>
      <c r="U115" s="15">
        <f t="shared" si="343"/>
        <v>8.8094606142507123E-2</v>
      </c>
      <c r="V115" s="15">
        <f t="shared" si="343"/>
        <v>0.14216773758941212</v>
      </c>
      <c r="W115" s="15">
        <f t="shared" si="343"/>
        <v>0</v>
      </c>
      <c r="X115" s="15">
        <f t="shared" si="343"/>
        <v>0</v>
      </c>
      <c r="Y115" s="15">
        <f t="shared" si="343"/>
        <v>0</v>
      </c>
      <c r="Z115" s="15">
        <f t="shared" ref="Z115:AA115" si="344">Z86</f>
        <v>0</v>
      </c>
      <c r="AA115" s="15">
        <f t="shared" si="344"/>
        <v>0.42927657825042992</v>
      </c>
      <c r="AB115" s="15">
        <f t="shared" ref="AB115:AF115" si="345">AB86</f>
        <v>0.52554666348969648</v>
      </c>
      <c r="AC115" s="15">
        <f t="shared" si="345"/>
        <v>0</v>
      </c>
      <c r="AD115" s="15">
        <f t="shared" si="345"/>
        <v>0</v>
      </c>
      <c r="AE115" s="15">
        <f t="shared" si="345"/>
        <v>1.5582546548757636E-2</v>
      </c>
      <c r="AF115" s="15">
        <f t="shared" si="345"/>
        <v>0</v>
      </c>
      <c r="AG115" s="4"/>
      <c r="AH115" s="4"/>
      <c r="AI115" s="15" t="str">
        <f>AI57</f>
        <v>RSH</v>
      </c>
      <c r="AJ115" s="14" t="str">
        <f>AJ86</f>
        <v>UP</v>
      </c>
      <c r="AL115" s="14" t="str">
        <f>AL86</f>
        <v>Techs_RSHHET</v>
      </c>
      <c r="AN115" s="5"/>
    </row>
    <row r="116" spans="1:40">
      <c r="A116" s="14">
        <f>A114</f>
        <v>2070</v>
      </c>
      <c r="B116" s="14" t="str">
        <f t="shared" si="342"/>
        <v>CSH</v>
      </c>
      <c r="C116" s="14" t="str">
        <f t="shared" si="342"/>
        <v>*HET</v>
      </c>
      <c r="D116" s="15">
        <f t="shared" si="342"/>
        <v>0</v>
      </c>
      <c r="E116" s="15">
        <f t="shared" ref="E116:Y116" si="346">E87</f>
        <v>0</v>
      </c>
      <c r="F116" s="15">
        <f t="shared" si="346"/>
        <v>0</v>
      </c>
      <c r="G116" s="15">
        <f t="shared" si="346"/>
        <v>0.35398039544700849</v>
      </c>
      <c r="H116" s="15">
        <f t="shared" si="346"/>
        <v>6.668690386793058E-2</v>
      </c>
      <c r="I116" s="15">
        <f t="shared" si="346"/>
        <v>0.12197351863974976</v>
      </c>
      <c r="J116" s="15">
        <f t="shared" si="346"/>
        <v>0</v>
      </c>
      <c r="K116" s="15">
        <f t="shared" si="346"/>
        <v>0</v>
      </c>
      <c r="L116" s="15">
        <f t="shared" si="346"/>
        <v>7.3330490495200672E-4</v>
      </c>
      <c r="M116" s="15">
        <f t="shared" si="346"/>
        <v>0.27611340376695315</v>
      </c>
      <c r="N116" s="15">
        <f t="shared" si="346"/>
        <v>0.67408029748374199</v>
      </c>
      <c r="O116" s="15">
        <f t="shared" si="346"/>
        <v>0.40064949858060162</v>
      </c>
      <c r="P116" s="15">
        <f t="shared" si="346"/>
        <v>8.0920933274022819E-2</v>
      </c>
      <c r="Q116" s="15">
        <f t="shared" si="346"/>
        <v>5.4112037098608803E-2</v>
      </c>
      <c r="R116" s="15">
        <f t="shared" si="346"/>
        <v>0.21601871805394871</v>
      </c>
      <c r="S116" s="15">
        <f t="shared" si="346"/>
        <v>7.2310541224284751E-3</v>
      </c>
      <c r="T116" s="15">
        <f t="shared" si="346"/>
        <v>0.44373941923062404</v>
      </c>
      <c r="U116" s="15">
        <f t="shared" si="346"/>
        <v>0.11227732686029705</v>
      </c>
      <c r="V116" s="15">
        <f t="shared" si="346"/>
        <v>0.13560740645935174</v>
      </c>
      <c r="W116" s="15">
        <f t="shared" si="346"/>
        <v>0</v>
      </c>
      <c r="X116" s="15">
        <f t="shared" si="346"/>
        <v>0</v>
      </c>
      <c r="Y116" s="15">
        <f t="shared" si="346"/>
        <v>0</v>
      </c>
      <c r="Z116" s="15">
        <f t="shared" ref="Z116:AA116" si="347">Z87</f>
        <v>0</v>
      </c>
      <c r="AA116" s="15">
        <f t="shared" si="347"/>
        <v>0.48521897205234282</v>
      </c>
      <c r="AB116" s="15">
        <f t="shared" ref="AB116:AF116" si="348">AB87</f>
        <v>0.74272155378946469</v>
      </c>
      <c r="AC116" s="15">
        <f t="shared" si="348"/>
        <v>0</v>
      </c>
      <c r="AD116" s="15">
        <f t="shared" si="348"/>
        <v>0</v>
      </c>
      <c r="AE116" s="15">
        <f t="shared" si="348"/>
        <v>5.68791489858387E-2</v>
      </c>
      <c r="AF116" s="15">
        <f t="shared" si="348"/>
        <v>2.2170031401331041E-2</v>
      </c>
      <c r="AI116" s="15" t="str">
        <f>AI58</f>
        <v>CSH</v>
      </c>
      <c r="AJ116" s="14" t="str">
        <f>AJ87</f>
        <v>UP</v>
      </c>
      <c r="AL116" s="14" t="str">
        <f>AL87</f>
        <v>Techs_CSHHET</v>
      </c>
      <c r="AN116" s="5"/>
    </row>
    <row r="118" spans="1:40">
      <c r="A118" t="s">
        <v>53</v>
      </c>
    </row>
    <row r="119" spans="1:40">
      <c r="A119" t="s">
        <v>52</v>
      </c>
      <c r="B119" t="s">
        <v>4</v>
      </c>
      <c r="C119" t="s">
        <v>49</v>
      </c>
      <c r="D119" t="str">
        <f>D$2</f>
        <v>Africa_north</v>
      </c>
      <c r="E119" t="str">
        <f t="shared" ref="E119:AH119" si="349">E$2</f>
        <v>Africa_other</v>
      </c>
      <c r="F119" t="str">
        <f t="shared" si="349"/>
        <v>Arg-Chi</v>
      </c>
      <c r="G119" t="str">
        <f t="shared" si="349"/>
        <v>Asia_central</v>
      </c>
      <c r="H119" t="str">
        <f t="shared" si="349"/>
        <v>Asia_east</v>
      </c>
      <c r="I119" t="str">
        <f t="shared" si="349"/>
        <v>Asia_other</v>
      </c>
      <c r="J119" t="str">
        <f t="shared" si="349"/>
        <v>Australia_NZ</v>
      </c>
      <c r="K119" t="str">
        <f t="shared" si="349"/>
        <v>Brazil</v>
      </c>
      <c r="L119" t="str">
        <f t="shared" si="349"/>
        <v>Canada</v>
      </c>
      <c r="M119" t="str">
        <f t="shared" si="349"/>
        <v>China</v>
      </c>
      <c r="N119" t="str">
        <f t="shared" si="349"/>
        <v>EU_north</v>
      </c>
      <c r="O119" t="str">
        <f t="shared" si="349"/>
        <v>EU_northeast</v>
      </c>
      <c r="P119" t="str">
        <f t="shared" si="349"/>
        <v>EU_northwest</v>
      </c>
      <c r="Q119" t="str">
        <f t="shared" si="349"/>
        <v>EU_south</v>
      </c>
      <c r="R119" t="str">
        <f t="shared" si="349"/>
        <v>EU_southeast</v>
      </c>
      <c r="S119" t="str">
        <f t="shared" si="349"/>
        <v>EU_southwest</v>
      </c>
      <c r="T119" t="str">
        <f t="shared" si="349"/>
        <v>Europe_other</v>
      </c>
      <c r="U119" t="str">
        <f t="shared" si="349"/>
        <v>France</v>
      </c>
      <c r="V119" t="str">
        <f t="shared" si="349"/>
        <v>Germany</v>
      </c>
      <c r="W119" t="str">
        <f t="shared" si="349"/>
        <v>India</v>
      </c>
      <c r="X119" t="str">
        <f t="shared" si="349"/>
        <v>LatAm_other</v>
      </c>
      <c r="Y119" t="str">
        <f t="shared" si="349"/>
        <v>Mexico</v>
      </c>
      <c r="Z119" t="str">
        <f t="shared" si="349"/>
        <v>MidEast_other</v>
      </c>
      <c r="AA119" t="str">
        <f t="shared" si="349"/>
        <v>Nor-Ice</v>
      </c>
      <c r="AB119" t="str">
        <f t="shared" si="349"/>
        <v>Russia</v>
      </c>
      <c r="AC119" t="str">
        <f t="shared" si="349"/>
        <v>SaudiArabia</v>
      </c>
      <c r="AD119" t="str">
        <f t="shared" si="349"/>
        <v>SouthAfrica</v>
      </c>
      <c r="AE119" t="str">
        <f t="shared" si="349"/>
        <v>UK</v>
      </c>
      <c r="AF119" t="str">
        <f t="shared" si="349"/>
        <v>USA</v>
      </c>
      <c r="AG119" t="str">
        <f t="shared" si="349"/>
        <v>year2</v>
      </c>
      <c r="AH119" t="str">
        <f t="shared" si="349"/>
        <v>*34</v>
      </c>
      <c r="AI119" t="s">
        <v>50</v>
      </c>
      <c r="AJ119" t="s">
        <v>54</v>
      </c>
      <c r="AK119" t="s">
        <v>107</v>
      </c>
      <c r="AL119" t="s">
        <v>51</v>
      </c>
    </row>
    <row r="120" spans="1:40">
      <c r="A120">
        <v>0</v>
      </c>
      <c r="B120" t="str">
        <f t="shared" ref="B120:C122" si="350">B91</f>
        <v>RCK</v>
      </c>
      <c r="C120" t="str">
        <f t="shared" si="350"/>
        <v>*BIO</v>
      </c>
      <c r="D120" s="1">
        <v>5</v>
      </c>
      <c r="E120" s="1">
        <v>5</v>
      </c>
      <c r="F120" s="1">
        <v>5</v>
      </c>
      <c r="G120" s="1">
        <v>5</v>
      </c>
      <c r="H120" s="1">
        <v>5</v>
      </c>
      <c r="I120" s="1">
        <v>5</v>
      </c>
      <c r="J120" s="1">
        <v>5</v>
      </c>
      <c r="K120" s="1">
        <v>5</v>
      </c>
      <c r="L120" s="1">
        <v>5</v>
      </c>
      <c r="M120" s="1">
        <v>5</v>
      </c>
      <c r="N120" s="1">
        <v>5</v>
      </c>
      <c r="O120" s="1">
        <v>5</v>
      </c>
      <c r="P120" s="1">
        <v>5</v>
      </c>
      <c r="Q120" s="1">
        <v>5</v>
      </c>
      <c r="R120" s="1">
        <v>5</v>
      </c>
      <c r="S120" s="1">
        <v>5</v>
      </c>
      <c r="T120" s="1">
        <v>5</v>
      </c>
      <c r="U120" s="1">
        <v>5</v>
      </c>
      <c r="V120" s="1">
        <v>5</v>
      </c>
      <c r="W120" s="1">
        <v>5</v>
      </c>
      <c r="X120" s="1">
        <v>5</v>
      </c>
      <c r="Y120" s="1">
        <v>5</v>
      </c>
      <c r="Z120" s="1">
        <v>5</v>
      </c>
      <c r="AA120" s="1">
        <v>5</v>
      </c>
      <c r="AB120" s="1">
        <v>5</v>
      </c>
      <c r="AC120" s="1">
        <v>5</v>
      </c>
      <c r="AD120" s="1">
        <v>5</v>
      </c>
      <c r="AE120" s="1">
        <v>5</v>
      </c>
      <c r="AF120" s="1">
        <v>5</v>
      </c>
      <c r="AG120" s="1">
        <v>5</v>
      </c>
      <c r="AH120" s="1">
        <v>5</v>
      </c>
      <c r="AI120" t="str">
        <f t="shared" ref="AI120:AJ122" si="351">AI91</f>
        <v>RCK</v>
      </c>
      <c r="AJ120" t="str">
        <f t="shared" si="351"/>
        <v>FX</v>
      </c>
      <c r="AL120" t="str">
        <f t="shared" ref="AL120:AL125" si="352">AL91</f>
        <v>Techs_RCKBIO</v>
      </c>
    </row>
    <row r="121" spans="1:40">
      <c r="A121">
        <v>0</v>
      </c>
      <c r="B121" t="str">
        <f t="shared" si="350"/>
        <v>CCK</v>
      </c>
      <c r="C121" t="str">
        <f t="shared" si="350"/>
        <v>*BIO</v>
      </c>
      <c r="D121" s="1">
        <v>5</v>
      </c>
      <c r="E121" s="1">
        <v>5</v>
      </c>
      <c r="F121" s="1">
        <v>5</v>
      </c>
      <c r="G121" s="1">
        <v>5</v>
      </c>
      <c r="H121" s="1">
        <v>5</v>
      </c>
      <c r="I121" s="1">
        <v>5</v>
      </c>
      <c r="J121" s="1">
        <v>5</v>
      </c>
      <c r="K121" s="1">
        <v>5</v>
      </c>
      <c r="L121" s="1">
        <v>5</v>
      </c>
      <c r="M121" s="1">
        <v>5</v>
      </c>
      <c r="N121" s="1">
        <v>5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5</v>
      </c>
      <c r="V121" s="1">
        <v>5</v>
      </c>
      <c r="W121" s="1">
        <v>5</v>
      </c>
      <c r="X121" s="1">
        <v>5</v>
      </c>
      <c r="Y121" s="1">
        <v>5</v>
      </c>
      <c r="Z121" s="1">
        <v>5</v>
      </c>
      <c r="AA121" s="1">
        <v>5</v>
      </c>
      <c r="AB121" s="1">
        <v>5</v>
      </c>
      <c r="AC121" s="1">
        <v>5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t="str">
        <f t="shared" si="351"/>
        <v>CCK</v>
      </c>
      <c r="AJ121" t="str">
        <f t="shared" si="351"/>
        <v>FX</v>
      </c>
      <c r="AL121" t="str">
        <f t="shared" si="352"/>
        <v>Techs_CCKBIO</v>
      </c>
    </row>
    <row r="122" spans="1:40">
      <c r="A122">
        <v>0</v>
      </c>
      <c r="B122" t="str">
        <f t="shared" si="350"/>
        <v>RHW</v>
      </c>
      <c r="C122" t="str">
        <f t="shared" si="350"/>
        <v>*BIO</v>
      </c>
      <c r="D122" s="1">
        <v>5</v>
      </c>
      <c r="E122" s="1">
        <v>5</v>
      </c>
      <c r="F122" s="1">
        <v>5</v>
      </c>
      <c r="G122" s="1">
        <v>5</v>
      </c>
      <c r="H122" s="1">
        <v>5</v>
      </c>
      <c r="I122" s="1">
        <v>5</v>
      </c>
      <c r="J122" s="1">
        <v>5</v>
      </c>
      <c r="K122" s="1">
        <v>5</v>
      </c>
      <c r="L122" s="1">
        <v>5</v>
      </c>
      <c r="M122" s="1">
        <v>5</v>
      </c>
      <c r="N122" s="1">
        <v>5</v>
      </c>
      <c r="O122" s="1">
        <v>5</v>
      </c>
      <c r="P122" s="1">
        <v>5</v>
      </c>
      <c r="Q122" s="1">
        <v>5</v>
      </c>
      <c r="R122" s="1">
        <v>5</v>
      </c>
      <c r="S122" s="1">
        <v>5</v>
      </c>
      <c r="T122" s="1">
        <v>5</v>
      </c>
      <c r="U122" s="1">
        <v>5</v>
      </c>
      <c r="V122" s="1">
        <v>5</v>
      </c>
      <c r="W122" s="1">
        <v>5</v>
      </c>
      <c r="X122" s="1">
        <v>5</v>
      </c>
      <c r="Y122" s="1">
        <v>5</v>
      </c>
      <c r="Z122" s="1">
        <v>5</v>
      </c>
      <c r="AA122" s="1">
        <v>5</v>
      </c>
      <c r="AB122" s="1">
        <v>5</v>
      </c>
      <c r="AC122" s="1">
        <v>5</v>
      </c>
      <c r="AD122" s="1">
        <v>5</v>
      </c>
      <c r="AE122" s="1">
        <v>5</v>
      </c>
      <c r="AF122" s="1">
        <v>5</v>
      </c>
      <c r="AG122" s="1">
        <v>5</v>
      </c>
      <c r="AH122" s="1">
        <v>5</v>
      </c>
      <c r="AI122" t="str">
        <f t="shared" si="351"/>
        <v>RHW</v>
      </c>
      <c r="AJ122" t="str">
        <f t="shared" si="351"/>
        <v>FX</v>
      </c>
      <c r="AL122" t="str">
        <f t="shared" si="352"/>
        <v>Techs_RHWBIO</v>
      </c>
    </row>
    <row r="123" spans="1:40">
      <c r="A123">
        <v>0</v>
      </c>
      <c r="B123" t="str">
        <f t="shared" ref="B123" si="353">B94</f>
        <v>RCK</v>
      </c>
      <c r="C123" t="str">
        <f>C94</f>
        <v>*STH</v>
      </c>
      <c r="D123" s="1">
        <v>5</v>
      </c>
      <c r="E123" s="1">
        <v>5</v>
      </c>
      <c r="F123" s="1">
        <v>5</v>
      </c>
      <c r="G123" s="1">
        <v>5</v>
      </c>
      <c r="H123" s="1">
        <v>5</v>
      </c>
      <c r="I123" s="1">
        <v>5</v>
      </c>
      <c r="J123" s="1">
        <v>5</v>
      </c>
      <c r="K123" s="1">
        <v>5</v>
      </c>
      <c r="L123" s="1">
        <v>5</v>
      </c>
      <c r="M123" s="1">
        <v>5</v>
      </c>
      <c r="N123" s="1">
        <v>5</v>
      </c>
      <c r="O123" s="1">
        <v>5</v>
      </c>
      <c r="P123" s="1">
        <v>5</v>
      </c>
      <c r="Q123" s="1">
        <v>5</v>
      </c>
      <c r="R123" s="1">
        <v>5</v>
      </c>
      <c r="S123" s="1">
        <v>5</v>
      </c>
      <c r="T123" s="1">
        <v>5</v>
      </c>
      <c r="U123" s="1">
        <v>5</v>
      </c>
      <c r="V123" s="1">
        <v>5</v>
      </c>
      <c r="W123" s="1">
        <v>5</v>
      </c>
      <c r="X123" s="1">
        <v>5</v>
      </c>
      <c r="Y123" s="1">
        <v>5</v>
      </c>
      <c r="Z123" s="1">
        <v>5</v>
      </c>
      <c r="AA123" s="1">
        <v>5</v>
      </c>
      <c r="AB123" s="1">
        <v>5</v>
      </c>
      <c r="AC123" s="1">
        <v>5</v>
      </c>
      <c r="AD123" s="1">
        <v>5</v>
      </c>
      <c r="AE123" s="1">
        <v>5</v>
      </c>
      <c r="AF123" s="1">
        <v>5</v>
      </c>
      <c r="AG123" s="1">
        <v>5</v>
      </c>
      <c r="AH123" s="1">
        <v>5</v>
      </c>
      <c r="AI123" t="str">
        <f t="shared" ref="AI123:AJ123" si="354">AI94</f>
        <v>RCK</v>
      </c>
      <c r="AJ123" t="str">
        <f t="shared" si="354"/>
        <v>UP</v>
      </c>
      <c r="AL123" t="str">
        <f t="shared" si="352"/>
        <v>Techs_RCKSTH</v>
      </c>
    </row>
    <row r="124" spans="1:40">
      <c r="A124">
        <v>0</v>
      </c>
      <c r="B124" t="str">
        <f t="shared" ref="B124" si="355">B95</f>
        <v>CCK</v>
      </c>
      <c r="C124" t="str">
        <f>C95</f>
        <v>*STH</v>
      </c>
      <c r="D124" s="1">
        <v>5</v>
      </c>
      <c r="E124" s="1">
        <v>5</v>
      </c>
      <c r="F124" s="1">
        <v>5</v>
      </c>
      <c r="G124" s="1">
        <v>5</v>
      </c>
      <c r="H124" s="1">
        <v>5</v>
      </c>
      <c r="I124" s="1">
        <v>5</v>
      </c>
      <c r="J124" s="1">
        <v>5</v>
      </c>
      <c r="K124" s="1">
        <v>5</v>
      </c>
      <c r="L124" s="1">
        <v>5</v>
      </c>
      <c r="M124" s="1">
        <v>5</v>
      </c>
      <c r="N124" s="1">
        <v>5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5</v>
      </c>
      <c r="V124" s="1">
        <v>5</v>
      </c>
      <c r="W124" s="1">
        <v>5</v>
      </c>
      <c r="X124" s="1">
        <v>5</v>
      </c>
      <c r="Y124" s="1">
        <v>5</v>
      </c>
      <c r="Z124" s="1">
        <v>5</v>
      </c>
      <c r="AA124" s="1">
        <v>5</v>
      </c>
      <c r="AB124" s="1">
        <v>5</v>
      </c>
      <c r="AC124" s="1">
        <v>5</v>
      </c>
      <c r="AD124" s="1">
        <v>5</v>
      </c>
      <c r="AE124" s="1">
        <v>5</v>
      </c>
      <c r="AF124" s="1">
        <v>5</v>
      </c>
      <c r="AG124" s="1">
        <v>5</v>
      </c>
      <c r="AH124" s="1">
        <v>5</v>
      </c>
      <c r="AI124" t="str">
        <f t="shared" ref="AI124:AJ124" si="356">AI95</f>
        <v>CCK</v>
      </c>
      <c r="AJ124" t="str">
        <f t="shared" si="356"/>
        <v>UP</v>
      </c>
      <c r="AL124" t="str">
        <f t="shared" si="352"/>
        <v>Techs_CCKSTH</v>
      </c>
    </row>
    <row r="125" spans="1:40">
      <c r="A125">
        <v>0</v>
      </c>
      <c r="B125" t="str">
        <f>B96</f>
        <v>RLI</v>
      </c>
      <c r="C125" t="str">
        <f>C96</f>
        <v>*KER</v>
      </c>
      <c r="D125" s="1">
        <v>5</v>
      </c>
      <c r="E125" s="1">
        <v>5</v>
      </c>
      <c r="F125" s="1">
        <v>5</v>
      </c>
      <c r="G125" s="1">
        <v>5</v>
      </c>
      <c r="H125" s="1">
        <v>5</v>
      </c>
      <c r="I125" s="1">
        <v>5</v>
      </c>
      <c r="J125" s="1">
        <v>5</v>
      </c>
      <c r="K125" s="1">
        <v>5</v>
      </c>
      <c r="L125" s="1">
        <v>5</v>
      </c>
      <c r="M125" s="1">
        <v>5</v>
      </c>
      <c r="N125" s="1">
        <v>5</v>
      </c>
      <c r="O125" s="1">
        <v>5</v>
      </c>
      <c r="P125" s="1">
        <v>5</v>
      </c>
      <c r="Q125" s="1">
        <v>5</v>
      </c>
      <c r="R125" s="1">
        <v>5</v>
      </c>
      <c r="S125" s="1">
        <v>5</v>
      </c>
      <c r="T125" s="1">
        <v>5</v>
      </c>
      <c r="U125" s="1">
        <v>5</v>
      </c>
      <c r="V125" s="1">
        <v>5</v>
      </c>
      <c r="W125" s="1">
        <v>5</v>
      </c>
      <c r="X125" s="1">
        <v>5</v>
      </c>
      <c r="Y125" s="1">
        <v>5</v>
      </c>
      <c r="Z125" s="1">
        <v>5</v>
      </c>
      <c r="AA125" s="1">
        <v>5</v>
      </c>
      <c r="AB125" s="1">
        <v>5</v>
      </c>
      <c r="AC125" s="1">
        <v>5</v>
      </c>
      <c r="AD125" s="1">
        <v>5</v>
      </c>
      <c r="AE125" s="1">
        <v>5</v>
      </c>
      <c r="AF125" s="1">
        <v>5</v>
      </c>
      <c r="AG125" s="1">
        <v>5</v>
      </c>
      <c r="AH125" s="1">
        <v>5</v>
      </c>
      <c r="AI125" t="str">
        <f t="shared" ref="AI125:AJ125" si="357">AI96</f>
        <v>RLI</v>
      </c>
      <c r="AJ125" t="str">
        <f t="shared" si="357"/>
        <v>LO</v>
      </c>
      <c r="AL125" t="str">
        <f t="shared" si="352"/>
        <v>Techs_RLIKER</v>
      </c>
    </row>
    <row r="126" spans="1:40">
      <c r="A126">
        <v>0</v>
      </c>
      <c r="B126" t="str">
        <f>B97</f>
        <v>CLA</v>
      </c>
      <c r="D126" s="1">
        <v>5</v>
      </c>
      <c r="E126" s="1">
        <v>5</v>
      </c>
      <c r="F126" s="1">
        <v>5</v>
      </c>
      <c r="G126" s="1">
        <v>5</v>
      </c>
      <c r="H126" s="1">
        <v>5</v>
      </c>
      <c r="I126" s="1">
        <v>5</v>
      </c>
      <c r="J126" s="1">
        <v>5</v>
      </c>
      <c r="K126" s="1">
        <v>5</v>
      </c>
      <c r="L126" s="1">
        <v>5</v>
      </c>
      <c r="M126" s="1">
        <v>5</v>
      </c>
      <c r="N126" s="1">
        <v>5</v>
      </c>
      <c r="O126" s="1">
        <v>5</v>
      </c>
      <c r="P126" s="1">
        <v>5</v>
      </c>
      <c r="Q126" s="1">
        <v>5</v>
      </c>
      <c r="R126" s="1">
        <v>5</v>
      </c>
      <c r="S126" s="1">
        <v>5</v>
      </c>
      <c r="T126" s="1">
        <v>5</v>
      </c>
      <c r="U126" s="1">
        <v>5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5</v>
      </c>
      <c r="AB126" s="1">
        <v>5</v>
      </c>
      <c r="AC126" s="1">
        <v>5</v>
      </c>
      <c r="AD126" s="1">
        <v>5</v>
      </c>
      <c r="AE126" s="1">
        <v>5</v>
      </c>
      <c r="AF126" s="1">
        <v>5</v>
      </c>
      <c r="AG126" s="1">
        <v>5</v>
      </c>
      <c r="AH126" s="1">
        <v>5</v>
      </c>
      <c r="AI126" t="str">
        <f t="shared" ref="AI126:AL126" si="358">AI97</f>
        <v>CLA</v>
      </c>
      <c r="AJ126" t="str">
        <f t="shared" si="358"/>
        <v>LO</v>
      </c>
      <c r="AK126" t="str">
        <f>AK97</f>
        <v>*ICE*</v>
      </c>
      <c r="AL126" t="str">
        <f t="shared" si="358"/>
        <v>Techs_CLAICE</v>
      </c>
    </row>
    <row r="127" spans="1:40">
      <c r="A127">
        <v>0</v>
      </c>
      <c r="B127" t="str">
        <f>B98</f>
        <v>RLI</v>
      </c>
      <c r="D127" s="1">
        <v>5</v>
      </c>
      <c r="E127" s="1">
        <v>5</v>
      </c>
      <c r="F127" s="1">
        <v>5</v>
      </c>
      <c r="G127" s="1">
        <v>5</v>
      </c>
      <c r="H127" s="1">
        <v>5</v>
      </c>
      <c r="I127" s="1">
        <v>5</v>
      </c>
      <c r="J127" s="1">
        <v>5</v>
      </c>
      <c r="K127" s="1">
        <v>5</v>
      </c>
      <c r="L127" s="1">
        <v>5</v>
      </c>
      <c r="M127" s="1">
        <v>5</v>
      </c>
      <c r="N127" s="1">
        <v>5</v>
      </c>
      <c r="O127" s="1">
        <v>5</v>
      </c>
      <c r="P127" s="1">
        <v>5</v>
      </c>
      <c r="Q127" s="1">
        <v>5</v>
      </c>
      <c r="R127" s="1">
        <v>5</v>
      </c>
      <c r="S127" s="1">
        <v>5</v>
      </c>
      <c r="T127" s="1">
        <v>5</v>
      </c>
      <c r="U127" s="1">
        <v>5</v>
      </c>
      <c r="V127" s="1">
        <v>5</v>
      </c>
      <c r="W127" s="1">
        <v>5</v>
      </c>
      <c r="X127" s="1">
        <v>5</v>
      </c>
      <c r="Y127" s="1">
        <v>5</v>
      </c>
      <c r="Z127" s="1">
        <v>5</v>
      </c>
      <c r="AA127" s="1">
        <v>5</v>
      </c>
      <c r="AB127" s="1">
        <v>5</v>
      </c>
      <c r="AC127" s="1">
        <v>5</v>
      </c>
      <c r="AD127" s="1">
        <v>5</v>
      </c>
      <c r="AE127" s="1">
        <v>5</v>
      </c>
      <c r="AF127" s="1">
        <v>5</v>
      </c>
      <c r="AG127" s="1">
        <v>5</v>
      </c>
      <c r="AH127" s="1">
        <v>5</v>
      </c>
      <c r="AI127" t="str">
        <f t="shared" ref="AI127:AL127" si="359">AI98</f>
        <v>RLI</v>
      </c>
      <c r="AJ127" t="str">
        <f t="shared" si="359"/>
        <v>LO</v>
      </c>
      <c r="AK127" t="str">
        <f>AK98</f>
        <v>*ICE*</v>
      </c>
      <c r="AL127" t="str">
        <f t="shared" si="359"/>
        <v>Techs_RLIICE</v>
      </c>
    </row>
    <row r="128" spans="1:40">
      <c r="A128">
        <v>0</v>
      </c>
      <c r="B128" t="str">
        <f>B99</f>
        <v>RSH</v>
      </c>
      <c r="C128" t="str">
        <f>C99</f>
        <v>*COA</v>
      </c>
      <c r="D128" s="1">
        <v>5</v>
      </c>
      <c r="E128" s="1">
        <v>5</v>
      </c>
      <c r="F128" s="1">
        <v>5</v>
      </c>
      <c r="G128" s="1">
        <v>5</v>
      </c>
      <c r="H128" s="1">
        <v>5</v>
      </c>
      <c r="I128" s="1">
        <v>5</v>
      </c>
      <c r="J128" s="1">
        <v>5</v>
      </c>
      <c r="K128" s="1">
        <v>5</v>
      </c>
      <c r="L128" s="1">
        <v>5</v>
      </c>
      <c r="M128" s="1">
        <v>5</v>
      </c>
      <c r="N128" s="1">
        <v>5</v>
      </c>
      <c r="O128" s="1">
        <v>5</v>
      </c>
      <c r="P128" s="1">
        <v>5</v>
      </c>
      <c r="Q128" s="1">
        <v>5</v>
      </c>
      <c r="R128" s="1">
        <v>5</v>
      </c>
      <c r="S128" s="1">
        <v>5</v>
      </c>
      <c r="T128" s="1">
        <v>5</v>
      </c>
      <c r="U128" s="1">
        <v>5</v>
      </c>
      <c r="V128" s="1">
        <v>5</v>
      </c>
      <c r="W128" s="1">
        <v>5</v>
      </c>
      <c r="X128" s="1">
        <v>5</v>
      </c>
      <c r="Y128" s="1">
        <v>5</v>
      </c>
      <c r="Z128" s="1">
        <v>5</v>
      </c>
      <c r="AA128" s="1">
        <v>5</v>
      </c>
      <c r="AB128" s="1">
        <v>5</v>
      </c>
      <c r="AC128" s="1">
        <v>5</v>
      </c>
      <c r="AD128" s="1">
        <v>5</v>
      </c>
      <c r="AE128" s="1">
        <v>5</v>
      </c>
      <c r="AF128" s="1">
        <v>5</v>
      </c>
      <c r="AG128" s="1">
        <v>5</v>
      </c>
      <c r="AH128" s="1">
        <v>5</v>
      </c>
      <c r="AI128" t="str">
        <f t="shared" ref="AI128:AJ128" si="360">AI99</f>
        <v>RSH</v>
      </c>
      <c r="AJ128" t="str">
        <f t="shared" si="360"/>
        <v>UP</v>
      </c>
      <c r="AL128" t="str">
        <f>AL99</f>
        <v>Techs_RSHCOA</v>
      </c>
    </row>
    <row r="129" spans="1:38">
      <c r="A129">
        <v>0</v>
      </c>
      <c r="B129" t="str">
        <f>B100</f>
        <v>CSH</v>
      </c>
      <c r="C129" t="str">
        <f>C100</f>
        <v>*COA</v>
      </c>
      <c r="D129" s="1">
        <v>5</v>
      </c>
      <c r="E129" s="1">
        <v>5</v>
      </c>
      <c r="F129" s="1">
        <v>5</v>
      </c>
      <c r="G129" s="1">
        <v>5</v>
      </c>
      <c r="H129" s="1">
        <v>5</v>
      </c>
      <c r="I129" s="1">
        <v>5</v>
      </c>
      <c r="J129" s="1">
        <v>5</v>
      </c>
      <c r="K129" s="1">
        <v>5</v>
      </c>
      <c r="L129" s="1">
        <v>5</v>
      </c>
      <c r="M129" s="1">
        <v>5</v>
      </c>
      <c r="N129" s="1">
        <v>5</v>
      </c>
      <c r="O129" s="1">
        <v>5</v>
      </c>
      <c r="P129" s="1">
        <v>5</v>
      </c>
      <c r="Q129" s="1">
        <v>5</v>
      </c>
      <c r="R129" s="1">
        <v>5</v>
      </c>
      <c r="S129" s="1">
        <v>5</v>
      </c>
      <c r="T129" s="1">
        <v>5</v>
      </c>
      <c r="U129" s="1">
        <v>5</v>
      </c>
      <c r="V129" s="1">
        <v>5</v>
      </c>
      <c r="W129" s="1">
        <v>5</v>
      </c>
      <c r="X129" s="1">
        <v>5</v>
      </c>
      <c r="Y129" s="1">
        <v>5</v>
      </c>
      <c r="Z129" s="1">
        <v>5</v>
      </c>
      <c r="AA129" s="1">
        <v>5</v>
      </c>
      <c r="AB129" s="1">
        <v>5</v>
      </c>
      <c r="AC129" s="1">
        <v>5</v>
      </c>
      <c r="AD129" s="1">
        <v>5</v>
      </c>
      <c r="AE129" s="1">
        <v>5</v>
      </c>
      <c r="AF129" s="1">
        <v>5</v>
      </c>
      <c r="AG129" s="1">
        <v>5</v>
      </c>
      <c r="AH129" s="1">
        <v>5</v>
      </c>
      <c r="AI129" t="str">
        <f t="shared" ref="AI129:AJ129" si="361">AI100</f>
        <v>CSH</v>
      </c>
      <c r="AJ129" t="str">
        <f t="shared" si="361"/>
        <v>UP</v>
      </c>
      <c r="AL129" t="str">
        <f>AL100</f>
        <v>Techs_CSHCOA</v>
      </c>
    </row>
    <row r="130" spans="1:38">
      <c r="A130">
        <v>0</v>
      </c>
      <c r="B130" t="str">
        <f t="shared" ref="B130:C130" si="362">B101</f>
        <v>RSH</v>
      </c>
      <c r="C130" t="str">
        <f t="shared" si="362"/>
        <v>*LPG</v>
      </c>
      <c r="D130" s="1">
        <v>5</v>
      </c>
      <c r="E130" s="1">
        <v>5</v>
      </c>
      <c r="F130" s="1">
        <v>5</v>
      </c>
      <c r="G130" s="1">
        <v>5</v>
      </c>
      <c r="H130" s="1">
        <v>5</v>
      </c>
      <c r="I130" s="1">
        <v>5</v>
      </c>
      <c r="J130" s="1">
        <v>5</v>
      </c>
      <c r="K130" s="1">
        <v>5</v>
      </c>
      <c r="L130" s="1">
        <v>5</v>
      </c>
      <c r="M130" s="1">
        <v>5</v>
      </c>
      <c r="N130" s="1">
        <v>5</v>
      </c>
      <c r="O130" s="1">
        <v>5</v>
      </c>
      <c r="P130" s="1">
        <v>5</v>
      </c>
      <c r="Q130" s="1">
        <v>5</v>
      </c>
      <c r="R130" s="1">
        <v>5</v>
      </c>
      <c r="S130" s="1">
        <v>5</v>
      </c>
      <c r="T130" s="1">
        <v>5</v>
      </c>
      <c r="U130" s="1">
        <v>5</v>
      </c>
      <c r="V130" s="1">
        <v>5</v>
      </c>
      <c r="W130" s="1">
        <v>5</v>
      </c>
      <c r="X130" s="1">
        <v>5</v>
      </c>
      <c r="Y130" s="1">
        <v>5</v>
      </c>
      <c r="Z130" s="1">
        <v>5</v>
      </c>
      <c r="AA130" s="1">
        <v>5</v>
      </c>
      <c r="AB130" s="1">
        <v>5</v>
      </c>
      <c r="AC130" s="1">
        <v>5</v>
      </c>
      <c r="AD130" s="1">
        <v>5</v>
      </c>
      <c r="AE130" s="1">
        <v>5</v>
      </c>
      <c r="AF130" s="1">
        <v>5</v>
      </c>
      <c r="AG130" s="1">
        <v>5</v>
      </c>
      <c r="AH130" s="1">
        <v>5</v>
      </c>
      <c r="AI130" t="str">
        <f t="shared" ref="AI130:AL130" si="363">AI101</f>
        <v>RSH</v>
      </c>
      <c r="AJ130" t="str">
        <f t="shared" si="363"/>
        <v>UP</v>
      </c>
      <c r="AL130" t="str">
        <f t="shared" si="363"/>
        <v>Techs_RSHLPG</v>
      </c>
    </row>
    <row r="131" spans="1:38">
      <c r="A131">
        <v>0</v>
      </c>
      <c r="B131" t="str">
        <f t="shared" ref="B131:C131" si="364">B102</f>
        <v>CSH</v>
      </c>
      <c r="C131" t="str">
        <f t="shared" si="364"/>
        <v>*LPG</v>
      </c>
      <c r="D131" s="1">
        <v>5</v>
      </c>
      <c r="E131" s="1">
        <v>5</v>
      </c>
      <c r="F131" s="1">
        <v>5</v>
      </c>
      <c r="G131" s="1">
        <v>5</v>
      </c>
      <c r="H131" s="1">
        <v>5</v>
      </c>
      <c r="I131" s="1">
        <v>5</v>
      </c>
      <c r="J131" s="1">
        <v>5</v>
      </c>
      <c r="K131" s="1">
        <v>5</v>
      </c>
      <c r="L131" s="1">
        <v>5</v>
      </c>
      <c r="M131" s="1">
        <v>5</v>
      </c>
      <c r="N131" s="1">
        <v>5</v>
      </c>
      <c r="O131" s="1">
        <v>5</v>
      </c>
      <c r="P131" s="1">
        <v>5</v>
      </c>
      <c r="Q131" s="1">
        <v>5</v>
      </c>
      <c r="R131" s="1">
        <v>5</v>
      </c>
      <c r="S131" s="1">
        <v>5</v>
      </c>
      <c r="T131" s="1">
        <v>5</v>
      </c>
      <c r="U131" s="1">
        <v>5</v>
      </c>
      <c r="V131" s="1">
        <v>5</v>
      </c>
      <c r="W131" s="1">
        <v>5</v>
      </c>
      <c r="X131" s="1">
        <v>5</v>
      </c>
      <c r="Y131" s="1">
        <v>5</v>
      </c>
      <c r="Z131" s="1">
        <v>5</v>
      </c>
      <c r="AA131" s="1">
        <v>5</v>
      </c>
      <c r="AB131" s="1">
        <v>5</v>
      </c>
      <c r="AC131" s="1">
        <v>5</v>
      </c>
      <c r="AD131" s="1">
        <v>5</v>
      </c>
      <c r="AE131" s="1">
        <v>5</v>
      </c>
      <c r="AF131" s="1">
        <v>5</v>
      </c>
      <c r="AG131" s="1">
        <v>5</v>
      </c>
      <c r="AH131" s="1">
        <v>5</v>
      </c>
      <c r="AI131" t="str">
        <f t="shared" ref="AI131:AL131" si="365">AI102</f>
        <v>CSH</v>
      </c>
      <c r="AJ131" t="str">
        <f t="shared" si="365"/>
        <v>UP</v>
      </c>
      <c r="AL131" t="str">
        <f t="shared" si="365"/>
        <v>Techs_CSHLPG</v>
      </c>
    </row>
    <row r="132" spans="1:38">
      <c r="A132">
        <v>0</v>
      </c>
      <c r="B132" t="str">
        <f t="shared" ref="B132:C132" si="366">B103</f>
        <v>RSH</v>
      </c>
      <c r="C132" t="str">
        <f t="shared" si="366"/>
        <v>*ELC</v>
      </c>
      <c r="D132" s="1">
        <v>5</v>
      </c>
      <c r="E132" s="1">
        <v>5</v>
      </c>
      <c r="F132" s="1">
        <v>5</v>
      </c>
      <c r="G132" s="1">
        <v>5</v>
      </c>
      <c r="H132" s="1">
        <v>5</v>
      </c>
      <c r="I132" s="1">
        <v>5</v>
      </c>
      <c r="J132" s="1">
        <v>5</v>
      </c>
      <c r="K132" s="1">
        <v>5</v>
      </c>
      <c r="L132" s="1">
        <v>5</v>
      </c>
      <c r="M132" s="1">
        <v>5</v>
      </c>
      <c r="N132" s="1">
        <v>5</v>
      </c>
      <c r="O132" s="1">
        <v>5</v>
      </c>
      <c r="P132" s="1">
        <v>5</v>
      </c>
      <c r="Q132" s="1">
        <v>5</v>
      </c>
      <c r="R132" s="1">
        <v>5</v>
      </c>
      <c r="S132" s="1">
        <v>5</v>
      </c>
      <c r="T132" s="1">
        <v>5</v>
      </c>
      <c r="U132" s="1">
        <v>5</v>
      </c>
      <c r="V132" s="1">
        <v>5</v>
      </c>
      <c r="W132" s="1">
        <v>5</v>
      </c>
      <c r="X132" s="1">
        <v>5</v>
      </c>
      <c r="Y132" s="1">
        <v>5</v>
      </c>
      <c r="Z132" s="1">
        <v>5</v>
      </c>
      <c r="AA132" s="1">
        <v>5</v>
      </c>
      <c r="AB132" s="1">
        <v>5</v>
      </c>
      <c r="AC132" s="1">
        <v>5</v>
      </c>
      <c r="AD132" s="1">
        <v>5</v>
      </c>
      <c r="AE132" s="1">
        <v>5</v>
      </c>
      <c r="AF132" s="1">
        <v>5</v>
      </c>
      <c r="AG132" s="1">
        <v>5</v>
      </c>
      <c r="AH132" s="1">
        <v>5</v>
      </c>
      <c r="AI132" t="str">
        <f t="shared" ref="AI132:AL132" si="367">AI103</f>
        <v>RSH</v>
      </c>
      <c r="AJ132" t="str">
        <f t="shared" si="367"/>
        <v>LO</v>
      </c>
      <c r="AL132" t="str">
        <f t="shared" si="367"/>
        <v>Techs_RSHELC</v>
      </c>
    </row>
    <row r="133" spans="1:38">
      <c r="A133">
        <v>0</v>
      </c>
      <c r="B133" t="str">
        <f t="shared" ref="B133:C133" si="368">B104</f>
        <v>CSH</v>
      </c>
      <c r="C133" t="str">
        <f t="shared" si="368"/>
        <v>*ELC</v>
      </c>
      <c r="D133" s="1">
        <v>5</v>
      </c>
      <c r="E133" s="1">
        <v>5</v>
      </c>
      <c r="F133" s="1">
        <v>5</v>
      </c>
      <c r="G133" s="1">
        <v>5</v>
      </c>
      <c r="H133" s="1">
        <v>5</v>
      </c>
      <c r="I133" s="1">
        <v>5</v>
      </c>
      <c r="J133" s="1">
        <v>5</v>
      </c>
      <c r="K133" s="1">
        <v>5</v>
      </c>
      <c r="L133" s="1">
        <v>5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5</v>
      </c>
      <c r="S133" s="1">
        <v>5</v>
      </c>
      <c r="T133" s="1">
        <v>5</v>
      </c>
      <c r="U133" s="1">
        <v>5</v>
      </c>
      <c r="V133" s="1">
        <v>5</v>
      </c>
      <c r="W133" s="1">
        <v>5</v>
      </c>
      <c r="X133" s="1">
        <v>5</v>
      </c>
      <c r="Y133" s="1">
        <v>5</v>
      </c>
      <c r="Z133" s="1">
        <v>5</v>
      </c>
      <c r="AA133" s="1">
        <v>5</v>
      </c>
      <c r="AB133" s="1">
        <v>5</v>
      </c>
      <c r="AC133" s="1">
        <v>5</v>
      </c>
      <c r="AD133" s="1">
        <v>5</v>
      </c>
      <c r="AE133" s="1">
        <v>5</v>
      </c>
      <c r="AF133" s="1">
        <v>5</v>
      </c>
      <c r="AG133" s="1">
        <v>5</v>
      </c>
      <c r="AH133" s="1">
        <v>5</v>
      </c>
      <c r="AI133" t="str">
        <f t="shared" ref="AI133:AL133" si="369">AI104</f>
        <v>CSH</v>
      </c>
      <c r="AJ133" t="str">
        <f t="shared" si="369"/>
        <v>LO</v>
      </c>
      <c r="AL133" t="str">
        <f t="shared" si="369"/>
        <v>Techs_CSHELC</v>
      </c>
    </row>
    <row r="134" spans="1:38">
      <c r="A134">
        <v>0</v>
      </c>
      <c r="B134" t="str">
        <f t="shared" ref="B134:C134" si="370">B105</f>
        <v>RSH</v>
      </c>
      <c r="C134" t="str">
        <f t="shared" si="370"/>
        <v>*HET</v>
      </c>
      <c r="D134" s="1">
        <v>5</v>
      </c>
      <c r="E134" s="1">
        <v>5</v>
      </c>
      <c r="F134" s="1">
        <v>5</v>
      </c>
      <c r="G134" s="1">
        <v>5</v>
      </c>
      <c r="H134" s="1">
        <v>5</v>
      </c>
      <c r="I134" s="1">
        <v>5</v>
      </c>
      <c r="J134" s="1">
        <v>5</v>
      </c>
      <c r="K134" s="1">
        <v>5</v>
      </c>
      <c r="L134" s="1">
        <v>5</v>
      </c>
      <c r="M134" s="1">
        <v>5</v>
      </c>
      <c r="N134" s="1">
        <v>5</v>
      </c>
      <c r="O134" s="1">
        <v>5</v>
      </c>
      <c r="P134" s="1">
        <v>5</v>
      </c>
      <c r="Q134" s="1">
        <v>5</v>
      </c>
      <c r="R134" s="1">
        <v>5</v>
      </c>
      <c r="S134" s="1">
        <v>5</v>
      </c>
      <c r="T134" s="1">
        <v>5</v>
      </c>
      <c r="U134" s="1">
        <v>5</v>
      </c>
      <c r="V134" s="1">
        <v>5</v>
      </c>
      <c r="W134" s="1">
        <v>5</v>
      </c>
      <c r="X134" s="1">
        <v>5</v>
      </c>
      <c r="Y134" s="1">
        <v>5</v>
      </c>
      <c r="Z134" s="1">
        <v>5</v>
      </c>
      <c r="AA134" s="1">
        <v>5</v>
      </c>
      <c r="AB134" s="1">
        <v>5</v>
      </c>
      <c r="AC134" s="1">
        <v>5</v>
      </c>
      <c r="AD134" s="1">
        <v>5</v>
      </c>
      <c r="AE134" s="1">
        <v>5</v>
      </c>
      <c r="AF134" s="1">
        <v>5</v>
      </c>
      <c r="AG134" s="1">
        <v>5</v>
      </c>
      <c r="AH134" s="1">
        <v>5</v>
      </c>
      <c r="AI134" t="str">
        <f t="shared" ref="AI134:AJ134" si="371">AI105</f>
        <v>RSH</v>
      </c>
      <c r="AJ134" t="str">
        <f t="shared" si="371"/>
        <v>LO</v>
      </c>
      <c r="AL134" t="str">
        <f t="shared" ref="AL134" si="372">AL105</f>
        <v>Techs_RSHHET</v>
      </c>
    </row>
    <row r="135" spans="1:38">
      <c r="A135">
        <v>0</v>
      </c>
      <c r="B135" t="str">
        <f t="shared" ref="B135:C135" si="373">B106</f>
        <v>CSH</v>
      </c>
      <c r="C135" t="str">
        <f t="shared" si="373"/>
        <v>*HET</v>
      </c>
      <c r="D135" s="1">
        <v>5</v>
      </c>
      <c r="E135" s="1">
        <v>5</v>
      </c>
      <c r="F135" s="1">
        <v>5</v>
      </c>
      <c r="G135" s="1">
        <v>5</v>
      </c>
      <c r="H135" s="1">
        <v>5</v>
      </c>
      <c r="I135" s="1">
        <v>5</v>
      </c>
      <c r="J135" s="1">
        <v>5</v>
      </c>
      <c r="K135" s="1">
        <v>5</v>
      </c>
      <c r="L135" s="1">
        <v>5</v>
      </c>
      <c r="M135" s="1">
        <v>5</v>
      </c>
      <c r="N135" s="1">
        <v>5</v>
      </c>
      <c r="O135" s="1">
        <v>5</v>
      </c>
      <c r="P135" s="1">
        <v>5</v>
      </c>
      <c r="Q135" s="1">
        <v>5</v>
      </c>
      <c r="R135" s="1">
        <v>5</v>
      </c>
      <c r="S135" s="1">
        <v>5</v>
      </c>
      <c r="T135" s="1">
        <v>5</v>
      </c>
      <c r="U135" s="1">
        <v>5</v>
      </c>
      <c r="V135" s="1">
        <v>5</v>
      </c>
      <c r="W135" s="1">
        <v>5</v>
      </c>
      <c r="X135" s="1">
        <v>5</v>
      </c>
      <c r="Y135" s="1">
        <v>5</v>
      </c>
      <c r="Z135" s="1">
        <v>5</v>
      </c>
      <c r="AA135" s="1">
        <v>5</v>
      </c>
      <c r="AB135" s="1">
        <v>5</v>
      </c>
      <c r="AC135" s="1">
        <v>5</v>
      </c>
      <c r="AD135" s="1">
        <v>5</v>
      </c>
      <c r="AE135" s="1">
        <v>5</v>
      </c>
      <c r="AF135" s="1">
        <v>5</v>
      </c>
      <c r="AG135" s="1">
        <v>5</v>
      </c>
      <c r="AH135" s="1">
        <v>5</v>
      </c>
      <c r="AI135" t="str">
        <f t="shared" ref="AI135:AJ135" si="374">AI106</f>
        <v>CSH</v>
      </c>
      <c r="AJ135" t="str">
        <f t="shared" si="374"/>
        <v>LO</v>
      </c>
      <c r="AL135" t="str">
        <f t="shared" ref="AL135" si="375">AL106</f>
        <v>Techs_CSHHET</v>
      </c>
    </row>
    <row r="136" spans="1:38">
      <c r="A136">
        <v>0</v>
      </c>
      <c r="B136" t="str">
        <f t="shared" ref="B136" si="376">B107</f>
        <v>RCK</v>
      </c>
      <c r="C136" t="str">
        <f>C107</f>
        <v>*COA</v>
      </c>
      <c r="D136" s="1">
        <v>5</v>
      </c>
      <c r="E136" s="1">
        <v>5</v>
      </c>
      <c r="F136" s="1">
        <v>5</v>
      </c>
      <c r="G136" s="1">
        <v>5</v>
      </c>
      <c r="H136" s="1">
        <v>5</v>
      </c>
      <c r="I136" s="1">
        <v>5</v>
      </c>
      <c r="J136" s="1">
        <v>5</v>
      </c>
      <c r="K136" s="1">
        <v>5</v>
      </c>
      <c r="L136" s="1">
        <v>5</v>
      </c>
      <c r="M136" s="1">
        <v>5</v>
      </c>
      <c r="N136" s="1">
        <v>5</v>
      </c>
      <c r="O136" s="1">
        <v>5</v>
      </c>
      <c r="P136" s="1">
        <v>5</v>
      </c>
      <c r="Q136" s="1">
        <v>5</v>
      </c>
      <c r="R136" s="1">
        <v>5</v>
      </c>
      <c r="S136" s="1">
        <v>5</v>
      </c>
      <c r="T136" s="1">
        <v>5</v>
      </c>
      <c r="U136" s="1">
        <v>5</v>
      </c>
      <c r="V136" s="1">
        <v>5</v>
      </c>
      <c r="W136" s="1">
        <v>5</v>
      </c>
      <c r="X136" s="1">
        <v>5</v>
      </c>
      <c r="Y136" s="1">
        <v>5</v>
      </c>
      <c r="Z136" s="1">
        <v>5</v>
      </c>
      <c r="AA136" s="1">
        <v>5</v>
      </c>
      <c r="AB136" s="1">
        <v>5</v>
      </c>
      <c r="AC136" s="1">
        <v>5</v>
      </c>
      <c r="AD136" s="1">
        <v>5</v>
      </c>
      <c r="AE136" s="1">
        <v>5</v>
      </c>
      <c r="AF136" s="1">
        <v>5</v>
      </c>
      <c r="AG136" s="1">
        <v>5</v>
      </c>
      <c r="AH136" s="1">
        <v>5</v>
      </c>
      <c r="AI136" t="str">
        <f t="shared" ref="AI136:AJ136" si="377">AI107</f>
        <v>RCK</v>
      </c>
      <c r="AJ136" t="str">
        <f t="shared" si="377"/>
        <v>UP</v>
      </c>
      <c r="AL136" t="str">
        <f>AL107</f>
        <v>Techs_RCKCOA</v>
      </c>
    </row>
    <row r="137" spans="1:38">
      <c r="A137">
        <v>0</v>
      </c>
      <c r="B137" t="str">
        <f>B108</f>
        <v>CCK</v>
      </c>
      <c r="C137" t="str">
        <f>C108</f>
        <v>*COA</v>
      </c>
      <c r="D137" s="1">
        <v>5</v>
      </c>
      <c r="E137" s="1">
        <v>5</v>
      </c>
      <c r="F137" s="1">
        <v>5</v>
      </c>
      <c r="G137" s="1">
        <v>5</v>
      </c>
      <c r="H137" s="1">
        <v>5</v>
      </c>
      <c r="I137" s="1">
        <v>5</v>
      </c>
      <c r="J137" s="1">
        <v>5</v>
      </c>
      <c r="K137" s="1">
        <v>5</v>
      </c>
      <c r="L137" s="1">
        <v>5</v>
      </c>
      <c r="M137" s="1">
        <v>5</v>
      </c>
      <c r="N137" s="1">
        <v>5</v>
      </c>
      <c r="O137" s="1">
        <v>5</v>
      </c>
      <c r="P137" s="1">
        <v>5</v>
      </c>
      <c r="Q137" s="1">
        <v>5</v>
      </c>
      <c r="R137" s="1">
        <v>5</v>
      </c>
      <c r="S137" s="1">
        <v>5</v>
      </c>
      <c r="T137" s="1">
        <v>5</v>
      </c>
      <c r="U137" s="1">
        <v>5</v>
      </c>
      <c r="V137" s="1">
        <v>5</v>
      </c>
      <c r="W137" s="1">
        <v>5</v>
      </c>
      <c r="X137" s="1">
        <v>5</v>
      </c>
      <c r="Y137" s="1">
        <v>5</v>
      </c>
      <c r="Z137" s="1">
        <v>5</v>
      </c>
      <c r="AA137" s="1">
        <v>5</v>
      </c>
      <c r="AB137" s="1">
        <v>5</v>
      </c>
      <c r="AC137" s="1">
        <v>5</v>
      </c>
      <c r="AD137" s="1">
        <v>5</v>
      </c>
      <c r="AE137" s="1">
        <v>5</v>
      </c>
      <c r="AF137" s="1">
        <v>5</v>
      </c>
      <c r="AG137" s="1">
        <v>5</v>
      </c>
      <c r="AH137" s="1">
        <v>5</v>
      </c>
      <c r="AI137" t="str">
        <f t="shared" ref="AI137:AJ137" si="378">AI108</f>
        <v>CCK</v>
      </c>
      <c r="AJ137" t="str">
        <f t="shared" si="378"/>
        <v>UP</v>
      </c>
      <c r="AL137" t="str">
        <f>AL108</f>
        <v>Techs_CCKCOA</v>
      </c>
    </row>
    <row r="138" spans="1:38">
      <c r="A138">
        <v>0</v>
      </c>
      <c r="B138" t="str">
        <f>B109</f>
        <v>RCK</v>
      </c>
      <c r="C138" t="str">
        <f>C109</f>
        <v>*ELC</v>
      </c>
      <c r="D138" s="1">
        <v>5</v>
      </c>
      <c r="E138" s="1">
        <v>5</v>
      </c>
      <c r="F138" s="1">
        <v>5</v>
      </c>
      <c r="G138" s="1">
        <v>5</v>
      </c>
      <c r="H138" s="1">
        <v>5</v>
      </c>
      <c r="I138" s="1">
        <v>5</v>
      </c>
      <c r="J138" s="1">
        <v>5</v>
      </c>
      <c r="K138" s="1">
        <v>5</v>
      </c>
      <c r="L138" s="1">
        <v>5</v>
      </c>
      <c r="M138" s="1">
        <v>5</v>
      </c>
      <c r="N138" s="1">
        <v>5</v>
      </c>
      <c r="O138" s="1">
        <v>5</v>
      </c>
      <c r="P138" s="1">
        <v>5</v>
      </c>
      <c r="Q138" s="1">
        <v>5</v>
      </c>
      <c r="R138" s="1">
        <v>5</v>
      </c>
      <c r="S138" s="1">
        <v>5</v>
      </c>
      <c r="T138" s="1">
        <v>5</v>
      </c>
      <c r="U138" s="1">
        <v>5</v>
      </c>
      <c r="V138" s="1">
        <v>5</v>
      </c>
      <c r="W138" s="1">
        <v>5</v>
      </c>
      <c r="X138" s="1">
        <v>5</v>
      </c>
      <c r="Y138" s="1">
        <v>5</v>
      </c>
      <c r="Z138" s="1">
        <v>5</v>
      </c>
      <c r="AA138" s="1">
        <v>5</v>
      </c>
      <c r="AB138" s="1">
        <v>5</v>
      </c>
      <c r="AC138" s="1">
        <v>5</v>
      </c>
      <c r="AD138" s="1">
        <v>5</v>
      </c>
      <c r="AE138" s="1">
        <v>5</v>
      </c>
      <c r="AF138" s="1">
        <v>5</v>
      </c>
      <c r="AG138" s="1">
        <v>5</v>
      </c>
      <c r="AH138" s="1">
        <v>5</v>
      </c>
      <c r="AI138" t="str">
        <f t="shared" ref="AI138:AJ138" si="379">AI109</f>
        <v>RCK</v>
      </c>
      <c r="AJ138" t="str">
        <f t="shared" si="379"/>
        <v>LO</v>
      </c>
      <c r="AL138" t="str">
        <f>AL109</f>
        <v>Techs_RCKELC</v>
      </c>
    </row>
    <row r="139" spans="1:38">
      <c r="A139">
        <v>0</v>
      </c>
      <c r="B139" t="str">
        <f>B110</f>
        <v>CCK</v>
      </c>
      <c r="C139" t="str">
        <f>C110</f>
        <v>*ELC</v>
      </c>
      <c r="D139" s="1">
        <v>5</v>
      </c>
      <c r="E139" s="1">
        <v>5</v>
      </c>
      <c r="F139" s="1">
        <v>5</v>
      </c>
      <c r="G139" s="1">
        <v>5</v>
      </c>
      <c r="H139" s="1">
        <v>5</v>
      </c>
      <c r="I139" s="1">
        <v>5</v>
      </c>
      <c r="J139" s="1">
        <v>5</v>
      </c>
      <c r="K139" s="1">
        <v>5</v>
      </c>
      <c r="L139" s="1">
        <v>5</v>
      </c>
      <c r="M139" s="1">
        <v>5</v>
      </c>
      <c r="N139" s="1">
        <v>5</v>
      </c>
      <c r="O139" s="1">
        <v>5</v>
      </c>
      <c r="P139" s="1">
        <v>5</v>
      </c>
      <c r="Q139" s="1">
        <v>5</v>
      </c>
      <c r="R139" s="1">
        <v>5</v>
      </c>
      <c r="S139" s="1">
        <v>5</v>
      </c>
      <c r="T139" s="1">
        <v>5</v>
      </c>
      <c r="U139" s="1">
        <v>5</v>
      </c>
      <c r="V139" s="1">
        <v>5</v>
      </c>
      <c r="W139" s="1">
        <v>5</v>
      </c>
      <c r="X139" s="1">
        <v>5</v>
      </c>
      <c r="Y139" s="1">
        <v>5</v>
      </c>
      <c r="Z139" s="1">
        <v>5</v>
      </c>
      <c r="AA139" s="1">
        <v>5</v>
      </c>
      <c r="AB139" s="1">
        <v>5</v>
      </c>
      <c r="AC139" s="1">
        <v>5</v>
      </c>
      <c r="AD139" s="1">
        <v>5</v>
      </c>
      <c r="AE139" s="1">
        <v>5</v>
      </c>
      <c r="AF139" s="1">
        <v>5</v>
      </c>
      <c r="AG139" s="1">
        <v>5</v>
      </c>
      <c r="AH139" s="1">
        <v>5</v>
      </c>
      <c r="AI139" t="str">
        <f t="shared" ref="AI139:AJ139" si="380">AI110</f>
        <v>CCK</v>
      </c>
      <c r="AJ139" t="str">
        <f t="shared" si="380"/>
        <v>LO</v>
      </c>
      <c r="AL139" t="str">
        <f>AL110</f>
        <v>Techs_CCKELC</v>
      </c>
    </row>
    <row r="140" spans="1:38">
      <c r="A140">
        <v>0</v>
      </c>
      <c r="B140" t="str">
        <f t="shared" ref="B140:C140" si="381">B111</f>
        <v>RCK</v>
      </c>
      <c r="C140" t="str">
        <f t="shared" si="381"/>
        <v>*KER</v>
      </c>
      <c r="D140" s="1">
        <v>5</v>
      </c>
      <c r="E140" s="1">
        <v>5</v>
      </c>
      <c r="F140" s="1">
        <v>5</v>
      </c>
      <c r="G140" s="1">
        <v>5</v>
      </c>
      <c r="H140" s="1">
        <v>5</v>
      </c>
      <c r="I140" s="1">
        <v>5</v>
      </c>
      <c r="J140" s="1">
        <v>5</v>
      </c>
      <c r="K140" s="1">
        <v>5</v>
      </c>
      <c r="L140" s="1">
        <v>5</v>
      </c>
      <c r="M140" s="1">
        <v>5</v>
      </c>
      <c r="N140" s="1">
        <v>5</v>
      </c>
      <c r="O140" s="1">
        <v>5</v>
      </c>
      <c r="P140" s="1">
        <v>5</v>
      </c>
      <c r="Q140" s="1">
        <v>5</v>
      </c>
      <c r="R140" s="1">
        <v>5</v>
      </c>
      <c r="S140" s="1">
        <v>5</v>
      </c>
      <c r="T140" s="1">
        <v>5</v>
      </c>
      <c r="U140" s="1">
        <v>5</v>
      </c>
      <c r="V140" s="1">
        <v>5</v>
      </c>
      <c r="W140" s="1">
        <v>5</v>
      </c>
      <c r="X140" s="1">
        <v>5</v>
      </c>
      <c r="Y140" s="1">
        <v>5</v>
      </c>
      <c r="Z140" s="1">
        <v>5</v>
      </c>
      <c r="AA140" s="1">
        <v>5</v>
      </c>
      <c r="AB140" s="1">
        <v>5</v>
      </c>
      <c r="AC140" s="1">
        <v>5</v>
      </c>
      <c r="AD140" s="1">
        <v>5</v>
      </c>
      <c r="AE140" s="1">
        <v>5</v>
      </c>
      <c r="AF140" s="1">
        <v>5</v>
      </c>
      <c r="AG140" s="1">
        <v>5</v>
      </c>
      <c r="AH140" s="1">
        <v>5</v>
      </c>
      <c r="AI140" t="str">
        <f t="shared" ref="AI140:AL140" si="382">AI111</f>
        <v>RCK</v>
      </c>
      <c r="AJ140" t="str">
        <f t="shared" si="382"/>
        <v>UP</v>
      </c>
      <c r="AL140" t="str">
        <f t="shared" si="382"/>
        <v>Techs_RCKKER</v>
      </c>
    </row>
    <row r="141" spans="1:38">
      <c r="A141">
        <v>0</v>
      </c>
      <c r="B141" t="str">
        <f t="shared" ref="B141:C141" si="383">B112</f>
        <v>CCK</v>
      </c>
      <c r="C141" t="str">
        <f t="shared" si="383"/>
        <v>*KER</v>
      </c>
      <c r="D141" s="1">
        <v>5</v>
      </c>
      <c r="E141" s="1">
        <v>5</v>
      </c>
      <c r="F141" s="1">
        <v>5</v>
      </c>
      <c r="G141" s="1">
        <v>5</v>
      </c>
      <c r="H141" s="1">
        <v>5</v>
      </c>
      <c r="I141" s="1">
        <v>5</v>
      </c>
      <c r="J141" s="1">
        <v>5</v>
      </c>
      <c r="K141" s="1">
        <v>5</v>
      </c>
      <c r="L141" s="1">
        <v>5</v>
      </c>
      <c r="M141" s="1">
        <v>5</v>
      </c>
      <c r="N141" s="1">
        <v>5</v>
      </c>
      <c r="O141" s="1">
        <v>5</v>
      </c>
      <c r="P141" s="1">
        <v>5</v>
      </c>
      <c r="Q141" s="1">
        <v>5</v>
      </c>
      <c r="R141" s="1">
        <v>5</v>
      </c>
      <c r="S141" s="1">
        <v>5</v>
      </c>
      <c r="T141" s="1">
        <v>5</v>
      </c>
      <c r="U141" s="1">
        <v>5</v>
      </c>
      <c r="V141" s="1">
        <v>5</v>
      </c>
      <c r="W141" s="1">
        <v>5</v>
      </c>
      <c r="X141" s="1">
        <v>5</v>
      </c>
      <c r="Y141" s="1">
        <v>5</v>
      </c>
      <c r="Z141" s="1">
        <v>5</v>
      </c>
      <c r="AA141" s="1">
        <v>5</v>
      </c>
      <c r="AB141" s="1">
        <v>5</v>
      </c>
      <c r="AC141" s="1">
        <v>5</v>
      </c>
      <c r="AD141" s="1">
        <v>5</v>
      </c>
      <c r="AE141" s="1">
        <v>5</v>
      </c>
      <c r="AF141" s="1">
        <v>5</v>
      </c>
      <c r="AG141" s="1">
        <v>5</v>
      </c>
      <c r="AH141" s="1">
        <v>5</v>
      </c>
      <c r="AI141" t="str">
        <f t="shared" ref="AI141:AL141" si="384">AI112</f>
        <v>CCK</v>
      </c>
      <c r="AJ141" t="str">
        <f t="shared" si="384"/>
        <v>UP</v>
      </c>
      <c r="AL141" t="str">
        <f t="shared" si="384"/>
        <v>Techs_CCKKER</v>
      </c>
    </row>
    <row r="142" spans="1:38">
      <c r="A142">
        <v>0</v>
      </c>
      <c r="B142" t="str">
        <f t="shared" ref="B142:B143" si="385">B113</f>
        <v>RHW</v>
      </c>
      <c r="C142" t="str">
        <f t="shared" ref="C142:C143" si="386">C113</f>
        <v>*ELC,-*STH</v>
      </c>
      <c r="D142" s="1">
        <v>5</v>
      </c>
      <c r="E142" s="1">
        <v>5</v>
      </c>
      <c r="F142" s="1">
        <v>5</v>
      </c>
      <c r="G142" s="1">
        <v>5</v>
      </c>
      <c r="H142" s="1">
        <v>5</v>
      </c>
      <c r="I142" s="1">
        <v>5</v>
      </c>
      <c r="J142" s="1">
        <v>5</v>
      </c>
      <c r="K142" s="1">
        <v>5</v>
      </c>
      <c r="L142" s="1">
        <v>5</v>
      </c>
      <c r="M142" s="1">
        <v>5</v>
      </c>
      <c r="N142" s="1">
        <v>5</v>
      </c>
      <c r="O142" s="1">
        <v>5</v>
      </c>
      <c r="P142" s="1">
        <v>5</v>
      </c>
      <c r="Q142" s="1">
        <v>5</v>
      </c>
      <c r="R142" s="1">
        <v>5</v>
      </c>
      <c r="S142" s="1">
        <v>5</v>
      </c>
      <c r="T142" s="1">
        <v>5</v>
      </c>
      <c r="U142" s="1">
        <v>5</v>
      </c>
      <c r="V142" s="1">
        <v>5</v>
      </c>
      <c r="W142" s="1">
        <v>5</v>
      </c>
      <c r="X142" s="1">
        <v>5</v>
      </c>
      <c r="Y142" s="1">
        <v>5</v>
      </c>
      <c r="Z142" s="1">
        <v>5</v>
      </c>
      <c r="AA142" s="1">
        <v>5</v>
      </c>
      <c r="AB142" s="1">
        <v>5</v>
      </c>
      <c r="AC142" s="1">
        <v>5</v>
      </c>
      <c r="AD142" s="1">
        <v>5</v>
      </c>
      <c r="AE142" s="1">
        <v>5</v>
      </c>
      <c r="AF142" s="1">
        <v>5</v>
      </c>
      <c r="AG142" s="1">
        <v>5</v>
      </c>
      <c r="AH142" s="1">
        <v>5</v>
      </c>
      <c r="AI142" t="str">
        <f t="shared" ref="AI142:AJ142" si="387">AI113</f>
        <v>RHW</v>
      </c>
      <c r="AJ142" t="str">
        <f t="shared" si="387"/>
        <v>LO</v>
      </c>
      <c r="AL142" t="str">
        <f t="shared" ref="AL142:AL143" si="388">AL113</f>
        <v>Techs_RHWELC</v>
      </c>
    </row>
    <row r="143" spans="1:38">
      <c r="A143">
        <v>0</v>
      </c>
      <c r="B143" t="str">
        <f t="shared" si="385"/>
        <v>CHW</v>
      </c>
      <c r="C143" t="str">
        <f t="shared" si="386"/>
        <v>*ELC,-*STH</v>
      </c>
      <c r="D143" s="1">
        <v>5</v>
      </c>
      <c r="E143" s="1">
        <v>5</v>
      </c>
      <c r="F143" s="1">
        <v>5</v>
      </c>
      <c r="G143" s="1">
        <v>5</v>
      </c>
      <c r="H143" s="1">
        <v>5</v>
      </c>
      <c r="I143" s="1">
        <v>5</v>
      </c>
      <c r="J143" s="1">
        <v>5</v>
      </c>
      <c r="K143" s="1">
        <v>5</v>
      </c>
      <c r="L143" s="1">
        <v>5</v>
      </c>
      <c r="M143" s="1">
        <v>5</v>
      </c>
      <c r="N143" s="1">
        <v>5</v>
      </c>
      <c r="O143" s="1">
        <v>5</v>
      </c>
      <c r="P143" s="1">
        <v>5</v>
      </c>
      <c r="Q143" s="1">
        <v>5</v>
      </c>
      <c r="R143" s="1">
        <v>5</v>
      </c>
      <c r="S143" s="1">
        <v>5</v>
      </c>
      <c r="T143" s="1">
        <v>5</v>
      </c>
      <c r="U143" s="1">
        <v>5</v>
      </c>
      <c r="V143" s="1">
        <v>5</v>
      </c>
      <c r="W143" s="1">
        <v>5</v>
      </c>
      <c r="X143" s="1">
        <v>5</v>
      </c>
      <c r="Y143" s="1">
        <v>5</v>
      </c>
      <c r="Z143" s="1">
        <v>5</v>
      </c>
      <c r="AA143" s="1">
        <v>5</v>
      </c>
      <c r="AB143" s="1">
        <v>5</v>
      </c>
      <c r="AC143" s="1">
        <v>5</v>
      </c>
      <c r="AD143" s="1">
        <v>5</v>
      </c>
      <c r="AE143" s="1">
        <v>5</v>
      </c>
      <c r="AF143" s="1">
        <v>5</v>
      </c>
      <c r="AG143" s="1">
        <v>5</v>
      </c>
      <c r="AH143" s="1">
        <v>5</v>
      </c>
      <c r="AI143" t="str">
        <f t="shared" ref="AI143:AJ143" si="389">AI114</f>
        <v>CHW</v>
      </c>
      <c r="AJ143" t="str">
        <f t="shared" si="389"/>
        <v>LO</v>
      </c>
      <c r="AL143" t="str">
        <f t="shared" si="388"/>
        <v>Techs_CHWELC</v>
      </c>
    </row>
    <row r="144" spans="1:38">
      <c r="A144" s="14">
        <f>A142</f>
        <v>0</v>
      </c>
      <c r="B144" s="14" t="str">
        <f>B115</f>
        <v>RSH</v>
      </c>
      <c r="C144" s="14" t="str">
        <f>C115</f>
        <v>*HET</v>
      </c>
      <c r="D144" s="17">
        <f>D142</f>
        <v>5</v>
      </c>
      <c r="E144" s="17">
        <f t="shared" ref="E144:AH144" si="390">E142</f>
        <v>5</v>
      </c>
      <c r="F144" s="17">
        <f t="shared" si="390"/>
        <v>5</v>
      </c>
      <c r="G144" s="17">
        <f t="shared" si="390"/>
        <v>5</v>
      </c>
      <c r="H144" s="17">
        <f t="shared" si="390"/>
        <v>5</v>
      </c>
      <c r="I144" s="17">
        <f t="shared" si="390"/>
        <v>5</v>
      </c>
      <c r="J144" s="17">
        <f t="shared" si="390"/>
        <v>5</v>
      </c>
      <c r="K144" s="17">
        <f t="shared" si="390"/>
        <v>5</v>
      </c>
      <c r="L144" s="17">
        <f t="shared" si="390"/>
        <v>5</v>
      </c>
      <c r="M144" s="17">
        <f t="shared" si="390"/>
        <v>5</v>
      </c>
      <c r="N144" s="17">
        <f t="shared" si="390"/>
        <v>5</v>
      </c>
      <c r="O144" s="17">
        <f t="shared" si="390"/>
        <v>5</v>
      </c>
      <c r="P144" s="17">
        <f t="shared" si="390"/>
        <v>5</v>
      </c>
      <c r="Q144" s="17">
        <f t="shared" si="390"/>
        <v>5</v>
      </c>
      <c r="R144" s="17">
        <f t="shared" si="390"/>
        <v>5</v>
      </c>
      <c r="S144" s="17">
        <f t="shared" si="390"/>
        <v>5</v>
      </c>
      <c r="T144" s="17">
        <f t="shared" si="390"/>
        <v>5</v>
      </c>
      <c r="U144" s="17">
        <f t="shared" si="390"/>
        <v>5</v>
      </c>
      <c r="V144" s="17">
        <f t="shared" si="390"/>
        <v>5</v>
      </c>
      <c r="W144" s="17">
        <f t="shared" si="390"/>
        <v>5</v>
      </c>
      <c r="X144" s="17">
        <f t="shared" si="390"/>
        <v>5</v>
      </c>
      <c r="Y144" s="17">
        <f t="shared" si="390"/>
        <v>5</v>
      </c>
      <c r="Z144" s="17">
        <f t="shared" si="390"/>
        <v>5</v>
      </c>
      <c r="AA144" s="17">
        <f t="shared" si="390"/>
        <v>5</v>
      </c>
      <c r="AB144" s="17">
        <f t="shared" si="390"/>
        <v>5</v>
      </c>
      <c r="AC144" s="17">
        <f t="shared" si="390"/>
        <v>5</v>
      </c>
      <c r="AD144" s="17">
        <f t="shared" si="390"/>
        <v>5</v>
      </c>
      <c r="AE144" s="17">
        <f t="shared" si="390"/>
        <v>5</v>
      </c>
      <c r="AF144" s="17">
        <f t="shared" si="390"/>
        <v>5</v>
      </c>
      <c r="AG144" s="17">
        <f t="shared" si="390"/>
        <v>5</v>
      </c>
      <c r="AH144" s="17">
        <f t="shared" si="390"/>
        <v>5</v>
      </c>
      <c r="AI144" s="17" t="str">
        <f>AI115</f>
        <v>RSH</v>
      </c>
      <c r="AJ144" s="17" t="str">
        <f>AJ115</f>
        <v>UP</v>
      </c>
      <c r="AL144" t="str">
        <f>AL115</f>
        <v>Techs_RSHHET</v>
      </c>
    </row>
    <row r="145" spans="1:38">
      <c r="A145" s="14">
        <f>A143</f>
        <v>0</v>
      </c>
      <c r="B145" s="14" t="str">
        <f>B116</f>
        <v>CSH</v>
      </c>
      <c r="C145" s="14" t="str">
        <f>C116</f>
        <v>*HET</v>
      </c>
      <c r="D145" s="17">
        <f>D143</f>
        <v>5</v>
      </c>
      <c r="E145" s="17">
        <f t="shared" ref="E145:AH145" si="391">E143</f>
        <v>5</v>
      </c>
      <c r="F145" s="17">
        <f t="shared" si="391"/>
        <v>5</v>
      </c>
      <c r="G145" s="17">
        <f t="shared" si="391"/>
        <v>5</v>
      </c>
      <c r="H145" s="17">
        <f t="shared" si="391"/>
        <v>5</v>
      </c>
      <c r="I145" s="17">
        <f t="shared" si="391"/>
        <v>5</v>
      </c>
      <c r="J145" s="17">
        <f t="shared" si="391"/>
        <v>5</v>
      </c>
      <c r="K145" s="17">
        <f t="shared" si="391"/>
        <v>5</v>
      </c>
      <c r="L145" s="17">
        <f t="shared" si="391"/>
        <v>5</v>
      </c>
      <c r="M145" s="17">
        <f t="shared" si="391"/>
        <v>5</v>
      </c>
      <c r="N145" s="17">
        <f t="shared" si="391"/>
        <v>5</v>
      </c>
      <c r="O145" s="17">
        <f t="shared" si="391"/>
        <v>5</v>
      </c>
      <c r="P145" s="17">
        <f t="shared" si="391"/>
        <v>5</v>
      </c>
      <c r="Q145" s="17">
        <f t="shared" si="391"/>
        <v>5</v>
      </c>
      <c r="R145" s="17">
        <f t="shared" si="391"/>
        <v>5</v>
      </c>
      <c r="S145" s="17">
        <f t="shared" si="391"/>
        <v>5</v>
      </c>
      <c r="T145" s="17">
        <f t="shared" si="391"/>
        <v>5</v>
      </c>
      <c r="U145" s="17">
        <f t="shared" si="391"/>
        <v>5</v>
      </c>
      <c r="V145" s="17">
        <f t="shared" si="391"/>
        <v>5</v>
      </c>
      <c r="W145" s="17">
        <f t="shared" si="391"/>
        <v>5</v>
      </c>
      <c r="X145" s="17">
        <f t="shared" si="391"/>
        <v>5</v>
      </c>
      <c r="Y145" s="17">
        <f t="shared" si="391"/>
        <v>5</v>
      </c>
      <c r="Z145" s="17">
        <f t="shared" si="391"/>
        <v>5</v>
      </c>
      <c r="AA145" s="17">
        <f t="shared" si="391"/>
        <v>5</v>
      </c>
      <c r="AB145" s="17">
        <f t="shared" si="391"/>
        <v>5</v>
      </c>
      <c r="AC145" s="17">
        <f t="shared" si="391"/>
        <v>5</v>
      </c>
      <c r="AD145" s="17">
        <f t="shared" si="391"/>
        <v>5</v>
      </c>
      <c r="AE145" s="17">
        <f t="shared" si="391"/>
        <v>5</v>
      </c>
      <c r="AF145" s="17">
        <f t="shared" si="391"/>
        <v>5</v>
      </c>
      <c r="AG145" s="17">
        <f t="shared" si="391"/>
        <v>5</v>
      </c>
      <c r="AH145" s="17">
        <f t="shared" si="391"/>
        <v>5</v>
      </c>
      <c r="AI145" s="17" t="str">
        <f>AI116</f>
        <v>CSH</v>
      </c>
      <c r="AJ145" s="17" t="str">
        <f>AJ116</f>
        <v>UP</v>
      </c>
      <c r="AL145" t="str">
        <f>AL116</f>
        <v>Techs_CSHHET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B701-E216-4D5F-977B-ED6F2B13B19C}">
  <dimension ref="A1:F53"/>
  <sheetViews>
    <sheetView workbookViewId="0">
      <selection activeCell="F11" sqref="F11"/>
    </sheetView>
  </sheetViews>
  <sheetFormatPr defaultColWidth="8.86328125" defaultRowHeight="14.25"/>
  <cols>
    <col min="1" max="1" width="11" bestFit="1" customWidth="1"/>
    <col min="2" max="2" width="20.1328125" bestFit="1" customWidth="1"/>
    <col min="4" max="4" width="11.265625" bestFit="1" customWidth="1"/>
    <col min="5" max="5" width="5.3984375" bestFit="1" customWidth="1"/>
    <col min="6" max="6" width="5.73046875" bestFit="1" customWidth="1"/>
  </cols>
  <sheetData>
    <row r="1" spans="1:6">
      <c r="D1" t="s">
        <v>680</v>
      </c>
    </row>
    <row r="2" spans="1:6">
      <c r="D2" t="s">
        <v>8</v>
      </c>
      <c r="E2" t="s">
        <v>681</v>
      </c>
      <c r="F2" t="s">
        <v>167</v>
      </c>
    </row>
    <row r="3" spans="1:6">
      <c r="A3" t="s">
        <v>497</v>
      </c>
      <c r="B3" t="s">
        <v>498</v>
      </c>
      <c r="D3" t="str">
        <f>A3</f>
        <v>RSHDFRV1</v>
      </c>
      <c r="E3">
        <v>2030</v>
      </c>
    </row>
    <row r="4" spans="1:6">
      <c r="A4" t="s">
        <v>499</v>
      </c>
      <c r="B4" t="s">
        <v>500</v>
      </c>
      <c r="D4" t="str">
        <f t="shared" ref="D4:D53" si="0">A4</f>
        <v>RSHDFRV2</v>
      </c>
      <c r="E4">
        <v>2040</v>
      </c>
      <c r="F4">
        <f>E3</f>
        <v>2030</v>
      </c>
    </row>
    <row r="5" spans="1:6">
      <c r="A5" t="s">
        <v>501</v>
      </c>
      <c r="B5" t="s">
        <v>502</v>
      </c>
      <c r="D5" t="str">
        <f t="shared" si="0"/>
        <v>RSHDFRV3</v>
      </c>
      <c r="F5">
        <f>E4</f>
        <v>2040</v>
      </c>
    </row>
    <row r="6" spans="1:6">
      <c r="A6" t="s">
        <v>503</v>
      </c>
      <c r="B6" t="s">
        <v>504</v>
      </c>
      <c r="D6" t="str">
        <f t="shared" si="0"/>
        <v>RSHDRDV1</v>
      </c>
      <c r="E6">
        <v>2030</v>
      </c>
    </row>
    <row r="7" spans="1:6">
      <c r="A7" t="s">
        <v>505</v>
      </c>
      <c r="B7" t="s">
        <v>506</v>
      </c>
      <c r="D7" t="str">
        <f t="shared" si="0"/>
        <v>RSHDRDV2</v>
      </c>
      <c r="E7">
        <v>2040</v>
      </c>
      <c r="F7">
        <f t="shared" ref="F7:F8" si="1">E6</f>
        <v>2030</v>
      </c>
    </row>
    <row r="8" spans="1:6">
      <c r="A8" t="s">
        <v>507</v>
      </c>
      <c r="B8" t="s">
        <v>508</v>
      </c>
      <c r="D8" t="str">
        <f t="shared" si="0"/>
        <v>RSHDRDV3</v>
      </c>
      <c r="F8">
        <f t="shared" si="1"/>
        <v>2040</v>
      </c>
    </row>
    <row r="9" spans="1:6">
      <c r="A9" t="s">
        <v>509</v>
      </c>
      <c r="B9" t="s">
        <v>510</v>
      </c>
      <c r="D9" t="str">
        <f t="shared" si="0"/>
        <v>RSHEHPV1</v>
      </c>
      <c r="E9">
        <v>2030</v>
      </c>
    </row>
    <row r="10" spans="1:6">
      <c r="A10" t="s">
        <v>511</v>
      </c>
      <c r="B10" t="s">
        <v>512</v>
      </c>
      <c r="D10" t="str">
        <f t="shared" si="0"/>
        <v>RSHEHPV2</v>
      </c>
      <c r="E10">
        <v>2040</v>
      </c>
      <c r="F10">
        <f>E9</f>
        <v>2030</v>
      </c>
    </row>
    <row r="11" spans="1:6">
      <c r="A11" t="s">
        <v>513</v>
      </c>
      <c r="B11" t="s">
        <v>514</v>
      </c>
      <c r="D11" t="str">
        <f t="shared" si="0"/>
        <v>RSHEHPV3</v>
      </c>
      <c r="F11">
        <f>E10</f>
        <v>2040</v>
      </c>
    </row>
    <row r="12" spans="1:6">
      <c r="A12" t="s">
        <v>515</v>
      </c>
      <c r="B12" t="s">
        <v>516</v>
      </c>
      <c r="D12" t="str">
        <f t="shared" si="0"/>
        <v>RSHERDV1</v>
      </c>
      <c r="E12">
        <v>2030</v>
      </c>
    </row>
    <row r="13" spans="1:6">
      <c r="A13" t="s">
        <v>517</v>
      </c>
      <c r="B13" t="s">
        <v>518</v>
      </c>
      <c r="D13" t="str">
        <f t="shared" si="0"/>
        <v>RSHGHPV1</v>
      </c>
      <c r="E13">
        <v>2030</v>
      </c>
    </row>
    <row r="14" spans="1:6">
      <c r="A14" t="s">
        <v>519</v>
      </c>
      <c r="B14" t="s">
        <v>520</v>
      </c>
      <c r="D14" t="str">
        <f t="shared" si="0"/>
        <v>RSHGHPV2</v>
      </c>
    </row>
    <row r="15" spans="1:6">
      <c r="A15" t="s">
        <v>521</v>
      </c>
      <c r="B15" t="s">
        <v>522</v>
      </c>
      <c r="D15" t="str">
        <f t="shared" si="0"/>
        <v>RSHKFRV1</v>
      </c>
      <c r="E15">
        <v>2030</v>
      </c>
    </row>
    <row r="16" spans="1:6">
      <c r="A16" t="s">
        <v>523</v>
      </c>
      <c r="B16" t="s">
        <v>524</v>
      </c>
      <c r="D16" t="str">
        <f t="shared" si="0"/>
        <v>RSHKFRV2</v>
      </c>
      <c r="E16">
        <v>2040</v>
      </c>
      <c r="F16">
        <f>E15</f>
        <v>2030</v>
      </c>
    </row>
    <row r="17" spans="1:6">
      <c r="A17" t="s">
        <v>525</v>
      </c>
      <c r="B17" t="s">
        <v>526</v>
      </c>
      <c r="D17" t="str">
        <f t="shared" si="0"/>
        <v>RSHKFRV3</v>
      </c>
      <c r="F17">
        <f>E16</f>
        <v>2040</v>
      </c>
    </row>
    <row r="18" spans="1:6">
      <c r="A18" t="s">
        <v>527</v>
      </c>
      <c r="B18" t="s">
        <v>528</v>
      </c>
      <c r="D18" t="str">
        <f t="shared" si="0"/>
        <v>RSHLFRV1</v>
      </c>
      <c r="E18">
        <v>2030</v>
      </c>
    </row>
    <row r="19" spans="1:6">
      <c r="A19" t="s">
        <v>529</v>
      </c>
      <c r="B19" t="s">
        <v>530</v>
      </c>
      <c r="D19" t="str">
        <f t="shared" si="0"/>
        <v>RSHLFRV3</v>
      </c>
      <c r="E19">
        <v>2040</v>
      </c>
      <c r="F19">
        <f>E18</f>
        <v>2030</v>
      </c>
    </row>
    <row r="20" spans="1:6">
      <c r="A20" t="s">
        <v>531</v>
      </c>
      <c r="B20" t="s">
        <v>532</v>
      </c>
      <c r="D20" t="str">
        <f t="shared" si="0"/>
        <v>RSHLFRV4</v>
      </c>
      <c r="F20">
        <f>E19</f>
        <v>2040</v>
      </c>
    </row>
    <row r="21" spans="1:6">
      <c r="A21" t="s">
        <v>533</v>
      </c>
      <c r="B21" t="s">
        <v>534</v>
      </c>
      <c r="D21" t="str">
        <f t="shared" si="0"/>
        <v>RSHNFRV1</v>
      </c>
      <c r="E21">
        <v>2030</v>
      </c>
    </row>
    <row r="22" spans="1:6">
      <c r="A22" t="s">
        <v>535</v>
      </c>
      <c r="B22" t="s">
        <v>536</v>
      </c>
      <c r="D22" t="str">
        <f t="shared" si="0"/>
        <v>RSHNFRV3</v>
      </c>
      <c r="E22">
        <v>2040</v>
      </c>
      <c r="F22">
        <f>E21</f>
        <v>2030</v>
      </c>
    </row>
    <row r="23" spans="1:6">
      <c r="A23" t="s">
        <v>537</v>
      </c>
      <c r="B23" t="s">
        <v>538</v>
      </c>
      <c r="D23" t="str">
        <f t="shared" si="0"/>
        <v>RSHNFRV4</v>
      </c>
      <c r="F23">
        <f>E22</f>
        <v>2040</v>
      </c>
    </row>
    <row r="24" spans="1:6">
      <c r="A24" t="s">
        <v>539</v>
      </c>
      <c r="B24" t="s">
        <v>540</v>
      </c>
      <c r="D24" t="str">
        <f t="shared" si="0"/>
        <v>RSHNHPV1</v>
      </c>
    </row>
    <row r="25" spans="1:6">
      <c r="A25" t="s">
        <v>541</v>
      </c>
      <c r="B25" t="s">
        <v>542</v>
      </c>
      <c r="D25" t="str">
        <f t="shared" si="0"/>
        <v>RSHNRDV1</v>
      </c>
      <c r="E25">
        <v>2030</v>
      </c>
    </row>
    <row r="26" spans="1:6">
      <c r="A26" t="s">
        <v>543</v>
      </c>
      <c r="B26" t="s">
        <v>544</v>
      </c>
      <c r="D26" t="str">
        <f t="shared" si="0"/>
        <v>RSHNRDV2</v>
      </c>
      <c r="E26">
        <v>2040</v>
      </c>
      <c r="F26">
        <f>E25</f>
        <v>2030</v>
      </c>
    </row>
    <row r="27" spans="1:6">
      <c r="A27" t="s">
        <v>545</v>
      </c>
      <c r="B27" t="s">
        <v>546</v>
      </c>
      <c r="D27" t="str">
        <f t="shared" si="0"/>
        <v>RSHNRDV3</v>
      </c>
      <c r="F27">
        <f>E26</f>
        <v>2040</v>
      </c>
    </row>
    <row r="28" spans="1:6">
      <c r="A28" s="19" t="s">
        <v>547</v>
      </c>
      <c r="B28" s="19" t="s">
        <v>548</v>
      </c>
      <c r="C28" s="19"/>
      <c r="D28" t="str">
        <f t="shared" si="0"/>
        <v>RSHWDHV1</v>
      </c>
      <c r="E28" s="19"/>
    </row>
    <row r="29" spans="1:6">
      <c r="D29" t="s">
        <v>145</v>
      </c>
    </row>
    <row r="30" spans="1:6">
      <c r="A30" t="s">
        <v>549</v>
      </c>
      <c r="B30" t="s">
        <v>550</v>
      </c>
      <c r="D30" t="str">
        <f t="shared" si="0"/>
        <v>RSCCACV1</v>
      </c>
      <c r="E30">
        <v>2030</v>
      </c>
    </row>
    <row r="31" spans="1:6">
      <c r="A31" t="s">
        <v>551</v>
      </c>
      <c r="B31" t="s">
        <v>552</v>
      </c>
      <c r="D31" t="str">
        <f t="shared" si="0"/>
        <v>RSCCACV2</v>
      </c>
      <c r="E31">
        <v>2040</v>
      </c>
      <c r="F31">
        <f t="shared" ref="F31:F32" si="2">E30</f>
        <v>2030</v>
      </c>
    </row>
    <row r="32" spans="1:6">
      <c r="A32" t="s">
        <v>553</v>
      </c>
      <c r="B32" t="s">
        <v>554</v>
      </c>
      <c r="D32" t="str">
        <f t="shared" si="0"/>
        <v>RSCCACV3</v>
      </c>
      <c r="F32">
        <f t="shared" si="2"/>
        <v>2040</v>
      </c>
    </row>
    <row r="33" spans="1:6">
      <c r="A33" t="s">
        <v>555</v>
      </c>
      <c r="B33" t="s">
        <v>556</v>
      </c>
      <c r="D33" t="str">
        <f t="shared" si="0"/>
        <v>RSCEHPV1</v>
      </c>
      <c r="E33">
        <v>2030</v>
      </c>
    </row>
    <row r="34" spans="1:6">
      <c r="A34" t="s">
        <v>557</v>
      </c>
      <c r="B34" t="s">
        <v>558</v>
      </c>
      <c r="D34" t="str">
        <f t="shared" si="0"/>
        <v>RSCEHPV2</v>
      </c>
      <c r="F34">
        <f>E33</f>
        <v>2030</v>
      </c>
    </row>
    <row r="35" spans="1:6">
      <c r="A35" t="s">
        <v>559</v>
      </c>
      <c r="B35" t="s">
        <v>560</v>
      </c>
      <c r="D35" t="str">
        <f t="shared" si="0"/>
        <v>RSCNHPV1</v>
      </c>
    </row>
    <row r="36" spans="1:6">
      <c r="A36" t="s">
        <v>561</v>
      </c>
      <c r="B36" t="s">
        <v>562</v>
      </c>
      <c r="D36" t="str">
        <f t="shared" si="0"/>
        <v>RSCRACV1</v>
      </c>
      <c r="E36">
        <v>2030</v>
      </c>
    </row>
    <row r="37" spans="1:6">
      <c r="A37" t="s">
        <v>563</v>
      </c>
      <c r="B37" t="s">
        <v>564</v>
      </c>
      <c r="D37" t="str">
        <f t="shared" si="0"/>
        <v>RSCRACV2</v>
      </c>
      <c r="E37">
        <v>2040</v>
      </c>
      <c r="F37">
        <f t="shared" ref="F37:F38" si="3">E36</f>
        <v>2030</v>
      </c>
    </row>
    <row r="38" spans="1:6">
      <c r="A38" t="s">
        <v>565</v>
      </c>
      <c r="B38" t="s">
        <v>566</v>
      </c>
      <c r="D38" t="str">
        <f t="shared" si="0"/>
        <v>RSCRACV3</v>
      </c>
      <c r="F38">
        <f t="shared" si="3"/>
        <v>2040</v>
      </c>
    </row>
    <row r="39" spans="1:6">
      <c r="D39" t="s">
        <v>145</v>
      </c>
    </row>
    <row r="40" spans="1:6">
      <c r="A40" t="s">
        <v>567</v>
      </c>
      <c r="B40" t="s">
        <v>568</v>
      </c>
      <c r="D40" t="str">
        <f t="shared" si="0"/>
        <v>RWHDWHV1</v>
      </c>
      <c r="E40">
        <v>2030</v>
      </c>
    </row>
    <row r="41" spans="1:6">
      <c r="A41" t="s">
        <v>569</v>
      </c>
      <c r="B41" t="s">
        <v>570</v>
      </c>
      <c r="D41" t="str">
        <f t="shared" si="0"/>
        <v>RWHDWHV2</v>
      </c>
      <c r="E41">
        <v>2040</v>
      </c>
      <c r="F41">
        <f t="shared" ref="F41:F42" si="4">E40</f>
        <v>2030</v>
      </c>
    </row>
    <row r="42" spans="1:6">
      <c r="A42" t="s">
        <v>571</v>
      </c>
      <c r="B42" t="s">
        <v>572</v>
      </c>
      <c r="D42" t="str">
        <f t="shared" si="0"/>
        <v>RWHDWHV3</v>
      </c>
      <c r="F42">
        <f t="shared" si="4"/>
        <v>2040</v>
      </c>
    </row>
    <row r="43" spans="1:6">
      <c r="A43" t="s">
        <v>573</v>
      </c>
      <c r="B43" t="s">
        <v>574</v>
      </c>
      <c r="D43" t="str">
        <f t="shared" si="0"/>
        <v>RWHEWHV1</v>
      </c>
      <c r="E43">
        <v>2030</v>
      </c>
    </row>
    <row r="44" spans="1:6">
      <c r="A44" t="s">
        <v>575</v>
      </c>
      <c r="B44" t="s">
        <v>576</v>
      </c>
      <c r="D44" t="str">
        <f t="shared" si="0"/>
        <v>RWHEWHV2</v>
      </c>
      <c r="E44">
        <v>2040</v>
      </c>
      <c r="F44">
        <f t="shared" ref="F44:F45" si="5">E43</f>
        <v>2030</v>
      </c>
    </row>
    <row r="45" spans="1:6">
      <c r="A45" t="s">
        <v>577</v>
      </c>
      <c r="B45" t="s">
        <v>578</v>
      </c>
      <c r="D45" t="str">
        <f t="shared" si="0"/>
        <v>RWHEWHV3</v>
      </c>
      <c r="F45">
        <f t="shared" si="5"/>
        <v>2040</v>
      </c>
    </row>
    <row r="46" spans="1:6">
      <c r="A46" t="s">
        <v>579</v>
      </c>
      <c r="B46" t="s">
        <v>580</v>
      </c>
      <c r="D46" t="str">
        <f t="shared" si="0"/>
        <v>RWHLWHV1</v>
      </c>
      <c r="E46">
        <v>2030</v>
      </c>
    </row>
    <row r="47" spans="1:6">
      <c r="A47" t="s">
        <v>581</v>
      </c>
      <c r="B47" t="s">
        <v>582</v>
      </c>
      <c r="D47" t="str">
        <f t="shared" si="0"/>
        <v>RWHLWHV2</v>
      </c>
      <c r="E47">
        <v>2040</v>
      </c>
      <c r="F47">
        <f t="shared" ref="F47:F48" si="6">E46</f>
        <v>2030</v>
      </c>
    </row>
    <row r="48" spans="1:6">
      <c r="A48" t="s">
        <v>583</v>
      </c>
      <c r="B48" t="s">
        <v>584</v>
      </c>
      <c r="D48" t="str">
        <f t="shared" si="0"/>
        <v>RWHLWHV3</v>
      </c>
      <c r="F48">
        <f t="shared" si="6"/>
        <v>2040</v>
      </c>
    </row>
    <row r="49" spans="1:6">
      <c r="A49" t="s">
        <v>585</v>
      </c>
      <c r="B49" t="s">
        <v>586</v>
      </c>
      <c r="D49" t="str">
        <f t="shared" si="0"/>
        <v>RWHLWHV4</v>
      </c>
      <c r="F49">
        <f>F48</f>
        <v>2040</v>
      </c>
    </row>
    <row r="50" spans="1:6">
      <c r="A50" t="s">
        <v>587</v>
      </c>
      <c r="B50" t="s">
        <v>588</v>
      </c>
      <c r="D50" t="str">
        <f t="shared" si="0"/>
        <v>RWHNWHV1</v>
      </c>
      <c r="E50">
        <v>2030</v>
      </c>
    </row>
    <row r="51" spans="1:6">
      <c r="A51" t="s">
        <v>589</v>
      </c>
      <c r="B51" t="s">
        <v>590</v>
      </c>
      <c r="D51" t="str">
        <f t="shared" si="0"/>
        <v>RWHNWHV2</v>
      </c>
      <c r="E51">
        <v>2040</v>
      </c>
      <c r="F51">
        <f t="shared" ref="F51:F52" si="7">E50</f>
        <v>2030</v>
      </c>
    </row>
    <row r="52" spans="1:6">
      <c r="A52" t="s">
        <v>591</v>
      </c>
      <c r="B52" t="s">
        <v>592</v>
      </c>
      <c r="D52" t="str">
        <f t="shared" si="0"/>
        <v>RWHNWHV3</v>
      </c>
      <c r="F52">
        <f t="shared" si="7"/>
        <v>2040</v>
      </c>
    </row>
    <row r="53" spans="1:6">
      <c r="A53" t="s">
        <v>593</v>
      </c>
      <c r="B53" t="s">
        <v>594</v>
      </c>
      <c r="D53" t="str">
        <f t="shared" si="0"/>
        <v>RWHNWHV4</v>
      </c>
      <c r="F53">
        <f>F52</f>
        <v>2040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5018-81A7-4FFC-A1DF-61D649E818C8}">
  <dimension ref="A1:AU999"/>
  <sheetViews>
    <sheetView workbookViewId="0"/>
  </sheetViews>
  <sheetFormatPr defaultColWidth="8.86328125" defaultRowHeight="14.25"/>
  <cols>
    <col min="3" max="3" width="12.1328125" bestFit="1" customWidth="1"/>
  </cols>
  <sheetData>
    <row r="1" spans="1:4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637</v>
      </c>
      <c r="M1" t="s">
        <v>638</v>
      </c>
      <c r="N1" t="s">
        <v>639</v>
      </c>
      <c r="O1" t="s">
        <v>640</v>
      </c>
      <c r="P1" t="s">
        <v>641</v>
      </c>
      <c r="Q1" t="s">
        <v>642</v>
      </c>
      <c r="R1" t="s">
        <v>643</v>
      </c>
      <c r="S1" t="s">
        <v>644</v>
      </c>
      <c r="T1" t="s">
        <v>645</v>
      </c>
      <c r="U1" t="s">
        <v>121</v>
      </c>
      <c r="V1" t="s">
        <v>646</v>
      </c>
      <c r="W1" t="s">
        <v>647</v>
      </c>
      <c r="X1" t="s">
        <v>648</v>
      </c>
      <c r="Y1" t="s">
        <v>649</v>
      </c>
      <c r="Z1" t="s">
        <v>650</v>
      </c>
      <c r="AA1" t="s">
        <v>651</v>
      </c>
      <c r="AB1" t="s">
        <v>652</v>
      </c>
      <c r="AC1" t="s">
        <v>653</v>
      </c>
      <c r="AD1" t="s">
        <v>636</v>
      </c>
      <c r="AE1" t="s">
        <v>122</v>
      </c>
      <c r="AF1" t="s">
        <v>654</v>
      </c>
      <c r="AG1" t="s">
        <v>655</v>
      </c>
      <c r="AH1" t="s">
        <v>656</v>
      </c>
      <c r="AI1" t="s">
        <v>657</v>
      </c>
      <c r="AJ1" t="s">
        <v>123</v>
      </c>
      <c r="AK1" t="s">
        <v>658</v>
      </c>
      <c r="AL1" t="s">
        <v>659</v>
      </c>
      <c r="AM1" t="s">
        <v>660</v>
      </c>
      <c r="AN1" t="s">
        <v>661</v>
      </c>
      <c r="AO1" t="s">
        <v>124</v>
      </c>
      <c r="AT1" t="s">
        <v>38</v>
      </c>
      <c r="AU1" t="s">
        <v>39</v>
      </c>
    </row>
    <row r="2" spans="1:47">
      <c r="A2" t="s">
        <v>17</v>
      </c>
      <c r="B2" t="s">
        <v>176</v>
      </c>
      <c r="C2" t="s">
        <v>635</v>
      </c>
      <c r="D2" t="s">
        <v>19</v>
      </c>
      <c r="E2" t="s">
        <v>19</v>
      </c>
      <c r="F2" t="s">
        <v>19</v>
      </c>
      <c r="G2" t="s">
        <v>603</v>
      </c>
      <c r="H2" t="s">
        <v>19</v>
      </c>
      <c r="I2" t="s">
        <v>19</v>
      </c>
      <c r="J2" t="s">
        <v>19</v>
      </c>
      <c r="K2" t="s">
        <v>19</v>
      </c>
      <c r="L2">
        <v>0</v>
      </c>
      <c r="M2">
        <v>6.2034387232270905E-3</v>
      </c>
      <c r="N2">
        <v>2.4813754892908362E-3</v>
      </c>
      <c r="O2">
        <v>0</v>
      </c>
      <c r="P2">
        <v>1.2406877446454181E-3</v>
      </c>
      <c r="Q2">
        <v>0.16377078229319519</v>
      </c>
      <c r="R2">
        <v>6.2034387232270905E-4</v>
      </c>
      <c r="S2">
        <v>2.7915474254521906E-2</v>
      </c>
      <c r="T2">
        <v>6.2034387232270905E-4</v>
      </c>
      <c r="U2">
        <v>0.20285244624952584</v>
      </c>
      <c r="V2">
        <v>1.2406877446454181E-3</v>
      </c>
      <c r="W2">
        <v>1.2406877446454181E-3</v>
      </c>
      <c r="X2">
        <v>1.8610316169681269E-3</v>
      </c>
      <c r="Y2">
        <v>0</v>
      </c>
      <c r="Z2">
        <v>6.2034387232270905E-4</v>
      </c>
      <c r="AA2">
        <v>6.2034387232270905E-4</v>
      </c>
      <c r="AB2">
        <v>6.2034387232270905E-4</v>
      </c>
      <c r="AC2">
        <v>3.7220632339362539E-3</v>
      </c>
      <c r="AD2">
        <v>3.7220632339362539E-3</v>
      </c>
      <c r="AE2">
        <v>0.12903152544312349</v>
      </c>
      <c r="AF2">
        <v>3.7220632339362539E-3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1.8610316169681269E-3</v>
      </c>
      <c r="AN2">
        <v>9.3051580848406354E-3</v>
      </c>
      <c r="AO2" t="s">
        <v>19</v>
      </c>
      <c r="AT2" t="str">
        <f>MID(C2,5,3)</f>
        <v>2w_</v>
      </c>
      <c r="AU2" t="str">
        <f>RIGHT(C2,3)</f>
        <v>eth</v>
      </c>
    </row>
    <row r="3" spans="1:47">
      <c r="A3" t="s">
        <v>17</v>
      </c>
      <c r="B3" t="s">
        <v>176</v>
      </c>
      <c r="C3" t="s">
        <v>635</v>
      </c>
      <c r="D3" t="s">
        <v>19</v>
      </c>
      <c r="E3" t="s">
        <v>19</v>
      </c>
      <c r="F3" t="s">
        <v>19</v>
      </c>
      <c r="G3" t="s">
        <v>602</v>
      </c>
      <c r="H3" t="s">
        <v>19</v>
      </c>
      <c r="I3" t="s">
        <v>19</v>
      </c>
      <c r="J3" t="s">
        <v>19</v>
      </c>
      <c r="K3" t="s">
        <v>19</v>
      </c>
      <c r="L3">
        <v>0</v>
      </c>
      <c r="M3">
        <v>6.2034387232270905E-3</v>
      </c>
      <c r="N3">
        <v>2.4813754892908362E-3</v>
      </c>
      <c r="O3">
        <v>0</v>
      </c>
      <c r="P3">
        <v>1.2406877446454181E-3</v>
      </c>
      <c r="Q3">
        <v>0.16377078229319519</v>
      </c>
      <c r="R3">
        <v>6.2034387232270905E-4</v>
      </c>
      <c r="S3">
        <v>2.7915474254521906E-2</v>
      </c>
      <c r="T3">
        <v>6.2034387232270905E-4</v>
      </c>
      <c r="U3">
        <v>0.20285244624952584</v>
      </c>
      <c r="V3">
        <v>1.2406877446454181E-3</v>
      </c>
      <c r="W3">
        <v>1.2406877446454181E-3</v>
      </c>
      <c r="X3">
        <v>1.8610316169681269E-3</v>
      </c>
      <c r="Y3">
        <v>0</v>
      </c>
      <c r="Z3">
        <v>6.2034387232270905E-4</v>
      </c>
      <c r="AA3">
        <v>6.2034387232270905E-4</v>
      </c>
      <c r="AB3">
        <v>6.2034387232270905E-4</v>
      </c>
      <c r="AC3">
        <v>3.7220632339362539E-3</v>
      </c>
      <c r="AD3">
        <v>3.7220632339362539E-3</v>
      </c>
      <c r="AE3">
        <v>0.12903152544312349</v>
      </c>
      <c r="AF3">
        <v>3.7220632339362539E-3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1.8610316169681269E-3</v>
      </c>
      <c r="AN3">
        <v>9.3051580848406354E-3</v>
      </c>
      <c r="AO3" t="s">
        <v>19</v>
      </c>
      <c r="AT3" t="str">
        <f t="shared" ref="AT3:AT66" si="0">MID(C3,5,3)</f>
        <v>2w_</v>
      </c>
      <c r="AU3" t="str">
        <f t="shared" ref="AU3:AU66" si="1">RIGHT(C3,3)</f>
        <v>eth</v>
      </c>
    </row>
    <row r="4" spans="1:47">
      <c r="A4" t="s">
        <v>17</v>
      </c>
      <c r="B4" t="s">
        <v>176</v>
      </c>
      <c r="C4" t="s">
        <v>635</v>
      </c>
      <c r="D4" t="s">
        <v>19</v>
      </c>
      <c r="E4" t="s">
        <v>19</v>
      </c>
      <c r="F4" t="s">
        <v>19</v>
      </c>
      <c r="G4" t="s">
        <v>601</v>
      </c>
      <c r="H4" t="s">
        <v>19</v>
      </c>
      <c r="I4" t="s">
        <v>19</v>
      </c>
      <c r="J4" t="s">
        <v>19</v>
      </c>
      <c r="K4" t="s">
        <v>19</v>
      </c>
      <c r="L4">
        <v>0</v>
      </c>
      <c r="M4">
        <v>6.2034387232270905E-3</v>
      </c>
      <c r="N4">
        <v>2.4813754892908362E-3</v>
      </c>
      <c r="O4">
        <v>0</v>
      </c>
      <c r="P4">
        <v>1.2406877446454181E-3</v>
      </c>
      <c r="Q4">
        <v>0.16377078229319519</v>
      </c>
      <c r="R4">
        <v>6.2034387232270905E-4</v>
      </c>
      <c r="S4">
        <v>2.7915474254521906E-2</v>
      </c>
      <c r="T4">
        <v>6.2034387232270905E-4</v>
      </c>
      <c r="U4">
        <v>0.20285244624952584</v>
      </c>
      <c r="V4">
        <v>1.2406877446454181E-3</v>
      </c>
      <c r="W4">
        <v>1.2406877446454181E-3</v>
      </c>
      <c r="X4">
        <v>1.8610316169681269E-3</v>
      </c>
      <c r="Y4">
        <v>0</v>
      </c>
      <c r="Z4">
        <v>6.2034387232270905E-4</v>
      </c>
      <c r="AA4">
        <v>6.2034387232270905E-4</v>
      </c>
      <c r="AB4">
        <v>6.2034387232270905E-4</v>
      </c>
      <c r="AC4">
        <v>3.7220632339362539E-3</v>
      </c>
      <c r="AD4">
        <v>3.7220632339362539E-3</v>
      </c>
      <c r="AE4">
        <v>0.12903152544312349</v>
      </c>
      <c r="AF4">
        <v>3.7220632339362539E-3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1.8610316169681269E-3</v>
      </c>
      <c r="AN4">
        <v>9.3051580848406354E-3</v>
      </c>
      <c r="AO4" t="s">
        <v>19</v>
      </c>
      <c r="AT4" t="str">
        <f t="shared" si="0"/>
        <v>2w_</v>
      </c>
      <c r="AU4" t="str">
        <f t="shared" si="1"/>
        <v>eth</v>
      </c>
    </row>
    <row r="5" spans="1:47">
      <c r="A5" t="s">
        <v>17</v>
      </c>
      <c r="B5" t="s">
        <v>176</v>
      </c>
      <c r="C5" t="s">
        <v>635</v>
      </c>
      <c r="D5" t="s">
        <v>19</v>
      </c>
      <c r="E5" t="s">
        <v>19</v>
      </c>
      <c r="F5" t="s">
        <v>19</v>
      </c>
      <c r="G5" t="s">
        <v>600</v>
      </c>
      <c r="H5" t="s">
        <v>19</v>
      </c>
      <c r="I5" t="s">
        <v>19</v>
      </c>
      <c r="J5" t="s">
        <v>19</v>
      </c>
      <c r="K5" t="s">
        <v>19</v>
      </c>
      <c r="L5">
        <v>0</v>
      </c>
      <c r="M5">
        <v>6.2034387232270905E-3</v>
      </c>
      <c r="N5">
        <v>2.4813754892908362E-3</v>
      </c>
      <c r="O5">
        <v>0</v>
      </c>
      <c r="P5">
        <v>1.2406877446454181E-3</v>
      </c>
      <c r="Q5">
        <v>0.16377078229319519</v>
      </c>
      <c r="R5">
        <v>6.2034387232270905E-4</v>
      </c>
      <c r="S5">
        <v>2.7915474254521906E-2</v>
      </c>
      <c r="T5">
        <v>6.2034387232270905E-4</v>
      </c>
      <c r="U5">
        <v>0.20285244624952584</v>
      </c>
      <c r="V5">
        <v>1.2406877446454181E-3</v>
      </c>
      <c r="W5">
        <v>1.2406877446454181E-3</v>
      </c>
      <c r="X5">
        <v>1.8610316169681269E-3</v>
      </c>
      <c r="Y5">
        <v>0</v>
      </c>
      <c r="Z5">
        <v>6.2034387232270905E-4</v>
      </c>
      <c r="AA5">
        <v>6.2034387232270905E-4</v>
      </c>
      <c r="AB5">
        <v>6.2034387232270905E-4</v>
      </c>
      <c r="AC5">
        <v>3.7220632339362539E-3</v>
      </c>
      <c r="AD5">
        <v>3.7220632339362539E-3</v>
      </c>
      <c r="AE5">
        <v>0.12903152544312349</v>
      </c>
      <c r="AF5">
        <v>3.7220632339362539E-3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1.8610316169681269E-3</v>
      </c>
      <c r="AN5">
        <v>9.3051580848406354E-3</v>
      </c>
      <c r="AO5" t="s">
        <v>19</v>
      </c>
      <c r="AT5" t="str">
        <f t="shared" si="0"/>
        <v>2w_</v>
      </c>
      <c r="AU5" t="str">
        <f t="shared" si="1"/>
        <v>eth</v>
      </c>
    </row>
    <row r="6" spans="1:47">
      <c r="A6" t="s">
        <v>17</v>
      </c>
      <c r="B6" t="s">
        <v>176</v>
      </c>
      <c r="C6" t="s">
        <v>635</v>
      </c>
      <c r="D6" t="s">
        <v>19</v>
      </c>
      <c r="E6" t="s">
        <v>19</v>
      </c>
      <c r="F6" t="s">
        <v>19</v>
      </c>
      <c r="G6" t="s">
        <v>599</v>
      </c>
      <c r="H6" t="s">
        <v>19</v>
      </c>
      <c r="I6" t="s">
        <v>19</v>
      </c>
      <c r="J6" t="s">
        <v>19</v>
      </c>
      <c r="K6" t="s">
        <v>19</v>
      </c>
      <c r="L6">
        <v>0</v>
      </c>
      <c r="M6">
        <v>6.2034387232270905E-3</v>
      </c>
      <c r="N6">
        <v>2.4813754892908362E-3</v>
      </c>
      <c r="O6">
        <v>0</v>
      </c>
      <c r="P6">
        <v>1.2406877446454181E-3</v>
      </c>
      <c r="Q6">
        <v>0.16377078229319519</v>
      </c>
      <c r="R6">
        <v>6.2034387232270905E-4</v>
      </c>
      <c r="S6">
        <v>2.7915474254521906E-2</v>
      </c>
      <c r="T6">
        <v>6.2034387232270905E-4</v>
      </c>
      <c r="U6">
        <v>0.20285244624952584</v>
      </c>
      <c r="V6">
        <v>1.2406877446454181E-3</v>
      </c>
      <c r="W6">
        <v>1.2406877446454181E-3</v>
      </c>
      <c r="X6">
        <v>1.8610316169681269E-3</v>
      </c>
      <c r="Y6">
        <v>0</v>
      </c>
      <c r="Z6">
        <v>6.2034387232270905E-4</v>
      </c>
      <c r="AA6">
        <v>6.2034387232270905E-4</v>
      </c>
      <c r="AB6">
        <v>6.2034387232270905E-4</v>
      </c>
      <c r="AC6">
        <v>3.7220632339362539E-3</v>
      </c>
      <c r="AD6">
        <v>3.7220632339362539E-3</v>
      </c>
      <c r="AE6">
        <v>0.12903152544312349</v>
      </c>
      <c r="AF6">
        <v>3.7220632339362539E-3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1.8610316169681269E-3</v>
      </c>
      <c r="AN6">
        <v>9.3051580848406354E-3</v>
      </c>
      <c r="AO6" t="s">
        <v>19</v>
      </c>
      <c r="AT6" t="str">
        <f t="shared" si="0"/>
        <v>2w_</v>
      </c>
      <c r="AU6" t="str">
        <f t="shared" si="1"/>
        <v>eth</v>
      </c>
    </row>
    <row r="7" spans="1:47">
      <c r="A7" t="s">
        <v>17</v>
      </c>
      <c r="B7" t="s">
        <v>176</v>
      </c>
      <c r="C7" t="s">
        <v>635</v>
      </c>
      <c r="D7" t="s">
        <v>19</v>
      </c>
      <c r="E7" t="s">
        <v>19</v>
      </c>
      <c r="F7" t="s">
        <v>19</v>
      </c>
      <c r="G7" t="s">
        <v>598</v>
      </c>
      <c r="H7" t="s">
        <v>19</v>
      </c>
      <c r="I7" t="s">
        <v>19</v>
      </c>
      <c r="J7" t="s">
        <v>19</v>
      </c>
      <c r="K7" t="s">
        <v>19</v>
      </c>
      <c r="L7">
        <v>0</v>
      </c>
      <c r="M7">
        <v>6.2034387232270905E-3</v>
      </c>
      <c r="N7">
        <v>2.4813754892908362E-3</v>
      </c>
      <c r="O7">
        <v>0</v>
      </c>
      <c r="P7">
        <v>1.2406877446454181E-3</v>
      </c>
      <c r="Q7">
        <v>0.16377078229319519</v>
      </c>
      <c r="R7">
        <v>6.2034387232270905E-4</v>
      </c>
      <c r="S7">
        <v>2.7915474254521906E-2</v>
      </c>
      <c r="T7">
        <v>6.2034387232270905E-4</v>
      </c>
      <c r="U7">
        <v>0.20285244624952584</v>
      </c>
      <c r="V7">
        <v>1.2406877446454181E-3</v>
      </c>
      <c r="W7">
        <v>1.2406877446454181E-3</v>
      </c>
      <c r="X7">
        <v>1.8610316169681269E-3</v>
      </c>
      <c r="Y7">
        <v>0</v>
      </c>
      <c r="Z7">
        <v>6.2034387232270905E-4</v>
      </c>
      <c r="AA7">
        <v>6.2034387232270905E-4</v>
      </c>
      <c r="AB7">
        <v>6.2034387232270905E-4</v>
      </c>
      <c r="AC7">
        <v>3.7220632339362539E-3</v>
      </c>
      <c r="AD7">
        <v>3.7220632339362539E-3</v>
      </c>
      <c r="AE7">
        <v>0.12903152544312349</v>
      </c>
      <c r="AF7">
        <v>3.7220632339362539E-3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1.8610316169681269E-3</v>
      </c>
      <c r="AN7">
        <v>9.3051580848406354E-3</v>
      </c>
      <c r="AO7" t="s">
        <v>19</v>
      </c>
      <c r="AT7" t="str">
        <f t="shared" si="0"/>
        <v>2w_</v>
      </c>
      <c r="AU7" t="str">
        <f t="shared" si="1"/>
        <v>eth</v>
      </c>
    </row>
    <row r="8" spans="1:47">
      <c r="A8" t="s">
        <v>17</v>
      </c>
      <c r="B8" t="s">
        <v>176</v>
      </c>
      <c r="C8" t="s">
        <v>635</v>
      </c>
      <c r="D8" t="s">
        <v>19</v>
      </c>
      <c r="E8" t="s">
        <v>19</v>
      </c>
      <c r="F8" t="s">
        <v>19</v>
      </c>
      <c r="G8" t="s">
        <v>597</v>
      </c>
      <c r="H8" t="s">
        <v>19</v>
      </c>
      <c r="I8" t="s">
        <v>19</v>
      </c>
      <c r="J8" t="s">
        <v>19</v>
      </c>
      <c r="K8" t="s">
        <v>19</v>
      </c>
      <c r="L8">
        <v>0</v>
      </c>
      <c r="M8">
        <v>6.2034387232270905E-3</v>
      </c>
      <c r="N8">
        <v>2.4813754892908362E-3</v>
      </c>
      <c r="O8">
        <v>0</v>
      </c>
      <c r="P8">
        <v>1.2406877446454181E-3</v>
      </c>
      <c r="Q8">
        <v>0.16377078229319519</v>
      </c>
      <c r="R8">
        <v>6.2034387232270905E-4</v>
      </c>
      <c r="S8">
        <v>2.7915474254521906E-2</v>
      </c>
      <c r="T8">
        <v>6.2034387232270905E-4</v>
      </c>
      <c r="U8">
        <v>0.20285244624952584</v>
      </c>
      <c r="V8">
        <v>1.2406877446454181E-3</v>
      </c>
      <c r="W8">
        <v>1.2406877446454181E-3</v>
      </c>
      <c r="X8">
        <v>1.8610316169681269E-3</v>
      </c>
      <c r="Y8">
        <v>0</v>
      </c>
      <c r="Z8">
        <v>6.2034387232270905E-4</v>
      </c>
      <c r="AA8">
        <v>6.2034387232270905E-4</v>
      </c>
      <c r="AB8">
        <v>6.2034387232270905E-4</v>
      </c>
      <c r="AC8">
        <v>3.7220632339362539E-3</v>
      </c>
      <c r="AD8">
        <v>3.7220632339362539E-3</v>
      </c>
      <c r="AE8">
        <v>0.12903152544312349</v>
      </c>
      <c r="AF8">
        <v>3.7220632339362539E-3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1.8610316169681269E-3</v>
      </c>
      <c r="AN8">
        <v>9.3051580848406354E-3</v>
      </c>
      <c r="AO8" t="s">
        <v>19</v>
      </c>
      <c r="AT8" t="str">
        <f t="shared" si="0"/>
        <v>2w_</v>
      </c>
      <c r="AU8" t="str">
        <f t="shared" si="1"/>
        <v>eth</v>
      </c>
    </row>
    <row r="9" spans="1:47">
      <c r="A9" t="s">
        <v>17</v>
      </c>
      <c r="B9" t="s">
        <v>176</v>
      </c>
      <c r="C9" t="s">
        <v>635</v>
      </c>
      <c r="D9" t="s">
        <v>19</v>
      </c>
      <c r="E9" t="s">
        <v>19</v>
      </c>
      <c r="F9" t="s">
        <v>19</v>
      </c>
      <c r="G9" t="s">
        <v>596</v>
      </c>
      <c r="H9" t="s">
        <v>19</v>
      </c>
      <c r="I9" t="s">
        <v>19</v>
      </c>
      <c r="J9" t="s">
        <v>19</v>
      </c>
      <c r="K9" t="s">
        <v>19</v>
      </c>
      <c r="L9">
        <v>0</v>
      </c>
      <c r="M9">
        <v>6.2034387232270905E-3</v>
      </c>
      <c r="N9">
        <v>2.4813754892908362E-3</v>
      </c>
      <c r="O9">
        <v>0</v>
      </c>
      <c r="P9">
        <v>1.2406877446454181E-3</v>
      </c>
      <c r="Q9">
        <v>0.16377078229319519</v>
      </c>
      <c r="R9">
        <v>6.2034387232270905E-4</v>
      </c>
      <c r="S9">
        <v>2.7915474254521906E-2</v>
      </c>
      <c r="T9">
        <v>6.2034387232270905E-4</v>
      </c>
      <c r="U9">
        <v>0.20285244624952584</v>
      </c>
      <c r="V9">
        <v>1.2406877446454181E-3</v>
      </c>
      <c r="W9">
        <v>1.2406877446454181E-3</v>
      </c>
      <c r="X9">
        <v>1.8610316169681269E-3</v>
      </c>
      <c r="Y9">
        <v>0</v>
      </c>
      <c r="Z9">
        <v>6.2034387232270905E-4</v>
      </c>
      <c r="AA9">
        <v>6.2034387232270905E-4</v>
      </c>
      <c r="AB9">
        <v>6.2034387232270905E-4</v>
      </c>
      <c r="AC9">
        <v>3.7220632339362539E-3</v>
      </c>
      <c r="AD9">
        <v>3.7220632339362539E-3</v>
      </c>
      <c r="AE9">
        <v>0.12903152544312349</v>
      </c>
      <c r="AF9">
        <v>3.7220632339362539E-3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1.8610316169681269E-3</v>
      </c>
      <c r="AN9">
        <v>9.3051580848406354E-3</v>
      </c>
      <c r="AO9" t="s">
        <v>19</v>
      </c>
      <c r="AT9" t="str">
        <f t="shared" si="0"/>
        <v>2w_</v>
      </c>
      <c r="AU9" t="str">
        <f t="shared" si="1"/>
        <v>eth</v>
      </c>
    </row>
    <row r="10" spans="1:47">
      <c r="A10" t="s">
        <v>17</v>
      </c>
      <c r="B10" t="s">
        <v>176</v>
      </c>
      <c r="C10" t="s">
        <v>635</v>
      </c>
      <c r="D10" t="s">
        <v>19</v>
      </c>
      <c r="E10" t="s">
        <v>19</v>
      </c>
      <c r="F10" t="s">
        <v>19</v>
      </c>
      <c r="G10" t="s">
        <v>178</v>
      </c>
      <c r="H10" t="s">
        <v>19</v>
      </c>
      <c r="I10" t="s">
        <v>19</v>
      </c>
      <c r="J10" t="s">
        <v>19</v>
      </c>
      <c r="K10" t="s">
        <v>19</v>
      </c>
      <c r="L10">
        <v>0</v>
      </c>
      <c r="M10">
        <v>6.2034387232270905E-3</v>
      </c>
      <c r="N10">
        <v>2.4813754892908362E-3</v>
      </c>
      <c r="O10">
        <v>0</v>
      </c>
      <c r="P10">
        <v>1.2406877446454181E-3</v>
      </c>
      <c r="Q10">
        <v>0.16377078229319519</v>
      </c>
      <c r="R10">
        <v>6.2034387232270905E-4</v>
      </c>
      <c r="S10">
        <v>2.7915474254521906E-2</v>
      </c>
      <c r="T10">
        <v>6.2034387232270905E-4</v>
      </c>
      <c r="U10">
        <v>0.20285244624952584</v>
      </c>
      <c r="V10">
        <v>1.2406877446454181E-3</v>
      </c>
      <c r="W10">
        <v>1.2406877446454181E-3</v>
      </c>
      <c r="X10">
        <v>1.8610316169681269E-3</v>
      </c>
      <c r="Y10">
        <v>0</v>
      </c>
      <c r="Z10">
        <v>6.2034387232270905E-4</v>
      </c>
      <c r="AA10">
        <v>6.2034387232270905E-4</v>
      </c>
      <c r="AB10">
        <v>6.2034387232270905E-4</v>
      </c>
      <c r="AC10">
        <v>3.7220632339362539E-3</v>
      </c>
      <c r="AD10">
        <v>3.7220632339362539E-3</v>
      </c>
      <c r="AE10">
        <v>0.12903152544312349</v>
      </c>
      <c r="AF10">
        <v>3.7220632339362539E-3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1.8610316169681269E-3</v>
      </c>
      <c r="AN10">
        <v>9.3051580848406354E-3</v>
      </c>
      <c r="AO10" t="s">
        <v>19</v>
      </c>
      <c r="AT10" t="str">
        <f t="shared" si="0"/>
        <v>2w_</v>
      </c>
      <c r="AU10" t="str">
        <f t="shared" si="1"/>
        <v>eth</v>
      </c>
    </row>
    <row r="11" spans="1:47">
      <c r="A11" t="s">
        <v>17</v>
      </c>
      <c r="B11" t="s">
        <v>176</v>
      </c>
      <c r="C11" t="s">
        <v>635</v>
      </c>
      <c r="D11" t="s">
        <v>19</v>
      </c>
      <c r="E11" t="s">
        <v>19</v>
      </c>
      <c r="F11" t="s">
        <v>19</v>
      </c>
      <c r="G11" t="s">
        <v>179</v>
      </c>
      <c r="H11" t="s">
        <v>19</v>
      </c>
      <c r="I11" t="s">
        <v>19</v>
      </c>
      <c r="J11" t="s">
        <v>19</v>
      </c>
      <c r="K11" t="s">
        <v>19</v>
      </c>
      <c r="L11">
        <v>0</v>
      </c>
      <c r="M11">
        <v>6.2034387232270905E-3</v>
      </c>
      <c r="N11">
        <v>2.4813754892908362E-3</v>
      </c>
      <c r="O11">
        <v>0</v>
      </c>
      <c r="P11">
        <v>1.2406877446454181E-3</v>
      </c>
      <c r="Q11">
        <v>0.16377078229319519</v>
      </c>
      <c r="R11">
        <v>6.2034387232270905E-4</v>
      </c>
      <c r="S11">
        <v>2.7915474254521906E-2</v>
      </c>
      <c r="T11">
        <v>6.2034387232270905E-4</v>
      </c>
      <c r="U11">
        <v>0.20285244624952584</v>
      </c>
      <c r="V11">
        <v>1.2406877446454181E-3</v>
      </c>
      <c r="W11">
        <v>1.2406877446454181E-3</v>
      </c>
      <c r="X11">
        <v>1.8610316169681269E-3</v>
      </c>
      <c r="Y11">
        <v>0</v>
      </c>
      <c r="Z11">
        <v>6.2034387232270905E-4</v>
      </c>
      <c r="AA11">
        <v>6.2034387232270905E-4</v>
      </c>
      <c r="AB11">
        <v>6.2034387232270905E-4</v>
      </c>
      <c r="AC11">
        <v>3.7220632339362539E-3</v>
      </c>
      <c r="AD11">
        <v>3.7220632339362539E-3</v>
      </c>
      <c r="AE11">
        <v>0.12903152544312349</v>
      </c>
      <c r="AF11">
        <v>3.7220632339362539E-3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1.8610316169681269E-3</v>
      </c>
      <c r="AN11">
        <v>9.3051580848406354E-3</v>
      </c>
      <c r="AO11" t="s">
        <v>19</v>
      </c>
      <c r="AT11" t="str">
        <f t="shared" si="0"/>
        <v>2w_</v>
      </c>
      <c r="AU11" t="str">
        <f t="shared" si="1"/>
        <v>eth</v>
      </c>
    </row>
    <row r="12" spans="1:47">
      <c r="A12" t="s">
        <v>17</v>
      </c>
      <c r="B12" t="s">
        <v>176</v>
      </c>
      <c r="C12" t="s">
        <v>635</v>
      </c>
      <c r="D12" t="s">
        <v>19</v>
      </c>
      <c r="E12" t="s">
        <v>19</v>
      </c>
      <c r="F12" t="s">
        <v>19</v>
      </c>
      <c r="G12" t="s">
        <v>180</v>
      </c>
      <c r="H12" t="s">
        <v>19</v>
      </c>
      <c r="I12" t="s">
        <v>19</v>
      </c>
      <c r="J12" t="s">
        <v>19</v>
      </c>
      <c r="K12" t="s">
        <v>19</v>
      </c>
      <c r="L12">
        <v>0</v>
      </c>
      <c r="M12">
        <v>6.2034387232270905E-3</v>
      </c>
      <c r="N12">
        <v>2.4813754892908362E-3</v>
      </c>
      <c r="O12">
        <v>0</v>
      </c>
      <c r="P12">
        <v>1.2406877446454181E-3</v>
      </c>
      <c r="Q12">
        <v>0.16377078229319519</v>
      </c>
      <c r="R12">
        <v>6.2034387232270905E-4</v>
      </c>
      <c r="S12">
        <v>2.7915474254521906E-2</v>
      </c>
      <c r="T12">
        <v>6.2034387232270905E-4</v>
      </c>
      <c r="U12">
        <v>0.20285244624952584</v>
      </c>
      <c r="V12">
        <v>1.2406877446454181E-3</v>
      </c>
      <c r="W12">
        <v>1.2406877446454181E-3</v>
      </c>
      <c r="X12">
        <v>1.8610316169681269E-3</v>
      </c>
      <c r="Y12">
        <v>0</v>
      </c>
      <c r="Z12">
        <v>6.2034387232270905E-4</v>
      </c>
      <c r="AA12">
        <v>6.2034387232270905E-4</v>
      </c>
      <c r="AB12">
        <v>6.2034387232270905E-4</v>
      </c>
      <c r="AC12">
        <v>3.7220632339362539E-3</v>
      </c>
      <c r="AD12">
        <v>3.7220632339362539E-3</v>
      </c>
      <c r="AE12">
        <v>0.12903152544312349</v>
      </c>
      <c r="AF12">
        <v>3.7220632339362539E-3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1.8610316169681269E-3</v>
      </c>
      <c r="AN12">
        <v>9.3051580848406354E-3</v>
      </c>
      <c r="AO12" t="s">
        <v>19</v>
      </c>
      <c r="AT12" t="str">
        <f t="shared" si="0"/>
        <v>2w_</v>
      </c>
      <c r="AU12" t="str">
        <f t="shared" si="1"/>
        <v>eth</v>
      </c>
    </row>
    <row r="13" spans="1:47">
      <c r="A13" t="s">
        <v>17</v>
      </c>
      <c r="B13" t="s">
        <v>176</v>
      </c>
      <c r="C13" t="s">
        <v>635</v>
      </c>
      <c r="D13" t="s">
        <v>19</v>
      </c>
      <c r="E13" t="s">
        <v>19</v>
      </c>
      <c r="F13" t="s">
        <v>19</v>
      </c>
      <c r="G13" t="s">
        <v>181</v>
      </c>
      <c r="H13" t="s">
        <v>19</v>
      </c>
      <c r="I13" t="s">
        <v>19</v>
      </c>
      <c r="J13" t="s">
        <v>19</v>
      </c>
      <c r="K13" t="s">
        <v>19</v>
      </c>
      <c r="L13">
        <v>0</v>
      </c>
      <c r="M13">
        <v>6.2034387232270905E-3</v>
      </c>
      <c r="N13">
        <v>2.4813754892908362E-3</v>
      </c>
      <c r="O13">
        <v>0</v>
      </c>
      <c r="P13">
        <v>1.2406877446454181E-3</v>
      </c>
      <c r="Q13">
        <v>0.16377078229319519</v>
      </c>
      <c r="R13">
        <v>6.2034387232270905E-4</v>
      </c>
      <c r="S13">
        <v>2.7915474254521906E-2</v>
      </c>
      <c r="T13">
        <v>6.2034387232270905E-4</v>
      </c>
      <c r="U13">
        <v>0.20285244624952584</v>
      </c>
      <c r="V13">
        <v>1.2406877446454181E-3</v>
      </c>
      <c r="W13">
        <v>1.2406877446454181E-3</v>
      </c>
      <c r="X13">
        <v>1.8610316169681269E-3</v>
      </c>
      <c r="Y13">
        <v>0</v>
      </c>
      <c r="Z13">
        <v>6.2034387232270905E-4</v>
      </c>
      <c r="AA13">
        <v>6.2034387232270905E-4</v>
      </c>
      <c r="AB13">
        <v>6.2034387232270905E-4</v>
      </c>
      <c r="AC13">
        <v>3.7220632339362539E-3</v>
      </c>
      <c r="AD13">
        <v>3.7220632339362539E-3</v>
      </c>
      <c r="AE13">
        <v>0.12903152544312349</v>
      </c>
      <c r="AF13">
        <v>3.7220632339362539E-3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1.8610316169681269E-3</v>
      </c>
      <c r="AN13">
        <v>9.3051580848406354E-3</v>
      </c>
      <c r="AO13" t="s">
        <v>19</v>
      </c>
      <c r="AT13" t="str">
        <f t="shared" si="0"/>
        <v>2w_</v>
      </c>
      <c r="AU13" t="str">
        <f t="shared" si="1"/>
        <v>eth</v>
      </c>
    </row>
    <row r="14" spans="1:47">
      <c r="A14" t="s">
        <v>17</v>
      </c>
      <c r="B14" t="s">
        <v>176</v>
      </c>
      <c r="C14" t="s">
        <v>635</v>
      </c>
      <c r="D14" t="s">
        <v>19</v>
      </c>
      <c r="E14" t="s">
        <v>19</v>
      </c>
      <c r="F14" t="s">
        <v>19</v>
      </c>
      <c r="G14" t="s">
        <v>182</v>
      </c>
      <c r="H14" t="s">
        <v>19</v>
      </c>
      <c r="I14" t="s">
        <v>19</v>
      </c>
      <c r="J14" t="s">
        <v>19</v>
      </c>
      <c r="K14" t="s">
        <v>19</v>
      </c>
      <c r="L14">
        <v>0</v>
      </c>
      <c r="M14">
        <v>6.2034387232270905E-3</v>
      </c>
      <c r="N14">
        <v>2.4813754892908362E-3</v>
      </c>
      <c r="O14">
        <v>0</v>
      </c>
      <c r="P14">
        <v>1.2406877446454181E-3</v>
      </c>
      <c r="Q14">
        <v>0.16377078229319519</v>
      </c>
      <c r="R14">
        <v>6.2034387232270905E-4</v>
      </c>
      <c r="S14">
        <v>2.7915474254521906E-2</v>
      </c>
      <c r="T14">
        <v>6.2034387232270905E-4</v>
      </c>
      <c r="U14">
        <v>0.20285244624952584</v>
      </c>
      <c r="V14">
        <v>1.2406877446454181E-3</v>
      </c>
      <c r="W14">
        <v>1.2406877446454181E-3</v>
      </c>
      <c r="X14">
        <v>1.8610316169681269E-3</v>
      </c>
      <c r="Y14">
        <v>0</v>
      </c>
      <c r="Z14">
        <v>6.2034387232270905E-4</v>
      </c>
      <c r="AA14">
        <v>6.2034387232270905E-4</v>
      </c>
      <c r="AB14">
        <v>6.2034387232270905E-4</v>
      </c>
      <c r="AC14">
        <v>3.7220632339362539E-3</v>
      </c>
      <c r="AD14">
        <v>3.7220632339362539E-3</v>
      </c>
      <c r="AE14">
        <v>0.12903152544312349</v>
      </c>
      <c r="AF14">
        <v>3.7220632339362539E-3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1.8610316169681269E-3</v>
      </c>
      <c r="AN14">
        <v>9.3051580848406354E-3</v>
      </c>
      <c r="AO14" t="s">
        <v>19</v>
      </c>
      <c r="AT14" t="str">
        <f t="shared" si="0"/>
        <v>2w_</v>
      </c>
      <c r="AU14" t="str">
        <f t="shared" si="1"/>
        <v>eth</v>
      </c>
    </row>
    <row r="15" spans="1:47">
      <c r="A15" t="s">
        <v>17</v>
      </c>
      <c r="B15" t="s">
        <v>176</v>
      </c>
      <c r="C15" t="s">
        <v>635</v>
      </c>
      <c r="D15" t="s">
        <v>19</v>
      </c>
      <c r="E15" t="s">
        <v>19</v>
      </c>
      <c r="F15" t="s">
        <v>19</v>
      </c>
      <c r="G15" t="s">
        <v>183</v>
      </c>
      <c r="H15" t="s">
        <v>19</v>
      </c>
      <c r="I15" t="s">
        <v>19</v>
      </c>
      <c r="J15" t="s">
        <v>19</v>
      </c>
      <c r="K15" t="s">
        <v>19</v>
      </c>
      <c r="L15">
        <v>0</v>
      </c>
      <c r="M15">
        <v>6.2034387232270905E-3</v>
      </c>
      <c r="N15">
        <v>2.4813754892908362E-3</v>
      </c>
      <c r="O15">
        <v>0</v>
      </c>
      <c r="P15">
        <v>1.2406877446454181E-3</v>
      </c>
      <c r="Q15">
        <v>0.16377078229319519</v>
      </c>
      <c r="R15">
        <v>6.2034387232270905E-4</v>
      </c>
      <c r="S15">
        <v>2.7915474254521906E-2</v>
      </c>
      <c r="T15">
        <v>6.2034387232270905E-4</v>
      </c>
      <c r="U15">
        <v>0.20285244624952584</v>
      </c>
      <c r="V15">
        <v>1.2406877446454181E-3</v>
      </c>
      <c r="W15">
        <v>1.2406877446454181E-3</v>
      </c>
      <c r="X15">
        <v>1.8610316169681269E-3</v>
      </c>
      <c r="Y15">
        <v>0</v>
      </c>
      <c r="Z15">
        <v>6.2034387232270905E-4</v>
      </c>
      <c r="AA15">
        <v>6.2034387232270905E-4</v>
      </c>
      <c r="AB15">
        <v>6.2034387232270905E-4</v>
      </c>
      <c r="AC15">
        <v>3.7220632339362539E-3</v>
      </c>
      <c r="AD15">
        <v>3.7220632339362539E-3</v>
      </c>
      <c r="AE15">
        <v>0.12903152544312349</v>
      </c>
      <c r="AF15">
        <v>3.7220632339362539E-3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1.8610316169681269E-3</v>
      </c>
      <c r="AN15">
        <v>9.3051580848406354E-3</v>
      </c>
      <c r="AO15" t="s">
        <v>19</v>
      </c>
      <c r="AT15" t="str">
        <f t="shared" si="0"/>
        <v>2w_</v>
      </c>
      <c r="AU15" t="str">
        <f t="shared" si="1"/>
        <v>eth</v>
      </c>
    </row>
    <row r="16" spans="1:47">
      <c r="A16" t="s">
        <v>17</v>
      </c>
      <c r="B16" t="s">
        <v>176</v>
      </c>
      <c r="C16" t="s">
        <v>635</v>
      </c>
      <c r="D16" t="s">
        <v>19</v>
      </c>
      <c r="E16" t="s">
        <v>19</v>
      </c>
      <c r="F16" t="s">
        <v>19</v>
      </c>
      <c r="G16" t="s">
        <v>184</v>
      </c>
      <c r="H16" t="s">
        <v>19</v>
      </c>
      <c r="I16" t="s">
        <v>19</v>
      </c>
      <c r="J16" t="s">
        <v>19</v>
      </c>
      <c r="K16" t="s">
        <v>19</v>
      </c>
      <c r="L16">
        <v>0</v>
      </c>
      <c r="M16">
        <v>6.2034387232270905E-3</v>
      </c>
      <c r="N16">
        <v>2.4813754892908362E-3</v>
      </c>
      <c r="O16">
        <v>0</v>
      </c>
      <c r="P16">
        <v>1.2406877446454181E-3</v>
      </c>
      <c r="Q16">
        <v>0.16377078229319519</v>
      </c>
      <c r="R16">
        <v>6.2034387232270905E-4</v>
      </c>
      <c r="S16">
        <v>2.7915474254521906E-2</v>
      </c>
      <c r="T16">
        <v>6.2034387232270905E-4</v>
      </c>
      <c r="U16">
        <v>0.20285244624952584</v>
      </c>
      <c r="V16">
        <v>1.2406877446454181E-3</v>
      </c>
      <c r="W16">
        <v>1.2406877446454181E-3</v>
      </c>
      <c r="X16">
        <v>1.8610316169681269E-3</v>
      </c>
      <c r="Y16">
        <v>0</v>
      </c>
      <c r="Z16">
        <v>6.2034387232270905E-4</v>
      </c>
      <c r="AA16">
        <v>6.2034387232270905E-4</v>
      </c>
      <c r="AB16">
        <v>6.2034387232270905E-4</v>
      </c>
      <c r="AC16">
        <v>3.7220632339362539E-3</v>
      </c>
      <c r="AD16">
        <v>3.7220632339362539E-3</v>
      </c>
      <c r="AE16">
        <v>0.12903152544312349</v>
      </c>
      <c r="AF16">
        <v>3.7220632339362539E-3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1.8610316169681269E-3</v>
      </c>
      <c r="AN16">
        <v>9.3051580848406354E-3</v>
      </c>
      <c r="AO16" t="s">
        <v>19</v>
      </c>
      <c r="AT16" t="str">
        <f t="shared" si="0"/>
        <v>2w_</v>
      </c>
      <c r="AU16" t="str">
        <f t="shared" si="1"/>
        <v>eth</v>
      </c>
    </row>
    <row r="17" spans="1:47">
      <c r="A17" t="s">
        <v>17</v>
      </c>
      <c r="B17" t="s">
        <v>176</v>
      </c>
      <c r="C17" t="s">
        <v>635</v>
      </c>
      <c r="D17" t="s">
        <v>19</v>
      </c>
      <c r="E17" t="s">
        <v>19</v>
      </c>
      <c r="F17" t="s">
        <v>19</v>
      </c>
      <c r="G17" t="s">
        <v>185</v>
      </c>
      <c r="H17" t="s">
        <v>19</v>
      </c>
      <c r="I17" t="s">
        <v>19</v>
      </c>
      <c r="J17" t="s">
        <v>19</v>
      </c>
      <c r="K17" t="s">
        <v>19</v>
      </c>
      <c r="L17">
        <v>0</v>
      </c>
      <c r="M17">
        <v>6.2034387232270905E-3</v>
      </c>
      <c r="N17">
        <v>2.4813754892908362E-3</v>
      </c>
      <c r="O17">
        <v>0</v>
      </c>
      <c r="P17">
        <v>1.2406877446454181E-3</v>
      </c>
      <c r="Q17">
        <v>0.16377078229319519</v>
      </c>
      <c r="R17">
        <v>6.2034387232270905E-4</v>
      </c>
      <c r="S17">
        <v>2.7915474254521906E-2</v>
      </c>
      <c r="T17">
        <v>6.2034387232270905E-4</v>
      </c>
      <c r="U17">
        <v>0.20285244624952584</v>
      </c>
      <c r="V17">
        <v>1.2406877446454181E-3</v>
      </c>
      <c r="W17">
        <v>1.2406877446454181E-3</v>
      </c>
      <c r="X17">
        <v>1.8610316169681269E-3</v>
      </c>
      <c r="Y17">
        <v>0</v>
      </c>
      <c r="Z17">
        <v>6.2034387232270905E-4</v>
      </c>
      <c r="AA17">
        <v>6.2034387232270905E-4</v>
      </c>
      <c r="AB17">
        <v>6.2034387232270905E-4</v>
      </c>
      <c r="AC17">
        <v>3.7220632339362539E-3</v>
      </c>
      <c r="AD17">
        <v>3.7220632339362539E-3</v>
      </c>
      <c r="AE17">
        <v>0.12903152544312349</v>
      </c>
      <c r="AF17">
        <v>3.7220632339362539E-3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1.8610316169681269E-3</v>
      </c>
      <c r="AN17">
        <v>9.3051580848406354E-3</v>
      </c>
      <c r="AO17" t="s">
        <v>19</v>
      </c>
      <c r="AT17" t="str">
        <f t="shared" si="0"/>
        <v>2w_</v>
      </c>
      <c r="AU17" t="str">
        <f t="shared" si="1"/>
        <v>eth</v>
      </c>
    </row>
    <row r="18" spans="1:47">
      <c r="A18" t="s">
        <v>17</v>
      </c>
      <c r="B18" t="s">
        <v>176</v>
      </c>
      <c r="C18" t="s">
        <v>635</v>
      </c>
      <c r="D18" t="s">
        <v>19</v>
      </c>
      <c r="E18" t="s">
        <v>19</v>
      </c>
      <c r="F18" t="s">
        <v>19</v>
      </c>
      <c r="G18" t="s">
        <v>186</v>
      </c>
      <c r="H18" t="s">
        <v>19</v>
      </c>
      <c r="I18" t="s">
        <v>19</v>
      </c>
      <c r="J18" t="s">
        <v>19</v>
      </c>
      <c r="K18" t="s">
        <v>19</v>
      </c>
      <c r="L18">
        <v>0</v>
      </c>
      <c r="M18">
        <v>6.2034387232270905E-3</v>
      </c>
      <c r="N18">
        <v>2.4813754892908362E-3</v>
      </c>
      <c r="O18">
        <v>0</v>
      </c>
      <c r="P18">
        <v>1.2406877446454181E-3</v>
      </c>
      <c r="Q18">
        <v>0.16377078229319519</v>
      </c>
      <c r="R18">
        <v>6.2034387232270905E-4</v>
      </c>
      <c r="S18">
        <v>2.7915474254521906E-2</v>
      </c>
      <c r="T18">
        <v>6.2034387232270905E-4</v>
      </c>
      <c r="U18">
        <v>0.20285244624952584</v>
      </c>
      <c r="V18">
        <v>1.2406877446454181E-3</v>
      </c>
      <c r="W18">
        <v>1.2406877446454181E-3</v>
      </c>
      <c r="X18">
        <v>1.8610316169681269E-3</v>
      </c>
      <c r="Y18">
        <v>0</v>
      </c>
      <c r="Z18">
        <v>6.2034387232270905E-4</v>
      </c>
      <c r="AA18">
        <v>6.2034387232270905E-4</v>
      </c>
      <c r="AB18">
        <v>6.2034387232270905E-4</v>
      </c>
      <c r="AC18">
        <v>3.7220632339362539E-3</v>
      </c>
      <c r="AD18">
        <v>3.7220632339362539E-3</v>
      </c>
      <c r="AE18">
        <v>0.12903152544312349</v>
      </c>
      <c r="AF18">
        <v>3.7220632339362539E-3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1.8610316169681269E-3</v>
      </c>
      <c r="AN18">
        <v>9.3051580848406354E-3</v>
      </c>
      <c r="AO18" t="s">
        <v>19</v>
      </c>
      <c r="AT18" t="str">
        <f t="shared" si="0"/>
        <v>2w_</v>
      </c>
      <c r="AU18" t="str">
        <f t="shared" si="1"/>
        <v>eth</v>
      </c>
    </row>
    <row r="19" spans="1:47">
      <c r="A19" t="s">
        <v>17</v>
      </c>
      <c r="B19" t="s">
        <v>176</v>
      </c>
      <c r="C19" t="s">
        <v>635</v>
      </c>
      <c r="D19" t="s">
        <v>19</v>
      </c>
      <c r="E19" t="s">
        <v>19</v>
      </c>
      <c r="F19" t="s">
        <v>19</v>
      </c>
      <c r="G19" t="s">
        <v>187</v>
      </c>
      <c r="H19" t="s">
        <v>19</v>
      </c>
      <c r="I19" t="s">
        <v>19</v>
      </c>
      <c r="J19" t="s">
        <v>19</v>
      </c>
      <c r="K19" t="s">
        <v>19</v>
      </c>
      <c r="L19">
        <v>0</v>
      </c>
      <c r="M19">
        <v>6.2034387232270905E-3</v>
      </c>
      <c r="N19">
        <v>2.4813754892908362E-3</v>
      </c>
      <c r="O19">
        <v>0</v>
      </c>
      <c r="P19">
        <v>1.2406877446454181E-3</v>
      </c>
      <c r="Q19">
        <v>0.16377078229319519</v>
      </c>
      <c r="R19">
        <v>6.2034387232270905E-4</v>
      </c>
      <c r="S19">
        <v>2.7915474254521906E-2</v>
      </c>
      <c r="T19">
        <v>6.2034387232270905E-4</v>
      </c>
      <c r="U19">
        <v>0.20285244624952584</v>
      </c>
      <c r="V19">
        <v>1.2406877446454181E-3</v>
      </c>
      <c r="W19">
        <v>1.2406877446454181E-3</v>
      </c>
      <c r="X19">
        <v>1.8610316169681269E-3</v>
      </c>
      <c r="Y19">
        <v>0</v>
      </c>
      <c r="Z19">
        <v>6.2034387232270905E-4</v>
      </c>
      <c r="AA19">
        <v>6.2034387232270905E-4</v>
      </c>
      <c r="AB19">
        <v>6.2034387232270905E-4</v>
      </c>
      <c r="AC19">
        <v>3.7220632339362539E-3</v>
      </c>
      <c r="AD19">
        <v>3.7220632339362539E-3</v>
      </c>
      <c r="AE19">
        <v>0.12903152544312349</v>
      </c>
      <c r="AF19">
        <v>3.7220632339362539E-3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1.8610316169681269E-3</v>
      </c>
      <c r="AN19">
        <v>9.3051580848406354E-3</v>
      </c>
      <c r="AO19" t="s">
        <v>19</v>
      </c>
      <c r="AT19" t="str">
        <f t="shared" si="0"/>
        <v>2w_</v>
      </c>
      <c r="AU19" t="str">
        <f t="shared" si="1"/>
        <v>eth</v>
      </c>
    </row>
    <row r="20" spans="1:47">
      <c r="A20" t="s">
        <v>17</v>
      </c>
      <c r="B20" t="s">
        <v>176</v>
      </c>
      <c r="C20" t="s">
        <v>635</v>
      </c>
      <c r="D20" t="s">
        <v>19</v>
      </c>
      <c r="E20" t="s">
        <v>19</v>
      </c>
      <c r="F20" t="s">
        <v>19</v>
      </c>
      <c r="G20" t="s">
        <v>188</v>
      </c>
      <c r="H20" t="s">
        <v>19</v>
      </c>
      <c r="I20" t="s">
        <v>19</v>
      </c>
      <c r="J20" t="s">
        <v>19</v>
      </c>
      <c r="K20" t="s">
        <v>19</v>
      </c>
      <c r="L20">
        <v>0</v>
      </c>
      <c r="M20">
        <v>6.2034387232270905E-3</v>
      </c>
      <c r="N20">
        <v>2.4813754892908362E-3</v>
      </c>
      <c r="O20">
        <v>0</v>
      </c>
      <c r="P20">
        <v>1.2406877446454181E-3</v>
      </c>
      <c r="Q20">
        <v>0.16377078229319519</v>
      </c>
      <c r="R20">
        <v>6.2034387232270905E-4</v>
      </c>
      <c r="S20">
        <v>2.7915474254521906E-2</v>
      </c>
      <c r="T20">
        <v>6.2034387232270905E-4</v>
      </c>
      <c r="U20">
        <v>0.20285244624952584</v>
      </c>
      <c r="V20">
        <v>1.2406877446454181E-3</v>
      </c>
      <c r="W20">
        <v>1.2406877446454181E-3</v>
      </c>
      <c r="X20">
        <v>1.8610316169681269E-3</v>
      </c>
      <c r="Y20">
        <v>0</v>
      </c>
      <c r="Z20">
        <v>6.2034387232270905E-4</v>
      </c>
      <c r="AA20">
        <v>6.2034387232270905E-4</v>
      </c>
      <c r="AB20">
        <v>6.2034387232270905E-4</v>
      </c>
      <c r="AC20">
        <v>3.7220632339362539E-3</v>
      </c>
      <c r="AD20">
        <v>3.7220632339362539E-3</v>
      </c>
      <c r="AE20">
        <v>0.12903152544312349</v>
      </c>
      <c r="AF20">
        <v>3.7220632339362539E-3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1.8610316169681269E-3</v>
      </c>
      <c r="AN20">
        <v>9.3051580848406354E-3</v>
      </c>
      <c r="AO20" t="s">
        <v>19</v>
      </c>
      <c r="AT20" t="str">
        <f t="shared" si="0"/>
        <v>2w_</v>
      </c>
      <c r="AU20" t="str">
        <f t="shared" si="1"/>
        <v>eth</v>
      </c>
    </row>
    <row r="21" spans="1:47">
      <c r="A21" t="s">
        <v>17</v>
      </c>
      <c r="B21" t="s">
        <v>176</v>
      </c>
      <c r="C21" t="s">
        <v>635</v>
      </c>
      <c r="D21" t="s">
        <v>19</v>
      </c>
      <c r="E21" t="s">
        <v>19</v>
      </c>
      <c r="F21" t="s">
        <v>19</v>
      </c>
      <c r="G21" t="s">
        <v>100</v>
      </c>
      <c r="H21" t="s">
        <v>19</v>
      </c>
      <c r="I21" t="s">
        <v>19</v>
      </c>
      <c r="J21" t="s">
        <v>19</v>
      </c>
      <c r="K21" t="s">
        <v>19</v>
      </c>
      <c r="L21">
        <v>0</v>
      </c>
      <c r="M21">
        <v>6.2034387232270905E-3</v>
      </c>
      <c r="N21">
        <v>2.4813754892908362E-3</v>
      </c>
      <c r="O21">
        <v>0</v>
      </c>
      <c r="P21">
        <v>1.2406877446454181E-3</v>
      </c>
      <c r="Q21">
        <v>0.16377078229319519</v>
      </c>
      <c r="R21">
        <v>6.2034387232270905E-4</v>
      </c>
      <c r="S21">
        <v>2.7915474254521906E-2</v>
      </c>
      <c r="T21">
        <v>6.2034387232270905E-4</v>
      </c>
      <c r="U21">
        <v>0.20285244624952584</v>
      </c>
      <c r="V21">
        <v>1.2406877446454181E-3</v>
      </c>
      <c r="W21">
        <v>1.2406877446454181E-3</v>
      </c>
      <c r="X21">
        <v>1.8610316169681269E-3</v>
      </c>
      <c r="Y21">
        <v>0</v>
      </c>
      <c r="Z21">
        <v>6.2034387232270905E-4</v>
      </c>
      <c r="AA21">
        <v>6.2034387232270905E-4</v>
      </c>
      <c r="AB21">
        <v>6.2034387232270905E-4</v>
      </c>
      <c r="AC21">
        <v>3.7220632339362539E-3</v>
      </c>
      <c r="AD21">
        <v>3.7220632339362539E-3</v>
      </c>
      <c r="AE21">
        <v>0.12903152544312349</v>
      </c>
      <c r="AF21">
        <v>3.7220632339362539E-3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1.8610316169681269E-3</v>
      </c>
      <c r="AN21">
        <v>9.3051580848406354E-3</v>
      </c>
      <c r="AO21" t="s">
        <v>19</v>
      </c>
      <c r="AT21" t="str">
        <f t="shared" si="0"/>
        <v>2w_</v>
      </c>
      <c r="AU21" t="str">
        <f t="shared" si="1"/>
        <v>eth</v>
      </c>
    </row>
    <row r="22" spans="1:47">
      <c r="A22" t="s">
        <v>17</v>
      </c>
      <c r="B22" t="s">
        <v>176</v>
      </c>
      <c r="C22" t="s">
        <v>634</v>
      </c>
      <c r="D22" t="s">
        <v>19</v>
      </c>
      <c r="E22" t="s">
        <v>19</v>
      </c>
      <c r="F22" t="s">
        <v>19</v>
      </c>
      <c r="G22" t="s">
        <v>603</v>
      </c>
      <c r="H22" t="s">
        <v>19</v>
      </c>
      <c r="I22" t="s">
        <v>19</v>
      </c>
      <c r="J22" t="s">
        <v>19</v>
      </c>
      <c r="K22" t="s">
        <v>19</v>
      </c>
      <c r="L22">
        <v>2.1978783396393582</v>
      </c>
      <c r="M22">
        <v>3.8163555025293059</v>
      </c>
      <c r="N22">
        <v>4.8386822041171305E-2</v>
      </c>
      <c r="O22">
        <v>3.7840976211685251E-2</v>
      </c>
      <c r="P22">
        <v>0.1594283751869362</v>
      </c>
      <c r="Q22">
        <v>10.912469058028774</v>
      </c>
      <c r="R22">
        <v>0.10669914603950595</v>
      </c>
      <c r="S22">
        <v>0.10607880216718324</v>
      </c>
      <c r="T22">
        <v>1.1166189701808762E-2</v>
      </c>
      <c r="U22">
        <v>14.266048031805338</v>
      </c>
      <c r="V22">
        <v>2.4193411020585653E-2</v>
      </c>
      <c r="W22">
        <v>2.4193411020585653E-2</v>
      </c>
      <c r="X22">
        <v>3.8461320084007961E-2</v>
      </c>
      <c r="Y22">
        <v>5.5830948509043812E-2</v>
      </c>
      <c r="Z22">
        <v>1.1166189701808762E-2</v>
      </c>
      <c r="AA22">
        <v>3.4739256850071711E-2</v>
      </c>
      <c r="AB22">
        <v>4.5285102679557758E-2</v>
      </c>
      <c r="AC22">
        <v>4.2183383317944217E-2</v>
      </c>
      <c r="AD22">
        <v>9.2431236976083644E-2</v>
      </c>
      <c r="AE22">
        <v>4.7127523980356205</v>
      </c>
      <c r="AF22">
        <v>0.15384528033603184</v>
      </c>
      <c r="AG22">
        <v>0.81078944112578066</v>
      </c>
      <c r="AH22">
        <v>0.28970058837470508</v>
      </c>
      <c r="AI22">
        <v>4.3424071062589638E-3</v>
      </c>
      <c r="AJ22">
        <v>0.13771633965564142</v>
      </c>
      <c r="AK22">
        <v>0.12530946220918723</v>
      </c>
      <c r="AL22">
        <v>0.97207884792968502</v>
      </c>
      <c r="AM22">
        <v>6.5756450466207164E-2</v>
      </c>
      <c r="AN22">
        <v>0.10856017765647408</v>
      </c>
      <c r="AO22" t="s">
        <v>19</v>
      </c>
      <c r="AT22" t="str">
        <f t="shared" si="0"/>
        <v>2w_</v>
      </c>
      <c r="AU22" t="str">
        <f t="shared" si="1"/>
        <v>gsl</v>
      </c>
    </row>
    <row r="23" spans="1:47">
      <c r="A23" t="s">
        <v>17</v>
      </c>
      <c r="B23" t="s">
        <v>176</v>
      </c>
      <c r="C23" t="s">
        <v>634</v>
      </c>
      <c r="D23" t="s">
        <v>19</v>
      </c>
      <c r="E23" t="s">
        <v>19</v>
      </c>
      <c r="F23" t="s">
        <v>19</v>
      </c>
      <c r="G23" t="s">
        <v>602</v>
      </c>
      <c r="H23" t="s">
        <v>19</v>
      </c>
      <c r="I23" t="s">
        <v>19</v>
      </c>
      <c r="J23" t="s">
        <v>19</v>
      </c>
      <c r="K23" t="s">
        <v>19</v>
      </c>
      <c r="L23">
        <v>2.1978783396393582</v>
      </c>
      <c r="M23">
        <v>3.8163555025293059</v>
      </c>
      <c r="N23">
        <v>4.8386822041171305E-2</v>
      </c>
      <c r="O23">
        <v>3.7840976211685251E-2</v>
      </c>
      <c r="P23">
        <v>0.1594283751869362</v>
      </c>
      <c r="Q23">
        <v>10.912469058028774</v>
      </c>
      <c r="R23">
        <v>0.10669914603950595</v>
      </c>
      <c r="S23">
        <v>0.10607880216718324</v>
      </c>
      <c r="T23">
        <v>1.1166189701808762E-2</v>
      </c>
      <c r="U23">
        <v>14.266048031805338</v>
      </c>
      <c r="V23">
        <v>2.4193411020585653E-2</v>
      </c>
      <c r="W23">
        <v>2.4193411020585653E-2</v>
      </c>
      <c r="X23">
        <v>3.8461320084007961E-2</v>
      </c>
      <c r="Y23">
        <v>5.5830948509043812E-2</v>
      </c>
      <c r="Z23">
        <v>1.1166189701808762E-2</v>
      </c>
      <c r="AA23">
        <v>3.4739256850071711E-2</v>
      </c>
      <c r="AB23">
        <v>4.5285102679557758E-2</v>
      </c>
      <c r="AC23">
        <v>4.2183383317944217E-2</v>
      </c>
      <c r="AD23">
        <v>9.2431236976083644E-2</v>
      </c>
      <c r="AE23">
        <v>4.7127523980356205</v>
      </c>
      <c r="AF23">
        <v>0.15384528033603184</v>
      </c>
      <c r="AG23">
        <v>0.81078944112578066</v>
      </c>
      <c r="AH23">
        <v>0.28970058837470508</v>
      </c>
      <c r="AI23">
        <v>4.3424071062589638E-3</v>
      </c>
      <c r="AJ23">
        <v>0.13771633965564142</v>
      </c>
      <c r="AK23">
        <v>0.12530946220918723</v>
      </c>
      <c r="AL23">
        <v>0.97207884792968502</v>
      </c>
      <c r="AM23">
        <v>6.5756450466207164E-2</v>
      </c>
      <c r="AN23">
        <v>0.10856017765647408</v>
      </c>
      <c r="AO23" t="s">
        <v>19</v>
      </c>
      <c r="AT23" t="str">
        <f t="shared" si="0"/>
        <v>2w_</v>
      </c>
      <c r="AU23" t="str">
        <f t="shared" si="1"/>
        <v>gsl</v>
      </c>
    </row>
    <row r="24" spans="1:47">
      <c r="A24" t="s">
        <v>17</v>
      </c>
      <c r="B24" t="s">
        <v>176</v>
      </c>
      <c r="C24" t="s">
        <v>634</v>
      </c>
      <c r="D24" t="s">
        <v>19</v>
      </c>
      <c r="E24" t="s">
        <v>19</v>
      </c>
      <c r="F24" t="s">
        <v>19</v>
      </c>
      <c r="G24" t="s">
        <v>601</v>
      </c>
      <c r="H24" t="s">
        <v>19</v>
      </c>
      <c r="I24" t="s">
        <v>19</v>
      </c>
      <c r="J24" t="s">
        <v>19</v>
      </c>
      <c r="K24" t="s">
        <v>19</v>
      </c>
      <c r="L24">
        <v>2.1978783396393582</v>
      </c>
      <c r="M24">
        <v>3.8163555025293059</v>
      </c>
      <c r="N24">
        <v>4.8386822041171305E-2</v>
      </c>
      <c r="O24">
        <v>3.7840976211685251E-2</v>
      </c>
      <c r="P24">
        <v>0.1594283751869362</v>
      </c>
      <c r="Q24">
        <v>10.912469058028774</v>
      </c>
      <c r="R24">
        <v>0.10669914603950595</v>
      </c>
      <c r="S24">
        <v>0.10607880216718324</v>
      </c>
      <c r="T24">
        <v>1.1166189701808762E-2</v>
      </c>
      <c r="U24">
        <v>14.266048031805338</v>
      </c>
      <c r="V24">
        <v>2.4193411020585653E-2</v>
      </c>
      <c r="W24">
        <v>2.4193411020585653E-2</v>
      </c>
      <c r="X24">
        <v>3.8461320084007961E-2</v>
      </c>
      <c r="Y24">
        <v>5.5830948509043812E-2</v>
      </c>
      <c r="Z24">
        <v>1.1166189701808762E-2</v>
      </c>
      <c r="AA24">
        <v>3.4739256850071711E-2</v>
      </c>
      <c r="AB24">
        <v>4.5285102679557758E-2</v>
      </c>
      <c r="AC24">
        <v>4.2183383317944217E-2</v>
      </c>
      <c r="AD24">
        <v>9.2431236976083644E-2</v>
      </c>
      <c r="AE24">
        <v>4.7127523980356205</v>
      </c>
      <c r="AF24">
        <v>0.15384528033603184</v>
      </c>
      <c r="AG24">
        <v>0.81078944112578066</v>
      </c>
      <c r="AH24">
        <v>0.28970058837470508</v>
      </c>
      <c r="AI24">
        <v>4.3424071062589638E-3</v>
      </c>
      <c r="AJ24">
        <v>0.13771633965564142</v>
      </c>
      <c r="AK24">
        <v>0.12530946220918723</v>
      </c>
      <c r="AL24">
        <v>0.97207884792968502</v>
      </c>
      <c r="AM24">
        <v>6.5756450466207164E-2</v>
      </c>
      <c r="AN24">
        <v>0.10856017765647408</v>
      </c>
      <c r="AO24" t="s">
        <v>19</v>
      </c>
      <c r="AT24" t="str">
        <f t="shared" si="0"/>
        <v>2w_</v>
      </c>
      <c r="AU24" t="str">
        <f t="shared" si="1"/>
        <v>gsl</v>
      </c>
    </row>
    <row r="25" spans="1:47">
      <c r="A25" t="s">
        <v>17</v>
      </c>
      <c r="B25" t="s">
        <v>176</v>
      </c>
      <c r="C25" t="s">
        <v>634</v>
      </c>
      <c r="D25" t="s">
        <v>19</v>
      </c>
      <c r="E25" t="s">
        <v>19</v>
      </c>
      <c r="F25" t="s">
        <v>19</v>
      </c>
      <c r="G25" t="s">
        <v>600</v>
      </c>
      <c r="H25" t="s">
        <v>19</v>
      </c>
      <c r="I25" t="s">
        <v>19</v>
      </c>
      <c r="J25" t="s">
        <v>19</v>
      </c>
      <c r="K25" t="s">
        <v>19</v>
      </c>
      <c r="L25">
        <v>2.1978783396393582</v>
      </c>
      <c r="M25">
        <v>3.8163555025293059</v>
      </c>
      <c r="N25">
        <v>4.8386822041171305E-2</v>
      </c>
      <c r="O25">
        <v>3.7840976211685251E-2</v>
      </c>
      <c r="P25">
        <v>0.1594283751869362</v>
      </c>
      <c r="Q25">
        <v>10.912469058028774</v>
      </c>
      <c r="R25">
        <v>0.10669914603950595</v>
      </c>
      <c r="S25">
        <v>0.10607880216718324</v>
      </c>
      <c r="T25">
        <v>1.1166189701808762E-2</v>
      </c>
      <c r="U25">
        <v>14.266048031805338</v>
      </c>
      <c r="V25">
        <v>2.4193411020585653E-2</v>
      </c>
      <c r="W25">
        <v>2.4193411020585653E-2</v>
      </c>
      <c r="X25">
        <v>3.8461320084007961E-2</v>
      </c>
      <c r="Y25">
        <v>5.5830948509043812E-2</v>
      </c>
      <c r="Z25">
        <v>1.1166189701808762E-2</v>
      </c>
      <c r="AA25">
        <v>3.4739256850071711E-2</v>
      </c>
      <c r="AB25">
        <v>4.5285102679557758E-2</v>
      </c>
      <c r="AC25">
        <v>4.2183383317944217E-2</v>
      </c>
      <c r="AD25">
        <v>9.2431236976083644E-2</v>
      </c>
      <c r="AE25">
        <v>4.7127523980356205</v>
      </c>
      <c r="AF25">
        <v>0.15384528033603184</v>
      </c>
      <c r="AG25">
        <v>0.81078944112578066</v>
      </c>
      <c r="AH25">
        <v>0.28970058837470508</v>
      </c>
      <c r="AI25">
        <v>4.3424071062589638E-3</v>
      </c>
      <c r="AJ25">
        <v>0.13771633965564142</v>
      </c>
      <c r="AK25">
        <v>0.12530946220918723</v>
      </c>
      <c r="AL25">
        <v>0.97207884792968502</v>
      </c>
      <c r="AM25">
        <v>6.5756450466207164E-2</v>
      </c>
      <c r="AN25">
        <v>0.10856017765647408</v>
      </c>
      <c r="AO25" t="s">
        <v>19</v>
      </c>
      <c r="AT25" t="str">
        <f t="shared" si="0"/>
        <v>2w_</v>
      </c>
      <c r="AU25" t="str">
        <f t="shared" si="1"/>
        <v>gsl</v>
      </c>
    </row>
    <row r="26" spans="1:47">
      <c r="A26" t="s">
        <v>17</v>
      </c>
      <c r="B26" t="s">
        <v>176</v>
      </c>
      <c r="C26" t="s">
        <v>634</v>
      </c>
      <c r="D26" t="s">
        <v>19</v>
      </c>
      <c r="E26" t="s">
        <v>19</v>
      </c>
      <c r="F26" t="s">
        <v>19</v>
      </c>
      <c r="G26" t="s">
        <v>599</v>
      </c>
      <c r="H26" t="s">
        <v>19</v>
      </c>
      <c r="I26" t="s">
        <v>19</v>
      </c>
      <c r="J26" t="s">
        <v>19</v>
      </c>
      <c r="K26" t="s">
        <v>19</v>
      </c>
      <c r="L26">
        <v>2.1978783396393582</v>
      </c>
      <c r="M26">
        <v>3.8163555025293059</v>
      </c>
      <c r="N26">
        <v>4.8386822041171305E-2</v>
      </c>
      <c r="O26">
        <v>3.7840976211685251E-2</v>
      </c>
      <c r="P26">
        <v>0.1594283751869362</v>
      </c>
      <c r="Q26">
        <v>10.912469058028774</v>
      </c>
      <c r="R26">
        <v>0.10669914603950595</v>
      </c>
      <c r="S26">
        <v>0.10607880216718324</v>
      </c>
      <c r="T26">
        <v>1.1166189701808762E-2</v>
      </c>
      <c r="U26">
        <v>14.266048031805338</v>
      </c>
      <c r="V26">
        <v>2.4193411020585653E-2</v>
      </c>
      <c r="W26">
        <v>2.4193411020585653E-2</v>
      </c>
      <c r="X26">
        <v>3.8461320084007961E-2</v>
      </c>
      <c r="Y26">
        <v>5.5830948509043812E-2</v>
      </c>
      <c r="Z26">
        <v>1.1166189701808762E-2</v>
      </c>
      <c r="AA26">
        <v>3.4739256850071711E-2</v>
      </c>
      <c r="AB26">
        <v>4.5285102679557758E-2</v>
      </c>
      <c r="AC26">
        <v>4.2183383317944217E-2</v>
      </c>
      <c r="AD26">
        <v>9.2431236976083644E-2</v>
      </c>
      <c r="AE26">
        <v>4.7127523980356205</v>
      </c>
      <c r="AF26">
        <v>0.15384528033603184</v>
      </c>
      <c r="AG26">
        <v>0.81078944112578066</v>
      </c>
      <c r="AH26">
        <v>0.28970058837470508</v>
      </c>
      <c r="AI26">
        <v>4.3424071062589638E-3</v>
      </c>
      <c r="AJ26">
        <v>0.13771633965564142</v>
      </c>
      <c r="AK26">
        <v>0.12530946220918723</v>
      </c>
      <c r="AL26">
        <v>0.97207884792968502</v>
      </c>
      <c r="AM26">
        <v>6.5756450466207164E-2</v>
      </c>
      <c r="AN26">
        <v>0.10856017765647408</v>
      </c>
      <c r="AO26" t="s">
        <v>19</v>
      </c>
      <c r="AT26" t="str">
        <f t="shared" si="0"/>
        <v>2w_</v>
      </c>
      <c r="AU26" t="str">
        <f t="shared" si="1"/>
        <v>gsl</v>
      </c>
    </row>
    <row r="27" spans="1:47">
      <c r="A27" t="s">
        <v>17</v>
      </c>
      <c r="B27" t="s">
        <v>176</v>
      </c>
      <c r="C27" t="s">
        <v>634</v>
      </c>
      <c r="D27" t="s">
        <v>19</v>
      </c>
      <c r="E27" t="s">
        <v>19</v>
      </c>
      <c r="F27" t="s">
        <v>19</v>
      </c>
      <c r="G27" t="s">
        <v>598</v>
      </c>
      <c r="H27" t="s">
        <v>19</v>
      </c>
      <c r="I27" t="s">
        <v>19</v>
      </c>
      <c r="J27" t="s">
        <v>19</v>
      </c>
      <c r="K27" t="s">
        <v>19</v>
      </c>
      <c r="L27">
        <v>2.1978783396393582</v>
      </c>
      <c r="M27">
        <v>3.8163555025293059</v>
      </c>
      <c r="N27">
        <v>4.8386822041171305E-2</v>
      </c>
      <c r="O27">
        <v>3.7840976211685251E-2</v>
      </c>
      <c r="P27">
        <v>0.1594283751869362</v>
      </c>
      <c r="Q27">
        <v>10.912469058028774</v>
      </c>
      <c r="R27">
        <v>0.10669914603950595</v>
      </c>
      <c r="S27">
        <v>0.10607880216718324</v>
      </c>
      <c r="T27">
        <v>1.1166189701808762E-2</v>
      </c>
      <c r="U27">
        <v>14.266048031805338</v>
      </c>
      <c r="V27">
        <v>2.4193411020585653E-2</v>
      </c>
      <c r="W27">
        <v>2.4193411020585653E-2</v>
      </c>
      <c r="X27">
        <v>3.8461320084007961E-2</v>
      </c>
      <c r="Y27">
        <v>5.5830948509043812E-2</v>
      </c>
      <c r="Z27">
        <v>1.1166189701808762E-2</v>
      </c>
      <c r="AA27">
        <v>3.4739256850071711E-2</v>
      </c>
      <c r="AB27">
        <v>4.5285102679557758E-2</v>
      </c>
      <c r="AC27">
        <v>4.2183383317944217E-2</v>
      </c>
      <c r="AD27">
        <v>9.2431236976083644E-2</v>
      </c>
      <c r="AE27">
        <v>4.7127523980356205</v>
      </c>
      <c r="AF27">
        <v>0.15384528033603184</v>
      </c>
      <c r="AG27">
        <v>0.81078944112578066</v>
      </c>
      <c r="AH27">
        <v>0.28970058837470508</v>
      </c>
      <c r="AI27">
        <v>4.3424071062589638E-3</v>
      </c>
      <c r="AJ27">
        <v>0.13771633965564142</v>
      </c>
      <c r="AK27">
        <v>0.12530946220918723</v>
      </c>
      <c r="AL27">
        <v>0.97207884792968502</v>
      </c>
      <c r="AM27">
        <v>6.5756450466207164E-2</v>
      </c>
      <c r="AN27">
        <v>0.10856017765647408</v>
      </c>
      <c r="AO27" t="s">
        <v>19</v>
      </c>
      <c r="AT27" t="str">
        <f t="shared" si="0"/>
        <v>2w_</v>
      </c>
      <c r="AU27" t="str">
        <f t="shared" si="1"/>
        <v>gsl</v>
      </c>
    </row>
    <row r="28" spans="1:47">
      <c r="A28" t="s">
        <v>17</v>
      </c>
      <c r="B28" t="s">
        <v>176</v>
      </c>
      <c r="C28" t="s">
        <v>634</v>
      </c>
      <c r="D28" t="s">
        <v>19</v>
      </c>
      <c r="E28" t="s">
        <v>19</v>
      </c>
      <c r="F28" t="s">
        <v>19</v>
      </c>
      <c r="G28" t="s">
        <v>597</v>
      </c>
      <c r="H28" t="s">
        <v>19</v>
      </c>
      <c r="I28" t="s">
        <v>19</v>
      </c>
      <c r="J28" t="s">
        <v>19</v>
      </c>
      <c r="K28" t="s">
        <v>19</v>
      </c>
      <c r="L28">
        <v>2.1978783396393582</v>
      </c>
      <c r="M28">
        <v>3.8163555025293059</v>
      </c>
      <c r="N28">
        <v>4.8386822041171305E-2</v>
      </c>
      <c r="O28">
        <v>3.7840976211685251E-2</v>
      </c>
      <c r="P28">
        <v>0.1594283751869362</v>
      </c>
      <c r="Q28">
        <v>10.912469058028774</v>
      </c>
      <c r="R28">
        <v>0.10669914603950595</v>
      </c>
      <c r="S28">
        <v>0.10607880216718324</v>
      </c>
      <c r="T28">
        <v>1.1166189701808762E-2</v>
      </c>
      <c r="U28">
        <v>14.266048031805338</v>
      </c>
      <c r="V28">
        <v>2.4193411020585653E-2</v>
      </c>
      <c r="W28">
        <v>2.4193411020585653E-2</v>
      </c>
      <c r="X28">
        <v>3.8461320084007961E-2</v>
      </c>
      <c r="Y28">
        <v>5.5830948509043812E-2</v>
      </c>
      <c r="Z28">
        <v>1.1166189701808762E-2</v>
      </c>
      <c r="AA28">
        <v>3.4739256850071711E-2</v>
      </c>
      <c r="AB28">
        <v>4.5285102679557758E-2</v>
      </c>
      <c r="AC28">
        <v>4.2183383317944217E-2</v>
      </c>
      <c r="AD28">
        <v>9.2431236976083644E-2</v>
      </c>
      <c r="AE28">
        <v>4.7127523980356205</v>
      </c>
      <c r="AF28">
        <v>0.15384528033603184</v>
      </c>
      <c r="AG28">
        <v>0.81078944112578066</v>
      </c>
      <c r="AH28">
        <v>0.28970058837470508</v>
      </c>
      <c r="AI28">
        <v>4.3424071062589638E-3</v>
      </c>
      <c r="AJ28">
        <v>0.13771633965564142</v>
      </c>
      <c r="AK28">
        <v>0.12530946220918723</v>
      </c>
      <c r="AL28">
        <v>0.97207884792968502</v>
      </c>
      <c r="AM28">
        <v>6.5756450466207164E-2</v>
      </c>
      <c r="AN28">
        <v>0.10856017765647408</v>
      </c>
      <c r="AO28" t="s">
        <v>19</v>
      </c>
      <c r="AT28" t="str">
        <f t="shared" si="0"/>
        <v>2w_</v>
      </c>
      <c r="AU28" t="str">
        <f t="shared" si="1"/>
        <v>gsl</v>
      </c>
    </row>
    <row r="29" spans="1:47">
      <c r="A29" t="s">
        <v>17</v>
      </c>
      <c r="B29" t="s">
        <v>176</v>
      </c>
      <c r="C29" t="s">
        <v>634</v>
      </c>
      <c r="D29" t="s">
        <v>19</v>
      </c>
      <c r="E29" t="s">
        <v>19</v>
      </c>
      <c r="F29" t="s">
        <v>19</v>
      </c>
      <c r="G29" t="s">
        <v>596</v>
      </c>
      <c r="H29" t="s">
        <v>19</v>
      </c>
      <c r="I29" t="s">
        <v>19</v>
      </c>
      <c r="J29" t="s">
        <v>19</v>
      </c>
      <c r="K29" t="s">
        <v>19</v>
      </c>
      <c r="L29">
        <v>2.1978783396393582</v>
      </c>
      <c r="M29">
        <v>3.8163555025293059</v>
      </c>
      <c r="N29">
        <v>4.8386822041171305E-2</v>
      </c>
      <c r="O29">
        <v>3.7840976211685251E-2</v>
      </c>
      <c r="P29">
        <v>0.1594283751869362</v>
      </c>
      <c r="Q29">
        <v>10.912469058028774</v>
      </c>
      <c r="R29">
        <v>0.10669914603950595</v>
      </c>
      <c r="S29">
        <v>0.10607880216718324</v>
      </c>
      <c r="T29">
        <v>1.1166189701808762E-2</v>
      </c>
      <c r="U29">
        <v>14.266048031805338</v>
      </c>
      <c r="V29">
        <v>2.4193411020585653E-2</v>
      </c>
      <c r="W29">
        <v>2.4193411020585653E-2</v>
      </c>
      <c r="X29">
        <v>3.8461320084007961E-2</v>
      </c>
      <c r="Y29">
        <v>5.5830948509043812E-2</v>
      </c>
      <c r="Z29">
        <v>1.1166189701808762E-2</v>
      </c>
      <c r="AA29">
        <v>3.4739256850071711E-2</v>
      </c>
      <c r="AB29">
        <v>4.5285102679557758E-2</v>
      </c>
      <c r="AC29">
        <v>4.2183383317944217E-2</v>
      </c>
      <c r="AD29">
        <v>9.2431236976083644E-2</v>
      </c>
      <c r="AE29">
        <v>4.7127523980356205</v>
      </c>
      <c r="AF29">
        <v>0.15384528033603184</v>
      </c>
      <c r="AG29">
        <v>0.81078944112578066</v>
      </c>
      <c r="AH29">
        <v>0.28970058837470508</v>
      </c>
      <c r="AI29">
        <v>4.3424071062589638E-3</v>
      </c>
      <c r="AJ29">
        <v>0.13771633965564142</v>
      </c>
      <c r="AK29">
        <v>0.12530946220918723</v>
      </c>
      <c r="AL29">
        <v>0.97207884792968502</v>
      </c>
      <c r="AM29">
        <v>6.5756450466207164E-2</v>
      </c>
      <c r="AN29">
        <v>0.10856017765647408</v>
      </c>
      <c r="AO29" t="s">
        <v>19</v>
      </c>
      <c r="AT29" t="str">
        <f t="shared" si="0"/>
        <v>2w_</v>
      </c>
      <c r="AU29" t="str">
        <f t="shared" si="1"/>
        <v>gsl</v>
      </c>
    </row>
    <row r="30" spans="1:47">
      <c r="A30" t="s">
        <v>17</v>
      </c>
      <c r="B30" t="s">
        <v>176</v>
      </c>
      <c r="C30" t="s">
        <v>634</v>
      </c>
      <c r="D30" t="s">
        <v>19</v>
      </c>
      <c r="E30" t="s">
        <v>19</v>
      </c>
      <c r="F30" t="s">
        <v>19</v>
      </c>
      <c r="G30" t="s">
        <v>178</v>
      </c>
      <c r="H30" t="s">
        <v>19</v>
      </c>
      <c r="I30" t="s">
        <v>19</v>
      </c>
      <c r="J30" t="s">
        <v>19</v>
      </c>
      <c r="K30" t="s">
        <v>19</v>
      </c>
      <c r="L30">
        <v>2.1978783396393582</v>
      </c>
      <c r="M30">
        <v>3.8163555025293059</v>
      </c>
      <c r="N30">
        <v>4.8386822041171305E-2</v>
      </c>
      <c r="O30">
        <v>3.7840976211685251E-2</v>
      </c>
      <c r="P30">
        <v>0.1594283751869362</v>
      </c>
      <c r="Q30">
        <v>10.912469058028774</v>
      </c>
      <c r="R30">
        <v>0.10669914603950595</v>
      </c>
      <c r="S30">
        <v>0.10607880216718324</v>
      </c>
      <c r="T30">
        <v>1.1166189701808762E-2</v>
      </c>
      <c r="U30">
        <v>14.266048031805338</v>
      </c>
      <c r="V30">
        <v>2.4193411020585653E-2</v>
      </c>
      <c r="W30">
        <v>2.4193411020585653E-2</v>
      </c>
      <c r="X30">
        <v>3.8461320084007961E-2</v>
      </c>
      <c r="Y30">
        <v>5.5830948509043812E-2</v>
      </c>
      <c r="Z30">
        <v>1.1166189701808762E-2</v>
      </c>
      <c r="AA30">
        <v>3.4739256850071711E-2</v>
      </c>
      <c r="AB30">
        <v>4.5285102679557758E-2</v>
      </c>
      <c r="AC30">
        <v>4.2183383317944217E-2</v>
      </c>
      <c r="AD30">
        <v>9.2431236976083644E-2</v>
      </c>
      <c r="AE30">
        <v>4.7127523980356205</v>
      </c>
      <c r="AF30">
        <v>0.15384528033603184</v>
      </c>
      <c r="AG30">
        <v>0.81078944112578066</v>
      </c>
      <c r="AH30">
        <v>0.28970058837470508</v>
      </c>
      <c r="AI30">
        <v>4.3424071062589638E-3</v>
      </c>
      <c r="AJ30">
        <v>0.13771633965564142</v>
      </c>
      <c r="AK30">
        <v>0.12530946220918723</v>
      </c>
      <c r="AL30">
        <v>0.97207884792968502</v>
      </c>
      <c r="AM30">
        <v>6.5756450466207164E-2</v>
      </c>
      <c r="AN30">
        <v>0.10856017765647408</v>
      </c>
      <c r="AO30" t="s">
        <v>19</v>
      </c>
      <c r="AT30" t="str">
        <f t="shared" si="0"/>
        <v>2w_</v>
      </c>
      <c r="AU30" t="str">
        <f t="shared" si="1"/>
        <v>gsl</v>
      </c>
    </row>
    <row r="31" spans="1:47">
      <c r="A31" t="s">
        <v>17</v>
      </c>
      <c r="B31" t="s">
        <v>176</v>
      </c>
      <c r="C31" t="s">
        <v>634</v>
      </c>
      <c r="D31" t="s">
        <v>19</v>
      </c>
      <c r="E31" t="s">
        <v>19</v>
      </c>
      <c r="F31" t="s">
        <v>19</v>
      </c>
      <c r="G31" t="s">
        <v>179</v>
      </c>
      <c r="H31" t="s">
        <v>19</v>
      </c>
      <c r="I31" t="s">
        <v>19</v>
      </c>
      <c r="J31" t="s">
        <v>19</v>
      </c>
      <c r="K31" t="s">
        <v>19</v>
      </c>
      <c r="L31">
        <v>2.1978783396393582</v>
      </c>
      <c r="M31">
        <v>3.8163555025293059</v>
      </c>
      <c r="N31">
        <v>4.8386822041171305E-2</v>
      </c>
      <c r="O31">
        <v>3.7840976211685251E-2</v>
      </c>
      <c r="P31">
        <v>0.1594283751869362</v>
      </c>
      <c r="Q31">
        <v>10.912469058028774</v>
      </c>
      <c r="R31">
        <v>0.10669914603950595</v>
      </c>
      <c r="S31">
        <v>0.10607880216718324</v>
      </c>
      <c r="T31">
        <v>1.1166189701808762E-2</v>
      </c>
      <c r="U31">
        <v>14.266048031805338</v>
      </c>
      <c r="V31">
        <v>2.4193411020585653E-2</v>
      </c>
      <c r="W31">
        <v>2.4193411020585653E-2</v>
      </c>
      <c r="X31">
        <v>3.8461320084007961E-2</v>
      </c>
      <c r="Y31">
        <v>5.5830948509043812E-2</v>
      </c>
      <c r="Z31">
        <v>1.1166189701808762E-2</v>
      </c>
      <c r="AA31">
        <v>3.4739256850071711E-2</v>
      </c>
      <c r="AB31">
        <v>4.5285102679557758E-2</v>
      </c>
      <c r="AC31">
        <v>4.2183383317944217E-2</v>
      </c>
      <c r="AD31">
        <v>9.2431236976083644E-2</v>
      </c>
      <c r="AE31">
        <v>4.7127523980356205</v>
      </c>
      <c r="AF31">
        <v>0.15384528033603184</v>
      </c>
      <c r="AG31">
        <v>0.81078944112578066</v>
      </c>
      <c r="AH31">
        <v>0.28970058837470508</v>
      </c>
      <c r="AI31">
        <v>4.3424071062589638E-3</v>
      </c>
      <c r="AJ31">
        <v>0.13771633965564142</v>
      </c>
      <c r="AK31">
        <v>0.12530946220918723</v>
      </c>
      <c r="AL31">
        <v>0.97207884792968502</v>
      </c>
      <c r="AM31">
        <v>6.5756450466207164E-2</v>
      </c>
      <c r="AN31">
        <v>0.10856017765647408</v>
      </c>
      <c r="AO31" t="s">
        <v>19</v>
      </c>
      <c r="AT31" t="str">
        <f t="shared" si="0"/>
        <v>2w_</v>
      </c>
      <c r="AU31" t="str">
        <f t="shared" si="1"/>
        <v>gsl</v>
      </c>
    </row>
    <row r="32" spans="1:47">
      <c r="A32" t="s">
        <v>17</v>
      </c>
      <c r="B32" t="s">
        <v>176</v>
      </c>
      <c r="C32" t="s">
        <v>634</v>
      </c>
      <c r="D32" t="s">
        <v>19</v>
      </c>
      <c r="E32" t="s">
        <v>19</v>
      </c>
      <c r="F32" t="s">
        <v>19</v>
      </c>
      <c r="G32" t="s">
        <v>180</v>
      </c>
      <c r="H32" t="s">
        <v>19</v>
      </c>
      <c r="I32" t="s">
        <v>19</v>
      </c>
      <c r="J32" t="s">
        <v>19</v>
      </c>
      <c r="K32" t="s">
        <v>19</v>
      </c>
      <c r="L32">
        <v>2.1978783396393582</v>
      </c>
      <c r="M32">
        <v>3.8163555025293059</v>
      </c>
      <c r="N32">
        <v>4.8386822041171305E-2</v>
      </c>
      <c r="O32">
        <v>3.7840976211685251E-2</v>
      </c>
      <c r="P32">
        <v>0.1594283751869362</v>
      </c>
      <c r="Q32">
        <v>10.912469058028774</v>
      </c>
      <c r="R32">
        <v>0.10669914603950595</v>
      </c>
      <c r="S32">
        <v>0.10607880216718324</v>
      </c>
      <c r="T32">
        <v>1.1166189701808762E-2</v>
      </c>
      <c r="U32">
        <v>14.266048031805338</v>
      </c>
      <c r="V32">
        <v>2.4193411020585653E-2</v>
      </c>
      <c r="W32">
        <v>2.4193411020585653E-2</v>
      </c>
      <c r="X32">
        <v>3.8461320084007961E-2</v>
      </c>
      <c r="Y32">
        <v>5.5830948509043812E-2</v>
      </c>
      <c r="Z32">
        <v>1.1166189701808762E-2</v>
      </c>
      <c r="AA32">
        <v>3.4739256850071711E-2</v>
      </c>
      <c r="AB32">
        <v>4.5285102679557758E-2</v>
      </c>
      <c r="AC32">
        <v>4.2183383317944217E-2</v>
      </c>
      <c r="AD32">
        <v>9.2431236976083644E-2</v>
      </c>
      <c r="AE32">
        <v>4.7127523980356205</v>
      </c>
      <c r="AF32">
        <v>0.15384528033603184</v>
      </c>
      <c r="AG32">
        <v>0.81078944112578066</v>
      </c>
      <c r="AH32">
        <v>0.28970058837470508</v>
      </c>
      <c r="AI32">
        <v>4.3424071062589638E-3</v>
      </c>
      <c r="AJ32">
        <v>0.13771633965564142</v>
      </c>
      <c r="AK32">
        <v>0.12530946220918723</v>
      </c>
      <c r="AL32">
        <v>0.97207884792968502</v>
      </c>
      <c r="AM32">
        <v>6.5756450466207164E-2</v>
      </c>
      <c r="AN32">
        <v>0.10856017765647408</v>
      </c>
      <c r="AO32" t="s">
        <v>19</v>
      </c>
      <c r="AT32" t="str">
        <f t="shared" si="0"/>
        <v>2w_</v>
      </c>
      <c r="AU32" t="str">
        <f t="shared" si="1"/>
        <v>gsl</v>
      </c>
    </row>
    <row r="33" spans="1:47">
      <c r="A33" t="s">
        <v>17</v>
      </c>
      <c r="B33" t="s">
        <v>176</v>
      </c>
      <c r="C33" t="s">
        <v>634</v>
      </c>
      <c r="D33" t="s">
        <v>19</v>
      </c>
      <c r="E33" t="s">
        <v>19</v>
      </c>
      <c r="F33" t="s">
        <v>19</v>
      </c>
      <c r="G33" t="s">
        <v>181</v>
      </c>
      <c r="H33" t="s">
        <v>19</v>
      </c>
      <c r="I33" t="s">
        <v>19</v>
      </c>
      <c r="J33" t="s">
        <v>19</v>
      </c>
      <c r="K33" t="s">
        <v>19</v>
      </c>
      <c r="L33">
        <v>2.1978783396393582</v>
      </c>
      <c r="M33">
        <v>3.8163555025293059</v>
      </c>
      <c r="N33">
        <v>4.8386822041171305E-2</v>
      </c>
      <c r="O33">
        <v>3.7840976211685251E-2</v>
      </c>
      <c r="P33">
        <v>0.1594283751869362</v>
      </c>
      <c r="Q33">
        <v>10.912469058028774</v>
      </c>
      <c r="R33">
        <v>0.10669914603950595</v>
      </c>
      <c r="S33">
        <v>0.10607880216718324</v>
      </c>
      <c r="T33">
        <v>1.1166189701808762E-2</v>
      </c>
      <c r="U33">
        <v>14.266048031805338</v>
      </c>
      <c r="V33">
        <v>2.4193411020585653E-2</v>
      </c>
      <c r="W33">
        <v>2.4193411020585653E-2</v>
      </c>
      <c r="X33">
        <v>3.8461320084007961E-2</v>
      </c>
      <c r="Y33">
        <v>5.5830948509043812E-2</v>
      </c>
      <c r="Z33">
        <v>1.1166189701808762E-2</v>
      </c>
      <c r="AA33">
        <v>3.4739256850071711E-2</v>
      </c>
      <c r="AB33">
        <v>4.5285102679557758E-2</v>
      </c>
      <c r="AC33">
        <v>4.2183383317944217E-2</v>
      </c>
      <c r="AD33">
        <v>9.2431236976083644E-2</v>
      </c>
      <c r="AE33">
        <v>4.7127523980356205</v>
      </c>
      <c r="AF33">
        <v>0.15384528033603184</v>
      </c>
      <c r="AG33">
        <v>0.81078944112578066</v>
      </c>
      <c r="AH33">
        <v>0.28970058837470508</v>
      </c>
      <c r="AI33">
        <v>4.3424071062589638E-3</v>
      </c>
      <c r="AJ33">
        <v>0.13771633965564142</v>
      </c>
      <c r="AK33">
        <v>0.12530946220918723</v>
      </c>
      <c r="AL33">
        <v>0.97207884792968502</v>
      </c>
      <c r="AM33">
        <v>6.5756450466207164E-2</v>
      </c>
      <c r="AN33">
        <v>0.10856017765647408</v>
      </c>
      <c r="AO33" t="s">
        <v>19</v>
      </c>
      <c r="AT33" t="str">
        <f t="shared" si="0"/>
        <v>2w_</v>
      </c>
      <c r="AU33" t="str">
        <f t="shared" si="1"/>
        <v>gsl</v>
      </c>
    </row>
    <row r="34" spans="1:47">
      <c r="A34" t="s">
        <v>17</v>
      </c>
      <c r="B34" t="s">
        <v>176</v>
      </c>
      <c r="C34" t="s">
        <v>634</v>
      </c>
      <c r="D34" t="s">
        <v>19</v>
      </c>
      <c r="E34" t="s">
        <v>19</v>
      </c>
      <c r="F34" t="s">
        <v>19</v>
      </c>
      <c r="G34" t="s">
        <v>182</v>
      </c>
      <c r="H34" t="s">
        <v>19</v>
      </c>
      <c r="I34" t="s">
        <v>19</v>
      </c>
      <c r="J34" t="s">
        <v>19</v>
      </c>
      <c r="K34" t="s">
        <v>19</v>
      </c>
      <c r="L34">
        <v>2.1978783396393582</v>
      </c>
      <c r="M34">
        <v>3.8163555025293059</v>
      </c>
      <c r="N34">
        <v>4.8386822041171305E-2</v>
      </c>
      <c r="O34">
        <v>3.7840976211685251E-2</v>
      </c>
      <c r="P34">
        <v>0.1594283751869362</v>
      </c>
      <c r="Q34">
        <v>10.912469058028774</v>
      </c>
      <c r="R34">
        <v>0.10669914603950595</v>
      </c>
      <c r="S34">
        <v>0.10607880216718324</v>
      </c>
      <c r="T34">
        <v>1.1166189701808762E-2</v>
      </c>
      <c r="U34">
        <v>14.266048031805338</v>
      </c>
      <c r="V34">
        <v>2.4193411020585653E-2</v>
      </c>
      <c r="W34">
        <v>2.4193411020585653E-2</v>
      </c>
      <c r="X34">
        <v>3.8461320084007961E-2</v>
      </c>
      <c r="Y34">
        <v>5.5830948509043812E-2</v>
      </c>
      <c r="Z34">
        <v>1.1166189701808762E-2</v>
      </c>
      <c r="AA34">
        <v>3.4739256850071711E-2</v>
      </c>
      <c r="AB34">
        <v>4.5285102679557758E-2</v>
      </c>
      <c r="AC34">
        <v>4.2183383317944217E-2</v>
      </c>
      <c r="AD34">
        <v>9.2431236976083644E-2</v>
      </c>
      <c r="AE34">
        <v>4.7127523980356205</v>
      </c>
      <c r="AF34">
        <v>0.15384528033603184</v>
      </c>
      <c r="AG34">
        <v>0.81078944112578066</v>
      </c>
      <c r="AH34">
        <v>0.28970058837470508</v>
      </c>
      <c r="AI34">
        <v>4.3424071062589638E-3</v>
      </c>
      <c r="AJ34">
        <v>0.13771633965564142</v>
      </c>
      <c r="AK34">
        <v>0.12530946220918723</v>
      </c>
      <c r="AL34">
        <v>0.97207884792968502</v>
      </c>
      <c r="AM34">
        <v>6.5756450466207164E-2</v>
      </c>
      <c r="AN34">
        <v>0.10856017765647408</v>
      </c>
      <c r="AO34" t="s">
        <v>19</v>
      </c>
      <c r="AT34" t="str">
        <f t="shared" si="0"/>
        <v>2w_</v>
      </c>
      <c r="AU34" t="str">
        <f t="shared" si="1"/>
        <v>gsl</v>
      </c>
    </row>
    <row r="35" spans="1:47">
      <c r="A35" t="s">
        <v>17</v>
      </c>
      <c r="B35" t="s">
        <v>176</v>
      </c>
      <c r="C35" t="s">
        <v>634</v>
      </c>
      <c r="D35" t="s">
        <v>19</v>
      </c>
      <c r="E35" t="s">
        <v>19</v>
      </c>
      <c r="F35" t="s">
        <v>19</v>
      </c>
      <c r="G35" t="s">
        <v>183</v>
      </c>
      <c r="H35" t="s">
        <v>19</v>
      </c>
      <c r="I35" t="s">
        <v>19</v>
      </c>
      <c r="J35" t="s">
        <v>19</v>
      </c>
      <c r="K35" t="s">
        <v>19</v>
      </c>
      <c r="L35">
        <v>2.1978783396393582</v>
      </c>
      <c r="M35">
        <v>3.8163555025293059</v>
      </c>
      <c r="N35">
        <v>4.8386822041171305E-2</v>
      </c>
      <c r="O35">
        <v>3.7840976211685251E-2</v>
      </c>
      <c r="P35">
        <v>0.1594283751869362</v>
      </c>
      <c r="Q35">
        <v>10.912469058028774</v>
      </c>
      <c r="R35">
        <v>0.10669914603950595</v>
      </c>
      <c r="S35">
        <v>0.10607880216718324</v>
      </c>
      <c r="T35">
        <v>1.1166189701808762E-2</v>
      </c>
      <c r="U35">
        <v>14.266048031805338</v>
      </c>
      <c r="V35">
        <v>2.4193411020585653E-2</v>
      </c>
      <c r="W35">
        <v>2.4193411020585653E-2</v>
      </c>
      <c r="X35">
        <v>3.8461320084007961E-2</v>
      </c>
      <c r="Y35">
        <v>5.5830948509043812E-2</v>
      </c>
      <c r="Z35">
        <v>1.1166189701808762E-2</v>
      </c>
      <c r="AA35">
        <v>3.4739256850071711E-2</v>
      </c>
      <c r="AB35">
        <v>4.5285102679557758E-2</v>
      </c>
      <c r="AC35">
        <v>4.2183383317944217E-2</v>
      </c>
      <c r="AD35">
        <v>9.2431236976083644E-2</v>
      </c>
      <c r="AE35">
        <v>4.7127523980356205</v>
      </c>
      <c r="AF35">
        <v>0.15384528033603184</v>
      </c>
      <c r="AG35">
        <v>0.81078944112578066</v>
      </c>
      <c r="AH35">
        <v>0.28970058837470508</v>
      </c>
      <c r="AI35">
        <v>4.3424071062589638E-3</v>
      </c>
      <c r="AJ35">
        <v>0.13771633965564142</v>
      </c>
      <c r="AK35">
        <v>0.12530946220918723</v>
      </c>
      <c r="AL35">
        <v>0.97207884792968502</v>
      </c>
      <c r="AM35">
        <v>6.5756450466207164E-2</v>
      </c>
      <c r="AN35">
        <v>0.10856017765647408</v>
      </c>
      <c r="AO35" t="s">
        <v>19</v>
      </c>
      <c r="AT35" t="str">
        <f t="shared" si="0"/>
        <v>2w_</v>
      </c>
      <c r="AU35" t="str">
        <f t="shared" si="1"/>
        <v>gsl</v>
      </c>
    </row>
    <row r="36" spans="1:47">
      <c r="A36" t="s">
        <v>17</v>
      </c>
      <c r="B36" t="s">
        <v>176</v>
      </c>
      <c r="C36" t="s">
        <v>634</v>
      </c>
      <c r="D36" t="s">
        <v>19</v>
      </c>
      <c r="E36" t="s">
        <v>19</v>
      </c>
      <c r="F36" t="s">
        <v>19</v>
      </c>
      <c r="G36" t="s">
        <v>184</v>
      </c>
      <c r="H36" t="s">
        <v>19</v>
      </c>
      <c r="I36" t="s">
        <v>19</v>
      </c>
      <c r="J36" t="s">
        <v>19</v>
      </c>
      <c r="K36" t="s">
        <v>19</v>
      </c>
      <c r="L36">
        <v>2.1978783396393582</v>
      </c>
      <c r="M36">
        <v>3.8163555025293059</v>
      </c>
      <c r="N36">
        <v>4.8386822041171305E-2</v>
      </c>
      <c r="O36">
        <v>3.7840976211685251E-2</v>
      </c>
      <c r="P36">
        <v>0.1594283751869362</v>
      </c>
      <c r="Q36">
        <v>10.912469058028774</v>
      </c>
      <c r="R36">
        <v>0.10669914603950595</v>
      </c>
      <c r="S36">
        <v>0.10607880216718324</v>
      </c>
      <c r="T36">
        <v>1.1166189701808762E-2</v>
      </c>
      <c r="U36">
        <v>14.266048031805338</v>
      </c>
      <c r="V36">
        <v>2.4193411020585653E-2</v>
      </c>
      <c r="W36">
        <v>2.4193411020585653E-2</v>
      </c>
      <c r="X36">
        <v>3.8461320084007961E-2</v>
      </c>
      <c r="Y36">
        <v>5.5830948509043812E-2</v>
      </c>
      <c r="Z36">
        <v>1.1166189701808762E-2</v>
      </c>
      <c r="AA36">
        <v>3.4739256850071711E-2</v>
      </c>
      <c r="AB36">
        <v>4.5285102679557758E-2</v>
      </c>
      <c r="AC36">
        <v>4.2183383317944217E-2</v>
      </c>
      <c r="AD36">
        <v>9.2431236976083644E-2</v>
      </c>
      <c r="AE36">
        <v>4.7127523980356205</v>
      </c>
      <c r="AF36">
        <v>0.15384528033603184</v>
      </c>
      <c r="AG36">
        <v>0.81078944112578066</v>
      </c>
      <c r="AH36">
        <v>0.28970058837470508</v>
      </c>
      <c r="AI36">
        <v>4.3424071062589638E-3</v>
      </c>
      <c r="AJ36">
        <v>0.13771633965564142</v>
      </c>
      <c r="AK36">
        <v>0.12530946220918723</v>
      </c>
      <c r="AL36">
        <v>0.97207884792968502</v>
      </c>
      <c r="AM36">
        <v>6.5756450466207164E-2</v>
      </c>
      <c r="AN36">
        <v>0.10856017765647408</v>
      </c>
      <c r="AO36" t="s">
        <v>19</v>
      </c>
      <c r="AT36" t="str">
        <f t="shared" si="0"/>
        <v>2w_</v>
      </c>
      <c r="AU36" t="str">
        <f t="shared" si="1"/>
        <v>gsl</v>
      </c>
    </row>
    <row r="37" spans="1:47">
      <c r="A37" t="s">
        <v>17</v>
      </c>
      <c r="B37" t="s">
        <v>176</v>
      </c>
      <c r="C37" t="s">
        <v>634</v>
      </c>
      <c r="D37" t="s">
        <v>19</v>
      </c>
      <c r="E37" t="s">
        <v>19</v>
      </c>
      <c r="F37" t="s">
        <v>19</v>
      </c>
      <c r="G37" t="s">
        <v>185</v>
      </c>
      <c r="H37" t="s">
        <v>19</v>
      </c>
      <c r="I37" t="s">
        <v>19</v>
      </c>
      <c r="J37" t="s">
        <v>19</v>
      </c>
      <c r="K37" t="s">
        <v>19</v>
      </c>
      <c r="L37">
        <v>2.1978783396393582</v>
      </c>
      <c r="M37">
        <v>3.8163555025293059</v>
      </c>
      <c r="N37">
        <v>4.8386822041171305E-2</v>
      </c>
      <c r="O37">
        <v>3.7840976211685251E-2</v>
      </c>
      <c r="P37">
        <v>0.1594283751869362</v>
      </c>
      <c r="Q37">
        <v>10.912469058028774</v>
      </c>
      <c r="R37">
        <v>0.10669914603950595</v>
      </c>
      <c r="S37">
        <v>0.10607880216718324</v>
      </c>
      <c r="T37">
        <v>1.1166189701808762E-2</v>
      </c>
      <c r="U37">
        <v>14.266048031805338</v>
      </c>
      <c r="V37">
        <v>2.4193411020585653E-2</v>
      </c>
      <c r="W37">
        <v>2.4193411020585653E-2</v>
      </c>
      <c r="X37">
        <v>3.8461320084007961E-2</v>
      </c>
      <c r="Y37">
        <v>5.5830948509043812E-2</v>
      </c>
      <c r="Z37">
        <v>1.1166189701808762E-2</v>
      </c>
      <c r="AA37">
        <v>3.4739256850071711E-2</v>
      </c>
      <c r="AB37">
        <v>4.5285102679557758E-2</v>
      </c>
      <c r="AC37">
        <v>4.2183383317944217E-2</v>
      </c>
      <c r="AD37">
        <v>9.2431236976083644E-2</v>
      </c>
      <c r="AE37">
        <v>4.7127523980356205</v>
      </c>
      <c r="AF37">
        <v>0.15384528033603184</v>
      </c>
      <c r="AG37">
        <v>0.81078944112578066</v>
      </c>
      <c r="AH37">
        <v>0.28970058837470508</v>
      </c>
      <c r="AI37">
        <v>4.3424071062589638E-3</v>
      </c>
      <c r="AJ37">
        <v>0.13771633965564142</v>
      </c>
      <c r="AK37">
        <v>0.12530946220918723</v>
      </c>
      <c r="AL37">
        <v>0.97207884792968502</v>
      </c>
      <c r="AM37">
        <v>6.5756450466207164E-2</v>
      </c>
      <c r="AN37">
        <v>0.10856017765647408</v>
      </c>
      <c r="AO37" t="s">
        <v>19</v>
      </c>
      <c r="AT37" t="str">
        <f t="shared" si="0"/>
        <v>2w_</v>
      </c>
      <c r="AU37" t="str">
        <f t="shared" si="1"/>
        <v>gsl</v>
      </c>
    </row>
    <row r="38" spans="1:47">
      <c r="A38" t="s">
        <v>17</v>
      </c>
      <c r="B38" t="s">
        <v>176</v>
      </c>
      <c r="C38" t="s">
        <v>634</v>
      </c>
      <c r="D38" t="s">
        <v>19</v>
      </c>
      <c r="E38" t="s">
        <v>19</v>
      </c>
      <c r="F38" t="s">
        <v>19</v>
      </c>
      <c r="G38" t="s">
        <v>186</v>
      </c>
      <c r="H38" t="s">
        <v>19</v>
      </c>
      <c r="I38" t="s">
        <v>19</v>
      </c>
      <c r="J38" t="s">
        <v>19</v>
      </c>
      <c r="K38" t="s">
        <v>19</v>
      </c>
      <c r="L38">
        <v>2.1978783396393582</v>
      </c>
      <c r="M38">
        <v>3.8163555025293059</v>
      </c>
      <c r="N38">
        <v>4.8386822041171305E-2</v>
      </c>
      <c r="O38">
        <v>3.7840976211685251E-2</v>
      </c>
      <c r="P38">
        <v>0.1594283751869362</v>
      </c>
      <c r="Q38">
        <v>10.912469058028774</v>
      </c>
      <c r="R38">
        <v>0.10669914603950595</v>
      </c>
      <c r="S38">
        <v>0.10607880216718324</v>
      </c>
      <c r="T38">
        <v>1.1166189701808762E-2</v>
      </c>
      <c r="U38">
        <v>14.266048031805338</v>
      </c>
      <c r="V38">
        <v>2.4193411020585653E-2</v>
      </c>
      <c r="W38">
        <v>2.4193411020585653E-2</v>
      </c>
      <c r="X38">
        <v>3.8461320084007961E-2</v>
      </c>
      <c r="Y38">
        <v>5.5830948509043812E-2</v>
      </c>
      <c r="Z38">
        <v>1.1166189701808762E-2</v>
      </c>
      <c r="AA38">
        <v>3.4739256850071711E-2</v>
      </c>
      <c r="AB38">
        <v>4.5285102679557758E-2</v>
      </c>
      <c r="AC38">
        <v>4.2183383317944217E-2</v>
      </c>
      <c r="AD38">
        <v>9.2431236976083644E-2</v>
      </c>
      <c r="AE38">
        <v>4.7127523980356205</v>
      </c>
      <c r="AF38">
        <v>0.15384528033603184</v>
      </c>
      <c r="AG38">
        <v>0.81078944112578066</v>
      </c>
      <c r="AH38">
        <v>0.28970058837470508</v>
      </c>
      <c r="AI38">
        <v>4.3424071062589638E-3</v>
      </c>
      <c r="AJ38">
        <v>0.13771633965564142</v>
      </c>
      <c r="AK38">
        <v>0.12530946220918723</v>
      </c>
      <c r="AL38">
        <v>0.97207884792968502</v>
      </c>
      <c r="AM38">
        <v>6.5756450466207164E-2</v>
      </c>
      <c r="AN38">
        <v>0.10856017765647408</v>
      </c>
      <c r="AO38" t="s">
        <v>19</v>
      </c>
      <c r="AT38" t="str">
        <f t="shared" si="0"/>
        <v>2w_</v>
      </c>
      <c r="AU38" t="str">
        <f t="shared" si="1"/>
        <v>gsl</v>
      </c>
    </row>
    <row r="39" spans="1:47">
      <c r="A39" t="s">
        <v>17</v>
      </c>
      <c r="B39" t="s">
        <v>176</v>
      </c>
      <c r="C39" t="s">
        <v>634</v>
      </c>
      <c r="D39" t="s">
        <v>19</v>
      </c>
      <c r="E39" t="s">
        <v>19</v>
      </c>
      <c r="F39" t="s">
        <v>19</v>
      </c>
      <c r="G39" t="s">
        <v>187</v>
      </c>
      <c r="H39" t="s">
        <v>19</v>
      </c>
      <c r="I39" t="s">
        <v>19</v>
      </c>
      <c r="J39" t="s">
        <v>19</v>
      </c>
      <c r="K39" t="s">
        <v>19</v>
      </c>
      <c r="L39">
        <v>2.1978783396393582</v>
      </c>
      <c r="M39">
        <v>3.8163555025293059</v>
      </c>
      <c r="N39">
        <v>4.8386822041171305E-2</v>
      </c>
      <c r="O39">
        <v>3.7840976211685251E-2</v>
      </c>
      <c r="P39">
        <v>0.1594283751869362</v>
      </c>
      <c r="Q39">
        <v>10.912469058028774</v>
      </c>
      <c r="R39">
        <v>0.10669914603950595</v>
      </c>
      <c r="S39">
        <v>0.10607880216718324</v>
      </c>
      <c r="T39">
        <v>1.1166189701808762E-2</v>
      </c>
      <c r="U39">
        <v>14.266048031805338</v>
      </c>
      <c r="V39">
        <v>2.4193411020585653E-2</v>
      </c>
      <c r="W39">
        <v>2.4193411020585653E-2</v>
      </c>
      <c r="X39">
        <v>3.8461320084007961E-2</v>
      </c>
      <c r="Y39">
        <v>5.5830948509043812E-2</v>
      </c>
      <c r="Z39">
        <v>1.1166189701808762E-2</v>
      </c>
      <c r="AA39">
        <v>3.4739256850071711E-2</v>
      </c>
      <c r="AB39">
        <v>4.5285102679557758E-2</v>
      </c>
      <c r="AC39">
        <v>4.2183383317944217E-2</v>
      </c>
      <c r="AD39">
        <v>9.2431236976083644E-2</v>
      </c>
      <c r="AE39">
        <v>4.7127523980356205</v>
      </c>
      <c r="AF39">
        <v>0.15384528033603184</v>
      </c>
      <c r="AG39">
        <v>0.81078944112578066</v>
      </c>
      <c r="AH39">
        <v>0.28970058837470508</v>
      </c>
      <c r="AI39">
        <v>4.3424071062589638E-3</v>
      </c>
      <c r="AJ39">
        <v>0.13771633965564142</v>
      </c>
      <c r="AK39">
        <v>0.12530946220918723</v>
      </c>
      <c r="AL39">
        <v>0.97207884792968502</v>
      </c>
      <c r="AM39">
        <v>6.5756450466207164E-2</v>
      </c>
      <c r="AN39">
        <v>0.10856017765647408</v>
      </c>
      <c r="AO39" t="s">
        <v>19</v>
      </c>
      <c r="AT39" t="str">
        <f t="shared" si="0"/>
        <v>2w_</v>
      </c>
      <c r="AU39" t="str">
        <f t="shared" si="1"/>
        <v>gsl</v>
      </c>
    </row>
    <row r="40" spans="1:47">
      <c r="A40" t="s">
        <v>17</v>
      </c>
      <c r="B40" t="s">
        <v>176</v>
      </c>
      <c r="C40" t="s">
        <v>634</v>
      </c>
      <c r="D40" t="s">
        <v>19</v>
      </c>
      <c r="E40" t="s">
        <v>19</v>
      </c>
      <c r="F40" t="s">
        <v>19</v>
      </c>
      <c r="G40" t="s">
        <v>188</v>
      </c>
      <c r="H40" t="s">
        <v>19</v>
      </c>
      <c r="I40" t="s">
        <v>19</v>
      </c>
      <c r="J40" t="s">
        <v>19</v>
      </c>
      <c r="K40" t="s">
        <v>19</v>
      </c>
      <c r="L40">
        <v>2.1978783396393582</v>
      </c>
      <c r="M40">
        <v>3.8163555025293059</v>
      </c>
      <c r="N40">
        <v>4.8386822041171305E-2</v>
      </c>
      <c r="O40">
        <v>3.7840976211685251E-2</v>
      </c>
      <c r="P40">
        <v>0.1594283751869362</v>
      </c>
      <c r="Q40">
        <v>10.912469058028774</v>
      </c>
      <c r="R40">
        <v>0.10669914603950595</v>
      </c>
      <c r="S40">
        <v>0.10607880216718324</v>
      </c>
      <c r="T40">
        <v>1.1166189701808762E-2</v>
      </c>
      <c r="U40">
        <v>14.266048031805338</v>
      </c>
      <c r="V40">
        <v>2.4193411020585653E-2</v>
      </c>
      <c r="W40">
        <v>2.4193411020585653E-2</v>
      </c>
      <c r="X40">
        <v>3.8461320084007961E-2</v>
      </c>
      <c r="Y40">
        <v>5.5830948509043812E-2</v>
      </c>
      <c r="Z40">
        <v>1.1166189701808762E-2</v>
      </c>
      <c r="AA40">
        <v>3.4739256850071711E-2</v>
      </c>
      <c r="AB40">
        <v>4.5285102679557758E-2</v>
      </c>
      <c r="AC40">
        <v>4.2183383317944217E-2</v>
      </c>
      <c r="AD40">
        <v>9.2431236976083644E-2</v>
      </c>
      <c r="AE40">
        <v>4.7127523980356205</v>
      </c>
      <c r="AF40">
        <v>0.15384528033603184</v>
      </c>
      <c r="AG40">
        <v>0.81078944112578066</v>
      </c>
      <c r="AH40">
        <v>0.28970058837470508</v>
      </c>
      <c r="AI40">
        <v>4.3424071062589638E-3</v>
      </c>
      <c r="AJ40">
        <v>0.13771633965564142</v>
      </c>
      <c r="AK40">
        <v>0.12530946220918723</v>
      </c>
      <c r="AL40">
        <v>0.97207884792968502</v>
      </c>
      <c r="AM40">
        <v>6.5756450466207164E-2</v>
      </c>
      <c r="AN40">
        <v>0.10856017765647408</v>
      </c>
      <c r="AO40" t="s">
        <v>19</v>
      </c>
      <c r="AT40" t="str">
        <f t="shared" si="0"/>
        <v>2w_</v>
      </c>
      <c r="AU40" t="str">
        <f t="shared" si="1"/>
        <v>gsl</v>
      </c>
    </row>
    <row r="41" spans="1:47">
      <c r="A41" t="s">
        <v>17</v>
      </c>
      <c r="B41" t="s">
        <v>176</v>
      </c>
      <c r="C41" t="s">
        <v>634</v>
      </c>
      <c r="D41" t="s">
        <v>19</v>
      </c>
      <c r="E41" t="s">
        <v>19</v>
      </c>
      <c r="F41" t="s">
        <v>19</v>
      </c>
      <c r="G41" t="s">
        <v>100</v>
      </c>
      <c r="H41" t="s">
        <v>19</v>
      </c>
      <c r="I41" t="s">
        <v>19</v>
      </c>
      <c r="J41" t="s">
        <v>19</v>
      </c>
      <c r="K41" t="s">
        <v>19</v>
      </c>
      <c r="L41">
        <v>2.1978783396393582</v>
      </c>
      <c r="M41">
        <v>3.8163555025293059</v>
      </c>
      <c r="N41">
        <v>4.8386822041171305E-2</v>
      </c>
      <c r="O41">
        <v>3.7840976211685251E-2</v>
      </c>
      <c r="P41">
        <v>0.1594283751869362</v>
      </c>
      <c r="Q41">
        <v>10.912469058028774</v>
      </c>
      <c r="R41">
        <v>0.10669914603950595</v>
      </c>
      <c r="S41">
        <v>0.10607880216718324</v>
      </c>
      <c r="T41">
        <v>1.1166189701808762E-2</v>
      </c>
      <c r="U41">
        <v>14.266048031805338</v>
      </c>
      <c r="V41">
        <v>2.4193411020585653E-2</v>
      </c>
      <c r="W41">
        <v>2.4193411020585653E-2</v>
      </c>
      <c r="X41">
        <v>3.8461320084007961E-2</v>
      </c>
      <c r="Y41">
        <v>5.5830948509043812E-2</v>
      </c>
      <c r="Z41">
        <v>1.1166189701808762E-2</v>
      </c>
      <c r="AA41">
        <v>3.4739256850071711E-2</v>
      </c>
      <c r="AB41">
        <v>4.5285102679557758E-2</v>
      </c>
      <c r="AC41">
        <v>4.2183383317944217E-2</v>
      </c>
      <c r="AD41">
        <v>9.2431236976083644E-2</v>
      </c>
      <c r="AE41">
        <v>4.7127523980356205</v>
      </c>
      <c r="AF41">
        <v>0.15384528033603184</v>
      </c>
      <c r="AG41">
        <v>0.81078944112578066</v>
      </c>
      <c r="AH41">
        <v>0.28970058837470508</v>
      </c>
      <c r="AI41">
        <v>4.3424071062589638E-3</v>
      </c>
      <c r="AJ41">
        <v>0.13771633965564142</v>
      </c>
      <c r="AK41">
        <v>0.12530946220918723</v>
      </c>
      <c r="AL41">
        <v>0.97207884792968502</v>
      </c>
      <c r="AM41">
        <v>6.5756450466207164E-2</v>
      </c>
      <c r="AN41">
        <v>0.10856017765647408</v>
      </c>
      <c r="AO41" t="s">
        <v>19</v>
      </c>
      <c r="AT41" t="str">
        <f t="shared" si="0"/>
        <v>2w_</v>
      </c>
      <c r="AU41" t="str">
        <f t="shared" si="1"/>
        <v>gsl</v>
      </c>
    </row>
    <row r="42" spans="1:47">
      <c r="A42" t="s">
        <v>17</v>
      </c>
      <c r="B42" t="s">
        <v>176</v>
      </c>
      <c r="C42" t="s">
        <v>633</v>
      </c>
      <c r="D42" t="s">
        <v>19</v>
      </c>
      <c r="E42" t="s">
        <v>19</v>
      </c>
      <c r="F42" t="s">
        <v>19</v>
      </c>
      <c r="G42" t="s">
        <v>603</v>
      </c>
      <c r="H42" t="s">
        <v>19</v>
      </c>
      <c r="I42" t="s">
        <v>19</v>
      </c>
      <c r="J42" t="s">
        <v>19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1.2406877446454181E-3</v>
      </c>
      <c r="T42">
        <v>0</v>
      </c>
      <c r="U42">
        <v>5.5830948509043811E-3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19</v>
      </c>
      <c r="AT42" t="str">
        <f t="shared" si="0"/>
        <v>3w_</v>
      </c>
      <c r="AU42" t="str">
        <f t="shared" si="1"/>
        <v>bdl</v>
      </c>
    </row>
    <row r="43" spans="1:47">
      <c r="A43" t="s">
        <v>17</v>
      </c>
      <c r="B43" t="s">
        <v>176</v>
      </c>
      <c r="C43" t="s">
        <v>633</v>
      </c>
      <c r="D43" t="s">
        <v>19</v>
      </c>
      <c r="E43" t="s">
        <v>19</v>
      </c>
      <c r="F43" t="s">
        <v>19</v>
      </c>
      <c r="G43" t="s">
        <v>602</v>
      </c>
      <c r="H43" t="s">
        <v>19</v>
      </c>
      <c r="I43" t="s">
        <v>19</v>
      </c>
      <c r="J43" t="s">
        <v>19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1.2406877446454181E-3</v>
      </c>
      <c r="T43">
        <v>0</v>
      </c>
      <c r="U43">
        <v>5.5830948509043811E-3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19</v>
      </c>
      <c r="AT43" t="str">
        <f t="shared" si="0"/>
        <v>3w_</v>
      </c>
      <c r="AU43" t="str">
        <f t="shared" si="1"/>
        <v>bdl</v>
      </c>
    </row>
    <row r="44" spans="1:47">
      <c r="A44" t="s">
        <v>17</v>
      </c>
      <c r="B44" t="s">
        <v>176</v>
      </c>
      <c r="C44" t="s">
        <v>633</v>
      </c>
      <c r="D44" t="s">
        <v>19</v>
      </c>
      <c r="E44" t="s">
        <v>19</v>
      </c>
      <c r="F44" t="s">
        <v>19</v>
      </c>
      <c r="G44" t="s">
        <v>601</v>
      </c>
      <c r="H44" t="s">
        <v>19</v>
      </c>
      <c r="I44" t="s">
        <v>19</v>
      </c>
      <c r="J44" t="s">
        <v>19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1.2406877446454181E-3</v>
      </c>
      <c r="T44">
        <v>0</v>
      </c>
      <c r="U44">
        <v>5.5830948509043811E-3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19</v>
      </c>
      <c r="AT44" t="str">
        <f t="shared" si="0"/>
        <v>3w_</v>
      </c>
      <c r="AU44" t="str">
        <f t="shared" si="1"/>
        <v>bdl</v>
      </c>
    </row>
    <row r="45" spans="1:47">
      <c r="A45" t="s">
        <v>17</v>
      </c>
      <c r="B45" t="s">
        <v>176</v>
      </c>
      <c r="C45" t="s">
        <v>633</v>
      </c>
      <c r="D45" t="s">
        <v>19</v>
      </c>
      <c r="E45" t="s">
        <v>19</v>
      </c>
      <c r="F45" t="s">
        <v>19</v>
      </c>
      <c r="G45" t="s">
        <v>600</v>
      </c>
      <c r="H45" t="s">
        <v>19</v>
      </c>
      <c r="I45" t="s">
        <v>19</v>
      </c>
      <c r="J45" t="s">
        <v>19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1.2406877446454181E-3</v>
      </c>
      <c r="T45">
        <v>0</v>
      </c>
      <c r="U45">
        <v>5.5830948509043811E-3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19</v>
      </c>
      <c r="AT45" t="str">
        <f t="shared" si="0"/>
        <v>3w_</v>
      </c>
      <c r="AU45" t="str">
        <f t="shared" si="1"/>
        <v>bdl</v>
      </c>
    </row>
    <row r="46" spans="1:47">
      <c r="A46" t="s">
        <v>17</v>
      </c>
      <c r="B46" t="s">
        <v>176</v>
      </c>
      <c r="C46" t="s">
        <v>633</v>
      </c>
      <c r="D46" t="s">
        <v>19</v>
      </c>
      <c r="E46" t="s">
        <v>19</v>
      </c>
      <c r="F46" t="s">
        <v>19</v>
      </c>
      <c r="G46" t="s">
        <v>599</v>
      </c>
      <c r="H46" t="s">
        <v>19</v>
      </c>
      <c r="I46" t="s">
        <v>19</v>
      </c>
      <c r="J46" t="s">
        <v>19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1.2406877446454181E-3</v>
      </c>
      <c r="T46">
        <v>0</v>
      </c>
      <c r="U46">
        <v>5.5830948509043811E-3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19</v>
      </c>
      <c r="AT46" t="str">
        <f t="shared" si="0"/>
        <v>3w_</v>
      </c>
      <c r="AU46" t="str">
        <f t="shared" si="1"/>
        <v>bdl</v>
      </c>
    </row>
    <row r="47" spans="1:47">
      <c r="A47" t="s">
        <v>17</v>
      </c>
      <c r="B47" t="s">
        <v>176</v>
      </c>
      <c r="C47" t="s">
        <v>633</v>
      </c>
      <c r="D47" t="s">
        <v>19</v>
      </c>
      <c r="E47" t="s">
        <v>19</v>
      </c>
      <c r="F47" t="s">
        <v>19</v>
      </c>
      <c r="G47" t="s">
        <v>598</v>
      </c>
      <c r="H47" t="s">
        <v>19</v>
      </c>
      <c r="I47" t="s">
        <v>19</v>
      </c>
      <c r="J47" t="s">
        <v>19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1.2406877446454181E-3</v>
      </c>
      <c r="T47">
        <v>0</v>
      </c>
      <c r="U47">
        <v>5.5830948509043811E-3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19</v>
      </c>
      <c r="AT47" t="str">
        <f t="shared" si="0"/>
        <v>3w_</v>
      </c>
      <c r="AU47" t="str">
        <f t="shared" si="1"/>
        <v>bdl</v>
      </c>
    </row>
    <row r="48" spans="1:47">
      <c r="A48" t="s">
        <v>17</v>
      </c>
      <c r="B48" t="s">
        <v>176</v>
      </c>
      <c r="C48" t="s">
        <v>633</v>
      </c>
      <c r="D48" t="s">
        <v>19</v>
      </c>
      <c r="E48" t="s">
        <v>19</v>
      </c>
      <c r="F48" t="s">
        <v>19</v>
      </c>
      <c r="G48" t="s">
        <v>597</v>
      </c>
      <c r="H48" t="s">
        <v>19</v>
      </c>
      <c r="I48" t="s">
        <v>19</v>
      </c>
      <c r="J48" t="s">
        <v>19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1.2406877446454181E-3</v>
      </c>
      <c r="T48">
        <v>0</v>
      </c>
      <c r="U48">
        <v>5.5830948509043811E-3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19</v>
      </c>
      <c r="AT48" t="str">
        <f t="shared" si="0"/>
        <v>3w_</v>
      </c>
      <c r="AU48" t="str">
        <f t="shared" si="1"/>
        <v>bdl</v>
      </c>
    </row>
    <row r="49" spans="1:47">
      <c r="A49" t="s">
        <v>17</v>
      </c>
      <c r="B49" t="s">
        <v>176</v>
      </c>
      <c r="C49" t="s">
        <v>633</v>
      </c>
      <c r="D49" t="s">
        <v>19</v>
      </c>
      <c r="E49" t="s">
        <v>19</v>
      </c>
      <c r="F49" t="s">
        <v>19</v>
      </c>
      <c r="G49" t="s">
        <v>596</v>
      </c>
      <c r="H49" t="s">
        <v>19</v>
      </c>
      <c r="I49" t="s">
        <v>19</v>
      </c>
      <c r="J49" t="s">
        <v>19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1.2406877446454181E-3</v>
      </c>
      <c r="T49">
        <v>0</v>
      </c>
      <c r="U49">
        <v>5.5830948509043811E-3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19</v>
      </c>
      <c r="AT49" t="str">
        <f t="shared" si="0"/>
        <v>3w_</v>
      </c>
      <c r="AU49" t="str">
        <f t="shared" si="1"/>
        <v>bdl</v>
      </c>
    </row>
    <row r="50" spans="1:47">
      <c r="A50" t="s">
        <v>17</v>
      </c>
      <c r="B50" t="s">
        <v>176</v>
      </c>
      <c r="C50" t="s">
        <v>633</v>
      </c>
      <c r="D50" t="s">
        <v>19</v>
      </c>
      <c r="E50" t="s">
        <v>19</v>
      </c>
      <c r="F50" t="s">
        <v>19</v>
      </c>
      <c r="G50" t="s">
        <v>178</v>
      </c>
      <c r="H50" t="s">
        <v>19</v>
      </c>
      <c r="I50" t="s">
        <v>19</v>
      </c>
      <c r="J50" t="s">
        <v>19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1.2406877446454181E-3</v>
      </c>
      <c r="T50">
        <v>0</v>
      </c>
      <c r="U50">
        <v>5.5830948509043811E-3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19</v>
      </c>
      <c r="AT50" t="str">
        <f t="shared" si="0"/>
        <v>3w_</v>
      </c>
      <c r="AU50" t="str">
        <f t="shared" si="1"/>
        <v>bdl</v>
      </c>
    </row>
    <row r="51" spans="1:47">
      <c r="A51" t="s">
        <v>17</v>
      </c>
      <c r="B51" t="s">
        <v>176</v>
      </c>
      <c r="C51" t="s">
        <v>633</v>
      </c>
      <c r="D51" t="s">
        <v>19</v>
      </c>
      <c r="E51" t="s">
        <v>19</v>
      </c>
      <c r="F51" t="s">
        <v>19</v>
      </c>
      <c r="G51" t="s">
        <v>179</v>
      </c>
      <c r="H51" t="s">
        <v>19</v>
      </c>
      <c r="I51" t="s">
        <v>19</v>
      </c>
      <c r="J51" t="s">
        <v>19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1.2406877446454181E-3</v>
      </c>
      <c r="T51">
        <v>0</v>
      </c>
      <c r="U51">
        <v>5.5830948509043811E-3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19</v>
      </c>
      <c r="AT51" t="str">
        <f t="shared" si="0"/>
        <v>3w_</v>
      </c>
      <c r="AU51" t="str">
        <f t="shared" si="1"/>
        <v>bdl</v>
      </c>
    </row>
    <row r="52" spans="1:47">
      <c r="A52" t="s">
        <v>17</v>
      </c>
      <c r="B52" t="s">
        <v>176</v>
      </c>
      <c r="C52" t="s">
        <v>633</v>
      </c>
      <c r="D52" t="s">
        <v>19</v>
      </c>
      <c r="E52" t="s">
        <v>19</v>
      </c>
      <c r="F52" t="s">
        <v>19</v>
      </c>
      <c r="G52" t="s">
        <v>180</v>
      </c>
      <c r="H52" t="s">
        <v>19</v>
      </c>
      <c r="I52" t="s">
        <v>19</v>
      </c>
      <c r="J52" t="s">
        <v>19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1.2406877446454181E-3</v>
      </c>
      <c r="T52">
        <v>0</v>
      </c>
      <c r="U52">
        <v>5.5830948509043811E-3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19</v>
      </c>
      <c r="AT52" t="str">
        <f t="shared" si="0"/>
        <v>3w_</v>
      </c>
      <c r="AU52" t="str">
        <f t="shared" si="1"/>
        <v>bdl</v>
      </c>
    </row>
    <row r="53" spans="1:47">
      <c r="A53" t="s">
        <v>17</v>
      </c>
      <c r="B53" t="s">
        <v>176</v>
      </c>
      <c r="C53" t="s">
        <v>633</v>
      </c>
      <c r="D53" t="s">
        <v>19</v>
      </c>
      <c r="E53" t="s">
        <v>19</v>
      </c>
      <c r="F53" t="s">
        <v>19</v>
      </c>
      <c r="G53" t="s">
        <v>181</v>
      </c>
      <c r="H53" t="s">
        <v>19</v>
      </c>
      <c r="I53" t="s">
        <v>19</v>
      </c>
      <c r="J53" t="s">
        <v>19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1.2406877446454181E-3</v>
      </c>
      <c r="T53">
        <v>0</v>
      </c>
      <c r="U53">
        <v>5.5830948509043811E-3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19</v>
      </c>
      <c r="AT53" t="str">
        <f t="shared" si="0"/>
        <v>3w_</v>
      </c>
      <c r="AU53" t="str">
        <f t="shared" si="1"/>
        <v>bdl</v>
      </c>
    </row>
    <row r="54" spans="1:47">
      <c r="A54" t="s">
        <v>17</v>
      </c>
      <c r="B54" t="s">
        <v>176</v>
      </c>
      <c r="C54" t="s">
        <v>633</v>
      </c>
      <c r="D54" t="s">
        <v>19</v>
      </c>
      <c r="E54" t="s">
        <v>19</v>
      </c>
      <c r="F54" t="s">
        <v>19</v>
      </c>
      <c r="G54" t="s">
        <v>182</v>
      </c>
      <c r="H54" t="s">
        <v>19</v>
      </c>
      <c r="I54" t="s">
        <v>19</v>
      </c>
      <c r="J54" t="s">
        <v>19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1.2406877446454181E-3</v>
      </c>
      <c r="T54">
        <v>0</v>
      </c>
      <c r="U54">
        <v>5.5830948509043811E-3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19</v>
      </c>
      <c r="AT54" t="str">
        <f t="shared" si="0"/>
        <v>3w_</v>
      </c>
      <c r="AU54" t="str">
        <f t="shared" si="1"/>
        <v>bdl</v>
      </c>
    </row>
    <row r="55" spans="1:47">
      <c r="A55" t="s">
        <v>17</v>
      </c>
      <c r="B55" t="s">
        <v>176</v>
      </c>
      <c r="C55" t="s">
        <v>633</v>
      </c>
      <c r="D55" t="s">
        <v>19</v>
      </c>
      <c r="E55" t="s">
        <v>19</v>
      </c>
      <c r="F55" t="s">
        <v>19</v>
      </c>
      <c r="G55" t="s">
        <v>183</v>
      </c>
      <c r="H55" t="s">
        <v>19</v>
      </c>
      <c r="I55" t="s">
        <v>19</v>
      </c>
      <c r="J55" t="s">
        <v>19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1.2406877446454181E-3</v>
      </c>
      <c r="T55">
        <v>0</v>
      </c>
      <c r="U55">
        <v>5.5830948509043811E-3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19</v>
      </c>
      <c r="AT55" t="str">
        <f t="shared" si="0"/>
        <v>3w_</v>
      </c>
      <c r="AU55" t="str">
        <f t="shared" si="1"/>
        <v>bdl</v>
      </c>
    </row>
    <row r="56" spans="1:47">
      <c r="A56" t="s">
        <v>17</v>
      </c>
      <c r="B56" t="s">
        <v>176</v>
      </c>
      <c r="C56" t="s">
        <v>633</v>
      </c>
      <c r="D56" t="s">
        <v>19</v>
      </c>
      <c r="E56" t="s">
        <v>19</v>
      </c>
      <c r="F56" t="s">
        <v>19</v>
      </c>
      <c r="G56" t="s">
        <v>184</v>
      </c>
      <c r="H56" t="s">
        <v>19</v>
      </c>
      <c r="I56" t="s">
        <v>19</v>
      </c>
      <c r="J56" t="s">
        <v>19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1.2406877446454181E-3</v>
      </c>
      <c r="T56">
        <v>0</v>
      </c>
      <c r="U56">
        <v>5.5830948509043811E-3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19</v>
      </c>
      <c r="AT56" t="str">
        <f t="shared" si="0"/>
        <v>3w_</v>
      </c>
      <c r="AU56" t="str">
        <f t="shared" si="1"/>
        <v>bdl</v>
      </c>
    </row>
    <row r="57" spans="1:47">
      <c r="A57" t="s">
        <v>17</v>
      </c>
      <c r="B57" t="s">
        <v>176</v>
      </c>
      <c r="C57" t="s">
        <v>633</v>
      </c>
      <c r="D57" t="s">
        <v>19</v>
      </c>
      <c r="E57" t="s">
        <v>19</v>
      </c>
      <c r="F57" t="s">
        <v>19</v>
      </c>
      <c r="G57" t="s">
        <v>185</v>
      </c>
      <c r="H57" t="s">
        <v>19</v>
      </c>
      <c r="I57" t="s">
        <v>19</v>
      </c>
      <c r="J57" t="s">
        <v>19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1.2406877446454181E-3</v>
      </c>
      <c r="T57">
        <v>0</v>
      </c>
      <c r="U57">
        <v>5.5830948509043811E-3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19</v>
      </c>
      <c r="AT57" t="str">
        <f t="shared" si="0"/>
        <v>3w_</v>
      </c>
      <c r="AU57" t="str">
        <f t="shared" si="1"/>
        <v>bdl</v>
      </c>
    </row>
    <row r="58" spans="1:47">
      <c r="A58" t="s">
        <v>17</v>
      </c>
      <c r="B58" t="s">
        <v>176</v>
      </c>
      <c r="C58" t="s">
        <v>633</v>
      </c>
      <c r="D58" t="s">
        <v>19</v>
      </c>
      <c r="E58" t="s">
        <v>19</v>
      </c>
      <c r="F58" t="s">
        <v>19</v>
      </c>
      <c r="G58" t="s">
        <v>186</v>
      </c>
      <c r="H58" t="s">
        <v>19</v>
      </c>
      <c r="I58" t="s">
        <v>19</v>
      </c>
      <c r="J58" t="s">
        <v>19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1.2406877446454181E-3</v>
      </c>
      <c r="T58">
        <v>0</v>
      </c>
      <c r="U58">
        <v>5.5830948509043811E-3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19</v>
      </c>
      <c r="AT58" t="str">
        <f t="shared" si="0"/>
        <v>3w_</v>
      </c>
      <c r="AU58" t="str">
        <f t="shared" si="1"/>
        <v>bdl</v>
      </c>
    </row>
    <row r="59" spans="1:47">
      <c r="A59" t="s">
        <v>17</v>
      </c>
      <c r="B59" t="s">
        <v>176</v>
      </c>
      <c r="C59" t="s">
        <v>633</v>
      </c>
      <c r="D59" t="s">
        <v>19</v>
      </c>
      <c r="E59" t="s">
        <v>19</v>
      </c>
      <c r="F59" t="s">
        <v>19</v>
      </c>
      <c r="G59" t="s">
        <v>187</v>
      </c>
      <c r="H59" t="s">
        <v>19</v>
      </c>
      <c r="I59" t="s">
        <v>19</v>
      </c>
      <c r="J59" t="s">
        <v>19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1.2406877446454181E-3</v>
      </c>
      <c r="T59">
        <v>0</v>
      </c>
      <c r="U59">
        <v>5.5830948509043811E-3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19</v>
      </c>
      <c r="AT59" t="str">
        <f t="shared" si="0"/>
        <v>3w_</v>
      </c>
      <c r="AU59" t="str">
        <f t="shared" si="1"/>
        <v>bdl</v>
      </c>
    </row>
    <row r="60" spans="1:47">
      <c r="A60" t="s">
        <v>17</v>
      </c>
      <c r="B60" t="s">
        <v>176</v>
      </c>
      <c r="C60" t="s">
        <v>633</v>
      </c>
      <c r="D60" t="s">
        <v>19</v>
      </c>
      <c r="E60" t="s">
        <v>19</v>
      </c>
      <c r="F60" t="s">
        <v>19</v>
      </c>
      <c r="G60" t="s">
        <v>188</v>
      </c>
      <c r="H60" t="s">
        <v>19</v>
      </c>
      <c r="I60" t="s">
        <v>19</v>
      </c>
      <c r="J60" t="s">
        <v>19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1.2406877446454181E-3</v>
      </c>
      <c r="T60">
        <v>0</v>
      </c>
      <c r="U60">
        <v>5.5830948509043811E-3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19</v>
      </c>
      <c r="AT60" t="str">
        <f t="shared" si="0"/>
        <v>3w_</v>
      </c>
      <c r="AU60" t="str">
        <f t="shared" si="1"/>
        <v>bdl</v>
      </c>
    </row>
    <row r="61" spans="1:47">
      <c r="A61" t="s">
        <v>17</v>
      </c>
      <c r="B61" t="s">
        <v>176</v>
      </c>
      <c r="C61" t="s">
        <v>633</v>
      </c>
      <c r="D61" t="s">
        <v>19</v>
      </c>
      <c r="E61" t="s">
        <v>19</v>
      </c>
      <c r="F61" t="s">
        <v>19</v>
      </c>
      <c r="G61" t="s">
        <v>100</v>
      </c>
      <c r="H61" t="s">
        <v>19</v>
      </c>
      <c r="I61" t="s">
        <v>19</v>
      </c>
      <c r="J61" t="s">
        <v>19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1.2406877446454181E-3</v>
      </c>
      <c r="T61">
        <v>0</v>
      </c>
      <c r="U61">
        <v>5.5830948509043811E-3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19</v>
      </c>
      <c r="AT61" t="str">
        <f t="shared" si="0"/>
        <v>3w_</v>
      </c>
      <c r="AU61" t="str">
        <f t="shared" si="1"/>
        <v>bdl</v>
      </c>
    </row>
    <row r="62" spans="1:47">
      <c r="A62" t="s">
        <v>17</v>
      </c>
      <c r="B62" t="s">
        <v>176</v>
      </c>
      <c r="C62" t="s">
        <v>632</v>
      </c>
      <c r="D62" t="s">
        <v>19</v>
      </c>
      <c r="E62" t="s">
        <v>19</v>
      </c>
      <c r="F62" t="s">
        <v>19</v>
      </c>
      <c r="G62" t="s">
        <v>603</v>
      </c>
      <c r="H62" t="s">
        <v>19</v>
      </c>
      <c r="I62" t="s">
        <v>19</v>
      </c>
      <c r="J62" t="s">
        <v>19</v>
      </c>
      <c r="K62" t="s">
        <v>19</v>
      </c>
      <c r="L62">
        <v>0</v>
      </c>
      <c r="M62">
        <v>0</v>
      </c>
      <c r="N62">
        <v>6.2034387232270905E-4</v>
      </c>
      <c r="O62">
        <v>0</v>
      </c>
      <c r="P62">
        <v>1.8610316169681269E-3</v>
      </c>
      <c r="Q62">
        <v>0</v>
      </c>
      <c r="R62">
        <v>0</v>
      </c>
      <c r="S62">
        <v>2.4813754892908362E-3</v>
      </c>
      <c r="T62">
        <v>0</v>
      </c>
      <c r="U62">
        <v>0.57691980126011944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0.36910460403201184</v>
      </c>
      <c r="AF62">
        <v>1.8610316169681269E-3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19</v>
      </c>
      <c r="AT62" t="str">
        <f t="shared" si="0"/>
        <v>3w_</v>
      </c>
      <c r="AU62" t="str">
        <f t="shared" si="1"/>
        <v>dsl</v>
      </c>
    </row>
    <row r="63" spans="1:47">
      <c r="A63" t="s">
        <v>17</v>
      </c>
      <c r="B63" t="s">
        <v>176</v>
      </c>
      <c r="C63" t="s">
        <v>632</v>
      </c>
      <c r="D63" t="s">
        <v>19</v>
      </c>
      <c r="E63" t="s">
        <v>19</v>
      </c>
      <c r="F63" t="s">
        <v>19</v>
      </c>
      <c r="G63" t="s">
        <v>602</v>
      </c>
      <c r="H63" t="s">
        <v>19</v>
      </c>
      <c r="I63" t="s">
        <v>19</v>
      </c>
      <c r="J63" t="s">
        <v>19</v>
      </c>
      <c r="K63" t="s">
        <v>19</v>
      </c>
      <c r="L63">
        <v>0</v>
      </c>
      <c r="M63">
        <v>0</v>
      </c>
      <c r="N63">
        <v>6.2034387232270905E-4</v>
      </c>
      <c r="O63">
        <v>0</v>
      </c>
      <c r="P63">
        <v>1.8610316169681269E-3</v>
      </c>
      <c r="Q63">
        <v>0</v>
      </c>
      <c r="R63">
        <v>0</v>
      </c>
      <c r="S63">
        <v>2.4813754892908362E-3</v>
      </c>
      <c r="T63">
        <v>0</v>
      </c>
      <c r="U63">
        <v>0.57691980126011944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0.36910460403201184</v>
      </c>
      <c r="AF63">
        <v>1.8610316169681269E-3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19</v>
      </c>
      <c r="AT63" t="str">
        <f t="shared" si="0"/>
        <v>3w_</v>
      </c>
      <c r="AU63" t="str">
        <f t="shared" si="1"/>
        <v>dsl</v>
      </c>
    </row>
    <row r="64" spans="1:47">
      <c r="A64" t="s">
        <v>17</v>
      </c>
      <c r="B64" t="s">
        <v>176</v>
      </c>
      <c r="C64" t="s">
        <v>632</v>
      </c>
      <c r="D64" t="s">
        <v>19</v>
      </c>
      <c r="E64" t="s">
        <v>19</v>
      </c>
      <c r="F64" t="s">
        <v>19</v>
      </c>
      <c r="G64" t="s">
        <v>601</v>
      </c>
      <c r="H64" t="s">
        <v>19</v>
      </c>
      <c r="I64" t="s">
        <v>19</v>
      </c>
      <c r="J64" t="s">
        <v>19</v>
      </c>
      <c r="K64" t="s">
        <v>19</v>
      </c>
      <c r="L64">
        <v>0</v>
      </c>
      <c r="M64">
        <v>0</v>
      </c>
      <c r="N64">
        <v>6.2034387232270905E-4</v>
      </c>
      <c r="O64">
        <v>0</v>
      </c>
      <c r="P64">
        <v>1.8610316169681269E-3</v>
      </c>
      <c r="Q64">
        <v>0</v>
      </c>
      <c r="R64">
        <v>0</v>
      </c>
      <c r="S64">
        <v>2.4813754892908362E-3</v>
      </c>
      <c r="T64">
        <v>0</v>
      </c>
      <c r="U64">
        <v>0.57691980126011944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0.36910460403201184</v>
      </c>
      <c r="AF64">
        <v>1.8610316169681269E-3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19</v>
      </c>
      <c r="AT64" t="str">
        <f t="shared" si="0"/>
        <v>3w_</v>
      </c>
      <c r="AU64" t="str">
        <f t="shared" si="1"/>
        <v>dsl</v>
      </c>
    </row>
    <row r="65" spans="1:47">
      <c r="A65" t="s">
        <v>17</v>
      </c>
      <c r="B65" t="s">
        <v>176</v>
      </c>
      <c r="C65" t="s">
        <v>632</v>
      </c>
      <c r="D65" t="s">
        <v>19</v>
      </c>
      <c r="E65" t="s">
        <v>19</v>
      </c>
      <c r="F65" t="s">
        <v>19</v>
      </c>
      <c r="G65" t="s">
        <v>600</v>
      </c>
      <c r="H65" t="s">
        <v>19</v>
      </c>
      <c r="I65" t="s">
        <v>19</v>
      </c>
      <c r="J65" t="s">
        <v>19</v>
      </c>
      <c r="K65" t="s">
        <v>19</v>
      </c>
      <c r="L65">
        <v>0</v>
      </c>
      <c r="M65">
        <v>0</v>
      </c>
      <c r="N65">
        <v>6.2034387232270905E-4</v>
      </c>
      <c r="O65">
        <v>0</v>
      </c>
      <c r="P65">
        <v>1.8610316169681269E-3</v>
      </c>
      <c r="Q65">
        <v>0</v>
      </c>
      <c r="R65">
        <v>0</v>
      </c>
      <c r="S65">
        <v>2.4813754892908362E-3</v>
      </c>
      <c r="T65">
        <v>0</v>
      </c>
      <c r="U65">
        <v>0.57691980126011944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0.36910460403201184</v>
      </c>
      <c r="AF65">
        <v>1.8610316169681269E-3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19</v>
      </c>
      <c r="AT65" t="str">
        <f t="shared" si="0"/>
        <v>3w_</v>
      </c>
      <c r="AU65" t="str">
        <f t="shared" si="1"/>
        <v>dsl</v>
      </c>
    </row>
    <row r="66" spans="1:47">
      <c r="A66" t="s">
        <v>17</v>
      </c>
      <c r="B66" t="s">
        <v>176</v>
      </c>
      <c r="C66" t="s">
        <v>632</v>
      </c>
      <c r="D66" t="s">
        <v>19</v>
      </c>
      <c r="E66" t="s">
        <v>19</v>
      </c>
      <c r="F66" t="s">
        <v>19</v>
      </c>
      <c r="G66" t="s">
        <v>599</v>
      </c>
      <c r="H66" t="s">
        <v>19</v>
      </c>
      <c r="I66" t="s">
        <v>19</v>
      </c>
      <c r="J66" t="s">
        <v>19</v>
      </c>
      <c r="K66" t="s">
        <v>19</v>
      </c>
      <c r="L66">
        <v>0</v>
      </c>
      <c r="M66">
        <v>0</v>
      </c>
      <c r="N66">
        <v>6.2034387232270905E-4</v>
      </c>
      <c r="O66">
        <v>0</v>
      </c>
      <c r="P66">
        <v>1.8610316169681269E-3</v>
      </c>
      <c r="Q66">
        <v>0</v>
      </c>
      <c r="R66">
        <v>0</v>
      </c>
      <c r="S66">
        <v>2.4813754892908362E-3</v>
      </c>
      <c r="T66">
        <v>0</v>
      </c>
      <c r="U66">
        <v>0.57691980126011944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0.36910460403201184</v>
      </c>
      <c r="AF66">
        <v>1.8610316169681269E-3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19</v>
      </c>
      <c r="AT66" t="str">
        <f t="shared" si="0"/>
        <v>3w_</v>
      </c>
      <c r="AU66" t="str">
        <f t="shared" si="1"/>
        <v>dsl</v>
      </c>
    </row>
    <row r="67" spans="1:47">
      <c r="A67" t="s">
        <v>17</v>
      </c>
      <c r="B67" t="s">
        <v>176</v>
      </c>
      <c r="C67" t="s">
        <v>632</v>
      </c>
      <c r="D67" t="s">
        <v>19</v>
      </c>
      <c r="E67" t="s">
        <v>19</v>
      </c>
      <c r="F67" t="s">
        <v>19</v>
      </c>
      <c r="G67" t="s">
        <v>598</v>
      </c>
      <c r="H67" t="s">
        <v>19</v>
      </c>
      <c r="I67" t="s">
        <v>19</v>
      </c>
      <c r="J67" t="s">
        <v>19</v>
      </c>
      <c r="K67" t="s">
        <v>19</v>
      </c>
      <c r="L67">
        <v>0</v>
      </c>
      <c r="M67">
        <v>0</v>
      </c>
      <c r="N67">
        <v>6.2034387232270905E-4</v>
      </c>
      <c r="O67">
        <v>0</v>
      </c>
      <c r="P67">
        <v>1.8610316169681269E-3</v>
      </c>
      <c r="Q67">
        <v>0</v>
      </c>
      <c r="R67">
        <v>0</v>
      </c>
      <c r="S67">
        <v>2.4813754892908362E-3</v>
      </c>
      <c r="T67">
        <v>0</v>
      </c>
      <c r="U67">
        <v>0.57691980126011944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0.36910460403201184</v>
      </c>
      <c r="AF67">
        <v>1.8610316169681269E-3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19</v>
      </c>
      <c r="AT67" t="str">
        <f t="shared" ref="AT67:AT130" si="2">MID(C67,5,3)</f>
        <v>3w_</v>
      </c>
      <c r="AU67" t="str">
        <f t="shared" ref="AU67:AU130" si="3">RIGHT(C67,3)</f>
        <v>dsl</v>
      </c>
    </row>
    <row r="68" spans="1:47">
      <c r="A68" t="s">
        <v>17</v>
      </c>
      <c r="B68" t="s">
        <v>176</v>
      </c>
      <c r="C68" t="s">
        <v>632</v>
      </c>
      <c r="D68" t="s">
        <v>19</v>
      </c>
      <c r="E68" t="s">
        <v>19</v>
      </c>
      <c r="F68" t="s">
        <v>19</v>
      </c>
      <c r="G68" t="s">
        <v>597</v>
      </c>
      <c r="H68" t="s">
        <v>19</v>
      </c>
      <c r="I68" t="s">
        <v>19</v>
      </c>
      <c r="J68" t="s">
        <v>19</v>
      </c>
      <c r="K68" t="s">
        <v>19</v>
      </c>
      <c r="L68">
        <v>0</v>
      </c>
      <c r="M68">
        <v>0</v>
      </c>
      <c r="N68">
        <v>6.2034387232270905E-4</v>
      </c>
      <c r="O68">
        <v>0</v>
      </c>
      <c r="P68">
        <v>1.8610316169681269E-3</v>
      </c>
      <c r="Q68">
        <v>0</v>
      </c>
      <c r="R68">
        <v>0</v>
      </c>
      <c r="S68">
        <v>2.4813754892908362E-3</v>
      </c>
      <c r="T68">
        <v>0</v>
      </c>
      <c r="U68">
        <v>0.57691980126011944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0.36910460403201184</v>
      </c>
      <c r="AF68">
        <v>1.8610316169681269E-3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19</v>
      </c>
      <c r="AT68" t="str">
        <f t="shared" si="2"/>
        <v>3w_</v>
      </c>
      <c r="AU68" t="str">
        <f t="shared" si="3"/>
        <v>dsl</v>
      </c>
    </row>
    <row r="69" spans="1:47">
      <c r="A69" t="s">
        <v>17</v>
      </c>
      <c r="B69" t="s">
        <v>176</v>
      </c>
      <c r="C69" t="s">
        <v>632</v>
      </c>
      <c r="D69" t="s">
        <v>19</v>
      </c>
      <c r="E69" t="s">
        <v>19</v>
      </c>
      <c r="F69" t="s">
        <v>19</v>
      </c>
      <c r="G69" t="s">
        <v>596</v>
      </c>
      <c r="H69" t="s">
        <v>19</v>
      </c>
      <c r="I69" t="s">
        <v>19</v>
      </c>
      <c r="J69" t="s">
        <v>19</v>
      </c>
      <c r="K69" t="s">
        <v>19</v>
      </c>
      <c r="L69">
        <v>0</v>
      </c>
      <c r="M69">
        <v>0</v>
      </c>
      <c r="N69">
        <v>6.2034387232270905E-4</v>
      </c>
      <c r="O69">
        <v>0</v>
      </c>
      <c r="P69">
        <v>1.8610316169681269E-3</v>
      </c>
      <c r="Q69">
        <v>0</v>
      </c>
      <c r="R69">
        <v>0</v>
      </c>
      <c r="S69">
        <v>2.4813754892908362E-3</v>
      </c>
      <c r="T69">
        <v>0</v>
      </c>
      <c r="U69">
        <v>0.57691980126011944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0.36910460403201184</v>
      </c>
      <c r="AF69">
        <v>1.8610316169681269E-3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19</v>
      </c>
      <c r="AT69" t="str">
        <f t="shared" si="2"/>
        <v>3w_</v>
      </c>
      <c r="AU69" t="str">
        <f t="shared" si="3"/>
        <v>dsl</v>
      </c>
    </row>
    <row r="70" spans="1:47">
      <c r="A70" t="s">
        <v>17</v>
      </c>
      <c r="B70" t="s">
        <v>176</v>
      </c>
      <c r="C70" t="s">
        <v>632</v>
      </c>
      <c r="D70" t="s">
        <v>19</v>
      </c>
      <c r="E70" t="s">
        <v>19</v>
      </c>
      <c r="F70" t="s">
        <v>19</v>
      </c>
      <c r="G70" t="s">
        <v>178</v>
      </c>
      <c r="H70" t="s">
        <v>19</v>
      </c>
      <c r="I70" t="s">
        <v>19</v>
      </c>
      <c r="J70" t="s">
        <v>19</v>
      </c>
      <c r="K70" t="s">
        <v>19</v>
      </c>
      <c r="L70">
        <v>0</v>
      </c>
      <c r="M70">
        <v>0</v>
      </c>
      <c r="N70">
        <v>6.2034387232270905E-4</v>
      </c>
      <c r="O70">
        <v>0</v>
      </c>
      <c r="P70">
        <v>1.8610316169681269E-3</v>
      </c>
      <c r="Q70">
        <v>0</v>
      </c>
      <c r="R70">
        <v>0</v>
      </c>
      <c r="S70">
        <v>2.4813754892908362E-3</v>
      </c>
      <c r="T70">
        <v>0</v>
      </c>
      <c r="U70">
        <v>0.57691980126011944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0.36910460403201184</v>
      </c>
      <c r="AF70">
        <v>1.8610316169681269E-3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19</v>
      </c>
      <c r="AT70" t="str">
        <f t="shared" si="2"/>
        <v>3w_</v>
      </c>
      <c r="AU70" t="str">
        <f t="shared" si="3"/>
        <v>dsl</v>
      </c>
    </row>
    <row r="71" spans="1:47">
      <c r="A71" t="s">
        <v>17</v>
      </c>
      <c r="B71" t="s">
        <v>176</v>
      </c>
      <c r="C71" t="s">
        <v>632</v>
      </c>
      <c r="D71" t="s">
        <v>19</v>
      </c>
      <c r="E71" t="s">
        <v>19</v>
      </c>
      <c r="F71" t="s">
        <v>19</v>
      </c>
      <c r="G71" t="s">
        <v>179</v>
      </c>
      <c r="H71" t="s">
        <v>19</v>
      </c>
      <c r="I71" t="s">
        <v>19</v>
      </c>
      <c r="J71" t="s">
        <v>19</v>
      </c>
      <c r="K71" t="s">
        <v>19</v>
      </c>
      <c r="L71">
        <v>0</v>
      </c>
      <c r="M71">
        <v>0</v>
      </c>
      <c r="N71">
        <v>6.2034387232270905E-4</v>
      </c>
      <c r="O71">
        <v>0</v>
      </c>
      <c r="P71">
        <v>1.8610316169681269E-3</v>
      </c>
      <c r="Q71">
        <v>0</v>
      </c>
      <c r="R71">
        <v>0</v>
      </c>
      <c r="S71">
        <v>2.4813754892908362E-3</v>
      </c>
      <c r="T71">
        <v>0</v>
      </c>
      <c r="U71">
        <v>0.57691980126011944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0.36910460403201184</v>
      </c>
      <c r="AF71">
        <v>1.8610316169681269E-3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19</v>
      </c>
      <c r="AT71" t="str">
        <f t="shared" si="2"/>
        <v>3w_</v>
      </c>
      <c r="AU71" t="str">
        <f t="shared" si="3"/>
        <v>dsl</v>
      </c>
    </row>
    <row r="72" spans="1:47">
      <c r="A72" t="s">
        <v>17</v>
      </c>
      <c r="B72" t="s">
        <v>176</v>
      </c>
      <c r="C72" t="s">
        <v>632</v>
      </c>
      <c r="D72" t="s">
        <v>19</v>
      </c>
      <c r="E72" t="s">
        <v>19</v>
      </c>
      <c r="F72" t="s">
        <v>19</v>
      </c>
      <c r="G72" t="s">
        <v>180</v>
      </c>
      <c r="H72" t="s">
        <v>19</v>
      </c>
      <c r="I72" t="s">
        <v>19</v>
      </c>
      <c r="J72" t="s">
        <v>19</v>
      </c>
      <c r="K72" t="s">
        <v>19</v>
      </c>
      <c r="L72">
        <v>0</v>
      </c>
      <c r="M72">
        <v>0</v>
      </c>
      <c r="N72">
        <v>6.2034387232270905E-4</v>
      </c>
      <c r="O72">
        <v>0</v>
      </c>
      <c r="P72">
        <v>1.8610316169681269E-3</v>
      </c>
      <c r="Q72">
        <v>0</v>
      </c>
      <c r="R72">
        <v>0</v>
      </c>
      <c r="S72">
        <v>2.4813754892908362E-3</v>
      </c>
      <c r="T72">
        <v>0</v>
      </c>
      <c r="U72">
        <v>0.57691980126011944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0.36910460403201184</v>
      </c>
      <c r="AF72">
        <v>1.8610316169681269E-3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19</v>
      </c>
      <c r="AT72" t="str">
        <f t="shared" si="2"/>
        <v>3w_</v>
      </c>
      <c r="AU72" t="str">
        <f t="shared" si="3"/>
        <v>dsl</v>
      </c>
    </row>
    <row r="73" spans="1:47">
      <c r="A73" t="s">
        <v>17</v>
      </c>
      <c r="B73" t="s">
        <v>176</v>
      </c>
      <c r="C73" t="s">
        <v>632</v>
      </c>
      <c r="D73" t="s">
        <v>19</v>
      </c>
      <c r="E73" t="s">
        <v>19</v>
      </c>
      <c r="F73" t="s">
        <v>19</v>
      </c>
      <c r="G73" t="s">
        <v>181</v>
      </c>
      <c r="H73" t="s">
        <v>19</v>
      </c>
      <c r="I73" t="s">
        <v>19</v>
      </c>
      <c r="J73" t="s">
        <v>19</v>
      </c>
      <c r="K73" t="s">
        <v>19</v>
      </c>
      <c r="L73">
        <v>0</v>
      </c>
      <c r="M73">
        <v>0</v>
      </c>
      <c r="N73">
        <v>6.2034387232270905E-4</v>
      </c>
      <c r="O73">
        <v>0</v>
      </c>
      <c r="P73">
        <v>1.8610316169681269E-3</v>
      </c>
      <c r="Q73">
        <v>0</v>
      </c>
      <c r="R73">
        <v>0</v>
      </c>
      <c r="S73">
        <v>2.4813754892908362E-3</v>
      </c>
      <c r="T73">
        <v>0</v>
      </c>
      <c r="U73">
        <v>0.57691980126011944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0.36910460403201184</v>
      </c>
      <c r="AF73">
        <v>1.8610316169681269E-3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19</v>
      </c>
      <c r="AT73" t="str">
        <f t="shared" si="2"/>
        <v>3w_</v>
      </c>
      <c r="AU73" t="str">
        <f t="shared" si="3"/>
        <v>dsl</v>
      </c>
    </row>
    <row r="74" spans="1:47">
      <c r="A74" t="s">
        <v>17</v>
      </c>
      <c r="B74" t="s">
        <v>176</v>
      </c>
      <c r="C74" t="s">
        <v>632</v>
      </c>
      <c r="D74" t="s">
        <v>19</v>
      </c>
      <c r="E74" t="s">
        <v>19</v>
      </c>
      <c r="F74" t="s">
        <v>19</v>
      </c>
      <c r="G74" t="s">
        <v>182</v>
      </c>
      <c r="H74" t="s">
        <v>19</v>
      </c>
      <c r="I74" t="s">
        <v>19</v>
      </c>
      <c r="J74" t="s">
        <v>19</v>
      </c>
      <c r="K74" t="s">
        <v>19</v>
      </c>
      <c r="L74">
        <v>0</v>
      </c>
      <c r="M74">
        <v>0</v>
      </c>
      <c r="N74">
        <v>6.2034387232270905E-4</v>
      </c>
      <c r="O74">
        <v>0</v>
      </c>
      <c r="P74">
        <v>1.8610316169681269E-3</v>
      </c>
      <c r="Q74">
        <v>0</v>
      </c>
      <c r="R74">
        <v>0</v>
      </c>
      <c r="S74">
        <v>2.4813754892908362E-3</v>
      </c>
      <c r="T74">
        <v>0</v>
      </c>
      <c r="U74">
        <v>0.57691980126011944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0.36910460403201184</v>
      </c>
      <c r="AF74">
        <v>1.8610316169681269E-3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19</v>
      </c>
      <c r="AT74" t="str">
        <f t="shared" si="2"/>
        <v>3w_</v>
      </c>
      <c r="AU74" t="str">
        <f t="shared" si="3"/>
        <v>dsl</v>
      </c>
    </row>
    <row r="75" spans="1:47">
      <c r="A75" t="s">
        <v>17</v>
      </c>
      <c r="B75" t="s">
        <v>176</v>
      </c>
      <c r="C75" t="s">
        <v>632</v>
      </c>
      <c r="D75" t="s">
        <v>19</v>
      </c>
      <c r="E75" t="s">
        <v>19</v>
      </c>
      <c r="F75" t="s">
        <v>19</v>
      </c>
      <c r="G75" t="s">
        <v>183</v>
      </c>
      <c r="H75" t="s">
        <v>19</v>
      </c>
      <c r="I75" t="s">
        <v>19</v>
      </c>
      <c r="J75" t="s">
        <v>19</v>
      </c>
      <c r="K75" t="s">
        <v>19</v>
      </c>
      <c r="L75">
        <v>0</v>
      </c>
      <c r="M75">
        <v>0</v>
      </c>
      <c r="N75">
        <v>6.2034387232270905E-4</v>
      </c>
      <c r="O75">
        <v>0</v>
      </c>
      <c r="P75">
        <v>1.8610316169681269E-3</v>
      </c>
      <c r="Q75">
        <v>0</v>
      </c>
      <c r="R75">
        <v>0</v>
      </c>
      <c r="S75">
        <v>2.4813754892908362E-3</v>
      </c>
      <c r="T75">
        <v>0</v>
      </c>
      <c r="U75">
        <v>0.57691980126011944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0.36910460403201184</v>
      </c>
      <c r="AF75">
        <v>1.8610316169681269E-3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19</v>
      </c>
      <c r="AT75" t="str">
        <f t="shared" si="2"/>
        <v>3w_</v>
      </c>
      <c r="AU75" t="str">
        <f t="shared" si="3"/>
        <v>dsl</v>
      </c>
    </row>
    <row r="76" spans="1:47">
      <c r="A76" t="s">
        <v>17</v>
      </c>
      <c r="B76" t="s">
        <v>176</v>
      </c>
      <c r="C76" t="s">
        <v>632</v>
      </c>
      <c r="D76" t="s">
        <v>19</v>
      </c>
      <c r="E76" t="s">
        <v>19</v>
      </c>
      <c r="F76" t="s">
        <v>19</v>
      </c>
      <c r="G76" t="s">
        <v>184</v>
      </c>
      <c r="H76" t="s">
        <v>19</v>
      </c>
      <c r="I76" t="s">
        <v>19</v>
      </c>
      <c r="J76" t="s">
        <v>19</v>
      </c>
      <c r="K76" t="s">
        <v>19</v>
      </c>
      <c r="L76">
        <v>0</v>
      </c>
      <c r="M76">
        <v>0</v>
      </c>
      <c r="N76">
        <v>6.2034387232270905E-4</v>
      </c>
      <c r="O76">
        <v>0</v>
      </c>
      <c r="P76">
        <v>1.8610316169681269E-3</v>
      </c>
      <c r="Q76">
        <v>0</v>
      </c>
      <c r="R76">
        <v>0</v>
      </c>
      <c r="S76">
        <v>2.4813754892908362E-3</v>
      </c>
      <c r="T76">
        <v>0</v>
      </c>
      <c r="U76">
        <v>0.57691980126011944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0.36910460403201184</v>
      </c>
      <c r="AF76">
        <v>1.8610316169681269E-3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19</v>
      </c>
      <c r="AT76" t="str">
        <f t="shared" si="2"/>
        <v>3w_</v>
      </c>
      <c r="AU76" t="str">
        <f t="shared" si="3"/>
        <v>dsl</v>
      </c>
    </row>
    <row r="77" spans="1:47">
      <c r="A77" t="s">
        <v>17</v>
      </c>
      <c r="B77" t="s">
        <v>176</v>
      </c>
      <c r="C77" t="s">
        <v>632</v>
      </c>
      <c r="D77" t="s">
        <v>19</v>
      </c>
      <c r="E77" t="s">
        <v>19</v>
      </c>
      <c r="F77" t="s">
        <v>19</v>
      </c>
      <c r="G77" t="s">
        <v>185</v>
      </c>
      <c r="H77" t="s">
        <v>19</v>
      </c>
      <c r="I77" t="s">
        <v>19</v>
      </c>
      <c r="J77" t="s">
        <v>19</v>
      </c>
      <c r="K77" t="s">
        <v>19</v>
      </c>
      <c r="L77">
        <v>0</v>
      </c>
      <c r="M77">
        <v>0</v>
      </c>
      <c r="N77">
        <v>6.2034387232270905E-4</v>
      </c>
      <c r="O77">
        <v>0</v>
      </c>
      <c r="P77">
        <v>1.8610316169681269E-3</v>
      </c>
      <c r="Q77">
        <v>0</v>
      </c>
      <c r="R77">
        <v>0</v>
      </c>
      <c r="S77">
        <v>2.4813754892908362E-3</v>
      </c>
      <c r="T77">
        <v>0</v>
      </c>
      <c r="U77">
        <v>0.57691980126011944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0.36910460403201184</v>
      </c>
      <c r="AF77">
        <v>1.8610316169681269E-3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19</v>
      </c>
      <c r="AT77" t="str">
        <f t="shared" si="2"/>
        <v>3w_</v>
      </c>
      <c r="AU77" t="str">
        <f t="shared" si="3"/>
        <v>dsl</v>
      </c>
    </row>
    <row r="78" spans="1:47">
      <c r="A78" t="s">
        <v>17</v>
      </c>
      <c r="B78" t="s">
        <v>176</v>
      </c>
      <c r="C78" t="s">
        <v>632</v>
      </c>
      <c r="D78" t="s">
        <v>19</v>
      </c>
      <c r="E78" t="s">
        <v>19</v>
      </c>
      <c r="F78" t="s">
        <v>19</v>
      </c>
      <c r="G78" t="s">
        <v>186</v>
      </c>
      <c r="H78" t="s">
        <v>19</v>
      </c>
      <c r="I78" t="s">
        <v>19</v>
      </c>
      <c r="J78" t="s">
        <v>19</v>
      </c>
      <c r="K78" t="s">
        <v>19</v>
      </c>
      <c r="L78">
        <v>0</v>
      </c>
      <c r="M78">
        <v>0</v>
      </c>
      <c r="N78">
        <v>6.2034387232270905E-4</v>
      </c>
      <c r="O78">
        <v>0</v>
      </c>
      <c r="P78">
        <v>1.8610316169681269E-3</v>
      </c>
      <c r="Q78">
        <v>0</v>
      </c>
      <c r="R78">
        <v>0</v>
      </c>
      <c r="S78">
        <v>2.4813754892908362E-3</v>
      </c>
      <c r="T78">
        <v>0</v>
      </c>
      <c r="U78">
        <v>0.57691980126011944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0.36910460403201184</v>
      </c>
      <c r="AF78">
        <v>1.8610316169681269E-3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19</v>
      </c>
      <c r="AT78" t="str">
        <f t="shared" si="2"/>
        <v>3w_</v>
      </c>
      <c r="AU78" t="str">
        <f t="shared" si="3"/>
        <v>dsl</v>
      </c>
    </row>
    <row r="79" spans="1:47">
      <c r="A79" t="s">
        <v>17</v>
      </c>
      <c r="B79" t="s">
        <v>176</v>
      </c>
      <c r="C79" t="s">
        <v>632</v>
      </c>
      <c r="D79" t="s">
        <v>19</v>
      </c>
      <c r="E79" t="s">
        <v>19</v>
      </c>
      <c r="F79" t="s">
        <v>19</v>
      </c>
      <c r="G79" t="s">
        <v>187</v>
      </c>
      <c r="H79" t="s">
        <v>19</v>
      </c>
      <c r="I79" t="s">
        <v>19</v>
      </c>
      <c r="J79" t="s">
        <v>19</v>
      </c>
      <c r="K79" t="s">
        <v>19</v>
      </c>
      <c r="L79">
        <v>0</v>
      </c>
      <c r="M79">
        <v>0</v>
      </c>
      <c r="N79">
        <v>6.2034387232270905E-4</v>
      </c>
      <c r="O79">
        <v>0</v>
      </c>
      <c r="P79">
        <v>1.8610316169681269E-3</v>
      </c>
      <c r="Q79">
        <v>0</v>
      </c>
      <c r="R79">
        <v>0</v>
      </c>
      <c r="S79">
        <v>2.4813754892908362E-3</v>
      </c>
      <c r="T79">
        <v>0</v>
      </c>
      <c r="U79">
        <v>0.57691980126011944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0.36910460403201184</v>
      </c>
      <c r="AF79">
        <v>1.8610316169681269E-3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19</v>
      </c>
      <c r="AT79" t="str">
        <f t="shared" si="2"/>
        <v>3w_</v>
      </c>
      <c r="AU79" t="str">
        <f t="shared" si="3"/>
        <v>dsl</v>
      </c>
    </row>
    <row r="80" spans="1:47">
      <c r="A80" t="s">
        <v>17</v>
      </c>
      <c r="B80" t="s">
        <v>176</v>
      </c>
      <c r="C80" t="s">
        <v>632</v>
      </c>
      <c r="D80" t="s">
        <v>19</v>
      </c>
      <c r="E80" t="s">
        <v>19</v>
      </c>
      <c r="F80" t="s">
        <v>19</v>
      </c>
      <c r="G80" t="s">
        <v>188</v>
      </c>
      <c r="H80" t="s">
        <v>19</v>
      </c>
      <c r="I80" t="s">
        <v>19</v>
      </c>
      <c r="J80" t="s">
        <v>19</v>
      </c>
      <c r="K80" t="s">
        <v>19</v>
      </c>
      <c r="L80">
        <v>0</v>
      </c>
      <c r="M80">
        <v>0</v>
      </c>
      <c r="N80">
        <v>6.2034387232270905E-4</v>
      </c>
      <c r="O80">
        <v>0</v>
      </c>
      <c r="P80">
        <v>1.8610316169681269E-3</v>
      </c>
      <c r="Q80">
        <v>0</v>
      </c>
      <c r="R80">
        <v>0</v>
      </c>
      <c r="S80">
        <v>2.4813754892908362E-3</v>
      </c>
      <c r="T80">
        <v>0</v>
      </c>
      <c r="U80">
        <v>0.57691980126011944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0.36910460403201184</v>
      </c>
      <c r="AF80">
        <v>1.8610316169681269E-3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19</v>
      </c>
      <c r="AT80" t="str">
        <f t="shared" si="2"/>
        <v>3w_</v>
      </c>
      <c r="AU80" t="str">
        <f t="shared" si="3"/>
        <v>dsl</v>
      </c>
    </row>
    <row r="81" spans="1:47">
      <c r="A81" t="s">
        <v>17</v>
      </c>
      <c r="B81" t="s">
        <v>176</v>
      </c>
      <c r="C81" t="s">
        <v>632</v>
      </c>
      <c r="D81" t="s">
        <v>19</v>
      </c>
      <c r="E81" t="s">
        <v>19</v>
      </c>
      <c r="F81" t="s">
        <v>19</v>
      </c>
      <c r="G81" t="s">
        <v>100</v>
      </c>
      <c r="H81" t="s">
        <v>19</v>
      </c>
      <c r="I81" t="s">
        <v>19</v>
      </c>
      <c r="J81" t="s">
        <v>19</v>
      </c>
      <c r="K81" t="s">
        <v>19</v>
      </c>
      <c r="L81">
        <v>0</v>
      </c>
      <c r="M81">
        <v>0</v>
      </c>
      <c r="N81">
        <v>6.2034387232270905E-4</v>
      </c>
      <c r="O81">
        <v>0</v>
      </c>
      <c r="P81">
        <v>1.8610316169681269E-3</v>
      </c>
      <c r="Q81">
        <v>0</v>
      </c>
      <c r="R81">
        <v>0</v>
      </c>
      <c r="S81">
        <v>2.4813754892908362E-3</v>
      </c>
      <c r="T81">
        <v>0</v>
      </c>
      <c r="U81">
        <v>0.57691980126011944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0.36910460403201184</v>
      </c>
      <c r="AF81">
        <v>1.8610316169681269E-3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19</v>
      </c>
      <c r="AT81" t="str">
        <f t="shared" si="2"/>
        <v>3w_</v>
      </c>
      <c r="AU81" t="str">
        <f t="shared" si="3"/>
        <v>dsl</v>
      </c>
    </row>
    <row r="82" spans="1:47">
      <c r="A82" t="s">
        <v>17</v>
      </c>
      <c r="B82" t="s">
        <v>176</v>
      </c>
      <c r="C82" t="s">
        <v>631</v>
      </c>
      <c r="D82" t="s">
        <v>19</v>
      </c>
      <c r="E82" t="s">
        <v>19</v>
      </c>
      <c r="F82" t="s">
        <v>19</v>
      </c>
      <c r="G82" t="s">
        <v>603</v>
      </c>
      <c r="H82" t="s">
        <v>19</v>
      </c>
      <c r="I82" t="s">
        <v>19</v>
      </c>
      <c r="J82" t="s">
        <v>19</v>
      </c>
      <c r="K82" t="s">
        <v>19</v>
      </c>
      <c r="L82">
        <v>0</v>
      </c>
      <c r="M82">
        <v>6.2034387232270905E-4</v>
      </c>
      <c r="N82">
        <v>0</v>
      </c>
      <c r="O82">
        <v>0</v>
      </c>
      <c r="P82">
        <v>0</v>
      </c>
      <c r="Q82">
        <v>1.3027221318776889E-2</v>
      </c>
      <c r="R82">
        <v>0</v>
      </c>
      <c r="S82">
        <v>2.4813754892908362E-3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6.2034387232270905E-4</v>
      </c>
      <c r="AD82">
        <v>6.2034387232270905E-4</v>
      </c>
      <c r="AE82">
        <v>8.6848142125179276E-3</v>
      </c>
      <c r="AF82">
        <v>6.2034387232270905E-4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2.4813754892908362E-3</v>
      </c>
      <c r="AO82" t="s">
        <v>19</v>
      </c>
      <c r="AT82" t="str">
        <f t="shared" si="2"/>
        <v>3w_</v>
      </c>
      <c r="AU82" t="str">
        <f t="shared" si="3"/>
        <v>eth</v>
      </c>
    </row>
    <row r="83" spans="1:47">
      <c r="A83" t="s">
        <v>17</v>
      </c>
      <c r="B83" t="s">
        <v>176</v>
      </c>
      <c r="C83" t="s">
        <v>631</v>
      </c>
      <c r="D83" t="s">
        <v>19</v>
      </c>
      <c r="E83" t="s">
        <v>19</v>
      </c>
      <c r="F83" t="s">
        <v>19</v>
      </c>
      <c r="G83" t="s">
        <v>602</v>
      </c>
      <c r="H83" t="s">
        <v>19</v>
      </c>
      <c r="I83" t="s">
        <v>19</v>
      </c>
      <c r="J83" t="s">
        <v>19</v>
      </c>
      <c r="K83" t="s">
        <v>19</v>
      </c>
      <c r="L83">
        <v>0</v>
      </c>
      <c r="M83">
        <v>6.2034387232270905E-4</v>
      </c>
      <c r="N83">
        <v>0</v>
      </c>
      <c r="O83">
        <v>0</v>
      </c>
      <c r="P83">
        <v>0</v>
      </c>
      <c r="Q83">
        <v>1.3027221318776889E-2</v>
      </c>
      <c r="R83">
        <v>0</v>
      </c>
      <c r="S83">
        <v>2.4813754892908362E-3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6.2034387232270905E-4</v>
      </c>
      <c r="AD83">
        <v>6.2034387232270905E-4</v>
      </c>
      <c r="AE83">
        <v>8.6848142125179276E-3</v>
      </c>
      <c r="AF83">
        <v>6.2034387232270905E-4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2.4813754892908362E-3</v>
      </c>
      <c r="AO83" t="s">
        <v>19</v>
      </c>
      <c r="AT83" t="str">
        <f t="shared" si="2"/>
        <v>3w_</v>
      </c>
      <c r="AU83" t="str">
        <f t="shared" si="3"/>
        <v>eth</v>
      </c>
    </row>
    <row r="84" spans="1:47">
      <c r="A84" t="s">
        <v>17</v>
      </c>
      <c r="B84" t="s">
        <v>176</v>
      </c>
      <c r="C84" t="s">
        <v>631</v>
      </c>
      <c r="D84" t="s">
        <v>19</v>
      </c>
      <c r="E84" t="s">
        <v>19</v>
      </c>
      <c r="F84" t="s">
        <v>19</v>
      </c>
      <c r="G84" t="s">
        <v>601</v>
      </c>
      <c r="H84" t="s">
        <v>19</v>
      </c>
      <c r="I84" t="s">
        <v>19</v>
      </c>
      <c r="J84" t="s">
        <v>19</v>
      </c>
      <c r="K84" t="s">
        <v>19</v>
      </c>
      <c r="L84">
        <v>0</v>
      </c>
      <c r="M84">
        <v>6.2034387232270905E-4</v>
      </c>
      <c r="N84">
        <v>0</v>
      </c>
      <c r="O84">
        <v>0</v>
      </c>
      <c r="P84">
        <v>0</v>
      </c>
      <c r="Q84">
        <v>1.3027221318776889E-2</v>
      </c>
      <c r="R84">
        <v>0</v>
      </c>
      <c r="S84">
        <v>2.4813754892908362E-3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6.2034387232270905E-4</v>
      </c>
      <c r="AD84">
        <v>6.2034387232270905E-4</v>
      </c>
      <c r="AE84">
        <v>8.6848142125179276E-3</v>
      </c>
      <c r="AF84">
        <v>6.2034387232270905E-4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2.4813754892908362E-3</v>
      </c>
      <c r="AO84" t="s">
        <v>19</v>
      </c>
      <c r="AT84" t="str">
        <f t="shared" si="2"/>
        <v>3w_</v>
      </c>
      <c r="AU84" t="str">
        <f t="shared" si="3"/>
        <v>eth</v>
      </c>
    </row>
    <row r="85" spans="1:47">
      <c r="A85" t="s">
        <v>17</v>
      </c>
      <c r="B85" t="s">
        <v>176</v>
      </c>
      <c r="C85" t="s">
        <v>631</v>
      </c>
      <c r="D85" t="s">
        <v>19</v>
      </c>
      <c r="E85" t="s">
        <v>19</v>
      </c>
      <c r="F85" t="s">
        <v>19</v>
      </c>
      <c r="G85" t="s">
        <v>600</v>
      </c>
      <c r="H85" t="s">
        <v>19</v>
      </c>
      <c r="I85" t="s">
        <v>19</v>
      </c>
      <c r="J85" t="s">
        <v>19</v>
      </c>
      <c r="K85" t="s">
        <v>19</v>
      </c>
      <c r="L85">
        <v>0</v>
      </c>
      <c r="M85">
        <v>6.2034387232270905E-4</v>
      </c>
      <c r="N85">
        <v>0</v>
      </c>
      <c r="O85">
        <v>0</v>
      </c>
      <c r="P85">
        <v>0</v>
      </c>
      <c r="Q85">
        <v>1.3027221318776889E-2</v>
      </c>
      <c r="R85">
        <v>0</v>
      </c>
      <c r="S85">
        <v>2.4813754892908362E-3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6.2034387232270905E-4</v>
      </c>
      <c r="AD85">
        <v>6.2034387232270905E-4</v>
      </c>
      <c r="AE85">
        <v>8.6848142125179276E-3</v>
      </c>
      <c r="AF85">
        <v>6.2034387232270905E-4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2.4813754892908362E-3</v>
      </c>
      <c r="AO85" t="s">
        <v>19</v>
      </c>
      <c r="AT85" t="str">
        <f t="shared" si="2"/>
        <v>3w_</v>
      </c>
      <c r="AU85" t="str">
        <f t="shared" si="3"/>
        <v>eth</v>
      </c>
    </row>
    <row r="86" spans="1:47">
      <c r="A86" t="s">
        <v>17</v>
      </c>
      <c r="B86" t="s">
        <v>176</v>
      </c>
      <c r="C86" t="s">
        <v>631</v>
      </c>
      <c r="D86" t="s">
        <v>19</v>
      </c>
      <c r="E86" t="s">
        <v>19</v>
      </c>
      <c r="F86" t="s">
        <v>19</v>
      </c>
      <c r="G86" t="s">
        <v>599</v>
      </c>
      <c r="H86" t="s">
        <v>19</v>
      </c>
      <c r="I86" t="s">
        <v>19</v>
      </c>
      <c r="J86" t="s">
        <v>19</v>
      </c>
      <c r="K86" t="s">
        <v>19</v>
      </c>
      <c r="L86">
        <v>0</v>
      </c>
      <c r="M86">
        <v>6.2034387232270905E-4</v>
      </c>
      <c r="N86">
        <v>0</v>
      </c>
      <c r="O86">
        <v>0</v>
      </c>
      <c r="P86">
        <v>0</v>
      </c>
      <c r="Q86">
        <v>1.3027221318776889E-2</v>
      </c>
      <c r="R86">
        <v>0</v>
      </c>
      <c r="S86">
        <v>2.4813754892908362E-3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6.2034387232270905E-4</v>
      </c>
      <c r="AD86">
        <v>6.2034387232270905E-4</v>
      </c>
      <c r="AE86">
        <v>8.6848142125179276E-3</v>
      </c>
      <c r="AF86">
        <v>6.2034387232270905E-4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2.4813754892908362E-3</v>
      </c>
      <c r="AO86" t="s">
        <v>19</v>
      </c>
      <c r="AT86" t="str">
        <f t="shared" si="2"/>
        <v>3w_</v>
      </c>
      <c r="AU86" t="str">
        <f t="shared" si="3"/>
        <v>eth</v>
      </c>
    </row>
    <row r="87" spans="1:47">
      <c r="A87" t="s">
        <v>17</v>
      </c>
      <c r="B87" t="s">
        <v>176</v>
      </c>
      <c r="C87" t="s">
        <v>631</v>
      </c>
      <c r="D87" t="s">
        <v>19</v>
      </c>
      <c r="E87" t="s">
        <v>19</v>
      </c>
      <c r="F87" t="s">
        <v>19</v>
      </c>
      <c r="G87" t="s">
        <v>598</v>
      </c>
      <c r="H87" t="s">
        <v>19</v>
      </c>
      <c r="I87" t="s">
        <v>19</v>
      </c>
      <c r="J87" t="s">
        <v>19</v>
      </c>
      <c r="K87" t="s">
        <v>19</v>
      </c>
      <c r="L87">
        <v>0</v>
      </c>
      <c r="M87">
        <v>6.2034387232270905E-4</v>
      </c>
      <c r="N87">
        <v>0</v>
      </c>
      <c r="O87">
        <v>0</v>
      </c>
      <c r="P87">
        <v>0</v>
      </c>
      <c r="Q87">
        <v>1.3027221318776889E-2</v>
      </c>
      <c r="R87">
        <v>0</v>
      </c>
      <c r="S87">
        <v>2.4813754892908362E-3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6.2034387232270905E-4</v>
      </c>
      <c r="AD87">
        <v>6.2034387232270905E-4</v>
      </c>
      <c r="AE87">
        <v>8.6848142125179276E-3</v>
      </c>
      <c r="AF87">
        <v>6.2034387232270905E-4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2.4813754892908362E-3</v>
      </c>
      <c r="AO87" t="s">
        <v>19</v>
      </c>
      <c r="AT87" t="str">
        <f t="shared" si="2"/>
        <v>3w_</v>
      </c>
      <c r="AU87" t="str">
        <f t="shared" si="3"/>
        <v>eth</v>
      </c>
    </row>
    <row r="88" spans="1:47">
      <c r="A88" t="s">
        <v>17</v>
      </c>
      <c r="B88" t="s">
        <v>176</v>
      </c>
      <c r="C88" t="s">
        <v>631</v>
      </c>
      <c r="D88" t="s">
        <v>19</v>
      </c>
      <c r="E88" t="s">
        <v>19</v>
      </c>
      <c r="F88" t="s">
        <v>19</v>
      </c>
      <c r="G88" t="s">
        <v>597</v>
      </c>
      <c r="H88" t="s">
        <v>19</v>
      </c>
      <c r="I88" t="s">
        <v>19</v>
      </c>
      <c r="J88" t="s">
        <v>19</v>
      </c>
      <c r="K88" t="s">
        <v>19</v>
      </c>
      <c r="L88">
        <v>0</v>
      </c>
      <c r="M88">
        <v>6.2034387232270905E-4</v>
      </c>
      <c r="N88">
        <v>0</v>
      </c>
      <c r="O88">
        <v>0</v>
      </c>
      <c r="P88">
        <v>0</v>
      </c>
      <c r="Q88">
        <v>1.3027221318776889E-2</v>
      </c>
      <c r="R88">
        <v>0</v>
      </c>
      <c r="S88">
        <v>2.4813754892908362E-3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6.2034387232270905E-4</v>
      </c>
      <c r="AD88">
        <v>6.2034387232270905E-4</v>
      </c>
      <c r="AE88">
        <v>8.6848142125179276E-3</v>
      </c>
      <c r="AF88">
        <v>6.2034387232270905E-4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2.4813754892908362E-3</v>
      </c>
      <c r="AO88" t="s">
        <v>19</v>
      </c>
      <c r="AT88" t="str">
        <f t="shared" si="2"/>
        <v>3w_</v>
      </c>
      <c r="AU88" t="str">
        <f t="shared" si="3"/>
        <v>eth</v>
      </c>
    </row>
    <row r="89" spans="1:47">
      <c r="A89" t="s">
        <v>17</v>
      </c>
      <c r="B89" t="s">
        <v>176</v>
      </c>
      <c r="C89" t="s">
        <v>631</v>
      </c>
      <c r="D89" t="s">
        <v>19</v>
      </c>
      <c r="E89" t="s">
        <v>19</v>
      </c>
      <c r="F89" t="s">
        <v>19</v>
      </c>
      <c r="G89" t="s">
        <v>596</v>
      </c>
      <c r="H89" t="s">
        <v>19</v>
      </c>
      <c r="I89" t="s">
        <v>19</v>
      </c>
      <c r="J89" t="s">
        <v>19</v>
      </c>
      <c r="K89" t="s">
        <v>19</v>
      </c>
      <c r="L89">
        <v>0</v>
      </c>
      <c r="M89">
        <v>6.2034387232270905E-4</v>
      </c>
      <c r="N89">
        <v>0</v>
      </c>
      <c r="O89">
        <v>0</v>
      </c>
      <c r="P89">
        <v>0</v>
      </c>
      <c r="Q89">
        <v>1.3027221318776889E-2</v>
      </c>
      <c r="R89">
        <v>0</v>
      </c>
      <c r="S89">
        <v>2.4813754892908362E-3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6.2034387232270905E-4</v>
      </c>
      <c r="AD89">
        <v>6.2034387232270905E-4</v>
      </c>
      <c r="AE89">
        <v>8.6848142125179276E-3</v>
      </c>
      <c r="AF89">
        <v>6.2034387232270905E-4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2.4813754892908362E-3</v>
      </c>
      <c r="AO89" t="s">
        <v>19</v>
      </c>
      <c r="AT89" t="str">
        <f t="shared" si="2"/>
        <v>3w_</v>
      </c>
      <c r="AU89" t="str">
        <f t="shared" si="3"/>
        <v>eth</v>
      </c>
    </row>
    <row r="90" spans="1:47">
      <c r="A90" t="s">
        <v>17</v>
      </c>
      <c r="B90" t="s">
        <v>176</v>
      </c>
      <c r="C90" t="s">
        <v>631</v>
      </c>
      <c r="D90" t="s">
        <v>19</v>
      </c>
      <c r="E90" t="s">
        <v>19</v>
      </c>
      <c r="F90" t="s">
        <v>19</v>
      </c>
      <c r="G90" t="s">
        <v>178</v>
      </c>
      <c r="H90" t="s">
        <v>19</v>
      </c>
      <c r="I90" t="s">
        <v>19</v>
      </c>
      <c r="J90" t="s">
        <v>19</v>
      </c>
      <c r="K90" t="s">
        <v>19</v>
      </c>
      <c r="L90">
        <v>0</v>
      </c>
      <c r="M90">
        <v>6.2034387232270905E-4</v>
      </c>
      <c r="N90">
        <v>0</v>
      </c>
      <c r="O90">
        <v>0</v>
      </c>
      <c r="P90">
        <v>0</v>
      </c>
      <c r="Q90">
        <v>1.3027221318776889E-2</v>
      </c>
      <c r="R90">
        <v>0</v>
      </c>
      <c r="S90">
        <v>2.4813754892908362E-3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6.2034387232270905E-4</v>
      </c>
      <c r="AD90">
        <v>6.2034387232270905E-4</v>
      </c>
      <c r="AE90">
        <v>8.6848142125179276E-3</v>
      </c>
      <c r="AF90">
        <v>6.2034387232270905E-4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2.4813754892908362E-3</v>
      </c>
      <c r="AO90" t="s">
        <v>19</v>
      </c>
      <c r="AT90" t="str">
        <f t="shared" si="2"/>
        <v>3w_</v>
      </c>
      <c r="AU90" t="str">
        <f t="shared" si="3"/>
        <v>eth</v>
      </c>
    </row>
    <row r="91" spans="1:47">
      <c r="A91" t="s">
        <v>17</v>
      </c>
      <c r="B91" t="s">
        <v>176</v>
      </c>
      <c r="C91" t="s">
        <v>631</v>
      </c>
      <c r="D91" t="s">
        <v>19</v>
      </c>
      <c r="E91" t="s">
        <v>19</v>
      </c>
      <c r="F91" t="s">
        <v>19</v>
      </c>
      <c r="G91" t="s">
        <v>179</v>
      </c>
      <c r="H91" t="s">
        <v>19</v>
      </c>
      <c r="I91" t="s">
        <v>19</v>
      </c>
      <c r="J91" t="s">
        <v>19</v>
      </c>
      <c r="K91" t="s">
        <v>19</v>
      </c>
      <c r="L91">
        <v>0</v>
      </c>
      <c r="M91">
        <v>6.2034387232270905E-4</v>
      </c>
      <c r="N91">
        <v>0</v>
      </c>
      <c r="O91">
        <v>0</v>
      </c>
      <c r="P91">
        <v>0</v>
      </c>
      <c r="Q91">
        <v>1.3027221318776889E-2</v>
      </c>
      <c r="R91">
        <v>0</v>
      </c>
      <c r="S91">
        <v>2.4813754892908362E-3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6.2034387232270905E-4</v>
      </c>
      <c r="AD91">
        <v>6.2034387232270905E-4</v>
      </c>
      <c r="AE91">
        <v>8.6848142125179276E-3</v>
      </c>
      <c r="AF91">
        <v>6.2034387232270905E-4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2.4813754892908362E-3</v>
      </c>
      <c r="AO91" t="s">
        <v>19</v>
      </c>
      <c r="AT91" t="str">
        <f t="shared" si="2"/>
        <v>3w_</v>
      </c>
      <c r="AU91" t="str">
        <f t="shared" si="3"/>
        <v>eth</v>
      </c>
    </row>
    <row r="92" spans="1:47">
      <c r="A92" t="s">
        <v>17</v>
      </c>
      <c r="B92" t="s">
        <v>176</v>
      </c>
      <c r="C92" t="s">
        <v>631</v>
      </c>
      <c r="D92" t="s">
        <v>19</v>
      </c>
      <c r="E92" t="s">
        <v>19</v>
      </c>
      <c r="F92" t="s">
        <v>19</v>
      </c>
      <c r="G92" t="s">
        <v>180</v>
      </c>
      <c r="H92" t="s">
        <v>19</v>
      </c>
      <c r="I92" t="s">
        <v>19</v>
      </c>
      <c r="J92" t="s">
        <v>19</v>
      </c>
      <c r="K92" t="s">
        <v>19</v>
      </c>
      <c r="L92">
        <v>0</v>
      </c>
      <c r="M92">
        <v>6.2034387232270905E-4</v>
      </c>
      <c r="N92">
        <v>0</v>
      </c>
      <c r="O92">
        <v>0</v>
      </c>
      <c r="P92">
        <v>0</v>
      </c>
      <c r="Q92">
        <v>1.3027221318776889E-2</v>
      </c>
      <c r="R92">
        <v>0</v>
      </c>
      <c r="S92">
        <v>2.4813754892908362E-3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6.2034387232270905E-4</v>
      </c>
      <c r="AD92">
        <v>6.2034387232270905E-4</v>
      </c>
      <c r="AE92">
        <v>8.6848142125179276E-3</v>
      </c>
      <c r="AF92">
        <v>6.2034387232270905E-4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2.4813754892908362E-3</v>
      </c>
      <c r="AO92" t="s">
        <v>19</v>
      </c>
      <c r="AT92" t="str">
        <f t="shared" si="2"/>
        <v>3w_</v>
      </c>
      <c r="AU92" t="str">
        <f t="shared" si="3"/>
        <v>eth</v>
      </c>
    </row>
    <row r="93" spans="1:47">
      <c r="A93" t="s">
        <v>17</v>
      </c>
      <c r="B93" t="s">
        <v>176</v>
      </c>
      <c r="C93" t="s">
        <v>631</v>
      </c>
      <c r="D93" t="s">
        <v>19</v>
      </c>
      <c r="E93" t="s">
        <v>19</v>
      </c>
      <c r="F93" t="s">
        <v>19</v>
      </c>
      <c r="G93" t="s">
        <v>181</v>
      </c>
      <c r="H93" t="s">
        <v>19</v>
      </c>
      <c r="I93" t="s">
        <v>19</v>
      </c>
      <c r="J93" t="s">
        <v>19</v>
      </c>
      <c r="K93" t="s">
        <v>19</v>
      </c>
      <c r="L93">
        <v>0</v>
      </c>
      <c r="M93">
        <v>6.2034387232270905E-4</v>
      </c>
      <c r="N93">
        <v>0</v>
      </c>
      <c r="O93">
        <v>0</v>
      </c>
      <c r="P93">
        <v>0</v>
      </c>
      <c r="Q93">
        <v>1.3027221318776889E-2</v>
      </c>
      <c r="R93">
        <v>0</v>
      </c>
      <c r="S93">
        <v>2.4813754892908362E-3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6.2034387232270905E-4</v>
      </c>
      <c r="AD93">
        <v>6.2034387232270905E-4</v>
      </c>
      <c r="AE93">
        <v>8.6848142125179276E-3</v>
      </c>
      <c r="AF93">
        <v>6.2034387232270905E-4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2.4813754892908362E-3</v>
      </c>
      <c r="AO93" t="s">
        <v>19</v>
      </c>
      <c r="AT93" t="str">
        <f t="shared" si="2"/>
        <v>3w_</v>
      </c>
      <c r="AU93" t="str">
        <f t="shared" si="3"/>
        <v>eth</v>
      </c>
    </row>
    <row r="94" spans="1:47">
      <c r="A94" t="s">
        <v>17</v>
      </c>
      <c r="B94" t="s">
        <v>176</v>
      </c>
      <c r="C94" t="s">
        <v>631</v>
      </c>
      <c r="D94" t="s">
        <v>19</v>
      </c>
      <c r="E94" t="s">
        <v>19</v>
      </c>
      <c r="F94" t="s">
        <v>19</v>
      </c>
      <c r="G94" t="s">
        <v>182</v>
      </c>
      <c r="H94" t="s">
        <v>19</v>
      </c>
      <c r="I94" t="s">
        <v>19</v>
      </c>
      <c r="J94" t="s">
        <v>19</v>
      </c>
      <c r="K94" t="s">
        <v>19</v>
      </c>
      <c r="L94">
        <v>0</v>
      </c>
      <c r="M94">
        <v>6.2034387232270905E-4</v>
      </c>
      <c r="N94">
        <v>0</v>
      </c>
      <c r="O94">
        <v>0</v>
      </c>
      <c r="P94">
        <v>0</v>
      </c>
      <c r="Q94">
        <v>1.3027221318776889E-2</v>
      </c>
      <c r="R94">
        <v>0</v>
      </c>
      <c r="S94">
        <v>2.4813754892908362E-3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6.2034387232270905E-4</v>
      </c>
      <c r="AD94">
        <v>6.2034387232270905E-4</v>
      </c>
      <c r="AE94">
        <v>8.6848142125179276E-3</v>
      </c>
      <c r="AF94">
        <v>6.2034387232270905E-4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2.4813754892908362E-3</v>
      </c>
      <c r="AO94" t="s">
        <v>19</v>
      </c>
      <c r="AT94" t="str">
        <f t="shared" si="2"/>
        <v>3w_</v>
      </c>
      <c r="AU94" t="str">
        <f t="shared" si="3"/>
        <v>eth</v>
      </c>
    </row>
    <row r="95" spans="1:47">
      <c r="A95" t="s">
        <v>17</v>
      </c>
      <c r="B95" t="s">
        <v>176</v>
      </c>
      <c r="C95" t="s">
        <v>631</v>
      </c>
      <c r="D95" t="s">
        <v>19</v>
      </c>
      <c r="E95" t="s">
        <v>19</v>
      </c>
      <c r="F95" t="s">
        <v>19</v>
      </c>
      <c r="G95" t="s">
        <v>183</v>
      </c>
      <c r="H95" t="s">
        <v>19</v>
      </c>
      <c r="I95" t="s">
        <v>19</v>
      </c>
      <c r="J95" t="s">
        <v>19</v>
      </c>
      <c r="K95" t="s">
        <v>19</v>
      </c>
      <c r="L95">
        <v>0</v>
      </c>
      <c r="M95">
        <v>6.2034387232270905E-4</v>
      </c>
      <c r="N95">
        <v>0</v>
      </c>
      <c r="O95">
        <v>0</v>
      </c>
      <c r="P95">
        <v>0</v>
      </c>
      <c r="Q95">
        <v>1.3027221318776889E-2</v>
      </c>
      <c r="R95">
        <v>0</v>
      </c>
      <c r="S95">
        <v>2.4813754892908362E-3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6.2034387232270905E-4</v>
      </c>
      <c r="AD95">
        <v>6.2034387232270905E-4</v>
      </c>
      <c r="AE95">
        <v>8.6848142125179276E-3</v>
      </c>
      <c r="AF95">
        <v>6.2034387232270905E-4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2.4813754892908362E-3</v>
      </c>
      <c r="AO95" t="s">
        <v>19</v>
      </c>
      <c r="AT95" t="str">
        <f t="shared" si="2"/>
        <v>3w_</v>
      </c>
      <c r="AU95" t="str">
        <f t="shared" si="3"/>
        <v>eth</v>
      </c>
    </row>
    <row r="96" spans="1:47">
      <c r="A96" t="s">
        <v>17</v>
      </c>
      <c r="B96" t="s">
        <v>176</v>
      </c>
      <c r="C96" t="s">
        <v>631</v>
      </c>
      <c r="D96" t="s">
        <v>19</v>
      </c>
      <c r="E96" t="s">
        <v>19</v>
      </c>
      <c r="F96" t="s">
        <v>19</v>
      </c>
      <c r="G96" t="s">
        <v>184</v>
      </c>
      <c r="H96" t="s">
        <v>19</v>
      </c>
      <c r="I96" t="s">
        <v>19</v>
      </c>
      <c r="J96" t="s">
        <v>19</v>
      </c>
      <c r="K96" t="s">
        <v>19</v>
      </c>
      <c r="L96">
        <v>0</v>
      </c>
      <c r="M96">
        <v>6.2034387232270905E-4</v>
      </c>
      <c r="N96">
        <v>0</v>
      </c>
      <c r="O96">
        <v>0</v>
      </c>
      <c r="P96">
        <v>0</v>
      </c>
      <c r="Q96">
        <v>1.3027221318776889E-2</v>
      </c>
      <c r="R96">
        <v>0</v>
      </c>
      <c r="S96">
        <v>2.4813754892908362E-3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6.2034387232270905E-4</v>
      </c>
      <c r="AD96">
        <v>6.2034387232270905E-4</v>
      </c>
      <c r="AE96">
        <v>8.6848142125179276E-3</v>
      </c>
      <c r="AF96">
        <v>6.2034387232270905E-4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2.4813754892908362E-3</v>
      </c>
      <c r="AO96" t="s">
        <v>19</v>
      </c>
      <c r="AT96" t="str">
        <f t="shared" si="2"/>
        <v>3w_</v>
      </c>
      <c r="AU96" t="str">
        <f t="shared" si="3"/>
        <v>eth</v>
      </c>
    </row>
    <row r="97" spans="1:47">
      <c r="A97" t="s">
        <v>17</v>
      </c>
      <c r="B97" t="s">
        <v>176</v>
      </c>
      <c r="C97" t="s">
        <v>631</v>
      </c>
      <c r="D97" t="s">
        <v>19</v>
      </c>
      <c r="E97" t="s">
        <v>19</v>
      </c>
      <c r="F97" t="s">
        <v>19</v>
      </c>
      <c r="G97" t="s">
        <v>185</v>
      </c>
      <c r="H97" t="s">
        <v>19</v>
      </c>
      <c r="I97" t="s">
        <v>19</v>
      </c>
      <c r="J97" t="s">
        <v>19</v>
      </c>
      <c r="K97" t="s">
        <v>19</v>
      </c>
      <c r="L97">
        <v>0</v>
      </c>
      <c r="M97">
        <v>6.2034387232270905E-4</v>
      </c>
      <c r="N97">
        <v>0</v>
      </c>
      <c r="O97">
        <v>0</v>
      </c>
      <c r="P97">
        <v>0</v>
      </c>
      <c r="Q97">
        <v>1.3027221318776889E-2</v>
      </c>
      <c r="R97">
        <v>0</v>
      </c>
      <c r="S97">
        <v>2.4813754892908362E-3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6.2034387232270905E-4</v>
      </c>
      <c r="AD97">
        <v>6.2034387232270905E-4</v>
      </c>
      <c r="AE97">
        <v>8.6848142125179276E-3</v>
      </c>
      <c r="AF97">
        <v>6.2034387232270905E-4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2.4813754892908362E-3</v>
      </c>
      <c r="AO97" t="s">
        <v>19</v>
      </c>
      <c r="AT97" t="str">
        <f t="shared" si="2"/>
        <v>3w_</v>
      </c>
      <c r="AU97" t="str">
        <f t="shared" si="3"/>
        <v>eth</v>
      </c>
    </row>
    <row r="98" spans="1:47">
      <c r="A98" t="s">
        <v>17</v>
      </c>
      <c r="B98" t="s">
        <v>176</v>
      </c>
      <c r="C98" t="s">
        <v>631</v>
      </c>
      <c r="D98" t="s">
        <v>19</v>
      </c>
      <c r="E98" t="s">
        <v>19</v>
      </c>
      <c r="F98" t="s">
        <v>19</v>
      </c>
      <c r="G98" t="s">
        <v>186</v>
      </c>
      <c r="H98" t="s">
        <v>19</v>
      </c>
      <c r="I98" t="s">
        <v>19</v>
      </c>
      <c r="J98" t="s">
        <v>19</v>
      </c>
      <c r="K98" t="s">
        <v>19</v>
      </c>
      <c r="L98">
        <v>0</v>
      </c>
      <c r="M98">
        <v>6.2034387232270905E-4</v>
      </c>
      <c r="N98">
        <v>0</v>
      </c>
      <c r="O98">
        <v>0</v>
      </c>
      <c r="P98">
        <v>0</v>
      </c>
      <c r="Q98">
        <v>1.3027221318776889E-2</v>
      </c>
      <c r="R98">
        <v>0</v>
      </c>
      <c r="S98">
        <v>2.4813754892908362E-3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6.2034387232270905E-4</v>
      </c>
      <c r="AD98">
        <v>6.2034387232270905E-4</v>
      </c>
      <c r="AE98">
        <v>8.6848142125179276E-3</v>
      </c>
      <c r="AF98">
        <v>6.2034387232270905E-4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2.4813754892908362E-3</v>
      </c>
      <c r="AO98" t="s">
        <v>19</v>
      </c>
      <c r="AT98" t="str">
        <f t="shared" si="2"/>
        <v>3w_</v>
      </c>
      <c r="AU98" t="str">
        <f t="shared" si="3"/>
        <v>eth</v>
      </c>
    </row>
    <row r="99" spans="1:47">
      <c r="A99" t="s">
        <v>17</v>
      </c>
      <c r="B99" t="s">
        <v>176</v>
      </c>
      <c r="C99" t="s">
        <v>631</v>
      </c>
      <c r="D99" t="s">
        <v>19</v>
      </c>
      <c r="E99" t="s">
        <v>19</v>
      </c>
      <c r="F99" t="s">
        <v>19</v>
      </c>
      <c r="G99" t="s">
        <v>187</v>
      </c>
      <c r="H99" t="s">
        <v>19</v>
      </c>
      <c r="I99" t="s">
        <v>19</v>
      </c>
      <c r="J99" t="s">
        <v>19</v>
      </c>
      <c r="K99" t="s">
        <v>19</v>
      </c>
      <c r="L99">
        <v>0</v>
      </c>
      <c r="M99">
        <v>6.2034387232270905E-4</v>
      </c>
      <c r="N99">
        <v>0</v>
      </c>
      <c r="O99">
        <v>0</v>
      </c>
      <c r="P99">
        <v>0</v>
      </c>
      <c r="Q99">
        <v>1.3027221318776889E-2</v>
      </c>
      <c r="R99">
        <v>0</v>
      </c>
      <c r="S99">
        <v>2.4813754892908362E-3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6.2034387232270905E-4</v>
      </c>
      <c r="AD99">
        <v>6.2034387232270905E-4</v>
      </c>
      <c r="AE99">
        <v>8.6848142125179276E-3</v>
      </c>
      <c r="AF99">
        <v>6.2034387232270905E-4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2.4813754892908362E-3</v>
      </c>
      <c r="AO99" t="s">
        <v>19</v>
      </c>
      <c r="AT99" t="str">
        <f t="shared" si="2"/>
        <v>3w_</v>
      </c>
      <c r="AU99" t="str">
        <f t="shared" si="3"/>
        <v>eth</v>
      </c>
    </row>
    <row r="100" spans="1:47">
      <c r="A100" t="s">
        <v>17</v>
      </c>
      <c r="B100" t="s">
        <v>176</v>
      </c>
      <c r="C100" t="s">
        <v>631</v>
      </c>
      <c r="D100" t="s">
        <v>19</v>
      </c>
      <c r="E100" t="s">
        <v>19</v>
      </c>
      <c r="F100" t="s">
        <v>19</v>
      </c>
      <c r="G100" t="s">
        <v>188</v>
      </c>
      <c r="H100" t="s">
        <v>19</v>
      </c>
      <c r="I100" t="s">
        <v>19</v>
      </c>
      <c r="J100" t="s">
        <v>19</v>
      </c>
      <c r="K100" t="s">
        <v>19</v>
      </c>
      <c r="L100">
        <v>0</v>
      </c>
      <c r="M100">
        <v>6.2034387232270905E-4</v>
      </c>
      <c r="N100">
        <v>0</v>
      </c>
      <c r="O100">
        <v>0</v>
      </c>
      <c r="P100">
        <v>0</v>
      </c>
      <c r="Q100">
        <v>1.3027221318776889E-2</v>
      </c>
      <c r="R100">
        <v>0</v>
      </c>
      <c r="S100">
        <v>2.4813754892908362E-3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6.2034387232270905E-4</v>
      </c>
      <c r="AD100">
        <v>6.2034387232270905E-4</v>
      </c>
      <c r="AE100">
        <v>8.6848142125179276E-3</v>
      </c>
      <c r="AF100">
        <v>6.2034387232270905E-4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2.4813754892908362E-3</v>
      </c>
      <c r="AO100" t="s">
        <v>19</v>
      </c>
      <c r="AT100" t="str">
        <f t="shared" si="2"/>
        <v>3w_</v>
      </c>
      <c r="AU100" t="str">
        <f t="shared" si="3"/>
        <v>eth</v>
      </c>
    </row>
    <row r="101" spans="1:47">
      <c r="A101" t="s">
        <v>17</v>
      </c>
      <c r="B101" t="s">
        <v>176</v>
      </c>
      <c r="C101" t="s">
        <v>631</v>
      </c>
      <c r="D101" t="s">
        <v>19</v>
      </c>
      <c r="E101" t="s">
        <v>19</v>
      </c>
      <c r="F101" t="s">
        <v>19</v>
      </c>
      <c r="G101" t="s">
        <v>100</v>
      </c>
      <c r="H101" t="s">
        <v>19</v>
      </c>
      <c r="I101" t="s">
        <v>19</v>
      </c>
      <c r="J101" t="s">
        <v>19</v>
      </c>
      <c r="K101" t="s">
        <v>19</v>
      </c>
      <c r="L101">
        <v>0</v>
      </c>
      <c r="M101">
        <v>6.2034387232270905E-4</v>
      </c>
      <c r="N101">
        <v>0</v>
      </c>
      <c r="O101">
        <v>0</v>
      </c>
      <c r="P101">
        <v>0</v>
      </c>
      <c r="Q101">
        <v>1.3027221318776889E-2</v>
      </c>
      <c r="R101">
        <v>0</v>
      </c>
      <c r="S101">
        <v>2.4813754892908362E-3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6.2034387232270905E-4</v>
      </c>
      <c r="AD101">
        <v>6.2034387232270905E-4</v>
      </c>
      <c r="AE101">
        <v>8.6848142125179276E-3</v>
      </c>
      <c r="AF101">
        <v>6.2034387232270905E-4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2.4813754892908362E-3</v>
      </c>
      <c r="AO101" t="s">
        <v>19</v>
      </c>
      <c r="AT101" t="str">
        <f t="shared" si="2"/>
        <v>3w_</v>
      </c>
      <c r="AU101" t="str">
        <f t="shared" si="3"/>
        <v>eth</v>
      </c>
    </row>
    <row r="102" spans="1:47">
      <c r="A102" t="s">
        <v>17</v>
      </c>
      <c r="B102" t="s">
        <v>176</v>
      </c>
      <c r="C102" t="s">
        <v>630</v>
      </c>
      <c r="D102" t="s">
        <v>19</v>
      </c>
      <c r="E102" t="s">
        <v>19</v>
      </c>
      <c r="F102" t="s">
        <v>19</v>
      </c>
      <c r="G102" t="s">
        <v>603</v>
      </c>
      <c r="H102" t="s">
        <v>19</v>
      </c>
      <c r="I102" t="s">
        <v>19</v>
      </c>
      <c r="J102" t="s">
        <v>19</v>
      </c>
      <c r="K102" t="s">
        <v>19</v>
      </c>
      <c r="L102">
        <v>0.17369628425035852</v>
      </c>
      <c r="M102">
        <v>0.30148712194883659</v>
      </c>
      <c r="N102">
        <v>4.3424071062589638E-3</v>
      </c>
      <c r="O102">
        <v>3.7220632339362539E-3</v>
      </c>
      <c r="P102">
        <v>2.2332379403617524E-2</v>
      </c>
      <c r="Q102">
        <v>0.86289832640088826</v>
      </c>
      <c r="R102">
        <v>0</v>
      </c>
      <c r="S102">
        <v>9.9255019571633449E-3</v>
      </c>
      <c r="T102">
        <v>0</v>
      </c>
      <c r="U102">
        <v>0</v>
      </c>
      <c r="V102">
        <v>2.4813754892908362E-3</v>
      </c>
      <c r="W102">
        <v>2.4813754892908362E-3</v>
      </c>
      <c r="X102">
        <v>3.7220632339362539E-3</v>
      </c>
      <c r="Y102">
        <v>4.9627509785816724E-3</v>
      </c>
      <c r="Z102">
        <v>1.2406877446454181E-3</v>
      </c>
      <c r="AA102">
        <v>3.1017193616135453E-3</v>
      </c>
      <c r="AB102">
        <v>6.2034387232270905E-3</v>
      </c>
      <c r="AC102">
        <v>3.7220632339362539E-3</v>
      </c>
      <c r="AD102">
        <v>8.6848142125179276E-3</v>
      </c>
      <c r="AE102">
        <v>0.32568053296942223</v>
      </c>
      <c r="AF102">
        <v>1.4267909063422308E-2</v>
      </c>
      <c r="AG102">
        <v>1.7369628425035855E-2</v>
      </c>
      <c r="AH102">
        <v>4.0322351700976089E-2</v>
      </c>
      <c r="AI102">
        <v>6.2034387232270905E-4</v>
      </c>
      <c r="AJ102">
        <v>1.2406877446454181E-2</v>
      </c>
      <c r="AK102">
        <v>1.7369628425035855E-2</v>
      </c>
      <c r="AL102">
        <v>7.6922640168015921E-2</v>
      </c>
      <c r="AM102">
        <v>6.2034387232270905E-3</v>
      </c>
      <c r="AN102">
        <v>2.9776505871490031E-2</v>
      </c>
      <c r="AO102" t="s">
        <v>19</v>
      </c>
      <c r="AT102" t="str">
        <f t="shared" si="2"/>
        <v>3w_</v>
      </c>
      <c r="AU102" t="str">
        <f t="shared" si="3"/>
        <v>gsl</v>
      </c>
    </row>
    <row r="103" spans="1:47">
      <c r="A103" t="s">
        <v>17</v>
      </c>
      <c r="B103" t="s">
        <v>176</v>
      </c>
      <c r="C103" t="s">
        <v>630</v>
      </c>
      <c r="D103" t="s">
        <v>19</v>
      </c>
      <c r="E103" t="s">
        <v>19</v>
      </c>
      <c r="F103" t="s">
        <v>19</v>
      </c>
      <c r="G103" t="s">
        <v>602</v>
      </c>
      <c r="H103" t="s">
        <v>19</v>
      </c>
      <c r="I103" t="s">
        <v>19</v>
      </c>
      <c r="J103" t="s">
        <v>19</v>
      </c>
      <c r="K103" t="s">
        <v>19</v>
      </c>
      <c r="L103">
        <v>0.17369628425035852</v>
      </c>
      <c r="M103">
        <v>0.30148712194883659</v>
      </c>
      <c r="N103">
        <v>4.3424071062589638E-3</v>
      </c>
      <c r="O103">
        <v>3.7220632339362539E-3</v>
      </c>
      <c r="P103">
        <v>2.2332379403617524E-2</v>
      </c>
      <c r="Q103">
        <v>0.86289832640088826</v>
      </c>
      <c r="R103">
        <v>0</v>
      </c>
      <c r="S103">
        <v>9.9255019571633449E-3</v>
      </c>
      <c r="T103">
        <v>0</v>
      </c>
      <c r="U103">
        <v>0</v>
      </c>
      <c r="V103">
        <v>2.4813754892908362E-3</v>
      </c>
      <c r="W103">
        <v>2.4813754892908362E-3</v>
      </c>
      <c r="X103">
        <v>3.7220632339362539E-3</v>
      </c>
      <c r="Y103">
        <v>4.9627509785816724E-3</v>
      </c>
      <c r="Z103">
        <v>1.2406877446454181E-3</v>
      </c>
      <c r="AA103">
        <v>3.1017193616135453E-3</v>
      </c>
      <c r="AB103">
        <v>6.2034387232270905E-3</v>
      </c>
      <c r="AC103">
        <v>3.7220632339362539E-3</v>
      </c>
      <c r="AD103">
        <v>8.6848142125179276E-3</v>
      </c>
      <c r="AE103">
        <v>0.32568053296942223</v>
      </c>
      <c r="AF103">
        <v>1.4267909063422308E-2</v>
      </c>
      <c r="AG103">
        <v>1.7369628425035855E-2</v>
      </c>
      <c r="AH103">
        <v>4.0322351700976089E-2</v>
      </c>
      <c r="AI103">
        <v>6.2034387232270905E-4</v>
      </c>
      <c r="AJ103">
        <v>1.2406877446454181E-2</v>
      </c>
      <c r="AK103">
        <v>1.7369628425035855E-2</v>
      </c>
      <c r="AL103">
        <v>7.6922640168015921E-2</v>
      </c>
      <c r="AM103">
        <v>6.2034387232270905E-3</v>
      </c>
      <c r="AN103">
        <v>2.9776505871490031E-2</v>
      </c>
      <c r="AO103" t="s">
        <v>19</v>
      </c>
      <c r="AT103" t="str">
        <f t="shared" si="2"/>
        <v>3w_</v>
      </c>
      <c r="AU103" t="str">
        <f t="shared" si="3"/>
        <v>gsl</v>
      </c>
    </row>
    <row r="104" spans="1:47">
      <c r="A104" t="s">
        <v>17</v>
      </c>
      <c r="B104" t="s">
        <v>176</v>
      </c>
      <c r="C104" t="s">
        <v>630</v>
      </c>
      <c r="D104" t="s">
        <v>19</v>
      </c>
      <c r="E104" t="s">
        <v>19</v>
      </c>
      <c r="F104" t="s">
        <v>19</v>
      </c>
      <c r="G104" t="s">
        <v>601</v>
      </c>
      <c r="H104" t="s">
        <v>19</v>
      </c>
      <c r="I104" t="s">
        <v>19</v>
      </c>
      <c r="J104" t="s">
        <v>19</v>
      </c>
      <c r="K104" t="s">
        <v>19</v>
      </c>
      <c r="L104">
        <v>0.17369628425035852</v>
      </c>
      <c r="M104">
        <v>0.30148712194883659</v>
      </c>
      <c r="N104">
        <v>4.3424071062589638E-3</v>
      </c>
      <c r="O104">
        <v>3.7220632339362539E-3</v>
      </c>
      <c r="P104">
        <v>2.2332379403617524E-2</v>
      </c>
      <c r="Q104">
        <v>0.86289832640088826</v>
      </c>
      <c r="R104">
        <v>0</v>
      </c>
      <c r="S104">
        <v>9.9255019571633449E-3</v>
      </c>
      <c r="T104">
        <v>0</v>
      </c>
      <c r="U104">
        <v>0</v>
      </c>
      <c r="V104">
        <v>2.4813754892908362E-3</v>
      </c>
      <c r="W104">
        <v>2.4813754892908362E-3</v>
      </c>
      <c r="X104">
        <v>3.7220632339362539E-3</v>
      </c>
      <c r="Y104">
        <v>4.9627509785816724E-3</v>
      </c>
      <c r="Z104">
        <v>1.2406877446454181E-3</v>
      </c>
      <c r="AA104">
        <v>3.1017193616135453E-3</v>
      </c>
      <c r="AB104">
        <v>6.2034387232270905E-3</v>
      </c>
      <c r="AC104">
        <v>3.7220632339362539E-3</v>
      </c>
      <c r="AD104">
        <v>8.6848142125179276E-3</v>
      </c>
      <c r="AE104">
        <v>0.32568053296942223</v>
      </c>
      <c r="AF104">
        <v>1.4267909063422308E-2</v>
      </c>
      <c r="AG104">
        <v>1.7369628425035855E-2</v>
      </c>
      <c r="AH104">
        <v>4.0322351700976089E-2</v>
      </c>
      <c r="AI104">
        <v>6.2034387232270905E-4</v>
      </c>
      <c r="AJ104">
        <v>1.2406877446454181E-2</v>
      </c>
      <c r="AK104">
        <v>1.7369628425035855E-2</v>
      </c>
      <c r="AL104">
        <v>7.6922640168015921E-2</v>
      </c>
      <c r="AM104">
        <v>6.2034387232270905E-3</v>
      </c>
      <c r="AN104">
        <v>2.9776505871490031E-2</v>
      </c>
      <c r="AO104" t="s">
        <v>19</v>
      </c>
      <c r="AT104" t="str">
        <f t="shared" si="2"/>
        <v>3w_</v>
      </c>
      <c r="AU104" t="str">
        <f t="shared" si="3"/>
        <v>gsl</v>
      </c>
    </row>
    <row r="105" spans="1:47">
      <c r="A105" t="s">
        <v>17</v>
      </c>
      <c r="B105" t="s">
        <v>176</v>
      </c>
      <c r="C105" t="s">
        <v>630</v>
      </c>
      <c r="D105" t="s">
        <v>19</v>
      </c>
      <c r="E105" t="s">
        <v>19</v>
      </c>
      <c r="F105" t="s">
        <v>19</v>
      </c>
      <c r="G105" t="s">
        <v>600</v>
      </c>
      <c r="H105" t="s">
        <v>19</v>
      </c>
      <c r="I105" t="s">
        <v>19</v>
      </c>
      <c r="J105" t="s">
        <v>19</v>
      </c>
      <c r="K105" t="s">
        <v>19</v>
      </c>
      <c r="L105">
        <v>0.17369628425035852</v>
      </c>
      <c r="M105">
        <v>0.30148712194883659</v>
      </c>
      <c r="N105">
        <v>4.3424071062589638E-3</v>
      </c>
      <c r="O105">
        <v>3.7220632339362539E-3</v>
      </c>
      <c r="P105">
        <v>2.2332379403617524E-2</v>
      </c>
      <c r="Q105">
        <v>0.86289832640088826</v>
      </c>
      <c r="R105">
        <v>0</v>
      </c>
      <c r="S105">
        <v>9.9255019571633449E-3</v>
      </c>
      <c r="T105">
        <v>0</v>
      </c>
      <c r="U105">
        <v>0</v>
      </c>
      <c r="V105">
        <v>2.4813754892908362E-3</v>
      </c>
      <c r="W105">
        <v>2.4813754892908362E-3</v>
      </c>
      <c r="X105">
        <v>3.7220632339362539E-3</v>
      </c>
      <c r="Y105">
        <v>4.9627509785816724E-3</v>
      </c>
      <c r="Z105">
        <v>1.2406877446454181E-3</v>
      </c>
      <c r="AA105">
        <v>3.1017193616135453E-3</v>
      </c>
      <c r="AB105">
        <v>6.2034387232270905E-3</v>
      </c>
      <c r="AC105">
        <v>3.7220632339362539E-3</v>
      </c>
      <c r="AD105">
        <v>8.6848142125179276E-3</v>
      </c>
      <c r="AE105">
        <v>0.32568053296942223</v>
      </c>
      <c r="AF105">
        <v>1.4267909063422308E-2</v>
      </c>
      <c r="AG105">
        <v>1.7369628425035855E-2</v>
      </c>
      <c r="AH105">
        <v>4.0322351700976089E-2</v>
      </c>
      <c r="AI105">
        <v>6.2034387232270905E-4</v>
      </c>
      <c r="AJ105">
        <v>1.2406877446454181E-2</v>
      </c>
      <c r="AK105">
        <v>1.7369628425035855E-2</v>
      </c>
      <c r="AL105">
        <v>7.6922640168015921E-2</v>
      </c>
      <c r="AM105">
        <v>6.2034387232270905E-3</v>
      </c>
      <c r="AN105">
        <v>2.9776505871490031E-2</v>
      </c>
      <c r="AO105" t="s">
        <v>19</v>
      </c>
      <c r="AT105" t="str">
        <f t="shared" si="2"/>
        <v>3w_</v>
      </c>
      <c r="AU105" t="str">
        <f t="shared" si="3"/>
        <v>gsl</v>
      </c>
    </row>
    <row r="106" spans="1:47">
      <c r="A106" t="s">
        <v>17</v>
      </c>
      <c r="B106" t="s">
        <v>176</v>
      </c>
      <c r="C106" t="s">
        <v>630</v>
      </c>
      <c r="D106" t="s">
        <v>19</v>
      </c>
      <c r="E106" t="s">
        <v>19</v>
      </c>
      <c r="F106" t="s">
        <v>19</v>
      </c>
      <c r="G106" t="s">
        <v>599</v>
      </c>
      <c r="H106" t="s">
        <v>19</v>
      </c>
      <c r="I106" t="s">
        <v>19</v>
      </c>
      <c r="J106" t="s">
        <v>19</v>
      </c>
      <c r="K106" t="s">
        <v>19</v>
      </c>
      <c r="L106">
        <v>0.17369628425035852</v>
      </c>
      <c r="M106">
        <v>0.30148712194883659</v>
      </c>
      <c r="N106">
        <v>4.3424071062589638E-3</v>
      </c>
      <c r="O106">
        <v>3.7220632339362539E-3</v>
      </c>
      <c r="P106">
        <v>2.2332379403617524E-2</v>
      </c>
      <c r="Q106">
        <v>0.86289832640088826</v>
      </c>
      <c r="R106">
        <v>0</v>
      </c>
      <c r="S106">
        <v>9.9255019571633449E-3</v>
      </c>
      <c r="T106">
        <v>0</v>
      </c>
      <c r="U106">
        <v>0</v>
      </c>
      <c r="V106">
        <v>2.4813754892908362E-3</v>
      </c>
      <c r="W106">
        <v>2.4813754892908362E-3</v>
      </c>
      <c r="X106">
        <v>3.7220632339362539E-3</v>
      </c>
      <c r="Y106">
        <v>4.9627509785816724E-3</v>
      </c>
      <c r="Z106">
        <v>1.2406877446454181E-3</v>
      </c>
      <c r="AA106">
        <v>3.1017193616135453E-3</v>
      </c>
      <c r="AB106">
        <v>6.2034387232270905E-3</v>
      </c>
      <c r="AC106">
        <v>3.7220632339362539E-3</v>
      </c>
      <c r="AD106">
        <v>8.6848142125179276E-3</v>
      </c>
      <c r="AE106">
        <v>0.32568053296942223</v>
      </c>
      <c r="AF106">
        <v>1.4267909063422308E-2</v>
      </c>
      <c r="AG106">
        <v>1.7369628425035855E-2</v>
      </c>
      <c r="AH106">
        <v>4.0322351700976089E-2</v>
      </c>
      <c r="AI106">
        <v>6.2034387232270905E-4</v>
      </c>
      <c r="AJ106">
        <v>1.2406877446454181E-2</v>
      </c>
      <c r="AK106">
        <v>1.7369628425035855E-2</v>
      </c>
      <c r="AL106">
        <v>7.6922640168015921E-2</v>
      </c>
      <c r="AM106">
        <v>6.2034387232270905E-3</v>
      </c>
      <c r="AN106">
        <v>2.9776505871490031E-2</v>
      </c>
      <c r="AO106" t="s">
        <v>19</v>
      </c>
      <c r="AT106" t="str">
        <f t="shared" si="2"/>
        <v>3w_</v>
      </c>
      <c r="AU106" t="str">
        <f t="shared" si="3"/>
        <v>gsl</v>
      </c>
    </row>
    <row r="107" spans="1:47">
      <c r="A107" t="s">
        <v>17</v>
      </c>
      <c r="B107" t="s">
        <v>176</v>
      </c>
      <c r="C107" t="s">
        <v>630</v>
      </c>
      <c r="D107" t="s">
        <v>19</v>
      </c>
      <c r="E107" t="s">
        <v>19</v>
      </c>
      <c r="F107" t="s">
        <v>19</v>
      </c>
      <c r="G107" t="s">
        <v>598</v>
      </c>
      <c r="H107" t="s">
        <v>19</v>
      </c>
      <c r="I107" t="s">
        <v>19</v>
      </c>
      <c r="J107" t="s">
        <v>19</v>
      </c>
      <c r="K107" t="s">
        <v>19</v>
      </c>
      <c r="L107">
        <v>0.17369628425035852</v>
      </c>
      <c r="M107">
        <v>0.30148712194883659</v>
      </c>
      <c r="N107">
        <v>4.3424071062589638E-3</v>
      </c>
      <c r="O107">
        <v>3.7220632339362539E-3</v>
      </c>
      <c r="P107">
        <v>2.2332379403617524E-2</v>
      </c>
      <c r="Q107">
        <v>0.86289832640088826</v>
      </c>
      <c r="R107">
        <v>0</v>
      </c>
      <c r="S107">
        <v>9.9255019571633449E-3</v>
      </c>
      <c r="T107">
        <v>0</v>
      </c>
      <c r="U107">
        <v>0</v>
      </c>
      <c r="V107">
        <v>2.4813754892908362E-3</v>
      </c>
      <c r="W107">
        <v>2.4813754892908362E-3</v>
      </c>
      <c r="X107">
        <v>3.7220632339362539E-3</v>
      </c>
      <c r="Y107">
        <v>4.9627509785816724E-3</v>
      </c>
      <c r="Z107">
        <v>1.2406877446454181E-3</v>
      </c>
      <c r="AA107">
        <v>3.1017193616135453E-3</v>
      </c>
      <c r="AB107">
        <v>6.2034387232270905E-3</v>
      </c>
      <c r="AC107">
        <v>3.7220632339362539E-3</v>
      </c>
      <c r="AD107">
        <v>8.6848142125179276E-3</v>
      </c>
      <c r="AE107">
        <v>0.32568053296942223</v>
      </c>
      <c r="AF107">
        <v>1.4267909063422308E-2</v>
      </c>
      <c r="AG107">
        <v>1.7369628425035855E-2</v>
      </c>
      <c r="AH107">
        <v>4.0322351700976089E-2</v>
      </c>
      <c r="AI107">
        <v>6.2034387232270905E-4</v>
      </c>
      <c r="AJ107">
        <v>1.2406877446454181E-2</v>
      </c>
      <c r="AK107">
        <v>1.7369628425035855E-2</v>
      </c>
      <c r="AL107">
        <v>7.6922640168015921E-2</v>
      </c>
      <c r="AM107">
        <v>6.2034387232270905E-3</v>
      </c>
      <c r="AN107">
        <v>2.9776505871490031E-2</v>
      </c>
      <c r="AO107" t="s">
        <v>19</v>
      </c>
      <c r="AT107" t="str">
        <f t="shared" si="2"/>
        <v>3w_</v>
      </c>
      <c r="AU107" t="str">
        <f t="shared" si="3"/>
        <v>gsl</v>
      </c>
    </row>
    <row r="108" spans="1:47">
      <c r="A108" t="s">
        <v>17</v>
      </c>
      <c r="B108" t="s">
        <v>176</v>
      </c>
      <c r="C108" t="s">
        <v>630</v>
      </c>
      <c r="D108" t="s">
        <v>19</v>
      </c>
      <c r="E108" t="s">
        <v>19</v>
      </c>
      <c r="F108" t="s">
        <v>19</v>
      </c>
      <c r="G108" t="s">
        <v>597</v>
      </c>
      <c r="H108" t="s">
        <v>19</v>
      </c>
      <c r="I108" t="s">
        <v>19</v>
      </c>
      <c r="J108" t="s">
        <v>19</v>
      </c>
      <c r="K108" t="s">
        <v>19</v>
      </c>
      <c r="L108">
        <v>0.17369628425035852</v>
      </c>
      <c r="M108">
        <v>0.30148712194883659</v>
      </c>
      <c r="N108">
        <v>4.3424071062589638E-3</v>
      </c>
      <c r="O108">
        <v>3.7220632339362539E-3</v>
      </c>
      <c r="P108">
        <v>2.2332379403617524E-2</v>
      </c>
      <c r="Q108">
        <v>0.86289832640088826</v>
      </c>
      <c r="R108">
        <v>0</v>
      </c>
      <c r="S108">
        <v>9.9255019571633449E-3</v>
      </c>
      <c r="T108">
        <v>0</v>
      </c>
      <c r="U108">
        <v>0</v>
      </c>
      <c r="V108">
        <v>2.4813754892908362E-3</v>
      </c>
      <c r="W108">
        <v>2.4813754892908362E-3</v>
      </c>
      <c r="X108">
        <v>3.7220632339362539E-3</v>
      </c>
      <c r="Y108">
        <v>4.9627509785816724E-3</v>
      </c>
      <c r="Z108">
        <v>1.2406877446454181E-3</v>
      </c>
      <c r="AA108">
        <v>3.1017193616135453E-3</v>
      </c>
      <c r="AB108">
        <v>6.2034387232270905E-3</v>
      </c>
      <c r="AC108">
        <v>3.7220632339362539E-3</v>
      </c>
      <c r="AD108">
        <v>8.6848142125179276E-3</v>
      </c>
      <c r="AE108">
        <v>0.32568053296942223</v>
      </c>
      <c r="AF108">
        <v>1.4267909063422308E-2</v>
      </c>
      <c r="AG108">
        <v>1.7369628425035855E-2</v>
      </c>
      <c r="AH108">
        <v>4.0322351700976089E-2</v>
      </c>
      <c r="AI108">
        <v>6.2034387232270905E-4</v>
      </c>
      <c r="AJ108">
        <v>1.2406877446454181E-2</v>
      </c>
      <c r="AK108">
        <v>1.7369628425035855E-2</v>
      </c>
      <c r="AL108">
        <v>7.6922640168015921E-2</v>
      </c>
      <c r="AM108">
        <v>6.2034387232270905E-3</v>
      </c>
      <c r="AN108">
        <v>2.9776505871490031E-2</v>
      </c>
      <c r="AO108" t="s">
        <v>19</v>
      </c>
      <c r="AT108" t="str">
        <f t="shared" si="2"/>
        <v>3w_</v>
      </c>
      <c r="AU108" t="str">
        <f t="shared" si="3"/>
        <v>gsl</v>
      </c>
    </row>
    <row r="109" spans="1:47">
      <c r="A109" t="s">
        <v>17</v>
      </c>
      <c r="B109" t="s">
        <v>176</v>
      </c>
      <c r="C109" t="s">
        <v>630</v>
      </c>
      <c r="D109" t="s">
        <v>19</v>
      </c>
      <c r="E109" t="s">
        <v>19</v>
      </c>
      <c r="F109" t="s">
        <v>19</v>
      </c>
      <c r="G109" t="s">
        <v>596</v>
      </c>
      <c r="H109" t="s">
        <v>19</v>
      </c>
      <c r="I109" t="s">
        <v>19</v>
      </c>
      <c r="J109" t="s">
        <v>19</v>
      </c>
      <c r="K109" t="s">
        <v>19</v>
      </c>
      <c r="L109">
        <v>0.17369628425035852</v>
      </c>
      <c r="M109">
        <v>0.30148712194883659</v>
      </c>
      <c r="N109">
        <v>4.3424071062589638E-3</v>
      </c>
      <c r="O109">
        <v>3.7220632339362539E-3</v>
      </c>
      <c r="P109">
        <v>2.2332379403617524E-2</v>
      </c>
      <c r="Q109">
        <v>0.86289832640088826</v>
      </c>
      <c r="R109">
        <v>0</v>
      </c>
      <c r="S109">
        <v>9.9255019571633449E-3</v>
      </c>
      <c r="T109">
        <v>0</v>
      </c>
      <c r="U109">
        <v>0</v>
      </c>
      <c r="V109">
        <v>2.4813754892908362E-3</v>
      </c>
      <c r="W109">
        <v>2.4813754892908362E-3</v>
      </c>
      <c r="X109">
        <v>3.7220632339362539E-3</v>
      </c>
      <c r="Y109">
        <v>4.9627509785816724E-3</v>
      </c>
      <c r="Z109">
        <v>1.2406877446454181E-3</v>
      </c>
      <c r="AA109">
        <v>3.1017193616135453E-3</v>
      </c>
      <c r="AB109">
        <v>6.2034387232270905E-3</v>
      </c>
      <c r="AC109">
        <v>3.7220632339362539E-3</v>
      </c>
      <c r="AD109">
        <v>8.6848142125179276E-3</v>
      </c>
      <c r="AE109">
        <v>0.32568053296942223</v>
      </c>
      <c r="AF109">
        <v>1.4267909063422308E-2</v>
      </c>
      <c r="AG109">
        <v>1.7369628425035855E-2</v>
      </c>
      <c r="AH109">
        <v>4.0322351700976089E-2</v>
      </c>
      <c r="AI109">
        <v>6.2034387232270905E-4</v>
      </c>
      <c r="AJ109">
        <v>1.2406877446454181E-2</v>
      </c>
      <c r="AK109">
        <v>1.7369628425035855E-2</v>
      </c>
      <c r="AL109">
        <v>7.6922640168015921E-2</v>
      </c>
      <c r="AM109">
        <v>6.2034387232270905E-3</v>
      </c>
      <c r="AN109">
        <v>2.9776505871490031E-2</v>
      </c>
      <c r="AO109" t="s">
        <v>19</v>
      </c>
      <c r="AT109" t="str">
        <f t="shared" si="2"/>
        <v>3w_</v>
      </c>
      <c r="AU109" t="str">
        <f t="shared" si="3"/>
        <v>gsl</v>
      </c>
    </row>
    <row r="110" spans="1:47">
      <c r="A110" t="s">
        <v>17</v>
      </c>
      <c r="B110" t="s">
        <v>176</v>
      </c>
      <c r="C110" t="s">
        <v>630</v>
      </c>
      <c r="D110" t="s">
        <v>19</v>
      </c>
      <c r="E110" t="s">
        <v>19</v>
      </c>
      <c r="F110" t="s">
        <v>19</v>
      </c>
      <c r="G110" t="s">
        <v>178</v>
      </c>
      <c r="H110" t="s">
        <v>19</v>
      </c>
      <c r="I110" t="s">
        <v>19</v>
      </c>
      <c r="J110" t="s">
        <v>19</v>
      </c>
      <c r="K110" t="s">
        <v>19</v>
      </c>
      <c r="L110">
        <v>0.17369628425035852</v>
      </c>
      <c r="M110">
        <v>0.30148712194883659</v>
      </c>
      <c r="N110">
        <v>4.3424071062589638E-3</v>
      </c>
      <c r="O110">
        <v>3.7220632339362539E-3</v>
      </c>
      <c r="P110">
        <v>2.2332379403617524E-2</v>
      </c>
      <c r="Q110">
        <v>0.86289832640088826</v>
      </c>
      <c r="R110">
        <v>0</v>
      </c>
      <c r="S110">
        <v>9.9255019571633449E-3</v>
      </c>
      <c r="T110">
        <v>0</v>
      </c>
      <c r="U110">
        <v>0</v>
      </c>
      <c r="V110">
        <v>2.4813754892908362E-3</v>
      </c>
      <c r="W110">
        <v>2.4813754892908362E-3</v>
      </c>
      <c r="X110">
        <v>3.7220632339362539E-3</v>
      </c>
      <c r="Y110">
        <v>4.9627509785816724E-3</v>
      </c>
      <c r="Z110">
        <v>1.2406877446454181E-3</v>
      </c>
      <c r="AA110">
        <v>3.1017193616135453E-3</v>
      </c>
      <c r="AB110">
        <v>6.2034387232270905E-3</v>
      </c>
      <c r="AC110">
        <v>3.7220632339362539E-3</v>
      </c>
      <c r="AD110">
        <v>8.6848142125179276E-3</v>
      </c>
      <c r="AE110">
        <v>0.32568053296942223</v>
      </c>
      <c r="AF110">
        <v>1.4267909063422308E-2</v>
      </c>
      <c r="AG110">
        <v>1.7369628425035855E-2</v>
      </c>
      <c r="AH110">
        <v>4.0322351700976089E-2</v>
      </c>
      <c r="AI110">
        <v>6.2034387232270905E-4</v>
      </c>
      <c r="AJ110">
        <v>1.2406877446454181E-2</v>
      </c>
      <c r="AK110">
        <v>1.7369628425035855E-2</v>
      </c>
      <c r="AL110">
        <v>7.6922640168015921E-2</v>
      </c>
      <c r="AM110">
        <v>6.2034387232270905E-3</v>
      </c>
      <c r="AN110">
        <v>2.9776505871490031E-2</v>
      </c>
      <c r="AO110" t="s">
        <v>19</v>
      </c>
      <c r="AT110" t="str">
        <f t="shared" si="2"/>
        <v>3w_</v>
      </c>
      <c r="AU110" t="str">
        <f t="shared" si="3"/>
        <v>gsl</v>
      </c>
    </row>
    <row r="111" spans="1:47">
      <c r="A111" t="s">
        <v>17</v>
      </c>
      <c r="B111" t="s">
        <v>176</v>
      </c>
      <c r="C111" t="s">
        <v>630</v>
      </c>
      <c r="D111" t="s">
        <v>19</v>
      </c>
      <c r="E111" t="s">
        <v>19</v>
      </c>
      <c r="F111" t="s">
        <v>19</v>
      </c>
      <c r="G111" t="s">
        <v>179</v>
      </c>
      <c r="H111" t="s">
        <v>19</v>
      </c>
      <c r="I111" t="s">
        <v>19</v>
      </c>
      <c r="J111" t="s">
        <v>19</v>
      </c>
      <c r="K111" t="s">
        <v>19</v>
      </c>
      <c r="L111">
        <v>0.17369628425035852</v>
      </c>
      <c r="M111">
        <v>0.30148712194883659</v>
      </c>
      <c r="N111">
        <v>4.3424071062589638E-3</v>
      </c>
      <c r="O111">
        <v>3.7220632339362539E-3</v>
      </c>
      <c r="P111">
        <v>2.2332379403617524E-2</v>
      </c>
      <c r="Q111">
        <v>0.86289832640088826</v>
      </c>
      <c r="R111">
        <v>0</v>
      </c>
      <c r="S111">
        <v>9.9255019571633449E-3</v>
      </c>
      <c r="T111">
        <v>0</v>
      </c>
      <c r="U111">
        <v>0</v>
      </c>
      <c r="V111">
        <v>2.4813754892908362E-3</v>
      </c>
      <c r="W111">
        <v>2.4813754892908362E-3</v>
      </c>
      <c r="X111">
        <v>3.7220632339362539E-3</v>
      </c>
      <c r="Y111">
        <v>4.9627509785816724E-3</v>
      </c>
      <c r="Z111">
        <v>1.2406877446454181E-3</v>
      </c>
      <c r="AA111">
        <v>3.1017193616135453E-3</v>
      </c>
      <c r="AB111">
        <v>6.2034387232270905E-3</v>
      </c>
      <c r="AC111">
        <v>3.7220632339362539E-3</v>
      </c>
      <c r="AD111">
        <v>8.6848142125179276E-3</v>
      </c>
      <c r="AE111">
        <v>0.32568053296942223</v>
      </c>
      <c r="AF111">
        <v>1.4267909063422308E-2</v>
      </c>
      <c r="AG111">
        <v>1.7369628425035855E-2</v>
      </c>
      <c r="AH111">
        <v>4.0322351700976089E-2</v>
      </c>
      <c r="AI111">
        <v>6.2034387232270905E-4</v>
      </c>
      <c r="AJ111">
        <v>1.2406877446454181E-2</v>
      </c>
      <c r="AK111">
        <v>1.7369628425035855E-2</v>
      </c>
      <c r="AL111">
        <v>7.6922640168015921E-2</v>
      </c>
      <c r="AM111">
        <v>6.2034387232270905E-3</v>
      </c>
      <c r="AN111">
        <v>2.9776505871490031E-2</v>
      </c>
      <c r="AO111" t="s">
        <v>19</v>
      </c>
      <c r="AT111" t="str">
        <f t="shared" si="2"/>
        <v>3w_</v>
      </c>
      <c r="AU111" t="str">
        <f t="shared" si="3"/>
        <v>gsl</v>
      </c>
    </row>
    <row r="112" spans="1:47">
      <c r="A112" t="s">
        <v>17</v>
      </c>
      <c r="B112" t="s">
        <v>176</v>
      </c>
      <c r="C112" t="s">
        <v>630</v>
      </c>
      <c r="D112" t="s">
        <v>19</v>
      </c>
      <c r="E112" t="s">
        <v>19</v>
      </c>
      <c r="F112" t="s">
        <v>19</v>
      </c>
      <c r="G112" t="s">
        <v>180</v>
      </c>
      <c r="H112" t="s">
        <v>19</v>
      </c>
      <c r="I112" t="s">
        <v>19</v>
      </c>
      <c r="J112" t="s">
        <v>19</v>
      </c>
      <c r="K112" t="s">
        <v>19</v>
      </c>
      <c r="L112">
        <v>0.17369628425035852</v>
      </c>
      <c r="M112">
        <v>0.30148712194883659</v>
      </c>
      <c r="N112">
        <v>4.3424071062589638E-3</v>
      </c>
      <c r="O112">
        <v>3.7220632339362539E-3</v>
      </c>
      <c r="P112">
        <v>2.2332379403617524E-2</v>
      </c>
      <c r="Q112">
        <v>0.86289832640088826</v>
      </c>
      <c r="R112">
        <v>0</v>
      </c>
      <c r="S112">
        <v>9.9255019571633449E-3</v>
      </c>
      <c r="T112">
        <v>0</v>
      </c>
      <c r="U112">
        <v>0</v>
      </c>
      <c r="V112">
        <v>2.4813754892908362E-3</v>
      </c>
      <c r="W112">
        <v>2.4813754892908362E-3</v>
      </c>
      <c r="X112">
        <v>3.7220632339362539E-3</v>
      </c>
      <c r="Y112">
        <v>4.9627509785816724E-3</v>
      </c>
      <c r="Z112">
        <v>1.2406877446454181E-3</v>
      </c>
      <c r="AA112">
        <v>3.1017193616135453E-3</v>
      </c>
      <c r="AB112">
        <v>6.2034387232270905E-3</v>
      </c>
      <c r="AC112">
        <v>3.7220632339362539E-3</v>
      </c>
      <c r="AD112">
        <v>8.6848142125179276E-3</v>
      </c>
      <c r="AE112">
        <v>0.32568053296942223</v>
      </c>
      <c r="AF112">
        <v>1.4267909063422308E-2</v>
      </c>
      <c r="AG112">
        <v>1.7369628425035855E-2</v>
      </c>
      <c r="AH112">
        <v>4.0322351700976089E-2</v>
      </c>
      <c r="AI112">
        <v>6.2034387232270905E-4</v>
      </c>
      <c r="AJ112">
        <v>1.2406877446454181E-2</v>
      </c>
      <c r="AK112">
        <v>1.7369628425035855E-2</v>
      </c>
      <c r="AL112">
        <v>7.6922640168015921E-2</v>
      </c>
      <c r="AM112">
        <v>6.2034387232270905E-3</v>
      </c>
      <c r="AN112">
        <v>2.9776505871490031E-2</v>
      </c>
      <c r="AO112" t="s">
        <v>19</v>
      </c>
      <c r="AT112" t="str">
        <f t="shared" si="2"/>
        <v>3w_</v>
      </c>
      <c r="AU112" t="str">
        <f t="shared" si="3"/>
        <v>gsl</v>
      </c>
    </row>
    <row r="113" spans="1:47">
      <c r="A113" t="s">
        <v>17</v>
      </c>
      <c r="B113" t="s">
        <v>176</v>
      </c>
      <c r="C113" t="s">
        <v>630</v>
      </c>
      <c r="D113" t="s">
        <v>19</v>
      </c>
      <c r="E113" t="s">
        <v>19</v>
      </c>
      <c r="F113" t="s">
        <v>19</v>
      </c>
      <c r="G113" t="s">
        <v>181</v>
      </c>
      <c r="H113" t="s">
        <v>19</v>
      </c>
      <c r="I113" t="s">
        <v>19</v>
      </c>
      <c r="J113" t="s">
        <v>19</v>
      </c>
      <c r="K113" t="s">
        <v>19</v>
      </c>
      <c r="L113">
        <v>0.17369628425035852</v>
      </c>
      <c r="M113">
        <v>0.30148712194883659</v>
      </c>
      <c r="N113">
        <v>4.3424071062589638E-3</v>
      </c>
      <c r="O113">
        <v>3.7220632339362539E-3</v>
      </c>
      <c r="P113">
        <v>2.2332379403617524E-2</v>
      </c>
      <c r="Q113">
        <v>0.86289832640088826</v>
      </c>
      <c r="R113">
        <v>0</v>
      </c>
      <c r="S113">
        <v>9.9255019571633449E-3</v>
      </c>
      <c r="T113">
        <v>0</v>
      </c>
      <c r="U113">
        <v>0</v>
      </c>
      <c r="V113">
        <v>2.4813754892908362E-3</v>
      </c>
      <c r="W113">
        <v>2.4813754892908362E-3</v>
      </c>
      <c r="X113">
        <v>3.7220632339362539E-3</v>
      </c>
      <c r="Y113">
        <v>4.9627509785816724E-3</v>
      </c>
      <c r="Z113">
        <v>1.2406877446454181E-3</v>
      </c>
      <c r="AA113">
        <v>3.1017193616135453E-3</v>
      </c>
      <c r="AB113">
        <v>6.2034387232270905E-3</v>
      </c>
      <c r="AC113">
        <v>3.7220632339362539E-3</v>
      </c>
      <c r="AD113">
        <v>8.6848142125179276E-3</v>
      </c>
      <c r="AE113">
        <v>0.32568053296942223</v>
      </c>
      <c r="AF113">
        <v>1.4267909063422308E-2</v>
      </c>
      <c r="AG113">
        <v>1.7369628425035855E-2</v>
      </c>
      <c r="AH113">
        <v>4.0322351700976089E-2</v>
      </c>
      <c r="AI113">
        <v>6.2034387232270905E-4</v>
      </c>
      <c r="AJ113">
        <v>1.2406877446454181E-2</v>
      </c>
      <c r="AK113">
        <v>1.7369628425035855E-2</v>
      </c>
      <c r="AL113">
        <v>7.6922640168015921E-2</v>
      </c>
      <c r="AM113">
        <v>6.2034387232270905E-3</v>
      </c>
      <c r="AN113">
        <v>2.9776505871490031E-2</v>
      </c>
      <c r="AO113" t="s">
        <v>19</v>
      </c>
      <c r="AT113" t="str">
        <f t="shared" si="2"/>
        <v>3w_</v>
      </c>
      <c r="AU113" t="str">
        <f t="shared" si="3"/>
        <v>gsl</v>
      </c>
    </row>
    <row r="114" spans="1:47">
      <c r="A114" t="s">
        <v>17</v>
      </c>
      <c r="B114" t="s">
        <v>176</v>
      </c>
      <c r="C114" t="s">
        <v>630</v>
      </c>
      <c r="D114" t="s">
        <v>19</v>
      </c>
      <c r="E114" t="s">
        <v>19</v>
      </c>
      <c r="F114" t="s">
        <v>19</v>
      </c>
      <c r="G114" t="s">
        <v>182</v>
      </c>
      <c r="H114" t="s">
        <v>19</v>
      </c>
      <c r="I114" t="s">
        <v>19</v>
      </c>
      <c r="J114" t="s">
        <v>19</v>
      </c>
      <c r="K114" t="s">
        <v>19</v>
      </c>
      <c r="L114">
        <v>0.17369628425035852</v>
      </c>
      <c r="M114">
        <v>0.30148712194883659</v>
      </c>
      <c r="N114">
        <v>4.3424071062589638E-3</v>
      </c>
      <c r="O114">
        <v>3.7220632339362539E-3</v>
      </c>
      <c r="P114">
        <v>2.2332379403617524E-2</v>
      </c>
      <c r="Q114">
        <v>0.86289832640088826</v>
      </c>
      <c r="R114">
        <v>0</v>
      </c>
      <c r="S114">
        <v>9.9255019571633449E-3</v>
      </c>
      <c r="T114">
        <v>0</v>
      </c>
      <c r="U114">
        <v>0</v>
      </c>
      <c r="V114">
        <v>2.4813754892908362E-3</v>
      </c>
      <c r="W114">
        <v>2.4813754892908362E-3</v>
      </c>
      <c r="X114">
        <v>3.7220632339362539E-3</v>
      </c>
      <c r="Y114">
        <v>4.9627509785816724E-3</v>
      </c>
      <c r="Z114">
        <v>1.2406877446454181E-3</v>
      </c>
      <c r="AA114">
        <v>3.1017193616135453E-3</v>
      </c>
      <c r="AB114">
        <v>6.2034387232270905E-3</v>
      </c>
      <c r="AC114">
        <v>3.7220632339362539E-3</v>
      </c>
      <c r="AD114">
        <v>8.6848142125179276E-3</v>
      </c>
      <c r="AE114">
        <v>0.32568053296942223</v>
      </c>
      <c r="AF114">
        <v>1.4267909063422308E-2</v>
      </c>
      <c r="AG114">
        <v>1.7369628425035855E-2</v>
      </c>
      <c r="AH114">
        <v>4.0322351700976089E-2</v>
      </c>
      <c r="AI114">
        <v>6.2034387232270905E-4</v>
      </c>
      <c r="AJ114">
        <v>1.2406877446454181E-2</v>
      </c>
      <c r="AK114">
        <v>1.7369628425035855E-2</v>
      </c>
      <c r="AL114">
        <v>7.6922640168015921E-2</v>
      </c>
      <c r="AM114">
        <v>6.2034387232270905E-3</v>
      </c>
      <c r="AN114">
        <v>2.9776505871490031E-2</v>
      </c>
      <c r="AO114" t="s">
        <v>19</v>
      </c>
      <c r="AT114" t="str">
        <f t="shared" si="2"/>
        <v>3w_</v>
      </c>
      <c r="AU114" t="str">
        <f t="shared" si="3"/>
        <v>gsl</v>
      </c>
    </row>
    <row r="115" spans="1:47">
      <c r="A115" t="s">
        <v>17</v>
      </c>
      <c r="B115" t="s">
        <v>176</v>
      </c>
      <c r="C115" t="s">
        <v>630</v>
      </c>
      <c r="D115" t="s">
        <v>19</v>
      </c>
      <c r="E115" t="s">
        <v>19</v>
      </c>
      <c r="F115" t="s">
        <v>19</v>
      </c>
      <c r="G115" t="s">
        <v>183</v>
      </c>
      <c r="H115" t="s">
        <v>19</v>
      </c>
      <c r="I115" t="s">
        <v>19</v>
      </c>
      <c r="J115" t="s">
        <v>19</v>
      </c>
      <c r="K115" t="s">
        <v>19</v>
      </c>
      <c r="L115">
        <v>0.17369628425035852</v>
      </c>
      <c r="M115">
        <v>0.30148712194883659</v>
      </c>
      <c r="N115">
        <v>4.3424071062589638E-3</v>
      </c>
      <c r="O115">
        <v>3.7220632339362539E-3</v>
      </c>
      <c r="P115">
        <v>2.2332379403617524E-2</v>
      </c>
      <c r="Q115">
        <v>0.86289832640088826</v>
      </c>
      <c r="R115">
        <v>0</v>
      </c>
      <c r="S115">
        <v>9.9255019571633449E-3</v>
      </c>
      <c r="T115">
        <v>0</v>
      </c>
      <c r="U115">
        <v>0</v>
      </c>
      <c r="V115">
        <v>2.4813754892908362E-3</v>
      </c>
      <c r="W115">
        <v>2.4813754892908362E-3</v>
      </c>
      <c r="X115">
        <v>3.7220632339362539E-3</v>
      </c>
      <c r="Y115">
        <v>4.9627509785816724E-3</v>
      </c>
      <c r="Z115">
        <v>1.2406877446454181E-3</v>
      </c>
      <c r="AA115">
        <v>3.1017193616135453E-3</v>
      </c>
      <c r="AB115">
        <v>6.2034387232270905E-3</v>
      </c>
      <c r="AC115">
        <v>3.7220632339362539E-3</v>
      </c>
      <c r="AD115">
        <v>8.6848142125179276E-3</v>
      </c>
      <c r="AE115">
        <v>0.32568053296942223</v>
      </c>
      <c r="AF115">
        <v>1.4267909063422308E-2</v>
      </c>
      <c r="AG115">
        <v>1.7369628425035855E-2</v>
      </c>
      <c r="AH115">
        <v>4.0322351700976089E-2</v>
      </c>
      <c r="AI115">
        <v>6.2034387232270905E-4</v>
      </c>
      <c r="AJ115">
        <v>1.2406877446454181E-2</v>
      </c>
      <c r="AK115">
        <v>1.7369628425035855E-2</v>
      </c>
      <c r="AL115">
        <v>7.6922640168015921E-2</v>
      </c>
      <c r="AM115">
        <v>6.2034387232270905E-3</v>
      </c>
      <c r="AN115">
        <v>2.9776505871490031E-2</v>
      </c>
      <c r="AO115" t="s">
        <v>19</v>
      </c>
      <c r="AT115" t="str">
        <f t="shared" si="2"/>
        <v>3w_</v>
      </c>
      <c r="AU115" t="str">
        <f t="shared" si="3"/>
        <v>gsl</v>
      </c>
    </row>
    <row r="116" spans="1:47">
      <c r="A116" t="s">
        <v>17</v>
      </c>
      <c r="B116" t="s">
        <v>176</v>
      </c>
      <c r="C116" t="s">
        <v>630</v>
      </c>
      <c r="D116" t="s">
        <v>19</v>
      </c>
      <c r="E116" t="s">
        <v>19</v>
      </c>
      <c r="F116" t="s">
        <v>19</v>
      </c>
      <c r="G116" t="s">
        <v>184</v>
      </c>
      <c r="H116" t="s">
        <v>19</v>
      </c>
      <c r="I116" t="s">
        <v>19</v>
      </c>
      <c r="J116" t="s">
        <v>19</v>
      </c>
      <c r="K116" t="s">
        <v>19</v>
      </c>
      <c r="L116">
        <v>0.17369628425035852</v>
      </c>
      <c r="M116">
        <v>0.30148712194883659</v>
      </c>
      <c r="N116">
        <v>4.3424071062589638E-3</v>
      </c>
      <c r="O116">
        <v>3.7220632339362539E-3</v>
      </c>
      <c r="P116">
        <v>2.2332379403617524E-2</v>
      </c>
      <c r="Q116">
        <v>0.86289832640088826</v>
      </c>
      <c r="R116">
        <v>0</v>
      </c>
      <c r="S116">
        <v>9.9255019571633449E-3</v>
      </c>
      <c r="T116">
        <v>0</v>
      </c>
      <c r="U116">
        <v>0</v>
      </c>
      <c r="V116">
        <v>2.4813754892908362E-3</v>
      </c>
      <c r="W116">
        <v>2.4813754892908362E-3</v>
      </c>
      <c r="X116">
        <v>3.7220632339362539E-3</v>
      </c>
      <c r="Y116">
        <v>4.9627509785816724E-3</v>
      </c>
      <c r="Z116">
        <v>1.2406877446454181E-3</v>
      </c>
      <c r="AA116">
        <v>3.1017193616135453E-3</v>
      </c>
      <c r="AB116">
        <v>6.2034387232270905E-3</v>
      </c>
      <c r="AC116">
        <v>3.7220632339362539E-3</v>
      </c>
      <c r="AD116">
        <v>8.6848142125179276E-3</v>
      </c>
      <c r="AE116">
        <v>0.32568053296942223</v>
      </c>
      <c r="AF116">
        <v>1.4267909063422308E-2</v>
      </c>
      <c r="AG116">
        <v>1.7369628425035855E-2</v>
      </c>
      <c r="AH116">
        <v>4.0322351700976089E-2</v>
      </c>
      <c r="AI116">
        <v>6.2034387232270905E-4</v>
      </c>
      <c r="AJ116">
        <v>1.2406877446454181E-2</v>
      </c>
      <c r="AK116">
        <v>1.7369628425035855E-2</v>
      </c>
      <c r="AL116">
        <v>7.6922640168015921E-2</v>
      </c>
      <c r="AM116">
        <v>6.2034387232270905E-3</v>
      </c>
      <c r="AN116">
        <v>2.9776505871490031E-2</v>
      </c>
      <c r="AO116" t="s">
        <v>19</v>
      </c>
      <c r="AT116" t="str">
        <f t="shared" si="2"/>
        <v>3w_</v>
      </c>
      <c r="AU116" t="str">
        <f t="shared" si="3"/>
        <v>gsl</v>
      </c>
    </row>
    <row r="117" spans="1:47">
      <c r="A117" t="s">
        <v>17</v>
      </c>
      <c r="B117" t="s">
        <v>176</v>
      </c>
      <c r="C117" t="s">
        <v>630</v>
      </c>
      <c r="D117" t="s">
        <v>19</v>
      </c>
      <c r="E117" t="s">
        <v>19</v>
      </c>
      <c r="F117" t="s">
        <v>19</v>
      </c>
      <c r="G117" t="s">
        <v>185</v>
      </c>
      <c r="H117" t="s">
        <v>19</v>
      </c>
      <c r="I117" t="s">
        <v>19</v>
      </c>
      <c r="J117" t="s">
        <v>19</v>
      </c>
      <c r="K117" t="s">
        <v>19</v>
      </c>
      <c r="L117">
        <v>0.17369628425035852</v>
      </c>
      <c r="M117">
        <v>0.30148712194883659</v>
      </c>
      <c r="N117">
        <v>4.3424071062589638E-3</v>
      </c>
      <c r="O117">
        <v>3.7220632339362539E-3</v>
      </c>
      <c r="P117">
        <v>2.2332379403617524E-2</v>
      </c>
      <c r="Q117">
        <v>0.86289832640088826</v>
      </c>
      <c r="R117">
        <v>0</v>
      </c>
      <c r="S117">
        <v>9.9255019571633449E-3</v>
      </c>
      <c r="T117">
        <v>0</v>
      </c>
      <c r="U117">
        <v>0</v>
      </c>
      <c r="V117">
        <v>2.4813754892908362E-3</v>
      </c>
      <c r="W117">
        <v>2.4813754892908362E-3</v>
      </c>
      <c r="X117">
        <v>3.7220632339362539E-3</v>
      </c>
      <c r="Y117">
        <v>4.9627509785816724E-3</v>
      </c>
      <c r="Z117">
        <v>1.2406877446454181E-3</v>
      </c>
      <c r="AA117">
        <v>3.1017193616135453E-3</v>
      </c>
      <c r="AB117">
        <v>6.2034387232270905E-3</v>
      </c>
      <c r="AC117">
        <v>3.7220632339362539E-3</v>
      </c>
      <c r="AD117">
        <v>8.6848142125179276E-3</v>
      </c>
      <c r="AE117">
        <v>0.32568053296942223</v>
      </c>
      <c r="AF117">
        <v>1.4267909063422308E-2</v>
      </c>
      <c r="AG117">
        <v>1.7369628425035855E-2</v>
      </c>
      <c r="AH117">
        <v>4.0322351700976089E-2</v>
      </c>
      <c r="AI117">
        <v>6.2034387232270905E-4</v>
      </c>
      <c r="AJ117">
        <v>1.2406877446454181E-2</v>
      </c>
      <c r="AK117">
        <v>1.7369628425035855E-2</v>
      </c>
      <c r="AL117">
        <v>7.6922640168015921E-2</v>
      </c>
      <c r="AM117">
        <v>6.2034387232270905E-3</v>
      </c>
      <c r="AN117">
        <v>2.9776505871490031E-2</v>
      </c>
      <c r="AO117" t="s">
        <v>19</v>
      </c>
      <c r="AT117" t="str">
        <f t="shared" si="2"/>
        <v>3w_</v>
      </c>
      <c r="AU117" t="str">
        <f t="shared" si="3"/>
        <v>gsl</v>
      </c>
    </row>
    <row r="118" spans="1:47">
      <c r="A118" t="s">
        <v>17</v>
      </c>
      <c r="B118" t="s">
        <v>176</v>
      </c>
      <c r="C118" t="s">
        <v>630</v>
      </c>
      <c r="D118" t="s">
        <v>19</v>
      </c>
      <c r="E118" t="s">
        <v>19</v>
      </c>
      <c r="F118" t="s">
        <v>19</v>
      </c>
      <c r="G118" t="s">
        <v>186</v>
      </c>
      <c r="H118" t="s">
        <v>19</v>
      </c>
      <c r="I118" t="s">
        <v>19</v>
      </c>
      <c r="J118" t="s">
        <v>19</v>
      </c>
      <c r="K118" t="s">
        <v>19</v>
      </c>
      <c r="L118">
        <v>0.17369628425035852</v>
      </c>
      <c r="M118">
        <v>0.30148712194883659</v>
      </c>
      <c r="N118">
        <v>4.3424071062589638E-3</v>
      </c>
      <c r="O118">
        <v>3.7220632339362539E-3</v>
      </c>
      <c r="P118">
        <v>2.2332379403617524E-2</v>
      </c>
      <c r="Q118">
        <v>0.86289832640088826</v>
      </c>
      <c r="R118">
        <v>0</v>
      </c>
      <c r="S118">
        <v>9.9255019571633449E-3</v>
      </c>
      <c r="T118">
        <v>0</v>
      </c>
      <c r="U118">
        <v>0</v>
      </c>
      <c r="V118">
        <v>2.4813754892908362E-3</v>
      </c>
      <c r="W118">
        <v>2.4813754892908362E-3</v>
      </c>
      <c r="X118">
        <v>3.7220632339362539E-3</v>
      </c>
      <c r="Y118">
        <v>4.9627509785816724E-3</v>
      </c>
      <c r="Z118">
        <v>1.2406877446454181E-3</v>
      </c>
      <c r="AA118">
        <v>3.1017193616135453E-3</v>
      </c>
      <c r="AB118">
        <v>6.2034387232270905E-3</v>
      </c>
      <c r="AC118">
        <v>3.7220632339362539E-3</v>
      </c>
      <c r="AD118">
        <v>8.6848142125179276E-3</v>
      </c>
      <c r="AE118">
        <v>0.32568053296942223</v>
      </c>
      <c r="AF118">
        <v>1.4267909063422308E-2</v>
      </c>
      <c r="AG118">
        <v>1.7369628425035855E-2</v>
      </c>
      <c r="AH118">
        <v>4.0322351700976089E-2</v>
      </c>
      <c r="AI118">
        <v>6.2034387232270905E-4</v>
      </c>
      <c r="AJ118">
        <v>1.2406877446454181E-2</v>
      </c>
      <c r="AK118">
        <v>1.7369628425035855E-2</v>
      </c>
      <c r="AL118">
        <v>7.6922640168015921E-2</v>
      </c>
      <c r="AM118">
        <v>6.2034387232270905E-3</v>
      </c>
      <c r="AN118">
        <v>2.9776505871490031E-2</v>
      </c>
      <c r="AO118" t="s">
        <v>19</v>
      </c>
      <c r="AT118" t="str">
        <f t="shared" si="2"/>
        <v>3w_</v>
      </c>
      <c r="AU118" t="str">
        <f t="shared" si="3"/>
        <v>gsl</v>
      </c>
    </row>
    <row r="119" spans="1:47">
      <c r="A119" t="s">
        <v>17</v>
      </c>
      <c r="B119" t="s">
        <v>176</v>
      </c>
      <c r="C119" t="s">
        <v>630</v>
      </c>
      <c r="D119" t="s">
        <v>19</v>
      </c>
      <c r="E119" t="s">
        <v>19</v>
      </c>
      <c r="F119" t="s">
        <v>19</v>
      </c>
      <c r="G119" t="s">
        <v>187</v>
      </c>
      <c r="H119" t="s">
        <v>19</v>
      </c>
      <c r="I119" t="s">
        <v>19</v>
      </c>
      <c r="J119" t="s">
        <v>19</v>
      </c>
      <c r="K119" t="s">
        <v>19</v>
      </c>
      <c r="L119">
        <v>0.17369628425035852</v>
      </c>
      <c r="M119">
        <v>0.30148712194883659</v>
      </c>
      <c r="N119">
        <v>4.3424071062589638E-3</v>
      </c>
      <c r="O119">
        <v>3.7220632339362539E-3</v>
      </c>
      <c r="P119">
        <v>2.2332379403617524E-2</v>
      </c>
      <c r="Q119">
        <v>0.86289832640088826</v>
      </c>
      <c r="R119">
        <v>0</v>
      </c>
      <c r="S119">
        <v>9.9255019571633449E-3</v>
      </c>
      <c r="T119">
        <v>0</v>
      </c>
      <c r="U119">
        <v>0</v>
      </c>
      <c r="V119">
        <v>2.4813754892908362E-3</v>
      </c>
      <c r="W119">
        <v>2.4813754892908362E-3</v>
      </c>
      <c r="X119">
        <v>3.7220632339362539E-3</v>
      </c>
      <c r="Y119">
        <v>4.9627509785816724E-3</v>
      </c>
      <c r="Z119">
        <v>1.2406877446454181E-3</v>
      </c>
      <c r="AA119">
        <v>3.1017193616135453E-3</v>
      </c>
      <c r="AB119">
        <v>6.2034387232270905E-3</v>
      </c>
      <c r="AC119">
        <v>3.7220632339362539E-3</v>
      </c>
      <c r="AD119">
        <v>8.6848142125179276E-3</v>
      </c>
      <c r="AE119">
        <v>0.32568053296942223</v>
      </c>
      <c r="AF119">
        <v>1.4267909063422308E-2</v>
      </c>
      <c r="AG119">
        <v>1.7369628425035855E-2</v>
      </c>
      <c r="AH119">
        <v>4.0322351700976089E-2</v>
      </c>
      <c r="AI119">
        <v>6.2034387232270905E-4</v>
      </c>
      <c r="AJ119">
        <v>1.2406877446454181E-2</v>
      </c>
      <c r="AK119">
        <v>1.7369628425035855E-2</v>
      </c>
      <c r="AL119">
        <v>7.6922640168015921E-2</v>
      </c>
      <c r="AM119">
        <v>6.2034387232270905E-3</v>
      </c>
      <c r="AN119">
        <v>2.9776505871490031E-2</v>
      </c>
      <c r="AO119" t="s">
        <v>19</v>
      </c>
      <c r="AT119" t="str">
        <f t="shared" si="2"/>
        <v>3w_</v>
      </c>
      <c r="AU119" t="str">
        <f t="shared" si="3"/>
        <v>gsl</v>
      </c>
    </row>
    <row r="120" spans="1:47">
      <c r="A120" t="s">
        <v>17</v>
      </c>
      <c r="B120" t="s">
        <v>176</v>
      </c>
      <c r="C120" t="s">
        <v>630</v>
      </c>
      <c r="D120" t="s">
        <v>19</v>
      </c>
      <c r="E120" t="s">
        <v>19</v>
      </c>
      <c r="F120" t="s">
        <v>19</v>
      </c>
      <c r="G120" t="s">
        <v>188</v>
      </c>
      <c r="H120" t="s">
        <v>19</v>
      </c>
      <c r="I120" t="s">
        <v>19</v>
      </c>
      <c r="J120" t="s">
        <v>19</v>
      </c>
      <c r="K120" t="s">
        <v>19</v>
      </c>
      <c r="L120">
        <v>0.17369628425035852</v>
      </c>
      <c r="M120">
        <v>0.30148712194883659</v>
      </c>
      <c r="N120">
        <v>4.3424071062589638E-3</v>
      </c>
      <c r="O120">
        <v>3.7220632339362539E-3</v>
      </c>
      <c r="P120">
        <v>2.2332379403617524E-2</v>
      </c>
      <c r="Q120">
        <v>0.86289832640088826</v>
      </c>
      <c r="R120">
        <v>0</v>
      </c>
      <c r="S120">
        <v>9.9255019571633449E-3</v>
      </c>
      <c r="T120">
        <v>0</v>
      </c>
      <c r="U120">
        <v>0</v>
      </c>
      <c r="V120">
        <v>2.4813754892908362E-3</v>
      </c>
      <c r="W120">
        <v>2.4813754892908362E-3</v>
      </c>
      <c r="X120">
        <v>3.7220632339362539E-3</v>
      </c>
      <c r="Y120">
        <v>4.9627509785816724E-3</v>
      </c>
      <c r="Z120">
        <v>1.2406877446454181E-3</v>
      </c>
      <c r="AA120">
        <v>3.1017193616135453E-3</v>
      </c>
      <c r="AB120">
        <v>6.2034387232270905E-3</v>
      </c>
      <c r="AC120">
        <v>3.7220632339362539E-3</v>
      </c>
      <c r="AD120">
        <v>8.6848142125179276E-3</v>
      </c>
      <c r="AE120">
        <v>0.32568053296942223</v>
      </c>
      <c r="AF120">
        <v>1.4267909063422308E-2</v>
      </c>
      <c r="AG120">
        <v>1.7369628425035855E-2</v>
      </c>
      <c r="AH120">
        <v>4.0322351700976089E-2</v>
      </c>
      <c r="AI120">
        <v>6.2034387232270905E-4</v>
      </c>
      <c r="AJ120">
        <v>1.2406877446454181E-2</v>
      </c>
      <c r="AK120">
        <v>1.7369628425035855E-2</v>
      </c>
      <c r="AL120">
        <v>7.6922640168015921E-2</v>
      </c>
      <c r="AM120">
        <v>6.2034387232270905E-3</v>
      </c>
      <c r="AN120">
        <v>2.9776505871490031E-2</v>
      </c>
      <c r="AO120" t="s">
        <v>19</v>
      </c>
      <c r="AT120" t="str">
        <f t="shared" si="2"/>
        <v>3w_</v>
      </c>
      <c r="AU120" t="str">
        <f t="shared" si="3"/>
        <v>gsl</v>
      </c>
    </row>
    <row r="121" spans="1:47">
      <c r="A121" t="s">
        <v>17</v>
      </c>
      <c r="B121" t="s">
        <v>176</v>
      </c>
      <c r="C121" t="s">
        <v>630</v>
      </c>
      <c r="D121" t="s">
        <v>19</v>
      </c>
      <c r="E121" t="s">
        <v>19</v>
      </c>
      <c r="F121" t="s">
        <v>19</v>
      </c>
      <c r="G121" t="s">
        <v>100</v>
      </c>
      <c r="H121" t="s">
        <v>19</v>
      </c>
      <c r="I121" t="s">
        <v>19</v>
      </c>
      <c r="J121" t="s">
        <v>19</v>
      </c>
      <c r="K121" t="s">
        <v>19</v>
      </c>
      <c r="L121">
        <v>0.17369628425035852</v>
      </c>
      <c r="M121">
        <v>0.30148712194883659</v>
      </c>
      <c r="N121">
        <v>4.3424071062589638E-3</v>
      </c>
      <c r="O121">
        <v>3.7220632339362539E-3</v>
      </c>
      <c r="P121">
        <v>2.2332379403617524E-2</v>
      </c>
      <c r="Q121">
        <v>0.86289832640088826</v>
      </c>
      <c r="R121">
        <v>0</v>
      </c>
      <c r="S121">
        <v>9.9255019571633449E-3</v>
      </c>
      <c r="T121">
        <v>0</v>
      </c>
      <c r="U121">
        <v>0</v>
      </c>
      <c r="V121">
        <v>2.4813754892908362E-3</v>
      </c>
      <c r="W121">
        <v>2.4813754892908362E-3</v>
      </c>
      <c r="X121">
        <v>3.7220632339362539E-3</v>
      </c>
      <c r="Y121">
        <v>4.9627509785816724E-3</v>
      </c>
      <c r="Z121">
        <v>1.2406877446454181E-3</v>
      </c>
      <c r="AA121">
        <v>3.1017193616135453E-3</v>
      </c>
      <c r="AB121">
        <v>6.2034387232270905E-3</v>
      </c>
      <c r="AC121">
        <v>3.7220632339362539E-3</v>
      </c>
      <c r="AD121">
        <v>8.6848142125179276E-3</v>
      </c>
      <c r="AE121">
        <v>0.32568053296942223</v>
      </c>
      <c r="AF121">
        <v>1.4267909063422308E-2</v>
      </c>
      <c r="AG121">
        <v>1.7369628425035855E-2</v>
      </c>
      <c r="AH121">
        <v>4.0322351700976089E-2</v>
      </c>
      <c r="AI121">
        <v>6.2034387232270905E-4</v>
      </c>
      <c r="AJ121">
        <v>1.2406877446454181E-2</v>
      </c>
      <c r="AK121">
        <v>1.7369628425035855E-2</v>
      </c>
      <c r="AL121">
        <v>7.6922640168015921E-2</v>
      </c>
      <c r="AM121">
        <v>6.2034387232270905E-3</v>
      </c>
      <c r="AN121">
        <v>2.9776505871490031E-2</v>
      </c>
      <c r="AO121" t="s">
        <v>19</v>
      </c>
      <c r="AT121" t="str">
        <f t="shared" si="2"/>
        <v>3w_</v>
      </c>
      <c r="AU121" t="str">
        <f t="shared" si="3"/>
        <v>gsl</v>
      </c>
    </row>
    <row r="122" spans="1:47">
      <c r="A122" t="s">
        <v>17</v>
      </c>
      <c r="B122" t="s">
        <v>176</v>
      </c>
      <c r="C122" t="s">
        <v>629</v>
      </c>
      <c r="D122" t="s">
        <v>19</v>
      </c>
      <c r="E122" t="s">
        <v>19</v>
      </c>
      <c r="F122" t="s">
        <v>19</v>
      </c>
      <c r="G122" t="s">
        <v>603</v>
      </c>
      <c r="H122" t="s">
        <v>19</v>
      </c>
      <c r="I122" t="s">
        <v>19</v>
      </c>
      <c r="J122" t="s">
        <v>19</v>
      </c>
      <c r="K122" t="s">
        <v>19</v>
      </c>
      <c r="L122">
        <v>0</v>
      </c>
      <c r="M122">
        <v>0</v>
      </c>
      <c r="N122">
        <v>6.2034387232270905E-4</v>
      </c>
      <c r="O122">
        <v>0</v>
      </c>
      <c r="P122">
        <v>0</v>
      </c>
      <c r="Q122">
        <v>4.3424071062589638E-3</v>
      </c>
      <c r="R122">
        <v>0</v>
      </c>
      <c r="S122">
        <v>7.4441264678725078E-3</v>
      </c>
      <c r="T122">
        <v>0</v>
      </c>
      <c r="U122">
        <v>1.2406877446454181E-3</v>
      </c>
      <c r="V122">
        <v>6.2034387232270905E-4</v>
      </c>
      <c r="W122">
        <v>1.2406877446454181E-3</v>
      </c>
      <c r="X122">
        <v>6.2034387232270905E-4</v>
      </c>
      <c r="Y122">
        <v>6.2034387232270905E-4</v>
      </c>
      <c r="Z122">
        <v>6.2034387232270905E-4</v>
      </c>
      <c r="AA122">
        <v>6.2034387232270905E-4</v>
      </c>
      <c r="AB122">
        <v>0</v>
      </c>
      <c r="AC122">
        <v>6.2034387232270905E-4</v>
      </c>
      <c r="AD122">
        <v>6.2034387232270905E-4</v>
      </c>
      <c r="AE122">
        <v>0</v>
      </c>
      <c r="AF122">
        <v>6.2034387232270905E-4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6.2034387232270905E-4</v>
      </c>
      <c r="AN122">
        <v>6.2034387232270905E-4</v>
      </c>
      <c r="AO122" t="s">
        <v>19</v>
      </c>
      <c r="AT122" t="str">
        <f t="shared" si="2"/>
        <v>bus</v>
      </c>
      <c r="AU122" t="str">
        <f t="shared" si="3"/>
        <v>bdl</v>
      </c>
    </row>
    <row r="123" spans="1:47">
      <c r="A123" t="s">
        <v>17</v>
      </c>
      <c r="B123" t="s">
        <v>176</v>
      </c>
      <c r="C123" t="s">
        <v>629</v>
      </c>
      <c r="D123" t="s">
        <v>19</v>
      </c>
      <c r="E123" t="s">
        <v>19</v>
      </c>
      <c r="F123" t="s">
        <v>19</v>
      </c>
      <c r="G123" t="s">
        <v>602</v>
      </c>
      <c r="H123" t="s">
        <v>19</v>
      </c>
      <c r="I123" t="s">
        <v>19</v>
      </c>
      <c r="J123" t="s">
        <v>19</v>
      </c>
      <c r="K123" t="s">
        <v>19</v>
      </c>
      <c r="L123">
        <v>0</v>
      </c>
      <c r="M123">
        <v>0</v>
      </c>
      <c r="N123">
        <v>6.2034387232270905E-4</v>
      </c>
      <c r="O123">
        <v>0</v>
      </c>
      <c r="P123">
        <v>0</v>
      </c>
      <c r="Q123">
        <v>4.3424071062589638E-3</v>
      </c>
      <c r="R123">
        <v>0</v>
      </c>
      <c r="S123">
        <v>7.4441264678725078E-3</v>
      </c>
      <c r="T123">
        <v>0</v>
      </c>
      <c r="U123">
        <v>1.2406877446454181E-3</v>
      </c>
      <c r="V123">
        <v>6.2034387232270905E-4</v>
      </c>
      <c r="W123">
        <v>1.2406877446454181E-3</v>
      </c>
      <c r="X123">
        <v>6.2034387232270905E-4</v>
      </c>
      <c r="Y123">
        <v>6.2034387232270905E-4</v>
      </c>
      <c r="Z123">
        <v>6.2034387232270905E-4</v>
      </c>
      <c r="AA123">
        <v>6.2034387232270905E-4</v>
      </c>
      <c r="AB123">
        <v>0</v>
      </c>
      <c r="AC123">
        <v>6.2034387232270905E-4</v>
      </c>
      <c r="AD123">
        <v>6.2034387232270905E-4</v>
      </c>
      <c r="AE123">
        <v>0</v>
      </c>
      <c r="AF123">
        <v>6.2034387232270905E-4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6.2034387232270905E-4</v>
      </c>
      <c r="AN123">
        <v>6.2034387232270905E-4</v>
      </c>
      <c r="AO123" t="s">
        <v>19</v>
      </c>
      <c r="AT123" t="str">
        <f t="shared" si="2"/>
        <v>bus</v>
      </c>
      <c r="AU123" t="str">
        <f t="shared" si="3"/>
        <v>bdl</v>
      </c>
    </row>
    <row r="124" spans="1:47">
      <c r="A124" t="s">
        <v>17</v>
      </c>
      <c r="B124" t="s">
        <v>176</v>
      </c>
      <c r="C124" t="s">
        <v>629</v>
      </c>
      <c r="D124" t="s">
        <v>19</v>
      </c>
      <c r="E124" t="s">
        <v>19</v>
      </c>
      <c r="F124" t="s">
        <v>19</v>
      </c>
      <c r="G124" t="s">
        <v>601</v>
      </c>
      <c r="H124" t="s">
        <v>19</v>
      </c>
      <c r="I124" t="s">
        <v>19</v>
      </c>
      <c r="J124" t="s">
        <v>19</v>
      </c>
      <c r="K124" t="s">
        <v>19</v>
      </c>
      <c r="L124">
        <v>0</v>
      </c>
      <c r="M124">
        <v>0</v>
      </c>
      <c r="N124">
        <v>6.2034387232270905E-4</v>
      </c>
      <c r="O124">
        <v>0</v>
      </c>
      <c r="P124">
        <v>0</v>
      </c>
      <c r="Q124">
        <v>4.3424071062589638E-3</v>
      </c>
      <c r="R124">
        <v>0</v>
      </c>
      <c r="S124">
        <v>7.4441264678725078E-3</v>
      </c>
      <c r="T124">
        <v>0</v>
      </c>
      <c r="U124">
        <v>1.2406877446454181E-3</v>
      </c>
      <c r="V124">
        <v>6.2034387232270905E-4</v>
      </c>
      <c r="W124">
        <v>1.2406877446454181E-3</v>
      </c>
      <c r="X124">
        <v>6.2034387232270905E-4</v>
      </c>
      <c r="Y124">
        <v>6.2034387232270905E-4</v>
      </c>
      <c r="Z124">
        <v>6.2034387232270905E-4</v>
      </c>
      <c r="AA124">
        <v>6.2034387232270905E-4</v>
      </c>
      <c r="AB124">
        <v>0</v>
      </c>
      <c r="AC124">
        <v>6.2034387232270905E-4</v>
      </c>
      <c r="AD124">
        <v>6.2034387232270905E-4</v>
      </c>
      <c r="AE124">
        <v>0</v>
      </c>
      <c r="AF124">
        <v>6.2034387232270905E-4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6.2034387232270905E-4</v>
      </c>
      <c r="AN124">
        <v>6.2034387232270905E-4</v>
      </c>
      <c r="AO124" t="s">
        <v>19</v>
      </c>
      <c r="AT124" t="str">
        <f t="shared" si="2"/>
        <v>bus</v>
      </c>
      <c r="AU124" t="str">
        <f t="shared" si="3"/>
        <v>bdl</v>
      </c>
    </row>
    <row r="125" spans="1:47">
      <c r="A125" t="s">
        <v>17</v>
      </c>
      <c r="B125" t="s">
        <v>176</v>
      </c>
      <c r="C125" t="s">
        <v>629</v>
      </c>
      <c r="D125" t="s">
        <v>19</v>
      </c>
      <c r="E125" t="s">
        <v>19</v>
      </c>
      <c r="F125" t="s">
        <v>19</v>
      </c>
      <c r="G125" t="s">
        <v>600</v>
      </c>
      <c r="H125" t="s">
        <v>19</v>
      </c>
      <c r="I125" t="s">
        <v>19</v>
      </c>
      <c r="J125" t="s">
        <v>19</v>
      </c>
      <c r="K125" t="s">
        <v>19</v>
      </c>
      <c r="L125">
        <v>0</v>
      </c>
      <c r="M125">
        <v>0</v>
      </c>
      <c r="N125">
        <v>6.2034387232270905E-4</v>
      </c>
      <c r="O125">
        <v>0</v>
      </c>
      <c r="P125">
        <v>0</v>
      </c>
      <c r="Q125">
        <v>4.3424071062589638E-3</v>
      </c>
      <c r="R125">
        <v>0</v>
      </c>
      <c r="S125">
        <v>7.4441264678725078E-3</v>
      </c>
      <c r="T125">
        <v>0</v>
      </c>
      <c r="U125">
        <v>1.2406877446454181E-3</v>
      </c>
      <c r="V125">
        <v>6.2034387232270905E-4</v>
      </c>
      <c r="W125">
        <v>1.2406877446454181E-3</v>
      </c>
      <c r="X125">
        <v>6.2034387232270905E-4</v>
      </c>
      <c r="Y125">
        <v>6.2034387232270905E-4</v>
      </c>
      <c r="Z125">
        <v>6.2034387232270905E-4</v>
      </c>
      <c r="AA125">
        <v>6.2034387232270905E-4</v>
      </c>
      <c r="AB125">
        <v>0</v>
      </c>
      <c r="AC125">
        <v>6.2034387232270905E-4</v>
      </c>
      <c r="AD125">
        <v>6.2034387232270905E-4</v>
      </c>
      <c r="AE125">
        <v>0</v>
      </c>
      <c r="AF125">
        <v>6.2034387232270905E-4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6.2034387232270905E-4</v>
      </c>
      <c r="AN125">
        <v>6.2034387232270905E-4</v>
      </c>
      <c r="AO125" t="s">
        <v>19</v>
      </c>
      <c r="AT125" t="str">
        <f t="shared" si="2"/>
        <v>bus</v>
      </c>
      <c r="AU125" t="str">
        <f t="shared" si="3"/>
        <v>bdl</v>
      </c>
    </row>
    <row r="126" spans="1:47">
      <c r="A126" t="s">
        <v>17</v>
      </c>
      <c r="B126" t="s">
        <v>176</v>
      </c>
      <c r="C126" t="s">
        <v>629</v>
      </c>
      <c r="D126" t="s">
        <v>19</v>
      </c>
      <c r="E126" t="s">
        <v>19</v>
      </c>
      <c r="F126" t="s">
        <v>19</v>
      </c>
      <c r="G126" t="s">
        <v>599</v>
      </c>
      <c r="H126" t="s">
        <v>19</v>
      </c>
      <c r="I126" t="s">
        <v>19</v>
      </c>
      <c r="J126" t="s">
        <v>19</v>
      </c>
      <c r="K126" t="s">
        <v>19</v>
      </c>
      <c r="L126">
        <v>0</v>
      </c>
      <c r="M126">
        <v>0</v>
      </c>
      <c r="N126">
        <v>6.2034387232270905E-4</v>
      </c>
      <c r="O126">
        <v>0</v>
      </c>
      <c r="P126">
        <v>0</v>
      </c>
      <c r="Q126">
        <v>4.3424071062589638E-3</v>
      </c>
      <c r="R126">
        <v>0</v>
      </c>
      <c r="S126">
        <v>7.4441264678725078E-3</v>
      </c>
      <c r="T126">
        <v>0</v>
      </c>
      <c r="U126">
        <v>1.2406877446454181E-3</v>
      </c>
      <c r="V126">
        <v>6.2034387232270905E-4</v>
      </c>
      <c r="W126">
        <v>1.2406877446454181E-3</v>
      </c>
      <c r="X126">
        <v>6.2034387232270905E-4</v>
      </c>
      <c r="Y126">
        <v>6.2034387232270905E-4</v>
      </c>
      <c r="Z126">
        <v>6.2034387232270905E-4</v>
      </c>
      <c r="AA126">
        <v>6.2034387232270905E-4</v>
      </c>
      <c r="AB126">
        <v>0</v>
      </c>
      <c r="AC126">
        <v>6.2034387232270905E-4</v>
      </c>
      <c r="AD126">
        <v>6.2034387232270905E-4</v>
      </c>
      <c r="AE126">
        <v>0</v>
      </c>
      <c r="AF126">
        <v>6.2034387232270905E-4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6.2034387232270905E-4</v>
      </c>
      <c r="AN126">
        <v>6.2034387232270905E-4</v>
      </c>
      <c r="AO126" t="s">
        <v>19</v>
      </c>
      <c r="AT126" t="str">
        <f t="shared" si="2"/>
        <v>bus</v>
      </c>
      <c r="AU126" t="str">
        <f t="shared" si="3"/>
        <v>bdl</v>
      </c>
    </row>
    <row r="127" spans="1:47">
      <c r="A127" t="s">
        <v>17</v>
      </c>
      <c r="B127" t="s">
        <v>176</v>
      </c>
      <c r="C127" t="s">
        <v>629</v>
      </c>
      <c r="D127" t="s">
        <v>19</v>
      </c>
      <c r="E127" t="s">
        <v>19</v>
      </c>
      <c r="F127" t="s">
        <v>19</v>
      </c>
      <c r="G127" t="s">
        <v>598</v>
      </c>
      <c r="H127" t="s">
        <v>19</v>
      </c>
      <c r="I127" t="s">
        <v>19</v>
      </c>
      <c r="J127" t="s">
        <v>19</v>
      </c>
      <c r="K127" t="s">
        <v>19</v>
      </c>
      <c r="L127">
        <v>0</v>
      </c>
      <c r="M127">
        <v>0</v>
      </c>
      <c r="N127">
        <v>6.2034387232270905E-4</v>
      </c>
      <c r="O127">
        <v>0</v>
      </c>
      <c r="P127">
        <v>0</v>
      </c>
      <c r="Q127">
        <v>4.3424071062589638E-3</v>
      </c>
      <c r="R127">
        <v>0</v>
      </c>
      <c r="S127">
        <v>7.4441264678725078E-3</v>
      </c>
      <c r="T127">
        <v>0</v>
      </c>
      <c r="U127">
        <v>1.2406877446454181E-3</v>
      </c>
      <c r="V127">
        <v>6.2034387232270905E-4</v>
      </c>
      <c r="W127">
        <v>1.2406877446454181E-3</v>
      </c>
      <c r="X127">
        <v>6.2034387232270905E-4</v>
      </c>
      <c r="Y127">
        <v>6.2034387232270905E-4</v>
      </c>
      <c r="Z127">
        <v>6.2034387232270905E-4</v>
      </c>
      <c r="AA127">
        <v>6.2034387232270905E-4</v>
      </c>
      <c r="AB127">
        <v>0</v>
      </c>
      <c r="AC127">
        <v>6.2034387232270905E-4</v>
      </c>
      <c r="AD127">
        <v>6.2034387232270905E-4</v>
      </c>
      <c r="AE127">
        <v>0</v>
      </c>
      <c r="AF127">
        <v>6.2034387232270905E-4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6.2034387232270905E-4</v>
      </c>
      <c r="AN127">
        <v>6.2034387232270905E-4</v>
      </c>
      <c r="AO127" t="s">
        <v>19</v>
      </c>
      <c r="AT127" t="str">
        <f t="shared" si="2"/>
        <v>bus</v>
      </c>
      <c r="AU127" t="str">
        <f t="shared" si="3"/>
        <v>bdl</v>
      </c>
    </row>
    <row r="128" spans="1:47">
      <c r="A128" t="s">
        <v>17</v>
      </c>
      <c r="B128" t="s">
        <v>176</v>
      </c>
      <c r="C128" t="s">
        <v>629</v>
      </c>
      <c r="D128" t="s">
        <v>19</v>
      </c>
      <c r="E128" t="s">
        <v>19</v>
      </c>
      <c r="F128" t="s">
        <v>19</v>
      </c>
      <c r="G128" t="s">
        <v>597</v>
      </c>
      <c r="H128" t="s">
        <v>19</v>
      </c>
      <c r="I128" t="s">
        <v>19</v>
      </c>
      <c r="J128" t="s">
        <v>19</v>
      </c>
      <c r="K128" t="s">
        <v>19</v>
      </c>
      <c r="L128">
        <v>0</v>
      </c>
      <c r="M128">
        <v>0</v>
      </c>
      <c r="N128">
        <v>6.2034387232270905E-4</v>
      </c>
      <c r="O128">
        <v>0</v>
      </c>
      <c r="P128">
        <v>0</v>
      </c>
      <c r="Q128">
        <v>4.3424071062589638E-3</v>
      </c>
      <c r="R128">
        <v>0</v>
      </c>
      <c r="S128">
        <v>7.4441264678725078E-3</v>
      </c>
      <c r="T128">
        <v>0</v>
      </c>
      <c r="U128">
        <v>1.2406877446454181E-3</v>
      </c>
      <c r="V128">
        <v>6.2034387232270905E-4</v>
      </c>
      <c r="W128">
        <v>1.2406877446454181E-3</v>
      </c>
      <c r="X128">
        <v>6.2034387232270905E-4</v>
      </c>
      <c r="Y128">
        <v>6.2034387232270905E-4</v>
      </c>
      <c r="Z128">
        <v>6.2034387232270905E-4</v>
      </c>
      <c r="AA128">
        <v>6.2034387232270905E-4</v>
      </c>
      <c r="AB128">
        <v>0</v>
      </c>
      <c r="AC128">
        <v>6.2034387232270905E-4</v>
      </c>
      <c r="AD128">
        <v>6.2034387232270905E-4</v>
      </c>
      <c r="AE128">
        <v>0</v>
      </c>
      <c r="AF128">
        <v>6.2034387232270905E-4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6.2034387232270905E-4</v>
      </c>
      <c r="AN128">
        <v>6.2034387232270905E-4</v>
      </c>
      <c r="AO128" t="s">
        <v>19</v>
      </c>
      <c r="AT128" t="str">
        <f t="shared" si="2"/>
        <v>bus</v>
      </c>
      <c r="AU128" t="str">
        <f t="shared" si="3"/>
        <v>bdl</v>
      </c>
    </row>
    <row r="129" spans="1:47">
      <c r="A129" t="s">
        <v>17</v>
      </c>
      <c r="B129" t="s">
        <v>176</v>
      </c>
      <c r="C129" t="s">
        <v>629</v>
      </c>
      <c r="D129" t="s">
        <v>19</v>
      </c>
      <c r="E129" t="s">
        <v>19</v>
      </c>
      <c r="F129" t="s">
        <v>19</v>
      </c>
      <c r="G129" t="s">
        <v>596</v>
      </c>
      <c r="H129" t="s">
        <v>19</v>
      </c>
      <c r="I129" t="s">
        <v>19</v>
      </c>
      <c r="J129" t="s">
        <v>19</v>
      </c>
      <c r="K129" t="s">
        <v>19</v>
      </c>
      <c r="L129">
        <v>0</v>
      </c>
      <c r="M129">
        <v>0</v>
      </c>
      <c r="N129">
        <v>6.2034387232270905E-4</v>
      </c>
      <c r="O129">
        <v>0</v>
      </c>
      <c r="P129">
        <v>0</v>
      </c>
      <c r="Q129">
        <v>4.3424071062589638E-3</v>
      </c>
      <c r="R129">
        <v>0</v>
      </c>
      <c r="S129">
        <v>7.4441264678725078E-3</v>
      </c>
      <c r="T129">
        <v>0</v>
      </c>
      <c r="U129">
        <v>1.2406877446454181E-3</v>
      </c>
      <c r="V129">
        <v>6.2034387232270905E-4</v>
      </c>
      <c r="W129">
        <v>1.2406877446454181E-3</v>
      </c>
      <c r="X129">
        <v>6.2034387232270905E-4</v>
      </c>
      <c r="Y129">
        <v>6.2034387232270905E-4</v>
      </c>
      <c r="Z129">
        <v>6.2034387232270905E-4</v>
      </c>
      <c r="AA129">
        <v>6.2034387232270905E-4</v>
      </c>
      <c r="AB129">
        <v>0</v>
      </c>
      <c r="AC129">
        <v>6.2034387232270905E-4</v>
      </c>
      <c r="AD129">
        <v>6.2034387232270905E-4</v>
      </c>
      <c r="AE129">
        <v>0</v>
      </c>
      <c r="AF129">
        <v>6.2034387232270905E-4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6.2034387232270905E-4</v>
      </c>
      <c r="AN129">
        <v>6.2034387232270905E-4</v>
      </c>
      <c r="AO129" t="s">
        <v>19</v>
      </c>
      <c r="AT129" t="str">
        <f t="shared" si="2"/>
        <v>bus</v>
      </c>
      <c r="AU129" t="str">
        <f t="shared" si="3"/>
        <v>bdl</v>
      </c>
    </row>
    <row r="130" spans="1:47">
      <c r="A130" t="s">
        <v>17</v>
      </c>
      <c r="B130" t="s">
        <v>176</v>
      </c>
      <c r="C130" t="s">
        <v>629</v>
      </c>
      <c r="D130" t="s">
        <v>19</v>
      </c>
      <c r="E130" t="s">
        <v>19</v>
      </c>
      <c r="F130" t="s">
        <v>19</v>
      </c>
      <c r="G130" t="s">
        <v>178</v>
      </c>
      <c r="H130" t="s">
        <v>19</v>
      </c>
      <c r="I130" t="s">
        <v>19</v>
      </c>
      <c r="J130" t="s">
        <v>19</v>
      </c>
      <c r="K130" t="s">
        <v>19</v>
      </c>
      <c r="L130">
        <v>0</v>
      </c>
      <c r="M130">
        <v>0</v>
      </c>
      <c r="N130">
        <v>6.2034387232270905E-4</v>
      </c>
      <c r="O130">
        <v>0</v>
      </c>
      <c r="P130">
        <v>0</v>
      </c>
      <c r="Q130">
        <v>4.3424071062589638E-3</v>
      </c>
      <c r="R130">
        <v>0</v>
      </c>
      <c r="S130">
        <v>7.4441264678725078E-3</v>
      </c>
      <c r="T130">
        <v>0</v>
      </c>
      <c r="U130">
        <v>1.2406877446454181E-3</v>
      </c>
      <c r="V130">
        <v>6.2034387232270905E-4</v>
      </c>
      <c r="W130">
        <v>1.2406877446454181E-3</v>
      </c>
      <c r="X130">
        <v>6.2034387232270905E-4</v>
      </c>
      <c r="Y130">
        <v>6.2034387232270905E-4</v>
      </c>
      <c r="Z130">
        <v>6.2034387232270905E-4</v>
      </c>
      <c r="AA130">
        <v>6.2034387232270905E-4</v>
      </c>
      <c r="AB130">
        <v>0</v>
      </c>
      <c r="AC130">
        <v>6.2034387232270905E-4</v>
      </c>
      <c r="AD130">
        <v>6.2034387232270905E-4</v>
      </c>
      <c r="AE130">
        <v>0</v>
      </c>
      <c r="AF130">
        <v>6.2034387232270905E-4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6.2034387232270905E-4</v>
      </c>
      <c r="AN130">
        <v>6.2034387232270905E-4</v>
      </c>
      <c r="AO130" t="s">
        <v>19</v>
      </c>
      <c r="AT130" t="str">
        <f t="shared" si="2"/>
        <v>bus</v>
      </c>
      <c r="AU130" t="str">
        <f t="shared" si="3"/>
        <v>bdl</v>
      </c>
    </row>
    <row r="131" spans="1:47">
      <c r="A131" t="s">
        <v>17</v>
      </c>
      <c r="B131" t="s">
        <v>176</v>
      </c>
      <c r="C131" t="s">
        <v>629</v>
      </c>
      <c r="D131" t="s">
        <v>19</v>
      </c>
      <c r="E131" t="s">
        <v>19</v>
      </c>
      <c r="F131" t="s">
        <v>19</v>
      </c>
      <c r="G131" t="s">
        <v>179</v>
      </c>
      <c r="H131" t="s">
        <v>19</v>
      </c>
      <c r="I131" t="s">
        <v>19</v>
      </c>
      <c r="J131" t="s">
        <v>19</v>
      </c>
      <c r="K131" t="s">
        <v>19</v>
      </c>
      <c r="L131">
        <v>0</v>
      </c>
      <c r="M131">
        <v>0</v>
      </c>
      <c r="N131">
        <v>6.2034387232270905E-4</v>
      </c>
      <c r="O131">
        <v>0</v>
      </c>
      <c r="P131">
        <v>0</v>
      </c>
      <c r="Q131">
        <v>4.3424071062589638E-3</v>
      </c>
      <c r="R131">
        <v>0</v>
      </c>
      <c r="S131">
        <v>7.4441264678725078E-3</v>
      </c>
      <c r="T131">
        <v>0</v>
      </c>
      <c r="U131">
        <v>1.2406877446454181E-3</v>
      </c>
      <c r="V131">
        <v>6.2034387232270905E-4</v>
      </c>
      <c r="W131">
        <v>1.2406877446454181E-3</v>
      </c>
      <c r="X131">
        <v>6.2034387232270905E-4</v>
      </c>
      <c r="Y131">
        <v>6.2034387232270905E-4</v>
      </c>
      <c r="Z131">
        <v>6.2034387232270905E-4</v>
      </c>
      <c r="AA131">
        <v>6.2034387232270905E-4</v>
      </c>
      <c r="AB131">
        <v>0</v>
      </c>
      <c r="AC131">
        <v>6.2034387232270905E-4</v>
      </c>
      <c r="AD131">
        <v>6.2034387232270905E-4</v>
      </c>
      <c r="AE131">
        <v>0</v>
      </c>
      <c r="AF131">
        <v>6.2034387232270905E-4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6.2034387232270905E-4</v>
      </c>
      <c r="AN131">
        <v>6.2034387232270905E-4</v>
      </c>
      <c r="AO131" t="s">
        <v>19</v>
      </c>
      <c r="AT131" t="str">
        <f t="shared" ref="AT131:AT194" si="4">MID(C131,5,3)</f>
        <v>bus</v>
      </c>
      <c r="AU131" t="str">
        <f t="shared" ref="AU131:AU194" si="5">RIGHT(C131,3)</f>
        <v>bdl</v>
      </c>
    </row>
    <row r="132" spans="1:47">
      <c r="A132" t="s">
        <v>17</v>
      </c>
      <c r="B132" t="s">
        <v>176</v>
      </c>
      <c r="C132" t="s">
        <v>629</v>
      </c>
      <c r="D132" t="s">
        <v>19</v>
      </c>
      <c r="E132" t="s">
        <v>19</v>
      </c>
      <c r="F132" t="s">
        <v>19</v>
      </c>
      <c r="G132" t="s">
        <v>180</v>
      </c>
      <c r="H132" t="s">
        <v>19</v>
      </c>
      <c r="I132" t="s">
        <v>19</v>
      </c>
      <c r="J132" t="s">
        <v>19</v>
      </c>
      <c r="K132" t="s">
        <v>19</v>
      </c>
      <c r="L132">
        <v>0</v>
      </c>
      <c r="M132">
        <v>0</v>
      </c>
      <c r="N132">
        <v>6.2034387232270905E-4</v>
      </c>
      <c r="O132">
        <v>0</v>
      </c>
      <c r="P132">
        <v>0</v>
      </c>
      <c r="Q132">
        <v>4.3424071062589638E-3</v>
      </c>
      <c r="R132">
        <v>0</v>
      </c>
      <c r="S132">
        <v>7.4441264678725078E-3</v>
      </c>
      <c r="T132">
        <v>0</v>
      </c>
      <c r="U132">
        <v>1.2406877446454181E-3</v>
      </c>
      <c r="V132">
        <v>6.2034387232270905E-4</v>
      </c>
      <c r="W132">
        <v>1.2406877446454181E-3</v>
      </c>
      <c r="X132">
        <v>6.2034387232270905E-4</v>
      </c>
      <c r="Y132">
        <v>6.2034387232270905E-4</v>
      </c>
      <c r="Z132">
        <v>6.2034387232270905E-4</v>
      </c>
      <c r="AA132">
        <v>6.2034387232270905E-4</v>
      </c>
      <c r="AB132">
        <v>0</v>
      </c>
      <c r="AC132">
        <v>6.2034387232270905E-4</v>
      </c>
      <c r="AD132">
        <v>6.2034387232270905E-4</v>
      </c>
      <c r="AE132">
        <v>0</v>
      </c>
      <c r="AF132">
        <v>6.2034387232270905E-4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6.2034387232270905E-4</v>
      </c>
      <c r="AN132">
        <v>6.2034387232270905E-4</v>
      </c>
      <c r="AO132" t="s">
        <v>19</v>
      </c>
      <c r="AT132" t="str">
        <f t="shared" si="4"/>
        <v>bus</v>
      </c>
      <c r="AU132" t="str">
        <f t="shared" si="5"/>
        <v>bdl</v>
      </c>
    </row>
    <row r="133" spans="1:47">
      <c r="A133" t="s">
        <v>17</v>
      </c>
      <c r="B133" t="s">
        <v>176</v>
      </c>
      <c r="C133" t="s">
        <v>629</v>
      </c>
      <c r="D133" t="s">
        <v>19</v>
      </c>
      <c r="E133" t="s">
        <v>19</v>
      </c>
      <c r="F133" t="s">
        <v>19</v>
      </c>
      <c r="G133" t="s">
        <v>181</v>
      </c>
      <c r="H133" t="s">
        <v>19</v>
      </c>
      <c r="I133" t="s">
        <v>19</v>
      </c>
      <c r="J133" t="s">
        <v>19</v>
      </c>
      <c r="K133" t="s">
        <v>19</v>
      </c>
      <c r="L133">
        <v>0</v>
      </c>
      <c r="M133">
        <v>0</v>
      </c>
      <c r="N133">
        <v>6.2034387232270905E-4</v>
      </c>
      <c r="O133">
        <v>0</v>
      </c>
      <c r="P133">
        <v>0</v>
      </c>
      <c r="Q133">
        <v>4.3424071062589638E-3</v>
      </c>
      <c r="R133">
        <v>0</v>
      </c>
      <c r="S133">
        <v>7.4441264678725078E-3</v>
      </c>
      <c r="T133">
        <v>0</v>
      </c>
      <c r="U133">
        <v>1.2406877446454181E-3</v>
      </c>
      <c r="V133">
        <v>6.2034387232270905E-4</v>
      </c>
      <c r="W133">
        <v>1.2406877446454181E-3</v>
      </c>
      <c r="X133">
        <v>6.2034387232270905E-4</v>
      </c>
      <c r="Y133">
        <v>6.2034387232270905E-4</v>
      </c>
      <c r="Z133">
        <v>6.2034387232270905E-4</v>
      </c>
      <c r="AA133">
        <v>6.2034387232270905E-4</v>
      </c>
      <c r="AB133">
        <v>0</v>
      </c>
      <c r="AC133">
        <v>6.2034387232270905E-4</v>
      </c>
      <c r="AD133">
        <v>6.2034387232270905E-4</v>
      </c>
      <c r="AE133">
        <v>0</v>
      </c>
      <c r="AF133">
        <v>6.2034387232270905E-4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6.2034387232270905E-4</v>
      </c>
      <c r="AN133">
        <v>6.2034387232270905E-4</v>
      </c>
      <c r="AO133" t="s">
        <v>19</v>
      </c>
      <c r="AT133" t="str">
        <f t="shared" si="4"/>
        <v>bus</v>
      </c>
      <c r="AU133" t="str">
        <f t="shared" si="5"/>
        <v>bdl</v>
      </c>
    </row>
    <row r="134" spans="1:47">
      <c r="A134" t="s">
        <v>17</v>
      </c>
      <c r="B134" t="s">
        <v>176</v>
      </c>
      <c r="C134" t="s">
        <v>629</v>
      </c>
      <c r="D134" t="s">
        <v>19</v>
      </c>
      <c r="E134" t="s">
        <v>19</v>
      </c>
      <c r="F134" t="s">
        <v>19</v>
      </c>
      <c r="G134" t="s">
        <v>182</v>
      </c>
      <c r="H134" t="s">
        <v>19</v>
      </c>
      <c r="I134" t="s">
        <v>19</v>
      </c>
      <c r="J134" t="s">
        <v>19</v>
      </c>
      <c r="K134" t="s">
        <v>19</v>
      </c>
      <c r="L134">
        <v>0</v>
      </c>
      <c r="M134">
        <v>0</v>
      </c>
      <c r="N134">
        <v>6.2034387232270905E-4</v>
      </c>
      <c r="O134">
        <v>0</v>
      </c>
      <c r="P134">
        <v>0</v>
      </c>
      <c r="Q134">
        <v>4.3424071062589638E-3</v>
      </c>
      <c r="R134">
        <v>0</v>
      </c>
      <c r="S134">
        <v>7.4441264678725078E-3</v>
      </c>
      <c r="T134">
        <v>0</v>
      </c>
      <c r="U134">
        <v>1.2406877446454181E-3</v>
      </c>
      <c r="V134">
        <v>6.2034387232270905E-4</v>
      </c>
      <c r="W134">
        <v>1.2406877446454181E-3</v>
      </c>
      <c r="X134">
        <v>6.2034387232270905E-4</v>
      </c>
      <c r="Y134">
        <v>6.2034387232270905E-4</v>
      </c>
      <c r="Z134">
        <v>6.2034387232270905E-4</v>
      </c>
      <c r="AA134">
        <v>6.2034387232270905E-4</v>
      </c>
      <c r="AB134">
        <v>0</v>
      </c>
      <c r="AC134">
        <v>6.2034387232270905E-4</v>
      </c>
      <c r="AD134">
        <v>6.2034387232270905E-4</v>
      </c>
      <c r="AE134">
        <v>0</v>
      </c>
      <c r="AF134">
        <v>6.2034387232270905E-4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6.2034387232270905E-4</v>
      </c>
      <c r="AN134">
        <v>6.2034387232270905E-4</v>
      </c>
      <c r="AO134" t="s">
        <v>19</v>
      </c>
      <c r="AT134" t="str">
        <f t="shared" si="4"/>
        <v>bus</v>
      </c>
      <c r="AU134" t="str">
        <f t="shared" si="5"/>
        <v>bdl</v>
      </c>
    </row>
    <row r="135" spans="1:47">
      <c r="A135" t="s">
        <v>17</v>
      </c>
      <c r="B135" t="s">
        <v>176</v>
      </c>
      <c r="C135" t="s">
        <v>629</v>
      </c>
      <c r="D135" t="s">
        <v>19</v>
      </c>
      <c r="E135" t="s">
        <v>19</v>
      </c>
      <c r="F135" t="s">
        <v>19</v>
      </c>
      <c r="G135" t="s">
        <v>183</v>
      </c>
      <c r="H135" t="s">
        <v>19</v>
      </c>
      <c r="I135" t="s">
        <v>19</v>
      </c>
      <c r="J135" t="s">
        <v>19</v>
      </c>
      <c r="K135" t="s">
        <v>19</v>
      </c>
      <c r="L135">
        <v>0</v>
      </c>
      <c r="M135">
        <v>0</v>
      </c>
      <c r="N135">
        <v>6.2034387232270905E-4</v>
      </c>
      <c r="O135">
        <v>0</v>
      </c>
      <c r="P135">
        <v>0</v>
      </c>
      <c r="Q135">
        <v>4.3424071062589638E-3</v>
      </c>
      <c r="R135">
        <v>0</v>
      </c>
      <c r="S135">
        <v>7.4441264678725078E-3</v>
      </c>
      <c r="T135">
        <v>0</v>
      </c>
      <c r="U135">
        <v>1.2406877446454181E-3</v>
      </c>
      <c r="V135">
        <v>6.2034387232270905E-4</v>
      </c>
      <c r="W135">
        <v>1.2406877446454181E-3</v>
      </c>
      <c r="X135">
        <v>6.2034387232270905E-4</v>
      </c>
      <c r="Y135">
        <v>6.2034387232270905E-4</v>
      </c>
      <c r="Z135">
        <v>6.2034387232270905E-4</v>
      </c>
      <c r="AA135">
        <v>6.2034387232270905E-4</v>
      </c>
      <c r="AB135">
        <v>0</v>
      </c>
      <c r="AC135">
        <v>6.2034387232270905E-4</v>
      </c>
      <c r="AD135">
        <v>6.2034387232270905E-4</v>
      </c>
      <c r="AE135">
        <v>0</v>
      </c>
      <c r="AF135">
        <v>6.2034387232270905E-4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6.2034387232270905E-4</v>
      </c>
      <c r="AN135">
        <v>6.2034387232270905E-4</v>
      </c>
      <c r="AO135" t="s">
        <v>19</v>
      </c>
      <c r="AT135" t="str">
        <f t="shared" si="4"/>
        <v>bus</v>
      </c>
      <c r="AU135" t="str">
        <f t="shared" si="5"/>
        <v>bdl</v>
      </c>
    </row>
    <row r="136" spans="1:47">
      <c r="A136" t="s">
        <v>17</v>
      </c>
      <c r="B136" t="s">
        <v>176</v>
      </c>
      <c r="C136" t="s">
        <v>629</v>
      </c>
      <c r="D136" t="s">
        <v>19</v>
      </c>
      <c r="E136" t="s">
        <v>19</v>
      </c>
      <c r="F136" t="s">
        <v>19</v>
      </c>
      <c r="G136" t="s">
        <v>184</v>
      </c>
      <c r="H136" t="s">
        <v>19</v>
      </c>
      <c r="I136" t="s">
        <v>19</v>
      </c>
      <c r="J136" t="s">
        <v>19</v>
      </c>
      <c r="K136" t="s">
        <v>19</v>
      </c>
      <c r="L136">
        <v>0</v>
      </c>
      <c r="M136">
        <v>0</v>
      </c>
      <c r="N136">
        <v>6.2034387232270905E-4</v>
      </c>
      <c r="O136">
        <v>0</v>
      </c>
      <c r="P136">
        <v>0</v>
      </c>
      <c r="Q136">
        <v>4.3424071062589638E-3</v>
      </c>
      <c r="R136">
        <v>0</v>
      </c>
      <c r="S136">
        <v>7.4441264678725078E-3</v>
      </c>
      <c r="T136">
        <v>0</v>
      </c>
      <c r="U136">
        <v>1.2406877446454181E-3</v>
      </c>
      <c r="V136">
        <v>6.2034387232270905E-4</v>
      </c>
      <c r="W136">
        <v>1.2406877446454181E-3</v>
      </c>
      <c r="X136">
        <v>6.2034387232270905E-4</v>
      </c>
      <c r="Y136">
        <v>6.2034387232270905E-4</v>
      </c>
      <c r="Z136">
        <v>6.2034387232270905E-4</v>
      </c>
      <c r="AA136">
        <v>6.2034387232270905E-4</v>
      </c>
      <c r="AB136">
        <v>0</v>
      </c>
      <c r="AC136">
        <v>6.2034387232270905E-4</v>
      </c>
      <c r="AD136">
        <v>6.2034387232270905E-4</v>
      </c>
      <c r="AE136">
        <v>0</v>
      </c>
      <c r="AF136">
        <v>6.2034387232270905E-4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6.2034387232270905E-4</v>
      </c>
      <c r="AN136">
        <v>6.2034387232270905E-4</v>
      </c>
      <c r="AO136" t="s">
        <v>19</v>
      </c>
      <c r="AT136" t="str">
        <f t="shared" si="4"/>
        <v>bus</v>
      </c>
      <c r="AU136" t="str">
        <f t="shared" si="5"/>
        <v>bdl</v>
      </c>
    </row>
    <row r="137" spans="1:47">
      <c r="A137" t="s">
        <v>17</v>
      </c>
      <c r="B137" t="s">
        <v>176</v>
      </c>
      <c r="C137" t="s">
        <v>629</v>
      </c>
      <c r="D137" t="s">
        <v>19</v>
      </c>
      <c r="E137" t="s">
        <v>19</v>
      </c>
      <c r="F137" t="s">
        <v>19</v>
      </c>
      <c r="G137" t="s">
        <v>185</v>
      </c>
      <c r="H137" t="s">
        <v>19</v>
      </c>
      <c r="I137" t="s">
        <v>19</v>
      </c>
      <c r="J137" t="s">
        <v>19</v>
      </c>
      <c r="K137" t="s">
        <v>19</v>
      </c>
      <c r="L137">
        <v>0</v>
      </c>
      <c r="M137">
        <v>0</v>
      </c>
      <c r="N137">
        <v>6.2034387232270905E-4</v>
      </c>
      <c r="O137">
        <v>0</v>
      </c>
      <c r="P137">
        <v>0</v>
      </c>
      <c r="Q137">
        <v>4.3424071062589638E-3</v>
      </c>
      <c r="R137">
        <v>0</v>
      </c>
      <c r="S137">
        <v>7.4441264678725078E-3</v>
      </c>
      <c r="T137">
        <v>0</v>
      </c>
      <c r="U137">
        <v>1.2406877446454181E-3</v>
      </c>
      <c r="V137">
        <v>6.2034387232270905E-4</v>
      </c>
      <c r="W137">
        <v>1.2406877446454181E-3</v>
      </c>
      <c r="X137">
        <v>6.2034387232270905E-4</v>
      </c>
      <c r="Y137">
        <v>6.2034387232270905E-4</v>
      </c>
      <c r="Z137">
        <v>6.2034387232270905E-4</v>
      </c>
      <c r="AA137">
        <v>6.2034387232270905E-4</v>
      </c>
      <c r="AB137">
        <v>0</v>
      </c>
      <c r="AC137">
        <v>6.2034387232270905E-4</v>
      </c>
      <c r="AD137">
        <v>6.2034387232270905E-4</v>
      </c>
      <c r="AE137">
        <v>0</v>
      </c>
      <c r="AF137">
        <v>6.2034387232270905E-4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6.2034387232270905E-4</v>
      </c>
      <c r="AN137">
        <v>6.2034387232270905E-4</v>
      </c>
      <c r="AO137" t="s">
        <v>19</v>
      </c>
      <c r="AT137" t="str">
        <f t="shared" si="4"/>
        <v>bus</v>
      </c>
      <c r="AU137" t="str">
        <f t="shared" si="5"/>
        <v>bdl</v>
      </c>
    </row>
    <row r="138" spans="1:47">
      <c r="A138" t="s">
        <v>17</v>
      </c>
      <c r="B138" t="s">
        <v>176</v>
      </c>
      <c r="C138" t="s">
        <v>629</v>
      </c>
      <c r="D138" t="s">
        <v>19</v>
      </c>
      <c r="E138" t="s">
        <v>19</v>
      </c>
      <c r="F138" t="s">
        <v>19</v>
      </c>
      <c r="G138" t="s">
        <v>186</v>
      </c>
      <c r="H138" t="s">
        <v>19</v>
      </c>
      <c r="I138" t="s">
        <v>19</v>
      </c>
      <c r="J138" t="s">
        <v>19</v>
      </c>
      <c r="K138" t="s">
        <v>19</v>
      </c>
      <c r="L138">
        <v>0</v>
      </c>
      <c r="M138">
        <v>0</v>
      </c>
      <c r="N138">
        <v>6.2034387232270905E-4</v>
      </c>
      <c r="O138">
        <v>0</v>
      </c>
      <c r="P138">
        <v>0</v>
      </c>
      <c r="Q138">
        <v>4.3424071062589638E-3</v>
      </c>
      <c r="R138">
        <v>0</v>
      </c>
      <c r="S138">
        <v>7.4441264678725078E-3</v>
      </c>
      <c r="T138">
        <v>0</v>
      </c>
      <c r="U138">
        <v>1.2406877446454181E-3</v>
      </c>
      <c r="V138">
        <v>6.2034387232270905E-4</v>
      </c>
      <c r="W138">
        <v>1.2406877446454181E-3</v>
      </c>
      <c r="X138">
        <v>6.2034387232270905E-4</v>
      </c>
      <c r="Y138">
        <v>6.2034387232270905E-4</v>
      </c>
      <c r="Z138">
        <v>6.2034387232270905E-4</v>
      </c>
      <c r="AA138">
        <v>6.2034387232270905E-4</v>
      </c>
      <c r="AB138">
        <v>0</v>
      </c>
      <c r="AC138">
        <v>6.2034387232270905E-4</v>
      </c>
      <c r="AD138">
        <v>6.2034387232270905E-4</v>
      </c>
      <c r="AE138">
        <v>0</v>
      </c>
      <c r="AF138">
        <v>6.2034387232270905E-4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6.2034387232270905E-4</v>
      </c>
      <c r="AN138">
        <v>6.2034387232270905E-4</v>
      </c>
      <c r="AO138" t="s">
        <v>19</v>
      </c>
      <c r="AT138" t="str">
        <f t="shared" si="4"/>
        <v>bus</v>
      </c>
      <c r="AU138" t="str">
        <f t="shared" si="5"/>
        <v>bdl</v>
      </c>
    </row>
    <row r="139" spans="1:47">
      <c r="A139" t="s">
        <v>17</v>
      </c>
      <c r="B139" t="s">
        <v>176</v>
      </c>
      <c r="C139" t="s">
        <v>629</v>
      </c>
      <c r="D139" t="s">
        <v>19</v>
      </c>
      <c r="E139" t="s">
        <v>19</v>
      </c>
      <c r="F139" t="s">
        <v>19</v>
      </c>
      <c r="G139" t="s">
        <v>187</v>
      </c>
      <c r="H139" t="s">
        <v>19</v>
      </c>
      <c r="I139" t="s">
        <v>19</v>
      </c>
      <c r="J139" t="s">
        <v>19</v>
      </c>
      <c r="K139" t="s">
        <v>19</v>
      </c>
      <c r="L139">
        <v>0</v>
      </c>
      <c r="M139">
        <v>0</v>
      </c>
      <c r="N139">
        <v>6.2034387232270905E-4</v>
      </c>
      <c r="O139">
        <v>0</v>
      </c>
      <c r="P139">
        <v>0</v>
      </c>
      <c r="Q139">
        <v>4.3424071062589638E-3</v>
      </c>
      <c r="R139">
        <v>0</v>
      </c>
      <c r="S139">
        <v>7.4441264678725078E-3</v>
      </c>
      <c r="T139">
        <v>0</v>
      </c>
      <c r="U139">
        <v>1.2406877446454181E-3</v>
      </c>
      <c r="V139">
        <v>6.2034387232270905E-4</v>
      </c>
      <c r="W139">
        <v>1.2406877446454181E-3</v>
      </c>
      <c r="X139">
        <v>6.2034387232270905E-4</v>
      </c>
      <c r="Y139">
        <v>6.2034387232270905E-4</v>
      </c>
      <c r="Z139">
        <v>6.2034387232270905E-4</v>
      </c>
      <c r="AA139">
        <v>6.2034387232270905E-4</v>
      </c>
      <c r="AB139">
        <v>0</v>
      </c>
      <c r="AC139">
        <v>6.2034387232270905E-4</v>
      </c>
      <c r="AD139">
        <v>6.2034387232270905E-4</v>
      </c>
      <c r="AE139">
        <v>0</v>
      </c>
      <c r="AF139">
        <v>6.2034387232270905E-4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6.2034387232270905E-4</v>
      </c>
      <c r="AN139">
        <v>6.2034387232270905E-4</v>
      </c>
      <c r="AO139" t="s">
        <v>19</v>
      </c>
      <c r="AT139" t="str">
        <f t="shared" si="4"/>
        <v>bus</v>
      </c>
      <c r="AU139" t="str">
        <f t="shared" si="5"/>
        <v>bdl</v>
      </c>
    </row>
    <row r="140" spans="1:47">
      <c r="A140" t="s">
        <v>17</v>
      </c>
      <c r="B140" t="s">
        <v>176</v>
      </c>
      <c r="C140" t="s">
        <v>629</v>
      </c>
      <c r="D140" t="s">
        <v>19</v>
      </c>
      <c r="E140" t="s">
        <v>19</v>
      </c>
      <c r="F140" t="s">
        <v>19</v>
      </c>
      <c r="G140" t="s">
        <v>188</v>
      </c>
      <c r="H140" t="s">
        <v>19</v>
      </c>
      <c r="I140" t="s">
        <v>19</v>
      </c>
      <c r="J140" t="s">
        <v>19</v>
      </c>
      <c r="K140" t="s">
        <v>19</v>
      </c>
      <c r="L140">
        <v>0</v>
      </c>
      <c r="M140">
        <v>0</v>
      </c>
      <c r="N140">
        <v>6.2034387232270905E-4</v>
      </c>
      <c r="O140">
        <v>0</v>
      </c>
      <c r="P140">
        <v>0</v>
      </c>
      <c r="Q140">
        <v>4.3424071062589638E-3</v>
      </c>
      <c r="R140">
        <v>0</v>
      </c>
      <c r="S140">
        <v>7.4441264678725078E-3</v>
      </c>
      <c r="T140">
        <v>0</v>
      </c>
      <c r="U140">
        <v>1.2406877446454181E-3</v>
      </c>
      <c r="V140">
        <v>6.2034387232270905E-4</v>
      </c>
      <c r="W140">
        <v>1.2406877446454181E-3</v>
      </c>
      <c r="X140">
        <v>6.2034387232270905E-4</v>
      </c>
      <c r="Y140">
        <v>6.2034387232270905E-4</v>
      </c>
      <c r="Z140">
        <v>6.2034387232270905E-4</v>
      </c>
      <c r="AA140">
        <v>6.2034387232270905E-4</v>
      </c>
      <c r="AB140">
        <v>0</v>
      </c>
      <c r="AC140">
        <v>6.2034387232270905E-4</v>
      </c>
      <c r="AD140">
        <v>6.2034387232270905E-4</v>
      </c>
      <c r="AE140">
        <v>0</v>
      </c>
      <c r="AF140">
        <v>6.2034387232270905E-4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6.2034387232270905E-4</v>
      </c>
      <c r="AN140">
        <v>6.2034387232270905E-4</v>
      </c>
      <c r="AO140" t="s">
        <v>19</v>
      </c>
      <c r="AT140" t="str">
        <f t="shared" si="4"/>
        <v>bus</v>
      </c>
      <c r="AU140" t="str">
        <f t="shared" si="5"/>
        <v>bdl</v>
      </c>
    </row>
    <row r="141" spans="1:47">
      <c r="A141" t="s">
        <v>17</v>
      </c>
      <c r="B141" t="s">
        <v>176</v>
      </c>
      <c r="C141" t="s">
        <v>629</v>
      </c>
      <c r="D141" t="s">
        <v>19</v>
      </c>
      <c r="E141" t="s">
        <v>19</v>
      </c>
      <c r="F141" t="s">
        <v>19</v>
      </c>
      <c r="G141" t="s">
        <v>100</v>
      </c>
      <c r="H141" t="s">
        <v>19</v>
      </c>
      <c r="I141" t="s">
        <v>19</v>
      </c>
      <c r="J141" t="s">
        <v>19</v>
      </c>
      <c r="K141" t="s">
        <v>19</v>
      </c>
      <c r="L141">
        <v>0</v>
      </c>
      <c r="M141">
        <v>0</v>
      </c>
      <c r="N141">
        <v>6.2034387232270905E-4</v>
      </c>
      <c r="O141">
        <v>0</v>
      </c>
      <c r="P141">
        <v>0</v>
      </c>
      <c r="Q141">
        <v>4.3424071062589638E-3</v>
      </c>
      <c r="R141">
        <v>0</v>
      </c>
      <c r="S141">
        <v>7.4441264678725078E-3</v>
      </c>
      <c r="T141">
        <v>0</v>
      </c>
      <c r="U141">
        <v>1.2406877446454181E-3</v>
      </c>
      <c r="V141">
        <v>6.2034387232270905E-4</v>
      </c>
      <c r="W141">
        <v>1.2406877446454181E-3</v>
      </c>
      <c r="X141">
        <v>6.2034387232270905E-4</v>
      </c>
      <c r="Y141">
        <v>6.2034387232270905E-4</v>
      </c>
      <c r="Z141">
        <v>6.2034387232270905E-4</v>
      </c>
      <c r="AA141">
        <v>6.2034387232270905E-4</v>
      </c>
      <c r="AB141">
        <v>0</v>
      </c>
      <c r="AC141">
        <v>6.2034387232270905E-4</v>
      </c>
      <c r="AD141">
        <v>6.2034387232270905E-4</v>
      </c>
      <c r="AE141">
        <v>0</v>
      </c>
      <c r="AF141">
        <v>6.2034387232270905E-4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6.2034387232270905E-4</v>
      </c>
      <c r="AN141">
        <v>6.2034387232270905E-4</v>
      </c>
      <c r="AO141" t="s">
        <v>19</v>
      </c>
      <c r="AT141" t="str">
        <f t="shared" si="4"/>
        <v>bus</v>
      </c>
      <c r="AU141" t="str">
        <f t="shared" si="5"/>
        <v>bdl</v>
      </c>
    </row>
    <row r="142" spans="1:47">
      <c r="A142" t="s">
        <v>17</v>
      </c>
      <c r="B142" t="s">
        <v>176</v>
      </c>
      <c r="C142" t="s">
        <v>628</v>
      </c>
      <c r="D142" t="s">
        <v>19</v>
      </c>
      <c r="E142" t="s">
        <v>19</v>
      </c>
      <c r="F142" t="s">
        <v>19</v>
      </c>
      <c r="G142" t="s">
        <v>603</v>
      </c>
      <c r="H142" t="s">
        <v>19</v>
      </c>
      <c r="I142" t="s">
        <v>19</v>
      </c>
      <c r="J142" t="s">
        <v>19</v>
      </c>
      <c r="K142" t="s">
        <v>19</v>
      </c>
      <c r="L142">
        <v>4.4664758807235048E-2</v>
      </c>
      <c r="M142">
        <v>3.970200782865338E-2</v>
      </c>
      <c r="N142">
        <v>5.5830948509043811E-3</v>
      </c>
      <c r="O142">
        <v>2.4813754892908362E-3</v>
      </c>
      <c r="P142">
        <v>1.0545845829486054E-2</v>
      </c>
      <c r="Q142">
        <v>5.0247853658139434E-2</v>
      </c>
      <c r="R142">
        <v>1.2406877446454181E-2</v>
      </c>
      <c r="S142">
        <v>1.6749284552713146E-2</v>
      </c>
      <c r="T142">
        <v>4.3424071062589638E-3</v>
      </c>
      <c r="U142">
        <v>0.1594283751869362</v>
      </c>
      <c r="V142">
        <v>2.4813754892908362E-3</v>
      </c>
      <c r="W142">
        <v>1.923066004200398E-2</v>
      </c>
      <c r="X142">
        <v>4.9627509785816724E-3</v>
      </c>
      <c r="Y142">
        <v>8.0644703401952181E-3</v>
      </c>
      <c r="Z142">
        <v>8.0644703401952181E-3</v>
      </c>
      <c r="AA142">
        <v>8.0644703401952181E-3</v>
      </c>
      <c r="AB142">
        <v>1.6128940680390436E-2</v>
      </c>
      <c r="AC142">
        <v>9.9255019571633449E-3</v>
      </c>
      <c r="AD142">
        <v>1.0545845829486054E-2</v>
      </c>
      <c r="AE142">
        <v>5.8312323998334643E-2</v>
      </c>
      <c r="AF142">
        <v>1.1786533574131472E-2</v>
      </c>
      <c r="AG142">
        <v>5.5830948509043811E-3</v>
      </c>
      <c r="AH142">
        <v>1.7369628425035855E-2</v>
      </c>
      <c r="AI142">
        <v>6.2034387232270905E-4</v>
      </c>
      <c r="AJ142">
        <v>7.4441264678725078E-3</v>
      </c>
      <c r="AK142">
        <v>9.9255019571633449E-3</v>
      </c>
      <c r="AL142">
        <v>1.4267909063422308E-2</v>
      </c>
      <c r="AM142">
        <v>8.0644703401952181E-3</v>
      </c>
      <c r="AN142">
        <v>2.5434098765231068E-2</v>
      </c>
      <c r="AO142" t="s">
        <v>19</v>
      </c>
      <c r="AT142" t="str">
        <f t="shared" si="4"/>
        <v>bus</v>
      </c>
      <c r="AU142" t="str">
        <f t="shared" si="5"/>
        <v>dsl</v>
      </c>
    </row>
    <row r="143" spans="1:47">
      <c r="A143" t="s">
        <v>17</v>
      </c>
      <c r="B143" t="s">
        <v>176</v>
      </c>
      <c r="C143" t="s">
        <v>628</v>
      </c>
      <c r="D143" t="s">
        <v>19</v>
      </c>
      <c r="E143" t="s">
        <v>19</v>
      </c>
      <c r="F143" t="s">
        <v>19</v>
      </c>
      <c r="G143" t="s">
        <v>602</v>
      </c>
      <c r="H143" t="s">
        <v>19</v>
      </c>
      <c r="I143" t="s">
        <v>19</v>
      </c>
      <c r="J143" t="s">
        <v>19</v>
      </c>
      <c r="K143" t="s">
        <v>19</v>
      </c>
      <c r="L143">
        <v>4.4664758807235048E-2</v>
      </c>
      <c r="M143">
        <v>3.970200782865338E-2</v>
      </c>
      <c r="N143">
        <v>5.5830948509043811E-3</v>
      </c>
      <c r="O143">
        <v>2.4813754892908362E-3</v>
      </c>
      <c r="P143">
        <v>1.0545845829486054E-2</v>
      </c>
      <c r="Q143">
        <v>5.0247853658139434E-2</v>
      </c>
      <c r="R143">
        <v>1.2406877446454181E-2</v>
      </c>
      <c r="S143">
        <v>1.6749284552713146E-2</v>
      </c>
      <c r="T143">
        <v>4.3424071062589638E-3</v>
      </c>
      <c r="U143">
        <v>0.1594283751869362</v>
      </c>
      <c r="V143">
        <v>2.4813754892908362E-3</v>
      </c>
      <c r="W143">
        <v>1.923066004200398E-2</v>
      </c>
      <c r="X143">
        <v>4.9627509785816724E-3</v>
      </c>
      <c r="Y143">
        <v>8.0644703401952181E-3</v>
      </c>
      <c r="Z143">
        <v>8.0644703401952181E-3</v>
      </c>
      <c r="AA143">
        <v>8.0644703401952181E-3</v>
      </c>
      <c r="AB143">
        <v>1.6128940680390436E-2</v>
      </c>
      <c r="AC143">
        <v>9.9255019571633449E-3</v>
      </c>
      <c r="AD143">
        <v>1.0545845829486054E-2</v>
      </c>
      <c r="AE143">
        <v>5.8312323998334643E-2</v>
      </c>
      <c r="AF143">
        <v>1.1786533574131472E-2</v>
      </c>
      <c r="AG143">
        <v>5.5830948509043811E-3</v>
      </c>
      <c r="AH143">
        <v>1.7369628425035855E-2</v>
      </c>
      <c r="AI143">
        <v>6.2034387232270905E-4</v>
      </c>
      <c r="AJ143">
        <v>7.4441264678725078E-3</v>
      </c>
      <c r="AK143">
        <v>9.9255019571633449E-3</v>
      </c>
      <c r="AL143">
        <v>1.4267909063422308E-2</v>
      </c>
      <c r="AM143">
        <v>8.0644703401952181E-3</v>
      </c>
      <c r="AN143">
        <v>2.5434098765231068E-2</v>
      </c>
      <c r="AO143" t="s">
        <v>19</v>
      </c>
      <c r="AT143" t="str">
        <f t="shared" si="4"/>
        <v>bus</v>
      </c>
      <c r="AU143" t="str">
        <f t="shared" si="5"/>
        <v>dsl</v>
      </c>
    </row>
    <row r="144" spans="1:47">
      <c r="A144" t="s">
        <v>17</v>
      </c>
      <c r="B144" t="s">
        <v>176</v>
      </c>
      <c r="C144" t="s">
        <v>628</v>
      </c>
      <c r="D144" t="s">
        <v>19</v>
      </c>
      <c r="E144" t="s">
        <v>19</v>
      </c>
      <c r="F144" t="s">
        <v>19</v>
      </c>
      <c r="G144" t="s">
        <v>601</v>
      </c>
      <c r="H144" t="s">
        <v>19</v>
      </c>
      <c r="I144" t="s">
        <v>19</v>
      </c>
      <c r="J144" t="s">
        <v>19</v>
      </c>
      <c r="K144" t="s">
        <v>19</v>
      </c>
      <c r="L144">
        <v>4.4664758807235048E-2</v>
      </c>
      <c r="M144">
        <v>3.970200782865338E-2</v>
      </c>
      <c r="N144">
        <v>5.5830948509043811E-3</v>
      </c>
      <c r="O144">
        <v>2.4813754892908362E-3</v>
      </c>
      <c r="P144">
        <v>1.0545845829486054E-2</v>
      </c>
      <c r="Q144">
        <v>5.0247853658139434E-2</v>
      </c>
      <c r="R144">
        <v>1.2406877446454181E-2</v>
      </c>
      <c r="S144">
        <v>1.6749284552713146E-2</v>
      </c>
      <c r="T144">
        <v>4.3424071062589638E-3</v>
      </c>
      <c r="U144">
        <v>0.1594283751869362</v>
      </c>
      <c r="V144">
        <v>2.4813754892908362E-3</v>
      </c>
      <c r="W144">
        <v>1.923066004200398E-2</v>
      </c>
      <c r="X144">
        <v>4.9627509785816724E-3</v>
      </c>
      <c r="Y144">
        <v>8.0644703401952181E-3</v>
      </c>
      <c r="Z144">
        <v>8.0644703401952181E-3</v>
      </c>
      <c r="AA144">
        <v>8.0644703401952181E-3</v>
      </c>
      <c r="AB144">
        <v>1.6128940680390436E-2</v>
      </c>
      <c r="AC144">
        <v>9.9255019571633449E-3</v>
      </c>
      <c r="AD144">
        <v>1.0545845829486054E-2</v>
      </c>
      <c r="AE144">
        <v>5.8312323998334643E-2</v>
      </c>
      <c r="AF144">
        <v>1.1786533574131472E-2</v>
      </c>
      <c r="AG144">
        <v>5.5830948509043811E-3</v>
      </c>
      <c r="AH144">
        <v>1.7369628425035855E-2</v>
      </c>
      <c r="AI144">
        <v>6.2034387232270905E-4</v>
      </c>
      <c r="AJ144">
        <v>7.4441264678725078E-3</v>
      </c>
      <c r="AK144">
        <v>9.9255019571633449E-3</v>
      </c>
      <c r="AL144">
        <v>1.4267909063422308E-2</v>
      </c>
      <c r="AM144">
        <v>8.0644703401952181E-3</v>
      </c>
      <c r="AN144">
        <v>2.5434098765231068E-2</v>
      </c>
      <c r="AO144" t="s">
        <v>19</v>
      </c>
      <c r="AT144" t="str">
        <f t="shared" si="4"/>
        <v>bus</v>
      </c>
      <c r="AU144" t="str">
        <f t="shared" si="5"/>
        <v>dsl</v>
      </c>
    </row>
    <row r="145" spans="1:47">
      <c r="A145" t="s">
        <v>17</v>
      </c>
      <c r="B145" t="s">
        <v>176</v>
      </c>
      <c r="C145" t="s">
        <v>628</v>
      </c>
      <c r="D145" t="s">
        <v>19</v>
      </c>
      <c r="E145" t="s">
        <v>19</v>
      </c>
      <c r="F145" t="s">
        <v>19</v>
      </c>
      <c r="G145" t="s">
        <v>600</v>
      </c>
      <c r="H145" t="s">
        <v>19</v>
      </c>
      <c r="I145" t="s">
        <v>19</v>
      </c>
      <c r="J145" t="s">
        <v>19</v>
      </c>
      <c r="K145" t="s">
        <v>19</v>
      </c>
      <c r="L145">
        <v>4.4664758807235048E-2</v>
      </c>
      <c r="M145">
        <v>3.970200782865338E-2</v>
      </c>
      <c r="N145">
        <v>5.5830948509043811E-3</v>
      </c>
      <c r="O145">
        <v>2.4813754892908362E-3</v>
      </c>
      <c r="P145">
        <v>1.0545845829486054E-2</v>
      </c>
      <c r="Q145">
        <v>5.0247853658139434E-2</v>
      </c>
      <c r="R145">
        <v>1.2406877446454181E-2</v>
      </c>
      <c r="S145">
        <v>1.6749284552713146E-2</v>
      </c>
      <c r="T145">
        <v>4.3424071062589638E-3</v>
      </c>
      <c r="U145">
        <v>0.1594283751869362</v>
      </c>
      <c r="V145">
        <v>2.4813754892908362E-3</v>
      </c>
      <c r="W145">
        <v>1.923066004200398E-2</v>
      </c>
      <c r="X145">
        <v>4.9627509785816724E-3</v>
      </c>
      <c r="Y145">
        <v>8.0644703401952181E-3</v>
      </c>
      <c r="Z145">
        <v>8.0644703401952181E-3</v>
      </c>
      <c r="AA145">
        <v>8.0644703401952181E-3</v>
      </c>
      <c r="AB145">
        <v>1.6128940680390436E-2</v>
      </c>
      <c r="AC145">
        <v>9.9255019571633449E-3</v>
      </c>
      <c r="AD145">
        <v>1.0545845829486054E-2</v>
      </c>
      <c r="AE145">
        <v>5.8312323998334643E-2</v>
      </c>
      <c r="AF145">
        <v>1.1786533574131472E-2</v>
      </c>
      <c r="AG145">
        <v>5.5830948509043811E-3</v>
      </c>
      <c r="AH145">
        <v>1.7369628425035855E-2</v>
      </c>
      <c r="AI145">
        <v>6.2034387232270905E-4</v>
      </c>
      <c r="AJ145">
        <v>7.4441264678725078E-3</v>
      </c>
      <c r="AK145">
        <v>9.9255019571633449E-3</v>
      </c>
      <c r="AL145">
        <v>1.4267909063422308E-2</v>
      </c>
      <c r="AM145">
        <v>8.0644703401952181E-3</v>
      </c>
      <c r="AN145">
        <v>2.5434098765231068E-2</v>
      </c>
      <c r="AO145" t="s">
        <v>19</v>
      </c>
      <c r="AT145" t="str">
        <f t="shared" si="4"/>
        <v>bus</v>
      </c>
      <c r="AU145" t="str">
        <f t="shared" si="5"/>
        <v>dsl</v>
      </c>
    </row>
    <row r="146" spans="1:47">
      <c r="A146" t="s">
        <v>17</v>
      </c>
      <c r="B146" t="s">
        <v>176</v>
      </c>
      <c r="C146" t="s">
        <v>628</v>
      </c>
      <c r="D146" t="s">
        <v>19</v>
      </c>
      <c r="E146" t="s">
        <v>19</v>
      </c>
      <c r="F146" t="s">
        <v>19</v>
      </c>
      <c r="G146" t="s">
        <v>599</v>
      </c>
      <c r="H146" t="s">
        <v>19</v>
      </c>
      <c r="I146" t="s">
        <v>19</v>
      </c>
      <c r="J146" t="s">
        <v>19</v>
      </c>
      <c r="K146" t="s">
        <v>19</v>
      </c>
      <c r="L146">
        <v>4.4664758807235048E-2</v>
      </c>
      <c r="M146">
        <v>3.970200782865338E-2</v>
      </c>
      <c r="N146">
        <v>5.5830948509043811E-3</v>
      </c>
      <c r="O146">
        <v>2.4813754892908362E-3</v>
      </c>
      <c r="P146">
        <v>1.0545845829486054E-2</v>
      </c>
      <c r="Q146">
        <v>5.0247853658139434E-2</v>
      </c>
      <c r="R146">
        <v>1.2406877446454181E-2</v>
      </c>
      <c r="S146">
        <v>1.6749284552713146E-2</v>
      </c>
      <c r="T146">
        <v>4.3424071062589638E-3</v>
      </c>
      <c r="U146">
        <v>0.1594283751869362</v>
      </c>
      <c r="V146">
        <v>2.4813754892908362E-3</v>
      </c>
      <c r="W146">
        <v>1.923066004200398E-2</v>
      </c>
      <c r="X146">
        <v>4.9627509785816724E-3</v>
      </c>
      <c r="Y146">
        <v>8.0644703401952181E-3</v>
      </c>
      <c r="Z146">
        <v>8.0644703401952181E-3</v>
      </c>
      <c r="AA146">
        <v>8.0644703401952181E-3</v>
      </c>
      <c r="AB146">
        <v>1.6128940680390436E-2</v>
      </c>
      <c r="AC146">
        <v>9.9255019571633449E-3</v>
      </c>
      <c r="AD146">
        <v>1.0545845829486054E-2</v>
      </c>
      <c r="AE146">
        <v>5.8312323998334643E-2</v>
      </c>
      <c r="AF146">
        <v>1.1786533574131472E-2</v>
      </c>
      <c r="AG146">
        <v>5.5830948509043811E-3</v>
      </c>
      <c r="AH146">
        <v>1.7369628425035855E-2</v>
      </c>
      <c r="AI146">
        <v>6.2034387232270905E-4</v>
      </c>
      <c r="AJ146">
        <v>7.4441264678725078E-3</v>
      </c>
      <c r="AK146">
        <v>9.9255019571633449E-3</v>
      </c>
      <c r="AL146">
        <v>1.4267909063422308E-2</v>
      </c>
      <c r="AM146">
        <v>8.0644703401952181E-3</v>
      </c>
      <c r="AN146">
        <v>2.5434098765231068E-2</v>
      </c>
      <c r="AO146" t="s">
        <v>19</v>
      </c>
      <c r="AT146" t="str">
        <f t="shared" si="4"/>
        <v>bus</v>
      </c>
      <c r="AU146" t="str">
        <f t="shared" si="5"/>
        <v>dsl</v>
      </c>
    </row>
    <row r="147" spans="1:47">
      <c r="A147" t="s">
        <v>17</v>
      </c>
      <c r="B147" t="s">
        <v>176</v>
      </c>
      <c r="C147" t="s">
        <v>628</v>
      </c>
      <c r="D147" t="s">
        <v>19</v>
      </c>
      <c r="E147" t="s">
        <v>19</v>
      </c>
      <c r="F147" t="s">
        <v>19</v>
      </c>
      <c r="G147" t="s">
        <v>598</v>
      </c>
      <c r="H147" t="s">
        <v>19</v>
      </c>
      <c r="I147" t="s">
        <v>19</v>
      </c>
      <c r="J147" t="s">
        <v>19</v>
      </c>
      <c r="K147" t="s">
        <v>19</v>
      </c>
      <c r="L147">
        <v>4.4664758807235048E-2</v>
      </c>
      <c r="M147">
        <v>3.970200782865338E-2</v>
      </c>
      <c r="N147">
        <v>5.5830948509043811E-3</v>
      </c>
      <c r="O147">
        <v>2.4813754892908362E-3</v>
      </c>
      <c r="P147">
        <v>1.0545845829486054E-2</v>
      </c>
      <c r="Q147">
        <v>5.0247853658139434E-2</v>
      </c>
      <c r="R147">
        <v>1.2406877446454181E-2</v>
      </c>
      <c r="S147">
        <v>1.6749284552713146E-2</v>
      </c>
      <c r="T147">
        <v>4.3424071062589638E-3</v>
      </c>
      <c r="U147">
        <v>0.1594283751869362</v>
      </c>
      <c r="V147">
        <v>2.4813754892908362E-3</v>
      </c>
      <c r="W147">
        <v>1.923066004200398E-2</v>
      </c>
      <c r="X147">
        <v>4.9627509785816724E-3</v>
      </c>
      <c r="Y147">
        <v>8.0644703401952181E-3</v>
      </c>
      <c r="Z147">
        <v>8.0644703401952181E-3</v>
      </c>
      <c r="AA147">
        <v>8.0644703401952181E-3</v>
      </c>
      <c r="AB147">
        <v>1.6128940680390436E-2</v>
      </c>
      <c r="AC147">
        <v>9.9255019571633449E-3</v>
      </c>
      <c r="AD147">
        <v>1.0545845829486054E-2</v>
      </c>
      <c r="AE147">
        <v>5.8312323998334643E-2</v>
      </c>
      <c r="AF147">
        <v>1.1786533574131472E-2</v>
      </c>
      <c r="AG147">
        <v>5.5830948509043811E-3</v>
      </c>
      <c r="AH147">
        <v>1.7369628425035855E-2</v>
      </c>
      <c r="AI147">
        <v>6.2034387232270905E-4</v>
      </c>
      <c r="AJ147">
        <v>7.4441264678725078E-3</v>
      </c>
      <c r="AK147">
        <v>9.9255019571633449E-3</v>
      </c>
      <c r="AL147">
        <v>1.4267909063422308E-2</v>
      </c>
      <c r="AM147">
        <v>8.0644703401952181E-3</v>
      </c>
      <c r="AN147">
        <v>2.5434098765231068E-2</v>
      </c>
      <c r="AO147" t="s">
        <v>19</v>
      </c>
      <c r="AT147" t="str">
        <f t="shared" si="4"/>
        <v>bus</v>
      </c>
      <c r="AU147" t="str">
        <f t="shared" si="5"/>
        <v>dsl</v>
      </c>
    </row>
    <row r="148" spans="1:47">
      <c r="A148" t="s">
        <v>17</v>
      </c>
      <c r="B148" t="s">
        <v>176</v>
      </c>
      <c r="C148" t="s">
        <v>628</v>
      </c>
      <c r="D148" t="s">
        <v>19</v>
      </c>
      <c r="E148" t="s">
        <v>19</v>
      </c>
      <c r="F148" t="s">
        <v>19</v>
      </c>
      <c r="G148" t="s">
        <v>597</v>
      </c>
      <c r="H148" t="s">
        <v>19</v>
      </c>
      <c r="I148" t="s">
        <v>19</v>
      </c>
      <c r="J148" t="s">
        <v>19</v>
      </c>
      <c r="K148" t="s">
        <v>19</v>
      </c>
      <c r="L148">
        <v>4.4664758807235048E-2</v>
      </c>
      <c r="M148">
        <v>3.970200782865338E-2</v>
      </c>
      <c r="N148">
        <v>5.5830948509043811E-3</v>
      </c>
      <c r="O148">
        <v>2.4813754892908362E-3</v>
      </c>
      <c r="P148">
        <v>1.0545845829486054E-2</v>
      </c>
      <c r="Q148">
        <v>5.0247853658139434E-2</v>
      </c>
      <c r="R148">
        <v>1.2406877446454181E-2</v>
      </c>
      <c r="S148">
        <v>1.6749284552713146E-2</v>
      </c>
      <c r="T148">
        <v>4.3424071062589638E-3</v>
      </c>
      <c r="U148">
        <v>0.1594283751869362</v>
      </c>
      <c r="V148">
        <v>2.4813754892908362E-3</v>
      </c>
      <c r="W148">
        <v>1.923066004200398E-2</v>
      </c>
      <c r="X148">
        <v>4.9627509785816724E-3</v>
      </c>
      <c r="Y148">
        <v>8.0644703401952181E-3</v>
      </c>
      <c r="Z148">
        <v>8.0644703401952181E-3</v>
      </c>
      <c r="AA148">
        <v>8.0644703401952181E-3</v>
      </c>
      <c r="AB148">
        <v>1.6128940680390436E-2</v>
      </c>
      <c r="AC148">
        <v>9.9255019571633449E-3</v>
      </c>
      <c r="AD148">
        <v>1.0545845829486054E-2</v>
      </c>
      <c r="AE148">
        <v>5.8312323998334643E-2</v>
      </c>
      <c r="AF148">
        <v>1.1786533574131472E-2</v>
      </c>
      <c r="AG148">
        <v>5.5830948509043811E-3</v>
      </c>
      <c r="AH148">
        <v>1.7369628425035855E-2</v>
      </c>
      <c r="AI148">
        <v>6.2034387232270905E-4</v>
      </c>
      <c r="AJ148">
        <v>7.4441264678725078E-3</v>
      </c>
      <c r="AK148">
        <v>9.9255019571633449E-3</v>
      </c>
      <c r="AL148">
        <v>1.4267909063422308E-2</v>
      </c>
      <c r="AM148">
        <v>8.0644703401952181E-3</v>
      </c>
      <c r="AN148">
        <v>2.5434098765231068E-2</v>
      </c>
      <c r="AO148" t="s">
        <v>19</v>
      </c>
      <c r="AT148" t="str">
        <f t="shared" si="4"/>
        <v>bus</v>
      </c>
      <c r="AU148" t="str">
        <f t="shared" si="5"/>
        <v>dsl</v>
      </c>
    </row>
    <row r="149" spans="1:47">
      <c r="A149" t="s">
        <v>17</v>
      </c>
      <c r="B149" t="s">
        <v>176</v>
      </c>
      <c r="C149" t="s">
        <v>628</v>
      </c>
      <c r="D149" t="s">
        <v>19</v>
      </c>
      <c r="E149" t="s">
        <v>19</v>
      </c>
      <c r="F149" t="s">
        <v>19</v>
      </c>
      <c r="G149" t="s">
        <v>596</v>
      </c>
      <c r="H149" t="s">
        <v>19</v>
      </c>
      <c r="I149" t="s">
        <v>19</v>
      </c>
      <c r="J149" t="s">
        <v>19</v>
      </c>
      <c r="K149" t="s">
        <v>19</v>
      </c>
      <c r="L149">
        <v>4.4664758807235048E-2</v>
      </c>
      <c r="M149">
        <v>3.970200782865338E-2</v>
      </c>
      <c r="N149">
        <v>5.5830948509043811E-3</v>
      </c>
      <c r="O149">
        <v>2.4813754892908362E-3</v>
      </c>
      <c r="P149">
        <v>1.0545845829486054E-2</v>
      </c>
      <c r="Q149">
        <v>5.0247853658139434E-2</v>
      </c>
      <c r="R149">
        <v>1.2406877446454181E-2</v>
      </c>
      <c r="S149">
        <v>1.6749284552713146E-2</v>
      </c>
      <c r="T149">
        <v>4.3424071062589638E-3</v>
      </c>
      <c r="U149">
        <v>0.1594283751869362</v>
      </c>
      <c r="V149">
        <v>2.4813754892908362E-3</v>
      </c>
      <c r="W149">
        <v>1.923066004200398E-2</v>
      </c>
      <c r="X149">
        <v>4.9627509785816724E-3</v>
      </c>
      <c r="Y149">
        <v>8.0644703401952181E-3</v>
      </c>
      <c r="Z149">
        <v>8.0644703401952181E-3</v>
      </c>
      <c r="AA149">
        <v>8.0644703401952181E-3</v>
      </c>
      <c r="AB149">
        <v>1.6128940680390436E-2</v>
      </c>
      <c r="AC149">
        <v>9.9255019571633449E-3</v>
      </c>
      <c r="AD149">
        <v>1.0545845829486054E-2</v>
      </c>
      <c r="AE149">
        <v>5.8312323998334643E-2</v>
      </c>
      <c r="AF149">
        <v>1.1786533574131472E-2</v>
      </c>
      <c r="AG149">
        <v>5.5830948509043811E-3</v>
      </c>
      <c r="AH149">
        <v>1.7369628425035855E-2</v>
      </c>
      <c r="AI149">
        <v>6.2034387232270905E-4</v>
      </c>
      <c r="AJ149">
        <v>7.4441264678725078E-3</v>
      </c>
      <c r="AK149">
        <v>9.9255019571633449E-3</v>
      </c>
      <c r="AL149">
        <v>1.4267909063422308E-2</v>
      </c>
      <c r="AM149">
        <v>8.0644703401952181E-3</v>
      </c>
      <c r="AN149">
        <v>2.5434098765231068E-2</v>
      </c>
      <c r="AO149" t="s">
        <v>19</v>
      </c>
      <c r="AT149" t="str">
        <f t="shared" si="4"/>
        <v>bus</v>
      </c>
      <c r="AU149" t="str">
        <f t="shared" si="5"/>
        <v>dsl</v>
      </c>
    </row>
    <row r="150" spans="1:47">
      <c r="A150" t="s">
        <v>17</v>
      </c>
      <c r="B150" t="s">
        <v>176</v>
      </c>
      <c r="C150" t="s">
        <v>628</v>
      </c>
      <c r="D150" t="s">
        <v>19</v>
      </c>
      <c r="E150" t="s">
        <v>19</v>
      </c>
      <c r="F150" t="s">
        <v>19</v>
      </c>
      <c r="G150" t="s">
        <v>178</v>
      </c>
      <c r="H150" t="s">
        <v>19</v>
      </c>
      <c r="I150" t="s">
        <v>19</v>
      </c>
      <c r="J150" t="s">
        <v>19</v>
      </c>
      <c r="K150" t="s">
        <v>19</v>
      </c>
      <c r="L150">
        <v>4.4664758807235048E-2</v>
      </c>
      <c r="M150">
        <v>3.970200782865338E-2</v>
      </c>
      <c r="N150">
        <v>5.5830948509043811E-3</v>
      </c>
      <c r="O150">
        <v>2.4813754892908362E-3</v>
      </c>
      <c r="P150">
        <v>1.0545845829486054E-2</v>
      </c>
      <c r="Q150">
        <v>5.0247853658139434E-2</v>
      </c>
      <c r="R150">
        <v>1.2406877446454181E-2</v>
      </c>
      <c r="S150">
        <v>1.6749284552713146E-2</v>
      </c>
      <c r="T150">
        <v>4.3424071062589638E-3</v>
      </c>
      <c r="U150">
        <v>0.1594283751869362</v>
      </c>
      <c r="V150">
        <v>2.4813754892908362E-3</v>
      </c>
      <c r="W150">
        <v>1.923066004200398E-2</v>
      </c>
      <c r="X150">
        <v>4.9627509785816724E-3</v>
      </c>
      <c r="Y150">
        <v>8.0644703401952181E-3</v>
      </c>
      <c r="Z150">
        <v>8.0644703401952181E-3</v>
      </c>
      <c r="AA150">
        <v>8.0644703401952181E-3</v>
      </c>
      <c r="AB150">
        <v>1.6128940680390436E-2</v>
      </c>
      <c r="AC150">
        <v>9.9255019571633449E-3</v>
      </c>
      <c r="AD150">
        <v>1.0545845829486054E-2</v>
      </c>
      <c r="AE150">
        <v>5.8312323998334643E-2</v>
      </c>
      <c r="AF150">
        <v>1.1786533574131472E-2</v>
      </c>
      <c r="AG150">
        <v>5.5830948509043811E-3</v>
      </c>
      <c r="AH150">
        <v>1.7369628425035855E-2</v>
      </c>
      <c r="AI150">
        <v>6.2034387232270905E-4</v>
      </c>
      <c r="AJ150">
        <v>7.4441264678725078E-3</v>
      </c>
      <c r="AK150">
        <v>9.9255019571633449E-3</v>
      </c>
      <c r="AL150">
        <v>1.4267909063422308E-2</v>
      </c>
      <c r="AM150">
        <v>8.0644703401952181E-3</v>
      </c>
      <c r="AN150">
        <v>2.5434098765231068E-2</v>
      </c>
      <c r="AO150" t="s">
        <v>19</v>
      </c>
      <c r="AT150" t="str">
        <f t="shared" si="4"/>
        <v>bus</v>
      </c>
      <c r="AU150" t="str">
        <f t="shared" si="5"/>
        <v>dsl</v>
      </c>
    </row>
    <row r="151" spans="1:47">
      <c r="A151" t="s">
        <v>17</v>
      </c>
      <c r="B151" t="s">
        <v>176</v>
      </c>
      <c r="C151" t="s">
        <v>628</v>
      </c>
      <c r="D151" t="s">
        <v>19</v>
      </c>
      <c r="E151" t="s">
        <v>19</v>
      </c>
      <c r="F151" t="s">
        <v>19</v>
      </c>
      <c r="G151" t="s">
        <v>179</v>
      </c>
      <c r="H151" t="s">
        <v>19</v>
      </c>
      <c r="I151" t="s">
        <v>19</v>
      </c>
      <c r="J151" t="s">
        <v>19</v>
      </c>
      <c r="K151" t="s">
        <v>19</v>
      </c>
      <c r="L151">
        <v>4.4664758807235048E-2</v>
      </c>
      <c r="M151">
        <v>3.970200782865338E-2</v>
      </c>
      <c r="N151">
        <v>5.5830948509043811E-3</v>
      </c>
      <c r="O151">
        <v>2.4813754892908362E-3</v>
      </c>
      <c r="P151">
        <v>1.0545845829486054E-2</v>
      </c>
      <c r="Q151">
        <v>5.0247853658139434E-2</v>
      </c>
      <c r="R151">
        <v>1.2406877446454181E-2</v>
      </c>
      <c r="S151">
        <v>1.6749284552713146E-2</v>
      </c>
      <c r="T151">
        <v>4.3424071062589638E-3</v>
      </c>
      <c r="U151">
        <v>0.1594283751869362</v>
      </c>
      <c r="V151">
        <v>2.4813754892908362E-3</v>
      </c>
      <c r="W151">
        <v>1.923066004200398E-2</v>
      </c>
      <c r="X151">
        <v>4.9627509785816724E-3</v>
      </c>
      <c r="Y151">
        <v>8.0644703401952181E-3</v>
      </c>
      <c r="Z151">
        <v>8.0644703401952181E-3</v>
      </c>
      <c r="AA151">
        <v>8.0644703401952181E-3</v>
      </c>
      <c r="AB151">
        <v>1.6128940680390436E-2</v>
      </c>
      <c r="AC151">
        <v>9.9255019571633449E-3</v>
      </c>
      <c r="AD151">
        <v>1.0545845829486054E-2</v>
      </c>
      <c r="AE151">
        <v>5.8312323998334643E-2</v>
      </c>
      <c r="AF151">
        <v>1.1786533574131472E-2</v>
      </c>
      <c r="AG151">
        <v>5.5830948509043811E-3</v>
      </c>
      <c r="AH151">
        <v>1.7369628425035855E-2</v>
      </c>
      <c r="AI151">
        <v>6.2034387232270905E-4</v>
      </c>
      <c r="AJ151">
        <v>7.4441264678725078E-3</v>
      </c>
      <c r="AK151">
        <v>9.9255019571633449E-3</v>
      </c>
      <c r="AL151">
        <v>1.4267909063422308E-2</v>
      </c>
      <c r="AM151">
        <v>8.0644703401952181E-3</v>
      </c>
      <c r="AN151">
        <v>2.5434098765231068E-2</v>
      </c>
      <c r="AO151" t="s">
        <v>19</v>
      </c>
      <c r="AT151" t="str">
        <f t="shared" si="4"/>
        <v>bus</v>
      </c>
      <c r="AU151" t="str">
        <f t="shared" si="5"/>
        <v>dsl</v>
      </c>
    </row>
    <row r="152" spans="1:47">
      <c r="A152" t="s">
        <v>17</v>
      </c>
      <c r="B152" t="s">
        <v>176</v>
      </c>
      <c r="C152" t="s">
        <v>628</v>
      </c>
      <c r="D152" t="s">
        <v>19</v>
      </c>
      <c r="E152" t="s">
        <v>19</v>
      </c>
      <c r="F152" t="s">
        <v>19</v>
      </c>
      <c r="G152" t="s">
        <v>180</v>
      </c>
      <c r="H152" t="s">
        <v>19</v>
      </c>
      <c r="I152" t="s">
        <v>19</v>
      </c>
      <c r="J152" t="s">
        <v>19</v>
      </c>
      <c r="K152" t="s">
        <v>19</v>
      </c>
      <c r="L152">
        <v>4.4664758807235048E-2</v>
      </c>
      <c r="M152">
        <v>3.970200782865338E-2</v>
      </c>
      <c r="N152">
        <v>5.5830948509043811E-3</v>
      </c>
      <c r="O152">
        <v>2.4813754892908362E-3</v>
      </c>
      <c r="P152">
        <v>1.0545845829486054E-2</v>
      </c>
      <c r="Q152">
        <v>5.0247853658139434E-2</v>
      </c>
      <c r="R152">
        <v>1.2406877446454181E-2</v>
      </c>
      <c r="S152">
        <v>1.6749284552713146E-2</v>
      </c>
      <c r="T152">
        <v>4.3424071062589638E-3</v>
      </c>
      <c r="U152">
        <v>0.1594283751869362</v>
      </c>
      <c r="V152">
        <v>2.4813754892908362E-3</v>
      </c>
      <c r="W152">
        <v>1.923066004200398E-2</v>
      </c>
      <c r="X152">
        <v>4.9627509785816724E-3</v>
      </c>
      <c r="Y152">
        <v>8.0644703401952181E-3</v>
      </c>
      <c r="Z152">
        <v>8.0644703401952181E-3</v>
      </c>
      <c r="AA152">
        <v>8.0644703401952181E-3</v>
      </c>
      <c r="AB152">
        <v>1.6128940680390436E-2</v>
      </c>
      <c r="AC152">
        <v>9.9255019571633449E-3</v>
      </c>
      <c r="AD152">
        <v>1.0545845829486054E-2</v>
      </c>
      <c r="AE152">
        <v>5.8312323998334643E-2</v>
      </c>
      <c r="AF152">
        <v>1.1786533574131472E-2</v>
      </c>
      <c r="AG152">
        <v>5.5830948509043811E-3</v>
      </c>
      <c r="AH152">
        <v>1.7369628425035855E-2</v>
      </c>
      <c r="AI152">
        <v>6.2034387232270905E-4</v>
      </c>
      <c r="AJ152">
        <v>7.4441264678725078E-3</v>
      </c>
      <c r="AK152">
        <v>9.9255019571633449E-3</v>
      </c>
      <c r="AL152">
        <v>1.4267909063422308E-2</v>
      </c>
      <c r="AM152">
        <v>8.0644703401952181E-3</v>
      </c>
      <c r="AN152">
        <v>2.5434098765231068E-2</v>
      </c>
      <c r="AO152" t="s">
        <v>19</v>
      </c>
      <c r="AT152" t="str">
        <f t="shared" si="4"/>
        <v>bus</v>
      </c>
      <c r="AU152" t="str">
        <f t="shared" si="5"/>
        <v>dsl</v>
      </c>
    </row>
    <row r="153" spans="1:47">
      <c r="A153" t="s">
        <v>17</v>
      </c>
      <c r="B153" t="s">
        <v>176</v>
      </c>
      <c r="C153" t="s">
        <v>628</v>
      </c>
      <c r="D153" t="s">
        <v>19</v>
      </c>
      <c r="E153" t="s">
        <v>19</v>
      </c>
      <c r="F153" t="s">
        <v>19</v>
      </c>
      <c r="G153" t="s">
        <v>181</v>
      </c>
      <c r="H153" t="s">
        <v>19</v>
      </c>
      <c r="I153" t="s">
        <v>19</v>
      </c>
      <c r="J153" t="s">
        <v>19</v>
      </c>
      <c r="K153" t="s">
        <v>19</v>
      </c>
      <c r="L153">
        <v>4.4664758807235048E-2</v>
      </c>
      <c r="M153">
        <v>3.970200782865338E-2</v>
      </c>
      <c r="N153">
        <v>5.5830948509043811E-3</v>
      </c>
      <c r="O153">
        <v>2.4813754892908362E-3</v>
      </c>
      <c r="P153">
        <v>1.0545845829486054E-2</v>
      </c>
      <c r="Q153">
        <v>5.0247853658139434E-2</v>
      </c>
      <c r="R153">
        <v>1.2406877446454181E-2</v>
      </c>
      <c r="S153">
        <v>1.6749284552713146E-2</v>
      </c>
      <c r="T153">
        <v>4.3424071062589638E-3</v>
      </c>
      <c r="U153">
        <v>0.1594283751869362</v>
      </c>
      <c r="V153">
        <v>2.4813754892908362E-3</v>
      </c>
      <c r="W153">
        <v>1.923066004200398E-2</v>
      </c>
      <c r="X153">
        <v>4.9627509785816724E-3</v>
      </c>
      <c r="Y153">
        <v>8.0644703401952181E-3</v>
      </c>
      <c r="Z153">
        <v>8.0644703401952181E-3</v>
      </c>
      <c r="AA153">
        <v>8.0644703401952181E-3</v>
      </c>
      <c r="AB153">
        <v>1.6128940680390436E-2</v>
      </c>
      <c r="AC153">
        <v>9.9255019571633449E-3</v>
      </c>
      <c r="AD153">
        <v>1.0545845829486054E-2</v>
      </c>
      <c r="AE153">
        <v>5.8312323998334643E-2</v>
      </c>
      <c r="AF153">
        <v>1.1786533574131472E-2</v>
      </c>
      <c r="AG153">
        <v>5.5830948509043811E-3</v>
      </c>
      <c r="AH153">
        <v>1.7369628425035855E-2</v>
      </c>
      <c r="AI153">
        <v>6.2034387232270905E-4</v>
      </c>
      <c r="AJ153">
        <v>7.4441264678725078E-3</v>
      </c>
      <c r="AK153">
        <v>9.9255019571633449E-3</v>
      </c>
      <c r="AL153">
        <v>1.4267909063422308E-2</v>
      </c>
      <c r="AM153">
        <v>8.0644703401952181E-3</v>
      </c>
      <c r="AN153">
        <v>2.5434098765231068E-2</v>
      </c>
      <c r="AO153" t="s">
        <v>19</v>
      </c>
      <c r="AT153" t="str">
        <f t="shared" si="4"/>
        <v>bus</v>
      </c>
      <c r="AU153" t="str">
        <f t="shared" si="5"/>
        <v>dsl</v>
      </c>
    </row>
    <row r="154" spans="1:47">
      <c r="A154" t="s">
        <v>17</v>
      </c>
      <c r="B154" t="s">
        <v>176</v>
      </c>
      <c r="C154" t="s">
        <v>628</v>
      </c>
      <c r="D154" t="s">
        <v>19</v>
      </c>
      <c r="E154" t="s">
        <v>19</v>
      </c>
      <c r="F154" t="s">
        <v>19</v>
      </c>
      <c r="G154" t="s">
        <v>182</v>
      </c>
      <c r="H154" t="s">
        <v>19</v>
      </c>
      <c r="I154" t="s">
        <v>19</v>
      </c>
      <c r="J154" t="s">
        <v>19</v>
      </c>
      <c r="K154" t="s">
        <v>19</v>
      </c>
      <c r="L154">
        <v>4.4664758807235048E-2</v>
      </c>
      <c r="M154">
        <v>3.970200782865338E-2</v>
      </c>
      <c r="N154">
        <v>5.5830948509043811E-3</v>
      </c>
      <c r="O154">
        <v>2.4813754892908362E-3</v>
      </c>
      <c r="P154">
        <v>1.0545845829486054E-2</v>
      </c>
      <c r="Q154">
        <v>5.0247853658139434E-2</v>
      </c>
      <c r="R154">
        <v>1.2406877446454181E-2</v>
      </c>
      <c r="S154">
        <v>1.6749284552713146E-2</v>
      </c>
      <c r="T154">
        <v>4.3424071062589638E-3</v>
      </c>
      <c r="U154">
        <v>0.1594283751869362</v>
      </c>
      <c r="V154">
        <v>2.4813754892908362E-3</v>
      </c>
      <c r="W154">
        <v>1.923066004200398E-2</v>
      </c>
      <c r="X154">
        <v>4.9627509785816724E-3</v>
      </c>
      <c r="Y154">
        <v>8.0644703401952181E-3</v>
      </c>
      <c r="Z154">
        <v>8.0644703401952181E-3</v>
      </c>
      <c r="AA154">
        <v>8.0644703401952181E-3</v>
      </c>
      <c r="AB154">
        <v>1.6128940680390436E-2</v>
      </c>
      <c r="AC154">
        <v>9.9255019571633449E-3</v>
      </c>
      <c r="AD154">
        <v>1.0545845829486054E-2</v>
      </c>
      <c r="AE154">
        <v>5.8312323998334643E-2</v>
      </c>
      <c r="AF154">
        <v>1.1786533574131472E-2</v>
      </c>
      <c r="AG154">
        <v>5.5830948509043811E-3</v>
      </c>
      <c r="AH154">
        <v>1.7369628425035855E-2</v>
      </c>
      <c r="AI154">
        <v>6.2034387232270905E-4</v>
      </c>
      <c r="AJ154">
        <v>7.4441264678725078E-3</v>
      </c>
      <c r="AK154">
        <v>9.9255019571633449E-3</v>
      </c>
      <c r="AL154">
        <v>1.4267909063422308E-2</v>
      </c>
      <c r="AM154">
        <v>8.0644703401952181E-3</v>
      </c>
      <c r="AN154">
        <v>2.5434098765231068E-2</v>
      </c>
      <c r="AO154" t="s">
        <v>19</v>
      </c>
      <c r="AT154" t="str">
        <f t="shared" si="4"/>
        <v>bus</v>
      </c>
      <c r="AU154" t="str">
        <f t="shared" si="5"/>
        <v>dsl</v>
      </c>
    </row>
    <row r="155" spans="1:47">
      <c r="A155" t="s">
        <v>17</v>
      </c>
      <c r="B155" t="s">
        <v>176</v>
      </c>
      <c r="C155" t="s">
        <v>628</v>
      </c>
      <c r="D155" t="s">
        <v>19</v>
      </c>
      <c r="E155" t="s">
        <v>19</v>
      </c>
      <c r="F155" t="s">
        <v>19</v>
      </c>
      <c r="G155" t="s">
        <v>183</v>
      </c>
      <c r="H155" t="s">
        <v>19</v>
      </c>
      <c r="I155" t="s">
        <v>19</v>
      </c>
      <c r="J155" t="s">
        <v>19</v>
      </c>
      <c r="K155" t="s">
        <v>19</v>
      </c>
      <c r="L155">
        <v>4.4664758807235048E-2</v>
      </c>
      <c r="M155">
        <v>3.970200782865338E-2</v>
      </c>
      <c r="N155">
        <v>5.5830948509043811E-3</v>
      </c>
      <c r="O155">
        <v>2.4813754892908362E-3</v>
      </c>
      <c r="P155">
        <v>1.0545845829486054E-2</v>
      </c>
      <c r="Q155">
        <v>5.0247853658139434E-2</v>
      </c>
      <c r="R155">
        <v>1.2406877446454181E-2</v>
      </c>
      <c r="S155">
        <v>1.6749284552713146E-2</v>
      </c>
      <c r="T155">
        <v>4.3424071062589638E-3</v>
      </c>
      <c r="U155">
        <v>0.1594283751869362</v>
      </c>
      <c r="V155">
        <v>2.4813754892908362E-3</v>
      </c>
      <c r="W155">
        <v>1.923066004200398E-2</v>
      </c>
      <c r="X155">
        <v>4.9627509785816724E-3</v>
      </c>
      <c r="Y155">
        <v>8.0644703401952181E-3</v>
      </c>
      <c r="Z155">
        <v>8.0644703401952181E-3</v>
      </c>
      <c r="AA155">
        <v>8.0644703401952181E-3</v>
      </c>
      <c r="AB155">
        <v>1.6128940680390436E-2</v>
      </c>
      <c r="AC155">
        <v>9.9255019571633449E-3</v>
      </c>
      <c r="AD155">
        <v>1.0545845829486054E-2</v>
      </c>
      <c r="AE155">
        <v>5.8312323998334643E-2</v>
      </c>
      <c r="AF155">
        <v>1.1786533574131472E-2</v>
      </c>
      <c r="AG155">
        <v>5.5830948509043811E-3</v>
      </c>
      <c r="AH155">
        <v>1.7369628425035855E-2</v>
      </c>
      <c r="AI155">
        <v>6.2034387232270905E-4</v>
      </c>
      <c r="AJ155">
        <v>7.4441264678725078E-3</v>
      </c>
      <c r="AK155">
        <v>9.9255019571633449E-3</v>
      </c>
      <c r="AL155">
        <v>1.4267909063422308E-2</v>
      </c>
      <c r="AM155">
        <v>8.0644703401952181E-3</v>
      </c>
      <c r="AN155">
        <v>2.5434098765231068E-2</v>
      </c>
      <c r="AO155" t="s">
        <v>19</v>
      </c>
      <c r="AT155" t="str">
        <f t="shared" si="4"/>
        <v>bus</v>
      </c>
      <c r="AU155" t="str">
        <f t="shared" si="5"/>
        <v>dsl</v>
      </c>
    </row>
    <row r="156" spans="1:47">
      <c r="A156" t="s">
        <v>17</v>
      </c>
      <c r="B156" t="s">
        <v>176</v>
      </c>
      <c r="C156" t="s">
        <v>628</v>
      </c>
      <c r="D156" t="s">
        <v>19</v>
      </c>
      <c r="E156" t="s">
        <v>19</v>
      </c>
      <c r="F156" t="s">
        <v>19</v>
      </c>
      <c r="G156" t="s">
        <v>184</v>
      </c>
      <c r="H156" t="s">
        <v>19</v>
      </c>
      <c r="I156" t="s">
        <v>19</v>
      </c>
      <c r="J156" t="s">
        <v>19</v>
      </c>
      <c r="K156" t="s">
        <v>19</v>
      </c>
      <c r="L156">
        <v>4.4664758807235048E-2</v>
      </c>
      <c r="M156">
        <v>3.970200782865338E-2</v>
      </c>
      <c r="N156">
        <v>5.5830948509043811E-3</v>
      </c>
      <c r="O156">
        <v>2.4813754892908362E-3</v>
      </c>
      <c r="P156">
        <v>1.0545845829486054E-2</v>
      </c>
      <c r="Q156">
        <v>5.0247853658139434E-2</v>
      </c>
      <c r="R156">
        <v>1.2406877446454181E-2</v>
      </c>
      <c r="S156">
        <v>1.6749284552713146E-2</v>
      </c>
      <c r="T156">
        <v>4.3424071062589638E-3</v>
      </c>
      <c r="U156">
        <v>0.1594283751869362</v>
      </c>
      <c r="V156">
        <v>2.4813754892908362E-3</v>
      </c>
      <c r="W156">
        <v>1.923066004200398E-2</v>
      </c>
      <c r="X156">
        <v>4.9627509785816724E-3</v>
      </c>
      <c r="Y156">
        <v>8.0644703401952181E-3</v>
      </c>
      <c r="Z156">
        <v>8.0644703401952181E-3</v>
      </c>
      <c r="AA156">
        <v>8.0644703401952181E-3</v>
      </c>
      <c r="AB156">
        <v>1.6128940680390436E-2</v>
      </c>
      <c r="AC156">
        <v>9.9255019571633449E-3</v>
      </c>
      <c r="AD156">
        <v>1.0545845829486054E-2</v>
      </c>
      <c r="AE156">
        <v>5.8312323998334643E-2</v>
      </c>
      <c r="AF156">
        <v>1.1786533574131472E-2</v>
      </c>
      <c r="AG156">
        <v>5.5830948509043811E-3</v>
      </c>
      <c r="AH156">
        <v>1.7369628425035855E-2</v>
      </c>
      <c r="AI156">
        <v>6.2034387232270905E-4</v>
      </c>
      <c r="AJ156">
        <v>7.4441264678725078E-3</v>
      </c>
      <c r="AK156">
        <v>9.9255019571633449E-3</v>
      </c>
      <c r="AL156">
        <v>1.4267909063422308E-2</v>
      </c>
      <c r="AM156">
        <v>8.0644703401952181E-3</v>
      </c>
      <c r="AN156">
        <v>2.5434098765231068E-2</v>
      </c>
      <c r="AO156" t="s">
        <v>19</v>
      </c>
      <c r="AT156" t="str">
        <f t="shared" si="4"/>
        <v>bus</v>
      </c>
      <c r="AU156" t="str">
        <f t="shared" si="5"/>
        <v>dsl</v>
      </c>
    </row>
    <row r="157" spans="1:47">
      <c r="A157" t="s">
        <v>17</v>
      </c>
      <c r="B157" t="s">
        <v>176</v>
      </c>
      <c r="C157" t="s">
        <v>628</v>
      </c>
      <c r="D157" t="s">
        <v>19</v>
      </c>
      <c r="E157" t="s">
        <v>19</v>
      </c>
      <c r="F157" t="s">
        <v>19</v>
      </c>
      <c r="G157" t="s">
        <v>185</v>
      </c>
      <c r="H157" t="s">
        <v>19</v>
      </c>
      <c r="I157" t="s">
        <v>19</v>
      </c>
      <c r="J157" t="s">
        <v>19</v>
      </c>
      <c r="K157" t="s">
        <v>19</v>
      </c>
      <c r="L157">
        <v>4.4664758807235048E-2</v>
      </c>
      <c r="M157">
        <v>3.970200782865338E-2</v>
      </c>
      <c r="N157">
        <v>5.5830948509043811E-3</v>
      </c>
      <c r="O157">
        <v>2.4813754892908362E-3</v>
      </c>
      <c r="P157">
        <v>1.0545845829486054E-2</v>
      </c>
      <c r="Q157">
        <v>5.0247853658139434E-2</v>
      </c>
      <c r="R157">
        <v>1.2406877446454181E-2</v>
      </c>
      <c r="S157">
        <v>1.6749284552713146E-2</v>
      </c>
      <c r="T157">
        <v>4.3424071062589638E-3</v>
      </c>
      <c r="U157">
        <v>0.1594283751869362</v>
      </c>
      <c r="V157">
        <v>2.4813754892908362E-3</v>
      </c>
      <c r="W157">
        <v>1.923066004200398E-2</v>
      </c>
      <c r="X157">
        <v>4.9627509785816724E-3</v>
      </c>
      <c r="Y157">
        <v>8.0644703401952181E-3</v>
      </c>
      <c r="Z157">
        <v>8.0644703401952181E-3</v>
      </c>
      <c r="AA157">
        <v>8.0644703401952181E-3</v>
      </c>
      <c r="AB157">
        <v>1.6128940680390436E-2</v>
      </c>
      <c r="AC157">
        <v>9.9255019571633449E-3</v>
      </c>
      <c r="AD157">
        <v>1.0545845829486054E-2</v>
      </c>
      <c r="AE157">
        <v>5.8312323998334643E-2</v>
      </c>
      <c r="AF157">
        <v>1.1786533574131472E-2</v>
      </c>
      <c r="AG157">
        <v>5.5830948509043811E-3</v>
      </c>
      <c r="AH157">
        <v>1.7369628425035855E-2</v>
      </c>
      <c r="AI157">
        <v>6.2034387232270905E-4</v>
      </c>
      <c r="AJ157">
        <v>7.4441264678725078E-3</v>
      </c>
      <c r="AK157">
        <v>9.9255019571633449E-3</v>
      </c>
      <c r="AL157">
        <v>1.4267909063422308E-2</v>
      </c>
      <c r="AM157">
        <v>8.0644703401952181E-3</v>
      </c>
      <c r="AN157">
        <v>2.5434098765231068E-2</v>
      </c>
      <c r="AO157" t="s">
        <v>19</v>
      </c>
      <c r="AT157" t="str">
        <f t="shared" si="4"/>
        <v>bus</v>
      </c>
      <c r="AU157" t="str">
        <f t="shared" si="5"/>
        <v>dsl</v>
      </c>
    </row>
    <row r="158" spans="1:47">
      <c r="A158" t="s">
        <v>17</v>
      </c>
      <c r="B158" t="s">
        <v>176</v>
      </c>
      <c r="C158" t="s">
        <v>628</v>
      </c>
      <c r="D158" t="s">
        <v>19</v>
      </c>
      <c r="E158" t="s">
        <v>19</v>
      </c>
      <c r="F158" t="s">
        <v>19</v>
      </c>
      <c r="G158" t="s">
        <v>186</v>
      </c>
      <c r="H158" t="s">
        <v>19</v>
      </c>
      <c r="I158" t="s">
        <v>19</v>
      </c>
      <c r="J158" t="s">
        <v>19</v>
      </c>
      <c r="K158" t="s">
        <v>19</v>
      </c>
      <c r="L158">
        <v>4.4664758807235048E-2</v>
      </c>
      <c r="M158">
        <v>3.970200782865338E-2</v>
      </c>
      <c r="N158">
        <v>5.5830948509043811E-3</v>
      </c>
      <c r="O158">
        <v>2.4813754892908362E-3</v>
      </c>
      <c r="P158">
        <v>1.0545845829486054E-2</v>
      </c>
      <c r="Q158">
        <v>5.0247853658139434E-2</v>
      </c>
      <c r="R158">
        <v>1.2406877446454181E-2</v>
      </c>
      <c r="S158">
        <v>1.6749284552713146E-2</v>
      </c>
      <c r="T158">
        <v>4.3424071062589638E-3</v>
      </c>
      <c r="U158">
        <v>0.1594283751869362</v>
      </c>
      <c r="V158">
        <v>2.4813754892908362E-3</v>
      </c>
      <c r="W158">
        <v>1.923066004200398E-2</v>
      </c>
      <c r="X158">
        <v>4.9627509785816724E-3</v>
      </c>
      <c r="Y158">
        <v>8.0644703401952181E-3</v>
      </c>
      <c r="Z158">
        <v>8.0644703401952181E-3</v>
      </c>
      <c r="AA158">
        <v>8.0644703401952181E-3</v>
      </c>
      <c r="AB158">
        <v>1.6128940680390436E-2</v>
      </c>
      <c r="AC158">
        <v>9.9255019571633449E-3</v>
      </c>
      <c r="AD158">
        <v>1.0545845829486054E-2</v>
      </c>
      <c r="AE158">
        <v>5.8312323998334643E-2</v>
      </c>
      <c r="AF158">
        <v>1.1786533574131472E-2</v>
      </c>
      <c r="AG158">
        <v>5.5830948509043811E-3</v>
      </c>
      <c r="AH158">
        <v>1.7369628425035855E-2</v>
      </c>
      <c r="AI158">
        <v>6.2034387232270905E-4</v>
      </c>
      <c r="AJ158">
        <v>7.4441264678725078E-3</v>
      </c>
      <c r="AK158">
        <v>9.9255019571633449E-3</v>
      </c>
      <c r="AL158">
        <v>1.4267909063422308E-2</v>
      </c>
      <c r="AM158">
        <v>8.0644703401952181E-3</v>
      </c>
      <c r="AN158">
        <v>2.5434098765231068E-2</v>
      </c>
      <c r="AO158" t="s">
        <v>19</v>
      </c>
      <c r="AT158" t="str">
        <f t="shared" si="4"/>
        <v>bus</v>
      </c>
      <c r="AU158" t="str">
        <f t="shared" si="5"/>
        <v>dsl</v>
      </c>
    </row>
    <row r="159" spans="1:47">
      <c r="A159" t="s">
        <v>17</v>
      </c>
      <c r="B159" t="s">
        <v>176</v>
      </c>
      <c r="C159" t="s">
        <v>628</v>
      </c>
      <c r="D159" t="s">
        <v>19</v>
      </c>
      <c r="E159" t="s">
        <v>19</v>
      </c>
      <c r="F159" t="s">
        <v>19</v>
      </c>
      <c r="G159" t="s">
        <v>187</v>
      </c>
      <c r="H159" t="s">
        <v>19</v>
      </c>
      <c r="I159" t="s">
        <v>19</v>
      </c>
      <c r="J159" t="s">
        <v>19</v>
      </c>
      <c r="K159" t="s">
        <v>19</v>
      </c>
      <c r="L159">
        <v>4.4664758807235048E-2</v>
      </c>
      <c r="M159">
        <v>3.970200782865338E-2</v>
      </c>
      <c r="N159">
        <v>5.5830948509043811E-3</v>
      </c>
      <c r="O159">
        <v>2.4813754892908362E-3</v>
      </c>
      <c r="P159">
        <v>1.0545845829486054E-2</v>
      </c>
      <c r="Q159">
        <v>5.0247853658139434E-2</v>
      </c>
      <c r="R159">
        <v>1.2406877446454181E-2</v>
      </c>
      <c r="S159">
        <v>1.6749284552713146E-2</v>
      </c>
      <c r="T159">
        <v>4.3424071062589638E-3</v>
      </c>
      <c r="U159">
        <v>0.1594283751869362</v>
      </c>
      <c r="V159">
        <v>2.4813754892908362E-3</v>
      </c>
      <c r="W159">
        <v>1.923066004200398E-2</v>
      </c>
      <c r="X159">
        <v>4.9627509785816724E-3</v>
      </c>
      <c r="Y159">
        <v>8.0644703401952181E-3</v>
      </c>
      <c r="Z159">
        <v>8.0644703401952181E-3</v>
      </c>
      <c r="AA159">
        <v>8.0644703401952181E-3</v>
      </c>
      <c r="AB159">
        <v>1.6128940680390436E-2</v>
      </c>
      <c r="AC159">
        <v>9.9255019571633449E-3</v>
      </c>
      <c r="AD159">
        <v>1.0545845829486054E-2</v>
      </c>
      <c r="AE159">
        <v>5.8312323998334643E-2</v>
      </c>
      <c r="AF159">
        <v>1.1786533574131472E-2</v>
      </c>
      <c r="AG159">
        <v>5.5830948509043811E-3</v>
      </c>
      <c r="AH159">
        <v>1.7369628425035855E-2</v>
      </c>
      <c r="AI159">
        <v>6.2034387232270905E-4</v>
      </c>
      <c r="AJ159">
        <v>7.4441264678725078E-3</v>
      </c>
      <c r="AK159">
        <v>9.9255019571633449E-3</v>
      </c>
      <c r="AL159">
        <v>1.4267909063422308E-2</v>
      </c>
      <c r="AM159">
        <v>8.0644703401952181E-3</v>
      </c>
      <c r="AN159">
        <v>2.5434098765231068E-2</v>
      </c>
      <c r="AO159" t="s">
        <v>19</v>
      </c>
      <c r="AT159" t="str">
        <f t="shared" si="4"/>
        <v>bus</v>
      </c>
      <c r="AU159" t="str">
        <f t="shared" si="5"/>
        <v>dsl</v>
      </c>
    </row>
    <row r="160" spans="1:47">
      <c r="A160" t="s">
        <v>17</v>
      </c>
      <c r="B160" t="s">
        <v>176</v>
      </c>
      <c r="C160" t="s">
        <v>628</v>
      </c>
      <c r="D160" t="s">
        <v>19</v>
      </c>
      <c r="E160" t="s">
        <v>19</v>
      </c>
      <c r="F160" t="s">
        <v>19</v>
      </c>
      <c r="G160" t="s">
        <v>188</v>
      </c>
      <c r="H160" t="s">
        <v>19</v>
      </c>
      <c r="I160" t="s">
        <v>19</v>
      </c>
      <c r="J160" t="s">
        <v>19</v>
      </c>
      <c r="K160" t="s">
        <v>19</v>
      </c>
      <c r="L160">
        <v>4.4664758807235048E-2</v>
      </c>
      <c r="M160">
        <v>3.970200782865338E-2</v>
      </c>
      <c r="N160">
        <v>5.5830948509043811E-3</v>
      </c>
      <c r="O160">
        <v>2.4813754892908362E-3</v>
      </c>
      <c r="P160">
        <v>1.0545845829486054E-2</v>
      </c>
      <c r="Q160">
        <v>5.0247853658139434E-2</v>
      </c>
      <c r="R160">
        <v>1.2406877446454181E-2</v>
      </c>
      <c r="S160">
        <v>1.6749284552713146E-2</v>
      </c>
      <c r="T160">
        <v>4.3424071062589638E-3</v>
      </c>
      <c r="U160">
        <v>0.1594283751869362</v>
      </c>
      <c r="V160">
        <v>2.4813754892908362E-3</v>
      </c>
      <c r="W160">
        <v>1.923066004200398E-2</v>
      </c>
      <c r="X160">
        <v>4.9627509785816724E-3</v>
      </c>
      <c r="Y160">
        <v>8.0644703401952181E-3</v>
      </c>
      <c r="Z160">
        <v>8.0644703401952181E-3</v>
      </c>
      <c r="AA160">
        <v>8.0644703401952181E-3</v>
      </c>
      <c r="AB160">
        <v>1.6128940680390436E-2</v>
      </c>
      <c r="AC160">
        <v>9.9255019571633449E-3</v>
      </c>
      <c r="AD160">
        <v>1.0545845829486054E-2</v>
      </c>
      <c r="AE160">
        <v>5.8312323998334643E-2</v>
      </c>
      <c r="AF160">
        <v>1.1786533574131472E-2</v>
      </c>
      <c r="AG160">
        <v>5.5830948509043811E-3</v>
      </c>
      <c r="AH160">
        <v>1.7369628425035855E-2</v>
      </c>
      <c r="AI160">
        <v>6.2034387232270905E-4</v>
      </c>
      <c r="AJ160">
        <v>7.4441264678725078E-3</v>
      </c>
      <c r="AK160">
        <v>9.9255019571633449E-3</v>
      </c>
      <c r="AL160">
        <v>1.4267909063422308E-2</v>
      </c>
      <c r="AM160">
        <v>8.0644703401952181E-3</v>
      </c>
      <c r="AN160">
        <v>2.5434098765231068E-2</v>
      </c>
      <c r="AO160" t="s">
        <v>19</v>
      </c>
      <c r="AT160" t="str">
        <f t="shared" si="4"/>
        <v>bus</v>
      </c>
      <c r="AU160" t="str">
        <f t="shared" si="5"/>
        <v>dsl</v>
      </c>
    </row>
    <row r="161" spans="1:47">
      <c r="A161" t="s">
        <v>17</v>
      </c>
      <c r="B161" t="s">
        <v>176</v>
      </c>
      <c r="C161" t="s">
        <v>628</v>
      </c>
      <c r="D161" t="s">
        <v>19</v>
      </c>
      <c r="E161" t="s">
        <v>19</v>
      </c>
      <c r="F161" t="s">
        <v>19</v>
      </c>
      <c r="G161" t="s">
        <v>100</v>
      </c>
      <c r="H161" t="s">
        <v>19</v>
      </c>
      <c r="I161" t="s">
        <v>19</v>
      </c>
      <c r="J161" t="s">
        <v>19</v>
      </c>
      <c r="K161" t="s">
        <v>19</v>
      </c>
      <c r="L161">
        <v>4.4664758807235048E-2</v>
      </c>
      <c r="M161">
        <v>3.970200782865338E-2</v>
      </c>
      <c r="N161">
        <v>5.5830948509043811E-3</v>
      </c>
      <c r="O161">
        <v>2.4813754892908362E-3</v>
      </c>
      <c r="P161">
        <v>1.0545845829486054E-2</v>
      </c>
      <c r="Q161">
        <v>5.0247853658139434E-2</v>
      </c>
      <c r="R161">
        <v>1.2406877446454181E-2</v>
      </c>
      <c r="S161">
        <v>1.6749284552713146E-2</v>
      </c>
      <c r="T161">
        <v>4.3424071062589638E-3</v>
      </c>
      <c r="U161">
        <v>0.1594283751869362</v>
      </c>
      <c r="V161">
        <v>2.4813754892908362E-3</v>
      </c>
      <c r="W161">
        <v>1.923066004200398E-2</v>
      </c>
      <c r="X161">
        <v>4.9627509785816724E-3</v>
      </c>
      <c r="Y161">
        <v>8.0644703401952181E-3</v>
      </c>
      <c r="Z161">
        <v>8.0644703401952181E-3</v>
      </c>
      <c r="AA161">
        <v>8.0644703401952181E-3</v>
      </c>
      <c r="AB161">
        <v>1.6128940680390436E-2</v>
      </c>
      <c r="AC161">
        <v>9.9255019571633449E-3</v>
      </c>
      <c r="AD161">
        <v>1.0545845829486054E-2</v>
      </c>
      <c r="AE161">
        <v>5.8312323998334643E-2</v>
      </c>
      <c r="AF161">
        <v>1.1786533574131472E-2</v>
      </c>
      <c r="AG161">
        <v>5.5830948509043811E-3</v>
      </c>
      <c r="AH161">
        <v>1.7369628425035855E-2</v>
      </c>
      <c r="AI161">
        <v>6.2034387232270905E-4</v>
      </c>
      <c r="AJ161">
        <v>7.4441264678725078E-3</v>
      </c>
      <c r="AK161">
        <v>9.9255019571633449E-3</v>
      </c>
      <c r="AL161">
        <v>1.4267909063422308E-2</v>
      </c>
      <c r="AM161">
        <v>8.0644703401952181E-3</v>
      </c>
      <c r="AN161">
        <v>2.5434098765231068E-2</v>
      </c>
      <c r="AO161" t="s">
        <v>19</v>
      </c>
      <c r="AT161" t="str">
        <f t="shared" si="4"/>
        <v>bus</v>
      </c>
      <c r="AU161" t="str">
        <f t="shared" si="5"/>
        <v>dsl</v>
      </c>
    </row>
    <row r="162" spans="1:47">
      <c r="A162" t="s">
        <v>17</v>
      </c>
      <c r="B162" t="s">
        <v>176</v>
      </c>
      <c r="C162" t="s">
        <v>627</v>
      </c>
      <c r="D162" t="s">
        <v>19</v>
      </c>
      <c r="E162" t="s">
        <v>19</v>
      </c>
      <c r="F162" t="s">
        <v>19</v>
      </c>
      <c r="G162" t="s">
        <v>603</v>
      </c>
      <c r="H162" t="s">
        <v>19</v>
      </c>
      <c r="I162" t="s">
        <v>19</v>
      </c>
      <c r="J162" t="s">
        <v>19</v>
      </c>
      <c r="K162" t="s">
        <v>19</v>
      </c>
      <c r="L162">
        <v>0</v>
      </c>
      <c r="M162">
        <v>0</v>
      </c>
      <c r="N162">
        <v>6.2034387232270905E-4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1.3647565191099598E-2</v>
      </c>
      <c r="V162">
        <v>0</v>
      </c>
      <c r="W162">
        <v>6.2034387232270905E-4</v>
      </c>
      <c r="X162">
        <v>0</v>
      </c>
      <c r="Y162">
        <v>0</v>
      </c>
      <c r="Z162">
        <v>0</v>
      </c>
      <c r="AA162">
        <v>0</v>
      </c>
      <c r="AB162">
        <v>6.2034387232270905E-4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t="s">
        <v>19</v>
      </c>
      <c r="AT162" t="str">
        <f t="shared" si="4"/>
        <v>bus</v>
      </c>
      <c r="AU162" t="str">
        <f t="shared" si="5"/>
        <v>elc</v>
      </c>
    </row>
    <row r="163" spans="1:47">
      <c r="A163" t="s">
        <v>17</v>
      </c>
      <c r="B163" t="s">
        <v>176</v>
      </c>
      <c r="C163" t="s">
        <v>627</v>
      </c>
      <c r="D163" t="s">
        <v>19</v>
      </c>
      <c r="E163" t="s">
        <v>19</v>
      </c>
      <c r="F163" t="s">
        <v>19</v>
      </c>
      <c r="G163" t="s">
        <v>602</v>
      </c>
      <c r="H163" t="s">
        <v>19</v>
      </c>
      <c r="I163" t="s">
        <v>19</v>
      </c>
      <c r="J163" t="s">
        <v>19</v>
      </c>
      <c r="K163" t="s">
        <v>19</v>
      </c>
      <c r="L163">
        <v>0</v>
      </c>
      <c r="M163">
        <v>0</v>
      </c>
      <c r="N163">
        <v>6.2034387232270905E-4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1.3647565191099598E-2</v>
      </c>
      <c r="V163">
        <v>0</v>
      </c>
      <c r="W163">
        <v>6.2034387232270905E-4</v>
      </c>
      <c r="X163">
        <v>0</v>
      </c>
      <c r="Y163">
        <v>0</v>
      </c>
      <c r="Z163">
        <v>0</v>
      </c>
      <c r="AA163">
        <v>0</v>
      </c>
      <c r="AB163">
        <v>6.2034387232270905E-4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s">
        <v>19</v>
      </c>
      <c r="AT163" t="str">
        <f t="shared" si="4"/>
        <v>bus</v>
      </c>
      <c r="AU163" t="str">
        <f t="shared" si="5"/>
        <v>elc</v>
      </c>
    </row>
    <row r="164" spans="1:47">
      <c r="A164" t="s">
        <v>17</v>
      </c>
      <c r="B164" t="s">
        <v>176</v>
      </c>
      <c r="C164" t="s">
        <v>627</v>
      </c>
      <c r="D164" t="s">
        <v>19</v>
      </c>
      <c r="E164" t="s">
        <v>19</v>
      </c>
      <c r="F164" t="s">
        <v>19</v>
      </c>
      <c r="G164" t="s">
        <v>601</v>
      </c>
      <c r="H164" t="s">
        <v>19</v>
      </c>
      <c r="I164" t="s">
        <v>19</v>
      </c>
      <c r="J164" t="s">
        <v>19</v>
      </c>
      <c r="K164" t="s">
        <v>19</v>
      </c>
      <c r="L164">
        <v>0</v>
      </c>
      <c r="M164">
        <v>0</v>
      </c>
      <c r="N164">
        <v>6.2034387232270905E-4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1.3647565191099598E-2</v>
      </c>
      <c r="V164">
        <v>0</v>
      </c>
      <c r="W164">
        <v>6.2034387232270905E-4</v>
      </c>
      <c r="X164">
        <v>0</v>
      </c>
      <c r="Y164">
        <v>0</v>
      </c>
      <c r="Z164">
        <v>0</v>
      </c>
      <c r="AA164">
        <v>0</v>
      </c>
      <c r="AB164">
        <v>6.2034387232270905E-4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s">
        <v>19</v>
      </c>
      <c r="AT164" t="str">
        <f t="shared" si="4"/>
        <v>bus</v>
      </c>
      <c r="AU164" t="str">
        <f t="shared" si="5"/>
        <v>elc</v>
      </c>
    </row>
    <row r="165" spans="1:47">
      <c r="A165" t="s">
        <v>17</v>
      </c>
      <c r="B165" t="s">
        <v>176</v>
      </c>
      <c r="C165" t="s">
        <v>627</v>
      </c>
      <c r="D165" t="s">
        <v>19</v>
      </c>
      <c r="E165" t="s">
        <v>19</v>
      </c>
      <c r="F165" t="s">
        <v>19</v>
      </c>
      <c r="G165" t="s">
        <v>600</v>
      </c>
      <c r="H165" t="s">
        <v>19</v>
      </c>
      <c r="I165" t="s">
        <v>19</v>
      </c>
      <c r="J165" t="s">
        <v>19</v>
      </c>
      <c r="K165" t="s">
        <v>19</v>
      </c>
      <c r="L165">
        <v>0</v>
      </c>
      <c r="M165">
        <v>0</v>
      </c>
      <c r="N165">
        <v>6.2034387232270905E-4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1.3647565191099598E-2</v>
      </c>
      <c r="V165">
        <v>0</v>
      </c>
      <c r="W165">
        <v>6.2034387232270905E-4</v>
      </c>
      <c r="X165">
        <v>0</v>
      </c>
      <c r="Y165">
        <v>0</v>
      </c>
      <c r="Z165">
        <v>0</v>
      </c>
      <c r="AA165">
        <v>0</v>
      </c>
      <c r="AB165">
        <v>6.2034387232270905E-4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t="s">
        <v>19</v>
      </c>
      <c r="AT165" t="str">
        <f t="shared" si="4"/>
        <v>bus</v>
      </c>
      <c r="AU165" t="str">
        <f t="shared" si="5"/>
        <v>elc</v>
      </c>
    </row>
    <row r="166" spans="1:47">
      <c r="A166" t="s">
        <v>17</v>
      </c>
      <c r="B166" t="s">
        <v>176</v>
      </c>
      <c r="C166" t="s">
        <v>627</v>
      </c>
      <c r="D166" t="s">
        <v>19</v>
      </c>
      <c r="E166" t="s">
        <v>19</v>
      </c>
      <c r="F166" t="s">
        <v>19</v>
      </c>
      <c r="G166" t="s">
        <v>599</v>
      </c>
      <c r="H166" t="s">
        <v>19</v>
      </c>
      <c r="I166" t="s">
        <v>19</v>
      </c>
      <c r="J166" t="s">
        <v>19</v>
      </c>
      <c r="K166" t="s">
        <v>19</v>
      </c>
      <c r="L166">
        <v>0</v>
      </c>
      <c r="M166">
        <v>0</v>
      </c>
      <c r="N166">
        <v>6.2034387232270905E-4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1.3647565191099598E-2</v>
      </c>
      <c r="V166">
        <v>0</v>
      </c>
      <c r="W166">
        <v>6.2034387232270905E-4</v>
      </c>
      <c r="X166">
        <v>0</v>
      </c>
      <c r="Y166">
        <v>0</v>
      </c>
      <c r="Z166">
        <v>0</v>
      </c>
      <c r="AA166">
        <v>0</v>
      </c>
      <c r="AB166">
        <v>6.2034387232270905E-4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s">
        <v>19</v>
      </c>
      <c r="AT166" t="str">
        <f t="shared" si="4"/>
        <v>bus</v>
      </c>
      <c r="AU166" t="str">
        <f t="shared" si="5"/>
        <v>elc</v>
      </c>
    </row>
    <row r="167" spans="1:47">
      <c r="A167" t="s">
        <v>17</v>
      </c>
      <c r="B167" t="s">
        <v>176</v>
      </c>
      <c r="C167" t="s">
        <v>627</v>
      </c>
      <c r="D167" t="s">
        <v>19</v>
      </c>
      <c r="E167" t="s">
        <v>19</v>
      </c>
      <c r="F167" t="s">
        <v>19</v>
      </c>
      <c r="G167" t="s">
        <v>598</v>
      </c>
      <c r="H167" t="s">
        <v>19</v>
      </c>
      <c r="I167" t="s">
        <v>19</v>
      </c>
      <c r="J167" t="s">
        <v>19</v>
      </c>
      <c r="K167" t="s">
        <v>19</v>
      </c>
      <c r="L167">
        <v>0</v>
      </c>
      <c r="M167">
        <v>0</v>
      </c>
      <c r="N167">
        <v>6.2034387232270905E-4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1.3647565191099598E-2</v>
      </c>
      <c r="V167">
        <v>0</v>
      </c>
      <c r="W167">
        <v>6.2034387232270905E-4</v>
      </c>
      <c r="X167">
        <v>0</v>
      </c>
      <c r="Y167">
        <v>0</v>
      </c>
      <c r="Z167">
        <v>0</v>
      </c>
      <c r="AA167">
        <v>0</v>
      </c>
      <c r="AB167">
        <v>6.2034387232270905E-4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s">
        <v>19</v>
      </c>
      <c r="AT167" t="str">
        <f t="shared" si="4"/>
        <v>bus</v>
      </c>
      <c r="AU167" t="str">
        <f t="shared" si="5"/>
        <v>elc</v>
      </c>
    </row>
    <row r="168" spans="1:47">
      <c r="A168" t="s">
        <v>17</v>
      </c>
      <c r="B168" t="s">
        <v>176</v>
      </c>
      <c r="C168" t="s">
        <v>627</v>
      </c>
      <c r="D168" t="s">
        <v>19</v>
      </c>
      <c r="E168" t="s">
        <v>19</v>
      </c>
      <c r="F168" t="s">
        <v>19</v>
      </c>
      <c r="G168" t="s">
        <v>597</v>
      </c>
      <c r="H168" t="s">
        <v>19</v>
      </c>
      <c r="I168" t="s">
        <v>19</v>
      </c>
      <c r="J168" t="s">
        <v>19</v>
      </c>
      <c r="K168" t="s">
        <v>19</v>
      </c>
      <c r="L168">
        <v>0</v>
      </c>
      <c r="M168">
        <v>0</v>
      </c>
      <c r="N168">
        <v>6.2034387232270905E-4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1.3647565191099598E-2</v>
      </c>
      <c r="V168">
        <v>0</v>
      </c>
      <c r="W168">
        <v>6.2034387232270905E-4</v>
      </c>
      <c r="X168">
        <v>0</v>
      </c>
      <c r="Y168">
        <v>0</v>
      </c>
      <c r="Z168">
        <v>0</v>
      </c>
      <c r="AA168">
        <v>0</v>
      </c>
      <c r="AB168">
        <v>6.2034387232270905E-4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 t="s">
        <v>19</v>
      </c>
      <c r="AT168" t="str">
        <f t="shared" si="4"/>
        <v>bus</v>
      </c>
      <c r="AU168" t="str">
        <f t="shared" si="5"/>
        <v>elc</v>
      </c>
    </row>
    <row r="169" spans="1:47">
      <c r="A169" t="s">
        <v>17</v>
      </c>
      <c r="B169" t="s">
        <v>176</v>
      </c>
      <c r="C169" t="s">
        <v>627</v>
      </c>
      <c r="D169" t="s">
        <v>19</v>
      </c>
      <c r="E169" t="s">
        <v>19</v>
      </c>
      <c r="F169" t="s">
        <v>19</v>
      </c>
      <c r="G169" t="s">
        <v>596</v>
      </c>
      <c r="H169" t="s">
        <v>19</v>
      </c>
      <c r="I169" t="s">
        <v>19</v>
      </c>
      <c r="J169" t="s">
        <v>19</v>
      </c>
      <c r="K169" t="s">
        <v>19</v>
      </c>
      <c r="L169">
        <v>0</v>
      </c>
      <c r="M169">
        <v>0</v>
      </c>
      <c r="N169">
        <v>6.2034387232270905E-4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1.3647565191099598E-2</v>
      </c>
      <c r="V169">
        <v>0</v>
      </c>
      <c r="W169">
        <v>6.2034387232270905E-4</v>
      </c>
      <c r="X169">
        <v>0</v>
      </c>
      <c r="Y169">
        <v>0</v>
      </c>
      <c r="Z169">
        <v>0</v>
      </c>
      <c r="AA169">
        <v>0</v>
      </c>
      <c r="AB169">
        <v>6.2034387232270905E-4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19</v>
      </c>
      <c r="AT169" t="str">
        <f t="shared" si="4"/>
        <v>bus</v>
      </c>
      <c r="AU169" t="str">
        <f t="shared" si="5"/>
        <v>elc</v>
      </c>
    </row>
    <row r="170" spans="1:47">
      <c r="A170" t="s">
        <v>17</v>
      </c>
      <c r="B170" t="s">
        <v>176</v>
      </c>
      <c r="C170" t="s">
        <v>627</v>
      </c>
      <c r="D170" t="s">
        <v>19</v>
      </c>
      <c r="E170" t="s">
        <v>19</v>
      </c>
      <c r="F170" t="s">
        <v>19</v>
      </c>
      <c r="G170" t="s">
        <v>178</v>
      </c>
      <c r="H170" t="s">
        <v>19</v>
      </c>
      <c r="I170" t="s">
        <v>19</v>
      </c>
      <c r="J170" t="s">
        <v>19</v>
      </c>
      <c r="K170" t="s">
        <v>19</v>
      </c>
      <c r="L170">
        <v>0</v>
      </c>
      <c r="M170">
        <v>0</v>
      </c>
      <c r="N170">
        <v>6.2034387232270905E-4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1.3647565191099598E-2</v>
      </c>
      <c r="V170">
        <v>0</v>
      </c>
      <c r="W170">
        <v>6.2034387232270905E-4</v>
      </c>
      <c r="X170">
        <v>0</v>
      </c>
      <c r="Y170">
        <v>0</v>
      </c>
      <c r="Z170">
        <v>0</v>
      </c>
      <c r="AA170">
        <v>0</v>
      </c>
      <c r="AB170">
        <v>6.2034387232270905E-4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s">
        <v>19</v>
      </c>
      <c r="AT170" t="str">
        <f t="shared" si="4"/>
        <v>bus</v>
      </c>
      <c r="AU170" t="str">
        <f t="shared" si="5"/>
        <v>elc</v>
      </c>
    </row>
    <row r="171" spans="1:47">
      <c r="A171" t="s">
        <v>17</v>
      </c>
      <c r="B171" t="s">
        <v>176</v>
      </c>
      <c r="C171" t="s">
        <v>627</v>
      </c>
      <c r="D171" t="s">
        <v>19</v>
      </c>
      <c r="E171" t="s">
        <v>19</v>
      </c>
      <c r="F171" t="s">
        <v>19</v>
      </c>
      <c r="G171" t="s">
        <v>179</v>
      </c>
      <c r="H171" t="s">
        <v>19</v>
      </c>
      <c r="I171" t="s">
        <v>19</v>
      </c>
      <c r="J171" t="s">
        <v>19</v>
      </c>
      <c r="K171" t="s">
        <v>19</v>
      </c>
      <c r="L171">
        <v>0</v>
      </c>
      <c r="M171">
        <v>0</v>
      </c>
      <c r="N171">
        <v>6.2034387232270905E-4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1.3647565191099598E-2</v>
      </c>
      <c r="V171">
        <v>0</v>
      </c>
      <c r="W171">
        <v>6.2034387232270905E-4</v>
      </c>
      <c r="X171">
        <v>0</v>
      </c>
      <c r="Y171">
        <v>0</v>
      </c>
      <c r="Z171">
        <v>0</v>
      </c>
      <c r="AA171">
        <v>0</v>
      </c>
      <c r="AB171">
        <v>6.2034387232270905E-4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s">
        <v>19</v>
      </c>
      <c r="AT171" t="str">
        <f t="shared" si="4"/>
        <v>bus</v>
      </c>
      <c r="AU171" t="str">
        <f t="shared" si="5"/>
        <v>elc</v>
      </c>
    </row>
    <row r="172" spans="1:47">
      <c r="A172" t="s">
        <v>17</v>
      </c>
      <c r="B172" t="s">
        <v>176</v>
      </c>
      <c r="C172" t="s">
        <v>627</v>
      </c>
      <c r="D172" t="s">
        <v>19</v>
      </c>
      <c r="E172" t="s">
        <v>19</v>
      </c>
      <c r="F172" t="s">
        <v>19</v>
      </c>
      <c r="G172" t="s">
        <v>180</v>
      </c>
      <c r="H172" t="s">
        <v>19</v>
      </c>
      <c r="I172" t="s">
        <v>19</v>
      </c>
      <c r="J172" t="s">
        <v>19</v>
      </c>
      <c r="K172" t="s">
        <v>19</v>
      </c>
      <c r="L172">
        <v>0</v>
      </c>
      <c r="M172">
        <v>0</v>
      </c>
      <c r="N172">
        <v>6.2034387232270905E-4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1.3647565191099598E-2</v>
      </c>
      <c r="V172">
        <v>0</v>
      </c>
      <c r="W172">
        <v>6.2034387232270905E-4</v>
      </c>
      <c r="X172">
        <v>0</v>
      </c>
      <c r="Y172">
        <v>0</v>
      </c>
      <c r="Z172">
        <v>0</v>
      </c>
      <c r="AA172">
        <v>0</v>
      </c>
      <c r="AB172">
        <v>6.2034387232270905E-4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 t="s">
        <v>19</v>
      </c>
      <c r="AT172" t="str">
        <f t="shared" si="4"/>
        <v>bus</v>
      </c>
      <c r="AU172" t="str">
        <f t="shared" si="5"/>
        <v>elc</v>
      </c>
    </row>
    <row r="173" spans="1:47">
      <c r="A173" t="s">
        <v>17</v>
      </c>
      <c r="B173" t="s">
        <v>176</v>
      </c>
      <c r="C173" t="s">
        <v>627</v>
      </c>
      <c r="D173" t="s">
        <v>19</v>
      </c>
      <c r="E173" t="s">
        <v>19</v>
      </c>
      <c r="F173" t="s">
        <v>19</v>
      </c>
      <c r="G173" t="s">
        <v>181</v>
      </c>
      <c r="H173" t="s">
        <v>19</v>
      </c>
      <c r="I173" t="s">
        <v>19</v>
      </c>
      <c r="J173" t="s">
        <v>19</v>
      </c>
      <c r="K173" t="s">
        <v>19</v>
      </c>
      <c r="L173">
        <v>0</v>
      </c>
      <c r="M173">
        <v>0</v>
      </c>
      <c r="N173">
        <v>6.2034387232270905E-4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1.3647565191099598E-2</v>
      </c>
      <c r="V173">
        <v>0</v>
      </c>
      <c r="W173">
        <v>6.2034387232270905E-4</v>
      </c>
      <c r="X173">
        <v>0</v>
      </c>
      <c r="Y173">
        <v>0</v>
      </c>
      <c r="Z173">
        <v>0</v>
      </c>
      <c r="AA173">
        <v>0</v>
      </c>
      <c r="AB173">
        <v>6.2034387232270905E-4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s">
        <v>19</v>
      </c>
      <c r="AT173" t="str">
        <f t="shared" si="4"/>
        <v>bus</v>
      </c>
      <c r="AU173" t="str">
        <f t="shared" si="5"/>
        <v>elc</v>
      </c>
    </row>
    <row r="174" spans="1:47">
      <c r="A174" t="s">
        <v>17</v>
      </c>
      <c r="B174" t="s">
        <v>176</v>
      </c>
      <c r="C174" t="s">
        <v>627</v>
      </c>
      <c r="D174" t="s">
        <v>19</v>
      </c>
      <c r="E174" t="s">
        <v>19</v>
      </c>
      <c r="F174" t="s">
        <v>19</v>
      </c>
      <c r="G174" t="s">
        <v>182</v>
      </c>
      <c r="H174" t="s">
        <v>19</v>
      </c>
      <c r="I174" t="s">
        <v>19</v>
      </c>
      <c r="J174" t="s">
        <v>19</v>
      </c>
      <c r="K174" t="s">
        <v>19</v>
      </c>
      <c r="L174">
        <v>0</v>
      </c>
      <c r="M174">
        <v>0</v>
      </c>
      <c r="N174">
        <v>6.2034387232270905E-4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1.3647565191099598E-2</v>
      </c>
      <c r="V174">
        <v>0</v>
      </c>
      <c r="W174">
        <v>6.2034387232270905E-4</v>
      </c>
      <c r="X174">
        <v>0</v>
      </c>
      <c r="Y174">
        <v>0</v>
      </c>
      <c r="Z174">
        <v>0</v>
      </c>
      <c r="AA174">
        <v>0</v>
      </c>
      <c r="AB174">
        <v>6.2034387232270905E-4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s">
        <v>19</v>
      </c>
      <c r="AT174" t="str">
        <f t="shared" si="4"/>
        <v>bus</v>
      </c>
      <c r="AU174" t="str">
        <f t="shared" si="5"/>
        <v>elc</v>
      </c>
    </row>
    <row r="175" spans="1:47">
      <c r="A175" t="s">
        <v>17</v>
      </c>
      <c r="B175" t="s">
        <v>176</v>
      </c>
      <c r="C175" t="s">
        <v>627</v>
      </c>
      <c r="D175" t="s">
        <v>19</v>
      </c>
      <c r="E175" t="s">
        <v>19</v>
      </c>
      <c r="F175" t="s">
        <v>19</v>
      </c>
      <c r="G175" t="s">
        <v>183</v>
      </c>
      <c r="H175" t="s">
        <v>19</v>
      </c>
      <c r="I175" t="s">
        <v>19</v>
      </c>
      <c r="J175" t="s">
        <v>19</v>
      </c>
      <c r="K175" t="s">
        <v>19</v>
      </c>
      <c r="L175">
        <v>0</v>
      </c>
      <c r="M175">
        <v>0</v>
      </c>
      <c r="N175">
        <v>6.2034387232270905E-4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1.3647565191099598E-2</v>
      </c>
      <c r="V175">
        <v>0</v>
      </c>
      <c r="W175">
        <v>6.2034387232270905E-4</v>
      </c>
      <c r="X175">
        <v>0</v>
      </c>
      <c r="Y175">
        <v>0</v>
      </c>
      <c r="Z175">
        <v>0</v>
      </c>
      <c r="AA175">
        <v>0</v>
      </c>
      <c r="AB175">
        <v>6.2034387232270905E-4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s">
        <v>19</v>
      </c>
      <c r="AT175" t="str">
        <f t="shared" si="4"/>
        <v>bus</v>
      </c>
      <c r="AU175" t="str">
        <f t="shared" si="5"/>
        <v>elc</v>
      </c>
    </row>
    <row r="176" spans="1:47">
      <c r="A176" t="s">
        <v>17</v>
      </c>
      <c r="B176" t="s">
        <v>176</v>
      </c>
      <c r="C176" t="s">
        <v>627</v>
      </c>
      <c r="D176" t="s">
        <v>19</v>
      </c>
      <c r="E176" t="s">
        <v>19</v>
      </c>
      <c r="F176" t="s">
        <v>19</v>
      </c>
      <c r="G176" t="s">
        <v>184</v>
      </c>
      <c r="H176" t="s">
        <v>19</v>
      </c>
      <c r="I176" t="s">
        <v>19</v>
      </c>
      <c r="J176" t="s">
        <v>19</v>
      </c>
      <c r="K176" t="s">
        <v>19</v>
      </c>
      <c r="L176">
        <v>0</v>
      </c>
      <c r="M176">
        <v>0</v>
      </c>
      <c r="N176">
        <v>6.2034387232270905E-4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1.3647565191099598E-2</v>
      </c>
      <c r="V176">
        <v>0</v>
      </c>
      <c r="W176">
        <v>6.2034387232270905E-4</v>
      </c>
      <c r="X176">
        <v>0</v>
      </c>
      <c r="Y176">
        <v>0</v>
      </c>
      <c r="Z176">
        <v>0</v>
      </c>
      <c r="AA176">
        <v>0</v>
      </c>
      <c r="AB176">
        <v>6.2034387232270905E-4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s">
        <v>19</v>
      </c>
      <c r="AT176" t="str">
        <f t="shared" si="4"/>
        <v>bus</v>
      </c>
      <c r="AU176" t="str">
        <f t="shared" si="5"/>
        <v>elc</v>
      </c>
    </row>
    <row r="177" spans="1:47">
      <c r="A177" t="s">
        <v>17</v>
      </c>
      <c r="B177" t="s">
        <v>176</v>
      </c>
      <c r="C177" t="s">
        <v>627</v>
      </c>
      <c r="D177" t="s">
        <v>19</v>
      </c>
      <c r="E177" t="s">
        <v>19</v>
      </c>
      <c r="F177" t="s">
        <v>19</v>
      </c>
      <c r="G177" t="s">
        <v>185</v>
      </c>
      <c r="H177" t="s">
        <v>19</v>
      </c>
      <c r="I177" t="s">
        <v>19</v>
      </c>
      <c r="J177" t="s">
        <v>19</v>
      </c>
      <c r="K177" t="s">
        <v>19</v>
      </c>
      <c r="L177">
        <v>0</v>
      </c>
      <c r="M177">
        <v>0</v>
      </c>
      <c r="N177">
        <v>6.2034387232270905E-4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1.3647565191099598E-2</v>
      </c>
      <c r="V177">
        <v>0</v>
      </c>
      <c r="W177">
        <v>6.2034387232270905E-4</v>
      </c>
      <c r="X177">
        <v>0</v>
      </c>
      <c r="Y177">
        <v>0</v>
      </c>
      <c r="Z177">
        <v>0</v>
      </c>
      <c r="AA177">
        <v>0</v>
      </c>
      <c r="AB177">
        <v>6.2034387232270905E-4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s">
        <v>19</v>
      </c>
      <c r="AT177" t="str">
        <f t="shared" si="4"/>
        <v>bus</v>
      </c>
      <c r="AU177" t="str">
        <f t="shared" si="5"/>
        <v>elc</v>
      </c>
    </row>
    <row r="178" spans="1:47">
      <c r="A178" t="s">
        <v>17</v>
      </c>
      <c r="B178" t="s">
        <v>176</v>
      </c>
      <c r="C178" t="s">
        <v>627</v>
      </c>
      <c r="D178" t="s">
        <v>19</v>
      </c>
      <c r="E178" t="s">
        <v>19</v>
      </c>
      <c r="F178" t="s">
        <v>19</v>
      </c>
      <c r="G178" t="s">
        <v>186</v>
      </c>
      <c r="H178" t="s">
        <v>19</v>
      </c>
      <c r="I178" t="s">
        <v>19</v>
      </c>
      <c r="J178" t="s">
        <v>19</v>
      </c>
      <c r="K178" t="s">
        <v>19</v>
      </c>
      <c r="L178">
        <v>0</v>
      </c>
      <c r="M178">
        <v>0</v>
      </c>
      <c r="N178">
        <v>6.2034387232270905E-4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1.3647565191099598E-2</v>
      </c>
      <c r="V178">
        <v>0</v>
      </c>
      <c r="W178">
        <v>6.2034387232270905E-4</v>
      </c>
      <c r="X178">
        <v>0</v>
      </c>
      <c r="Y178">
        <v>0</v>
      </c>
      <c r="Z178">
        <v>0</v>
      </c>
      <c r="AA178">
        <v>0</v>
      </c>
      <c r="AB178">
        <v>6.2034387232270905E-4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s">
        <v>19</v>
      </c>
      <c r="AT178" t="str">
        <f t="shared" si="4"/>
        <v>bus</v>
      </c>
      <c r="AU178" t="str">
        <f t="shared" si="5"/>
        <v>elc</v>
      </c>
    </row>
    <row r="179" spans="1:47">
      <c r="A179" t="s">
        <v>17</v>
      </c>
      <c r="B179" t="s">
        <v>176</v>
      </c>
      <c r="C179" t="s">
        <v>627</v>
      </c>
      <c r="D179" t="s">
        <v>19</v>
      </c>
      <c r="E179" t="s">
        <v>19</v>
      </c>
      <c r="F179" t="s">
        <v>19</v>
      </c>
      <c r="G179" t="s">
        <v>187</v>
      </c>
      <c r="H179" t="s">
        <v>19</v>
      </c>
      <c r="I179" t="s">
        <v>19</v>
      </c>
      <c r="J179" t="s">
        <v>19</v>
      </c>
      <c r="K179" t="s">
        <v>19</v>
      </c>
      <c r="L179">
        <v>0</v>
      </c>
      <c r="M179">
        <v>0</v>
      </c>
      <c r="N179">
        <v>6.2034387232270905E-4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1.3647565191099598E-2</v>
      </c>
      <c r="V179">
        <v>0</v>
      </c>
      <c r="W179">
        <v>6.2034387232270905E-4</v>
      </c>
      <c r="X179">
        <v>0</v>
      </c>
      <c r="Y179">
        <v>0</v>
      </c>
      <c r="Z179">
        <v>0</v>
      </c>
      <c r="AA179">
        <v>0</v>
      </c>
      <c r="AB179">
        <v>6.2034387232270905E-4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s">
        <v>19</v>
      </c>
      <c r="AT179" t="str">
        <f t="shared" si="4"/>
        <v>bus</v>
      </c>
      <c r="AU179" t="str">
        <f t="shared" si="5"/>
        <v>elc</v>
      </c>
    </row>
    <row r="180" spans="1:47">
      <c r="A180" t="s">
        <v>17</v>
      </c>
      <c r="B180" t="s">
        <v>176</v>
      </c>
      <c r="C180" t="s">
        <v>627</v>
      </c>
      <c r="D180" t="s">
        <v>19</v>
      </c>
      <c r="E180" t="s">
        <v>19</v>
      </c>
      <c r="F180" t="s">
        <v>19</v>
      </c>
      <c r="G180" t="s">
        <v>188</v>
      </c>
      <c r="H180" t="s">
        <v>19</v>
      </c>
      <c r="I180" t="s">
        <v>19</v>
      </c>
      <c r="J180" t="s">
        <v>19</v>
      </c>
      <c r="K180" t="s">
        <v>19</v>
      </c>
      <c r="L180">
        <v>0</v>
      </c>
      <c r="M180">
        <v>0</v>
      </c>
      <c r="N180">
        <v>6.2034387232270905E-4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1.3647565191099598E-2</v>
      </c>
      <c r="V180">
        <v>0</v>
      </c>
      <c r="W180">
        <v>6.2034387232270905E-4</v>
      </c>
      <c r="X180">
        <v>0</v>
      </c>
      <c r="Y180">
        <v>0</v>
      </c>
      <c r="Z180">
        <v>0</v>
      </c>
      <c r="AA180">
        <v>0</v>
      </c>
      <c r="AB180">
        <v>6.2034387232270905E-4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19</v>
      </c>
      <c r="AT180" t="str">
        <f t="shared" si="4"/>
        <v>bus</v>
      </c>
      <c r="AU180" t="str">
        <f t="shared" si="5"/>
        <v>elc</v>
      </c>
    </row>
    <row r="181" spans="1:47">
      <c r="A181" t="s">
        <v>17</v>
      </c>
      <c r="B181" t="s">
        <v>176</v>
      </c>
      <c r="C181" t="s">
        <v>627</v>
      </c>
      <c r="D181" t="s">
        <v>19</v>
      </c>
      <c r="E181" t="s">
        <v>19</v>
      </c>
      <c r="F181" t="s">
        <v>19</v>
      </c>
      <c r="G181" t="s">
        <v>100</v>
      </c>
      <c r="H181" t="s">
        <v>19</v>
      </c>
      <c r="I181" t="s">
        <v>19</v>
      </c>
      <c r="J181" t="s">
        <v>19</v>
      </c>
      <c r="K181" t="s">
        <v>19</v>
      </c>
      <c r="L181">
        <v>0</v>
      </c>
      <c r="M181">
        <v>0</v>
      </c>
      <c r="N181">
        <v>6.2034387232270905E-4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1.3647565191099598E-2</v>
      </c>
      <c r="V181">
        <v>0</v>
      </c>
      <c r="W181">
        <v>6.2034387232270905E-4</v>
      </c>
      <c r="X181">
        <v>0</v>
      </c>
      <c r="Y181">
        <v>0</v>
      </c>
      <c r="Z181">
        <v>0</v>
      </c>
      <c r="AA181">
        <v>0</v>
      </c>
      <c r="AB181">
        <v>6.2034387232270905E-4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s">
        <v>19</v>
      </c>
      <c r="AT181" t="str">
        <f t="shared" si="4"/>
        <v>bus</v>
      </c>
      <c r="AU181" t="str">
        <f t="shared" si="5"/>
        <v>elc</v>
      </c>
    </row>
    <row r="182" spans="1:47">
      <c r="A182" t="s">
        <v>17</v>
      </c>
      <c r="B182" t="s">
        <v>176</v>
      </c>
      <c r="C182" t="s">
        <v>626</v>
      </c>
      <c r="D182" t="s">
        <v>19</v>
      </c>
      <c r="E182" t="s">
        <v>19</v>
      </c>
      <c r="F182" t="s">
        <v>19</v>
      </c>
      <c r="G182" t="s">
        <v>603</v>
      </c>
      <c r="H182" t="s">
        <v>19</v>
      </c>
      <c r="I182" t="s">
        <v>19</v>
      </c>
      <c r="J182" t="s">
        <v>19</v>
      </c>
      <c r="K182" t="s">
        <v>19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6.2034387232270905E-4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s">
        <v>19</v>
      </c>
      <c r="AT182" t="str">
        <f t="shared" si="4"/>
        <v>bus</v>
      </c>
      <c r="AU182" t="str">
        <f t="shared" si="5"/>
        <v>eth</v>
      </c>
    </row>
    <row r="183" spans="1:47">
      <c r="A183" t="s">
        <v>17</v>
      </c>
      <c r="B183" t="s">
        <v>176</v>
      </c>
      <c r="C183" t="s">
        <v>626</v>
      </c>
      <c r="D183" t="s">
        <v>19</v>
      </c>
      <c r="E183" t="s">
        <v>19</v>
      </c>
      <c r="F183" t="s">
        <v>19</v>
      </c>
      <c r="G183" t="s">
        <v>602</v>
      </c>
      <c r="H183" t="s">
        <v>19</v>
      </c>
      <c r="I183" t="s">
        <v>19</v>
      </c>
      <c r="J183" t="s">
        <v>19</v>
      </c>
      <c r="K183" t="s">
        <v>19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6.2034387232270905E-4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19</v>
      </c>
      <c r="AT183" t="str">
        <f t="shared" si="4"/>
        <v>bus</v>
      </c>
      <c r="AU183" t="str">
        <f t="shared" si="5"/>
        <v>eth</v>
      </c>
    </row>
    <row r="184" spans="1:47">
      <c r="A184" t="s">
        <v>17</v>
      </c>
      <c r="B184" t="s">
        <v>176</v>
      </c>
      <c r="C184" t="s">
        <v>626</v>
      </c>
      <c r="D184" t="s">
        <v>19</v>
      </c>
      <c r="E184" t="s">
        <v>19</v>
      </c>
      <c r="F184" t="s">
        <v>19</v>
      </c>
      <c r="G184" t="s">
        <v>601</v>
      </c>
      <c r="H184" t="s">
        <v>19</v>
      </c>
      <c r="I184" t="s">
        <v>19</v>
      </c>
      <c r="J184" t="s">
        <v>19</v>
      </c>
      <c r="K184" t="s">
        <v>19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6.2034387232270905E-4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s">
        <v>19</v>
      </c>
      <c r="AT184" t="str">
        <f t="shared" si="4"/>
        <v>bus</v>
      </c>
      <c r="AU184" t="str">
        <f t="shared" si="5"/>
        <v>eth</v>
      </c>
    </row>
    <row r="185" spans="1:47">
      <c r="A185" t="s">
        <v>17</v>
      </c>
      <c r="B185" t="s">
        <v>176</v>
      </c>
      <c r="C185" t="s">
        <v>626</v>
      </c>
      <c r="D185" t="s">
        <v>19</v>
      </c>
      <c r="E185" t="s">
        <v>19</v>
      </c>
      <c r="F185" t="s">
        <v>19</v>
      </c>
      <c r="G185" t="s">
        <v>600</v>
      </c>
      <c r="H185" t="s">
        <v>19</v>
      </c>
      <c r="I185" t="s">
        <v>19</v>
      </c>
      <c r="J185" t="s">
        <v>19</v>
      </c>
      <c r="K185" t="s">
        <v>19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6.2034387232270905E-4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s">
        <v>19</v>
      </c>
      <c r="AT185" t="str">
        <f t="shared" si="4"/>
        <v>bus</v>
      </c>
      <c r="AU185" t="str">
        <f t="shared" si="5"/>
        <v>eth</v>
      </c>
    </row>
    <row r="186" spans="1:47">
      <c r="A186" t="s">
        <v>17</v>
      </c>
      <c r="B186" t="s">
        <v>176</v>
      </c>
      <c r="C186" t="s">
        <v>626</v>
      </c>
      <c r="D186" t="s">
        <v>19</v>
      </c>
      <c r="E186" t="s">
        <v>19</v>
      </c>
      <c r="F186" t="s">
        <v>19</v>
      </c>
      <c r="G186" t="s">
        <v>599</v>
      </c>
      <c r="H186" t="s">
        <v>19</v>
      </c>
      <c r="I186" t="s">
        <v>19</v>
      </c>
      <c r="J186" t="s">
        <v>19</v>
      </c>
      <c r="K186" t="s">
        <v>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6.2034387232270905E-4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s">
        <v>19</v>
      </c>
      <c r="AT186" t="str">
        <f t="shared" si="4"/>
        <v>bus</v>
      </c>
      <c r="AU186" t="str">
        <f t="shared" si="5"/>
        <v>eth</v>
      </c>
    </row>
    <row r="187" spans="1:47">
      <c r="A187" t="s">
        <v>17</v>
      </c>
      <c r="B187" t="s">
        <v>176</v>
      </c>
      <c r="C187" t="s">
        <v>626</v>
      </c>
      <c r="D187" t="s">
        <v>19</v>
      </c>
      <c r="E187" t="s">
        <v>19</v>
      </c>
      <c r="F187" t="s">
        <v>19</v>
      </c>
      <c r="G187" t="s">
        <v>598</v>
      </c>
      <c r="H187" t="s">
        <v>19</v>
      </c>
      <c r="I187" t="s">
        <v>19</v>
      </c>
      <c r="J187" t="s">
        <v>19</v>
      </c>
      <c r="K187" t="s">
        <v>19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6.2034387232270905E-4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s">
        <v>19</v>
      </c>
      <c r="AT187" t="str">
        <f t="shared" si="4"/>
        <v>bus</v>
      </c>
      <c r="AU187" t="str">
        <f t="shared" si="5"/>
        <v>eth</v>
      </c>
    </row>
    <row r="188" spans="1:47">
      <c r="A188" t="s">
        <v>17</v>
      </c>
      <c r="B188" t="s">
        <v>176</v>
      </c>
      <c r="C188" t="s">
        <v>626</v>
      </c>
      <c r="D188" t="s">
        <v>19</v>
      </c>
      <c r="E188" t="s">
        <v>19</v>
      </c>
      <c r="F188" t="s">
        <v>19</v>
      </c>
      <c r="G188" t="s">
        <v>597</v>
      </c>
      <c r="H188" t="s">
        <v>19</v>
      </c>
      <c r="I188" t="s">
        <v>19</v>
      </c>
      <c r="J188" t="s">
        <v>19</v>
      </c>
      <c r="K188" t="s">
        <v>19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6.2034387232270905E-4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19</v>
      </c>
      <c r="AT188" t="str">
        <f t="shared" si="4"/>
        <v>bus</v>
      </c>
      <c r="AU188" t="str">
        <f t="shared" si="5"/>
        <v>eth</v>
      </c>
    </row>
    <row r="189" spans="1:47">
      <c r="A189" t="s">
        <v>17</v>
      </c>
      <c r="B189" t="s">
        <v>176</v>
      </c>
      <c r="C189" t="s">
        <v>626</v>
      </c>
      <c r="D189" t="s">
        <v>19</v>
      </c>
      <c r="E189" t="s">
        <v>19</v>
      </c>
      <c r="F189" t="s">
        <v>19</v>
      </c>
      <c r="G189" t="s">
        <v>596</v>
      </c>
      <c r="H189" t="s">
        <v>19</v>
      </c>
      <c r="I189" t="s">
        <v>19</v>
      </c>
      <c r="J189" t="s">
        <v>19</v>
      </c>
      <c r="K189" t="s">
        <v>19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6.2034387232270905E-4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19</v>
      </c>
      <c r="AT189" t="str">
        <f t="shared" si="4"/>
        <v>bus</v>
      </c>
      <c r="AU189" t="str">
        <f t="shared" si="5"/>
        <v>eth</v>
      </c>
    </row>
    <row r="190" spans="1:47">
      <c r="A190" t="s">
        <v>17</v>
      </c>
      <c r="B190" t="s">
        <v>176</v>
      </c>
      <c r="C190" t="s">
        <v>626</v>
      </c>
      <c r="D190" t="s">
        <v>19</v>
      </c>
      <c r="E190" t="s">
        <v>19</v>
      </c>
      <c r="F190" t="s">
        <v>19</v>
      </c>
      <c r="G190" t="s">
        <v>178</v>
      </c>
      <c r="H190" t="s">
        <v>19</v>
      </c>
      <c r="I190" t="s">
        <v>19</v>
      </c>
      <c r="J190" t="s">
        <v>19</v>
      </c>
      <c r="K190" t="s">
        <v>19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6.2034387232270905E-4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19</v>
      </c>
      <c r="AT190" t="str">
        <f t="shared" si="4"/>
        <v>bus</v>
      </c>
      <c r="AU190" t="str">
        <f t="shared" si="5"/>
        <v>eth</v>
      </c>
    </row>
    <row r="191" spans="1:47">
      <c r="A191" t="s">
        <v>17</v>
      </c>
      <c r="B191" t="s">
        <v>176</v>
      </c>
      <c r="C191" t="s">
        <v>626</v>
      </c>
      <c r="D191" t="s">
        <v>19</v>
      </c>
      <c r="E191" t="s">
        <v>19</v>
      </c>
      <c r="F191" t="s">
        <v>19</v>
      </c>
      <c r="G191" t="s">
        <v>179</v>
      </c>
      <c r="H191" t="s">
        <v>19</v>
      </c>
      <c r="I191" t="s">
        <v>19</v>
      </c>
      <c r="J191" t="s">
        <v>19</v>
      </c>
      <c r="K191" t="s">
        <v>19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6.2034387232270905E-4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19</v>
      </c>
      <c r="AT191" t="str">
        <f t="shared" si="4"/>
        <v>bus</v>
      </c>
      <c r="AU191" t="str">
        <f t="shared" si="5"/>
        <v>eth</v>
      </c>
    </row>
    <row r="192" spans="1:47">
      <c r="A192" t="s">
        <v>17</v>
      </c>
      <c r="B192" t="s">
        <v>176</v>
      </c>
      <c r="C192" t="s">
        <v>626</v>
      </c>
      <c r="D192" t="s">
        <v>19</v>
      </c>
      <c r="E192" t="s">
        <v>19</v>
      </c>
      <c r="F192" t="s">
        <v>19</v>
      </c>
      <c r="G192" t="s">
        <v>180</v>
      </c>
      <c r="H192" t="s">
        <v>19</v>
      </c>
      <c r="I192" t="s">
        <v>19</v>
      </c>
      <c r="J192" t="s">
        <v>19</v>
      </c>
      <c r="K192" t="s">
        <v>19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6.2034387232270905E-4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19</v>
      </c>
      <c r="AT192" t="str">
        <f t="shared" si="4"/>
        <v>bus</v>
      </c>
      <c r="AU192" t="str">
        <f t="shared" si="5"/>
        <v>eth</v>
      </c>
    </row>
    <row r="193" spans="1:47">
      <c r="A193" t="s">
        <v>17</v>
      </c>
      <c r="B193" t="s">
        <v>176</v>
      </c>
      <c r="C193" t="s">
        <v>626</v>
      </c>
      <c r="D193" t="s">
        <v>19</v>
      </c>
      <c r="E193" t="s">
        <v>19</v>
      </c>
      <c r="F193" t="s">
        <v>19</v>
      </c>
      <c r="G193" t="s">
        <v>181</v>
      </c>
      <c r="H193" t="s">
        <v>19</v>
      </c>
      <c r="I193" t="s">
        <v>19</v>
      </c>
      <c r="J193" t="s">
        <v>19</v>
      </c>
      <c r="K193" t="s">
        <v>19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6.2034387232270905E-4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19</v>
      </c>
      <c r="AT193" t="str">
        <f t="shared" si="4"/>
        <v>bus</v>
      </c>
      <c r="AU193" t="str">
        <f t="shared" si="5"/>
        <v>eth</v>
      </c>
    </row>
    <row r="194" spans="1:47">
      <c r="A194" t="s">
        <v>17</v>
      </c>
      <c r="B194" t="s">
        <v>176</v>
      </c>
      <c r="C194" t="s">
        <v>626</v>
      </c>
      <c r="D194" t="s">
        <v>19</v>
      </c>
      <c r="E194" t="s">
        <v>19</v>
      </c>
      <c r="F194" t="s">
        <v>19</v>
      </c>
      <c r="G194" t="s">
        <v>182</v>
      </c>
      <c r="H194" t="s">
        <v>19</v>
      </c>
      <c r="I194" t="s">
        <v>19</v>
      </c>
      <c r="J194" t="s">
        <v>19</v>
      </c>
      <c r="K194" t="s">
        <v>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6.2034387232270905E-4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19</v>
      </c>
      <c r="AT194" t="str">
        <f t="shared" si="4"/>
        <v>bus</v>
      </c>
      <c r="AU194" t="str">
        <f t="shared" si="5"/>
        <v>eth</v>
      </c>
    </row>
    <row r="195" spans="1:47">
      <c r="A195" t="s">
        <v>17</v>
      </c>
      <c r="B195" t="s">
        <v>176</v>
      </c>
      <c r="C195" t="s">
        <v>626</v>
      </c>
      <c r="D195" t="s">
        <v>19</v>
      </c>
      <c r="E195" t="s">
        <v>19</v>
      </c>
      <c r="F195" t="s">
        <v>19</v>
      </c>
      <c r="G195" t="s">
        <v>183</v>
      </c>
      <c r="H195" t="s">
        <v>19</v>
      </c>
      <c r="I195" t="s">
        <v>19</v>
      </c>
      <c r="J195" t="s">
        <v>19</v>
      </c>
      <c r="K195" t="s">
        <v>19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6.2034387232270905E-4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s">
        <v>19</v>
      </c>
      <c r="AT195" t="str">
        <f t="shared" ref="AT195:AT258" si="6">MID(C195,5,3)</f>
        <v>bus</v>
      </c>
      <c r="AU195" t="str">
        <f t="shared" ref="AU195:AU258" si="7">RIGHT(C195,3)</f>
        <v>eth</v>
      </c>
    </row>
    <row r="196" spans="1:47">
      <c r="A196" t="s">
        <v>17</v>
      </c>
      <c r="B196" t="s">
        <v>176</v>
      </c>
      <c r="C196" t="s">
        <v>626</v>
      </c>
      <c r="D196" t="s">
        <v>19</v>
      </c>
      <c r="E196" t="s">
        <v>19</v>
      </c>
      <c r="F196" t="s">
        <v>19</v>
      </c>
      <c r="G196" t="s">
        <v>184</v>
      </c>
      <c r="H196" t="s">
        <v>19</v>
      </c>
      <c r="I196" t="s">
        <v>19</v>
      </c>
      <c r="J196" t="s">
        <v>19</v>
      </c>
      <c r="K196" t="s">
        <v>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6.2034387232270905E-4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19</v>
      </c>
      <c r="AT196" t="str">
        <f t="shared" si="6"/>
        <v>bus</v>
      </c>
      <c r="AU196" t="str">
        <f t="shared" si="7"/>
        <v>eth</v>
      </c>
    </row>
    <row r="197" spans="1:47">
      <c r="A197" t="s">
        <v>17</v>
      </c>
      <c r="B197" t="s">
        <v>176</v>
      </c>
      <c r="C197" t="s">
        <v>626</v>
      </c>
      <c r="D197" t="s">
        <v>19</v>
      </c>
      <c r="E197" t="s">
        <v>19</v>
      </c>
      <c r="F197" t="s">
        <v>19</v>
      </c>
      <c r="G197" t="s">
        <v>185</v>
      </c>
      <c r="H197" t="s">
        <v>19</v>
      </c>
      <c r="I197" t="s">
        <v>19</v>
      </c>
      <c r="J197" t="s">
        <v>19</v>
      </c>
      <c r="K197" t="s">
        <v>19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6.2034387232270905E-4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19</v>
      </c>
      <c r="AT197" t="str">
        <f t="shared" si="6"/>
        <v>bus</v>
      </c>
      <c r="AU197" t="str">
        <f t="shared" si="7"/>
        <v>eth</v>
      </c>
    </row>
    <row r="198" spans="1:47">
      <c r="A198" t="s">
        <v>17</v>
      </c>
      <c r="B198" t="s">
        <v>176</v>
      </c>
      <c r="C198" t="s">
        <v>626</v>
      </c>
      <c r="D198" t="s">
        <v>19</v>
      </c>
      <c r="E198" t="s">
        <v>19</v>
      </c>
      <c r="F198" t="s">
        <v>19</v>
      </c>
      <c r="G198" t="s">
        <v>186</v>
      </c>
      <c r="H198" t="s">
        <v>19</v>
      </c>
      <c r="I198" t="s">
        <v>19</v>
      </c>
      <c r="J198" t="s">
        <v>19</v>
      </c>
      <c r="K198" t="s">
        <v>19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6.2034387232270905E-4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s">
        <v>19</v>
      </c>
      <c r="AT198" t="str">
        <f t="shared" si="6"/>
        <v>bus</v>
      </c>
      <c r="AU198" t="str">
        <f t="shared" si="7"/>
        <v>eth</v>
      </c>
    </row>
    <row r="199" spans="1:47">
      <c r="A199" t="s">
        <v>17</v>
      </c>
      <c r="B199" t="s">
        <v>176</v>
      </c>
      <c r="C199" t="s">
        <v>626</v>
      </c>
      <c r="D199" t="s">
        <v>19</v>
      </c>
      <c r="E199" t="s">
        <v>19</v>
      </c>
      <c r="F199" t="s">
        <v>19</v>
      </c>
      <c r="G199" t="s">
        <v>187</v>
      </c>
      <c r="H199" t="s">
        <v>19</v>
      </c>
      <c r="I199" t="s">
        <v>19</v>
      </c>
      <c r="J199" t="s">
        <v>19</v>
      </c>
      <c r="K199" t="s">
        <v>19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6.2034387232270905E-4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19</v>
      </c>
      <c r="AT199" t="str">
        <f t="shared" si="6"/>
        <v>bus</v>
      </c>
      <c r="AU199" t="str">
        <f t="shared" si="7"/>
        <v>eth</v>
      </c>
    </row>
    <row r="200" spans="1:47">
      <c r="A200" t="s">
        <v>17</v>
      </c>
      <c r="B200" t="s">
        <v>176</v>
      </c>
      <c r="C200" t="s">
        <v>626</v>
      </c>
      <c r="D200" t="s">
        <v>19</v>
      </c>
      <c r="E200" t="s">
        <v>19</v>
      </c>
      <c r="F200" t="s">
        <v>19</v>
      </c>
      <c r="G200" t="s">
        <v>188</v>
      </c>
      <c r="H200" t="s">
        <v>19</v>
      </c>
      <c r="I200" t="s">
        <v>19</v>
      </c>
      <c r="J200" t="s">
        <v>19</v>
      </c>
      <c r="K200" t="s">
        <v>19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6.2034387232270905E-4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19</v>
      </c>
      <c r="AT200" t="str">
        <f t="shared" si="6"/>
        <v>bus</v>
      </c>
      <c r="AU200" t="str">
        <f t="shared" si="7"/>
        <v>eth</v>
      </c>
    </row>
    <row r="201" spans="1:47">
      <c r="A201" t="s">
        <v>17</v>
      </c>
      <c r="B201" t="s">
        <v>176</v>
      </c>
      <c r="C201" t="s">
        <v>626</v>
      </c>
      <c r="D201" t="s">
        <v>19</v>
      </c>
      <c r="E201" t="s">
        <v>19</v>
      </c>
      <c r="F201" t="s">
        <v>19</v>
      </c>
      <c r="G201" t="s">
        <v>100</v>
      </c>
      <c r="H201" t="s">
        <v>19</v>
      </c>
      <c r="I201" t="s">
        <v>19</v>
      </c>
      <c r="J201" t="s">
        <v>19</v>
      </c>
      <c r="K201" t="s">
        <v>19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6.2034387232270905E-4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s">
        <v>19</v>
      </c>
      <c r="AT201" t="str">
        <f t="shared" si="6"/>
        <v>bus</v>
      </c>
      <c r="AU201" t="str">
        <f t="shared" si="7"/>
        <v>eth</v>
      </c>
    </row>
    <row r="202" spans="1:47">
      <c r="A202" t="s">
        <v>17</v>
      </c>
      <c r="B202" t="s">
        <v>176</v>
      </c>
      <c r="C202" t="s">
        <v>625</v>
      </c>
      <c r="D202" t="s">
        <v>19</v>
      </c>
      <c r="E202" t="s">
        <v>19</v>
      </c>
      <c r="F202" t="s">
        <v>19</v>
      </c>
      <c r="G202" t="s">
        <v>603</v>
      </c>
      <c r="H202" t="s">
        <v>19</v>
      </c>
      <c r="I202" t="s">
        <v>19</v>
      </c>
      <c r="J202" t="s">
        <v>19</v>
      </c>
      <c r="K202" t="s">
        <v>19</v>
      </c>
      <c r="L202">
        <v>0</v>
      </c>
      <c r="M202">
        <v>0</v>
      </c>
      <c r="N202">
        <v>6.2034387232270905E-4</v>
      </c>
      <c r="O202">
        <v>6.2034387232270905E-4</v>
      </c>
      <c r="P202">
        <v>0</v>
      </c>
      <c r="Q202">
        <v>0</v>
      </c>
      <c r="R202">
        <v>6.2034387232270905E-4</v>
      </c>
      <c r="S202">
        <v>1.2406877446454181E-3</v>
      </c>
      <c r="T202">
        <v>6.2034387232270905E-4</v>
      </c>
      <c r="U202">
        <v>8.6848142125179276E-3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1.8610316169681269E-3</v>
      </c>
      <c r="AC202">
        <v>0</v>
      </c>
      <c r="AD202">
        <v>0</v>
      </c>
      <c r="AE202">
        <v>0</v>
      </c>
      <c r="AF202">
        <v>2.4813754892908362E-3</v>
      </c>
      <c r="AG202">
        <v>1.2406877446454181E-3</v>
      </c>
      <c r="AH202">
        <v>9.9255019571633449E-3</v>
      </c>
      <c r="AI202">
        <v>0</v>
      </c>
      <c r="AJ202">
        <v>3.1017193616135453E-3</v>
      </c>
      <c r="AK202">
        <v>4.3424071062589638E-3</v>
      </c>
      <c r="AL202">
        <v>0</v>
      </c>
      <c r="AM202">
        <v>0</v>
      </c>
      <c r="AN202">
        <v>2.4813754892908362E-3</v>
      </c>
      <c r="AO202" t="s">
        <v>19</v>
      </c>
      <c r="AT202" t="str">
        <f t="shared" si="6"/>
        <v>bus</v>
      </c>
      <c r="AU202" t="str">
        <f t="shared" si="7"/>
        <v>gsl</v>
      </c>
    </row>
    <row r="203" spans="1:47">
      <c r="A203" t="s">
        <v>17</v>
      </c>
      <c r="B203" t="s">
        <v>176</v>
      </c>
      <c r="C203" t="s">
        <v>625</v>
      </c>
      <c r="D203" t="s">
        <v>19</v>
      </c>
      <c r="E203" t="s">
        <v>19</v>
      </c>
      <c r="F203" t="s">
        <v>19</v>
      </c>
      <c r="G203" t="s">
        <v>602</v>
      </c>
      <c r="H203" t="s">
        <v>19</v>
      </c>
      <c r="I203" t="s">
        <v>19</v>
      </c>
      <c r="J203" t="s">
        <v>19</v>
      </c>
      <c r="K203" t="s">
        <v>19</v>
      </c>
      <c r="L203">
        <v>0</v>
      </c>
      <c r="M203">
        <v>0</v>
      </c>
      <c r="N203">
        <v>6.2034387232270905E-4</v>
      </c>
      <c r="O203">
        <v>6.2034387232270905E-4</v>
      </c>
      <c r="P203">
        <v>0</v>
      </c>
      <c r="Q203">
        <v>0</v>
      </c>
      <c r="R203">
        <v>6.2034387232270905E-4</v>
      </c>
      <c r="S203">
        <v>1.2406877446454181E-3</v>
      </c>
      <c r="T203">
        <v>6.2034387232270905E-4</v>
      </c>
      <c r="U203">
        <v>8.6848142125179276E-3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1.8610316169681269E-3</v>
      </c>
      <c r="AC203">
        <v>0</v>
      </c>
      <c r="AD203">
        <v>0</v>
      </c>
      <c r="AE203">
        <v>0</v>
      </c>
      <c r="AF203">
        <v>2.4813754892908362E-3</v>
      </c>
      <c r="AG203">
        <v>1.2406877446454181E-3</v>
      </c>
      <c r="AH203">
        <v>9.9255019571633449E-3</v>
      </c>
      <c r="AI203">
        <v>0</v>
      </c>
      <c r="AJ203">
        <v>3.1017193616135453E-3</v>
      </c>
      <c r="AK203">
        <v>4.3424071062589638E-3</v>
      </c>
      <c r="AL203">
        <v>0</v>
      </c>
      <c r="AM203">
        <v>0</v>
      </c>
      <c r="AN203">
        <v>2.4813754892908362E-3</v>
      </c>
      <c r="AO203" t="s">
        <v>19</v>
      </c>
      <c r="AT203" t="str">
        <f t="shared" si="6"/>
        <v>bus</v>
      </c>
      <c r="AU203" t="str">
        <f t="shared" si="7"/>
        <v>gsl</v>
      </c>
    </row>
    <row r="204" spans="1:47">
      <c r="A204" t="s">
        <v>17</v>
      </c>
      <c r="B204" t="s">
        <v>176</v>
      </c>
      <c r="C204" t="s">
        <v>625</v>
      </c>
      <c r="D204" t="s">
        <v>19</v>
      </c>
      <c r="E204" t="s">
        <v>19</v>
      </c>
      <c r="F204" t="s">
        <v>19</v>
      </c>
      <c r="G204" t="s">
        <v>601</v>
      </c>
      <c r="H204" t="s">
        <v>19</v>
      </c>
      <c r="I204" t="s">
        <v>19</v>
      </c>
      <c r="J204" t="s">
        <v>19</v>
      </c>
      <c r="K204" t="s">
        <v>19</v>
      </c>
      <c r="L204">
        <v>0</v>
      </c>
      <c r="M204">
        <v>0</v>
      </c>
      <c r="N204">
        <v>6.2034387232270905E-4</v>
      </c>
      <c r="O204">
        <v>6.2034387232270905E-4</v>
      </c>
      <c r="P204">
        <v>0</v>
      </c>
      <c r="Q204">
        <v>0</v>
      </c>
      <c r="R204">
        <v>6.2034387232270905E-4</v>
      </c>
      <c r="S204">
        <v>1.2406877446454181E-3</v>
      </c>
      <c r="T204">
        <v>6.2034387232270905E-4</v>
      </c>
      <c r="U204">
        <v>8.6848142125179276E-3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1.8610316169681269E-3</v>
      </c>
      <c r="AC204">
        <v>0</v>
      </c>
      <c r="AD204">
        <v>0</v>
      </c>
      <c r="AE204">
        <v>0</v>
      </c>
      <c r="AF204">
        <v>2.4813754892908362E-3</v>
      </c>
      <c r="AG204">
        <v>1.2406877446454181E-3</v>
      </c>
      <c r="AH204">
        <v>9.9255019571633449E-3</v>
      </c>
      <c r="AI204">
        <v>0</v>
      </c>
      <c r="AJ204">
        <v>3.1017193616135453E-3</v>
      </c>
      <c r="AK204">
        <v>4.3424071062589638E-3</v>
      </c>
      <c r="AL204">
        <v>0</v>
      </c>
      <c r="AM204">
        <v>0</v>
      </c>
      <c r="AN204">
        <v>2.4813754892908362E-3</v>
      </c>
      <c r="AO204" t="s">
        <v>19</v>
      </c>
      <c r="AT204" t="str">
        <f t="shared" si="6"/>
        <v>bus</v>
      </c>
      <c r="AU204" t="str">
        <f t="shared" si="7"/>
        <v>gsl</v>
      </c>
    </row>
    <row r="205" spans="1:47">
      <c r="A205" t="s">
        <v>17</v>
      </c>
      <c r="B205" t="s">
        <v>176</v>
      </c>
      <c r="C205" t="s">
        <v>625</v>
      </c>
      <c r="D205" t="s">
        <v>19</v>
      </c>
      <c r="E205" t="s">
        <v>19</v>
      </c>
      <c r="F205" t="s">
        <v>19</v>
      </c>
      <c r="G205" t="s">
        <v>600</v>
      </c>
      <c r="H205" t="s">
        <v>19</v>
      </c>
      <c r="I205" t="s">
        <v>19</v>
      </c>
      <c r="J205" t="s">
        <v>19</v>
      </c>
      <c r="K205" t="s">
        <v>19</v>
      </c>
      <c r="L205">
        <v>0</v>
      </c>
      <c r="M205">
        <v>0</v>
      </c>
      <c r="N205">
        <v>6.2034387232270905E-4</v>
      </c>
      <c r="O205">
        <v>6.2034387232270905E-4</v>
      </c>
      <c r="P205">
        <v>0</v>
      </c>
      <c r="Q205">
        <v>0</v>
      </c>
      <c r="R205">
        <v>6.2034387232270905E-4</v>
      </c>
      <c r="S205">
        <v>1.2406877446454181E-3</v>
      </c>
      <c r="T205">
        <v>6.2034387232270905E-4</v>
      </c>
      <c r="U205">
        <v>8.6848142125179276E-3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1.8610316169681269E-3</v>
      </c>
      <c r="AC205">
        <v>0</v>
      </c>
      <c r="AD205">
        <v>0</v>
      </c>
      <c r="AE205">
        <v>0</v>
      </c>
      <c r="AF205">
        <v>2.4813754892908362E-3</v>
      </c>
      <c r="AG205">
        <v>1.2406877446454181E-3</v>
      </c>
      <c r="AH205">
        <v>9.9255019571633449E-3</v>
      </c>
      <c r="AI205">
        <v>0</v>
      </c>
      <c r="AJ205">
        <v>3.1017193616135453E-3</v>
      </c>
      <c r="AK205">
        <v>4.3424071062589638E-3</v>
      </c>
      <c r="AL205">
        <v>0</v>
      </c>
      <c r="AM205">
        <v>0</v>
      </c>
      <c r="AN205">
        <v>2.4813754892908362E-3</v>
      </c>
      <c r="AO205" t="s">
        <v>19</v>
      </c>
      <c r="AT205" t="str">
        <f t="shared" si="6"/>
        <v>bus</v>
      </c>
      <c r="AU205" t="str">
        <f t="shared" si="7"/>
        <v>gsl</v>
      </c>
    </row>
    <row r="206" spans="1:47">
      <c r="A206" t="s">
        <v>17</v>
      </c>
      <c r="B206" t="s">
        <v>176</v>
      </c>
      <c r="C206" t="s">
        <v>625</v>
      </c>
      <c r="D206" t="s">
        <v>19</v>
      </c>
      <c r="E206" t="s">
        <v>19</v>
      </c>
      <c r="F206" t="s">
        <v>19</v>
      </c>
      <c r="G206" t="s">
        <v>599</v>
      </c>
      <c r="H206" t="s">
        <v>19</v>
      </c>
      <c r="I206" t="s">
        <v>19</v>
      </c>
      <c r="J206" t="s">
        <v>19</v>
      </c>
      <c r="K206" t="s">
        <v>19</v>
      </c>
      <c r="L206">
        <v>0</v>
      </c>
      <c r="M206">
        <v>0</v>
      </c>
      <c r="N206">
        <v>6.2034387232270905E-4</v>
      </c>
      <c r="O206">
        <v>6.2034387232270905E-4</v>
      </c>
      <c r="P206">
        <v>0</v>
      </c>
      <c r="Q206">
        <v>0</v>
      </c>
      <c r="R206">
        <v>6.2034387232270905E-4</v>
      </c>
      <c r="S206">
        <v>1.2406877446454181E-3</v>
      </c>
      <c r="T206">
        <v>6.2034387232270905E-4</v>
      </c>
      <c r="U206">
        <v>8.6848142125179276E-3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1.8610316169681269E-3</v>
      </c>
      <c r="AC206">
        <v>0</v>
      </c>
      <c r="AD206">
        <v>0</v>
      </c>
      <c r="AE206">
        <v>0</v>
      </c>
      <c r="AF206">
        <v>2.4813754892908362E-3</v>
      </c>
      <c r="AG206">
        <v>1.2406877446454181E-3</v>
      </c>
      <c r="AH206">
        <v>9.9255019571633449E-3</v>
      </c>
      <c r="AI206">
        <v>0</v>
      </c>
      <c r="AJ206">
        <v>3.1017193616135453E-3</v>
      </c>
      <c r="AK206">
        <v>4.3424071062589638E-3</v>
      </c>
      <c r="AL206">
        <v>0</v>
      </c>
      <c r="AM206">
        <v>0</v>
      </c>
      <c r="AN206">
        <v>2.4813754892908362E-3</v>
      </c>
      <c r="AO206" t="s">
        <v>19</v>
      </c>
      <c r="AT206" t="str">
        <f t="shared" si="6"/>
        <v>bus</v>
      </c>
      <c r="AU206" t="str">
        <f t="shared" si="7"/>
        <v>gsl</v>
      </c>
    </row>
    <row r="207" spans="1:47">
      <c r="A207" t="s">
        <v>17</v>
      </c>
      <c r="B207" t="s">
        <v>176</v>
      </c>
      <c r="C207" t="s">
        <v>625</v>
      </c>
      <c r="D207" t="s">
        <v>19</v>
      </c>
      <c r="E207" t="s">
        <v>19</v>
      </c>
      <c r="F207" t="s">
        <v>19</v>
      </c>
      <c r="G207" t="s">
        <v>598</v>
      </c>
      <c r="H207" t="s">
        <v>19</v>
      </c>
      <c r="I207" t="s">
        <v>19</v>
      </c>
      <c r="J207" t="s">
        <v>19</v>
      </c>
      <c r="K207" t="s">
        <v>19</v>
      </c>
      <c r="L207">
        <v>0</v>
      </c>
      <c r="M207">
        <v>0</v>
      </c>
      <c r="N207">
        <v>6.2034387232270905E-4</v>
      </c>
      <c r="O207">
        <v>6.2034387232270905E-4</v>
      </c>
      <c r="P207">
        <v>0</v>
      </c>
      <c r="Q207">
        <v>0</v>
      </c>
      <c r="R207">
        <v>6.2034387232270905E-4</v>
      </c>
      <c r="S207">
        <v>1.2406877446454181E-3</v>
      </c>
      <c r="T207">
        <v>6.2034387232270905E-4</v>
      </c>
      <c r="U207">
        <v>8.6848142125179276E-3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1.8610316169681269E-3</v>
      </c>
      <c r="AC207">
        <v>0</v>
      </c>
      <c r="AD207">
        <v>0</v>
      </c>
      <c r="AE207">
        <v>0</v>
      </c>
      <c r="AF207">
        <v>2.4813754892908362E-3</v>
      </c>
      <c r="AG207">
        <v>1.2406877446454181E-3</v>
      </c>
      <c r="AH207">
        <v>9.9255019571633449E-3</v>
      </c>
      <c r="AI207">
        <v>0</v>
      </c>
      <c r="AJ207">
        <v>3.1017193616135453E-3</v>
      </c>
      <c r="AK207">
        <v>4.3424071062589638E-3</v>
      </c>
      <c r="AL207">
        <v>0</v>
      </c>
      <c r="AM207">
        <v>0</v>
      </c>
      <c r="AN207">
        <v>2.4813754892908362E-3</v>
      </c>
      <c r="AO207" t="s">
        <v>19</v>
      </c>
      <c r="AT207" t="str">
        <f t="shared" si="6"/>
        <v>bus</v>
      </c>
      <c r="AU207" t="str">
        <f t="shared" si="7"/>
        <v>gsl</v>
      </c>
    </row>
    <row r="208" spans="1:47">
      <c r="A208" t="s">
        <v>17</v>
      </c>
      <c r="B208" t="s">
        <v>176</v>
      </c>
      <c r="C208" t="s">
        <v>625</v>
      </c>
      <c r="D208" t="s">
        <v>19</v>
      </c>
      <c r="E208" t="s">
        <v>19</v>
      </c>
      <c r="F208" t="s">
        <v>19</v>
      </c>
      <c r="G208" t="s">
        <v>597</v>
      </c>
      <c r="H208" t="s">
        <v>19</v>
      </c>
      <c r="I208" t="s">
        <v>19</v>
      </c>
      <c r="J208" t="s">
        <v>19</v>
      </c>
      <c r="K208" t="s">
        <v>19</v>
      </c>
      <c r="L208">
        <v>0</v>
      </c>
      <c r="M208">
        <v>0</v>
      </c>
      <c r="N208">
        <v>6.2034387232270905E-4</v>
      </c>
      <c r="O208">
        <v>6.2034387232270905E-4</v>
      </c>
      <c r="P208">
        <v>0</v>
      </c>
      <c r="Q208">
        <v>0</v>
      </c>
      <c r="R208">
        <v>6.2034387232270905E-4</v>
      </c>
      <c r="S208">
        <v>1.2406877446454181E-3</v>
      </c>
      <c r="T208">
        <v>6.2034387232270905E-4</v>
      </c>
      <c r="U208">
        <v>8.6848142125179276E-3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1.8610316169681269E-3</v>
      </c>
      <c r="AC208">
        <v>0</v>
      </c>
      <c r="AD208">
        <v>0</v>
      </c>
      <c r="AE208">
        <v>0</v>
      </c>
      <c r="AF208">
        <v>2.4813754892908362E-3</v>
      </c>
      <c r="AG208">
        <v>1.2406877446454181E-3</v>
      </c>
      <c r="AH208">
        <v>9.9255019571633449E-3</v>
      </c>
      <c r="AI208">
        <v>0</v>
      </c>
      <c r="AJ208">
        <v>3.1017193616135453E-3</v>
      </c>
      <c r="AK208">
        <v>4.3424071062589638E-3</v>
      </c>
      <c r="AL208">
        <v>0</v>
      </c>
      <c r="AM208">
        <v>0</v>
      </c>
      <c r="AN208">
        <v>2.4813754892908362E-3</v>
      </c>
      <c r="AO208" t="s">
        <v>19</v>
      </c>
      <c r="AT208" t="str">
        <f t="shared" si="6"/>
        <v>bus</v>
      </c>
      <c r="AU208" t="str">
        <f t="shared" si="7"/>
        <v>gsl</v>
      </c>
    </row>
    <row r="209" spans="1:47">
      <c r="A209" t="s">
        <v>17</v>
      </c>
      <c r="B209" t="s">
        <v>176</v>
      </c>
      <c r="C209" t="s">
        <v>625</v>
      </c>
      <c r="D209" t="s">
        <v>19</v>
      </c>
      <c r="E209" t="s">
        <v>19</v>
      </c>
      <c r="F209" t="s">
        <v>19</v>
      </c>
      <c r="G209" t="s">
        <v>596</v>
      </c>
      <c r="H209" t="s">
        <v>19</v>
      </c>
      <c r="I209" t="s">
        <v>19</v>
      </c>
      <c r="J209" t="s">
        <v>19</v>
      </c>
      <c r="K209" t="s">
        <v>19</v>
      </c>
      <c r="L209">
        <v>0</v>
      </c>
      <c r="M209">
        <v>0</v>
      </c>
      <c r="N209">
        <v>6.2034387232270905E-4</v>
      </c>
      <c r="O209">
        <v>6.2034387232270905E-4</v>
      </c>
      <c r="P209">
        <v>0</v>
      </c>
      <c r="Q209">
        <v>0</v>
      </c>
      <c r="R209">
        <v>6.2034387232270905E-4</v>
      </c>
      <c r="S209">
        <v>1.2406877446454181E-3</v>
      </c>
      <c r="T209">
        <v>6.2034387232270905E-4</v>
      </c>
      <c r="U209">
        <v>8.6848142125179276E-3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1.8610316169681269E-3</v>
      </c>
      <c r="AC209">
        <v>0</v>
      </c>
      <c r="AD209">
        <v>0</v>
      </c>
      <c r="AE209">
        <v>0</v>
      </c>
      <c r="AF209">
        <v>2.4813754892908362E-3</v>
      </c>
      <c r="AG209">
        <v>1.2406877446454181E-3</v>
      </c>
      <c r="AH209">
        <v>9.9255019571633449E-3</v>
      </c>
      <c r="AI209">
        <v>0</v>
      </c>
      <c r="AJ209">
        <v>3.1017193616135453E-3</v>
      </c>
      <c r="AK209">
        <v>4.3424071062589638E-3</v>
      </c>
      <c r="AL209">
        <v>0</v>
      </c>
      <c r="AM209">
        <v>0</v>
      </c>
      <c r="AN209">
        <v>2.4813754892908362E-3</v>
      </c>
      <c r="AO209" t="s">
        <v>19</v>
      </c>
      <c r="AT209" t="str">
        <f t="shared" si="6"/>
        <v>bus</v>
      </c>
      <c r="AU209" t="str">
        <f t="shared" si="7"/>
        <v>gsl</v>
      </c>
    </row>
    <row r="210" spans="1:47">
      <c r="A210" t="s">
        <v>17</v>
      </c>
      <c r="B210" t="s">
        <v>176</v>
      </c>
      <c r="C210" t="s">
        <v>625</v>
      </c>
      <c r="D210" t="s">
        <v>19</v>
      </c>
      <c r="E210" t="s">
        <v>19</v>
      </c>
      <c r="F210" t="s">
        <v>19</v>
      </c>
      <c r="G210" t="s">
        <v>178</v>
      </c>
      <c r="H210" t="s">
        <v>19</v>
      </c>
      <c r="I210" t="s">
        <v>19</v>
      </c>
      <c r="J210" t="s">
        <v>19</v>
      </c>
      <c r="K210" t="s">
        <v>19</v>
      </c>
      <c r="L210">
        <v>0</v>
      </c>
      <c r="M210">
        <v>0</v>
      </c>
      <c r="N210">
        <v>6.2034387232270905E-4</v>
      </c>
      <c r="O210">
        <v>6.2034387232270905E-4</v>
      </c>
      <c r="P210">
        <v>0</v>
      </c>
      <c r="Q210">
        <v>0</v>
      </c>
      <c r="R210">
        <v>6.2034387232270905E-4</v>
      </c>
      <c r="S210">
        <v>1.2406877446454181E-3</v>
      </c>
      <c r="T210">
        <v>6.2034387232270905E-4</v>
      </c>
      <c r="U210">
        <v>8.6848142125179276E-3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1.8610316169681269E-3</v>
      </c>
      <c r="AC210">
        <v>0</v>
      </c>
      <c r="AD210">
        <v>0</v>
      </c>
      <c r="AE210">
        <v>0</v>
      </c>
      <c r="AF210">
        <v>2.4813754892908362E-3</v>
      </c>
      <c r="AG210">
        <v>1.2406877446454181E-3</v>
      </c>
      <c r="AH210">
        <v>9.9255019571633449E-3</v>
      </c>
      <c r="AI210">
        <v>0</v>
      </c>
      <c r="AJ210">
        <v>3.1017193616135453E-3</v>
      </c>
      <c r="AK210">
        <v>4.3424071062589638E-3</v>
      </c>
      <c r="AL210">
        <v>0</v>
      </c>
      <c r="AM210">
        <v>0</v>
      </c>
      <c r="AN210">
        <v>2.4813754892908362E-3</v>
      </c>
      <c r="AO210" t="s">
        <v>19</v>
      </c>
      <c r="AT210" t="str">
        <f t="shared" si="6"/>
        <v>bus</v>
      </c>
      <c r="AU210" t="str">
        <f t="shared" si="7"/>
        <v>gsl</v>
      </c>
    </row>
    <row r="211" spans="1:47">
      <c r="A211" t="s">
        <v>17</v>
      </c>
      <c r="B211" t="s">
        <v>176</v>
      </c>
      <c r="C211" t="s">
        <v>625</v>
      </c>
      <c r="D211" t="s">
        <v>19</v>
      </c>
      <c r="E211" t="s">
        <v>19</v>
      </c>
      <c r="F211" t="s">
        <v>19</v>
      </c>
      <c r="G211" t="s">
        <v>179</v>
      </c>
      <c r="H211" t="s">
        <v>19</v>
      </c>
      <c r="I211" t="s">
        <v>19</v>
      </c>
      <c r="J211" t="s">
        <v>19</v>
      </c>
      <c r="K211" t="s">
        <v>19</v>
      </c>
      <c r="L211">
        <v>0</v>
      </c>
      <c r="M211">
        <v>0</v>
      </c>
      <c r="N211">
        <v>6.2034387232270905E-4</v>
      </c>
      <c r="O211">
        <v>6.2034387232270905E-4</v>
      </c>
      <c r="P211">
        <v>0</v>
      </c>
      <c r="Q211">
        <v>0</v>
      </c>
      <c r="R211">
        <v>6.2034387232270905E-4</v>
      </c>
      <c r="S211">
        <v>1.2406877446454181E-3</v>
      </c>
      <c r="T211">
        <v>6.2034387232270905E-4</v>
      </c>
      <c r="U211">
        <v>8.6848142125179276E-3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1.8610316169681269E-3</v>
      </c>
      <c r="AC211">
        <v>0</v>
      </c>
      <c r="AD211">
        <v>0</v>
      </c>
      <c r="AE211">
        <v>0</v>
      </c>
      <c r="AF211">
        <v>2.4813754892908362E-3</v>
      </c>
      <c r="AG211">
        <v>1.2406877446454181E-3</v>
      </c>
      <c r="AH211">
        <v>9.9255019571633449E-3</v>
      </c>
      <c r="AI211">
        <v>0</v>
      </c>
      <c r="AJ211">
        <v>3.1017193616135453E-3</v>
      </c>
      <c r="AK211">
        <v>4.3424071062589638E-3</v>
      </c>
      <c r="AL211">
        <v>0</v>
      </c>
      <c r="AM211">
        <v>0</v>
      </c>
      <c r="AN211">
        <v>2.4813754892908362E-3</v>
      </c>
      <c r="AO211" t="s">
        <v>19</v>
      </c>
      <c r="AT211" t="str">
        <f t="shared" si="6"/>
        <v>bus</v>
      </c>
      <c r="AU211" t="str">
        <f t="shared" si="7"/>
        <v>gsl</v>
      </c>
    </row>
    <row r="212" spans="1:47">
      <c r="A212" t="s">
        <v>17</v>
      </c>
      <c r="B212" t="s">
        <v>176</v>
      </c>
      <c r="C212" t="s">
        <v>625</v>
      </c>
      <c r="D212" t="s">
        <v>19</v>
      </c>
      <c r="E212" t="s">
        <v>19</v>
      </c>
      <c r="F212" t="s">
        <v>19</v>
      </c>
      <c r="G212" t="s">
        <v>180</v>
      </c>
      <c r="H212" t="s">
        <v>19</v>
      </c>
      <c r="I212" t="s">
        <v>19</v>
      </c>
      <c r="J212" t="s">
        <v>19</v>
      </c>
      <c r="K212" t="s">
        <v>19</v>
      </c>
      <c r="L212">
        <v>0</v>
      </c>
      <c r="M212">
        <v>0</v>
      </c>
      <c r="N212">
        <v>6.2034387232270905E-4</v>
      </c>
      <c r="O212">
        <v>6.2034387232270905E-4</v>
      </c>
      <c r="P212">
        <v>0</v>
      </c>
      <c r="Q212">
        <v>0</v>
      </c>
      <c r="R212">
        <v>6.2034387232270905E-4</v>
      </c>
      <c r="S212">
        <v>1.2406877446454181E-3</v>
      </c>
      <c r="T212">
        <v>6.2034387232270905E-4</v>
      </c>
      <c r="U212">
        <v>8.6848142125179276E-3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1.8610316169681269E-3</v>
      </c>
      <c r="AC212">
        <v>0</v>
      </c>
      <c r="AD212">
        <v>0</v>
      </c>
      <c r="AE212">
        <v>0</v>
      </c>
      <c r="AF212">
        <v>2.4813754892908362E-3</v>
      </c>
      <c r="AG212">
        <v>1.2406877446454181E-3</v>
      </c>
      <c r="AH212">
        <v>9.9255019571633449E-3</v>
      </c>
      <c r="AI212">
        <v>0</v>
      </c>
      <c r="AJ212">
        <v>3.1017193616135453E-3</v>
      </c>
      <c r="AK212">
        <v>4.3424071062589638E-3</v>
      </c>
      <c r="AL212">
        <v>0</v>
      </c>
      <c r="AM212">
        <v>0</v>
      </c>
      <c r="AN212">
        <v>2.4813754892908362E-3</v>
      </c>
      <c r="AO212" t="s">
        <v>19</v>
      </c>
      <c r="AT212" t="str">
        <f t="shared" si="6"/>
        <v>bus</v>
      </c>
      <c r="AU212" t="str">
        <f t="shared" si="7"/>
        <v>gsl</v>
      </c>
    </row>
    <row r="213" spans="1:47">
      <c r="A213" t="s">
        <v>17</v>
      </c>
      <c r="B213" t="s">
        <v>176</v>
      </c>
      <c r="C213" t="s">
        <v>625</v>
      </c>
      <c r="D213" t="s">
        <v>19</v>
      </c>
      <c r="E213" t="s">
        <v>19</v>
      </c>
      <c r="F213" t="s">
        <v>19</v>
      </c>
      <c r="G213" t="s">
        <v>181</v>
      </c>
      <c r="H213" t="s">
        <v>19</v>
      </c>
      <c r="I213" t="s">
        <v>19</v>
      </c>
      <c r="J213" t="s">
        <v>19</v>
      </c>
      <c r="K213" t="s">
        <v>19</v>
      </c>
      <c r="L213">
        <v>0</v>
      </c>
      <c r="M213">
        <v>0</v>
      </c>
      <c r="N213">
        <v>6.2034387232270905E-4</v>
      </c>
      <c r="O213">
        <v>6.2034387232270905E-4</v>
      </c>
      <c r="P213">
        <v>0</v>
      </c>
      <c r="Q213">
        <v>0</v>
      </c>
      <c r="R213">
        <v>6.2034387232270905E-4</v>
      </c>
      <c r="S213">
        <v>1.2406877446454181E-3</v>
      </c>
      <c r="T213">
        <v>6.2034387232270905E-4</v>
      </c>
      <c r="U213">
        <v>8.6848142125179276E-3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1.8610316169681269E-3</v>
      </c>
      <c r="AC213">
        <v>0</v>
      </c>
      <c r="AD213">
        <v>0</v>
      </c>
      <c r="AE213">
        <v>0</v>
      </c>
      <c r="AF213">
        <v>2.4813754892908362E-3</v>
      </c>
      <c r="AG213">
        <v>1.2406877446454181E-3</v>
      </c>
      <c r="AH213">
        <v>9.9255019571633449E-3</v>
      </c>
      <c r="AI213">
        <v>0</v>
      </c>
      <c r="AJ213">
        <v>3.1017193616135453E-3</v>
      </c>
      <c r="AK213">
        <v>4.3424071062589638E-3</v>
      </c>
      <c r="AL213">
        <v>0</v>
      </c>
      <c r="AM213">
        <v>0</v>
      </c>
      <c r="AN213">
        <v>2.4813754892908362E-3</v>
      </c>
      <c r="AO213" t="s">
        <v>19</v>
      </c>
      <c r="AT213" t="str">
        <f t="shared" si="6"/>
        <v>bus</v>
      </c>
      <c r="AU213" t="str">
        <f t="shared" si="7"/>
        <v>gsl</v>
      </c>
    </row>
    <row r="214" spans="1:47">
      <c r="A214" t="s">
        <v>17</v>
      </c>
      <c r="B214" t="s">
        <v>176</v>
      </c>
      <c r="C214" t="s">
        <v>625</v>
      </c>
      <c r="D214" t="s">
        <v>19</v>
      </c>
      <c r="E214" t="s">
        <v>19</v>
      </c>
      <c r="F214" t="s">
        <v>19</v>
      </c>
      <c r="G214" t="s">
        <v>182</v>
      </c>
      <c r="H214" t="s">
        <v>19</v>
      </c>
      <c r="I214" t="s">
        <v>19</v>
      </c>
      <c r="J214" t="s">
        <v>19</v>
      </c>
      <c r="K214" t="s">
        <v>19</v>
      </c>
      <c r="L214">
        <v>0</v>
      </c>
      <c r="M214">
        <v>0</v>
      </c>
      <c r="N214">
        <v>6.2034387232270905E-4</v>
      </c>
      <c r="O214">
        <v>6.2034387232270905E-4</v>
      </c>
      <c r="P214">
        <v>0</v>
      </c>
      <c r="Q214">
        <v>0</v>
      </c>
      <c r="R214">
        <v>6.2034387232270905E-4</v>
      </c>
      <c r="S214">
        <v>1.2406877446454181E-3</v>
      </c>
      <c r="T214">
        <v>6.2034387232270905E-4</v>
      </c>
      <c r="U214">
        <v>8.6848142125179276E-3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1.8610316169681269E-3</v>
      </c>
      <c r="AC214">
        <v>0</v>
      </c>
      <c r="AD214">
        <v>0</v>
      </c>
      <c r="AE214">
        <v>0</v>
      </c>
      <c r="AF214">
        <v>2.4813754892908362E-3</v>
      </c>
      <c r="AG214">
        <v>1.2406877446454181E-3</v>
      </c>
      <c r="AH214">
        <v>9.9255019571633449E-3</v>
      </c>
      <c r="AI214">
        <v>0</v>
      </c>
      <c r="AJ214">
        <v>3.1017193616135453E-3</v>
      </c>
      <c r="AK214">
        <v>4.3424071062589638E-3</v>
      </c>
      <c r="AL214">
        <v>0</v>
      </c>
      <c r="AM214">
        <v>0</v>
      </c>
      <c r="AN214">
        <v>2.4813754892908362E-3</v>
      </c>
      <c r="AO214" t="s">
        <v>19</v>
      </c>
      <c r="AT214" t="str">
        <f t="shared" si="6"/>
        <v>bus</v>
      </c>
      <c r="AU214" t="str">
        <f t="shared" si="7"/>
        <v>gsl</v>
      </c>
    </row>
    <row r="215" spans="1:47">
      <c r="A215" t="s">
        <v>17</v>
      </c>
      <c r="B215" t="s">
        <v>176</v>
      </c>
      <c r="C215" t="s">
        <v>625</v>
      </c>
      <c r="D215" t="s">
        <v>19</v>
      </c>
      <c r="E215" t="s">
        <v>19</v>
      </c>
      <c r="F215" t="s">
        <v>19</v>
      </c>
      <c r="G215" t="s">
        <v>183</v>
      </c>
      <c r="H215" t="s">
        <v>19</v>
      </c>
      <c r="I215" t="s">
        <v>19</v>
      </c>
      <c r="J215" t="s">
        <v>19</v>
      </c>
      <c r="K215" t="s">
        <v>19</v>
      </c>
      <c r="L215">
        <v>0</v>
      </c>
      <c r="M215">
        <v>0</v>
      </c>
      <c r="N215">
        <v>6.2034387232270905E-4</v>
      </c>
      <c r="O215">
        <v>6.2034387232270905E-4</v>
      </c>
      <c r="P215">
        <v>0</v>
      </c>
      <c r="Q215">
        <v>0</v>
      </c>
      <c r="R215">
        <v>6.2034387232270905E-4</v>
      </c>
      <c r="S215">
        <v>1.2406877446454181E-3</v>
      </c>
      <c r="T215">
        <v>6.2034387232270905E-4</v>
      </c>
      <c r="U215">
        <v>8.6848142125179276E-3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1.8610316169681269E-3</v>
      </c>
      <c r="AC215">
        <v>0</v>
      </c>
      <c r="AD215">
        <v>0</v>
      </c>
      <c r="AE215">
        <v>0</v>
      </c>
      <c r="AF215">
        <v>2.4813754892908362E-3</v>
      </c>
      <c r="AG215">
        <v>1.2406877446454181E-3</v>
      </c>
      <c r="AH215">
        <v>9.9255019571633449E-3</v>
      </c>
      <c r="AI215">
        <v>0</v>
      </c>
      <c r="AJ215">
        <v>3.1017193616135453E-3</v>
      </c>
      <c r="AK215">
        <v>4.3424071062589638E-3</v>
      </c>
      <c r="AL215">
        <v>0</v>
      </c>
      <c r="AM215">
        <v>0</v>
      </c>
      <c r="AN215">
        <v>2.4813754892908362E-3</v>
      </c>
      <c r="AO215" t="s">
        <v>19</v>
      </c>
      <c r="AT215" t="str">
        <f t="shared" si="6"/>
        <v>bus</v>
      </c>
      <c r="AU215" t="str">
        <f t="shared" si="7"/>
        <v>gsl</v>
      </c>
    </row>
    <row r="216" spans="1:47">
      <c r="A216" t="s">
        <v>17</v>
      </c>
      <c r="B216" t="s">
        <v>176</v>
      </c>
      <c r="C216" t="s">
        <v>625</v>
      </c>
      <c r="D216" t="s">
        <v>19</v>
      </c>
      <c r="E216" t="s">
        <v>19</v>
      </c>
      <c r="F216" t="s">
        <v>19</v>
      </c>
      <c r="G216" t="s">
        <v>184</v>
      </c>
      <c r="H216" t="s">
        <v>19</v>
      </c>
      <c r="I216" t="s">
        <v>19</v>
      </c>
      <c r="J216" t="s">
        <v>19</v>
      </c>
      <c r="K216" t="s">
        <v>19</v>
      </c>
      <c r="L216">
        <v>0</v>
      </c>
      <c r="M216">
        <v>0</v>
      </c>
      <c r="N216">
        <v>6.2034387232270905E-4</v>
      </c>
      <c r="O216">
        <v>6.2034387232270905E-4</v>
      </c>
      <c r="P216">
        <v>0</v>
      </c>
      <c r="Q216">
        <v>0</v>
      </c>
      <c r="R216">
        <v>6.2034387232270905E-4</v>
      </c>
      <c r="S216">
        <v>1.2406877446454181E-3</v>
      </c>
      <c r="T216">
        <v>6.2034387232270905E-4</v>
      </c>
      <c r="U216">
        <v>8.6848142125179276E-3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1.8610316169681269E-3</v>
      </c>
      <c r="AC216">
        <v>0</v>
      </c>
      <c r="AD216">
        <v>0</v>
      </c>
      <c r="AE216">
        <v>0</v>
      </c>
      <c r="AF216">
        <v>2.4813754892908362E-3</v>
      </c>
      <c r="AG216">
        <v>1.2406877446454181E-3</v>
      </c>
      <c r="AH216">
        <v>9.9255019571633449E-3</v>
      </c>
      <c r="AI216">
        <v>0</v>
      </c>
      <c r="AJ216">
        <v>3.1017193616135453E-3</v>
      </c>
      <c r="AK216">
        <v>4.3424071062589638E-3</v>
      </c>
      <c r="AL216">
        <v>0</v>
      </c>
      <c r="AM216">
        <v>0</v>
      </c>
      <c r="AN216">
        <v>2.4813754892908362E-3</v>
      </c>
      <c r="AO216" t="s">
        <v>19</v>
      </c>
      <c r="AT216" t="str">
        <f t="shared" si="6"/>
        <v>bus</v>
      </c>
      <c r="AU216" t="str">
        <f t="shared" si="7"/>
        <v>gsl</v>
      </c>
    </row>
    <row r="217" spans="1:47">
      <c r="A217" t="s">
        <v>17</v>
      </c>
      <c r="B217" t="s">
        <v>176</v>
      </c>
      <c r="C217" t="s">
        <v>625</v>
      </c>
      <c r="D217" t="s">
        <v>19</v>
      </c>
      <c r="E217" t="s">
        <v>19</v>
      </c>
      <c r="F217" t="s">
        <v>19</v>
      </c>
      <c r="G217" t="s">
        <v>185</v>
      </c>
      <c r="H217" t="s">
        <v>19</v>
      </c>
      <c r="I217" t="s">
        <v>19</v>
      </c>
      <c r="J217" t="s">
        <v>19</v>
      </c>
      <c r="K217" t="s">
        <v>19</v>
      </c>
      <c r="L217">
        <v>0</v>
      </c>
      <c r="M217">
        <v>0</v>
      </c>
      <c r="N217">
        <v>6.2034387232270905E-4</v>
      </c>
      <c r="O217">
        <v>6.2034387232270905E-4</v>
      </c>
      <c r="P217">
        <v>0</v>
      </c>
      <c r="Q217">
        <v>0</v>
      </c>
      <c r="R217">
        <v>6.2034387232270905E-4</v>
      </c>
      <c r="S217">
        <v>1.2406877446454181E-3</v>
      </c>
      <c r="T217">
        <v>6.2034387232270905E-4</v>
      </c>
      <c r="U217">
        <v>8.6848142125179276E-3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1.8610316169681269E-3</v>
      </c>
      <c r="AC217">
        <v>0</v>
      </c>
      <c r="AD217">
        <v>0</v>
      </c>
      <c r="AE217">
        <v>0</v>
      </c>
      <c r="AF217">
        <v>2.4813754892908362E-3</v>
      </c>
      <c r="AG217">
        <v>1.2406877446454181E-3</v>
      </c>
      <c r="AH217">
        <v>9.9255019571633449E-3</v>
      </c>
      <c r="AI217">
        <v>0</v>
      </c>
      <c r="AJ217">
        <v>3.1017193616135453E-3</v>
      </c>
      <c r="AK217">
        <v>4.3424071062589638E-3</v>
      </c>
      <c r="AL217">
        <v>0</v>
      </c>
      <c r="AM217">
        <v>0</v>
      </c>
      <c r="AN217">
        <v>2.4813754892908362E-3</v>
      </c>
      <c r="AO217" t="s">
        <v>19</v>
      </c>
      <c r="AT217" t="str">
        <f t="shared" si="6"/>
        <v>bus</v>
      </c>
      <c r="AU217" t="str">
        <f t="shared" si="7"/>
        <v>gsl</v>
      </c>
    </row>
    <row r="218" spans="1:47">
      <c r="A218" t="s">
        <v>17</v>
      </c>
      <c r="B218" t="s">
        <v>176</v>
      </c>
      <c r="C218" t="s">
        <v>625</v>
      </c>
      <c r="D218" t="s">
        <v>19</v>
      </c>
      <c r="E218" t="s">
        <v>19</v>
      </c>
      <c r="F218" t="s">
        <v>19</v>
      </c>
      <c r="G218" t="s">
        <v>186</v>
      </c>
      <c r="H218" t="s">
        <v>19</v>
      </c>
      <c r="I218" t="s">
        <v>19</v>
      </c>
      <c r="J218" t="s">
        <v>19</v>
      </c>
      <c r="K218" t="s">
        <v>19</v>
      </c>
      <c r="L218">
        <v>0</v>
      </c>
      <c r="M218">
        <v>0</v>
      </c>
      <c r="N218">
        <v>6.2034387232270905E-4</v>
      </c>
      <c r="O218">
        <v>6.2034387232270905E-4</v>
      </c>
      <c r="P218">
        <v>0</v>
      </c>
      <c r="Q218">
        <v>0</v>
      </c>
      <c r="R218">
        <v>6.2034387232270905E-4</v>
      </c>
      <c r="S218">
        <v>1.2406877446454181E-3</v>
      </c>
      <c r="T218">
        <v>6.2034387232270905E-4</v>
      </c>
      <c r="U218">
        <v>8.6848142125179276E-3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1.8610316169681269E-3</v>
      </c>
      <c r="AC218">
        <v>0</v>
      </c>
      <c r="AD218">
        <v>0</v>
      </c>
      <c r="AE218">
        <v>0</v>
      </c>
      <c r="AF218">
        <v>2.4813754892908362E-3</v>
      </c>
      <c r="AG218">
        <v>1.2406877446454181E-3</v>
      </c>
      <c r="AH218">
        <v>9.9255019571633449E-3</v>
      </c>
      <c r="AI218">
        <v>0</v>
      </c>
      <c r="AJ218">
        <v>3.1017193616135453E-3</v>
      </c>
      <c r="AK218">
        <v>4.3424071062589638E-3</v>
      </c>
      <c r="AL218">
        <v>0</v>
      </c>
      <c r="AM218">
        <v>0</v>
      </c>
      <c r="AN218">
        <v>2.4813754892908362E-3</v>
      </c>
      <c r="AO218" t="s">
        <v>19</v>
      </c>
      <c r="AT218" t="str">
        <f t="shared" si="6"/>
        <v>bus</v>
      </c>
      <c r="AU218" t="str">
        <f t="shared" si="7"/>
        <v>gsl</v>
      </c>
    </row>
    <row r="219" spans="1:47">
      <c r="A219" t="s">
        <v>17</v>
      </c>
      <c r="B219" t="s">
        <v>176</v>
      </c>
      <c r="C219" t="s">
        <v>625</v>
      </c>
      <c r="D219" t="s">
        <v>19</v>
      </c>
      <c r="E219" t="s">
        <v>19</v>
      </c>
      <c r="F219" t="s">
        <v>19</v>
      </c>
      <c r="G219" t="s">
        <v>187</v>
      </c>
      <c r="H219" t="s">
        <v>19</v>
      </c>
      <c r="I219" t="s">
        <v>19</v>
      </c>
      <c r="J219" t="s">
        <v>19</v>
      </c>
      <c r="K219" t="s">
        <v>19</v>
      </c>
      <c r="L219">
        <v>0</v>
      </c>
      <c r="M219">
        <v>0</v>
      </c>
      <c r="N219">
        <v>6.2034387232270905E-4</v>
      </c>
      <c r="O219">
        <v>6.2034387232270905E-4</v>
      </c>
      <c r="P219">
        <v>0</v>
      </c>
      <c r="Q219">
        <v>0</v>
      </c>
      <c r="R219">
        <v>6.2034387232270905E-4</v>
      </c>
      <c r="S219">
        <v>1.2406877446454181E-3</v>
      </c>
      <c r="T219">
        <v>6.2034387232270905E-4</v>
      </c>
      <c r="U219">
        <v>8.6848142125179276E-3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1.8610316169681269E-3</v>
      </c>
      <c r="AC219">
        <v>0</v>
      </c>
      <c r="AD219">
        <v>0</v>
      </c>
      <c r="AE219">
        <v>0</v>
      </c>
      <c r="AF219">
        <v>2.4813754892908362E-3</v>
      </c>
      <c r="AG219">
        <v>1.2406877446454181E-3</v>
      </c>
      <c r="AH219">
        <v>9.9255019571633449E-3</v>
      </c>
      <c r="AI219">
        <v>0</v>
      </c>
      <c r="AJ219">
        <v>3.1017193616135453E-3</v>
      </c>
      <c r="AK219">
        <v>4.3424071062589638E-3</v>
      </c>
      <c r="AL219">
        <v>0</v>
      </c>
      <c r="AM219">
        <v>0</v>
      </c>
      <c r="AN219">
        <v>2.4813754892908362E-3</v>
      </c>
      <c r="AO219" t="s">
        <v>19</v>
      </c>
      <c r="AT219" t="str">
        <f t="shared" si="6"/>
        <v>bus</v>
      </c>
      <c r="AU219" t="str">
        <f t="shared" si="7"/>
        <v>gsl</v>
      </c>
    </row>
    <row r="220" spans="1:47">
      <c r="A220" t="s">
        <v>17</v>
      </c>
      <c r="B220" t="s">
        <v>176</v>
      </c>
      <c r="C220" t="s">
        <v>625</v>
      </c>
      <c r="D220" t="s">
        <v>19</v>
      </c>
      <c r="E220" t="s">
        <v>19</v>
      </c>
      <c r="F220" t="s">
        <v>19</v>
      </c>
      <c r="G220" t="s">
        <v>188</v>
      </c>
      <c r="H220" t="s">
        <v>19</v>
      </c>
      <c r="I220" t="s">
        <v>19</v>
      </c>
      <c r="J220" t="s">
        <v>19</v>
      </c>
      <c r="K220" t="s">
        <v>19</v>
      </c>
      <c r="L220">
        <v>0</v>
      </c>
      <c r="M220">
        <v>0</v>
      </c>
      <c r="N220">
        <v>6.2034387232270905E-4</v>
      </c>
      <c r="O220">
        <v>6.2034387232270905E-4</v>
      </c>
      <c r="P220">
        <v>0</v>
      </c>
      <c r="Q220">
        <v>0</v>
      </c>
      <c r="R220">
        <v>6.2034387232270905E-4</v>
      </c>
      <c r="S220">
        <v>1.2406877446454181E-3</v>
      </c>
      <c r="T220">
        <v>6.2034387232270905E-4</v>
      </c>
      <c r="U220">
        <v>8.6848142125179276E-3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1.8610316169681269E-3</v>
      </c>
      <c r="AC220">
        <v>0</v>
      </c>
      <c r="AD220">
        <v>0</v>
      </c>
      <c r="AE220">
        <v>0</v>
      </c>
      <c r="AF220">
        <v>2.4813754892908362E-3</v>
      </c>
      <c r="AG220">
        <v>1.2406877446454181E-3</v>
      </c>
      <c r="AH220">
        <v>9.9255019571633449E-3</v>
      </c>
      <c r="AI220">
        <v>0</v>
      </c>
      <c r="AJ220">
        <v>3.1017193616135453E-3</v>
      </c>
      <c r="AK220">
        <v>4.3424071062589638E-3</v>
      </c>
      <c r="AL220">
        <v>0</v>
      </c>
      <c r="AM220">
        <v>0</v>
      </c>
      <c r="AN220">
        <v>2.4813754892908362E-3</v>
      </c>
      <c r="AO220" t="s">
        <v>19</v>
      </c>
      <c r="AT220" t="str">
        <f t="shared" si="6"/>
        <v>bus</v>
      </c>
      <c r="AU220" t="str">
        <f t="shared" si="7"/>
        <v>gsl</v>
      </c>
    </row>
    <row r="221" spans="1:47">
      <c r="A221" t="s">
        <v>17</v>
      </c>
      <c r="B221" t="s">
        <v>176</v>
      </c>
      <c r="C221" t="s">
        <v>625</v>
      </c>
      <c r="D221" t="s">
        <v>19</v>
      </c>
      <c r="E221" t="s">
        <v>19</v>
      </c>
      <c r="F221" t="s">
        <v>19</v>
      </c>
      <c r="G221" t="s">
        <v>100</v>
      </c>
      <c r="H221" t="s">
        <v>19</v>
      </c>
      <c r="I221" t="s">
        <v>19</v>
      </c>
      <c r="J221" t="s">
        <v>19</v>
      </c>
      <c r="K221" t="s">
        <v>19</v>
      </c>
      <c r="L221">
        <v>0</v>
      </c>
      <c r="M221">
        <v>0</v>
      </c>
      <c r="N221">
        <v>6.2034387232270905E-4</v>
      </c>
      <c r="O221">
        <v>6.2034387232270905E-4</v>
      </c>
      <c r="P221">
        <v>0</v>
      </c>
      <c r="Q221">
        <v>0</v>
      </c>
      <c r="R221">
        <v>6.2034387232270905E-4</v>
      </c>
      <c r="S221">
        <v>1.2406877446454181E-3</v>
      </c>
      <c r="T221">
        <v>6.2034387232270905E-4</v>
      </c>
      <c r="U221">
        <v>8.6848142125179276E-3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1.8610316169681269E-3</v>
      </c>
      <c r="AC221">
        <v>0</v>
      </c>
      <c r="AD221">
        <v>0</v>
      </c>
      <c r="AE221">
        <v>0</v>
      </c>
      <c r="AF221">
        <v>2.4813754892908362E-3</v>
      </c>
      <c r="AG221">
        <v>1.2406877446454181E-3</v>
      </c>
      <c r="AH221">
        <v>9.9255019571633449E-3</v>
      </c>
      <c r="AI221">
        <v>0</v>
      </c>
      <c r="AJ221">
        <v>3.1017193616135453E-3</v>
      </c>
      <c r="AK221">
        <v>4.3424071062589638E-3</v>
      </c>
      <c r="AL221">
        <v>0</v>
      </c>
      <c r="AM221">
        <v>0</v>
      </c>
      <c r="AN221">
        <v>2.4813754892908362E-3</v>
      </c>
      <c r="AO221" t="s">
        <v>19</v>
      </c>
      <c r="AT221" t="str">
        <f t="shared" si="6"/>
        <v>bus</v>
      </c>
      <c r="AU221" t="str">
        <f t="shared" si="7"/>
        <v>gsl</v>
      </c>
    </row>
    <row r="222" spans="1:47">
      <c r="A222" t="s">
        <v>17</v>
      </c>
      <c r="B222" t="s">
        <v>176</v>
      </c>
      <c r="C222" t="s">
        <v>624</v>
      </c>
      <c r="D222" t="s">
        <v>19</v>
      </c>
      <c r="E222" t="s">
        <v>19</v>
      </c>
      <c r="F222" t="s">
        <v>19</v>
      </c>
      <c r="G222" t="s">
        <v>603</v>
      </c>
      <c r="H222" t="s">
        <v>19</v>
      </c>
      <c r="I222" t="s">
        <v>19</v>
      </c>
      <c r="J222" t="s">
        <v>19</v>
      </c>
      <c r="K222" t="s">
        <v>19</v>
      </c>
      <c r="L222">
        <v>6.2034387232270905E-4</v>
      </c>
      <c r="M222">
        <v>0</v>
      </c>
      <c r="N222">
        <v>0</v>
      </c>
      <c r="O222">
        <v>0</v>
      </c>
      <c r="P222">
        <v>0</v>
      </c>
      <c r="Q222">
        <v>1.8610316169681269E-3</v>
      </c>
      <c r="R222">
        <v>1.2406877446454181E-3</v>
      </c>
      <c r="S222">
        <v>0</v>
      </c>
      <c r="T222">
        <v>0</v>
      </c>
      <c r="U222">
        <v>5.5830948509043811E-3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4.3424071062589638E-3</v>
      </c>
      <c r="AC222">
        <v>0</v>
      </c>
      <c r="AD222">
        <v>0</v>
      </c>
      <c r="AE222">
        <v>6.2034387232270905E-4</v>
      </c>
      <c r="AF222">
        <v>2.4813754892908362E-3</v>
      </c>
      <c r="AG222">
        <v>2.4813754892908362E-3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s">
        <v>19</v>
      </c>
      <c r="AT222" t="str">
        <f t="shared" si="6"/>
        <v>bus</v>
      </c>
      <c r="AU222" t="str">
        <f t="shared" si="7"/>
        <v>lpg</v>
      </c>
    </row>
    <row r="223" spans="1:47">
      <c r="A223" t="s">
        <v>17</v>
      </c>
      <c r="B223" t="s">
        <v>176</v>
      </c>
      <c r="C223" t="s">
        <v>624</v>
      </c>
      <c r="D223" t="s">
        <v>19</v>
      </c>
      <c r="E223" t="s">
        <v>19</v>
      </c>
      <c r="F223" t="s">
        <v>19</v>
      </c>
      <c r="G223" t="s">
        <v>602</v>
      </c>
      <c r="H223" t="s">
        <v>19</v>
      </c>
      <c r="I223" t="s">
        <v>19</v>
      </c>
      <c r="J223" t="s">
        <v>19</v>
      </c>
      <c r="K223" t="s">
        <v>19</v>
      </c>
      <c r="L223">
        <v>6.2034387232270905E-4</v>
      </c>
      <c r="M223">
        <v>0</v>
      </c>
      <c r="N223">
        <v>0</v>
      </c>
      <c r="O223">
        <v>0</v>
      </c>
      <c r="P223">
        <v>0</v>
      </c>
      <c r="Q223">
        <v>1.8610316169681269E-3</v>
      </c>
      <c r="R223">
        <v>1.2406877446454181E-3</v>
      </c>
      <c r="S223">
        <v>0</v>
      </c>
      <c r="T223">
        <v>0</v>
      </c>
      <c r="U223">
        <v>5.5830948509043811E-3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4.3424071062589638E-3</v>
      </c>
      <c r="AC223">
        <v>0</v>
      </c>
      <c r="AD223">
        <v>0</v>
      </c>
      <c r="AE223">
        <v>6.2034387232270905E-4</v>
      </c>
      <c r="AF223">
        <v>2.4813754892908362E-3</v>
      </c>
      <c r="AG223">
        <v>2.4813754892908362E-3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s">
        <v>19</v>
      </c>
      <c r="AT223" t="str">
        <f t="shared" si="6"/>
        <v>bus</v>
      </c>
      <c r="AU223" t="str">
        <f t="shared" si="7"/>
        <v>lpg</v>
      </c>
    </row>
    <row r="224" spans="1:47">
      <c r="A224" t="s">
        <v>17</v>
      </c>
      <c r="B224" t="s">
        <v>176</v>
      </c>
      <c r="C224" t="s">
        <v>624</v>
      </c>
      <c r="D224" t="s">
        <v>19</v>
      </c>
      <c r="E224" t="s">
        <v>19</v>
      </c>
      <c r="F224" t="s">
        <v>19</v>
      </c>
      <c r="G224" t="s">
        <v>601</v>
      </c>
      <c r="H224" t="s">
        <v>19</v>
      </c>
      <c r="I224" t="s">
        <v>19</v>
      </c>
      <c r="J224" t="s">
        <v>19</v>
      </c>
      <c r="K224" t="s">
        <v>19</v>
      </c>
      <c r="L224">
        <v>6.2034387232270905E-4</v>
      </c>
      <c r="M224">
        <v>0</v>
      </c>
      <c r="N224">
        <v>0</v>
      </c>
      <c r="O224">
        <v>0</v>
      </c>
      <c r="P224">
        <v>0</v>
      </c>
      <c r="Q224">
        <v>1.8610316169681269E-3</v>
      </c>
      <c r="R224">
        <v>1.2406877446454181E-3</v>
      </c>
      <c r="S224">
        <v>0</v>
      </c>
      <c r="T224">
        <v>0</v>
      </c>
      <c r="U224">
        <v>5.5830948509043811E-3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4.3424071062589638E-3</v>
      </c>
      <c r="AC224">
        <v>0</v>
      </c>
      <c r="AD224">
        <v>0</v>
      </c>
      <c r="AE224">
        <v>6.2034387232270905E-4</v>
      </c>
      <c r="AF224">
        <v>2.4813754892908362E-3</v>
      </c>
      <c r="AG224">
        <v>2.4813754892908362E-3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s">
        <v>19</v>
      </c>
      <c r="AT224" t="str">
        <f t="shared" si="6"/>
        <v>bus</v>
      </c>
      <c r="AU224" t="str">
        <f t="shared" si="7"/>
        <v>lpg</v>
      </c>
    </row>
    <row r="225" spans="1:47">
      <c r="A225" t="s">
        <v>17</v>
      </c>
      <c r="B225" t="s">
        <v>176</v>
      </c>
      <c r="C225" t="s">
        <v>624</v>
      </c>
      <c r="D225" t="s">
        <v>19</v>
      </c>
      <c r="E225" t="s">
        <v>19</v>
      </c>
      <c r="F225" t="s">
        <v>19</v>
      </c>
      <c r="G225" t="s">
        <v>600</v>
      </c>
      <c r="H225" t="s">
        <v>19</v>
      </c>
      <c r="I225" t="s">
        <v>19</v>
      </c>
      <c r="J225" t="s">
        <v>19</v>
      </c>
      <c r="K225" t="s">
        <v>19</v>
      </c>
      <c r="L225">
        <v>6.2034387232270905E-4</v>
      </c>
      <c r="M225">
        <v>0</v>
      </c>
      <c r="N225">
        <v>0</v>
      </c>
      <c r="O225">
        <v>0</v>
      </c>
      <c r="P225">
        <v>0</v>
      </c>
      <c r="Q225">
        <v>1.8610316169681269E-3</v>
      </c>
      <c r="R225">
        <v>1.2406877446454181E-3</v>
      </c>
      <c r="S225">
        <v>0</v>
      </c>
      <c r="T225">
        <v>0</v>
      </c>
      <c r="U225">
        <v>5.5830948509043811E-3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4.3424071062589638E-3</v>
      </c>
      <c r="AC225">
        <v>0</v>
      </c>
      <c r="AD225">
        <v>0</v>
      </c>
      <c r="AE225">
        <v>6.2034387232270905E-4</v>
      </c>
      <c r="AF225">
        <v>2.4813754892908362E-3</v>
      </c>
      <c r="AG225">
        <v>2.4813754892908362E-3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 t="s">
        <v>19</v>
      </c>
      <c r="AT225" t="str">
        <f t="shared" si="6"/>
        <v>bus</v>
      </c>
      <c r="AU225" t="str">
        <f t="shared" si="7"/>
        <v>lpg</v>
      </c>
    </row>
    <row r="226" spans="1:47">
      <c r="A226" t="s">
        <v>17</v>
      </c>
      <c r="B226" t="s">
        <v>176</v>
      </c>
      <c r="C226" t="s">
        <v>624</v>
      </c>
      <c r="D226" t="s">
        <v>19</v>
      </c>
      <c r="E226" t="s">
        <v>19</v>
      </c>
      <c r="F226" t="s">
        <v>19</v>
      </c>
      <c r="G226" t="s">
        <v>599</v>
      </c>
      <c r="H226" t="s">
        <v>19</v>
      </c>
      <c r="I226" t="s">
        <v>19</v>
      </c>
      <c r="J226" t="s">
        <v>19</v>
      </c>
      <c r="K226" t="s">
        <v>19</v>
      </c>
      <c r="L226">
        <v>6.2034387232270905E-4</v>
      </c>
      <c r="M226">
        <v>0</v>
      </c>
      <c r="N226">
        <v>0</v>
      </c>
      <c r="O226">
        <v>0</v>
      </c>
      <c r="P226">
        <v>0</v>
      </c>
      <c r="Q226">
        <v>1.8610316169681269E-3</v>
      </c>
      <c r="R226">
        <v>1.2406877446454181E-3</v>
      </c>
      <c r="S226">
        <v>0</v>
      </c>
      <c r="T226">
        <v>0</v>
      </c>
      <c r="U226">
        <v>5.5830948509043811E-3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4.3424071062589638E-3</v>
      </c>
      <c r="AC226">
        <v>0</v>
      </c>
      <c r="AD226">
        <v>0</v>
      </c>
      <c r="AE226">
        <v>6.2034387232270905E-4</v>
      </c>
      <c r="AF226">
        <v>2.4813754892908362E-3</v>
      </c>
      <c r="AG226">
        <v>2.4813754892908362E-3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t="s">
        <v>19</v>
      </c>
      <c r="AT226" t="str">
        <f t="shared" si="6"/>
        <v>bus</v>
      </c>
      <c r="AU226" t="str">
        <f t="shared" si="7"/>
        <v>lpg</v>
      </c>
    </row>
    <row r="227" spans="1:47">
      <c r="A227" t="s">
        <v>17</v>
      </c>
      <c r="B227" t="s">
        <v>176</v>
      </c>
      <c r="C227" t="s">
        <v>624</v>
      </c>
      <c r="D227" t="s">
        <v>19</v>
      </c>
      <c r="E227" t="s">
        <v>19</v>
      </c>
      <c r="F227" t="s">
        <v>19</v>
      </c>
      <c r="G227" t="s">
        <v>598</v>
      </c>
      <c r="H227" t="s">
        <v>19</v>
      </c>
      <c r="I227" t="s">
        <v>19</v>
      </c>
      <c r="J227" t="s">
        <v>19</v>
      </c>
      <c r="K227" t="s">
        <v>19</v>
      </c>
      <c r="L227">
        <v>6.2034387232270905E-4</v>
      </c>
      <c r="M227">
        <v>0</v>
      </c>
      <c r="N227">
        <v>0</v>
      </c>
      <c r="O227">
        <v>0</v>
      </c>
      <c r="P227">
        <v>0</v>
      </c>
      <c r="Q227">
        <v>1.8610316169681269E-3</v>
      </c>
      <c r="R227">
        <v>1.2406877446454181E-3</v>
      </c>
      <c r="S227">
        <v>0</v>
      </c>
      <c r="T227">
        <v>0</v>
      </c>
      <c r="U227">
        <v>5.5830948509043811E-3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4.3424071062589638E-3</v>
      </c>
      <c r="AC227">
        <v>0</v>
      </c>
      <c r="AD227">
        <v>0</v>
      </c>
      <c r="AE227">
        <v>6.2034387232270905E-4</v>
      </c>
      <c r="AF227">
        <v>2.4813754892908362E-3</v>
      </c>
      <c r="AG227">
        <v>2.4813754892908362E-3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s">
        <v>19</v>
      </c>
      <c r="AT227" t="str">
        <f t="shared" si="6"/>
        <v>bus</v>
      </c>
      <c r="AU227" t="str">
        <f t="shared" si="7"/>
        <v>lpg</v>
      </c>
    </row>
    <row r="228" spans="1:47">
      <c r="A228" t="s">
        <v>17</v>
      </c>
      <c r="B228" t="s">
        <v>176</v>
      </c>
      <c r="C228" t="s">
        <v>624</v>
      </c>
      <c r="D228" t="s">
        <v>19</v>
      </c>
      <c r="E228" t="s">
        <v>19</v>
      </c>
      <c r="F228" t="s">
        <v>19</v>
      </c>
      <c r="G228" t="s">
        <v>597</v>
      </c>
      <c r="H228" t="s">
        <v>19</v>
      </c>
      <c r="I228" t="s">
        <v>19</v>
      </c>
      <c r="J228" t="s">
        <v>19</v>
      </c>
      <c r="K228" t="s">
        <v>19</v>
      </c>
      <c r="L228">
        <v>6.2034387232270905E-4</v>
      </c>
      <c r="M228">
        <v>0</v>
      </c>
      <c r="N228">
        <v>0</v>
      </c>
      <c r="O228">
        <v>0</v>
      </c>
      <c r="P228">
        <v>0</v>
      </c>
      <c r="Q228">
        <v>1.8610316169681269E-3</v>
      </c>
      <c r="R228">
        <v>1.2406877446454181E-3</v>
      </c>
      <c r="S228">
        <v>0</v>
      </c>
      <c r="T228">
        <v>0</v>
      </c>
      <c r="U228">
        <v>5.5830948509043811E-3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4.3424071062589638E-3</v>
      </c>
      <c r="AC228">
        <v>0</v>
      </c>
      <c r="AD228">
        <v>0</v>
      </c>
      <c r="AE228">
        <v>6.2034387232270905E-4</v>
      </c>
      <c r="AF228">
        <v>2.4813754892908362E-3</v>
      </c>
      <c r="AG228">
        <v>2.4813754892908362E-3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s">
        <v>19</v>
      </c>
      <c r="AT228" t="str">
        <f t="shared" si="6"/>
        <v>bus</v>
      </c>
      <c r="AU228" t="str">
        <f t="shared" si="7"/>
        <v>lpg</v>
      </c>
    </row>
    <row r="229" spans="1:47">
      <c r="A229" t="s">
        <v>17</v>
      </c>
      <c r="B229" t="s">
        <v>176</v>
      </c>
      <c r="C229" t="s">
        <v>624</v>
      </c>
      <c r="D229" t="s">
        <v>19</v>
      </c>
      <c r="E229" t="s">
        <v>19</v>
      </c>
      <c r="F229" t="s">
        <v>19</v>
      </c>
      <c r="G229" t="s">
        <v>596</v>
      </c>
      <c r="H229" t="s">
        <v>19</v>
      </c>
      <c r="I229" t="s">
        <v>19</v>
      </c>
      <c r="J229" t="s">
        <v>19</v>
      </c>
      <c r="K229" t="s">
        <v>19</v>
      </c>
      <c r="L229">
        <v>6.2034387232270905E-4</v>
      </c>
      <c r="M229">
        <v>0</v>
      </c>
      <c r="N229">
        <v>0</v>
      </c>
      <c r="O229">
        <v>0</v>
      </c>
      <c r="P229">
        <v>0</v>
      </c>
      <c r="Q229">
        <v>1.8610316169681269E-3</v>
      </c>
      <c r="R229">
        <v>1.2406877446454181E-3</v>
      </c>
      <c r="S229">
        <v>0</v>
      </c>
      <c r="T229">
        <v>0</v>
      </c>
      <c r="U229">
        <v>5.5830948509043811E-3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4.3424071062589638E-3</v>
      </c>
      <c r="AC229">
        <v>0</v>
      </c>
      <c r="AD229">
        <v>0</v>
      </c>
      <c r="AE229">
        <v>6.2034387232270905E-4</v>
      </c>
      <c r="AF229">
        <v>2.4813754892908362E-3</v>
      </c>
      <c r="AG229">
        <v>2.4813754892908362E-3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s">
        <v>19</v>
      </c>
      <c r="AT229" t="str">
        <f t="shared" si="6"/>
        <v>bus</v>
      </c>
      <c r="AU229" t="str">
        <f t="shared" si="7"/>
        <v>lpg</v>
      </c>
    </row>
    <row r="230" spans="1:47">
      <c r="A230" t="s">
        <v>17</v>
      </c>
      <c r="B230" t="s">
        <v>176</v>
      </c>
      <c r="C230" t="s">
        <v>624</v>
      </c>
      <c r="D230" t="s">
        <v>19</v>
      </c>
      <c r="E230" t="s">
        <v>19</v>
      </c>
      <c r="F230" t="s">
        <v>19</v>
      </c>
      <c r="G230" t="s">
        <v>178</v>
      </c>
      <c r="H230" t="s">
        <v>19</v>
      </c>
      <c r="I230" t="s">
        <v>19</v>
      </c>
      <c r="J230" t="s">
        <v>19</v>
      </c>
      <c r="K230" t="s">
        <v>19</v>
      </c>
      <c r="L230">
        <v>6.2034387232270905E-4</v>
      </c>
      <c r="M230">
        <v>0</v>
      </c>
      <c r="N230">
        <v>0</v>
      </c>
      <c r="O230">
        <v>0</v>
      </c>
      <c r="P230">
        <v>0</v>
      </c>
      <c r="Q230">
        <v>1.8610316169681269E-3</v>
      </c>
      <c r="R230">
        <v>1.2406877446454181E-3</v>
      </c>
      <c r="S230">
        <v>0</v>
      </c>
      <c r="T230">
        <v>0</v>
      </c>
      <c r="U230">
        <v>5.5830948509043811E-3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4.3424071062589638E-3</v>
      </c>
      <c r="AC230">
        <v>0</v>
      </c>
      <c r="AD230">
        <v>0</v>
      </c>
      <c r="AE230">
        <v>6.2034387232270905E-4</v>
      </c>
      <c r="AF230">
        <v>2.4813754892908362E-3</v>
      </c>
      <c r="AG230">
        <v>2.4813754892908362E-3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s">
        <v>19</v>
      </c>
      <c r="AT230" t="str">
        <f t="shared" si="6"/>
        <v>bus</v>
      </c>
      <c r="AU230" t="str">
        <f t="shared" si="7"/>
        <v>lpg</v>
      </c>
    </row>
    <row r="231" spans="1:47">
      <c r="A231" t="s">
        <v>17</v>
      </c>
      <c r="B231" t="s">
        <v>176</v>
      </c>
      <c r="C231" t="s">
        <v>624</v>
      </c>
      <c r="D231" t="s">
        <v>19</v>
      </c>
      <c r="E231" t="s">
        <v>19</v>
      </c>
      <c r="F231" t="s">
        <v>19</v>
      </c>
      <c r="G231" t="s">
        <v>179</v>
      </c>
      <c r="H231" t="s">
        <v>19</v>
      </c>
      <c r="I231" t="s">
        <v>19</v>
      </c>
      <c r="J231" t="s">
        <v>19</v>
      </c>
      <c r="K231" t="s">
        <v>19</v>
      </c>
      <c r="L231">
        <v>6.2034387232270905E-4</v>
      </c>
      <c r="M231">
        <v>0</v>
      </c>
      <c r="N231">
        <v>0</v>
      </c>
      <c r="O231">
        <v>0</v>
      </c>
      <c r="P231">
        <v>0</v>
      </c>
      <c r="Q231">
        <v>1.8610316169681269E-3</v>
      </c>
      <c r="R231">
        <v>1.2406877446454181E-3</v>
      </c>
      <c r="S231">
        <v>0</v>
      </c>
      <c r="T231">
        <v>0</v>
      </c>
      <c r="U231">
        <v>5.5830948509043811E-3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4.3424071062589638E-3</v>
      </c>
      <c r="AC231">
        <v>0</v>
      </c>
      <c r="AD231">
        <v>0</v>
      </c>
      <c r="AE231">
        <v>6.2034387232270905E-4</v>
      </c>
      <c r="AF231">
        <v>2.4813754892908362E-3</v>
      </c>
      <c r="AG231">
        <v>2.4813754892908362E-3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s">
        <v>19</v>
      </c>
      <c r="AT231" t="str">
        <f t="shared" si="6"/>
        <v>bus</v>
      </c>
      <c r="AU231" t="str">
        <f t="shared" si="7"/>
        <v>lpg</v>
      </c>
    </row>
    <row r="232" spans="1:47">
      <c r="A232" t="s">
        <v>17</v>
      </c>
      <c r="B232" t="s">
        <v>176</v>
      </c>
      <c r="C232" t="s">
        <v>624</v>
      </c>
      <c r="D232" t="s">
        <v>19</v>
      </c>
      <c r="E232" t="s">
        <v>19</v>
      </c>
      <c r="F232" t="s">
        <v>19</v>
      </c>
      <c r="G232" t="s">
        <v>180</v>
      </c>
      <c r="H232" t="s">
        <v>19</v>
      </c>
      <c r="I232" t="s">
        <v>19</v>
      </c>
      <c r="J232" t="s">
        <v>19</v>
      </c>
      <c r="K232" t="s">
        <v>19</v>
      </c>
      <c r="L232">
        <v>6.2034387232270905E-4</v>
      </c>
      <c r="M232">
        <v>0</v>
      </c>
      <c r="N232">
        <v>0</v>
      </c>
      <c r="O232">
        <v>0</v>
      </c>
      <c r="P232">
        <v>0</v>
      </c>
      <c r="Q232">
        <v>1.8610316169681269E-3</v>
      </c>
      <c r="R232">
        <v>1.2406877446454181E-3</v>
      </c>
      <c r="S232">
        <v>0</v>
      </c>
      <c r="T232">
        <v>0</v>
      </c>
      <c r="U232">
        <v>5.5830948509043811E-3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4.3424071062589638E-3</v>
      </c>
      <c r="AC232">
        <v>0</v>
      </c>
      <c r="AD232">
        <v>0</v>
      </c>
      <c r="AE232">
        <v>6.2034387232270905E-4</v>
      </c>
      <c r="AF232">
        <v>2.4813754892908362E-3</v>
      </c>
      <c r="AG232">
        <v>2.4813754892908362E-3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s">
        <v>19</v>
      </c>
      <c r="AT232" t="str">
        <f t="shared" si="6"/>
        <v>bus</v>
      </c>
      <c r="AU232" t="str">
        <f t="shared" si="7"/>
        <v>lpg</v>
      </c>
    </row>
    <row r="233" spans="1:47">
      <c r="A233" t="s">
        <v>17</v>
      </c>
      <c r="B233" t="s">
        <v>176</v>
      </c>
      <c r="C233" t="s">
        <v>624</v>
      </c>
      <c r="D233" t="s">
        <v>19</v>
      </c>
      <c r="E233" t="s">
        <v>19</v>
      </c>
      <c r="F233" t="s">
        <v>19</v>
      </c>
      <c r="G233" t="s">
        <v>181</v>
      </c>
      <c r="H233" t="s">
        <v>19</v>
      </c>
      <c r="I233" t="s">
        <v>19</v>
      </c>
      <c r="J233" t="s">
        <v>19</v>
      </c>
      <c r="K233" t="s">
        <v>19</v>
      </c>
      <c r="L233">
        <v>6.2034387232270905E-4</v>
      </c>
      <c r="M233">
        <v>0</v>
      </c>
      <c r="N233">
        <v>0</v>
      </c>
      <c r="O233">
        <v>0</v>
      </c>
      <c r="P233">
        <v>0</v>
      </c>
      <c r="Q233">
        <v>1.8610316169681269E-3</v>
      </c>
      <c r="R233">
        <v>1.2406877446454181E-3</v>
      </c>
      <c r="S233">
        <v>0</v>
      </c>
      <c r="T233">
        <v>0</v>
      </c>
      <c r="U233">
        <v>5.5830948509043811E-3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4.3424071062589638E-3</v>
      </c>
      <c r="AC233">
        <v>0</v>
      </c>
      <c r="AD233">
        <v>0</v>
      </c>
      <c r="AE233">
        <v>6.2034387232270905E-4</v>
      </c>
      <c r="AF233">
        <v>2.4813754892908362E-3</v>
      </c>
      <c r="AG233">
        <v>2.4813754892908362E-3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19</v>
      </c>
      <c r="AT233" t="str">
        <f t="shared" si="6"/>
        <v>bus</v>
      </c>
      <c r="AU233" t="str">
        <f t="shared" si="7"/>
        <v>lpg</v>
      </c>
    </row>
    <row r="234" spans="1:47">
      <c r="A234" t="s">
        <v>17</v>
      </c>
      <c r="B234" t="s">
        <v>176</v>
      </c>
      <c r="C234" t="s">
        <v>624</v>
      </c>
      <c r="D234" t="s">
        <v>19</v>
      </c>
      <c r="E234" t="s">
        <v>19</v>
      </c>
      <c r="F234" t="s">
        <v>19</v>
      </c>
      <c r="G234" t="s">
        <v>182</v>
      </c>
      <c r="H234" t="s">
        <v>19</v>
      </c>
      <c r="I234" t="s">
        <v>19</v>
      </c>
      <c r="J234" t="s">
        <v>19</v>
      </c>
      <c r="K234" t="s">
        <v>19</v>
      </c>
      <c r="L234">
        <v>6.2034387232270905E-4</v>
      </c>
      <c r="M234">
        <v>0</v>
      </c>
      <c r="N234">
        <v>0</v>
      </c>
      <c r="O234">
        <v>0</v>
      </c>
      <c r="P234">
        <v>0</v>
      </c>
      <c r="Q234">
        <v>1.8610316169681269E-3</v>
      </c>
      <c r="R234">
        <v>1.2406877446454181E-3</v>
      </c>
      <c r="S234">
        <v>0</v>
      </c>
      <c r="T234">
        <v>0</v>
      </c>
      <c r="U234">
        <v>5.5830948509043811E-3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4.3424071062589638E-3</v>
      </c>
      <c r="AC234">
        <v>0</v>
      </c>
      <c r="AD234">
        <v>0</v>
      </c>
      <c r="AE234">
        <v>6.2034387232270905E-4</v>
      </c>
      <c r="AF234">
        <v>2.4813754892908362E-3</v>
      </c>
      <c r="AG234">
        <v>2.4813754892908362E-3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19</v>
      </c>
      <c r="AT234" t="str">
        <f t="shared" si="6"/>
        <v>bus</v>
      </c>
      <c r="AU234" t="str">
        <f t="shared" si="7"/>
        <v>lpg</v>
      </c>
    </row>
    <row r="235" spans="1:47">
      <c r="A235" t="s">
        <v>17</v>
      </c>
      <c r="B235" t="s">
        <v>176</v>
      </c>
      <c r="C235" t="s">
        <v>624</v>
      </c>
      <c r="D235" t="s">
        <v>19</v>
      </c>
      <c r="E235" t="s">
        <v>19</v>
      </c>
      <c r="F235" t="s">
        <v>19</v>
      </c>
      <c r="G235" t="s">
        <v>183</v>
      </c>
      <c r="H235" t="s">
        <v>19</v>
      </c>
      <c r="I235" t="s">
        <v>19</v>
      </c>
      <c r="J235" t="s">
        <v>19</v>
      </c>
      <c r="K235" t="s">
        <v>19</v>
      </c>
      <c r="L235">
        <v>6.2034387232270905E-4</v>
      </c>
      <c r="M235">
        <v>0</v>
      </c>
      <c r="N235">
        <v>0</v>
      </c>
      <c r="O235">
        <v>0</v>
      </c>
      <c r="P235">
        <v>0</v>
      </c>
      <c r="Q235">
        <v>1.8610316169681269E-3</v>
      </c>
      <c r="R235">
        <v>1.2406877446454181E-3</v>
      </c>
      <c r="S235">
        <v>0</v>
      </c>
      <c r="T235">
        <v>0</v>
      </c>
      <c r="U235">
        <v>5.5830948509043811E-3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4.3424071062589638E-3</v>
      </c>
      <c r="AC235">
        <v>0</v>
      </c>
      <c r="AD235">
        <v>0</v>
      </c>
      <c r="AE235">
        <v>6.2034387232270905E-4</v>
      </c>
      <c r="AF235">
        <v>2.4813754892908362E-3</v>
      </c>
      <c r="AG235">
        <v>2.4813754892908362E-3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s">
        <v>19</v>
      </c>
      <c r="AT235" t="str">
        <f t="shared" si="6"/>
        <v>bus</v>
      </c>
      <c r="AU235" t="str">
        <f t="shared" si="7"/>
        <v>lpg</v>
      </c>
    </row>
    <row r="236" spans="1:47">
      <c r="A236" t="s">
        <v>17</v>
      </c>
      <c r="B236" t="s">
        <v>176</v>
      </c>
      <c r="C236" t="s">
        <v>624</v>
      </c>
      <c r="D236" t="s">
        <v>19</v>
      </c>
      <c r="E236" t="s">
        <v>19</v>
      </c>
      <c r="F236" t="s">
        <v>19</v>
      </c>
      <c r="G236" t="s">
        <v>184</v>
      </c>
      <c r="H236" t="s">
        <v>19</v>
      </c>
      <c r="I236" t="s">
        <v>19</v>
      </c>
      <c r="J236" t="s">
        <v>19</v>
      </c>
      <c r="K236" t="s">
        <v>19</v>
      </c>
      <c r="L236">
        <v>6.2034387232270905E-4</v>
      </c>
      <c r="M236">
        <v>0</v>
      </c>
      <c r="N236">
        <v>0</v>
      </c>
      <c r="O236">
        <v>0</v>
      </c>
      <c r="P236">
        <v>0</v>
      </c>
      <c r="Q236">
        <v>1.8610316169681269E-3</v>
      </c>
      <c r="R236">
        <v>1.2406877446454181E-3</v>
      </c>
      <c r="S236">
        <v>0</v>
      </c>
      <c r="T236">
        <v>0</v>
      </c>
      <c r="U236">
        <v>5.5830948509043811E-3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4.3424071062589638E-3</v>
      </c>
      <c r="AC236">
        <v>0</v>
      </c>
      <c r="AD236">
        <v>0</v>
      </c>
      <c r="AE236">
        <v>6.2034387232270905E-4</v>
      </c>
      <c r="AF236">
        <v>2.4813754892908362E-3</v>
      </c>
      <c r="AG236">
        <v>2.4813754892908362E-3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19</v>
      </c>
      <c r="AT236" t="str">
        <f t="shared" si="6"/>
        <v>bus</v>
      </c>
      <c r="AU236" t="str">
        <f t="shared" si="7"/>
        <v>lpg</v>
      </c>
    </row>
    <row r="237" spans="1:47">
      <c r="A237" t="s">
        <v>17</v>
      </c>
      <c r="B237" t="s">
        <v>176</v>
      </c>
      <c r="C237" t="s">
        <v>624</v>
      </c>
      <c r="D237" t="s">
        <v>19</v>
      </c>
      <c r="E237" t="s">
        <v>19</v>
      </c>
      <c r="F237" t="s">
        <v>19</v>
      </c>
      <c r="G237" t="s">
        <v>185</v>
      </c>
      <c r="H237" t="s">
        <v>19</v>
      </c>
      <c r="I237" t="s">
        <v>19</v>
      </c>
      <c r="J237" t="s">
        <v>19</v>
      </c>
      <c r="K237" t="s">
        <v>19</v>
      </c>
      <c r="L237">
        <v>6.2034387232270905E-4</v>
      </c>
      <c r="M237">
        <v>0</v>
      </c>
      <c r="N237">
        <v>0</v>
      </c>
      <c r="O237">
        <v>0</v>
      </c>
      <c r="P237">
        <v>0</v>
      </c>
      <c r="Q237">
        <v>1.8610316169681269E-3</v>
      </c>
      <c r="R237">
        <v>1.2406877446454181E-3</v>
      </c>
      <c r="S237">
        <v>0</v>
      </c>
      <c r="T237">
        <v>0</v>
      </c>
      <c r="U237">
        <v>5.5830948509043811E-3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4.3424071062589638E-3</v>
      </c>
      <c r="AC237">
        <v>0</v>
      </c>
      <c r="AD237">
        <v>0</v>
      </c>
      <c r="AE237">
        <v>6.2034387232270905E-4</v>
      </c>
      <c r="AF237">
        <v>2.4813754892908362E-3</v>
      </c>
      <c r="AG237">
        <v>2.4813754892908362E-3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19</v>
      </c>
      <c r="AT237" t="str">
        <f t="shared" si="6"/>
        <v>bus</v>
      </c>
      <c r="AU237" t="str">
        <f t="shared" si="7"/>
        <v>lpg</v>
      </c>
    </row>
    <row r="238" spans="1:47">
      <c r="A238" t="s">
        <v>17</v>
      </c>
      <c r="B238" t="s">
        <v>176</v>
      </c>
      <c r="C238" t="s">
        <v>624</v>
      </c>
      <c r="D238" t="s">
        <v>19</v>
      </c>
      <c r="E238" t="s">
        <v>19</v>
      </c>
      <c r="F238" t="s">
        <v>19</v>
      </c>
      <c r="G238" t="s">
        <v>186</v>
      </c>
      <c r="H238" t="s">
        <v>19</v>
      </c>
      <c r="I238" t="s">
        <v>19</v>
      </c>
      <c r="J238" t="s">
        <v>19</v>
      </c>
      <c r="K238" t="s">
        <v>19</v>
      </c>
      <c r="L238">
        <v>6.2034387232270905E-4</v>
      </c>
      <c r="M238">
        <v>0</v>
      </c>
      <c r="N238">
        <v>0</v>
      </c>
      <c r="O238">
        <v>0</v>
      </c>
      <c r="P238">
        <v>0</v>
      </c>
      <c r="Q238">
        <v>1.8610316169681269E-3</v>
      </c>
      <c r="R238">
        <v>1.2406877446454181E-3</v>
      </c>
      <c r="S238">
        <v>0</v>
      </c>
      <c r="T238">
        <v>0</v>
      </c>
      <c r="U238">
        <v>5.5830948509043811E-3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4.3424071062589638E-3</v>
      </c>
      <c r="AC238">
        <v>0</v>
      </c>
      <c r="AD238">
        <v>0</v>
      </c>
      <c r="AE238">
        <v>6.2034387232270905E-4</v>
      </c>
      <c r="AF238">
        <v>2.4813754892908362E-3</v>
      </c>
      <c r="AG238">
        <v>2.4813754892908362E-3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s">
        <v>19</v>
      </c>
      <c r="AT238" t="str">
        <f t="shared" si="6"/>
        <v>bus</v>
      </c>
      <c r="AU238" t="str">
        <f t="shared" si="7"/>
        <v>lpg</v>
      </c>
    </row>
    <row r="239" spans="1:47">
      <c r="A239" t="s">
        <v>17</v>
      </c>
      <c r="B239" t="s">
        <v>176</v>
      </c>
      <c r="C239" t="s">
        <v>624</v>
      </c>
      <c r="D239" t="s">
        <v>19</v>
      </c>
      <c r="E239" t="s">
        <v>19</v>
      </c>
      <c r="F239" t="s">
        <v>19</v>
      </c>
      <c r="G239" t="s">
        <v>187</v>
      </c>
      <c r="H239" t="s">
        <v>19</v>
      </c>
      <c r="I239" t="s">
        <v>19</v>
      </c>
      <c r="J239" t="s">
        <v>19</v>
      </c>
      <c r="K239" t="s">
        <v>19</v>
      </c>
      <c r="L239">
        <v>6.2034387232270905E-4</v>
      </c>
      <c r="M239">
        <v>0</v>
      </c>
      <c r="N239">
        <v>0</v>
      </c>
      <c r="O239">
        <v>0</v>
      </c>
      <c r="P239">
        <v>0</v>
      </c>
      <c r="Q239">
        <v>1.8610316169681269E-3</v>
      </c>
      <c r="R239">
        <v>1.2406877446454181E-3</v>
      </c>
      <c r="S239">
        <v>0</v>
      </c>
      <c r="T239">
        <v>0</v>
      </c>
      <c r="U239">
        <v>5.5830948509043811E-3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4.3424071062589638E-3</v>
      </c>
      <c r="AC239">
        <v>0</v>
      </c>
      <c r="AD239">
        <v>0</v>
      </c>
      <c r="AE239">
        <v>6.2034387232270905E-4</v>
      </c>
      <c r="AF239">
        <v>2.4813754892908362E-3</v>
      </c>
      <c r="AG239">
        <v>2.4813754892908362E-3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s">
        <v>19</v>
      </c>
      <c r="AT239" t="str">
        <f t="shared" si="6"/>
        <v>bus</v>
      </c>
      <c r="AU239" t="str">
        <f t="shared" si="7"/>
        <v>lpg</v>
      </c>
    </row>
    <row r="240" spans="1:47">
      <c r="A240" t="s">
        <v>17</v>
      </c>
      <c r="B240" t="s">
        <v>176</v>
      </c>
      <c r="C240" t="s">
        <v>624</v>
      </c>
      <c r="D240" t="s">
        <v>19</v>
      </c>
      <c r="E240" t="s">
        <v>19</v>
      </c>
      <c r="F240" t="s">
        <v>19</v>
      </c>
      <c r="G240" t="s">
        <v>188</v>
      </c>
      <c r="H240" t="s">
        <v>19</v>
      </c>
      <c r="I240" t="s">
        <v>19</v>
      </c>
      <c r="J240" t="s">
        <v>19</v>
      </c>
      <c r="K240" t="s">
        <v>19</v>
      </c>
      <c r="L240">
        <v>6.2034387232270905E-4</v>
      </c>
      <c r="M240">
        <v>0</v>
      </c>
      <c r="N240">
        <v>0</v>
      </c>
      <c r="O240">
        <v>0</v>
      </c>
      <c r="P240">
        <v>0</v>
      </c>
      <c r="Q240">
        <v>1.8610316169681269E-3</v>
      </c>
      <c r="R240">
        <v>1.2406877446454181E-3</v>
      </c>
      <c r="S240">
        <v>0</v>
      </c>
      <c r="T240">
        <v>0</v>
      </c>
      <c r="U240">
        <v>5.5830948509043811E-3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4.3424071062589638E-3</v>
      </c>
      <c r="AC240">
        <v>0</v>
      </c>
      <c r="AD240">
        <v>0</v>
      </c>
      <c r="AE240">
        <v>6.2034387232270905E-4</v>
      </c>
      <c r="AF240">
        <v>2.4813754892908362E-3</v>
      </c>
      <c r="AG240">
        <v>2.4813754892908362E-3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s">
        <v>19</v>
      </c>
      <c r="AT240" t="str">
        <f t="shared" si="6"/>
        <v>bus</v>
      </c>
      <c r="AU240" t="str">
        <f t="shared" si="7"/>
        <v>lpg</v>
      </c>
    </row>
    <row r="241" spans="1:47">
      <c r="A241" t="s">
        <v>17</v>
      </c>
      <c r="B241" t="s">
        <v>176</v>
      </c>
      <c r="C241" t="s">
        <v>624</v>
      </c>
      <c r="D241" t="s">
        <v>19</v>
      </c>
      <c r="E241" t="s">
        <v>19</v>
      </c>
      <c r="F241" t="s">
        <v>19</v>
      </c>
      <c r="G241" t="s">
        <v>100</v>
      </c>
      <c r="H241" t="s">
        <v>19</v>
      </c>
      <c r="I241" t="s">
        <v>19</v>
      </c>
      <c r="J241" t="s">
        <v>19</v>
      </c>
      <c r="K241" t="s">
        <v>19</v>
      </c>
      <c r="L241">
        <v>6.2034387232270905E-4</v>
      </c>
      <c r="M241">
        <v>0</v>
      </c>
      <c r="N241">
        <v>0</v>
      </c>
      <c r="O241">
        <v>0</v>
      </c>
      <c r="P241">
        <v>0</v>
      </c>
      <c r="Q241">
        <v>1.8610316169681269E-3</v>
      </c>
      <c r="R241">
        <v>1.2406877446454181E-3</v>
      </c>
      <c r="S241">
        <v>0</v>
      </c>
      <c r="T241">
        <v>0</v>
      </c>
      <c r="U241">
        <v>5.5830948509043811E-3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4.3424071062589638E-3</v>
      </c>
      <c r="AC241">
        <v>0</v>
      </c>
      <c r="AD241">
        <v>0</v>
      </c>
      <c r="AE241">
        <v>6.2034387232270905E-4</v>
      </c>
      <c r="AF241">
        <v>2.4813754892908362E-3</v>
      </c>
      <c r="AG241">
        <v>2.4813754892908362E-3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s">
        <v>19</v>
      </c>
      <c r="AT241" t="str">
        <f t="shared" si="6"/>
        <v>bus</v>
      </c>
      <c r="AU241" t="str">
        <f t="shared" si="7"/>
        <v>lpg</v>
      </c>
    </row>
    <row r="242" spans="1:47">
      <c r="A242" t="s">
        <v>17</v>
      </c>
      <c r="B242" t="s">
        <v>176</v>
      </c>
      <c r="C242" t="s">
        <v>623</v>
      </c>
      <c r="D242" t="s">
        <v>19</v>
      </c>
      <c r="E242" t="s">
        <v>19</v>
      </c>
      <c r="F242" t="s">
        <v>19</v>
      </c>
      <c r="G242" t="s">
        <v>603</v>
      </c>
      <c r="H242" t="s">
        <v>19</v>
      </c>
      <c r="I242" t="s">
        <v>19</v>
      </c>
      <c r="J242" t="s">
        <v>19</v>
      </c>
      <c r="K242" t="s">
        <v>19</v>
      </c>
      <c r="L242">
        <v>1.2406877446454181E-3</v>
      </c>
      <c r="M242">
        <v>0</v>
      </c>
      <c r="N242">
        <v>3.1017193616135453E-3</v>
      </c>
      <c r="O242">
        <v>0</v>
      </c>
      <c r="P242">
        <v>0</v>
      </c>
      <c r="Q242">
        <v>1.2406877446454181E-3</v>
      </c>
      <c r="R242">
        <v>0</v>
      </c>
      <c r="S242">
        <v>2.4813754892908362E-3</v>
      </c>
      <c r="T242">
        <v>0</v>
      </c>
      <c r="U242">
        <v>5.3349573019752974E-2</v>
      </c>
      <c r="V242">
        <v>0</v>
      </c>
      <c r="W242">
        <v>6.2034387232270905E-4</v>
      </c>
      <c r="X242">
        <v>0</v>
      </c>
      <c r="Y242">
        <v>1.2406877446454181E-3</v>
      </c>
      <c r="Z242">
        <v>6.2034387232270905E-4</v>
      </c>
      <c r="AA242">
        <v>0</v>
      </c>
      <c r="AB242">
        <v>0</v>
      </c>
      <c r="AC242">
        <v>0</v>
      </c>
      <c r="AD242">
        <v>0</v>
      </c>
      <c r="AE242">
        <v>8.0644703401952181E-3</v>
      </c>
      <c r="AF242">
        <v>2.4813754892908362E-3</v>
      </c>
      <c r="AG242">
        <v>0</v>
      </c>
      <c r="AH242">
        <v>9.9255019571633449E-3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s">
        <v>19</v>
      </c>
      <c r="AT242" t="str">
        <f t="shared" si="6"/>
        <v>bus</v>
      </c>
      <c r="AU242" t="str">
        <f t="shared" si="7"/>
        <v>nga</v>
      </c>
    </row>
    <row r="243" spans="1:47">
      <c r="A243" t="s">
        <v>17</v>
      </c>
      <c r="B243" t="s">
        <v>176</v>
      </c>
      <c r="C243" t="s">
        <v>623</v>
      </c>
      <c r="D243" t="s">
        <v>19</v>
      </c>
      <c r="E243" t="s">
        <v>19</v>
      </c>
      <c r="F243" t="s">
        <v>19</v>
      </c>
      <c r="G243" t="s">
        <v>602</v>
      </c>
      <c r="H243" t="s">
        <v>19</v>
      </c>
      <c r="I243" t="s">
        <v>19</v>
      </c>
      <c r="J243" t="s">
        <v>19</v>
      </c>
      <c r="K243" t="s">
        <v>19</v>
      </c>
      <c r="L243">
        <v>1.2406877446454181E-3</v>
      </c>
      <c r="M243">
        <v>0</v>
      </c>
      <c r="N243">
        <v>3.1017193616135453E-3</v>
      </c>
      <c r="O243">
        <v>0</v>
      </c>
      <c r="P243">
        <v>0</v>
      </c>
      <c r="Q243">
        <v>1.2406877446454181E-3</v>
      </c>
      <c r="R243">
        <v>0</v>
      </c>
      <c r="S243">
        <v>2.4813754892908362E-3</v>
      </c>
      <c r="T243">
        <v>0</v>
      </c>
      <c r="U243">
        <v>5.3349573019752974E-2</v>
      </c>
      <c r="V243">
        <v>0</v>
      </c>
      <c r="W243">
        <v>6.2034387232270905E-4</v>
      </c>
      <c r="X243">
        <v>0</v>
      </c>
      <c r="Y243">
        <v>1.2406877446454181E-3</v>
      </c>
      <c r="Z243">
        <v>6.2034387232270905E-4</v>
      </c>
      <c r="AA243">
        <v>0</v>
      </c>
      <c r="AB243">
        <v>0</v>
      </c>
      <c r="AC243">
        <v>0</v>
      </c>
      <c r="AD243">
        <v>0</v>
      </c>
      <c r="AE243">
        <v>8.0644703401952181E-3</v>
      </c>
      <c r="AF243">
        <v>2.4813754892908362E-3</v>
      </c>
      <c r="AG243">
        <v>0</v>
      </c>
      <c r="AH243">
        <v>9.9255019571633449E-3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s">
        <v>19</v>
      </c>
      <c r="AT243" t="str">
        <f t="shared" si="6"/>
        <v>bus</v>
      </c>
      <c r="AU243" t="str">
        <f t="shared" si="7"/>
        <v>nga</v>
      </c>
    </row>
    <row r="244" spans="1:47">
      <c r="A244" t="s">
        <v>17</v>
      </c>
      <c r="B244" t="s">
        <v>176</v>
      </c>
      <c r="C244" t="s">
        <v>623</v>
      </c>
      <c r="D244" t="s">
        <v>19</v>
      </c>
      <c r="E244" t="s">
        <v>19</v>
      </c>
      <c r="F244" t="s">
        <v>19</v>
      </c>
      <c r="G244" t="s">
        <v>601</v>
      </c>
      <c r="H244" t="s">
        <v>19</v>
      </c>
      <c r="I244" t="s">
        <v>19</v>
      </c>
      <c r="J244" t="s">
        <v>19</v>
      </c>
      <c r="K244" t="s">
        <v>19</v>
      </c>
      <c r="L244">
        <v>1.2406877446454181E-3</v>
      </c>
      <c r="M244">
        <v>0</v>
      </c>
      <c r="N244">
        <v>3.1017193616135453E-3</v>
      </c>
      <c r="O244">
        <v>0</v>
      </c>
      <c r="P244">
        <v>0</v>
      </c>
      <c r="Q244">
        <v>1.2406877446454181E-3</v>
      </c>
      <c r="R244">
        <v>0</v>
      </c>
      <c r="S244">
        <v>2.4813754892908362E-3</v>
      </c>
      <c r="T244">
        <v>0</v>
      </c>
      <c r="U244">
        <v>5.3349573019752974E-2</v>
      </c>
      <c r="V244">
        <v>0</v>
      </c>
      <c r="W244">
        <v>6.2034387232270905E-4</v>
      </c>
      <c r="X244">
        <v>0</v>
      </c>
      <c r="Y244">
        <v>1.2406877446454181E-3</v>
      </c>
      <c r="Z244">
        <v>6.2034387232270905E-4</v>
      </c>
      <c r="AA244">
        <v>0</v>
      </c>
      <c r="AB244">
        <v>0</v>
      </c>
      <c r="AC244">
        <v>0</v>
      </c>
      <c r="AD244">
        <v>0</v>
      </c>
      <c r="AE244">
        <v>8.0644703401952181E-3</v>
      </c>
      <c r="AF244">
        <v>2.4813754892908362E-3</v>
      </c>
      <c r="AG244">
        <v>0</v>
      </c>
      <c r="AH244">
        <v>9.9255019571633449E-3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19</v>
      </c>
      <c r="AT244" t="str">
        <f t="shared" si="6"/>
        <v>bus</v>
      </c>
      <c r="AU244" t="str">
        <f t="shared" si="7"/>
        <v>nga</v>
      </c>
    </row>
    <row r="245" spans="1:47">
      <c r="A245" t="s">
        <v>17</v>
      </c>
      <c r="B245" t="s">
        <v>176</v>
      </c>
      <c r="C245" t="s">
        <v>623</v>
      </c>
      <c r="D245" t="s">
        <v>19</v>
      </c>
      <c r="E245" t="s">
        <v>19</v>
      </c>
      <c r="F245" t="s">
        <v>19</v>
      </c>
      <c r="G245" t="s">
        <v>600</v>
      </c>
      <c r="H245" t="s">
        <v>19</v>
      </c>
      <c r="I245" t="s">
        <v>19</v>
      </c>
      <c r="J245" t="s">
        <v>19</v>
      </c>
      <c r="K245" t="s">
        <v>19</v>
      </c>
      <c r="L245">
        <v>1.2406877446454181E-3</v>
      </c>
      <c r="M245">
        <v>0</v>
      </c>
      <c r="N245">
        <v>3.1017193616135453E-3</v>
      </c>
      <c r="O245">
        <v>0</v>
      </c>
      <c r="P245">
        <v>0</v>
      </c>
      <c r="Q245">
        <v>1.2406877446454181E-3</v>
      </c>
      <c r="R245">
        <v>0</v>
      </c>
      <c r="S245">
        <v>2.4813754892908362E-3</v>
      </c>
      <c r="T245">
        <v>0</v>
      </c>
      <c r="U245">
        <v>5.3349573019752974E-2</v>
      </c>
      <c r="V245">
        <v>0</v>
      </c>
      <c r="W245">
        <v>6.2034387232270905E-4</v>
      </c>
      <c r="X245">
        <v>0</v>
      </c>
      <c r="Y245">
        <v>1.2406877446454181E-3</v>
      </c>
      <c r="Z245">
        <v>6.2034387232270905E-4</v>
      </c>
      <c r="AA245">
        <v>0</v>
      </c>
      <c r="AB245">
        <v>0</v>
      </c>
      <c r="AC245">
        <v>0</v>
      </c>
      <c r="AD245">
        <v>0</v>
      </c>
      <c r="AE245">
        <v>8.0644703401952181E-3</v>
      </c>
      <c r="AF245">
        <v>2.4813754892908362E-3</v>
      </c>
      <c r="AG245">
        <v>0</v>
      </c>
      <c r="AH245">
        <v>9.9255019571633449E-3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s">
        <v>19</v>
      </c>
      <c r="AT245" t="str">
        <f t="shared" si="6"/>
        <v>bus</v>
      </c>
      <c r="AU245" t="str">
        <f t="shared" si="7"/>
        <v>nga</v>
      </c>
    </row>
    <row r="246" spans="1:47">
      <c r="A246" t="s">
        <v>17</v>
      </c>
      <c r="B246" t="s">
        <v>176</v>
      </c>
      <c r="C246" t="s">
        <v>623</v>
      </c>
      <c r="D246" t="s">
        <v>19</v>
      </c>
      <c r="E246" t="s">
        <v>19</v>
      </c>
      <c r="F246" t="s">
        <v>19</v>
      </c>
      <c r="G246" t="s">
        <v>599</v>
      </c>
      <c r="H246" t="s">
        <v>19</v>
      </c>
      <c r="I246" t="s">
        <v>19</v>
      </c>
      <c r="J246" t="s">
        <v>19</v>
      </c>
      <c r="K246" t="s">
        <v>19</v>
      </c>
      <c r="L246">
        <v>1.2406877446454181E-3</v>
      </c>
      <c r="M246">
        <v>0</v>
      </c>
      <c r="N246">
        <v>3.1017193616135453E-3</v>
      </c>
      <c r="O246">
        <v>0</v>
      </c>
      <c r="P246">
        <v>0</v>
      </c>
      <c r="Q246">
        <v>1.2406877446454181E-3</v>
      </c>
      <c r="R246">
        <v>0</v>
      </c>
      <c r="S246">
        <v>2.4813754892908362E-3</v>
      </c>
      <c r="T246">
        <v>0</v>
      </c>
      <c r="U246">
        <v>5.3349573019752974E-2</v>
      </c>
      <c r="V246">
        <v>0</v>
      </c>
      <c r="W246">
        <v>6.2034387232270905E-4</v>
      </c>
      <c r="X246">
        <v>0</v>
      </c>
      <c r="Y246">
        <v>1.2406877446454181E-3</v>
      </c>
      <c r="Z246">
        <v>6.2034387232270905E-4</v>
      </c>
      <c r="AA246">
        <v>0</v>
      </c>
      <c r="AB246">
        <v>0</v>
      </c>
      <c r="AC246">
        <v>0</v>
      </c>
      <c r="AD246">
        <v>0</v>
      </c>
      <c r="AE246">
        <v>8.0644703401952181E-3</v>
      </c>
      <c r="AF246">
        <v>2.4813754892908362E-3</v>
      </c>
      <c r="AG246">
        <v>0</v>
      </c>
      <c r="AH246">
        <v>9.9255019571633449E-3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s">
        <v>19</v>
      </c>
      <c r="AT246" t="str">
        <f t="shared" si="6"/>
        <v>bus</v>
      </c>
      <c r="AU246" t="str">
        <f t="shared" si="7"/>
        <v>nga</v>
      </c>
    </row>
    <row r="247" spans="1:47">
      <c r="A247" t="s">
        <v>17</v>
      </c>
      <c r="B247" t="s">
        <v>176</v>
      </c>
      <c r="C247" t="s">
        <v>623</v>
      </c>
      <c r="D247" t="s">
        <v>19</v>
      </c>
      <c r="E247" t="s">
        <v>19</v>
      </c>
      <c r="F247" t="s">
        <v>19</v>
      </c>
      <c r="G247" t="s">
        <v>598</v>
      </c>
      <c r="H247" t="s">
        <v>19</v>
      </c>
      <c r="I247" t="s">
        <v>19</v>
      </c>
      <c r="J247" t="s">
        <v>19</v>
      </c>
      <c r="K247" t="s">
        <v>19</v>
      </c>
      <c r="L247">
        <v>1.2406877446454181E-3</v>
      </c>
      <c r="M247">
        <v>0</v>
      </c>
      <c r="N247">
        <v>3.1017193616135453E-3</v>
      </c>
      <c r="O247">
        <v>0</v>
      </c>
      <c r="P247">
        <v>0</v>
      </c>
      <c r="Q247">
        <v>1.2406877446454181E-3</v>
      </c>
      <c r="R247">
        <v>0</v>
      </c>
      <c r="S247">
        <v>2.4813754892908362E-3</v>
      </c>
      <c r="T247">
        <v>0</v>
      </c>
      <c r="U247">
        <v>5.3349573019752974E-2</v>
      </c>
      <c r="V247">
        <v>0</v>
      </c>
      <c r="W247">
        <v>6.2034387232270905E-4</v>
      </c>
      <c r="X247">
        <v>0</v>
      </c>
      <c r="Y247">
        <v>1.2406877446454181E-3</v>
      </c>
      <c r="Z247">
        <v>6.2034387232270905E-4</v>
      </c>
      <c r="AA247">
        <v>0</v>
      </c>
      <c r="AB247">
        <v>0</v>
      </c>
      <c r="AC247">
        <v>0</v>
      </c>
      <c r="AD247">
        <v>0</v>
      </c>
      <c r="AE247">
        <v>8.0644703401952181E-3</v>
      </c>
      <c r="AF247">
        <v>2.4813754892908362E-3</v>
      </c>
      <c r="AG247">
        <v>0</v>
      </c>
      <c r="AH247">
        <v>9.9255019571633449E-3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s">
        <v>19</v>
      </c>
      <c r="AT247" t="str">
        <f t="shared" si="6"/>
        <v>bus</v>
      </c>
      <c r="AU247" t="str">
        <f t="shared" si="7"/>
        <v>nga</v>
      </c>
    </row>
    <row r="248" spans="1:47">
      <c r="A248" t="s">
        <v>17</v>
      </c>
      <c r="B248" t="s">
        <v>176</v>
      </c>
      <c r="C248" t="s">
        <v>623</v>
      </c>
      <c r="D248" t="s">
        <v>19</v>
      </c>
      <c r="E248" t="s">
        <v>19</v>
      </c>
      <c r="F248" t="s">
        <v>19</v>
      </c>
      <c r="G248" t="s">
        <v>597</v>
      </c>
      <c r="H248" t="s">
        <v>19</v>
      </c>
      <c r="I248" t="s">
        <v>19</v>
      </c>
      <c r="J248" t="s">
        <v>19</v>
      </c>
      <c r="K248" t="s">
        <v>19</v>
      </c>
      <c r="L248">
        <v>1.2406877446454181E-3</v>
      </c>
      <c r="M248">
        <v>0</v>
      </c>
      <c r="N248">
        <v>3.1017193616135453E-3</v>
      </c>
      <c r="O248">
        <v>0</v>
      </c>
      <c r="P248">
        <v>0</v>
      </c>
      <c r="Q248">
        <v>1.2406877446454181E-3</v>
      </c>
      <c r="R248">
        <v>0</v>
      </c>
      <c r="S248">
        <v>2.4813754892908362E-3</v>
      </c>
      <c r="T248">
        <v>0</v>
      </c>
      <c r="U248">
        <v>5.3349573019752974E-2</v>
      </c>
      <c r="V248">
        <v>0</v>
      </c>
      <c r="W248">
        <v>6.2034387232270905E-4</v>
      </c>
      <c r="X248">
        <v>0</v>
      </c>
      <c r="Y248">
        <v>1.2406877446454181E-3</v>
      </c>
      <c r="Z248">
        <v>6.2034387232270905E-4</v>
      </c>
      <c r="AA248">
        <v>0</v>
      </c>
      <c r="AB248">
        <v>0</v>
      </c>
      <c r="AC248">
        <v>0</v>
      </c>
      <c r="AD248">
        <v>0</v>
      </c>
      <c r="AE248">
        <v>8.0644703401952181E-3</v>
      </c>
      <c r="AF248">
        <v>2.4813754892908362E-3</v>
      </c>
      <c r="AG248">
        <v>0</v>
      </c>
      <c r="AH248">
        <v>9.9255019571633449E-3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s">
        <v>19</v>
      </c>
      <c r="AT248" t="str">
        <f t="shared" si="6"/>
        <v>bus</v>
      </c>
      <c r="AU248" t="str">
        <f t="shared" si="7"/>
        <v>nga</v>
      </c>
    </row>
    <row r="249" spans="1:47">
      <c r="A249" t="s">
        <v>17</v>
      </c>
      <c r="B249" t="s">
        <v>176</v>
      </c>
      <c r="C249" t="s">
        <v>623</v>
      </c>
      <c r="D249" t="s">
        <v>19</v>
      </c>
      <c r="E249" t="s">
        <v>19</v>
      </c>
      <c r="F249" t="s">
        <v>19</v>
      </c>
      <c r="G249" t="s">
        <v>596</v>
      </c>
      <c r="H249" t="s">
        <v>19</v>
      </c>
      <c r="I249" t="s">
        <v>19</v>
      </c>
      <c r="J249" t="s">
        <v>19</v>
      </c>
      <c r="K249" t="s">
        <v>19</v>
      </c>
      <c r="L249">
        <v>1.2406877446454181E-3</v>
      </c>
      <c r="M249">
        <v>0</v>
      </c>
      <c r="N249">
        <v>3.1017193616135453E-3</v>
      </c>
      <c r="O249">
        <v>0</v>
      </c>
      <c r="P249">
        <v>0</v>
      </c>
      <c r="Q249">
        <v>1.2406877446454181E-3</v>
      </c>
      <c r="R249">
        <v>0</v>
      </c>
      <c r="S249">
        <v>2.4813754892908362E-3</v>
      </c>
      <c r="T249">
        <v>0</v>
      </c>
      <c r="U249">
        <v>5.3349573019752974E-2</v>
      </c>
      <c r="V249">
        <v>0</v>
      </c>
      <c r="W249">
        <v>6.2034387232270905E-4</v>
      </c>
      <c r="X249">
        <v>0</v>
      </c>
      <c r="Y249">
        <v>1.2406877446454181E-3</v>
      </c>
      <c r="Z249">
        <v>6.2034387232270905E-4</v>
      </c>
      <c r="AA249">
        <v>0</v>
      </c>
      <c r="AB249">
        <v>0</v>
      </c>
      <c r="AC249">
        <v>0</v>
      </c>
      <c r="AD249">
        <v>0</v>
      </c>
      <c r="AE249">
        <v>8.0644703401952181E-3</v>
      </c>
      <c r="AF249">
        <v>2.4813754892908362E-3</v>
      </c>
      <c r="AG249">
        <v>0</v>
      </c>
      <c r="AH249">
        <v>9.9255019571633449E-3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s">
        <v>19</v>
      </c>
      <c r="AT249" t="str">
        <f t="shared" si="6"/>
        <v>bus</v>
      </c>
      <c r="AU249" t="str">
        <f t="shared" si="7"/>
        <v>nga</v>
      </c>
    </row>
    <row r="250" spans="1:47">
      <c r="A250" t="s">
        <v>17</v>
      </c>
      <c r="B250" t="s">
        <v>176</v>
      </c>
      <c r="C250" t="s">
        <v>623</v>
      </c>
      <c r="D250" t="s">
        <v>19</v>
      </c>
      <c r="E250" t="s">
        <v>19</v>
      </c>
      <c r="F250" t="s">
        <v>19</v>
      </c>
      <c r="G250" t="s">
        <v>178</v>
      </c>
      <c r="H250" t="s">
        <v>19</v>
      </c>
      <c r="I250" t="s">
        <v>19</v>
      </c>
      <c r="J250" t="s">
        <v>19</v>
      </c>
      <c r="K250" t="s">
        <v>19</v>
      </c>
      <c r="L250">
        <v>1.2406877446454181E-3</v>
      </c>
      <c r="M250">
        <v>0</v>
      </c>
      <c r="N250">
        <v>3.1017193616135453E-3</v>
      </c>
      <c r="O250">
        <v>0</v>
      </c>
      <c r="P250">
        <v>0</v>
      </c>
      <c r="Q250">
        <v>1.2406877446454181E-3</v>
      </c>
      <c r="R250">
        <v>0</v>
      </c>
      <c r="S250">
        <v>2.4813754892908362E-3</v>
      </c>
      <c r="T250">
        <v>0</v>
      </c>
      <c r="U250">
        <v>5.3349573019752974E-2</v>
      </c>
      <c r="V250">
        <v>0</v>
      </c>
      <c r="W250">
        <v>6.2034387232270905E-4</v>
      </c>
      <c r="X250">
        <v>0</v>
      </c>
      <c r="Y250">
        <v>1.2406877446454181E-3</v>
      </c>
      <c r="Z250">
        <v>6.2034387232270905E-4</v>
      </c>
      <c r="AA250">
        <v>0</v>
      </c>
      <c r="AB250">
        <v>0</v>
      </c>
      <c r="AC250">
        <v>0</v>
      </c>
      <c r="AD250">
        <v>0</v>
      </c>
      <c r="AE250">
        <v>8.0644703401952181E-3</v>
      </c>
      <c r="AF250">
        <v>2.4813754892908362E-3</v>
      </c>
      <c r="AG250">
        <v>0</v>
      </c>
      <c r="AH250">
        <v>9.9255019571633449E-3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t="s">
        <v>19</v>
      </c>
      <c r="AT250" t="str">
        <f t="shared" si="6"/>
        <v>bus</v>
      </c>
      <c r="AU250" t="str">
        <f t="shared" si="7"/>
        <v>nga</v>
      </c>
    </row>
    <row r="251" spans="1:47">
      <c r="A251" t="s">
        <v>17</v>
      </c>
      <c r="B251" t="s">
        <v>176</v>
      </c>
      <c r="C251" t="s">
        <v>623</v>
      </c>
      <c r="D251" t="s">
        <v>19</v>
      </c>
      <c r="E251" t="s">
        <v>19</v>
      </c>
      <c r="F251" t="s">
        <v>19</v>
      </c>
      <c r="G251" t="s">
        <v>179</v>
      </c>
      <c r="H251" t="s">
        <v>19</v>
      </c>
      <c r="I251" t="s">
        <v>19</v>
      </c>
      <c r="J251" t="s">
        <v>19</v>
      </c>
      <c r="K251" t="s">
        <v>19</v>
      </c>
      <c r="L251">
        <v>1.2406877446454181E-3</v>
      </c>
      <c r="M251">
        <v>0</v>
      </c>
      <c r="N251">
        <v>3.1017193616135453E-3</v>
      </c>
      <c r="O251">
        <v>0</v>
      </c>
      <c r="P251">
        <v>0</v>
      </c>
      <c r="Q251">
        <v>1.2406877446454181E-3</v>
      </c>
      <c r="R251">
        <v>0</v>
      </c>
      <c r="S251">
        <v>2.4813754892908362E-3</v>
      </c>
      <c r="T251">
        <v>0</v>
      </c>
      <c r="U251">
        <v>5.3349573019752974E-2</v>
      </c>
      <c r="V251">
        <v>0</v>
      </c>
      <c r="W251">
        <v>6.2034387232270905E-4</v>
      </c>
      <c r="X251">
        <v>0</v>
      </c>
      <c r="Y251">
        <v>1.2406877446454181E-3</v>
      </c>
      <c r="Z251">
        <v>6.2034387232270905E-4</v>
      </c>
      <c r="AA251">
        <v>0</v>
      </c>
      <c r="AB251">
        <v>0</v>
      </c>
      <c r="AC251">
        <v>0</v>
      </c>
      <c r="AD251">
        <v>0</v>
      </c>
      <c r="AE251">
        <v>8.0644703401952181E-3</v>
      </c>
      <c r="AF251">
        <v>2.4813754892908362E-3</v>
      </c>
      <c r="AG251">
        <v>0</v>
      </c>
      <c r="AH251">
        <v>9.9255019571633449E-3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19</v>
      </c>
      <c r="AT251" t="str">
        <f t="shared" si="6"/>
        <v>bus</v>
      </c>
      <c r="AU251" t="str">
        <f t="shared" si="7"/>
        <v>nga</v>
      </c>
    </row>
    <row r="252" spans="1:47">
      <c r="A252" t="s">
        <v>17</v>
      </c>
      <c r="B252" t="s">
        <v>176</v>
      </c>
      <c r="C252" t="s">
        <v>623</v>
      </c>
      <c r="D252" t="s">
        <v>19</v>
      </c>
      <c r="E252" t="s">
        <v>19</v>
      </c>
      <c r="F252" t="s">
        <v>19</v>
      </c>
      <c r="G252" t="s">
        <v>180</v>
      </c>
      <c r="H252" t="s">
        <v>19</v>
      </c>
      <c r="I252" t="s">
        <v>19</v>
      </c>
      <c r="J252" t="s">
        <v>19</v>
      </c>
      <c r="K252" t="s">
        <v>19</v>
      </c>
      <c r="L252">
        <v>1.2406877446454181E-3</v>
      </c>
      <c r="M252">
        <v>0</v>
      </c>
      <c r="N252">
        <v>3.1017193616135453E-3</v>
      </c>
      <c r="O252">
        <v>0</v>
      </c>
      <c r="P252">
        <v>0</v>
      </c>
      <c r="Q252">
        <v>1.2406877446454181E-3</v>
      </c>
      <c r="R252">
        <v>0</v>
      </c>
      <c r="S252">
        <v>2.4813754892908362E-3</v>
      </c>
      <c r="T252">
        <v>0</v>
      </c>
      <c r="U252">
        <v>5.3349573019752974E-2</v>
      </c>
      <c r="V252">
        <v>0</v>
      </c>
      <c r="W252">
        <v>6.2034387232270905E-4</v>
      </c>
      <c r="X252">
        <v>0</v>
      </c>
      <c r="Y252">
        <v>1.2406877446454181E-3</v>
      </c>
      <c r="Z252">
        <v>6.2034387232270905E-4</v>
      </c>
      <c r="AA252">
        <v>0</v>
      </c>
      <c r="AB252">
        <v>0</v>
      </c>
      <c r="AC252">
        <v>0</v>
      </c>
      <c r="AD252">
        <v>0</v>
      </c>
      <c r="AE252">
        <v>8.0644703401952181E-3</v>
      </c>
      <c r="AF252">
        <v>2.4813754892908362E-3</v>
      </c>
      <c r="AG252">
        <v>0</v>
      </c>
      <c r="AH252">
        <v>9.9255019571633449E-3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19</v>
      </c>
      <c r="AT252" t="str">
        <f t="shared" si="6"/>
        <v>bus</v>
      </c>
      <c r="AU252" t="str">
        <f t="shared" si="7"/>
        <v>nga</v>
      </c>
    </row>
    <row r="253" spans="1:47">
      <c r="A253" t="s">
        <v>17</v>
      </c>
      <c r="B253" t="s">
        <v>176</v>
      </c>
      <c r="C253" t="s">
        <v>623</v>
      </c>
      <c r="D253" t="s">
        <v>19</v>
      </c>
      <c r="E253" t="s">
        <v>19</v>
      </c>
      <c r="F253" t="s">
        <v>19</v>
      </c>
      <c r="G253" t="s">
        <v>181</v>
      </c>
      <c r="H253" t="s">
        <v>19</v>
      </c>
      <c r="I253" t="s">
        <v>19</v>
      </c>
      <c r="J253" t="s">
        <v>19</v>
      </c>
      <c r="K253" t="s">
        <v>19</v>
      </c>
      <c r="L253">
        <v>1.2406877446454181E-3</v>
      </c>
      <c r="M253">
        <v>0</v>
      </c>
      <c r="N253">
        <v>3.1017193616135453E-3</v>
      </c>
      <c r="O253">
        <v>0</v>
      </c>
      <c r="P253">
        <v>0</v>
      </c>
      <c r="Q253">
        <v>1.2406877446454181E-3</v>
      </c>
      <c r="R253">
        <v>0</v>
      </c>
      <c r="S253">
        <v>2.4813754892908362E-3</v>
      </c>
      <c r="T253">
        <v>0</v>
      </c>
      <c r="U253">
        <v>5.3349573019752974E-2</v>
      </c>
      <c r="V253">
        <v>0</v>
      </c>
      <c r="W253">
        <v>6.2034387232270905E-4</v>
      </c>
      <c r="X253">
        <v>0</v>
      </c>
      <c r="Y253">
        <v>1.2406877446454181E-3</v>
      </c>
      <c r="Z253">
        <v>6.2034387232270905E-4</v>
      </c>
      <c r="AA253">
        <v>0</v>
      </c>
      <c r="AB253">
        <v>0</v>
      </c>
      <c r="AC253">
        <v>0</v>
      </c>
      <c r="AD253">
        <v>0</v>
      </c>
      <c r="AE253">
        <v>8.0644703401952181E-3</v>
      </c>
      <c r="AF253">
        <v>2.4813754892908362E-3</v>
      </c>
      <c r="AG253">
        <v>0</v>
      </c>
      <c r="AH253">
        <v>9.9255019571633449E-3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19</v>
      </c>
      <c r="AT253" t="str">
        <f t="shared" si="6"/>
        <v>bus</v>
      </c>
      <c r="AU253" t="str">
        <f t="shared" si="7"/>
        <v>nga</v>
      </c>
    </row>
    <row r="254" spans="1:47">
      <c r="A254" t="s">
        <v>17</v>
      </c>
      <c r="B254" t="s">
        <v>176</v>
      </c>
      <c r="C254" t="s">
        <v>623</v>
      </c>
      <c r="D254" t="s">
        <v>19</v>
      </c>
      <c r="E254" t="s">
        <v>19</v>
      </c>
      <c r="F254" t="s">
        <v>19</v>
      </c>
      <c r="G254" t="s">
        <v>182</v>
      </c>
      <c r="H254" t="s">
        <v>19</v>
      </c>
      <c r="I254" t="s">
        <v>19</v>
      </c>
      <c r="J254" t="s">
        <v>19</v>
      </c>
      <c r="K254" t="s">
        <v>19</v>
      </c>
      <c r="L254">
        <v>1.2406877446454181E-3</v>
      </c>
      <c r="M254">
        <v>0</v>
      </c>
      <c r="N254">
        <v>3.1017193616135453E-3</v>
      </c>
      <c r="O254">
        <v>0</v>
      </c>
      <c r="P254">
        <v>0</v>
      </c>
      <c r="Q254">
        <v>1.2406877446454181E-3</v>
      </c>
      <c r="R254">
        <v>0</v>
      </c>
      <c r="S254">
        <v>2.4813754892908362E-3</v>
      </c>
      <c r="T254">
        <v>0</v>
      </c>
      <c r="U254">
        <v>5.3349573019752974E-2</v>
      </c>
      <c r="V254">
        <v>0</v>
      </c>
      <c r="W254">
        <v>6.2034387232270905E-4</v>
      </c>
      <c r="X254">
        <v>0</v>
      </c>
      <c r="Y254">
        <v>1.2406877446454181E-3</v>
      </c>
      <c r="Z254">
        <v>6.2034387232270905E-4</v>
      </c>
      <c r="AA254">
        <v>0</v>
      </c>
      <c r="AB254">
        <v>0</v>
      </c>
      <c r="AC254">
        <v>0</v>
      </c>
      <c r="AD254">
        <v>0</v>
      </c>
      <c r="AE254">
        <v>8.0644703401952181E-3</v>
      </c>
      <c r="AF254">
        <v>2.4813754892908362E-3</v>
      </c>
      <c r="AG254">
        <v>0</v>
      </c>
      <c r="AH254">
        <v>9.9255019571633449E-3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19</v>
      </c>
      <c r="AT254" t="str">
        <f t="shared" si="6"/>
        <v>bus</v>
      </c>
      <c r="AU254" t="str">
        <f t="shared" si="7"/>
        <v>nga</v>
      </c>
    </row>
    <row r="255" spans="1:47">
      <c r="A255" t="s">
        <v>17</v>
      </c>
      <c r="B255" t="s">
        <v>176</v>
      </c>
      <c r="C255" t="s">
        <v>623</v>
      </c>
      <c r="D255" t="s">
        <v>19</v>
      </c>
      <c r="E255" t="s">
        <v>19</v>
      </c>
      <c r="F255" t="s">
        <v>19</v>
      </c>
      <c r="G255" t="s">
        <v>183</v>
      </c>
      <c r="H255" t="s">
        <v>19</v>
      </c>
      <c r="I255" t="s">
        <v>19</v>
      </c>
      <c r="J255" t="s">
        <v>19</v>
      </c>
      <c r="K255" t="s">
        <v>19</v>
      </c>
      <c r="L255">
        <v>1.2406877446454181E-3</v>
      </c>
      <c r="M255">
        <v>0</v>
      </c>
      <c r="N255">
        <v>3.1017193616135453E-3</v>
      </c>
      <c r="O255">
        <v>0</v>
      </c>
      <c r="P255">
        <v>0</v>
      </c>
      <c r="Q255">
        <v>1.2406877446454181E-3</v>
      </c>
      <c r="R255">
        <v>0</v>
      </c>
      <c r="S255">
        <v>2.4813754892908362E-3</v>
      </c>
      <c r="T255">
        <v>0</v>
      </c>
      <c r="U255">
        <v>5.3349573019752974E-2</v>
      </c>
      <c r="V255">
        <v>0</v>
      </c>
      <c r="W255">
        <v>6.2034387232270905E-4</v>
      </c>
      <c r="X255">
        <v>0</v>
      </c>
      <c r="Y255">
        <v>1.2406877446454181E-3</v>
      </c>
      <c r="Z255">
        <v>6.2034387232270905E-4</v>
      </c>
      <c r="AA255">
        <v>0</v>
      </c>
      <c r="AB255">
        <v>0</v>
      </c>
      <c r="AC255">
        <v>0</v>
      </c>
      <c r="AD255">
        <v>0</v>
      </c>
      <c r="AE255">
        <v>8.0644703401952181E-3</v>
      </c>
      <c r="AF255">
        <v>2.4813754892908362E-3</v>
      </c>
      <c r="AG255">
        <v>0</v>
      </c>
      <c r="AH255">
        <v>9.9255019571633449E-3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19</v>
      </c>
      <c r="AT255" t="str">
        <f t="shared" si="6"/>
        <v>bus</v>
      </c>
      <c r="AU255" t="str">
        <f t="shared" si="7"/>
        <v>nga</v>
      </c>
    </row>
    <row r="256" spans="1:47">
      <c r="A256" t="s">
        <v>17</v>
      </c>
      <c r="B256" t="s">
        <v>176</v>
      </c>
      <c r="C256" t="s">
        <v>623</v>
      </c>
      <c r="D256" t="s">
        <v>19</v>
      </c>
      <c r="E256" t="s">
        <v>19</v>
      </c>
      <c r="F256" t="s">
        <v>19</v>
      </c>
      <c r="G256" t="s">
        <v>184</v>
      </c>
      <c r="H256" t="s">
        <v>19</v>
      </c>
      <c r="I256" t="s">
        <v>19</v>
      </c>
      <c r="J256" t="s">
        <v>19</v>
      </c>
      <c r="K256" t="s">
        <v>19</v>
      </c>
      <c r="L256">
        <v>1.2406877446454181E-3</v>
      </c>
      <c r="M256">
        <v>0</v>
      </c>
      <c r="N256">
        <v>3.1017193616135453E-3</v>
      </c>
      <c r="O256">
        <v>0</v>
      </c>
      <c r="P256">
        <v>0</v>
      </c>
      <c r="Q256">
        <v>1.2406877446454181E-3</v>
      </c>
      <c r="R256">
        <v>0</v>
      </c>
      <c r="S256">
        <v>2.4813754892908362E-3</v>
      </c>
      <c r="T256">
        <v>0</v>
      </c>
      <c r="U256">
        <v>5.3349573019752974E-2</v>
      </c>
      <c r="V256">
        <v>0</v>
      </c>
      <c r="W256">
        <v>6.2034387232270905E-4</v>
      </c>
      <c r="X256">
        <v>0</v>
      </c>
      <c r="Y256">
        <v>1.2406877446454181E-3</v>
      </c>
      <c r="Z256">
        <v>6.2034387232270905E-4</v>
      </c>
      <c r="AA256">
        <v>0</v>
      </c>
      <c r="AB256">
        <v>0</v>
      </c>
      <c r="AC256">
        <v>0</v>
      </c>
      <c r="AD256">
        <v>0</v>
      </c>
      <c r="AE256">
        <v>8.0644703401952181E-3</v>
      </c>
      <c r="AF256">
        <v>2.4813754892908362E-3</v>
      </c>
      <c r="AG256">
        <v>0</v>
      </c>
      <c r="AH256">
        <v>9.9255019571633449E-3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s">
        <v>19</v>
      </c>
      <c r="AT256" t="str">
        <f t="shared" si="6"/>
        <v>bus</v>
      </c>
      <c r="AU256" t="str">
        <f t="shared" si="7"/>
        <v>nga</v>
      </c>
    </row>
    <row r="257" spans="1:47">
      <c r="A257" t="s">
        <v>17</v>
      </c>
      <c r="B257" t="s">
        <v>176</v>
      </c>
      <c r="C257" t="s">
        <v>623</v>
      </c>
      <c r="D257" t="s">
        <v>19</v>
      </c>
      <c r="E257" t="s">
        <v>19</v>
      </c>
      <c r="F257" t="s">
        <v>19</v>
      </c>
      <c r="G257" t="s">
        <v>185</v>
      </c>
      <c r="H257" t="s">
        <v>19</v>
      </c>
      <c r="I257" t="s">
        <v>19</v>
      </c>
      <c r="J257" t="s">
        <v>19</v>
      </c>
      <c r="K257" t="s">
        <v>19</v>
      </c>
      <c r="L257">
        <v>1.2406877446454181E-3</v>
      </c>
      <c r="M257">
        <v>0</v>
      </c>
      <c r="N257">
        <v>3.1017193616135453E-3</v>
      </c>
      <c r="O257">
        <v>0</v>
      </c>
      <c r="P257">
        <v>0</v>
      </c>
      <c r="Q257">
        <v>1.2406877446454181E-3</v>
      </c>
      <c r="R257">
        <v>0</v>
      </c>
      <c r="S257">
        <v>2.4813754892908362E-3</v>
      </c>
      <c r="T257">
        <v>0</v>
      </c>
      <c r="U257">
        <v>5.3349573019752974E-2</v>
      </c>
      <c r="V257">
        <v>0</v>
      </c>
      <c r="W257">
        <v>6.2034387232270905E-4</v>
      </c>
      <c r="X257">
        <v>0</v>
      </c>
      <c r="Y257">
        <v>1.2406877446454181E-3</v>
      </c>
      <c r="Z257">
        <v>6.2034387232270905E-4</v>
      </c>
      <c r="AA257">
        <v>0</v>
      </c>
      <c r="AB257">
        <v>0</v>
      </c>
      <c r="AC257">
        <v>0</v>
      </c>
      <c r="AD257">
        <v>0</v>
      </c>
      <c r="AE257">
        <v>8.0644703401952181E-3</v>
      </c>
      <c r="AF257">
        <v>2.4813754892908362E-3</v>
      </c>
      <c r="AG257">
        <v>0</v>
      </c>
      <c r="AH257">
        <v>9.9255019571633449E-3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s">
        <v>19</v>
      </c>
      <c r="AT257" t="str">
        <f t="shared" si="6"/>
        <v>bus</v>
      </c>
      <c r="AU257" t="str">
        <f t="shared" si="7"/>
        <v>nga</v>
      </c>
    </row>
    <row r="258" spans="1:47">
      <c r="A258" t="s">
        <v>17</v>
      </c>
      <c r="B258" t="s">
        <v>176</v>
      </c>
      <c r="C258" t="s">
        <v>623</v>
      </c>
      <c r="D258" t="s">
        <v>19</v>
      </c>
      <c r="E258" t="s">
        <v>19</v>
      </c>
      <c r="F258" t="s">
        <v>19</v>
      </c>
      <c r="G258" t="s">
        <v>186</v>
      </c>
      <c r="H258" t="s">
        <v>19</v>
      </c>
      <c r="I258" t="s">
        <v>19</v>
      </c>
      <c r="J258" t="s">
        <v>19</v>
      </c>
      <c r="K258" t="s">
        <v>19</v>
      </c>
      <c r="L258">
        <v>1.2406877446454181E-3</v>
      </c>
      <c r="M258">
        <v>0</v>
      </c>
      <c r="N258">
        <v>3.1017193616135453E-3</v>
      </c>
      <c r="O258">
        <v>0</v>
      </c>
      <c r="P258">
        <v>0</v>
      </c>
      <c r="Q258">
        <v>1.2406877446454181E-3</v>
      </c>
      <c r="R258">
        <v>0</v>
      </c>
      <c r="S258">
        <v>2.4813754892908362E-3</v>
      </c>
      <c r="T258">
        <v>0</v>
      </c>
      <c r="U258">
        <v>5.3349573019752974E-2</v>
      </c>
      <c r="V258">
        <v>0</v>
      </c>
      <c r="W258">
        <v>6.2034387232270905E-4</v>
      </c>
      <c r="X258">
        <v>0</v>
      </c>
      <c r="Y258">
        <v>1.2406877446454181E-3</v>
      </c>
      <c r="Z258">
        <v>6.2034387232270905E-4</v>
      </c>
      <c r="AA258">
        <v>0</v>
      </c>
      <c r="AB258">
        <v>0</v>
      </c>
      <c r="AC258">
        <v>0</v>
      </c>
      <c r="AD258">
        <v>0</v>
      </c>
      <c r="AE258">
        <v>8.0644703401952181E-3</v>
      </c>
      <c r="AF258">
        <v>2.4813754892908362E-3</v>
      </c>
      <c r="AG258">
        <v>0</v>
      </c>
      <c r="AH258">
        <v>9.9255019571633449E-3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s">
        <v>19</v>
      </c>
      <c r="AT258" t="str">
        <f t="shared" si="6"/>
        <v>bus</v>
      </c>
      <c r="AU258" t="str">
        <f t="shared" si="7"/>
        <v>nga</v>
      </c>
    </row>
    <row r="259" spans="1:47">
      <c r="A259" t="s">
        <v>17</v>
      </c>
      <c r="B259" t="s">
        <v>176</v>
      </c>
      <c r="C259" t="s">
        <v>623</v>
      </c>
      <c r="D259" t="s">
        <v>19</v>
      </c>
      <c r="E259" t="s">
        <v>19</v>
      </c>
      <c r="F259" t="s">
        <v>19</v>
      </c>
      <c r="G259" t="s">
        <v>187</v>
      </c>
      <c r="H259" t="s">
        <v>19</v>
      </c>
      <c r="I259" t="s">
        <v>19</v>
      </c>
      <c r="J259" t="s">
        <v>19</v>
      </c>
      <c r="K259" t="s">
        <v>19</v>
      </c>
      <c r="L259">
        <v>1.2406877446454181E-3</v>
      </c>
      <c r="M259">
        <v>0</v>
      </c>
      <c r="N259">
        <v>3.1017193616135453E-3</v>
      </c>
      <c r="O259">
        <v>0</v>
      </c>
      <c r="P259">
        <v>0</v>
      </c>
      <c r="Q259">
        <v>1.2406877446454181E-3</v>
      </c>
      <c r="R259">
        <v>0</v>
      </c>
      <c r="S259">
        <v>2.4813754892908362E-3</v>
      </c>
      <c r="T259">
        <v>0</v>
      </c>
      <c r="U259">
        <v>5.3349573019752974E-2</v>
      </c>
      <c r="V259">
        <v>0</v>
      </c>
      <c r="W259">
        <v>6.2034387232270905E-4</v>
      </c>
      <c r="X259">
        <v>0</v>
      </c>
      <c r="Y259">
        <v>1.2406877446454181E-3</v>
      </c>
      <c r="Z259">
        <v>6.2034387232270905E-4</v>
      </c>
      <c r="AA259">
        <v>0</v>
      </c>
      <c r="AB259">
        <v>0</v>
      </c>
      <c r="AC259">
        <v>0</v>
      </c>
      <c r="AD259">
        <v>0</v>
      </c>
      <c r="AE259">
        <v>8.0644703401952181E-3</v>
      </c>
      <c r="AF259">
        <v>2.4813754892908362E-3</v>
      </c>
      <c r="AG259">
        <v>0</v>
      </c>
      <c r="AH259">
        <v>9.9255019571633449E-3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s">
        <v>19</v>
      </c>
      <c r="AT259" t="str">
        <f t="shared" ref="AT259:AT322" si="8">MID(C259,5,3)</f>
        <v>bus</v>
      </c>
      <c r="AU259" t="str">
        <f t="shared" ref="AU259:AU322" si="9">RIGHT(C259,3)</f>
        <v>nga</v>
      </c>
    </row>
    <row r="260" spans="1:47">
      <c r="A260" t="s">
        <v>17</v>
      </c>
      <c r="B260" t="s">
        <v>176</v>
      </c>
      <c r="C260" t="s">
        <v>623</v>
      </c>
      <c r="D260" t="s">
        <v>19</v>
      </c>
      <c r="E260" t="s">
        <v>19</v>
      </c>
      <c r="F260" t="s">
        <v>19</v>
      </c>
      <c r="G260" t="s">
        <v>188</v>
      </c>
      <c r="H260" t="s">
        <v>19</v>
      </c>
      <c r="I260" t="s">
        <v>19</v>
      </c>
      <c r="J260" t="s">
        <v>19</v>
      </c>
      <c r="K260" t="s">
        <v>19</v>
      </c>
      <c r="L260">
        <v>1.2406877446454181E-3</v>
      </c>
      <c r="M260">
        <v>0</v>
      </c>
      <c r="N260">
        <v>3.1017193616135453E-3</v>
      </c>
      <c r="O260">
        <v>0</v>
      </c>
      <c r="P260">
        <v>0</v>
      </c>
      <c r="Q260">
        <v>1.2406877446454181E-3</v>
      </c>
      <c r="R260">
        <v>0</v>
      </c>
      <c r="S260">
        <v>2.4813754892908362E-3</v>
      </c>
      <c r="T260">
        <v>0</v>
      </c>
      <c r="U260">
        <v>5.3349573019752974E-2</v>
      </c>
      <c r="V260">
        <v>0</v>
      </c>
      <c r="W260">
        <v>6.2034387232270905E-4</v>
      </c>
      <c r="X260">
        <v>0</v>
      </c>
      <c r="Y260">
        <v>1.2406877446454181E-3</v>
      </c>
      <c r="Z260">
        <v>6.2034387232270905E-4</v>
      </c>
      <c r="AA260">
        <v>0</v>
      </c>
      <c r="AB260">
        <v>0</v>
      </c>
      <c r="AC260">
        <v>0</v>
      </c>
      <c r="AD260">
        <v>0</v>
      </c>
      <c r="AE260">
        <v>8.0644703401952181E-3</v>
      </c>
      <c r="AF260">
        <v>2.4813754892908362E-3</v>
      </c>
      <c r="AG260">
        <v>0</v>
      </c>
      <c r="AH260">
        <v>9.9255019571633449E-3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19</v>
      </c>
      <c r="AT260" t="str">
        <f t="shared" si="8"/>
        <v>bus</v>
      </c>
      <c r="AU260" t="str">
        <f t="shared" si="9"/>
        <v>nga</v>
      </c>
    </row>
    <row r="261" spans="1:47">
      <c r="A261" t="s">
        <v>17</v>
      </c>
      <c r="B261" t="s">
        <v>176</v>
      </c>
      <c r="C261" t="s">
        <v>623</v>
      </c>
      <c r="D261" t="s">
        <v>19</v>
      </c>
      <c r="E261" t="s">
        <v>19</v>
      </c>
      <c r="F261" t="s">
        <v>19</v>
      </c>
      <c r="G261" t="s">
        <v>100</v>
      </c>
      <c r="H261" t="s">
        <v>19</v>
      </c>
      <c r="I261" t="s">
        <v>19</v>
      </c>
      <c r="J261" t="s">
        <v>19</v>
      </c>
      <c r="K261" t="s">
        <v>19</v>
      </c>
      <c r="L261">
        <v>1.2406877446454181E-3</v>
      </c>
      <c r="M261">
        <v>0</v>
      </c>
      <c r="N261">
        <v>3.1017193616135453E-3</v>
      </c>
      <c r="O261">
        <v>0</v>
      </c>
      <c r="P261">
        <v>0</v>
      </c>
      <c r="Q261">
        <v>1.2406877446454181E-3</v>
      </c>
      <c r="R261">
        <v>0</v>
      </c>
      <c r="S261">
        <v>2.4813754892908362E-3</v>
      </c>
      <c r="T261">
        <v>0</v>
      </c>
      <c r="U261">
        <v>5.3349573019752974E-2</v>
      </c>
      <c r="V261">
        <v>0</v>
      </c>
      <c r="W261">
        <v>6.2034387232270905E-4</v>
      </c>
      <c r="X261">
        <v>0</v>
      </c>
      <c r="Y261">
        <v>1.2406877446454181E-3</v>
      </c>
      <c r="Z261">
        <v>6.2034387232270905E-4</v>
      </c>
      <c r="AA261">
        <v>0</v>
      </c>
      <c r="AB261">
        <v>0</v>
      </c>
      <c r="AC261">
        <v>0</v>
      </c>
      <c r="AD261">
        <v>0</v>
      </c>
      <c r="AE261">
        <v>8.0644703401952181E-3</v>
      </c>
      <c r="AF261">
        <v>2.4813754892908362E-3</v>
      </c>
      <c r="AG261">
        <v>0</v>
      </c>
      <c r="AH261">
        <v>9.9255019571633449E-3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s">
        <v>19</v>
      </c>
      <c r="AT261" t="str">
        <f t="shared" si="8"/>
        <v>bus</v>
      </c>
      <c r="AU261" t="str">
        <f t="shared" si="9"/>
        <v>nga</v>
      </c>
    </row>
    <row r="262" spans="1:47">
      <c r="A262" t="s">
        <v>17</v>
      </c>
      <c r="B262" t="s">
        <v>176</v>
      </c>
      <c r="C262" t="s">
        <v>622</v>
      </c>
      <c r="D262" t="s">
        <v>19</v>
      </c>
      <c r="E262" t="s">
        <v>19</v>
      </c>
      <c r="F262" t="s">
        <v>19</v>
      </c>
      <c r="G262" t="s">
        <v>603</v>
      </c>
      <c r="H262" t="s">
        <v>19</v>
      </c>
      <c r="I262" t="s">
        <v>19</v>
      </c>
      <c r="J262" t="s">
        <v>19</v>
      </c>
      <c r="K262" t="s">
        <v>19</v>
      </c>
      <c r="L262">
        <v>0</v>
      </c>
      <c r="M262">
        <v>0</v>
      </c>
      <c r="N262">
        <v>8.0644703401952181E-3</v>
      </c>
      <c r="O262">
        <v>0</v>
      </c>
      <c r="P262">
        <v>3.7220632339362539E-3</v>
      </c>
      <c r="Q262">
        <v>5.6451292381366522E-2</v>
      </c>
      <c r="R262">
        <v>0</v>
      </c>
      <c r="S262">
        <v>0.12282808671989638</v>
      </c>
      <c r="T262">
        <v>6.2034387232270905E-4</v>
      </c>
      <c r="U262">
        <v>9.3051580848406354E-3</v>
      </c>
      <c r="V262">
        <v>8.8709173742147387E-2</v>
      </c>
      <c r="W262">
        <v>7.0719201444788826E-2</v>
      </c>
      <c r="X262">
        <v>5.3969916892075684E-2</v>
      </c>
      <c r="Y262">
        <v>7.3820920806402374E-2</v>
      </c>
      <c r="Z262">
        <v>3.101719361613545E-2</v>
      </c>
      <c r="AA262">
        <v>9.1190549231438225E-2</v>
      </c>
      <c r="AB262">
        <v>4.3424071062589638E-3</v>
      </c>
      <c r="AC262">
        <v>0.13089255706009159</v>
      </c>
      <c r="AD262">
        <v>8.8088829869824678E-2</v>
      </c>
      <c r="AE262">
        <v>6.2034387232270905E-4</v>
      </c>
      <c r="AF262">
        <v>6.2034387232270905E-3</v>
      </c>
      <c r="AG262">
        <v>0</v>
      </c>
      <c r="AH262">
        <v>0</v>
      </c>
      <c r="AI262">
        <v>2.2332379403617524E-2</v>
      </c>
      <c r="AJ262">
        <v>0</v>
      </c>
      <c r="AK262">
        <v>0</v>
      </c>
      <c r="AL262">
        <v>0</v>
      </c>
      <c r="AM262">
        <v>6.5136106593884455E-2</v>
      </c>
      <c r="AN262">
        <v>6.2034387232270905E-3</v>
      </c>
      <c r="AO262" t="s">
        <v>19</v>
      </c>
      <c r="AT262" t="str">
        <f t="shared" si="8"/>
        <v>car</v>
      </c>
      <c r="AU262" t="str">
        <f t="shared" si="9"/>
        <v>bdl</v>
      </c>
    </row>
    <row r="263" spans="1:47">
      <c r="A263" t="s">
        <v>17</v>
      </c>
      <c r="B263" t="s">
        <v>176</v>
      </c>
      <c r="C263" t="s">
        <v>622</v>
      </c>
      <c r="D263" t="s">
        <v>19</v>
      </c>
      <c r="E263" t="s">
        <v>19</v>
      </c>
      <c r="F263" t="s">
        <v>19</v>
      </c>
      <c r="G263" t="s">
        <v>602</v>
      </c>
      <c r="H263" t="s">
        <v>19</v>
      </c>
      <c r="I263" t="s">
        <v>19</v>
      </c>
      <c r="J263" t="s">
        <v>19</v>
      </c>
      <c r="K263" t="s">
        <v>19</v>
      </c>
      <c r="L263">
        <v>0</v>
      </c>
      <c r="M263">
        <v>0</v>
      </c>
      <c r="N263">
        <v>8.0644703401952181E-3</v>
      </c>
      <c r="O263">
        <v>0</v>
      </c>
      <c r="P263">
        <v>3.7220632339362539E-3</v>
      </c>
      <c r="Q263">
        <v>5.6451292381366522E-2</v>
      </c>
      <c r="R263">
        <v>0</v>
      </c>
      <c r="S263">
        <v>0.12282808671989638</v>
      </c>
      <c r="T263">
        <v>6.2034387232270905E-4</v>
      </c>
      <c r="U263">
        <v>9.3051580848406354E-3</v>
      </c>
      <c r="V263">
        <v>8.8709173742147387E-2</v>
      </c>
      <c r="W263">
        <v>7.0719201444788826E-2</v>
      </c>
      <c r="X263">
        <v>5.3969916892075684E-2</v>
      </c>
      <c r="Y263">
        <v>7.3820920806402374E-2</v>
      </c>
      <c r="Z263">
        <v>3.101719361613545E-2</v>
      </c>
      <c r="AA263">
        <v>9.1190549231438225E-2</v>
      </c>
      <c r="AB263">
        <v>4.3424071062589638E-3</v>
      </c>
      <c r="AC263">
        <v>0.13089255706009159</v>
      </c>
      <c r="AD263">
        <v>8.8088829869824678E-2</v>
      </c>
      <c r="AE263">
        <v>6.2034387232270905E-4</v>
      </c>
      <c r="AF263">
        <v>6.2034387232270905E-3</v>
      </c>
      <c r="AG263">
        <v>0</v>
      </c>
      <c r="AH263">
        <v>0</v>
      </c>
      <c r="AI263">
        <v>2.2332379403617524E-2</v>
      </c>
      <c r="AJ263">
        <v>0</v>
      </c>
      <c r="AK263">
        <v>0</v>
      </c>
      <c r="AL263">
        <v>0</v>
      </c>
      <c r="AM263">
        <v>6.5136106593884455E-2</v>
      </c>
      <c r="AN263">
        <v>6.2034387232270905E-3</v>
      </c>
      <c r="AO263" t="s">
        <v>19</v>
      </c>
      <c r="AT263" t="str">
        <f t="shared" si="8"/>
        <v>car</v>
      </c>
      <c r="AU263" t="str">
        <f t="shared" si="9"/>
        <v>bdl</v>
      </c>
    </row>
    <row r="264" spans="1:47">
      <c r="A264" t="s">
        <v>17</v>
      </c>
      <c r="B264" t="s">
        <v>176</v>
      </c>
      <c r="C264" t="s">
        <v>622</v>
      </c>
      <c r="D264" t="s">
        <v>19</v>
      </c>
      <c r="E264" t="s">
        <v>19</v>
      </c>
      <c r="F264" t="s">
        <v>19</v>
      </c>
      <c r="G264" t="s">
        <v>601</v>
      </c>
      <c r="H264" t="s">
        <v>19</v>
      </c>
      <c r="I264" t="s">
        <v>19</v>
      </c>
      <c r="J264" t="s">
        <v>19</v>
      </c>
      <c r="K264" t="s">
        <v>19</v>
      </c>
      <c r="L264">
        <v>0</v>
      </c>
      <c r="M264">
        <v>0</v>
      </c>
      <c r="N264">
        <v>8.0644703401952181E-3</v>
      </c>
      <c r="O264">
        <v>0</v>
      </c>
      <c r="P264">
        <v>3.7220632339362539E-3</v>
      </c>
      <c r="Q264">
        <v>5.6451292381366522E-2</v>
      </c>
      <c r="R264">
        <v>0</v>
      </c>
      <c r="S264">
        <v>0.12282808671989638</v>
      </c>
      <c r="T264">
        <v>6.2034387232270905E-4</v>
      </c>
      <c r="U264">
        <v>9.3051580848406354E-3</v>
      </c>
      <c r="V264">
        <v>8.8709173742147387E-2</v>
      </c>
      <c r="W264">
        <v>7.0719201444788826E-2</v>
      </c>
      <c r="X264">
        <v>5.3969916892075684E-2</v>
      </c>
      <c r="Y264">
        <v>7.3820920806402374E-2</v>
      </c>
      <c r="Z264">
        <v>3.101719361613545E-2</v>
      </c>
      <c r="AA264">
        <v>9.1190549231438225E-2</v>
      </c>
      <c r="AB264">
        <v>4.3424071062589638E-3</v>
      </c>
      <c r="AC264">
        <v>0.13089255706009159</v>
      </c>
      <c r="AD264">
        <v>8.8088829869824678E-2</v>
      </c>
      <c r="AE264">
        <v>6.2034387232270905E-4</v>
      </c>
      <c r="AF264">
        <v>6.2034387232270905E-3</v>
      </c>
      <c r="AG264">
        <v>0</v>
      </c>
      <c r="AH264">
        <v>0</v>
      </c>
      <c r="AI264">
        <v>2.2332379403617524E-2</v>
      </c>
      <c r="AJ264">
        <v>0</v>
      </c>
      <c r="AK264">
        <v>0</v>
      </c>
      <c r="AL264">
        <v>0</v>
      </c>
      <c r="AM264">
        <v>6.5136106593884455E-2</v>
      </c>
      <c r="AN264">
        <v>6.2034387232270905E-3</v>
      </c>
      <c r="AO264" t="s">
        <v>19</v>
      </c>
      <c r="AT264" t="str">
        <f t="shared" si="8"/>
        <v>car</v>
      </c>
      <c r="AU264" t="str">
        <f t="shared" si="9"/>
        <v>bdl</v>
      </c>
    </row>
    <row r="265" spans="1:47">
      <c r="A265" t="s">
        <v>17</v>
      </c>
      <c r="B265" t="s">
        <v>176</v>
      </c>
      <c r="C265" t="s">
        <v>622</v>
      </c>
      <c r="D265" t="s">
        <v>19</v>
      </c>
      <c r="E265" t="s">
        <v>19</v>
      </c>
      <c r="F265" t="s">
        <v>19</v>
      </c>
      <c r="G265" t="s">
        <v>600</v>
      </c>
      <c r="H265" t="s">
        <v>19</v>
      </c>
      <c r="I265" t="s">
        <v>19</v>
      </c>
      <c r="J265" t="s">
        <v>19</v>
      </c>
      <c r="K265" t="s">
        <v>19</v>
      </c>
      <c r="L265">
        <v>0</v>
      </c>
      <c r="M265">
        <v>0</v>
      </c>
      <c r="N265">
        <v>8.0644703401952181E-3</v>
      </c>
      <c r="O265">
        <v>0</v>
      </c>
      <c r="P265">
        <v>3.7220632339362539E-3</v>
      </c>
      <c r="Q265">
        <v>5.6451292381366522E-2</v>
      </c>
      <c r="R265">
        <v>0</v>
      </c>
      <c r="S265">
        <v>0.12282808671989638</v>
      </c>
      <c r="T265">
        <v>6.2034387232270905E-4</v>
      </c>
      <c r="U265">
        <v>9.3051580848406354E-3</v>
      </c>
      <c r="V265">
        <v>8.8709173742147387E-2</v>
      </c>
      <c r="W265">
        <v>7.0719201444788826E-2</v>
      </c>
      <c r="X265">
        <v>5.3969916892075684E-2</v>
      </c>
      <c r="Y265">
        <v>7.3820920806402374E-2</v>
      </c>
      <c r="Z265">
        <v>3.101719361613545E-2</v>
      </c>
      <c r="AA265">
        <v>9.1190549231438225E-2</v>
      </c>
      <c r="AB265">
        <v>4.3424071062589638E-3</v>
      </c>
      <c r="AC265">
        <v>0.13089255706009159</v>
      </c>
      <c r="AD265">
        <v>8.8088829869824678E-2</v>
      </c>
      <c r="AE265">
        <v>6.2034387232270905E-4</v>
      </c>
      <c r="AF265">
        <v>6.2034387232270905E-3</v>
      </c>
      <c r="AG265">
        <v>0</v>
      </c>
      <c r="AH265">
        <v>0</v>
      </c>
      <c r="AI265">
        <v>2.2332379403617524E-2</v>
      </c>
      <c r="AJ265">
        <v>0</v>
      </c>
      <c r="AK265">
        <v>0</v>
      </c>
      <c r="AL265">
        <v>0</v>
      </c>
      <c r="AM265">
        <v>6.5136106593884455E-2</v>
      </c>
      <c r="AN265">
        <v>6.2034387232270905E-3</v>
      </c>
      <c r="AO265" t="s">
        <v>19</v>
      </c>
      <c r="AT265" t="str">
        <f t="shared" si="8"/>
        <v>car</v>
      </c>
      <c r="AU265" t="str">
        <f t="shared" si="9"/>
        <v>bdl</v>
      </c>
    </row>
    <row r="266" spans="1:47">
      <c r="A266" t="s">
        <v>17</v>
      </c>
      <c r="B266" t="s">
        <v>176</v>
      </c>
      <c r="C266" t="s">
        <v>622</v>
      </c>
      <c r="D266" t="s">
        <v>19</v>
      </c>
      <c r="E266" t="s">
        <v>19</v>
      </c>
      <c r="F266" t="s">
        <v>19</v>
      </c>
      <c r="G266" t="s">
        <v>599</v>
      </c>
      <c r="H266" t="s">
        <v>19</v>
      </c>
      <c r="I266" t="s">
        <v>19</v>
      </c>
      <c r="J266" t="s">
        <v>19</v>
      </c>
      <c r="K266" t="s">
        <v>19</v>
      </c>
      <c r="L266">
        <v>0</v>
      </c>
      <c r="M266">
        <v>0</v>
      </c>
      <c r="N266">
        <v>8.0644703401952181E-3</v>
      </c>
      <c r="O266">
        <v>0</v>
      </c>
      <c r="P266">
        <v>3.7220632339362539E-3</v>
      </c>
      <c r="Q266">
        <v>5.6451292381366522E-2</v>
      </c>
      <c r="R266">
        <v>0</v>
      </c>
      <c r="S266">
        <v>0.12282808671989638</v>
      </c>
      <c r="T266">
        <v>6.2034387232270905E-4</v>
      </c>
      <c r="U266">
        <v>9.3051580848406354E-3</v>
      </c>
      <c r="V266">
        <v>8.8709173742147387E-2</v>
      </c>
      <c r="W266">
        <v>7.0719201444788826E-2</v>
      </c>
      <c r="X266">
        <v>5.3969916892075684E-2</v>
      </c>
      <c r="Y266">
        <v>7.3820920806402374E-2</v>
      </c>
      <c r="Z266">
        <v>3.101719361613545E-2</v>
      </c>
      <c r="AA266">
        <v>9.1190549231438225E-2</v>
      </c>
      <c r="AB266">
        <v>4.3424071062589638E-3</v>
      </c>
      <c r="AC266">
        <v>0.13089255706009159</v>
      </c>
      <c r="AD266">
        <v>8.8088829869824678E-2</v>
      </c>
      <c r="AE266">
        <v>6.2034387232270905E-4</v>
      </c>
      <c r="AF266">
        <v>6.2034387232270905E-3</v>
      </c>
      <c r="AG266">
        <v>0</v>
      </c>
      <c r="AH266">
        <v>0</v>
      </c>
      <c r="AI266">
        <v>2.2332379403617524E-2</v>
      </c>
      <c r="AJ266">
        <v>0</v>
      </c>
      <c r="AK266">
        <v>0</v>
      </c>
      <c r="AL266">
        <v>0</v>
      </c>
      <c r="AM266">
        <v>6.5136106593884455E-2</v>
      </c>
      <c r="AN266">
        <v>6.2034387232270905E-3</v>
      </c>
      <c r="AO266" t="s">
        <v>19</v>
      </c>
      <c r="AT266" t="str">
        <f t="shared" si="8"/>
        <v>car</v>
      </c>
      <c r="AU266" t="str">
        <f t="shared" si="9"/>
        <v>bdl</v>
      </c>
    </row>
    <row r="267" spans="1:47">
      <c r="A267" t="s">
        <v>17</v>
      </c>
      <c r="B267" t="s">
        <v>176</v>
      </c>
      <c r="C267" t="s">
        <v>622</v>
      </c>
      <c r="D267" t="s">
        <v>19</v>
      </c>
      <c r="E267" t="s">
        <v>19</v>
      </c>
      <c r="F267" t="s">
        <v>19</v>
      </c>
      <c r="G267" t="s">
        <v>598</v>
      </c>
      <c r="H267" t="s">
        <v>19</v>
      </c>
      <c r="I267" t="s">
        <v>19</v>
      </c>
      <c r="J267" t="s">
        <v>19</v>
      </c>
      <c r="K267" t="s">
        <v>19</v>
      </c>
      <c r="L267">
        <v>0</v>
      </c>
      <c r="M267">
        <v>0</v>
      </c>
      <c r="N267">
        <v>8.0644703401952181E-3</v>
      </c>
      <c r="O267">
        <v>0</v>
      </c>
      <c r="P267">
        <v>3.7220632339362539E-3</v>
      </c>
      <c r="Q267">
        <v>5.6451292381366522E-2</v>
      </c>
      <c r="R267">
        <v>0</v>
      </c>
      <c r="S267">
        <v>0.12282808671989638</v>
      </c>
      <c r="T267">
        <v>6.2034387232270905E-4</v>
      </c>
      <c r="U267">
        <v>9.3051580848406354E-3</v>
      </c>
      <c r="V267">
        <v>8.8709173742147387E-2</v>
      </c>
      <c r="W267">
        <v>7.0719201444788826E-2</v>
      </c>
      <c r="X267">
        <v>5.3969916892075684E-2</v>
      </c>
      <c r="Y267">
        <v>7.3820920806402374E-2</v>
      </c>
      <c r="Z267">
        <v>3.101719361613545E-2</v>
      </c>
      <c r="AA267">
        <v>9.1190549231438225E-2</v>
      </c>
      <c r="AB267">
        <v>4.3424071062589638E-3</v>
      </c>
      <c r="AC267">
        <v>0.13089255706009159</v>
      </c>
      <c r="AD267">
        <v>8.8088829869824678E-2</v>
      </c>
      <c r="AE267">
        <v>6.2034387232270905E-4</v>
      </c>
      <c r="AF267">
        <v>6.2034387232270905E-3</v>
      </c>
      <c r="AG267">
        <v>0</v>
      </c>
      <c r="AH267">
        <v>0</v>
      </c>
      <c r="AI267">
        <v>2.2332379403617524E-2</v>
      </c>
      <c r="AJ267">
        <v>0</v>
      </c>
      <c r="AK267">
        <v>0</v>
      </c>
      <c r="AL267">
        <v>0</v>
      </c>
      <c r="AM267">
        <v>6.5136106593884455E-2</v>
      </c>
      <c r="AN267">
        <v>6.2034387232270905E-3</v>
      </c>
      <c r="AO267" t="s">
        <v>19</v>
      </c>
      <c r="AT267" t="str">
        <f t="shared" si="8"/>
        <v>car</v>
      </c>
      <c r="AU267" t="str">
        <f t="shared" si="9"/>
        <v>bdl</v>
      </c>
    </row>
    <row r="268" spans="1:47">
      <c r="A268" t="s">
        <v>17</v>
      </c>
      <c r="B268" t="s">
        <v>176</v>
      </c>
      <c r="C268" t="s">
        <v>622</v>
      </c>
      <c r="D268" t="s">
        <v>19</v>
      </c>
      <c r="E268" t="s">
        <v>19</v>
      </c>
      <c r="F268" t="s">
        <v>19</v>
      </c>
      <c r="G268" t="s">
        <v>597</v>
      </c>
      <c r="H268" t="s">
        <v>19</v>
      </c>
      <c r="I268" t="s">
        <v>19</v>
      </c>
      <c r="J268" t="s">
        <v>19</v>
      </c>
      <c r="K268" t="s">
        <v>19</v>
      </c>
      <c r="L268">
        <v>0</v>
      </c>
      <c r="M268">
        <v>0</v>
      </c>
      <c r="N268">
        <v>8.0644703401952181E-3</v>
      </c>
      <c r="O268">
        <v>0</v>
      </c>
      <c r="P268">
        <v>3.7220632339362539E-3</v>
      </c>
      <c r="Q268">
        <v>5.6451292381366522E-2</v>
      </c>
      <c r="R268">
        <v>0</v>
      </c>
      <c r="S268">
        <v>0.12282808671989638</v>
      </c>
      <c r="T268">
        <v>6.2034387232270905E-4</v>
      </c>
      <c r="U268">
        <v>9.3051580848406354E-3</v>
      </c>
      <c r="V268">
        <v>8.8709173742147387E-2</v>
      </c>
      <c r="W268">
        <v>7.0719201444788826E-2</v>
      </c>
      <c r="X268">
        <v>5.3969916892075684E-2</v>
      </c>
      <c r="Y268">
        <v>7.3820920806402374E-2</v>
      </c>
      <c r="Z268">
        <v>3.101719361613545E-2</v>
      </c>
      <c r="AA268">
        <v>9.1190549231438225E-2</v>
      </c>
      <c r="AB268">
        <v>4.3424071062589638E-3</v>
      </c>
      <c r="AC268">
        <v>0.13089255706009159</v>
      </c>
      <c r="AD268">
        <v>8.8088829869824678E-2</v>
      </c>
      <c r="AE268">
        <v>6.2034387232270905E-4</v>
      </c>
      <c r="AF268">
        <v>6.2034387232270905E-3</v>
      </c>
      <c r="AG268">
        <v>0</v>
      </c>
      <c r="AH268">
        <v>0</v>
      </c>
      <c r="AI268">
        <v>2.2332379403617524E-2</v>
      </c>
      <c r="AJ268">
        <v>0</v>
      </c>
      <c r="AK268">
        <v>0</v>
      </c>
      <c r="AL268">
        <v>0</v>
      </c>
      <c r="AM268">
        <v>6.5136106593884455E-2</v>
      </c>
      <c r="AN268">
        <v>6.2034387232270905E-3</v>
      </c>
      <c r="AO268" t="s">
        <v>19</v>
      </c>
      <c r="AT268" t="str">
        <f t="shared" si="8"/>
        <v>car</v>
      </c>
      <c r="AU268" t="str">
        <f t="shared" si="9"/>
        <v>bdl</v>
      </c>
    </row>
    <row r="269" spans="1:47">
      <c r="A269" t="s">
        <v>17</v>
      </c>
      <c r="B269" t="s">
        <v>176</v>
      </c>
      <c r="C269" t="s">
        <v>622</v>
      </c>
      <c r="D269" t="s">
        <v>19</v>
      </c>
      <c r="E269" t="s">
        <v>19</v>
      </c>
      <c r="F269" t="s">
        <v>19</v>
      </c>
      <c r="G269" t="s">
        <v>596</v>
      </c>
      <c r="H269" t="s">
        <v>19</v>
      </c>
      <c r="I269" t="s">
        <v>19</v>
      </c>
      <c r="J269" t="s">
        <v>19</v>
      </c>
      <c r="K269" t="s">
        <v>19</v>
      </c>
      <c r="L269">
        <v>0</v>
      </c>
      <c r="M269">
        <v>0</v>
      </c>
      <c r="N269">
        <v>8.0644703401952181E-3</v>
      </c>
      <c r="O269">
        <v>0</v>
      </c>
      <c r="P269">
        <v>3.7220632339362539E-3</v>
      </c>
      <c r="Q269">
        <v>5.6451292381366522E-2</v>
      </c>
      <c r="R269">
        <v>0</v>
      </c>
      <c r="S269">
        <v>0.12282808671989638</v>
      </c>
      <c r="T269">
        <v>6.2034387232270905E-4</v>
      </c>
      <c r="U269">
        <v>9.3051580848406354E-3</v>
      </c>
      <c r="V269">
        <v>8.8709173742147387E-2</v>
      </c>
      <c r="W269">
        <v>7.0719201444788826E-2</v>
      </c>
      <c r="X269">
        <v>5.3969916892075684E-2</v>
      </c>
      <c r="Y269">
        <v>7.3820920806402374E-2</v>
      </c>
      <c r="Z269">
        <v>3.101719361613545E-2</v>
      </c>
      <c r="AA269">
        <v>9.1190549231438225E-2</v>
      </c>
      <c r="AB269">
        <v>4.3424071062589638E-3</v>
      </c>
      <c r="AC269">
        <v>0.13089255706009159</v>
      </c>
      <c r="AD269">
        <v>8.8088829869824678E-2</v>
      </c>
      <c r="AE269">
        <v>6.2034387232270905E-4</v>
      </c>
      <c r="AF269">
        <v>6.2034387232270905E-3</v>
      </c>
      <c r="AG269">
        <v>0</v>
      </c>
      <c r="AH269">
        <v>0</v>
      </c>
      <c r="AI269">
        <v>2.2332379403617524E-2</v>
      </c>
      <c r="AJ269">
        <v>0</v>
      </c>
      <c r="AK269">
        <v>0</v>
      </c>
      <c r="AL269">
        <v>0</v>
      </c>
      <c r="AM269">
        <v>6.5136106593884455E-2</v>
      </c>
      <c r="AN269">
        <v>6.2034387232270905E-3</v>
      </c>
      <c r="AO269" t="s">
        <v>19</v>
      </c>
      <c r="AT269" t="str">
        <f t="shared" si="8"/>
        <v>car</v>
      </c>
      <c r="AU269" t="str">
        <f t="shared" si="9"/>
        <v>bdl</v>
      </c>
    </row>
    <row r="270" spans="1:47">
      <c r="A270" t="s">
        <v>17</v>
      </c>
      <c r="B270" t="s">
        <v>176</v>
      </c>
      <c r="C270" t="s">
        <v>622</v>
      </c>
      <c r="D270" t="s">
        <v>19</v>
      </c>
      <c r="E270" t="s">
        <v>19</v>
      </c>
      <c r="F270" t="s">
        <v>19</v>
      </c>
      <c r="G270" t="s">
        <v>178</v>
      </c>
      <c r="H270" t="s">
        <v>19</v>
      </c>
      <c r="I270" t="s">
        <v>19</v>
      </c>
      <c r="J270" t="s">
        <v>19</v>
      </c>
      <c r="K270" t="s">
        <v>19</v>
      </c>
      <c r="L270">
        <v>0</v>
      </c>
      <c r="M270">
        <v>0</v>
      </c>
      <c r="N270">
        <v>8.0644703401952181E-3</v>
      </c>
      <c r="O270">
        <v>0</v>
      </c>
      <c r="P270">
        <v>3.7220632339362539E-3</v>
      </c>
      <c r="Q270">
        <v>5.6451292381366522E-2</v>
      </c>
      <c r="R270">
        <v>0</v>
      </c>
      <c r="S270">
        <v>0.12282808671989638</v>
      </c>
      <c r="T270">
        <v>6.2034387232270905E-4</v>
      </c>
      <c r="U270">
        <v>9.3051580848406354E-3</v>
      </c>
      <c r="V270">
        <v>8.8709173742147387E-2</v>
      </c>
      <c r="W270">
        <v>7.0719201444788826E-2</v>
      </c>
      <c r="X270">
        <v>5.3969916892075684E-2</v>
      </c>
      <c r="Y270">
        <v>7.3820920806402374E-2</v>
      </c>
      <c r="Z270">
        <v>3.101719361613545E-2</v>
      </c>
      <c r="AA270">
        <v>9.1190549231438225E-2</v>
      </c>
      <c r="AB270">
        <v>4.3424071062589638E-3</v>
      </c>
      <c r="AC270">
        <v>0.13089255706009159</v>
      </c>
      <c r="AD270">
        <v>8.8088829869824678E-2</v>
      </c>
      <c r="AE270">
        <v>6.2034387232270905E-4</v>
      </c>
      <c r="AF270">
        <v>6.2034387232270905E-3</v>
      </c>
      <c r="AG270">
        <v>0</v>
      </c>
      <c r="AH270">
        <v>0</v>
      </c>
      <c r="AI270">
        <v>2.2332379403617524E-2</v>
      </c>
      <c r="AJ270">
        <v>0</v>
      </c>
      <c r="AK270">
        <v>0</v>
      </c>
      <c r="AL270">
        <v>0</v>
      </c>
      <c r="AM270">
        <v>6.5136106593884455E-2</v>
      </c>
      <c r="AN270">
        <v>6.2034387232270905E-3</v>
      </c>
      <c r="AO270" t="s">
        <v>19</v>
      </c>
      <c r="AT270" t="str">
        <f t="shared" si="8"/>
        <v>car</v>
      </c>
      <c r="AU270" t="str">
        <f t="shared" si="9"/>
        <v>bdl</v>
      </c>
    </row>
    <row r="271" spans="1:47">
      <c r="A271" t="s">
        <v>17</v>
      </c>
      <c r="B271" t="s">
        <v>176</v>
      </c>
      <c r="C271" t="s">
        <v>622</v>
      </c>
      <c r="D271" t="s">
        <v>19</v>
      </c>
      <c r="E271" t="s">
        <v>19</v>
      </c>
      <c r="F271" t="s">
        <v>19</v>
      </c>
      <c r="G271" t="s">
        <v>179</v>
      </c>
      <c r="H271" t="s">
        <v>19</v>
      </c>
      <c r="I271" t="s">
        <v>19</v>
      </c>
      <c r="J271" t="s">
        <v>19</v>
      </c>
      <c r="K271" t="s">
        <v>19</v>
      </c>
      <c r="L271">
        <v>0</v>
      </c>
      <c r="M271">
        <v>0</v>
      </c>
      <c r="N271">
        <v>8.0644703401952181E-3</v>
      </c>
      <c r="O271">
        <v>0</v>
      </c>
      <c r="P271">
        <v>3.7220632339362539E-3</v>
      </c>
      <c r="Q271">
        <v>5.6451292381366522E-2</v>
      </c>
      <c r="R271">
        <v>0</v>
      </c>
      <c r="S271">
        <v>0.12282808671989638</v>
      </c>
      <c r="T271">
        <v>6.2034387232270905E-4</v>
      </c>
      <c r="U271">
        <v>9.3051580848406354E-3</v>
      </c>
      <c r="V271">
        <v>8.8709173742147387E-2</v>
      </c>
      <c r="W271">
        <v>7.0719201444788826E-2</v>
      </c>
      <c r="X271">
        <v>5.3969916892075684E-2</v>
      </c>
      <c r="Y271">
        <v>7.3820920806402374E-2</v>
      </c>
      <c r="Z271">
        <v>3.101719361613545E-2</v>
      </c>
      <c r="AA271">
        <v>9.1190549231438225E-2</v>
      </c>
      <c r="AB271">
        <v>4.3424071062589638E-3</v>
      </c>
      <c r="AC271">
        <v>0.13089255706009159</v>
      </c>
      <c r="AD271">
        <v>8.8088829869824678E-2</v>
      </c>
      <c r="AE271">
        <v>6.2034387232270905E-4</v>
      </c>
      <c r="AF271">
        <v>6.2034387232270905E-3</v>
      </c>
      <c r="AG271">
        <v>0</v>
      </c>
      <c r="AH271">
        <v>0</v>
      </c>
      <c r="AI271">
        <v>2.2332379403617524E-2</v>
      </c>
      <c r="AJ271">
        <v>0</v>
      </c>
      <c r="AK271">
        <v>0</v>
      </c>
      <c r="AL271">
        <v>0</v>
      </c>
      <c r="AM271">
        <v>6.5136106593884455E-2</v>
      </c>
      <c r="AN271">
        <v>6.2034387232270905E-3</v>
      </c>
      <c r="AO271" t="s">
        <v>19</v>
      </c>
      <c r="AT271" t="str">
        <f t="shared" si="8"/>
        <v>car</v>
      </c>
      <c r="AU271" t="str">
        <f t="shared" si="9"/>
        <v>bdl</v>
      </c>
    </row>
    <row r="272" spans="1:47">
      <c r="A272" t="s">
        <v>17</v>
      </c>
      <c r="B272" t="s">
        <v>176</v>
      </c>
      <c r="C272" t="s">
        <v>622</v>
      </c>
      <c r="D272" t="s">
        <v>19</v>
      </c>
      <c r="E272" t="s">
        <v>19</v>
      </c>
      <c r="F272" t="s">
        <v>19</v>
      </c>
      <c r="G272" t="s">
        <v>180</v>
      </c>
      <c r="H272" t="s">
        <v>19</v>
      </c>
      <c r="I272" t="s">
        <v>19</v>
      </c>
      <c r="J272" t="s">
        <v>19</v>
      </c>
      <c r="K272" t="s">
        <v>19</v>
      </c>
      <c r="L272">
        <v>0</v>
      </c>
      <c r="M272">
        <v>0</v>
      </c>
      <c r="N272">
        <v>8.0644703401952181E-3</v>
      </c>
      <c r="O272">
        <v>0</v>
      </c>
      <c r="P272">
        <v>3.7220632339362539E-3</v>
      </c>
      <c r="Q272">
        <v>5.6451292381366522E-2</v>
      </c>
      <c r="R272">
        <v>0</v>
      </c>
      <c r="S272">
        <v>0.12282808671989638</v>
      </c>
      <c r="T272">
        <v>6.2034387232270905E-4</v>
      </c>
      <c r="U272">
        <v>9.3051580848406354E-3</v>
      </c>
      <c r="V272">
        <v>8.8709173742147387E-2</v>
      </c>
      <c r="W272">
        <v>7.0719201444788826E-2</v>
      </c>
      <c r="X272">
        <v>5.3969916892075684E-2</v>
      </c>
      <c r="Y272">
        <v>7.3820920806402374E-2</v>
      </c>
      <c r="Z272">
        <v>3.101719361613545E-2</v>
      </c>
      <c r="AA272">
        <v>9.1190549231438225E-2</v>
      </c>
      <c r="AB272">
        <v>4.3424071062589638E-3</v>
      </c>
      <c r="AC272">
        <v>0.13089255706009159</v>
      </c>
      <c r="AD272">
        <v>8.8088829869824678E-2</v>
      </c>
      <c r="AE272">
        <v>6.2034387232270905E-4</v>
      </c>
      <c r="AF272">
        <v>6.2034387232270905E-3</v>
      </c>
      <c r="AG272">
        <v>0</v>
      </c>
      <c r="AH272">
        <v>0</v>
      </c>
      <c r="AI272">
        <v>2.2332379403617524E-2</v>
      </c>
      <c r="AJ272">
        <v>0</v>
      </c>
      <c r="AK272">
        <v>0</v>
      </c>
      <c r="AL272">
        <v>0</v>
      </c>
      <c r="AM272">
        <v>6.5136106593884455E-2</v>
      </c>
      <c r="AN272">
        <v>6.2034387232270905E-3</v>
      </c>
      <c r="AO272" t="s">
        <v>19</v>
      </c>
      <c r="AT272" t="str">
        <f t="shared" si="8"/>
        <v>car</v>
      </c>
      <c r="AU272" t="str">
        <f t="shared" si="9"/>
        <v>bdl</v>
      </c>
    </row>
    <row r="273" spans="1:47">
      <c r="A273" t="s">
        <v>17</v>
      </c>
      <c r="B273" t="s">
        <v>176</v>
      </c>
      <c r="C273" t="s">
        <v>622</v>
      </c>
      <c r="D273" t="s">
        <v>19</v>
      </c>
      <c r="E273" t="s">
        <v>19</v>
      </c>
      <c r="F273" t="s">
        <v>19</v>
      </c>
      <c r="G273" t="s">
        <v>181</v>
      </c>
      <c r="H273" t="s">
        <v>19</v>
      </c>
      <c r="I273" t="s">
        <v>19</v>
      </c>
      <c r="J273" t="s">
        <v>19</v>
      </c>
      <c r="K273" t="s">
        <v>19</v>
      </c>
      <c r="L273">
        <v>0</v>
      </c>
      <c r="M273">
        <v>0</v>
      </c>
      <c r="N273">
        <v>8.0644703401952181E-3</v>
      </c>
      <c r="O273">
        <v>0</v>
      </c>
      <c r="P273">
        <v>3.7220632339362539E-3</v>
      </c>
      <c r="Q273">
        <v>5.6451292381366522E-2</v>
      </c>
      <c r="R273">
        <v>0</v>
      </c>
      <c r="S273">
        <v>0.12282808671989638</v>
      </c>
      <c r="T273">
        <v>6.2034387232270905E-4</v>
      </c>
      <c r="U273">
        <v>9.3051580848406354E-3</v>
      </c>
      <c r="V273">
        <v>8.8709173742147387E-2</v>
      </c>
      <c r="W273">
        <v>7.0719201444788826E-2</v>
      </c>
      <c r="X273">
        <v>5.3969916892075684E-2</v>
      </c>
      <c r="Y273">
        <v>7.3820920806402374E-2</v>
      </c>
      <c r="Z273">
        <v>3.101719361613545E-2</v>
      </c>
      <c r="AA273">
        <v>9.1190549231438225E-2</v>
      </c>
      <c r="AB273">
        <v>4.3424071062589638E-3</v>
      </c>
      <c r="AC273">
        <v>0.13089255706009159</v>
      </c>
      <c r="AD273">
        <v>8.8088829869824678E-2</v>
      </c>
      <c r="AE273">
        <v>6.2034387232270905E-4</v>
      </c>
      <c r="AF273">
        <v>6.2034387232270905E-3</v>
      </c>
      <c r="AG273">
        <v>0</v>
      </c>
      <c r="AH273">
        <v>0</v>
      </c>
      <c r="AI273">
        <v>2.2332379403617524E-2</v>
      </c>
      <c r="AJ273">
        <v>0</v>
      </c>
      <c r="AK273">
        <v>0</v>
      </c>
      <c r="AL273">
        <v>0</v>
      </c>
      <c r="AM273">
        <v>6.5136106593884455E-2</v>
      </c>
      <c r="AN273">
        <v>6.2034387232270905E-3</v>
      </c>
      <c r="AO273" t="s">
        <v>19</v>
      </c>
      <c r="AT273" t="str">
        <f t="shared" si="8"/>
        <v>car</v>
      </c>
      <c r="AU273" t="str">
        <f t="shared" si="9"/>
        <v>bdl</v>
      </c>
    </row>
    <row r="274" spans="1:47">
      <c r="A274" t="s">
        <v>17</v>
      </c>
      <c r="B274" t="s">
        <v>176</v>
      </c>
      <c r="C274" t="s">
        <v>622</v>
      </c>
      <c r="D274" t="s">
        <v>19</v>
      </c>
      <c r="E274" t="s">
        <v>19</v>
      </c>
      <c r="F274" t="s">
        <v>19</v>
      </c>
      <c r="G274" t="s">
        <v>182</v>
      </c>
      <c r="H274" t="s">
        <v>19</v>
      </c>
      <c r="I274" t="s">
        <v>19</v>
      </c>
      <c r="J274" t="s">
        <v>19</v>
      </c>
      <c r="K274" t="s">
        <v>19</v>
      </c>
      <c r="L274">
        <v>0</v>
      </c>
      <c r="M274">
        <v>0</v>
      </c>
      <c r="N274">
        <v>8.0644703401952181E-3</v>
      </c>
      <c r="O274">
        <v>0</v>
      </c>
      <c r="P274">
        <v>3.7220632339362539E-3</v>
      </c>
      <c r="Q274">
        <v>5.6451292381366522E-2</v>
      </c>
      <c r="R274">
        <v>0</v>
      </c>
      <c r="S274">
        <v>0.12282808671989638</v>
      </c>
      <c r="T274">
        <v>6.2034387232270905E-4</v>
      </c>
      <c r="U274">
        <v>9.3051580848406354E-3</v>
      </c>
      <c r="V274">
        <v>8.8709173742147387E-2</v>
      </c>
      <c r="W274">
        <v>7.0719201444788826E-2</v>
      </c>
      <c r="X274">
        <v>5.3969916892075684E-2</v>
      </c>
      <c r="Y274">
        <v>7.3820920806402374E-2</v>
      </c>
      <c r="Z274">
        <v>3.101719361613545E-2</v>
      </c>
      <c r="AA274">
        <v>9.1190549231438225E-2</v>
      </c>
      <c r="AB274">
        <v>4.3424071062589638E-3</v>
      </c>
      <c r="AC274">
        <v>0.13089255706009159</v>
      </c>
      <c r="AD274">
        <v>8.8088829869824678E-2</v>
      </c>
      <c r="AE274">
        <v>6.2034387232270905E-4</v>
      </c>
      <c r="AF274">
        <v>6.2034387232270905E-3</v>
      </c>
      <c r="AG274">
        <v>0</v>
      </c>
      <c r="AH274">
        <v>0</v>
      </c>
      <c r="AI274">
        <v>2.2332379403617524E-2</v>
      </c>
      <c r="AJ274">
        <v>0</v>
      </c>
      <c r="AK274">
        <v>0</v>
      </c>
      <c r="AL274">
        <v>0</v>
      </c>
      <c r="AM274">
        <v>6.5136106593884455E-2</v>
      </c>
      <c r="AN274">
        <v>6.2034387232270905E-3</v>
      </c>
      <c r="AO274" t="s">
        <v>19</v>
      </c>
      <c r="AT274" t="str">
        <f t="shared" si="8"/>
        <v>car</v>
      </c>
      <c r="AU274" t="str">
        <f t="shared" si="9"/>
        <v>bdl</v>
      </c>
    </row>
    <row r="275" spans="1:47">
      <c r="A275" t="s">
        <v>17</v>
      </c>
      <c r="B275" t="s">
        <v>176</v>
      </c>
      <c r="C275" t="s">
        <v>622</v>
      </c>
      <c r="D275" t="s">
        <v>19</v>
      </c>
      <c r="E275" t="s">
        <v>19</v>
      </c>
      <c r="F275" t="s">
        <v>19</v>
      </c>
      <c r="G275" t="s">
        <v>183</v>
      </c>
      <c r="H275" t="s">
        <v>19</v>
      </c>
      <c r="I275" t="s">
        <v>19</v>
      </c>
      <c r="J275" t="s">
        <v>19</v>
      </c>
      <c r="K275" t="s">
        <v>19</v>
      </c>
      <c r="L275">
        <v>0</v>
      </c>
      <c r="M275">
        <v>0</v>
      </c>
      <c r="N275">
        <v>8.0644703401952181E-3</v>
      </c>
      <c r="O275">
        <v>0</v>
      </c>
      <c r="P275">
        <v>3.7220632339362539E-3</v>
      </c>
      <c r="Q275">
        <v>5.6451292381366522E-2</v>
      </c>
      <c r="R275">
        <v>0</v>
      </c>
      <c r="S275">
        <v>0.12282808671989638</v>
      </c>
      <c r="T275">
        <v>6.2034387232270905E-4</v>
      </c>
      <c r="U275">
        <v>9.3051580848406354E-3</v>
      </c>
      <c r="V275">
        <v>8.8709173742147387E-2</v>
      </c>
      <c r="W275">
        <v>7.0719201444788826E-2</v>
      </c>
      <c r="X275">
        <v>5.3969916892075684E-2</v>
      </c>
      <c r="Y275">
        <v>7.3820920806402374E-2</v>
      </c>
      <c r="Z275">
        <v>3.101719361613545E-2</v>
      </c>
      <c r="AA275">
        <v>9.1190549231438225E-2</v>
      </c>
      <c r="AB275">
        <v>4.3424071062589638E-3</v>
      </c>
      <c r="AC275">
        <v>0.13089255706009159</v>
      </c>
      <c r="AD275">
        <v>8.8088829869824678E-2</v>
      </c>
      <c r="AE275">
        <v>6.2034387232270905E-4</v>
      </c>
      <c r="AF275">
        <v>6.2034387232270905E-3</v>
      </c>
      <c r="AG275">
        <v>0</v>
      </c>
      <c r="AH275">
        <v>0</v>
      </c>
      <c r="AI275">
        <v>2.2332379403617524E-2</v>
      </c>
      <c r="AJ275">
        <v>0</v>
      </c>
      <c r="AK275">
        <v>0</v>
      </c>
      <c r="AL275">
        <v>0</v>
      </c>
      <c r="AM275">
        <v>6.5136106593884455E-2</v>
      </c>
      <c r="AN275">
        <v>6.2034387232270905E-3</v>
      </c>
      <c r="AO275" t="s">
        <v>19</v>
      </c>
      <c r="AT275" t="str">
        <f t="shared" si="8"/>
        <v>car</v>
      </c>
      <c r="AU275" t="str">
        <f t="shared" si="9"/>
        <v>bdl</v>
      </c>
    </row>
    <row r="276" spans="1:47">
      <c r="A276" t="s">
        <v>17</v>
      </c>
      <c r="B276" t="s">
        <v>176</v>
      </c>
      <c r="C276" t="s">
        <v>622</v>
      </c>
      <c r="D276" t="s">
        <v>19</v>
      </c>
      <c r="E276" t="s">
        <v>19</v>
      </c>
      <c r="F276" t="s">
        <v>19</v>
      </c>
      <c r="G276" t="s">
        <v>184</v>
      </c>
      <c r="H276" t="s">
        <v>19</v>
      </c>
      <c r="I276" t="s">
        <v>19</v>
      </c>
      <c r="J276" t="s">
        <v>19</v>
      </c>
      <c r="K276" t="s">
        <v>19</v>
      </c>
      <c r="L276">
        <v>0</v>
      </c>
      <c r="M276">
        <v>0</v>
      </c>
      <c r="N276">
        <v>8.0644703401952181E-3</v>
      </c>
      <c r="O276">
        <v>0</v>
      </c>
      <c r="P276">
        <v>3.7220632339362539E-3</v>
      </c>
      <c r="Q276">
        <v>5.6451292381366522E-2</v>
      </c>
      <c r="R276">
        <v>0</v>
      </c>
      <c r="S276">
        <v>0.12282808671989638</v>
      </c>
      <c r="T276">
        <v>6.2034387232270905E-4</v>
      </c>
      <c r="U276">
        <v>9.3051580848406354E-3</v>
      </c>
      <c r="V276">
        <v>8.8709173742147387E-2</v>
      </c>
      <c r="W276">
        <v>7.0719201444788826E-2</v>
      </c>
      <c r="X276">
        <v>5.3969916892075684E-2</v>
      </c>
      <c r="Y276">
        <v>7.3820920806402374E-2</v>
      </c>
      <c r="Z276">
        <v>3.101719361613545E-2</v>
      </c>
      <c r="AA276">
        <v>9.1190549231438225E-2</v>
      </c>
      <c r="AB276">
        <v>4.3424071062589638E-3</v>
      </c>
      <c r="AC276">
        <v>0.13089255706009159</v>
      </c>
      <c r="AD276">
        <v>8.8088829869824678E-2</v>
      </c>
      <c r="AE276">
        <v>6.2034387232270905E-4</v>
      </c>
      <c r="AF276">
        <v>6.2034387232270905E-3</v>
      </c>
      <c r="AG276">
        <v>0</v>
      </c>
      <c r="AH276">
        <v>0</v>
      </c>
      <c r="AI276">
        <v>2.2332379403617524E-2</v>
      </c>
      <c r="AJ276">
        <v>0</v>
      </c>
      <c r="AK276">
        <v>0</v>
      </c>
      <c r="AL276">
        <v>0</v>
      </c>
      <c r="AM276">
        <v>6.5136106593884455E-2</v>
      </c>
      <c r="AN276">
        <v>6.2034387232270905E-3</v>
      </c>
      <c r="AO276" t="s">
        <v>19</v>
      </c>
      <c r="AT276" t="str">
        <f t="shared" si="8"/>
        <v>car</v>
      </c>
      <c r="AU276" t="str">
        <f t="shared" si="9"/>
        <v>bdl</v>
      </c>
    </row>
    <row r="277" spans="1:47">
      <c r="A277" t="s">
        <v>17</v>
      </c>
      <c r="B277" t="s">
        <v>176</v>
      </c>
      <c r="C277" t="s">
        <v>622</v>
      </c>
      <c r="D277" t="s">
        <v>19</v>
      </c>
      <c r="E277" t="s">
        <v>19</v>
      </c>
      <c r="F277" t="s">
        <v>19</v>
      </c>
      <c r="G277" t="s">
        <v>185</v>
      </c>
      <c r="H277" t="s">
        <v>19</v>
      </c>
      <c r="I277" t="s">
        <v>19</v>
      </c>
      <c r="J277" t="s">
        <v>19</v>
      </c>
      <c r="K277" t="s">
        <v>19</v>
      </c>
      <c r="L277">
        <v>0</v>
      </c>
      <c r="M277">
        <v>0</v>
      </c>
      <c r="N277">
        <v>8.0644703401952181E-3</v>
      </c>
      <c r="O277">
        <v>0</v>
      </c>
      <c r="P277">
        <v>3.7220632339362539E-3</v>
      </c>
      <c r="Q277">
        <v>5.6451292381366522E-2</v>
      </c>
      <c r="R277">
        <v>0</v>
      </c>
      <c r="S277">
        <v>0.12282808671989638</v>
      </c>
      <c r="T277">
        <v>6.2034387232270905E-4</v>
      </c>
      <c r="U277">
        <v>9.3051580848406354E-3</v>
      </c>
      <c r="V277">
        <v>8.8709173742147387E-2</v>
      </c>
      <c r="W277">
        <v>7.0719201444788826E-2</v>
      </c>
      <c r="X277">
        <v>5.3969916892075684E-2</v>
      </c>
      <c r="Y277">
        <v>7.3820920806402374E-2</v>
      </c>
      <c r="Z277">
        <v>3.101719361613545E-2</v>
      </c>
      <c r="AA277">
        <v>9.1190549231438225E-2</v>
      </c>
      <c r="AB277">
        <v>4.3424071062589638E-3</v>
      </c>
      <c r="AC277">
        <v>0.13089255706009159</v>
      </c>
      <c r="AD277">
        <v>8.8088829869824678E-2</v>
      </c>
      <c r="AE277">
        <v>6.2034387232270905E-4</v>
      </c>
      <c r="AF277">
        <v>6.2034387232270905E-3</v>
      </c>
      <c r="AG277">
        <v>0</v>
      </c>
      <c r="AH277">
        <v>0</v>
      </c>
      <c r="AI277">
        <v>2.2332379403617524E-2</v>
      </c>
      <c r="AJ277">
        <v>0</v>
      </c>
      <c r="AK277">
        <v>0</v>
      </c>
      <c r="AL277">
        <v>0</v>
      </c>
      <c r="AM277">
        <v>6.5136106593884455E-2</v>
      </c>
      <c r="AN277">
        <v>6.2034387232270905E-3</v>
      </c>
      <c r="AO277" t="s">
        <v>19</v>
      </c>
      <c r="AT277" t="str">
        <f t="shared" si="8"/>
        <v>car</v>
      </c>
      <c r="AU277" t="str">
        <f t="shared" si="9"/>
        <v>bdl</v>
      </c>
    </row>
    <row r="278" spans="1:47">
      <c r="A278" t="s">
        <v>17</v>
      </c>
      <c r="B278" t="s">
        <v>176</v>
      </c>
      <c r="C278" t="s">
        <v>622</v>
      </c>
      <c r="D278" t="s">
        <v>19</v>
      </c>
      <c r="E278" t="s">
        <v>19</v>
      </c>
      <c r="F278" t="s">
        <v>19</v>
      </c>
      <c r="G278" t="s">
        <v>186</v>
      </c>
      <c r="H278" t="s">
        <v>19</v>
      </c>
      <c r="I278" t="s">
        <v>19</v>
      </c>
      <c r="J278" t="s">
        <v>19</v>
      </c>
      <c r="K278" t="s">
        <v>19</v>
      </c>
      <c r="L278">
        <v>0</v>
      </c>
      <c r="M278">
        <v>0</v>
      </c>
      <c r="N278">
        <v>8.0644703401952181E-3</v>
      </c>
      <c r="O278">
        <v>0</v>
      </c>
      <c r="P278">
        <v>3.7220632339362539E-3</v>
      </c>
      <c r="Q278">
        <v>5.6451292381366522E-2</v>
      </c>
      <c r="R278">
        <v>0</v>
      </c>
      <c r="S278">
        <v>0.12282808671989638</v>
      </c>
      <c r="T278">
        <v>6.2034387232270905E-4</v>
      </c>
      <c r="U278">
        <v>9.3051580848406354E-3</v>
      </c>
      <c r="V278">
        <v>8.8709173742147387E-2</v>
      </c>
      <c r="W278">
        <v>7.0719201444788826E-2</v>
      </c>
      <c r="X278">
        <v>5.3969916892075684E-2</v>
      </c>
      <c r="Y278">
        <v>7.3820920806402374E-2</v>
      </c>
      <c r="Z278">
        <v>3.101719361613545E-2</v>
      </c>
      <c r="AA278">
        <v>9.1190549231438225E-2</v>
      </c>
      <c r="AB278">
        <v>4.3424071062589638E-3</v>
      </c>
      <c r="AC278">
        <v>0.13089255706009159</v>
      </c>
      <c r="AD278">
        <v>8.8088829869824678E-2</v>
      </c>
      <c r="AE278">
        <v>6.2034387232270905E-4</v>
      </c>
      <c r="AF278">
        <v>6.2034387232270905E-3</v>
      </c>
      <c r="AG278">
        <v>0</v>
      </c>
      <c r="AH278">
        <v>0</v>
      </c>
      <c r="AI278">
        <v>2.2332379403617524E-2</v>
      </c>
      <c r="AJ278">
        <v>0</v>
      </c>
      <c r="AK278">
        <v>0</v>
      </c>
      <c r="AL278">
        <v>0</v>
      </c>
      <c r="AM278">
        <v>6.5136106593884455E-2</v>
      </c>
      <c r="AN278">
        <v>6.2034387232270905E-3</v>
      </c>
      <c r="AO278" t="s">
        <v>19</v>
      </c>
      <c r="AT278" t="str">
        <f t="shared" si="8"/>
        <v>car</v>
      </c>
      <c r="AU278" t="str">
        <f t="shared" si="9"/>
        <v>bdl</v>
      </c>
    </row>
    <row r="279" spans="1:47">
      <c r="A279" t="s">
        <v>17</v>
      </c>
      <c r="B279" t="s">
        <v>176</v>
      </c>
      <c r="C279" t="s">
        <v>622</v>
      </c>
      <c r="D279" t="s">
        <v>19</v>
      </c>
      <c r="E279" t="s">
        <v>19</v>
      </c>
      <c r="F279" t="s">
        <v>19</v>
      </c>
      <c r="G279" t="s">
        <v>187</v>
      </c>
      <c r="H279" t="s">
        <v>19</v>
      </c>
      <c r="I279" t="s">
        <v>19</v>
      </c>
      <c r="J279" t="s">
        <v>19</v>
      </c>
      <c r="K279" t="s">
        <v>19</v>
      </c>
      <c r="L279">
        <v>0</v>
      </c>
      <c r="M279">
        <v>0</v>
      </c>
      <c r="N279">
        <v>8.0644703401952181E-3</v>
      </c>
      <c r="O279">
        <v>0</v>
      </c>
      <c r="P279">
        <v>3.7220632339362539E-3</v>
      </c>
      <c r="Q279">
        <v>5.6451292381366522E-2</v>
      </c>
      <c r="R279">
        <v>0</v>
      </c>
      <c r="S279">
        <v>0.12282808671989638</v>
      </c>
      <c r="T279">
        <v>6.2034387232270905E-4</v>
      </c>
      <c r="U279">
        <v>9.3051580848406354E-3</v>
      </c>
      <c r="V279">
        <v>8.8709173742147387E-2</v>
      </c>
      <c r="W279">
        <v>7.0719201444788826E-2</v>
      </c>
      <c r="X279">
        <v>5.3969916892075684E-2</v>
      </c>
      <c r="Y279">
        <v>7.3820920806402374E-2</v>
      </c>
      <c r="Z279">
        <v>3.101719361613545E-2</v>
      </c>
      <c r="AA279">
        <v>9.1190549231438225E-2</v>
      </c>
      <c r="AB279">
        <v>4.3424071062589638E-3</v>
      </c>
      <c r="AC279">
        <v>0.13089255706009159</v>
      </c>
      <c r="AD279">
        <v>8.8088829869824678E-2</v>
      </c>
      <c r="AE279">
        <v>6.2034387232270905E-4</v>
      </c>
      <c r="AF279">
        <v>6.2034387232270905E-3</v>
      </c>
      <c r="AG279">
        <v>0</v>
      </c>
      <c r="AH279">
        <v>0</v>
      </c>
      <c r="AI279">
        <v>2.2332379403617524E-2</v>
      </c>
      <c r="AJ279">
        <v>0</v>
      </c>
      <c r="AK279">
        <v>0</v>
      </c>
      <c r="AL279">
        <v>0</v>
      </c>
      <c r="AM279">
        <v>6.5136106593884455E-2</v>
      </c>
      <c r="AN279">
        <v>6.2034387232270905E-3</v>
      </c>
      <c r="AO279" t="s">
        <v>19</v>
      </c>
      <c r="AT279" t="str">
        <f t="shared" si="8"/>
        <v>car</v>
      </c>
      <c r="AU279" t="str">
        <f t="shared" si="9"/>
        <v>bdl</v>
      </c>
    </row>
    <row r="280" spans="1:47">
      <c r="A280" t="s">
        <v>17</v>
      </c>
      <c r="B280" t="s">
        <v>176</v>
      </c>
      <c r="C280" t="s">
        <v>622</v>
      </c>
      <c r="D280" t="s">
        <v>19</v>
      </c>
      <c r="E280" t="s">
        <v>19</v>
      </c>
      <c r="F280" t="s">
        <v>19</v>
      </c>
      <c r="G280" t="s">
        <v>188</v>
      </c>
      <c r="H280" t="s">
        <v>19</v>
      </c>
      <c r="I280" t="s">
        <v>19</v>
      </c>
      <c r="J280" t="s">
        <v>19</v>
      </c>
      <c r="K280" t="s">
        <v>19</v>
      </c>
      <c r="L280">
        <v>0</v>
      </c>
      <c r="M280">
        <v>0</v>
      </c>
      <c r="N280">
        <v>8.0644703401952181E-3</v>
      </c>
      <c r="O280">
        <v>0</v>
      </c>
      <c r="P280">
        <v>3.7220632339362539E-3</v>
      </c>
      <c r="Q280">
        <v>5.6451292381366522E-2</v>
      </c>
      <c r="R280">
        <v>0</v>
      </c>
      <c r="S280">
        <v>0.12282808671989638</v>
      </c>
      <c r="T280">
        <v>6.2034387232270905E-4</v>
      </c>
      <c r="U280">
        <v>9.3051580848406354E-3</v>
      </c>
      <c r="V280">
        <v>8.8709173742147387E-2</v>
      </c>
      <c r="W280">
        <v>7.0719201444788826E-2</v>
      </c>
      <c r="X280">
        <v>5.3969916892075684E-2</v>
      </c>
      <c r="Y280">
        <v>7.3820920806402374E-2</v>
      </c>
      <c r="Z280">
        <v>3.101719361613545E-2</v>
      </c>
      <c r="AA280">
        <v>9.1190549231438225E-2</v>
      </c>
      <c r="AB280">
        <v>4.3424071062589638E-3</v>
      </c>
      <c r="AC280">
        <v>0.13089255706009159</v>
      </c>
      <c r="AD280">
        <v>8.8088829869824678E-2</v>
      </c>
      <c r="AE280">
        <v>6.2034387232270905E-4</v>
      </c>
      <c r="AF280">
        <v>6.2034387232270905E-3</v>
      </c>
      <c r="AG280">
        <v>0</v>
      </c>
      <c r="AH280">
        <v>0</v>
      </c>
      <c r="AI280">
        <v>2.2332379403617524E-2</v>
      </c>
      <c r="AJ280">
        <v>0</v>
      </c>
      <c r="AK280">
        <v>0</v>
      </c>
      <c r="AL280">
        <v>0</v>
      </c>
      <c r="AM280">
        <v>6.5136106593884455E-2</v>
      </c>
      <c r="AN280">
        <v>6.2034387232270905E-3</v>
      </c>
      <c r="AO280" t="s">
        <v>19</v>
      </c>
      <c r="AT280" t="str">
        <f t="shared" si="8"/>
        <v>car</v>
      </c>
      <c r="AU280" t="str">
        <f t="shared" si="9"/>
        <v>bdl</v>
      </c>
    </row>
    <row r="281" spans="1:47">
      <c r="A281" t="s">
        <v>17</v>
      </c>
      <c r="B281" t="s">
        <v>176</v>
      </c>
      <c r="C281" t="s">
        <v>622</v>
      </c>
      <c r="D281" t="s">
        <v>19</v>
      </c>
      <c r="E281" t="s">
        <v>19</v>
      </c>
      <c r="F281" t="s">
        <v>19</v>
      </c>
      <c r="G281" t="s">
        <v>100</v>
      </c>
      <c r="H281" t="s">
        <v>19</v>
      </c>
      <c r="I281" t="s">
        <v>19</v>
      </c>
      <c r="J281" t="s">
        <v>19</v>
      </c>
      <c r="K281" t="s">
        <v>19</v>
      </c>
      <c r="L281">
        <v>0</v>
      </c>
      <c r="M281">
        <v>0</v>
      </c>
      <c r="N281">
        <v>8.0644703401952181E-3</v>
      </c>
      <c r="O281">
        <v>0</v>
      </c>
      <c r="P281">
        <v>3.7220632339362539E-3</v>
      </c>
      <c r="Q281">
        <v>5.6451292381366522E-2</v>
      </c>
      <c r="R281">
        <v>0</v>
      </c>
      <c r="S281">
        <v>0.12282808671989638</v>
      </c>
      <c r="T281">
        <v>6.2034387232270905E-4</v>
      </c>
      <c r="U281">
        <v>9.3051580848406354E-3</v>
      </c>
      <c r="V281">
        <v>8.8709173742147387E-2</v>
      </c>
      <c r="W281">
        <v>7.0719201444788826E-2</v>
      </c>
      <c r="X281">
        <v>5.3969916892075684E-2</v>
      </c>
      <c r="Y281">
        <v>7.3820920806402374E-2</v>
      </c>
      <c r="Z281">
        <v>3.101719361613545E-2</v>
      </c>
      <c r="AA281">
        <v>9.1190549231438225E-2</v>
      </c>
      <c r="AB281">
        <v>4.3424071062589638E-3</v>
      </c>
      <c r="AC281">
        <v>0.13089255706009159</v>
      </c>
      <c r="AD281">
        <v>8.8088829869824678E-2</v>
      </c>
      <c r="AE281">
        <v>6.2034387232270905E-4</v>
      </c>
      <c r="AF281">
        <v>6.2034387232270905E-3</v>
      </c>
      <c r="AG281">
        <v>0</v>
      </c>
      <c r="AH281">
        <v>0</v>
      </c>
      <c r="AI281">
        <v>2.2332379403617524E-2</v>
      </c>
      <c r="AJ281">
        <v>0</v>
      </c>
      <c r="AK281">
        <v>0</v>
      </c>
      <c r="AL281">
        <v>0</v>
      </c>
      <c r="AM281">
        <v>6.5136106593884455E-2</v>
      </c>
      <c r="AN281">
        <v>6.2034387232270905E-3</v>
      </c>
      <c r="AO281" t="s">
        <v>19</v>
      </c>
      <c r="AT281" t="str">
        <f t="shared" si="8"/>
        <v>car</v>
      </c>
      <c r="AU281" t="str">
        <f t="shared" si="9"/>
        <v>bdl</v>
      </c>
    </row>
    <row r="282" spans="1:47">
      <c r="A282" t="s">
        <v>17</v>
      </c>
      <c r="B282" t="s">
        <v>176</v>
      </c>
      <c r="C282" t="s">
        <v>621</v>
      </c>
      <c r="D282" t="s">
        <v>19</v>
      </c>
      <c r="E282" t="s">
        <v>19</v>
      </c>
      <c r="F282" t="s">
        <v>19</v>
      </c>
      <c r="G282" t="s">
        <v>603</v>
      </c>
      <c r="H282" t="s">
        <v>19</v>
      </c>
      <c r="I282" t="s">
        <v>19</v>
      </c>
      <c r="J282" t="s">
        <v>19</v>
      </c>
      <c r="K282" t="s">
        <v>19</v>
      </c>
      <c r="L282">
        <v>0.30334815356580469</v>
      </c>
      <c r="M282">
        <v>0.26984958446037838</v>
      </c>
      <c r="N282">
        <v>8.9329517614470097E-2</v>
      </c>
      <c r="O282">
        <v>2.6674786509876487E-2</v>
      </c>
      <c r="P282">
        <v>0.23138826437637044</v>
      </c>
      <c r="Q282">
        <v>0.61910318457806357</v>
      </c>
      <c r="R282">
        <v>3.6600288467039832E-2</v>
      </c>
      <c r="S282">
        <v>0.27171061607734653</v>
      </c>
      <c r="T282">
        <v>1.8610316169681271E-2</v>
      </c>
      <c r="U282">
        <v>0.9726991918020077</v>
      </c>
      <c r="V282">
        <v>0.3988811099035019</v>
      </c>
      <c r="W282">
        <v>1.176792325796179</v>
      </c>
      <c r="X282">
        <v>0.83064044504010737</v>
      </c>
      <c r="Y282">
        <v>1.2524742782195495</v>
      </c>
      <c r="Z282">
        <v>0.50061750496442614</v>
      </c>
      <c r="AA282">
        <v>1.3287765745152429</v>
      </c>
      <c r="AB282">
        <v>0.37965044986149793</v>
      </c>
      <c r="AC282">
        <v>1.5911820325077486</v>
      </c>
      <c r="AD282">
        <v>1.5465172737005135</v>
      </c>
      <c r="AE282">
        <v>1.2450301517516771</v>
      </c>
      <c r="AF282">
        <v>0.18920488105842623</v>
      </c>
      <c r="AG282">
        <v>0.21153726046204377</v>
      </c>
      <c r="AH282">
        <v>0.40880661186066525</v>
      </c>
      <c r="AI282">
        <v>0.11910602348596012</v>
      </c>
      <c r="AJ282">
        <v>8.4366766635888435E-2</v>
      </c>
      <c r="AK282">
        <v>0.16253009454854978</v>
      </c>
      <c r="AL282">
        <v>9.4912612465374482E-2</v>
      </c>
      <c r="AM282">
        <v>1.2617794363043902</v>
      </c>
      <c r="AN282">
        <v>0.18238109846287645</v>
      </c>
      <c r="AO282" t="s">
        <v>19</v>
      </c>
      <c r="AT282" t="str">
        <f t="shared" si="8"/>
        <v>car</v>
      </c>
      <c r="AU282" t="str">
        <f t="shared" si="9"/>
        <v>dsl</v>
      </c>
    </row>
    <row r="283" spans="1:47">
      <c r="A283" t="s">
        <v>17</v>
      </c>
      <c r="B283" t="s">
        <v>176</v>
      </c>
      <c r="C283" t="s">
        <v>621</v>
      </c>
      <c r="D283" t="s">
        <v>19</v>
      </c>
      <c r="E283" t="s">
        <v>19</v>
      </c>
      <c r="F283" t="s">
        <v>19</v>
      </c>
      <c r="G283" t="s">
        <v>602</v>
      </c>
      <c r="H283" t="s">
        <v>19</v>
      </c>
      <c r="I283" t="s">
        <v>19</v>
      </c>
      <c r="J283" t="s">
        <v>19</v>
      </c>
      <c r="K283" t="s">
        <v>19</v>
      </c>
      <c r="L283">
        <v>0.30334815356580469</v>
      </c>
      <c r="M283">
        <v>0.26984958446037838</v>
      </c>
      <c r="N283">
        <v>8.9329517614470097E-2</v>
      </c>
      <c r="O283">
        <v>2.6674786509876487E-2</v>
      </c>
      <c r="P283">
        <v>0.23138826437637044</v>
      </c>
      <c r="Q283">
        <v>0.61910318457806357</v>
      </c>
      <c r="R283">
        <v>3.6600288467039832E-2</v>
      </c>
      <c r="S283">
        <v>0.27171061607734653</v>
      </c>
      <c r="T283">
        <v>1.8610316169681271E-2</v>
      </c>
      <c r="U283">
        <v>0.9726991918020077</v>
      </c>
      <c r="V283">
        <v>0.3988811099035019</v>
      </c>
      <c r="W283">
        <v>1.176792325796179</v>
      </c>
      <c r="X283">
        <v>0.83064044504010737</v>
      </c>
      <c r="Y283">
        <v>1.2524742782195495</v>
      </c>
      <c r="Z283">
        <v>0.50061750496442614</v>
      </c>
      <c r="AA283">
        <v>1.3287765745152429</v>
      </c>
      <c r="AB283">
        <v>0.37965044986149793</v>
      </c>
      <c r="AC283">
        <v>1.5911820325077486</v>
      </c>
      <c r="AD283">
        <v>1.5465172737005135</v>
      </c>
      <c r="AE283">
        <v>1.2450301517516771</v>
      </c>
      <c r="AF283">
        <v>0.18920488105842623</v>
      </c>
      <c r="AG283">
        <v>0.21153726046204377</v>
      </c>
      <c r="AH283">
        <v>0.40880661186066525</v>
      </c>
      <c r="AI283">
        <v>0.11910602348596012</v>
      </c>
      <c r="AJ283">
        <v>8.4366766635888435E-2</v>
      </c>
      <c r="AK283">
        <v>0.16253009454854978</v>
      </c>
      <c r="AL283">
        <v>9.4912612465374482E-2</v>
      </c>
      <c r="AM283">
        <v>1.2617794363043902</v>
      </c>
      <c r="AN283">
        <v>0.18238109846287645</v>
      </c>
      <c r="AO283" t="s">
        <v>19</v>
      </c>
      <c r="AT283" t="str">
        <f t="shared" si="8"/>
        <v>car</v>
      </c>
      <c r="AU283" t="str">
        <f t="shared" si="9"/>
        <v>dsl</v>
      </c>
    </row>
    <row r="284" spans="1:47">
      <c r="A284" t="s">
        <v>17</v>
      </c>
      <c r="B284" t="s">
        <v>176</v>
      </c>
      <c r="C284" t="s">
        <v>621</v>
      </c>
      <c r="D284" t="s">
        <v>19</v>
      </c>
      <c r="E284" t="s">
        <v>19</v>
      </c>
      <c r="F284" t="s">
        <v>19</v>
      </c>
      <c r="G284" t="s">
        <v>601</v>
      </c>
      <c r="H284" t="s">
        <v>19</v>
      </c>
      <c r="I284" t="s">
        <v>19</v>
      </c>
      <c r="J284" t="s">
        <v>19</v>
      </c>
      <c r="K284" t="s">
        <v>19</v>
      </c>
      <c r="L284">
        <v>0.30334815356580469</v>
      </c>
      <c r="M284">
        <v>0.26984958446037838</v>
      </c>
      <c r="N284">
        <v>8.9329517614470097E-2</v>
      </c>
      <c r="O284">
        <v>2.6674786509876487E-2</v>
      </c>
      <c r="P284">
        <v>0.23138826437637044</v>
      </c>
      <c r="Q284">
        <v>0.61910318457806357</v>
      </c>
      <c r="R284">
        <v>3.6600288467039832E-2</v>
      </c>
      <c r="S284">
        <v>0.27171061607734653</v>
      </c>
      <c r="T284">
        <v>1.8610316169681271E-2</v>
      </c>
      <c r="U284">
        <v>0.9726991918020077</v>
      </c>
      <c r="V284">
        <v>0.3988811099035019</v>
      </c>
      <c r="W284">
        <v>1.176792325796179</v>
      </c>
      <c r="X284">
        <v>0.83064044504010737</v>
      </c>
      <c r="Y284">
        <v>1.2524742782195495</v>
      </c>
      <c r="Z284">
        <v>0.50061750496442614</v>
      </c>
      <c r="AA284">
        <v>1.3287765745152429</v>
      </c>
      <c r="AB284">
        <v>0.37965044986149793</v>
      </c>
      <c r="AC284">
        <v>1.5911820325077486</v>
      </c>
      <c r="AD284">
        <v>1.5465172737005135</v>
      </c>
      <c r="AE284">
        <v>1.2450301517516771</v>
      </c>
      <c r="AF284">
        <v>0.18920488105842623</v>
      </c>
      <c r="AG284">
        <v>0.21153726046204377</v>
      </c>
      <c r="AH284">
        <v>0.40880661186066525</v>
      </c>
      <c r="AI284">
        <v>0.11910602348596012</v>
      </c>
      <c r="AJ284">
        <v>8.4366766635888435E-2</v>
      </c>
      <c r="AK284">
        <v>0.16253009454854978</v>
      </c>
      <c r="AL284">
        <v>9.4912612465374482E-2</v>
      </c>
      <c r="AM284">
        <v>1.2617794363043902</v>
      </c>
      <c r="AN284">
        <v>0.18238109846287645</v>
      </c>
      <c r="AO284" t="s">
        <v>19</v>
      </c>
      <c r="AT284" t="str">
        <f t="shared" si="8"/>
        <v>car</v>
      </c>
      <c r="AU284" t="str">
        <f t="shared" si="9"/>
        <v>dsl</v>
      </c>
    </row>
    <row r="285" spans="1:47">
      <c r="A285" t="s">
        <v>17</v>
      </c>
      <c r="B285" t="s">
        <v>176</v>
      </c>
      <c r="C285" t="s">
        <v>621</v>
      </c>
      <c r="D285" t="s">
        <v>19</v>
      </c>
      <c r="E285" t="s">
        <v>19</v>
      </c>
      <c r="F285" t="s">
        <v>19</v>
      </c>
      <c r="G285" t="s">
        <v>600</v>
      </c>
      <c r="H285" t="s">
        <v>19</v>
      </c>
      <c r="I285" t="s">
        <v>19</v>
      </c>
      <c r="J285" t="s">
        <v>19</v>
      </c>
      <c r="K285" t="s">
        <v>19</v>
      </c>
      <c r="L285">
        <v>0.30334815356580469</v>
      </c>
      <c r="M285">
        <v>0.26984958446037838</v>
      </c>
      <c r="N285">
        <v>8.9329517614470097E-2</v>
      </c>
      <c r="O285">
        <v>2.6674786509876487E-2</v>
      </c>
      <c r="P285">
        <v>0.23138826437637044</v>
      </c>
      <c r="Q285">
        <v>0.61910318457806357</v>
      </c>
      <c r="R285">
        <v>3.6600288467039832E-2</v>
      </c>
      <c r="S285">
        <v>0.27171061607734653</v>
      </c>
      <c r="T285">
        <v>1.8610316169681271E-2</v>
      </c>
      <c r="U285">
        <v>0.9726991918020077</v>
      </c>
      <c r="V285">
        <v>0.3988811099035019</v>
      </c>
      <c r="W285">
        <v>1.176792325796179</v>
      </c>
      <c r="X285">
        <v>0.83064044504010737</v>
      </c>
      <c r="Y285">
        <v>1.2524742782195495</v>
      </c>
      <c r="Z285">
        <v>0.50061750496442614</v>
      </c>
      <c r="AA285">
        <v>1.3287765745152429</v>
      </c>
      <c r="AB285">
        <v>0.37965044986149793</v>
      </c>
      <c r="AC285">
        <v>1.5911820325077486</v>
      </c>
      <c r="AD285">
        <v>1.5465172737005135</v>
      </c>
      <c r="AE285">
        <v>1.2450301517516771</v>
      </c>
      <c r="AF285">
        <v>0.18920488105842623</v>
      </c>
      <c r="AG285">
        <v>0.21153726046204377</v>
      </c>
      <c r="AH285">
        <v>0.40880661186066525</v>
      </c>
      <c r="AI285">
        <v>0.11910602348596012</v>
      </c>
      <c r="AJ285">
        <v>8.4366766635888435E-2</v>
      </c>
      <c r="AK285">
        <v>0.16253009454854978</v>
      </c>
      <c r="AL285">
        <v>9.4912612465374482E-2</v>
      </c>
      <c r="AM285">
        <v>1.2617794363043902</v>
      </c>
      <c r="AN285">
        <v>0.18238109846287645</v>
      </c>
      <c r="AO285" t="s">
        <v>19</v>
      </c>
      <c r="AT285" t="str">
        <f t="shared" si="8"/>
        <v>car</v>
      </c>
      <c r="AU285" t="str">
        <f t="shared" si="9"/>
        <v>dsl</v>
      </c>
    </row>
    <row r="286" spans="1:47">
      <c r="A286" t="s">
        <v>17</v>
      </c>
      <c r="B286" t="s">
        <v>176</v>
      </c>
      <c r="C286" t="s">
        <v>621</v>
      </c>
      <c r="D286" t="s">
        <v>19</v>
      </c>
      <c r="E286" t="s">
        <v>19</v>
      </c>
      <c r="F286" t="s">
        <v>19</v>
      </c>
      <c r="G286" t="s">
        <v>599</v>
      </c>
      <c r="H286" t="s">
        <v>19</v>
      </c>
      <c r="I286" t="s">
        <v>19</v>
      </c>
      <c r="J286" t="s">
        <v>19</v>
      </c>
      <c r="K286" t="s">
        <v>19</v>
      </c>
      <c r="L286">
        <v>0.30334815356580469</v>
      </c>
      <c r="M286">
        <v>0.26984958446037838</v>
      </c>
      <c r="N286">
        <v>8.9329517614470097E-2</v>
      </c>
      <c r="O286">
        <v>2.6674786509876487E-2</v>
      </c>
      <c r="P286">
        <v>0.23138826437637044</v>
      </c>
      <c r="Q286">
        <v>0.61910318457806357</v>
      </c>
      <c r="R286">
        <v>3.6600288467039832E-2</v>
      </c>
      <c r="S286">
        <v>0.27171061607734653</v>
      </c>
      <c r="T286">
        <v>1.8610316169681271E-2</v>
      </c>
      <c r="U286">
        <v>0.9726991918020077</v>
      </c>
      <c r="V286">
        <v>0.3988811099035019</v>
      </c>
      <c r="W286">
        <v>1.176792325796179</v>
      </c>
      <c r="X286">
        <v>0.83064044504010737</v>
      </c>
      <c r="Y286">
        <v>1.2524742782195495</v>
      </c>
      <c r="Z286">
        <v>0.50061750496442614</v>
      </c>
      <c r="AA286">
        <v>1.3287765745152429</v>
      </c>
      <c r="AB286">
        <v>0.37965044986149793</v>
      </c>
      <c r="AC286">
        <v>1.5911820325077486</v>
      </c>
      <c r="AD286">
        <v>1.5465172737005135</v>
      </c>
      <c r="AE286">
        <v>1.2450301517516771</v>
      </c>
      <c r="AF286">
        <v>0.18920488105842623</v>
      </c>
      <c r="AG286">
        <v>0.21153726046204377</v>
      </c>
      <c r="AH286">
        <v>0.40880661186066525</v>
      </c>
      <c r="AI286">
        <v>0.11910602348596012</v>
      </c>
      <c r="AJ286">
        <v>8.4366766635888435E-2</v>
      </c>
      <c r="AK286">
        <v>0.16253009454854978</v>
      </c>
      <c r="AL286">
        <v>9.4912612465374482E-2</v>
      </c>
      <c r="AM286">
        <v>1.2617794363043902</v>
      </c>
      <c r="AN286">
        <v>0.18238109846287645</v>
      </c>
      <c r="AO286" t="s">
        <v>19</v>
      </c>
      <c r="AT286" t="str">
        <f t="shared" si="8"/>
        <v>car</v>
      </c>
      <c r="AU286" t="str">
        <f t="shared" si="9"/>
        <v>dsl</v>
      </c>
    </row>
    <row r="287" spans="1:47">
      <c r="A287" t="s">
        <v>17</v>
      </c>
      <c r="B287" t="s">
        <v>176</v>
      </c>
      <c r="C287" t="s">
        <v>621</v>
      </c>
      <c r="D287" t="s">
        <v>19</v>
      </c>
      <c r="E287" t="s">
        <v>19</v>
      </c>
      <c r="F287" t="s">
        <v>19</v>
      </c>
      <c r="G287" t="s">
        <v>598</v>
      </c>
      <c r="H287" t="s">
        <v>19</v>
      </c>
      <c r="I287" t="s">
        <v>19</v>
      </c>
      <c r="J287" t="s">
        <v>19</v>
      </c>
      <c r="K287" t="s">
        <v>19</v>
      </c>
      <c r="L287">
        <v>0.30334815356580469</v>
      </c>
      <c r="M287">
        <v>0.26984958446037838</v>
      </c>
      <c r="N287">
        <v>8.9329517614470097E-2</v>
      </c>
      <c r="O287">
        <v>2.6674786509876487E-2</v>
      </c>
      <c r="P287">
        <v>0.23138826437637044</v>
      </c>
      <c r="Q287">
        <v>0.61910318457806357</v>
      </c>
      <c r="R287">
        <v>3.6600288467039832E-2</v>
      </c>
      <c r="S287">
        <v>0.27171061607734653</v>
      </c>
      <c r="T287">
        <v>1.8610316169681271E-2</v>
      </c>
      <c r="U287">
        <v>0.9726991918020077</v>
      </c>
      <c r="V287">
        <v>0.3988811099035019</v>
      </c>
      <c r="W287">
        <v>1.176792325796179</v>
      </c>
      <c r="X287">
        <v>0.83064044504010737</v>
      </c>
      <c r="Y287">
        <v>1.2524742782195495</v>
      </c>
      <c r="Z287">
        <v>0.50061750496442614</v>
      </c>
      <c r="AA287">
        <v>1.3287765745152429</v>
      </c>
      <c r="AB287">
        <v>0.37965044986149793</v>
      </c>
      <c r="AC287">
        <v>1.5911820325077486</v>
      </c>
      <c r="AD287">
        <v>1.5465172737005135</v>
      </c>
      <c r="AE287">
        <v>1.2450301517516771</v>
      </c>
      <c r="AF287">
        <v>0.18920488105842623</v>
      </c>
      <c r="AG287">
        <v>0.21153726046204377</v>
      </c>
      <c r="AH287">
        <v>0.40880661186066525</v>
      </c>
      <c r="AI287">
        <v>0.11910602348596012</v>
      </c>
      <c r="AJ287">
        <v>8.4366766635888435E-2</v>
      </c>
      <c r="AK287">
        <v>0.16253009454854978</v>
      </c>
      <c r="AL287">
        <v>9.4912612465374482E-2</v>
      </c>
      <c r="AM287">
        <v>1.2617794363043902</v>
      </c>
      <c r="AN287">
        <v>0.18238109846287645</v>
      </c>
      <c r="AO287" t="s">
        <v>19</v>
      </c>
      <c r="AT287" t="str">
        <f t="shared" si="8"/>
        <v>car</v>
      </c>
      <c r="AU287" t="str">
        <f t="shared" si="9"/>
        <v>dsl</v>
      </c>
    </row>
    <row r="288" spans="1:47">
      <c r="A288" t="s">
        <v>17</v>
      </c>
      <c r="B288" t="s">
        <v>176</v>
      </c>
      <c r="C288" t="s">
        <v>621</v>
      </c>
      <c r="D288" t="s">
        <v>19</v>
      </c>
      <c r="E288" t="s">
        <v>19</v>
      </c>
      <c r="F288" t="s">
        <v>19</v>
      </c>
      <c r="G288" t="s">
        <v>597</v>
      </c>
      <c r="H288" t="s">
        <v>19</v>
      </c>
      <c r="I288" t="s">
        <v>19</v>
      </c>
      <c r="J288" t="s">
        <v>19</v>
      </c>
      <c r="K288" t="s">
        <v>19</v>
      </c>
      <c r="L288">
        <v>0.30334815356580469</v>
      </c>
      <c r="M288">
        <v>0.26984958446037838</v>
      </c>
      <c r="N288">
        <v>8.9329517614470097E-2</v>
      </c>
      <c r="O288">
        <v>2.6674786509876487E-2</v>
      </c>
      <c r="P288">
        <v>0.23138826437637044</v>
      </c>
      <c r="Q288">
        <v>0.61910318457806357</v>
      </c>
      <c r="R288">
        <v>3.6600288467039832E-2</v>
      </c>
      <c r="S288">
        <v>0.27171061607734653</v>
      </c>
      <c r="T288">
        <v>1.8610316169681271E-2</v>
      </c>
      <c r="U288">
        <v>0.9726991918020077</v>
      </c>
      <c r="V288">
        <v>0.3988811099035019</v>
      </c>
      <c r="W288">
        <v>1.176792325796179</v>
      </c>
      <c r="X288">
        <v>0.83064044504010737</v>
      </c>
      <c r="Y288">
        <v>1.2524742782195495</v>
      </c>
      <c r="Z288">
        <v>0.50061750496442614</v>
      </c>
      <c r="AA288">
        <v>1.3287765745152429</v>
      </c>
      <c r="AB288">
        <v>0.37965044986149793</v>
      </c>
      <c r="AC288">
        <v>1.5911820325077486</v>
      </c>
      <c r="AD288">
        <v>1.5465172737005135</v>
      </c>
      <c r="AE288">
        <v>1.2450301517516771</v>
      </c>
      <c r="AF288">
        <v>0.18920488105842623</v>
      </c>
      <c r="AG288">
        <v>0.21153726046204377</v>
      </c>
      <c r="AH288">
        <v>0.40880661186066525</v>
      </c>
      <c r="AI288">
        <v>0.11910602348596012</v>
      </c>
      <c r="AJ288">
        <v>8.4366766635888435E-2</v>
      </c>
      <c r="AK288">
        <v>0.16253009454854978</v>
      </c>
      <c r="AL288">
        <v>9.4912612465374482E-2</v>
      </c>
      <c r="AM288">
        <v>1.2617794363043902</v>
      </c>
      <c r="AN288">
        <v>0.18238109846287645</v>
      </c>
      <c r="AO288" t="s">
        <v>19</v>
      </c>
      <c r="AT288" t="str">
        <f t="shared" si="8"/>
        <v>car</v>
      </c>
      <c r="AU288" t="str">
        <f t="shared" si="9"/>
        <v>dsl</v>
      </c>
    </row>
    <row r="289" spans="1:47">
      <c r="A289" t="s">
        <v>17</v>
      </c>
      <c r="B289" t="s">
        <v>176</v>
      </c>
      <c r="C289" t="s">
        <v>621</v>
      </c>
      <c r="D289" t="s">
        <v>19</v>
      </c>
      <c r="E289" t="s">
        <v>19</v>
      </c>
      <c r="F289" t="s">
        <v>19</v>
      </c>
      <c r="G289" t="s">
        <v>596</v>
      </c>
      <c r="H289" t="s">
        <v>19</v>
      </c>
      <c r="I289" t="s">
        <v>19</v>
      </c>
      <c r="J289" t="s">
        <v>19</v>
      </c>
      <c r="K289" t="s">
        <v>19</v>
      </c>
      <c r="L289">
        <v>0.30334815356580469</v>
      </c>
      <c r="M289">
        <v>0.26984958446037838</v>
      </c>
      <c r="N289">
        <v>8.9329517614470097E-2</v>
      </c>
      <c r="O289">
        <v>2.6674786509876487E-2</v>
      </c>
      <c r="P289">
        <v>0.23138826437637044</v>
      </c>
      <c r="Q289">
        <v>0.61910318457806357</v>
      </c>
      <c r="R289">
        <v>3.6600288467039832E-2</v>
      </c>
      <c r="S289">
        <v>0.27171061607734653</v>
      </c>
      <c r="T289">
        <v>1.8610316169681271E-2</v>
      </c>
      <c r="U289">
        <v>0.9726991918020077</v>
      </c>
      <c r="V289">
        <v>0.3988811099035019</v>
      </c>
      <c r="W289">
        <v>1.176792325796179</v>
      </c>
      <c r="X289">
        <v>0.83064044504010737</v>
      </c>
      <c r="Y289">
        <v>1.2524742782195495</v>
      </c>
      <c r="Z289">
        <v>0.50061750496442614</v>
      </c>
      <c r="AA289">
        <v>1.3287765745152429</v>
      </c>
      <c r="AB289">
        <v>0.37965044986149793</v>
      </c>
      <c r="AC289">
        <v>1.5911820325077486</v>
      </c>
      <c r="AD289">
        <v>1.5465172737005135</v>
      </c>
      <c r="AE289">
        <v>1.2450301517516771</v>
      </c>
      <c r="AF289">
        <v>0.18920488105842623</v>
      </c>
      <c r="AG289">
        <v>0.21153726046204377</v>
      </c>
      <c r="AH289">
        <v>0.40880661186066525</v>
      </c>
      <c r="AI289">
        <v>0.11910602348596012</v>
      </c>
      <c r="AJ289">
        <v>8.4366766635888435E-2</v>
      </c>
      <c r="AK289">
        <v>0.16253009454854978</v>
      </c>
      <c r="AL289">
        <v>9.4912612465374482E-2</v>
      </c>
      <c r="AM289">
        <v>1.2617794363043902</v>
      </c>
      <c r="AN289">
        <v>0.18238109846287645</v>
      </c>
      <c r="AO289" t="s">
        <v>19</v>
      </c>
      <c r="AT289" t="str">
        <f t="shared" si="8"/>
        <v>car</v>
      </c>
      <c r="AU289" t="str">
        <f t="shared" si="9"/>
        <v>dsl</v>
      </c>
    </row>
    <row r="290" spans="1:47">
      <c r="A290" t="s">
        <v>17</v>
      </c>
      <c r="B290" t="s">
        <v>176</v>
      </c>
      <c r="C290" t="s">
        <v>621</v>
      </c>
      <c r="D290" t="s">
        <v>19</v>
      </c>
      <c r="E290" t="s">
        <v>19</v>
      </c>
      <c r="F290" t="s">
        <v>19</v>
      </c>
      <c r="G290" t="s">
        <v>178</v>
      </c>
      <c r="H290" t="s">
        <v>19</v>
      </c>
      <c r="I290" t="s">
        <v>19</v>
      </c>
      <c r="J290" t="s">
        <v>19</v>
      </c>
      <c r="K290" t="s">
        <v>19</v>
      </c>
      <c r="L290">
        <v>0.30334815356580469</v>
      </c>
      <c r="M290">
        <v>0.26984958446037838</v>
      </c>
      <c r="N290">
        <v>8.9329517614470097E-2</v>
      </c>
      <c r="O290">
        <v>2.6674786509876487E-2</v>
      </c>
      <c r="P290">
        <v>0.23138826437637044</v>
      </c>
      <c r="Q290">
        <v>0.61910318457806357</v>
      </c>
      <c r="R290">
        <v>3.6600288467039832E-2</v>
      </c>
      <c r="S290">
        <v>0.27171061607734653</v>
      </c>
      <c r="T290">
        <v>1.8610316169681271E-2</v>
      </c>
      <c r="U290">
        <v>0.9726991918020077</v>
      </c>
      <c r="V290">
        <v>0.3988811099035019</v>
      </c>
      <c r="W290">
        <v>1.176792325796179</v>
      </c>
      <c r="X290">
        <v>0.83064044504010737</v>
      </c>
      <c r="Y290">
        <v>1.2524742782195495</v>
      </c>
      <c r="Z290">
        <v>0.50061750496442614</v>
      </c>
      <c r="AA290">
        <v>1.3287765745152429</v>
      </c>
      <c r="AB290">
        <v>0.37965044986149793</v>
      </c>
      <c r="AC290">
        <v>1.5911820325077486</v>
      </c>
      <c r="AD290">
        <v>1.5465172737005135</v>
      </c>
      <c r="AE290">
        <v>1.2450301517516771</v>
      </c>
      <c r="AF290">
        <v>0.18920488105842623</v>
      </c>
      <c r="AG290">
        <v>0.21153726046204377</v>
      </c>
      <c r="AH290">
        <v>0.40880661186066525</v>
      </c>
      <c r="AI290">
        <v>0.11910602348596012</v>
      </c>
      <c r="AJ290">
        <v>8.4366766635888435E-2</v>
      </c>
      <c r="AK290">
        <v>0.16253009454854978</v>
      </c>
      <c r="AL290">
        <v>9.4912612465374482E-2</v>
      </c>
      <c r="AM290">
        <v>1.2617794363043902</v>
      </c>
      <c r="AN290">
        <v>0.18238109846287645</v>
      </c>
      <c r="AO290" t="s">
        <v>19</v>
      </c>
      <c r="AT290" t="str">
        <f t="shared" si="8"/>
        <v>car</v>
      </c>
      <c r="AU290" t="str">
        <f t="shared" si="9"/>
        <v>dsl</v>
      </c>
    </row>
    <row r="291" spans="1:47">
      <c r="A291" t="s">
        <v>17</v>
      </c>
      <c r="B291" t="s">
        <v>176</v>
      </c>
      <c r="C291" t="s">
        <v>621</v>
      </c>
      <c r="D291" t="s">
        <v>19</v>
      </c>
      <c r="E291" t="s">
        <v>19</v>
      </c>
      <c r="F291" t="s">
        <v>19</v>
      </c>
      <c r="G291" t="s">
        <v>179</v>
      </c>
      <c r="H291" t="s">
        <v>19</v>
      </c>
      <c r="I291" t="s">
        <v>19</v>
      </c>
      <c r="J291" t="s">
        <v>19</v>
      </c>
      <c r="K291" t="s">
        <v>19</v>
      </c>
      <c r="L291">
        <v>0.30334815356580469</v>
      </c>
      <c r="M291">
        <v>0.26984958446037838</v>
      </c>
      <c r="N291">
        <v>8.9329517614470097E-2</v>
      </c>
      <c r="O291">
        <v>2.6674786509876487E-2</v>
      </c>
      <c r="P291">
        <v>0.23138826437637044</v>
      </c>
      <c r="Q291">
        <v>0.61910318457806357</v>
      </c>
      <c r="R291">
        <v>3.6600288467039832E-2</v>
      </c>
      <c r="S291">
        <v>0.27171061607734653</v>
      </c>
      <c r="T291">
        <v>1.8610316169681271E-2</v>
      </c>
      <c r="U291">
        <v>0.9726991918020077</v>
      </c>
      <c r="V291">
        <v>0.3988811099035019</v>
      </c>
      <c r="W291">
        <v>1.176792325796179</v>
      </c>
      <c r="X291">
        <v>0.83064044504010737</v>
      </c>
      <c r="Y291">
        <v>1.2524742782195495</v>
      </c>
      <c r="Z291">
        <v>0.50061750496442614</v>
      </c>
      <c r="AA291">
        <v>1.3287765745152429</v>
      </c>
      <c r="AB291">
        <v>0.37965044986149793</v>
      </c>
      <c r="AC291">
        <v>1.5911820325077486</v>
      </c>
      <c r="AD291">
        <v>1.5465172737005135</v>
      </c>
      <c r="AE291">
        <v>1.2450301517516771</v>
      </c>
      <c r="AF291">
        <v>0.18920488105842623</v>
      </c>
      <c r="AG291">
        <v>0.21153726046204377</v>
      </c>
      <c r="AH291">
        <v>0.40880661186066525</v>
      </c>
      <c r="AI291">
        <v>0.11910602348596012</v>
      </c>
      <c r="AJ291">
        <v>8.4366766635888435E-2</v>
      </c>
      <c r="AK291">
        <v>0.16253009454854978</v>
      </c>
      <c r="AL291">
        <v>9.4912612465374482E-2</v>
      </c>
      <c r="AM291">
        <v>1.2617794363043902</v>
      </c>
      <c r="AN291">
        <v>0.18238109846287645</v>
      </c>
      <c r="AO291" t="s">
        <v>19</v>
      </c>
      <c r="AT291" t="str">
        <f t="shared" si="8"/>
        <v>car</v>
      </c>
      <c r="AU291" t="str">
        <f t="shared" si="9"/>
        <v>dsl</v>
      </c>
    </row>
    <row r="292" spans="1:47">
      <c r="A292" t="s">
        <v>17</v>
      </c>
      <c r="B292" t="s">
        <v>176</v>
      </c>
      <c r="C292" t="s">
        <v>621</v>
      </c>
      <c r="D292" t="s">
        <v>19</v>
      </c>
      <c r="E292" t="s">
        <v>19</v>
      </c>
      <c r="F292" t="s">
        <v>19</v>
      </c>
      <c r="G292" t="s">
        <v>180</v>
      </c>
      <c r="H292" t="s">
        <v>19</v>
      </c>
      <c r="I292" t="s">
        <v>19</v>
      </c>
      <c r="J292" t="s">
        <v>19</v>
      </c>
      <c r="K292" t="s">
        <v>19</v>
      </c>
      <c r="L292">
        <v>0.30334815356580469</v>
      </c>
      <c r="M292">
        <v>0.26984958446037838</v>
      </c>
      <c r="N292">
        <v>8.9329517614470097E-2</v>
      </c>
      <c r="O292">
        <v>2.6674786509876487E-2</v>
      </c>
      <c r="P292">
        <v>0.23138826437637044</v>
      </c>
      <c r="Q292">
        <v>0.61910318457806357</v>
      </c>
      <c r="R292">
        <v>3.6600288467039832E-2</v>
      </c>
      <c r="S292">
        <v>0.27171061607734653</v>
      </c>
      <c r="T292">
        <v>1.8610316169681271E-2</v>
      </c>
      <c r="U292">
        <v>0.9726991918020077</v>
      </c>
      <c r="V292">
        <v>0.3988811099035019</v>
      </c>
      <c r="W292">
        <v>1.176792325796179</v>
      </c>
      <c r="X292">
        <v>0.83064044504010737</v>
      </c>
      <c r="Y292">
        <v>1.2524742782195495</v>
      </c>
      <c r="Z292">
        <v>0.50061750496442614</v>
      </c>
      <c r="AA292">
        <v>1.3287765745152429</v>
      </c>
      <c r="AB292">
        <v>0.37965044986149793</v>
      </c>
      <c r="AC292">
        <v>1.5911820325077486</v>
      </c>
      <c r="AD292">
        <v>1.5465172737005135</v>
      </c>
      <c r="AE292">
        <v>1.2450301517516771</v>
      </c>
      <c r="AF292">
        <v>0.18920488105842623</v>
      </c>
      <c r="AG292">
        <v>0.21153726046204377</v>
      </c>
      <c r="AH292">
        <v>0.40880661186066525</v>
      </c>
      <c r="AI292">
        <v>0.11910602348596012</v>
      </c>
      <c r="AJ292">
        <v>8.4366766635888435E-2</v>
      </c>
      <c r="AK292">
        <v>0.16253009454854978</v>
      </c>
      <c r="AL292">
        <v>9.4912612465374482E-2</v>
      </c>
      <c r="AM292">
        <v>1.2617794363043902</v>
      </c>
      <c r="AN292">
        <v>0.18238109846287645</v>
      </c>
      <c r="AO292" t="s">
        <v>19</v>
      </c>
      <c r="AT292" t="str">
        <f t="shared" si="8"/>
        <v>car</v>
      </c>
      <c r="AU292" t="str">
        <f t="shared" si="9"/>
        <v>dsl</v>
      </c>
    </row>
    <row r="293" spans="1:47">
      <c r="A293" t="s">
        <v>17</v>
      </c>
      <c r="B293" t="s">
        <v>176</v>
      </c>
      <c r="C293" t="s">
        <v>621</v>
      </c>
      <c r="D293" t="s">
        <v>19</v>
      </c>
      <c r="E293" t="s">
        <v>19</v>
      </c>
      <c r="F293" t="s">
        <v>19</v>
      </c>
      <c r="G293" t="s">
        <v>181</v>
      </c>
      <c r="H293" t="s">
        <v>19</v>
      </c>
      <c r="I293" t="s">
        <v>19</v>
      </c>
      <c r="J293" t="s">
        <v>19</v>
      </c>
      <c r="K293" t="s">
        <v>19</v>
      </c>
      <c r="L293">
        <v>0.30334815356580469</v>
      </c>
      <c r="M293">
        <v>0.26984958446037838</v>
      </c>
      <c r="N293">
        <v>8.9329517614470097E-2</v>
      </c>
      <c r="O293">
        <v>2.6674786509876487E-2</v>
      </c>
      <c r="P293">
        <v>0.23138826437637044</v>
      </c>
      <c r="Q293">
        <v>0.61910318457806357</v>
      </c>
      <c r="R293">
        <v>3.6600288467039832E-2</v>
      </c>
      <c r="S293">
        <v>0.27171061607734653</v>
      </c>
      <c r="T293">
        <v>1.8610316169681271E-2</v>
      </c>
      <c r="U293">
        <v>0.9726991918020077</v>
      </c>
      <c r="V293">
        <v>0.3988811099035019</v>
      </c>
      <c r="W293">
        <v>1.176792325796179</v>
      </c>
      <c r="X293">
        <v>0.83064044504010737</v>
      </c>
      <c r="Y293">
        <v>1.2524742782195495</v>
      </c>
      <c r="Z293">
        <v>0.50061750496442614</v>
      </c>
      <c r="AA293">
        <v>1.3287765745152429</v>
      </c>
      <c r="AB293">
        <v>0.37965044986149793</v>
      </c>
      <c r="AC293">
        <v>1.5911820325077486</v>
      </c>
      <c r="AD293">
        <v>1.5465172737005135</v>
      </c>
      <c r="AE293">
        <v>1.2450301517516771</v>
      </c>
      <c r="AF293">
        <v>0.18920488105842623</v>
      </c>
      <c r="AG293">
        <v>0.21153726046204377</v>
      </c>
      <c r="AH293">
        <v>0.40880661186066525</v>
      </c>
      <c r="AI293">
        <v>0.11910602348596012</v>
      </c>
      <c r="AJ293">
        <v>8.4366766635888435E-2</v>
      </c>
      <c r="AK293">
        <v>0.16253009454854978</v>
      </c>
      <c r="AL293">
        <v>9.4912612465374482E-2</v>
      </c>
      <c r="AM293">
        <v>1.2617794363043902</v>
      </c>
      <c r="AN293">
        <v>0.18238109846287645</v>
      </c>
      <c r="AO293" t="s">
        <v>19</v>
      </c>
      <c r="AT293" t="str">
        <f t="shared" si="8"/>
        <v>car</v>
      </c>
      <c r="AU293" t="str">
        <f t="shared" si="9"/>
        <v>dsl</v>
      </c>
    </row>
    <row r="294" spans="1:47">
      <c r="A294" t="s">
        <v>17</v>
      </c>
      <c r="B294" t="s">
        <v>176</v>
      </c>
      <c r="C294" t="s">
        <v>621</v>
      </c>
      <c r="D294" t="s">
        <v>19</v>
      </c>
      <c r="E294" t="s">
        <v>19</v>
      </c>
      <c r="F294" t="s">
        <v>19</v>
      </c>
      <c r="G294" t="s">
        <v>182</v>
      </c>
      <c r="H294" t="s">
        <v>19</v>
      </c>
      <c r="I294" t="s">
        <v>19</v>
      </c>
      <c r="J294" t="s">
        <v>19</v>
      </c>
      <c r="K294" t="s">
        <v>19</v>
      </c>
      <c r="L294">
        <v>0.30334815356580469</v>
      </c>
      <c r="M294">
        <v>0.26984958446037838</v>
      </c>
      <c r="N294">
        <v>8.9329517614470097E-2</v>
      </c>
      <c r="O294">
        <v>2.6674786509876487E-2</v>
      </c>
      <c r="P294">
        <v>0.23138826437637044</v>
      </c>
      <c r="Q294">
        <v>0.61910318457806357</v>
      </c>
      <c r="R294">
        <v>3.6600288467039832E-2</v>
      </c>
      <c r="S294">
        <v>0.27171061607734653</v>
      </c>
      <c r="T294">
        <v>1.8610316169681271E-2</v>
      </c>
      <c r="U294">
        <v>0.9726991918020077</v>
      </c>
      <c r="V294">
        <v>0.3988811099035019</v>
      </c>
      <c r="W294">
        <v>1.176792325796179</v>
      </c>
      <c r="X294">
        <v>0.83064044504010737</v>
      </c>
      <c r="Y294">
        <v>1.2524742782195495</v>
      </c>
      <c r="Z294">
        <v>0.50061750496442614</v>
      </c>
      <c r="AA294">
        <v>1.3287765745152429</v>
      </c>
      <c r="AB294">
        <v>0.37965044986149793</v>
      </c>
      <c r="AC294">
        <v>1.5911820325077486</v>
      </c>
      <c r="AD294">
        <v>1.5465172737005135</v>
      </c>
      <c r="AE294">
        <v>1.2450301517516771</v>
      </c>
      <c r="AF294">
        <v>0.18920488105842623</v>
      </c>
      <c r="AG294">
        <v>0.21153726046204377</v>
      </c>
      <c r="AH294">
        <v>0.40880661186066525</v>
      </c>
      <c r="AI294">
        <v>0.11910602348596012</v>
      </c>
      <c r="AJ294">
        <v>8.4366766635888435E-2</v>
      </c>
      <c r="AK294">
        <v>0.16253009454854978</v>
      </c>
      <c r="AL294">
        <v>9.4912612465374482E-2</v>
      </c>
      <c r="AM294">
        <v>1.2617794363043902</v>
      </c>
      <c r="AN294">
        <v>0.18238109846287645</v>
      </c>
      <c r="AO294" t="s">
        <v>19</v>
      </c>
      <c r="AT294" t="str">
        <f t="shared" si="8"/>
        <v>car</v>
      </c>
      <c r="AU294" t="str">
        <f t="shared" si="9"/>
        <v>dsl</v>
      </c>
    </row>
    <row r="295" spans="1:47">
      <c r="A295" t="s">
        <v>17</v>
      </c>
      <c r="B295" t="s">
        <v>176</v>
      </c>
      <c r="C295" t="s">
        <v>621</v>
      </c>
      <c r="D295" t="s">
        <v>19</v>
      </c>
      <c r="E295" t="s">
        <v>19</v>
      </c>
      <c r="F295" t="s">
        <v>19</v>
      </c>
      <c r="G295" t="s">
        <v>183</v>
      </c>
      <c r="H295" t="s">
        <v>19</v>
      </c>
      <c r="I295" t="s">
        <v>19</v>
      </c>
      <c r="J295" t="s">
        <v>19</v>
      </c>
      <c r="K295" t="s">
        <v>19</v>
      </c>
      <c r="L295">
        <v>0.30334815356580469</v>
      </c>
      <c r="M295">
        <v>0.26984958446037838</v>
      </c>
      <c r="N295">
        <v>8.9329517614470097E-2</v>
      </c>
      <c r="O295">
        <v>2.6674786509876487E-2</v>
      </c>
      <c r="P295">
        <v>0.23138826437637044</v>
      </c>
      <c r="Q295">
        <v>0.61910318457806357</v>
      </c>
      <c r="R295">
        <v>3.6600288467039832E-2</v>
      </c>
      <c r="S295">
        <v>0.27171061607734653</v>
      </c>
      <c r="T295">
        <v>1.8610316169681271E-2</v>
      </c>
      <c r="U295">
        <v>0.9726991918020077</v>
      </c>
      <c r="V295">
        <v>0.3988811099035019</v>
      </c>
      <c r="W295">
        <v>1.176792325796179</v>
      </c>
      <c r="X295">
        <v>0.83064044504010737</v>
      </c>
      <c r="Y295">
        <v>1.2524742782195495</v>
      </c>
      <c r="Z295">
        <v>0.50061750496442614</v>
      </c>
      <c r="AA295">
        <v>1.3287765745152429</v>
      </c>
      <c r="AB295">
        <v>0.37965044986149793</v>
      </c>
      <c r="AC295">
        <v>1.5911820325077486</v>
      </c>
      <c r="AD295">
        <v>1.5465172737005135</v>
      </c>
      <c r="AE295">
        <v>1.2450301517516771</v>
      </c>
      <c r="AF295">
        <v>0.18920488105842623</v>
      </c>
      <c r="AG295">
        <v>0.21153726046204377</v>
      </c>
      <c r="AH295">
        <v>0.40880661186066525</v>
      </c>
      <c r="AI295">
        <v>0.11910602348596012</v>
      </c>
      <c r="AJ295">
        <v>8.4366766635888435E-2</v>
      </c>
      <c r="AK295">
        <v>0.16253009454854978</v>
      </c>
      <c r="AL295">
        <v>9.4912612465374482E-2</v>
      </c>
      <c r="AM295">
        <v>1.2617794363043902</v>
      </c>
      <c r="AN295">
        <v>0.18238109846287645</v>
      </c>
      <c r="AO295" t="s">
        <v>19</v>
      </c>
      <c r="AT295" t="str">
        <f t="shared" si="8"/>
        <v>car</v>
      </c>
      <c r="AU295" t="str">
        <f t="shared" si="9"/>
        <v>dsl</v>
      </c>
    </row>
    <row r="296" spans="1:47">
      <c r="A296" t="s">
        <v>17</v>
      </c>
      <c r="B296" t="s">
        <v>176</v>
      </c>
      <c r="C296" t="s">
        <v>621</v>
      </c>
      <c r="D296" t="s">
        <v>19</v>
      </c>
      <c r="E296" t="s">
        <v>19</v>
      </c>
      <c r="F296" t="s">
        <v>19</v>
      </c>
      <c r="G296" t="s">
        <v>184</v>
      </c>
      <c r="H296" t="s">
        <v>19</v>
      </c>
      <c r="I296" t="s">
        <v>19</v>
      </c>
      <c r="J296" t="s">
        <v>19</v>
      </c>
      <c r="K296" t="s">
        <v>19</v>
      </c>
      <c r="L296">
        <v>0.30334815356580469</v>
      </c>
      <c r="M296">
        <v>0.26984958446037838</v>
      </c>
      <c r="N296">
        <v>8.9329517614470097E-2</v>
      </c>
      <c r="O296">
        <v>2.6674786509876487E-2</v>
      </c>
      <c r="P296">
        <v>0.23138826437637044</v>
      </c>
      <c r="Q296">
        <v>0.61910318457806357</v>
      </c>
      <c r="R296">
        <v>3.6600288467039832E-2</v>
      </c>
      <c r="S296">
        <v>0.27171061607734653</v>
      </c>
      <c r="T296">
        <v>1.8610316169681271E-2</v>
      </c>
      <c r="U296">
        <v>0.9726991918020077</v>
      </c>
      <c r="V296">
        <v>0.3988811099035019</v>
      </c>
      <c r="W296">
        <v>1.176792325796179</v>
      </c>
      <c r="X296">
        <v>0.83064044504010737</v>
      </c>
      <c r="Y296">
        <v>1.2524742782195495</v>
      </c>
      <c r="Z296">
        <v>0.50061750496442614</v>
      </c>
      <c r="AA296">
        <v>1.3287765745152429</v>
      </c>
      <c r="AB296">
        <v>0.37965044986149793</v>
      </c>
      <c r="AC296">
        <v>1.5911820325077486</v>
      </c>
      <c r="AD296">
        <v>1.5465172737005135</v>
      </c>
      <c r="AE296">
        <v>1.2450301517516771</v>
      </c>
      <c r="AF296">
        <v>0.18920488105842623</v>
      </c>
      <c r="AG296">
        <v>0.21153726046204377</v>
      </c>
      <c r="AH296">
        <v>0.40880661186066525</v>
      </c>
      <c r="AI296">
        <v>0.11910602348596012</v>
      </c>
      <c r="AJ296">
        <v>8.4366766635888435E-2</v>
      </c>
      <c r="AK296">
        <v>0.16253009454854978</v>
      </c>
      <c r="AL296">
        <v>9.4912612465374482E-2</v>
      </c>
      <c r="AM296">
        <v>1.2617794363043902</v>
      </c>
      <c r="AN296">
        <v>0.18238109846287645</v>
      </c>
      <c r="AO296" t="s">
        <v>19</v>
      </c>
      <c r="AT296" t="str">
        <f t="shared" si="8"/>
        <v>car</v>
      </c>
      <c r="AU296" t="str">
        <f t="shared" si="9"/>
        <v>dsl</v>
      </c>
    </row>
    <row r="297" spans="1:47">
      <c r="A297" t="s">
        <v>17</v>
      </c>
      <c r="B297" t="s">
        <v>176</v>
      </c>
      <c r="C297" t="s">
        <v>621</v>
      </c>
      <c r="D297" t="s">
        <v>19</v>
      </c>
      <c r="E297" t="s">
        <v>19</v>
      </c>
      <c r="F297" t="s">
        <v>19</v>
      </c>
      <c r="G297" t="s">
        <v>185</v>
      </c>
      <c r="H297" t="s">
        <v>19</v>
      </c>
      <c r="I297" t="s">
        <v>19</v>
      </c>
      <c r="J297" t="s">
        <v>19</v>
      </c>
      <c r="K297" t="s">
        <v>19</v>
      </c>
      <c r="L297">
        <v>0.30334815356580469</v>
      </c>
      <c r="M297">
        <v>0.26984958446037838</v>
      </c>
      <c r="N297">
        <v>8.9329517614470097E-2</v>
      </c>
      <c r="O297">
        <v>2.6674786509876487E-2</v>
      </c>
      <c r="P297">
        <v>0.23138826437637044</v>
      </c>
      <c r="Q297">
        <v>0.61910318457806357</v>
      </c>
      <c r="R297">
        <v>3.6600288467039832E-2</v>
      </c>
      <c r="S297">
        <v>0.27171061607734653</v>
      </c>
      <c r="T297">
        <v>1.8610316169681271E-2</v>
      </c>
      <c r="U297">
        <v>0.9726991918020077</v>
      </c>
      <c r="V297">
        <v>0.3988811099035019</v>
      </c>
      <c r="W297">
        <v>1.176792325796179</v>
      </c>
      <c r="X297">
        <v>0.83064044504010737</v>
      </c>
      <c r="Y297">
        <v>1.2524742782195495</v>
      </c>
      <c r="Z297">
        <v>0.50061750496442614</v>
      </c>
      <c r="AA297">
        <v>1.3287765745152429</v>
      </c>
      <c r="AB297">
        <v>0.37965044986149793</v>
      </c>
      <c r="AC297">
        <v>1.5911820325077486</v>
      </c>
      <c r="AD297">
        <v>1.5465172737005135</v>
      </c>
      <c r="AE297">
        <v>1.2450301517516771</v>
      </c>
      <c r="AF297">
        <v>0.18920488105842623</v>
      </c>
      <c r="AG297">
        <v>0.21153726046204377</v>
      </c>
      <c r="AH297">
        <v>0.40880661186066525</v>
      </c>
      <c r="AI297">
        <v>0.11910602348596012</v>
      </c>
      <c r="AJ297">
        <v>8.4366766635888435E-2</v>
      </c>
      <c r="AK297">
        <v>0.16253009454854978</v>
      </c>
      <c r="AL297">
        <v>9.4912612465374482E-2</v>
      </c>
      <c r="AM297">
        <v>1.2617794363043902</v>
      </c>
      <c r="AN297">
        <v>0.18238109846287645</v>
      </c>
      <c r="AO297" t="s">
        <v>19</v>
      </c>
      <c r="AT297" t="str">
        <f t="shared" si="8"/>
        <v>car</v>
      </c>
      <c r="AU297" t="str">
        <f t="shared" si="9"/>
        <v>dsl</v>
      </c>
    </row>
    <row r="298" spans="1:47">
      <c r="A298" t="s">
        <v>17</v>
      </c>
      <c r="B298" t="s">
        <v>176</v>
      </c>
      <c r="C298" t="s">
        <v>621</v>
      </c>
      <c r="D298" t="s">
        <v>19</v>
      </c>
      <c r="E298" t="s">
        <v>19</v>
      </c>
      <c r="F298" t="s">
        <v>19</v>
      </c>
      <c r="G298" t="s">
        <v>186</v>
      </c>
      <c r="H298" t="s">
        <v>19</v>
      </c>
      <c r="I298" t="s">
        <v>19</v>
      </c>
      <c r="J298" t="s">
        <v>19</v>
      </c>
      <c r="K298" t="s">
        <v>19</v>
      </c>
      <c r="L298">
        <v>0.30334815356580469</v>
      </c>
      <c r="M298">
        <v>0.26984958446037838</v>
      </c>
      <c r="N298">
        <v>8.9329517614470097E-2</v>
      </c>
      <c r="O298">
        <v>2.6674786509876487E-2</v>
      </c>
      <c r="P298">
        <v>0.23138826437637044</v>
      </c>
      <c r="Q298">
        <v>0.61910318457806357</v>
      </c>
      <c r="R298">
        <v>3.6600288467039832E-2</v>
      </c>
      <c r="S298">
        <v>0.27171061607734653</v>
      </c>
      <c r="T298">
        <v>1.8610316169681271E-2</v>
      </c>
      <c r="U298">
        <v>0.9726991918020077</v>
      </c>
      <c r="V298">
        <v>0.3988811099035019</v>
      </c>
      <c r="W298">
        <v>1.176792325796179</v>
      </c>
      <c r="X298">
        <v>0.83064044504010737</v>
      </c>
      <c r="Y298">
        <v>1.2524742782195495</v>
      </c>
      <c r="Z298">
        <v>0.50061750496442614</v>
      </c>
      <c r="AA298">
        <v>1.3287765745152429</v>
      </c>
      <c r="AB298">
        <v>0.37965044986149793</v>
      </c>
      <c r="AC298">
        <v>1.5911820325077486</v>
      </c>
      <c r="AD298">
        <v>1.5465172737005135</v>
      </c>
      <c r="AE298">
        <v>1.2450301517516771</v>
      </c>
      <c r="AF298">
        <v>0.18920488105842623</v>
      </c>
      <c r="AG298">
        <v>0.21153726046204377</v>
      </c>
      <c r="AH298">
        <v>0.40880661186066525</v>
      </c>
      <c r="AI298">
        <v>0.11910602348596012</v>
      </c>
      <c r="AJ298">
        <v>8.4366766635888435E-2</v>
      </c>
      <c r="AK298">
        <v>0.16253009454854978</v>
      </c>
      <c r="AL298">
        <v>9.4912612465374482E-2</v>
      </c>
      <c r="AM298">
        <v>1.2617794363043902</v>
      </c>
      <c r="AN298">
        <v>0.18238109846287645</v>
      </c>
      <c r="AO298" t="s">
        <v>19</v>
      </c>
      <c r="AT298" t="str">
        <f t="shared" si="8"/>
        <v>car</v>
      </c>
      <c r="AU298" t="str">
        <f t="shared" si="9"/>
        <v>dsl</v>
      </c>
    </row>
    <row r="299" spans="1:47">
      <c r="A299" t="s">
        <v>17</v>
      </c>
      <c r="B299" t="s">
        <v>176</v>
      </c>
      <c r="C299" t="s">
        <v>621</v>
      </c>
      <c r="D299" t="s">
        <v>19</v>
      </c>
      <c r="E299" t="s">
        <v>19</v>
      </c>
      <c r="F299" t="s">
        <v>19</v>
      </c>
      <c r="G299" t="s">
        <v>187</v>
      </c>
      <c r="H299" t="s">
        <v>19</v>
      </c>
      <c r="I299" t="s">
        <v>19</v>
      </c>
      <c r="J299" t="s">
        <v>19</v>
      </c>
      <c r="K299" t="s">
        <v>19</v>
      </c>
      <c r="L299">
        <v>0.30334815356580469</v>
      </c>
      <c r="M299">
        <v>0.26984958446037838</v>
      </c>
      <c r="N299">
        <v>8.9329517614470097E-2</v>
      </c>
      <c r="O299">
        <v>2.6674786509876487E-2</v>
      </c>
      <c r="P299">
        <v>0.23138826437637044</v>
      </c>
      <c r="Q299">
        <v>0.61910318457806357</v>
      </c>
      <c r="R299">
        <v>3.6600288467039832E-2</v>
      </c>
      <c r="S299">
        <v>0.27171061607734653</v>
      </c>
      <c r="T299">
        <v>1.8610316169681271E-2</v>
      </c>
      <c r="U299">
        <v>0.9726991918020077</v>
      </c>
      <c r="V299">
        <v>0.3988811099035019</v>
      </c>
      <c r="W299">
        <v>1.176792325796179</v>
      </c>
      <c r="X299">
        <v>0.83064044504010737</v>
      </c>
      <c r="Y299">
        <v>1.2524742782195495</v>
      </c>
      <c r="Z299">
        <v>0.50061750496442614</v>
      </c>
      <c r="AA299">
        <v>1.3287765745152429</v>
      </c>
      <c r="AB299">
        <v>0.37965044986149793</v>
      </c>
      <c r="AC299">
        <v>1.5911820325077486</v>
      </c>
      <c r="AD299">
        <v>1.5465172737005135</v>
      </c>
      <c r="AE299">
        <v>1.2450301517516771</v>
      </c>
      <c r="AF299">
        <v>0.18920488105842623</v>
      </c>
      <c r="AG299">
        <v>0.21153726046204377</v>
      </c>
      <c r="AH299">
        <v>0.40880661186066525</v>
      </c>
      <c r="AI299">
        <v>0.11910602348596012</v>
      </c>
      <c r="AJ299">
        <v>8.4366766635888435E-2</v>
      </c>
      <c r="AK299">
        <v>0.16253009454854978</v>
      </c>
      <c r="AL299">
        <v>9.4912612465374482E-2</v>
      </c>
      <c r="AM299">
        <v>1.2617794363043902</v>
      </c>
      <c r="AN299">
        <v>0.18238109846287645</v>
      </c>
      <c r="AO299" t="s">
        <v>19</v>
      </c>
      <c r="AT299" t="str">
        <f t="shared" si="8"/>
        <v>car</v>
      </c>
      <c r="AU299" t="str">
        <f t="shared" si="9"/>
        <v>dsl</v>
      </c>
    </row>
    <row r="300" spans="1:47">
      <c r="A300" t="s">
        <v>17</v>
      </c>
      <c r="B300" t="s">
        <v>176</v>
      </c>
      <c r="C300" t="s">
        <v>621</v>
      </c>
      <c r="D300" t="s">
        <v>19</v>
      </c>
      <c r="E300" t="s">
        <v>19</v>
      </c>
      <c r="F300" t="s">
        <v>19</v>
      </c>
      <c r="G300" t="s">
        <v>188</v>
      </c>
      <c r="H300" t="s">
        <v>19</v>
      </c>
      <c r="I300" t="s">
        <v>19</v>
      </c>
      <c r="J300" t="s">
        <v>19</v>
      </c>
      <c r="K300" t="s">
        <v>19</v>
      </c>
      <c r="L300">
        <v>0.30334815356580469</v>
      </c>
      <c r="M300">
        <v>0.26984958446037838</v>
      </c>
      <c r="N300">
        <v>8.9329517614470097E-2</v>
      </c>
      <c r="O300">
        <v>2.6674786509876487E-2</v>
      </c>
      <c r="P300">
        <v>0.23138826437637044</v>
      </c>
      <c r="Q300">
        <v>0.61910318457806357</v>
      </c>
      <c r="R300">
        <v>3.6600288467039832E-2</v>
      </c>
      <c r="S300">
        <v>0.27171061607734653</v>
      </c>
      <c r="T300">
        <v>1.8610316169681271E-2</v>
      </c>
      <c r="U300">
        <v>0.9726991918020077</v>
      </c>
      <c r="V300">
        <v>0.3988811099035019</v>
      </c>
      <c r="W300">
        <v>1.176792325796179</v>
      </c>
      <c r="X300">
        <v>0.83064044504010737</v>
      </c>
      <c r="Y300">
        <v>1.2524742782195495</v>
      </c>
      <c r="Z300">
        <v>0.50061750496442614</v>
      </c>
      <c r="AA300">
        <v>1.3287765745152429</v>
      </c>
      <c r="AB300">
        <v>0.37965044986149793</v>
      </c>
      <c r="AC300">
        <v>1.5911820325077486</v>
      </c>
      <c r="AD300">
        <v>1.5465172737005135</v>
      </c>
      <c r="AE300">
        <v>1.2450301517516771</v>
      </c>
      <c r="AF300">
        <v>0.18920488105842623</v>
      </c>
      <c r="AG300">
        <v>0.21153726046204377</v>
      </c>
      <c r="AH300">
        <v>0.40880661186066525</v>
      </c>
      <c r="AI300">
        <v>0.11910602348596012</v>
      </c>
      <c r="AJ300">
        <v>8.4366766635888435E-2</v>
      </c>
      <c r="AK300">
        <v>0.16253009454854978</v>
      </c>
      <c r="AL300">
        <v>9.4912612465374482E-2</v>
      </c>
      <c r="AM300">
        <v>1.2617794363043902</v>
      </c>
      <c r="AN300">
        <v>0.18238109846287645</v>
      </c>
      <c r="AO300" t="s">
        <v>19</v>
      </c>
      <c r="AT300" t="str">
        <f t="shared" si="8"/>
        <v>car</v>
      </c>
      <c r="AU300" t="str">
        <f t="shared" si="9"/>
        <v>dsl</v>
      </c>
    </row>
    <row r="301" spans="1:47">
      <c r="A301" t="s">
        <v>17</v>
      </c>
      <c r="B301" t="s">
        <v>176</v>
      </c>
      <c r="C301" t="s">
        <v>621</v>
      </c>
      <c r="D301" t="s">
        <v>19</v>
      </c>
      <c r="E301" t="s">
        <v>19</v>
      </c>
      <c r="F301" t="s">
        <v>19</v>
      </c>
      <c r="G301" t="s">
        <v>100</v>
      </c>
      <c r="H301" t="s">
        <v>19</v>
      </c>
      <c r="I301" t="s">
        <v>19</v>
      </c>
      <c r="J301" t="s">
        <v>19</v>
      </c>
      <c r="K301" t="s">
        <v>19</v>
      </c>
      <c r="L301">
        <v>0.30334815356580469</v>
      </c>
      <c r="M301">
        <v>0.26984958446037838</v>
      </c>
      <c r="N301">
        <v>8.9329517614470097E-2</v>
      </c>
      <c r="O301">
        <v>2.6674786509876487E-2</v>
      </c>
      <c r="P301">
        <v>0.23138826437637044</v>
      </c>
      <c r="Q301">
        <v>0.61910318457806357</v>
      </c>
      <c r="R301">
        <v>3.6600288467039832E-2</v>
      </c>
      <c r="S301">
        <v>0.27171061607734653</v>
      </c>
      <c r="T301">
        <v>1.8610316169681271E-2</v>
      </c>
      <c r="U301">
        <v>0.9726991918020077</v>
      </c>
      <c r="V301">
        <v>0.3988811099035019</v>
      </c>
      <c r="W301">
        <v>1.176792325796179</v>
      </c>
      <c r="X301">
        <v>0.83064044504010737</v>
      </c>
      <c r="Y301">
        <v>1.2524742782195495</v>
      </c>
      <c r="Z301">
        <v>0.50061750496442614</v>
      </c>
      <c r="AA301">
        <v>1.3287765745152429</v>
      </c>
      <c r="AB301">
        <v>0.37965044986149793</v>
      </c>
      <c r="AC301">
        <v>1.5911820325077486</v>
      </c>
      <c r="AD301">
        <v>1.5465172737005135</v>
      </c>
      <c r="AE301">
        <v>1.2450301517516771</v>
      </c>
      <c r="AF301">
        <v>0.18920488105842623</v>
      </c>
      <c r="AG301">
        <v>0.21153726046204377</v>
      </c>
      <c r="AH301">
        <v>0.40880661186066525</v>
      </c>
      <c r="AI301">
        <v>0.11910602348596012</v>
      </c>
      <c r="AJ301">
        <v>8.4366766635888435E-2</v>
      </c>
      <c r="AK301">
        <v>0.16253009454854978</v>
      </c>
      <c r="AL301">
        <v>9.4912612465374482E-2</v>
      </c>
      <c r="AM301">
        <v>1.2617794363043902</v>
      </c>
      <c r="AN301">
        <v>0.18238109846287645</v>
      </c>
      <c r="AO301" t="s">
        <v>19</v>
      </c>
      <c r="AT301" t="str">
        <f t="shared" si="8"/>
        <v>car</v>
      </c>
      <c r="AU301" t="str">
        <f t="shared" si="9"/>
        <v>dsl</v>
      </c>
    </row>
    <row r="302" spans="1:47">
      <c r="A302" t="s">
        <v>17</v>
      </c>
      <c r="B302" t="s">
        <v>176</v>
      </c>
      <c r="C302" t="s">
        <v>620</v>
      </c>
      <c r="D302" t="s">
        <v>19</v>
      </c>
      <c r="E302" t="s">
        <v>19</v>
      </c>
      <c r="F302" t="s">
        <v>19</v>
      </c>
      <c r="G302" t="s">
        <v>603</v>
      </c>
      <c r="H302" t="s">
        <v>19</v>
      </c>
      <c r="I302" t="s">
        <v>19</v>
      </c>
      <c r="J302" t="s">
        <v>19</v>
      </c>
      <c r="K302" t="s">
        <v>19</v>
      </c>
      <c r="L302">
        <v>0</v>
      </c>
      <c r="M302">
        <v>0</v>
      </c>
      <c r="N302">
        <v>8.6848142125179276E-3</v>
      </c>
      <c r="O302">
        <v>0</v>
      </c>
      <c r="P302">
        <v>5.5830948509043811E-3</v>
      </c>
      <c r="Q302">
        <v>3.7220632339362539E-3</v>
      </c>
      <c r="R302">
        <v>1.2406877446454181E-3</v>
      </c>
      <c r="S302">
        <v>0</v>
      </c>
      <c r="T302">
        <v>1.4888252935745016E-2</v>
      </c>
      <c r="U302">
        <v>2.6600345245197765</v>
      </c>
      <c r="V302">
        <v>8.0644703401952181E-3</v>
      </c>
      <c r="W302">
        <v>0</v>
      </c>
      <c r="X302">
        <v>1.4267909063422308E-2</v>
      </c>
      <c r="Y302">
        <v>3.7220632339362539E-3</v>
      </c>
      <c r="Z302">
        <v>0</v>
      </c>
      <c r="AA302">
        <v>3.7220632339362539E-3</v>
      </c>
      <c r="AB302">
        <v>0</v>
      </c>
      <c r="AC302">
        <v>6.8237825955497992E-3</v>
      </c>
      <c r="AD302">
        <v>6.8237825955497992E-3</v>
      </c>
      <c r="AE302">
        <v>0</v>
      </c>
      <c r="AF302">
        <v>0</v>
      </c>
      <c r="AG302">
        <v>0</v>
      </c>
      <c r="AH302">
        <v>0</v>
      </c>
      <c r="AI302">
        <v>1.923066004200398E-2</v>
      </c>
      <c r="AJ302">
        <v>0</v>
      </c>
      <c r="AK302">
        <v>0</v>
      </c>
      <c r="AL302">
        <v>0</v>
      </c>
      <c r="AM302">
        <v>8.0644703401952181E-3</v>
      </c>
      <c r="AN302">
        <v>7.5061608551047793E-2</v>
      </c>
      <c r="AO302" t="s">
        <v>19</v>
      </c>
      <c r="AT302" t="str">
        <f t="shared" si="8"/>
        <v>car</v>
      </c>
      <c r="AU302" t="str">
        <f t="shared" si="9"/>
        <v>elc</v>
      </c>
    </row>
    <row r="303" spans="1:47">
      <c r="A303" t="s">
        <v>17</v>
      </c>
      <c r="B303" t="s">
        <v>176</v>
      </c>
      <c r="C303" t="s">
        <v>620</v>
      </c>
      <c r="D303" t="s">
        <v>19</v>
      </c>
      <c r="E303" t="s">
        <v>19</v>
      </c>
      <c r="F303" t="s">
        <v>19</v>
      </c>
      <c r="G303" t="s">
        <v>602</v>
      </c>
      <c r="H303" t="s">
        <v>19</v>
      </c>
      <c r="I303" t="s">
        <v>19</v>
      </c>
      <c r="J303" t="s">
        <v>19</v>
      </c>
      <c r="K303" t="s">
        <v>19</v>
      </c>
      <c r="L303">
        <v>0</v>
      </c>
      <c r="M303">
        <v>0</v>
      </c>
      <c r="N303">
        <v>8.6848142125179276E-3</v>
      </c>
      <c r="O303">
        <v>0</v>
      </c>
      <c r="P303">
        <v>5.5830948509043811E-3</v>
      </c>
      <c r="Q303">
        <v>3.7220632339362539E-3</v>
      </c>
      <c r="R303">
        <v>1.2406877446454181E-3</v>
      </c>
      <c r="S303">
        <v>0</v>
      </c>
      <c r="T303">
        <v>1.4888252935745016E-2</v>
      </c>
      <c r="U303">
        <v>2.6600345245197765</v>
      </c>
      <c r="V303">
        <v>8.0644703401952181E-3</v>
      </c>
      <c r="W303">
        <v>0</v>
      </c>
      <c r="X303">
        <v>1.4267909063422308E-2</v>
      </c>
      <c r="Y303">
        <v>3.7220632339362539E-3</v>
      </c>
      <c r="Z303">
        <v>0</v>
      </c>
      <c r="AA303">
        <v>3.7220632339362539E-3</v>
      </c>
      <c r="AB303">
        <v>0</v>
      </c>
      <c r="AC303">
        <v>6.8237825955497992E-3</v>
      </c>
      <c r="AD303">
        <v>6.8237825955497992E-3</v>
      </c>
      <c r="AE303">
        <v>0</v>
      </c>
      <c r="AF303">
        <v>0</v>
      </c>
      <c r="AG303">
        <v>0</v>
      </c>
      <c r="AH303">
        <v>0</v>
      </c>
      <c r="AI303">
        <v>1.923066004200398E-2</v>
      </c>
      <c r="AJ303">
        <v>0</v>
      </c>
      <c r="AK303">
        <v>0</v>
      </c>
      <c r="AL303">
        <v>0</v>
      </c>
      <c r="AM303">
        <v>8.0644703401952181E-3</v>
      </c>
      <c r="AN303">
        <v>7.5061608551047793E-2</v>
      </c>
      <c r="AO303" t="s">
        <v>19</v>
      </c>
      <c r="AT303" t="str">
        <f t="shared" si="8"/>
        <v>car</v>
      </c>
      <c r="AU303" t="str">
        <f t="shared" si="9"/>
        <v>elc</v>
      </c>
    </row>
    <row r="304" spans="1:47">
      <c r="A304" t="s">
        <v>17</v>
      </c>
      <c r="B304" t="s">
        <v>176</v>
      </c>
      <c r="C304" t="s">
        <v>620</v>
      </c>
      <c r="D304" t="s">
        <v>19</v>
      </c>
      <c r="E304" t="s">
        <v>19</v>
      </c>
      <c r="F304" t="s">
        <v>19</v>
      </c>
      <c r="G304" t="s">
        <v>601</v>
      </c>
      <c r="H304" t="s">
        <v>19</v>
      </c>
      <c r="I304" t="s">
        <v>19</v>
      </c>
      <c r="J304" t="s">
        <v>19</v>
      </c>
      <c r="K304" t="s">
        <v>19</v>
      </c>
      <c r="L304">
        <v>0</v>
      </c>
      <c r="M304">
        <v>0</v>
      </c>
      <c r="N304">
        <v>8.6848142125179276E-3</v>
      </c>
      <c r="O304">
        <v>0</v>
      </c>
      <c r="P304">
        <v>5.5830948509043811E-3</v>
      </c>
      <c r="Q304">
        <v>3.7220632339362539E-3</v>
      </c>
      <c r="R304">
        <v>1.2406877446454181E-3</v>
      </c>
      <c r="S304">
        <v>0</v>
      </c>
      <c r="T304">
        <v>1.4888252935745016E-2</v>
      </c>
      <c r="U304">
        <v>2.6600345245197765</v>
      </c>
      <c r="V304">
        <v>8.0644703401952181E-3</v>
      </c>
      <c r="W304">
        <v>0</v>
      </c>
      <c r="X304">
        <v>1.4267909063422308E-2</v>
      </c>
      <c r="Y304">
        <v>3.7220632339362539E-3</v>
      </c>
      <c r="Z304">
        <v>0</v>
      </c>
      <c r="AA304">
        <v>3.7220632339362539E-3</v>
      </c>
      <c r="AB304">
        <v>0</v>
      </c>
      <c r="AC304">
        <v>6.8237825955497992E-3</v>
      </c>
      <c r="AD304">
        <v>6.8237825955497992E-3</v>
      </c>
      <c r="AE304">
        <v>0</v>
      </c>
      <c r="AF304">
        <v>0</v>
      </c>
      <c r="AG304">
        <v>0</v>
      </c>
      <c r="AH304">
        <v>0</v>
      </c>
      <c r="AI304">
        <v>1.923066004200398E-2</v>
      </c>
      <c r="AJ304">
        <v>0</v>
      </c>
      <c r="AK304">
        <v>0</v>
      </c>
      <c r="AL304">
        <v>0</v>
      </c>
      <c r="AM304">
        <v>8.0644703401952181E-3</v>
      </c>
      <c r="AN304">
        <v>7.5061608551047793E-2</v>
      </c>
      <c r="AO304" t="s">
        <v>19</v>
      </c>
      <c r="AT304" t="str">
        <f t="shared" si="8"/>
        <v>car</v>
      </c>
      <c r="AU304" t="str">
        <f t="shared" si="9"/>
        <v>elc</v>
      </c>
    </row>
    <row r="305" spans="1:47">
      <c r="A305" t="s">
        <v>17</v>
      </c>
      <c r="B305" t="s">
        <v>176</v>
      </c>
      <c r="C305" t="s">
        <v>620</v>
      </c>
      <c r="D305" t="s">
        <v>19</v>
      </c>
      <c r="E305" t="s">
        <v>19</v>
      </c>
      <c r="F305" t="s">
        <v>19</v>
      </c>
      <c r="G305" t="s">
        <v>600</v>
      </c>
      <c r="H305" t="s">
        <v>19</v>
      </c>
      <c r="I305" t="s">
        <v>19</v>
      </c>
      <c r="J305" t="s">
        <v>19</v>
      </c>
      <c r="K305" t="s">
        <v>19</v>
      </c>
      <c r="L305">
        <v>0</v>
      </c>
      <c r="M305">
        <v>0</v>
      </c>
      <c r="N305">
        <v>8.6848142125179276E-3</v>
      </c>
      <c r="O305">
        <v>0</v>
      </c>
      <c r="P305">
        <v>5.5830948509043811E-3</v>
      </c>
      <c r="Q305">
        <v>3.7220632339362539E-3</v>
      </c>
      <c r="R305">
        <v>1.2406877446454181E-3</v>
      </c>
      <c r="S305">
        <v>0</v>
      </c>
      <c r="T305">
        <v>1.4888252935745016E-2</v>
      </c>
      <c r="U305">
        <v>2.6600345245197765</v>
      </c>
      <c r="V305">
        <v>8.0644703401952181E-3</v>
      </c>
      <c r="W305">
        <v>0</v>
      </c>
      <c r="X305">
        <v>1.4267909063422308E-2</v>
      </c>
      <c r="Y305">
        <v>3.7220632339362539E-3</v>
      </c>
      <c r="Z305">
        <v>0</v>
      </c>
      <c r="AA305">
        <v>3.7220632339362539E-3</v>
      </c>
      <c r="AB305">
        <v>0</v>
      </c>
      <c r="AC305">
        <v>6.8237825955497992E-3</v>
      </c>
      <c r="AD305">
        <v>6.8237825955497992E-3</v>
      </c>
      <c r="AE305">
        <v>0</v>
      </c>
      <c r="AF305">
        <v>0</v>
      </c>
      <c r="AG305">
        <v>0</v>
      </c>
      <c r="AH305">
        <v>0</v>
      </c>
      <c r="AI305">
        <v>1.923066004200398E-2</v>
      </c>
      <c r="AJ305">
        <v>0</v>
      </c>
      <c r="AK305">
        <v>0</v>
      </c>
      <c r="AL305">
        <v>0</v>
      </c>
      <c r="AM305">
        <v>8.0644703401952181E-3</v>
      </c>
      <c r="AN305">
        <v>7.5061608551047793E-2</v>
      </c>
      <c r="AO305" t="s">
        <v>19</v>
      </c>
      <c r="AT305" t="str">
        <f t="shared" si="8"/>
        <v>car</v>
      </c>
      <c r="AU305" t="str">
        <f t="shared" si="9"/>
        <v>elc</v>
      </c>
    </row>
    <row r="306" spans="1:47">
      <c r="A306" t="s">
        <v>17</v>
      </c>
      <c r="B306" t="s">
        <v>176</v>
      </c>
      <c r="C306" t="s">
        <v>620</v>
      </c>
      <c r="D306" t="s">
        <v>19</v>
      </c>
      <c r="E306" t="s">
        <v>19</v>
      </c>
      <c r="F306" t="s">
        <v>19</v>
      </c>
      <c r="G306" t="s">
        <v>599</v>
      </c>
      <c r="H306" t="s">
        <v>19</v>
      </c>
      <c r="I306" t="s">
        <v>19</v>
      </c>
      <c r="J306" t="s">
        <v>19</v>
      </c>
      <c r="K306" t="s">
        <v>19</v>
      </c>
      <c r="L306">
        <v>0</v>
      </c>
      <c r="M306">
        <v>0</v>
      </c>
      <c r="N306">
        <v>8.6848142125179276E-3</v>
      </c>
      <c r="O306">
        <v>0</v>
      </c>
      <c r="P306">
        <v>5.5830948509043811E-3</v>
      </c>
      <c r="Q306">
        <v>3.7220632339362539E-3</v>
      </c>
      <c r="R306">
        <v>1.2406877446454181E-3</v>
      </c>
      <c r="S306">
        <v>0</v>
      </c>
      <c r="T306">
        <v>1.4888252935745016E-2</v>
      </c>
      <c r="U306">
        <v>2.6600345245197765</v>
      </c>
      <c r="V306">
        <v>8.0644703401952181E-3</v>
      </c>
      <c r="W306">
        <v>0</v>
      </c>
      <c r="X306">
        <v>1.4267909063422308E-2</v>
      </c>
      <c r="Y306">
        <v>3.7220632339362539E-3</v>
      </c>
      <c r="Z306">
        <v>0</v>
      </c>
      <c r="AA306">
        <v>3.7220632339362539E-3</v>
      </c>
      <c r="AB306">
        <v>0</v>
      </c>
      <c r="AC306">
        <v>6.8237825955497992E-3</v>
      </c>
      <c r="AD306">
        <v>6.8237825955497992E-3</v>
      </c>
      <c r="AE306">
        <v>0</v>
      </c>
      <c r="AF306">
        <v>0</v>
      </c>
      <c r="AG306">
        <v>0</v>
      </c>
      <c r="AH306">
        <v>0</v>
      </c>
      <c r="AI306">
        <v>1.923066004200398E-2</v>
      </c>
      <c r="AJ306">
        <v>0</v>
      </c>
      <c r="AK306">
        <v>0</v>
      </c>
      <c r="AL306">
        <v>0</v>
      </c>
      <c r="AM306">
        <v>8.0644703401952181E-3</v>
      </c>
      <c r="AN306">
        <v>7.5061608551047793E-2</v>
      </c>
      <c r="AO306" t="s">
        <v>19</v>
      </c>
      <c r="AT306" t="str">
        <f t="shared" si="8"/>
        <v>car</v>
      </c>
      <c r="AU306" t="str">
        <f t="shared" si="9"/>
        <v>elc</v>
      </c>
    </row>
    <row r="307" spans="1:47">
      <c r="A307" t="s">
        <v>17</v>
      </c>
      <c r="B307" t="s">
        <v>176</v>
      </c>
      <c r="C307" t="s">
        <v>620</v>
      </c>
      <c r="D307" t="s">
        <v>19</v>
      </c>
      <c r="E307" t="s">
        <v>19</v>
      </c>
      <c r="F307" t="s">
        <v>19</v>
      </c>
      <c r="G307" t="s">
        <v>598</v>
      </c>
      <c r="H307" t="s">
        <v>19</v>
      </c>
      <c r="I307" t="s">
        <v>19</v>
      </c>
      <c r="J307" t="s">
        <v>19</v>
      </c>
      <c r="K307" t="s">
        <v>19</v>
      </c>
      <c r="L307">
        <v>0</v>
      </c>
      <c r="M307">
        <v>0</v>
      </c>
      <c r="N307">
        <v>8.6848142125179276E-3</v>
      </c>
      <c r="O307">
        <v>0</v>
      </c>
      <c r="P307">
        <v>5.5830948509043811E-3</v>
      </c>
      <c r="Q307">
        <v>3.7220632339362539E-3</v>
      </c>
      <c r="R307">
        <v>1.2406877446454181E-3</v>
      </c>
      <c r="S307">
        <v>0</v>
      </c>
      <c r="T307">
        <v>1.4888252935745016E-2</v>
      </c>
      <c r="U307">
        <v>2.6600345245197765</v>
      </c>
      <c r="V307">
        <v>8.0644703401952181E-3</v>
      </c>
      <c r="W307">
        <v>0</v>
      </c>
      <c r="X307">
        <v>1.4267909063422308E-2</v>
      </c>
      <c r="Y307">
        <v>3.7220632339362539E-3</v>
      </c>
      <c r="Z307">
        <v>0</v>
      </c>
      <c r="AA307">
        <v>3.7220632339362539E-3</v>
      </c>
      <c r="AB307">
        <v>0</v>
      </c>
      <c r="AC307">
        <v>6.8237825955497992E-3</v>
      </c>
      <c r="AD307">
        <v>6.8237825955497992E-3</v>
      </c>
      <c r="AE307">
        <v>0</v>
      </c>
      <c r="AF307">
        <v>0</v>
      </c>
      <c r="AG307">
        <v>0</v>
      </c>
      <c r="AH307">
        <v>0</v>
      </c>
      <c r="AI307">
        <v>1.923066004200398E-2</v>
      </c>
      <c r="AJ307">
        <v>0</v>
      </c>
      <c r="AK307">
        <v>0</v>
      </c>
      <c r="AL307">
        <v>0</v>
      </c>
      <c r="AM307">
        <v>8.0644703401952181E-3</v>
      </c>
      <c r="AN307">
        <v>7.5061608551047793E-2</v>
      </c>
      <c r="AO307" t="s">
        <v>19</v>
      </c>
      <c r="AT307" t="str">
        <f t="shared" si="8"/>
        <v>car</v>
      </c>
      <c r="AU307" t="str">
        <f t="shared" si="9"/>
        <v>elc</v>
      </c>
    </row>
    <row r="308" spans="1:47">
      <c r="A308" t="s">
        <v>17</v>
      </c>
      <c r="B308" t="s">
        <v>176</v>
      </c>
      <c r="C308" t="s">
        <v>620</v>
      </c>
      <c r="D308" t="s">
        <v>19</v>
      </c>
      <c r="E308" t="s">
        <v>19</v>
      </c>
      <c r="F308" t="s">
        <v>19</v>
      </c>
      <c r="G308" t="s">
        <v>597</v>
      </c>
      <c r="H308" t="s">
        <v>19</v>
      </c>
      <c r="I308" t="s">
        <v>19</v>
      </c>
      <c r="J308" t="s">
        <v>19</v>
      </c>
      <c r="K308" t="s">
        <v>19</v>
      </c>
      <c r="L308">
        <v>0</v>
      </c>
      <c r="M308">
        <v>0</v>
      </c>
      <c r="N308">
        <v>8.6848142125179276E-3</v>
      </c>
      <c r="O308">
        <v>0</v>
      </c>
      <c r="P308">
        <v>5.5830948509043811E-3</v>
      </c>
      <c r="Q308">
        <v>3.7220632339362539E-3</v>
      </c>
      <c r="R308">
        <v>1.2406877446454181E-3</v>
      </c>
      <c r="S308">
        <v>0</v>
      </c>
      <c r="T308">
        <v>1.4888252935745016E-2</v>
      </c>
      <c r="U308">
        <v>2.6600345245197765</v>
      </c>
      <c r="V308">
        <v>8.0644703401952181E-3</v>
      </c>
      <c r="W308">
        <v>0</v>
      </c>
      <c r="X308">
        <v>1.4267909063422308E-2</v>
      </c>
      <c r="Y308">
        <v>3.7220632339362539E-3</v>
      </c>
      <c r="Z308">
        <v>0</v>
      </c>
      <c r="AA308">
        <v>3.7220632339362539E-3</v>
      </c>
      <c r="AB308">
        <v>0</v>
      </c>
      <c r="AC308">
        <v>6.8237825955497992E-3</v>
      </c>
      <c r="AD308">
        <v>6.8237825955497992E-3</v>
      </c>
      <c r="AE308">
        <v>0</v>
      </c>
      <c r="AF308">
        <v>0</v>
      </c>
      <c r="AG308">
        <v>0</v>
      </c>
      <c r="AH308">
        <v>0</v>
      </c>
      <c r="AI308">
        <v>1.923066004200398E-2</v>
      </c>
      <c r="AJ308">
        <v>0</v>
      </c>
      <c r="AK308">
        <v>0</v>
      </c>
      <c r="AL308">
        <v>0</v>
      </c>
      <c r="AM308">
        <v>8.0644703401952181E-3</v>
      </c>
      <c r="AN308">
        <v>7.5061608551047793E-2</v>
      </c>
      <c r="AO308" t="s">
        <v>19</v>
      </c>
      <c r="AT308" t="str">
        <f t="shared" si="8"/>
        <v>car</v>
      </c>
      <c r="AU308" t="str">
        <f t="shared" si="9"/>
        <v>elc</v>
      </c>
    </row>
    <row r="309" spans="1:47">
      <c r="A309" t="s">
        <v>17</v>
      </c>
      <c r="B309" t="s">
        <v>176</v>
      </c>
      <c r="C309" t="s">
        <v>620</v>
      </c>
      <c r="D309" t="s">
        <v>19</v>
      </c>
      <c r="E309" t="s">
        <v>19</v>
      </c>
      <c r="F309" t="s">
        <v>19</v>
      </c>
      <c r="G309" t="s">
        <v>596</v>
      </c>
      <c r="H309" t="s">
        <v>19</v>
      </c>
      <c r="I309" t="s">
        <v>19</v>
      </c>
      <c r="J309" t="s">
        <v>19</v>
      </c>
      <c r="K309" t="s">
        <v>19</v>
      </c>
      <c r="L309">
        <v>0</v>
      </c>
      <c r="M309">
        <v>0</v>
      </c>
      <c r="N309">
        <v>8.6848142125179276E-3</v>
      </c>
      <c r="O309">
        <v>0</v>
      </c>
      <c r="P309">
        <v>5.5830948509043811E-3</v>
      </c>
      <c r="Q309">
        <v>3.7220632339362539E-3</v>
      </c>
      <c r="R309">
        <v>1.2406877446454181E-3</v>
      </c>
      <c r="S309">
        <v>0</v>
      </c>
      <c r="T309">
        <v>1.4888252935745016E-2</v>
      </c>
      <c r="U309">
        <v>2.6600345245197765</v>
      </c>
      <c r="V309">
        <v>8.0644703401952181E-3</v>
      </c>
      <c r="W309">
        <v>0</v>
      </c>
      <c r="X309">
        <v>1.4267909063422308E-2</v>
      </c>
      <c r="Y309">
        <v>3.7220632339362539E-3</v>
      </c>
      <c r="Z309">
        <v>0</v>
      </c>
      <c r="AA309">
        <v>3.7220632339362539E-3</v>
      </c>
      <c r="AB309">
        <v>0</v>
      </c>
      <c r="AC309">
        <v>6.8237825955497992E-3</v>
      </c>
      <c r="AD309">
        <v>6.8237825955497992E-3</v>
      </c>
      <c r="AE309">
        <v>0</v>
      </c>
      <c r="AF309">
        <v>0</v>
      </c>
      <c r="AG309">
        <v>0</v>
      </c>
      <c r="AH309">
        <v>0</v>
      </c>
      <c r="AI309">
        <v>1.923066004200398E-2</v>
      </c>
      <c r="AJ309">
        <v>0</v>
      </c>
      <c r="AK309">
        <v>0</v>
      </c>
      <c r="AL309">
        <v>0</v>
      </c>
      <c r="AM309">
        <v>8.0644703401952181E-3</v>
      </c>
      <c r="AN309">
        <v>7.5061608551047793E-2</v>
      </c>
      <c r="AO309" t="s">
        <v>19</v>
      </c>
      <c r="AT309" t="str">
        <f t="shared" si="8"/>
        <v>car</v>
      </c>
      <c r="AU309" t="str">
        <f t="shared" si="9"/>
        <v>elc</v>
      </c>
    </row>
    <row r="310" spans="1:47">
      <c r="A310" t="s">
        <v>17</v>
      </c>
      <c r="B310" t="s">
        <v>176</v>
      </c>
      <c r="C310" t="s">
        <v>620</v>
      </c>
      <c r="D310" t="s">
        <v>19</v>
      </c>
      <c r="E310" t="s">
        <v>19</v>
      </c>
      <c r="F310" t="s">
        <v>19</v>
      </c>
      <c r="G310" t="s">
        <v>178</v>
      </c>
      <c r="H310" t="s">
        <v>19</v>
      </c>
      <c r="I310" t="s">
        <v>19</v>
      </c>
      <c r="J310" t="s">
        <v>19</v>
      </c>
      <c r="K310" t="s">
        <v>19</v>
      </c>
      <c r="L310">
        <v>0</v>
      </c>
      <c r="M310">
        <v>0</v>
      </c>
      <c r="N310">
        <v>8.6848142125179276E-3</v>
      </c>
      <c r="O310">
        <v>0</v>
      </c>
      <c r="P310">
        <v>5.5830948509043811E-3</v>
      </c>
      <c r="Q310">
        <v>3.7220632339362539E-3</v>
      </c>
      <c r="R310">
        <v>1.2406877446454181E-3</v>
      </c>
      <c r="S310">
        <v>0</v>
      </c>
      <c r="T310">
        <v>1.4888252935745016E-2</v>
      </c>
      <c r="U310">
        <v>2.6600345245197765</v>
      </c>
      <c r="V310">
        <v>8.0644703401952181E-3</v>
      </c>
      <c r="W310">
        <v>0</v>
      </c>
      <c r="X310">
        <v>1.4267909063422308E-2</v>
      </c>
      <c r="Y310">
        <v>3.7220632339362539E-3</v>
      </c>
      <c r="Z310">
        <v>0</v>
      </c>
      <c r="AA310">
        <v>3.7220632339362539E-3</v>
      </c>
      <c r="AB310">
        <v>0</v>
      </c>
      <c r="AC310">
        <v>6.8237825955497992E-3</v>
      </c>
      <c r="AD310">
        <v>6.8237825955497992E-3</v>
      </c>
      <c r="AE310">
        <v>0</v>
      </c>
      <c r="AF310">
        <v>0</v>
      </c>
      <c r="AG310">
        <v>0</v>
      </c>
      <c r="AH310">
        <v>0</v>
      </c>
      <c r="AI310">
        <v>1.923066004200398E-2</v>
      </c>
      <c r="AJ310">
        <v>0</v>
      </c>
      <c r="AK310">
        <v>0</v>
      </c>
      <c r="AL310">
        <v>0</v>
      </c>
      <c r="AM310">
        <v>8.0644703401952181E-3</v>
      </c>
      <c r="AN310">
        <v>7.5061608551047793E-2</v>
      </c>
      <c r="AO310" t="s">
        <v>19</v>
      </c>
      <c r="AT310" t="str">
        <f t="shared" si="8"/>
        <v>car</v>
      </c>
      <c r="AU310" t="str">
        <f t="shared" si="9"/>
        <v>elc</v>
      </c>
    </row>
    <row r="311" spans="1:47">
      <c r="A311" t="s">
        <v>17</v>
      </c>
      <c r="B311" t="s">
        <v>176</v>
      </c>
      <c r="C311" t="s">
        <v>620</v>
      </c>
      <c r="D311" t="s">
        <v>19</v>
      </c>
      <c r="E311" t="s">
        <v>19</v>
      </c>
      <c r="F311" t="s">
        <v>19</v>
      </c>
      <c r="G311" t="s">
        <v>179</v>
      </c>
      <c r="H311" t="s">
        <v>19</v>
      </c>
      <c r="I311" t="s">
        <v>19</v>
      </c>
      <c r="J311" t="s">
        <v>19</v>
      </c>
      <c r="K311" t="s">
        <v>19</v>
      </c>
      <c r="L311">
        <v>0</v>
      </c>
      <c r="M311">
        <v>0</v>
      </c>
      <c r="N311">
        <v>8.6848142125179276E-3</v>
      </c>
      <c r="O311">
        <v>0</v>
      </c>
      <c r="P311">
        <v>5.5830948509043811E-3</v>
      </c>
      <c r="Q311">
        <v>3.7220632339362539E-3</v>
      </c>
      <c r="R311">
        <v>1.2406877446454181E-3</v>
      </c>
      <c r="S311">
        <v>0</v>
      </c>
      <c r="T311">
        <v>1.4888252935745016E-2</v>
      </c>
      <c r="U311">
        <v>2.6600345245197765</v>
      </c>
      <c r="V311">
        <v>8.0644703401952181E-3</v>
      </c>
      <c r="W311">
        <v>0</v>
      </c>
      <c r="X311">
        <v>1.4267909063422308E-2</v>
      </c>
      <c r="Y311">
        <v>3.7220632339362539E-3</v>
      </c>
      <c r="Z311">
        <v>0</v>
      </c>
      <c r="AA311">
        <v>3.7220632339362539E-3</v>
      </c>
      <c r="AB311">
        <v>0</v>
      </c>
      <c r="AC311">
        <v>6.8237825955497992E-3</v>
      </c>
      <c r="AD311">
        <v>6.8237825955497992E-3</v>
      </c>
      <c r="AE311">
        <v>0</v>
      </c>
      <c r="AF311">
        <v>0</v>
      </c>
      <c r="AG311">
        <v>0</v>
      </c>
      <c r="AH311">
        <v>0</v>
      </c>
      <c r="AI311">
        <v>1.923066004200398E-2</v>
      </c>
      <c r="AJ311">
        <v>0</v>
      </c>
      <c r="AK311">
        <v>0</v>
      </c>
      <c r="AL311">
        <v>0</v>
      </c>
      <c r="AM311">
        <v>8.0644703401952181E-3</v>
      </c>
      <c r="AN311">
        <v>7.5061608551047793E-2</v>
      </c>
      <c r="AO311" t="s">
        <v>19</v>
      </c>
      <c r="AT311" t="str">
        <f t="shared" si="8"/>
        <v>car</v>
      </c>
      <c r="AU311" t="str">
        <f t="shared" si="9"/>
        <v>elc</v>
      </c>
    </row>
    <row r="312" spans="1:47">
      <c r="A312" t="s">
        <v>17</v>
      </c>
      <c r="B312" t="s">
        <v>176</v>
      </c>
      <c r="C312" t="s">
        <v>620</v>
      </c>
      <c r="D312" t="s">
        <v>19</v>
      </c>
      <c r="E312" t="s">
        <v>19</v>
      </c>
      <c r="F312" t="s">
        <v>19</v>
      </c>
      <c r="G312" t="s">
        <v>180</v>
      </c>
      <c r="H312" t="s">
        <v>19</v>
      </c>
      <c r="I312" t="s">
        <v>19</v>
      </c>
      <c r="J312" t="s">
        <v>19</v>
      </c>
      <c r="K312" t="s">
        <v>19</v>
      </c>
      <c r="L312">
        <v>0</v>
      </c>
      <c r="M312">
        <v>0</v>
      </c>
      <c r="N312">
        <v>8.6848142125179276E-3</v>
      </c>
      <c r="O312">
        <v>0</v>
      </c>
      <c r="P312">
        <v>5.5830948509043811E-3</v>
      </c>
      <c r="Q312">
        <v>3.7220632339362539E-3</v>
      </c>
      <c r="R312">
        <v>1.2406877446454181E-3</v>
      </c>
      <c r="S312">
        <v>0</v>
      </c>
      <c r="T312">
        <v>1.4888252935745016E-2</v>
      </c>
      <c r="U312">
        <v>2.6600345245197765</v>
      </c>
      <c r="V312">
        <v>8.0644703401952181E-3</v>
      </c>
      <c r="W312">
        <v>0</v>
      </c>
      <c r="X312">
        <v>1.4267909063422308E-2</v>
      </c>
      <c r="Y312">
        <v>3.7220632339362539E-3</v>
      </c>
      <c r="Z312">
        <v>0</v>
      </c>
      <c r="AA312">
        <v>3.7220632339362539E-3</v>
      </c>
      <c r="AB312">
        <v>0</v>
      </c>
      <c r="AC312">
        <v>6.8237825955497992E-3</v>
      </c>
      <c r="AD312">
        <v>6.8237825955497992E-3</v>
      </c>
      <c r="AE312">
        <v>0</v>
      </c>
      <c r="AF312">
        <v>0</v>
      </c>
      <c r="AG312">
        <v>0</v>
      </c>
      <c r="AH312">
        <v>0</v>
      </c>
      <c r="AI312">
        <v>1.923066004200398E-2</v>
      </c>
      <c r="AJ312">
        <v>0</v>
      </c>
      <c r="AK312">
        <v>0</v>
      </c>
      <c r="AL312">
        <v>0</v>
      </c>
      <c r="AM312">
        <v>8.0644703401952181E-3</v>
      </c>
      <c r="AN312">
        <v>7.5061608551047793E-2</v>
      </c>
      <c r="AO312" t="s">
        <v>19</v>
      </c>
      <c r="AT312" t="str">
        <f t="shared" si="8"/>
        <v>car</v>
      </c>
      <c r="AU312" t="str">
        <f t="shared" si="9"/>
        <v>elc</v>
      </c>
    </row>
    <row r="313" spans="1:47">
      <c r="A313" t="s">
        <v>17</v>
      </c>
      <c r="B313" t="s">
        <v>176</v>
      </c>
      <c r="C313" t="s">
        <v>620</v>
      </c>
      <c r="D313" t="s">
        <v>19</v>
      </c>
      <c r="E313" t="s">
        <v>19</v>
      </c>
      <c r="F313" t="s">
        <v>19</v>
      </c>
      <c r="G313" t="s">
        <v>181</v>
      </c>
      <c r="H313" t="s">
        <v>19</v>
      </c>
      <c r="I313" t="s">
        <v>19</v>
      </c>
      <c r="J313" t="s">
        <v>19</v>
      </c>
      <c r="K313" t="s">
        <v>19</v>
      </c>
      <c r="L313">
        <v>0</v>
      </c>
      <c r="M313">
        <v>0</v>
      </c>
      <c r="N313">
        <v>8.6848142125179276E-3</v>
      </c>
      <c r="O313">
        <v>0</v>
      </c>
      <c r="P313">
        <v>5.5830948509043811E-3</v>
      </c>
      <c r="Q313">
        <v>3.7220632339362539E-3</v>
      </c>
      <c r="R313">
        <v>1.2406877446454181E-3</v>
      </c>
      <c r="S313">
        <v>0</v>
      </c>
      <c r="T313">
        <v>1.4888252935745016E-2</v>
      </c>
      <c r="U313">
        <v>2.6600345245197765</v>
      </c>
      <c r="V313">
        <v>8.0644703401952181E-3</v>
      </c>
      <c r="W313">
        <v>0</v>
      </c>
      <c r="X313">
        <v>1.4267909063422308E-2</v>
      </c>
      <c r="Y313">
        <v>3.7220632339362539E-3</v>
      </c>
      <c r="Z313">
        <v>0</v>
      </c>
      <c r="AA313">
        <v>3.7220632339362539E-3</v>
      </c>
      <c r="AB313">
        <v>0</v>
      </c>
      <c r="AC313">
        <v>6.8237825955497992E-3</v>
      </c>
      <c r="AD313">
        <v>6.8237825955497992E-3</v>
      </c>
      <c r="AE313">
        <v>0</v>
      </c>
      <c r="AF313">
        <v>0</v>
      </c>
      <c r="AG313">
        <v>0</v>
      </c>
      <c r="AH313">
        <v>0</v>
      </c>
      <c r="AI313">
        <v>1.923066004200398E-2</v>
      </c>
      <c r="AJ313">
        <v>0</v>
      </c>
      <c r="AK313">
        <v>0</v>
      </c>
      <c r="AL313">
        <v>0</v>
      </c>
      <c r="AM313">
        <v>8.0644703401952181E-3</v>
      </c>
      <c r="AN313">
        <v>7.5061608551047793E-2</v>
      </c>
      <c r="AO313" t="s">
        <v>19</v>
      </c>
      <c r="AT313" t="str">
        <f t="shared" si="8"/>
        <v>car</v>
      </c>
      <c r="AU313" t="str">
        <f t="shared" si="9"/>
        <v>elc</v>
      </c>
    </row>
    <row r="314" spans="1:47">
      <c r="A314" t="s">
        <v>17</v>
      </c>
      <c r="B314" t="s">
        <v>176</v>
      </c>
      <c r="C314" t="s">
        <v>620</v>
      </c>
      <c r="D314" t="s">
        <v>19</v>
      </c>
      <c r="E314" t="s">
        <v>19</v>
      </c>
      <c r="F314" t="s">
        <v>19</v>
      </c>
      <c r="G314" t="s">
        <v>182</v>
      </c>
      <c r="H314" t="s">
        <v>19</v>
      </c>
      <c r="I314" t="s">
        <v>19</v>
      </c>
      <c r="J314" t="s">
        <v>19</v>
      </c>
      <c r="K314" t="s">
        <v>19</v>
      </c>
      <c r="L314">
        <v>0</v>
      </c>
      <c r="M314">
        <v>0</v>
      </c>
      <c r="N314">
        <v>8.6848142125179276E-3</v>
      </c>
      <c r="O314">
        <v>0</v>
      </c>
      <c r="P314">
        <v>5.5830948509043811E-3</v>
      </c>
      <c r="Q314">
        <v>3.7220632339362539E-3</v>
      </c>
      <c r="R314">
        <v>1.2406877446454181E-3</v>
      </c>
      <c r="S314">
        <v>0</v>
      </c>
      <c r="T314">
        <v>1.4888252935745016E-2</v>
      </c>
      <c r="U314">
        <v>2.6600345245197765</v>
      </c>
      <c r="V314">
        <v>8.0644703401952181E-3</v>
      </c>
      <c r="W314">
        <v>0</v>
      </c>
      <c r="X314">
        <v>1.4267909063422308E-2</v>
      </c>
      <c r="Y314">
        <v>3.7220632339362539E-3</v>
      </c>
      <c r="Z314">
        <v>0</v>
      </c>
      <c r="AA314">
        <v>3.7220632339362539E-3</v>
      </c>
      <c r="AB314">
        <v>0</v>
      </c>
      <c r="AC314">
        <v>6.8237825955497992E-3</v>
      </c>
      <c r="AD314">
        <v>6.8237825955497992E-3</v>
      </c>
      <c r="AE314">
        <v>0</v>
      </c>
      <c r="AF314">
        <v>0</v>
      </c>
      <c r="AG314">
        <v>0</v>
      </c>
      <c r="AH314">
        <v>0</v>
      </c>
      <c r="AI314">
        <v>1.923066004200398E-2</v>
      </c>
      <c r="AJ314">
        <v>0</v>
      </c>
      <c r="AK314">
        <v>0</v>
      </c>
      <c r="AL314">
        <v>0</v>
      </c>
      <c r="AM314">
        <v>8.0644703401952181E-3</v>
      </c>
      <c r="AN314">
        <v>7.5061608551047793E-2</v>
      </c>
      <c r="AO314" t="s">
        <v>19</v>
      </c>
      <c r="AT314" t="str">
        <f t="shared" si="8"/>
        <v>car</v>
      </c>
      <c r="AU314" t="str">
        <f t="shared" si="9"/>
        <v>elc</v>
      </c>
    </row>
    <row r="315" spans="1:47">
      <c r="A315" t="s">
        <v>17</v>
      </c>
      <c r="B315" t="s">
        <v>176</v>
      </c>
      <c r="C315" t="s">
        <v>620</v>
      </c>
      <c r="D315" t="s">
        <v>19</v>
      </c>
      <c r="E315" t="s">
        <v>19</v>
      </c>
      <c r="F315" t="s">
        <v>19</v>
      </c>
      <c r="G315" t="s">
        <v>183</v>
      </c>
      <c r="H315" t="s">
        <v>19</v>
      </c>
      <c r="I315" t="s">
        <v>19</v>
      </c>
      <c r="J315" t="s">
        <v>19</v>
      </c>
      <c r="K315" t="s">
        <v>19</v>
      </c>
      <c r="L315">
        <v>0</v>
      </c>
      <c r="M315">
        <v>0</v>
      </c>
      <c r="N315">
        <v>8.6848142125179276E-3</v>
      </c>
      <c r="O315">
        <v>0</v>
      </c>
      <c r="P315">
        <v>5.5830948509043811E-3</v>
      </c>
      <c r="Q315">
        <v>3.7220632339362539E-3</v>
      </c>
      <c r="R315">
        <v>1.2406877446454181E-3</v>
      </c>
      <c r="S315">
        <v>0</v>
      </c>
      <c r="T315">
        <v>1.4888252935745016E-2</v>
      </c>
      <c r="U315">
        <v>2.6600345245197765</v>
      </c>
      <c r="V315">
        <v>8.0644703401952181E-3</v>
      </c>
      <c r="W315">
        <v>0</v>
      </c>
      <c r="X315">
        <v>1.4267909063422308E-2</v>
      </c>
      <c r="Y315">
        <v>3.7220632339362539E-3</v>
      </c>
      <c r="Z315">
        <v>0</v>
      </c>
      <c r="AA315">
        <v>3.7220632339362539E-3</v>
      </c>
      <c r="AB315">
        <v>0</v>
      </c>
      <c r="AC315">
        <v>6.8237825955497992E-3</v>
      </c>
      <c r="AD315">
        <v>6.8237825955497992E-3</v>
      </c>
      <c r="AE315">
        <v>0</v>
      </c>
      <c r="AF315">
        <v>0</v>
      </c>
      <c r="AG315">
        <v>0</v>
      </c>
      <c r="AH315">
        <v>0</v>
      </c>
      <c r="AI315">
        <v>1.923066004200398E-2</v>
      </c>
      <c r="AJ315">
        <v>0</v>
      </c>
      <c r="AK315">
        <v>0</v>
      </c>
      <c r="AL315">
        <v>0</v>
      </c>
      <c r="AM315">
        <v>8.0644703401952181E-3</v>
      </c>
      <c r="AN315">
        <v>7.5061608551047793E-2</v>
      </c>
      <c r="AO315" t="s">
        <v>19</v>
      </c>
      <c r="AT315" t="str">
        <f t="shared" si="8"/>
        <v>car</v>
      </c>
      <c r="AU315" t="str">
        <f t="shared" si="9"/>
        <v>elc</v>
      </c>
    </row>
    <row r="316" spans="1:47">
      <c r="A316" t="s">
        <v>17</v>
      </c>
      <c r="B316" t="s">
        <v>176</v>
      </c>
      <c r="C316" t="s">
        <v>620</v>
      </c>
      <c r="D316" t="s">
        <v>19</v>
      </c>
      <c r="E316" t="s">
        <v>19</v>
      </c>
      <c r="F316" t="s">
        <v>19</v>
      </c>
      <c r="G316" t="s">
        <v>184</v>
      </c>
      <c r="H316" t="s">
        <v>19</v>
      </c>
      <c r="I316" t="s">
        <v>19</v>
      </c>
      <c r="J316" t="s">
        <v>19</v>
      </c>
      <c r="K316" t="s">
        <v>19</v>
      </c>
      <c r="L316">
        <v>0</v>
      </c>
      <c r="M316">
        <v>0</v>
      </c>
      <c r="N316">
        <v>8.6848142125179276E-3</v>
      </c>
      <c r="O316">
        <v>0</v>
      </c>
      <c r="P316">
        <v>5.5830948509043811E-3</v>
      </c>
      <c r="Q316">
        <v>3.7220632339362539E-3</v>
      </c>
      <c r="R316">
        <v>1.2406877446454181E-3</v>
      </c>
      <c r="S316">
        <v>0</v>
      </c>
      <c r="T316">
        <v>1.4888252935745016E-2</v>
      </c>
      <c r="U316">
        <v>2.6600345245197765</v>
      </c>
      <c r="V316">
        <v>8.0644703401952181E-3</v>
      </c>
      <c r="W316">
        <v>0</v>
      </c>
      <c r="X316">
        <v>1.4267909063422308E-2</v>
      </c>
      <c r="Y316">
        <v>3.7220632339362539E-3</v>
      </c>
      <c r="Z316">
        <v>0</v>
      </c>
      <c r="AA316">
        <v>3.7220632339362539E-3</v>
      </c>
      <c r="AB316">
        <v>0</v>
      </c>
      <c r="AC316">
        <v>6.8237825955497992E-3</v>
      </c>
      <c r="AD316">
        <v>6.8237825955497992E-3</v>
      </c>
      <c r="AE316">
        <v>0</v>
      </c>
      <c r="AF316">
        <v>0</v>
      </c>
      <c r="AG316">
        <v>0</v>
      </c>
      <c r="AH316">
        <v>0</v>
      </c>
      <c r="AI316">
        <v>1.923066004200398E-2</v>
      </c>
      <c r="AJ316">
        <v>0</v>
      </c>
      <c r="AK316">
        <v>0</v>
      </c>
      <c r="AL316">
        <v>0</v>
      </c>
      <c r="AM316">
        <v>8.0644703401952181E-3</v>
      </c>
      <c r="AN316">
        <v>7.5061608551047793E-2</v>
      </c>
      <c r="AO316" t="s">
        <v>19</v>
      </c>
      <c r="AT316" t="str">
        <f t="shared" si="8"/>
        <v>car</v>
      </c>
      <c r="AU316" t="str">
        <f t="shared" si="9"/>
        <v>elc</v>
      </c>
    </row>
    <row r="317" spans="1:47">
      <c r="A317" t="s">
        <v>17</v>
      </c>
      <c r="B317" t="s">
        <v>176</v>
      </c>
      <c r="C317" t="s">
        <v>620</v>
      </c>
      <c r="D317" t="s">
        <v>19</v>
      </c>
      <c r="E317" t="s">
        <v>19</v>
      </c>
      <c r="F317" t="s">
        <v>19</v>
      </c>
      <c r="G317" t="s">
        <v>185</v>
      </c>
      <c r="H317" t="s">
        <v>19</v>
      </c>
      <c r="I317" t="s">
        <v>19</v>
      </c>
      <c r="J317" t="s">
        <v>19</v>
      </c>
      <c r="K317" t="s">
        <v>19</v>
      </c>
      <c r="L317">
        <v>0</v>
      </c>
      <c r="M317">
        <v>0</v>
      </c>
      <c r="N317">
        <v>8.6848142125179276E-3</v>
      </c>
      <c r="O317">
        <v>0</v>
      </c>
      <c r="P317">
        <v>5.5830948509043811E-3</v>
      </c>
      <c r="Q317">
        <v>3.7220632339362539E-3</v>
      </c>
      <c r="R317">
        <v>1.2406877446454181E-3</v>
      </c>
      <c r="S317">
        <v>0</v>
      </c>
      <c r="T317">
        <v>1.4888252935745016E-2</v>
      </c>
      <c r="U317">
        <v>2.6600345245197765</v>
      </c>
      <c r="V317">
        <v>8.0644703401952181E-3</v>
      </c>
      <c r="W317">
        <v>0</v>
      </c>
      <c r="X317">
        <v>1.4267909063422308E-2</v>
      </c>
      <c r="Y317">
        <v>3.7220632339362539E-3</v>
      </c>
      <c r="Z317">
        <v>0</v>
      </c>
      <c r="AA317">
        <v>3.7220632339362539E-3</v>
      </c>
      <c r="AB317">
        <v>0</v>
      </c>
      <c r="AC317">
        <v>6.8237825955497992E-3</v>
      </c>
      <c r="AD317">
        <v>6.8237825955497992E-3</v>
      </c>
      <c r="AE317">
        <v>0</v>
      </c>
      <c r="AF317">
        <v>0</v>
      </c>
      <c r="AG317">
        <v>0</v>
      </c>
      <c r="AH317">
        <v>0</v>
      </c>
      <c r="AI317">
        <v>1.923066004200398E-2</v>
      </c>
      <c r="AJ317">
        <v>0</v>
      </c>
      <c r="AK317">
        <v>0</v>
      </c>
      <c r="AL317">
        <v>0</v>
      </c>
      <c r="AM317">
        <v>8.0644703401952181E-3</v>
      </c>
      <c r="AN317">
        <v>7.5061608551047793E-2</v>
      </c>
      <c r="AO317" t="s">
        <v>19</v>
      </c>
      <c r="AT317" t="str">
        <f t="shared" si="8"/>
        <v>car</v>
      </c>
      <c r="AU317" t="str">
        <f t="shared" si="9"/>
        <v>elc</v>
      </c>
    </row>
    <row r="318" spans="1:47">
      <c r="A318" t="s">
        <v>17</v>
      </c>
      <c r="B318" t="s">
        <v>176</v>
      </c>
      <c r="C318" t="s">
        <v>620</v>
      </c>
      <c r="D318" t="s">
        <v>19</v>
      </c>
      <c r="E318" t="s">
        <v>19</v>
      </c>
      <c r="F318" t="s">
        <v>19</v>
      </c>
      <c r="G318" t="s">
        <v>186</v>
      </c>
      <c r="H318" t="s">
        <v>19</v>
      </c>
      <c r="I318" t="s">
        <v>19</v>
      </c>
      <c r="J318" t="s">
        <v>19</v>
      </c>
      <c r="K318" t="s">
        <v>19</v>
      </c>
      <c r="L318">
        <v>0</v>
      </c>
      <c r="M318">
        <v>0</v>
      </c>
      <c r="N318">
        <v>8.6848142125179276E-3</v>
      </c>
      <c r="O318">
        <v>0</v>
      </c>
      <c r="P318">
        <v>5.5830948509043811E-3</v>
      </c>
      <c r="Q318">
        <v>3.7220632339362539E-3</v>
      </c>
      <c r="R318">
        <v>1.2406877446454181E-3</v>
      </c>
      <c r="S318">
        <v>0</v>
      </c>
      <c r="T318">
        <v>1.4888252935745016E-2</v>
      </c>
      <c r="U318">
        <v>2.6600345245197765</v>
      </c>
      <c r="V318">
        <v>8.0644703401952181E-3</v>
      </c>
      <c r="W318">
        <v>0</v>
      </c>
      <c r="X318">
        <v>1.4267909063422308E-2</v>
      </c>
      <c r="Y318">
        <v>3.7220632339362539E-3</v>
      </c>
      <c r="Z318">
        <v>0</v>
      </c>
      <c r="AA318">
        <v>3.7220632339362539E-3</v>
      </c>
      <c r="AB318">
        <v>0</v>
      </c>
      <c r="AC318">
        <v>6.8237825955497992E-3</v>
      </c>
      <c r="AD318">
        <v>6.8237825955497992E-3</v>
      </c>
      <c r="AE318">
        <v>0</v>
      </c>
      <c r="AF318">
        <v>0</v>
      </c>
      <c r="AG318">
        <v>0</v>
      </c>
      <c r="AH318">
        <v>0</v>
      </c>
      <c r="AI318">
        <v>1.923066004200398E-2</v>
      </c>
      <c r="AJ318">
        <v>0</v>
      </c>
      <c r="AK318">
        <v>0</v>
      </c>
      <c r="AL318">
        <v>0</v>
      </c>
      <c r="AM318">
        <v>8.0644703401952181E-3</v>
      </c>
      <c r="AN318">
        <v>7.5061608551047793E-2</v>
      </c>
      <c r="AO318" t="s">
        <v>19</v>
      </c>
      <c r="AT318" t="str">
        <f t="shared" si="8"/>
        <v>car</v>
      </c>
      <c r="AU318" t="str">
        <f t="shared" si="9"/>
        <v>elc</v>
      </c>
    </row>
    <row r="319" spans="1:47">
      <c r="A319" t="s">
        <v>17</v>
      </c>
      <c r="B319" t="s">
        <v>176</v>
      </c>
      <c r="C319" t="s">
        <v>620</v>
      </c>
      <c r="D319" t="s">
        <v>19</v>
      </c>
      <c r="E319" t="s">
        <v>19</v>
      </c>
      <c r="F319" t="s">
        <v>19</v>
      </c>
      <c r="G319" t="s">
        <v>187</v>
      </c>
      <c r="H319" t="s">
        <v>19</v>
      </c>
      <c r="I319" t="s">
        <v>19</v>
      </c>
      <c r="J319" t="s">
        <v>19</v>
      </c>
      <c r="K319" t="s">
        <v>19</v>
      </c>
      <c r="L319">
        <v>0</v>
      </c>
      <c r="M319">
        <v>0</v>
      </c>
      <c r="N319">
        <v>8.6848142125179276E-3</v>
      </c>
      <c r="O319">
        <v>0</v>
      </c>
      <c r="P319">
        <v>5.5830948509043811E-3</v>
      </c>
      <c r="Q319">
        <v>3.7220632339362539E-3</v>
      </c>
      <c r="R319">
        <v>1.2406877446454181E-3</v>
      </c>
      <c r="S319">
        <v>0</v>
      </c>
      <c r="T319">
        <v>1.4888252935745016E-2</v>
      </c>
      <c r="U319">
        <v>2.6600345245197765</v>
      </c>
      <c r="V319">
        <v>8.0644703401952181E-3</v>
      </c>
      <c r="W319">
        <v>0</v>
      </c>
      <c r="X319">
        <v>1.4267909063422308E-2</v>
      </c>
      <c r="Y319">
        <v>3.7220632339362539E-3</v>
      </c>
      <c r="Z319">
        <v>0</v>
      </c>
      <c r="AA319">
        <v>3.7220632339362539E-3</v>
      </c>
      <c r="AB319">
        <v>0</v>
      </c>
      <c r="AC319">
        <v>6.8237825955497992E-3</v>
      </c>
      <c r="AD319">
        <v>6.8237825955497992E-3</v>
      </c>
      <c r="AE319">
        <v>0</v>
      </c>
      <c r="AF319">
        <v>0</v>
      </c>
      <c r="AG319">
        <v>0</v>
      </c>
      <c r="AH319">
        <v>0</v>
      </c>
      <c r="AI319">
        <v>1.923066004200398E-2</v>
      </c>
      <c r="AJ319">
        <v>0</v>
      </c>
      <c r="AK319">
        <v>0</v>
      </c>
      <c r="AL319">
        <v>0</v>
      </c>
      <c r="AM319">
        <v>8.0644703401952181E-3</v>
      </c>
      <c r="AN319">
        <v>7.5061608551047793E-2</v>
      </c>
      <c r="AO319" t="s">
        <v>19</v>
      </c>
      <c r="AT319" t="str">
        <f t="shared" si="8"/>
        <v>car</v>
      </c>
      <c r="AU319" t="str">
        <f t="shared" si="9"/>
        <v>elc</v>
      </c>
    </row>
    <row r="320" spans="1:47">
      <c r="A320" t="s">
        <v>17</v>
      </c>
      <c r="B320" t="s">
        <v>176</v>
      </c>
      <c r="C320" t="s">
        <v>620</v>
      </c>
      <c r="D320" t="s">
        <v>19</v>
      </c>
      <c r="E320" t="s">
        <v>19</v>
      </c>
      <c r="F320" t="s">
        <v>19</v>
      </c>
      <c r="G320" t="s">
        <v>188</v>
      </c>
      <c r="H320" t="s">
        <v>19</v>
      </c>
      <c r="I320" t="s">
        <v>19</v>
      </c>
      <c r="J320" t="s">
        <v>19</v>
      </c>
      <c r="K320" t="s">
        <v>19</v>
      </c>
      <c r="L320">
        <v>0</v>
      </c>
      <c r="M320">
        <v>0</v>
      </c>
      <c r="N320">
        <v>8.6848142125179276E-3</v>
      </c>
      <c r="O320">
        <v>0</v>
      </c>
      <c r="P320">
        <v>5.5830948509043811E-3</v>
      </c>
      <c r="Q320">
        <v>3.7220632339362539E-3</v>
      </c>
      <c r="R320">
        <v>1.2406877446454181E-3</v>
      </c>
      <c r="S320">
        <v>0</v>
      </c>
      <c r="T320">
        <v>1.4888252935745016E-2</v>
      </c>
      <c r="U320">
        <v>2.6600345245197765</v>
      </c>
      <c r="V320">
        <v>8.0644703401952181E-3</v>
      </c>
      <c r="W320">
        <v>0</v>
      </c>
      <c r="X320">
        <v>1.4267909063422308E-2</v>
      </c>
      <c r="Y320">
        <v>3.7220632339362539E-3</v>
      </c>
      <c r="Z320">
        <v>0</v>
      </c>
      <c r="AA320">
        <v>3.7220632339362539E-3</v>
      </c>
      <c r="AB320">
        <v>0</v>
      </c>
      <c r="AC320">
        <v>6.8237825955497992E-3</v>
      </c>
      <c r="AD320">
        <v>6.8237825955497992E-3</v>
      </c>
      <c r="AE320">
        <v>0</v>
      </c>
      <c r="AF320">
        <v>0</v>
      </c>
      <c r="AG320">
        <v>0</v>
      </c>
      <c r="AH320">
        <v>0</v>
      </c>
      <c r="AI320">
        <v>1.923066004200398E-2</v>
      </c>
      <c r="AJ320">
        <v>0</v>
      </c>
      <c r="AK320">
        <v>0</v>
      </c>
      <c r="AL320">
        <v>0</v>
      </c>
      <c r="AM320">
        <v>8.0644703401952181E-3</v>
      </c>
      <c r="AN320">
        <v>7.5061608551047793E-2</v>
      </c>
      <c r="AO320" t="s">
        <v>19</v>
      </c>
      <c r="AT320" t="str">
        <f t="shared" si="8"/>
        <v>car</v>
      </c>
      <c r="AU320" t="str">
        <f t="shared" si="9"/>
        <v>elc</v>
      </c>
    </row>
    <row r="321" spans="1:47">
      <c r="A321" t="s">
        <v>17</v>
      </c>
      <c r="B321" t="s">
        <v>176</v>
      </c>
      <c r="C321" t="s">
        <v>620</v>
      </c>
      <c r="D321" t="s">
        <v>19</v>
      </c>
      <c r="E321" t="s">
        <v>19</v>
      </c>
      <c r="F321" t="s">
        <v>19</v>
      </c>
      <c r="G321" t="s">
        <v>100</v>
      </c>
      <c r="H321" t="s">
        <v>19</v>
      </c>
      <c r="I321" t="s">
        <v>19</v>
      </c>
      <c r="J321" t="s">
        <v>19</v>
      </c>
      <c r="K321" t="s">
        <v>19</v>
      </c>
      <c r="L321">
        <v>0</v>
      </c>
      <c r="M321">
        <v>0</v>
      </c>
      <c r="N321">
        <v>8.6848142125179276E-3</v>
      </c>
      <c r="O321">
        <v>0</v>
      </c>
      <c r="P321">
        <v>5.5830948509043811E-3</v>
      </c>
      <c r="Q321">
        <v>3.7220632339362539E-3</v>
      </c>
      <c r="R321">
        <v>1.2406877446454181E-3</v>
      </c>
      <c r="S321">
        <v>0</v>
      </c>
      <c r="T321">
        <v>1.4888252935745016E-2</v>
      </c>
      <c r="U321">
        <v>2.6600345245197765</v>
      </c>
      <c r="V321">
        <v>8.0644703401952181E-3</v>
      </c>
      <c r="W321">
        <v>0</v>
      </c>
      <c r="X321">
        <v>1.4267909063422308E-2</v>
      </c>
      <c r="Y321">
        <v>3.7220632339362539E-3</v>
      </c>
      <c r="Z321">
        <v>0</v>
      </c>
      <c r="AA321">
        <v>3.7220632339362539E-3</v>
      </c>
      <c r="AB321">
        <v>0</v>
      </c>
      <c r="AC321">
        <v>6.8237825955497992E-3</v>
      </c>
      <c r="AD321">
        <v>6.8237825955497992E-3</v>
      </c>
      <c r="AE321">
        <v>0</v>
      </c>
      <c r="AF321">
        <v>0</v>
      </c>
      <c r="AG321">
        <v>0</v>
      </c>
      <c r="AH321">
        <v>0</v>
      </c>
      <c r="AI321">
        <v>1.923066004200398E-2</v>
      </c>
      <c r="AJ321">
        <v>0</v>
      </c>
      <c r="AK321">
        <v>0</v>
      </c>
      <c r="AL321">
        <v>0</v>
      </c>
      <c r="AM321">
        <v>8.0644703401952181E-3</v>
      </c>
      <c r="AN321">
        <v>7.5061608551047793E-2</v>
      </c>
      <c r="AO321" t="s">
        <v>19</v>
      </c>
      <c r="AT321" t="str">
        <f t="shared" si="8"/>
        <v>car</v>
      </c>
      <c r="AU321" t="str">
        <f t="shared" si="9"/>
        <v>elc</v>
      </c>
    </row>
    <row r="322" spans="1:47">
      <c r="A322" t="s">
        <v>17</v>
      </c>
      <c r="B322" t="s">
        <v>176</v>
      </c>
      <c r="C322" t="s">
        <v>619</v>
      </c>
      <c r="D322" t="s">
        <v>19</v>
      </c>
      <c r="E322" t="s">
        <v>19</v>
      </c>
      <c r="F322" t="s">
        <v>19</v>
      </c>
      <c r="G322" t="s">
        <v>603</v>
      </c>
      <c r="H322" t="s">
        <v>19</v>
      </c>
      <c r="I322" t="s">
        <v>19</v>
      </c>
      <c r="J322" t="s">
        <v>19</v>
      </c>
      <c r="K322" t="s">
        <v>19</v>
      </c>
      <c r="L322">
        <v>0</v>
      </c>
      <c r="M322">
        <v>2.4813754892908362E-3</v>
      </c>
      <c r="N322">
        <v>4.7766478168848596E-2</v>
      </c>
      <c r="O322">
        <v>0</v>
      </c>
      <c r="P322">
        <v>3.5359600722394413E-2</v>
      </c>
      <c r="Q322">
        <v>7.0719201444788826E-2</v>
      </c>
      <c r="R322">
        <v>1.1786533574131472E-2</v>
      </c>
      <c r="S322">
        <v>0.50123784883674893</v>
      </c>
      <c r="T322">
        <v>8.2505735018920306E-2</v>
      </c>
      <c r="U322">
        <v>0.29280230773631866</v>
      </c>
      <c r="V322">
        <v>2.1712035531294815E-2</v>
      </c>
      <c r="W322">
        <v>3.4739256850071711E-2</v>
      </c>
      <c r="X322">
        <v>3.5979944594717123E-2</v>
      </c>
      <c r="Y322">
        <v>5.5830948509043811E-3</v>
      </c>
      <c r="Z322">
        <v>1.7369628425035855E-2</v>
      </c>
      <c r="AA322">
        <v>1.3027221318776889E-2</v>
      </c>
      <c r="AB322">
        <v>1.1786533574131472E-2</v>
      </c>
      <c r="AC322">
        <v>6.2654731104593617E-2</v>
      </c>
      <c r="AD322">
        <v>6.20343872322709E-2</v>
      </c>
      <c r="AE322">
        <v>4.4664758807235048E-2</v>
      </c>
      <c r="AF322">
        <v>6.5136106593884455E-2</v>
      </c>
      <c r="AG322">
        <v>0</v>
      </c>
      <c r="AH322">
        <v>0</v>
      </c>
      <c r="AI322">
        <v>4.3424071062589638E-3</v>
      </c>
      <c r="AJ322">
        <v>0</v>
      </c>
      <c r="AK322">
        <v>0</v>
      </c>
      <c r="AL322">
        <v>0</v>
      </c>
      <c r="AM322">
        <v>3.6600288467039832E-2</v>
      </c>
      <c r="AN322">
        <v>1.4038381830662905</v>
      </c>
      <c r="AO322" t="s">
        <v>19</v>
      </c>
      <c r="AT322" t="str">
        <f t="shared" si="8"/>
        <v>car</v>
      </c>
      <c r="AU322" t="str">
        <f t="shared" si="9"/>
        <v>eth</v>
      </c>
    </row>
    <row r="323" spans="1:47">
      <c r="A323" t="s">
        <v>17</v>
      </c>
      <c r="B323" t="s">
        <v>176</v>
      </c>
      <c r="C323" t="s">
        <v>619</v>
      </c>
      <c r="D323" t="s">
        <v>19</v>
      </c>
      <c r="E323" t="s">
        <v>19</v>
      </c>
      <c r="F323" t="s">
        <v>19</v>
      </c>
      <c r="G323" t="s">
        <v>602</v>
      </c>
      <c r="H323" t="s">
        <v>19</v>
      </c>
      <c r="I323" t="s">
        <v>19</v>
      </c>
      <c r="J323" t="s">
        <v>19</v>
      </c>
      <c r="K323" t="s">
        <v>19</v>
      </c>
      <c r="L323">
        <v>0</v>
      </c>
      <c r="M323">
        <v>2.4813754892908362E-3</v>
      </c>
      <c r="N323">
        <v>4.7766478168848596E-2</v>
      </c>
      <c r="O323">
        <v>0</v>
      </c>
      <c r="P323">
        <v>3.5359600722394413E-2</v>
      </c>
      <c r="Q323">
        <v>7.0719201444788826E-2</v>
      </c>
      <c r="R323">
        <v>1.1786533574131472E-2</v>
      </c>
      <c r="S323">
        <v>0.50123784883674893</v>
      </c>
      <c r="T323">
        <v>8.2505735018920306E-2</v>
      </c>
      <c r="U323">
        <v>0.29280230773631866</v>
      </c>
      <c r="V323">
        <v>2.1712035531294815E-2</v>
      </c>
      <c r="W323">
        <v>3.4739256850071711E-2</v>
      </c>
      <c r="X323">
        <v>3.5979944594717123E-2</v>
      </c>
      <c r="Y323">
        <v>5.5830948509043811E-3</v>
      </c>
      <c r="Z323">
        <v>1.7369628425035855E-2</v>
      </c>
      <c r="AA323">
        <v>1.3027221318776889E-2</v>
      </c>
      <c r="AB323">
        <v>1.1786533574131472E-2</v>
      </c>
      <c r="AC323">
        <v>6.2654731104593617E-2</v>
      </c>
      <c r="AD323">
        <v>6.20343872322709E-2</v>
      </c>
      <c r="AE323">
        <v>4.4664758807235048E-2</v>
      </c>
      <c r="AF323">
        <v>6.5136106593884455E-2</v>
      </c>
      <c r="AG323">
        <v>0</v>
      </c>
      <c r="AH323">
        <v>0</v>
      </c>
      <c r="AI323">
        <v>4.3424071062589638E-3</v>
      </c>
      <c r="AJ323">
        <v>0</v>
      </c>
      <c r="AK323">
        <v>0</v>
      </c>
      <c r="AL323">
        <v>0</v>
      </c>
      <c r="AM323">
        <v>3.6600288467039832E-2</v>
      </c>
      <c r="AN323">
        <v>1.4038381830662905</v>
      </c>
      <c r="AO323" t="s">
        <v>19</v>
      </c>
      <c r="AT323" t="str">
        <f t="shared" ref="AT323:AT386" si="10">MID(C323,5,3)</f>
        <v>car</v>
      </c>
      <c r="AU323" t="str">
        <f t="shared" ref="AU323:AU386" si="11">RIGHT(C323,3)</f>
        <v>eth</v>
      </c>
    </row>
    <row r="324" spans="1:47">
      <c r="A324" t="s">
        <v>17</v>
      </c>
      <c r="B324" t="s">
        <v>176</v>
      </c>
      <c r="C324" t="s">
        <v>619</v>
      </c>
      <c r="D324" t="s">
        <v>19</v>
      </c>
      <c r="E324" t="s">
        <v>19</v>
      </c>
      <c r="F324" t="s">
        <v>19</v>
      </c>
      <c r="G324" t="s">
        <v>601</v>
      </c>
      <c r="H324" t="s">
        <v>19</v>
      </c>
      <c r="I324" t="s">
        <v>19</v>
      </c>
      <c r="J324" t="s">
        <v>19</v>
      </c>
      <c r="K324" t="s">
        <v>19</v>
      </c>
      <c r="L324">
        <v>0</v>
      </c>
      <c r="M324">
        <v>2.4813754892908362E-3</v>
      </c>
      <c r="N324">
        <v>4.7766478168848596E-2</v>
      </c>
      <c r="O324">
        <v>0</v>
      </c>
      <c r="P324">
        <v>3.5359600722394413E-2</v>
      </c>
      <c r="Q324">
        <v>7.0719201444788826E-2</v>
      </c>
      <c r="R324">
        <v>1.1786533574131472E-2</v>
      </c>
      <c r="S324">
        <v>0.50123784883674893</v>
      </c>
      <c r="T324">
        <v>8.2505735018920306E-2</v>
      </c>
      <c r="U324">
        <v>0.29280230773631866</v>
      </c>
      <c r="V324">
        <v>2.1712035531294815E-2</v>
      </c>
      <c r="W324">
        <v>3.4739256850071711E-2</v>
      </c>
      <c r="X324">
        <v>3.5979944594717123E-2</v>
      </c>
      <c r="Y324">
        <v>5.5830948509043811E-3</v>
      </c>
      <c r="Z324">
        <v>1.7369628425035855E-2</v>
      </c>
      <c r="AA324">
        <v>1.3027221318776889E-2</v>
      </c>
      <c r="AB324">
        <v>1.1786533574131472E-2</v>
      </c>
      <c r="AC324">
        <v>6.2654731104593617E-2</v>
      </c>
      <c r="AD324">
        <v>6.20343872322709E-2</v>
      </c>
      <c r="AE324">
        <v>4.4664758807235048E-2</v>
      </c>
      <c r="AF324">
        <v>6.5136106593884455E-2</v>
      </c>
      <c r="AG324">
        <v>0</v>
      </c>
      <c r="AH324">
        <v>0</v>
      </c>
      <c r="AI324">
        <v>4.3424071062589638E-3</v>
      </c>
      <c r="AJ324">
        <v>0</v>
      </c>
      <c r="AK324">
        <v>0</v>
      </c>
      <c r="AL324">
        <v>0</v>
      </c>
      <c r="AM324">
        <v>3.6600288467039832E-2</v>
      </c>
      <c r="AN324">
        <v>1.4038381830662905</v>
      </c>
      <c r="AO324" t="s">
        <v>19</v>
      </c>
      <c r="AT324" t="str">
        <f t="shared" si="10"/>
        <v>car</v>
      </c>
      <c r="AU324" t="str">
        <f t="shared" si="11"/>
        <v>eth</v>
      </c>
    </row>
    <row r="325" spans="1:47">
      <c r="A325" t="s">
        <v>17</v>
      </c>
      <c r="B325" t="s">
        <v>176</v>
      </c>
      <c r="C325" t="s">
        <v>619</v>
      </c>
      <c r="D325" t="s">
        <v>19</v>
      </c>
      <c r="E325" t="s">
        <v>19</v>
      </c>
      <c r="F325" t="s">
        <v>19</v>
      </c>
      <c r="G325" t="s">
        <v>600</v>
      </c>
      <c r="H325" t="s">
        <v>19</v>
      </c>
      <c r="I325" t="s">
        <v>19</v>
      </c>
      <c r="J325" t="s">
        <v>19</v>
      </c>
      <c r="K325" t="s">
        <v>19</v>
      </c>
      <c r="L325">
        <v>0</v>
      </c>
      <c r="M325">
        <v>2.4813754892908362E-3</v>
      </c>
      <c r="N325">
        <v>4.7766478168848596E-2</v>
      </c>
      <c r="O325">
        <v>0</v>
      </c>
      <c r="P325">
        <v>3.5359600722394413E-2</v>
      </c>
      <c r="Q325">
        <v>7.0719201444788826E-2</v>
      </c>
      <c r="R325">
        <v>1.1786533574131472E-2</v>
      </c>
      <c r="S325">
        <v>0.50123784883674893</v>
      </c>
      <c r="T325">
        <v>8.2505735018920306E-2</v>
      </c>
      <c r="U325">
        <v>0.29280230773631866</v>
      </c>
      <c r="V325">
        <v>2.1712035531294815E-2</v>
      </c>
      <c r="W325">
        <v>3.4739256850071711E-2</v>
      </c>
      <c r="X325">
        <v>3.5979944594717123E-2</v>
      </c>
      <c r="Y325">
        <v>5.5830948509043811E-3</v>
      </c>
      <c r="Z325">
        <v>1.7369628425035855E-2</v>
      </c>
      <c r="AA325">
        <v>1.3027221318776889E-2</v>
      </c>
      <c r="AB325">
        <v>1.1786533574131472E-2</v>
      </c>
      <c r="AC325">
        <v>6.2654731104593617E-2</v>
      </c>
      <c r="AD325">
        <v>6.20343872322709E-2</v>
      </c>
      <c r="AE325">
        <v>4.4664758807235048E-2</v>
      </c>
      <c r="AF325">
        <v>6.5136106593884455E-2</v>
      </c>
      <c r="AG325">
        <v>0</v>
      </c>
      <c r="AH325">
        <v>0</v>
      </c>
      <c r="AI325">
        <v>4.3424071062589638E-3</v>
      </c>
      <c r="AJ325">
        <v>0</v>
      </c>
      <c r="AK325">
        <v>0</v>
      </c>
      <c r="AL325">
        <v>0</v>
      </c>
      <c r="AM325">
        <v>3.6600288467039832E-2</v>
      </c>
      <c r="AN325">
        <v>1.4038381830662905</v>
      </c>
      <c r="AO325" t="s">
        <v>19</v>
      </c>
      <c r="AT325" t="str">
        <f t="shared" si="10"/>
        <v>car</v>
      </c>
      <c r="AU325" t="str">
        <f t="shared" si="11"/>
        <v>eth</v>
      </c>
    </row>
    <row r="326" spans="1:47">
      <c r="A326" t="s">
        <v>17</v>
      </c>
      <c r="B326" t="s">
        <v>176</v>
      </c>
      <c r="C326" t="s">
        <v>619</v>
      </c>
      <c r="D326" t="s">
        <v>19</v>
      </c>
      <c r="E326" t="s">
        <v>19</v>
      </c>
      <c r="F326" t="s">
        <v>19</v>
      </c>
      <c r="G326" t="s">
        <v>599</v>
      </c>
      <c r="H326" t="s">
        <v>19</v>
      </c>
      <c r="I326" t="s">
        <v>19</v>
      </c>
      <c r="J326" t="s">
        <v>19</v>
      </c>
      <c r="K326" t="s">
        <v>19</v>
      </c>
      <c r="L326">
        <v>0</v>
      </c>
      <c r="M326">
        <v>2.4813754892908362E-3</v>
      </c>
      <c r="N326">
        <v>4.7766478168848596E-2</v>
      </c>
      <c r="O326">
        <v>0</v>
      </c>
      <c r="P326">
        <v>3.5359600722394413E-2</v>
      </c>
      <c r="Q326">
        <v>7.0719201444788826E-2</v>
      </c>
      <c r="R326">
        <v>1.1786533574131472E-2</v>
      </c>
      <c r="S326">
        <v>0.50123784883674893</v>
      </c>
      <c r="T326">
        <v>8.2505735018920306E-2</v>
      </c>
      <c r="U326">
        <v>0.29280230773631866</v>
      </c>
      <c r="V326">
        <v>2.1712035531294815E-2</v>
      </c>
      <c r="W326">
        <v>3.4739256850071711E-2</v>
      </c>
      <c r="X326">
        <v>3.5979944594717123E-2</v>
      </c>
      <c r="Y326">
        <v>5.5830948509043811E-3</v>
      </c>
      <c r="Z326">
        <v>1.7369628425035855E-2</v>
      </c>
      <c r="AA326">
        <v>1.3027221318776889E-2</v>
      </c>
      <c r="AB326">
        <v>1.1786533574131472E-2</v>
      </c>
      <c r="AC326">
        <v>6.2654731104593617E-2</v>
      </c>
      <c r="AD326">
        <v>6.20343872322709E-2</v>
      </c>
      <c r="AE326">
        <v>4.4664758807235048E-2</v>
      </c>
      <c r="AF326">
        <v>6.5136106593884455E-2</v>
      </c>
      <c r="AG326">
        <v>0</v>
      </c>
      <c r="AH326">
        <v>0</v>
      </c>
      <c r="AI326">
        <v>4.3424071062589638E-3</v>
      </c>
      <c r="AJ326">
        <v>0</v>
      </c>
      <c r="AK326">
        <v>0</v>
      </c>
      <c r="AL326">
        <v>0</v>
      </c>
      <c r="AM326">
        <v>3.6600288467039832E-2</v>
      </c>
      <c r="AN326">
        <v>1.4038381830662905</v>
      </c>
      <c r="AO326" t="s">
        <v>19</v>
      </c>
      <c r="AT326" t="str">
        <f t="shared" si="10"/>
        <v>car</v>
      </c>
      <c r="AU326" t="str">
        <f t="shared" si="11"/>
        <v>eth</v>
      </c>
    </row>
    <row r="327" spans="1:47">
      <c r="A327" t="s">
        <v>17</v>
      </c>
      <c r="B327" t="s">
        <v>176</v>
      </c>
      <c r="C327" t="s">
        <v>619</v>
      </c>
      <c r="D327" t="s">
        <v>19</v>
      </c>
      <c r="E327" t="s">
        <v>19</v>
      </c>
      <c r="F327" t="s">
        <v>19</v>
      </c>
      <c r="G327" t="s">
        <v>598</v>
      </c>
      <c r="H327" t="s">
        <v>19</v>
      </c>
      <c r="I327" t="s">
        <v>19</v>
      </c>
      <c r="J327" t="s">
        <v>19</v>
      </c>
      <c r="K327" t="s">
        <v>19</v>
      </c>
      <c r="L327">
        <v>0</v>
      </c>
      <c r="M327">
        <v>2.4813754892908362E-3</v>
      </c>
      <c r="N327">
        <v>4.7766478168848596E-2</v>
      </c>
      <c r="O327">
        <v>0</v>
      </c>
      <c r="P327">
        <v>3.5359600722394413E-2</v>
      </c>
      <c r="Q327">
        <v>7.0719201444788826E-2</v>
      </c>
      <c r="R327">
        <v>1.1786533574131472E-2</v>
      </c>
      <c r="S327">
        <v>0.50123784883674893</v>
      </c>
      <c r="T327">
        <v>8.2505735018920306E-2</v>
      </c>
      <c r="U327">
        <v>0.29280230773631866</v>
      </c>
      <c r="V327">
        <v>2.1712035531294815E-2</v>
      </c>
      <c r="W327">
        <v>3.4739256850071711E-2</v>
      </c>
      <c r="X327">
        <v>3.5979944594717123E-2</v>
      </c>
      <c r="Y327">
        <v>5.5830948509043811E-3</v>
      </c>
      <c r="Z327">
        <v>1.7369628425035855E-2</v>
      </c>
      <c r="AA327">
        <v>1.3027221318776889E-2</v>
      </c>
      <c r="AB327">
        <v>1.1786533574131472E-2</v>
      </c>
      <c r="AC327">
        <v>6.2654731104593617E-2</v>
      </c>
      <c r="AD327">
        <v>6.20343872322709E-2</v>
      </c>
      <c r="AE327">
        <v>4.4664758807235048E-2</v>
      </c>
      <c r="AF327">
        <v>6.5136106593884455E-2</v>
      </c>
      <c r="AG327">
        <v>0</v>
      </c>
      <c r="AH327">
        <v>0</v>
      </c>
      <c r="AI327">
        <v>4.3424071062589638E-3</v>
      </c>
      <c r="AJ327">
        <v>0</v>
      </c>
      <c r="AK327">
        <v>0</v>
      </c>
      <c r="AL327">
        <v>0</v>
      </c>
      <c r="AM327">
        <v>3.6600288467039832E-2</v>
      </c>
      <c r="AN327">
        <v>1.4038381830662905</v>
      </c>
      <c r="AO327" t="s">
        <v>19</v>
      </c>
      <c r="AT327" t="str">
        <f t="shared" si="10"/>
        <v>car</v>
      </c>
      <c r="AU327" t="str">
        <f t="shared" si="11"/>
        <v>eth</v>
      </c>
    </row>
    <row r="328" spans="1:47">
      <c r="A328" t="s">
        <v>17</v>
      </c>
      <c r="B328" t="s">
        <v>176</v>
      </c>
      <c r="C328" t="s">
        <v>619</v>
      </c>
      <c r="D328" t="s">
        <v>19</v>
      </c>
      <c r="E328" t="s">
        <v>19</v>
      </c>
      <c r="F328" t="s">
        <v>19</v>
      </c>
      <c r="G328" t="s">
        <v>597</v>
      </c>
      <c r="H328" t="s">
        <v>19</v>
      </c>
      <c r="I328" t="s">
        <v>19</v>
      </c>
      <c r="J328" t="s">
        <v>19</v>
      </c>
      <c r="K328" t="s">
        <v>19</v>
      </c>
      <c r="L328">
        <v>0</v>
      </c>
      <c r="M328">
        <v>2.4813754892908362E-3</v>
      </c>
      <c r="N328">
        <v>4.7766478168848596E-2</v>
      </c>
      <c r="O328">
        <v>0</v>
      </c>
      <c r="P328">
        <v>3.5359600722394413E-2</v>
      </c>
      <c r="Q328">
        <v>7.0719201444788826E-2</v>
      </c>
      <c r="R328">
        <v>1.1786533574131472E-2</v>
      </c>
      <c r="S328">
        <v>0.50123784883674893</v>
      </c>
      <c r="T328">
        <v>8.2505735018920306E-2</v>
      </c>
      <c r="U328">
        <v>0.29280230773631866</v>
      </c>
      <c r="V328">
        <v>2.1712035531294815E-2</v>
      </c>
      <c r="W328">
        <v>3.4739256850071711E-2</v>
      </c>
      <c r="X328">
        <v>3.5979944594717123E-2</v>
      </c>
      <c r="Y328">
        <v>5.5830948509043811E-3</v>
      </c>
      <c r="Z328">
        <v>1.7369628425035855E-2</v>
      </c>
      <c r="AA328">
        <v>1.3027221318776889E-2</v>
      </c>
      <c r="AB328">
        <v>1.1786533574131472E-2</v>
      </c>
      <c r="AC328">
        <v>6.2654731104593617E-2</v>
      </c>
      <c r="AD328">
        <v>6.20343872322709E-2</v>
      </c>
      <c r="AE328">
        <v>4.4664758807235048E-2</v>
      </c>
      <c r="AF328">
        <v>6.5136106593884455E-2</v>
      </c>
      <c r="AG328">
        <v>0</v>
      </c>
      <c r="AH328">
        <v>0</v>
      </c>
      <c r="AI328">
        <v>4.3424071062589638E-3</v>
      </c>
      <c r="AJ328">
        <v>0</v>
      </c>
      <c r="AK328">
        <v>0</v>
      </c>
      <c r="AL328">
        <v>0</v>
      </c>
      <c r="AM328">
        <v>3.6600288467039832E-2</v>
      </c>
      <c r="AN328">
        <v>1.4038381830662905</v>
      </c>
      <c r="AO328" t="s">
        <v>19</v>
      </c>
      <c r="AT328" t="str">
        <f t="shared" si="10"/>
        <v>car</v>
      </c>
      <c r="AU328" t="str">
        <f t="shared" si="11"/>
        <v>eth</v>
      </c>
    </row>
    <row r="329" spans="1:47">
      <c r="A329" t="s">
        <v>17</v>
      </c>
      <c r="B329" t="s">
        <v>176</v>
      </c>
      <c r="C329" t="s">
        <v>619</v>
      </c>
      <c r="D329" t="s">
        <v>19</v>
      </c>
      <c r="E329" t="s">
        <v>19</v>
      </c>
      <c r="F329" t="s">
        <v>19</v>
      </c>
      <c r="G329" t="s">
        <v>596</v>
      </c>
      <c r="H329" t="s">
        <v>19</v>
      </c>
      <c r="I329" t="s">
        <v>19</v>
      </c>
      <c r="J329" t="s">
        <v>19</v>
      </c>
      <c r="K329" t="s">
        <v>19</v>
      </c>
      <c r="L329">
        <v>0</v>
      </c>
      <c r="M329">
        <v>2.4813754892908362E-3</v>
      </c>
      <c r="N329">
        <v>4.7766478168848596E-2</v>
      </c>
      <c r="O329">
        <v>0</v>
      </c>
      <c r="P329">
        <v>3.5359600722394413E-2</v>
      </c>
      <c r="Q329">
        <v>7.0719201444788826E-2</v>
      </c>
      <c r="R329">
        <v>1.1786533574131472E-2</v>
      </c>
      <c r="S329">
        <v>0.50123784883674893</v>
      </c>
      <c r="T329">
        <v>8.2505735018920306E-2</v>
      </c>
      <c r="U329">
        <v>0.29280230773631866</v>
      </c>
      <c r="V329">
        <v>2.1712035531294815E-2</v>
      </c>
      <c r="W329">
        <v>3.4739256850071711E-2</v>
      </c>
      <c r="X329">
        <v>3.5979944594717123E-2</v>
      </c>
      <c r="Y329">
        <v>5.5830948509043811E-3</v>
      </c>
      <c r="Z329">
        <v>1.7369628425035855E-2</v>
      </c>
      <c r="AA329">
        <v>1.3027221318776889E-2</v>
      </c>
      <c r="AB329">
        <v>1.1786533574131472E-2</v>
      </c>
      <c r="AC329">
        <v>6.2654731104593617E-2</v>
      </c>
      <c r="AD329">
        <v>6.20343872322709E-2</v>
      </c>
      <c r="AE329">
        <v>4.4664758807235048E-2</v>
      </c>
      <c r="AF329">
        <v>6.5136106593884455E-2</v>
      </c>
      <c r="AG329">
        <v>0</v>
      </c>
      <c r="AH329">
        <v>0</v>
      </c>
      <c r="AI329">
        <v>4.3424071062589638E-3</v>
      </c>
      <c r="AJ329">
        <v>0</v>
      </c>
      <c r="AK329">
        <v>0</v>
      </c>
      <c r="AL329">
        <v>0</v>
      </c>
      <c r="AM329">
        <v>3.6600288467039832E-2</v>
      </c>
      <c r="AN329">
        <v>1.4038381830662905</v>
      </c>
      <c r="AO329" t="s">
        <v>19</v>
      </c>
      <c r="AT329" t="str">
        <f t="shared" si="10"/>
        <v>car</v>
      </c>
      <c r="AU329" t="str">
        <f t="shared" si="11"/>
        <v>eth</v>
      </c>
    </row>
    <row r="330" spans="1:47">
      <c r="A330" t="s">
        <v>17</v>
      </c>
      <c r="B330" t="s">
        <v>176</v>
      </c>
      <c r="C330" t="s">
        <v>619</v>
      </c>
      <c r="D330" t="s">
        <v>19</v>
      </c>
      <c r="E330" t="s">
        <v>19</v>
      </c>
      <c r="F330" t="s">
        <v>19</v>
      </c>
      <c r="G330" t="s">
        <v>178</v>
      </c>
      <c r="H330" t="s">
        <v>19</v>
      </c>
      <c r="I330" t="s">
        <v>19</v>
      </c>
      <c r="J330" t="s">
        <v>19</v>
      </c>
      <c r="K330" t="s">
        <v>19</v>
      </c>
      <c r="L330">
        <v>0</v>
      </c>
      <c r="M330">
        <v>2.4813754892908362E-3</v>
      </c>
      <c r="N330">
        <v>4.7766478168848596E-2</v>
      </c>
      <c r="O330">
        <v>0</v>
      </c>
      <c r="P330">
        <v>3.5359600722394413E-2</v>
      </c>
      <c r="Q330">
        <v>7.0719201444788826E-2</v>
      </c>
      <c r="R330">
        <v>1.1786533574131472E-2</v>
      </c>
      <c r="S330">
        <v>0.50123784883674893</v>
      </c>
      <c r="T330">
        <v>8.2505735018920306E-2</v>
      </c>
      <c r="U330">
        <v>0.29280230773631866</v>
      </c>
      <c r="V330">
        <v>2.1712035531294815E-2</v>
      </c>
      <c r="W330">
        <v>3.4739256850071711E-2</v>
      </c>
      <c r="X330">
        <v>3.5979944594717123E-2</v>
      </c>
      <c r="Y330">
        <v>5.5830948509043811E-3</v>
      </c>
      <c r="Z330">
        <v>1.7369628425035855E-2</v>
      </c>
      <c r="AA330">
        <v>1.3027221318776889E-2</v>
      </c>
      <c r="AB330">
        <v>1.1786533574131472E-2</v>
      </c>
      <c r="AC330">
        <v>6.2654731104593617E-2</v>
      </c>
      <c r="AD330">
        <v>6.20343872322709E-2</v>
      </c>
      <c r="AE330">
        <v>4.4664758807235048E-2</v>
      </c>
      <c r="AF330">
        <v>6.5136106593884455E-2</v>
      </c>
      <c r="AG330">
        <v>0</v>
      </c>
      <c r="AH330">
        <v>0</v>
      </c>
      <c r="AI330">
        <v>4.3424071062589638E-3</v>
      </c>
      <c r="AJ330">
        <v>0</v>
      </c>
      <c r="AK330">
        <v>0</v>
      </c>
      <c r="AL330">
        <v>0</v>
      </c>
      <c r="AM330">
        <v>3.6600288467039832E-2</v>
      </c>
      <c r="AN330">
        <v>1.4038381830662905</v>
      </c>
      <c r="AO330" t="s">
        <v>19</v>
      </c>
      <c r="AT330" t="str">
        <f t="shared" si="10"/>
        <v>car</v>
      </c>
      <c r="AU330" t="str">
        <f t="shared" si="11"/>
        <v>eth</v>
      </c>
    </row>
    <row r="331" spans="1:47">
      <c r="A331" t="s">
        <v>17</v>
      </c>
      <c r="B331" t="s">
        <v>176</v>
      </c>
      <c r="C331" t="s">
        <v>619</v>
      </c>
      <c r="D331" t="s">
        <v>19</v>
      </c>
      <c r="E331" t="s">
        <v>19</v>
      </c>
      <c r="F331" t="s">
        <v>19</v>
      </c>
      <c r="G331" t="s">
        <v>179</v>
      </c>
      <c r="H331" t="s">
        <v>19</v>
      </c>
      <c r="I331" t="s">
        <v>19</v>
      </c>
      <c r="J331" t="s">
        <v>19</v>
      </c>
      <c r="K331" t="s">
        <v>19</v>
      </c>
      <c r="L331">
        <v>0</v>
      </c>
      <c r="M331">
        <v>2.4813754892908362E-3</v>
      </c>
      <c r="N331">
        <v>4.7766478168848596E-2</v>
      </c>
      <c r="O331">
        <v>0</v>
      </c>
      <c r="P331">
        <v>3.5359600722394413E-2</v>
      </c>
      <c r="Q331">
        <v>7.0719201444788826E-2</v>
      </c>
      <c r="R331">
        <v>1.1786533574131472E-2</v>
      </c>
      <c r="S331">
        <v>0.50123784883674893</v>
      </c>
      <c r="T331">
        <v>8.2505735018920306E-2</v>
      </c>
      <c r="U331">
        <v>0.29280230773631866</v>
      </c>
      <c r="V331">
        <v>2.1712035531294815E-2</v>
      </c>
      <c r="W331">
        <v>3.4739256850071711E-2</v>
      </c>
      <c r="X331">
        <v>3.5979944594717123E-2</v>
      </c>
      <c r="Y331">
        <v>5.5830948509043811E-3</v>
      </c>
      <c r="Z331">
        <v>1.7369628425035855E-2</v>
      </c>
      <c r="AA331">
        <v>1.3027221318776889E-2</v>
      </c>
      <c r="AB331">
        <v>1.1786533574131472E-2</v>
      </c>
      <c r="AC331">
        <v>6.2654731104593617E-2</v>
      </c>
      <c r="AD331">
        <v>6.20343872322709E-2</v>
      </c>
      <c r="AE331">
        <v>4.4664758807235048E-2</v>
      </c>
      <c r="AF331">
        <v>6.5136106593884455E-2</v>
      </c>
      <c r="AG331">
        <v>0</v>
      </c>
      <c r="AH331">
        <v>0</v>
      </c>
      <c r="AI331">
        <v>4.3424071062589638E-3</v>
      </c>
      <c r="AJ331">
        <v>0</v>
      </c>
      <c r="AK331">
        <v>0</v>
      </c>
      <c r="AL331">
        <v>0</v>
      </c>
      <c r="AM331">
        <v>3.6600288467039832E-2</v>
      </c>
      <c r="AN331">
        <v>1.4038381830662905</v>
      </c>
      <c r="AO331" t="s">
        <v>19</v>
      </c>
      <c r="AT331" t="str">
        <f t="shared" si="10"/>
        <v>car</v>
      </c>
      <c r="AU331" t="str">
        <f t="shared" si="11"/>
        <v>eth</v>
      </c>
    </row>
    <row r="332" spans="1:47">
      <c r="A332" t="s">
        <v>17</v>
      </c>
      <c r="B332" t="s">
        <v>176</v>
      </c>
      <c r="C332" t="s">
        <v>619</v>
      </c>
      <c r="D332" t="s">
        <v>19</v>
      </c>
      <c r="E332" t="s">
        <v>19</v>
      </c>
      <c r="F332" t="s">
        <v>19</v>
      </c>
      <c r="G332" t="s">
        <v>180</v>
      </c>
      <c r="H332" t="s">
        <v>19</v>
      </c>
      <c r="I332" t="s">
        <v>19</v>
      </c>
      <c r="J332" t="s">
        <v>19</v>
      </c>
      <c r="K332" t="s">
        <v>19</v>
      </c>
      <c r="L332">
        <v>0</v>
      </c>
      <c r="M332">
        <v>2.4813754892908362E-3</v>
      </c>
      <c r="N332">
        <v>4.7766478168848596E-2</v>
      </c>
      <c r="O332">
        <v>0</v>
      </c>
      <c r="P332">
        <v>3.5359600722394413E-2</v>
      </c>
      <c r="Q332">
        <v>7.0719201444788826E-2</v>
      </c>
      <c r="R332">
        <v>1.1786533574131472E-2</v>
      </c>
      <c r="S332">
        <v>0.50123784883674893</v>
      </c>
      <c r="T332">
        <v>8.2505735018920306E-2</v>
      </c>
      <c r="U332">
        <v>0.29280230773631866</v>
      </c>
      <c r="V332">
        <v>2.1712035531294815E-2</v>
      </c>
      <c r="W332">
        <v>3.4739256850071711E-2</v>
      </c>
      <c r="X332">
        <v>3.5979944594717123E-2</v>
      </c>
      <c r="Y332">
        <v>5.5830948509043811E-3</v>
      </c>
      <c r="Z332">
        <v>1.7369628425035855E-2</v>
      </c>
      <c r="AA332">
        <v>1.3027221318776889E-2</v>
      </c>
      <c r="AB332">
        <v>1.1786533574131472E-2</v>
      </c>
      <c r="AC332">
        <v>6.2654731104593617E-2</v>
      </c>
      <c r="AD332">
        <v>6.20343872322709E-2</v>
      </c>
      <c r="AE332">
        <v>4.4664758807235048E-2</v>
      </c>
      <c r="AF332">
        <v>6.5136106593884455E-2</v>
      </c>
      <c r="AG332">
        <v>0</v>
      </c>
      <c r="AH332">
        <v>0</v>
      </c>
      <c r="AI332">
        <v>4.3424071062589638E-3</v>
      </c>
      <c r="AJ332">
        <v>0</v>
      </c>
      <c r="AK332">
        <v>0</v>
      </c>
      <c r="AL332">
        <v>0</v>
      </c>
      <c r="AM332">
        <v>3.6600288467039832E-2</v>
      </c>
      <c r="AN332">
        <v>1.4038381830662905</v>
      </c>
      <c r="AO332" t="s">
        <v>19</v>
      </c>
      <c r="AT332" t="str">
        <f t="shared" si="10"/>
        <v>car</v>
      </c>
      <c r="AU332" t="str">
        <f t="shared" si="11"/>
        <v>eth</v>
      </c>
    </row>
    <row r="333" spans="1:47">
      <c r="A333" t="s">
        <v>17</v>
      </c>
      <c r="B333" t="s">
        <v>176</v>
      </c>
      <c r="C333" t="s">
        <v>619</v>
      </c>
      <c r="D333" t="s">
        <v>19</v>
      </c>
      <c r="E333" t="s">
        <v>19</v>
      </c>
      <c r="F333" t="s">
        <v>19</v>
      </c>
      <c r="G333" t="s">
        <v>181</v>
      </c>
      <c r="H333" t="s">
        <v>19</v>
      </c>
      <c r="I333" t="s">
        <v>19</v>
      </c>
      <c r="J333" t="s">
        <v>19</v>
      </c>
      <c r="K333" t="s">
        <v>19</v>
      </c>
      <c r="L333">
        <v>0</v>
      </c>
      <c r="M333">
        <v>2.4813754892908362E-3</v>
      </c>
      <c r="N333">
        <v>4.7766478168848596E-2</v>
      </c>
      <c r="O333">
        <v>0</v>
      </c>
      <c r="P333">
        <v>3.5359600722394413E-2</v>
      </c>
      <c r="Q333">
        <v>7.0719201444788826E-2</v>
      </c>
      <c r="R333">
        <v>1.1786533574131472E-2</v>
      </c>
      <c r="S333">
        <v>0.50123784883674893</v>
      </c>
      <c r="T333">
        <v>8.2505735018920306E-2</v>
      </c>
      <c r="U333">
        <v>0.29280230773631866</v>
      </c>
      <c r="V333">
        <v>2.1712035531294815E-2</v>
      </c>
      <c r="W333">
        <v>3.4739256850071711E-2</v>
      </c>
      <c r="X333">
        <v>3.5979944594717123E-2</v>
      </c>
      <c r="Y333">
        <v>5.5830948509043811E-3</v>
      </c>
      <c r="Z333">
        <v>1.7369628425035855E-2</v>
      </c>
      <c r="AA333">
        <v>1.3027221318776889E-2</v>
      </c>
      <c r="AB333">
        <v>1.1786533574131472E-2</v>
      </c>
      <c r="AC333">
        <v>6.2654731104593617E-2</v>
      </c>
      <c r="AD333">
        <v>6.20343872322709E-2</v>
      </c>
      <c r="AE333">
        <v>4.4664758807235048E-2</v>
      </c>
      <c r="AF333">
        <v>6.5136106593884455E-2</v>
      </c>
      <c r="AG333">
        <v>0</v>
      </c>
      <c r="AH333">
        <v>0</v>
      </c>
      <c r="AI333">
        <v>4.3424071062589638E-3</v>
      </c>
      <c r="AJ333">
        <v>0</v>
      </c>
      <c r="AK333">
        <v>0</v>
      </c>
      <c r="AL333">
        <v>0</v>
      </c>
      <c r="AM333">
        <v>3.6600288467039832E-2</v>
      </c>
      <c r="AN333">
        <v>1.4038381830662905</v>
      </c>
      <c r="AO333" t="s">
        <v>19</v>
      </c>
      <c r="AT333" t="str">
        <f t="shared" si="10"/>
        <v>car</v>
      </c>
      <c r="AU333" t="str">
        <f t="shared" si="11"/>
        <v>eth</v>
      </c>
    </row>
    <row r="334" spans="1:47">
      <c r="A334" t="s">
        <v>17</v>
      </c>
      <c r="B334" t="s">
        <v>176</v>
      </c>
      <c r="C334" t="s">
        <v>619</v>
      </c>
      <c r="D334" t="s">
        <v>19</v>
      </c>
      <c r="E334" t="s">
        <v>19</v>
      </c>
      <c r="F334" t="s">
        <v>19</v>
      </c>
      <c r="G334" t="s">
        <v>182</v>
      </c>
      <c r="H334" t="s">
        <v>19</v>
      </c>
      <c r="I334" t="s">
        <v>19</v>
      </c>
      <c r="J334" t="s">
        <v>19</v>
      </c>
      <c r="K334" t="s">
        <v>19</v>
      </c>
      <c r="L334">
        <v>0</v>
      </c>
      <c r="M334">
        <v>2.4813754892908362E-3</v>
      </c>
      <c r="N334">
        <v>4.7766478168848596E-2</v>
      </c>
      <c r="O334">
        <v>0</v>
      </c>
      <c r="P334">
        <v>3.5359600722394413E-2</v>
      </c>
      <c r="Q334">
        <v>7.0719201444788826E-2</v>
      </c>
      <c r="R334">
        <v>1.1786533574131472E-2</v>
      </c>
      <c r="S334">
        <v>0.50123784883674893</v>
      </c>
      <c r="T334">
        <v>8.2505735018920306E-2</v>
      </c>
      <c r="U334">
        <v>0.29280230773631866</v>
      </c>
      <c r="V334">
        <v>2.1712035531294815E-2</v>
      </c>
      <c r="W334">
        <v>3.4739256850071711E-2</v>
      </c>
      <c r="X334">
        <v>3.5979944594717123E-2</v>
      </c>
      <c r="Y334">
        <v>5.5830948509043811E-3</v>
      </c>
      <c r="Z334">
        <v>1.7369628425035855E-2</v>
      </c>
      <c r="AA334">
        <v>1.3027221318776889E-2</v>
      </c>
      <c r="AB334">
        <v>1.1786533574131472E-2</v>
      </c>
      <c r="AC334">
        <v>6.2654731104593617E-2</v>
      </c>
      <c r="AD334">
        <v>6.20343872322709E-2</v>
      </c>
      <c r="AE334">
        <v>4.4664758807235048E-2</v>
      </c>
      <c r="AF334">
        <v>6.5136106593884455E-2</v>
      </c>
      <c r="AG334">
        <v>0</v>
      </c>
      <c r="AH334">
        <v>0</v>
      </c>
      <c r="AI334">
        <v>4.3424071062589638E-3</v>
      </c>
      <c r="AJ334">
        <v>0</v>
      </c>
      <c r="AK334">
        <v>0</v>
      </c>
      <c r="AL334">
        <v>0</v>
      </c>
      <c r="AM334">
        <v>3.6600288467039832E-2</v>
      </c>
      <c r="AN334">
        <v>1.4038381830662905</v>
      </c>
      <c r="AO334" t="s">
        <v>19</v>
      </c>
      <c r="AT334" t="str">
        <f t="shared" si="10"/>
        <v>car</v>
      </c>
      <c r="AU334" t="str">
        <f t="shared" si="11"/>
        <v>eth</v>
      </c>
    </row>
    <row r="335" spans="1:47">
      <c r="A335" t="s">
        <v>17</v>
      </c>
      <c r="B335" t="s">
        <v>176</v>
      </c>
      <c r="C335" t="s">
        <v>619</v>
      </c>
      <c r="D335" t="s">
        <v>19</v>
      </c>
      <c r="E335" t="s">
        <v>19</v>
      </c>
      <c r="F335" t="s">
        <v>19</v>
      </c>
      <c r="G335" t="s">
        <v>183</v>
      </c>
      <c r="H335" t="s">
        <v>19</v>
      </c>
      <c r="I335" t="s">
        <v>19</v>
      </c>
      <c r="J335" t="s">
        <v>19</v>
      </c>
      <c r="K335" t="s">
        <v>19</v>
      </c>
      <c r="L335">
        <v>0</v>
      </c>
      <c r="M335">
        <v>2.4813754892908362E-3</v>
      </c>
      <c r="N335">
        <v>4.7766478168848596E-2</v>
      </c>
      <c r="O335">
        <v>0</v>
      </c>
      <c r="P335">
        <v>3.5359600722394413E-2</v>
      </c>
      <c r="Q335">
        <v>7.0719201444788826E-2</v>
      </c>
      <c r="R335">
        <v>1.1786533574131472E-2</v>
      </c>
      <c r="S335">
        <v>0.50123784883674893</v>
      </c>
      <c r="T335">
        <v>8.2505735018920306E-2</v>
      </c>
      <c r="U335">
        <v>0.29280230773631866</v>
      </c>
      <c r="V335">
        <v>2.1712035531294815E-2</v>
      </c>
      <c r="W335">
        <v>3.4739256850071711E-2</v>
      </c>
      <c r="X335">
        <v>3.5979944594717123E-2</v>
      </c>
      <c r="Y335">
        <v>5.5830948509043811E-3</v>
      </c>
      <c r="Z335">
        <v>1.7369628425035855E-2</v>
      </c>
      <c r="AA335">
        <v>1.3027221318776889E-2</v>
      </c>
      <c r="AB335">
        <v>1.1786533574131472E-2</v>
      </c>
      <c r="AC335">
        <v>6.2654731104593617E-2</v>
      </c>
      <c r="AD335">
        <v>6.20343872322709E-2</v>
      </c>
      <c r="AE335">
        <v>4.4664758807235048E-2</v>
      </c>
      <c r="AF335">
        <v>6.5136106593884455E-2</v>
      </c>
      <c r="AG335">
        <v>0</v>
      </c>
      <c r="AH335">
        <v>0</v>
      </c>
      <c r="AI335">
        <v>4.3424071062589638E-3</v>
      </c>
      <c r="AJ335">
        <v>0</v>
      </c>
      <c r="AK335">
        <v>0</v>
      </c>
      <c r="AL335">
        <v>0</v>
      </c>
      <c r="AM335">
        <v>3.6600288467039832E-2</v>
      </c>
      <c r="AN335">
        <v>1.4038381830662905</v>
      </c>
      <c r="AO335" t="s">
        <v>19</v>
      </c>
      <c r="AT335" t="str">
        <f t="shared" si="10"/>
        <v>car</v>
      </c>
      <c r="AU335" t="str">
        <f t="shared" si="11"/>
        <v>eth</v>
      </c>
    </row>
    <row r="336" spans="1:47">
      <c r="A336" t="s">
        <v>17</v>
      </c>
      <c r="B336" t="s">
        <v>176</v>
      </c>
      <c r="C336" t="s">
        <v>619</v>
      </c>
      <c r="D336" t="s">
        <v>19</v>
      </c>
      <c r="E336" t="s">
        <v>19</v>
      </c>
      <c r="F336" t="s">
        <v>19</v>
      </c>
      <c r="G336" t="s">
        <v>184</v>
      </c>
      <c r="H336" t="s">
        <v>19</v>
      </c>
      <c r="I336" t="s">
        <v>19</v>
      </c>
      <c r="J336" t="s">
        <v>19</v>
      </c>
      <c r="K336" t="s">
        <v>19</v>
      </c>
      <c r="L336">
        <v>0</v>
      </c>
      <c r="M336">
        <v>2.4813754892908362E-3</v>
      </c>
      <c r="N336">
        <v>4.7766478168848596E-2</v>
      </c>
      <c r="O336">
        <v>0</v>
      </c>
      <c r="P336">
        <v>3.5359600722394413E-2</v>
      </c>
      <c r="Q336">
        <v>7.0719201444788826E-2</v>
      </c>
      <c r="R336">
        <v>1.1786533574131472E-2</v>
      </c>
      <c r="S336">
        <v>0.50123784883674893</v>
      </c>
      <c r="T336">
        <v>8.2505735018920306E-2</v>
      </c>
      <c r="U336">
        <v>0.29280230773631866</v>
      </c>
      <c r="V336">
        <v>2.1712035531294815E-2</v>
      </c>
      <c r="W336">
        <v>3.4739256850071711E-2</v>
      </c>
      <c r="X336">
        <v>3.5979944594717123E-2</v>
      </c>
      <c r="Y336">
        <v>5.5830948509043811E-3</v>
      </c>
      <c r="Z336">
        <v>1.7369628425035855E-2</v>
      </c>
      <c r="AA336">
        <v>1.3027221318776889E-2</v>
      </c>
      <c r="AB336">
        <v>1.1786533574131472E-2</v>
      </c>
      <c r="AC336">
        <v>6.2654731104593617E-2</v>
      </c>
      <c r="AD336">
        <v>6.20343872322709E-2</v>
      </c>
      <c r="AE336">
        <v>4.4664758807235048E-2</v>
      </c>
      <c r="AF336">
        <v>6.5136106593884455E-2</v>
      </c>
      <c r="AG336">
        <v>0</v>
      </c>
      <c r="AH336">
        <v>0</v>
      </c>
      <c r="AI336">
        <v>4.3424071062589638E-3</v>
      </c>
      <c r="AJ336">
        <v>0</v>
      </c>
      <c r="AK336">
        <v>0</v>
      </c>
      <c r="AL336">
        <v>0</v>
      </c>
      <c r="AM336">
        <v>3.6600288467039832E-2</v>
      </c>
      <c r="AN336">
        <v>1.4038381830662905</v>
      </c>
      <c r="AO336" t="s">
        <v>19</v>
      </c>
      <c r="AT336" t="str">
        <f t="shared" si="10"/>
        <v>car</v>
      </c>
      <c r="AU336" t="str">
        <f t="shared" si="11"/>
        <v>eth</v>
      </c>
    </row>
    <row r="337" spans="1:47">
      <c r="A337" t="s">
        <v>17</v>
      </c>
      <c r="B337" t="s">
        <v>176</v>
      </c>
      <c r="C337" t="s">
        <v>619</v>
      </c>
      <c r="D337" t="s">
        <v>19</v>
      </c>
      <c r="E337" t="s">
        <v>19</v>
      </c>
      <c r="F337" t="s">
        <v>19</v>
      </c>
      <c r="G337" t="s">
        <v>185</v>
      </c>
      <c r="H337" t="s">
        <v>19</v>
      </c>
      <c r="I337" t="s">
        <v>19</v>
      </c>
      <c r="J337" t="s">
        <v>19</v>
      </c>
      <c r="K337" t="s">
        <v>19</v>
      </c>
      <c r="L337">
        <v>0</v>
      </c>
      <c r="M337">
        <v>2.4813754892908362E-3</v>
      </c>
      <c r="N337">
        <v>4.7766478168848596E-2</v>
      </c>
      <c r="O337">
        <v>0</v>
      </c>
      <c r="P337">
        <v>3.5359600722394413E-2</v>
      </c>
      <c r="Q337">
        <v>7.0719201444788826E-2</v>
      </c>
      <c r="R337">
        <v>1.1786533574131472E-2</v>
      </c>
      <c r="S337">
        <v>0.50123784883674893</v>
      </c>
      <c r="T337">
        <v>8.2505735018920306E-2</v>
      </c>
      <c r="U337">
        <v>0.29280230773631866</v>
      </c>
      <c r="V337">
        <v>2.1712035531294815E-2</v>
      </c>
      <c r="W337">
        <v>3.4739256850071711E-2</v>
      </c>
      <c r="X337">
        <v>3.5979944594717123E-2</v>
      </c>
      <c r="Y337">
        <v>5.5830948509043811E-3</v>
      </c>
      <c r="Z337">
        <v>1.7369628425035855E-2</v>
      </c>
      <c r="AA337">
        <v>1.3027221318776889E-2</v>
      </c>
      <c r="AB337">
        <v>1.1786533574131472E-2</v>
      </c>
      <c r="AC337">
        <v>6.2654731104593617E-2</v>
      </c>
      <c r="AD337">
        <v>6.20343872322709E-2</v>
      </c>
      <c r="AE337">
        <v>4.4664758807235048E-2</v>
      </c>
      <c r="AF337">
        <v>6.5136106593884455E-2</v>
      </c>
      <c r="AG337">
        <v>0</v>
      </c>
      <c r="AH337">
        <v>0</v>
      </c>
      <c r="AI337">
        <v>4.3424071062589638E-3</v>
      </c>
      <c r="AJ337">
        <v>0</v>
      </c>
      <c r="AK337">
        <v>0</v>
      </c>
      <c r="AL337">
        <v>0</v>
      </c>
      <c r="AM337">
        <v>3.6600288467039832E-2</v>
      </c>
      <c r="AN337">
        <v>1.4038381830662905</v>
      </c>
      <c r="AO337" t="s">
        <v>19</v>
      </c>
      <c r="AT337" t="str">
        <f t="shared" si="10"/>
        <v>car</v>
      </c>
      <c r="AU337" t="str">
        <f t="shared" si="11"/>
        <v>eth</v>
      </c>
    </row>
    <row r="338" spans="1:47">
      <c r="A338" t="s">
        <v>17</v>
      </c>
      <c r="B338" t="s">
        <v>176</v>
      </c>
      <c r="C338" t="s">
        <v>619</v>
      </c>
      <c r="D338" t="s">
        <v>19</v>
      </c>
      <c r="E338" t="s">
        <v>19</v>
      </c>
      <c r="F338" t="s">
        <v>19</v>
      </c>
      <c r="G338" t="s">
        <v>186</v>
      </c>
      <c r="H338" t="s">
        <v>19</v>
      </c>
      <c r="I338" t="s">
        <v>19</v>
      </c>
      <c r="J338" t="s">
        <v>19</v>
      </c>
      <c r="K338" t="s">
        <v>19</v>
      </c>
      <c r="L338">
        <v>0</v>
      </c>
      <c r="M338">
        <v>2.4813754892908362E-3</v>
      </c>
      <c r="N338">
        <v>4.7766478168848596E-2</v>
      </c>
      <c r="O338">
        <v>0</v>
      </c>
      <c r="P338">
        <v>3.5359600722394413E-2</v>
      </c>
      <c r="Q338">
        <v>7.0719201444788826E-2</v>
      </c>
      <c r="R338">
        <v>1.1786533574131472E-2</v>
      </c>
      <c r="S338">
        <v>0.50123784883674893</v>
      </c>
      <c r="T338">
        <v>8.2505735018920306E-2</v>
      </c>
      <c r="U338">
        <v>0.29280230773631866</v>
      </c>
      <c r="V338">
        <v>2.1712035531294815E-2</v>
      </c>
      <c r="W338">
        <v>3.4739256850071711E-2</v>
      </c>
      <c r="X338">
        <v>3.5979944594717123E-2</v>
      </c>
      <c r="Y338">
        <v>5.5830948509043811E-3</v>
      </c>
      <c r="Z338">
        <v>1.7369628425035855E-2</v>
      </c>
      <c r="AA338">
        <v>1.3027221318776889E-2</v>
      </c>
      <c r="AB338">
        <v>1.1786533574131472E-2</v>
      </c>
      <c r="AC338">
        <v>6.2654731104593617E-2</v>
      </c>
      <c r="AD338">
        <v>6.20343872322709E-2</v>
      </c>
      <c r="AE338">
        <v>4.4664758807235048E-2</v>
      </c>
      <c r="AF338">
        <v>6.5136106593884455E-2</v>
      </c>
      <c r="AG338">
        <v>0</v>
      </c>
      <c r="AH338">
        <v>0</v>
      </c>
      <c r="AI338">
        <v>4.3424071062589638E-3</v>
      </c>
      <c r="AJ338">
        <v>0</v>
      </c>
      <c r="AK338">
        <v>0</v>
      </c>
      <c r="AL338">
        <v>0</v>
      </c>
      <c r="AM338">
        <v>3.6600288467039832E-2</v>
      </c>
      <c r="AN338">
        <v>1.4038381830662905</v>
      </c>
      <c r="AO338" t="s">
        <v>19</v>
      </c>
      <c r="AT338" t="str">
        <f t="shared" si="10"/>
        <v>car</v>
      </c>
      <c r="AU338" t="str">
        <f t="shared" si="11"/>
        <v>eth</v>
      </c>
    </row>
    <row r="339" spans="1:47">
      <c r="A339" t="s">
        <v>17</v>
      </c>
      <c r="B339" t="s">
        <v>176</v>
      </c>
      <c r="C339" t="s">
        <v>619</v>
      </c>
      <c r="D339" t="s">
        <v>19</v>
      </c>
      <c r="E339" t="s">
        <v>19</v>
      </c>
      <c r="F339" t="s">
        <v>19</v>
      </c>
      <c r="G339" t="s">
        <v>187</v>
      </c>
      <c r="H339" t="s">
        <v>19</v>
      </c>
      <c r="I339" t="s">
        <v>19</v>
      </c>
      <c r="J339" t="s">
        <v>19</v>
      </c>
      <c r="K339" t="s">
        <v>19</v>
      </c>
      <c r="L339">
        <v>0</v>
      </c>
      <c r="M339">
        <v>2.4813754892908362E-3</v>
      </c>
      <c r="N339">
        <v>4.7766478168848596E-2</v>
      </c>
      <c r="O339">
        <v>0</v>
      </c>
      <c r="P339">
        <v>3.5359600722394413E-2</v>
      </c>
      <c r="Q339">
        <v>7.0719201444788826E-2</v>
      </c>
      <c r="R339">
        <v>1.1786533574131472E-2</v>
      </c>
      <c r="S339">
        <v>0.50123784883674893</v>
      </c>
      <c r="T339">
        <v>8.2505735018920306E-2</v>
      </c>
      <c r="U339">
        <v>0.29280230773631866</v>
      </c>
      <c r="V339">
        <v>2.1712035531294815E-2</v>
      </c>
      <c r="W339">
        <v>3.4739256850071711E-2</v>
      </c>
      <c r="X339">
        <v>3.5979944594717123E-2</v>
      </c>
      <c r="Y339">
        <v>5.5830948509043811E-3</v>
      </c>
      <c r="Z339">
        <v>1.7369628425035855E-2</v>
      </c>
      <c r="AA339">
        <v>1.3027221318776889E-2</v>
      </c>
      <c r="AB339">
        <v>1.1786533574131472E-2</v>
      </c>
      <c r="AC339">
        <v>6.2654731104593617E-2</v>
      </c>
      <c r="AD339">
        <v>6.20343872322709E-2</v>
      </c>
      <c r="AE339">
        <v>4.4664758807235048E-2</v>
      </c>
      <c r="AF339">
        <v>6.5136106593884455E-2</v>
      </c>
      <c r="AG339">
        <v>0</v>
      </c>
      <c r="AH339">
        <v>0</v>
      </c>
      <c r="AI339">
        <v>4.3424071062589638E-3</v>
      </c>
      <c r="AJ339">
        <v>0</v>
      </c>
      <c r="AK339">
        <v>0</v>
      </c>
      <c r="AL339">
        <v>0</v>
      </c>
      <c r="AM339">
        <v>3.6600288467039832E-2</v>
      </c>
      <c r="AN339">
        <v>1.4038381830662905</v>
      </c>
      <c r="AO339" t="s">
        <v>19</v>
      </c>
      <c r="AT339" t="str">
        <f t="shared" si="10"/>
        <v>car</v>
      </c>
      <c r="AU339" t="str">
        <f t="shared" si="11"/>
        <v>eth</v>
      </c>
    </row>
    <row r="340" spans="1:47">
      <c r="A340" t="s">
        <v>17</v>
      </c>
      <c r="B340" t="s">
        <v>176</v>
      </c>
      <c r="C340" t="s">
        <v>619</v>
      </c>
      <c r="D340" t="s">
        <v>19</v>
      </c>
      <c r="E340" t="s">
        <v>19</v>
      </c>
      <c r="F340" t="s">
        <v>19</v>
      </c>
      <c r="G340" t="s">
        <v>188</v>
      </c>
      <c r="H340" t="s">
        <v>19</v>
      </c>
      <c r="I340" t="s">
        <v>19</v>
      </c>
      <c r="J340" t="s">
        <v>19</v>
      </c>
      <c r="K340" t="s">
        <v>19</v>
      </c>
      <c r="L340">
        <v>0</v>
      </c>
      <c r="M340">
        <v>2.4813754892908362E-3</v>
      </c>
      <c r="N340">
        <v>4.7766478168848596E-2</v>
      </c>
      <c r="O340">
        <v>0</v>
      </c>
      <c r="P340">
        <v>3.5359600722394413E-2</v>
      </c>
      <c r="Q340">
        <v>7.0719201444788826E-2</v>
      </c>
      <c r="R340">
        <v>1.1786533574131472E-2</v>
      </c>
      <c r="S340">
        <v>0.50123784883674893</v>
      </c>
      <c r="T340">
        <v>8.2505735018920306E-2</v>
      </c>
      <c r="U340">
        <v>0.29280230773631866</v>
      </c>
      <c r="V340">
        <v>2.1712035531294815E-2</v>
      </c>
      <c r="W340">
        <v>3.4739256850071711E-2</v>
      </c>
      <c r="X340">
        <v>3.5979944594717123E-2</v>
      </c>
      <c r="Y340">
        <v>5.5830948509043811E-3</v>
      </c>
      <c r="Z340">
        <v>1.7369628425035855E-2</v>
      </c>
      <c r="AA340">
        <v>1.3027221318776889E-2</v>
      </c>
      <c r="AB340">
        <v>1.1786533574131472E-2</v>
      </c>
      <c r="AC340">
        <v>6.2654731104593617E-2</v>
      </c>
      <c r="AD340">
        <v>6.20343872322709E-2</v>
      </c>
      <c r="AE340">
        <v>4.4664758807235048E-2</v>
      </c>
      <c r="AF340">
        <v>6.5136106593884455E-2</v>
      </c>
      <c r="AG340">
        <v>0</v>
      </c>
      <c r="AH340">
        <v>0</v>
      </c>
      <c r="AI340">
        <v>4.3424071062589638E-3</v>
      </c>
      <c r="AJ340">
        <v>0</v>
      </c>
      <c r="AK340">
        <v>0</v>
      </c>
      <c r="AL340">
        <v>0</v>
      </c>
      <c r="AM340">
        <v>3.6600288467039832E-2</v>
      </c>
      <c r="AN340">
        <v>1.4038381830662905</v>
      </c>
      <c r="AO340" t="s">
        <v>19</v>
      </c>
      <c r="AT340" t="str">
        <f t="shared" si="10"/>
        <v>car</v>
      </c>
      <c r="AU340" t="str">
        <f t="shared" si="11"/>
        <v>eth</v>
      </c>
    </row>
    <row r="341" spans="1:47">
      <c r="A341" t="s">
        <v>17</v>
      </c>
      <c r="B341" t="s">
        <v>176</v>
      </c>
      <c r="C341" t="s">
        <v>619</v>
      </c>
      <c r="D341" t="s">
        <v>19</v>
      </c>
      <c r="E341" t="s">
        <v>19</v>
      </c>
      <c r="F341" t="s">
        <v>19</v>
      </c>
      <c r="G341" t="s">
        <v>100</v>
      </c>
      <c r="H341" t="s">
        <v>19</v>
      </c>
      <c r="I341" t="s">
        <v>19</v>
      </c>
      <c r="J341" t="s">
        <v>19</v>
      </c>
      <c r="K341" t="s">
        <v>19</v>
      </c>
      <c r="L341">
        <v>0</v>
      </c>
      <c r="M341">
        <v>2.4813754892908362E-3</v>
      </c>
      <c r="N341">
        <v>4.7766478168848596E-2</v>
      </c>
      <c r="O341">
        <v>0</v>
      </c>
      <c r="P341">
        <v>3.5359600722394413E-2</v>
      </c>
      <c r="Q341">
        <v>7.0719201444788826E-2</v>
      </c>
      <c r="R341">
        <v>1.1786533574131472E-2</v>
      </c>
      <c r="S341">
        <v>0.50123784883674893</v>
      </c>
      <c r="T341">
        <v>8.2505735018920306E-2</v>
      </c>
      <c r="U341">
        <v>0.29280230773631866</v>
      </c>
      <c r="V341">
        <v>2.1712035531294815E-2</v>
      </c>
      <c r="W341">
        <v>3.4739256850071711E-2</v>
      </c>
      <c r="X341">
        <v>3.5979944594717123E-2</v>
      </c>
      <c r="Y341">
        <v>5.5830948509043811E-3</v>
      </c>
      <c r="Z341">
        <v>1.7369628425035855E-2</v>
      </c>
      <c r="AA341">
        <v>1.3027221318776889E-2</v>
      </c>
      <c r="AB341">
        <v>1.1786533574131472E-2</v>
      </c>
      <c r="AC341">
        <v>6.2654731104593617E-2</v>
      </c>
      <c r="AD341">
        <v>6.20343872322709E-2</v>
      </c>
      <c r="AE341">
        <v>4.4664758807235048E-2</v>
      </c>
      <c r="AF341">
        <v>6.5136106593884455E-2</v>
      </c>
      <c r="AG341">
        <v>0</v>
      </c>
      <c r="AH341">
        <v>0</v>
      </c>
      <c r="AI341">
        <v>4.3424071062589638E-3</v>
      </c>
      <c r="AJ341">
        <v>0</v>
      </c>
      <c r="AK341">
        <v>0</v>
      </c>
      <c r="AL341">
        <v>0</v>
      </c>
      <c r="AM341">
        <v>3.6600288467039832E-2</v>
      </c>
      <c r="AN341">
        <v>1.4038381830662905</v>
      </c>
      <c r="AO341" t="s">
        <v>19</v>
      </c>
      <c r="AT341" t="str">
        <f t="shared" si="10"/>
        <v>car</v>
      </c>
      <c r="AU341" t="str">
        <f t="shared" si="11"/>
        <v>eth</v>
      </c>
    </row>
    <row r="342" spans="1:47">
      <c r="A342" t="s">
        <v>17</v>
      </c>
      <c r="B342" t="s">
        <v>176</v>
      </c>
      <c r="C342" t="s">
        <v>618</v>
      </c>
      <c r="D342" t="s">
        <v>19</v>
      </c>
      <c r="E342" t="s">
        <v>19</v>
      </c>
      <c r="F342" t="s">
        <v>19</v>
      </c>
      <c r="G342" t="s">
        <v>603</v>
      </c>
      <c r="H342" t="s">
        <v>19</v>
      </c>
      <c r="I342" t="s">
        <v>19</v>
      </c>
      <c r="J342" t="s">
        <v>19</v>
      </c>
      <c r="K342" t="s">
        <v>19</v>
      </c>
      <c r="L342">
        <v>0.948505780781422</v>
      </c>
      <c r="M342">
        <v>1.6470129810167924</v>
      </c>
      <c r="N342">
        <v>0.87158314061340625</v>
      </c>
      <c r="O342">
        <v>0.67803585244872089</v>
      </c>
      <c r="P342">
        <v>4.3082881932812143</v>
      </c>
      <c r="Q342">
        <v>4.7090303348016835</v>
      </c>
      <c r="R342">
        <v>1.4342350328101032</v>
      </c>
      <c r="S342">
        <v>1.9087980951369756</v>
      </c>
      <c r="T342">
        <v>1.6755487991436371</v>
      </c>
      <c r="U342">
        <v>20.567501086859419</v>
      </c>
      <c r="V342">
        <v>0.43548139837054167</v>
      </c>
      <c r="W342">
        <v>0.88274933031521496</v>
      </c>
      <c r="X342">
        <v>0.68734101053356156</v>
      </c>
      <c r="Y342">
        <v>1.0068181047797566</v>
      </c>
      <c r="Z342">
        <v>0.40818626798834251</v>
      </c>
      <c r="AA342">
        <v>0.62096421619503173</v>
      </c>
      <c r="AB342">
        <v>0.60421493164231854</v>
      </c>
      <c r="AC342">
        <v>0.7537178048720915</v>
      </c>
      <c r="AD342">
        <v>1.4894456374468243</v>
      </c>
      <c r="AE342">
        <v>1.617856819017625</v>
      </c>
      <c r="AF342">
        <v>2.7574285124744415</v>
      </c>
      <c r="AG342">
        <v>3.186706472121756</v>
      </c>
      <c r="AH342">
        <v>3.8603999174642181</v>
      </c>
      <c r="AI342">
        <v>7.5681952423370502E-2</v>
      </c>
      <c r="AJ342">
        <v>2.4677279240997363</v>
      </c>
      <c r="AK342">
        <v>1.1674871677113383</v>
      </c>
      <c r="AL342">
        <v>0.41935245769015128</v>
      </c>
      <c r="AM342">
        <v>1.1848567961363743</v>
      </c>
      <c r="AN342">
        <v>15.89196932116316</v>
      </c>
      <c r="AO342" t="s">
        <v>19</v>
      </c>
      <c r="AT342" t="str">
        <f t="shared" si="10"/>
        <v>car</v>
      </c>
      <c r="AU342" t="str">
        <f t="shared" si="11"/>
        <v>gsl</v>
      </c>
    </row>
    <row r="343" spans="1:47">
      <c r="A343" t="s">
        <v>17</v>
      </c>
      <c r="B343" t="s">
        <v>176</v>
      </c>
      <c r="C343" t="s">
        <v>618</v>
      </c>
      <c r="D343" t="s">
        <v>19</v>
      </c>
      <c r="E343" t="s">
        <v>19</v>
      </c>
      <c r="F343" t="s">
        <v>19</v>
      </c>
      <c r="G343" t="s">
        <v>602</v>
      </c>
      <c r="H343" t="s">
        <v>19</v>
      </c>
      <c r="I343" t="s">
        <v>19</v>
      </c>
      <c r="J343" t="s">
        <v>19</v>
      </c>
      <c r="K343" t="s">
        <v>19</v>
      </c>
      <c r="L343">
        <v>0.948505780781422</v>
      </c>
      <c r="M343">
        <v>1.6470129810167924</v>
      </c>
      <c r="N343">
        <v>0.87158314061340625</v>
      </c>
      <c r="O343">
        <v>0.67803585244872089</v>
      </c>
      <c r="P343">
        <v>4.3082881932812143</v>
      </c>
      <c r="Q343">
        <v>4.7090303348016835</v>
      </c>
      <c r="R343">
        <v>1.4342350328101032</v>
      </c>
      <c r="S343">
        <v>1.9087980951369756</v>
      </c>
      <c r="T343">
        <v>1.6755487991436371</v>
      </c>
      <c r="U343">
        <v>20.567501086859419</v>
      </c>
      <c r="V343">
        <v>0.43548139837054167</v>
      </c>
      <c r="W343">
        <v>0.88274933031521496</v>
      </c>
      <c r="X343">
        <v>0.68734101053356156</v>
      </c>
      <c r="Y343">
        <v>1.0068181047797566</v>
      </c>
      <c r="Z343">
        <v>0.40818626798834251</v>
      </c>
      <c r="AA343">
        <v>0.62096421619503173</v>
      </c>
      <c r="AB343">
        <v>0.60421493164231854</v>
      </c>
      <c r="AC343">
        <v>0.7537178048720915</v>
      </c>
      <c r="AD343">
        <v>1.4894456374468243</v>
      </c>
      <c r="AE343">
        <v>1.617856819017625</v>
      </c>
      <c r="AF343">
        <v>2.7574285124744415</v>
      </c>
      <c r="AG343">
        <v>3.186706472121756</v>
      </c>
      <c r="AH343">
        <v>3.8603999174642181</v>
      </c>
      <c r="AI343">
        <v>7.5681952423370502E-2</v>
      </c>
      <c r="AJ343">
        <v>2.4677279240997363</v>
      </c>
      <c r="AK343">
        <v>1.1674871677113383</v>
      </c>
      <c r="AL343">
        <v>0.41935245769015128</v>
      </c>
      <c r="AM343">
        <v>1.1848567961363743</v>
      </c>
      <c r="AN343">
        <v>15.89196932116316</v>
      </c>
      <c r="AO343" t="s">
        <v>19</v>
      </c>
      <c r="AT343" t="str">
        <f t="shared" si="10"/>
        <v>car</v>
      </c>
      <c r="AU343" t="str">
        <f t="shared" si="11"/>
        <v>gsl</v>
      </c>
    </row>
    <row r="344" spans="1:47">
      <c r="A344" t="s">
        <v>17</v>
      </c>
      <c r="B344" t="s">
        <v>176</v>
      </c>
      <c r="C344" t="s">
        <v>618</v>
      </c>
      <c r="D344" t="s">
        <v>19</v>
      </c>
      <c r="E344" t="s">
        <v>19</v>
      </c>
      <c r="F344" t="s">
        <v>19</v>
      </c>
      <c r="G344" t="s">
        <v>601</v>
      </c>
      <c r="H344" t="s">
        <v>19</v>
      </c>
      <c r="I344" t="s">
        <v>19</v>
      </c>
      <c r="J344" t="s">
        <v>19</v>
      </c>
      <c r="K344" t="s">
        <v>19</v>
      </c>
      <c r="L344">
        <v>0.948505780781422</v>
      </c>
      <c r="M344">
        <v>1.6470129810167924</v>
      </c>
      <c r="N344">
        <v>0.87158314061340625</v>
      </c>
      <c r="O344">
        <v>0.67803585244872089</v>
      </c>
      <c r="P344">
        <v>4.3082881932812143</v>
      </c>
      <c r="Q344">
        <v>4.7090303348016835</v>
      </c>
      <c r="R344">
        <v>1.4342350328101032</v>
      </c>
      <c r="S344">
        <v>1.9087980951369756</v>
      </c>
      <c r="T344">
        <v>1.6755487991436371</v>
      </c>
      <c r="U344">
        <v>20.567501086859419</v>
      </c>
      <c r="V344">
        <v>0.43548139837054167</v>
      </c>
      <c r="W344">
        <v>0.88274933031521496</v>
      </c>
      <c r="X344">
        <v>0.68734101053356156</v>
      </c>
      <c r="Y344">
        <v>1.0068181047797566</v>
      </c>
      <c r="Z344">
        <v>0.40818626798834251</v>
      </c>
      <c r="AA344">
        <v>0.62096421619503173</v>
      </c>
      <c r="AB344">
        <v>0.60421493164231854</v>
      </c>
      <c r="AC344">
        <v>0.7537178048720915</v>
      </c>
      <c r="AD344">
        <v>1.4894456374468243</v>
      </c>
      <c r="AE344">
        <v>1.617856819017625</v>
      </c>
      <c r="AF344">
        <v>2.7574285124744415</v>
      </c>
      <c r="AG344">
        <v>3.186706472121756</v>
      </c>
      <c r="AH344">
        <v>3.8603999174642181</v>
      </c>
      <c r="AI344">
        <v>7.5681952423370502E-2</v>
      </c>
      <c r="AJ344">
        <v>2.4677279240997363</v>
      </c>
      <c r="AK344">
        <v>1.1674871677113383</v>
      </c>
      <c r="AL344">
        <v>0.41935245769015128</v>
      </c>
      <c r="AM344">
        <v>1.1848567961363743</v>
      </c>
      <c r="AN344">
        <v>15.89196932116316</v>
      </c>
      <c r="AO344" t="s">
        <v>19</v>
      </c>
      <c r="AT344" t="str">
        <f t="shared" si="10"/>
        <v>car</v>
      </c>
      <c r="AU344" t="str">
        <f t="shared" si="11"/>
        <v>gsl</v>
      </c>
    </row>
    <row r="345" spans="1:47">
      <c r="A345" t="s">
        <v>17</v>
      </c>
      <c r="B345" t="s">
        <v>176</v>
      </c>
      <c r="C345" t="s">
        <v>618</v>
      </c>
      <c r="D345" t="s">
        <v>19</v>
      </c>
      <c r="E345" t="s">
        <v>19</v>
      </c>
      <c r="F345" t="s">
        <v>19</v>
      </c>
      <c r="G345" t="s">
        <v>600</v>
      </c>
      <c r="H345" t="s">
        <v>19</v>
      </c>
      <c r="I345" t="s">
        <v>19</v>
      </c>
      <c r="J345" t="s">
        <v>19</v>
      </c>
      <c r="K345" t="s">
        <v>19</v>
      </c>
      <c r="L345">
        <v>0.948505780781422</v>
      </c>
      <c r="M345">
        <v>1.6470129810167924</v>
      </c>
      <c r="N345">
        <v>0.87158314061340625</v>
      </c>
      <c r="O345">
        <v>0.67803585244872089</v>
      </c>
      <c r="P345">
        <v>4.3082881932812143</v>
      </c>
      <c r="Q345">
        <v>4.7090303348016835</v>
      </c>
      <c r="R345">
        <v>1.4342350328101032</v>
      </c>
      <c r="S345">
        <v>1.9087980951369756</v>
      </c>
      <c r="T345">
        <v>1.6755487991436371</v>
      </c>
      <c r="U345">
        <v>20.567501086859419</v>
      </c>
      <c r="V345">
        <v>0.43548139837054167</v>
      </c>
      <c r="W345">
        <v>0.88274933031521496</v>
      </c>
      <c r="X345">
        <v>0.68734101053356156</v>
      </c>
      <c r="Y345">
        <v>1.0068181047797566</v>
      </c>
      <c r="Z345">
        <v>0.40818626798834251</v>
      </c>
      <c r="AA345">
        <v>0.62096421619503173</v>
      </c>
      <c r="AB345">
        <v>0.60421493164231854</v>
      </c>
      <c r="AC345">
        <v>0.7537178048720915</v>
      </c>
      <c r="AD345">
        <v>1.4894456374468243</v>
      </c>
      <c r="AE345">
        <v>1.617856819017625</v>
      </c>
      <c r="AF345">
        <v>2.7574285124744415</v>
      </c>
      <c r="AG345">
        <v>3.186706472121756</v>
      </c>
      <c r="AH345">
        <v>3.8603999174642181</v>
      </c>
      <c r="AI345">
        <v>7.5681952423370502E-2</v>
      </c>
      <c r="AJ345">
        <v>2.4677279240997363</v>
      </c>
      <c r="AK345">
        <v>1.1674871677113383</v>
      </c>
      <c r="AL345">
        <v>0.41935245769015128</v>
      </c>
      <c r="AM345">
        <v>1.1848567961363743</v>
      </c>
      <c r="AN345">
        <v>15.89196932116316</v>
      </c>
      <c r="AO345" t="s">
        <v>19</v>
      </c>
      <c r="AT345" t="str">
        <f t="shared" si="10"/>
        <v>car</v>
      </c>
      <c r="AU345" t="str">
        <f t="shared" si="11"/>
        <v>gsl</v>
      </c>
    </row>
    <row r="346" spans="1:47">
      <c r="A346" t="s">
        <v>17</v>
      </c>
      <c r="B346" t="s">
        <v>176</v>
      </c>
      <c r="C346" t="s">
        <v>618</v>
      </c>
      <c r="D346" t="s">
        <v>19</v>
      </c>
      <c r="E346" t="s">
        <v>19</v>
      </c>
      <c r="F346" t="s">
        <v>19</v>
      </c>
      <c r="G346" t="s">
        <v>599</v>
      </c>
      <c r="H346" t="s">
        <v>19</v>
      </c>
      <c r="I346" t="s">
        <v>19</v>
      </c>
      <c r="J346" t="s">
        <v>19</v>
      </c>
      <c r="K346" t="s">
        <v>19</v>
      </c>
      <c r="L346">
        <v>0.948505780781422</v>
      </c>
      <c r="M346">
        <v>1.6470129810167924</v>
      </c>
      <c r="N346">
        <v>0.87158314061340625</v>
      </c>
      <c r="O346">
        <v>0.67803585244872089</v>
      </c>
      <c r="P346">
        <v>4.3082881932812143</v>
      </c>
      <c r="Q346">
        <v>4.7090303348016835</v>
      </c>
      <c r="R346">
        <v>1.4342350328101032</v>
      </c>
      <c r="S346">
        <v>1.9087980951369756</v>
      </c>
      <c r="T346">
        <v>1.6755487991436371</v>
      </c>
      <c r="U346">
        <v>20.567501086859419</v>
      </c>
      <c r="V346">
        <v>0.43548139837054167</v>
      </c>
      <c r="W346">
        <v>0.88274933031521496</v>
      </c>
      <c r="X346">
        <v>0.68734101053356156</v>
      </c>
      <c r="Y346">
        <v>1.0068181047797566</v>
      </c>
      <c r="Z346">
        <v>0.40818626798834251</v>
      </c>
      <c r="AA346">
        <v>0.62096421619503173</v>
      </c>
      <c r="AB346">
        <v>0.60421493164231854</v>
      </c>
      <c r="AC346">
        <v>0.7537178048720915</v>
      </c>
      <c r="AD346">
        <v>1.4894456374468243</v>
      </c>
      <c r="AE346">
        <v>1.617856819017625</v>
      </c>
      <c r="AF346">
        <v>2.7574285124744415</v>
      </c>
      <c r="AG346">
        <v>3.186706472121756</v>
      </c>
      <c r="AH346">
        <v>3.8603999174642181</v>
      </c>
      <c r="AI346">
        <v>7.5681952423370502E-2</v>
      </c>
      <c r="AJ346">
        <v>2.4677279240997363</v>
      </c>
      <c r="AK346">
        <v>1.1674871677113383</v>
      </c>
      <c r="AL346">
        <v>0.41935245769015128</v>
      </c>
      <c r="AM346">
        <v>1.1848567961363743</v>
      </c>
      <c r="AN346">
        <v>15.89196932116316</v>
      </c>
      <c r="AO346" t="s">
        <v>19</v>
      </c>
      <c r="AT346" t="str">
        <f t="shared" si="10"/>
        <v>car</v>
      </c>
      <c r="AU346" t="str">
        <f t="shared" si="11"/>
        <v>gsl</v>
      </c>
    </row>
    <row r="347" spans="1:47">
      <c r="A347" t="s">
        <v>17</v>
      </c>
      <c r="B347" t="s">
        <v>176</v>
      </c>
      <c r="C347" t="s">
        <v>618</v>
      </c>
      <c r="D347" t="s">
        <v>19</v>
      </c>
      <c r="E347" t="s">
        <v>19</v>
      </c>
      <c r="F347" t="s">
        <v>19</v>
      </c>
      <c r="G347" t="s">
        <v>598</v>
      </c>
      <c r="H347" t="s">
        <v>19</v>
      </c>
      <c r="I347" t="s">
        <v>19</v>
      </c>
      <c r="J347" t="s">
        <v>19</v>
      </c>
      <c r="K347" t="s">
        <v>19</v>
      </c>
      <c r="L347">
        <v>0.948505780781422</v>
      </c>
      <c r="M347">
        <v>1.6470129810167924</v>
      </c>
      <c r="N347">
        <v>0.87158314061340625</v>
      </c>
      <c r="O347">
        <v>0.67803585244872089</v>
      </c>
      <c r="P347">
        <v>4.3082881932812143</v>
      </c>
      <c r="Q347">
        <v>4.7090303348016835</v>
      </c>
      <c r="R347">
        <v>1.4342350328101032</v>
      </c>
      <c r="S347">
        <v>1.9087980951369756</v>
      </c>
      <c r="T347">
        <v>1.6755487991436371</v>
      </c>
      <c r="U347">
        <v>20.567501086859419</v>
      </c>
      <c r="V347">
        <v>0.43548139837054167</v>
      </c>
      <c r="W347">
        <v>0.88274933031521496</v>
      </c>
      <c r="X347">
        <v>0.68734101053356156</v>
      </c>
      <c r="Y347">
        <v>1.0068181047797566</v>
      </c>
      <c r="Z347">
        <v>0.40818626798834251</v>
      </c>
      <c r="AA347">
        <v>0.62096421619503173</v>
      </c>
      <c r="AB347">
        <v>0.60421493164231854</v>
      </c>
      <c r="AC347">
        <v>0.7537178048720915</v>
      </c>
      <c r="AD347">
        <v>1.4894456374468243</v>
      </c>
      <c r="AE347">
        <v>1.617856819017625</v>
      </c>
      <c r="AF347">
        <v>2.7574285124744415</v>
      </c>
      <c r="AG347">
        <v>3.186706472121756</v>
      </c>
      <c r="AH347">
        <v>3.8603999174642181</v>
      </c>
      <c r="AI347">
        <v>7.5681952423370502E-2</v>
      </c>
      <c r="AJ347">
        <v>2.4677279240997363</v>
      </c>
      <c r="AK347">
        <v>1.1674871677113383</v>
      </c>
      <c r="AL347">
        <v>0.41935245769015128</v>
      </c>
      <c r="AM347">
        <v>1.1848567961363743</v>
      </c>
      <c r="AN347">
        <v>15.89196932116316</v>
      </c>
      <c r="AO347" t="s">
        <v>19</v>
      </c>
      <c r="AT347" t="str">
        <f t="shared" si="10"/>
        <v>car</v>
      </c>
      <c r="AU347" t="str">
        <f t="shared" si="11"/>
        <v>gsl</v>
      </c>
    </row>
    <row r="348" spans="1:47">
      <c r="A348" t="s">
        <v>17</v>
      </c>
      <c r="B348" t="s">
        <v>176</v>
      </c>
      <c r="C348" t="s">
        <v>618</v>
      </c>
      <c r="D348" t="s">
        <v>19</v>
      </c>
      <c r="E348" t="s">
        <v>19</v>
      </c>
      <c r="F348" t="s">
        <v>19</v>
      </c>
      <c r="G348" t="s">
        <v>597</v>
      </c>
      <c r="H348" t="s">
        <v>19</v>
      </c>
      <c r="I348" t="s">
        <v>19</v>
      </c>
      <c r="J348" t="s">
        <v>19</v>
      </c>
      <c r="K348" t="s">
        <v>19</v>
      </c>
      <c r="L348">
        <v>0.948505780781422</v>
      </c>
      <c r="M348">
        <v>1.6470129810167924</v>
      </c>
      <c r="N348">
        <v>0.87158314061340625</v>
      </c>
      <c r="O348">
        <v>0.67803585244872089</v>
      </c>
      <c r="P348">
        <v>4.3082881932812143</v>
      </c>
      <c r="Q348">
        <v>4.7090303348016835</v>
      </c>
      <c r="R348">
        <v>1.4342350328101032</v>
      </c>
      <c r="S348">
        <v>1.9087980951369756</v>
      </c>
      <c r="T348">
        <v>1.6755487991436371</v>
      </c>
      <c r="U348">
        <v>20.567501086859419</v>
      </c>
      <c r="V348">
        <v>0.43548139837054167</v>
      </c>
      <c r="W348">
        <v>0.88274933031521496</v>
      </c>
      <c r="X348">
        <v>0.68734101053356156</v>
      </c>
      <c r="Y348">
        <v>1.0068181047797566</v>
      </c>
      <c r="Z348">
        <v>0.40818626798834251</v>
      </c>
      <c r="AA348">
        <v>0.62096421619503173</v>
      </c>
      <c r="AB348">
        <v>0.60421493164231854</v>
      </c>
      <c r="AC348">
        <v>0.7537178048720915</v>
      </c>
      <c r="AD348">
        <v>1.4894456374468243</v>
      </c>
      <c r="AE348">
        <v>1.617856819017625</v>
      </c>
      <c r="AF348">
        <v>2.7574285124744415</v>
      </c>
      <c r="AG348">
        <v>3.186706472121756</v>
      </c>
      <c r="AH348">
        <v>3.8603999174642181</v>
      </c>
      <c r="AI348">
        <v>7.5681952423370502E-2</v>
      </c>
      <c r="AJ348">
        <v>2.4677279240997363</v>
      </c>
      <c r="AK348">
        <v>1.1674871677113383</v>
      </c>
      <c r="AL348">
        <v>0.41935245769015128</v>
      </c>
      <c r="AM348">
        <v>1.1848567961363743</v>
      </c>
      <c r="AN348">
        <v>15.89196932116316</v>
      </c>
      <c r="AO348" t="s">
        <v>19</v>
      </c>
      <c r="AT348" t="str">
        <f t="shared" si="10"/>
        <v>car</v>
      </c>
      <c r="AU348" t="str">
        <f t="shared" si="11"/>
        <v>gsl</v>
      </c>
    </row>
    <row r="349" spans="1:47">
      <c r="A349" t="s">
        <v>17</v>
      </c>
      <c r="B349" t="s">
        <v>176</v>
      </c>
      <c r="C349" t="s">
        <v>618</v>
      </c>
      <c r="D349" t="s">
        <v>19</v>
      </c>
      <c r="E349" t="s">
        <v>19</v>
      </c>
      <c r="F349" t="s">
        <v>19</v>
      </c>
      <c r="G349" t="s">
        <v>596</v>
      </c>
      <c r="H349" t="s">
        <v>19</v>
      </c>
      <c r="I349" t="s">
        <v>19</v>
      </c>
      <c r="J349" t="s">
        <v>19</v>
      </c>
      <c r="K349" t="s">
        <v>19</v>
      </c>
      <c r="L349">
        <v>0.948505780781422</v>
      </c>
      <c r="M349">
        <v>1.6470129810167924</v>
      </c>
      <c r="N349">
        <v>0.87158314061340625</v>
      </c>
      <c r="O349">
        <v>0.67803585244872089</v>
      </c>
      <c r="P349">
        <v>4.3082881932812143</v>
      </c>
      <c r="Q349">
        <v>4.7090303348016835</v>
      </c>
      <c r="R349">
        <v>1.4342350328101032</v>
      </c>
      <c r="S349">
        <v>1.9087980951369756</v>
      </c>
      <c r="T349">
        <v>1.6755487991436371</v>
      </c>
      <c r="U349">
        <v>20.567501086859419</v>
      </c>
      <c r="V349">
        <v>0.43548139837054167</v>
      </c>
      <c r="W349">
        <v>0.88274933031521496</v>
      </c>
      <c r="X349">
        <v>0.68734101053356156</v>
      </c>
      <c r="Y349">
        <v>1.0068181047797566</v>
      </c>
      <c r="Z349">
        <v>0.40818626798834251</v>
      </c>
      <c r="AA349">
        <v>0.62096421619503173</v>
      </c>
      <c r="AB349">
        <v>0.60421493164231854</v>
      </c>
      <c r="AC349">
        <v>0.7537178048720915</v>
      </c>
      <c r="AD349">
        <v>1.4894456374468243</v>
      </c>
      <c r="AE349">
        <v>1.617856819017625</v>
      </c>
      <c r="AF349">
        <v>2.7574285124744415</v>
      </c>
      <c r="AG349">
        <v>3.186706472121756</v>
      </c>
      <c r="AH349">
        <v>3.8603999174642181</v>
      </c>
      <c r="AI349">
        <v>7.5681952423370502E-2</v>
      </c>
      <c r="AJ349">
        <v>2.4677279240997363</v>
      </c>
      <c r="AK349">
        <v>1.1674871677113383</v>
      </c>
      <c r="AL349">
        <v>0.41935245769015128</v>
      </c>
      <c r="AM349">
        <v>1.1848567961363743</v>
      </c>
      <c r="AN349">
        <v>15.89196932116316</v>
      </c>
      <c r="AO349" t="s">
        <v>19</v>
      </c>
      <c r="AT349" t="str">
        <f t="shared" si="10"/>
        <v>car</v>
      </c>
      <c r="AU349" t="str">
        <f t="shared" si="11"/>
        <v>gsl</v>
      </c>
    </row>
    <row r="350" spans="1:47">
      <c r="A350" t="s">
        <v>17</v>
      </c>
      <c r="B350" t="s">
        <v>176</v>
      </c>
      <c r="C350" t="s">
        <v>618</v>
      </c>
      <c r="D350" t="s">
        <v>19</v>
      </c>
      <c r="E350" t="s">
        <v>19</v>
      </c>
      <c r="F350" t="s">
        <v>19</v>
      </c>
      <c r="G350" t="s">
        <v>178</v>
      </c>
      <c r="H350" t="s">
        <v>19</v>
      </c>
      <c r="I350" t="s">
        <v>19</v>
      </c>
      <c r="J350" t="s">
        <v>19</v>
      </c>
      <c r="K350" t="s">
        <v>19</v>
      </c>
      <c r="L350">
        <v>0.948505780781422</v>
      </c>
      <c r="M350">
        <v>1.6470129810167924</v>
      </c>
      <c r="N350">
        <v>0.87158314061340625</v>
      </c>
      <c r="O350">
        <v>0.67803585244872089</v>
      </c>
      <c r="P350">
        <v>4.3082881932812143</v>
      </c>
      <c r="Q350">
        <v>4.7090303348016835</v>
      </c>
      <c r="R350">
        <v>1.4342350328101032</v>
      </c>
      <c r="S350">
        <v>1.9087980951369756</v>
      </c>
      <c r="T350">
        <v>1.6755487991436371</v>
      </c>
      <c r="U350">
        <v>20.567501086859419</v>
      </c>
      <c r="V350">
        <v>0.43548139837054167</v>
      </c>
      <c r="W350">
        <v>0.88274933031521496</v>
      </c>
      <c r="X350">
        <v>0.68734101053356156</v>
      </c>
      <c r="Y350">
        <v>1.0068181047797566</v>
      </c>
      <c r="Z350">
        <v>0.40818626798834251</v>
      </c>
      <c r="AA350">
        <v>0.62096421619503173</v>
      </c>
      <c r="AB350">
        <v>0.60421493164231854</v>
      </c>
      <c r="AC350">
        <v>0.7537178048720915</v>
      </c>
      <c r="AD350">
        <v>1.4894456374468243</v>
      </c>
      <c r="AE350">
        <v>1.617856819017625</v>
      </c>
      <c r="AF350">
        <v>2.7574285124744415</v>
      </c>
      <c r="AG350">
        <v>3.186706472121756</v>
      </c>
      <c r="AH350">
        <v>3.8603999174642181</v>
      </c>
      <c r="AI350">
        <v>7.5681952423370502E-2</v>
      </c>
      <c r="AJ350">
        <v>2.4677279240997363</v>
      </c>
      <c r="AK350">
        <v>1.1674871677113383</v>
      </c>
      <c r="AL350">
        <v>0.41935245769015128</v>
      </c>
      <c r="AM350">
        <v>1.1848567961363743</v>
      </c>
      <c r="AN350">
        <v>15.89196932116316</v>
      </c>
      <c r="AO350" t="s">
        <v>19</v>
      </c>
      <c r="AT350" t="str">
        <f t="shared" si="10"/>
        <v>car</v>
      </c>
      <c r="AU350" t="str">
        <f t="shared" si="11"/>
        <v>gsl</v>
      </c>
    </row>
    <row r="351" spans="1:47">
      <c r="A351" t="s">
        <v>17</v>
      </c>
      <c r="B351" t="s">
        <v>176</v>
      </c>
      <c r="C351" t="s">
        <v>618</v>
      </c>
      <c r="D351" t="s">
        <v>19</v>
      </c>
      <c r="E351" t="s">
        <v>19</v>
      </c>
      <c r="F351" t="s">
        <v>19</v>
      </c>
      <c r="G351" t="s">
        <v>179</v>
      </c>
      <c r="H351" t="s">
        <v>19</v>
      </c>
      <c r="I351" t="s">
        <v>19</v>
      </c>
      <c r="J351" t="s">
        <v>19</v>
      </c>
      <c r="K351" t="s">
        <v>19</v>
      </c>
      <c r="L351">
        <v>0.948505780781422</v>
      </c>
      <c r="M351">
        <v>1.6470129810167924</v>
      </c>
      <c r="N351">
        <v>0.87158314061340625</v>
      </c>
      <c r="O351">
        <v>0.67803585244872089</v>
      </c>
      <c r="P351">
        <v>4.3082881932812143</v>
      </c>
      <c r="Q351">
        <v>4.7090303348016835</v>
      </c>
      <c r="R351">
        <v>1.4342350328101032</v>
      </c>
      <c r="S351">
        <v>1.9087980951369756</v>
      </c>
      <c r="T351">
        <v>1.6755487991436371</v>
      </c>
      <c r="U351">
        <v>20.567501086859419</v>
      </c>
      <c r="V351">
        <v>0.43548139837054167</v>
      </c>
      <c r="W351">
        <v>0.88274933031521496</v>
      </c>
      <c r="X351">
        <v>0.68734101053356156</v>
      </c>
      <c r="Y351">
        <v>1.0068181047797566</v>
      </c>
      <c r="Z351">
        <v>0.40818626798834251</v>
      </c>
      <c r="AA351">
        <v>0.62096421619503173</v>
      </c>
      <c r="AB351">
        <v>0.60421493164231854</v>
      </c>
      <c r="AC351">
        <v>0.7537178048720915</v>
      </c>
      <c r="AD351">
        <v>1.4894456374468243</v>
      </c>
      <c r="AE351">
        <v>1.617856819017625</v>
      </c>
      <c r="AF351">
        <v>2.7574285124744415</v>
      </c>
      <c r="AG351">
        <v>3.186706472121756</v>
      </c>
      <c r="AH351">
        <v>3.8603999174642181</v>
      </c>
      <c r="AI351">
        <v>7.5681952423370502E-2</v>
      </c>
      <c r="AJ351">
        <v>2.4677279240997363</v>
      </c>
      <c r="AK351">
        <v>1.1674871677113383</v>
      </c>
      <c r="AL351">
        <v>0.41935245769015128</v>
      </c>
      <c r="AM351">
        <v>1.1848567961363743</v>
      </c>
      <c r="AN351">
        <v>15.89196932116316</v>
      </c>
      <c r="AO351" t="s">
        <v>19</v>
      </c>
      <c r="AT351" t="str">
        <f t="shared" si="10"/>
        <v>car</v>
      </c>
      <c r="AU351" t="str">
        <f t="shared" si="11"/>
        <v>gsl</v>
      </c>
    </row>
    <row r="352" spans="1:47">
      <c r="A352" t="s">
        <v>17</v>
      </c>
      <c r="B352" t="s">
        <v>176</v>
      </c>
      <c r="C352" t="s">
        <v>618</v>
      </c>
      <c r="D352" t="s">
        <v>19</v>
      </c>
      <c r="E352" t="s">
        <v>19</v>
      </c>
      <c r="F352" t="s">
        <v>19</v>
      </c>
      <c r="G352" t="s">
        <v>180</v>
      </c>
      <c r="H352" t="s">
        <v>19</v>
      </c>
      <c r="I352" t="s">
        <v>19</v>
      </c>
      <c r="J352" t="s">
        <v>19</v>
      </c>
      <c r="K352" t="s">
        <v>19</v>
      </c>
      <c r="L352">
        <v>0.948505780781422</v>
      </c>
      <c r="M352">
        <v>1.6470129810167924</v>
      </c>
      <c r="N352">
        <v>0.87158314061340625</v>
      </c>
      <c r="O352">
        <v>0.67803585244872089</v>
      </c>
      <c r="P352">
        <v>4.3082881932812143</v>
      </c>
      <c r="Q352">
        <v>4.7090303348016835</v>
      </c>
      <c r="R352">
        <v>1.4342350328101032</v>
      </c>
      <c r="S352">
        <v>1.9087980951369756</v>
      </c>
      <c r="T352">
        <v>1.6755487991436371</v>
      </c>
      <c r="U352">
        <v>20.567501086859419</v>
      </c>
      <c r="V352">
        <v>0.43548139837054167</v>
      </c>
      <c r="W352">
        <v>0.88274933031521496</v>
      </c>
      <c r="X352">
        <v>0.68734101053356156</v>
      </c>
      <c r="Y352">
        <v>1.0068181047797566</v>
      </c>
      <c r="Z352">
        <v>0.40818626798834251</v>
      </c>
      <c r="AA352">
        <v>0.62096421619503173</v>
      </c>
      <c r="AB352">
        <v>0.60421493164231854</v>
      </c>
      <c r="AC352">
        <v>0.7537178048720915</v>
      </c>
      <c r="AD352">
        <v>1.4894456374468243</v>
      </c>
      <c r="AE352">
        <v>1.617856819017625</v>
      </c>
      <c r="AF352">
        <v>2.7574285124744415</v>
      </c>
      <c r="AG352">
        <v>3.186706472121756</v>
      </c>
      <c r="AH352">
        <v>3.8603999174642181</v>
      </c>
      <c r="AI352">
        <v>7.5681952423370502E-2</v>
      </c>
      <c r="AJ352">
        <v>2.4677279240997363</v>
      </c>
      <c r="AK352">
        <v>1.1674871677113383</v>
      </c>
      <c r="AL352">
        <v>0.41935245769015128</v>
      </c>
      <c r="AM352">
        <v>1.1848567961363743</v>
      </c>
      <c r="AN352">
        <v>15.89196932116316</v>
      </c>
      <c r="AO352" t="s">
        <v>19</v>
      </c>
      <c r="AT352" t="str">
        <f t="shared" si="10"/>
        <v>car</v>
      </c>
      <c r="AU352" t="str">
        <f t="shared" si="11"/>
        <v>gsl</v>
      </c>
    </row>
    <row r="353" spans="1:47">
      <c r="A353" t="s">
        <v>17</v>
      </c>
      <c r="B353" t="s">
        <v>176</v>
      </c>
      <c r="C353" t="s">
        <v>618</v>
      </c>
      <c r="D353" t="s">
        <v>19</v>
      </c>
      <c r="E353" t="s">
        <v>19</v>
      </c>
      <c r="F353" t="s">
        <v>19</v>
      </c>
      <c r="G353" t="s">
        <v>181</v>
      </c>
      <c r="H353" t="s">
        <v>19</v>
      </c>
      <c r="I353" t="s">
        <v>19</v>
      </c>
      <c r="J353" t="s">
        <v>19</v>
      </c>
      <c r="K353" t="s">
        <v>19</v>
      </c>
      <c r="L353">
        <v>0.948505780781422</v>
      </c>
      <c r="M353">
        <v>1.6470129810167924</v>
      </c>
      <c r="N353">
        <v>0.87158314061340625</v>
      </c>
      <c r="O353">
        <v>0.67803585244872089</v>
      </c>
      <c r="P353">
        <v>4.3082881932812143</v>
      </c>
      <c r="Q353">
        <v>4.7090303348016835</v>
      </c>
      <c r="R353">
        <v>1.4342350328101032</v>
      </c>
      <c r="S353">
        <v>1.9087980951369756</v>
      </c>
      <c r="T353">
        <v>1.6755487991436371</v>
      </c>
      <c r="U353">
        <v>20.567501086859419</v>
      </c>
      <c r="V353">
        <v>0.43548139837054167</v>
      </c>
      <c r="W353">
        <v>0.88274933031521496</v>
      </c>
      <c r="X353">
        <v>0.68734101053356156</v>
      </c>
      <c r="Y353">
        <v>1.0068181047797566</v>
      </c>
      <c r="Z353">
        <v>0.40818626798834251</v>
      </c>
      <c r="AA353">
        <v>0.62096421619503173</v>
      </c>
      <c r="AB353">
        <v>0.60421493164231854</v>
      </c>
      <c r="AC353">
        <v>0.7537178048720915</v>
      </c>
      <c r="AD353">
        <v>1.4894456374468243</v>
      </c>
      <c r="AE353">
        <v>1.617856819017625</v>
      </c>
      <c r="AF353">
        <v>2.7574285124744415</v>
      </c>
      <c r="AG353">
        <v>3.186706472121756</v>
      </c>
      <c r="AH353">
        <v>3.8603999174642181</v>
      </c>
      <c r="AI353">
        <v>7.5681952423370502E-2</v>
      </c>
      <c r="AJ353">
        <v>2.4677279240997363</v>
      </c>
      <c r="AK353">
        <v>1.1674871677113383</v>
      </c>
      <c r="AL353">
        <v>0.41935245769015128</v>
      </c>
      <c r="AM353">
        <v>1.1848567961363743</v>
      </c>
      <c r="AN353">
        <v>15.89196932116316</v>
      </c>
      <c r="AO353" t="s">
        <v>19</v>
      </c>
      <c r="AT353" t="str">
        <f t="shared" si="10"/>
        <v>car</v>
      </c>
      <c r="AU353" t="str">
        <f t="shared" si="11"/>
        <v>gsl</v>
      </c>
    </row>
    <row r="354" spans="1:47">
      <c r="A354" t="s">
        <v>17</v>
      </c>
      <c r="B354" t="s">
        <v>176</v>
      </c>
      <c r="C354" t="s">
        <v>618</v>
      </c>
      <c r="D354" t="s">
        <v>19</v>
      </c>
      <c r="E354" t="s">
        <v>19</v>
      </c>
      <c r="F354" t="s">
        <v>19</v>
      </c>
      <c r="G354" t="s">
        <v>182</v>
      </c>
      <c r="H354" t="s">
        <v>19</v>
      </c>
      <c r="I354" t="s">
        <v>19</v>
      </c>
      <c r="J354" t="s">
        <v>19</v>
      </c>
      <c r="K354" t="s">
        <v>19</v>
      </c>
      <c r="L354">
        <v>0.948505780781422</v>
      </c>
      <c r="M354">
        <v>1.6470129810167924</v>
      </c>
      <c r="N354">
        <v>0.87158314061340625</v>
      </c>
      <c r="O354">
        <v>0.67803585244872089</v>
      </c>
      <c r="P354">
        <v>4.3082881932812143</v>
      </c>
      <c r="Q354">
        <v>4.7090303348016835</v>
      </c>
      <c r="R354">
        <v>1.4342350328101032</v>
      </c>
      <c r="S354">
        <v>1.9087980951369756</v>
      </c>
      <c r="T354">
        <v>1.6755487991436371</v>
      </c>
      <c r="U354">
        <v>20.567501086859419</v>
      </c>
      <c r="V354">
        <v>0.43548139837054167</v>
      </c>
      <c r="W354">
        <v>0.88274933031521496</v>
      </c>
      <c r="X354">
        <v>0.68734101053356156</v>
      </c>
      <c r="Y354">
        <v>1.0068181047797566</v>
      </c>
      <c r="Z354">
        <v>0.40818626798834251</v>
      </c>
      <c r="AA354">
        <v>0.62096421619503173</v>
      </c>
      <c r="AB354">
        <v>0.60421493164231854</v>
      </c>
      <c r="AC354">
        <v>0.7537178048720915</v>
      </c>
      <c r="AD354">
        <v>1.4894456374468243</v>
      </c>
      <c r="AE354">
        <v>1.617856819017625</v>
      </c>
      <c r="AF354">
        <v>2.7574285124744415</v>
      </c>
      <c r="AG354">
        <v>3.186706472121756</v>
      </c>
      <c r="AH354">
        <v>3.8603999174642181</v>
      </c>
      <c r="AI354">
        <v>7.5681952423370502E-2</v>
      </c>
      <c r="AJ354">
        <v>2.4677279240997363</v>
      </c>
      <c r="AK354">
        <v>1.1674871677113383</v>
      </c>
      <c r="AL354">
        <v>0.41935245769015128</v>
      </c>
      <c r="AM354">
        <v>1.1848567961363743</v>
      </c>
      <c r="AN354">
        <v>15.89196932116316</v>
      </c>
      <c r="AO354" t="s">
        <v>19</v>
      </c>
      <c r="AT354" t="str">
        <f t="shared" si="10"/>
        <v>car</v>
      </c>
      <c r="AU354" t="str">
        <f t="shared" si="11"/>
        <v>gsl</v>
      </c>
    </row>
    <row r="355" spans="1:47">
      <c r="A355" t="s">
        <v>17</v>
      </c>
      <c r="B355" t="s">
        <v>176</v>
      </c>
      <c r="C355" t="s">
        <v>618</v>
      </c>
      <c r="D355" t="s">
        <v>19</v>
      </c>
      <c r="E355" t="s">
        <v>19</v>
      </c>
      <c r="F355" t="s">
        <v>19</v>
      </c>
      <c r="G355" t="s">
        <v>183</v>
      </c>
      <c r="H355" t="s">
        <v>19</v>
      </c>
      <c r="I355" t="s">
        <v>19</v>
      </c>
      <c r="J355" t="s">
        <v>19</v>
      </c>
      <c r="K355" t="s">
        <v>19</v>
      </c>
      <c r="L355">
        <v>0.948505780781422</v>
      </c>
      <c r="M355">
        <v>1.6470129810167924</v>
      </c>
      <c r="N355">
        <v>0.87158314061340625</v>
      </c>
      <c r="O355">
        <v>0.67803585244872089</v>
      </c>
      <c r="P355">
        <v>4.3082881932812143</v>
      </c>
      <c r="Q355">
        <v>4.7090303348016835</v>
      </c>
      <c r="R355">
        <v>1.4342350328101032</v>
      </c>
      <c r="S355">
        <v>1.9087980951369756</v>
      </c>
      <c r="T355">
        <v>1.6755487991436371</v>
      </c>
      <c r="U355">
        <v>20.567501086859419</v>
      </c>
      <c r="V355">
        <v>0.43548139837054167</v>
      </c>
      <c r="W355">
        <v>0.88274933031521496</v>
      </c>
      <c r="X355">
        <v>0.68734101053356156</v>
      </c>
      <c r="Y355">
        <v>1.0068181047797566</v>
      </c>
      <c r="Z355">
        <v>0.40818626798834251</v>
      </c>
      <c r="AA355">
        <v>0.62096421619503173</v>
      </c>
      <c r="AB355">
        <v>0.60421493164231854</v>
      </c>
      <c r="AC355">
        <v>0.7537178048720915</v>
      </c>
      <c r="AD355">
        <v>1.4894456374468243</v>
      </c>
      <c r="AE355">
        <v>1.617856819017625</v>
      </c>
      <c r="AF355">
        <v>2.7574285124744415</v>
      </c>
      <c r="AG355">
        <v>3.186706472121756</v>
      </c>
      <c r="AH355">
        <v>3.8603999174642181</v>
      </c>
      <c r="AI355">
        <v>7.5681952423370502E-2</v>
      </c>
      <c r="AJ355">
        <v>2.4677279240997363</v>
      </c>
      <c r="AK355">
        <v>1.1674871677113383</v>
      </c>
      <c r="AL355">
        <v>0.41935245769015128</v>
      </c>
      <c r="AM355">
        <v>1.1848567961363743</v>
      </c>
      <c r="AN355">
        <v>15.89196932116316</v>
      </c>
      <c r="AO355" t="s">
        <v>19</v>
      </c>
      <c r="AT355" t="str">
        <f t="shared" si="10"/>
        <v>car</v>
      </c>
      <c r="AU355" t="str">
        <f t="shared" si="11"/>
        <v>gsl</v>
      </c>
    </row>
    <row r="356" spans="1:47">
      <c r="A356" t="s">
        <v>17</v>
      </c>
      <c r="B356" t="s">
        <v>176</v>
      </c>
      <c r="C356" t="s">
        <v>618</v>
      </c>
      <c r="D356" t="s">
        <v>19</v>
      </c>
      <c r="E356" t="s">
        <v>19</v>
      </c>
      <c r="F356" t="s">
        <v>19</v>
      </c>
      <c r="G356" t="s">
        <v>184</v>
      </c>
      <c r="H356" t="s">
        <v>19</v>
      </c>
      <c r="I356" t="s">
        <v>19</v>
      </c>
      <c r="J356" t="s">
        <v>19</v>
      </c>
      <c r="K356" t="s">
        <v>19</v>
      </c>
      <c r="L356">
        <v>0.948505780781422</v>
      </c>
      <c r="M356">
        <v>1.6470129810167924</v>
      </c>
      <c r="N356">
        <v>0.87158314061340625</v>
      </c>
      <c r="O356">
        <v>0.67803585244872089</v>
      </c>
      <c r="P356">
        <v>4.3082881932812143</v>
      </c>
      <c r="Q356">
        <v>4.7090303348016835</v>
      </c>
      <c r="R356">
        <v>1.4342350328101032</v>
      </c>
      <c r="S356">
        <v>1.9087980951369756</v>
      </c>
      <c r="T356">
        <v>1.6755487991436371</v>
      </c>
      <c r="U356">
        <v>20.567501086859419</v>
      </c>
      <c r="V356">
        <v>0.43548139837054167</v>
      </c>
      <c r="W356">
        <v>0.88274933031521496</v>
      </c>
      <c r="X356">
        <v>0.68734101053356156</v>
      </c>
      <c r="Y356">
        <v>1.0068181047797566</v>
      </c>
      <c r="Z356">
        <v>0.40818626798834251</v>
      </c>
      <c r="AA356">
        <v>0.62096421619503173</v>
      </c>
      <c r="AB356">
        <v>0.60421493164231854</v>
      </c>
      <c r="AC356">
        <v>0.7537178048720915</v>
      </c>
      <c r="AD356">
        <v>1.4894456374468243</v>
      </c>
      <c r="AE356">
        <v>1.617856819017625</v>
      </c>
      <c r="AF356">
        <v>2.7574285124744415</v>
      </c>
      <c r="AG356">
        <v>3.186706472121756</v>
      </c>
      <c r="AH356">
        <v>3.8603999174642181</v>
      </c>
      <c r="AI356">
        <v>7.5681952423370502E-2</v>
      </c>
      <c r="AJ356">
        <v>2.4677279240997363</v>
      </c>
      <c r="AK356">
        <v>1.1674871677113383</v>
      </c>
      <c r="AL356">
        <v>0.41935245769015128</v>
      </c>
      <c r="AM356">
        <v>1.1848567961363743</v>
      </c>
      <c r="AN356">
        <v>15.89196932116316</v>
      </c>
      <c r="AO356" t="s">
        <v>19</v>
      </c>
      <c r="AT356" t="str">
        <f t="shared" si="10"/>
        <v>car</v>
      </c>
      <c r="AU356" t="str">
        <f t="shared" si="11"/>
        <v>gsl</v>
      </c>
    </row>
    <row r="357" spans="1:47">
      <c r="A357" t="s">
        <v>17</v>
      </c>
      <c r="B357" t="s">
        <v>176</v>
      </c>
      <c r="C357" t="s">
        <v>618</v>
      </c>
      <c r="D357" t="s">
        <v>19</v>
      </c>
      <c r="E357" t="s">
        <v>19</v>
      </c>
      <c r="F357" t="s">
        <v>19</v>
      </c>
      <c r="G357" t="s">
        <v>185</v>
      </c>
      <c r="H357" t="s">
        <v>19</v>
      </c>
      <c r="I357" t="s">
        <v>19</v>
      </c>
      <c r="J357" t="s">
        <v>19</v>
      </c>
      <c r="K357" t="s">
        <v>19</v>
      </c>
      <c r="L357">
        <v>0.948505780781422</v>
      </c>
      <c r="M357">
        <v>1.6470129810167924</v>
      </c>
      <c r="N357">
        <v>0.87158314061340625</v>
      </c>
      <c r="O357">
        <v>0.67803585244872089</v>
      </c>
      <c r="P357">
        <v>4.3082881932812143</v>
      </c>
      <c r="Q357">
        <v>4.7090303348016835</v>
      </c>
      <c r="R357">
        <v>1.4342350328101032</v>
      </c>
      <c r="S357">
        <v>1.9087980951369756</v>
      </c>
      <c r="T357">
        <v>1.6755487991436371</v>
      </c>
      <c r="U357">
        <v>20.567501086859419</v>
      </c>
      <c r="V357">
        <v>0.43548139837054167</v>
      </c>
      <c r="W357">
        <v>0.88274933031521496</v>
      </c>
      <c r="X357">
        <v>0.68734101053356156</v>
      </c>
      <c r="Y357">
        <v>1.0068181047797566</v>
      </c>
      <c r="Z357">
        <v>0.40818626798834251</v>
      </c>
      <c r="AA357">
        <v>0.62096421619503173</v>
      </c>
      <c r="AB357">
        <v>0.60421493164231854</v>
      </c>
      <c r="AC357">
        <v>0.7537178048720915</v>
      </c>
      <c r="AD357">
        <v>1.4894456374468243</v>
      </c>
      <c r="AE357">
        <v>1.617856819017625</v>
      </c>
      <c r="AF357">
        <v>2.7574285124744415</v>
      </c>
      <c r="AG357">
        <v>3.186706472121756</v>
      </c>
      <c r="AH357">
        <v>3.8603999174642181</v>
      </c>
      <c r="AI357">
        <v>7.5681952423370502E-2</v>
      </c>
      <c r="AJ357">
        <v>2.4677279240997363</v>
      </c>
      <c r="AK357">
        <v>1.1674871677113383</v>
      </c>
      <c r="AL357">
        <v>0.41935245769015128</v>
      </c>
      <c r="AM357">
        <v>1.1848567961363743</v>
      </c>
      <c r="AN357">
        <v>15.89196932116316</v>
      </c>
      <c r="AO357" t="s">
        <v>19</v>
      </c>
      <c r="AT357" t="str">
        <f t="shared" si="10"/>
        <v>car</v>
      </c>
      <c r="AU357" t="str">
        <f t="shared" si="11"/>
        <v>gsl</v>
      </c>
    </row>
    <row r="358" spans="1:47">
      <c r="A358" t="s">
        <v>17</v>
      </c>
      <c r="B358" t="s">
        <v>176</v>
      </c>
      <c r="C358" t="s">
        <v>618</v>
      </c>
      <c r="D358" t="s">
        <v>19</v>
      </c>
      <c r="E358" t="s">
        <v>19</v>
      </c>
      <c r="F358" t="s">
        <v>19</v>
      </c>
      <c r="G358" t="s">
        <v>186</v>
      </c>
      <c r="H358" t="s">
        <v>19</v>
      </c>
      <c r="I358" t="s">
        <v>19</v>
      </c>
      <c r="J358" t="s">
        <v>19</v>
      </c>
      <c r="K358" t="s">
        <v>19</v>
      </c>
      <c r="L358">
        <v>0.948505780781422</v>
      </c>
      <c r="M358">
        <v>1.6470129810167924</v>
      </c>
      <c r="N358">
        <v>0.87158314061340625</v>
      </c>
      <c r="O358">
        <v>0.67803585244872089</v>
      </c>
      <c r="P358">
        <v>4.3082881932812143</v>
      </c>
      <c r="Q358">
        <v>4.7090303348016835</v>
      </c>
      <c r="R358">
        <v>1.4342350328101032</v>
      </c>
      <c r="S358">
        <v>1.9087980951369756</v>
      </c>
      <c r="T358">
        <v>1.6755487991436371</v>
      </c>
      <c r="U358">
        <v>20.567501086859419</v>
      </c>
      <c r="V358">
        <v>0.43548139837054167</v>
      </c>
      <c r="W358">
        <v>0.88274933031521496</v>
      </c>
      <c r="X358">
        <v>0.68734101053356156</v>
      </c>
      <c r="Y358">
        <v>1.0068181047797566</v>
      </c>
      <c r="Z358">
        <v>0.40818626798834251</v>
      </c>
      <c r="AA358">
        <v>0.62096421619503173</v>
      </c>
      <c r="AB358">
        <v>0.60421493164231854</v>
      </c>
      <c r="AC358">
        <v>0.7537178048720915</v>
      </c>
      <c r="AD358">
        <v>1.4894456374468243</v>
      </c>
      <c r="AE358">
        <v>1.617856819017625</v>
      </c>
      <c r="AF358">
        <v>2.7574285124744415</v>
      </c>
      <c r="AG358">
        <v>3.186706472121756</v>
      </c>
      <c r="AH358">
        <v>3.8603999174642181</v>
      </c>
      <c r="AI358">
        <v>7.5681952423370502E-2</v>
      </c>
      <c r="AJ358">
        <v>2.4677279240997363</v>
      </c>
      <c r="AK358">
        <v>1.1674871677113383</v>
      </c>
      <c r="AL358">
        <v>0.41935245769015128</v>
      </c>
      <c r="AM358">
        <v>1.1848567961363743</v>
      </c>
      <c r="AN358">
        <v>15.89196932116316</v>
      </c>
      <c r="AO358" t="s">
        <v>19</v>
      </c>
      <c r="AT358" t="str">
        <f t="shared" si="10"/>
        <v>car</v>
      </c>
      <c r="AU358" t="str">
        <f t="shared" si="11"/>
        <v>gsl</v>
      </c>
    </row>
    <row r="359" spans="1:47">
      <c r="A359" t="s">
        <v>17</v>
      </c>
      <c r="B359" t="s">
        <v>176</v>
      </c>
      <c r="C359" t="s">
        <v>618</v>
      </c>
      <c r="D359" t="s">
        <v>19</v>
      </c>
      <c r="E359" t="s">
        <v>19</v>
      </c>
      <c r="F359" t="s">
        <v>19</v>
      </c>
      <c r="G359" t="s">
        <v>187</v>
      </c>
      <c r="H359" t="s">
        <v>19</v>
      </c>
      <c r="I359" t="s">
        <v>19</v>
      </c>
      <c r="J359" t="s">
        <v>19</v>
      </c>
      <c r="K359" t="s">
        <v>19</v>
      </c>
      <c r="L359">
        <v>0.948505780781422</v>
      </c>
      <c r="M359">
        <v>1.6470129810167924</v>
      </c>
      <c r="N359">
        <v>0.87158314061340625</v>
      </c>
      <c r="O359">
        <v>0.67803585244872089</v>
      </c>
      <c r="P359">
        <v>4.3082881932812143</v>
      </c>
      <c r="Q359">
        <v>4.7090303348016835</v>
      </c>
      <c r="R359">
        <v>1.4342350328101032</v>
      </c>
      <c r="S359">
        <v>1.9087980951369756</v>
      </c>
      <c r="T359">
        <v>1.6755487991436371</v>
      </c>
      <c r="U359">
        <v>20.567501086859419</v>
      </c>
      <c r="V359">
        <v>0.43548139837054167</v>
      </c>
      <c r="W359">
        <v>0.88274933031521496</v>
      </c>
      <c r="X359">
        <v>0.68734101053356156</v>
      </c>
      <c r="Y359">
        <v>1.0068181047797566</v>
      </c>
      <c r="Z359">
        <v>0.40818626798834251</v>
      </c>
      <c r="AA359">
        <v>0.62096421619503173</v>
      </c>
      <c r="AB359">
        <v>0.60421493164231854</v>
      </c>
      <c r="AC359">
        <v>0.7537178048720915</v>
      </c>
      <c r="AD359">
        <v>1.4894456374468243</v>
      </c>
      <c r="AE359">
        <v>1.617856819017625</v>
      </c>
      <c r="AF359">
        <v>2.7574285124744415</v>
      </c>
      <c r="AG359">
        <v>3.186706472121756</v>
      </c>
      <c r="AH359">
        <v>3.8603999174642181</v>
      </c>
      <c r="AI359">
        <v>7.5681952423370502E-2</v>
      </c>
      <c r="AJ359">
        <v>2.4677279240997363</v>
      </c>
      <c r="AK359">
        <v>1.1674871677113383</v>
      </c>
      <c r="AL359">
        <v>0.41935245769015128</v>
      </c>
      <c r="AM359">
        <v>1.1848567961363743</v>
      </c>
      <c r="AN359">
        <v>15.89196932116316</v>
      </c>
      <c r="AO359" t="s">
        <v>19</v>
      </c>
      <c r="AT359" t="str">
        <f t="shared" si="10"/>
        <v>car</v>
      </c>
      <c r="AU359" t="str">
        <f t="shared" si="11"/>
        <v>gsl</v>
      </c>
    </row>
    <row r="360" spans="1:47">
      <c r="A360" t="s">
        <v>17</v>
      </c>
      <c r="B360" t="s">
        <v>176</v>
      </c>
      <c r="C360" t="s">
        <v>618</v>
      </c>
      <c r="D360" t="s">
        <v>19</v>
      </c>
      <c r="E360" t="s">
        <v>19</v>
      </c>
      <c r="F360" t="s">
        <v>19</v>
      </c>
      <c r="G360" t="s">
        <v>188</v>
      </c>
      <c r="H360" t="s">
        <v>19</v>
      </c>
      <c r="I360" t="s">
        <v>19</v>
      </c>
      <c r="J360" t="s">
        <v>19</v>
      </c>
      <c r="K360" t="s">
        <v>19</v>
      </c>
      <c r="L360">
        <v>0.948505780781422</v>
      </c>
      <c r="M360">
        <v>1.6470129810167924</v>
      </c>
      <c r="N360">
        <v>0.87158314061340625</v>
      </c>
      <c r="O360">
        <v>0.67803585244872089</v>
      </c>
      <c r="P360">
        <v>4.3082881932812143</v>
      </c>
      <c r="Q360">
        <v>4.7090303348016835</v>
      </c>
      <c r="R360">
        <v>1.4342350328101032</v>
      </c>
      <c r="S360">
        <v>1.9087980951369756</v>
      </c>
      <c r="T360">
        <v>1.6755487991436371</v>
      </c>
      <c r="U360">
        <v>20.567501086859419</v>
      </c>
      <c r="V360">
        <v>0.43548139837054167</v>
      </c>
      <c r="W360">
        <v>0.88274933031521496</v>
      </c>
      <c r="X360">
        <v>0.68734101053356156</v>
      </c>
      <c r="Y360">
        <v>1.0068181047797566</v>
      </c>
      <c r="Z360">
        <v>0.40818626798834251</v>
      </c>
      <c r="AA360">
        <v>0.62096421619503173</v>
      </c>
      <c r="AB360">
        <v>0.60421493164231854</v>
      </c>
      <c r="AC360">
        <v>0.7537178048720915</v>
      </c>
      <c r="AD360">
        <v>1.4894456374468243</v>
      </c>
      <c r="AE360">
        <v>1.617856819017625</v>
      </c>
      <c r="AF360">
        <v>2.7574285124744415</v>
      </c>
      <c r="AG360">
        <v>3.186706472121756</v>
      </c>
      <c r="AH360">
        <v>3.8603999174642181</v>
      </c>
      <c r="AI360">
        <v>7.5681952423370502E-2</v>
      </c>
      <c r="AJ360">
        <v>2.4677279240997363</v>
      </c>
      <c r="AK360">
        <v>1.1674871677113383</v>
      </c>
      <c r="AL360">
        <v>0.41935245769015128</v>
      </c>
      <c r="AM360">
        <v>1.1848567961363743</v>
      </c>
      <c r="AN360">
        <v>15.89196932116316</v>
      </c>
      <c r="AO360" t="s">
        <v>19</v>
      </c>
      <c r="AT360" t="str">
        <f t="shared" si="10"/>
        <v>car</v>
      </c>
      <c r="AU360" t="str">
        <f t="shared" si="11"/>
        <v>gsl</v>
      </c>
    </row>
    <row r="361" spans="1:47">
      <c r="A361" t="s">
        <v>17</v>
      </c>
      <c r="B361" t="s">
        <v>176</v>
      </c>
      <c r="C361" t="s">
        <v>618</v>
      </c>
      <c r="D361" t="s">
        <v>19</v>
      </c>
      <c r="E361" t="s">
        <v>19</v>
      </c>
      <c r="F361" t="s">
        <v>19</v>
      </c>
      <c r="G361" t="s">
        <v>100</v>
      </c>
      <c r="H361" t="s">
        <v>19</v>
      </c>
      <c r="I361" t="s">
        <v>19</v>
      </c>
      <c r="J361" t="s">
        <v>19</v>
      </c>
      <c r="K361" t="s">
        <v>19</v>
      </c>
      <c r="L361">
        <v>0.948505780781422</v>
      </c>
      <c r="M361">
        <v>1.6470129810167924</v>
      </c>
      <c r="N361">
        <v>0.87158314061340625</v>
      </c>
      <c r="O361">
        <v>0.67803585244872089</v>
      </c>
      <c r="P361">
        <v>4.3082881932812143</v>
      </c>
      <c r="Q361">
        <v>4.7090303348016835</v>
      </c>
      <c r="R361">
        <v>1.4342350328101032</v>
      </c>
      <c r="S361">
        <v>1.9087980951369756</v>
      </c>
      <c r="T361">
        <v>1.6755487991436371</v>
      </c>
      <c r="U361">
        <v>20.567501086859419</v>
      </c>
      <c r="V361">
        <v>0.43548139837054167</v>
      </c>
      <c r="W361">
        <v>0.88274933031521496</v>
      </c>
      <c r="X361">
        <v>0.68734101053356156</v>
      </c>
      <c r="Y361">
        <v>1.0068181047797566</v>
      </c>
      <c r="Z361">
        <v>0.40818626798834251</v>
      </c>
      <c r="AA361">
        <v>0.62096421619503173</v>
      </c>
      <c r="AB361">
        <v>0.60421493164231854</v>
      </c>
      <c r="AC361">
        <v>0.7537178048720915</v>
      </c>
      <c r="AD361">
        <v>1.4894456374468243</v>
      </c>
      <c r="AE361">
        <v>1.617856819017625</v>
      </c>
      <c r="AF361">
        <v>2.7574285124744415</v>
      </c>
      <c r="AG361">
        <v>3.186706472121756</v>
      </c>
      <c r="AH361">
        <v>3.8603999174642181</v>
      </c>
      <c r="AI361">
        <v>7.5681952423370502E-2</v>
      </c>
      <c r="AJ361">
        <v>2.4677279240997363</v>
      </c>
      <c r="AK361">
        <v>1.1674871677113383</v>
      </c>
      <c r="AL361">
        <v>0.41935245769015128</v>
      </c>
      <c r="AM361">
        <v>1.1848567961363743</v>
      </c>
      <c r="AN361">
        <v>15.89196932116316</v>
      </c>
      <c r="AO361" t="s">
        <v>19</v>
      </c>
      <c r="AT361" t="str">
        <f t="shared" si="10"/>
        <v>car</v>
      </c>
      <c r="AU361" t="str">
        <f t="shared" si="11"/>
        <v>gsl</v>
      </c>
    </row>
    <row r="362" spans="1:47">
      <c r="A362" t="s">
        <v>17</v>
      </c>
      <c r="B362" t="s">
        <v>176</v>
      </c>
      <c r="C362" t="s">
        <v>617</v>
      </c>
      <c r="D362" t="s">
        <v>19</v>
      </c>
      <c r="E362" t="s">
        <v>19</v>
      </c>
      <c r="F362" t="s">
        <v>19</v>
      </c>
      <c r="G362" t="s">
        <v>603</v>
      </c>
      <c r="H362" t="s">
        <v>19</v>
      </c>
      <c r="I362" t="s">
        <v>19</v>
      </c>
      <c r="J362" t="s">
        <v>19</v>
      </c>
      <c r="K362" t="s">
        <v>19</v>
      </c>
      <c r="L362">
        <v>6.3275074976916326E-2</v>
      </c>
      <c r="M362">
        <v>0</v>
      </c>
      <c r="N362">
        <v>6.2034387232270905E-4</v>
      </c>
      <c r="O362">
        <v>2.6674786509876487E-2</v>
      </c>
      <c r="P362">
        <v>0.24565617343979276</v>
      </c>
      <c r="Q362">
        <v>9.4912612465374482E-2</v>
      </c>
      <c r="R362">
        <v>9.3051580848406354E-3</v>
      </c>
      <c r="S362">
        <v>0</v>
      </c>
      <c r="T362">
        <v>1.3027221318776889E-2</v>
      </c>
      <c r="U362">
        <v>0.200371070760235</v>
      </c>
      <c r="V362">
        <v>0</v>
      </c>
      <c r="W362">
        <v>0.14019771514493223</v>
      </c>
      <c r="X362">
        <v>1.5508596808067725E-2</v>
      </c>
      <c r="Y362">
        <v>0.15880803131461352</v>
      </c>
      <c r="Z362">
        <v>3.7840976211685251E-2</v>
      </c>
      <c r="AA362">
        <v>1.0545845829486054E-2</v>
      </c>
      <c r="AB362">
        <v>0.37158597952130268</v>
      </c>
      <c r="AC362">
        <v>4.3424071062589638E-3</v>
      </c>
      <c r="AD362">
        <v>2.6054442637553778E-2</v>
      </c>
      <c r="AE362">
        <v>4.9627509785816724E-3</v>
      </c>
      <c r="AF362">
        <v>4.2183383317944217E-2</v>
      </c>
      <c r="AG362">
        <v>9.5532956337697192E-2</v>
      </c>
      <c r="AH362">
        <v>4.3424071062589638E-3</v>
      </c>
      <c r="AI362">
        <v>6.2034387232270905E-4</v>
      </c>
      <c r="AJ362">
        <v>7.816332791266134E-2</v>
      </c>
      <c r="AK362">
        <v>0</v>
      </c>
      <c r="AL362">
        <v>1.2406877446454181E-3</v>
      </c>
      <c r="AM362">
        <v>5.5830948509043811E-3</v>
      </c>
      <c r="AN362">
        <v>3.1017193616135453E-3</v>
      </c>
      <c r="AO362" t="s">
        <v>19</v>
      </c>
      <c r="AT362" t="str">
        <f t="shared" si="10"/>
        <v>car</v>
      </c>
      <c r="AU362" t="str">
        <f t="shared" si="11"/>
        <v>lpg</v>
      </c>
    </row>
    <row r="363" spans="1:47">
      <c r="A363" t="s">
        <v>17</v>
      </c>
      <c r="B363" t="s">
        <v>176</v>
      </c>
      <c r="C363" t="s">
        <v>617</v>
      </c>
      <c r="D363" t="s">
        <v>19</v>
      </c>
      <c r="E363" t="s">
        <v>19</v>
      </c>
      <c r="F363" t="s">
        <v>19</v>
      </c>
      <c r="G363" t="s">
        <v>602</v>
      </c>
      <c r="H363" t="s">
        <v>19</v>
      </c>
      <c r="I363" t="s">
        <v>19</v>
      </c>
      <c r="J363" t="s">
        <v>19</v>
      </c>
      <c r="K363" t="s">
        <v>19</v>
      </c>
      <c r="L363">
        <v>6.3275074976916326E-2</v>
      </c>
      <c r="M363">
        <v>0</v>
      </c>
      <c r="N363">
        <v>6.2034387232270905E-4</v>
      </c>
      <c r="O363">
        <v>2.6674786509876487E-2</v>
      </c>
      <c r="P363">
        <v>0.24565617343979276</v>
      </c>
      <c r="Q363">
        <v>9.4912612465374482E-2</v>
      </c>
      <c r="R363">
        <v>9.3051580848406354E-3</v>
      </c>
      <c r="S363">
        <v>0</v>
      </c>
      <c r="T363">
        <v>1.3027221318776889E-2</v>
      </c>
      <c r="U363">
        <v>0.200371070760235</v>
      </c>
      <c r="V363">
        <v>0</v>
      </c>
      <c r="W363">
        <v>0.14019771514493223</v>
      </c>
      <c r="X363">
        <v>1.5508596808067725E-2</v>
      </c>
      <c r="Y363">
        <v>0.15880803131461352</v>
      </c>
      <c r="Z363">
        <v>3.7840976211685251E-2</v>
      </c>
      <c r="AA363">
        <v>1.0545845829486054E-2</v>
      </c>
      <c r="AB363">
        <v>0.37158597952130268</v>
      </c>
      <c r="AC363">
        <v>4.3424071062589638E-3</v>
      </c>
      <c r="AD363">
        <v>2.6054442637553778E-2</v>
      </c>
      <c r="AE363">
        <v>4.9627509785816724E-3</v>
      </c>
      <c r="AF363">
        <v>4.2183383317944217E-2</v>
      </c>
      <c r="AG363">
        <v>9.5532956337697192E-2</v>
      </c>
      <c r="AH363">
        <v>4.3424071062589638E-3</v>
      </c>
      <c r="AI363">
        <v>6.2034387232270905E-4</v>
      </c>
      <c r="AJ363">
        <v>7.816332791266134E-2</v>
      </c>
      <c r="AK363">
        <v>0</v>
      </c>
      <c r="AL363">
        <v>1.2406877446454181E-3</v>
      </c>
      <c r="AM363">
        <v>5.5830948509043811E-3</v>
      </c>
      <c r="AN363">
        <v>3.1017193616135453E-3</v>
      </c>
      <c r="AO363" t="s">
        <v>19</v>
      </c>
      <c r="AT363" t="str">
        <f t="shared" si="10"/>
        <v>car</v>
      </c>
      <c r="AU363" t="str">
        <f t="shared" si="11"/>
        <v>lpg</v>
      </c>
    </row>
    <row r="364" spans="1:47">
      <c r="A364" t="s">
        <v>17</v>
      </c>
      <c r="B364" t="s">
        <v>176</v>
      </c>
      <c r="C364" t="s">
        <v>617</v>
      </c>
      <c r="D364" t="s">
        <v>19</v>
      </c>
      <c r="E364" t="s">
        <v>19</v>
      </c>
      <c r="F364" t="s">
        <v>19</v>
      </c>
      <c r="G364" t="s">
        <v>601</v>
      </c>
      <c r="H364" t="s">
        <v>19</v>
      </c>
      <c r="I364" t="s">
        <v>19</v>
      </c>
      <c r="J364" t="s">
        <v>19</v>
      </c>
      <c r="K364" t="s">
        <v>19</v>
      </c>
      <c r="L364">
        <v>6.3275074976916326E-2</v>
      </c>
      <c r="M364">
        <v>0</v>
      </c>
      <c r="N364">
        <v>6.2034387232270905E-4</v>
      </c>
      <c r="O364">
        <v>2.6674786509876487E-2</v>
      </c>
      <c r="P364">
        <v>0.24565617343979276</v>
      </c>
      <c r="Q364">
        <v>9.4912612465374482E-2</v>
      </c>
      <c r="R364">
        <v>9.3051580848406354E-3</v>
      </c>
      <c r="S364">
        <v>0</v>
      </c>
      <c r="T364">
        <v>1.3027221318776889E-2</v>
      </c>
      <c r="U364">
        <v>0.200371070760235</v>
      </c>
      <c r="V364">
        <v>0</v>
      </c>
      <c r="W364">
        <v>0.14019771514493223</v>
      </c>
      <c r="X364">
        <v>1.5508596808067725E-2</v>
      </c>
      <c r="Y364">
        <v>0.15880803131461352</v>
      </c>
      <c r="Z364">
        <v>3.7840976211685251E-2</v>
      </c>
      <c r="AA364">
        <v>1.0545845829486054E-2</v>
      </c>
      <c r="AB364">
        <v>0.37158597952130268</v>
      </c>
      <c r="AC364">
        <v>4.3424071062589638E-3</v>
      </c>
      <c r="AD364">
        <v>2.6054442637553778E-2</v>
      </c>
      <c r="AE364">
        <v>4.9627509785816724E-3</v>
      </c>
      <c r="AF364">
        <v>4.2183383317944217E-2</v>
      </c>
      <c r="AG364">
        <v>9.5532956337697192E-2</v>
      </c>
      <c r="AH364">
        <v>4.3424071062589638E-3</v>
      </c>
      <c r="AI364">
        <v>6.2034387232270905E-4</v>
      </c>
      <c r="AJ364">
        <v>7.816332791266134E-2</v>
      </c>
      <c r="AK364">
        <v>0</v>
      </c>
      <c r="AL364">
        <v>1.2406877446454181E-3</v>
      </c>
      <c r="AM364">
        <v>5.5830948509043811E-3</v>
      </c>
      <c r="AN364">
        <v>3.1017193616135453E-3</v>
      </c>
      <c r="AO364" t="s">
        <v>19</v>
      </c>
      <c r="AT364" t="str">
        <f t="shared" si="10"/>
        <v>car</v>
      </c>
      <c r="AU364" t="str">
        <f t="shared" si="11"/>
        <v>lpg</v>
      </c>
    </row>
    <row r="365" spans="1:47">
      <c r="A365" t="s">
        <v>17</v>
      </c>
      <c r="B365" t="s">
        <v>176</v>
      </c>
      <c r="C365" t="s">
        <v>617</v>
      </c>
      <c r="D365" t="s">
        <v>19</v>
      </c>
      <c r="E365" t="s">
        <v>19</v>
      </c>
      <c r="F365" t="s">
        <v>19</v>
      </c>
      <c r="G365" t="s">
        <v>600</v>
      </c>
      <c r="H365" t="s">
        <v>19</v>
      </c>
      <c r="I365" t="s">
        <v>19</v>
      </c>
      <c r="J365" t="s">
        <v>19</v>
      </c>
      <c r="K365" t="s">
        <v>19</v>
      </c>
      <c r="L365">
        <v>6.3275074976916326E-2</v>
      </c>
      <c r="M365">
        <v>0</v>
      </c>
      <c r="N365">
        <v>6.2034387232270905E-4</v>
      </c>
      <c r="O365">
        <v>2.6674786509876487E-2</v>
      </c>
      <c r="P365">
        <v>0.24565617343979276</v>
      </c>
      <c r="Q365">
        <v>9.4912612465374482E-2</v>
      </c>
      <c r="R365">
        <v>9.3051580848406354E-3</v>
      </c>
      <c r="S365">
        <v>0</v>
      </c>
      <c r="T365">
        <v>1.3027221318776889E-2</v>
      </c>
      <c r="U365">
        <v>0.200371070760235</v>
      </c>
      <c r="V365">
        <v>0</v>
      </c>
      <c r="W365">
        <v>0.14019771514493223</v>
      </c>
      <c r="X365">
        <v>1.5508596808067725E-2</v>
      </c>
      <c r="Y365">
        <v>0.15880803131461352</v>
      </c>
      <c r="Z365">
        <v>3.7840976211685251E-2</v>
      </c>
      <c r="AA365">
        <v>1.0545845829486054E-2</v>
      </c>
      <c r="AB365">
        <v>0.37158597952130268</v>
      </c>
      <c r="AC365">
        <v>4.3424071062589638E-3</v>
      </c>
      <c r="AD365">
        <v>2.6054442637553778E-2</v>
      </c>
      <c r="AE365">
        <v>4.9627509785816724E-3</v>
      </c>
      <c r="AF365">
        <v>4.2183383317944217E-2</v>
      </c>
      <c r="AG365">
        <v>9.5532956337697192E-2</v>
      </c>
      <c r="AH365">
        <v>4.3424071062589638E-3</v>
      </c>
      <c r="AI365">
        <v>6.2034387232270905E-4</v>
      </c>
      <c r="AJ365">
        <v>7.816332791266134E-2</v>
      </c>
      <c r="AK365">
        <v>0</v>
      </c>
      <c r="AL365">
        <v>1.2406877446454181E-3</v>
      </c>
      <c r="AM365">
        <v>5.5830948509043811E-3</v>
      </c>
      <c r="AN365">
        <v>3.1017193616135453E-3</v>
      </c>
      <c r="AO365" t="s">
        <v>19</v>
      </c>
      <c r="AT365" t="str">
        <f t="shared" si="10"/>
        <v>car</v>
      </c>
      <c r="AU365" t="str">
        <f t="shared" si="11"/>
        <v>lpg</v>
      </c>
    </row>
    <row r="366" spans="1:47">
      <c r="A366" t="s">
        <v>17</v>
      </c>
      <c r="B366" t="s">
        <v>176</v>
      </c>
      <c r="C366" t="s">
        <v>617</v>
      </c>
      <c r="D366" t="s">
        <v>19</v>
      </c>
      <c r="E366" t="s">
        <v>19</v>
      </c>
      <c r="F366" t="s">
        <v>19</v>
      </c>
      <c r="G366" t="s">
        <v>599</v>
      </c>
      <c r="H366" t="s">
        <v>19</v>
      </c>
      <c r="I366" t="s">
        <v>19</v>
      </c>
      <c r="J366" t="s">
        <v>19</v>
      </c>
      <c r="K366" t="s">
        <v>19</v>
      </c>
      <c r="L366">
        <v>6.3275074976916326E-2</v>
      </c>
      <c r="M366">
        <v>0</v>
      </c>
      <c r="N366">
        <v>6.2034387232270905E-4</v>
      </c>
      <c r="O366">
        <v>2.6674786509876487E-2</v>
      </c>
      <c r="P366">
        <v>0.24565617343979276</v>
      </c>
      <c r="Q366">
        <v>9.4912612465374482E-2</v>
      </c>
      <c r="R366">
        <v>9.3051580848406354E-3</v>
      </c>
      <c r="S366">
        <v>0</v>
      </c>
      <c r="T366">
        <v>1.3027221318776889E-2</v>
      </c>
      <c r="U366">
        <v>0.200371070760235</v>
      </c>
      <c r="V366">
        <v>0</v>
      </c>
      <c r="W366">
        <v>0.14019771514493223</v>
      </c>
      <c r="X366">
        <v>1.5508596808067725E-2</v>
      </c>
      <c r="Y366">
        <v>0.15880803131461352</v>
      </c>
      <c r="Z366">
        <v>3.7840976211685251E-2</v>
      </c>
      <c r="AA366">
        <v>1.0545845829486054E-2</v>
      </c>
      <c r="AB366">
        <v>0.37158597952130268</v>
      </c>
      <c r="AC366">
        <v>4.3424071062589638E-3</v>
      </c>
      <c r="AD366">
        <v>2.6054442637553778E-2</v>
      </c>
      <c r="AE366">
        <v>4.9627509785816724E-3</v>
      </c>
      <c r="AF366">
        <v>4.2183383317944217E-2</v>
      </c>
      <c r="AG366">
        <v>9.5532956337697192E-2</v>
      </c>
      <c r="AH366">
        <v>4.3424071062589638E-3</v>
      </c>
      <c r="AI366">
        <v>6.2034387232270905E-4</v>
      </c>
      <c r="AJ366">
        <v>7.816332791266134E-2</v>
      </c>
      <c r="AK366">
        <v>0</v>
      </c>
      <c r="AL366">
        <v>1.2406877446454181E-3</v>
      </c>
      <c r="AM366">
        <v>5.5830948509043811E-3</v>
      </c>
      <c r="AN366">
        <v>3.1017193616135453E-3</v>
      </c>
      <c r="AO366" t="s">
        <v>19</v>
      </c>
      <c r="AT366" t="str">
        <f t="shared" si="10"/>
        <v>car</v>
      </c>
      <c r="AU366" t="str">
        <f t="shared" si="11"/>
        <v>lpg</v>
      </c>
    </row>
    <row r="367" spans="1:47">
      <c r="A367" t="s">
        <v>17</v>
      </c>
      <c r="B367" t="s">
        <v>176</v>
      </c>
      <c r="C367" t="s">
        <v>617</v>
      </c>
      <c r="D367" t="s">
        <v>19</v>
      </c>
      <c r="E367" t="s">
        <v>19</v>
      </c>
      <c r="F367" t="s">
        <v>19</v>
      </c>
      <c r="G367" t="s">
        <v>598</v>
      </c>
      <c r="H367" t="s">
        <v>19</v>
      </c>
      <c r="I367" t="s">
        <v>19</v>
      </c>
      <c r="J367" t="s">
        <v>19</v>
      </c>
      <c r="K367" t="s">
        <v>19</v>
      </c>
      <c r="L367">
        <v>6.3275074976916326E-2</v>
      </c>
      <c r="M367">
        <v>0</v>
      </c>
      <c r="N367">
        <v>6.2034387232270905E-4</v>
      </c>
      <c r="O367">
        <v>2.6674786509876487E-2</v>
      </c>
      <c r="P367">
        <v>0.24565617343979276</v>
      </c>
      <c r="Q367">
        <v>9.4912612465374482E-2</v>
      </c>
      <c r="R367">
        <v>9.3051580848406354E-3</v>
      </c>
      <c r="S367">
        <v>0</v>
      </c>
      <c r="T367">
        <v>1.3027221318776889E-2</v>
      </c>
      <c r="U367">
        <v>0.200371070760235</v>
      </c>
      <c r="V367">
        <v>0</v>
      </c>
      <c r="W367">
        <v>0.14019771514493223</v>
      </c>
      <c r="X367">
        <v>1.5508596808067725E-2</v>
      </c>
      <c r="Y367">
        <v>0.15880803131461352</v>
      </c>
      <c r="Z367">
        <v>3.7840976211685251E-2</v>
      </c>
      <c r="AA367">
        <v>1.0545845829486054E-2</v>
      </c>
      <c r="AB367">
        <v>0.37158597952130268</v>
      </c>
      <c r="AC367">
        <v>4.3424071062589638E-3</v>
      </c>
      <c r="AD367">
        <v>2.6054442637553778E-2</v>
      </c>
      <c r="AE367">
        <v>4.9627509785816724E-3</v>
      </c>
      <c r="AF367">
        <v>4.2183383317944217E-2</v>
      </c>
      <c r="AG367">
        <v>9.5532956337697192E-2</v>
      </c>
      <c r="AH367">
        <v>4.3424071062589638E-3</v>
      </c>
      <c r="AI367">
        <v>6.2034387232270905E-4</v>
      </c>
      <c r="AJ367">
        <v>7.816332791266134E-2</v>
      </c>
      <c r="AK367">
        <v>0</v>
      </c>
      <c r="AL367">
        <v>1.2406877446454181E-3</v>
      </c>
      <c r="AM367">
        <v>5.5830948509043811E-3</v>
      </c>
      <c r="AN367">
        <v>3.1017193616135453E-3</v>
      </c>
      <c r="AO367" t="s">
        <v>19</v>
      </c>
      <c r="AT367" t="str">
        <f t="shared" si="10"/>
        <v>car</v>
      </c>
      <c r="AU367" t="str">
        <f t="shared" si="11"/>
        <v>lpg</v>
      </c>
    </row>
    <row r="368" spans="1:47">
      <c r="A368" t="s">
        <v>17</v>
      </c>
      <c r="B368" t="s">
        <v>176</v>
      </c>
      <c r="C368" t="s">
        <v>617</v>
      </c>
      <c r="D368" t="s">
        <v>19</v>
      </c>
      <c r="E368" t="s">
        <v>19</v>
      </c>
      <c r="F368" t="s">
        <v>19</v>
      </c>
      <c r="G368" t="s">
        <v>597</v>
      </c>
      <c r="H368" t="s">
        <v>19</v>
      </c>
      <c r="I368" t="s">
        <v>19</v>
      </c>
      <c r="J368" t="s">
        <v>19</v>
      </c>
      <c r="K368" t="s">
        <v>19</v>
      </c>
      <c r="L368">
        <v>6.3275074976916326E-2</v>
      </c>
      <c r="M368">
        <v>0</v>
      </c>
      <c r="N368">
        <v>6.2034387232270905E-4</v>
      </c>
      <c r="O368">
        <v>2.6674786509876487E-2</v>
      </c>
      <c r="P368">
        <v>0.24565617343979276</v>
      </c>
      <c r="Q368">
        <v>9.4912612465374482E-2</v>
      </c>
      <c r="R368">
        <v>9.3051580848406354E-3</v>
      </c>
      <c r="S368">
        <v>0</v>
      </c>
      <c r="T368">
        <v>1.3027221318776889E-2</v>
      </c>
      <c r="U368">
        <v>0.200371070760235</v>
      </c>
      <c r="V368">
        <v>0</v>
      </c>
      <c r="W368">
        <v>0.14019771514493223</v>
      </c>
      <c r="X368">
        <v>1.5508596808067725E-2</v>
      </c>
      <c r="Y368">
        <v>0.15880803131461352</v>
      </c>
      <c r="Z368">
        <v>3.7840976211685251E-2</v>
      </c>
      <c r="AA368">
        <v>1.0545845829486054E-2</v>
      </c>
      <c r="AB368">
        <v>0.37158597952130268</v>
      </c>
      <c r="AC368">
        <v>4.3424071062589638E-3</v>
      </c>
      <c r="AD368">
        <v>2.6054442637553778E-2</v>
      </c>
      <c r="AE368">
        <v>4.9627509785816724E-3</v>
      </c>
      <c r="AF368">
        <v>4.2183383317944217E-2</v>
      </c>
      <c r="AG368">
        <v>9.5532956337697192E-2</v>
      </c>
      <c r="AH368">
        <v>4.3424071062589638E-3</v>
      </c>
      <c r="AI368">
        <v>6.2034387232270905E-4</v>
      </c>
      <c r="AJ368">
        <v>7.816332791266134E-2</v>
      </c>
      <c r="AK368">
        <v>0</v>
      </c>
      <c r="AL368">
        <v>1.2406877446454181E-3</v>
      </c>
      <c r="AM368">
        <v>5.5830948509043811E-3</v>
      </c>
      <c r="AN368">
        <v>3.1017193616135453E-3</v>
      </c>
      <c r="AO368" t="s">
        <v>19</v>
      </c>
      <c r="AT368" t="str">
        <f t="shared" si="10"/>
        <v>car</v>
      </c>
      <c r="AU368" t="str">
        <f t="shared" si="11"/>
        <v>lpg</v>
      </c>
    </row>
    <row r="369" spans="1:47">
      <c r="A369" t="s">
        <v>17</v>
      </c>
      <c r="B369" t="s">
        <v>176</v>
      </c>
      <c r="C369" t="s">
        <v>617</v>
      </c>
      <c r="D369" t="s">
        <v>19</v>
      </c>
      <c r="E369" t="s">
        <v>19</v>
      </c>
      <c r="F369" t="s">
        <v>19</v>
      </c>
      <c r="G369" t="s">
        <v>596</v>
      </c>
      <c r="H369" t="s">
        <v>19</v>
      </c>
      <c r="I369" t="s">
        <v>19</v>
      </c>
      <c r="J369" t="s">
        <v>19</v>
      </c>
      <c r="K369" t="s">
        <v>19</v>
      </c>
      <c r="L369">
        <v>6.3275074976916326E-2</v>
      </c>
      <c r="M369">
        <v>0</v>
      </c>
      <c r="N369">
        <v>6.2034387232270905E-4</v>
      </c>
      <c r="O369">
        <v>2.6674786509876487E-2</v>
      </c>
      <c r="P369">
        <v>0.24565617343979276</v>
      </c>
      <c r="Q369">
        <v>9.4912612465374482E-2</v>
      </c>
      <c r="R369">
        <v>9.3051580848406354E-3</v>
      </c>
      <c r="S369">
        <v>0</v>
      </c>
      <c r="T369">
        <v>1.3027221318776889E-2</v>
      </c>
      <c r="U369">
        <v>0.200371070760235</v>
      </c>
      <c r="V369">
        <v>0</v>
      </c>
      <c r="W369">
        <v>0.14019771514493223</v>
      </c>
      <c r="X369">
        <v>1.5508596808067725E-2</v>
      </c>
      <c r="Y369">
        <v>0.15880803131461352</v>
      </c>
      <c r="Z369">
        <v>3.7840976211685251E-2</v>
      </c>
      <c r="AA369">
        <v>1.0545845829486054E-2</v>
      </c>
      <c r="AB369">
        <v>0.37158597952130268</v>
      </c>
      <c r="AC369">
        <v>4.3424071062589638E-3</v>
      </c>
      <c r="AD369">
        <v>2.6054442637553778E-2</v>
      </c>
      <c r="AE369">
        <v>4.9627509785816724E-3</v>
      </c>
      <c r="AF369">
        <v>4.2183383317944217E-2</v>
      </c>
      <c r="AG369">
        <v>9.5532956337697192E-2</v>
      </c>
      <c r="AH369">
        <v>4.3424071062589638E-3</v>
      </c>
      <c r="AI369">
        <v>6.2034387232270905E-4</v>
      </c>
      <c r="AJ369">
        <v>7.816332791266134E-2</v>
      </c>
      <c r="AK369">
        <v>0</v>
      </c>
      <c r="AL369">
        <v>1.2406877446454181E-3</v>
      </c>
      <c r="AM369">
        <v>5.5830948509043811E-3</v>
      </c>
      <c r="AN369">
        <v>3.1017193616135453E-3</v>
      </c>
      <c r="AO369" t="s">
        <v>19</v>
      </c>
      <c r="AT369" t="str">
        <f t="shared" si="10"/>
        <v>car</v>
      </c>
      <c r="AU369" t="str">
        <f t="shared" si="11"/>
        <v>lpg</v>
      </c>
    </row>
    <row r="370" spans="1:47">
      <c r="A370" t="s">
        <v>17</v>
      </c>
      <c r="B370" t="s">
        <v>176</v>
      </c>
      <c r="C370" t="s">
        <v>617</v>
      </c>
      <c r="D370" t="s">
        <v>19</v>
      </c>
      <c r="E370" t="s">
        <v>19</v>
      </c>
      <c r="F370" t="s">
        <v>19</v>
      </c>
      <c r="G370" t="s">
        <v>178</v>
      </c>
      <c r="H370" t="s">
        <v>19</v>
      </c>
      <c r="I370" t="s">
        <v>19</v>
      </c>
      <c r="J370" t="s">
        <v>19</v>
      </c>
      <c r="K370" t="s">
        <v>19</v>
      </c>
      <c r="L370">
        <v>6.3275074976916326E-2</v>
      </c>
      <c r="M370">
        <v>0</v>
      </c>
      <c r="N370">
        <v>6.2034387232270905E-4</v>
      </c>
      <c r="O370">
        <v>2.6674786509876487E-2</v>
      </c>
      <c r="P370">
        <v>0.24565617343979276</v>
      </c>
      <c r="Q370">
        <v>9.4912612465374482E-2</v>
      </c>
      <c r="R370">
        <v>9.3051580848406354E-3</v>
      </c>
      <c r="S370">
        <v>0</v>
      </c>
      <c r="T370">
        <v>1.3027221318776889E-2</v>
      </c>
      <c r="U370">
        <v>0.200371070760235</v>
      </c>
      <c r="V370">
        <v>0</v>
      </c>
      <c r="W370">
        <v>0.14019771514493223</v>
      </c>
      <c r="X370">
        <v>1.5508596808067725E-2</v>
      </c>
      <c r="Y370">
        <v>0.15880803131461352</v>
      </c>
      <c r="Z370">
        <v>3.7840976211685251E-2</v>
      </c>
      <c r="AA370">
        <v>1.0545845829486054E-2</v>
      </c>
      <c r="AB370">
        <v>0.37158597952130268</v>
      </c>
      <c r="AC370">
        <v>4.3424071062589638E-3</v>
      </c>
      <c r="AD370">
        <v>2.6054442637553778E-2</v>
      </c>
      <c r="AE370">
        <v>4.9627509785816724E-3</v>
      </c>
      <c r="AF370">
        <v>4.2183383317944217E-2</v>
      </c>
      <c r="AG370">
        <v>9.5532956337697192E-2</v>
      </c>
      <c r="AH370">
        <v>4.3424071062589638E-3</v>
      </c>
      <c r="AI370">
        <v>6.2034387232270905E-4</v>
      </c>
      <c r="AJ370">
        <v>7.816332791266134E-2</v>
      </c>
      <c r="AK370">
        <v>0</v>
      </c>
      <c r="AL370">
        <v>1.2406877446454181E-3</v>
      </c>
      <c r="AM370">
        <v>5.5830948509043811E-3</v>
      </c>
      <c r="AN370">
        <v>3.1017193616135453E-3</v>
      </c>
      <c r="AO370" t="s">
        <v>19</v>
      </c>
      <c r="AT370" t="str">
        <f t="shared" si="10"/>
        <v>car</v>
      </c>
      <c r="AU370" t="str">
        <f t="shared" si="11"/>
        <v>lpg</v>
      </c>
    </row>
    <row r="371" spans="1:47">
      <c r="A371" t="s">
        <v>17</v>
      </c>
      <c r="B371" t="s">
        <v>176</v>
      </c>
      <c r="C371" t="s">
        <v>617</v>
      </c>
      <c r="D371" t="s">
        <v>19</v>
      </c>
      <c r="E371" t="s">
        <v>19</v>
      </c>
      <c r="F371" t="s">
        <v>19</v>
      </c>
      <c r="G371" t="s">
        <v>179</v>
      </c>
      <c r="H371" t="s">
        <v>19</v>
      </c>
      <c r="I371" t="s">
        <v>19</v>
      </c>
      <c r="J371" t="s">
        <v>19</v>
      </c>
      <c r="K371" t="s">
        <v>19</v>
      </c>
      <c r="L371">
        <v>6.3275074976916326E-2</v>
      </c>
      <c r="M371">
        <v>0</v>
      </c>
      <c r="N371">
        <v>6.2034387232270905E-4</v>
      </c>
      <c r="O371">
        <v>2.6674786509876487E-2</v>
      </c>
      <c r="P371">
        <v>0.24565617343979276</v>
      </c>
      <c r="Q371">
        <v>9.4912612465374482E-2</v>
      </c>
      <c r="R371">
        <v>9.3051580848406354E-3</v>
      </c>
      <c r="S371">
        <v>0</v>
      </c>
      <c r="T371">
        <v>1.3027221318776889E-2</v>
      </c>
      <c r="U371">
        <v>0.200371070760235</v>
      </c>
      <c r="V371">
        <v>0</v>
      </c>
      <c r="W371">
        <v>0.14019771514493223</v>
      </c>
      <c r="X371">
        <v>1.5508596808067725E-2</v>
      </c>
      <c r="Y371">
        <v>0.15880803131461352</v>
      </c>
      <c r="Z371">
        <v>3.7840976211685251E-2</v>
      </c>
      <c r="AA371">
        <v>1.0545845829486054E-2</v>
      </c>
      <c r="AB371">
        <v>0.37158597952130268</v>
      </c>
      <c r="AC371">
        <v>4.3424071062589638E-3</v>
      </c>
      <c r="AD371">
        <v>2.6054442637553778E-2</v>
      </c>
      <c r="AE371">
        <v>4.9627509785816724E-3</v>
      </c>
      <c r="AF371">
        <v>4.2183383317944217E-2</v>
      </c>
      <c r="AG371">
        <v>9.5532956337697192E-2</v>
      </c>
      <c r="AH371">
        <v>4.3424071062589638E-3</v>
      </c>
      <c r="AI371">
        <v>6.2034387232270905E-4</v>
      </c>
      <c r="AJ371">
        <v>7.816332791266134E-2</v>
      </c>
      <c r="AK371">
        <v>0</v>
      </c>
      <c r="AL371">
        <v>1.2406877446454181E-3</v>
      </c>
      <c r="AM371">
        <v>5.5830948509043811E-3</v>
      </c>
      <c r="AN371">
        <v>3.1017193616135453E-3</v>
      </c>
      <c r="AO371" t="s">
        <v>19</v>
      </c>
      <c r="AT371" t="str">
        <f t="shared" si="10"/>
        <v>car</v>
      </c>
      <c r="AU371" t="str">
        <f t="shared" si="11"/>
        <v>lpg</v>
      </c>
    </row>
    <row r="372" spans="1:47">
      <c r="A372" t="s">
        <v>17</v>
      </c>
      <c r="B372" t="s">
        <v>176</v>
      </c>
      <c r="C372" t="s">
        <v>617</v>
      </c>
      <c r="D372" t="s">
        <v>19</v>
      </c>
      <c r="E372" t="s">
        <v>19</v>
      </c>
      <c r="F372" t="s">
        <v>19</v>
      </c>
      <c r="G372" t="s">
        <v>180</v>
      </c>
      <c r="H372" t="s">
        <v>19</v>
      </c>
      <c r="I372" t="s">
        <v>19</v>
      </c>
      <c r="J372" t="s">
        <v>19</v>
      </c>
      <c r="K372" t="s">
        <v>19</v>
      </c>
      <c r="L372">
        <v>6.3275074976916326E-2</v>
      </c>
      <c r="M372">
        <v>0</v>
      </c>
      <c r="N372">
        <v>6.2034387232270905E-4</v>
      </c>
      <c r="O372">
        <v>2.6674786509876487E-2</v>
      </c>
      <c r="P372">
        <v>0.24565617343979276</v>
      </c>
      <c r="Q372">
        <v>9.4912612465374482E-2</v>
      </c>
      <c r="R372">
        <v>9.3051580848406354E-3</v>
      </c>
      <c r="S372">
        <v>0</v>
      </c>
      <c r="T372">
        <v>1.3027221318776889E-2</v>
      </c>
      <c r="U372">
        <v>0.200371070760235</v>
      </c>
      <c r="V372">
        <v>0</v>
      </c>
      <c r="W372">
        <v>0.14019771514493223</v>
      </c>
      <c r="X372">
        <v>1.5508596808067725E-2</v>
      </c>
      <c r="Y372">
        <v>0.15880803131461352</v>
      </c>
      <c r="Z372">
        <v>3.7840976211685251E-2</v>
      </c>
      <c r="AA372">
        <v>1.0545845829486054E-2</v>
      </c>
      <c r="AB372">
        <v>0.37158597952130268</v>
      </c>
      <c r="AC372">
        <v>4.3424071062589638E-3</v>
      </c>
      <c r="AD372">
        <v>2.6054442637553778E-2</v>
      </c>
      <c r="AE372">
        <v>4.9627509785816724E-3</v>
      </c>
      <c r="AF372">
        <v>4.2183383317944217E-2</v>
      </c>
      <c r="AG372">
        <v>9.5532956337697192E-2</v>
      </c>
      <c r="AH372">
        <v>4.3424071062589638E-3</v>
      </c>
      <c r="AI372">
        <v>6.2034387232270905E-4</v>
      </c>
      <c r="AJ372">
        <v>7.816332791266134E-2</v>
      </c>
      <c r="AK372">
        <v>0</v>
      </c>
      <c r="AL372">
        <v>1.2406877446454181E-3</v>
      </c>
      <c r="AM372">
        <v>5.5830948509043811E-3</v>
      </c>
      <c r="AN372">
        <v>3.1017193616135453E-3</v>
      </c>
      <c r="AO372" t="s">
        <v>19</v>
      </c>
      <c r="AT372" t="str">
        <f t="shared" si="10"/>
        <v>car</v>
      </c>
      <c r="AU372" t="str">
        <f t="shared" si="11"/>
        <v>lpg</v>
      </c>
    </row>
    <row r="373" spans="1:47">
      <c r="A373" t="s">
        <v>17</v>
      </c>
      <c r="B373" t="s">
        <v>176</v>
      </c>
      <c r="C373" t="s">
        <v>617</v>
      </c>
      <c r="D373" t="s">
        <v>19</v>
      </c>
      <c r="E373" t="s">
        <v>19</v>
      </c>
      <c r="F373" t="s">
        <v>19</v>
      </c>
      <c r="G373" t="s">
        <v>181</v>
      </c>
      <c r="H373" t="s">
        <v>19</v>
      </c>
      <c r="I373" t="s">
        <v>19</v>
      </c>
      <c r="J373" t="s">
        <v>19</v>
      </c>
      <c r="K373" t="s">
        <v>19</v>
      </c>
      <c r="L373">
        <v>6.3275074976916326E-2</v>
      </c>
      <c r="M373">
        <v>0</v>
      </c>
      <c r="N373">
        <v>6.2034387232270905E-4</v>
      </c>
      <c r="O373">
        <v>2.6674786509876487E-2</v>
      </c>
      <c r="P373">
        <v>0.24565617343979276</v>
      </c>
      <c r="Q373">
        <v>9.4912612465374482E-2</v>
      </c>
      <c r="R373">
        <v>9.3051580848406354E-3</v>
      </c>
      <c r="S373">
        <v>0</v>
      </c>
      <c r="T373">
        <v>1.3027221318776889E-2</v>
      </c>
      <c r="U373">
        <v>0.200371070760235</v>
      </c>
      <c r="V373">
        <v>0</v>
      </c>
      <c r="W373">
        <v>0.14019771514493223</v>
      </c>
      <c r="X373">
        <v>1.5508596808067725E-2</v>
      </c>
      <c r="Y373">
        <v>0.15880803131461352</v>
      </c>
      <c r="Z373">
        <v>3.7840976211685251E-2</v>
      </c>
      <c r="AA373">
        <v>1.0545845829486054E-2</v>
      </c>
      <c r="AB373">
        <v>0.37158597952130268</v>
      </c>
      <c r="AC373">
        <v>4.3424071062589638E-3</v>
      </c>
      <c r="AD373">
        <v>2.6054442637553778E-2</v>
      </c>
      <c r="AE373">
        <v>4.9627509785816724E-3</v>
      </c>
      <c r="AF373">
        <v>4.2183383317944217E-2</v>
      </c>
      <c r="AG373">
        <v>9.5532956337697192E-2</v>
      </c>
      <c r="AH373">
        <v>4.3424071062589638E-3</v>
      </c>
      <c r="AI373">
        <v>6.2034387232270905E-4</v>
      </c>
      <c r="AJ373">
        <v>7.816332791266134E-2</v>
      </c>
      <c r="AK373">
        <v>0</v>
      </c>
      <c r="AL373">
        <v>1.2406877446454181E-3</v>
      </c>
      <c r="AM373">
        <v>5.5830948509043811E-3</v>
      </c>
      <c r="AN373">
        <v>3.1017193616135453E-3</v>
      </c>
      <c r="AO373" t="s">
        <v>19</v>
      </c>
      <c r="AT373" t="str">
        <f t="shared" si="10"/>
        <v>car</v>
      </c>
      <c r="AU373" t="str">
        <f t="shared" si="11"/>
        <v>lpg</v>
      </c>
    </row>
    <row r="374" spans="1:47">
      <c r="A374" t="s">
        <v>17</v>
      </c>
      <c r="B374" t="s">
        <v>176</v>
      </c>
      <c r="C374" t="s">
        <v>617</v>
      </c>
      <c r="D374" t="s">
        <v>19</v>
      </c>
      <c r="E374" t="s">
        <v>19</v>
      </c>
      <c r="F374" t="s">
        <v>19</v>
      </c>
      <c r="G374" t="s">
        <v>182</v>
      </c>
      <c r="H374" t="s">
        <v>19</v>
      </c>
      <c r="I374" t="s">
        <v>19</v>
      </c>
      <c r="J374" t="s">
        <v>19</v>
      </c>
      <c r="K374" t="s">
        <v>19</v>
      </c>
      <c r="L374">
        <v>6.3275074976916326E-2</v>
      </c>
      <c r="M374">
        <v>0</v>
      </c>
      <c r="N374">
        <v>6.2034387232270905E-4</v>
      </c>
      <c r="O374">
        <v>2.6674786509876487E-2</v>
      </c>
      <c r="P374">
        <v>0.24565617343979276</v>
      </c>
      <c r="Q374">
        <v>9.4912612465374482E-2</v>
      </c>
      <c r="R374">
        <v>9.3051580848406354E-3</v>
      </c>
      <c r="S374">
        <v>0</v>
      </c>
      <c r="T374">
        <v>1.3027221318776889E-2</v>
      </c>
      <c r="U374">
        <v>0.200371070760235</v>
      </c>
      <c r="V374">
        <v>0</v>
      </c>
      <c r="W374">
        <v>0.14019771514493223</v>
      </c>
      <c r="X374">
        <v>1.5508596808067725E-2</v>
      </c>
      <c r="Y374">
        <v>0.15880803131461352</v>
      </c>
      <c r="Z374">
        <v>3.7840976211685251E-2</v>
      </c>
      <c r="AA374">
        <v>1.0545845829486054E-2</v>
      </c>
      <c r="AB374">
        <v>0.37158597952130268</v>
      </c>
      <c r="AC374">
        <v>4.3424071062589638E-3</v>
      </c>
      <c r="AD374">
        <v>2.6054442637553778E-2</v>
      </c>
      <c r="AE374">
        <v>4.9627509785816724E-3</v>
      </c>
      <c r="AF374">
        <v>4.2183383317944217E-2</v>
      </c>
      <c r="AG374">
        <v>9.5532956337697192E-2</v>
      </c>
      <c r="AH374">
        <v>4.3424071062589638E-3</v>
      </c>
      <c r="AI374">
        <v>6.2034387232270905E-4</v>
      </c>
      <c r="AJ374">
        <v>7.816332791266134E-2</v>
      </c>
      <c r="AK374">
        <v>0</v>
      </c>
      <c r="AL374">
        <v>1.2406877446454181E-3</v>
      </c>
      <c r="AM374">
        <v>5.5830948509043811E-3</v>
      </c>
      <c r="AN374">
        <v>3.1017193616135453E-3</v>
      </c>
      <c r="AO374" t="s">
        <v>19</v>
      </c>
      <c r="AT374" t="str">
        <f t="shared" si="10"/>
        <v>car</v>
      </c>
      <c r="AU374" t="str">
        <f t="shared" si="11"/>
        <v>lpg</v>
      </c>
    </row>
    <row r="375" spans="1:47">
      <c r="A375" t="s">
        <v>17</v>
      </c>
      <c r="B375" t="s">
        <v>176</v>
      </c>
      <c r="C375" t="s">
        <v>617</v>
      </c>
      <c r="D375" t="s">
        <v>19</v>
      </c>
      <c r="E375" t="s">
        <v>19</v>
      </c>
      <c r="F375" t="s">
        <v>19</v>
      </c>
      <c r="G375" t="s">
        <v>183</v>
      </c>
      <c r="H375" t="s">
        <v>19</v>
      </c>
      <c r="I375" t="s">
        <v>19</v>
      </c>
      <c r="J375" t="s">
        <v>19</v>
      </c>
      <c r="K375" t="s">
        <v>19</v>
      </c>
      <c r="L375">
        <v>6.3275074976916326E-2</v>
      </c>
      <c r="M375">
        <v>0</v>
      </c>
      <c r="N375">
        <v>6.2034387232270905E-4</v>
      </c>
      <c r="O375">
        <v>2.6674786509876487E-2</v>
      </c>
      <c r="P375">
        <v>0.24565617343979276</v>
      </c>
      <c r="Q375">
        <v>9.4912612465374482E-2</v>
      </c>
      <c r="R375">
        <v>9.3051580848406354E-3</v>
      </c>
      <c r="S375">
        <v>0</v>
      </c>
      <c r="T375">
        <v>1.3027221318776889E-2</v>
      </c>
      <c r="U375">
        <v>0.200371070760235</v>
      </c>
      <c r="V375">
        <v>0</v>
      </c>
      <c r="W375">
        <v>0.14019771514493223</v>
      </c>
      <c r="X375">
        <v>1.5508596808067725E-2</v>
      </c>
      <c r="Y375">
        <v>0.15880803131461352</v>
      </c>
      <c r="Z375">
        <v>3.7840976211685251E-2</v>
      </c>
      <c r="AA375">
        <v>1.0545845829486054E-2</v>
      </c>
      <c r="AB375">
        <v>0.37158597952130268</v>
      </c>
      <c r="AC375">
        <v>4.3424071062589638E-3</v>
      </c>
      <c r="AD375">
        <v>2.6054442637553778E-2</v>
      </c>
      <c r="AE375">
        <v>4.9627509785816724E-3</v>
      </c>
      <c r="AF375">
        <v>4.2183383317944217E-2</v>
      </c>
      <c r="AG375">
        <v>9.5532956337697192E-2</v>
      </c>
      <c r="AH375">
        <v>4.3424071062589638E-3</v>
      </c>
      <c r="AI375">
        <v>6.2034387232270905E-4</v>
      </c>
      <c r="AJ375">
        <v>7.816332791266134E-2</v>
      </c>
      <c r="AK375">
        <v>0</v>
      </c>
      <c r="AL375">
        <v>1.2406877446454181E-3</v>
      </c>
      <c r="AM375">
        <v>5.5830948509043811E-3</v>
      </c>
      <c r="AN375">
        <v>3.1017193616135453E-3</v>
      </c>
      <c r="AO375" t="s">
        <v>19</v>
      </c>
      <c r="AT375" t="str">
        <f t="shared" si="10"/>
        <v>car</v>
      </c>
      <c r="AU375" t="str">
        <f t="shared" si="11"/>
        <v>lpg</v>
      </c>
    </row>
    <row r="376" spans="1:47">
      <c r="A376" t="s">
        <v>17</v>
      </c>
      <c r="B376" t="s">
        <v>176</v>
      </c>
      <c r="C376" t="s">
        <v>617</v>
      </c>
      <c r="D376" t="s">
        <v>19</v>
      </c>
      <c r="E376" t="s">
        <v>19</v>
      </c>
      <c r="F376" t="s">
        <v>19</v>
      </c>
      <c r="G376" t="s">
        <v>184</v>
      </c>
      <c r="H376" t="s">
        <v>19</v>
      </c>
      <c r="I376" t="s">
        <v>19</v>
      </c>
      <c r="J376" t="s">
        <v>19</v>
      </c>
      <c r="K376" t="s">
        <v>19</v>
      </c>
      <c r="L376">
        <v>6.3275074976916326E-2</v>
      </c>
      <c r="M376">
        <v>0</v>
      </c>
      <c r="N376">
        <v>6.2034387232270905E-4</v>
      </c>
      <c r="O376">
        <v>2.6674786509876487E-2</v>
      </c>
      <c r="P376">
        <v>0.24565617343979276</v>
      </c>
      <c r="Q376">
        <v>9.4912612465374482E-2</v>
      </c>
      <c r="R376">
        <v>9.3051580848406354E-3</v>
      </c>
      <c r="S376">
        <v>0</v>
      </c>
      <c r="T376">
        <v>1.3027221318776889E-2</v>
      </c>
      <c r="U376">
        <v>0.200371070760235</v>
      </c>
      <c r="V376">
        <v>0</v>
      </c>
      <c r="W376">
        <v>0.14019771514493223</v>
      </c>
      <c r="X376">
        <v>1.5508596808067725E-2</v>
      </c>
      <c r="Y376">
        <v>0.15880803131461352</v>
      </c>
      <c r="Z376">
        <v>3.7840976211685251E-2</v>
      </c>
      <c r="AA376">
        <v>1.0545845829486054E-2</v>
      </c>
      <c r="AB376">
        <v>0.37158597952130268</v>
      </c>
      <c r="AC376">
        <v>4.3424071062589638E-3</v>
      </c>
      <c r="AD376">
        <v>2.6054442637553778E-2</v>
      </c>
      <c r="AE376">
        <v>4.9627509785816724E-3</v>
      </c>
      <c r="AF376">
        <v>4.2183383317944217E-2</v>
      </c>
      <c r="AG376">
        <v>9.5532956337697192E-2</v>
      </c>
      <c r="AH376">
        <v>4.3424071062589638E-3</v>
      </c>
      <c r="AI376">
        <v>6.2034387232270905E-4</v>
      </c>
      <c r="AJ376">
        <v>7.816332791266134E-2</v>
      </c>
      <c r="AK376">
        <v>0</v>
      </c>
      <c r="AL376">
        <v>1.2406877446454181E-3</v>
      </c>
      <c r="AM376">
        <v>5.5830948509043811E-3</v>
      </c>
      <c r="AN376">
        <v>3.1017193616135453E-3</v>
      </c>
      <c r="AO376" t="s">
        <v>19</v>
      </c>
      <c r="AT376" t="str">
        <f t="shared" si="10"/>
        <v>car</v>
      </c>
      <c r="AU376" t="str">
        <f t="shared" si="11"/>
        <v>lpg</v>
      </c>
    </row>
    <row r="377" spans="1:47">
      <c r="A377" t="s">
        <v>17</v>
      </c>
      <c r="B377" t="s">
        <v>176</v>
      </c>
      <c r="C377" t="s">
        <v>617</v>
      </c>
      <c r="D377" t="s">
        <v>19</v>
      </c>
      <c r="E377" t="s">
        <v>19</v>
      </c>
      <c r="F377" t="s">
        <v>19</v>
      </c>
      <c r="G377" t="s">
        <v>185</v>
      </c>
      <c r="H377" t="s">
        <v>19</v>
      </c>
      <c r="I377" t="s">
        <v>19</v>
      </c>
      <c r="J377" t="s">
        <v>19</v>
      </c>
      <c r="K377" t="s">
        <v>19</v>
      </c>
      <c r="L377">
        <v>6.3275074976916326E-2</v>
      </c>
      <c r="M377">
        <v>0</v>
      </c>
      <c r="N377">
        <v>6.2034387232270905E-4</v>
      </c>
      <c r="O377">
        <v>2.6674786509876487E-2</v>
      </c>
      <c r="P377">
        <v>0.24565617343979276</v>
      </c>
      <c r="Q377">
        <v>9.4912612465374482E-2</v>
      </c>
      <c r="R377">
        <v>9.3051580848406354E-3</v>
      </c>
      <c r="S377">
        <v>0</v>
      </c>
      <c r="T377">
        <v>1.3027221318776889E-2</v>
      </c>
      <c r="U377">
        <v>0.200371070760235</v>
      </c>
      <c r="V377">
        <v>0</v>
      </c>
      <c r="W377">
        <v>0.14019771514493223</v>
      </c>
      <c r="X377">
        <v>1.5508596808067725E-2</v>
      </c>
      <c r="Y377">
        <v>0.15880803131461352</v>
      </c>
      <c r="Z377">
        <v>3.7840976211685251E-2</v>
      </c>
      <c r="AA377">
        <v>1.0545845829486054E-2</v>
      </c>
      <c r="AB377">
        <v>0.37158597952130268</v>
      </c>
      <c r="AC377">
        <v>4.3424071062589638E-3</v>
      </c>
      <c r="AD377">
        <v>2.6054442637553778E-2</v>
      </c>
      <c r="AE377">
        <v>4.9627509785816724E-3</v>
      </c>
      <c r="AF377">
        <v>4.2183383317944217E-2</v>
      </c>
      <c r="AG377">
        <v>9.5532956337697192E-2</v>
      </c>
      <c r="AH377">
        <v>4.3424071062589638E-3</v>
      </c>
      <c r="AI377">
        <v>6.2034387232270905E-4</v>
      </c>
      <c r="AJ377">
        <v>7.816332791266134E-2</v>
      </c>
      <c r="AK377">
        <v>0</v>
      </c>
      <c r="AL377">
        <v>1.2406877446454181E-3</v>
      </c>
      <c r="AM377">
        <v>5.5830948509043811E-3</v>
      </c>
      <c r="AN377">
        <v>3.1017193616135453E-3</v>
      </c>
      <c r="AO377" t="s">
        <v>19</v>
      </c>
      <c r="AT377" t="str">
        <f t="shared" si="10"/>
        <v>car</v>
      </c>
      <c r="AU377" t="str">
        <f t="shared" si="11"/>
        <v>lpg</v>
      </c>
    </row>
    <row r="378" spans="1:47">
      <c r="A378" t="s">
        <v>17</v>
      </c>
      <c r="B378" t="s">
        <v>176</v>
      </c>
      <c r="C378" t="s">
        <v>617</v>
      </c>
      <c r="D378" t="s">
        <v>19</v>
      </c>
      <c r="E378" t="s">
        <v>19</v>
      </c>
      <c r="F378" t="s">
        <v>19</v>
      </c>
      <c r="G378" t="s">
        <v>186</v>
      </c>
      <c r="H378" t="s">
        <v>19</v>
      </c>
      <c r="I378" t="s">
        <v>19</v>
      </c>
      <c r="J378" t="s">
        <v>19</v>
      </c>
      <c r="K378" t="s">
        <v>19</v>
      </c>
      <c r="L378">
        <v>6.3275074976916326E-2</v>
      </c>
      <c r="M378">
        <v>0</v>
      </c>
      <c r="N378">
        <v>6.2034387232270905E-4</v>
      </c>
      <c r="O378">
        <v>2.6674786509876487E-2</v>
      </c>
      <c r="P378">
        <v>0.24565617343979276</v>
      </c>
      <c r="Q378">
        <v>9.4912612465374482E-2</v>
      </c>
      <c r="R378">
        <v>9.3051580848406354E-3</v>
      </c>
      <c r="S378">
        <v>0</v>
      </c>
      <c r="T378">
        <v>1.3027221318776889E-2</v>
      </c>
      <c r="U378">
        <v>0.200371070760235</v>
      </c>
      <c r="V378">
        <v>0</v>
      </c>
      <c r="W378">
        <v>0.14019771514493223</v>
      </c>
      <c r="X378">
        <v>1.5508596808067725E-2</v>
      </c>
      <c r="Y378">
        <v>0.15880803131461352</v>
      </c>
      <c r="Z378">
        <v>3.7840976211685251E-2</v>
      </c>
      <c r="AA378">
        <v>1.0545845829486054E-2</v>
      </c>
      <c r="AB378">
        <v>0.37158597952130268</v>
      </c>
      <c r="AC378">
        <v>4.3424071062589638E-3</v>
      </c>
      <c r="AD378">
        <v>2.6054442637553778E-2</v>
      </c>
      <c r="AE378">
        <v>4.9627509785816724E-3</v>
      </c>
      <c r="AF378">
        <v>4.2183383317944217E-2</v>
      </c>
      <c r="AG378">
        <v>9.5532956337697192E-2</v>
      </c>
      <c r="AH378">
        <v>4.3424071062589638E-3</v>
      </c>
      <c r="AI378">
        <v>6.2034387232270905E-4</v>
      </c>
      <c r="AJ378">
        <v>7.816332791266134E-2</v>
      </c>
      <c r="AK378">
        <v>0</v>
      </c>
      <c r="AL378">
        <v>1.2406877446454181E-3</v>
      </c>
      <c r="AM378">
        <v>5.5830948509043811E-3</v>
      </c>
      <c r="AN378">
        <v>3.1017193616135453E-3</v>
      </c>
      <c r="AO378" t="s">
        <v>19</v>
      </c>
      <c r="AT378" t="str">
        <f t="shared" si="10"/>
        <v>car</v>
      </c>
      <c r="AU378" t="str">
        <f t="shared" si="11"/>
        <v>lpg</v>
      </c>
    </row>
    <row r="379" spans="1:47">
      <c r="A379" t="s">
        <v>17</v>
      </c>
      <c r="B379" t="s">
        <v>176</v>
      </c>
      <c r="C379" t="s">
        <v>617</v>
      </c>
      <c r="D379" t="s">
        <v>19</v>
      </c>
      <c r="E379" t="s">
        <v>19</v>
      </c>
      <c r="F379" t="s">
        <v>19</v>
      </c>
      <c r="G379" t="s">
        <v>187</v>
      </c>
      <c r="H379" t="s">
        <v>19</v>
      </c>
      <c r="I379" t="s">
        <v>19</v>
      </c>
      <c r="J379" t="s">
        <v>19</v>
      </c>
      <c r="K379" t="s">
        <v>19</v>
      </c>
      <c r="L379">
        <v>6.3275074976916326E-2</v>
      </c>
      <c r="M379">
        <v>0</v>
      </c>
      <c r="N379">
        <v>6.2034387232270905E-4</v>
      </c>
      <c r="O379">
        <v>2.6674786509876487E-2</v>
      </c>
      <c r="P379">
        <v>0.24565617343979276</v>
      </c>
      <c r="Q379">
        <v>9.4912612465374482E-2</v>
      </c>
      <c r="R379">
        <v>9.3051580848406354E-3</v>
      </c>
      <c r="S379">
        <v>0</v>
      </c>
      <c r="T379">
        <v>1.3027221318776889E-2</v>
      </c>
      <c r="U379">
        <v>0.200371070760235</v>
      </c>
      <c r="V379">
        <v>0</v>
      </c>
      <c r="W379">
        <v>0.14019771514493223</v>
      </c>
      <c r="X379">
        <v>1.5508596808067725E-2</v>
      </c>
      <c r="Y379">
        <v>0.15880803131461352</v>
      </c>
      <c r="Z379">
        <v>3.7840976211685251E-2</v>
      </c>
      <c r="AA379">
        <v>1.0545845829486054E-2</v>
      </c>
      <c r="AB379">
        <v>0.37158597952130268</v>
      </c>
      <c r="AC379">
        <v>4.3424071062589638E-3</v>
      </c>
      <c r="AD379">
        <v>2.6054442637553778E-2</v>
      </c>
      <c r="AE379">
        <v>4.9627509785816724E-3</v>
      </c>
      <c r="AF379">
        <v>4.2183383317944217E-2</v>
      </c>
      <c r="AG379">
        <v>9.5532956337697192E-2</v>
      </c>
      <c r="AH379">
        <v>4.3424071062589638E-3</v>
      </c>
      <c r="AI379">
        <v>6.2034387232270905E-4</v>
      </c>
      <c r="AJ379">
        <v>7.816332791266134E-2</v>
      </c>
      <c r="AK379">
        <v>0</v>
      </c>
      <c r="AL379">
        <v>1.2406877446454181E-3</v>
      </c>
      <c r="AM379">
        <v>5.5830948509043811E-3</v>
      </c>
      <c r="AN379">
        <v>3.1017193616135453E-3</v>
      </c>
      <c r="AO379" t="s">
        <v>19</v>
      </c>
      <c r="AT379" t="str">
        <f t="shared" si="10"/>
        <v>car</v>
      </c>
      <c r="AU379" t="str">
        <f t="shared" si="11"/>
        <v>lpg</v>
      </c>
    </row>
    <row r="380" spans="1:47">
      <c r="A380" t="s">
        <v>17</v>
      </c>
      <c r="B380" t="s">
        <v>176</v>
      </c>
      <c r="C380" t="s">
        <v>617</v>
      </c>
      <c r="D380" t="s">
        <v>19</v>
      </c>
      <c r="E380" t="s">
        <v>19</v>
      </c>
      <c r="F380" t="s">
        <v>19</v>
      </c>
      <c r="G380" t="s">
        <v>188</v>
      </c>
      <c r="H380" t="s">
        <v>19</v>
      </c>
      <c r="I380" t="s">
        <v>19</v>
      </c>
      <c r="J380" t="s">
        <v>19</v>
      </c>
      <c r="K380" t="s">
        <v>19</v>
      </c>
      <c r="L380">
        <v>6.3275074976916326E-2</v>
      </c>
      <c r="M380">
        <v>0</v>
      </c>
      <c r="N380">
        <v>6.2034387232270905E-4</v>
      </c>
      <c r="O380">
        <v>2.6674786509876487E-2</v>
      </c>
      <c r="P380">
        <v>0.24565617343979276</v>
      </c>
      <c r="Q380">
        <v>9.4912612465374482E-2</v>
      </c>
      <c r="R380">
        <v>9.3051580848406354E-3</v>
      </c>
      <c r="S380">
        <v>0</v>
      </c>
      <c r="T380">
        <v>1.3027221318776889E-2</v>
      </c>
      <c r="U380">
        <v>0.200371070760235</v>
      </c>
      <c r="V380">
        <v>0</v>
      </c>
      <c r="W380">
        <v>0.14019771514493223</v>
      </c>
      <c r="X380">
        <v>1.5508596808067725E-2</v>
      </c>
      <c r="Y380">
        <v>0.15880803131461352</v>
      </c>
      <c r="Z380">
        <v>3.7840976211685251E-2</v>
      </c>
      <c r="AA380">
        <v>1.0545845829486054E-2</v>
      </c>
      <c r="AB380">
        <v>0.37158597952130268</v>
      </c>
      <c r="AC380">
        <v>4.3424071062589638E-3</v>
      </c>
      <c r="AD380">
        <v>2.6054442637553778E-2</v>
      </c>
      <c r="AE380">
        <v>4.9627509785816724E-3</v>
      </c>
      <c r="AF380">
        <v>4.2183383317944217E-2</v>
      </c>
      <c r="AG380">
        <v>9.5532956337697192E-2</v>
      </c>
      <c r="AH380">
        <v>4.3424071062589638E-3</v>
      </c>
      <c r="AI380">
        <v>6.2034387232270905E-4</v>
      </c>
      <c r="AJ380">
        <v>7.816332791266134E-2</v>
      </c>
      <c r="AK380">
        <v>0</v>
      </c>
      <c r="AL380">
        <v>1.2406877446454181E-3</v>
      </c>
      <c r="AM380">
        <v>5.5830948509043811E-3</v>
      </c>
      <c r="AN380">
        <v>3.1017193616135453E-3</v>
      </c>
      <c r="AO380" t="s">
        <v>19</v>
      </c>
      <c r="AT380" t="str">
        <f t="shared" si="10"/>
        <v>car</v>
      </c>
      <c r="AU380" t="str">
        <f t="shared" si="11"/>
        <v>lpg</v>
      </c>
    </row>
    <row r="381" spans="1:47">
      <c r="A381" t="s">
        <v>17</v>
      </c>
      <c r="B381" t="s">
        <v>176</v>
      </c>
      <c r="C381" t="s">
        <v>617</v>
      </c>
      <c r="D381" t="s">
        <v>19</v>
      </c>
      <c r="E381" t="s">
        <v>19</v>
      </c>
      <c r="F381" t="s">
        <v>19</v>
      </c>
      <c r="G381" t="s">
        <v>100</v>
      </c>
      <c r="H381" t="s">
        <v>19</v>
      </c>
      <c r="I381" t="s">
        <v>19</v>
      </c>
      <c r="J381" t="s">
        <v>19</v>
      </c>
      <c r="K381" t="s">
        <v>19</v>
      </c>
      <c r="L381">
        <v>6.3275074976916326E-2</v>
      </c>
      <c r="M381">
        <v>0</v>
      </c>
      <c r="N381">
        <v>6.2034387232270905E-4</v>
      </c>
      <c r="O381">
        <v>2.6674786509876487E-2</v>
      </c>
      <c r="P381">
        <v>0.24565617343979276</v>
      </c>
      <c r="Q381">
        <v>9.4912612465374482E-2</v>
      </c>
      <c r="R381">
        <v>9.3051580848406354E-3</v>
      </c>
      <c r="S381">
        <v>0</v>
      </c>
      <c r="T381">
        <v>1.3027221318776889E-2</v>
      </c>
      <c r="U381">
        <v>0.200371070760235</v>
      </c>
      <c r="V381">
        <v>0</v>
      </c>
      <c r="W381">
        <v>0.14019771514493223</v>
      </c>
      <c r="X381">
        <v>1.5508596808067725E-2</v>
      </c>
      <c r="Y381">
        <v>0.15880803131461352</v>
      </c>
      <c r="Z381">
        <v>3.7840976211685251E-2</v>
      </c>
      <c r="AA381">
        <v>1.0545845829486054E-2</v>
      </c>
      <c r="AB381">
        <v>0.37158597952130268</v>
      </c>
      <c r="AC381">
        <v>4.3424071062589638E-3</v>
      </c>
      <c r="AD381">
        <v>2.6054442637553778E-2</v>
      </c>
      <c r="AE381">
        <v>4.9627509785816724E-3</v>
      </c>
      <c r="AF381">
        <v>4.2183383317944217E-2</v>
      </c>
      <c r="AG381">
        <v>9.5532956337697192E-2</v>
      </c>
      <c r="AH381">
        <v>4.3424071062589638E-3</v>
      </c>
      <c r="AI381">
        <v>6.2034387232270905E-4</v>
      </c>
      <c r="AJ381">
        <v>7.816332791266134E-2</v>
      </c>
      <c r="AK381">
        <v>0</v>
      </c>
      <c r="AL381">
        <v>1.2406877446454181E-3</v>
      </c>
      <c r="AM381">
        <v>5.5830948509043811E-3</v>
      </c>
      <c r="AN381">
        <v>3.1017193616135453E-3</v>
      </c>
      <c r="AO381" t="s">
        <v>19</v>
      </c>
      <c r="AT381" t="str">
        <f t="shared" si="10"/>
        <v>car</v>
      </c>
      <c r="AU381" t="str">
        <f t="shared" si="11"/>
        <v>lpg</v>
      </c>
    </row>
    <row r="382" spans="1:47">
      <c r="A382" t="s">
        <v>17</v>
      </c>
      <c r="B382" t="s">
        <v>176</v>
      </c>
      <c r="C382" t="s">
        <v>614</v>
      </c>
      <c r="D382" t="s">
        <v>19</v>
      </c>
      <c r="E382" t="s">
        <v>19</v>
      </c>
      <c r="F382" t="s">
        <v>19</v>
      </c>
      <c r="G382" t="s">
        <v>603</v>
      </c>
      <c r="H382" t="s">
        <v>19</v>
      </c>
      <c r="I382" t="s">
        <v>19</v>
      </c>
      <c r="J382" t="s">
        <v>19</v>
      </c>
      <c r="K382" t="s">
        <v>19</v>
      </c>
      <c r="L382">
        <v>1.1166189701808762E-2</v>
      </c>
      <c r="M382">
        <v>0</v>
      </c>
      <c r="N382">
        <v>9.5532956337697192E-2</v>
      </c>
      <c r="O382">
        <v>0.23014757663172503</v>
      </c>
      <c r="P382">
        <v>0.10793983378415137</v>
      </c>
      <c r="Q382">
        <v>0.33374500330961743</v>
      </c>
      <c r="R382">
        <v>1.8610316169681269E-3</v>
      </c>
      <c r="S382">
        <v>9.3671924720729063E-2</v>
      </c>
      <c r="T382">
        <v>1.8610316169681269E-3</v>
      </c>
      <c r="U382">
        <v>2.0539585612604894</v>
      </c>
      <c r="V382">
        <v>8.0644703401952181E-3</v>
      </c>
      <c r="W382">
        <v>0</v>
      </c>
      <c r="X382">
        <v>5.5830948509043811E-3</v>
      </c>
      <c r="Y382">
        <v>6.20343872322709E-2</v>
      </c>
      <c r="Z382">
        <v>0</v>
      </c>
      <c r="AA382">
        <v>1.3647565191099598E-2</v>
      </c>
      <c r="AB382">
        <v>9.3051580848406354E-3</v>
      </c>
      <c r="AC382">
        <v>1.0545845829486054E-2</v>
      </c>
      <c r="AD382">
        <v>1.1166189701808762E-2</v>
      </c>
      <c r="AE382">
        <v>6.8237825955498002E-2</v>
      </c>
      <c r="AF382">
        <v>8.4366766635888435E-2</v>
      </c>
      <c r="AG382">
        <v>2.4813754892908362E-3</v>
      </c>
      <c r="AH382">
        <v>0.42307452092408754</v>
      </c>
      <c r="AI382">
        <v>3.7220632339362539E-3</v>
      </c>
      <c r="AJ382">
        <v>1.3647565191099598E-2</v>
      </c>
      <c r="AK382">
        <v>0</v>
      </c>
      <c r="AL382">
        <v>0</v>
      </c>
      <c r="AM382">
        <v>6.2034387232270905E-4</v>
      </c>
      <c r="AN382">
        <v>5.8312323998334643E-2</v>
      </c>
      <c r="AO382" t="s">
        <v>19</v>
      </c>
      <c r="AT382" t="str">
        <f t="shared" si="10"/>
        <v>car</v>
      </c>
      <c r="AU382" t="str">
        <f t="shared" si="11"/>
        <v>nga</v>
      </c>
    </row>
    <row r="383" spans="1:47">
      <c r="A383" t="s">
        <v>17</v>
      </c>
      <c r="B383" t="s">
        <v>176</v>
      </c>
      <c r="C383" t="s">
        <v>614</v>
      </c>
      <c r="D383" t="s">
        <v>19</v>
      </c>
      <c r="E383" t="s">
        <v>19</v>
      </c>
      <c r="F383" t="s">
        <v>19</v>
      </c>
      <c r="G383" t="s">
        <v>602</v>
      </c>
      <c r="H383" t="s">
        <v>19</v>
      </c>
      <c r="I383" t="s">
        <v>19</v>
      </c>
      <c r="J383" t="s">
        <v>19</v>
      </c>
      <c r="K383" t="s">
        <v>19</v>
      </c>
      <c r="L383">
        <v>1.1166189701808762E-2</v>
      </c>
      <c r="M383">
        <v>0</v>
      </c>
      <c r="N383">
        <v>9.5532956337697192E-2</v>
      </c>
      <c r="O383">
        <v>0.23014757663172503</v>
      </c>
      <c r="P383">
        <v>0.10793983378415137</v>
      </c>
      <c r="Q383">
        <v>0.33374500330961743</v>
      </c>
      <c r="R383">
        <v>1.8610316169681269E-3</v>
      </c>
      <c r="S383">
        <v>9.3671924720729063E-2</v>
      </c>
      <c r="T383">
        <v>1.8610316169681269E-3</v>
      </c>
      <c r="U383">
        <v>2.0539585612604894</v>
      </c>
      <c r="V383">
        <v>8.0644703401952181E-3</v>
      </c>
      <c r="W383">
        <v>0</v>
      </c>
      <c r="X383">
        <v>5.5830948509043811E-3</v>
      </c>
      <c r="Y383">
        <v>6.20343872322709E-2</v>
      </c>
      <c r="Z383">
        <v>0</v>
      </c>
      <c r="AA383">
        <v>1.3647565191099598E-2</v>
      </c>
      <c r="AB383">
        <v>9.3051580848406354E-3</v>
      </c>
      <c r="AC383">
        <v>1.0545845829486054E-2</v>
      </c>
      <c r="AD383">
        <v>1.1166189701808762E-2</v>
      </c>
      <c r="AE383">
        <v>6.8237825955498002E-2</v>
      </c>
      <c r="AF383">
        <v>8.4366766635888435E-2</v>
      </c>
      <c r="AG383">
        <v>2.4813754892908362E-3</v>
      </c>
      <c r="AH383">
        <v>0.42307452092408754</v>
      </c>
      <c r="AI383">
        <v>3.7220632339362539E-3</v>
      </c>
      <c r="AJ383">
        <v>1.3647565191099598E-2</v>
      </c>
      <c r="AK383">
        <v>0</v>
      </c>
      <c r="AL383">
        <v>0</v>
      </c>
      <c r="AM383">
        <v>6.2034387232270905E-4</v>
      </c>
      <c r="AN383">
        <v>5.8312323998334643E-2</v>
      </c>
      <c r="AO383" t="s">
        <v>19</v>
      </c>
      <c r="AT383" t="str">
        <f t="shared" si="10"/>
        <v>car</v>
      </c>
      <c r="AU383" t="str">
        <f t="shared" si="11"/>
        <v>nga</v>
      </c>
    </row>
    <row r="384" spans="1:47">
      <c r="A384" t="s">
        <v>17</v>
      </c>
      <c r="B384" t="s">
        <v>176</v>
      </c>
      <c r="C384" t="s">
        <v>614</v>
      </c>
      <c r="D384" t="s">
        <v>19</v>
      </c>
      <c r="E384" t="s">
        <v>19</v>
      </c>
      <c r="F384" t="s">
        <v>19</v>
      </c>
      <c r="G384" t="s">
        <v>601</v>
      </c>
      <c r="H384" t="s">
        <v>19</v>
      </c>
      <c r="I384" t="s">
        <v>19</v>
      </c>
      <c r="J384" t="s">
        <v>19</v>
      </c>
      <c r="K384" t="s">
        <v>19</v>
      </c>
      <c r="L384">
        <v>1.1166189701808762E-2</v>
      </c>
      <c r="M384">
        <v>0</v>
      </c>
      <c r="N384">
        <v>9.5532956337697192E-2</v>
      </c>
      <c r="O384">
        <v>0.23014757663172503</v>
      </c>
      <c r="P384">
        <v>0.10793983378415137</v>
      </c>
      <c r="Q384">
        <v>0.33374500330961743</v>
      </c>
      <c r="R384">
        <v>1.8610316169681269E-3</v>
      </c>
      <c r="S384">
        <v>9.3671924720729063E-2</v>
      </c>
      <c r="T384">
        <v>1.8610316169681269E-3</v>
      </c>
      <c r="U384">
        <v>2.0539585612604894</v>
      </c>
      <c r="V384">
        <v>8.0644703401952181E-3</v>
      </c>
      <c r="W384">
        <v>0</v>
      </c>
      <c r="X384">
        <v>5.5830948509043811E-3</v>
      </c>
      <c r="Y384">
        <v>6.20343872322709E-2</v>
      </c>
      <c r="Z384">
        <v>0</v>
      </c>
      <c r="AA384">
        <v>1.3647565191099598E-2</v>
      </c>
      <c r="AB384">
        <v>9.3051580848406354E-3</v>
      </c>
      <c r="AC384">
        <v>1.0545845829486054E-2</v>
      </c>
      <c r="AD384">
        <v>1.1166189701808762E-2</v>
      </c>
      <c r="AE384">
        <v>6.8237825955498002E-2</v>
      </c>
      <c r="AF384">
        <v>8.4366766635888435E-2</v>
      </c>
      <c r="AG384">
        <v>2.4813754892908362E-3</v>
      </c>
      <c r="AH384">
        <v>0.42307452092408754</v>
      </c>
      <c r="AI384">
        <v>3.7220632339362539E-3</v>
      </c>
      <c r="AJ384">
        <v>1.3647565191099598E-2</v>
      </c>
      <c r="AK384">
        <v>0</v>
      </c>
      <c r="AL384">
        <v>0</v>
      </c>
      <c r="AM384">
        <v>6.2034387232270905E-4</v>
      </c>
      <c r="AN384">
        <v>5.8312323998334643E-2</v>
      </c>
      <c r="AO384" t="s">
        <v>19</v>
      </c>
      <c r="AT384" t="str">
        <f t="shared" si="10"/>
        <v>car</v>
      </c>
      <c r="AU384" t="str">
        <f t="shared" si="11"/>
        <v>nga</v>
      </c>
    </row>
    <row r="385" spans="1:47">
      <c r="A385" t="s">
        <v>17</v>
      </c>
      <c r="B385" t="s">
        <v>176</v>
      </c>
      <c r="C385" t="s">
        <v>614</v>
      </c>
      <c r="D385" t="s">
        <v>19</v>
      </c>
      <c r="E385" t="s">
        <v>19</v>
      </c>
      <c r="F385" t="s">
        <v>19</v>
      </c>
      <c r="G385" t="s">
        <v>600</v>
      </c>
      <c r="H385" t="s">
        <v>19</v>
      </c>
      <c r="I385" t="s">
        <v>19</v>
      </c>
      <c r="J385" t="s">
        <v>19</v>
      </c>
      <c r="K385" t="s">
        <v>19</v>
      </c>
      <c r="L385">
        <v>1.1166189701808762E-2</v>
      </c>
      <c r="M385">
        <v>0</v>
      </c>
      <c r="N385">
        <v>9.5532956337697192E-2</v>
      </c>
      <c r="O385">
        <v>0.23014757663172503</v>
      </c>
      <c r="P385">
        <v>0.10793983378415137</v>
      </c>
      <c r="Q385">
        <v>0.33374500330961743</v>
      </c>
      <c r="R385">
        <v>1.8610316169681269E-3</v>
      </c>
      <c r="S385">
        <v>9.3671924720729063E-2</v>
      </c>
      <c r="T385">
        <v>1.8610316169681269E-3</v>
      </c>
      <c r="U385">
        <v>2.0539585612604894</v>
      </c>
      <c r="V385">
        <v>8.0644703401952181E-3</v>
      </c>
      <c r="W385">
        <v>0</v>
      </c>
      <c r="X385">
        <v>5.5830948509043811E-3</v>
      </c>
      <c r="Y385">
        <v>6.20343872322709E-2</v>
      </c>
      <c r="Z385">
        <v>0</v>
      </c>
      <c r="AA385">
        <v>1.3647565191099598E-2</v>
      </c>
      <c r="AB385">
        <v>9.3051580848406354E-3</v>
      </c>
      <c r="AC385">
        <v>1.0545845829486054E-2</v>
      </c>
      <c r="AD385">
        <v>1.1166189701808762E-2</v>
      </c>
      <c r="AE385">
        <v>6.8237825955498002E-2</v>
      </c>
      <c r="AF385">
        <v>8.4366766635888435E-2</v>
      </c>
      <c r="AG385">
        <v>2.4813754892908362E-3</v>
      </c>
      <c r="AH385">
        <v>0.42307452092408754</v>
      </c>
      <c r="AI385">
        <v>3.7220632339362539E-3</v>
      </c>
      <c r="AJ385">
        <v>1.3647565191099598E-2</v>
      </c>
      <c r="AK385">
        <v>0</v>
      </c>
      <c r="AL385">
        <v>0</v>
      </c>
      <c r="AM385">
        <v>6.2034387232270905E-4</v>
      </c>
      <c r="AN385">
        <v>5.8312323998334643E-2</v>
      </c>
      <c r="AO385" t="s">
        <v>19</v>
      </c>
      <c r="AT385" t="str">
        <f t="shared" si="10"/>
        <v>car</v>
      </c>
      <c r="AU385" t="str">
        <f t="shared" si="11"/>
        <v>nga</v>
      </c>
    </row>
    <row r="386" spans="1:47">
      <c r="A386" t="s">
        <v>17</v>
      </c>
      <c r="B386" t="s">
        <v>176</v>
      </c>
      <c r="C386" t="s">
        <v>614</v>
      </c>
      <c r="D386" t="s">
        <v>19</v>
      </c>
      <c r="E386" t="s">
        <v>19</v>
      </c>
      <c r="F386" t="s">
        <v>19</v>
      </c>
      <c r="G386" t="s">
        <v>599</v>
      </c>
      <c r="H386" t="s">
        <v>19</v>
      </c>
      <c r="I386" t="s">
        <v>19</v>
      </c>
      <c r="J386" t="s">
        <v>19</v>
      </c>
      <c r="K386" t="s">
        <v>19</v>
      </c>
      <c r="L386">
        <v>1.1166189701808762E-2</v>
      </c>
      <c r="M386">
        <v>0</v>
      </c>
      <c r="N386">
        <v>9.5532956337697192E-2</v>
      </c>
      <c r="O386">
        <v>0.23014757663172503</v>
      </c>
      <c r="P386">
        <v>0.10793983378415137</v>
      </c>
      <c r="Q386">
        <v>0.33374500330961743</v>
      </c>
      <c r="R386">
        <v>1.8610316169681269E-3</v>
      </c>
      <c r="S386">
        <v>9.3671924720729063E-2</v>
      </c>
      <c r="T386">
        <v>1.8610316169681269E-3</v>
      </c>
      <c r="U386">
        <v>2.0539585612604894</v>
      </c>
      <c r="V386">
        <v>8.0644703401952181E-3</v>
      </c>
      <c r="W386">
        <v>0</v>
      </c>
      <c r="X386">
        <v>5.5830948509043811E-3</v>
      </c>
      <c r="Y386">
        <v>6.20343872322709E-2</v>
      </c>
      <c r="Z386">
        <v>0</v>
      </c>
      <c r="AA386">
        <v>1.3647565191099598E-2</v>
      </c>
      <c r="AB386">
        <v>9.3051580848406354E-3</v>
      </c>
      <c r="AC386">
        <v>1.0545845829486054E-2</v>
      </c>
      <c r="AD386">
        <v>1.1166189701808762E-2</v>
      </c>
      <c r="AE386">
        <v>6.8237825955498002E-2</v>
      </c>
      <c r="AF386">
        <v>8.4366766635888435E-2</v>
      </c>
      <c r="AG386">
        <v>2.4813754892908362E-3</v>
      </c>
      <c r="AH386">
        <v>0.42307452092408754</v>
      </c>
      <c r="AI386">
        <v>3.7220632339362539E-3</v>
      </c>
      <c r="AJ386">
        <v>1.3647565191099598E-2</v>
      </c>
      <c r="AK386">
        <v>0</v>
      </c>
      <c r="AL386">
        <v>0</v>
      </c>
      <c r="AM386">
        <v>6.2034387232270905E-4</v>
      </c>
      <c r="AN386">
        <v>5.8312323998334643E-2</v>
      </c>
      <c r="AO386" t="s">
        <v>19</v>
      </c>
      <c r="AT386" t="str">
        <f t="shared" si="10"/>
        <v>car</v>
      </c>
      <c r="AU386" t="str">
        <f t="shared" si="11"/>
        <v>nga</v>
      </c>
    </row>
    <row r="387" spans="1:47">
      <c r="A387" t="s">
        <v>17</v>
      </c>
      <c r="B387" t="s">
        <v>176</v>
      </c>
      <c r="C387" t="s">
        <v>614</v>
      </c>
      <c r="D387" t="s">
        <v>19</v>
      </c>
      <c r="E387" t="s">
        <v>19</v>
      </c>
      <c r="F387" t="s">
        <v>19</v>
      </c>
      <c r="G387" t="s">
        <v>598</v>
      </c>
      <c r="H387" t="s">
        <v>19</v>
      </c>
      <c r="I387" t="s">
        <v>19</v>
      </c>
      <c r="J387" t="s">
        <v>19</v>
      </c>
      <c r="K387" t="s">
        <v>19</v>
      </c>
      <c r="L387">
        <v>1.1166189701808762E-2</v>
      </c>
      <c r="M387">
        <v>0</v>
      </c>
      <c r="N387">
        <v>9.5532956337697192E-2</v>
      </c>
      <c r="O387">
        <v>0.23014757663172503</v>
      </c>
      <c r="P387">
        <v>0.10793983378415137</v>
      </c>
      <c r="Q387">
        <v>0.33374500330961743</v>
      </c>
      <c r="R387">
        <v>1.8610316169681269E-3</v>
      </c>
      <c r="S387">
        <v>9.3671924720729063E-2</v>
      </c>
      <c r="T387">
        <v>1.8610316169681269E-3</v>
      </c>
      <c r="U387">
        <v>2.0539585612604894</v>
      </c>
      <c r="V387">
        <v>8.0644703401952181E-3</v>
      </c>
      <c r="W387">
        <v>0</v>
      </c>
      <c r="X387">
        <v>5.5830948509043811E-3</v>
      </c>
      <c r="Y387">
        <v>6.20343872322709E-2</v>
      </c>
      <c r="Z387">
        <v>0</v>
      </c>
      <c r="AA387">
        <v>1.3647565191099598E-2</v>
      </c>
      <c r="AB387">
        <v>9.3051580848406354E-3</v>
      </c>
      <c r="AC387">
        <v>1.0545845829486054E-2</v>
      </c>
      <c r="AD387">
        <v>1.1166189701808762E-2</v>
      </c>
      <c r="AE387">
        <v>6.8237825955498002E-2</v>
      </c>
      <c r="AF387">
        <v>8.4366766635888435E-2</v>
      </c>
      <c r="AG387">
        <v>2.4813754892908362E-3</v>
      </c>
      <c r="AH387">
        <v>0.42307452092408754</v>
      </c>
      <c r="AI387">
        <v>3.7220632339362539E-3</v>
      </c>
      <c r="AJ387">
        <v>1.3647565191099598E-2</v>
      </c>
      <c r="AK387">
        <v>0</v>
      </c>
      <c r="AL387">
        <v>0</v>
      </c>
      <c r="AM387">
        <v>6.2034387232270905E-4</v>
      </c>
      <c r="AN387">
        <v>5.8312323998334643E-2</v>
      </c>
      <c r="AO387" t="s">
        <v>19</v>
      </c>
      <c r="AT387" t="str">
        <f t="shared" ref="AT387:AT450" si="12">MID(C387,5,3)</f>
        <v>car</v>
      </c>
      <c r="AU387" t="str">
        <f t="shared" ref="AU387:AU450" si="13">RIGHT(C387,3)</f>
        <v>nga</v>
      </c>
    </row>
    <row r="388" spans="1:47">
      <c r="A388" t="s">
        <v>17</v>
      </c>
      <c r="B388" t="s">
        <v>176</v>
      </c>
      <c r="C388" t="s">
        <v>614</v>
      </c>
      <c r="D388" t="s">
        <v>19</v>
      </c>
      <c r="E388" t="s">
        <v>19</v>
      </c>
      <c r="F388" t="s">
        <v>19</v>
      </c>
      <c r="G388" t="s">
        <v>597</v>
      </c>
      <c r="H388" t="s">
        <v>19</v>
      </c>
      <c r="I388" t="s">
        <v>19</v>
      </c>
      <c r="J388" t="s">
        <v>19</v>
      </c>
      <c r="K388" t="s">
        <v>19</v>
      </c>
      <c r="L388">
        <v>1.1166189701808762E-2</v>
      </c>
      <c r="M388">
        <v>0</v>
      </c>
      <c r="N388">
        <v>9.5532956337697192E-2</v>
      </c>
      <c r="O388">
        <v>0.23014757663172503</v>
      </c>
      <c r="P388">
        <v>0.10793983378415137</v>
      </c>
      <c r="Q388">
        <v>0.33374500330961743</v>
      </c>
      <c r="R388">
        <v>1.8610316169681269E-3</v>
      </c>
      <c r="S388">
        <v>9.3671924720729063E-2</v>
      </c>
      <c r="T388">
        <v>1.8610316169681269E-3</v>
      </c>
      <c r="U388">
        <v>2.0539585612604894</v>
      </c>
      <c r="V388">
        <v>8.0644703401952181E-3</v>
      </c>
      <c r="W388">
        <v>0</v>
      </c>
      <c r="X388">
        <v>5.5830948509043811E-3</v>
      </c>
      <c r="Y388">
        <v>6.20343872322709E-2</v>
      </c>
      <c r="Z388">
        <v>0</v>
      </c>
      <c r="AA388">
        <v>1.3647565191099598E-2</v>
      </c>
      <c r="AB388">
        <v>9.3051580848406354E-3</v>
      </c>
      <c r="AC388">
        <v>1.0545845829486054E-2</v>
      </c>
      <c r="AD388">
        <v>1.1166189701808762E-2</v>
      </c>
      <c r="AE388">
        <v>6.8237825955498002E-2</v>
      </c>
      <c r="AF388">
        <v>8.4366766635888435E-2</v>
      </c>
      <c r="AG388">
        <v>2.4813754892908362E-3</v>
      </c>
      <c r="AH388">
        <v>0.42307452092408754</v>
      </c>
      <c r="AI388">
        <v>3.7220632339362539E-3</v>
      </c>
      <c r="AJ388">
        <v>1.3647565191099598E-2</v>
      </c>
      <c r="AK388">
        <v>0</v>
      </c>
      <c r="AL388">
        <v>0</v>
      </c>
      <c r="AM388">
        <v>6.2034387232270905E-4</v>
      </c>
      <c r="AN388">
        <v>5.8312323998334643E-2</v>
      </c>
      <c r="AO388" t="s">
        <v>19</v>
      </c>
      <c r="AT388" t="str">
        <f t="shared" si="12"/>
        <v>car</v>
      </c>
      <c r="AU388" t="str">
        <f t="shared" si="13"/>
        <v>nga</v>
      </c>
    </row>
    <row r="389" spans="1:47">
      <c r="A389" t="s">
        <v>17</v>
      </c>
      <c r="B389" t="s">
        <v>176</v>
      </c>
      <c r="C389" t="s">
        <v>614</v>
      </c>
      <c r="D389" t="s">
        <v>19</v>
      </c>
      <c r="E389" t="s">
        <v>19</v>
      </c>
      <c r="F389" t="s">
        <v>19</v>
      </c>
      <c r="G389" t="s">
        <v>596</v>
      </c>
      <c r="H389" t="s">
        <v>19</v>
      </c>
      <c r="I389" t="s">
        <v>19</v>
      </c>
      <c r="J389" t="s">
        <v>19</v>
      </c>
      <c r="K389" t="s">
        <v>19</v>
      </c>
      <c r="L389">
        <v>1.1166189701808762E-2</v>
      </c>
      <c r="M389">
        <v>0</v>
      </c>
      <c r="N389">
        <v>9.5532956337697192E-2</v>
      </c>
      <c r="O389">
        <v>0.23014757663172503</v>
      </c>
      <c r="P389">
        <v>0.10793983378415137</v>
      </c>
      <c r="Q389">
        <v>0.33374500330961743</v>
      </c>
      <c r="R389">
        <v>1.8610316169681269E-3</v>
      </c>
      <c r="S389">
        <v>9.3671924720729063E-2</v>
      </c>
      <c r="T389">
        <v>1.8610316169681269E-3</v>
      </c>
      <c r="U389">
        <v>2.0539585612604894</v>
      </c>
      <c r="V389">
        <v>8.0644703401952181E-3</v>
      </c>
      <c r="W389">
        <v>0</v>
      </c>
      <c r="X389">
        <v>5.5830948509043811E-3</v>
      </c>
      <c r="Y389">
        <v>6.20343872322709E-2</v>
      </c>
      <c r="Z389">
        <v>0</v>
      </c>
      <c r="AA389">
        <v>1.3647565191099598E-2</v>
      </c>
      <c r="AB389">
        <v>9.3051580848406354E-3</v>
      </c>
      <c r="AC389">
        <v>1.0545845829486054E-2</v>
      </c>
      <c r="AD389">
        <v>1.1166189701808762E-2</v>
      </c>
      <c r="AE389">
        <v>6.8237825955498002E-2</v>
      </c>
      <c r="AF389">
        <v>8.4366766635888435E-2</v>
      </c>
      <c r="AG389">
        <v>2.4813754892908362E-3</v>
      </c>
      <c r="AH389">
        <v>0.42307452092408754</v>
      </c>
      <c r="AI389">
        <v>3.7220632339362539E-3</v>
      </c>
      <c r="AJ389">
        <v>1.3647565191099598E-2</v>
      </c>
      <c r="AK389">
        <v>0</v>
      </c>
      <c r="AL389">
        <v>0</v>
      </c>
      <c r="AM389">
        <v>6.2034387232270905E-4</v>
      </c>
      <c r="AN389">
        <v>5.8312323998334643E-2</v>
      </c>
      <c r="AO389" t="s">
        <v>19</v>
      </c>
      <c r="AT389" t="str">
        <f t="shared" si="12"/>
        <v>car</v>
      </c>
      <c r="AU389" t="str">
        <f t="shared" si="13"/>
        <v>nga</v>
      </c>
    </row>
    <row r="390" spans="1:47">
      <c r="A390" t="s">
        <v>17</v>
      </c>
      <c r="B390" t="s">
        <v>176</v>
      </c>
      <c r="C390" t="s">
        <v>614</v>
      </c>
      <c r="D390" t="s">
        <v>19</v>
      </c>
      <c r="E390" t="s">
        <v>19</v>
      </c>
      <c r="F390" t="s">
        <v>19</v>
      </c>
      <c r="G390" t="s">
        <v>178</v>
      </c>
      <c r="H390" t="s">
        <v>19</v>
      </c>
      <c r="I390" t="s">
        <v>19</v>
      </c>
      <c r="J390" t="s">
        <v>19</v>
      </c>
      <c r="K390" t="s">
        <v>19</v>
      </c>
      <c r="L390">
        <v>1.1166189701808762E-2</v>
      </c>
      <c r="M390">
        <v>0</v>
      </c>
      <c r="N390">
        <v>9.5532956337697192E-2</v>
      </c>
      <c r="O390">
        <v>0.23014757663172503</v>
      </c>
      <c r="P390">
        <v>0.10793983378415137</v>
      </c>
      <c r="Q390">
        <v>0.33374500330961743</v>
      </c>
      <c r="R390">
        <v>1.8610316169681269E-3</v>
      </c>
      <c r="S390">
        <v>9.3671924720729063E-2</v>
      </c>
      <c r="T390">
        <v>1.8610316169681269E-3</v>
      </c>
      <c r="U390">
        <v>2.0539585612604894</v>
      </c>
      <c r="V390">
        <v>8.0644703401952181E-3</v>
      </c>
      <c r="W390">
        <v>0</v>
      </c>
      <c r="X390">
        <v>5.5830948509043811E-3</v>
      </c>
      <c r="Y390">
        <v>6.20343872322709E-2</v>
      </c>
      <c r="Z390">
        <v>0</v>
      </c>
      <c r="AA390">
        <v>1.3647565191099598E-2</v>
      </c>
      <c r="AB390">
        <v>9.3051580848406354E-3</v>
      </c>
      <c r="AC390">
        <v>1.0545845829486054E-2</v>
      </c>
      <c r="AD390">
        <v>1.1166189701808762E-2</v>
      </c>
      <c r="AE390">
        <v>6.8237825955498002E-2</v>
      </c>
      <c r="AF390">
        <v>8.4366766635888435E-2</v>
      </c>
      <c r="AG390">
        <v>2.4813754892908362E-3</v>
      </c>
      <c r="AH390">
        <v>0.42307452092408754</v>
      </c>
      <c r="AI390">
        <v>3.7220632339362539E-3</v>
      </c>
      <c r="AJ390">
        <v>1.3647565191099598E-2</v>
      </c>
      <c r="AK390">
        <v>0</v>
      </c>
      <c r="AL390">
        <v>0</v>
      </c>
      <c r="AM390">
        <v>6.2034387232270905E-4</v>
      </c>
      <c r="AN390">
        <v>5.8312323998334643E-2</v>
      </c>
      <c r="AO390" t="s">
        <v>19</v>
      </c>
      <c r="AT390" t="str">
        <f t="shared" si="12"/>
        <v>car</v>
      </c>
      <c r="AU390" t="str">
        <f t="shared" si="13"/>
        <v>nga</v>
      </c>
    </row>
    <row r="391" spans="1:47">
      <c r="A391" t="s">
        <v>17</v>
      </c>
      <c r="B391" t="s">
        <v>176</v>
      </c>
      <c r="C391" t="s">
        <v>614</v>
      </c>
      <c r="D391" t="s">
        <v>19</v>
      </c>
      <c r="E391" t="s">
        <v>19</v>
      </c>
      <c r="F391" t="s">
        <v>19</v>
      </c>
      <c r="G391" t="s">
        <v>179</v>
      </c>
      <c r="H391" t="s">
        <v>19</v>
      </c>
      <c r="I391" t="s">
        <v>19</v>
      </c>
      <c r="J391" t="s">
        <v>19</v>
      </c>
      <c r="K391" t="s">
        <v>19</v>
      </c>
      <c r="L391">
        <v>1.1166189701808762E-2</v>
      </c>
      <c r="M391">
        <v>0</v>
      </c>
      <c r="N391">
        <v>9.5532956337697192E-2</v>
      </c>
      <c r="O391">
        <v>0.23014757663172503</v>
      </c>
      <c r="P391">
        <v>0.10793983378415137</v>
      </c>
      <c r="Q391">
        <v>0.33374500330961743</v>
      </c>
      <c r="R391">
        <v>1.8610316169681269E-3</v>
      </c>
      <c r="S391">
        <v>9.3671924720729063E-2</v>
      </c>
      <c r="T391">
        <v>1.8610316169681269E-3</v>
      </c>
      <c r="U391">
        <v>2.0539585612604894</v>
      </c>
      <c r="V391">
        <v>8.0644703401952181E-3</v>
      </c>
      <c r="W391">
        <v>0</v>
      </c>
      <c r="X391">
        <v>5.5830948509043811E-3</v>
      </c>
      <c r="Y391">
        <v>6.20343872322709E-2</v>
      </c>
      <c r="Z391">
        <v>0</v>
      </c>
      <c r="AA391">
        <v>1.3647565191099598E-2</v>
      </c>
      <c r="AB391">
        <v>9.3051580848406354E-3</v>
      </c>
      <c r="AC391">
        <v>1.0545845829486054E-2</v>
      </c>
      <c r="AD391">
        <v>1.1166189701808762E-2</v>
      </c>
      <c r="AE391">
        <v>6.8237825955498002E-2</v>
      </c>
      <c r="AF391">
        <v>8.4366766635888435E-2</v>
      </c>
      <c r="AG391">
        <v>2.4813754892908362E-3</v>
      </c>
      <c r="AH391">
        <v>0.42307452092408754</v>
      </c>
      <c r="AI391">
        <v>3.7220632339362539E-3</v>
      </c>
      <c r="AJ391">
        <v>1.3647565191099598E-2</v>
      </c>
      <c r="AK391">
        <v>0</v>
      </c>
      <c r="AL391">
        <v>0</v>
      </c>
      <c r="AM391">
        <v>6.2034387232270905E-4</v>
      </c>
      <c r="AN391">
        <v>5.8312323998334643E-2</v>
      </c>
      <c r="AO391" t="s">
        <v>19</v>
      </c>
      <c r="AT391" t="str">
        <f t="shared" si="12"/>
        <v>car</v>
      </c>
      <c r="AU391" t="str">
        <f t="shared" si="13"/>
        <v>nga</v>
      </c>
    </row>
    <row r="392" spans="1:47">
      <c r="A392" t="s">
        <v>17</v>
      </c>
      <c r="B392" t="s">
        <v>176</v>
      </c>
      <c r="C392" t="s">
        <v>614</v>
      </c>
      <c r="D392" t="s">
        <v>19</v>
      </c>
      <c r="E392" t="s">
        <v>19</v>
      </c>
      <c r="F392" t="s">
        <v>19</v>
      </c>
      <c r="G392" t="s">
        <v>180</v>
      </c>
      <c r="H392" t="s">
        <v>19</v>
      </c>
      <c r="I392" t="s">
        <v>19</v>
      </c>
      <c r="J392" t="s">
        <v>19</v>
      </c>
      <c r="K392" t="s">
        <v>19</v>
      </c>
      <c r="L392">
        <v>1.1166189701808762E-2</v>
      </c>
      <c r="M392">
        <v>0</v>
      </c>
      <c r="N392">
        <v>9.5532956337697192E-2</v>
      </c>
      <c r="O392">
        <v>0.23014757663172503</v>
      </c>
      <c r="P392">
        <v>0.10793983378415137</v>
      </c>
      <c r="Q392">
        <v>0.33374500330961743</v>
      </c>
      <c r="R392">
        <v>1.8610316169681269E-3</v>
      </c>
      <c r="S392">
        <v>9.3671924720729063E-2</v>
      </c>
      <c r="T392">
        <v>1.8610316169681269E-3</v>
      </c>
      <c r="U392">
        <v>2.0539585612604894</v>
      </c>
      <c r="V392">
        <v>8.0644703401952181E-3</v>
      </c>
      <c r="W392">
        <v>0</v>
      </c>
      <c r="X392">
        <v>5.5830948509043811E-3</v>
      </c>
      <c r="Y392">
        <v>6.20343872322709E-2</v>
      </c>
      <c r="Z392">
        <v>0</v>
      </c>
      <c r="AA392">
        <v>1.3647565191099598E-2</v>
      </c>
      <c r="AB392">
        <v>9.3051580848406354E-3</v>
      </c>
      <c r="AC392">
        <v>1.0545845829486054E-2</v>
      </c>
      <c r="AD392">
        <v>1.1166189701808762E-2</v>
      </c>
      <c r="AE392">
        <v>6.8237825955498002E-2</v>
      </c>
      <c r="AF392">
        <v>8.4366766635888435E-2</v>
      </c>
      <c r="AG392">
        <v>2.4813754892908362E-3</v>
      </c>
      <c r="AH392">
        <v>0.42307452092408754</v>
      </c>
      <c r="AI392">
        <v>3.7220632339362539E-3</v>
      </c>
      <c r="AJ392">
        <v>1.3647565191099598E-2</v>
      </c>
      <c r="AK392">
        <v>0</v>
      </c>
      <c r="AL392">
        <v>0</v>
      </c>
      <c r="AM392">
        <v>6.2034387232270905E-4</v>
      </c>
      <c r="AN392">
        <v>5.8312323998334643E-2</v>
      </c>
      <c r="AO392" t="s">
        <v>19</v>
      </c>
      <c r="AT392" t="str">
        <f t="shared" si="12"/>
        <v>car</v>
      </c>
      <c r="AU392" t="str">
        <f t="shared" si="13"/>
        <v>nga</v>
      </c>
    </row>
    <row r="393" spans="1:47">
      <c r="A393" t="s">
        <v>17</v>
      </c>
      <c r="B393" t="s">
        <v>176</v>
      </c>
      <c r="C393" t="s">
        <v>614</v>
      </c>
      <c r="D393" t="s">
        <v>19</v>
      </c>
      <c r="E393" t="s">
        <v>19</v>
      </c>
      <c r="F393" t="s">
        <v>19</v>
      </c>
      <c r="G393" t="s">
        <v>181</v>
      </c>
      <c r="H393" t="s">
        <v>19</v>
      </c>
      <c r="I393" t="s">
        <v>19</v>
      </c>
      <c r="J393" t="s">
        <v>19</v>
      </c>
      <c r="K393" t="s">
        <v>19</v>
      </c>
      <c r="L393">
        <v>1.1166189701808762E-2</v>
      </c>
      <c r="M393">
        <v>0</v>
      </c>
      <c r="N393">
        <v>9.5532956337697192E-2</v>
      </c>
      <c r="O393">
        <v>0.23014757663172503</v>
      </c>
      <c r="P393">
        <v>0.10793983378415137</v>
      </c>
      <c r="Q393">
        <v>0.33374500330961743</v>
      </c>
      <c r="R393">
        <v>1.8610316169681269E-3</v>
      </c>
      <c r="S393">
        <v>9.3671924720729063E-2</v>
      </c>
      <c r="T393">
        <v>1.8610316169681269E-3</v>
      </c>
      <c r="U393">
        <v>2.0539585612604894</v>
      </c>
      <c r="V393">
        <v>8.0644703401952181E-3</v>
      </c>
      <c r="W393">
        <v>0</v>
      </c>
      <c r="X393">
        <v>5.5830948509043811E-3</v>
      </c>
      <c r="Y393">
        <v>6.20343872322709E-2</v>
      </c>
      <c r="Z393">
        <v>0</v>
      </c>
      <c r="AA393">
        <v>1.3647565191099598E-2</v>
      </c>
      <c r="AB393">
        <v>9.3051580848406354E-3</v>
      </c>
      <c r="AC393">
        <v>1.0545845829486054E-2</v>
      </c>
      <c r="AD393">
        <v>1.1166189701808762E-2</v>
      </c>
      <c r="AE393">
        <v>6.8237825955498002E-2</v>
      </c>
      <c r="AF393">
        <v>8.4366766635888435E-2</v>
      </c>
      <c r="AG393">
        <v>2.4813754892908362E-3</v>
      </c>
      <c r="AH393">
        <v>0.42307452092408754</v>
      </c>
      <c r="AI393">
        <v>3.7220632339362539E-3</v>
      </c>
      <c r="AJ393">
        <v>1.3647565191099598E-2</v>
      </c>
      <c r="AK393">
        <v>0</v>
      </c>
      <c r="AL393">
        <v>0</v>
      </c>
      <c r="AM393">
        <v>6.2034387232270905E-4</v>
      </c>
      <c r="AN393">
        <v>5.8312323998334643E-2</v>
      </c>
      <c r="AO393" t="s">
        <v>19</v>
      </c>
      <c r="AT393" t="str">
        <f t="shared" si="12"/>
        <v>car</v>
      </c>
      <c r="AU393" t="str">
        <f t="shared" si="13"/>
        <v>nga</v>
      </c>
    </row>
    <row r="394" spans="1:47">
      <c r="A394" t="s">
        <v>17</v>
      </c>
      <c r="B394" t="s">
        <v>176</v>
      </c>
      <c r="C394" t="s">
        <v>614</v>
      </c>
      <c r="D394" t="s">
        <v>19</v>
      </c>
      <c r="E394" t="s">
        <v>19</v>
      </c>
      <c r="F394" t="s">
        <v>19</v>
      </c>
      <c r="G394" t="s">
        <v>182</v>
      </c>
      <c r="H394" t="s">
        <v>19</v>
      </c>
      <c r="I394" t="s">
        <v>19</v>
      </c>
      <c r="J394" t="s">
        <v>19</v>
      </c>
      <c r="K394" t="s">
        <v>19</v>
      </c>
      <c r="L394">
        <v>1.1166189701808762E-2</v>
      </c>
      <c r="M394">
        <v>0</v>
      </c>
      <c r="N394">
        <v>9.5532956337697192E-2</v>
      </c>
      <c r="O394">
        <v>0.23014757663172503</v>
      </c>
      <c r="P394">
        <v>0.10793983378415137</v>
      </c>
      <c r="Q394">
        <v>0.33374500330961743</v>
      </c>
      <c r="R394">
        <v>1.8610316169681269E-3</v>
      </c>
      <c r="S394">
        <v>9.3671924720729063E-2</v>
      </c>
      <c r="T394">
        <v>1.8610316169681269E-3</v>
      </c>
      <c r="U394">
        <v>2.0539585612604894</v>
      </c>
      <c r="V394">
        <v>8.0644703401952181E-3</v>
      </c>
      <c r="W394">
        <v>0</v>
      </c>
      <c r="X394">
        <v>5.5830948509043811E-3</v>
      </c>
      <c r="Y394">
        <v>6.20343872322709E-2</v>
      </c>
      <c r="Z394">
        <v>0</v>
      </c>
      <c r="AA394">
        <v>1.3647565191099598E-2</v>
      </c>
      <c r="AB394">
        <v>9.3051580848406354E-3</v>
      </c>
      <c r="AC394">
        <v>1.0545845829486054E-2</v>
      </c>
      <c r="AD394">
        <v>1.1166189701808762E-2</v>
      </c>
      <c r="AE394">
        <v>6.8237825955498002E-2</v>
      </c>
      <c r="AF394">
        <v>8.4366766635888435E-2</v>
      </c>
      <c r="AG394">
        <v>2.4813754892908362E-3</v>
      </c>
      <c r="AH394">
        <v>0.42307452092408754</v>
      </c>
      <c r="AI394">
        <v>3.7220632339362539E-3</v>
      </c>
      <c r="AJ394">
        <v>1.3647565191099598E-2</v>
      </c>
      <c r="AK394">
        <v>0</v>
      </c>
      <c r="AL394">
        <v>0</v>
      </c>
      <c r="AM394">
        <v>6.2034387232270905E-4</v>
      </c>
      <c r="AN394">
        <v>5.8312323998334643E-2</v>
      </c>
      <c r="AO394" t="s">
        <v>19</v>
      </c>
      <c r="AT394" t="str">
        <f t="shared" si="12"/>
        <v>car</v>
      </c>
      <c r="AU394" t="str">
        <f t="shared" si="13"/>
        <v>nga</v>
      </c>
    </row>
    <row r="395" spans="1:47">
      <c r="A395" t="s">
        <v>17</v>
      </c>
      <c r="B395" t="s">
        <v>176</v>
      </c>
      <c r="C395" t="s">
        <v>614</v>
      </c>
      <c r="D395" t="s">
        <v>19</v>
      </c>
      <c r="E395" t="s">
        <v>19</v>
      </c>
      <c r="F395" t="s">
        <v>19</v>
      </c>
      <c r="G395" t="s">
        <v>183</v>
      </c>
      <c r="H395" t="s">
        <v>19</v>
      </c>
      <c r="I395" t="s">
        <v>19</v>
      </c>
      <c r="J395" t="s">
        <v>19</v>
      </c>
      <c r="K395" t="s">
        <v>19</v>
      </c>
      <c r="L395">
        <v>1.1166189701808762E-2</v>
      </c>
      <c r="M395">
        <v>0</v>
      </c>
      <c r="N395">
        <v>9.5532956337697192E-2</v>
      </c>
      <c r="O395">
        <v>0.23014757663172503</v>
      </c>
      <c r="P395">
        <v>0.10793983378415137</v>
      </c>
      <c r="Q395">
        <v>0.33374500330961743</v>
      </c>
      <c r="R395">
        <v>1.8610316169681269E-3</v>
      </c>
      <c r="S395">
        <v>9.3671924720729063E-2</v>
      </c>
      <c r="T395">
        <v>1.8610316169681269E-3</v>
      </c>
      <c r="U395">
        <v>2.0539585612604894</v>
      </c>
      <c r="V395">
        <v>8.0644703401952181E-3</v>
      </c>
      <c r="W395">
        <v>0</v>
      </c>
      <c r="X395">
        <v>5.5830948509043811E-3</v>
      </c>
      <c r="Y395">
        <v>6.20343872322709E-2</v>
      </c>
      <c r="Z395">
        <v>0</v>
      </c>
      <c r="AA395">
        <v>1.3647565191099598E-2</v>
      </c>
      <c r="AB395">
        <v>9.3051580848406354E-3</v>
      </c>
      <c r="AC395">
        <v>1.0545845829486054E-2</v>
      </c>
      <c r="AD395">
        <v>1.1166189701808762E-2</v>
      </c>
      <c r="AE395">
        <v>6.8237825955498002E-2</v>
      </c>
      <c r="AF395">
        <v>8.4366766635888435E-2</v>
      </c>
      <c r="AG395">
        <v>2.4813754892908362E-3</v>
      </c>
      <c r="AH395">
        <v>0.42307452092408754</v>
      </c>
      <c r="AI395">
        <v>3.7220632339362539E-3</v>
      </c>
      <c r="AJ395">
        <v>1.3647565191099598E-2</v>
      </c>
      <c r="AK395">
        <v>0</v>
      </c>
      <c r="AL395">
        <v>0</v>
      </c>
      <c r="AM395">
        <v>6.2034387232270905E-4</v>
      </c>
      <c r="AN395">
        <v>5.8312323998334643E-2</v>
      </c>
      <c r="AO395" t="s">
        <v>19</v>
      </c>
      <c r="AT395" t="str">
        <f t="shared" si="12"/>
        <v>car</v>
      </c>
      <c r="AU395" t="str">
        <f t="shared" si="13"/>
        <v>nga</v>
      </c>
    </row>
    <row r="396" spans="1:47">
      <c r="A396" t="s">
        <v>17</v>
      </c>
      <c r="B396" t="s">
        <v>176</v>
      </c>
      <c r="C396" t="s">
        <v>614</v>
      </c>
      <c r="D396" t="s">
        <v>19</v>
      </c>
      <c r="E396" t="s">
        <v>19</v>
      </c>
      <c r="F396" t="s">
        <v>19</v>
      </c>
      <c r="G396" t="s">
        <v>184</v>
      </c>
      <c r="H396" t="s">
        <v>19</v>
      </c>
      <c r="I396" t="s">
        <v>19</v>
      </c>
      <c r="J396" t="s">
        <v>19</v>
      </c>
      <c r="K396" t="s">
        <v>19</v>
      </c>
      <c r="L396">
        <v>1.1166189701808762E-2</v>
      </c>
      <c r="M396">
        <v>0</v>
      </c>
      <c r="N396">
        <v>9.5532956337697192E-2</v>
      </c>
      <c r="O396">
        <v>0.23014757663172503</v>
      </c>
      <c r="P396">
        <v>0.10793983378415137</v>
      </c>
      <c r="Q396">
        <v>0.33374500330961743</v>
      </c>
      <c r="R396">
        <v>1.8610316169681269E-3</v>
      </c>
      <c r="S396">
        <v>9.3671924720729063E-2</v>
      </c>
      <c r="T396">
        <v>1.8610316169681269E-3</v>
      </c>
      <c r="U396">
        <v>2.0539585612604894</v>
      </c>
      <c r="V396">
        <v>8.0644703401952181E-3</v>
      </c>
      <c r="W396">
        <v>0</v>
      </c>
      <c r="X396">
        <v>5.5830948509043811E-3</v>
      </c>
      <c r="Y396">
        <v>6.20343872322709E-2</v>
      </c>
      <c r="Z396">
        <v>0</v>
      </c>
      <c r="AA396">
        <v>1.3647565191099598E-2</v>
      </c>
      <c r="AB396">
        <v>9.3051580848406354E-3</v>
      </c>
      <c r="AC396">
        <v>1.0545845829486054E-2</v>
      </c>
      <c r="AD396">
        <v>1.1166189701808762E-2</v>
      </c>
      <c r="AE396">
        <v>6.8237825955498002E-2</v>
      </c>
      <c r="AF396">
        <v>8.4366766635888435E-2</v>
      </c>
      <c r="AG396">
        <v>2.4813754892908362E-3</v>
      </c>
      <c r="AH396">
        <v>0.42307452092408754</v>
      </c>
      <c r="AI396">
        <v>3.7220632339362539E-3</v>
      </c>
      <c r="AJ396">
        <v>1.3647565191099598E-2</v>
      </c>
      <c r="AK396">
        <v>0</v>
      </c>
      <c r="AL396">
        <v>0</v>
      </c>
      <c r="AM396">
        <v>6.2034387232270905E-4</v>
      </c>
      <c r="AN396">
        <v>5.8312323998334643E-2</v>
      </c>
      <c r="AO396" t="s">
        <v>19</v>
      </c>
      <c r="AT396" t="str">
        <f t="shared" si="12"/>
        <v>car</v>
      </c>
      <c r="AU396" t="str">
        <f t="shared" si="13"/>
        <v>nga</v>
      </c>
    </row>
    <row r="397" spans="1:47">
      <c r="A397" t="s">
        <v>17</v>
      </c>
      <c r="B397" t="s">
        <v>176</v>
      </c>
      <c r="C397" t="s">
        <v>614</v>
      </c>
      <c r="D397" t="s">
        <v>19</v>
      </c>
      <c r="E397" t="s">
        <v>19</v>
      </c>
      <c r="F397" t="s">
        <v>19</v>
      </c>
      <c r="G397" t="s">
        <v>185</v>
      </c>
      <c r="H397" t="s">
        <v>19</v>
      </c>
      <c r="I397" t="s">
        <v>19</v>
      </c>
      <c r="J397" t="s">
        <v>19</v>
      </c>
      <c r="K397" t="s">
        <v>19</v>
      </c>
      <c r="L397">
        <v>1.1166189701808762E-2</v>
      </c>
      <c r="M397">
        <v>0</v>
      </c>
      <c r="N397">
        <v>9.5532956337697192E-2</v>
      </c>
      <c r="O397">
        <v>0.23014757663172503</v>
      </c>
      <c r="P397">
        <v>0.10793983378415137</v>
      </c>
      <c r="Q397">
        <v>0.33374500330961743</v>
      </c>
      <c r="R397">
        <v>1.8610316169681269E-3</v>
      </c>
      <c r="S397">
        <v>9.3671924720729063E-2</v>
      </c>
      <c r="T397">
        <v>1.8610316169681269E-3</v>
      </c>
      <c r="U397">
        <v>2.0539585612604894</v>
      </c>
      <c r="V397">
        <v>8.0644703401952181E-3</v>
      </c>
      <c r="W397">
        <v>0</v>
      </c>
      <c r="X397">
        <v>5.5830948509043811E-3</v>
      </c>
      <c r="Y397">
        <v>6.20343872322709E-2</v>
      </c>
      <c r="Z397">
        <v>0</v>
      </c>
      <c r="AA397">
        <v>1.3647565191099598E-2</v>
      </c>
      <c r="AB397">
        <v>9.3051580848406354E-3</v>
      </c>
      <c r="AC397">
        <v>1.0545845829486054E-2</v>
      </c>
      <c r="AD397">
        <v>1.1166189701808762E-2</v>
      </c>
      <c r="AE397">
        <v>6.8237825955498002E-2</v>
      </c>
      <c r="AF397">
        <v>8.4366766635888435E-2</v>
      </c>
      <c r="AG397">
        <v>2.4813754892908362E-3</v>
      </c>
      <c r="AH397">
        <v>0.42307452092408754</v>
      </c>
      <c r="AI397">
        <v>3.7220632339362539E-3</v>
      </c>
      <c r="AJ397">
        <v>1.3647565191099598E-2</v>
      </c>
      <c r="AK397">
        <v>0</v>
      </c>
      <c r="AL397">
        <v>0</v>
      </c>
      <c r="AM397">
        <v>6.2034387232270905E-4</v>
      </c>
      <c r="AN397">
        <v>5.8312323998334643E-2</v>
      </c>
      <c r="AO397" t="s">
        <v>19</v>
      </c>
      <c r="AT397" t="str">
        <f t="shared" si="12"/>
        <v>car</v>
      </c>
      <c r="AU397" t="str">
        <f t="shared" si="13"/>
        <v>nga</v>
      </c>
    </row>
    <row r="398" spans="1:47">
      <c r="A398" t="s">
        <v>17</v>
      </c>
      <c r="B398" t="s">
        <v>176</v>
      </c>
      <c r="C398" t="s">
        <v>614</v>
      </c>
      <c r="D398" t="s">
        <v>19</v>
      </c>
      <c r="E398" t="s">
        <v>19</v>
      </c>
      <c r="F398" t="s">
        <v>19</v>
      </c>
      <c r="G398" t="s">
        <v>186</v>
      </c>
      <c r="H398" t="s">
        <v>19</v>
      </c>
      <c r="I398" t="s">
        <v>19</v>
      </c>
      <c r="J398" t="s">
        <v>19</v>
      </c>
      <c r="K398" t="s">
        <v>19</v>
      </c>
      <c r="L398">
        <v>1.1166189701808762E-2</v>
      </c>
      <c r="M398">
        <v>0</v>
      </c>
      <c r="N398">
        <v>9.5532956337697192E-2</v>
      </c>
      <c r="O398">
        <v>0.23014757663172503</v>
      </c>
      <c r="P398">
        <v>0.10793983378415137</v>
      </c>
      <c r="Q398">
        <v>0.33374500330961743</v>
      </c>
      <c r="R398">
        <v>1.8610316169681269E-3</v>
      </c>
      <c r="S398">
        <v>9.3671924720729063E-2</v>
      </c>
      <c r="T398">
        <v>1.8610316169681269E-3</v>
      </c>
      <c r="U398">
        <v>2.0539585612604894</v>
      </c>
      <c r="V398">
        <v>8.0644703401952181E-3</v>
      </c>
      <c r="W398">
        <v>0</v>
      </c>
      <c r="X398">
        <v>5.5830948509043811E-3</v>
      </c>
      <c r="Y398">
        <v>6.20343872322709E-2</v>
      </c>
      <c r="Z398">
        <v>0</v>
      </c>
      <c r="AA398">
        <v>1.3647565191099598E-2</v>
      </c>
      <c r="AB398">
        <v>9.3051580848406354E-3</v>
      </c>
      <c r="AC398">
        <v>1.0545845829486054E-2</v>
      </c>
      <c r="AD398">
        <v>1.1166189701808762E-2</v>
      </c>
      <c r="AE398">
        <v>6.8237825955498002E-2</v>
      </c>
      <c r="AF398">
        <v>8.4366766635888435E-2</v>
      </c>
      <c r="AG398">
        <v>2.4813754892908362E-3</v>
      </c>
      <c r="AH398">
        <v>0.42307452092408754</v>
      </c>
      <c r="AI398">
        <v>3.7220632339362539E-3</v>
      </c>
      <c r="AJ398">
        <v>1.3647565191099598E-2</v>
      </c>
      <c r="AK398">
        <v>0</v>
      </c>
      <c r="AL398">
        <v>0</v>
      </c>
      <c r="AM398">
        <v>6.2034387232270905E-4</v>
      </c>
      <c r="AN398">
        <v>5.8312323998334643E-2</v>
      </c>
      <c r="AO398" t="s">
        <v>19</v>
      </c>
      <c r="AT398" t="str">
        <f t="shared" si="12"/>
        <v>car</v>
      </c>
      <c r="AU398" t="str">
        <f t="shared" si="13"/>
        <v>nga</v>
      </c>
    </row>
    <row r="399" spans="1:47">
      <c r="A399" t="s">
        <v>17</v>
      </c>
      <c r="B399" t="s">
        <v>176</v>
      </c>
      <c r="C399" t="s">
        <v>614</v>
      </c>
      <c r="D399" t="s">
        <v>19</v>
      </c>
      <c r="E399" t="s">
        <v>19</v>
      </c>
      <c r="F399" t="s">
        <v>19</v>
      </c>
      <c r="G399" t="s">
        <v>187</v>
      </c>
      <c r="H399" t="s">
        <v>19</v>
      </c>
      <c r="I399" t="s">
        <v>19</v>
      </c>
      <c r="J399" t="s">
        <v>19</v>
      </c>
      <c r="K399" t="s">
        <v>19</v>
      </c>
      <c r="L399">
        <v>1.1166189701808762E-2</v>
      </c>
      <c r="M399">
        <v>0</v>
      </c>
      <c r="N399">
        <v>9.5532956337697192E-2</v>
      </c>
      <c r="O399">
        <v>0.23014757663172503</v>
      </c>
      <c r="P399">
        <v>0.10793983378415137</v>
      </c>
      <c r="Q399">
        <v>0.33374500330961743</v>
      </c>
      <c r="R399">
        <v>1.8610316169681269E-3</v>
      </c>
      <c r="S399">
        <v>9.3671924720729063E-2</v>
      </c>
      <c r="T399">
        <v>1.8610316169681269E-3</v>
      </c>
      <c r="U399">
        <v>2.0539585612604894</v>
      </c>
      <c r="V399">
        <v>8.0644703401952181E-3</v>
      </c>
      <c r="W399">
        <v>0</v>
      </c>
      <c r="X399">
        <v>5.5830948509043811E-3</v>
      </c>
      <c r="Y399">
        <v>6.20343872322709E-2</v>
      </c>
      <c r="Z399">
        <v>0</v>
      </c>
      <c r="AA399">
        <v>1.3647565191099598E-2</v>
      </c>
      <c r="AB399">
        <v>9.3051580848406354E-3</v>
      </c>
      <c r="AC399">
        <v>1.0545845829486054E-2</v>
      </c>
      <c r="AD399">
        <v>1.1166189701808762E-2</v>
      </c>
      <c r="AE399">
        <v>6.8237825955498002E-2</v>
      </c>
      <c r="AF399">
        <v>8.4366766635888435E-2</v>
      </c>
      <c r="AG399">
        <v>2.4813754892908362E-3</v>
      </c>
      <c r="AH399">
        <v>0.42307452092408754</v>
      </c>
      <c r="AI399">
        <v>3.7220632339362539E-3</v>
      </c>
      <c r="AJ399">
        <v>1.3647565191099598E-2</v>
      </c>
      <c r="AK399">
        <v>0</v>
      </c>
      <c r="AL399">
        <v>0</v>
      </c>
      <c r="AM399">
        <v>6.2034387232270905E-4</v>
      </c>
      <c r="AN399">
        <v>5.8312323998334643E-2</v>
      </c>
      <c r="AO399" t="s">
        <v>19</v>
      </c>
      <c r="AT399" t="str">
        <f t="shared" si="12"/>
        <v>car</v>
      </c>
      <c r="AU399" t="str">
        <f t="shared" si="13"/>
        <v>nga</v>
      </c>
    </row>
    <row r="400" spans="1:47">
      <c r="A400" t="s">
        <v>17</v>
      </c>
      <c r="B400" t="s">
        <v>176</v>
      </c>
      <c r="C400" t="s">
        <v>614</v>
      </c>
      <c r="D400" t="s">
        <v>19</v>
      </c>
      <c r="E400" t="s">
        <v>19</v>
      </c>
      <c r="F400" t="s">
        <v>19</v>
      </c>
      <c r="G400" t="s">
        <v>188</v>
      </c>
      <c r="H400" t="s">
        <v>19</v>
      </c>
      <c r="I400" t="s">
        <v>19</v>
      </c>
      <c r="J400" t="s">
        <v>19</v>
      </c>
      <c r="K400" t="s">
        <v>19</v>
      </c>
      <c r="L400">
        <v>1.1166189701808762E-2</v>
      </c>
      <c r="M400">
        <v>0</v>
      </c>
      <c r="N400">
        <v>9.5532956337697192E-2</v>
      </c>
      <c r="O400">
        <v>0.23014757663172503</v>
      </c>
      <c r="P400">
        <v>0.10793983378415137</v>
      </c>
      <c r="Q400">
        <v>0.33374500330961743</v>
      </c>
      <c r="R400">
        <v>1.8610316169681269E-3</v>
      </c>
      <c r="S400">
        <v>9.3671924720729063E-2</v>
      </c>
      <c r="T400">
        <v>1.8610316169681269E-3</v>
      </c>
      <c r="U400">
        <v>2.0539585612604894</v>
      </c>
      <c r="V400">
        <v>8.0644703401952181E-3</v>
      </c>
      <c r="W400">
        <v>0</v>
      </c>
      <c r="X400">
        <v>5.5830948509043811E-3</v>
      </c>
      <c r="Y400">
        <v>6.20343872322709E-2</v>
      </c>
      <c r="Z400">
        <v>0</v>
      </c>
      <c r="AA400">
        <v>1.3647565191099598E-2</v>
      </c>
      <c r="AB400">
        <v>9.3051580848406354E-3</v>
      </c>
      <c r="AC400">
        <v>1.0545845829486054E-2</v>
      </c>
      <c r="AD400">
        <v>1.1166189701808762E-2</v>
      </c>
      <c r="AE400">
        <v>6.8237825955498002E-2</v>
      </c>
      <c r="AF400">
        <v>8.4366766635888435E-2</v>
      </c>
      <c r="AG400">
        <v>2.4813754892908362E-3</v>
      </c>
      <c r="AH400">
        <v>0.42307452092408754</v>
      </c>
      <c r="AI400">
        <v>3.7220632339362539E-3</v>
      </c>
      <c r="AJ400">
        <v>1.3647565191099598E-2</v>
      </c>
      <c r="AK400">
        <v>0</v>
      </c>
      <c r="AL400">
        <v>0</v>
      </c>
      <c r="AM400">
        <v>6.2034387232270905E-4</v>
      </c>
      <c r="AN400">
        <v>5.8312323998334643E-2</v>
      </c>
      <c r="AO400" t="s">
        <v>19</v>
      </c>
      <c r="AT400" t="str">
        <f t="shared" si="12"/>
        <v>car</v>
      </c>
      <c r="AU400" t="str">
        <f t="shared" si="13"/>
        <v>nga</v>
      </c>
    </row>
    <row r="401" spans="1:47">
      <c r="A401" t="s">
        <v>17</v>
      </c>
      <c r="B401" t="s">
        <v>176</v>
      </c>
      <c r="C401" t="s">
        <v>614</v>
      </c>
      <c r="D401" t="s">
        <v>19</v>
      </c>
      <c r="E401" t="s">
        <v>19</v>
      </c>
      <c r="F401" t="s">
        <v>19</v>
      </c>
      <c r="G401" t="s">
        <v>100</v>
      </c>
      <c r="H401" t="s">
        <v>19</v>
      </c>
      <c r="I401" t="s">
        <v>19</v>
      </c>
      <c r="J401" t="s">
        <v>19</v>
      </c>
      <c r="K401" t="s">
        <v>19</v>
      </c>
      <c r="L401">
        <v>1.1166189701808762E-2</v>
      </c>
      <c r="M401">
        <v>0</v>
      </c>
      <c r="N401">
        <v>9.5532956337697192E-2</v>
      </c>
      <c r="O401">
        <v>0.23014757663172503</v>
      </c>
      <c r="P401">
        <v>0.10793983378415137</v>
      </c>
      <c r="Q401">
        <v>0.33374500330961743</v>
      </c>
      <c r="R401">
        <v>1.8610316169681269E-3</v>
      </c>
      <c r="S401">
        <v>9.3671924720729063E-2</v>
      </c>
      <c r="T401">
        <v>1.8610316169681269E-3</v>
      </c>
      <c r="U401">
        <v>2.0539585612604894</v>
      </c>
      <c r="V401">
        <v>8.0644703401952181E-3</v>
      </c>
      <c r="W401">
        <v>0</v>
      </c>
      <c r="X401">
        <v>5.5830948509043811E-3</v>
      </c>
      <c r="Y401">
        <v>6.20343872322709E-2</v>
      </c>
      <c r="Z401">
        <v>0</v>
      </c>
      <c r="AA401">
        <v>1.3647565191099598E-2</v>
      </c>
      <c r="AB401">
        <v>9.3051580848406354E-3</v>
      </c>
      <c r="AC401">
        <v>1.0545845829486054E-2</v>
      </c>
      <c r="AD401">
        <v>1.1166189701808762E-2</v>
      </c>
      <c r="AE401">
        <v>6.8237825955498002E-2</v>
      </c>
      <c r="AF401">
        <v>8.4366766635888435E-2</v>
      </c>
      <c r="AG401">
        <v>2.4813754892908362E-3</v>
      </c>
      <c r="AH401">
        <v>0.42307452092408754</v>
      </c>
      <c r="AI401">
        <v>3.7220632339362539E-3</v>
      </c>
      <c r="AJ401">
        <v>1.3647565191099598E-2</v>
      </c>
      <c r="AK401">
        <v>0</v>
      </c>
      <c r="AL401">
        <v>0</v>
      </c>
      <c r="AM401">
        <v>6.2034387232270905E-4</v>
      </c>
      <c r="AN401">
        <v>5.8312323998334643E-2</v>
      </c>
      <c r="AO401" t="s">
        <v>19</v>
      </c>
      <c r="AT401" t="str">
        <f t="shared" si="12"/>
        <v>car</v>
      </c>
      <c r="AU401" t="str">
        <f t="shared" si="13"/>
        <v>nga</v>
      </c>
    </row>
    <row r="402" spans="1:47">
      <c r="A402" t="s">
        <v>17</v>
      </c>
      <c r="B402" t="s">
        <v>176</v>
      </c>
      <c r="C402" t="s">
        <v>613</v>
      </c>
      <c r="D402" t="s">
        <v>19</v>
      </c>
      <c r="E402" t="s">
        <v>19</v>
      </c>
      <c r="F402" t="s">
        <v>19</v>
      </c>
      <c r="G402" t="s">
        <v>603</v>
      </c>
      <c r="H402" t="s">
        <v>19</v>
      </c>
      <c r="I402" t="s">
        <v>19</v>
      </c>
      <c r="J402" t="s">
        <v>19</v>
      </c>
      <c r="K402" t="s">
        <v>19</v>
      </c>
      <c r="L402">
        <v>0</v>
      </c>
      <c r="M402">
        <v>0</v>
      </c>
      <c r="N402">
        <v>5.5830948509043811E-3</v>
      </c>
      <c r="O402">
        <v>0</v>
      </c>
      <c r="P402">
        <v>3.7220632339362539E-3</v>
      </c>
      <c r="Q402">
        <v>3.101719361613545E-2</v>
      </c>
      <c r="R402">
        <v>0</v>
      </c>
      <c r="S402">
        <v>8.3746422763565725E-2</v>
      </c>
      <c r="T402">
        <v>3.1017193616135453E-3</v>
      </c>
      <c r="U402">
        <v>3.1017193616135453E-3</v>
      </c>
      <c r="V402">
        <v>3.7220632339362539E-3</v>
      </c>
      <c r="W402">
        <v>4.3424071062589638E-3</v>
      </c>
      <c r="X402">
        <v>2.4813754892908362E-3</v>
      </c>
      <c r="Y402">
        <v>3.1017193616135453E-3</v>
      </c>
      <c r="Z402">
        <v>1.8610316169681269E-3</v>
      </c>
      <c r="AA402">
        <v>3.7220632339362539E-3</v>
      </c>
      <c r="AB402">
        <v>1.8610316169681269E-3</v>
      </c>
      <c r="AC402">
        <v>5.5830948509043811E-3</v>
      </c>
      <c r="AD402">
        <v>4.3424071062589638E-3</v>
      </c>
      <c r="AE402">
        <v>0</v>
      </c>
      <c r="AF402">
        <v>4.3424071062589638E-3</v>
      </c>
      <c r="AG402">
        <v>0</v>
      </c>
      <c r="AH402">
        <v>0</v>
      </c>
      <c r="AI402">
        <v>1.2406877446454181E-3</v>
      </c>
      <c r="AJ402">
        <v>0</v>
      </c>
      <c r="AK402">
        <v>0</v>
      </c>
      <c r="AL402">
        <v>0</v>
      </c>
      <c r="AM402">
        <v>3.1017193616135453E-3</v>
      </c>
      <c r="AN402">
        <v>2.7915474254521906E-2</v>
      </c>
      <c r="AO402" t="s">
        <v>19</v>
      </c>
      <c r="AT402" t="str">
        <f t="shared" si="12"/>
        <v>hdt</v>
      </c>
      <c r="AU402" t="str">
        <f t="shared" si="13"/>
        <v>bdl</v>
      </c>
    </row>
    <row r="403" spans="1:47">
      <c r="A403" t="s">
        <v>17</v>
      </c>
      <c r="B403" t="s">
        <v>176</v>
      </c>
      <c r="C403" t="s">
        <v>613</v>
      </c>
      <c r="D403" t="s">
        <v>19</v>
      </c>
      <c r="E403" t="s">
        <v>19</v>
      </c>
      <c r="F403" t="s">
        <v>19</v>
      </c>
      <c r="G403" t="s">
        <v>602</v>
      </c>
      <c r="H403" t="s">
        <v>19</v>
      </c>
      <c r="I403" t="s">
        <v>19</v>
      </c>
      <c r="J403" t="s">
        <v>19</v>
      </c>
      <c r="K403" t="s">
        <v>19</v>
      </c>
      <c r="L403">
        <v>0</v>
      </c>
      <c r="M403">
        <v>0</v>
      </c>
      <c r="N403">
        <v>5.5830948509043811E-3</v>
      </c>
      <c r="O403">
        <v>0</v>
      </c>
      <c r="P403">
        <v>3.7220632339362539E-3</v>
      </c>
      <c r="Q403">
        <v>3.101719361613545E-2</v>
      </c>
      <c r="R403">
        <v>0</v>
      </c>
      <c r="S403">
        <v>8.3746422763565725E-2</v>
      </c>
      <c r="T403">
        <v>3.1017193616135453E-3</v>
      </c>
      <c r="U403">
        <v>3.1017193616135453E-3</v>
      </c>
      <c r="V403">
        <v>3.7220632339362539E-3</v>
      </c>
      <c r="W403">
        <v>4.3424071062589638E-3</v>
      </c>
      <c r="X403">
        <v>2.4813754892908362E-3</v>
      </c>
      <c r="Y403">
        <v>3.1017193616135453E-3</v>
      </c>
      <c r="Z403">
        <v>1.8610316169681269E-3</v>
      </c>
      <c r="AA403">
        <v>3.7220632339362539E-3</v>
      </c>
      <c r="AB403">
        <v>1.8610316169681269E-3</v>
      </c>
      <c r="AC403">
        <v>5.5830948509043811E-3</v>
      </c>
      <c r="AD403">
        <v>4.3424071062589638E-3</v>
      </c>
      <c r="AE403">
        <v>0</v>
      </c>
      <c r="AF403">
        <v>4.3424071062589638E-3</v>
      </c>
      <c r="AG403">
        <v>0</v>
      </c>
      <c r="AH403">
        <v>0</v>
      </c>
      <c r="AI403">
        <v>1.2406877446454181E-3</v>
      </c>
      <c r="AJ403">
        <v>0</v>
      </c>
      <c r="AK403">
        <v>0</v>
      </c>
      <c r="AL403">
        <v>0</v>
      </c>
      <c r="AM403">
        <v>3.1017193616135453E-3</v>
      </c>
      <c r="AN403">
        <v>2.7915474254521906E-2</v>
      </c>
      <c r="AO403" t="s">
        <v>19</v>
      </c>
      <c r="AT403" t="str">
        <f t="shared" si="12"/>
        <v>hdt</v>
      </c>
      <c r="AU403" t="str">
        <f t="shared" si="13"/>
        <v>bdl</v>
      </c>
    </row>
    <row r="404" spans="1:47">
      <c r="A404" t="s">
        <v>17</v>
      </c>
      <c r="B404" t="s">
        <v>176</v>
      </c>
      <c r="C404" t="s">
        <v>613</v>
      </c>
      <c r="D404" t="s">
        <v>19</v>
      </c>
      <c r="E404" t="s">
        <v>19</v>
      </c>
      <c r="F404" t="s">
        <v>19</v>
      </c>
      <c r="G404" t="s">
        <v>601</v>
      </c>
      <c r="H404" t="s">
        <v>19</v>
      </c>
      <c r="I404" t="s">
        <v>19</v>
      </c>
      <c r="J404" t="s">
        <v>19</v>
      </c>
      <c r="K404" t="s">
        <v>19</v>
      </c>
      <c r="L404">
        <v>0</v>
      </c>
      <c r="M404">
        <v>0</v>
      </c>
      <c r="N404">
        <v>5.5830948509043811E-3</v>
      </c>
      <c r="O404">
        <v>0</v>
      </c>
      <c r="P404">
        <v>3.7220632339362539E-3</v>
      </c>
      <c r="Q404">
        <v>3.101719361613545E-2</v>
      </c>
      <c r="R404">
        <v>0</v>
      </c>
      <c r="S404">
        <v>8.3746422763565725E-2</v>
      </c>
      <c r="T404">
        <v>3.1017193616135453E-3</v>
      </c>
      <c r="U404">
        <v>3.1017193616135453E-3</v>
      </c>
      <c r="V404">
        <v>3.7220632339362539E-3</v>
      </c>
      <c r="W404">
        <v>4.3424071062589638E-3</v>
      </c>
      <c r="X404">
        <v>2.4813754892908362E-3</v>
      </c>
      <c r="Y404">
        <v>3.1017193616135453E-3</v>
      </c>
      <c r="Z404">
        <v>1.8610316169681269E-3</v>
      </c>
      <c r="AA404">
        <v>3.7220632339362539E-3</v>
      </c>
      <c r="AB404">
        <v>1.8610316169681269E-3</v>
      </c>
      <c r="AC404">
        <v>5.5830948509043811E-3</v>
      </c>
      <c r="AD404">
        <v>4.3424071062589638E-3</v>
      </c>
      <c r="AE404">
        <v>0</v>
      </c>
      <c r="AF404">
        <v>4.3424071062589638E-3</v>
      </c>
      <c r="AG404">
        <v>0</v>
      </c>
      <c r="AH404">
        <v>0</v>
      </c>
      <c r="AI404">
        <v>1.2406877446454181E-3</v>
      </c>
      <c r="AJ404">
        <v>0</v>
      </c>
      <c r="AK404">
        <v>0</v>
      </c>
      <c r="AL404">
        <v>0</v>
      </c>
      <c r="AM404">
        <v>3.1017193616135453E-3</v>
      </c>
      <c r="AN404">
        <v>2.7915474254521906E-2</v>
      </c>
      <c r="AO404" t="s">
        <v>19</v>
      </c>
      <c r="AT404" t="str">
        <f t="shared" si="12"/>
        <v>hdt</v>
      </c>
      <c r="AU404" t="str">
        <f t="shared" si="13"/>
        <v>bdl</v>
      </c>
    </row>
    <row r="405" spans="1:47">
      <c r="A405" t="s">
        <v>17</v>
      </c>
      <c r="B405" t="s">
        <v>176</v>
      </c>
      <c r="C405" t="s">
        <v>613</v>
      </c>
      <c r="D405" t="s">
        <v>19</v>
      </c>
      <c r="E405" t="s">
        <v>19</v>
      </c>
      <c r="F405" t="s">
        <v>19</v>
      </c>
      <c r="G405" t="s">
        <v>600</v>
      </c>
      <c r="H405" t="s">
        <v>19</v>
      </c>
      <c r="I405" t="s">
        <v>19</v>
      </c>
      <c r="J405" t="s">
        <v>19</v>
      </c>
      <c r="K405" t="s">
        <v>19</v>
      </c>
      <c r="L405">
        <v>0</v>
      </c>
      <c r="M405">
        <v>0</v>
      </c>
      <c r="N405">
        <v>5.5830948509043811E-3</v>
      </c>
      <c r="O405">
        <v>0</v>
      </c>
      <c r="P405">
        <v>3.7220632339362539E-3</v>
      </c>
      <c r="Q405">
        <v>3.101719361613545E-2</v>
      </c>
      <c r="R405">
        <v>0</v>
      </c>
      <c r="S405">
        <v>8.3746422763565725E-2</v>
      </c>
      <c r="T405">
        <v>3.1017193616135453E-3</v>
      </c>
      <c r="U405">
        <v>3.1017193616135453E-3</v>
      </c>
      <c r="V405">
        <v>3.7220632339362539E-3</v>
      </c>
      <c r="W405">
        <v>4.3424071062589638E-3</v>
      </c>
      <c r="X405">
        <v>2.4813754892908362E-3</v>
      </c>
      <c r="Y405">
        <v>3.1017193616135453E-3</v>
      </c>
      <c r="Z405">
        <v>1.8610316169681269E-3</v>
      </c>
      <c r="AA405">
        <v>3.7220632339362539E-3</v>
      </c>
      <c r="AB405">
        <v>1.8610316169681269E-3</v>
      </c>
      <c r="AC405">
        <v>5.5830948509043811E-3</v>
      </c>
      <c r="AD405">
        <v>4.3424071062589638E-3</v>
      </c>
      <c r="AE405">
        <v>0</v>
      </c>
      <c r="AF405">
        <v>4.3424071062589638E-3</v>
      </c>
      <c r="AG405">
        <v>0</v>
      </c>
      <c r="AH405">
        <v>0</v>
      </c>
      <c r="AI405">
        <v>1.2406877446454181E-3</v>
      </c>
      <c r="AJ405">
        <v>0</v>
      </c>
      <c r="AK405">
        <v>0</v>
      </c>
      <c r="AL405">
        <v>0</v>
      </c>
      <c r="AM405">
        <v>3.1017193616135453E-3</v>
      </c>
      <c r="AN405">
        <v>2.7915474254521906E-2</v>
      </c>
      <c r="AO405" t="s">
        <v>19</v>
      </c>
      <c r="AT405" t="str">
        <f t="shared" si="12"/>
        <v>hdt</v>
      </c>
      <c r="AU405" t="str">
        <f t="shared" si="13"/>
        <v>bdl</v>
      </c>
    </row>
    <row r="406" spans="1:47">
      <c r="A406" t="s">
        <v>17</v>
      </c>
      <c r="B406" t="s">
        <v>176</v>
      </c>
      <c r="C406" t="s">
        <v>613</v>
      </c>
      <c r="D406" t="s">
        <v>19</v>
      </c>
      <c r="E406" t="s">
        <v>19</v>
      </c>
      <c r="F406" t="s">
        <v>19</v>
      </c>
      <c r="G406" t="s">
        <v>599</v>
      </c>
      <c r="H406" t="s">
        <v>19</v>
      </c>
      <c r="I406" t="s">
        <v>19</v>
      </c>
      <c r="J406" t="s">
        <v>19</v>
      </c>
      <c r="K406" t="s">
        <v>19</v>
      </c>
      <c r="L406">
        <v>0</v>
      </c>
      <c r="M406">
        <v>0</v>
      </c>
      <c r="N406">
        <v>5.5830948509043811E-3</v>
      </c>
      <c r="O406">
        <v>0</v>
      </c>
      <c r="P406">
        <v>3.7220632339362539E-3</v>
      </c>
      <c r="Q406">
        <v>3.101719361613545E-2</v>
      </c>
      <c r="R406">
        <v>0</v>
      </c>
      <c r="S406">
        <v>8.3746422763565725E-2</v>
      </c>
      <c r="T406">
        <v>3.1017193616135453E-3</v>
      </c>
      <c r="U406">
        <v>3.1017193616135453E-3</v>
      </c>
      <c r="V406">
        <v>3.7220632339362539E-3</v>
      </c>
      <c r="W406">
        <v>4.3424071062589638E-3</v>
      </c>
      <c r="X406">
        <v>2.4813754892908362E-3</v>
      </c>
      <c r="Y406">
        <v>3.1017193616135453E-3</v>
      </c>
      <c r="Z406">
        <v>1.8610316169681269E-3</v>
      </c>
      <c r="AA406">
        <v>3.7220632339362539E-3</v>
      </c>
      <c r="AB406">
        <v>1.8610316169681269E-3</v>
      </c>
      <c r="AC406">
        <v>5.5830948509043811E-3</v>
      </c>
      <c r="AD406">
        <v>4.3424071062589638E-3</v>
      </c>
      <c r="AE406">
        <v>0</v>
      </c>
      <c r="AF406">
        <v>4.3424071062589638E-3</v>
      </c>
      <c r="AG406">
        <v>0</v>
      </c>
      <c r="AH406">
        <v>0</v>
      </c>
      <c r="AI406">
        <v>1.2406877446454181E-3</v>
      </c>
      <c r="AJ406">
        <v>0</v>
      </c>
      <c r="AK406">
        <v>0</v>
      </c>
      <c r="AL406">
        <v>0</v>
      </c>
      <c r="AM406">
        <v>3.1017193616135453E-3</v>
      </c>
      <c r="AN406">
        <v>2.7915474254521906E-2</v>
      </c>
      <c r="AO406" t="s">
        <v>19</v>
      </c>
      <c r="AT406" t="str">
        <f t="shared" si="12"/>
        <v>hdt</v>
      </c>
      <c r="AU406" t="str">
        <f t="shared" si="13"/>
        <v>bdl</v>
      </c>
    </row>
    <row r="407" spans="1:47">
      <c r="A407" t="s">
        <v>17</v>
      </c>
      <c r="B407" t="s">
        <v>176</v>
      </c>
      <c r="C407" t="s">
        <v>613</v>
      </c>
      <c r="D407" t="s">
        <v>19</v>
      </c>
      <c r="E407" t="s">
        <v>19</v>
      </c>
      <c r="F407" t="s">
        <v>19</v>
      </c>
      <c r="G407" t="s">
        <v>598</v>
      </c>
      <c r="H407" t="s">
        <v>19</v>
      </c>
      <c r="I407" t="s">
        <v>19</v>
      </c>
      <c r="J407" t="s">
        <v>19</v>
      </c>
      <c r="K407" t="s">
        <v>19</v>
      </c>
      <c r="L407">
        <v>0</v>
      </c>
      <c r="M407">
        <v>0</v>
      </c>
      <c r="N407">
        <v>5.5830948509043811E-3</v>
      </c>
      <c r="O407">
        <v>0</v>
      </c>
      <c r="P407">
        <v>3.7220632339362539E-3</v>
      </c>
      <c r="Q407">
        <v>3.101719361613545E-2</v>
      </c>
      <c r="R407">
        <v>0</v>
      </c>
      <c r="S407">
        <v>8.3746422763565725E-2</v>
      </c>
      <c r="T407">
        <v>3.1017193616135453E-3</v>
      </c>
      <c r="U407">
        <v>3.1017193616135453E-3</v>
      </c>
      <c r="V407">
        <v>3.7220632339362539E-3</v>
      </c>
      <c r="W407">
        <v>4.3424071062589638E-3</v>
      </c>
      <c r="X407">
        <v>2.4813754892908362E-3</v>
      </c>
      <c r="Y407">
        <v>3.1017193616135453E-3</v>
      </c>
      <c r="Z407">
        <v>1.8610316169681269E-3</v>
      </c>
      <c r="AA407">
        <v>3.7220632339362539E-3</v>
      </c>
      <c r="AB407">
        <v>1.8610316169681269E-3</v>
      </c>
      <c r="AC407">
        <v>5.5830948509043811E-3</v>
      </c>
      <c r="AD407">
        <v>4.3424071062589638E-3</v>
      </c>
      <c r="AE407">
        <v>0</v>
      </c>
      <c r="AF407">
        <v>4.3424071062589638E-3</v>
      </c>
      <c r="AG407">
        <v>0</v>
      </c>
      <c r="AH407">
        <v>0</v>
      </c>
      <c r="AI407">
        <v>1.2406877446454181E-3</v>
      </c>
      <c r="AJ407">
        <v>0</v>
      </c>
      <c r="AK407">
        <v>0</v>
      </c>
      <c r="AL407">
        <v>0</v>
      </c>
      <c r="AM407">
        <v>3.1017193616135453E-3</v>
      </c>
      <c r="AN407">
        <v>2.7915474254521906E-2</v>
      </c>
      <c r="AO407" t="s">
        <v>19</v>
      </c>
      <c r="AT407" t="str">
        <f t="shared" si="12"/>
        <v>hdt</v>
      </c>
      <c r="AU407" t="str">
        <f t="shared" si="13"/>
        <v>bdl</v>
      </c>
    </row>
    <row r="408" spans="1:47">
      <c r="A408" t="s">
        <v>17</v>
      </c>
      <c r="B408" t="s">
        <v>176</v>
      </c>
      <c r="C408" t="s">
        <v>613</v>
      </c>
      <c r="D408" t="s">
        <v>19</v>
      </c>
      <c r="E408" t="s">
        <v>19</v>
      </c>
      <c r="F408" t="s">
        <v>19</v>
      </c>
      <c r="G408" t="s">
        <v>597</v>
      </c>
      <c r="H408" t="s">
        <v>19</v>
      </c>
      <c r="I408" t="s">
        <v>19</v>
      </c>
      <c r="J408" t="s">
        <v>19</v>
      </c>
      <c r="K408" t="s">
        <v>19</v>
      </c>
      <c r="L408">
        <v>0</v>
      </c>
      <c r="M408">
        <v>0</v>
      </c>
      <c r="N408">
        <v>5.5830948509043811E-3</v>
      </c>
      <c r="O408">
        <v>0</v>
      </c>
      <c r="P408">
        <v>3.7220632339362539E-3</v>
      </c>
      <c r="Q408">
        <v>3.101719361613545E-2</v>
      </c>
      <c r="R408">
        <v>0</v>
      </c>
      <c r="S408">
        <v>8.3746422763565725E-2</v>
      </c>
      <c r="T408">
        <v>3.1017193616135453E-3</v>
      </c>
      <c r="U408">
        <v>3.1017193616135453E-3</v>
      </c>
      <c r="V408">
        <v>3.7220632339362539E-3</v>
      </c>
      <c r="W408">
        <v>4.3424071062589638E-3</v>
      </c>
      <c r="X408">
        <v>2.4813754892908362E-3</v>
      </c>
      <c r="Y408">
        <v>3.1017193616135453E-3</v>
      </c>
      <c r="Z408">
        <v>1.8610316169681269E-3</v>
      </c>
      <c r="AA408">
        <v>3.7220632339362539E-3</v>
      </c>
      <c r="AB408">
        <v>1.8610316169681269E-3</v>
      </c>
      <c r="AC408">
        <v>5.5830948509043811E-3</v>
      </c>
      <c r="AD408">
        <v>4.3424071062589638E-3</v>
      </c>
      <c r="AE408">
        <v>0</v>
      </c>
      <c r="AF408">
        <v>4.3424071062589638E-3</v>
      </c>
      <c r="AG408">
        <v>0</v>
      </c>
      <c r="AH408">
        <v>0</v>
      </c>
      <c r="AI408">
        <v>1.2406877446454181E-3</v>
      </c>
      <c r="AJ408">
        <v>0</v>
      </c>
      <c r="AK408">
        <v>0</v>
      </c>
      <c r="AL408">
        <v>0</v>
      </c>
      <c r="AM408">
        <v>3.1017193616135453E-3</v>
      </c>
      <c r="AN408">
        <v>2.7915474254521906E-2</v>
      </c>
      <c r="AO408" t="s">
        <v>19</v>
      </c>
      <c r="AT408" t="str">
        <f t="shared" si="12"/>
        <v>hdt</v>
      </c>
      <c r="AU408" t="str">
        <f t="shared" si="13"/>
        <v>bdl</v>
      </c>
    </row>
    <row r="409" spans="1:47">
      <c r="A409" t="s">
        <v>17</v>
      </c>
      <c r="B409" t="s">
        <v>176</v>
      </c>
      <c r="C409" t="s">
        <v>613</v>
      </c>
      <c r="D409" t="s">
        <v>19</v>
      </c>
      <c r="E409" t="s">
        <v>19</v>
      </c>
      <c r="F409" t="s">
        <v>19</v>
      </c>
      <c r="G409" t="s">
        <v>596</v>
      </c>
      <c r="H409" t="s">
        <v>19</v>
      </c>
      <c r="I409" t="s">
        <v>19</v>
      </c>
      <c r="J409" t="s">
        <v>19</v>
      </c>
      <c r="K409" t="s">
        <v>19</v>
      </c>
      <c r="L409">
        <v>0</v>
      </c>
      <c r="M409">
        <v>0</v>
      </c>
      <c r="N409">
        <v>5.5830948509043811E-3</v>
      </c>
      <c r="O409">
        <v>0</v>
      </c>
      <c r="P409">
        <v>3.7220632339362539E-3</v>
      </c>
      <c r="Q409">
        <v>3.101719361613545E-2</v>
      </c>
      <c r="R409">
        <v>0</v>
      </c>
      <c r="S409">
        <v>8.3746422763565725E-2</v>
      </c>
      <c r="T409">
        <v>3.1017193616135453E-3</v>
      </c>
      <c r="U409">
        <v>3.1017193616135453E-3</v>
      </c>
      <c r="V409">
        <v>3.7220632339362539E-3</v>
      </c>
      <c r="W409">
        <v>4.3424071062589638E-3</v>
      </c>
      <c r="X409">
        <v>2.4813754892908362E-3</v>
      </c>
      <c r="Y409">
        <v>3.1017193616135453E-3</v>
      </c>
      <c r="Z409">
        <v>1.8610316169681269E-3</v>
      </c>
      <c r="AA409">
        <v>3.7220632339362539E-3</v>
      </c>
      <c r="AB409">
        <v>1.8610316169681269E-3</v>
      </c>
      <c r="AC409">
        <v>5.5830948509043811E-3</v>
      </c>
      <c r="AD409">
        <v>4.3424071062589638E-3</v>
      </c>
      <c r="AE409">
        <v>0</v>
      </c>
      <c r="AF409">
        <v>4.3424071062589638E-3</v>
      </c>
      <c r="AG409">
        <v>0</v>
      </c>
      <c r="AH409">
        <v>0</v>
      </c>
      <c r="AI409">
        <v>1.2406877446454181E-3</v>
      </c>
      <c r="AJ409">
        <v>0</v>
      </c>
      <c r="AK409">
        <v>0</v>
      </c>
      <c r="AL409">
        <v>0</v>
      </c>
      <c r="AM409">
        <v>3.1017193616135453E-3</v>
      </c>
      <c r="AN409">
        <v>2.7915474254521906E-2</v>
      </c>
      <c r="AO409" t="s">
        <v>19</v>
      </c>
      <c r="AT409" t="str">
        <f t="shared" si="12"/>
        <v>hdt</v>
      </c>
      <c r="AU409" t="str">
        <f t="shared" si="13"/>
        <v>bdl</v>
      </c>
    </row>
    <row r="410" spans="1:47">
      <c r="A410" t="s">
        <v>17</v>
      </c>
      <c r="B410" t="s">
        <v>176</v>
      </c>
      <c r="C410" t="s">
        <v>613</v>
      </c>
      <c r="D410" t="s">
        <v>19</v>
      </c>
      <c r="E410" t="s">
        <v>19</v>
      </c>
      <c r="F410" t="s">
        <v>19</v>
      </c>
      <c r="G410" t="s">
        <v>178</v>
      </c>
      <c r="H410" t="s">
        <v>19</v>
      </c>
      <c r="I410" t="s">
        <v>19</v>
      </c>
      <c r="J410" t="s">
        <v>19</v>
      </c>
      <c r="K410" t="s">
        <v>19</v>
      </c>
      <c r="L410">
        <v>0</v>
      </c>
      <c r="M410">
        <v>0</v>
      </c>
      <c r="N410">
        <v>5.5830948509043811E-3</v>
      </c>
      <c r="O410">
        <v>0</v>
      </c>
      <c r="P410">
        <v>3.7220632339362539E-3</v>
      </c>
      <c r="Q410">
        <v>3.101719361613545E-2</v>
      </c>
      <c r="R410">
        <v>0</v>
      </c>
      <c r="S410">
        <v>8.3746422763565725E-2</v>
      </c>
      <c r="T410">
        <v>3.1017193616135453E-3</v>
      </c>
      <c r="U410">
        <v>3.1017193616135453E-3</v>
      </c>
      <c r="V410">
        <v>3.7220632339362539E-3</v>
      </c>
      <c r="W410">
        <v>4.3424071062589638E-3</v>
      </c>
      <c r="X410">
        <v>2.4813754892908362E-3</v>
      </c>
      <c r="Y410">
        <v>3.1017193616135453E-3</v>
      </c>
      <c r="Z410">
        <v>1.8610316169681269E-3</v>
      </c>
      <c r="AA410">
        <v>3.7220632339362539E-3</v>
      </c>
      <c r="AB410">
        <v>1.8610316169681269E-3</v>
      </c>
      <c r="AC410">
        <v>5.5830948509043811E-3</v>
      </c>
      <c r="AD410">
        <v>4.3424071062589638E-3</v>
      </c>
      <c r="AE410">
        <v>0</v>
      </c>
      <c r="AF410">
        <v>4.3424071062589638E-3</v>
      </c>
      <c r="AG410">
        <v>0</v>
      </c>
      <c r="AH410">
        <v>0</v>
      </c>
      <c r="AI410">
        <v>1.2406877446454181E-3</v>
      </c>
      <c r="AJ410">
        <v>0</v>
      </c>
      <c r="AK410">
        <v>0</v>
      </c>
      <c r="AL410">
        <v>0</v>
      </c>
      <c r="AM410">
        <v>3.1017193616135453E-3</v>
      </c>
      <c r="AN410">
        <v>2.7915474254521906E-2</v>
      </c>
      <c r="AO410" t="s">
        <v>19</v>
      </c>
      <c r="AT410" t="str">
        <f t="shared" si="12"/>
        <v>hdt</v>
      </c>
      <c r="AU410" t="str">
        <f t="shared" si="13"/>
        <v>bdl</v>
      </c>
    </row>
    <row r="411" spans="1:47">
      <c r="A411" t="s">
        <v>17</v>
      </c>
      <c r="B411" t="s">
        <v>176</v>
      </c>
      <c r="C411" t="s">
        <v>613</v>
      </c>
      <c r="D411" t="s">
        <v>19</v>
      </c>
      <c r="E411" t="s">
        <v>19</v>
      </c>
      <c r="F411" t="s">
        <v>19</v>
      </c>
      <c r="G411" t="s">
        <v>179</v>
      </c>
      <c r="H411" t="s">
        <v>19</v>
      </c>
      <c r="I411" t="s">
        <v>19</v>
      </c>
      <c r="J411" t="s">
        <v>19</v>
      </c>
      <c r="K411" t="s">
        <v>19</v>
      </c>
      <c r="L411">
        <v>0</v>
      </c>
      <c r="M411">
        <v>0</v>
      </c>
      <c r="N411">
        <v>5.5830948509043811E-3</v>
      </c>
      <c r="O411">
        <v>0</v>
      </c>
      <c r="P411">
        <v>3.7220632339362539E-3</v>
      </c>
      <c r="Q411">
        <v>3.101719361613545E-2</v>
      </c>
      <c r="R411">
        <v>0</v>
      </c>
      <c r="S411">
        <v>8.3746422763565725E-2</v>
      </c>
      <c r="T411">
        <v>3.1017193616135453E-3</v>
      </c>
      <c r="U411">
        <v>3.1017193616135453E-3</v>
      </c>
      <c r="V411">
        <v>3.7220632339362539E-3</v>
      </c>
      <c r="W411">
        <v>4.3424071062589638E-3</v>
      </c>
      <c r="X411">
        <v>2.4813754892908362E-3</v>
      </c>
      <c r="Y411">
        <v>3.1017193616135453E-3</v>
      </c>
      <c r="Z411">
        <v>1.8610316169681269E-3</v>
      </c>
      <c r="AA411">
        <v>3.7220632339362539E-3</v>
      </c>
      <c r="AB411">
        <v>1.8610316169681269E-3</v>
      </c>
      <c r="AC411">
        <v>5.5830948509043811E-3</v>
      </c>
      <c r="AD411">
        <v>4.3424071062589638E-3</v>
      </c>
      <c r="AE411">
        <v>0</v>
      </c>
      <c r="AF411">
        <v>4.3424071062589638E-3</v>
      </c>
      <c r="AG411">
        <v>0</v>
      </c>
      <c r="AH411">
        <v>0</v>
      </c>
      <c r="AI411">
        <v>1.2406877446454181E-3</v>
      </c>
      <c r="AJ411">
        <v>0</v>
      </c>
      <c r="AK411">
        <v>0</v>
      </c>
      <c r="AL411">
        <v>0</v>
      </c>
      <c r="AM411">
        <v>3.1017193616135453E-3</v>
      </c>
      <c r="AN411">
        <v>2.7915474254521906E-2</v>
      </c>
      <c r="AO411" t="s">
        <v>19</v>
      </c>
      <c r="AT411" t="str">
        <f t="shared" si="12"/>
        <v>hdt</v>
      </c>
      <c r="AU411" t="str">
        <f t="shared" si="13"/>
        <v>bdl</v>
      </c>
    </row>
    <row r="412" spans="1:47">
      <c r="A412" t="s">
        <v>17</v>
      </c>
      <c r="B412" t="s">
        <v>176</v>
      </c>
      <c r="C412" t="s">
        <v>613</v>
      </c>
      <c r="D412" t="s">
        <v>19</v>
      </c>
      <c r="E412" t="s">
        <v>19</v>
      </c>
      <c r="F412" t="s">
        <v>19</v>
      </c>
      <c r="G412" t="s">
        <v>180</v>
      </c>
      <c r="H412" t="s">
        <v>19</v>
      </c>
      <c r="I412" t="s">
        <v>19</v>
      </c>
      <c r="J412" t="s">
        <v>19</v>
      </c>
      <c r="K412" t="s">
        <v>19</v>
      </c>
      <c r="L412">
        <v>0</v>
      </c>
      <c r="M412">
        <v>0</v>
      </c>
      <c r="N412">
        <v>5.5830948509043811E-3</v>
      </c>
      <c r="O412">
        <v>0</v>
      </c>
      <c r="P412">
        <v>3.7220632339362539E-3</v>
      </c>
      <c r="Q412">
        <v>3.101719361613545E-2</v>
      </c>
      <c r="R412">
        <v>0</v>
      </c>
      <c r="S412">
        <v>8.3746422763565725E-2</v>
      </c>
      <c r="T412">
        <v>3.1017193616135453E-3</v>
      </c>
      <c r="U412">
        <v>3.1017193616135453E-3</v>
      </c>
      <c r="V412">
        <v>3.7220632339362539E-3</v>
      </c>
      <c r="W412">
        <v>4.3424071062589638E-3</v>
      </c>
      <c r="X412">
        <v>2.4813754892908362E-3</v>
      </c>
      <c r="Y412">
        <v>3.1017193616135453E-3</v>
      </c>
      <c r="Z412">
        <v>1.8610316169681269E-3</v>
      </c>
      <c r="AA412">
        <v>3.7220632339362539E-3</v>
      </c>
      <c r="AB412">
        <v>1.8610316169681269E-3</v>
      </c>
      <c r="AC412">
        <v>5.5830948509043811E-3</v>
      </c>
      <c r="AD412">
        <v>4.3424071062589638E-3</v>
      </c>
      <c r="AE412">
        <v>0</v>
      </c>
      <c r="AF412">
        <v>4.3424071062589638E-3</v>
      </c>
      <c r="AG412">
        <v>0</v>
      </c>
      <c r="AH412">
        <v>0</v>
      </c>
      <c r="AI412">
        <v>1.2406877446454181E-3</v>
      </c>
      <c r="AJ412">
        <v>0</v>
      </c>
      <c r="AK412">
        <v>0</v>
      </c>
      <c r="AL412">
        <v>0</v>
      </c>
      <c r="AM412">
        <v>3.1017193616135453E-3</v>
      </c>
      <c r="AN412">
        <v>2.7915474254521906E-2</v>
      </c>
      <c r="AO412" t="s">
        <v>19</v>
      </c>
      <c r="AT412" t="str">
        <f t="shared" si="12"/>
        <v>hdt</v>
      </c>
      <c r="AU412" t="str">
        <f t="shared" si="13"/>
        <v>bdl</v>
      </c>
    </row>
    <row r="413" spans="1:47">
      <c r="A413" t="s">
        <v>17</v>
      </c>
      <c r="B413" t="s">
        <v>176</v>
      </c>
      <c r="C413" t="s">
        <v>613</v>
      </c>
      <c r="D413" t="s">
        <v>19</v>
      </c>
      <c r="E413" t="s">
        <v>19</v>
      </c>
      <c r="F413" t="s">
        <v>19</v>
      </c>
      <c r="G413" t="s">
        <v>181</v>
      </c>
      <c r="H413" t="s">
        <v>19</v>
      </c>
      <c r="I413" t="s">
        <v>19</v>
      </c>
      <c r="J413" t="s">
        <v>19</v>
      </c>
      <c r="K413" t="s">
        <v>19</v>
      </c>
      <c r="L413">
        <v>0</v>
      </c>
      <c r="M413">
        <v>0</v>
      </c>
      <c r="N413">
        <v>5.5830948509043811E-3</v>
      </c>
      <c r="O413">
        <v>0</v>
      </c>
      <c r="P413">
        <v>3.7220632339362539E-3</v>
      </c>
      <c r="Q413">
        <v>3.101719361613545E-2</v>
      </c>
      <c r="R413">
        <v>0</v>
      </c>
      <c r="S413">
        <v>8.3746422763565725E-2</v>
      </c>
      <c r="T413">
        <v>3.1017193616135453E-3</v>
      </c>
      <c r="U413">
        <v>3.1017193616135453E-3</v>
      </c>
      <c r="V413">
        <v>3.7220632339362539E-3</v>
      </c>
      <c r="W413">
        <v>4.3424071062589638E-3</v>
      </c>
      <c r="X413">
        <v>2.4813754892908362E-3</v>
      </c>
      <c r="Y413">
        <v>3.1017193616135453E-3</v>
      </c>
      <c r="Z413">
        <v>1.8610316169681269E-3</v>
      </c>
      <c r="AA413">
        <v>3.7220632339362539E-3</v>
      </c>
      <c r="AB413">
        <v>1.8610316169681269E-3</v>
      </c>
      <c r="AC413">
        <v>5.5830948509043811E-3</v>
      </c>
      <c r="AD413">
        <v>4.3424071062589638E-3</v>
      </c>
      <c r="AE413">
        <v>0</v>
      </c>
      <c r="AF413">
        <v>4.3424071062589638E-3</v>
      </c>
      <c r="AG413">
        <v>0</v>
      </c>
      <c r="AH413">
        <v>0</v>
      </c>
      <c r="AI413">
        <v>1.2406877446454181E-3</v>
      </c>
      <c r="AJ413">
        <v>0</v>
      </c>
      <c r="AK413">
        <v>0</v>
      </c>
      <c r="AL413">
        <v>0</v>
      </c>
      <c r="AM413">
        <v>3.1017193616135453E-3</v>
      </c>
      <c r="AN413">
        <v>2.7915474254521906E-2</v>
      </c>
      <c r="AO413" t="s">
        <v>19</v>
      </c>
      <c r="AT413" t="str">
        <f t="shared" si="12"/>
        <v>hdt</v>
      </c>
      <c r="AU413" t="str">
        <f t="shared" si="13"/>
        <v>bdl</v>
      </c>
    </row>
    <row r="414" spans="1:47">
      <c r="A414" t="s">
        <v>17</v>
      </c>
      <c r="B414" t="s">
        <v>176</v>
      </c>
      <c r="C414" t="s">
        <v>613</v>
      </c>
      <c r="D414" t="s">
        <v>19</v>
      </c>
      <c r="E414" t="s">
        <v>19</v>
      </c>
      <c r="F414" t="s">
        <v>19</v>
      </c>
      <c r="G414" t="s">
        <v>182</v>
      </c>
      <c r="H414" t="s">
        <v>19</v>
      </c>
      <c r="I414" t="s">
        <v>19</v>
      </c>
      <c r="J414" t="s">
        <v>19</v>
      </c>
      <c r="K414" t="s">
        <v>19</v>
      </c>
      <c r="L414">
        <v>0</v>
      </c>
      <c r="M414">
        <v>0</v>
      </c>
      <c r="N414">
        <v>5.5830948509043811E-3</v>
      </c>
      <c r="O414">
        <v>0</v>
      </c>
      <c r="P414">
        <v>3.7220632339362539E-3</v>
      </c>
      <c r="Q414">
        <v>3.101719361613545E-2</v>
      </c>
      <c r="R414">
        <v>0</v>
      </c>
      <c r="S414">
        <v>8.3746422763565725E-2</v>
      </c>
      <c r="T414">
        <v>3.1017193616135453E-3</v>
      </c>
      <c r="U414">
        <v>3.1017193616135453E-3</v>
      </c>
      <c r="V414">
        <v>3.7220632339362539E-3</v>
      </c>
      <c r="W414">
        <v>4.3424071062589638E-3</v>
      </c>
      <c r="X414">
        <v>2.4813754892908362E-3</v>
      </c>
      <c r="Y414">
        <v>3.1017193616135453E-3</v>
      </c>
      <c r="Z414">
        <v>1.8610316169681269E-3</v>
      </c>
      <c r="AA414">
        <v>3.7220632339362539E-3</v>
      </c>
      <c r="AB414">
        <v>1.8610316169681269E-3</v>
      </c>
      <c r="AC414">
        <v>5.5830948509043811E-3</v>
      </c>
      <c r="AD414">
        <v>4.3424071062589638E-3</v>
      </c>
      <c r="AE414">
        <v>0</v>
      </c>
      <c r="AF414">
        <v>4.3424071062589638E-3</v>
      </c>
      <c r="AG414">
        <v>0</v>
      </c>
      <c r="AH414">
        <v>0</v>
      </c>
      <c r="AI414">
        <v>1.2406877446454181E-3</v>
      </c>
      <c r="AJ414">
        <v>0</v>
      </c>
      <c r="AK414">
        <v>0</v>
      </c>
      <c r="AL414">
        <v>0</v>
      </c>
      <c r="AM414">
        <v>3.1017193616135453E-3</v>
      </c>
      <c r="AN414">
        <v>2.7915474254521906E-2</v>
      </c>
      <c r="AO414" t="s">
        <v>19</v>
      </c>
      <c r="AT414" t="str">
        <f t="shared" si="12"/>
        <v>hdt</v>
      </c>
      <c r="AU414" t="str">
        <f t="shared" si="13"/>
        <v>bdl</v>
      </c>
    </row>
    <row r="415" spans="1:47">
      <c r="A415" t="s">
        <v>17</v>
      </c>
      <c r="B415" t="s">
        <v>176</v>
      </c>
      <c r="C415" t="s">
        <v>613</v>
      </c>
      <c r="D415" t="s">
        <v>19</v>
      </c>
      <c r="E415" t="s">
        <v>19</v>
      </c>
      <c r="F415" t="s">
        <v>19</v>
      </c>
      <c r="G415" t="s">
        <v>183</v>
      </c>
      <c r="H415" t="s">
        <v>19</v>
      </c>
      <c r="I415" t="s">
        <v>19</v>
      </c>
      <c r="J415" t="s">
        <v>19</v>
      </c>
      <c r="K415" t="s">
        <v>19</v>
      </c>
      <c r="L415">
        <v>0</v>
      </c>
      <c r="M415">
        <v>0</v>
      </c>
      <c r="N415">
        <v>5.5830948509043811E-3</v>
      </c>
      <c r="O415">
        <v>0</v>
      </c>
      <c r="P415">
        <v>3.7220632339362539E-3</v>
      </c>
      <c r="Q415">
        <v>3.101719361613545E-2</v>
      </c>
      <c r="R415">
        <v>0</v>
      </c>
      <c r="S415">
        <v>8.3746422763565725E-2</v>
      </c>
      <c r="T415">
        <v>3.1017193616135453E-3</v>
      </c>
      <c r="U415">
        <v>3.1017193616135453E-3</v>
      </c>
      <c r="V415">
        <v>3.7220632339362539E-3</v>
      </c>
      <c r="W415">
        <v>4.3424071062589638E-3</v>
      </c>
      <c r="X415">
        <v>2.4813754892908362E-3</v>
      </c>
      <c r="Y415">
        <v>3.1017193616135453E-3</v>
      </c>
      <c r="Z415">
        <v>1.8610316169681269E-3</v>
      </c>
      <c r="AA415">
        <v>3.7220632339362539E-3</v>
      </c>
      <c r="AB415">
        <v>1.8610316169681269E-3</v>
      </c>
      <c r="AC415">
        <v>5.5830948509043811E-3</v>
      </c>
      <c r="AD415">
        <v>4.3424071062589638E-3</v>
      </c>
      <c r="AE415">
        <v>0</v>
      </c>
      <c r="AF415">
        <v>4.3424071062589638E-3</v>
      </c>
      <c r="AG415">
        <v>0</v>
      </c>
      <c r="AH415">
        <v>0</v>
      </c>
      <c r="AI415">
        <v>1.2406877446454181E-3</v>
      </c>
      <c r="AJ415">
        <v>0</v>
      </c>
      <c r="AK415">
        <v>0</v>
      </c>
      <c r="AL415">
        <v>0</v>
      </c>
      <c r="AM415">
        <v>3.1017193616135453E-3</v>
      </c>
      <c r="AN415">
        <v>2.7915474254521906E-2</v>
      </c>
      <c r="AO415" t="s">
        <v>19</v>
      </c>
      <c r="AT415" t="str">
        <f t="shared" si="12"/>
        <v>hdt</v>
      </c>
      <c r="AU415" t="str">
        <f t="shared" si="13"/>
        <v>bdl</v>
      </c>
    </row>
    <row r="416" spans="1:47">
      <c r="A416" t="s">
        <v>17</v>
      </c>
      <c r="B416" t="s">
        <v>176</v>
      </c>
      <c r="C416" t="s">
        <v>613</v>
      </c>
      <c r="D416" t="s">
        <v>19</v>
      </c>
      <c r="E416" t="s">
        <v>19</v>
      </c>
      <c r="F416" t="s">
        <v>19</v>
      </c>
      <c r="G416" t="s">
        <v>184</v>
      </c>
      <c r="H416" t="s">
        <v>19</v>
      </c>
      <c r="I416" t="s">
        <v>19</v>
      </c>
      <c r="J416" t="s">
        <v>19</v>
      </c>
      <c r="K416" t="s">
        <v>19</v>
      </c>
      <c r="L416">
        <v>0</v>
      </c>
      <c r="M416">
        <v>0</v>
      </c>
      <c r="N416">
        <v>5.5830948509043811E-3</v>
      </c>
      <c r="O416">
        <v>0</v>
      </c>
      <c r="P416">
        <v>3.7220632339362539E-3</v>
      </c>
      <c r="Q416">
        <v>3.101719361613545E-2</v>
      </c>
      <c r="R416">
        <v>0</v>
      </c>
      <c r="S416">
        <v>8.3746422763565725E-2</v>
      </c>
      <c r="T416">
        <v>3.1017193616135453E-3</v>
      </c>
      <c r="U416">
        <v>3.1017193616135453E-3</v>
      </c>
      <c r="V416">
        <v>3.7220632339362539E-3</v>
      </c>
      <c r="W416">
        <v>4.3424071062589638E-3</v>
      </c>
      <c r="X416">
        <v>2.4813754892908362E-3</v>
      </c>
      <c r="Y416">
        <v>3.1017193616135453E-3</v>
      </c>
      <c r="Z416">
        <v>1.8610316169681269E-3</v>
      </c>
      <c r="AA416">
        <v>3.7220632339362539E-3</v>
      </c>
      <c r="AB416">
        <v>1.8610316169681269E-3</v>
      </c>
      <c r="AC416">
        <v>5.5830948509043811E-3</v>
      </c>
      <c r="AD416">
        <v>4.3424071062589638E-3</v>
      </c>
      <c r="AE416">
        <v>0</v>
      </c>
      <c r="AF416">
        <v>4.3424071062589638E-3</v>
      </c>
      <c r="AG416">
        <v>0</v>
      </c>
      <c r="AH416">
        <v>0</v>
      </c>
      <c r="AI416">
        <v>1.2406877446454181E-3</v>
      </c>
      <c r="AJ416">
        <v>0</v>
      </c>
      <c r="AK416">
        <v>0</v>
      </c>
      <c r="AL416">
        <v>0</v>
      </c>
      <c r="AM416">
        <v>3.1017193616135453E-3</v>
      </c>
      <c r="AN416">
        <v>2.7915474254521906E-2</v>
      </c>
      <c r="AO416" t="s">
        <v>19</v>
      </c>
      <c r="AT416" t="str">
        <f t="shared" si="12"/>
        <v>hdt</v>
      </c>
      <c r="AU416" t="str">
        <f t="shared" si="13"/>
        <v>bdl</v>
      </c>
    </row>
    <row r="417" spans="1:47">
      <c r="A417" t="s">
        <v>17</v>
      </c>
      <c r="B417" t="s">
        <v>176</v>
      </c>
      <c r="C417" t="s">
        <v>613</v>
      </c>
      <c r="D417" t="s">
        <v>19</v>
      </c>
      <c r="E417" t="s">
        <v>19</v>
      </c>
      <c r="F417" t="s">
        <v>19</v>
      </c>
      <c r="G417" t="s">
        <v>185</v>
      </c>
      <c r="H417" t="s">
        <v>19</v>
      </c>
      <c r="I417" t="s">
        <v>19</v>
      </c>
      <c r="J417" t="s">
        <v>19</v>
      </c>
      <c r="K417" t="s">
        <v>19</v>
      </c>
      <c r="L417">
        <v>0</v>
      </c>
      <c r="M417">
        <v>0</v>
      </c>
      <c r="N417">
        <v>5.5830948509043811E-3</v>
      </c>
      <c r="O417">
        <v>0</v>
      </c>
      <c r="P417">
        <v>3.7220632339362539E-3</v>
      </c>
      <c r="Q417">
        <v>3.101719361613545E-2</v>
      </c>
      <c r="R417">
        <v>0</v>
      </c>
      <c r="S417">
        <v>8.3746422763565725E-2</v>
      </c>
      <c r="T417">
        <v>3.1017193616135453E-3</v>
      </c>
      <c r="U417">
        <v>3.1017193616135453E-3</v>
      </c>
      <c r="V417">
        <v>3.7220632339362539E-3</v>
      </c>
      <c r="W417">
        <v>4.3424071062589638E-3</v>
      </c>
      <c r="X417">
        <v>2.4813754892908362E-3</v>
      </c>
      <c r="Y417">
        <v>3.1017193616135453E-3</v>
      </c>
      <c r="Z417">
        <v>1.8610316169681269E-3</v>
      </c>
      <c r="AA417">
        <v>3.7220632339362539E-3</v>
      </c>
      <c r="AB417">
        <v>1.8610316169681269E-3</v>
      </c>
      <c r="AC417">
        <v>5.5830948509043811E-3</v>
      </c>
      <c r="AD417">
        <v>4.3424071062589638E-3</v>
      </c>
      <c r="AE417">
        <v>0</v>
      </c>
      <c r="AF417">
        <v>4.3424071062589638E-3</v>
      </c>
      <c r="AG417">
        <v>0</v>
      </c>
      <c r="AH417">
        <v>0</v>
      </c>
      <c r="AI417">
        <v>1.2406877446454181E-3</v>
      </c>
      <c r="AJ417">
        <v>0</v>
      </c>
      <c r="AK417">
        <v>0</v>
      </c>
      <c r="AL417">
        <v>0</v>
      </c>
      <c r="AM417">
        <v>3.1017193616135453E-3</v>
      </c>
      <c r="AN417">
        <v>2.7915474254521906E-2</v>
      </c>
      <c r="AO417" t="s">
        <v>19</v>
      </c>
      <c r="AT417" t="str">
        <f t="shared" si="12"/>
        <v>hdt</v>
      </c>
      <c r="AU417" t="str">
        <f t="shared" si="13"/>
        <v>bdl</v>
      </c>
    </row>
    <row r="418" spans="1:47">
      <c r="A418" t="s">
        <v>17</v>
      </c>
      <c r="B418" t="s">
        <v>176</v>
      </c>
      <c r="C418" t="s">
        <v>613</v>
      </c>
      <c r="D418" t="s">
        <v>19</v>
      </c>
      <c r="E418" t="s">
        <v>19</v>
      </c>
      <c r="F418" t="s">
        <v>19</v>
      </c>
      <c r="G418" t="s">
        <v>186</v>
      </c>
      <c r="H418" t="s">
        <v>19</v>
      </c>
      <c r="I418" t="s">
        <v>19</v>
      </c>
      <c r="J418" t="s">
        <v>19</v>
      </c>
      <c r="K418" t="s">
        <v>19</v>
      </c>
      <c r="L418">
        <v>0</v>
      </c>
      <c r="M418">
        <v>0</v>
      </c>
      <c r="N418">
        <v>5.5830948509043811E-3</v>
      </c>
      <c r="O418">
        <v>0</v>
      </c>
      <c r="P418">
        <v>3.7220632339362539E-3</v>
      </c>
      <c r="Q418">
        <v>3.101719361613545E-2</v>
      </c>
      <c r="R418">
        <v>0</v>
      </c>
      <c r="S418">
        <v>8.3746422763565725E-2</v>
      </c>
      <c r="T418">
        <v>3.1017193616135453E-3</v>
      </c>
      <c r="U418">
        <v>3.1017193616135453E-3</v>
      </c>
      <c r="V418">
        <v>3.7220632339362539E-3</v>
      </c>
      <c r="W418">
        <v>4.3424071062589638E-3</v>
      </c>
      <c r="X418">
        <v>2.4813754892908362E-3</v>
      </c>
      <c r="Y418">
        <v>3.1017193616135453E-3</v>
      </c>
      <c r="Z418">
        <v>1.8610316169681269E-3</v>
      </c>
      <c r="AA418">
        <v>3.7220632339362539E-3</v>
      </c>
      <c r="AB418">
        <v>1.8610316169681269E-3</v>
      </c>
      <c r="AC418">
        <v>5.5830948509043811E-3</v>
      </c>
      <c r="AD418">
        <v>4.3424071062589638E-3</v>
      </c>
      <c r="AE418">
        <v>0</v>
      </c>
      <c r="AF418">
        <v>4.3424071062589638E-3</v>
      </c>
      <c r="AG418">
        <v>0</v>
      </c>
      <c r="AH418">
        <v>0</v>
      </c>
      <c r="AI418">
        <v>1.2406877446454181E-3</v>
      </c>
      <c r="AJ418">
        <v>0</v>
      </c>
      <c r="AK418">
        <v>0</v>
      </c>
      <c r="AL418">
        <v>0</v>
      </c>
      <c r="AM418">
        <v>3.1017193616135453E-3</v>
      </c>
      <c r="AN418">
        <v>2.7915474254521906E-2</v>
      </c>
      <c r="AO418" t="s">
        <v>19</v>
      </c>
      <c r="AT418" t="str">
        <f t="shared" si="12"/>
        <v>hdt</v>
      </c>
      <c r="AU418" t="str">
        <f t="shared" si="13"/>
        <v>bdl</v>
      </c>
    </row>
    <row r="419" spans="1:47">
      <c r="A419" t="s">
        <v>17</v>
      </c>
      <c r="B419" t="s">
        <v>176</v>
      </c>
      <c r="C419" t="s">
        <v>613</v>
      </c>
      <c r="D419" t="s">
        <v>19</v>
      </c>
      <c r="E419" t="s">
        <v>19</v>
      </c>
      <c r="F419" t="s">
        <v>19</v>
      </c>
      <c r="G419" t="s">
        <v>187</v>
      </c>
      <c r="H419" t="s">
        <v>19</v>
      </c>
      <c r="I419" t="s">
        <v>19</v>
      </c>
      <c r="J419" t="s">
        <v>19</v>
      </c>
      <c r="K419" t="s">
        <v>19</v>
      </c>
      <c r="L419">
        <v>0</v>
      </c>
      <c r="M419">
        <v>0</v>
      </c>
      <c r="N419">
        <v>5.5830948509043811E-3</v>
      </c>
      <c r="O419">
        <v>0</v>
      </c>
      <c r="P419">
        <v>3.7220632339362539E-3</v>
      </c>
      <c r="Q419">
        <v>3.101719361613545E-2</v>
      </c>
      <c r="R419">
        <v>0</v>
      </c>
      <c r="S419">
        <v>8.3746422763565725E-2</v>
      </c>
      <c r="T419">
        <v>3.1017193616135453E-3</v>
      </c>
      <c r="U419">
        <v>3.1017193616135453E-3</v>
      </c>
      <c r="V419">
        <v>3.7220632339362539E-3</v>
      </c>
      <c r="W419">
        <v>4.3424071062589638E-3</v>
      </c>
      <c r="X419">
        <v>2.4813754892908362E-3</v>
      </c>
      <c r="Y419">
        <v>3.1017193616135453E-3</v>
      </c>
      <c r="Z419">
        <v>1.8610316169681269E-3</v>
      </c>
      <c r="AA419">
        <v>3.7220632339362539E-3</v>
      </c>
      <c r="AB419">
        <v>1.8610316169681269E-3</v>
      </c>
      <c r="AC419">
        <v>5.5830948509043811E-3</v>
      </c>
      <c r="AD419">
        <v>4.3424071062589638E-3</v>
      </c>
      <c r="AE419">
        <v>0</v>
      </c>
      <c r="AF419">
        <v>4.3424071062589638E-3</v>
      </c>
      <c r="AG419">
        <v>0</v>
      </c>
      <c r="AH419">
        <v>0</v>
      </c>
      <c r="AI419">
        <v>1.2406877446454181E-3</v>
      </c>
      <c r="AJ419">
        <v>0</v>
      </c>
      <c r="AK419">
        <v>0</v>
      </c>
      <c r="AL419">
        <v>0</v>
      </c>
      <c r="AM419">
        <v>3.1017193616135453E-3</v>
      </c>
      <c r="AN419">
        <v>2.7915474254521906E-2</v>
      </c>
      <c r="AO419" t="s">
        <v>19</v>
      </c>
      <c r="AT419" t="str">
        <f t="shared" si="12"/>
        <v>hdt</v>
      </c>
      <c r="AU419" t="str">
        <f t="shared" si="13"/>
        <v>bdl</v>
      </c>
    </row>
    <row r="420" spans="1:47">
      <c r="A420" t="s">
        <v>17</v>
      </c>
      <c r="B420" t="s">
        <v>176</v>
      </c>
      <c r="C420" t="s">
        <v>613</v>
      </c>
      <c r="D420" t="s">
        <v>19</v>
      </c>
      <c r="E420" t="s">
        <v>19</v>
      </c>
      <c r="F420" t="s">
        <v>19</v>
      </c>
      <c r="G420" t="s">
        <v>188</v>
      </c>
      <c r="H420" t="s">
        <v>19</v>
      </c>
      <c r="I420" t="s">
        <v>19</v>
      </c>
      <c r="J420" t="s">
        <v>19</v>
      </c>
      <c r="K420" t="s">
        <v>19</v>
      </c>
      <c r="L420">
        <v>0</v>
      </c>
      <c r="M420">
        <v>0</v>
      </c>
      <c r="N420">
        <v>5.5830948509043811E-3</v>
      </c>
      <c r="O420">
        <v>0</v>
      </c>
      <c r="P420">
        <v>3.7220632339362539E-3</v>
      </c>
      <c r="Q420">
        <v>3.101719361613545E-2</v>
      </c>
      <c r="R420">
        <v>0</v>
      </c>
      <c r="S420">
        <v>8.3746422763565725E-2</v>
      </c>
      <c r="T420">
        <v>3.1017193616135453E-3</v>
      </c>
      <c r="U420">
        <v>3.1017193616135453E-3</v>
      </c>
      <c r="V420">
        <v>3.7220632339362539E-3</v>
      </c>
      <c r="W420">
        <v>4.3424071062589638E-3</v>
      </c>
      <c r="X420">
        <v>2.4813754892908362E-3</v>
      </c>
      <c r="Y420">
        <v>3.1017193616135453E-3</v>
      </c>
      <c r="Z420">
        <v>1.8610316169681269E-3</v>
      </c>
      <c r="AA420">
        <v>3.7220632339362539E-3</v>
      </c>
      <c r="AB420">
        <v>1.8610316169681269E-3</v>
      </c>
      <c r="AC420">
        <v>5.5830948509043811E-3</v>
      </c>
      <c r="AD420">
        <v>4.3424071062589638E-3</v>
      </c>
      <c r="AE420">
        <v>0</v>
      </c>
      <c r="AF420">
        <v>4.3424071062589638E-3</v>
      </c>
      <c r="AG420">
        <v>0</v>
      </c>
      <c r="AH420">
        <v>0</v>
      </c>
      <c r="AI420">
        <v>1.2406877446454181E-3</v>
      </c>
      <c r="AJ420">
        <v>0</v>
      </c>
      <c r="AK420">
        <v>0</v>
      </c>
      <c r="AL420">
        <v>0</v>
      </c>
      <c r="AM420">
        <v>3.1017193616135453E-3</v>
      </c>
      <c r="AN420">
        <v>2.7915474254521906E-2</v>
      </c>
      <c r="AO420" t="s">
        <v>19</v>
      </c>
      <c r="AT420" t="str">
        <f t="shared" si="12"/>
        <v>hdt</v>
      </c>
      <c r="AU420" t="str">
        <f t="shared" si="13"/>
        <v>bdl</v>
      </c>
    </row>
    <row r="421" spans="1:47">
      <c r="A421" t="s">
        <v>17</v>
      </c>
      <c r="B421" t="s">
        <v>176</v>
      </c>
      <c r="C421" t="s">
        <v>613</v>
      </c>
      <c r="D421" t="s">
        <v>19</v>
      </c>
      <c r="E421" t="s">
        <v>19</v>
      </c>
      <c r="F421" t="s">
        <v>19</v>
      </c>
      <c r="G421" t="s">
        <v>100</v>
      </c>
      <c r="H421" t="s">
        <v>19</v>
      </c>
      <c r="I421" t="s">
        <v>19</v>
      </c>
      <c r="J421" t="s">
        <v>19</v>
      </c>
      <c r="K421" t="s">
        <v>19</v>
      </c>
      <c r="L421">
        <v>0</v>
      </c>
      <c r="M421">
        <v>0</v>
      </c>
      <c r="N421">
        <v>5.5830948509043811E-3</v>
      </c>
      <c r="O421">
        <v>0</v>
      </c>
      <c r="P421">
        <v>3.7220632339362539E-3</v>
      </c>
      <c r="Q421">
        <v>3.101719361613545E-2</v>
      </c>
      <c r="R421">
        <v>0</v>
      </c>
      <c r="S421">
        <v>8.3746422763565725E-2</v>
      </c>
      <c r="T421">
        <v>3.1017193616135453E-3</v>
      </c>
      <c r="U421">
        <v>3.1017193616135453E-3</v>
      </c>
      <c r="V421">
        <v>3.7220632339362539E-3</v>
      </c>
      <c r="W421">
        <v>4.3424071062589638E-3</v>
      </c>
      <c r="X421">
        <v>2.4813754892908362E-3</v>
      </c>
      <c r="Y421">
        <v>3.1017193616135453E-3</v>
      </c>
      <c r="Z421">
        <v>1.8610316169681269E-3</v>
      </c>
      <c r="AA421">
        <v>3.7220632339362539E-3</v>
      </c>
      <c r="AB421">
        <v>1.8610316169681269E-3</v>
      </c>
      <c r="AC421">
        <v>5.5830948509043811E-3</v>
      </c>
      <c r="AD421">
        <v>4.3424071062589638E-3</v>
      </c>
      <c r="AE421">
        <v>0</v>
      </c>
      <c r="AF421">
        <v>4.3424071062589638E-3</v>
      </c>
      <c r="AG421">
        <v>0</v>
      </c>
      <c r="AH421">
        <v>0</v>
      </c>
      <c r="AI421">
        <v>1.2406877446454181E-3</v>
      </c>
      <c r="AJ421">
        <v>0</v>
      </c>
      <c r="AK421">
        <v>0</v>
      </c>
      <c r="AL421">
        <v>0</v>
      </c>
      <c r="AM421">
        <v>3.1017193616135453E-3</v>
      </c>
      <c r="AN421">
        <v>2.7915474254521906E-2</v>
      </c>
      <c r="AO421" t="s">
        <v>19</v>
      </c>
      <c r="AT421" t="str">
        <f t="shared" si="12"/>
        <v>hdt</v>
      </c>
      <c r="AU421" t="str">
        <f t="shared" si="13"/>
        <v>bdl</v>
      </c>
    </row>
    <row r="422" spans="1:47">
      <c r="A422" t="s">
        <v>17</v>
      </c>
      <c r="B422" t="s">
        <v>176</v>
      </c>
      <c r="C422" t="s">
        <v>612</v>
      </c>
      <c r="D422" t="s">
        <v>19</v>
      </c>
      <c r="E422" t="s">
        <v>19</v>
      </c>
      <c r="F422" t="s">
        <v>19</v>
      </c>
      <c r="G422" t="s">
        <v>603</v>
      </c>
      <c r="H422" t="s">
        <v>19</v>
      </c>
      <c r="I422" t="s">
        <v>19</v>
      </c>
      <c r="J422" t="s">
        <v>19</v>
      </c>
      <c r="K422" t="s">
        <v>19</v>
      </c>
      <c r="L422">
        <v>7.816332791266134E-2</v>
      </c>
      <c r="M422">
        <v>6.9478513700143421E-2</v>
      </c>
      <c r="N422">
        <v>6.0793699487625481E-2</v>
      </c>
      <c r="O422">
        <v>2.6054442637553778E-2</v>
      </c>
      <c r="P422">
        <v>0.22518482565314335</v>
      </c>
      <c r="Q422">
        <v>0.3387077542881991</v>
      </c>
      <c r="R422">
        <v>7.4441264678725083E-2</v>
      </c>
      <c r="S422">
        <v>0.18486247395216729</v>
      </c>
      <c r="T422">
        <v>9.3051580848406354E-2</v>
      </c>
      <c r="U422">
        <v>0.33932809816052178</v>
      </c>
      <c r="V422">
        <v>1.7369628425035855E-2</v>
      </c>
      <c r="W422">
        <v>7.4441264678725083E-2</v>
      </c>
      <c r="X422">
        <v>3.6600288467039832E-2</v>
      </c>
      <c r="Y422">
        <v>5.5210604636721103E-2</v>
      </c>
      <c r="Z422">
        <v>3.1637537488458163E-2</v>
      </c>
      <c r="AA422">
        <v>5.8312323998334643E-2</v>
      </c>
      <c r="AB422">
        <v>0.16253009454854978</v>
      </c>
      <c r="AC422">
        <v>7.0098857572466117E-2</v>
      </c>
      <c r="AD422">
        <v>7.5681952423370502E-2</v>
      </c>
      <c r="AE422">
        <v>0.1575673435699681</v>
      </c>
      <c r="AF422">
        <v>0.12841118157080075</v>
      </c>
      <c r="AG422">
        <v>5.7071636253689231E-2</v>
      </c>
      <c r="AH422">
        <v>0.17493697199500394</v>
      </c>
      <c r="AI422">
        <v>4.9627509785816724E-3</v>
      </c>
      <c r="AJ422">
        <v>8.1265047274274888E-2</v>
      </c>
      <c r="AK422">
        <v>9.9255019571633449E-2</v>
      </c>
      <c r="AL422">
        <v>2.4193411020585653E-2</v>
      </c>
      <c r="AM422">
        <v>5.5210604636721103E-2</v>
      </c>
      <c r="AN422">
        <v>0.78845706172216323</v>
      </c>
      <c r="AO422" t="s">
        <v>19</v>
      </c>
      <c r="AT422" t="str">
        <f t="shared" si="12"/>
        <v>hdt</v>
      </c>
      <c r="AU422" t="str">
        <f t="shared" si="13"/>
        <v>dsl</v>
      </c>
    </row>
    <row r="423" spans="1:47">
      <c r="A423" t="s">
        <v>17</v>
      </c>
      <c r="B423" t="s">
        <v>176</v>
      </c>
      <c r="C423" t="s">
        <v>612</v>
      </c>
      <c r="D423" t="s">
        <v>19</v>
      </c>
      <c r="E423" t="s">
        <v>19</v>
      </c>
      <c r="F423" t="s">
        <v>19</v>
      </c>
      <c r="G423" t="s">
        <v>602</v>
      </c>
      <c r="H423" t="s">
        <v>19</v>
      </c>
      <c r="I423" t="s">
        <v>19</v>
      </c>
      <c r="J423" t="s">
        <v>19</v>
      </c>
      <c r="K423" t="s">
        <v>19</v>
      </c>
      <c r="L423">
        <v>7.816332791266134E-2</v>
      </c>
      <c r="M423">
        <v>6.9478513700143421E-2</v>
      </c>
      <c r="N423">
        <v>6.0793699487625481E-2</v>
      </c>
      <c r="O423">
        <v>2.6054442637553778E-2</v>
      </c>
      <c r="P423">
        <v>0.22518482565314335</v>
      </c>
      <c r="Q423">
        <v>0.3387077542881991</v>
      </c>
      <c r="R423">
        <v>7.4441264678725083E-2</v>
      </c>
      <c r="S423">
        <v>0.18486247395216729</v>
      </c>
      <c r="T423">
        <v>9.3051580848406354E-2</v>
      </c>
      <c r="U423">
        <v>0.33932809816052178</v>
      </c>
      <c r="V423">
        <v>1.7369628425035855E-2</v>
      </c>
      <c r="W423">
        <v>7.4441264678725083E-2</v>
      </c>
      <c r="X423">
        <v>3.6600288467039832E-2</v>
      </c>
      <c r="Y423">
        <v>5.5210604636721103E-2</v>
      </c>
      <c r="Z423">
        <v>3.1637537488458163E-2</v>
      </c>
      <c r="AA423">
        <v>5.8312323998334643E-2</v>
      </c>
      <c r="AB423">
        <v>0.16253009454854978</v>
      </c>
      <c r="AC423">
        <v>7.0098857572466117E-2</v>
      </c>
      <c r="AD423">
        <v>7.5681952423370502E-2</v>
      </c>
      <c r="AE423">
        <v>0.1575673435699681</v>
      </c>
      <c r="AF423">
        <v>0.12841118157080075</v>
      </c>
      <c r="AG423">
        <v>5.7071636253689231E-2</v>
      </c>
      <c r="AH423">
        <v>0.17493697199500394</v>
      </c>
      <c r="AI423">
        <v>4.9627509785816724E-3</v>
      </c>
      <c r="AJ423">
        <v>8.1265047274274888E-2</v>
      </c>
      <c r="AK423">
        <v>9.9255019571633449E-2</v>
      </c>
      <c r="AL423">
        <v>2.4193411020585653E-2</v>
      </c>
      <c r="AM423">
        <v>5.5210604636721103E-2</v>
      </c>
      <c r="AN423">
        <v>0.78845706172216323</v>
      </c>
      <c r="AO423" t="s">
        <v>19</v>
      </c>
      <c r="AT423" t="str">
        <f t="shared" si="12"/>
        <v>hdt</v>
      </c>
      <c r="AU423" t="str">
        <f t="shared" si="13"/>
        <v>dsl</v>
      </c>
    </row>
    <row r="424" spans="1:47">
      <c r="A424" t="s">
        <v>17</v>
      </c>
      <c r="B424" t="s">
        <v>176</v>
      </c>
      <c r="C424" t="s">
        <v>612</v>
      </c>
      <c r="D424" t="s">
        <v>19</v>
      </c>
      <c r="E424" t="s">
        <v>19</v>
      </c>
      <c r="F424" t="s">
        <v>19</v>
      </c>
      <c r="G424" t="s">
        <v>601</v>
      </c>
      <c r="H424" t="s">
        <v>19</v>
      </c>
      <c r="I424" t="s">
        <v>19</v>
      </c>
      <c r="J424" t="s">
        <v>19</v>
      </c>
      <c r="K424" t="s">
        <v>19</v>
      </c>
      <c r="L424">
        <v>7.816332791266134E-2</v>
      </c>
      <c r="M424">
        <v>6.9478513700143421E-2</v>
      </c>
      <c r="N424">
        <v>6.0793699487625481E-2</v>
      </c>
      <c r="O424">
        <v>2.6054442637553778E-2</v>
      </c>
      <c r="P424">
        <v>0.22518482565314335</v>
      </c>
      <c r="Q424">
        <v>0.3387077542881991</v>
      </c>
      <c r="R424">
        <v>7.4441264678725083E-2</v>
      </c>
      <c r="S424">
        <v>0.18486247395216729</v>
      </c>
      <c r="T424">
        <v>9.3051580848406354E-2</v>
      </c>
      <c r="U424">
        <v>0.33932809816052178</v>
      </c>
      <c r="V424">
        <v>1.7369628425035855E-2</v>
      </c>
      <c r="W424">
        <v>7.4441264678725083E-2</v>
      </c>
      <c r="X424">
        <v>3.6600288467039832E-2</v>
      </c>
      <c r="Y424">
        <v>5.5210604636721103E-2</v>
      </c>
      <c r="Z424">
        <v>3.1637537488458163E-2</v>
      </c>
      <c r="AA424">
        <v>5.8312323998334643E-2</v>
      </c>
      <c r="AB424">
        <v>0.16253009454854978</v>
      </c>
      <c r="AC424">
        <v>7.0098857572466117E-2</v>
      </c>
      <c r="AD424">
        <v>7.5681952423370502E-2</v>
      </c>
      <c r="AE424">
        <v>0.1575673435699681</v>
      </c>
      <c r="AF424">
        <v>0.12841118157080075</v>
      </c>
      <c r="AG424">
        <v>5.7071636253689231E-2</v>
      </c>
      <c r="AH424">
        <v>0.17493697199500394</v>
      </c>
      <c r="AI424">
        <v>4.9627509785816724E-3</v>
      </c>
      <c r="AJ424">
        <v>8.1265047274274888E-2</v>
      </c>
      <c r="AK424">
        <v>9.9255019571633449E-2</v>
      </c>
      <c r="AL424">
        <v>2.4193411020585653E-2</v>
      </c>
      <c r="AM424">
        <v>5.5210604636721103E-2</v>
      </c>
      <c r="AN424">
        <v>0.78845706172216323</v>
      </c>
      <c r="AO424" t="s">
        <v>19</v>
      </c>
      <c r="AT424" t="str">
        <f t="shared" si="12"/>
        <v>hdt</v>
      </c>
      <c r="AU424" t="str">
        <f t="shared" si="13"/>
        <v>dsl</v>
      </c>
    </row>
    <row r="425" spans="1:47">
      <c r="A425" t="s">
        <v>17</v>
      </c>
      <c r="B425" t="s">
        <v>176</v>
      </c>
      <c r="C425" t="s">
        <v>612</v>
      </c>
      <c r="D425" t="s">
        <v>19</v>
      </c>
      <c r="E425" t="s">
        <v>19</v>
      </c>
      <c r="F425" t="s">
        <v>19</v>
      </c>
      <c r="G425" t="s">
        <v>600</v>
      </c>
      <c r="H425" t="s">
        <v>19</v>
      </c>
      <c r="I425" t="s">
        <v>19</v>
      </c>
      <c r="J425" t="s">
        <v>19</v>
      </c>
      <c r="K425" t="s">
        <v>19</v>
      </c>
      <c r="L425">
        <v>7.816332791266134E-2</v>
      </c>
      <c r="M425">
        <v>6.9478513700143421E-2</v>
      </c>
      <c r="N425">
        <v>6.0793699487625481E-2</v>
      </c>
      <c r="O425">
        <v>2.6054442637553778E-2</v>
      </c>
      <c r="P425">
        <v>0.22518482565314335</v>
      </c>
      <c r="Q425">
        <v>0.3387077542881991</v>
      </c>
      <c r="R425">
        <v>7.4441264678725083E-2</v>
      </c>
      <c r="S425">
        <v>0.18486247395216729</v>
      </c>
      <c r="T425">
        <v>9.3051580848406354E-2</v>
      </c>
      <c r="U425">
        <v>0.33932809816052178</v>
      </c>
      <c r="V425">
        <v>1.7369628425035855E-2</v>
      </c>
      <c r="W425">
        <v>7.4441264678725083E-2</v>
      </c>
      <c r="X425">
        <v>3.6600288467039832E-2</v>
      </c>
      <c r="Y425">
        <v>5.5210604636721103E-2</v>
      </c>
      <c r="Z425">
        <v>3.1637537488458163E-2</v>
      </c>
      <c r="AA425">
        <v>5.8312323998334643E-2</v>
      </c>
      <c r="AB425">
        <v>0.16253009454854978</v>
      </c>
      <c r="AC425">
        <v>7.0098857572466117E-2</v>
      </c>
      <c r="AD425">
        <v>7.5681952423370502E-2</v>
      </c>
      <c r="AE425">
        <v>0.1575673435699681</v>
      </c>
      <c r="AF425">
        <v>0.12841118157080075</v>
      </c>
      <c r="AG425">
        <v>5.7071636253689231E-2</v>
      </c>
      <c r="AH425">
        <v>0.17493697199500394</v>
      </c>
      <c r="AI425">
        <v>4.9627509785816724E-3</v>
      </c>
      <c r="AJ425">
        <v>8.1265047274274888E-2</v>
      </c>
      <c r="AK425">
        <v>9.9255019571633449E-2</v>
      </c>
      <c r="AL425">
        <v>2.4193411020585653E-2</v>
      </c>
      <c r="AM425">
        <v>5.5210604636721103E-2</v>
      </c>
      <c r="AN425">
        <v>0.78845706172216323</v>
      </c>
      <c r="AO425" t="s">
        <v>19</v>
      </c>
      <c r="AT425" t="str">
        <f t="shared" si="12"/>
        <v>hdt</v>
      </c>
      <c r="AU425" t="str">
        <f t="shared" si="13"/>
        <v>dsl</v>
      </c>
    </row>
    <row r="426" spans="1:47">
      <c r="A426" t="s">
        <v>17</v>
      </c>
      <c r="B426" t="s">
        <v>176</v>
      </c>
      <c r="C426" t="s">
        <v>612</v>
      </c>
      <c r="D426" t="s">
        <v>19</v>
      </c>
      <c r="E426" t="s">
        <v>19</v>
      </c>
      <c r="F426" t="s">
        <v>19</v>
      </c>
      <c r="G426" t="s">
        <v>599</v>
      </c>
      <c r="H426" t="s">
        <v>19</v>
      </c>
      <c r="I426" t="s">
        <v>19</v>
      </c>
      <c r="J426" t="s">
        <v>19</v>
      </c>
      <c r="K426" t="s">
        <v>19</v>
      </c>
      <c r="L426">
        <v>7.816332791266134E-2</v>
      </c>
      <c r="M426">
        <v>6.9478513700143421E-2</v>
      </c>
      <c r="N426">
        <v>6.0793699487625481E-2</v>
      </c>
      <c r="O426">
        <v>2.6054442637553778E-2</v>
      </c>
      <c r="P426">
        <v>0.22518482565314335</v>
      </c>
      <c r="Q426">
        <v>0.3387077542881991</v>
      </c>
      <c r="R426">
        <v>7.4441264678725083E-2</v>
      </c>
      <c r="S426">
        <v>0.18486247395216729</v>
      </c>
      <c r="T426">
        <v>9.3051580848406354E-2</v>
      </c>
      <c r="U426">
        <v>0.33932809816052178</v>
      </c>
      <c r="V426">
        <v>1.7369628425035855E-2</v>
      </c>
      <c r="W426">
        <v>7.4441264678725083E-2</v>
      </c>
      <c r="X426">
        <v>3.6600288467039832E-2</v>
      </c>
      <c r="Y426">
        <v>5.5210604636721103E-2</v>
      </c>
      <c r="Z426">
        <v>3.1637537488458163E-2</v>
      </c>
      <c r="AA426">
        <v>5.8312323998334643E-2</v>
      </c>
      <c r="AB426">
        <v>0.16253009454854978</v>
      </c>
      <c r="AC426">
        <v>7.0098857572466117E-2</v>
      </c>
      <c r="AD426">
        <v>7.5681952423370502E-2</v>
      </c>
      <c r="AE426">
        <v>0.1575673435699681</v>
      </c>
      <c r="AF426">
        <v>0.12841118157080075</v>
      </c>
      <c r="AG426">
        <v>5.7071636253689231E-2</v>
      </c>
      <c r="AH426">
        <v>0.17493697199500394</v>
      </c>
      <c r="AI426">
        <v>4.9627509785816724E-3</v>
      </c>
      <c r="AJ426">
        <v>8.1265047274274888E-2</v>
      </c>
      <c r="AK426">
        <v>9.9255019571633449E-2</v>
      </c>
      <c r="AL426">
        <v>2.4193411020585653E-2</v>
      </c>
      <c r="AM426">
        <v>5.5210604636721103E-2</v>
      </c>
      <c r="AN426">
        <v>0.78845706172216323</v>
      </c>
      <c r="AO426" t="s">
        <v>19</v>
      </c>
      <c r="AT426" t="str">
        <f t="shared" si="12"/>
        <v>hdt</v>
      </c>
      <c r="AU426" t="str">
        <f t="shared" si="13"/>
        <v>dsl</v>
      </c>
    </row>
    <row r="427" spans="1:47">
      <c r="A427" t="s">
        <v>17</v>
      </c>
      <c r="B427" t="s">
        <v>176</v>
      </c>
      <c r="C427" t="s">
        <v>612</v>
      </c>
      <c r="D427" t="s">
        <v>19</v>
      </c>
      <c r="E427" t="s">
        <v>19</v>
      </c>
      <c r="F427" t="s">
        <v>19</v>
      </c>
      <c r="G427" t="s">
        <v>598</v>
      </c>
      <c r="H427" t="s">
        <v>19</v>
      </c>
      <c r="I427" t="s">
        <v>19</v>
      </c>
      <c r="J427" t="s">
        <v>19</v>
      </c>
      <c r="K427" t="s">
        <v>19</v>
      </c>
      <c r="L427">
        <v>7.816332791266134E-2</v>
      </c>
      <c r="M427">
        <v>6.9478513700143421E-2</v>
      </c>
      <c r="N427">
        <v>6.0793699487625481E-2</v>
      </c>
      <c r="O427">
        <v>2.6054442637553778E-2</v>
      </c>
      <c r="P427">
        <v>0.22518482565314335</v>
      </c>
      <c r="Q427">
        <v>0.3387077542881991</v>
      </c>
      <c r="R427">
        <v>7.4441264678725083E-2</v>
      </c>
      <c r="S427">
        <v>0.18486247395216729</v>
      </c>
      <c r="T427">
        <v>9.3051580848406354E-2</v>
      </c>
      <c r="U427">
        <v>0.33932809816052178</v>
      </c>
      <c r="V427">
        <v>1.7369628425035855E-2</v>
      </c>
      <c r="W427">
        <v>7.4441264678725083E-2</v>
      </c>
      <c r="X427">
        <v>3.6600288467039832E-2</v>
      </c>
      <c r="Y427">
        <v>5.5210604636721103E-2</v>
      </c>
      <c r="Z427">
        <v>3.1637537488458163E-2</v>
      </c>
      <c r="AA427">
        <v>5.8312323998334643E-2</v>
      </c>
      <c r="AB427">
        <v>0.16253009454854978</v>
      </c>
      <c r="AC427">
        <v>7.0098857572466117E-2</v>
      </c>
      <c r="AD427">
        <v>7.5681952423370502E-2</v>
      </c>
      <c r="AE427">
        <v>0.1575673435699681</v>
      </c>
      <c r="AF427">
        <v>0.12841118157080075</v>
      </c>
      <c r="AG427">
        <v>5.7071636253689231E-2</v>
      </c>
      <c r="AH427">
        <v>0.17493697199500394</v>
      </c>
      <c r="AI427">
        <v>4.9627509785816724E-3</v>
      </c>
      <c r="AJ427">
        <v>8.1265047274274888E-2</v>
      </c>
      <c r="AK427">
        <v>9.9255019571633449E-2</v>
      </c>
      <c r="AL427">
        <v>2.4193411020585653E-2</v>
      </c>
      <c r="AM427">
        <v>5.5210604636721103E-2</v>
      </c>
      <c r="AN427">
        <v>0.78845706172216323</v>
      </c>
      <c r="AO427" t="s">
        <v>19</v>
      </c>
      <c r="AT427" t="str">
        <f t="shared" si="12"/>
        <v>hdt</v>
      </c>
      <c r="AU427" t="str">
        <f t="shared" si="13"/>
        <v>dsl</v>
      </c>
    </row>
    <row r="428" spans="1:47">
      <c r="A428" t="s">
        <v>17</v>
      </c>
      <c r="B428" t="s">
        <v>176</v>
      </c>
      <c r="C428" t="s">
        <v>612</v>
      </c>
      <c r="D428" t="s">
        <v>19</v>
      </c>
      <c r="E428" t="s">
        <v>19</v>
      </c>
      <c r="F428" t="s">
        <v>19</v>
      </c>
      <c r="G428" t="s">
        <v>597</v>
      </c>
      <c r="H428" t="s">
        <v>19</v>
      </c>
      <c r="I428" t="s">
        <v>19</v>
      </c>
      <c r="J428" t="s">
        <v>19</v>
      </c>
      <c r="K428" t="s">
        <v>19</v>
      </c>
      <c r="L428">
        <v>7.816332791266134E-2</v>
      </c>
      <c r="M428">
        <v>6.9478513700143421E-2</v>
      </c>
      <c r="N428">
        <v>6.0793699487625481E-2</v>
      </c>
      <c r="O428">
        <v>2.6054442637553778E-2</v>
      </c>
      <c r="P428">
        <v>0.22518482565314335</v>
      </c>
      <c r="Q428">
        <v>0.3387077542881991</v>
      </c>
      <c r="R428">
        <v>7.4441264678725083E-2</v>
      </c>
      <c r="S428">
        <v>0.18486247395216729</v>
      </c>
      <c r="T428">
        <v>9.3051580848406354E-2</v>
      </c>
      <c r="U428">
        <v>0.33932809816052178</v>
      </c>
      <c r="V428">
        <v>1.7369628425035855E-2</v>
      </c>
      <c r="W428">
        <v>7.4441264678725083E-2</v>
      </c>
      <c r="X428">
        <v>3.6600288467039832E-2</v>
      </c>
      <c r="Y428">
        <v>5.5210604636721103E-2</v>
      </c>
      <c r="Z428">
        <v>3.1637537488458163E-2</v>
      </c>
      <c r="AA428">
        <v>5.8312323998334643E-2</v>
      </c>
      <c r="AB428">
        <v>0.16253009454854978</v>
      </c>
      <c r="AC428">
        <v>7.0098857572466117E-2</v>
      </c>
      <c r="AD428">
        <v>7.5681952423370502E-2</v>
      </c>
      <c r="AE428">
        <v>0.1575673435699681</v>
      </c>
      <c r="AF428">
        <v>0.12841118157080075</v>
      </c>
      <c r="AG428">
        <v>5.7071636253689231E-2</v>
      </c>
      <c r="AH428">
        <v>0.17493697199500394</v>
      </c>
      <c r="AI428">
        <v>4.9627509785816724E-3</v>
      </c>
      <c r="AJ428">
        <v>8.1265047274274888E-2</v>
      </c>
      <c r="AK428">
        <v>9.9255019571633449E-2</v>
      </c>
      <c r="AL428">
        <v>2.4193411020585653E-2</v>
      </c>
      <c r="AM428">
        <v>5.5210604636721103E-2</v>
      </c>
      <c r="AN428">
        <v>0.78845706172216323</v>
      </c>
      <c r="AO428" t="s">
        <v>19</v>
      </c>
      <c r="AT428" t="str">
        <f t="shared" si="12"/>
        <v>hdt</v>
      </c>
      <c r="AU428" t="str">
        <f t="shared" si="13"/>
        <v>dsl</v>
      </c>
    </row>
    <row r="429" spans="1:47">
      <c r="A429" t="s">
        <v>17</v>
      </c>
      <c r="B429" t="s">
        <v>176</v>
      </c>
      <c r="C429" t="s">
        <v>612</v>
      </c>
      <c r="D429" t="s">
        <v>19</v>
      </c>
      <c r="E429" t="s">
        <v>19</v>
      </c>
      <c r="F429" t="s">
        <v>19</v>
      </c>
      <c r="G429" t="s">
        <v>596</v>
      </c>
      <c r="H429" t="s">
        <v>19</v>
      </c>
      <c r="I429" t="s">
        <v>19</v>
      </c>
      <c r="J429" t="s">
        <v>19</v>
      </c>
      <c r="K429" t="s">
        <v>19</v>
      </c>
      <c r="L429">
        <v>7.816332791266134E-2</v>
      </c>
      <c r="M429">
        <v>6.9478513700143421E-2</v>
      </c>
      <c r="N429">
        <v>6.0793699487625481E-2</v>
      </c>
      <c r="O429">
        <v>2.6054442637553778E-2</v>
      </c>
      <c r="P429">
        <v>0.22518482565314335</v>
      </c>
      <c r="Q429">
        <v>0.3387077542881991</v>
      </c>
      <c r="R429">
        <v>7.4441264678725083E-2</v>
      </c>
      <c r="S429">
        <v>0.18486247395216729</v>
      </c>
      <c r="T429">
        <v>9.3051580848406354E-2</v>
      </c>
      <c r="U429">
        <v>0.33932809816052178</v>
      </c>
      <c r="V429">
        <v>1.7369628425035855E-2</v>
      </c>
      <c r="W429">
        <v>7.4441264678725083E-2</v>
      </c>
      <c r="X429">
        <v>3.6600288467039832E-2</v>
      </c>
      <c r="Y429">
        <v>5.5210604636721103E-2</v>
      </c>
      <c r="Z429">
        <v>3.1637537488458163E-2</v>
      </c>
      <c r="AA429">
        <v>5.8312323998334643E-2</v>
      </c>
      <c r="AB429">
        <v>0.16253009454854978</v>
      </c>
      <c r="AC429">
        <v>7.0098857572466117E-2</v>
      </c>
      <c r="AD429">
        <v>7.5681952423370502E-2</v>
      </c>
      <c r="AE429">
        <v>0.1575673435699681</v>
      </c>
      <c r="AF429">
        <v>0.12841118157080075</v>
      </c>
      <c r="AG429">
        <v>5.7071636253689231E-2</v>
      </c>
      <c r="AH429">
        <v>0.17493697199500394</v>
      </c>
      <c r="AI429">
        <v>4.9627509785816724E-3</v>
      </c>
      <c r="AJ429">
        <v>8.1265047274274888E-2</v>
      </c>
      <c r="AK429">
        <v>9.9255019571633449E-2</v>
      </c>
      <c r="AL429">
        <v>2.4193411020585653E-2</v>
      </c>
      <c r="AM429">
        <v>5.5210604636721103E-2</v>
      </c>
      <c r="AN429">
        <v>0.78845706172216323</v>
      </c>
      <c r="AO429" t="s">
        <v>19</v>
      </c>
      <c r="AT429" t="str">
        <f t="shared" si="12"/>
        <v>hdt</v>
      </c>
      <c r="AU429" t="str">
        <f t="shared" si="13"/>
        <v>dsl</v>
      </c>
    </row>
    <row r="430" spans="1:47">
      <c r="A430" t="s">
        <v>17</v>
      </c>
      <c r="B430" t="s">
        <v>176</v>
      </c>
      <c r="C430" t="s">
        <v>612</v>
      </c>
      <c r="D430" t="s">
        <v>19</v>
      </c>
      <c r="E430" t="s">
        <v>19</v>
      </c>
      <c r="F430" t="s">
        <v>19</v>
      </c>
      <c r="G430" t="s">
        <v>178</v>
      </c>
      <c r="H430" t="s">
        <v>19</v>
      </c>
      <c r="I430" t="s">
        <v>19</v>
      </c>
      <c r="J430" t="s">
        <v>19</v>
      </c>
      <c r="K430" t="s">
        <v>19</v>
      </c>
      <c r="L430">
        <v>7.816332791266134E-2</v>
      </c>
      <c r="M430">
        <v>6.9478513700143421E-2</v>
      </c>
      <c r="N430">
        <v>6.0793699487625481E-2</v>
      </c>
      <c r="O430">
        <v>2.6054442637553778E-2</v>
      </c>
      <c r="P430">
        <v>0.22518482565314335</v>
      </c>
      <c r="Q430">
        <v>0.3387077542881991</v>
      </c>
      <c r="R430">
        <v>7.4441264678725083E-2</v>
      </c>
      <c r="S430">
        <v>0.18486247395216729</v>
      </c>
      <c r="T430">
        <v>9.3051580848406354E-2</v>
      </c>
      <c r="U430">
        <v>0.33932809816052178</v>
      </c>
      <c r="V430">
        <v>1.7369628425035855E-2</v>
      </c>
      <c r="W430">
        <v>7.4441264678725083E-2</v>
      </c>
      <c r="X430">
        <v>3.6600288467039832E-2</v>
      </c>
      <c r="Y430">
        <v>5.5210604636721103E-2</v>
      </c>
      <c r="Z430">
        <v>3.1637537488458163E-2</v>
      </c>
      <c r="AA430">
        <v>5.8312323998334643E-2</v>
      </c>
      <c r="AB430">
        <v>0.16253009454854978</v>
      </c>
      <c r="AC430">
        <v>7.0098857572466117E-2</v>
      </c>
      <c r="AD430">
        <v>7.5681952423370502E-2</v>
      </c>
      <c r="AE430">
        <v>0.1575673435699681</v>
      </c>
      <c r="AF430">
        <v>0.12841118157080075</v>
      </c>
      <c r="AG430">
        <v>5.7071636253689231E-2</v>
      </c>
      <c r="AH430">
        <v>0.17493697199500394</v>
      </c>
      <c r="AI430">
        <v>4.9627509785816724E-3</v>
      </c>
      <c r="AJ430">
        <v>8.1265047274274888E-2</v>
      </c>
      <c r="AK430">
        <v>9.9255019571633449E-2</v>
      </c>
      <c r="AL430">
        <v>2.4193411020585653E-2</v>
      </c>
      <c r="AM430">
        <v>5.5210604636721103E-2</v>
      </c>
      <c r="AN430">
        <v>0.78845706172216323</v>
      </c>
      <c r="AO430" t="s">
        <v>19</v>
      </c>
      <c r="AT430" t="str">
        <f t="shared" si="12"/>
        <v>hdt</v>
      </c>
      <c r="AU430" t="str">
        <f t="shared" si="13"/>
        <v>dsl</v>
      </c>
    </row>
    <row r="431" spans="1:47">
      <c r="A431" t="s">
        <v>17</v>
      </c>
      <c r="B431" t="s">
        <v>176</v>
      </c>
      <c r="C431" t="s">
        <v>612</v>
      </c>
      <c r="D431" t="s">
        <v>19</v>
      </c>
      <c r="E431" t="s">
        <v>19</v>
      </c>
      <c r="F431" t="s">
        <v>19</v>
      </c>
      <c r="G431" t="s">
        <v>179</v>
      </c>
      <c r="H431" t="s">
        <v>19</v>
      </c>
      <c r="I431" t="s">
        <v>19</v>
      </c>
      <c r="J431" t="s">
        <v>19</v>
      </c>
      <c r="K431" t="s">
        <v>19</v>
      </c>
      <c r="L431">
        <v>7.816332791266134E-2</v>
      </c>
      <c r="M431">
        <v>6.9478513700143421E-2</v>
      </c>
      <c r="N431">
        <v>6.0793699487625481E-2</v>
      </c>
      <c r="O431">
        <v>2.6054442637553778E-2</v>
      </c>
      <c r="P431">
        <v>0.22518482565314335</v>
      </c>
      <c r="Q431">
        <v>0.3387077542881991</v>
      </c>
      <c r="R431">
        <v>7.4441264678725083E-2</v>
      </c>
      <c r="S431">
        <v>0.18486247395216729</v>
      </c>
      <c r="T431">
        <v>9.3051580848406354E-2</v>
      </c>
      <c r="U431">
        <v>0.33932809816052178</v>
      </c>
      <c r="V431">
        <v>1.7369628425035855E-2</v>
      </c>
      <c r="W431">
        <v>7.4441264678725083E-2</v>
      </c>
      <c r="X431">
        <v>3.6600288467039832E-2</v>
      </c>
      <c r="Y431">
        <v>5.5210604636721103E-2</v>
      </c>
      <c r="Z431">
        <v>3.1637537488458163E-2</v>
      </c>
      <c r="AA431">
        <v>5.8312323998334643E-2</v>
      </c>
      <c r="AB431">
        <v>0.16253009454854978</v>
      </c>
      <c r="AC431">
        <v>7.0098857572466117E-2</v>
      </c>
      <c r="AD431">
        <v>7.5681952423370502E-2</v>
      </c>
      <c r="AE431">
        <v>0.1575673435699681</v>
      </c>
      <c r="AF431">
        <v>0.12841118157080075</v>
      </c>
      <c r="AG431">
        <v>5.7071636253689231E-2</v>
      </c>
      <c r="AH431">
        <v>0.17493697199500394</v>
      </c>
      <c r="AI431">
        <v>4.9627509785816724E-3</v>
      </c>
      <c r="AJ431">
        <v>8.1265047274274888E-2</v>
      </c>
      <c r="AK431">
        <v>9.9255019571633449E-2</v>
      </c>
      <c r="AL431">
        <v>2.4193411020585653E-2</v>
      </c>
      <c r="AM431">
        <v>5.5210604636721103E-2</v>
      </c>
      <c r="AN431">
        <v>0.78845706172216323</v>
      </c>
      <c r="AO431" t="s">
        <v>19</v>
      </c>
      <c r="AT431" t="str">
        <f t="shared" si="12"/>
        <v>hdt</v>
      </c>
      <c r="AU431" t="str">
        <f t="shared" si="13"/>
        <v>dsl</v>
      </c>
    </row>
    <row r="432" spans="1:47">
      <c r="A432" t="s">
        <v>17</v>
      </c>
      <c r="B432" t="s">
        <v>176</v>
      </c>
      <c r="C432" t="s">
        <v>612</v>
      </c>
      <c r="D432" t="s">
        <v>19</v>
      </c>
      <c r="E432" t="s">
        <v>19</v>
      </c>
      <c r="F432" t="s">
        <v>19</v>
      </c>
      <c r="G432" t="s">
        <v>180</v>
      </c>
      <c r="H432" t="s">
        <v>19</v>
      </c>
      <c r="I432" t="s">
        <v>19</v>
      </c>
      <c r="J432" t="s">
        <v>19</v>
      </c>
      <c r="K432" t="s">
        <v>19</v>
      </c>
      <c r="L432">
        <v>7.816332791266134E-2</v>
      </c>
      <c r="M432">
        <v>6.9478513700143421E-2</v>
      </c>
      <c r="N432">
        <v>6.0793699487625481E-2</v>
      </c>
      <c r="O432">
        <v>2.6054442637553778E-2</v>
      </c>
      <c r="P432">
        <v>0.22518482565314335</v>
      </c>
      <c r="Q432">
        <v>0.3387077542881991</v>
      </c>
      <c r="R432">
        <v>7.4441264678725083E-2</v>
      </c>
      <c r="S432">
        <v>0.18486247395216729</v>
      </c>
      <c r="T432">
        <v>9.3051580848406354E-2</v>
      </c>
      <c r="U432">
        <v>0.33932809816052178</v>
      </c>
      <c r="V432">
        <v>1.7369628425035855E-2</v>
      </c>
      <c r="W432">
        <v>7.4441264678725083E-2</v>
      </c>
      <c r="X432">
        <v>3.6600288467039832E-2</v>
      </c>
      <c r="Y432">
        <v>5.5210604636721103E-2</v>
      </c>
      <c r="Z432">
        <v>3.1637537488458163E-2</v>
      </c>
      <c r="AA432">
        <v>5.8312323998334643E-2</v>
      </c>
      <c r="AB432">
        <v>0.16253009454854978</v>
      </c>
      <c r="AC432">
        <v>7.0098857572466117E-2</v>
      </c>
      <c r="AD432">
        <v>7.5681952423370502E-2</v>
      </c>
      <c r="AE432">
        <v>0.1575673435699681</v>
      </c>
      <c r="AF432">
        <v>0.12841118157080075</v>
      </c>
      <c r="AG432">
        <v>5.7071636253689231E-2</v>
      </c>
      <c r="AH432">
        <v>0.17493697199500394</v>
      </c>
      <c r="AI432">
        <v>4.9627509785816724E-3</v>
      </c>
      <c r="AJ432">
        <v>8.1265047274274888E-2</v>
      </c>
      <c r="AK432">
        <v>9.9255019571633449E-2</v>
      </c>
      <c r="AL432">
        <v>2.4193411020585653E-2</v>
      </c>
      <c r="AM432">
        <v>5.5210604636721103E-2</v>
      </c>
      <c r="AN432">
        <v>0.78845706172216323</v>
      </c>
      <c r="AO432" t="s">
        <v>19</v>
      </c>
      <c r="AT432" t="str">
        <f t="shared" si="12"/>
        <v>hdt</v>
      </c>
      <c r="AU432" t="str">
        <f t="shared" si="13"/>
        <v>dsl</v>
      </c>
    </row>
    <row r="433" spans="1:47">
      <c r="A433" t="s">
        <v>17</v>
      </c>
      <c r="B433" t="s">
        <v>176</v>
      </c>
      <c r="C433" t="s">
        <v>612</v>
      </c>
      <c r="D433" t="s">
        <v>19</v>
      </c>
      <c r="E433" t="s">
        <v>19</v>
      </c>
      <c r="F433" t="s">
        <v>19</v>
      </c>
      <c r="G433" t="s">
        <v>181</v>
      </c>
      <c r="H433" t="s">
        <v>19</v>
      </c>
      <c r="I433" t="s">
        <v>19</v>
      </c>
      <c r="J433" t="s">
        <v>19</v>
      </c>
      <c r="K433" t="s">
        <v>19</v>
      </c>
      <c r="L433">
        <v>7.816332791266134E-2</v>
      </c>
      <c r="M433">
        <v>6.9478513700143421E-2</v>
      </c>
      <c r="N433">
        <v>6.0793699487625481E-2</v>
      </c>
      <c r="O433">
        <v>2.6054442637553778E-2</v>
      </c>
      <c r="P433">
        <v>0.22518482565314335</v>
      </c>
      <c r="Q433">
        <v>0.3387077542881991</v>
      </c>
      <c r="R433">
        <v>7.4441264678725083E-2</v>
      </c>
      <c r="S433">
        <v>0.18486247395216729</v>
      </c>
      <c r="T433">
        <v>9.3051580848406354E-2</v>
      </c>
      <c r="U433">
        <v>0.33932809816052178</v>
      </c>
      <c r="V433">
        <v>1.7369628425035855E-2</v>
      </c>
      <c r="W433">
        <v>7.4441264678725083E-2</v>
      </c>
      <c r="X433">
        <v>3.6600288467039832E-2</v>
      </c>
      <c r="Y433">
        <v>5.5210604636721103E-2</v>
      </c>
      <c r="Z433">
        <v>3.1637537488458163E-2</v>
      </c>
      <c r="AA433">
        <v>5.8312323998334643E-2</v>
      </c>
      <c r="AB433">
        <v>0.16253009454854978</v>
      </c>
      <c r="AC433">
        <v>7.0098857572466117E-2</v>
      </c>
      <c r="AD433">
        <v>7.5681952423370502E-2</v>
      </c>
      <c r="AE433">
        <v>0.1575673435699681</v>
      </c>
      <c r="AF433">
        <v>0.12841118157080075</v>
      </c>
      <c r="AG433">
        <v>5.7071636253689231E-2</v>
      </c>
      <c r="AH433">
        <v>0.17493697199500394</v>
      </c>
      <c r="AI433">
        <v>4.9627509785816724E-3</v>
      </c>
      <c r="AJ433">
        <v>8.1265047274274888E-2</v>
      </c>
      <c r="AK433">
        <v>9.9255019571633449E-2</v>
      </c>
      <c r="AL433">
        <v>2.4193411020585653E-2</v>
      </c>
      <c r="AM433">
        <v>5.5210604636721103E-2</v>
      </c>
      <c r="AN433">
        <v>0.78845706172216323</v>
      </c>
      <c r="AO433" t="s">
        <v>19</v>
      </c>
      <c r="AT433" t="str">
        <f t="shared" si="12"/>
        <v>hdt</v>
      </c>
      <c r="AU433" t="str">
        <f t="shared" si="13"/>
        <v>dsl</v>
      </c>
    </row>
    <row r="434" spans="1:47">
      <c r="A434" t="s">
        <v>17</v>
      </c>
      <c r="B434" t="s">
        <v>176</v>
      </c>
      <c r="C434" t="s">
        <v>612</v>
      </c>
      <c r="D434" t="s">
        <v>19</v>
      </c>
      <c r="E434" t="s">
        <v>19</v>
      </c>
      <c r="F434" t="s">
        <v>19</v>
      </c>
      <c r="G434" t="s">
        <v>182</v>
      </c>
      <c r="H434" t="s">
        <v>19</v>
      </c>
      <c r="I434" t="s">
        <v>19</v>
      </c>
      <c r="J434" t="s">
        <v>19</v>
      </c>
      <c r="K434" t="s">
        <v>19</v>
      </c>
      <c r="L434">
        <v>7.816332791266134E-2</v>
      </c>
      <c r="M434">
        <v>6.9478513700143421E-2</v>
      </c>
      <c r="N434">
        <v>6.0793699487625481E-2</v>
      </c>
      <c r="O434">
        <v>2.6054442637553778E-2</v>
      </c>
      <c r="P434">
        <v>0.22518482565314335</v>
      </c>
      <c r="Q434">
        <v>0.3387077542881991</v>
      </c>
      <c r="R434">
        <v>7.4441264678725083E-2</v>
      </c>
      <c r="S434">
        <v>0.18486247395216729</v>
      </c>
      <c r="T434">
        <v>9.3051580848406354E-2</v>
      </c>
      <c r="U434">
        <v>0.33932809816052178</v>
      </c>
      <c r="V434">
        <v>1.7369628425035855E-2</v>
      </c>
      <c r="W434">
        <v>7.4441264678725083E-2</v>
      </c>
      <c r="X434">
        <v>3.6600288467039832E-2</v>
      </c>
      <c r="Y434">
        <v>5.5210604636721103E-2</v>
      </c>
      <c r="Z434">
        <v>3.1637537488458163E-2</v>
      </c>
      <c r="AA434">
        <v>5.8312323998334643E-2</v>
      </c>
      <c r="AB434">
        <v>0.16253009454854978</v>
      </c>
      <c r="AC434">
        <v>7.0098857572466117E-2</v>
      </c>
      <c r="AD434">
        <v>7.5681952423370502E-2</v>
      </c>
      <c r="AE434">
        <v>0.1575673435699681</v>
      </c>
      <c r="AF434">
        <v>0.12841118157080075</v>
      </c>
      <c r="AG434">
        <v>5.7071636253689231E-2</v>
      </c>
      <c r="AH434">
        <v>0.17493697199500394</v>
      </c>
      <c r="AI434">
        <v>4.9627509785816724E-3</v>
      </c>
      <c r="AJ434">
        <v>8.1265047274274888E-2</v>
      </c>
      <c r="AK434">
        <v>9.9255019571633449E-2</v>
      </c>
      <c r="AL434">
        <v>2.4193411020585653E-2</v>
      </c>
      <c r="AM434">
        <v>5.5210604636721103E-2</v>
      </c>
      <c r="AN434">
        <v>0.78845706172216323</v>
      </c>
      <c r="AO434" t="s">
        <v>19</v>
      </c>
      <c r="AT434" t="str">
        <f t="shared" si="12"/>
        <v>hdt</v>
      </c>
      <c r="AU434" t="str">
        <f t="shared" si="13"/>
        <v>dsl</v>
      </c>
    </row>
    <row r="435" spans="1:47">
      <c r="A435" t="s">
        <v>17</v>
      </c>
      <c r="B435" t="s">
        <v>176</v>
      </c>
      <c r="C435" t="s">
        <v>612</v>
      </c>
      <c r="D435" t="s">
        <v>19</v>
      </c>
      <c r="E435" t="s">
        <v>19</v>
      </c>
      <c r="F435" t="s">
        <v>19</v>
      </c>
      <c r="G435" t="s">
        <v>183</v>
      </c>
      <c r="H435" t="s">
        <v>19</v>
      </c>
      <c r="I435" t="s">
        <v>19</v>
      </c>
      <c r="J435" t="s">
        <v>19</v>
      </c>
      <c r="K435" t="s">
        <v>19</v>
      </c>
      <c r="L435">
        <v>7.816332791266134E-2</v>
      </c>
      <c r="M435">
        <v>6.9478513700143421E-2</v>
      </c>
      <c r="N435">
        <v>6.0793699487625481E-2</v>
      </c>
      <c r="O435">
        <v>2.6054442637553778E-2</v>
      </c>
      <c r="P435">
        <v>0.22518482565314335</v>
      </c>
      <c r="Q435">
        <v>0.3387077542881991</v>
      </c>
      <c r="R435">
        <v>7.4441264678725083E-2</v>
      </c>
      <c r="S435">
        <v>0.18486247395216729</v>
      </c>
      <c r="T435">
        <v>9.3051580848406354E-2</v>
      </c>
      <c r="U435">
        <v>0.33932809816052178</v>
      </c>
      <c r="V435">
        <v>1.7369628425035855E-2</v>
      </c>
      <c r="W435">
        <v>7.4441264678725083E-2</v>
      </c>
      <c r="X435">
        <v>3.6600288467039832E-2</v>
      </c>
      <c r="Y435">
        <v>5.5210604636721103E-2</v>
      </c>
      <c r="Z435">
        <v>3.1637537488458163E-2</v>
      </c>
      <c r="AA435">
        <v>5.8312323998334643E-2</v>
      </c>
      <c r="AB435">
        <v>0.16253009454854978</v>
      </c>
      <c r="AC435">
        <v>7.0098857572466117E-2</v>
      </c>
      <c r="AD435">
        <v>7.5681952423370502E-2</v>
      </c>
      <c r="AE435">
        <v>0.1575673435699681</v>
      </c>
      <c r="AF435">
        <v>0.12841118157080075</v>
      </c>
      <c r="AG435">
        <v>5.7071636253689231E-2</v>
      </c>
      <c r="AH435">
        <v>0.17493697199500394</v>
      </c>
      <c r="AI435">
        <v>4.9627509785816724E-3</v>
      </c>
      <c r="AJ435">
        <v>8.1265047274274888E-2</v>
      </c>
      <c r="AK435">
        <v>9.9255019571633449E-2</v>
      </c>
      <c r="AL435">
        <v>2.4193411020585653E-2</v>
      </c>
      <c r="AM435">
        <v>5.5210604636721103E-2</v>
      </c>
      <c r="AN435">
        <v>0.78845706172216323</v>
      </c>
      <c r="AO435" t="s">
        <v>19</v>
      </c>
      <c r="AT435" t="str">
        <f t="shared" si="12"/>
        <v>hdt</v>
      </c>
      <c r="AU435" t="str">
        <f t="shared" si="13"/>
        <v>dsl</v>
      </c>
    </row>
    <row r="436" spans="1:47">
      <c r="A436" t="s">
        <v>17</v>
      </c>
      <c r="B436" t="s">
        <v>176</v>
      </c>
      <c r="C436" t="s">
        <v>612</v>
      </c>
      <c r="D436" t="s">
        <v>19</v>
      </c>
      <c r="E436" t="s">
        <v>19</v>
      </c>
      <c r="F436" t="s">
        <v>19</v>
      </c>
      <c r="G436" t="s">
        <v>184</v>
      </c>
      <c r="H436" t="s">
        <v>19</v>
      </c>
      <c r="I436" t="s">
        <v>19</v>
      </c>
      <c r="J436" t="s">
        <v>19</v>
      </c>
      <c r="K436" t="s">
        <v>19</v>
      </c>
      <c r="L436">
        <v>7.816332791266134E-2</v>
      </c>
      <c r="M436">
        <v>6.9478513700143421E-2</v>
      </c>
      <c r="N436">
        <v>6.0793699487625481E-2</v>
      </c>
      <c r="O436">
        <v>2.6054442637553778E-2</v>
      </c>
      <c r="P436">
        <v>0.22518482565314335</v>
      </c>
      <c r="Q436">
        <v>0.3387077542881991</v>
      </c>
      <c r="R436">
        <v>7.4441264678725083E-2</v>
      </c>
      <c r="S436">
        <v>0.18486247395216729</v>
      </c>
      <c r="T436">
        <v>9.3051580848406354E-2</v>
      </c>
      <c r="U436">
        <v>0.33932809816052178</v>
      </c>
      <c r="V436">
        <v>1.7369628425035855E-2</v>
      </c>
      <c r="W436">
        <v>7.4441264678725083E-2</v>
      </c>
      <c r="X436">
        <v>3.6600288467039832E-2</v>
      </c>
      <c r="Y436">
        <v>5.5210604636721103E-2</v>
      </c>
      <c r="Z436">
        <v>3.1637537488458163E-2</v>
      </c>
      <c r="AA436">
        <v>5.8312323998334643E-2</v>
      </c>
      <c r="AB436">
        <v>0.16253009454854978</v>
      </c>
      <c r="AC436">
        <v>7.0098857572466117E-2</v>
      </c>
      <c r="AD436">
        <v>7.5681952423370502E-2</v>
      </c>
      <c r="AE436">
        <v>0.1575673435699681</v>
      </c>
      <c r="AF436">
        <v>0.12841118157080075</v>
      </c>
      <c r="AG436">
        <v>5.7071636253689231E-2</v>
      </c>
      <c r="AH436">
        <v>0.17493697199500394</v>
      </c>
      <c r="AI436">
        <v>4.9627509785816724E-3</v>
      </c>
      <c r="AJ436">
        <v>8.1265047274274888E-2</v>
      </c>
      <c r="AK436">
        <v>9.9255019571633449E-2</v>
      </c>
      <c r="AL436">
        <v>2.4193411020585653E-2</v>
      </c>
      <c r="AM436">
        <v>5.5210604636721103E-2</v>
      </c>
      <c r="AN436">
        <v>0.78845706172216323</v>
      </c>
      <c r="AO436" t="s">
        <v>19</v>
      </c>
      <c r="AT436" t="str">
        <f t="shared" si="12"/>
        <v>hdt</v>
      </c>
      <c r="AU436" t="str">
        <f t="shared" si="13"/>
        <v>dsl</v>
      </c>
    </row>
    <row r="437" spans="1:47">
      <c r="A437" t="s">
        <v>17</v>
      </c>
      <c r="B437" t="s">
        <v>176</v>
      </c>
      <c r="C437" t="s">
        <v>612</v>
      </c>
      <c r="D437" t="s">
        <v>19</v>
      </c>
      <c r="E437" t="s">
        <v>19</v>
      </c>
      <c r="F437" t="s">
        <v>19</v>
      </c>
      <c r="G437" t="s">
        <v>185</v>
      </c>
      <c r="H437" t="s">
        <v>19</v>
      </c>
      <c r="I437" t="s">
        <v>19</v>
      </c>
      <c r="J437" t="s">
        <v>19</v>
      </c>
      <c r="K437" t="s">
        <v>19</v>
      </c>
      <c r="L437">
        <v>7.816332791266134E-2</v>
      </c>
      <c r="M437">
        <v>6.9478513700143421E-2</v>
      </c>
      <c r="N437">
        <v>6.0793699487625481E-2</v>
      </c>
      <c r="O437">
        <v>2.6054442637553778E-2</v>
      </c>
      <c r="P437">
        <v>0.22518482565314335</v>
      </c>
      <c r="Q437">
        <v>0.3387077542881991</v>
      </c>
      <c r="R437">
        <v>7.4441264678725083E-2</v>
      </c>
      <c r="S437">
        <v>0.18486247395216729</v>
      </c>
      <c r="T437">
        <v>9.3051580848406354E-2</v>
      </c>
      <c r="U437">
        <v>0.33932809816052178</v>
      </c>
      <c r="V437">
        <v>1.7369628425035855E-2</v>
      </c>
      <c r="W437">
        <v>7.4441264678725083E-2</v>
      </c>
      <c r="X437">
        <v>3.6600288467039832E-2</v>
      </c>
      <c r="Y437">
        <v>5.5210604636721103E-2</v>
      </c>
      <c r="Z437">
        <v>3.1637537488458163E-2</v>
      </c>
      <c r="AA437">
        <v>5.8312323998334643E-2</v>
      </c>
      <c r="AB437">
        <v>0.16253009454854978</v>
      </c>
      <c r="AC437">
        <v>7.0098857572466117E-2</v>
      </c>
      <c r="AD437">
        <v>7.5681952423370502E-2</v>
      </c>
      <c r="AE437">
        <v>0.1575673435699681</v>
      </c>
      <c r="AF437">
        <v>0.12841118157080075</v>
      </c>
      <c r="AG437">
        <v>5.7071636253689231E-2</v>
      </c>
      <c r="AH437">
        <v>0.17493697199500394</v>
      </c>
      <c r="AI437">
        <v>4.9627509785816724E-3</v>
      </c>
      <c r="AJ437">
        <v>8.1265047274274888E-2</v>
      </c>
      <c r="AK437">
        <v>9.9255019571633449E-2</v>
      </c>
      <c r="AL437">
        <v>2.4193411020585653E-2</v>
      </c>
      <c r="AM437">
        <v>5.5210604636721103E-2</v>
      </c>
      <c r="AN437">
        <v>0.78845706172216323</v>
      </c>
      <c r="AO437" t="s">
        <v>19</v>
      </c>
      <c r="AT437" t="str">
        <f t="shared" si="12"/>
        <v>hdt</v>
      </c>
      <c r="AU437" t="str">
        <f t="shared" si="13"/>
        <v>dsl</v>
      </c>
    </row>
    <row r="438" spans="1:47">
      <c r="A438" t="s">
        <v>17</v>
      </c>
      <c r="B438" t="s">
        <v>176</v>
      </c>
      <c r="C438" t="s">
        <v>612</v>
      </c>
      <c r="D438" t="s">
        <v>19</v>
      </c>
      <c r="E438" t="s">
        <v>19</v>
      </c>
      <c r="F438" t="s">
        <v>19</v>
      </c>
      <c r="G438" t="s">
        <v>186</v>
      </c>
      <c r="H438" t="s">
        <v>19</v>
      </c>
      <c r="I438" t="s">
        <v>19</v>
      </c>
      <c r="J438" t="s">
        <v>19</v>
      </c>
      <c r="K438" t="s">
        <v>19</v>
      </c>
      <c r="L438">
        <v>7.816332791266134E-2</v>
      </c>
      <c r="M438">
        <v>6.9478513700143421E-2</v>
      </c>
      <c r="N438">
        <v>6.0793699487625481E-2</v>
      </c>
      <c r="O438">
        <v>2.6054442637553778E-2</v>
      </c>
      <c r="P438">
        <v>0.22518482565314335</v>
      </c>
      <c r="Q438">
        <v>0.3387077542881991</v>
      </c>
      <c r="R438">
        <v>7.4441264678725083E-2</v>
      </c>
      <c r="S438">
        <v>0.18486247395216729</v>
      </c>
      <c r="T438">
        <v>9.3051580848406354E-2</v>
      </c>
      <c r="U438">
        <v>0.33932809816052178</v>
      </c>
      <c r="V438">
        <v>1.7369628425035855E-2</v>
      </c>
      <c r="W438">
        <v>7.4441264678725083E-2</v>
      </c>
      <c r="X438">
        <v>3.6600288467039832E-2</v>
      </c>
      <c r="Y438">
        <v>5.5210604636721103E-2</v>
      </c>
      <c r="Z438">
        <v>3.1637537488458163E-2</v>
      </c>
      <c r="AA438">
        <v>5.8312323998334643E-2</v>
      </c>
      <c r="AB438">
        <v>0.16253009454854978</v>
      </c>
      <c r="AC438">
        <v>7.0098857572466117E-2</v>
      </c>
      <c r="AD438">
        <v>7.5681952423370502E-2</v>
      </c>
      <c r="AE438">
        <v>0.1575673435699681</v>
      </c>
      <c r="AF438">
        <v>0.12841118157080075</v>
      </c>
      <c r="AG438">
        <v>5.7071636253689231E-2</v>
      </c>
      <c r="AH438">
        <v>0.17493697199500394</v>
      </c>
      <c r="AI438">
        <v>4.9627509785816724E-3</v>
      </c>
      <c r="AJ438">
        <v>8.1265047274274888E-2</v>
      </c>
      <c r="AK438">
        <v>9.9255019571633449E-2</v>
      </c>
      <c r="AL438">
        <v>2.4193411020585653E-2</v>
      </c>
      <c r="AM438">
        <v>5.5210604636721103E-2</v>
      </c>
      <c r="AN438">
        <v>0.78845706172216323</v>
      </c>
      <c r="AO438" t="s">
        <v>19</v>
      </c>
      <c r="AT438" t="str">
        <f t="shared" si="12"/>
        <v>hdt</v>
      </c>
      <c r="AU438" t="str">
        <f t="shared" si="13"/>
        <v>dsl</v>
      </c>
    </row>
    <row r="439" spans="1:47">
      <c r="A439" t="s">
        <v>17</v>
      </c>
      <c r="B439" t="s">
        <v>176</v>
      </c>
      <c r="C439" t="s">
        <v>612</v>
      </c>
      <c r="D439" t="s">
        <v>19</v>
      </c>
      <c r="E439" t="s">
        <v>19</v>
      </c>
      <c r="F439" t="s">
        <v>19</v>
      </c>
      <c r="G439" t="s">
        <v>187</v>
      </c>
      <c r="H439" t="s">
        <v>19</v>
      </c>
      <c r="I439" t="s">
        <v>19</v>
      </c>
      <c r="J439" t="s">
        <v>19</v>
      </c>
      <c r="K439" t="s">
        <v>19</v>
      </c>
      <c r="L439">
        <v>7.816332791266134E-2</v>
      </c>
      <c r="M439">
        <v>6.9478513700143421E-2</v>
      </c>
      <c r="N439">
        <v>6.0793699487625481E-2</v>
      </c>
      <c r="O439">
        <v>2.6054442637553778E-2</v>
      </c>
      <c r="P439">
        <v>0.22518482565314335</v>
      </c>
      <c r="Q439">
        <v>0.3387077542881991</v>
      </c>
      <c r="R439">
        <v>7.4441264678725083E-2</v>
      </c>
      <c r="S439">
        <v>0.18486247395216729</v>
      </c>
      <c r="T439">
        <v>9.3051580848406354E-2</v>
      </c>
      <c r="U439">
        <v>0.33932809816052178</v>
      </c>
      <c r="V439">
        <v>1.7369628425035855E-2</v>
      </c>
      <c r="W439">
        <v>7.4441264678725083E-2</v>
      </c>
      <c r="X439">
        <v>3.6600288467039832E-2</v>
      </c>
      <c r="Y439">
        <v>5.5210604636721103E-2</v>
      </c>
      <c r="Z439">
        <v>3.1637537488458163E-2</v>
      </c>
      <c r="AA439">
        <v>5.8312323998334643E-2</v>
      </c>
      <c r="AB439">
        <v>0.16253009454854978</v>
      </c>
      <c r="AC439">
        <v>7.0098857572466117E-2</v>
      </c>
      <c r="AD439">
        <v>7.5681952423370502E-2</v>
      </c>
      <c r="AE439">
        <v>0.1575673435699681</v>
      </c>
      <c r="AF439">
        <v>0.12841118157080075</v>
      </c>
      <c r="AG439">
        <v>5.7071636253689231E-2</v>
      </c>
      <c r="AH439">
        <v>0.17493697199500394</v>
      </c>
      <c r="AI439">
        <v>4.9627509785816724E-3</v>
      </c>
      <c r="AJ439">
        <v>8.1265047274274888E-2</v>
      </c>
      <c r="AK439">
        <v>9.9255019571633449E-2</v>
      </c>
      <c r="AL439">
        <v>2.4193411020585653E-2</v>
      </c>
      <c r="AM439">
        <v>5.5210604636721103E-2</v>
      </c>
      <c r="AN439">
        <v>0.78845706172216323</v>
      </c>
      <c r="AO439" t="s">
        <v>19</v>
      </c>
      <c r="AT439" t="str">
        <f t="shared" si="12"/>
        <v>hdt</v>
      </c>
      <c r="AU439" t="str">
        <f t="shared" si="13"/>
        <v>dsl</v>
      </c>
    </row>
    <row r="440" spans="1:47">
      <c r="A440" t="s">
        <v>17</v>
      </c>
      <c r="B440" t="s">
        <v>176</v>
      </c>
      <c r="C440" t="s">
        <v>612</v>
      </c>
      <c r="D440" t="s">
        <v>19</v>
      </c>
      <c r="E440" t="s">
        <v>19</v>
      </c>
      <c r="F440" t="s">
        <v>19</v>
      </c>
      <c r="G440" t="s">
        <v>188</v>
      </c>
      <c r="H440" t="s">
        <v>19</v>
      </c>
      <c r="I440" t="s">
        <v>19</v>
      </c>
      <c r="J440" t="s">
        <v>19</v>
      </c>
      <c r="K440" t="s">
        <v>19</v>
      </c>
      <c r="L440">
        <v>7.816332791266134E-2</v>
      </c>
      <c r="M440">
        <v>6.9478513700143421E-2</v>
      </c>
      <c r="N440">
        <v>6.0793699487625481E-2</v>
      </c>
      <c r="O440">
        <v>2.6054442637553778E-2</v>
      </c>
      <c r="P440">
        <v>0.22518482565314335</v>
      </c>
      <c r="Q440">
        <v>0.3387077542881991</v>
      </c>
      <c r="R440">
        <v>7.4441264678725083E-2</v>
      </c>
      <c r="S440">
        <v>0.18486247395216729</v>
      </c>
      <c r="T440">
        <v>9.3051580848406354E-2</v>
      </c>
      <c r="U440">
        <v>0.33932809816052178</v>
      </c>
      <c r="V440">
        <v>1.7369628425035855E-2</v>
      </c>
      <c r="W440">
        <v>7.4441264678725083E-2</v>
      </c>
      <c r="X440">
        <v>3.6600288467039832E-2</v>
      </c>
      <c r="Y440">
        <v>5.5210604636721103E-2</v>
      </c>
      <c r="Z440">
        <v>3.1637537488458163E-2</v>
      </c>
      <c r="AA440">
        <v>5.8312323998334643E-2</v>
      </c>
      <c r="AB440">
        <v>0.16253009454854978</v>
      </c>
      <c r="AC440">
        <v>7.0098857572466117E-2</v>
      </c>
      <c r="AD440">
        <v>7.5681952423370502E-2</v>
      </c>
      <c r="AE440">
        <v>0.1575673435699681</v>
      </c>
      <c r="AF440">
        <v>0.12841118157080075</v>
      </c>
      <c r="AG440">
        <v>5.7071636253689231E-2</v>
      </c>
      <c r="AH440">
        <v>0.17493697199500394</v>
      </c>
      <c r="AI440">
        <v>4.9627509785816724E-3</v>
      </c>
      <c r="AJ440">
        <v>8.1265047274274888E-2</v>
      </c>
      <c r="AK440">
        <v>9.9255019571633449E-2</v>
      </c>
      <c r="AL440">
        <v>2.4193411020585653E-2</v>
      </c>
      <c r="AM440">
        <v>5.5210604636721103E-2</v>
      </c>
      <c r="AN440">
        <v>0.78845706172216323</v>
      </c>
      <c r="AO440" t="s">
        <v>19</v>
      </c>
      <c r="AT440" t="str">
        <f t="shared" si="12"/>
        <v>hdt</v>
      </c>
      <c r="AU440" t="str">
        <f t="shared" si="13"/>
        <v>dsl</v>
      </c>
    </row>
    <row r="441" spans="1:47">
      <c r="A441" t="s">
        <v>17</v>
      </c>
      <c r="B441" t="s">
        <v>176</v>
      </c>
      <c r="C441" t="s">
        <v>612</v>
      </c>
      <c r="D441" t="s">
        <v>19</v>
      </c>
      <c r="E441" t="s">
        <v>19</v>
      </c>
      <c r="F441" t="s">
        <v>19</v>
      </c>
      <c r="G441" t="s">
        <v>100</v>
      </c>
      <c r="H441" t="s">
        <v>19</v>
      </c>
      <c r="I441" t="s">
        <v>19</v>
      </c>
      <c r="J441" t="s">
        <v>19</v>
      </c>
      <c r="K441" t="s">
        <v>19</v>
      </c>
      <c r="L441">
        <v>7.816332791266134E-2</v>
      </c>
      <c r="M441">
        <v>6.9478513700143421E-2</v>
      </c>
      <c r="N441">
        <v>6.0793699487625481E-2</v>
      </c>
      <c r="O441">
        <v>2.6054442637553778E-2</v>
      </c>
      <c r="P441">
        <v>0.22518482565314335</v>
      </c>
      <c r="Q441">
        <v>0.3387077542881991</v>
      </c>
      <c r="R441">
        <v>7.4441264678725083E-2</v>
      </c>
      <c r="S441">
        <v>0.18486247395216729</v>
      </c>
      <c r="T441">
        <v>9.3051580848406354E-2</v>
      </c>
      <c r="U441">
        <v>0.33932809816052178</v>
      </c>
      <c r="V441">
        <v>1.7369628425035855E-2</v>
      </c>
      <c r="W441">
        <v>7.4441264678725083E-2</v>
      </c>
      <c r="X441">
        <v>3.6600288467039832E-2</v>
      </c>
      <c r="Y441">
        <v>5.5210604636721103E-2</v>
      </c>
      <c r="Z441">
        <v>3.1637537488458163E-2</v>
      </c>
      <c r="AA441">
        <v>5.8312323998334643E-2</v>
      </c>
      <c r="AB441">
        <v>0.16253009454854978</v>
      </c>
      <c r="AC441">
        <v>7.0098857572466117E-2</v>
      </c>
      <c r="AD441">
        <v>7.5681952423370502E-2</v>
      </c>
      <c r="AE441">
        <v>0.1575673435699681</v>
      </c>
      <c r="AF441">
        <v>0.12841118157080075</v>
      </c>
      <c r="AG441">
        <v>5.7071636253689231E-2</v>
      </c>
      <c r="AH441">
        <v>0.17493697199500394</v>
      </c>
      <c r="AI441">
        <v>4.9627509785816724E-3</v>
      </c>
      <c r="AJ441">
        <v>8.1265047274274888E-2</v>
      </c>
      <c r="AK441">
        <v>9.9255019571633449E-2</v>
      </c>
      <c r="AL441">
        <v>2.4193411020585653E-2</v>
      </c>
      <c r="AM441">
        <v>5.5210604636721103E-2</v>
      </c>
      <c r="AN441">
        <v>0.78845706172216323</v>
      </c>
      <c r="AO441" t="s">
        <v>19</v>
      </c>
      <c r="AT441" t="str">
        <f t="shared" si="12"/>
        <v>hdt</v>
      </c>
      <c r="AU441" t="str">
        <f t="shared" si="13"/>
        <v>dsl</v>
      </c>
    </row>
    <row r="442" spans="1:47">
      <c r="A442" t="s">
        <v>17</v>
      </c>
      <c r="B442" t="s">
        <v>176</v>
      </c>
      <c r="C442" t="s">
        <v>611</v>
      </c>
      <c r="D442" t="s">
        <v>19</v>
      </c>
      <c r="E442" t="s">
        <v>19</v>
      </c>
      <c r="F442" t="s">
        <v>19</v>
      </c>
      <c r="G442" t="s">
        <v>603</v>
      </c>
      <c r="H442" t="s">
        <v>19</v>
      </c>
      <c r="I442" t="s">
        <v>19</v>
      </c>
      <c r="J442" t="s">
        <v>19</v>
      </c>
      <c r="K442" t="s">
        <v>19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1.2406877446454181E-3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1.4267909063422308E-2</v>
      </c>
      <c r="AO442" t="s">
        <v>19</v>
      </c>
      <c r="AT442" t="str">
        <f t="shared" si="12"/>
        <v>hdt</v>
      </c>
      <c r="AU442" t="str">
        <f t="shared" si="13"/>
        <v>eth</v>
      </c>
    </row>
    <row r="443" spans="1:47">
      <c r="A443" t="s">
        <v>17</v>
      </c>
      <c r="B443" t="s">
        <v>176</v>
      </c>
      <c r="C443" t="s">
        <v>611</v>
      </c>
      <c r="D443" t="s">
        <v>19</v>
      </c>
      <c r="E443" t="s">
        <v>19</v>
      </c>
      <c r="F443" t="s">
        <v>19</v>
      </c>
      <c r="G443" t="s">
        <v>602</v>
      </c>
      <c r="H443" t="s">
        <v>19</v>
      </c>
      <c r="I443" t="s">
        <v>19</v>
      </c>
      <c r="J443" t="s">
        <v>19</v>
      </c>
      <c r="K443" t="s">
        <v>19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1.2406877446454181E-3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1.4267909063422308E-2</v>
      </c>
      <c r="AO443" t="s">
        <v>19</v>
      </c>
      <c r="AT443" t="str">
        <f t="shared" si="12"/>
        <v>hdt</v>
      </c>
      <c r="AU443" t="str">
        <f t="shared" si="13"/>
        <v>eth</v>
      </c>
    </row>
    <row r="444" spans="1:47">
      <c r="A444" t="s">
        <v>17</v>
      </c>
      <c r="B444" t="s">
        <v>176</v>
      </c>
      <c r="C444" t="s">
        <v>611</v>
      </c>
      <c r="D444" t="s">
        <v>19</v>
      </c>
      <c r="E444" t="s">
        <v>19</v>
      </c>
      <c r="F444" t="s">
        <v>19</v>
      </c>
      <c r="G444" t="s">
        <v>601</v>
      </c>
      <c r="H444" t="s">
        <v>19</v>
      </c>
      <c r="I444" t="s">
        <v>19</v>
      </c>
      <c r="J444" t="s">
        <v>19</v>
      </c>
      <c r="K444" t="s">
        <v>19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1.2406877446454181E-3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1.4267909063422308E-2</v>
      </c>
      <c r="AO444" t="s">
        <v>19</v>
      </c>
      <c r="AT444" t="str">
        <f t="shared" si="12"/>
        <v>hdt</v>
      </c>
      <c r="AU444" t="str">
        <f t="shared" si="13"/>
        <v>eth</v>
      </c>
    </row>
    <row r="445" spans="1:47">
      <c r="A445" t="s">
        <v>17</v>
      </c>
      <c r="B445" t="s">
        <v>176</v>
      </c>
      <c r="C445" t="s">
        <v>611</v>
      </c>
      <c r="D445" t="s">
        <v>19</v>
      </c>
      <c r="E445" t="s">
        <v>19</v>
      </c>
      <c r="F445" t="s">
        <v>19</v>
      </c>
      <c r="G445" t="s">
        <v>600</v>
      </c>
      <c r="H445" t="s">
        <v>19</v>
      </c>
      <c r="I445" t="s">
        <v>19</v>
      </c>
      <c r="J445" t="s">
        <v>19</v>
      </c>
      <c r="K445" t="s">
        <v>19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1.2406877446454181E-3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1.4267909063422308E-2</v>
      </c>
      <c r="AO445" t="s">
        <v>19</v>
      </c>
      <c r="AT445" t="str">
        <f t="shared" si="12"/>
        <v>hdt</v>
      </c>
      <c r="AU445" t="str">
        <f t="shared" si="13"/>
        <v>eth</v>
      </c>
    </row>
    <row r="446" spans="1:47">
      <c r="A446" t="s">
        <v>17</v>
      </c>
      <c r="B446" t="s">
        <v>176</v>
      </c>
      <c r="C446" t="s">
        <v>611</v>
      </c>
      <c r="D446" t="s">
        <v>19</v>
      </c>
      <c r="E446" t="s">
        <v>19</v>
      </c>
      <c r="F446" t="s">
        <v>19</v>
      </c>
      <c r="G446" t="s">
        <v>599</v>
      </c>
      <c r="H446" t="s">
        <v>19</v>
      </c>
      <c r="I446" t="s">
        <v>19</v>
      </c>
      <c r="J446" t="s">
        <v>19</v>
      </c>
      <c r="K446" t="s">
        <v>19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1.2406877446454181E-3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1.4267909063422308E-2</v>
      </c>
      <c r="AO446" t="s">
        <v>19</v>
      </c>
      <c r="AT446" t="str">
        <f t="shared" si="12"/>
        <v>hdt</v>
      </c>
      <c r="AU446" t="str">
        <f t="shared" si="13"/>
        <v>eth</v>
      </c>
    </row>
    <row r="447" spans="1:47">
      <c r="A447" t="s">
        <v>17</v>
      </c>
      <c r="B447" t="s">
        <v>176</v>
      </c>
      <c r="C447" t="s">
        <v>611</v>
      </c>
      <c r="D447" t="s">
        <v>19</v>
      </c>
      <c r="E447" t="s">
        <v>19</v>
      </c>
      <c r="F447" t="s">
        <v>19</v>
      </c>
      <c r="G447" t="s">
        <v>598</v>
      </c>
      <c r="H447" t="s">
        <v>19</v>
      </c>
      <c r="I447" t="s">
        <v>19</v>
      </c>
      <c r="J447" t="s">
        <v>19</v>
      </c>
      <c r="K447" t="s">
        <v>19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1.2406877446454181E-3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1.4267909063422308E-2</v>
      </c>
      <c r="AO447" t="s">
        <v>19</v>
      </c>
      <c r="AT447" t="str">
        <f t="shared" si="12"/>
        <v>hdt</v>
      </c>
      <c r="AU447" t="str">
        <f t="shared" si="13"/>
        <v>eth</v>
      </c>
    </row>
    <row r="448" spans="1:47">
      <c r="A448" t="s">
        <v>17</v>
      </c>
      <c r="B448" t="s">
        <v>176</v>
      </c>
      <c r="C448" t="s">
        <v>611</v>
      </c>
      <c r="D448" t="s">
        <v>19</v>
      </c>
      <c r="E448" t="s">
        <v>19</v>
      </c>
      <c r="F448" t="s">
        <v>19</v>
      </c>
      <c r="G448" t="s">
        <v>597</v>
      </c>
      <c r="H448" t="s">
        <v>19</v>
      </c>
      <c r="I448" t="s">
        <v>19</v>
      </c>
      <c r="J448" t="s">
        <v>19</v>
      </c>
      <c r="K448" t="s">
        <v>19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1.2406877446454181E-3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1.4267909063422308E-2</v>
      </c>
      <c r="AO448" t="s">
        <v>19</v>
      </c>
      <c r="AT448" t="str">
        <f t="shared" si="12"/>
        <v>hdt</v>
      </c>
      <c r="AU448" t="str">
        <f t="shared" si="13"/>
        <v>eth</v>
      </c>
    </row>
    <row r="449" spans="1:47">
      <c r="A449" t="s">
        <v>17</v>
      </c>
      <c r="B449" t="s">
        <v>176</v>
      </c>
      <c r="C449" t="s">
        <v>611</v>
      </c>
      <c r="D449" t="s">
        <v>19</v>
      </c>
      <c r="E449" t="s">
        <v>19</v>
      </c>
      <c r="F449" t="s">
        <v>19</v>
      </c>
      <c r="G449" t="s">
        <v>596</v>
      </c>
      <c r="H449" t="s">
        <v>19</v>
      </c>
      <c r="I449" t="s">
        <v>19</v>
      </c>
      <c r="J449" t="s">
        <v>19</v>
      </c>
      <c r="K449" t="s">
        <v>19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1.2406877446454181E-3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1.4267909063422308E-2</v>
      </c>
      <c r="AO449" t="s">
        <v>19</v>
      </c>
      <c r="AT449" t="str">
        <f t="shared" si="12"/>
        <v>hdt</v>
      </c>
      <c r="AU449" t="str">
        <f t="shared" si="13"/>
        <v>eth</v>
      </c>
    </row>
    <row r="450" spans="1:47">
      <c r="A450" t="s">
        <v>17</v>
      </c>
      <c r="B450" t="s">
        <v>176</v>
      </c>
      <c r="C450" t="s">
        <v>611</v>
      </c>
      <c r="D450" t="s">
        <v>19</v>
      </c>
      <c r="E450" t="s">
        <v>19</v>
      </c>
      <c r="F450" t="s">
        <v>19</v>
      </c>
      <c r="G450" t="s">
        <v>178</v>
      </c>
      <c r="H450" t="s">
        <v>19</v>
      </c>
      <c r="I450" t="s">
        <v>19</v>
      </c>
      <c r="J450" t="s">
        <v>19</v>
      </c>
      <c r="K450" t="s">
        <v>19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1.2406877446454181E-3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1.4267909063422308E-2</v>
      </c>
      <c r="AO450" t="s">
        <v>19</v>
      </c>
      <c r="AT450" t="str">
        <f t="shared" si="12"/>
        <v>hdt</v>
      </c>
      <c r="AU450" t="str">
        <f t="shared" si="13"/>
        <v>eth</v>
      </c>
    </row>
    <row r="451" spans="1:47">
      <c r="A451" t="s">
        <v>17</v>
      </c>
      <c r="B451" t="s">
        <v>176</v>
      </c>
      <c r="C451" t="s">
        <v>611</v>
      </c>
      <c r="D451" t="s">
        <v>19</v>
      </c>
      <c r="E451" t="s">
        <v>19</v>
      </c>
      <c r="F451" t="s">
        <v>19</v>
      </c>
      <c r="G451" t="s">
        <v>179</v>
      </c>
      <c r="H451" t="s">
        <v>19</v>
      </c>
      <c r="I451" t="s">
        <v>19</v>
      </c>
      <c r="J451" t="s">
        <v>19</v>
      </c>
      <c r="K451" t="s">
        <v>19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1.2406877446454181E-3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1.4267909063422308E-2</v>
      </c>
      <c r="AO451" t="s">
        <v>19</v>
      </c>
      <c r="AT451" t="str">
        <f t="shared" ref="AT451:AT514" si="14">MID(C451,5,3)</f>
        <v>hdt</v>
      </c>
      <c r="AU451" t="str">
        <f t="shared" ref="AU451:AU514" si="15">RIGHT(C451,3)</f>
        <v>eth</v>
      </c>
    </row>
    <row r="452" spans="1:47">
      <c r="A452" t="s">
        <v>17</v>
      </c>
      <c r="B452" t="s">
        <v>176</v>
      </c>
      <c r="C452" t="s">
        <v>611</v>
      </c>
      <c r="D452" t="s">
        <v>19</v>
      </c>
      <c r="E452" t="s">
        <v>19</v>
      </c>
      <c r="F452" t="s">
        <v>19</v>
      </c>
      <c r="G452" t="s">
        <v>180</v>
      </c>
      <c r="H452" t="s">
        <v>19</v>
      </c>
      <c r="I452" t="s">
        <v>19</v>
      </c>
      <c r="J452" t="s">
        <v>19</v>
      </c>
      <c r="K452" t="s">
        <v>19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1.2406877446454181E-3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1.4267909063422308E-2</v>
      </c>
      <c r="AO452" t="s">
        <v>19</v>
      </c>
      <c r="AT452" t="str">
        <f t="shared" si="14"/>
        <v>hdt</v>
      </c>
      <c r="AU452" t="str">
        <f t="shared" si="15"/>
        <v>eth</v>
      </c>
    </row>
    <row r="453" spans="1:47">
      <c r="A453" t="s">
        <v>17</v>
      </c>
      <c r="B453" t="s">
        <v>176</v>
      </c>
      <c r="C453" t="s">
        <v>611</v>
      </c>
      <c r="D453" t="s">
        <v>19</v>
      </c>
      <c r="E453" t="s">
        <v>19</v>
      </c>
      <c r="F453" t="s">
        <v>19</v>
      </c>
      <c r="G453" t="s">
        <v>181</v>
      </c>
      <c r="H453" t="s">
        <v>19</v>
      </c>
      <c r="I453" t="s">
        <v>19</v>
      </c>
      <c r="J453" t="s">
        <v>19</v>
      </c>
      <c r="K453" t="s">
        <v>19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1.2406877446454181E-3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1.4267909063422308E-2</v>
      </c>
      <c r="AO453" t="s">
        <v>19</v>
      </c>
      <c r="AT453" t="str">
        <f t="shared" si="14"/>
        <v>hdt</v>
      </c>
      <c r="AU453" t="str">
        <f t="shared" si="15"/>
        <v>eth</v>
      </c>
    </row>
    <row r="454" spans="1:47">
      <c r="A454" t="s">
        <v>17</v>
      </c>
      <c r="B454" t="s">
        <v>176</v>
      </c>
      <c r="C454" t="s">
        <v>611</v>
      </c>
      <c r="D454" t="s">
        <v>19</v>
      </c>
      <c r="E454" t="s">
        <v>19</v>
      </c>
      <c r="F454" t="s">
        <v>19</v>
      </c>
      <c r="G454" t="s">
        <v>182</v>
      </c>
      <c r="H454" t="s">
        <v>19</v>
      </c>
      <c r="I454" t="s">
        <v>19</v>
      </c>
      <c r="J454" t="s">
        <v>19</v>
      </c>
      <c r="K454" t="s">
        <v>19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1.2406877446454181E-3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1.4267909063422308E-2</v>
      </c>
      <c r="AO454" t="s">
        <v>19</v>
      </c>
      <c r="AT454" t="str">
        <f t="shared" si="14"/>
        <v>hdt</v>
      </c>
      <c r="AU454" t="str">
        <f t="shared" si="15"/>
        <v>eth</v>
      </c>
    </row>
    <row r="455" spans="1:47">
      <c r="A455" t="s">
        <v>17</v>
      </c>
      <c r="B455" t="s">
        <v>176</v>
      </c>
      <c r="C455" t="s">
        <v>611</v>
      </c>
      <c r="D455" t="s">
        <v>19</v>
      </c>
      <c r="E455" t="s">
        <v>19</v>
      </c>
      <c r="F455" t="s">
        <v>19</v>
      </c>
      <c r="G455" t="s">
        <v>183</v>
      </c>
      <c r="H455" t="s">
        <v>19</v>
      </c>
      <c r="I455" t="s">
        <v>19</v>
      </c>
      <c r="J455" t="s">
        <v>19</v>
      </c>
      <c r="K455" t="s">
        <v>19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1.2406877446454181E-3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1.4267909063422308E-2</v>
      </c>
      <c r="AO455" t="s">
        <v>19</v>
      </c>
      <c r="AT455" t="str">
        <f t="shared" si="14"/>
        <v>hdt</v>
      </c>
      <c r="AU455" t="str">
        <f t="shared" si="15"/>
        <v>eth</v>
      </c>
    </row>
    <row r="456" spans="1:47">
      <c r="A456" t="s">
        <v>17</v>
      </c>
      <c r="B456" t="s">
        <v>176</v>
      </c>
      <c r="C456" t="s">
        <v>611</v>
      </c>
      <c r="D456" t="s">
        <v>19</v>
      </c>
      <c r="E456" t="s">
        <v>19</v>
      </c>
      <c r="F456" t="s">
        <v>19</v>
      </c>
      <c r="G456" t="s">
        <v>184</v>
      </c>
      <c r="H456" t="s">
        <v>19</v>
      </c>
      <c r="I456" t="s">
        <v>19</v>
      </c>
      <c r="J456" t="s">
        <v>19</v>
      </c>
      <c r="K456" t="s">
        <v>19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1.2406877446454181E-3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1.4267909063422308E-2</v>
      </c>
      <c r="AO456" t="s">
        <v>19</v>
      </c>
      <c r="AT456" t="str">
        <f t="shared" si="14"/>
        <v>hdt</v>
      </c>
      <c r="AU456" t="str">
        <f t="shared" si="15"/>
        <v>eth</v>
      </c>
    </row>
    <row r="457" spans="1:47">
      <c r="A457" t="s">
        <v>17</v>
      </c>
      <c r="B457" t="s">
        <v>176</v>
      </c>
      <c r="C457" t="s">
        <v>611</v>
      </c>
      <c r="D457" t="s">
        <v>19</v>
      </c>
      <c r="E457" t="s">
        <v>19</v>
      </c>
      <c r="F457" t="s">
        <v>19</v>
      </c>
      <c r="G457" t="s">
        <v>185</v>
      </c>
      <c r="H457" t="s">
        <v>19</v>
      </c>
      <c r="I457" t="s">
        <v>19</v>
      </c>
      <c r="J457" t="s">
        <v>19</v>
      </c>
      <c r="K457" t="s">
        <v>19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1.2406877446454181E-3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1.4267909063422308E-2</v>
      </c>
      <c r="AO457" t="s">
        <v>19</v>
      </c>
      <c r="AT457" t="str">
        <f t="shared" si="14"/>
        <v>hdt</v>
      </c>
      <c r="AU457" t="str">
        <f t="shared" si="15"/>
        <v>eth</v>
      </c>
    </row>
    <row r="458" spans="1:47">
      <c r="A458" t="s">
        <v>17</v>
      </c>
      <c r="B458" t="s">
        <v>176</v>
      </c>
      <c r="C458" t="s">
        <v>611</v>
      </c>
      <c r="D458" t="s">
        <v>19</v>
      </c>
      <c r="E458" t="s">
        <v>19</v>
      </c>
      <c r="F458" t="s">
        <v>19</v>
      </c>
      <c r="G458" t="s">
        <v>186</v>
      </c>
      <c r="H458" t="s">
        <v>19</v>
      </c>
      <c r="I458" t="s">
        <v>19</v>
      </c>
      <c r="J458" t="s">
        <v>19</v>
      </c>
      <c r="K458" t="s">
        <v>19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1.2406877446454181E-3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1.4267909063422308E-2</v>
      </c>
      <c r="AO458" t="s">
        <v>19</v>
      </c>
      <c r="AT458" t="str">
        <f t="shared" si="14"/>
        <v>hdt</v>
      </c>
      <c r="AU458" t="str">
        <f t="shared" si="15"/>
        <v>eth</v>
      </c>
    </row>
    <row r="459" spans="1:47">
      <c r="A459" t="s">
        <v>17</v>
      </c>
      <c r="B459" t="s">
        <v>176</v>
      </c>
      <c r="C459" t="s">
        <v>611</v>
      </c>
      <c r="D459" t="s">
        <v>19</v>
      </c>
      <c r="E459" t="s">
        <v>19</v>
      </c>
      <c r="F459" t="s">
        <v>19</v>
      </c>
      <c r="G459" t="s">
        <v>187</v>
      </c>
      <c r="H459" t="s">
        <v>19</v>
      </c>
      <c r="I459" t="s">
        <v>19</v>
      </c>
      <c r="J459" t="s">
        <v>19</v>
      </c>
      <c r="K459" t="s">
        <v>19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1.2406877446454181E-3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1.4267909063422308E-2</v>
      </c>
      <c r="AO459" t="s">
        <v>19</v>
      </c>
      <c r="AT459" t="str">
        <f t="shared" si="14"/>
        <v>hdt</v>
      </c>
      <c r="AU459" t="str">
        <f t="shared" si="15"/>
        <v>eth</v>
      </c>
    </row>
    <row r="460" spans="1:47">
      <c r="A460" t="s">
        <v>17</v>
      </c>
      <c r="B460" t="s">
        <v>176</v>
      </c>
      <c r="C460" t="s">
        <v>611</v>
      </c>
      <c r="D460" t="s">
        <v>19</v>
      </c>
      <c r="E460" t="s">
        <v>19</v>
      </c>
      <c r="F460" t="s">
        <v>19</v>
      </c>
      <c r="G460" t="s">
        <v>188</v>
      </c>
      <c r="H460" t="s">
        <v>19</v>
      </c>
      <c r="I460" t="s">
        <v>19</v>
      </c>
      <c r="J460" t="s">
        <v>19</v>
      </c>
      <c r="K460" t="s">
        <v>19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1.2406877446454181E-3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1.4267909063422308E-2</v>
      </c>
      <c r="AO460" t="s">
        <v>19</v>
      </c>
      <c r="AT460" t="str">
        <f t="shared" si="14"/>
        <v>hdt</v>
      </c>
      <c r="AU460" t="str">
        <f t="shared" si="15"/>
        <v>eth</v>
      </c>
    </row>
    <row r="461" spans="1:47">
      <c r="A461" t="s">
        <v>17</v>
      </c>
      <c r="B461" t="s">
        <v>176</v>
      </c>
      <c r="C461" t="s">
        <v>611</v>
      </c>
      <c r="D461" t="s">
        <v>19</v>
      </c>
      <c r="E461" t="s">
        <v>19</v>
      </c>
      <c r="F461" t="s">
        <v>19</v>
      </c>
      <c r="G461" t="s">
        <v>100</v>
      </c>
      <c r="H461" t="s">
        <v>19</v>
      </c>
      <c r="I461" t="s">
        <v>19</v>
      </c>
      <c r="J461" t="s">
        <v>19</v>
      </c>
      <c r="K461" t="s">
        <v>19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1.2406877446454181E-3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1.4267909063422308E-2</v>
      </c>
      <c r="AO461" t="s">
        <v>19</v>
      </c>
      <c r="AT461" t="str">
        <f t="shared" si="14"/>
        <v>hdt</v>
      </c>
      <c r="AU461" t="str">
        <f t="shared" si="15"/>
        <v>eth</v>
      </c>
    </row>
    <row r="462" spans="1:47">
      <c r="A462" t="s">
        <v>17</v>
      </c>
      <c r="B462" t="s">
        <v>176</v>
      </c>
      <c r="C462" t="s">
        <v>610</v>
      </c>
      <c r="D462" t="s">
        <v>19</v>
      </c>
      <c r="E462" t="s">
        <v>19</v>
      </c>
      <c r="F462" t="s">
        <v>19</v>
      </c>
      <c r="G462" t="s">
        <v>603</v>
      </c>
      <c r="H462" t="s">
        <v>19</v>
      </c>
      <c r="I462" t="s">
        <v>19</v>
      </c>
      <c r="J462" t="s">
        <v>19</v>
      </c>
      <c r="K462" t="s">
        <v>19</v>
      </c>
      <c r="L462">
        <v>0</v>
      </c>
      <c r="M462">
        <v>0</v>
      </c>
      <c r="N462">
        <v>1.8610316169681269E-3</v>
      </c>
      <c r="O462">
        <v>8.6848142125179276E-3</v>
      </c>
      <c r="P462">
        <v>0</v>
      </c>
      <c r="Q462">
        <v>0</v>
      </c>
      <c r="R462">
        <v>0</v>
      </c>
      <c r="S462">
        <v>4.9627509785816724E-3</v>
      </c>
      <c r="T462">
        <v>6.2034387232270905E-4</v>
      </c>
      <c r="U462">
        <v>1.0545845829486054E-2</v>
      </c>
      <c r="V462">
        <v>0</v>
      </c>
      <c r="W462">
        <v>6.2034387232270905E-4</v>
      </c>
      <c r="X462">
        <v>0</v>
      </c>
      <c r="Y462">
        <v>0</v>
      </c>
      <c r="Z462">
        <v>6.2034387232270905E-4</v>
      </c>
      <c r="AA462">
        <v>0</v>
      </c>
      <c r="AB462">
        <v>6.8237825955497992E-3</v>
      </c>
      <c r="AC462">
        <v>0</v>
      </c>
      <c r="AD462">
        <v>0</v>
      </c>
      <c r="AE462">
        <v>0</v>
      </c>
      <c r="AF462">
        <v>6.8237825955497992E-3</v>
      </c>
      <c r="AG462">
        <v>1.8610316169681269E-3</v>
      </c>
      <c r="AH462">
        <v>4.280372719026692E-2</v>
      </c>
      <c r="AI462">
        <v>0</v>
      </c>
      <c r="AJ462">
        <v>3.101719361613545E-2</v>
      </c>
      <c r="AK462">
        <v>1.8610316169681271E-2</v>
      </c>
      <c r="AL462">
        <v>0</v>
      </c>
      <c r="AM462">
        <v>0</v>
      </c>
      <c r="AN462">
        <v>0.16066906293158162</v>
      </c>
      <c r="AO462" t="s">
        <v>19</v>
      </c>
      <c r="AT462" t="str">
        <f t="shared" si="14"/>
        <v>hdt</v>
      </c>
      <c r="AU462" t="str">
        <f t="shared" si="15"/>
        <v>gsl</v>
      </c>
    </row>
    <row r="463" spans="1:47">
      <c r="A463" t="s">
        <v>17</v>
      </c>
      <c r="B463" t="s">
        <v>176</v>
      </c>
      <c r="C463" t="s">
        <v>610</v>
      </c>
      <c r="D463" t="s">
        <v>19</v>
      </c>
      <c r="E463" t="s">
        <v>19</v>
      </c>
      <c r="F463" t="s">
        <v>19</v>
      </c>
      <c r="G463" t="s">
        <v>602</v>
      </c>
      <c r="H463" t="s">
        <v>19</v>
      </c>
      <c r="I463" t="s">
        <v>19</v>
      </c>
      <c r="J463" t="s">
        <v>19</v>
      </c>
      <c r="K463" t="s">
        <v>19</v>
      </c>
      <c r="L463">
        <v>0</v>
      </c>
      <c r="M463">
        <v>0</v>
      </c>
      <c r="N463">
        <v>1.8610316169681269E-3</v>
      </c>
      <c r="O463">
        <v>8.6848142125179276E-3</v>
      </c>
      <c r="P463">
        <v>0</v>
      </c>
      <c r="Q463">
        <v>0</v>
      </c>
      <c r="R463">
        <v>0</v>
      </c>
      <c r="S463">
        <v>4.9627509785816724E-3</v>
      </c>
      <c r="T463">
        <v>6.2034387232270905E-4</v>
      </c>
      <c r="U463">
        <v>1.0545845829486054E-2</v>
      </c>
      <c r="V463">
        <v>0</v>
      </c>
      <c r="W463">
        <v>6.2034387232270905E-4</v>
      </c>
      <c r="X463">
        <v>0</v>
      </c>
      <c r="Y463">
        <v>0</v>
      </c>
      <c r="Z463">
        <v>6.2034387232270905E-4</v>
      </c>
      <c r="AA463">
        <v>0</v>
      </c>
      <c r="AB463">
        <v>6.8237825955497992E-3</v>
      </c>
      <c r="AC463">
        <v>0</v>
      </c>
      <c r="AD463">
        <v>0</v>
      </c>
      <c r="AE463">
        <v>0</v>
      </c>
      <c r="AF463">
        <v>6.8237825955497992E-3</v>
      </c>
      <c r="AG463">
        <v>1.8610316169681269E-3</v>
      </c>
      <c r="AH463">
        <v>4.280372719026692E-2</v>
      </c>
      <c r="AI463">
        <v>0</v>
      </c>
      <c r="AJ463">
        <v>3.101719361613545E-2</v>
      </c>
      <c r="AK463">
        <v>1.8610316169681271E-2</v>
      </c>
      <c r="AL463">
        <v>0</v>
      </c>
      <c r="AM463">
        <v>0</v>
      </c>
      <c r="AN463">
        <v>0.16066906293158162</v>
      </c>
      <c r="AO463" t="s">
        <v>19</v>
      </c>
      <c r="AT463" t="str">
        <f t="shared" si="14"/>
        <v>hdt</v>
      </c>
      <c r="AU463" t="str">
        <f t="shared" si="15"/>
        <v>gsl</v>
      </c>
    </row>
    <row r="464" spans="1:47">
      <c r="A464" t="s">
        <v>17</v>
      </c>
      <c r="B464" t="s">
        <v>176</v>
      </c>
      <c r="C464" t="s">
        <v>610</v>
      </c>
      <c r="D464" t="s">
        <v>19</v>
      </c>
      <c r="E464" t="s">
        <v>19</v>
      </c>
      <c r="F464" t="s">
        <v>19</v>
      </c>
      <c r="G464" t="s">
        <v>601</v>
      </c>
      <c r="H464" t="s">
        <v>19</v>
      </c>
      <c r="I464" t="s">
        <v>19</v>
      </c>
      <c r="J464" t="s">
        <v>19</v>
      </c>
      <c r="K464" t="s">
        <v>19</v>
      </c>
      <c r="L464">
        <v>0</v>
      </c>
      <c r="M464">
        <v>0</v>
      </c>
      <c r="N464">
        <v>1.8610316169681269E-3</v>
      </c>
      <c r="O464">
        <v>8.6848142125179276E-3</v>
      </c>
      <c r="P464">
        <v>0</v>
      </c>
      <c r="Q464">
        <v>0</v>
      </c>
      <c r="R464">
        <v>0</v>
      </c>
      <c r="S464">
        <v>4.9627509785816724E-3</v>
      </c>
      <c r="T464">
        <v>6.2034387232270905E-4</v>
      </c>
      <c r="U464">
        <v>1.0545845829486054E-2</v>
      </c>
      <c r="V464">
        <v>0</v>
      </c>
      <c r="W464">
        <v>6.2034387232270905E-4</v>
      </c>
      <c r="X464">
        <v>0</v>
      </c>
      <c r="Y464">
        <v>0</v>
      </c>
      <c r="Z464">
        <v>6.2034387232270905E-4</v>
      </c>
      <c r="AA464">
        <v>0</v>
      </c>
      <c r="AB464">
        <v>6.8237825955497992E-3</v>
      </c>
      <c r="AC464">
        <v>0</v>
      </c>
      <c r="AD464">
        <v>0</v>
      </c>
      <c r="AE464">
        <v>0</v>
      </c>
      <c r="AF464">
        <v>6.8237825955497992E-3</v>
      </c>
      <c r="AG464">
        <v>1.8610316169681269E-3</v>
      </c>
      <c r="AH464">
        <v>4.280372719026692E-2</v>
      </c>
      <c r="AI464">
        <v>0</v>
      </c>
      <c r="AJ464">
        <v>3.101719361613545E-2</v>
      </c>
      <c r="AK464">
        <v>1.8610316169681271E-2</v>
      </c>
      <c r="AL464">
        <v>0</v>
      </c>
      <c r="AM464">
        <v>0</v>
      </c>
      <c r="AN464">
        <v>0.16066906293158162</v>
      </c>
      <c r="AO464" t="s">
        <v>19</v>
      </c>
      <c r="AT464" t="str">
        <f t="shared" si="14"/>
        <v>hdt</v>
      </c>
      <c r="AU464" t="str">
        <f t="shared" si="15"/>
        <v>gsl</v>
      </c>
    </row>
    <row r="465" spans="1:47">
      <c r="A465" t="s">
        <v>17</v>
      </c>
      <c r="B465" t="s">
        <v>176</v>
      </c>
      <c r="C465" t="s">
        <v>610</v>
      </c>
      <c r="D465" t="s">
        <v>19</v>
      </c>
      <c r="E465" t="s">
        <v>19</v>
      </c>
      <c r="F465" t="s">
        <v>19</v>
      </c>
      <c r="G465" t="s">
        <v>600</v>
      </c>
      <c r="H465" t="s">
        <v>19</v>
      </c>
      <c r="I465" t="s">
        <v>19</v>
      </c>
      <c r="J465" t="s">
        <v>19</v>
      </c>
      <c r="K465" t="s">
        <v>19</v>
      </c>
      <c r="L465">
        <v>0</v>
      </c>
      <c r="M465">
        <v>0</v>
      </c>
      <c r="N465">
        <v>1.8610316169681269E-3</v>
      </c>
      <c r="O465">
        <v>8.6848142125179276E-3</v>
      </c>
      <c r="P465">
        <v>0</v>
      </c>
      <c r="Q465">
        <v>0</v>
      </c>
      <c r="R465">
        <v>0</v>
      </c>
      <c r="S465">
        <v>4.9627509785816724E-3</v>
      </c>
      <c r="T465">
        <v>6.2034387232270905E-4</v>
      </c>
      <c r="U465">
        <v>1.0545845829486054E-2</v>
      </c>
      <c r="V465">
        <v>0</v>
      </c>
      <c r="W465">
        <v>6.2034387232270905E-4</v>
      </c>
      <c r="X465">
        <v>0</v>
      </c>
      <c r="Y465">
        <v>0</v>
      </c>
      <c r="Z465">
        <v>6.2034387232270905E-4</v>
      </c>
      <c r="AA465">
        <v>0</v>
      </c>
      <c r="AB465">
        <v>6.8237825955497992E-3</v>
      </c>
      <c r="AC465">
        <v>0</v>
      </c>
      <c r="AD465">
        <v>0</v>
      </c>
      <c r="AE465">
        <v>0</v>
      </c>
      <c r="AF465">
        <v>6.8237825955497992E-3</v>
      </c>
      <c r="AG465">
        <v>1.8610316169681269E-3</v>
      </c>
      <c r="AH465">
        <v>4.280372719026692E-2</v>
      </c>
      <c r="AI465">
        <v>0</v>
      </c>
      <c r="AJ465">
        <v>3.101719361613545E-2</v>
      </c>
      <c r="AK465">
        <v>1.8610316169681271E-2</v>
      </c>
      <c r="AL465">
        <v>0</v>
      </c>
      <c r="AM465">
        <v>0</v>
      </c>
      <c r="AN465">
        <v>0.16066906293158162</v>
      </c>
      <c r="AO465" t="s">
        <v>19</v>
      </c>
      <c r="AT465" t="str">
        <f t="shared" si="14"/>
        <v>hdt</v>
      </c>
      <c r="AU465" t="str">
        <f t="shared" si="15"/>
        <v>gsl</v>
      </c>
    </row>
    <row r="466" spans="1:47">
      <c r="A466" t="s">
        <v>17</v>
      </c>
      <c r="B466" t="s">
        <v>176</v>
      </c>
      <c r="C466" t="s">
        <v>610</v>
      </c>
      <c r="D466" t="s">
        <v>19</v>
      </c>
      <c r="E466" t="s">
        <v>19</v>
      </c>
      <c r="F466" t="s">
        <v>19</v>
      </c>
      <c r="G466" t="s">
        <v>599</v>
      </c>
      <c r="H466" t="s">
        <v>19</v>
      </c>
      <c r="I466" t="s">
        <v>19</v>
      </c>
      <c r="J466" t="s">
        <v>19</v>
      </c>
      <c r="K466" t="s">
        <v>19</v>
      </c>
      <c r="L466">
        <v>0</v>
      </c>
      <c r="M466">
        <v>0</v>
      </c>
      <c r="N466">
        <v>1.8610316169681269E-3</v>
      </c>
      <c r="O466">
        <v>8.6848142125179276E-3</v>
      </c>
      <c r="P466">
        <v>0</v>
      </c>
      <c r="Q466">
        <v>0</v>
      </c>
      <c r="R466">
        <v>0</v>
      </c>
      <c r="S466">
        <v>4.9627509785816724E-3</v>
      </c>
      <c r="T466">
        <v>6.2034387232270905E-4</v>
      </c>
      <c r="U466">
        <v>1.0545845829486054E-2</v>
      </c>
      <c r="V466">
        <v>0</v>
      </c>
      <c r="W466">
        <v>6.2034387232270905E-4</v>
      </c>
      <c r="X466">
        <v>0</v>
      </c>
      <c r="Y466">
        <v>0</v>
      </c>
      <c r="Z466">
        <v>6.2034387232270905E-4</v>
      </c>
      <c r="AA466">
        <v>0</v>
      </c>
      <c r="AB466">
        <v>6.8237825955497992E-3</v>
      </c>
      <c r="AC466">
        <v>0</v>
      </c>
      <c r="AD466">
        <v>0</v>
      </c>
      <c r="AE466">
        <v>0</v>
      </c>
      <c r="AF466">
        <v>6.8237825955497992E-3</v>
      </c>
      <c r="AG466">
        <v>1.8610316169681269E-3</v>
      </c>
      <c r="AH466">
        <v>4.280372719026692E-2</v>
      </c>
      <c r="AI466">
        <v>0</v>
      </c>
      <c r="AJ466">
        <v>3.101719361613545E-2</v>
      </c>
      <c r="AK466">
        <v>1.8610316169681271E-2</v>
      </c>
      <c r="AL466">
        <v>0</v>
      </c>
      <c r="AM466">
        <v>0</v>
      </c>
      <c r="AN466">
        <v>0.16066906293158162</v>
      </c>
      <c r="AO466" t="s">
        <v>19</v>
      </c>
      <c r="AT466" t="str">
        <f t="shared" si="14"/>
        <v>hdt</v>
      </c>
      <c r="AU466" t="str">
        <f t="shared" si="15"/>
        <v>gsl</v>
      </c>
    </row>
    <row r="467" spans="1:47">
      <c r="A467" t="s">
        <v>17</v>
      </c>
      <c r="B467" t="s">
        <v>176</v>
      </c>
      <c r="C467" t="s">
        <v>610</v>
      </c>
      <c r="D467" t="s">
        <v>19</v>
      </c>
      <c r="E467" t="s">
        <v>19</v>
      </c>
      <c r="F467" t="s">
        <v>19</v>
      </c>
      <c r="G467" t="s">
        <v>598</v>
      </c>
      <c r="H467" t="s">
        <v>19</v>
      </c>
      <c r="I467" t="s">
        <v>19</v>
      </c>
      <c r="J467" t="s">
        <v>19</v>
      </c>
      <c r="K467" t="s">
        <v>19</v>
      </c>
      <c r="L467">
        <v>0</v>
      </c>
      <c r="M467">
        <v>0</v>
      </c>
      <c r="N467">
        <v>1.8610316169681269E-3</v>
      </c>
      <c r="O467">
        <v>8.6848142125179276E-3</v>
      </c>
      <c r="P467">
        <v>0</v>
      </c>
      <c r="Q467">
        <v>0</v>
      </c>
      <c r="R467">
        <v>0</v>
      </c>
      <c r="S467">
        <v>4.9627509785816724E-3</v>
      </c>
      <c r="T467">
        <v>6.2034387232270905E-4</v>
      </c>
      <c r="U467">
        <v>1.0545845829486054E-2</v>
      </c>
      <c r="V467">
        <v>0</v>
      </c>
      <c r="W467">
        <v>6.2034387232270905E-4</v>
      </c>
      <c r="X467">
        <v>0</v>
      </c>
      <c r="Y467">
        <v>0</v>
      </c>
      <c r="Z467">
        <v>6.2034387232270905E-4</v>
      </c>
      <c r="AA467">
        <v>0</v>
      </c>
      <c r="AB467">
        <v>6.8237825955497992E-3</v>
      </c>
      <c r="AC467">
        <v>0</v>
      </c>
      <c r="AD467">
        <v>0</v>
      </c>
      <c r="AE467">
        <v>0</v>
      </c>
      <c r="AF467">
        <v>6.8237825955497992E-3</v>
      </c>
      <c r="AG467">
        <v>1.8610316169681269E-3</v>
      </c>
      <c r="AH467">
        <v>4.280372719026692E-2</v>
      </c>
      <c r="AI467">
        <v>0</v>
      </c>
      <c r="AJ467">
        <v>3.101719361613545E-2</v>
      </c>
      <c r="AK467">
        <v>1.8610316169681271E-2</v>
      </c>
      <c r="AL467">
        <v>0</v>
      </c>
      <c r="AM467">
        <v>0</v>
      </c>
      <c r="AN467">
        <v>0.16066906293158162</v>
      </c>
      <c r="AO467" t="s">
        <v>19</v>
      </c>
      <c r="AT467" t="str">
        <f t="shared" si="14"/>
        <v>hdt</v>
      </c>
      <c r="AU467" t="str">
        <f t="shared" si="15"/>
        <v>gsl</v>
      </c>
    </row>
    <row r="468" spans="1:47">
      <c r="A468" t="s">
        <v>17</v>
      </c>
      <c r="B468" t="s">
        <v>176</v>
      </c>
      <c r="C468" t="s">
        <v>610</v>
      </c>
      <c r="D468" t="s">
        <v>19</v>
      </c>
      <c r="E468" t="s">
        <v>19</v>
      </c>
      <c r="F468" t="s">
        <v>19</v>
      </c>
      <c r="G468" t="s">
        <v>597</v>
      </c>
      <c r="H468" t="s">
        <v>19</v>
      </c>
      <c r="I468" t="s">
        <v>19</v>
      </c>
      <c r="J468" t="s">
        <v>19</v>
      </c>
      <c r="K468" t="s">
        <v>19</v>
      </c>
      <c r="L468">
        <v>0</v>
      </c>
      <c r="M468">
        <v>0</v>
      </c>
      <c r="N468">
        <v>1.8610316169681269E-3</v>
      </c>
      <c r="O468">
        <v>8.6848142125179276E-3</v>
      </c>
      <c r="P468">
        <v>0</v>
      </c>
      <c r="Q468">
        <v>0</v>
      </c>
      <c r="R468">
        <v>0</v>
      </c>
      <c r="S468">
        <v>4.9627509785816724E-3</v>
      </c>
      <c r="T468">
        <v>6.2034387232270905E-4</v>
      </c>
      <c r="U468">
        <v>1.0545845829486054E-2</v>
      </c>
      <c r="V468">
        <v>0</v>
      </c>
      <c r="W468">
        <v>6.2034387232270905E-4</v>
      </c>
      <c r="X468">
        <v>0</v>
      </c>
      <c r="Y468">
        <v>0</v>
      </c>
      <c r="Z468">
        <v>6.2034387232270905E-4</v>
      </c>
      <c r="AA468">
        <v>0</v>
      </c>
      <c r="AB468">
        <v>6.8237825955497992E-3</v>
      </c>
      <c r="AC468">
        <v>0</v>
      </c>
      <c r="AD468">
        <v>0</v>
      </c>
      <c r="AE468">
        <v>0</v>
      </c>
      <c r="AF468">
        <v>6.8237825955497992E-3</v>
      </c>
      <c r="AG468">
        <v>1.8610316169681269E-3</v>
      </c>
      <c r="AH468">
        <v>4.280372719026692E-2</v>
      </c>
      <c r="AI468">
        <v>0</v>
      </c>
      <c r="AJ468">
        <v>3.101719361613545E-2</v>
      </c>
      <c r="AK468">
        <v>1.8610316169681271E-2</v>
      </c>
      <c r="AL468">
        <v>0</v>
      </c>
      <c r="AM468">
        <v>0</v>
      </c>
      <c r="AN468">
        <v>0.16066906293158162</v>
      </c>
      <c r="AO468" t="s">
        <v>19</v>
      </c>
      <c r="AT468" t="str">
        <f t="shared" si="14"/>
        <v>hdt</v>
      </c>
      <c r="AU468" t="str">
        <f t="shared" si="15"/>
        <v>gsl</v>
      </c>
    </row>
    <row r="469" spans="1:47">
      <c r="A469" t="s">
        <v>17</v>
      </c>
      <c r="B469" t="s">
        <v>176</v>
      </c>
      <c r="C469" t="s">
        <v>610</v>
      </c>
      <c r="D469" t="s">
        <v>19</v>
      </c>
      <c r="E469" t="s">
        <v>19</v>
      </c>
      <c r="F469" t="s">
        <v>19</v>
      </c>
      <c r="G469" t="s">
        <v>596</v>
      </c>
      <c r="H469" t="s">
        <v>19</v>
      </c>
      <c r="I469" t="s">
        <v>19</v>
      </c>
      <c r="J469" t="s">
        <v>19</v>
      </c>
      <c r="K469" t="s">
        <v>19</v>
      </c>
      <c r="L469">
        <v>0</v>
      </c>
      <c r="M469">
        <v>0</v>
      </c>
      <c r="N469">
        <v>1.8610316169681269E-3</v>
      </c>
      <c r="O469">
        <v>8.6848142125179276E-3</v>
      </c>
      <c r="P469">
        <v>0</v>
      </c>
      <c r="Q469">
        <v>0</v>
      </c>
      <c r="R469">
        <v>0</v>
      </c>
      <c r="S469">
        <v>4.9627509785816724E-3</v>
      </c>
      <c r="T469">
        <v>6.2034387232270905E-4</v>
      </c>
      <c r="U469">
        <v>1.0545845829486054E-2</v>
      </c>
      <c r="V469">
        <v>0</v>
      </c>
      <c r="W469">
        <v>6.2034387232270905E-4</v>
      </c>
      <c r="X469">
        <v>0</v>
      </c>
      <c r="Y469">
        <v>0</v>
      </c>
      <c r="Z469">
        <v>6.2034387232270905E-4</v>
      </c>
      <c r="AA469">
        <v>0</v>
      </c>
      <c r="AB469">
        <v>6.8237825955497992E-3</v>
      </c>
      <c r="AC469">
        <v>0</v>
      </c>
      <c r="AD469">
        <v>0</v>
      </c>
      <c r="AE469">
        <v>0</v>
      </c>
      <c r="AF469">
        <v>6.8237825955497992E-3</v>
      </c>
      <c r="AG469">
        <v>1.8610316169681269E-3</v>
      </c>
      <c r="AH469">
        <v>4.280372719026692E-2</v>
      </c>
      <c r="AI469">
        <v>0</v>
      </c>
      <c r="AJ469">
        <v>3.101719361613545E-2</v>
      </c>
      <c r="AK469">
        <v>1.8610316169681271E-2</v>
      </c>
      <c r="AL469">
        <v>0</v>
      </c>
      <c r="AM469">
        <v>0</v>
      </c>
      <c r="AN469">
        <v>0.16066906293158162</v>
      </c>
      <c r="AO469" t="s">
        <v>19</v>
      </c>
      <c r="AT469" t="str">
        <f t="shared" si="14"/>
        <v>hdt</v>
      </c>
      <c r="AU469" t="str">
        <f t="shared" si="15"/>
        <v>gsl</v>
      </c>
    </row>
    <row r="470" spans="1:47">
      <c r="A470" t="s">
        <v>17</v>
      </c>
      <c r="B470" t="s">
        <v>176</v>
      </c>
      <c r="C470" t="s">
        <v>610</v>
      </c>
      <c r="D470" t="s">
        <v>19</v>
      </c>
      <c r="E470" t="s">
        <v>19</v>
      </c>
      <c r="F470" t="s">
        <v>19</v>
      </c>
      <c r="G470" t="s">
        <v>178</v>
      </c>
      <c r="H470" t="s">
        <v>19</v>
      </c>
      <c r="I470" t="s">
        <v>19</v>
      </c>
      <c r="J470" t="s">
        <v>19</v>
      </c>
      <c r="K470" t="s">
        <v>19</v>
      </c>
      <c r="L470">
        <v>0</v>
      </c>
      <c r="M470">
        <v>0</v>
      </c>
      <c r="N470">
        <v>1.8610316169681269E-3</v>
      </c>
      <c r="O470">
        <v>8.6848142125179276E-3</v>
      </c>
      <c r="P470">
        <v>0</v>
      </c>
      <c r="Q470">
        <v>0</v>
      </c>
      <c r="R470">
        <v>0</v>
      </c>
      <c r="S470">
        <v>4.9627509785816724E-3</v>
      </c>
      <c r="T470">
        <v>6.2034387232270905E-4</v>
      </c>
      <c r="U470">
        <v>1.0545845829486054E-2</v>
      </c>
      <c r="V470">
        <v>0</v>
      </c>
      <c r="W470">
        <v>6.2034387232270905E-4</v>
      </c>
      <c r="X470">
        <v>0</v>
      </c>
      <c r="Y470">
        <v>0</v>
      </c>
      <c r="Z470">
        <v>6.2034387232270905E-4</v>
      </c>
      <c r="AA470">
        <v>0</v>
      </c>
      <c r="AB470">
        <v>6.8237825955497992E-3</v>
      </c>
      <c r="AC470">
        <v>0</v>
      </c>
      <c r="AD470">
        <v>0</v>
      </c>
      <c r="AE470">
        <v>0</v>
      </c>
      <c r="AF470">
        <v>6.8237825955497992E-3</v>
      </c>
      <c r="AG470">
        <v>1.8610316169681269E-3</v>
      </c>
      <c r="AH470">
        <v>4.280372719026692E-2</v>
      </c>
      <c r="AI470">
        <v>0</v>
      </c>
      <c r="AJ470">
        <v>3.101719361613545E-2</v>
      </c>
      <c r="AK470">
        <v>1.8610316169681271E-2</v>
      </c>
      <c r="AL470">
        <v>0</v>
      </c>
      <c r="AM470">
        <v>0</v>
      </c>
      <c r="AN470">
        <v>0.16066906293158162</v>
      </c>
      <c r="AO470" t="s">
        <v>19</v>
      </c>
      <c r="AT470" t="str">
        <f t="shared" si="14"/>
        <v>hdt</v>
      </c>
      <c r="AU470" t="str">
        <f t="shared" si="15"/>
        <v>gsl</v>
      </c>
    </row>
    <row r="471" spans="1:47">
      <c r="A471" t="s">
        <v>17</v>
      </c>
      <c r="B471" t="s">
        <v>176</v>
      </c>
      <c r="C471" t="s">
        <v>610</v>
      </c>
      <c r="D471" t="s">
        <v>19</v>
      </c>
      <c r="E471" t="s">
        <v>19</v>
      </c>
      <c r="F471" t="s">
        <v>19</v>
      </c>
      <c r="G471" t="s">
        <v>179</v>
      </c>
      <c r="H471" t="s">
        <v>19</v>
      </c>
      <c r="I471" t="s">
        <v>19</v>
      </c>
      <c r="J471" t="s">
        <v>19</v>
      </c>
      <c r="K471" t="s">
        <v>19</v>
      </c>
      <c r="L471">
        <v>0</v>
      </c>
      <c r="M471">
        <v>0</v>
      </c>
      <c r="N471">
        <v>1.8610316169681269E-3</v>
      </c>
      <c r="O471">
        <v>8.6848142125179276E-3</v>
      </c>
      <c r="P471">
        <v>0</v>
      </c>
      <c r="Q471">
        <v>0</v>
      </c>
      <c r="R471">
        <v>0</v>
      </c>
      <c r="S471">
        <v>4.9627509785816724E-3</v>
      </c>
      <c r="T471">
        <v>6.2034387232270905E-4</v>
      </c>
      <c r="U471">
        <v>1.0545845829486054E-2</v>
      </c>
      <c r="V471">
        <v>0</v>
      </c>
      <c r="W471">
        <v>6.2034387232270905E-4</v>
      </c>
      <c r="X471">
        <v>0</v>
      </c>
      <c r="Y471">
        <v>0</v>
      </c>
      <c r="Z471">
        <v>6.2034387232270905E-4</v>
      </c>
      <c r="AA471">
        <v>0</v>
      </c>
      <c r="AB471">
        <v>6.8237825955497992E-3</v>
      </c>
      <c r="AC471">
        <v>0</v>
      </c>
      <c r="AD471">
        <v>0</v>
      </c>
      <c r="AE471">
        <v>0</v>
      </c>
      <c r="AF471">
        <v>6.8237825955497992E-3</v>
      </c>
      <c r="AG471">
        <v>1.8610316169681269E-3</v>
      </c>
      <c r="AH471">
        <v>4.280372719026692E-2</v>
      </c>
      <c r="AI471">
        <v>0</v>
      </c>
      <c r="AJ471">
        <v>3.101719361613545E-2</v>
      </c>
      <c r="AK471">
        <v>1.8610316169681271E-2</v>
      </c>
      <c r="AL471">
        <v>0</v>
      </c>
      <c r="AM471">
        <v>0</v>
      </c>
      <c r="AN471">
        <v>0.16066906293158162</v>
      </c>
      <c r="AO471" t="s">
        <v>19</v>
      </c>
      <c r="AT471" t="str">
        <f t="shared" si="14"/>
        <v>hdt</v>
      </c>
      <c r="AU471" t="str">
        <f t="shared" si="15"/>
        <v>gsl</v>
      </c>
    </row>
    <row r="472" spans="1:47">
      <c r="A472" t="s">
        <v>17</v>
      </c>
      <c r="B472" t="s">
        <v>176</v>
      </c>
      <c r="C472" t="s">
        <v>610</v>
      </c>
      <c r="D472" t="s">
        <v>19</v>
      </c>
      <c r="E472" t="s">
        <v>19</v>
      </c>
      <c r="F472" t="s">
        <v>19</v>
      </c>
      <c r="G472" t="s">
        <v>180</v>
      </c>
      <c r="H472" t="s">
        <v>19</v>
      </c>
      <c r="I472" t="s">
        <v>19</v>
      </c>
      <c r="J472" t="s">
        <v>19</v>
      </c>
      <c r="K472" t="s">
        <v>19</v>
      </c>
      <c r="L472">
        <v>0</v>
      </c>
      <c r="M472">
        <v>0</v>
      </c>
      <c r="N472">
        <v>1.8610316169681269E-3</v>
      </c>
      <c r="O472">
        <v>8.6848142125179276E-3</v>
      </c>
      <c r="P472">
        <v>0</v>
      </c>
      <c r="Q472">
        <v>0</v>
      </c>
      <c r="R472">
        <v>0</v>
      </c>
      <c r="S472">
        <v>4.9627509785816724E-3</v>
      </c>
      <c r="T472">
        <v>6.2034387232270905E-4</v>
      </c>
      <c r="U472">
        <v>1.0545845829486054E-2</v>
      </c>
      <c r="V472">
        <v>0</v>
      </c>
      <c r="W472">
        <v>6.2034387232270905E-4</v>
      </c>
      <c r="X472">
        <v>0</v>
      </c>
      <c r="Y472">
        <v>0</v>
      </c>
      <c r="Z472">
        <v>6.2034387232270905E-4</v>
      </c>
      <c r="AA472">
        <v>0</v>
      </c>
      <c r="AB472">
        <v>6.8237825955497992E-3</v>
      </c>
      <c r="AC472">
        <v>0</v>
      </c>
      <c r="AD472">
        <v>0</v>
      </c>
      <c r="AE472">
        <v>0</v>
      </c>
      <c r="AF472">
        <v>6.8237825955497992E-3</v>
      </c>
      <c r="AG472">
        <v>1.8610316169681269E-3</v>
      </c>
      <c r="AH472">
        <v>4.280372719026692E-2</v>
      </c>
      <c r="AI472">
        <v>0</v>
      </c>
      <c r="AJ472">
        <v>3.101719361613545E-2</v>
      </c>
      <c r="AK472">
        <v>1.8610316169681271E-2</v>
      </c>
      <c r="AL472">
        <v>0</v>
      </c>
      <c r="AM472">
        <v>0</v>
      </c>
      <c r="AN472">
        <v>0.16066906293158162</v>
      </c>
      <c r="AO472" t="s">
        <v>19</v>
      </c>
      <c r="AT472" t="str">
        <f t="shared" si="14"/>
        <v>hdt</v>
      </c>
      <c r="AU472" t="str">
        <f t="shared" si="15"/>
        <v>gsl</v>
      </c>
    </row>
    <row r="473" spans="1:47">
      <c r="A473" t="s">
        <v>17</v>
      </c>
      <c r="B473" t="s">
        <v>176</v>
      </c>
      <c r="C473" t="s">
        <v>610</v>
      </c>
      <c r="D473" t="s">
        <v>19</v>
      </c>
      <c r="E473" t="s">
        <v>19</v>
      </c>
      <c r="F473" t="s">
        <v>19</v>
      </c>
      <c r="G473" t="s">
        <v>181</v>
      </c>
      <c r="H473" t="s">
        <v>19</v>
      </c>
      <c r="I473" t="s">
        <v>19</v>
      </c>
      <c r="J473" t="s">
        <v>19</v>
      </c>
      <c r="K473" t="s">
        <v>19</v>
      </c>
      <c r="L473">
        <v>0</v>
      </c>
      <c r="M473">
        <v>0</v>
      </c>
      <c r="N473">
        <v>1.8610316169681269E-3</v>
      </c>
      <c r="O473">
        <v>8.6848142125179276E-3</v>
      </c>
      <c r="P473">
        <v>0</v>
      </c>
      <c r="Q473">
        <v>0</v>
      </c>
      <c r="R473">
        <v>0</v>
      </c>
      <c r="S473">
        <v>4.9627509785816724E-3</v>
      </c>
      <c r="T473">
        <v>6.2034387232270905E-4</v>
      </c>
      <c r="U473">
        <v>1.0545845829486054E-2</v>
      </c>
      <c r="V473">
        <v>0</v>
      </c>
      <c r="W473">
        <v>6.2034387232270905E-4</v>
      </c>
      <c r="X473">
        <v>0</v>
      </c>
      <c r="Y473">
        <v>0</v>
      </c>
      <c r="Z473">
        <v>6.2034387232270905E-4</v>
      </c>
      <c r="AA473">
        <v>0</v>
      </c>
      <c r="AB473">
        <v>6.8237825955497992E-3</v>
      </c>
      <c r="AC473">
        <v>0</v>
      </c>
      <c r="AD473">
        <v>0</v>
      </c>
      <c r="AE473">
        <v>0</v>
      </c>
      <c r="AF473">
        <v>6.8237825955497992E-3</v>
      </c>
      <c r="AG473">
        <v>1.8610316169681269E-3</v>
      </c>
      <c r="AH473">
        <v>4.280372719026692E-2</v>
      </c>
      <c r="AI473">
        <v>0</v>
      </c>
      <c r="AJ473">
        <v>3.101719361613545E-2</v>
      </c>
      <c r="AK473">
        <v>1.8610316169681271E-2</v>
      </c>
      <c r="AL473">
        <v>0</v>
      </c>
      <c r="AM473">
        <v>0</v>
      </c>
      <c r="AN473">
        <v>0.16066906293158162</v>
      </c>
      <c r="AO473" t="s">
        <v>19</v>
      </c>
      <c r="AT473" t="str">
        <f t="shared" si="14"/>
        <v>hdt</v>
      </c>
      <c r="AU473" t="str">
        <f t="shared" si="15"/>
        <v>gsl</v>
      </c>
    </row>
    <row r="474" spans="1:47">
      <c r="A474" t="s">
        <v>17</v>
      </c>
      <c r="B474" t="s">
        <v>176</v>
      </c>
      <c r="C474" t="s">
        <v>610</v>
      </c>
      <c r="D474" t="s">
        <v>19</v>
      </c>
      <c r="E474" t="s">
        <v>19</v>
      </c>
      <c r="F474" t="s">
        <v>19</v>
      </c>
      <c r="G474" t="s">
        <v>182</v>
      </c>
      <c r="H474" t="s">
        <v>19</v>
      </c>
      <c r="I474" t="s">
        <v>19</v>
      </c>
      <c r="J474" t="s">
        <v>19</v>
      </c>
      <c r="K474" t="s">
        <v>19</v>
      </c>
      <c r="L474">
        <v>0</v>
      </c>
      <c r="M474">
        <v>0</v>
      </c>
      <c r="N474">
        <v>1.8610316169681269E-3</v>
      </c>
      <c r="O474">
        <v>8.6848142125179276E-3</v>
      </c>
      <c r="P474">
        <v>0</v>
      </c>
      <c r="Q474">
        <v>0</v>
      </c>
      <c r="R474">
        <v>0</v>
      </c>
      <c r="S474">
        <v>4.9627509785816724E-3</v>
      </c>
      <c r="T474">
        <v>6.2034387232270905E-4</v>
      </c>
      <c r="U474">
        <v>1.0545845829486054E-2</v>
      </c>
      <c r="V474">
        <v>0</v>
      </c>
      <c r="W474">
        <v>6.2034387232270905E-4</v>
      </c>
      <c r="X474">
        <v>0</v>
      </c>
      <c r="Y474">
        <v>0</v>
      </c>
      <c r="Z474">
        <v>6.2034387232270905E-4</v>
      </c>
      <c r="AA474">
        <v>0</v>
      </c>
      <c r="AB474">
        <v>6.8237825955497992E-3</v>
      </c>
      <c r="AC474">
        <v>0</v>
      </c>
      <c r="AD474">
        <v>0</v>
      </c>
      <c r="AE474">
        <v>0</v>
      </c>
      <c r="AF474">
        <v>6.8237825955497992E-3</v>
      </c>
      <c r="AG474">
        <v>1.8610316169681269E-3</v>
      </c>
      <c r="AH474">
        <v>4.280372719026692E-2</v>
      </c>
      <c r="AI474">
        <v>0</v>
      </c>
      <c r="AJ474">
        <v>3.101719361613545E-2</v>
      </c>
      <c r="AK474">
        <v>1.8610316169681271E-2</v>
      </c>
      <c r="AL474">
        <v>0</v>
      </c>
      <c r="AM474">
        <v>0</v>
      </c>
      <c r="AN474">
        <v>0.16066906293158162</v>
      </c>
      <c r="AO474" t="s">
        <v>19</v>
      </c>
      <c r="AT474" t="str">
        <f t="shared" si="14"/>
        <v>hdt</v>
      </c>
      <c r="AU474" t="str">
        <f t="shared" si="15"/>
        <v>gsl</v>
      </c>
    </row>
    <row r="475" spans="1:47">
      <c r="A475" t="s">
        <v>17</v>
      </c>
      <c r="B475" t="s">
        <v>176</v>
      </c>
      <c r="C475" t="s">
        <v>610</v>
      </c>
      <c r="D475" t="s">
        <v>19</v>
      </c>
      <c r="E475" t="s">
        <v>19</v>
      </c>
      <c r="F475" t="s">
        <v>19</v>
      </c>
      <c r="G475" t="s">
        <v>183</v>
      </c>
      <c r="H475" t="s">
        <v>19</v>
      </c>
      <c r="I475" t="s">
        <v>19</v>
      </c>
      <c r="J475" t="s">
        <v>19</v>
      </c>
      <c r="K475" t="s">
        <v>19</v>
      </c>
      <c r="L475">
        <v>0</v>
      </c>
      <c r="M475">
        <v>0</v>
      </c>
      <c r="N475">
        <v>1.8610316169681269E-3</v>
      </c>
      <c r="O475">
        <v>8.6848142125179276E-3</v>
      </c>
      <c r="P475">
        <v>0</v>
      </c>
      <c r="Q475">
        <v>0</v>
      </c>
      <c r="R475">
        <v>0</v>
      </c>
      <c r="S475">
        <v>4.9627509785816724E-3</v>
      </c>
      <c r="T475">
        <v>6.2034387232270905E-4</v>
      </c>
      <c r="U475">
        <v>1.0545845829486054E-2</v>
      </c>
      <c r="V475">
        <v>0</v>
      </c>
      <c r="W475">
        <v>6.2034387232270905E-4</v>
      </c>
      <c r="X475">
        <v>0</v>
      </c>
      <c r="Y475">
        <v>0</v>
      </c>
      <c r="Z475">
        <v>6.2034387232270905E-4</v>
      </c>
      <c r="AA475">
        <v>0</v>
      </c>
      <c r="AB475">
        <v>6.8237825955497992E-3</v>
      </c>
      <c r="AC475">
        <v>0</v>
      </c>
      <c r="AD475">
        <v>0</v>
      </c>
      <c r="AE475">
        <v>0</v>
      </c>
      <c r="AF475">
        <v>6.8237825955497992E-3</v>
      </c>
      <c r="AG475">
        <v>1.8610316169681269E-3</v>
      </c>
      <c r="AH475">
        <v>4.280372719026692E-2</v>
      </c>
      <c r="AI475">
        <v>0</v>
      </c>
      <c r="AJ475">
        <v>3.101719361613545E-2</v>
      </c>
      <c r="AK475">
        <v>1.8610316169681271E-2</v>
      </c>
      <c r="AL475">
        <v>0</v>
      </c>
      <c r="AM475">
        <v>0</v>
      </c>
      <c r="AN475">
        <v>0.16066906293158162</v>
      </c>
      <c r="AO475" t="s">
        <v>19</v>
      </c>
      <c r="AT475" t="str">
        <f t="shared" si="14"/>
        <v>hdt</v>
      </c>
      <c r="AU475" t="str">
        <f t="shared" si="15"/>
        <v>gsl</v>
      </c>
    </row>
    <row r="476" spans="1:47">
      <c r="A476" t="s">
        <v>17</v>
      </c>
      <c r="B476" t="s">
        <v>176</v>
      </c>
      <c r="C476" t="s">
        <v>610</v>
      </c>
      <c r="D476" t="s">
        <v>19</v>
      </c>
      <c r="E476" t="s">
        <v>19</v>
      </c>
      <c r="F476" t="s">
        <v>19</v>
      </c>
      <c r="G476" t="s">
        <v>184</v>
      </c>
      <c r="H476" t="s">
        <v>19</v>
      </c>
      <c r="I476" t="s">
        <v>19</v>
      </c>
      <c r="J476" t="s">
        <v>19</v>
      </c>
      <c r="K476" t="s">
        <v>19</v>
      </c>
      <c r="L476">
        <v>0</v>
      </c>
      <c r="M476">
        <v>0</v>
      </c>
      <c r="N476">
        <v>1.8610316169681269E-3</v>
      </c>
      <c r="O476">
        <v>8.6848142125179276E-3</v>
      </c>
      <c r="P476">
        <v>0</v>
      </c>
      <c r="Q476">
        <v>0</v>
      </c>
      <c r="R476">
        <v>0</v>
      </c>
      <c r="S476">
        <v>4.9627509785816724E-3</v>
      </c>
      <c r="T476">
        <v>6.2034387232270905E-4</v>
      </c>
      <c r="U476">
        <v>1.0545845829486054E-2</v>
      </c>
      <c r="V476">
        <v>0</v>
      </c>
      <c r="W476">
        <v>6.2034387232270905E-4</v>
      </c>
      <c r="X476">
        <v>0</v>
      </c>
      <c r="Y476">
        <v>0</v>
      </c>
      <c r="Z476">
        <v>6.2034387232270905E-4</v>
      </c>
      <c r="AA476">
        <v>0</v>
      </c>
      <c r="AB476">
        <v>6.8237825955497992E-3</v>
      </c>
      <c r="AC476">
        <v>0</v>
      </c>
      <c r="AD476">
        <v>0</v>
      </c>
      <c r="AE476">
        <v>0</v>
      </c>
      <c r="AF476">
        <v>6.8237825955497992E-3</v>
      </c>
      <c r="AG476">
        <v>1.8610316169681269E-3</v>
      </c>
      <c r="AH476">
        <v>4.280372719026692E-2</v>
      </c>
      <c r="AI476">
        <v>0</v>
      </c>
      <c r="AJ476">
        <v>3.101719361613545E-2</v>
      </c>
      <c r="AK476">
        <v>1.8610316169681271E-2</v>
      </c>
      <c r="AL476">
        <v>0</v>
      </c>
      <c r="AM476">
        <v>0</v>
      </c>
      <c r="AN476">
        <v>0.16066906293158162</v>
      </c>
      <c r="AO476" t="s">
        <v>19</v>
      </c>
      <c r="AT476" t="str">
        <f t="shared" si="14"/>
        <v>hdt</v>
      </c>
      <c r="AU476" t="str">
        <f t="shared" si="15"/>
        <v>gsl</v>
      </c>
    </row>
    <row r="477" spans="1:47">
      <c r="A477" t="s">
        <v>17</v>
      </c>
      <c r="B477" t="s">
        <v>176</v>
      </c>
      <c r="C477" t="s">
        <v>610</v>
      </c>
      <c r="D477" t="s">
        <v>19</v>
      </c>
      <c r="E477" t="s">
        <v>19</v>
      </c>
      <c r="F477" t="s">
        <v>19</v>
      </c>
      <c r="G477" t="s">
        <v>185</v>
      </c>
      <c r="H477" t="s">
        <v>19</v>
      </c>
      <c r="I477" t="s">
        <v>19</v>
      </c>
      <c r="J477" t="s">
        <v>19</v>
      </c>
      <c r="K477" t="s">
        <v>19</v>
      </c>
      <c r="L477">
        <v>0</v>
      </c>
      <c r="M477">
        <v>0</v>
      </c>
      <c r="N477">
        <v>1.8610316169681269E-3</v>
      </c>
      <c r="O477">
        <v>8.6848142125179276E-3</v>
      </c>
      <c r="P477">
        <v>0</v>
      </c>
      <c r="Q477">
        <v>0</v>
      </c>
      <c r="R477">
        <v>0</v>
      </c>
      <c r="S477">
        <v>4.9627509785816724E-3</v>
      </c>
      <c r="T477">
        <v>6.2034387232270905E-4</v>
      </c>
      <c r="U477">
        <v>1.0545845829486054E-2</v>
      </c>
      <c r="V477">
        <v>0</v>
      </c>
      <c r="W477">
        <v>6.2034387232270905E-4</v>
      </c>
      <c r="X477">
        <v>0</v>
      </c>
      <c r="Y477">
        <v>0</v>
      </c>
      <c r="Z477">
        <v>6.2034387232270905E-4</v>
      </c>
      <c r="AA477">
        <v>0</v>
      </c>
      <c r="AB477">
        <v>6.8237825955497992E-3</v>
      </c>
      <c r="AC477">
        <v>0</v>
      </c>
      <c r="AD477">
        <v>0</v>
      </c>
      <c r="AE477">
        <v>0</v>
      </c>
      <c r="AF477">
        <v>6.8237825955497992E-3</v>
      </c>
      <c r="AG477">
        <v>1.8610316169681269E-3</v>
      </c>
      <c r="AH477">
        <v>4.280372719026692E-2</v>
      </c>
      <c r="AI477">
        <v>0</v>
      </c>
      <c r="AJ477">
        <v>3.101719361613545E-2</v>
      </c>
      <c r="AK477">
        <v>1.8610316169681271E-2</v>
      </c>
      <c r="AL477">
        <v>0</v>
      </c>
      <c r="AM477">
        <v>0</v>
      </c>
      <c r="AN477">
        <v>0.16066906293158162</v>
      </c>
      <c r="AO477" t="s">
        <v>19</v>
      </c>
      <c r="AT477" t="str">
        <f t="shared" si="14"/>
        <v>hdt</v>
      </c>
      <c r="AU477" t="str">
        <f t="shared" si="15"/>
        <v>gsl</v>
      </c>
    </row>
    <row r="478" spans="1:47">
      <c r="A478" t="s">
        <v>17</v>
      </c>
      <c r="B478" t="s">
        <v>176</v>
      </c>
      <c r="C478" t="s">
        <v>610</v>
      </c>
      <c r="D478" t="s">
        <v>19</v>
      </c>
      <c r="E478" t="s">
        <v>19</v>
      </c>
      <c r="F478" t="s">
        <v>19</v>
      </c>
      <c r="G478" t="s">
        <v>186</v>
      </c>
      <c r="H478" t="s">
        <v>19</v>
      </c>
      <c r="I478" t="s">
        <v>19</v>
      </c>
      <c r="J478" t="s">
        <v>19</v>
      </c>
      <c r="K478" t="s">
        <v>19</v>
      </c>
      <c r="L478">
        <v>0</v>
      </c>
      <c r="M478">
        <v>0</v>
      </c>
      <c r="N478">
        <v>1.8610316169681269E-3</v>
      </c>
      <c r="O478">
        <v>8.6848142125179276E-3</v>
      </c>
      <c r="P478">
        <v>0</v>
      </c>
      <c r="Q478">
        <v>0</v>
      </c>
      <c r="R478">
        <v>0</v>
      </c>
      <c r="S478">
        <v>4.9627509785816724E-3</v>
      </c>
      <c r="T478">
        <v>6.2034387232270905E-4</v>
      </c>
      <c r="U478">
        <v>1.0545845829486054E-2</v>
      </c>
      <c r="V478">
        <v>0</v>
      </c>
      <c r="W478">
        <v>6.2034387232270905E-4</v>
      </c>
      <c r="X478">
        <v>0</v>
      </c>
      <c r="Y478">
        <v>0</v>
      </c>
      <c r="Z478">
        <v>6.2034387232270905E-4</v>
      </c>
      <c r="AA478">
        <v>0</v>
      </c>
      <c r="AB478">
        <v>6.8237825955497992E-3</v>
      </c>
      <c r="AC478">
        <v>0</v>
      </c>
      <c r="AD478">
        <v>0</v>
      </c>
      <c r="AE478">
        <v>0</v>
      </c>
      <c r="AF478">
        <v>6.8237825955497992E-3</v>
      </c>
      <c r="AG478">
        <v>1.8610316169681269E-3</v>
      </c>
      <c r="AH478">
        <v>4.280372719026692E-2</v>
      </c>
      <c r="AI478">
        <v>0</v>
      </c>
      <c r="AJ478">
        <v>3.101719361613545E-2</v>
      </c>
      <c r="AK478">
        <v>1.8610316169681271E-2</v>
      </c>
      <c r="AL478">
        <v>0</v>
      </c>
      <c r="AM478">
        <v>0</v>
      </c>
      <c r="AN478">
        <v>0.16066906293158162</v>
      </c>
      <c r="AO478" t="s">
        <v>19</v>
      </c>
      <c r="AT478" t="str">
        <f t="shared" si="14"/>
        <v>hdt</v>
      </c>
      <c r="AU478" t="str">
        <f t="shared" si="15"/>
        <v>gsl</v>
      </c>
    </row>
    <row r="479" spans="1:47">
      <c r="A479" t="s">
        <v>17</v>
      </c>
      <c r="B479" t="s">
        <v>176</v>
      </c>
      <c r="C479" t="s">
        <v>610</v>
      </c>
      <c r="D479" t="s">
        <v>19</v>
      </c>
      <c r="E479" t="s">
        <v>19</v>
      </c>
      <c r="F479" t="s">
        <v>19</v>
      </c>
      <c r="G479" t="s">
        <v>187</v>
      </c>
      <c r="H479" t="s">
        <v>19</v>
      </c>
      <c r="I479" t="s">
        <v>19</v>
      </c>
      <c r="J479" t="s">
        <v>19</v>
      </c>
      <c r="K479" t="s">
        <v>19</v>
      </c>
      <c r="L479">
        <v>0</v>
      </c>
      <c r="M479">
        <v>0</v>
      </c>
      <c r="N479">
        <v>1.8610316169681269E-3</v>
      </c>
      <c r="O479">
        <v>8.6848142125179276E-3</v>
      </c>
      <c r="P479">
        <v>0</v>
      </c>
      <c r="Q479">
        <v>0</v>
      </c>
      <c r="R479">
        <v>0</v>
      </c>
      <c r="S479">
        <v>4.9627509785816724E-3</v>
      </c>
      <c r="T479">
        <v>6.2034387232270905E-4</v>
      </c>
      <c r="U479">
        <v>1.0545845829486054E-2</v>
      </c>
      <c r="V479">
        <v>0</v>
      </c>
      <c r="W479">
        <v>6.2034387232270905E-4</v>
      </c>
      <c r="X479">
        <v>0</v>
      </c>
      <c r="Y479">
        <v>0</v>
      </c>
      <c r="Z479">
        <v>6.2034387232270905E-4</v>
      </c>
      <c r="AA479">
        <v>0</v>
      </c>
      <c r="AB479">
        <v>6.8237825955497992E-3</v>
      </c>
      <c r="AC479">
        <v>0</v>
      </c>
      <c r="AD479">
        <v>0</v>
      </c>
      <c r="AE479">
        <v>0</v>
      </c>
      <c r="AF479">
        <v>6.8237825955497992E-3</v>
      </c>
      <c r="AG479">
        <v>1.8610316169681269E-3</v>
      </c>
      <c r="AH479">
        <v>4.280372719026692E-2</v>
      </c>
      <c r="AI479">
        <v>0</v>
      </c>
      <c r="AJ479">
        <v>3.101719361613545E-2</v>
      </c>
      <c r="AK479">
        <v>1.8610316169681271E-2</v>
      </c>
      <c r="AL479">
        <v>0</v>
      </c>
      <c r="AM479">
        <v>0</v>
      </c>
      <c r="AN479">
        <v>0.16066906293158162</v>
      </c>
      <c r="AO479" t="s">
        <v>19</v>
      </c>
      <c r="AT479" t="str">
        <f t="shared" si="14"/>
        <v>hdt</v>
      </c>
      <c r="AU479" t="str">
        <f t="shared" si="15"/>
        <v>gsl</v>
      </c>
    </row>
    <row r="480" spans="1:47">
      <c r="A480" t="s">
        <v>17</v>
      </c>
      <c r="B480" t="s">
        <v>176</v>
      </c>
      <c r="C480" t="s">
        <v>610</v>
      </c>
      <c r="D480" t="s">
        <v>19</v>
      </c>
      <c r="E480" t="s">
        <v>19</v>
      </c>
      <c r="F480" t="s">
        <v>19</v>
      </c>
      <c r="G480" t="s">
        <v>188</v>
      </c>
      <c r="H480" t="s">
        <v>19</v>
      </c>
      <c r="I480" t="s">
        <v>19</v>
      </c>
      <c r="J480" t="s">
        <v>19</v>
      </c>
      <c r="K480" t="s">
        <v>19</v>
      </c>
      <c r="L480">
        <v>0</v>
      </c>
      <c r="M480">
        <v>0</v>
      </c>
      <c r="N480">
        <v>1.8610316169681269E-3</v>
      </c>
      <c r="O480">
        <v>8.6848142125179276E-3</v>
      </c>
      <c r="P480">
        <v>0</v>
      </c>
      <c r="Q480">
        <v>0</v>
      </c>
      <c r="R480">
        <v>0</v>
      </c>
      <c r="S480">
        <v>4.9627509785816724E-3</v>
      </c>
      <c r="T480">
        <v>6.2034387232270905E-4</v>
      </c>
      <c r="U480">
        <v>1.0545845829486054E-2</v>
      </c>
      <c r="V480">
        <v>0</v>
      </c>
      <c r="W480">
        <v>6.2034387232270905E-4</v>
      </c>
      <c r="X480">
        <v>0</v>
      </c>
      <c r="Y480">
        <v>0</v>
      </c>
      <c r="Z480">
        <v>6.2034387232270905E-4</v>
      </c>
      <c r="AA480">
        <v>0</v>
      </c>
      <c r="AB480">
        <v>6.8237825955497992E-3</v>
      </c>
      <c r="AC480">
        <v>0</v>
      </c>
      <c r="AD480">
        <v>0</v>
      </c>
      <c r="AE480">
        <v>0</v>
      </c>
      <c r="AF480">
        <v>6.8237825955497992E-3</v>
      </c>
      <c r="AG480">
        <v>1.8610316169681269E-3</v>
      </c>
      <c r="AH480">
        <v>4.280372719026692E-2</v>
      </c>
      <c r="AI480">
        <v>0</v>
      </c>
      <c r="AJ480">
        <v>3.101719361613545E-2</v>
      </c>
      <c r="AK480">
        <v>1.8610316169681271E-2</v>
      </c>
      <c r="AL480">
        <v>0</v>
      </c>
      <c r="AM480">
        <v>0</v>
      </c>
      <c r="AN480">
        <v>0.16066906293158162</v>
      </c>
      <c r="AO480" t="s">
        <v>19</v>
      </c>
      <c r="AT480" t="str">
        <f t="shared" si="14"/>
        <v>hdt</v>
      </c>
      <c r="AU480" t="str">
        <f t="shared" si="15"/>
        <v>gsl</v>
      </c>
    </row>
    <row r="481" spans="1:47">
      <c r="A481" t="s">
        <v>17</v>
      </c>
      <c r="B481" t="s">
        <v>176</v>
      </c>
      <c r="C481" t="s">
        <v>610</v>
      </c>
      <c r="D481" t="s">
        <v>19</v>
      </c>
      <c r="E481" t="s">
        <v>19</v>
      </c>
      <c r="F481" t="s">
        <v>19</v>
      </c>
      <c r="G481" t="s">
        <v>100</v>
      </c>
      <c r="H481" t="s">
        <v>19</v>
      </c>
      <c r="I481" t="s">
        <v>19</v>
      </c>
      <c r="J481" t="s">
        <v>19</v>
      </c>
      <c r="K481" t="s">
        <v>19</v>
      </c>
      <c r="L481">
        <v>0</v>
      </c>
      <c r="M481">
        <v>0</v>
      </c>
      <c r="N481">
        <v>1.8610316169681269E-3</v>
      </c>
      <c r="O481">
        <v>8.6848142125179276E-3</v>
      </c>
      <c r="P481">
        <v>0</v>
      </c>
      <c r="Q481">
        <v>0</v>
      </c>
      <c r="R481">
        <v>0</v>
      </c>
      <c r="S481">
        <v>4.9627509785816724E-3</v>
      </c>
      <c r="T481">
        <v>6.2034387232270905E-4</v>
      </c>
      <c r="U481">
        <v>1.0545845829486054E-2</v>
      </c>
      <c r="V481">
        <v>0</v>
      </c>
      <c r="W481">
        <v>6.2034387232270905E-4</v>
      </c>
      <c r="X481">
        <v>0</v>
      </c>
      <c r="Y481">
        <v>0</v>
      </c>
      <c r="Z481">
        <v>6.2034387232270905E-4</v>
      </c>
      <c r="AA481">
        <v>0</v>
      </c>
      <c r="AB481">
        <v>6.8237825955497992E-3</v>
      </c>
      <c r="AC481">
        <v>0</v>
      </c>
      <c r="AD481">
        <v>0</v>
      </c>
      <c r="AE481">
        <v>0</v>
      </c>
      <c r="AF481">
        <v>6.8237825955497992E-3</v>
      </c>
      <c r="AG481">
        <v>1.8610316169681269E-3</v>
      </c>
      <c r="AH481">
        <v>4.280372719026692E-2</v>
      </c>
      <c r="AI481">
        <v>0</v>
      </c>
      <c r="AJ481">
        <v>3.101719361613545E-2</v>
      </c>
      <c r="AK481">
        <v>1.8610316169681271E-2</v>
      </c>
      <c r="AL481">
        <v>0</v>
      </c>
      <c r="AM481">
        <v>0</v>
      </c>
      <c r="AN481">
        <v>0.16066906293158162</v>
      </c>
      <c r="AO481" t="s">
        <v>19</v>
      </c>
      <c r="AT481" t="str">
        <f t="shared" si="14"/>
        <v>hdt</v>
      </c>
      <c r="AU481" t="str">
        <f t="shared" si="15"/>
        <v>gsl</v>
      </c>
    </row>
    <row r="482" spans="1:47">
      <c r="A482" t="s">
        <v>17</v>
      </c>
      <c r="B482" t="s">
        <v>176</v>
      </c>
      <c r="C482" t="s">
        <v>609</v>
      </c>
      <c r="D482" t="s">
        <v>19</v>
      </c>
      <c r="E482" t="s">
        <v>19</v>
      </c>
      <c r="F482" t="s">
        <v>19</v>
      </c>
      <c r="G482" t="s">
        <v>603</v>
      </c>
      <c r="H482" t="s">
        <v>19</v>
      </c>
      <c r="I482" t="s">
        <v>19</v>
      </c>
      <c r="J482" t="s">
        <v>19</v>
      </c>
      <c r="K482" t="s">
        <v>19</v>
      </c>
      <c r="L482">
        <v>0</v>
      </c>
      <c r="M482">
        <v>0</v>
      </c>
      <c r="N482">
        <v>3.7220632339362539E-3</v>
      </c>
      <c r="O482">
        <v>0</v>
      </c>
      <c r="P482">
        <v>3.7220632339362539E-3</v>
      </c>
      <c r="Q482">
        <v>2.2332379403617524E-2</v>
      </c>
      <c r="R482">
        <v>0</v>
      </c>
      <c r="S482">
        <v>5.7071636253689231E-2</v>
      </c>
      <c r="T482">
        <v>1.8610316169681269E-3</v>
      </c>
      <c r="U482">
        <v>3.1017193616135453E-3</v>
      </c>
      <c r="V482">
        <v>1.1786533574131472E-2</v>
      </c>
      <c r="W482">
        <v>1.2406877446454181E-2</v>
      </c>
      <c r="X482">
        <v>6.8237825955497992E-3</v>
      </c>
      <c r="Y482">
        <v>9.9255019571633449E-3</v>
      </c>
      <c r="Z482">
        <v>5.5830948509043811E-3</v>
      </c>
      <c r="AA482">
        <v>1.1786533574131472E-2</v>
      </c>
      <c r="AB482">
        <v>1.8610316169681269E-3</v>
      </c>
      <c r="AC482">
        <v>1.7369628425035855E-2</v>
      </c>
      <c r="AD482">
        <v>1.3027221318776889E-2</v>
      </c>
      <c r="AE482">
        <v>0</v>
      </c>
      <c r="AF482">
        <v>3.1017193616135453E-3</v>
      </c>
      <c r="AG482">
        <v>0</v>
      </c>
      <c r="AH482">
        <v>0</v>
      </c>
      <c r="AI482">
        <v>3.1017193616135453E-3</v>
      </c>
      <c r="AJ482">
        <v>0</v>
      </c>
      <c r="AK482">
        <v>0</v>
      </c>
      <c r="AL482">
        <v>0</v>
      </c>
      <c r="AM482">
        <v>8.6848142125179276E-3</v>
      </c>
      <c r="AN482">
        <v>8.6848142125179276E-3</v>
      </c>
      <c r="AO482" t="s">
        <v>19</v>
      </c>
      <c r="AT482" t="str">
        <f t="shared" si="14"/>
        <v>lcv</v>
      </c>
      <c r="AU482" t="str">
        <f t="shared" si="15"/>
        <v>bdl</v>
      </c>
    </row>
    <row r="483" spans="1:47">
      <c r="A483" t="s">
        <v>17</v>
      </c>
      <c r="B483" t="s">
        <v>176</v>
      </c>
      <c r="C483" t="s">
        <v>609</v>
      </c>
      <c r="D483" t="s">
        <v>19</v>
      </c>
      <c r="E483" t="s">
        <v>19</v>
      </c>
      <c r="F483" t="s">
        <v>19</v>
      </c>
      <c r="G483" t="s">
        <v>602</v>
      </c>
      <c r="H483" t="s">
        <v>19</v>
      </c>
      <c r="I483" t="s">
        <v>19</v>
      </c>
      <c r="J483" t="s">
        <v>19</v>
      </c>
      <c r="K483" t="s">
        <v>19</v>
      </c>
      <c r="L483">
        <v>0</v>
      </c>
      <c r="M483">
        <v>0</v>
      </c>
      <c r="N483">
        <v>3.7220632339362539E-3</v>
      </c>
      <c r="O483">
        <v>0</v>
      </c>
      <c r="P483">
        <v>3.7220632339362539E-3</v>
      </c>
      <c r="Q483">
        <v>2.2332379403617524E-2</v>
      </c>
      <c r="R483">
        <v>0</v>
      </c>
      <c r="S483">
        <v>5.7071636253689231E-2</v>
      </c>
      <c r="T483">
        <v>1.8610316169681269E-3</v>
      </c>
      <c r="U483">
        <v>3.1017193616135453E-3</v>
      </c>
      <c r="V483">
        <v>1.1786533574131472E-2</v>
      </c>
      <c r="W483">
        <v>1.2406877446454181E-2</v>
      </c>
      <c r="X483">
        <v>6.8237825955497992E-3</v>
      </c>
      <c r="Y483">
        <v>9.9255019571633449E-3</v>
      </c>
      <c r="Z483">
        <v>5.5830948509043811E-3</v>
      </c>
      <c r="AA483">
        <v>1.1786533574131472E-2</v>
      </c>
      <c r="AB483">
        <v>1.8610316169681269E-3</v>
      </c>
      <c r="AC483">
        <v>1.7369628425035855E-2</v>
      </c>
      <c r="AD483">
        <v>1.3027221318776889E-2</v>
      </c>
      <c r="AE483">
        <v>0</v>
      </c>
      <c r="AF483">
        <v>3.1017193616135453E-3</v>
      </c>
      <c r="AG483">
        <v>0</v>
      </c>
      <c r="AH483">
        <v>0</v>
      </c>
      <c r="AI483">
        <v>3.1017193616135453E-3</v>
      </c>
      <c r="AJ483">
        <v>0</v>
      </c>
      <c r="AK483">
        <v>0</v>
      </c>
      <c r="AL483">
        <v>0</v>
      </c>
      <c r="AM483">
        <v>8.6848142125179276E-3</v>
      </c>
      <c r="AN483">
        <v>8.6848142125179276E-3</v>
      </c>
      <c r="AO483" t="s">
        <v>19</v>
      </c>
      <c r="AT483" t="str">
        <f t="shared" si="14"/>
        <v>lcv</v>
      </c>
      <c r="AU483" t="str">
        <f t="shared" si="15"/>
        <v>bdl</v>
      </c>
    </row>
    <row r="484" spans="1:47">
      <c r="A484" t="s">
        <v>17</v>
      </c>
      <c r="B484" t="s">
        <v>176</v>
      </c>
      <c r="C484" t="s">
        <v>609</v>
      </c>
      <c r="D484" t="s">
        <v>19</v>
      </c>
      <c r="E484" t="s">
        <v>19</v>
      </c>
      <c r="F484" t="s">
        <v>19</v>
      </c>
      <c r="G484" t="s">
        <v>601</v>
      </c>
      <c r="H484" t="s">
        <v>19</v>
      </c>
      <c r="I484" t="s">
        <v>19</v>
      </c>
      <c r="J484" t="s">
        <v>19</v>
      </c>
      <c r="K484" t="s">
        <v>19</v>
      </c>
      <c r="L484">
        <v>0</v>
      </c>
      <c r="M484">
        <v>0</v>
      </c>
      <c r="N484">
        <v>3.7220632339362539E-3</v>
      </c>
      <c r="O484">
        <v>0</v>
      </c>
      <c r="P484">
        <v>3.7220632339362539E-3</v>
      </c>
      <c r="Q484">
        <v>2.2332379403617524E-2</v>
      </c>
      <c r="R484">
        <v>0</v>
      </c>
      <c r="S484">
        <v>5.7071636253689231E-2</v>
      </c>
      <c r="T484">
        <v>1.8610316169681269E-3</v>
      </c>
      <c r="U484">
        <v>3.1017193616135453E-3</v>
      </c>
      <c r="V484">
        <v>1.1786533574131472E-2</v>
      </c>
      <c r="W484">
        <v>1.2406877446454181E-2</v>
      </c>
      <c r="X484">
        <v>6.8237825955497992E-3</v>
      </c>
      <c r="Y484">
        <v>9.9255019571633449E-3</v>
      </c>
      <c r="Z484">
        <v>5.5830948509043811E-3</v>
      </c>
      <c r="AA484">
        <v>1.1786533574131472E-2</v>
      </c>
      <c r="AB484">
        <v>1.8610316169681269E-3</v>
      </c>
      <c r="AC484">
        <v>1.7369628425035855E-2</v>
      </c>
      <c r="AD484">
        <v>1.3027221318776889E-2</v>
      </c>
      <c r="AE484">
        <v>0</v>
      </c>
      <c r="AF484">
        <v>3.1017193616135453E-3</v>
      </c>
      <c r="AG484">
        <v>0</v>
      </c>
      <c r="AH484">
        <v>0</v>
      </c>
      <c r="AI484">
        <v>3.1017193616135453E-3</v>
      </c>
      <c r="AJ484">
        <v>0</v>
      </c>
      <c r="AK484">
        <v>0</v>
      </c>
      <c r="AL484">
        <v>0</v>
      </c>
      <c r="AM484">
        <v>8.6848142125179276E-3</v>
      </c>
      <c r="AN484">
        <v>8.6848142125179276E-3</v>
      </c>
      <c r="AO484" t="s">
        <v>19</v>
      </c>
      <c r="AT484" t="str">
        <f t="shared" si="14"/>
        <v>lcv</v>
      </c>
      <c r="AU484" t="str">
        <f t="shared" si="15"/>
        <v>bdl</v>
      </c>
    </row>
    <row r="485" spans="1:47">
      <c r="A485" t="s">
        <v>17</v>
      </c>
      <c r="B485" t="s">
        <v>176</v>
      </c>
      <c r="C485" t="s">
        <v>609</v>
      </c>
      <c r="D485" t="s">
        <v>19</v>
      </c>
      <c r="E485" t="s">
        <v>19</v>
      </c>
      <c r="F485" t="s">
        <v>19</v>
      </c>
      <c r="G485" t="s">
        <v>600</v>
      </c>
      <c r="H485" t="s">
        <v>19</v>
      </c>
      <c r="I485" t="s">
        <v>19</v>
      </c>
      <c r="J485" t="s">
        <v>19</v>
      </c>
      <c r="K485" t="s">
        <v>19</v>
      </c>
      <c r="L485">
        <v>0</v>
      </c>
      <c r="M485">
        <v>0</v>
      </c>
      <c r="N485">
        <v>3.7220632339362539E-3</v>
      </c>
      <c r="O485">
        <v>0</v>
      </c>
      <c r="P485">
        <v>3.7220632339362539E-3</v>
      </c>
      <c r="Q485">
        <v>2.2332379403617524E-2</v>
      </c>
      <c r="R485">
        <v>0</v>
      </c>
      <c r="S485">
        <v>5.7071636253689231E-2</v>
      </c>
      <c r="T485">
        <v>1.8610316169681269E-3</v>
      </c>
      <c r="U485">
        <v>3.1017193616135453E-3</v>
      </c>
      <c r="V485">
        <v>1.1786533574131472E-2</v>
      </c>
      <c r="W485">
        <v>1.2406877446454181E-2</v>
      </c>
      <c r="X485">
        <v>6.8237825955497992E-3</v>
      </c>
      <c r="Y485">
        <v>9.9255019571633449E-3</v>
      </c>
      <c r="Z485">
        <v>5.5830948509043811E-3</v>
      </c>
      <c r="AA485">
        <v>1.1786533574131472E-2</v>
      </c>
      <c r="AB485">
        <v>1.8610316169681269E-3</v>
      </c>
      <c r="AC485">
        <v>1.7369628425035855E-2</v>
      </c>
      <c r="AD485">
        <v>1.3027221318776889E-2</v>
      </c>
      <c r="AE485">
        <v>0</v>
      </c>
      <c r="AF485">
        <v>3.1017193616135453E-3</v>
      </c>
      <c r="AG485">
        <v>0</v>
      </c>
      <c r="AH485">
        <v>0</v>
      </c>
      <c r="AI485">
        <v>3.1017193616135453E-3</v>
      </c>
      <c r="AJ485">
        <v>0</v>
      </c>
      <c r="AK485">
        <v>0</v>
      </c>
      <c r="AL485">
        <v>0</v>
      </c>
      <c r="AM485">
        <v>8.6848142125179276E-3</v>
      </c>
      <c r="AN485">
        <v>8.6848142125179276E-3</v>
      </c>
      <c r="AO485" t="s">
        <v>19</v>
      </c>
      <c r="AT485" t="str">
        <f t="shared" si="14"/>
        <v>lcv</v>
      </c>
      <c r="AU485" t="str">
        <f t="shared" si="15"/>
        <v>bdl</v>
      </c>
    </row>
    <row r="486" spans="1:47">
      <c r="A486" t="s">
        <v>17</v>
      </c>
      <c r="B486" t="s">
        <v>176</v>
      </c>
      <c r="C486" t="s">
        <v>609</v>
      </c>
      <c r="D486" t="s">
        <v>19</v>
      </c>
      <c r="E486" t="s">
        <v>19</v>
      </c>
      <c r="F486" t="s">
        <v>19</v>
      </c>
      <c r="G486" t="s">
        <v>599</v>
      </c>
      <c r="H486" t="s">
        <v>19</v>
      </c>
      <c r="I486" t="s">
        <v>19</v>
      </c>
      <c r="J486" t="s">
        <v>19</v>
      </c>
      <c r="K486" t="s">
        <v>19</v>
      </c>
      <c r="L486">
        <v>0</v>
      </c>
      <c r="M486">
        <v>0</v>
      </c>
      <c r="N486">
        <v>3.7220632339362539E-3</v>
      </c>
      <c r="O486">
        <v>0</v>
      </c>
      <c r="P486">
        <v>3.7220632339362539E-3</v>
      </c>
      <c r="Q486">
        <v>2.2332379403617524E-2</v>
      </c>
      <c r="R486">
        <v>0</v>
      </c>
      <c r="S486">
        <v>5.7071636253689231E-2</v>
      </c>
      <c r="T486">
        <v>1.8610316169681269E-3</v>
      </c>
      <c r="U486">
        <v>3.1017193616135453E-3</v>
      </c>
      <c r="V486">
        <v>1.1786533574131472E-2</v>
      </c>
      <c r="W486">
        <v>1.2406877446454181E-2</v>
      </c>
      <c r="X486">
        <v>6.8237825955497992E-3</v>
      </c>
      <c r="Y486">
        <v>9.9255019571633449E-3</v>
      </c>
      <c r="Z486">
        <v>5.5830948509043811E-3</v>
      </c>
      <c r="AA486">
        <v>1.1786533574131472E-2</v>
      </c>
      <c r="AB486">
        <v>1.8610316169681269E-3</v>
      </c>
      <c r="AC486">
        <v>1.7369628425035855E-2</v>
      </c>
      <c r="AD486">
        <v>1.3027221318776889E-2</v>
      </c>
      <c r="AE486">
        <v>0</v>
      </c>
      <c r="AF486">
        <v>3.1017193616135453E-3</v>
      </c>
      <c r="AG486">
        <v>0</v>
      </c>
      <c r="AH486">
        <v>0</v>
      </c>
      <c r="AI486">
        <v>3.1017193616135453E-3</v>
      </c>
      <c r="AJ486">
        <v>0</v>
      </c>
      <c r="AK486">
        <v>0</v>
      </c>
      <c r="AL486">
        <v>0</v>
      </c>
      <c r="AM486">
        <v>8.6848142125179276E-3</v>
      </c>
      <c r="AN486">
        <v>8.6848142125179276E-3</v>
      </c>
      <c r="AO486" t="s">
        <v>19</v>
      </c>
      <c r="AT486" t="str">
        <f t="shared" si="14"/>
        <v>lcv</v>
      </c>
      <c r="AU486" t="str">
        <f t="shared" si="15"/>
        <v>bdl</v>
      </c>
    </row>
    <row r="487" spans="1:47">
      <c r="A487" t="s">
        <v>17</v>
      </c>
      <c r="B487" t="s">
        <v>176</v>
      </c>
      <c r="C487" t="s">
        <v>609</v>
      </c>
      <c r="D487" t="s">
        <v>19</v>
      </c>
      <c r="E487" t="s">
        <v>19</v>
      </c>
      <c r="F487" t="s">
        <v>19</v>
      </c>
      <c r="G487" t="s">
        <v>598</v>
      </c>
      <c r="H487" t="s">
        <v>19</v>
      </c>
      <c r="I487" t="s">
        <v>19</v>
      </c>
      <c r="J487" t="s">
        <v>19</v>
      </c>
      <c r="K487" t="s">
        <v>19</v>
      </c>
      <c r="L487">
        <v>0</v>
      </c>
      <c r="M487">
        <v>0</v>
      </c>
      <c r="N487">
        <v>3.7220632339362539E-3</v>
      </c>
      <c r="O487">
        <v>0</v>
      </c>
      <c r="P487">
        <v>3.7220632339362539E-3</v>
      </c>
      <c r="Q487">
        <v>2.2332379403617524E-2</v>
      </c>
      <c r="R487">
        <v>0</v>
      </c>
      <c r="S487">
        <v>5.7071636253689231E-2</v>
      </c>
      <c r="T487">
        <v>1.8610316169681269E-3</v>
      </c>
      <c r="U487">
        <v>3.1017193616135453E-3</v>
      </c>
      <c r="V487">
        <v>1.1786533574131472E-2</v>
      </c>
      <c r="W487">
        <v>1.2406877446454181E-2</v>
      </c>
      <c r="X487">
        <v>6.8237825955497992E-3</v>
      </c>
      <c r="Y487">
        <v>9.9255019571633449E-3</v>
      </c>
      <c r="Z487">
        <v>5.5830948509043811E-3</v>
      </c>
      <c r="AA487">
        <v>1.1786533574131472E-2</v>
      </c>
      <c r="AB487">
        <v>1.8610316169681269E-3</v>
      </c>
      <c r="AC487">
        <v>1.7369628425035855E-2</v>
      </c>
      <c r="AD487">
        <v>1.3027221318776889E-2</v>
      </c>
      <c r="AE487">
        <v>0</v>
      </c>
      <c r="AF487">
        <v>3.1017193616135453E-3</v>
      </c>
      <c r="AG487">
        <v>0</v>
      </c>
      <c r="AH487">
        <v>0</v>
      </c>
      <c r="AI487">
        <v>3.1017193616135453E-3</v>
      </c>
      <c r="AJ487">
        <v>0</v>
      </c>
      <c r="AK487">
        <v>0</v>
      </c>
      <c r="AL487">
        <v>0</v>
      </c>
      <c r="AM487">
        <v>8.6848142125179276E-3</v>
      </c>
      <c r="AN487">
        <v>8.6848142125179276E-3</v>
      </c>
      <c r="AO487" t="s">
        <v>19</v>
      </c>
      <c r="AT487" t="str">
        <f t="shared" si="14"/>
        <v>lcv</v>
      </c>
      <c r="AU487" t="str">
        <f t="shared" si="15"/>
        <v>bdl</v>
      </c>
    </row>
    <row r="488" spans="1:47">
      <c r="A488" t="s">
        <v>17</v>
      </c>
      <c r="B488" t="s">
        <v>176</v>
      </c>
      <c r="C488" t="s">
        <v>609</v>
      </c>
      <c r="D488" t="s">
        <v>19</v>
      </c>
      <c r="E488" t="s">
        <v>19</v>
      </c>
      <c r="F488" t="s">
        <v>19</v>
      </c>
      <c r="G488" t="s">
        <v>597</v>
      </c>
      <c r="H488" t="s">
        <v>19</v>
      </c>
      <c r="I488" t="s">
        <v>19</v>
      </c>
      <c r="J488" t="s">
        <v>19</v>
      </c>
      <c r="K488" t="s">
        <v>19</v>
      </c>
      <c r="L488">
        <v>0</v>
      </c>
      <c r="M488">
        <v>0</v>
      </c>
      <c r="N488">
        <v>3.7220632339362539E-3</v>
      </c>
      <c r="O488">
        <v>0</v>
      </c>
      <c r="P488">
        <v>3.7220632339362539E-3</v>
      </c>
      <c r="Q488">
        <v>2.2332379403617524E-2</v>
      </c>
      <c r="R488">
        <v>0</v>
      </c>
      <c r="S488">
        <v>5.7071636253689231E-2</v>
      </c>
      <c r="T488">
        <v>1.8610316169681269E-3</v>
      </c>
      <c r="U488">
        <v>3.1017193616135453E-3</v>
      </c>
      <c r="V488">
        <v>1.1786533574131472E-2</v>
      </c>
      <c r="W488">
        <v>1.2406877446454181E-2</v>
      </c>
      <c r="X488">
        <v>6.8237825955497992E-3</v>
      </c>
      <c r="Y488">
        <v>9.9255019571633449E-3</v>
      </c>
      <c r="Z488">
        <v>5.5830948509043811E-3</v>
      </c>
      <c r="AA488">
        <v>1.1786533574131472E-2</v>
      </c>
      <c r="AB488">
        <v>1.8610316169681269E-3</v>
      </c>
      <c r="AC488">
        <v>1.7369628425035855E-2</v>
      </c>
      <c r="AD488">
        <v>1.3027221318776889E-2</v>
      </c>
      <c r="AE488">
        <v>0</v>
      </c>
      <c r="AF488">
        <v>3.1017193616135453E-3</v>
      </c>
      <c r="AG488">
        <v>0</v>
      </c>
      <c r="AH488">
        <v>0</v>
      </c>
      <c r="AI488">
        <v>3.1017193616135453E-3</v>
      </c>
      <c r="AJ488">
        <v>0</v>
      </c>
      <c r="AK488">
        <v>0</v>
      </c>
      <c r="AL488">
        <v>0</v>
      </c>
      <c r="AM488">
        <v>8.6848142125179276E-3</v>
      </c>
      <c r="AN488">
        <v>8.6848142125179276E-3</v>
      </c>
      <c r="AO488" t="s">
        <v>19</v>
      </c>
      <c r="AT488" t="str">
        <f t="shared" si="14"/>
        <v>lcv</v>
      </c>
      <c r="AU488" t="str">
        <f t="shared" si="15"/>
        <v>bdl</v>
      </c>
    </row>
    <row r="489" spans="1:47">
      <c r="A489" t="s">
        <v>17</v>
      </c>
      <c r="B489" t="s">
        <v>176</v>
      </c>
      <c r="C489" t="s">
        <v>609</v>
      </c>
      <c r="D489" t="s">
        <v>19</v>
      </c>
      <c r="E489" t="s">
        <v>19</v>
      </c>
      <c r="F489" t="s">
        <v>19</v>
      </c>
      <c r="G489" t="s">
        <v>596</v>
      </c>
      <c r="H489" t="s">
        <v>19</v>
      </c>
      <c r="I489" t="s">
        <v>19</v>
      </c>
      <c r="J489" t="s">
        <v>19</v>
      </c>
      <c r="K489" t="s">
        <v>19</v>
      </c>
      <c r="L489">
        <v>0</v>
      </c>
      <c r="M489">
        <v>0</v>
      </c>
      <c r="N489">
        <v>3.7220632339362539E-3</v>
      </c>
      <c r="O489">
        <v>0</v>
      </c>
      <c r="P489">
        <v>3.7220632339362539E-3</v>
      </c>
      <c r="Q489">
        <v>2.2332379403617524E-2</v>
      </c>
      <c r="R489">
        <v>0</v>
      </c>
      <c r="S489">
        <v>5.7071636253689231E-2</v>
      </c>
      <c r="T489">
        <v>1.8610316169681269E-3</v>
      </c>
      <c r="U489">
        <v>3.1017193616135453E-3</v>
      </c>
      <c r="V489">
        <v>1.1786533574131472E-2</v>
      </c>
      <c r="W489">
        <v>1.2406877446454181E-2</v>
      </c>
      <c r="X489">
        <v>6.8237825955497992E-3</v>
      </c>
      <c r="Y489">
        <v>9.9255019571633449E-3</v>
      </c>
      <c r="Z489">
        <v>5.5830948509043811E-3</v>
      </c>
      <c r="AA489">
        <v>1.1786533574131472E-2</v>
      </c>
      <c r="AB489">
        <v>1.8610316169681269E-3</v>
      </c>
      <c r="AC489">
        <v>1.7369628425035855E-2</v>
      </c>
      <c r="AD489">
        <v>1.3027221318776889E-2</v>
      </c>
      <c r="AE489">
        <v>0</v>
      </c>
      <c r="AF489">
        <v>3.1017193616135453E-3</v>
      </c>
      <c r="AG489">
        <v>0</v>
      </c>
      <c r="AH489">
        <v>0</v>
      </c>
      <c r="AI489">
        <v>3.1017193616135453E-3</v>
      </c>
      <c r="AJ489">
        <v>0</v>
      </c>
      <c r="AK489">
        <v>0</v>
      </c>
      <c r="AL489">
        <v>0</v>
      </c>
      <c r="AM489">
        <v>8.6848142125179276E-3</v>
      </c>
      <c r="AN489">
        <v>8.6848142125179276E-3</v>
      </c>
      <c r="AO489" t="s">
        <v>19</v>
      </c>
      <c r="AT489" t="str">
        <f t="shared" si="14"/>
        <v>lcv</v>
      </c>
      <c r="AU489" t="str">
        <f t="shared" si="15"/>
        <v>bdl</v>
      </c>
    </row>
    <row r="490" spans="1:47">
      <c r="A490" t="s">
        <v>17</v>
      </c>
      <c r="B490" t="s">
        <v>176</v>
      </c>
      <c r="C490" t="s">
        <v>609</v>
      </c>
      <c r="D490" t="s">
        <v>19</v>
      </c>
      <c r="E490" t="s">
        <v>19</v>
      </c>
      <c r="F490" t="s">
        <v>19</v>
      </c>
      <c r="G490" t="s">
        <v>178</v>
      </c>
      <c r="H490" t="s">
        <v>19</v>
      </c>
      <c r="I490" t="s">
        <v>19</v>
      </c>
      <c r="J490" t="s">
        <v>19</v>
      </c>
      <c r="K490" t="s">
        <v>19</v>
      </c>
      <c r="L490">
        <v>0</v>
      </c>
      <c r="M490">
        <v>0</v>
      </c>
      <c r="N490">
        <v>3.7220632339362539E-3</v>
      </c>
      <c r="O490">
        <v>0</v>
      </c>
      <c r="P490">
        <v>3.7220632339362539E-3</v>
      </c>
      <c r="Q490">
        <v>2.2332379403617524E-2</v>
      </c>
      <c r="R490">
        <v>0</v>
      </c>
      <c r="S490">
        <v>5.7071636253689231E-2</v>
      </c>
      <c r="T490">
        <v>1.8610316169681269E-3</v>
      </c>
      <c r="U490">
        <v>3.1017193616135453E-3</v>
      </c>
      <c r="V490">
        <v>1.1786533574131472E-2</v>
      </c>
      <c r="W490">
        <v>1.2406877446454181E-2</v>
      </c>
      <c r="X490">
        <v>6.8237825955497992E-3</v>
      </c>
      <c r="Y490">
        <v>9.9255019571633449E-3</v>
      </c>
      <c r="Z490">
        <v>5.5830948509043811E-3</v>
      </c>
      <c r="AA490">
        <v>1.1786533574131472E-2</v>
      </c>
      <c r="AB490">
        <v>1.8610316169681269E-3</v>
      </c>
      <c r="AC490">
        <v>1.7369628425035855E-2</v>
      </c>
      <c r="AD490">
        <v>1.3027221318776889E-2</v>
      </c>
      <c r="AE490">
        <v>0</v>
      </c>
      <c r="AF490">
        <v>3.1017193616135453E-3</v>
      </c>
      <c r="AG490">
        <v>0</v>
      </c>
      <c r="AH490">
        <v>0</v>
      </c>
      <c r="AI490">
        <v>3.1017193616135453E-3</v>
      </c>
      <c r="AJ490">
        <v>0</v>
      </c>
      <c r="AK490">
        <v>0</v>
      </c>
      <c r="AL490">
        <v>0</v>
      </c>
      <c r="AM490">
        <v>8.6848142125179276E-3</v>
      </c>
      <c r="AN490">
        <v>8.6848142125179276E-3</v>
      </c>
      <c r="AO490" t="s">
        <v>19</v>
      </c>
      <c r="AT490" t="str">
        <f t="shared" si="14"/>
        <v>lcv</v>
      </c>
      <c r="AU490" t="str">
        <f t="shared" si="15"/>
        <v>bdl</v>
      </c>
    </row>
    <row r="491" spans="1:47">
      <c r="A491" t="s">
        <v>17</v>
      </c>
      <c r="B491" t="s">
        <v>176</v>
      </c>
      <c r="C491" t="s">
        <v>609</v>
      </c>
      <c r="D491" t="s">
        <v>19</v>
      </c>
      <c r="E491" t="s">
        <v>19</v>
      </c>
      <c r="F491" t="s">
        <v>19</v>
      </c>
      <c r="G491" t="s">
        <v>179</v>
      </c>
      <c r="H491" t="s">
        <v>19</v>
      </c>
      <c r="I491" t="s">
        <v>19</v>
      </c>
      <c r="J491" t="s">
        <v>19</v>
      </c>
      <c r="K491" t="s">
        <v>19</v>
      </c>
      <c r="L491">
        <v>0</v>
      </c>
      <c r="M491">
        <v>0</v>
      </c>
      <c r="N491">
        <v>3.7220632339362539E-3</v>
      </c>
      <c r="O491">
        <v>0</v>
      </c>
      <c r="P491">
        <v>3.7220632339362539E-3</v>
      </c>
      <c r="Q491">
        <v>2.2332379403617524E-2</v>
      </c>
      <c r="R491">
        <v>0</v>
      </c>
      <c r="S491">
        <v>5.7071636253689231E-2</v>
      </c>
      <c r="T491">
        <v>1.8610316169681269E-3</v>
      </c>
      <c r="U491">
        <v>3.1017193616135453E-3</v>
      </c>
      <c r="V491">
        <v>1.1786533574131472E-2</v>
      </c>
      <c r="W491">
        <v>1.2406877446454181E-2</v>
      </c>
      <c r="X491">
        <v>6.8237825955497992E-3</v>
      </c>
      <c r="Y491">
        <v>9.9255019571633449E-3</v>
      </c>
      <c r="Z491">
        <v>5.5830948509043811E-3</v>
      </c>
      <c r="AA491">
        <v>1.1786533574131472E-2</v>
      </c>
      <c r="AB491">
        <v>1.8610316169681269E-3</v>
      </c>
      <c r="AC491">
        <v>1.7369628425035855E-2</v>
      </c>
      <c r="AD491">
        <v>1.3027221318776889E-2</v>
      </c>
      <c r="AE491">
        <v>0</v>
      </c>
      <c r="AF491">
        <v>3.1017193616135453E-3</v>
      </c>
      <c r="AG491">
        <v>0</v>
      </c>
      <c r="AH491">
        <v>0</v>
      </c>
      <c r="AI491">
        <v>3.1017193616135453E-3</v>
      </c>
      <c r="AJ491">
        <v>0</v>
      </c>
      <c r="AK491">
        <v>0</v>
      </c>
      <c r="AL491">
        <v>0</v>
      </c>
      <c r="AM491">
        <v>8.6848142125179276E-3</v>
      </c>
      <c r="AN491">
        <v>8.6848142125179276E-3</v>
      </c>
      <c r="AO491" t="s">
        <v>19</v>
      </c>
      <c r="AT491" t="str">
        <f t="shared" si="14"/>
        <v>lcv</v>
      </c>
      <c r="AU491" t="str">
        <f t="shared" si="15"/>
        <v>bdl</v>
      </c>
    </row>
    <row r="492" spans="1:47">
      <c r="A492" t="s">
        <v>17</v>
      </c>
      <c r="B492" t="s">
        <v>176</v>
      </c>
      <c r="C492" t="s">
        <v>609</v>
      </c>
      <c r="D492" t="s">
        <v>19</v>
      </c>
      <c r="E492" t="s">
        <v>19</v>
      </c>
      <c r="F492" t="s">
        <v>19</v>
      </c>
      <c r="G492" t="s">
        <v>180</v>
      </c>
      <c r="H492" t="s">
        <v>19</v>
      </c>
      <c r="I492" t="s">
        <v>19</v>
      </c>
      <c r="J492" t="s">
        <v>19</v>
      </c>
      <c r="K492" t="s">
        <v>19</v>
      </c>
      <c r="L492">
        <v>0</v>
      </c>
      <c r="M492">
        <v>0</v>
      </c>
      <c r="N492">
        <v>3.7220632339362539E-3</v>
      </c>
      <c r="O492">
        <v>0</v>
      </c>
      <c r="P492">
        <v>3.7220632339362539E-3</v>
      </c>
      <c r="Q492">
        <v>2.2332379403617524E-2</v>
      </c>
      <c r="R492">
        <v>0</v>
      </c>
      <c r="S492">
        <v>5.7071636253689231E-2</v>
      </c>
      <c r="T492">
        <v>1.8610316169681269E-3</v>
      </c>
      <c r="U492">
        <v>3.1017193616135453E-3</v>
      </c>
      <c r="V492">
        <v>1.1786533574131472E-2</v>
      </c>
      <c r="W492">
        <v>1.2406877446454181E-2</v>
      </c>
      <c r="X492">
        <v>6.8237825955497992E-3</v>
      </c>
      <c r="Y492">
        <v>9.9255019571633449E-3</v>
      </c>
      <c r="Z492">
        <v>5.5830948509043811E-3</v>
      </c>
      <c r="AA492">
        <v>1.1786533574131472E-2</v>
      </c>
      <c r="AB492">
        <v>1.8610316169681269E-3</v>
      </c>
      <c r="AC492">
        <v>1.7369628425035855E-2</v>
      </c>
      <c r="AD492">
        <v>1.3027221318776889E-2</v>
      </c>
      <c r="AE492">
        <v>0</v>
      </c>
      <c r="AF492">
        <v>3.1017193616135453E-3</v>
      </c>
      <c r="AG492">
        <v>0</v>
      </c>
      <c r="AH492">
        <v>0</v>
      </c>
      <c r="AI492">
        <v>3.1017193616135453E-3</v>
      </c>
      <c r="AJ492">
        <v>0</v>
      </c>
      <c r="AK492">
        <v>0</v>
      </c>
      <c r="AL492">
        <v>0</v>
      </c>
      <c r="AM492">
        <v>8.6848142125179276E-3</v>
      </c>
      <c r="AN492">
        <v>8.6848142125179276E-3</v>
      </c>
      <c r="AO492" t="s">
        <v>19</v>
      </c>
      <c r="AT492" t="str">
        <f t="shared" si="14"/>
        <v>lcv</v>
      </c>
      <c r="AU492" t="str">
        <f t="shared" si="15"/>
        <v>bdl</v>
      </c>
    </row>
    <row r="493" spans="1:47">
      <c r="A493" t="s">
        <v>17</v>
      </c>
      <c r="B493" t="s">
        <v>176</v>
      </c>
      <c r="C493" t="s">
        <v>609</v>
      </c>
      <c r="D493" t="s">
        <v>19</v>
      </c>
      <c r="E493" t="s">
        <v>19</v>
      </c>
      <c r="F493" t="s">
        <v>19</v>
      </c>
      <c r="G493" t="s">
        <v>181</v>
      </c>
      <c r="H493" t="s">
        <v>19</v>
      </c>
      <c r="I493" t="s">
        <v>19</v>
      </c>
      <c r="J493" t="s">
        <v>19</v>
      </c>
      <c r="K493" t="s">
        <v>19</v>
      </c>
      <c r="L493">
        <v>0</v>
      </c>
      <c r="M493">
        <v>0</v>
      </c>
      <c r="N493">
        <v>3.7220632339362539E-3</v>
      </c>
      <c r="O493">
        <v>0</v>
      </c>
      <c r="P493">
        <v>3.7220632339362539E-3</v>
      </c>
      <c r="Q493">
        <v>2.2332379403617524E-2</v>
      </c>
      <c r="R493">
        <v>0</v>
      </c>
      <c r="S493">
        <v>5.7071636253689231E-2</v>
      </c>
      <c r="T493">
        <v>1.8610316169681269E-3</v>
      </c>
      <c r="U493">
        <v>3.1017193616135453E-3</v>
      </c>
      <c r="V493">
        <v>1.1786533574131472E-2</v>
      </c>
      <c r="W493">
        <v>1.2406877446454181E-2</v>
      </c>
      <c r="X493">
        <v>6.8237825955497992E-3</v>
      </c>
      <c r="Y493">
        <v>9.9255019571633449E-3</v>
      </c>
      <c r="Z493">
        <v>5.5830948509043811E-3</v>
      </c>
      <c r="AA493">
        <v>1.1786533574131472E-2</v>
      </c>
      <c r="AB493">
        <v>1.8610316169681269E-3</v>
      </c>
      <c r="AC493">
        <v>1.7369628425035855E-2</v>
      </c>
      <c r="AD493">
        <v>1.3027221318776889E-2</v>
      </c>
      <c r="AE493">
        <v>0</v>
      </c>
      <c r="AF493">
        <v>3.1017193616135453E-3</v>
      </c>
      <c r="AG493">
        <v>0</v>
      </c>
      <c r="AH493">
        <v>0</v>
      </c>
      <c r="AI493">
        <v>3.1017193616135453E-3</v>
      </c>
      <c r="AJ493">
        <v>0</v>
      </c>
      <c r="AK493">
        <v>0</v>
      </c>
      <c r="AL493">
        <v>0</v>
      </c>
      <c r="AM493">
        <v>8.6848142125179276E-3</v>
      </c>
      <c r="AN493">
        <v>8.6848142125179276E-3</v>
      </c>
      <c r="AO493" t="s">
        <v>19</v>
      </c>
      <c r="AT493" t="str">
        <f t="shared" si="14"/>
        <v>lcv</v>
      </c>
      <c r="AU493" t="str">
        <f t="shared" si="15"/>
        <v>bdl</v>
      </c>
    </row>
    <row r="494" spans="1:47">
      <c r="A494" t="s">
        <v>17</v>
      </c>
      <c r="B494" t="s">
        <v>176</v>
      </c>
      <c r="C494" t="s">
        <v>609</v>
      </c>
      <c r="D494" t="s">
        <v>19</v>
      </c>
      <c r="E494" t="s">
        <v>19</v>
      </c>
      <c r="F494" t="s">
        <v>19</v>
      </c>
      <c r="G494" t="s">
        <v>182</v>
      </c>
      <c r="H494" t="s">
        <v>19</v>
      </c>
      <c r="I494" t="s">
        <v>19</v>
      </c>
      <c r="J494" t="s">
        <v>19</v>
      </c>
      <c r="K494" t="s">
        <v>19</v>
      </c>
      <c r="L494">
        <v>0</v>
      </c>
      <c r="M494">
        <v>0</v>
      </c>
      <c r="N494">
        <v>3.7220632339362539E-3</v>
      </c>
      <c r="O494">
        <v>0</v>
      </c>
      <c r="P494">
        <v>3.7220632339362539E-3</v>
      </c>
      <c r="Q494">
        <v>2.2332379403617524E-2</v>
      </c>
      <c r="R494">
        <v>0</v>
      </c>
      <c r="S494">
        <v>5.7071636253689231E-2</v>
      </c>
      <c r="T494">
        <v>1.8610316169681269E-3</v>
      </c>
      <c r="U494">
        <v>3.1017193616135453E-3</v>
      </c>
      <c r="V494">
        <v>1.1786533574131472E-2</v>
      </c>
      <c r="W494">
        <v>1.2406877446454181E-2</v>
      </c>
      <c r="X494">
        <v>6.8237825955497992E-3</v>
      </c>
      <c r="Y494">
        <v>9.9255019571633449E-3</v>
      </c>
      <c r="Z494">
        <v>5.5830948509043811E-3</v>
      </c>
      <c r="AA494">
        <v>1.1786533574131472E-2</v>
      </c>
      <c r="AB494">
        <v>1.8610316169681269E-3</v>
      </c>
      <c r="AC494">
        <v>1.7369628425035855E-2</v>
      </c>
      <c r="AD494">
        <v>1.3027221318776889E-2</v>
      </c>
      <c r="AE494">
        <v>0</v>
      </c>
      <c r="AF494">
        <v>3.1017193616135453E-3</v>
      </c>
      <c r="AG494">
        <v>0</v>
      </c>
      <c r="AH494">
        <v>0</v>
      </c>
      <c r="AI494">
        <v>3.1017193616135453E-3</v>
      </c>
      <c r="AJ494">
        <v>0</v>
      </c>
      <c r="AK494">
        <v>0</v>
      </c>
      <c r="AL494">
        <v>0</v>
      </c>
      <c r="AM494">
        <v>8.6848142125179276E-3</v>
      </c>
      <c r="AN494">
        <v>8.6848142125179276E-3</v>
      </c>
      <c r="AO494" t="s">
        <v>19</v>
      </c>
      <c r="AT494" t="str">
        <f t="shared" si="14"/>
        <v>lcv</v>
      </c>
      <c r="AU494" t="str">
        <f t="shared" si="15"/>
        <v>bdl</v>
      </c>
    </row>
    <row r="495" spans="1:47">
      <c r="A495" t="s">
        <v>17</v>
      </c>
      <c r="B495" t="s">
        <v>176</v>
      </c>
      <c r="C495" t="s">
        <v>609</v>
      </c>
      <c r="D495" t="s">
        <v>19</v>
      </c>
      <c r="E495" t="s">
        <v>19</v>
      </c>
      <c r="F495" t="s">
        <v>19</v>
      </c>
      <c r="G495" t="s">
        <v>183</v>
      </c>
      <c r="H495" t="s">
        <v>19</v>
      </c>
      <c r="I495" t="s">
        <v>19</v>
      </c>
      <c r="J495" t="s">
        <v>19</v>
      </c>
      <c r="K495" t="s">
        <v>19</v>
      </c>
      <c r="L495">
        <v>0</v>
      </c>
      <c r="M495">
        <v>0</v>
      </c>
      <c r="N495">
        <v>3.7220632339362539E-3</v>
      </c>
      <c r="O495">
        <v>0</v>
      </c>
      <c r="P495">
        <v>3.7220632339362539E-3</v>
      </c>
      <c r="Q495">
        <v>2.2332379403617524E-2</v>
      </c>
      <c r="R495">
        <v>0</v>
      </c>
      <c r="S495">
        <v>5.7071636253689231E-2</v>
      </c>
      <c r="T495">
        <v>1.8610316169681269E-3</v>
      </c>
      <c r="U495">
        <v>3.1017193616135453E-3</v>
      </c>
      <c r="V495">
        <v>1.1786533574131472E-2</v>
      </c>
      <c r="W495">
        <v>1.2406877446454181E-2</v>
      </c>
      <c r="X495">
        <v>6.8237825955497992E-3</v>
      </c>
      <c r="Y495">
        <v>9.9255019571633449E-3</v>
      </c>
      <c r="Z495">
        <v>5.5830948509043811E-3</v>
      </c>
      <c r="AA495">
        <v>1.1786533574131472E-2</v>
      </c>
      <c r="AB495">
        <v>1.8610316169681269E-3</v>
      </c>
      <c r="AC495">
        <v>1.7369628425035855E-2</v>
      </c>
      <c r="AD495">
        <v>1.3027221318776889E-2</v>
      </c>
      <c r="AE495">
        <v>0</v>
      </c>
      <c r="AF495">
        <v>3.1017193616135453E-3</v>
      </c>
      <c r="AG495">
        <v>0</v>
      </c>
      <c r="AH495">
        <v>0</v>
      </c>
      <c r="AI495">
        <v>3.1017193616135453E-3</v>
      </c>
      <c r="AJ495">
        <v>0</v>
      </c>
      <c r="AK495">
        <v>0</v>
      </c>
      <c r="AL495">
        <v>0</v>
      </c>
      <c r="AM495">
        <v>8.6848142125179276E-3</v>
      </c>
      <c r="AN495">
        <v>8.6848142125179276E-3</v>
      </c>
      <c r="AO495" t="s">
        <v>19</v>
      </c>
      <c r="AT495" t="str">
        <f t="shared" si="14"/>
        <v>lcv</v>
      </c>
      <c r="AU495" t="str">
        <f t="shared" si="15"/>
        <v>bdl</v>
      </c>
    </row>
    <row r="496" spans="1:47">
      <c r="A496" t="s">
        <v>17</v>
      </c>
      <c r="B496" t="s">
        <v>176</v>
      </c>
      <c r="C496" t="s">
        <v>609</v>
      </c>
      <c r="D496" t="s">
        <v>19</v>
      </c>
      <c r="E496" t="s">
        <v>19</v>
      </c>
      <c r="F496" t="s">
        <v>19</v>
      </c>
      <c r="G496" t="s">
        <v>184</v>
      </c>
      <c r="H496" t="s">
        <v>19</v>
      </c>
      <c r="I496" t="s">
        <v>19</v>
      </c>
      <c r="J496" t="s">
        <v>19</v>
      </c>
      <c r="K496" t="s">
        <v>19</v>
      </c>
      <c r="L496">
        <v>0</v>
      </c>
      <c r="M496">
        <v>0</v>
      </c>
      <c r="N496">
        <v>3.7220632339362539E-3</v>
      </c>
      <c r="O496">
        <v>0</v>
      </c>
      <c r="P496">
        <v>3.7220632339362539E-3</v>
      </c>
      <c r="Q496">
        <v>2.2332379403617524E-2</v>
      </c>
      <c r="R496">
        <v>0</v>
      </c>
      <c r="S496">
        <v>5.7071636253689231E-2</v>
      </c>
      <c r="T496">
        <v>1.8610316169681269E-3</v>
      </c>
      <c r="U496">
        <v>3.1017193616135453E-3</v>
      </c>
      <c r="V496">
        <v>1.1786533574131472E-2</v>
      </c>
      <c r="W496">
        <v>1.2406877446454181E-2</v>
      </c>
      <c r="X496">
        <v>6.8237825955497992E-3</v>
      </c>
      <c r="Y496">
        <v>9.9255019571633449E-3</v>
      </c>
      <c r="Z496">
        <v>5.5830948509043811E-3</v>
      </c>
      <c r="AA496">
        <v>1.1786533574131472E-2</v>
      </c>
      <c r="AB496">
        <v>1.8610316169681269E-3</v>
      </c>
      <c r="AC496">
        <v>1.7369628425035855E-2</v>
      </c>
      <c r="AD496">
        <v>1.3027221318776889E-2</v>
      </c>
      <c r="AE496">
        <v>0</v>
      </c>
      <c r="AF496">
        <v>3.1017193616135453E-3</v>
      </c>
      <c r="AG496">
        <v>0</v>
      </c>
      <c r="AH496">
        <v>0</v>
      </c>
      <c r="AI496">
        <v>3.1017193616135453E-3</v>
      </c>
      <c r="AJ496">
        <v>0</v>
      </c>
      <c r="AK496">
        <v>0</v>
      </c>
      <c r="AL496">
        <v>0</v>
      </c>
      <c r="AM496">
        <v>8.6848142125179276E-3</v>
      </c>
      <c r="AN496">
        <v>8.6848142125179276E-3</v>
      </c>
      <c r="AO496" t="s">
        <v>19</v>
      </c>
      <c r="AT496" t="str">
        <f t="shared" si="14"/>
        <v>lcv</v>
      </c>
      <c r="AU496" t="str">
        <f t="shared" si="15"/>
        <v>bdl</v>
      </c>
    </row>
    <row r="497" spans="1:47">
      <c r="A497" t="s">
        <v>17</v>
      </c>
      <c r="B497" t="s">
        <v>176</v>
      </c>
      <c r="C497" t="s">
        <v>609</v>
      </c>
      <c r="D497" t="s">
        <v>19</v>
      </c>
      <c r="E497" t="s">
        <v>19</v>
      </c>
      <c r="F497" t="s">
        <v>19</v>
      </c>
      <c r="G497" t="s">
        <v>185</v>
      </c>
      <c r="H497" t="s">
        <v>19</v>
      </c>
      <c r="I497" t="s">
        <v>19</v>
      </c>
      <c r="J497" t="s">
        <v>19</v>
      </c>
      <c r="K497" t="s">
        <v>19</v>
      </c>
      <c r="L497">
        <v>0</v>
      </c>
      <c r="M497">
        <v>0</v>
      </c>
      <c r="N497">
        <v>3.7220632339362539E-3</v>
      </c>
      <c r="O497">
        <v>0</v>
      </c>
      <c r="P497">
        <v>3.7220632339362539E-3</v>
      </c>
      <c r="Q497">
        <v>2.2332379403617524E-2</v>
      </c>
      <c r="R497">
        <v>0</v>
      </c>
      <c r="S497">
        <v>5.7071636253689231E-2</v>
      </c>
      <c r="T497">
        <v>1.8610316169681269E-3</v>
      </c>
      <c r="U497">
        <v>3.1017193616135453E-3</v>
      </c>
      <c r="V497">
        <v>1.1786533574131472E-2</v>
      </c>
      <c r="W497">
        <v>1.2406877446454181E-2</v>
      </c>
      <c r="X497">
        <v>6.8237825955497992E-3</v>
      </c>
      <c r="Y497">
        <v>9.9255019571633449E-3</v>
      </c>
      <c r="Z497">
        <v>5.5830948509043811E-3</v>
      </c>
      <c r="AA497">
        <v>1.1786533574131472E-2</v>
      </c>
      <c r="AB497">
        <v>1.8610316169681269E-3</v>
      </c>
      <c r="AC497">
        <v>1.7369628425035855E-2</v>
      </c>
      <c r="AD497">
        <v>1.3027221318776889E-2</v>
      </c>
      <c r="AE497">
        <v>0</v>
      </c>
      <c r="AF497">
        <v>3.1017193616135453E-3</v>
      </c>
      <c r="AG497">
        <v>0</v>
      </c>
      <c r="AH497">
        <v>0</v>
      </c>
      <c r="AI497">
        <v>3.1017193616135453E-3</v>
      </c>
      <c r="AJ497">
        <v>0</v>
      </c>
      <c r="AK497">
        <v>0</v>
      </c>
      <c r="AL497">
        <v>0</v>
      </c>
      <c r="AM497">
        <v>8.6848142125179276E-3</v>
      </c>
      <c r="AN497">
        <v>8.6848142125179276E-3</v>
      </c>
      <c r="AO497" t="s">
        <v>19</v>
      </c>
      <c r="AT497" t="str">
        <f t="shared" si="14"/>
        <v>lcv</v>
      </c>
      <c r="AU497" t="str">
        <f t="shared" si="15"/>
        <v>bdl</v>
      </c>
    </row>
    <row r="498" spans="1:47">
      <c r="A498" t="s">
        <v>17</v>
      </c>
      <c r="B498" t="s">
        <v>176</v>
      </c>
      <c r="C498" t="s">
        <v>609</v>
      </c>
      <c r="D498" t="s">
        <v>19</v>
      </c>
      <c r="E498" t="s">
        <v>19</v>
      </c>
      <c r="F498" t="s">
        <v>19</v>
      </c>
      <c r="G498" t="s">
        <v>186</v>
      </c>
      <c r="H498" t="s">
        <v>19</v>
      </c>
      <c r="I498" t="s">
        <v>19</v>
      </c>
      <c r="J498" t="s">
        <v>19</v>
      </c>
      <c r="K498" t="s">
        <v>19</v>
      </c>
      <c r="L498">
        <v>0</v>
      </c>
      <c r="M498">
        <v>0</v>
      </c>
      <c r="N498">
        <v>3.7220632339362539E-3</v>
      </c>
      <c r="O498">
        <v>0</v>
      </c>
      <c r="P498">
        <v>3.7220632339362539E-3</v>
      </c>
      <c r="Q498">
        <v>2.2332379403617524E-2</v>
      </c>
      <c r="R498">
        <v>0</v>
      </c>
      <c r="S498">
        <v>5.7071636253689231E-2</v>
      </c>
      <c r="T498">
        <v>1.8610316169681269E-3</v>
      </c>
      <c r="U498">
        <v>3.1017193616135453E-3</v>
      </c>
      <c r="V498">
        <v>1.1786533574131472E-2</v>
      </c>
      <c r="W498">
        <v>1.2406877446454181E-2</v>
      </c>
      <c r="X498">
        <v>6.8237825955497992E-3</v>
      </c>
      <c r="Y498">
        <v>9.9255019571633449E-3</v>
      </c>
      <c r="Z498">
        <v>5.5830948509043811E-3</v>
      </c>
      <c r="AA498">
        <v>1.1786533574131472E-2</v>
      </c>
      <c r="AB498">
        <v>1.8610316169681269E-3</v>
      </c>
      <c r="AC498">
        <v>1.7369628425035855E-2</v>
      </c>
      <c r="AD498">
        <v>1.3027221318776889E-2</v>
      </c>
      <c r="AE498">
        <v>0</v>
      </c>
      <c r="AF498">
        <v>3.1017193616135453E-3</v>
      </c>
      <c r="AG498">
        <v>0</v>
      </c>
      <c r="AH498">
        <v>0</v>
      </c>
      <c r="AI498">
        <v>3.1017193616135453E-3</v>
      </c>
      <c r="AJ498">
        <v>0</v>
      </c>
      <c r="AK498">
        <v>0</v>
      </c>
      <c r="AL498">
        <v>0</v>
      </c>
      <c r="AM498">
        <v>8.6848142125179276E-3</v>
      </c>
      <c r="AN498">
        <v>8.6848142125179276E-3</v>
      </c>
      <c r="AO498" t="s">
        <v>19</v>
      </c>
      <c r="AT498" t="str">
        <f t="shared" si="14"/>
        <v>lcv</v>
      </c>
      <c r="AU498" t="str">
        <f t="shared" si="15"/>
        <v>bdl</v>
      </c>
    </row>
    <row r="499" spans="1:47">
      <c r="A499" t="s">
        <v>17</v>
      </c>
      <c r="B499" t="s">
        <v>176</v>
      </c>
      <c r="C499" t="s">
        <v>609</v>
      </c>
      <c r="D499" t="s">
        <v>19</v>
      </c>
      <c r="E499" t="s">
        <v>19</v>
      </c>
      <c r="F499" t="s">
        <v>19</v>
      </c>
      <c r="G499" t="s">
        <v>187</v>
      </c>
      <c r="H499" t="s">
        <v>19</v>
      </c>
      <c r="I499" t="s">
        <v>19</v>
      </c>
      <c r="J499" t="s">
        <v>19</v>
      </c>
      <c r="K499" t="s">
        <v>19</v>
      </c>
      <c r="L499">
        <v>0</v>
      </c>
      <c r="M499">
        <v>0</v>
      </c>
      <c r="N499">
        <v>3.7220632339362539E-3</v>
      </c>
      <c r="O499">
        <v>0</v>
      </c>
      <c r="P499">
        <v>3.7220632339362539E-3</v>
      </c>
      <c r="Q499">
        <v>2.2332379403617524E-2</v>
      </c>
      <c r="R499">
        <v>0</v>
      </c>
      <c r="S499">
        <v>5.7071636253689231E-2</v>
      </c>
      <c r="T499">
        <v>1.8610316169681269E-3</v>
      </c>
      <c r="U499">
        <v>3.1017193616135453E-3</v>
      </c>
      <c r="V499">
        <v>1.1786533574131472E-2</v>
      </c>
      <c r="W499">
        <v>1.2406877446454181E-2</v>
      </c>
      <c r="X499">
        <v>6.8237825955497992E-3</v>
      </c>
      <c r="Y499">
        <v>9.9255019571633449E-3</v>
      </c>
      <c r="Z499">
        <v>5.5830948509043811E-3</v>
      </c>
      <c r="AA499">
        <v>1.1786533574131472E-2</v>
      </c>
      <c r="AB499">
        <v>1.8610316169681269E-3</v>
      </c>
      <c r="AC499">
        <v>1.7369628425035855E-2</v>
      </c>
      <c r="AD499">
        <v>1.3027221318776889E-2</v>
      </c>
      <c r="AE499">
        <v>0</v>
      </c>
      <c r="AF499">
        <v>3.1017193616135453E-3</v>
      </c>
      <c r="AG499">
        <v>0</v>
      </c>
      <c r="AH499">
        <v>0</v>
      </c>
      <c r="AI499">
        <v>3.1017193616135453E-3</v>
      </c>
      <c r="AJ499">
        <v>0</v>
      </c>
      <c r="AK499">
        <v>0</v>
      </c>
      <c r="AL499">
        <v>0</v>
      </c>
      <c r="AM499">
        <v>8.6848142125179276E-3</v>
      </c>
      <c r="AN499">
        <v>8.6848142125179276E-3</v>
      </c>
      <c r="AO499" t="s">
        <v>19</v>
      </c>
      <c r="AT499" t="str">
        <f t="shared" si="14"/>
        <v>lcv</v>
      </c>
      <c r="AU499" t="str">
        <f t="shared" si="15"/>
        <v>bdl</v>
      </c>
    </row>
    <row r="500" spans="1:47">
      <c r="A500" t="s">
        <v>17</v>
      </c>
      <c r="B500" t="s">
        <v>176</v>
      </c>
      <c r="C500" t="s">
        <v>609</v>
      </c>
      <c r="D500" t="s">
        <v>19</v>
      </c>
      <c r="E500" t="s">
        <v>19</v>
      </c>
      <c r="F500" t="s">
        <v>19</v>
      </c>
      <c r="G500" t="s">
        <v>188</v>
      </c>
      <c r="H500" t="s">
        <v>19</v>
      </c>
      <c r="I500" t="s">
        <v>19</v>
      </c>
      <c r="J500" t="s">
        <v>19</v>
      </c>
      <c r="K500" t="s">
        <v>19</v>
      </c>
      <c r="L500">
        <v>0</v>
      </c>
      <c r="M500">
        <v>0</v>
      </c>
      <c r="N500">
        <v>3.7220632339362539E-3</v>
      </c>
      <c r="O500">
        <v>0</v>
      </c>
      <c r="P500">
        <v>3.7220632339362539E-3</v>
      </c>
      <c r="Q500">
        <v>2.2332379403617524E-2</v>
      </c>
      <c r="R500">
        <v>0</v>
      </c>
      <c r="S500">
        <v>5.7071636253689231E-2</v>
      </c>
      <c r="T500">
        <v>1.8610316169681269E-3</v>
      </c>
      <c r="U500">
        <v>3.1017193616135453E-3</v>
      </c>
      <c r="V500">
        <v>1.1786533574131472E-2</v>
      </c>
      <c r="W500">
        <v>1.2406877446454181E-2</v>
      </c>
      <c r="X500">
        <v>6.8237825955497992E-3</v>
      </c>
      <c r="Y500">
        <v>9.9255019571633449E-3</v>
      </c>
      <c r="Z500">
        <v>5.5830948509043811E-3</v>
      </c>
      <c r="AA500">
        <v>1.1786533574131472E-2</v>
      </c>
      <c r="AB500">
        <v>1.8610316169681269E-3</v>
      </c>
      <c r="AC500">
        <v>1.7369628425035855E-2</v>
      </c>
      <c r="AD500">
        <v>1.3027221318776889E-2</v>
      </c>
      <c r="AE500">
        <v>0</v>
      </c>
      <c r="AF500">
        <v>3.1017193616135453E-3</v>
      </c>
      <c r="AG500">
        <v>0</v>
      </c>
      <c r="AH500">
        <v>0</v>
      </c>
      <c r="AI500">
        <v>3.1017193616135453E-3</v>
      </c>
      <c r="AJ500">
        <v>0</v>
      </c>
      <c r="AK500">
        <v>0</v>
      </c>
      <c r="AL500">
        <v>0</v>
      </c>
      <c r="AM500">
        <v>8.6848142125179276E-3</v>
      </c>
      <c r="AN500">
        <v>8.6848142125179276E-3</v>
      </c>
      <c r="AO500" t="s">
        <v>19</v>
      </c>
      <c r="AT500" t="str">
        <f t="shared" si="14"/>
        <v>lcv</v>
      </c>
      <c r="AU500" t="str">
        <f t="shared" si="15"/>
        <v>bdl</v>
      </c>
    </row>
    <row r="501" spans="1:47">
      <c r="A501" t="s">
        <v>17</v>
      </c>
      <c r="B501" t="s">
        <v>176</v>
      </c>
      <c r="C501" t="s">
        <v>609</v>
      </c>
      <c r="D501" t="s">
        <v>19</v>
      </c>
      <c r="E501" t="s">
        <v>19</v>
      </c>
      <c r="F501" t="s">
        <v>19</v>
      </c>
      <c r="G501" t="s">
        <v>100</v>
      </c>
      <c r="H501" t="s">
        <v>19</v>
      </c>
      <c r="I501" t="s">
        <v>19</v>
      </c>
      <c r="J501" t="s">
        <v>19</v>
      </c>
      <c r="K501" t="s">
        <v>19</v>
      </c>
      <c r="L501">
        <v>0</v>
      </c>
      <c r="M501">
        <v>0</v>
      </c>
      <c r="N501">
        <v>3.7220632339362539E-3</v>
      </c>
      <c r="O501">
        <v>0</v>
      </c>
      <c r="P501">
        <v>3.7220632339362539E-3</v>
      </c>
      <c r="Q501">
        <v>2.2332379403617524E-2</v>
      </c>
      <c r="R501">
        <v>0</v>
      </c>
      <c r="S501">
        <v>5.7071636253689231E-2</v>
      </c>
      <c r="T501">
        <v>1.8610316169681269E-3</v>
      </c>
      <c r="U501">
        <v>3.1017193616135453E-3</v>
      </c>
      <c r="V501">
        <v>1.1786533574131472E-2</v>
      </c>
      <c r="W501">
        <v>1.2406877446454181E-2</v>
      </c>
      <c r="X501">
        <v>6.8237825955497992E-3</v>
      </c>
      <c r="Y501">
        <v>9.9255019571633449E-3</v>
      </c>
      <c r="Z501">
        <v>5.5830948509043811E-3</v>
      </c>
      <c r="AA501">
        <v>1.1786533574131472E-2</v>
      </c>
      <c r="AB501">
        <v>1.8610316169681269E-3</v>
      </c>
      <c r="AC501">
        <v>1.7369628425035855E-2</v>
      </c>
      <c r="AD501">
        <v>1.3027221318776889E-2</v>
      </c>
      <c r="AE501">
        <v>0</v>
      </c>
      <c r="AF501">
        <v>3.1017193616135453E-3</v>
      </c>
      <c r="AG501">
        <v>0</v>
      </c>
      <c r="AH501">
        <v>0</v>
      </c>
      <c r="AI501">
        <v>3.1017193616135453E-3</v>
      </c>
      <c r="AJ501">
        <v>0</v>
      </c>
      <c r="AK501">
        <v>0</v>
      </c>
      <c r="AL501">
        <v>0</v>
      </c>
      <c r="AM501">
        <v>8.6848142125179276E-3</v>
      </c>
      <c r="AN501">
        <v>8.6848142125179276E-3</v>
      </c>
      <c r="AO501" t="s">
        <v>19</v>
      </c>
      <c r="AT501" t="str">
        <f t="shared" si="14"/>
        <v>lcv</v>
      </c>
      <c r="AU501" t="str">
        <f t="shared" si="15"/>
        <v>bdl</v>
      </c>
    </row>
    <row r="502" spans="1:47">
      <c r="A502" t="s">
        <v>17</v>
      </c>
      <c r="B502" t="s">
        <v>176</v>
      </c>
      <c r="C502" t="s">
        <v>608</v>
      </c>
      <c r="D502" t="s">
        <v>19</v>
      </c>
      <c r="E502" t="s">
        <v>19</v>
      </c>
      <c r="F502" t="s">
        <v>19</v>
      </c>
      <c r="G502" t="s">
        <v>603</v>
      </c>
      <c r="H502" t="s">
        <v>19</v>
      </c>
      <c r="I502" t="s">
        <v>19</v>
      </c>
      <c r="J502" t="s">
        <v>19</v>
      </c>
      <c r="K502" t="s">
        <v>19</v>
      </c>
      <c r="L502">
        <v>0.18858453718610355</v>
      </c>
      <c r="M502">
        <v>0.16749284552713145</v>
      </c>
      <c r="N502">
        <v>4.1563039445621508E-2</v>
      </c>
      <c r="O502">
        <v>1.7369628425035855E-2</v>
      </c>
      <c r="P502">
        <v>0.23014757663172503</v>
      </c>
      <c r="Q502">
        <v>0.24565617343979276</v>
      </c>
      <c r="R502">
        <v>0.1246891183368645</v>
      </c>
      <c r="S502">
        <v>0.12592980608150992</v>
      </c>
      <c r="T502">
        <v>5.9553011742980062E-2</v>
      </c>
      <c r="U502">
        <v>0.33560603492658558</v>
      </c>
      <c r="V502">
        <v>5.2108885275107555E-2</v>
      </c>
      <c r="W502">
        <v>0.20595416561113938</v>
      </c>
      <c r="X502">
        <v>0.10856017765647408</v>
      </c>
      <c r="Y502">
        <v>0.16377078229319519</v>
      </c>
      <c r="Z502">
        <v>8.7468485997501969E-2</v>
      </c>
      <c r="AA502">
        <v>0.17369628425035852</v>
      </c>
      <c r="AB502">
        <v>0.17679800361197207</v>
      </c>
      <c r="AC502">
        <v>0.20843554110043022</v>
      </c>
      <c r="AD502">
        <v>0.22518482565314335</v>
      </c>
      <c r="AE502">
        <v>0.42989830351963731</v>
      </c>
      <c r="AF502">
        <v>8.7468485997501969E-2</v>
      </c>
      <c r="AG502">
        <v>6.20343872322709E-2</v>
      </c>
      <c r="AH502">
        <v>0.19044556880307165</v>
      </c>
      <c r="AI502">
        <v>1.5508596808067725E-2</v>
      </c>
      <c r="AJ502">
        <v>5.5210604636721103E-2</v>
      </c>
      <c r="AK502">
        <v>0.10856017765647408</v>
      </c>
      <c r="AL502">
        <v>5.8932667870657353E-2</v>
      </c>
      <c r="AM502">
        <v>0.16501147003784061</v>
      </c>
      <c r="AN502">
        <v>0.23635101535495212</v>
      </c>
      <c r="AO502" t="s">
        <v>19</v>
      </c>
      <c r="AT502" t="str">
        <f t="shared" si="14"/>
        <v>lcv</v>
      </c>
      <c r="AU502" t="str">
        <f t="shared" si="15"/>
        <v>dsl</v>
      </c>
    </row>
    <row r="503" spans="1:47">
      <c r="A503" t="s">
        <v>17</v>
      </c>
      <c r="B503" t="s">
        <v>176</v>
      </c>
      <c r="C503" t="s">
        <v>608</v>
      </c>
      <c r="D503" t="s">
        <v>19</v>
      </c>
      <c r="E503" t="s">
        <v>19</v>
      </c>
      <c r="F503" t="s">
        <v>19</v>
      </c>
      <c r="G503" t="s">
        <v>602</v>
      </c>
      <c r="H503" t="s">
        <v>19</v>
      </c>
      <c r="I503" t="s">
        <v>19</v>
      </c>
      <c r="J503" t="s">
        <v>19</v>
      </c>
      <c r="K503" t="s">
        <v>19</v>
      </c>
      <c r="L503">
        <v>0.18858453718610355</v>
      </c>
      <c r="M503">
        <v>0.16749284552713145</v>
      </c>
      <c r="N503">
        <v>4.1563039445621508E-2</v>
      </c>
      <c r="O503">
        <v>1.7369628425035855E-2</v>
      </c>
      <c r="P503">
        <v>0.23014757663172503</v>
      </c>
      <c r="Q503">
        <v>0.24565617343979276</v>
      </c>
      <c r="R503">
        <v>0.1246891183368645</v>
      </c>
      <c r="S503">
        <v>0.12592980608150992</v>
      </c>
      <c r="T503">
        <v>5.9553011742980062E-2</v>
      </c>
      <c r="U503">
        <v>0.33560603492658558</v>
      </c>
      <c r="V503">
        <v>5.2108885275107555E-2</v>
      </c>
      <c r="W503">
        <v>0.20595416561113938</v>
      </c>
      <c r="X503">
        <v>0.10856017765647408</v>
      </c>
      <c r="Y503">
        <v>0.16377078229319519</v>
      </c>
      <c r="Z503">
        <v>8.7468485997501969E-2</v>
      </c>
      <c r="AA503">
        <v>0.17369628425035852</v>
      </c>
      <c r="AB503">
        <v>0.17679800361197207</v>
      </c>
      <c r="AC503">
        <v>0.20843554110043022</v>
      </c>
      <c r="AD503">
        <v>0.22518482565314335</v>
      </c>
      <c r="AE503">
        <v>0.42989830351963731</v>
      </c>
      <c r="AF503">
        <v>8.7468485997501969E-2</v>
      </c>
      <c r="AG503">
        <v>6.20343872322709E-2</v>
      </c>
      <c r="AH503">
        <v>0.19044556880307165</v>
      </c>
      <c r="AI503">
        <v>1.5508596808067725E-2</v>
      </c>
      <c r="AJ503">
        <v>5.5210604636721103E-2</v>
      </c>
      <c r="AK503">
        <v>0.10856017765647408</v>
      </c>
      <c r="AL503">
        <v>5.8932667870657353E-2</v>
      </c>
      <c r="AM503">
        <v>0.16501147003784061</v>
      </c>
      <c r="AN503">
        <v>0.23635101535495212</v>
      </c>
      <c r="AO503" t="s">
        <v>19</v>
      </c>
      <c r="AT503" t="str">
        <f t="shared" si="14"/>
        <v>lcv</v>
      </c>
      <c r="AU503" t="str">
        <f t="shared" si="15"/>
        <v>dsl</v>
      </c>
    </row>
    <row r="504" spans="1:47">
      <c r="A504" t="s">
        <v>17</v>
      </c>
      <c r="B504" t="s">
        <v>176</v>
      </c>
      <c r="C504" t="s">
        <v>608</v>
      </c>
      <c r="D504" t="s">
        <v>19</v>
      </c>
      <c r="E504" t="s">
        <v>19</v>
      </c>
      <c r="F504" t="s">
        <v>19</v>
      </c>
      <c r="G504" t="s">
        <v>601</v>
      </c>
      <c r="H504" t="s">
        <v>19</v>
      </c>
      <c r="I504" t="s">
        <v>19</v>
      </c>
      <c r="J504" t="s">
        <v>19</v>
      </c>
      <c r="K504" t="s">
        <v>19</v>
      </c>
      <c r="L504">
        <v>0.18858453718610355</v>
      </c>
      <c r="M504">
        <v>0.16749284552713145</v>
      </c>
      <c r="N504">
        <v>4.1563039445621508E-2</v>
      </c>
      <c r="O504">
        <v>1.7369628425035855E-2</v>
      </c>
      <c r="P504">
        <v>0.23014757663172503</v>
      </c>
      <c r="Q504">
        <v>0.24565617343979276</v>
      </c>
      <c r="R504">
        <v>0.1246891183368645</v>
      </c>
      <c r="S504">
        <v>0.12592980608150992</v>
      </c>
      <c r="T504">
        <v>5.9553011742980062E-2</v>
      </c>
      <c r="U504">
        <v>0.33560603492658558</v>
      </c>
      <c r="V504">
        <v>5.2108885275107555E-2</v>
      </c>
      <c r="W504">
        <v>0.20595416561113938</v>
      </c>
      <c r="X504">
        <v>0.10856017765647408</v>
      </c>
      <c r="Y504">
        <v>0.16377078229319519</v>
      </c>
      <c r="Z504">
        <v>8.7468485997501969E-2</v>
      </c>
      <c r="AA504">
        <v>0.17369628425035852</v>
      </c>
      <c r="AB504">
        <v>0.17679800361197207</v>
      </c>
      <c r="AC504">
        <v>0.20843554110043022</v>
      </c>
      <c r="AD504">
        <v>0.22518482565314335</v>
      </c>
      <c r="AE504">
        <v>0.42989830351963731</v>
      </c>
      <c r="AF504">
        <v>8.7468485997501969E-2</v>
      </c>
      <c r="AG504">
        <v>6.20343872322709E-2</v>
      </c>
      <c r="AH504">
        <v>0.19044556880307165</v>
      </c>
      <c r="AI504">
        <v>1.5508596808067725E-2</v>
      </c>
      <c r="AJ504">
        <v>5.5210604636721103E-2</v>
      </c>
      <c r="AK504">
        <v>0.10856017765647408</v>
      </c>
      <c r="AL504">
        <v>5.8932667870657353E-2</v>
      </c>
      <c r="AM504">
        <v>0.16501147003784061</v>
      </c>
      <c r="AN504">
        <v>0.23635101535495212</v>
      </c>
      <c r="AO504" t="s">
        <v>19</v>
      </c>
      <c r="AT504" t="str">
        <f t="shared" si="14"/>
        <v>lcv</v>
      </c>
      <c r="AU504" t="str">
        <f t="shared" si="15"/>
        <v>dsl</v>
      </c>
    </row>
    <row r="505" spans="1:47">
      <c r="A505" t="s">
        <v>17</v>
      </c>
      <c r="B505" t="s">
        <v>176</v>
      </c>
      <c r="C505" t="s">
        <v>608</v>
      </c>
      <c r="D505" t="s">
        <v>19</v>
      </c>
      <c r="E505" t="s">
        <v>19</v>
      </c>
      <c r="F505" t="s">
        <v>19</v>
      </c>
      <c r="G505" t="s">
        <v>600</v>
      </c>
      <c r="H505" t="s">
        <v>19</v>
      </c>
      <c r="I505" t="s">
        <v>19</v>
      </c>
      <c r="J505" t="s">
        <v>19</v>
      </c>
      <c r="K505" t="s">
        <v>19</v>
      </c>
      <c r="L505">
        <v>0.18858453718610355</v>
      </c>
      <c r="M505">
        <v>0.16749284552713145</v>
      </c>
      <c r="N505">
        <v>4.1563039445621508E-2</v>
      </c>
      <c r="O505">
        <v>1.7369628425035855E-2</v>
      </c>
      <c r="P505">
        <v>0.23014757663172503</v>
      </c>
      <c r="Q505">
        <v>0.24565617343979276</v>
      </c>
      <c r="R505">
        <v>0.1246891183368645</v>
      </c>
      <c r="S505">
        <v>0.12592980608150992</v>
      </c>
      <c r="T505">
        <v>5.9553011742980062E-2</v>
      </c>
      <c r="U505">
        <v>0.33560603492658558</v>
      </c>
      <c r="V505">
        <v>5.2108885275107555E-2</v>
      </c>
      <c r="W505">
        <v>0.20595416561113938</v>
      </c>
      <c r="X505">
        <v>0.10856017765647408</v>
      </c>
      <c r="Y505">
        <v>0.16377078229319519</v>
      </c>
      <c r="Z505">
        <v>8.7468485997501969E-2</v>
      </c>
      <c r="AA505">
        <v>0.17369628425035852</v>
      </c>
      <c r="AB505">
        <v>0.17679800361197207</v>
      </c>
      <c r="AC505">
        <v>0.20843554110043022</v>
      </c>
      <c r="AD505">
        <v>0.22518482565314335</v>
      </c>
      <c r="AE505">
        <v>0.42989830351963731</v>
      </c>
      <c r="AF505">
        <v>8.7468485997501969E-2</v>
      </c>
      <c r="AG505">
        <v>6.20343872322709E-2</v>
      </c>
      <c r="AH505">
        <v>0.19044556880307165</v>
      </c>
      <c r="AI505">
        <v>1.5508596808067725E-2</v>
      </c>
      <c r="AJ505">
        <v>5.5210604636721103E-2</v>
      </c>
      <c r="AK505">
        <v>0.10856017765647408</v>
      </c>
      <c r="AL505">
        <v>5.8932667870657353E-2</v>
      </c>
      <c r="AM505">
        <v>0.16501147003784061</v>
      </c>
      <c r="AN505">
        <v>0.23635101535495212</v>
      </c>
      <c r="AO505" t="s">
        <v>19</v>
      </c>
      <c r="AT505" t="str">
        <f t="shared" si="14"/>
        <v>lcv</v>
      </c>
      <c r="AU505" t="str">
        <f t="shared" si="15"/>
        <v>dsl</v>
      </c>
    </row>
    <row r="506" spans="1:47">
      <c r="A506" t="s">
        <v>17</v>
      </c>
      <c r="B506" t="s">
        <v>176</v>
      </c>
      <c r="C506" t="s">
        <v>608</v>
      </c>
      <c r="D506" t="s">
        <v>19</v>
      </c>
      <c r="E506" t="s">
        <v>19</v>
      </c>
      <c r="F506" t="s">
        <v>19</v>
      </c>
      <c r="G506" t="s">
        <v>599</v>
      </c>
      <c r="H506" t="s">
        <v>19</v>
      </c>
      <c r="I506" t="s">
        <v>19</v>
      </c>
      <c r="J506" t="s">
        <v>19</v>
      </c>
      <c r="K506" t="s">
        <v>19</v>
      </c>
      <c r="L506">
        <v>0.18858453718610355</v>
      </c>
      <c r="M506">
        <v>0.16749284552713145</v>
      </c>
      <c r="N506">
        <v>4.1563039445621508E-2</v>
      </c>
      <c r="O506">
        <v>1.7369628425035855E-2</v>
      </c>
      <c r="P506">
        <v>0.23014757663172503</v>
      </c>
      <c r="Q506">
        <v>0.24565617343979276</v>
      </c>
      <c r="R506">
        <v>0.1246891183368645</v>
      </c>
      <c r="S506">
        <v>0.12592980608150992</v>
      </c>
      <c r="T506">
        <v>5.9553011742980062E-2</v>
      </c>
      <c r="U506">
        <v>0.33560603492658558</v>
      </c>
      <c r="V506">
        <v>5.2108885275107555E-2</v>
      </c>
      <c r="W506">
        <v>0.20595416561113938</v>
      </c>
      <c r="X506">
        <v>0.10856017765647408</v>
      </c>
      <c r="Y506">
        <v>0.16377078229319519</v>
      </c>
      <c r="Z506">
        <v>8.7468485997501969E-2</v>
      </c>
      <c r="AA506">
        <v>0.17369628425035852</v>
      </c>
      <c r="AB506">
        <v>0.17679800361197207</v>
      </c>
      <c r="AC506">
        <v>0.20843554110043022</v>
      </c>
      <c r="AD506">
        <v>0.22518482565314335</v>
      </c>
      <c r="AE506">
        <v>0.42989830351963731</v>
      </c>
      <c r="AF506">
        <v>8.7468485997501969E-2</v>
      </c>
      <c r="AG506">
        <v>6.20343872322709E-2</v>
      </c>
      <c r="AH506">
        <v>0.19044556880307165</v>
      </c>
      <c r="AI506">
        <v>1.5508596808067725E-2</v>
      </c>
      <c r="AJ506">
        <v>5.5210604636721103E-2</v>
      </c>
      <c r="AK506">
        <v>0.10856017765647408</v>
      </c>
      <c r="AL506">
        <v>5.8932667870657353E-2</v>
      </c>
      <c r="AM506">
        <v>0.16501147003784061</v>
      </c>
      <c r="AN506">
        <v>0.23635101535495212</v>
      </c>
      <c r="AO506" t="s">
        <v>19</v>
      </c>
      <c r="AT506" t="str">
        <f t="shared" si="14"/>
        <v>lcv</v>
      </c>
      <c r="AU506" t="str">
        <f t="shared" si="15"/>
        <v>dsl</v>
      </c>
    </row>
    <row r="507" spans="1:47">
      <c r="A507" t="s">
        <v>17</v>
      </c>
      <c r="B507" t="s">
        <v>176</v>
      </c>
      <c r="C507" t="s">
        <v>608</v>
      </c>
      <c r="D507" t="s">
        <v>19</v>
      </c>
      <c r="E507" t="s">
        <v>19</v>
      </c>
      <c r="F507" t="s">
        <v>19</v>
      </c>
      <c r="G507" t="s">
        <v>598</v>
      </c>
      <c r="H507" t="s">
        <v>19</v>
      </c>
      <c r="I507" t="s">
        <v>19</v>
      </c>
      <c r="J507" t="s">
        <v>19</v>
      </c>
      <c r="K507" t="s">
        <v>19</v>
      </c>
      <c r="L507">
        <v>0.18858453718610355</v>
      </c>
      <c r="M507">
        <v>0.16749284552713145</v>
      </c>
      <c r="N507">
        <v>4.1563039445621508E-2</v>
      </c>
      <c r="O507">
        <v>1.7369628425035855E-2</v>
      </c>
      <c r="P507">
        <v>0.23014757663172503</v>
      </c>
      <c r="Q507">
        <v>0.24565617343979276</v>
      </c>
      <c r="R507">
        <v>0.1246891183368645</v>
      </c>
      <c r="S507">
        <v>0.12592980608150992</v>
      </c>
      <c r="T507">
        <v>5.9553011742980062E-2</v>
      </c>
      <c r="U507">
        <v>0.33560603492658558</v>
      </c>
      <c r="V507">
        <v>5.2108885275107555E-2</v>
      </c>
      <c r="W507">
        <v>0.20595416561113938</v>
      </c>
      <c r="X507">
        <v>0.10856017765647408</v>
      </c>
      <c r="Y507">
        <v>0.16377078229319519</v>
      </c>
      <c r="Z507">
        <v>8.7468485997501969E-2</v>
      </c>
      <c r="AA507">
        <v>0.17369628425035852</v>
      </c>
      <c r="AB507">
        <v>0.17679800361197207</v>
      </c>
      <c r="AC507">
        <v>0.20843554110043022</v>
      </c>
      <c r="AD507">
        <v>0.22518482565314335</v>
      </c>
      <c r="AE507">
        <v>0.42989830351963731</v>
      </c>
      <c r="AF507">
        <v>8.7468485997501969E-2</v>
      </c>
      <c r="AG507">
        <v>6.20343872322709E-2</v>
      </c>
      <c r="AH507">
        <v>0.19044556880307165</v>
      </c>
      <c r="AI507">
        <v>1.5508596808067725E-2</v>
      </c>
      <c r="AJ507">
        <v>5.5210604636721103E-2</v>
      </c>
      <c r="AK507">
        <v>0.10856017765647408</v>
      </c>
      <c r="AL507">
        <v>5.8932667870657353E-2</v>
      </c>
      <c r="AM507">
        <v>0.16501147003784061</v>
      </c>
      <c r="AN507">
        <v>0.23635101535495212</v>
      </c>
      <c r="AO507" t="s">
        <v>19</v>
      </c>
      <c r="AT507" t="str">
        <f t="shared" si="14"/>
        <v>lcv</v>
      </c>
      <c r="AU507" t="str">
        <f t="shared" si="15"/>
        <v>dsl</v>
      </c>
    </row>
    <row r="508" spans="1:47">
      <c r="A508" t="s">
        <v>17</v>
      </c>
      <c r="B508" t="s">
        <v>176</v>
      </c>
      <c r="C508" t="s">
        <v>608</v>
      </c>
      <c r="D508" t="s">
        <v>19</v>
      </c>
      <c r="E508" t="s">
        <v>19</v>
      </c>
      <c r="F508" t="s">
        <v>19</v>
      </c>
      <c r="G508" t="s">
        <v>597</v>
      </c>
      <c r="H508" t="s">
        <v>19</v>
      </c>
      <c r="I508" t="s">
        <v>19</v>
      </c>
      <c r="J508" t="s">
        <v>19</v>
      </c>
      <c r="K508" t="s">
        <v>19</v>
      </c>
      <c r="L508">
        <v>0.18858453718610355</v>
      </c>
      <c r="M508">
        <v>0.16749284552713145</v>
      </c>
      <c r="N508">
        <v>4.1563039445621508E-2</v>
      </c>
      <c r="O508">
        <v>1.7369628425035855E-2</v>
      </c>
      <c r="P508">
        <v>0.23014757663172503</v>
      </c>
      <c r="Q508">
        <v>0.24565617343979276</v>
      </c>
      <c r="R508">
        <v>0.1246891183368645</v>
      </c>
      <c r="S508">
        <v>0.12592980608150992</v>
      </c>
      <c r="T508">
        <v>5.9553011742980062E-2</v>
      </c>
      <c r="U508">
        <v>0.33560603492658558</v>
      </c>
      <c r="V508">
        <v>5.2108885275107555E-2</v>
      </c>
      <c r="W508">
        <v>0.20595416561113938</v>
      </c>
      <c r="X508">
        <v>0.10856017765647408</v>
      </c>
      <c r="Y508">
        <v>0.16377078229319519</v>
      </c>
      <c r="Z508">
        <v>8.7468485997501969E-2</v>
      </c>
      <c r="AA508">
        <v>0.17369628425035852</v>
      </c>
      <c r="AB508">
        <v>0.17679800361197207</v>
      </c>
      <c r="AC508">
        <v>0.20843554110043022</v>
      </c>
      <c r="AD508">
        <v>0.22518482565314335</v>
      </c>
      <c r="AE508">
        <v>0.42989830351963731</v>
      </c>
      <c r="AF508">
        <v>8.7468485997501969E-2</v>
      </c>
      <c r="AG508">
        <v>6.20343872322709E-2</v>
      </c>
      <c r="AH508">
        <v>0.19044556880307165</v>
      </c>
      <c r="AI508">
        <v>1.5508596808067725E-2</v>
      </c>
      <c r="AJ508">
        <v>5.5210604636721103E-2</v>
      </c>
      <c r="AK508">
        <v>0.10856017765647408</v>
      </c>
      <c r="AL508">
        <v>5.8932667870657353E-2</v>
      </c>
      <c r="AM508">
        <v>0.16501147003784061</v>
      </c>
      <c r="AN508">
        <v>0.23635101535495212</v>
      </c>
      <c r="AO508" t="s">
        <v>19</v>
      </c>
      <c r="AT508" t="str">
        <f t="shared" si="14"/>
        <v>lcv</v>
      </c>
      <c r="AU508" t="str">
        <f t="shared" si="15"/>
        <v>dsl</v>
      </c>
    </row>
    <row r="509" spans="1:47">
      <c r="A509" t="s">
        <v>17</v>
      </c>
      <c r="B509" t="s">
        <v>176</v>
      </c>
      <c r="C509" t="s">
        <v>608</v>
      </c>
      <c r="D509" t="s">
        <v>19</v>
      </c>
      <c r="E509" t="s">
        <v>19</v>
      </c>
      <c r="F509" t="s">
        <v>19</v>
      </c>
      <c r="G509" t="s">
        <v>596</v>
      </c>
      <c r="H509" t="s">
        <v>19</v>
      </c>
      <c r="I509" t="s">
        <v>19</v>
      </c>
      <c r="J509" t="s">
        <v>19</v>
      </c>
      <c r="K509" t="s">
        <v>19</v>
      </c>
      <c r="L509">
        <v>0.18858453718610355</v>
      </c>
      <c r="M509">
        <v>0.16749284552713145</v>
      </c>
      <c r="N509">
        <v>4.1563039445621508E-2</v>
      </c>
      <c r="O509">
        <v>1.7369628425035855E-2</v>
      </c>
      <c r="P509">
        <v>0.23014757663172503</v>
      </c>
      <c r="Q509">
        <v>0.24565617343979276</v>
      </c>
      <c r="R509">
        <v>0.1246891183368645</v>
      </c>
      <c r="S509">
        <v>0.12592980608150992</v>
      </c>
      <c r="T509">
        <v>5.9553011742980062E-2</v>
      </c>
      <c r="U509">
        <v>0.33560603492658558</v>
      </c>
      <c r="V509">
        <v>5.2108885275107555E-2</v>
      </c>
      <c r="W509">
        <v>0.20595416561113938</v>
      </c>
      <c r="X509">
        <v>0.10856017765647408</v>
      </c>
      <c r="Y509">
        <v>0.16377078229319519</v>
      </c>
      <c r="Z509">
        <v>8.7468485997501969E-2</v>
      </c>
      <c r="AA509">
        <v>0.17369628425035852</v>
      </c>
      <c r="AB509">
        <v>0.17679800361197207</v>
      </c>
      <c r="AC509">
        <v>0.20843554110043022</v>
      </c>
      <c r="AD509">
        <v>0.22518482565314335</v>
      </c>
      <c r="AE509">
        <v>0.42989830351963731</v>
      </c>
      <c r="AF509">
        <v>8.7468485997501969E-2</v>
      </c>
      <c r="AG509">
        <v>6.20343872322709E-2</v>
      </c>
      <c r="AH509">
        <v>0.19044556880307165</v>
      </c>
      <c r="AI509">
        <v>1.5508596808067725E-2</v>
      </c>
      <c r="AJ509">
        <v>5.5210604636721103E-2</v>
      </c>
      <c r="AK509">
        <v>0.10856017765647408</v>
      </c>
      <c r="AL509">
        <v>5.8932667870657353E-2</v>
      </c>
      <c r="AM509">
        <v>0.16501147003784061</v>
      </c>
      <c r="AN509">
        <v>0.23635101535495212</v>
      </c>
      <c r="AO509" t="s">
        <v>19</v>
      </c>
      <c r="AT509" t="str">
        <f t="shared" si="14"/>
        <v>lcv</v>
      </c>
      <c r="AU509" t="str">
        <f t="shared" si="15"/>
        <v>dsl</v>
      </c>
    </row>
    <row r="510" spans="1:47">
      <c r="A510" t="s">
        <v>17</v>
      </c>
      <c r="B510" t="s">
        <v>176</v>
      </c>
      <c r="C510" t="s">
        <v>608</v>
      </c>
      <c r="D510" t="s">
        <v>19</v>
      </c>
      <c r="E510" t="s">
        <v>19</v>
      </c>
      <c r="F510" t="s">
        <v>19</v>
      </c>
      <c r="G510" t="s">
        <v>178</v>
      </c>
      <c r="H510" t="s">
        <v>19</v>
      </c>
      <c r="I510" t="s">
        <v>19</v>
      </c>
      <c r="J510" t="s">
        <v>19</v>
      </c>
      <c r="K510" t="s">
        <v>19</v>
      </c>
      <c r="L510">
        <v>0.18858453718610355</v>
      </c>
      <c r="M510">
        <v>0.16749284552713145</v>
      </c>
      <c r="N510">
        <v>4.1563039445621508E-2</v>
      </c>
      <c r="O510">
        <v>1.7369628425035855E-2</v>
      </c>
      <c r="P510">
        <v>0.23014757663172503</v>
      </c>
      <c r="Q510">
        <v>0.24565617343979276</v>
      </c>
      <c r="R510">
        <v>0.1246891183368645</v>
      </c>
      <c r="S510">
        <v>0.12592980608150992</v>
      </c>
      <c r="T510">
        <v>5.9553011742980062E-2</v>
      </c>
      <c r="U510">
        <v>0.33560603492658558</v>
      </c>
      <c r="V510">
        <v>5.2108885275107555E-2</v>
      </c>
      <c r="W510">
        <v>0.20595416561113938</v>
      </c>
      <c r="X510">
        <v>0.10856017765647408</v>
      </c>
      <c r="Y510">
        <v>0.16377078229319519</v>
      </c>
      <c r="Z510">
        <v>8.7468485997501969E-2</v>
      </c>
      <c r="AA510">
        <v>0.17369628425035852</v>
      </c>
      <c r="AB510">
        <v>0.17679800361197207</v>
      </c>
      <c r="AC510">
        <v>0.20843554110043022</v>
      </c>
      <c r="AD510">
        <v>0.22518482565314335</v>
      </c>
      <c r="AE510">
        <v>0.42989830351963731</v>
      </c>
      <c r="AF510">
        <v>8.7468485997501969E-2</v>
      </c>
      <c r="AG510">
        <v>6.20343872322709E-2</v>
      </c>
      <c r="AH510">
        <v>0.19044556880307165</v>
      </c>
      <c r="AI510">
        <v>1.5508596808067725E-2</v>
      </c>
      <c r="AJ510">
        <v>5.5210604636721103E-2</v>
      </c>
      <c r="AK510">
        <v>0.10856017765647408</v>
      </c>
      <c r="AL510">
        <v>5.8932667870657353E-2</v>
      </c>
      <c r="AM510">
        <v>0.16501147003784061</v>
      </c>
      <c r="AN510">
        <v>0.23635101535495212</v>
      </c>
      <c r="AO510" t="s">
        <v>19</v>
      </c>
      <c r="AT510" t="str">
        <f t="shared" si="14"/>
        <v>lcv</v>
      </c>
      <c r="AU510" t="str">
        <f t="shared" si="15"/>
        <v>dsl</v>
      </c>
    </row>
    <row r="511" spans="1:47">
      <c r="A511" t="s">
        <v>17</v>
      </c>
      <c r="B511" t="s">
        <v>176</v>
      </c>
      <c r="C511" t="s">
        <v>608</v>
      </c>
      <c r="D511" t="s">
        <v>19</v>
      </c>
      <c r="E511" t="s">
        <v>19</v>
      </c>
      <c r="F511" t="s">
        <v>19</v>
      </c>
      <c r="G511" t="s">
        <v>179</v>
      </c>
      <c r="H511" t="s">
        <v>19</v>
      </c>
      <c r="I511" t="s">
        <v>19</v>
      </c>
      <c r="J511" t="s">
        <v>19</v>
      </c>
      <c r="K511" t="s">
        <v>19</v>
      </c>
      <c r="L511">
        <v>0.18858453718610355</v>
      </c>
      <c r="M511">
        <v>0.16749284552713145</v>
      </c>
      <c r="N511">
        <v>4.1563039445621508E-2</v>
      </c>
      <c r="O511">
        <v>1.7369628425035855E-2</v>
      </c>
      <c r="P511">
        <v>0.23014757663172503</v>
      </c>
      <c r="Q511">
        <v>0.24565617343979276</v>
      </c>
      <c r="R511">
        <v>0.1246891183368645</v>
      </c>
      <c r="S511">
        <v>0.12592980608150992</v>
      </c>
      <c r="T511">
        <v>5.9553011742980062E-2</v>
      </c>
      <c r="U511">
        <v>0.33560603492658558</v>
      </c>
      <c r="V511">
        <v>5.2108885275107555E-2</v>
      </c>
      <c r="W511">
        <v>0.20595416561113938</v>
      </c>
      <c r="X511">
        <v>0.10856017765647408</v>
      </c>
      <c r="Y511">
        <v>0.16377078229319519</v>
      </c>
      <c r="Z511">
        <v>8.7468485997501969E-2</v>
      </c>
      <c r="AA511">
        <v>0.17369628425035852</v>
      </c>
      <c r="AB511">
        <v>0.17679800361197207</v>
      </c>
      <c r="AC511">
        <v>0.20843554110043022</v>
      </c>
      <c r="AD511">
        <v>0.22518482565314335</v>
      </c>
      <c r="AE511">
        <v>0.42989830351963731</v>
      </c>
      <c r="AF511">
        <v>8.7468485997501969E-2</v>
      </c>
      <c r="AG511">
        <v>6.20343872322709E-2</v>
      </c>
      <c r="AH511">
        <v>0.19044556880307165</v>
      </c>
      <c r="AI511">
        <v>1.5508596808067725E-2</v>
      </c>
      <c r="AJ511">
        <v>5.5210604636721103E-2</v>
      </c>
      <c r="AK511">
        <v>0.10856017765647408</v>
      </c>
      <c r="AL511">
        <v>5.8932667870657353E-2</v>
      </c>
      <c r="AM511">
        <v>0.16501147003784061</v>
      </c>
      <c r="AN511">
        <v>0.23635101535495212</v>
      </c>
      <c r="AO511" t="s">
        <v>19</v>
      </c>
      <c r="AT511" t="str">
        <f t="shared" si="14"/>
        <v>lcv</v>
      </c>
      <c r="AU511" t="str">
        <f t="shared" si="15"/>
        <v>dsl</v>
      </c>
    </row>
    <row r="512" spans="1:47">
      <c r="A512" t="s">
        <v>17</v>
      </c>
      <c r="B512" t="s">
        <v>176</v>
      </c>
      <c r="C512" t="s">
        <v>608</v>
      </c>
      <c r="D512" t="s">
        <v>19</v>
      </c>
      <c r="E512" t="s">
        <v>19</v>
      </c>
      <c r="F512" t="s">
        <v>19</v>
      </c>
      <c r="G512" t="s">
        <v>180</v>
      </c>
      <c r="H512" t="s">
        <v>19</v>
      </c>
      <c r="I512" t="s">
        <v>19</v>
      </c>
      <c r="J512" t="s">
        <v>19</v>
      </c>
      <c r="K512" t="s">
        <v>19</v>
      </c>
      <c r="L512">
        <v>0.18858453718610355</v>
      </c>
      <c r="M512">
        <v>0.16749284552713145</v>
      </c>
      <c r="N512">
        <v>4.1563039445621508E-2</v>
      </c>
      <c r="O512">
        <v>1.7369628425035855E-2</v>
      </c>
      <c r="P512">
        <v>0.23014757663172503</v>
      </c>
      <c r="Q512">
        <v>0.24565617343979276</v>
      </c>
      <c r="R512">
        <v>0.1246891183368645</v>
      </c>
      <c r="S512">
        <v>0.12592980608150992</v>
      </c>
      <c r="T512">
        <v>5.9553011742980062E-2</v>
      </c>
      <c r="U512">
        <v>0.33560603492658558</v>
      </c>
      <c r="V512">
        <v>5.2108885275107555E-2</v>
      </c>
      <c r="W512">
        <v>0.20595416561113938</v>
      </c>
      <c r="X512">
        <v>0.10856017765647408</v>
      </c>
      <c r="Y512">
        <v>0.16377078229319519</v>
      </c>
      <c r="Z512">
        <v>8.7468485997501969E-2</v>
      </c>
      <c r="AA512">
        <v>0.17369628425035852</v>
      </c>
      <c r="AB512">
        <v>0.17679800361197207</v>
      </c>
      <c r="AC512">
        <v>0.20843554110043022</v>
      </c>
      <c r="AD512">
        <v>0.22518482565314335</v>
      </c>
      <c r="AE512">
        <v>0.42989830351963731</v>
      </c>
      <c r="AF512">
        <v>8.7468485997501969E-2</v>
      </c>
      <c r="AG512">
        <v>6.20343872322709E-2</v>
      </c>
      <c r="AH512">
        <v>0.19044556880307165</v>
      </c>
      <c r="AI512">
        <v>1.5508596808067725E-2</v>
      </c>
      <c r="AJ512">
        <v>5.5210604636721103E-2</v>
      </c>
      <c r="AK512">
        <v>0.10856017765647408</v>
      </c>
      <c r="AL512">
        <v>5.8932667870657353E-2</v>
      </c>
      <c r="AM512">
        <v>0.16501147003784061</v>
      </c>
      <c r="AN512">
        <v>0.23635101535495212</v>
      </c>
      <c r="AO512" t="s">
        <v>19</v>
      </c>
      <c r="AT512" t="str">
        <f t="shared" si="14"/>
        <v>lcv</v>
      </c>
      <c r="AU512" t="str">
        <f t="shared" si="15"/>
        <v>dsl</v>
      </c>
    </row>
    <row r="513" spans="1:47">
      <c r="A513" t="s">
        <v>17</v>
      </c>
      <c r="B513" t="s">
        <v>176</v>
      </c>
      <c r="C513" t="s">
        <v>608</v>
      </c>
      <c r="D513" t="s">
        <v>19</v>
      </c>
      <c r="E513" t="s">
        <v>19</v>
      </c>
      <c r="F513" t="s">
        <v>19</v>
      </c>
      <c r="G513" t="s">
        <v>181</v>
      </c>
      <c r="H513" t="s">
        <v>19</v>
      </c>
      <c r="I513" t="s">
        <v>19</v>
      </c>
      <c r="J513" t="s">
        <v>19</v>
      </c>
      <c r="K513" t="s">
        <v>19</v>
      </c>
      <c r="L513">
        <v>0.18858453718610355</v>
      </c>
      <c r="M513">
        <v>0.16749284552713145</v>
      </c>
      <c r="N513">
        <v>4.1563039445621508E-2</v>
      </c>
      <c r="O513">
        <v>1.7369628425035855E-2</v>
      </c>
      <c r="P513">
        <v>0.23014757663172503</v>
      </c>
      <c r="Q513">
        <v>0.24565617343979276</v>
      </c>
      <c r="R513">
        <v>0.1246891183368645</v>
      </c>
      <c r="S513">
        <v>0.12592980608150992</v>
      </c>
      <c r="T513">
        <v>5.9553011742980062E-2</v>
      </c>
      <c r="U513">
        <v>0.33560603492658558</v>
      </c>
      <c r="V513">
        <v>5.2108885275107555E-2</v>
      </c>
      <c r="W513">
        <v>0.20595416561113938</v>
      </c>
      <c r="X513">
        <v>0.10856017765647408</v>
      </c>
      <c r="Y513">
        <v>0.16377078229319519</v>
      </c>
      <c r="Z513">
        <v>8.7468485997501969E-2</v>
      </c>
      <c r="AA513">
        <v>0.17369628425035852</v>
      </c>
      <c r="AB513">
        <v>0.17679800361197207</v>
      </c>
      <c r="AC513">
        <v>0.20843554110043022</v>
      </c>
      <c r="AD513">
        <v>0.22518482565314335</v>
      </c>
      <c r="AE513">
        <v>0.42989830351963731</v>
      </c>
      <c r="AF513">
        <v>8.7468485997501969E-2</v>
      </c>
      <c r="AG513">
        <v>6.20343872322709E-2</v>
      </c>
      <c r="AH513">
        <v>0.19044556880307165</v>
      </c>
      <c r="AI513">
        <v>1.5508596808067725E-2</v>
      </c>
      <c r="AJ513">
        <v>5.5210604636721103E-2</v>
      </c>
      <c r="AK513">
        <v>0.10856017765647408</v>
      </c>
      <c r="AL513">
        <v>5.8932667870657353E-2</v>
      </c>
      <c r="AM513">
        <v>0.16501147003784061</v>
      </c>
      <c r="AN513">
        <v>0.23635101535495212</v>
      </c>
      <c r="AO513" t="s">
        <v>19</v>
      </c>
      <c r="AT513" t="str">
        <f t="shared" si="14"/>
        <v>lcv</v>
      </c>
      <c r="AU513" t="str">
        <f t="shared" si="15"/>
        <v>dsl</v>
      </c>
    </row>
    <row r="514" spans="1:47">
      <c r="A514" t="s">
        <v>17</v>
      </c>
      <c r="B514" t="s">
        <v>176</v>
      </c>
      <c r="C514" t="s">
        <v>608</v>
      </c>
      <c r="D514" t="s">
        <v>19</v>
      </c>
      <c r="E514" t="s">
        <v>19</v>
      </c>
      <c r="F514" t="s">
        <v>19</v>
      </c>
      <c r="G514" t="s">
        <v>182</v>
      </c>
      <c r="H514" t="s">
        <v>19</v>
      </c>
      <c r="I514" t="s">
        <v>19</v>
      </c>
      <c r="J514" t="s">
        <v>19</v>
      </c>
      <c r="K514" t="s">
        <v>19</v>
      </c>
      <c r="L514">
        <v>0.18858453718610355</v>
      </c>
      <c r="M514">
        <v>0.16749284552713145</v>
      </c>
      <c r="N514">
        <v>4.1563039445621508E-2</v>
      </c>
      <c r="O514">
        <v>1.7369628425035855E-2</v>
      </c>
      <c r="P514">
        <v>0.23014757663172503</v>
      </c>
      <c r="Q514">
        <v>0.24565617343979276</v>
      </c>
      <c r="R514">
        <v>0.1246891183368645</v>
      </c>
      <c r="S514">
        <v>0.12592980608150992</v>
      </c>
      <c r="T514">
        <v>5.9553011742980062E-2</v>
      </c>
      <c r="U514">
        <v>0.33560603492658558</v>
      </c>
      <c r="V514">
        <v>5.2108885275107555E-2</v>
      </c>
      <c r="W514">
        <v>0.20595416561113938</v>
      </c>
      <c r="X514">
        <v>0.10856017765647408</v>
      </c>
      <c r="Y514">
        <v>0.16377078229319519</v>
      </c>
      <c r="Z514">
        <v>8.7468485997501969E-2</v>
      </c>
      <c r="AA514">
        <v>0.17369628425035852</v>
      </c>
      <c r="AB514">
        <v>0.17679800361197207</v>
      </c>
      <c r="AC514">
        <v>0.20843554110043022</v>
      </c>
      <c r="AD514">
        <v>0.22518482565314335</v>
      </c>
      <c r="AE514">
        <v>0.42989830351963731</v>
      </c>
      <c r="AF514">
        <v>8.7468485997501969E-2</v>
      </c>
      <c r="AG514">
        <v>6.20343872322709E-2</v>
      </c>
      <c r="AH514">
        <v>0.19044556880307165</v>
      </c>
      <c r="AI514">
        <v>1.5508596808067725E-2</v>
      </c>
      <c r="AJ514">
        <v>5.5210604636721103E-2</v>
      </c>
      <c r="AK514">
        <v>0.10856017765647408</v>
      </c>
      <c r="AL514">
        <v>5.8932667870657353E-2</v>
      </c>
      <c r="AM514">
        <v>0.16501147003784061</v>
      </c>
      <c r="AN514">
        <v>0.23635101535495212</v>
      </c>
      <c r="AO514" t="s">
        <v>19</v>
      </c>
      <c r="AT514" t="str">
        <f t="shared" si="14"/>
        <v>lcv</v>
      </c>
      <c r="AU514" t="str">
        <f t="shared" si="15"/>
        <v>dsl</v>
      </c>
    </row>
    <row r="515" spans="1:47">
      <c r="A515" t="s">
        <v>17</v>
      </c>
      <c r="B515" t="s">
        <v>176</v>
      </c>
      <c r="C515" t="s">
        <v>608</v>
      </c>
      <c r="D515" t="s">
        <v>19</v>
      </c>
      <c r="E515" t="s">
        <v>19</v>
      </c>
      <c r="F515" t="s">
        <v>19</v>
      </c>
      <c r="G515" t="s">
        <v>183</v>
      </c>
      <c r="H515" t="s">
        <v>19</v>
      </c>
      <c r="I515" t="s">
        <v>19</v>
      </c>
      <c r="J515" t="s">
        <v>19</v>
      </c>
      <c r="K515" t="s">
        <v>19</v>
      </c>
      <c r="L515">
        <v>0.18858453718610355</v>
      </c>
      <c r="M515">
        <v>0.16749284552713145</v>
      </c>
      <c r="N515">
        <v>4.1563039445621508E-2</v>
      </c>
      <c r="O515">
        <v>1.7369628425035855E-2</v>
      </c>
      <c r="P515">
        <v>0.23014757663172503</v>
      </c>
      <c r="Q515">
        <v>0.24565617343979276</v>
      </c>
      <c r="R515">
        <v>0.1246891183368645</v>
      </c>
      <c r="S515">
        <v>0.12592980608150992</v>
      </c>
      <c r="T515">
        <v>5.9553011742980062E-2</v>
      </c>
      <c r="U515">
        <v>0.33560603492658558</v>
      </c>
      <c r="V515">
        <v>5.2108885275107555E-2</v>
      </c>
      <c r="W515">
        <v>0.20595416561113938</v>
      </c>
      <c r="X515">
        <v>0.10856017765647408</v>
      </c>
      <c r="Y515">
        <v>0.16377078229319519</v>
      </c>
      <c r="Z515">
        <v>8.7468485997501969E-2</v>
      </c>
      <c r="AA515">
        <v>0.17369628425035852</v>
      </c>
      <c r="AB515">
        <v>0.17679800361197207</v>
      </c>
      <c r="AC515">
        <v>0.20843554110043022</v>
      </c>
      <c r="AD515">
        <v>0.22518482565314335</v>
      </c>
      <c r="AE515">
        <v>0.42989830351963731</v>
      </c>
      <c r="AF515">
        <v>8.7468485997501969E-2</v>
      </c>
      <c r="AG515">
        <v>6.20343872322709E-2</v>
      </c>
      <c r="AH515">
        <v>0.19044556880307165</v>
      </c>
      <c r="AI515">
        <v>1.5508596808067725E-2</v>
      </c>
      <c r="AJ515">
        <v>5.5210604636721103E-2</v>
      </c>
      <c r="AK515">
        <v>0.10856017765647408</v>
      </c>
      <c r="AL515">
        <v>5.8932667870657353E-2</v>
      </c>
      <c r="AM515">
        <v>0.16501147003784061</v>
      </c>
      <c r="AN515">
        <v>0.23635101535495212</v>
      </c>
      <c r="AO515" t="s">
        <v>19</v>
      </c>
      <c r="AT515" t="str">
        <f t="shared" ref="AT515:AT578" si="16">MID(C515,5,3)</f>
        <v>lcv</v>
      </c>
      <c r="AU515" t="str">
        <f t="shared" ref="AU515:AU578" si="17">RIGHT(C515,3)</f>
        <v>dsl</v>
      </c>
    </row>
    <row r="516" spans="1:47">
      <c r="A516" t="s">
        <v>17</v>
      </c>
      <c r="B516" t="s">
        <v>176</v>
      </c>
      <c r="C516" t="s">
        <v>608</v>
      </c>
      <c r="D516" t="s">
        <v>19</v>
      </c>
      <c r="E516" t="s">
        <v>19</v>
      </c>
      <c r="F516" t="s">
        <v>19</v>
      </c>
      <c r="G516" t="s">
        <v>184</v>
      </c>
      <c r="H516" t="s">
        <v>19</v>
      </c>
      <c r="I516" t="s">
        <v>19</v>
      </c>
      <c r="J516" t="s">
        <v>19</v>
      </c>
      <c r="K516" t="s">
        <v>19</v>
      </c>
      <c r="L516">
        <v>0.18858453718610355</v>
      </c>
      <c r="M516">
        <v>0.16749284552713145</v>
      </c>
      <c r="N516">
        <v>4.1563039445621508E-2</v>
      </c>
      <c r="O516">
        <v>1.7369628425035855E-2</v>
      </c>
      <c r="P516">
        <v>0.23014757663172503</v>
      </c>
      <c r="Q516">
        <v>0.24565617343979276</v>
      </c>
      <c r="R516">
        <v>0.1246891183368645</v>
      </c>
      <c r="S516">
        <v>0.12592980608150992</v>
      </c>
      <c r="T516">
        <v>5.9553011742980062E-2</v>
      </c>
      <c r="U516">
        <v>0.33560603492658558</v>
      </c>
      <c r="V516">
        <v>5.2108885275107555E-2</v>
      </c>
      <c r="W516">
        <v>0.20595416561113938</v>
      </c>
      <c r="X516">
        <v>0.10856017765647408</v>
      </c>
      <c r="Y516">
        <v>0.16377078229319519</v>
      </c>
      <c r="Z516">
        <v>8.7468485997501969E-2</v>
      </c>
      <c r="AA516">
        <v>0.17369628425035852</v>
      </c>
      <c r="AB516">
        <v>0.17679800361197207</v>
      </c>
      <c r="AC516">
        <v>0.20843554110043022</v>
      </c>
      <c r="AD516">
        <v>0.22518482565314335</v>
      </c>
      <c r="AE516">
        <v>0.42989830351963731</v>
      </c>
      <c r="AF516">
        <v>8.7468485997501969E-2</v>
      </c>
      <c r="AG516">
        <v>6.20343872322709E-2</v>
      </c>
      <c r="AH516">
        <v>0.19044556880307165</v>
      </c>
      <c r="AI516">
        <v>1.5508596808067725E-2</v>
      </c>
      <c r="AJ516">
        <v>5.5210604636721103E-2</v>
      </c>
      <c r="AK516">
        <v>0.10856017765647408</v>
      </c>
      <c r="AL516">
        <v>5.8932667870657353E-2</v>
      </c>
      <c r="AM516">
        <v>0.16501147003784061</v>
      </c>
      <c r="AN516">
        <v>0.23635101535495212</v>
      </c>
      <c r="AO516" t="s">
        <v>19</v>
      </c>
      <c r="AT516" t="str">
        <f t="shared" si="16"/>
        <v>lcv</v>
      </c>
      <c r="AU516" t="str">
        <f t="shared" si="17"/>
        <v>dsl</v>
      </c>
    </row>
    <row r="517" spans="1:47">
      <c r="A517" t="s">
        <v>17</v>
      </c>
      <c r="B517" t="s">
        <v>176</v>
      </c>
      <c r="C517" t="s">
        <v>608</v>
      </c>
      <c r="D517" t="s">
        <v>19</v>
      </c>
      <c r="E517" t="s">
        <v>19</v>
      </c>
      <c r="F517" t="s">
        <v>19</v>
      </c>
      <c r="G517" t="s">
        <v>185</v>
      </c>
      <c r="H517" t="s">
        <v>19</v>
      </c>
      <c r="I517" t="s">
        <v>19</v>
      </c>
      <c r="J517" t="s">
        <v>19</v>
      </c>
      <c r="K517" t="s">
        <v>19</v>
      </c>
      <c r="L517">
        <v>0.18858453718610355</v>
      </c>
      <c r="M517">
        <v>0.16749284552713145</v>
      </c>
      <c r="N517">
        <v>4.1563039445621508E-2</v>
      </c>
      <c r="O517">
        <v>1.7369628425035855E-2</v>
      </c>
      <c r="P517">
        <v>0.23014757663172503</v>
      </c>
      <c r="Q517">
        <v>0.24565617343979276</v>
      </c>
      <c r="R517">
        <v>0.1246891183368645</v>
      </c>
      <c r="S517">
        <v>0.12592980608150992</v>
      </c>
      <c r="T517">
        <v>5.9553011742980062E-2</v>
      </c>
      <c r="U517">
        <v>0.33560603492658558</v>
      </c>
      <c r="V517">
        <v>5.2108885275107555E-2</v>
      </c>
      <c r="W517">
        <v>0.20595416561113938</v>
      </c>
      <c r="X517">
        <v>0.10856017765647408</v>
      </c>
      <c r="Y517">
        <v>0.16377078229319519</v>
      </c>
      <c r="Z517">
        <v>8.7468485997501969E-2</v>
      </c>
      <c r="AA517">
        <v>0.17369628425035852</v>
      </c>
      <c r="AB517">
        <v>0.17679800361197207</v>
      </c>
      <c r="AC517">
        <v>0.20843554110043022</v>
      </c>
      <c r="AD517">
        <v>0.22518482565314335</v>
      </c>
      <c r="AE517">
        <v>0.42989830351963731</v>
      </c>
      <c r="AF517">
        <v>8.7468485997501969E-2</v>
      </c>
      <c r="AG517">
        <v>6.20343872322709E-2</v>
      </c>
      <c r="AH517">
        <v>0.19044556880307165</v>
      </c>
      <c r="AI517">
        <v>1.5508596808067725E-2</v>
      </c>
      <c r="AJ517">
        <v>5.5210604636721103E-2</v>
      </c>
      <c r="AK517">
        <v>0.10856017765647408</v>
      </c>
      <c r="AL517">
        <v>5.8932667870657353E-2</v>
      </c>
      <c r="AM517">
        <v>0.16501147003784061</v>
      </c>
      <c r="AN517">
        <v>0.23635101535495212</v>
      </c>
      <c r="AO517" t="s">
        <v>19</v>
      </c>
      <c r="AT517" t="str">
        <f t="shared" si="16"/>
        <v>lcv</v>
      </c>
      <c r="AU517" t="str">
        <f t="shared" si="17"/>
        <v>dsl</v>
      </c>
    </row>
    <row r="518" spans="1:47">
      <c r="A518" t="s">
        <v>17</v>
      </c>
      <c r="B518" t="s">
        <v>176</v>
      </c>
      <c r="C518" t="s">
        <v>608</v>
      </c>
      <c r="D518" t="s">
        <v>19</v>
      </c>
      <c r="E518" t="s">
        <v>19</v>
      </c>
      <c r="F518" t="s">
        <v>19</v>
      </c>
      <c r="G518" t="s">
        <v>186</v>
      </c>
      <c r="H518" t="s">
        <v>19</v>
      </c>
      <c r="I518" t="s">
        <v>19</v>
      </c>
      <c r="J518" t="s">
        <v>19</v>
      </c>
      <c r="K518" t="s">
        <v>19</v>
      </c>
      <c r="L518">
        <v>0.18858453718610355</v>
      </c>
      <c r="M518">
        <v>0.16749284552713145</v>
      </c>
      <c r="N518">
        <v>4.1563039445621508E-2</v>
      </c>
      <c r="O518">
        <v>1.7369628425035855E-2</v>
      </c>
      <c r="P518">
        <v>0.23014757663172503</v>
      </c>
      <c r="Q518">
        <v>0.24565617343979276</v>
      </c>
      <c r="R518">
        <v>0.1246891183368645</v>
      </c>
      <c r="S518">
        <v>0.12592980608150992</v>
      </c>
      <c r="T518">
        <v>5.9553011742980062E-2</v>
      </c>
      <c r="U518">
        <v>0.33560603492658558</v>
      </c>
      <c r="V518">
        <v>5.2108885275107555E-2</v>
      </c>
      <c r="W518">
        <v>0.20595416561113938</v>
      </c>
      <c r="X518">
        <v>0.10856017765647408</v>
      </c>
      <c r="Y518">
        <v>0.16377078229319519</v>
      </c>
      <c r="Z518">
        <v>8.7468485997501969E-2</v>
      </c>
      <c r="AA518">
        <v>0.17369628425035852</v>
      </c>
      <c r="AB518">
        <v>0.17679800361197207</v>
      </c>
      <c r="AC518">
        <v>0.20843554110043022</v>
      </c>
      <c r="AD518">
        <v>0.22518482565314335</v>
      </c>
      <c r="AE518">
        <v>0.42989830351963731</v>
      </c>
      <c r="AF518">
        <v>8.7468485997501969E-2</v>
      </c>
      <c r="AG518">
        <v>6.20343872322709E-2</v>
      </c>
      <c r="AH518">
        <v>0.19044556880307165</v>
      </c>
      <c r="AI518">
        <v>1.5508596808067725E-2</v>
      </c>
      <c r="AJ518">
        <v>5.5210604636721103E-2</v>
      </c>
      <c r="AK518">
        <v>0.10856017765647408</v>
      </c>
      <c r="AL518">
        <v>5.8932667870657353E-2</v>
      </c>
      <c r="AM518">
        <v>0.16501147003784061</v>
      </c>
      <c r="AN518">
        <v>0.23635101535495212</v>
      </c>
      <c r="AO518" t="s">
        <v>19</v>
      </c>
      <c r="AT518" t="str">
        <f t="shared" si="16"/>
        <v>lcv</v>
      </c>
      <c r="AU518" t="str">
        <f t="shared" si="17"/>
        <v>dsl</v>
      </c>
    </row>
    <row r="519" spans="1:47">
      <c r="A519" t="s">
        <v>17</v>
      </c>
      <c r="B519" t="s">
        <v>176</v>
      </c>
      <c r="C519" t="s">
        <v>608</v>
      </c>
      <c r="D519" t="s">
        <v>19</v>
      </c>
      <c r="E519" t="s">
        <v>19</v>
      </c>
      <c r="F519" t="s">
        <v>19</v>
      </c>
      <c r="G519" t="s">
        <v>187</v>
      </c>
      <c r="H519" t="s">
        <v>19</v>
      </c>
      <c r="I519" t="s">
        <v>19</v>
      </c>
      <c r="J519" t="s">
        <v>19</v>
      </c>
      <c r="K519" t="s">
        <v>19</v>
      </c>
      <c r="L519">
        <v>0.18858453718610355</v>
      </c>
      <c r="M519">
        <v>0.16749284552713145</v>
      </c>
      <c r="N519">
        <v>4.1563039445621508E-2</v>
      </c>
      <c r="O519">
        <v>1.7369628425035855E-2</v>
      </c>
      <c r="P519">
        <v>0.23014757663172503</v>
      </c>
      <c r="Q519">
        <v>0.24565617343979276</v>
      </c>
      <c r="R519">
        <v>0.1246891183368645</v>
      </c>
      <c r="S519">
        <v>0.12592980608150992</v>
      </c>
      <c r="T519">
        <v>5.9553011742980062E-2</v>
      </c>
      <c r="U519">
        <v>0.33560603492658558</v>
      </c>
      <c r="V519">
        <v>5.2108885275107555E-2</v>
      </c>
      <c r="W519">
        <v>0.20595416561113938</v>
      </c>
      <c r="X519">
        <v>0.10856017765647408</v>
      </c>
      <c r="Y519">
        <v>0.16377078229319519</v>
      </c>
      <c r="Z519">
        <v>8.7468485997501969E-2</v>
      </c>
      <c r="AA519">
        <v>0.17369628425035852</v>
      </c>
      <c r="AB519">
        <v>0.17679800361197207</v>
      </c>
      <c r="AC519">
        <v>0.20843554110043022</v>
      </c>
      <c r="AD519">
        <v>0.22518482565314335</v>
      </c>
      <c r="AE519">
        <v>0.42989830351963731</v>
      </c>
      <c r="AF519">
        <v>8.7468485997501969E-2</v>
      </c>
      <c r="AG519">
        <v>6.20343872322709E-2</v>
      </c>
      <c r="AH519">
        <v>0.19044556880307165</v>
      </c>
      <c r="AI519">
        <v>1.5508596808067725E-2</v>
      </c>
      <c r="AJ519">
        <v>5.5210604636721103E-2</v>
      </c>
      <c r="AK519">
        <v>0.10856017765647408</v>
      </c>
      <c r="AL519">
        <v>5.8932667870657353E-2</v>
      </c>
      <c r="AM519">
        <v>0.16501147003784061</v>
      </c>
      <c r="AN519">
        <v>0.23635101535495212</v>
      </c>
      <c r="AO519" t="s">
        <v>19</v>
      </c>
      <c r="AT519" t="str">
        <f t="shared" si="16"/>
        <v>lcv</v>
      </c>
      <c r="AU519" t="str">
        <f t="shared" si="17"/>
        <v>dsl</v>
      </c>
    </row>
    <row r="520" spans="1:47">
      <c r="A520" t="s">
        <v>17</v>
      </c>
      <c r="B520" t="s">
        <v>176</v>
      </c>
      <c r="C520" t="s">
        <v>608</v>
      </c>
      <c r="D520" t="s">
        <v>19</v>
      </c>
      <c r="E520" t="s">
        <v>19</v>
      </c>
      <c r="F520" t="s">
        <v>19</v>
      </c>
      <c r="G520" t="s">
        <v>188</v>
      </c>
      <c r="H520" t="s">
        <v>19</v>
      </c>
      <c r="I520" t="s">
        <v>19</v>
      </c>
      <c r="J520" t="s">
        <v>19</v>
      </c>
      <c r="K520" t="s">
        <v>19</v>
      </c>
      <c r="L520">
        <v>0.18858453718610355</v>
      </c>
      <c r="M520">
        <v>0.16749284552713145</v>
      </c>
      <c r="N520">
        <v>4.1563039445621508E-2</v>
      </c>
      <c r="O520">
        <v>1.7369628425035855E-2</v>
      </c>
      <c r="P520">
        <v>0.23014757663172503</v>
      </c>
      <c r="Q520">
        <v>0.24565617343979276</v>
      </c>
      <c r="R520">
        <v>0.1246891183368645</v>
      </c>
      <c r="S520">
        <v>0.12592980608150992</v>
      </c>
      <c r="T520">
        <v>5.9553011742980062E-2</v>
      </c>
      <c r="U520">
        <v>0.33560603492658558</v>
      </c>
      <c r="V520">
        <v>5.2108885275107555E-2</v>
      </c>
      <c r="W520">
        <v>0.20595416561113938</v>
      </c>
      <c r="X520">
        <v>0.10856017765647408</v>
      </c>
      <c r="Y520">
        <v>0.16377078229319519</v>
      </c>
      <c r="Z520">
        <v>8.7468485997501969E-2</v>
      </c>
      <c r="AA520">
        <v>0.17369628425035852</v>
      </c>
      <c r="AB520">
        <v>0.17679800361197207</v>
      </c>
      <c r="AC520">
        <v>0.20843554110043022</v>
      </c>
      <c r="AD520">
        <v>0.22518482565314335</v>
      </c>
      <c r="AE520">
        <v>0.42989830351963731</v>
      </c>
      <c r="AF520">
        <v>8.7468485997501969E-2</v>
      </c>
      <c r="AG520">
        <v>6.20343872322709E-2</v>
      </c>
      <c r="AH520">
        <v>0.19044556880307165</v>
      </c>
      <c r="AI520">
        <v>1.5508596808067725E-2</v>
      </c>
      <c r="AJ520">
        <v>5.5210604636721103E-2</v>
      </c>
      <c r="AK520">
        <v>0.10856017765647408</v>
      </c>
      <c r="AL520">
        <v>5.8932667870657353E-2</v>
      </c>
      <c r="AM520">
        <v>0.16501147003784061</v>
      </c>
      <c r="AN520">
        <v>0.23635101535495212</v>
      </c>
      <c r="AO520" t="s">
        <v>19</v>
      </c>
      <c r="AT520" t="str">
        <f t="shared" si="16"/>
        <v>lcv</v>
      </c>
      <c r="AU520" t="str">
        <f t="shared" si="17"/>
        <v>dsl</v>
      </c>
    </row>
    <row r="521" spans="1:47">
      <c r="A521" t="s">
        <v>17</v>
      </c>
      <c r="B521" t="s">
        <v>176</v>
      </c>
      <c r="C521" t="s">
        <v>608</v>
      </c>
      <c r="D521" t="s">
        <v>19</v>
      </c>
      <c r="E521" t="s">
        <v>19</v>
      </c>
      <c r="F521" t="s">
        <v>19</v>
      </c>
      <c r="G521" t="s">
        <v>100</v>
      </c>
      <c r="H521" t="s">
        <v>19</v>
      </c>
      <c r="I521" t="s">
        <v>19</v>
      </c>
      <c r="J521" t="s">
        <v>19</v>
      </c>
      <c r="K521" t="s">
        <v>19</v>
      </c>
      <c r="L521">
        <v>0.18858453718610355</v>
      </c>
      <c r="M521">
        <v>0.16749284552713145</v>
      </c>
      <c r="N521">
        <v>4.1563039445621508E-2</v>
      </c>
      <c r="O521">
        <v>1.7369628425035855E-2</v>
      </c>
      <c r="P521">
        <v>0.23014757663172503</v>
      </c>
      <c r="Q521">
        <v>0.24565617343979276</v>
      </c>
      <c r="R521">
        <v>0.1246891183368645</v>
      </c>
      <c r="S521">
        <v>0.12592980608150992</v>
      </c>
      <c r="T521">
        <v>5.9553011742980062E-2</v>
      </c>
      <c r="U521">
        <v>0.33560603492658558</v>
      </c>
      <c r="V521">
        <v>5.2108885275107555E-2</v>
      </c>
      <c r="W521">
        <v>0.20595416561113938</v>
      </c>
      <c r="X521">
        <v>0.10856017765647408</v>
      </c>
      <c r="Y521">
        <v>0.16377078229319519</v>
      </c>
      <c r="Z521">
        <v>8.7468485997501969E-2</v>
      </c>
      <c r="AA521">
        <v>0.17369628425035852</v>
      </c>
      <c r="AB521">
        <v>0.17679800361197207</v>
      </c>
      <c r="AC521">
        <v>0.20843554110043022</v>
      </c>
      <c r="AD521">
        <v>0.22518482565314335</v>
      </c>
      <c r="AE521">
        <v>0.42989830351963731</v>
      </c>
      <c r="AF521">
        <v>8.7468485997501969E-2</v>
      </c>
      <c r="AG521">
        <v>6.20343872322709E-2</v>
      </c>
      <c r="AH521">
        <v>0.19044556880307165</v>
      </c>
      <c r="AI521">
        <v>1.5508596808067725E-2</v>
      </c>
      <c r="AJ521">
        <v>5.5210604636721103E-2</v>
      </c>
      <c r="AK521">
        <v>0.10856017765647408</v>
      </c>
      <c r="AL521">
        <v>5.8932667870657353E-2</v>
      </c>
      <c r="AM521">
        <v>0.16501147003784061</v>
      </c>
      <c r="AN521">
        <v>0.23635101535495212</v>
      </c>
      <c r="AO521" t="s">
        <v>19</v>
      </c>
      <c r="AT521" t="str">
        <f t="shared" si="16"/>
        <v>lcv</v>
      </c>
      <c r="AU521" t="str">
        <f t="shared" si="17"/>
        <v>dsl</v>
      </c>
    </row>
    <row r="522" spans="1:47">
      <c r="A522" t="s">
        <v>17</v>
      </c>
      <c r="B522" t="s">
        <v>176</v>
      </c>
      <c r="C522" t="s">
        <v>607</v>
      </c>
      <c r="D522" t="s">
        <v>19</v>
      </c>
      <c r="E522" t="s">
        <v>19</v>
      </c>
      <c r="F522" t="s">
        <v>19</v>
      </c>
      <c r="G522" t="s">
        <v>603</v>
      </c>
      <c r="H522" t="s">
        <v>19</v>
      </c>
      <c r="I522" t="s">
        <v>19</v>
      </c>
      <c r="J522" t="s">
        <v>19</v>
      </c>
      <c r="K522" t="s">
        <v>19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4.5285102679557758E-2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 t="s">
        <v>19</v>
      </c>
      <c r="AT522" t="str">
        <f t="shared" si="16"/>
        <v>lcv</v>
      </c>
      <c r="AU522" t="str">
        <f t="shared" si="17"/>
        <v>elc</v>
      </c>
    </row>
    <row r="523" spans="1:47">
      <c r="A523" t="s">
        <v>17</v>
      </c>
      <c r="B523" t="s">
        <v>176</v>
      </c>
      <c r="C523" t="s">
        <v>607</v>
      </c>
      <c r="D523" t="s">
        <v>19</v>
      </c>
      <c r="E523" t="s">
        <v>19</v>
      </c>
      <c r="F523" t="s">
        <v>19</v>
      </c>
      <c r="G523" t="s">
        <v>602</v>
      </c>
      <c r="H523" t="s">
        <v>19</v>
      </c>
      <c r="I523" t="s">
        <v>19</v>
      </c>
      <c r="J523" t="s">
        <v>19</v>
      </c>
      <c r="K523" t="s">
        <v>19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4.5285102679557758E-2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 t="s">
        <v>19</v>
      </c>
      <c r="AT523" t="str">
        <f t="shared" si="16"/>
        <v>lcv</v>
      </c>
      <c r="AU523" t="str">
        <f t="shared" si="17"/>
        <v>elc</v>
      </c>
    </row>
    <row r="524" spans="1:47">
      <c r="A524" t="s">
        <v>17</v>
      </c>
      <c r="B524" t="s">
        <v>176</v>
      </c>
      <c r="C524" t="s">
        <v>607</v>
      </c>
      <c r="D524" t="s">
        <v>19</v>
      </c>
      <c r="E524" t="s">
        <v>19</v>
      </c>
      <c r="F524" t="s">
        <v>19</v>
      </c>
      <c r="G524" t="s">
        <v>601</v>
      </c>
      <c r="H524" t="s">
        <v>19</v>
      </c>
      <c r="I524" t="s">
        <v>19</v>
      </c>
      <c r="J524" t="s">
        <v>19</v>
      </c>
      <c r="K524" t="s">
        <v>19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4.5285102679557758E-2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 t="s">
        <v>19</v>
      </c>
      <c r="AT524" t="str">
        <f t="shared" si="16"/>
        <v>lcv</v>
      </c>
      <c r="AU524" t="str">
        <f t="shared" si="17"/>
        <v>elc</v>
      </c>
    </row>
    <row r="525" spans="1:47">
      <c r="A525" t="s">
        <v>17</v>
      </c>
      <c r="B525" t="s">
        <v>176</v>
      </c>
      <c r="C525" t="s">
        <v>607</v>
      </c>
      <c r="D525" t="s">
        <v>19</v>
      </c>
      <c r="E525" t="s">
        <v>19</v>
      </c>
      <c r="F525" t="s">
        <v>19</v>
      </c>
      <c r="G525" t="s">
        <v>600</v>
      </c>
      <c r="H525" t="s">
        <v>19</v>
      </c>
      <c r="I525" t="s">
        <v>19</v>
      </c>
      <c r="J525" t="s">
        <v>19</v>
      </c>
      <c r="K525" t="s">
        <v>19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4.5285102679557758E-2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 t="s">
        <v>19</v>
      </c>
      <c r="AT525" t="str">
        <f t="shared" si="16"/>
        <v>lcv</v>
      </c>
      <c r="AU525" t="str">
        <f t="shared" si="17"/>
        <v>elc</v>
      </c>
    </row>
    <row r="526" spans="1:47">
      <c r="A526" t="s">
        <v>17</v>
      </c>
      <c r="B526" t="s">
        <v>176</v>
      </c>
      <c r="C526" t="s">
        <v>607</v>
      </c>
      <c r="D526" t="s">
        <v>19</v>
      </c>
      <c r="E526" t="s">
        <v>19</v>
      </c>
      <c r="F526" t="s">
        <v>19</v>
      </c>
      <c r="G526" t="s">
        <v>599</v>
      </c>
      <c r="H526" t="s">
        <v>19</v>
      </c>
      <c r="I526" t="s">
        <v>19</v>
      </c>
      <c r="J526" t="s">
        <v>19</v>
      </c>
      <c r="K526" t="s">
        <v>19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4.5285102679557758E-2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 t="s">
        <v>19</v>
      </c>
      <c r="AT526" t="str">
        <f t="shared" si="16"/>
        <v>lcv</v>
      </c>
      <c r="AU526" t="str">
        <f t="shared" si="17"/>
        <v>elc</v>
      </c>
    </row>
    <row r="527" spans="1:47">
      <c r="A527" t="s">
        <v>17</v>
      </c>
      <c r="B527" t="s">
        <v>176</v>
      </c>
      <c r="C527" t="s">
        <v>607</v>
      </c>
      <c r="D527" t="s">
        <v>19</v>
      </c>
      <c r="E527" t="s">
        <v>19</v>
      </c>
      <c r="F527" t="s">
        <v>19</v>
      </c>
      <c r="G527" t="s">
        <v>598</v>
      </c>
      <c r="H527" t="s">
        <v>19</v>
      </c>
      <c r="I527" t="s">
        <v>19</v>
      </c>
      <c r="J527" t="s">
        <v>19</v>
      </c>
      <c r="K527" t="s">
        <v>19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4.5285102679557758E-2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 t="s">
        <v>19</v>
      </c>
      <c r="AT527" t="str">
        <f t="shared" si="16"/>
        <v>lcv</v>
      </c>
      <c r="AU527" t="str">
        <f t="shared" si="17"/>
        <v>elc</v>
      </c>
    </row>
    <row r="528" spans="1:47">
      <c r="A528" t="s">
        <v>17</v>
      </c>
      <c r="B528" t="s">
        <v>176</v>
      </c>
      <c r="C528" t="s">
        <v>607</v>
      </c>
      <c r="D528" t="s">
        <v>19</v>
      </c>
      <c r="E528" t="s">
        <v>19</v>
      </c>
      <c r="F528" t="s">
        <v>19</v>
      </c>
      <c r="G528" t="s">
        <v>597</v>
      </c>
      <c r="H528" t="s">
        <v>19</v>
      </c>
      <c r="I528" t="s">
        <v>19</v>
      </c>
      <c r="J528" t="s">
        <v>19</v>
      </c>
      <c r="K528" t="s">
        <v>19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4.5285102679557758E-2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 t="s">
        <v>19</v>
      </c>
      <c r="AT528" t="str">
        <f t="shared" si="16"/>
        <v>lcv</v>
      </c>
      <c r="AU528" t="str">
        <f t="shared" si="17"/>
        <v>elc</v>
      </c>
    </row>
    <row r="529" spans="1:47">
      <c r="A529" t="s">
        <v>17</v>
      </c>
      <c r="B529" t="s">
        <v>176</v>
      </c>
      <c r="C529" t="s">
        <v>607</v>
      </c>
      <c r="D529" t="s">
        <v>19</v>
      </c>
      <c r="E529" t="s">
        <v>19</v>
      </c>
      <c r="F529" t="s">
        <v>19</v>
      </c>
      <c r="G529" t="s">
        <v>596</v>
      </c>
      <c r="H529" t="s">
        <v>19</v>
      </c>
      <c r="I529" t="s">
        <v>19</v>
      </c>
      <c r="J529" t="s">
        <v>19</v>
      </c>
      <c r="K529" t="s">
        <v>19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4.5285102679557758E-2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 t="s">
        <v>19</v>
      </c>
      <c r="AT529" t="str">
        <f t="shared" si="16"/>
        <v>lcv</v>
      </c>
      <c r="AU529" t="str">
        <f t="shared" si="17"/>
        <v>elc</v>
      </c>
    </row>
    <row r="530" spans="1:47">
      <c r="A530" t="s">
        <v>17</v>
      </c>
      <c r="B530" t="s">
        <v>176</v>
      </c>
      <c r="C530" t="s">
        <v>607</v>
      </c>
      <c r="D530" t="s">
        <v>19</v>
      </c>
      <c r="E530" t="s">
        <v>19</v>
      </c>
      <c r="F530" t="s">
        <v>19</v>
      </c>
      <c r="G530" t="s">
        <v>178</v>
      </c>
      <c r="H530" t="s">
        <v>19</v>
      </c>
      <c r="I530" t="s">
        <v>19</v>
      </c>
      <c r="J530" t="s">
        <v>19</v>
      </c>
      <c r="K530" t="s">
        <v>19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4.5285102679557758E-2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 t="s">
        <v>19</v>
      </c>
      <c r="AT530" t="str">
        <f t="shared" si="16"/>
        <v>lcv</v>
      </c>
      <c r="AU530" t="str">
        <f t="shared" si="17"/>
        <v>elc</v>
      </c>
    </row>
    <row r="531" spans="1:47">
      <c r="A531" t="s">
        <v>17</v>
      </c>
      <c r="B531" t="s">
        <v>176</v>
      </c>
      <c r="C531" t="s">
        <v>607</v>
      </c>
      <c r="D531" t="s">
        <v>19</v>
      </c>
      <c r="E531" t="s">
        <v>19</v>
      </c>
      <c r="F531" t="s">
        <v>19</v>
      </c>
      <c r="G531" t="s">
        <v>179</v>
      </c>
      <c r="H531" t="s">
        <v>19</v>
      </c>
      <c r="I531" t="s">
        <v>19</v>
      </c>
      <c r="J531" t="s">
        <v>19</v>
      </c>
      <c r="K531" t="s">
        <v>19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4.5285102679557758E-2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 t="s">
        <v>19</v>
      </c>
      <c r="AT531" t="str">
        <f t="shared" si="16"/>
        <v>lcv</v>
      </c>
      <c r="AU531" t="str">
        <f t="shared" si="17"/>
        <v>elc</v>
      </c>
    </row>
    <row r="532" spans="1:47">
      <c r="A532" t="s">
        <v>17</v>
      </c>
      <c r="B532" t="s">
        <v>176</v>
      </c>
      <c r="C532" t="s">
        <v>607</v>
      </c>
      <c r="D532" t="s">
        <v>19</v>
      </c>
      <c r="E532" t="s">
        <v>19</v>
      </c>
      <c r="F532" t="s">
        <v>19</v>
      </c>
      <c r="G532" t="s">
        <v>180</v>
      </c>
      <c r="H532" t="s">
        <v>19</v>
      </c>
      <c r="I532" t="s">
        <v>19</v>
      </c>
      <c r="J532" t="s">
        <v>19</v>
      </c>
      <c r="K532" t="s">
        <v>19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4.5285102679557758E-2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t="s">
        <v>19</v>
      </c>
      <c r="AT532" t="str">
        <f t="shared" si="16"/>
        <v>lcv</v>
      </c>
      <c r="AU532" t="str">
        <f t="shared" si="17"/>
        <v>elc</v>
      </c>
    </row>
    <row r="533" spans="1:47">
      <c r="A533" t="s">
        <v>17</v>
      </c>
      <c r="B533" t="s">
        <v>176</v>
      </c>
      <c r="C533" t="s">
        <v>607</v>
      </c>
      <c r="D533" t="s">
        <v>19</v>
      </c>
      <c r="E533" t="s">
        <v>19</v>
      </c>
      <c r="F533" t="s">
        <v>19</v>
      </c>
      <c r="G533" t="s">
        <v>181</v>
      </c>
      <c r="H533" t="s">
        <v>19</v>
      </c>
      <c r="I533" t="s">
        <v>19</v>
      </c>
      <c r="J533" t="s">
        <v>19</v>
      </c>
      <c r="K533" t="s">
        <v>19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4.5285102679557758E-2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 t="s">
        <v>19</v>
      </c>
      <c r="AT533" t="str">
        <f t="shared" si="16"/>
        <v>lcv</v>
      </c>
      <c r="AU533" t="str">
        <f t="shared" si="17"/>
        <v>elc</v>
      </c>
    </row>
    <row r="534" spans="1:47">
      <c r="A534" t="s">
        <v>17</v>
      </c>
      <c r="B534" t="s">
        <v>176</v>
      </c>
      <c r="C534" t="s">
        <v>607</v>
      </c>
      <c r="D534" t="s">
        <v>19</v>
      </c>
      <c r="E534" t="s">
        <v>19</v>
      </c>
      <c r="F534" t="s">
        <v>19</v>
      </c>
      <c r="G534" t="s">
        <v>182</v>
      </c>
      <c r="H534" t="s">
        <v>19</v>
      </c>
      <c r="I534" t="s">
        <v>19</v>
      </c>
      <c r="J534" t="s">
        <v>19</v>
      </c>
      <c r="K534" t="s">
        <v>19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4.5285102679557758E-2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 t="s">
        <v>19</v>
      </c>
      <c r="AT534" t="str">
        <f t="shared" si="16"/>
        <v>lcv</v>
      </c>
      <c r="AU534" t="str">
        <f t="shared" si="17"/>
        <v>elc</v>
      </c>
    </row>
    <row r="535" spans="1:47">
      <c r="A535" t="s">
        <v>17</v>
      </c>
      <c r="B535" t="s">
        <v>176</v>
      </c>
      <c r="C535" t="s">
        <v>607</v>
      </c>
      <c r="D535" t="s">
        <v>19</v>
      </c>
      <c r="E535" t="s">
        <v>19</v>
      </c>
      <c r="F535" t="s">
        <v>19</v>
      </c>
      <c r="G535" t="s">
        <v>183</v>
      </c>
      <c r="H535" t="s">
        <v>19</v>
      </c>
      <c r="I535" t="s">
        <v>19</v>
      </c>
      <c r="J535" t="s">
        <v>19</v>
      </c>
      <c r="K535" t="s">
        <v>19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4.5285102679557758E-2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 t="s">
        <v>19</v>
      </c>
      <c r="AT535" t="str">
        <f t="shared" si="16"/>
        <v>lcv</v>
      </c>
      <c r="AU535" t="str">
        <f t="shared" si="17"/>
        <v>elc</v>
      </c>
    </row>
    <row r="536" spans="1:47">
      <c r="A536" t="s">
        <v>17</v>
      </c>
      <c r="B536" t="s">
        <v>176</v>
      </c>
      <c r="C536" t="s">
        <v>607</v>
      </c>
      <c r="D536" t="s">
        <v>19</v>
      </c>
      <c r="E536" t="s">
        <v>19</v>
      </c>
      <c r="F536" t="s">
        <v>19</v>
      </c>
      <c r="G536" t="s">
        <v>184</v>
      </c>
      <c r="H536" t="s">
        <v>19</v>
      </c>
      <c r="I536" t="s">
        <v>19</v>
      </c>
      <c r="J536" t="s">
        <v>19</v>
      </c>
      <c r="K536" t="s">
        <v>19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4.5285102679557758E-2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19</v>
      </c>
      <c r="AT536" t="str">
        <f t="shared" si="16"/>
        <v>lcv</v>
      </c>
      <c r="AU536" t="str">
        <f t="shared" si="17"/>
        <v>elc</v>
      </c>
    </row>
    <row r="537" spans="1:47">
      <c r="A537" t="s">
        <v>17</v>
      </c>
      <c r="B537" t="s">
        <v>176</v>
      </c>
      <c r="C537" t="s">
        <v>607</v>
      </c>
      <c r="D537" t="s">
        <v>19</v>
      </c>
      <c r="E537" t="s">
        <v>19</v>
      </c>
      <c r="F537" t="s">
        <v>19</v>
      </c>
      <c r="G537" t="s">
        <v>185</v>
      </c>
      <c r="H537" t="s">
        <v>19</v>
      </c>
      <c r="I537" t="s">
        <v>19</v>
      </c>
      <c r="J537" t="s">
        <v>19</v>
      </c>
      <c r="K537" t="s">
        <v>19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4.5285102679557758E-2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 t="s">
        <v>19</v>
      </c>
      <c r="AT537" t="str">
        <f t="shared" si="16"/>
        <v>lcv</v>
      </c>
      <c r="AU537" t="str">
        <f t="shared" si="17"/>
        <v>elc</v>
      </c>
    </row>
    <row r="538" spans="1:47">
      <c r="A538" t="s">
        <v>17</v>
      </c>
      <c r="B538" t="s">
        <v>176</v>
      </c>
      <c r="C538" t="s">
        <v>607</v>
      </c>
      <c r="D538" t="s">
        <v>19</v>
      </c>
      <c r="E538" t="s">
        <v>19</v>
      </c>
      <c r="F538" t="s">
        <v>19</v>
      </c>
      <c r="G538" t="s">
        <v>186</v>
      </c>
      <c r="H538" t="s">
        <v>19</v>
      </c>
      <c r="I538" t="s">
        <v>19</v>
      </c>
      <c r="J538" t="s">
        <v>19</v>
      </c>
      <c r="K538" t="s">
        <v>19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4.5285102679557758E-2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 t="s">
        <v>19</v>
      </c>
      <c r="AT538" t="str">
        <f t="shared" si="16"/>
        <v>lcv</v>
      </c>
      <c r="AU538" t="str">
        <f t="shared" si="17"/>
        <v>elc</v>
      </c>
    </row>
    <row r="539" spans="1:47">
      <c r="A539" t="s">
        <v>17</v>
      </c>
      <c r="B539" t="s">
        <v>176</v>
      </c>
      <c r="C539" t="s">
        <v>607</v>
      </c>
      <c r="D539" t="s">
        <v>19</v>
      </c>
      <c r="E539" t="s">
        <v>19</v>
      </c>
      <c r="F539" t="s">
        <v>19</v>
      </c>
      <c r="G539" t="s">
        <v>187</v>
      </c>
      <c r="H539" t="s">
        <v>19</v>
      </c>
      <c r="I539" t="s">
        <v>19</v>
      </c>
      <c r="J539" t="s">
        <v>19</v>
      </c>
      <c r="K539" t="s">
        <v>19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4.5285102679557758E-2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 t="s">
        <v>19</v>
      </c>
      <c r="AT539" t="str">
        <f t="shared" si="16"/>
        <v>lcv</v>
      </c>
      <c r="AU539" t="str">
        <f t="shared" si="17"/>
        <v>elc</v>
      </c>
    </row>
    <row r="540" spans="1:47">
      <c r="A540" t="s">
        <v>17</v>
      </c>
      <c r="B540" t="s">
        <v>176</v>
      </c>
      <c r="C540" t="s">
        <v>607</v>
      </c>
      <c r="D540" t="s">
        <v>19</v>
      </c>
      <c r="E540" t="s">
        <v>19</v>
      </c>
      <c r="F540" t="s">
        <v>19</v>
      </c>
      <c r="G540" t="s">
        <v>188</v>
      </c>
      <c r="H540" t="s">
        <v>19</v>
      </c>
      <c r="I540" t="s">
        <v>19</v>
      </c>
      <c r="J540" t="s">
        <v>19</v>
      </c>
      <c r="K540" t="s">
        <v>19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4.5285102679557758E-2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19</v>
      </c>
      <c r="AT540" t="str">
        <f t="shared" si="16"/>
        <v>lcv</v>
      </c>
      <c r="AU540" t="str">
        <f t="shared" si="17"/>
        <v>elc</v>
      </c>
    </row>
    <row r="541" spans="1:47">
      <c r="A541" t="s">
        <v>17</v>
      </c>
      <c r="B541" t="s">
        <v>176</v>
      </c>
      <c r="C541" t="s">
        <v>607</v>
      </c>
      <c r="D541" t="s">
        <v>19</v>
      </c>
      <c r="E541" t="s">
        <v>19</v>
      </c>
      <c r="F541" t="s">
        <v>19</v>
      </c>
      <c r="G541" t="s">
        <v>100</v>
      </c>
      <c r="H541" t="s">
        <v>19</v>
      </c>
      <c r="I541" t="s">
        <v>19</v>
      </c>
      <c r="J541" t="s">
        <v>19</v>
      </c>
      <c r="K541" t="s">
        <v>19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4.5285102679557758E-2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 t="s">
        <v>19</v>
      </c>
      <c r="AT541" t="str">
        <f t="shared" si="16"/>
        <v>lcv</v>
      </c>
      <c r="AU541" t="str">
        <f t="shared" si="17"/>
        <v>elc</v>
      </c>
    </row>
    <row r="542" spans="1:47">
      <c r="A542" t="s">
        <v>17</v>
      </c>
      <c r="B542" t="s">
        <v>176</v>
      </c>
      <c r="C542" t="s">
        <v>606</v>
      </c>
      <c r="D542" t="s">
        <v>19</v>
      </c>
      <c r="E542" t="s">
        <v>19</v>
      </c>
      <c r="F542" t="s">
        <v>19</v>
      </c>
      <c r="G542" t="s">
        <v>603</v>
      </c>
      <c r="H542" t="s">
        <v>19</v>
      </c>
      <c r="I542" t="s">
        <v>19</v>
      </c>
      <c r="J542" t="s">
        <v>19</v>
      </c>
      <c r="K542" t="s">
        <v>19</v>
      </c>
      <c r="L542">
        <v>0</v>
      </c>
      <c r="M542">
        <v>0</v>
      </c>
      <c r="N542">
        <v>1.2406877446454181E-3</v>
      </c>
      <c r="O542">
        <v>0</v>
      </c>
      <c r="P542">
        <v>1.2406877446454181E-3</v>
      </c>
      <c r="Q542">
        <v>0</v>
      </c>
      <c r="R542">
        <v>6.2034387232270905E-4</v>
      </c>
      <c r="S542">
        <v>1.2406877446454181E-2</v>
      </c>
      <c r="T542">
        <v>2.4813754892908362E-3</v>
      </c>
      <c r="U542">
        <v>6.2034387232270905E-3</v>
      </c>
      <c r="V542">
        <v>0</v>
      </c>
      <c r="W542">
        <v>0</v>
      </c>
      <c r="X542">
        <v>6.2034387232270905E-4</v>
      </c>
      <c r="Y542">
        <v>0</v>
      </c>
      <c r="Z542">
        <v>0</v>
      </c>
      <c r="AA542">
        <v>0</v>
      </c>
      <c r="AB542">
        <v>1.2406877446454181E-3</v>
      </c>
      <c r="AC542">
        <v>6.2034387232270905E-4</v>
      </c>
      <c r="AD542">
        <v>6.2034387232270905E-4</v>
      </c>
      <c r="AE542">
        <v>0</v>
      </c>
      <c r="AF542">
        <v>1.8610316169681269E-3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6.2034387232270905E-4</v>
      </c>
      <c r="AN542">
        <v>0.17617765973964936</v>
      </c>
      <c r="AO542" t="s">
        <v>19</v>
      </c>
      <c r="AT542" t="str">
        <f t="shared" si="16"/>
        <v>lcv</v>
      </c>
      <c r="AU542" t="str">
        <f t="shared" si="17"/>
        <v>eth</v>
      </c>
    </row>
    <row r="543" spans="1:47">
      <c r="A543" t="s">
        <v>17</v>
      </c>
      <c r="B543" t="s">
        <v>176</v>
      </c>
      <c r="C543" t="s">
        <v>606</v>
      </c>
      <c r="D543" t="s">
        <v>19</v>
      </c>
      <c r="E543" t="s">
        <v>19</v>
      </c>
      <c r="F543" t="s">
        <v>19</v>
      </c>
      <c r="G543" t="s">
        <v>602</v>
      </c>
      <c r="H543" t="s">
        <v>19</v>
      </c>
      <c r="I543" t="s">
        <v>19</v>
      </c>
      <c r="J543" t="s">
        <v>19</v>
      </c>
      <c r="K543" t="s">
        <v>19</v>
      </c>
      <c r="L543">
        <v>0</v>
      </c>
      <c r="M543">
        <v>0</v>
      </c>
      <c r="N543">
        <v>1.2406877446454181E-3</v>
      </c>
      <c r="O543">
        <v>0</v>
      </c>
      <c r="P543">
        <v>1.2406877446454181E-3</v>
      </c>
      <c r="Q543">
        <v>0</v>
      </c>
      <c r="R543">
        <v>6.2034387232270905E-4</v>
      </c>
      <c r="S543">
        <v>1.2406877446454181E-2</v>
      </c>
      <c r="T543">
        <v>2.4813754892908362E-3</v>
      </c>
      <c r="U543">
        <v>6.2034387232270905E-3</v>
      </c>
      <c r="V543">
        <v>0</v>
      </c>
      <c r="W543">
        <v>0</v>
      </c>
      <c r="X543">
        <v>6.2034387232270905E-4</v>
      </c>
      <c r="Y543">
        <v>0</v>
      </c>
      <c r="Z543">
        <v>0</v>
      </c>
      <c r="AA543">
        <v>0</v>
      </c>
      <c r="AB543">
        <v>1.2406877446454181E-3</v>
      </c>
      <c r="AC543">
        <v>6.2034387232270905E-4</v>
      </c>
      <c r="AD543">
        <v>6.2034387232270905E-4</v>
      </c>
      <c r="AE543">
        <v>0</v>
      </c>
      <c r="AF543">
        <v>1.8610316169681269E-3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6.2034387232270905E-4</v>
      </c>
      <c r="AN543">
        <v>0.17617765973964936</v>
      </c>
      <c r="AO543" t="s">
        <v>19</v>
      </c>
      <c r="AT543" t="str">
        <f t="shared" si="16"/>
        <v>lcv</v>
      </c>
      <c r="AU543" t="str">
        <f t="shared" si="17"/>
        <v>eth</v>
      </c>
    </row>
    <row r="544" spans="1:47">
      <c r="A544" t="s">
        <v>17</v>
      </c>
      <c r="B544" t="s">
        <v>176</v>
      </c>
      <c r="C544" t="s">
        <v>606</v>
      </c>
      <c r="D544" t="s">
        <v>19</v>
      </c>
      <c r="E544" t="s">
        <v>19</v>
      </c>
      <c r="F544" t="s">
        <v>19</v>
      </c>
      <c r="G544" t="s">
        <v>601</v>
      </c>
      <c r="H544" t="s">
        <v>19</v>
      </c>
      <c r="I544" t="s">
        <v>19</v>
      </c>
      <c r="J544" t="s">
        <v>19</v>
      </c>
      <c r="K544" t="s">
        <v>19</v>
      </c>
      <c r="L544">
        <v>0</v>
      </c>
      <c r="M544">
        <v>0</v>
      </c>
      <c r="N544">
        <v>1.2406877446454181E-3</v>
      </c>
      <c r="O544">
        <v>0</v>
      </c>
      <c r="P544">
        <v>1.2406877446454181E-3</v>
      </c>
      <c r="Q544">
        <v>0</v>
      </c>
      <c r="R544">
        <v>6.2034387232270905E-4</v>
      </c>
      <c r="S544">
        <v>1.2406877446454181E-2</v>
      </c>
      <c r="T544">
        <v>2.4813754892908362E-3</v>
      </c>
      <c r="U544">
        <v>6.2034387232270905E-3</v>
      </c>
      <c r="V544">
        <v>0</v>
      </c>
      <c r="W544">
        <v>0</v>
      </c>
      <c r="X544">
        <v>6.2034387232270905E-4</v>
      </c>
      <c r="Y544">
        <v>0</v>
      </c>
      <c r="Z544">
        <v>0</v>
      </c>
      <c r="AA544">
        <v>0</v>
      </c>
      <c r="AB544">
        <v>1.2406877446454181E-3</v>
      </c>
      <c r="AC544">
        <v>6.2034387232270905E-4</v>
      </c>
      <c r="AD544">
        <v>6.2034387232270905E-4</v>
      </c>
      <c r="AE544">
        <v>0</v>
      </c>
      <c r="AF544">
        <v>1.8610316169681269E-3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6.2034387232270905E-4</v>
      </c>
      <c r="AN544">
        <v>0.17617765973964936</v>
      </c>
      <c r="AO544" t="s">
        <v>19</v>
      </c>
      <c r="AT544" t="str">
        <f t="shared" si="16"/>
        <v>lcv</v>
      </c>
      <c r="AU544" t="str">
        <f t="shared" si="17"/>
        <v>eth</v>
      </c>
    </row>
    <row r="545" spans="1:47">
      <c r="A545" t="s">
        <v>17</v>
      </c>
      <c r="B545" t="s">
        <v>176</v>
      </c>
      <c r="C545" t="s">
        <v>606</v>
      </c>
      <c r="D545" t="s">
        <v>19</v>
      </c>
      <c r="E545" t="s">
        <v>19</v>
      </c>
      <c r="F545" t="s">
        <v>19</v>
      </c>
      <c r="G545" t="s">
        <v>600</v>
      </c>
      <c r="H545" t="s">
        <v>19</v>
      </c>
      <c r="I545" t="s">
        <v>19</v>
      </c>
      <c r="J545" t="s">
        <v>19</v>
      </c>
      <c r="K545" t="s">
        <v>19</v>
      </c>
      <c r="L545">
        <v>0</v>
      </c>
      <c r="M545">
        <v>0</v>
      </c>
      <c r="N545">
        <v>1.2406877446454181E-3</v>
      </c>
      <c r="O545">
        <v>0</v>
      </c>
      <c r="P545">
        <v>1.2406877446454181E-3</v>
      </c>
      <c r="Q545">
        <v>0</v>
      </c>
      <c r="R545">
        <v>6.2034387232270905E-4</v>
      </c>
      <c r="S545">
        <v>1.2406877446454181E-2</v>
      </c>
      <c r="T545">
        <v>2.4813754892908362E-3</v>
      </c>
      <c r="U545">
        <v>6.2034387232270905E-3</v>
      </c>
      <c r="V545">
        <v>0</v>
      </c>
      <c r="W545">
        <v>0</v>
      </c>
      <c r="X545">
        <v>6.2034387232270905E-4</v>
      </c>
      <c r="Y545">
        <v>0</v>
      </c>
      <c r="Z545">
        <v>0</v>
      </c>
      <c r="AA545">
        <v>0</v>
      </c>
      <c r="AB545">
        <v>1.2406877446454181E-3</v>
      </c>
      <c r="AC545">
        <v>6.2034387232270905E-4</v>
      </c>
      <c r="AD545">
        <v>6.2034387232270905E-4</v>
      </c>
      <c r="AE545">
        <v>0</v>
      </c>
      <c r="AF545">
        <v>1.8610316169681269E-3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6.2034387232270905E-4</v>
      </c>
      <c r="AN545">
        <v>0.17617765973964936</v>
      </c>
      <c r="AO545" t="s">
        <v>19</v>
      </c>
      <c r="AT545" t="str">
        <f t="shared" si="16"/>
        <v>lcv</v>
      </c>
      <c r="AU545" t="str">
        <f t="shared" si="17"/>
        <v>eth</v>
      </c>
    </row>
    <row r="546" spans="1:47">
      <c r="A546" t="s">
        <v>17</v>
      </c>
      <c r="B546" t="s">
        <v>176</v>
      </c>
      <c r="C546" t="s">
        <v>606</v>
      </c>
      <c r="D546" t="s">
        <v>19</v>
      </c>
      <c r="E546" t="s">
        <v>19</v>
      </c>
      <c r="F546" t="s">
        <v>19</v>
      </c>
      <c r="G546" t="s">
        <v>599</v>
      </c>
      <c r="H546" t="s">
        <v>19</v>
      </c>
      <c r="I546" t="s">
        <v>19</v>
      </c>
      <c r="J546" t="s">
        <v>19</v>
      </c>
      <c r="K546" t="s">
        <v>19</v>
      </c>
      <c r="L546">
        <v>0</v>
      </c>
      <c r="M546">
        <v>0</v>
      </c>
      <c r="N546">
        <v>1.2406877446454181E-3</v>
      </c>
      <c r="O546">
        <v>0</v>
      </c>
      <c r="P546">
        <v>1.2406877446454181E-3</v>
      </c>
      <c r="Q546">
        <v>0</v>
      </c>
      <c r="R546">
        <v>6.2034387232270905E-4</v>
      </c>
      <c r="S546">
        <v>1.2406877446454181E-2</v>
      </c>
      <c r="T546">
        <v>2.4813754892908362E-3</v>
      </c>
      <c r="U546">
        <v>6.2034387232270905E-3</v>
      </c>
      <c r="V546">
        <v>0</v>
      </c>
      <c r="W546">
        <v>0</v>
      </c>
      <c r="X546">
        <v>6.2034387232270905E-4</v>
      </c>
      <c r="Y546">
        <v>0</v>
      </c>
      <c r="Z546">
        <v>0</v>
      </c>
      <c r="AA546">
        <v>0</v>
      </c>
      <c r="AB546">
        <v>1.2406877446454181E-3</v>
      </c>
      <c r="AC546">
        <v>6.2034387232270905E-4</v>
      </c>
      <c r="AD546">
        <v>6.2034387232270905E-4</v>
      </c>
      <c r="AE546">
        <v>0</v>
      </c>
      <c r="AF546">
        <v>1.8610316169681269E-3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6.2034387232270905E-4</v>
      </c>
      <c r="AN546">
        <v>0.17617765973964936</v>
      </c>
      <c r="AO546" t="s">
        <v>19</v>
      </c>
      <c r="AT546" t="str">
        <f t="shared" si="16"/>
        <v>lcv</v>
      </c>
      <c r="AU546" t="str">
        <f t="shared" si="17"/>
        <v>eth</v>
      </c>
    </row>
    <row r="547" spans="1:47">
      <c r="A547" t="s">
        <v>17</v>
      </c>
      <c r="B547" t="s">
        <v>176</v>
      </c>
      <c r="C547" t="s">
        <v>606</v>
      </c>
      <c r="D547" t="s">
        <v>19</v>
      </c>
      <c r="E547" t="s">
        <v>19</v>
      </c>
      <c r="F547" t="s">
        <v>19</v>
      </c>
      <c r="G547" t="s">
        <v>598</v>
      </c>
      <c r="H547" t="s">
        <v>19</v>
      </c>
      <c r="I547" t="s">
        <v>19</v>
      </c>
      <c r="J547" t="s">
        <v>19</v>
      </c>
      <c r="K547" t="s">
        <v>19</v>
      </c>
      <c r="L547">
        <v>0</v>
      </c>
      <c r="M547">
        <v>0</v>
      </c>
      <c r="N547">
        <v>1.2406877446454181E-3</v>
      </c>
      <c r="O547">
        <v>0</v>
      </c>
      <c r="P547">
        <v>1.2406877446454181E-3</v>
      </c>
      <c r="Q547">
        <v>0</v>
      </c>
      <c r="R547">
        <v>6.2034387232270905E-4</v>
      </c>
      <c r="S547">
        <v>1.2406877446454181E-2</v>
      </c>
      <c r="T547">
        <v>2.4813754892908362E-3</v>
      </c>
      <c r="U547">
        <v>6.2034387232270905E-3</v>
      </c>
      <c r="V547">
        <v>0</v>
      </c>
      <c r="W547">
        <v>0</v>
      </c>
      <c r="X547">
        <v>6.2034387232270905E-4</v>
      </c>
      <c r="Y547">
        <v>0</v>
      </c>
      <c r="Z547">
        <v>0</v>
      </c>
      <c r="AA547">
        <v>0</v>
      </c>
      <c r="AB547">
        <v>1.2406877446454181E-3</v>
      </c>
      <c r="AC547">
        <v>6.2034387232270905E-4</v>
      </c>
      <c r="AD547">
        <v>6.2034387232270905E-4</v>
      </c>
      <c r="AE547">
        <v>0</v>
      </c>
      <c r="AF547">
        <v>1.8610316169681269E-3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6.2034387232270905E-4</v>
      </c>
      <c r="AN547">
        <v>0.17617765973964936</v>
      </c>
      <c r="AO547" t="s">
        <v>19</v>
      </c>
      <c r="AT547" t="str">
        <f t="shared" si="16"/>
        <v>lcv</v>
      </c>
      <c r="AU547" t="str">
        <f t="shared" si="17"/>
        <v>eth</v>
      </c>
    </row>
    <row r="548" spans="1:47">
      <c r="A548" t="s">
        <v>17</v>
      </c>
      <c r="B548" t="s">
        <v>176</v>
      </c>
      <c r="C548" t="s">
        <v>606</v>
      </c>
      <c r="D548" t="s">
        <v>19</v>
      </c>
      <c r="E548" t="s">
        <v>19</v>
      </c>
      <c r="F548" t="s">
        <v>19</v>
      </c>
      <c r="G548" t="s">
        <v>597</v>
      </c>
      <c r="H548" t="s">
        <v>19</v>
      </c>
      <c r="I548" t="s">
        <v>19</v>
      </c>
      <c r="J548" t="s">
        <v>19</v>
      </c>
      <c r="K548" t="s">
        <v>19</v>
      </c>
      <c r="L548">
        <v>0</v>
      </c>
      <c r="M548">
        <v>0</v>
      </c>
      <c r="N548">
        <v>1.2406877446454181E-3</v>
      </c>
      <c r="O548">
        <v>0</v>
      </c>
      <c r="P548">
        <v>1.2406877446454181E-3</v>
      </c>
      <c r="Q548">
        <v>0</v>
      </c>
      <c r="R548">
        <v>6.2034387232270905E-4</v>
      </c>
      <c r="S548">
        <v>1.2406877446454181E-2</v>
      </c>
      <c r="T548">
        <v>2.4813754892908362E-3</v>
      </c>
      <c r="U548">
        <v>6.2034387232270905E-3</v>
      </c>
      <c r="V548">
        <v>0</v>
      </c>
      <c r="W548">
        <v>0</v>
      </c>
      <c r="X548">
        <v>6.2034387232270905E-4</v>
      </c>
      <c r="Y548">
        <v>0</v>
      </c>
      <c r="Z548">
        <v>0</v>
      </c>
      <c r="AA548">
        <v>0</v>
      </c>
      <c r="AB548">
        <v>1.2406877446454181E-3</v>
      </c>
      <c r="AC548">
        <v>6.2034387232270905E-4</v>
      </c>
      <c r="AD548">
        <v>6.2034387232270905E-4</v>
      </c>
      <c r="AE548">
        <v>0</v>
      </c>
      <c r="AF548">
        <v>1.8610316169681269E-3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6.2034387232270905E-4</v>
      </c>
      <c r="AN548">
        <v>0.17617765973964936</v>
      </c>
      <c r="AO548" t="s">
        <v>19</v>
      </c>
      <c r="AT548" t="str">
        <f t="shared" si="16"/>
        <v>lcv</v>
      </c>
      <c r="AU548" t="str">
        <f t="shared" si="17"/>
        <v>eth</v>
      </c>
    </row>
    <row r="549" spans="1:47">
      <c r="A549" t="s">
        <v>17</v>
      </c>
      <c r="B549" t="s">
        <v>176</v>
      </c>
      <c r="C549" t="s">
        <v>606</v>
      </c>
      <c r="D549" t="s">
        <v>19</v>
      </c>
      <c r="E549" t="s">
        <v>19</v>
      </c>
      <c r="F549" t="s">
        <v>19</v>
      </c>
      <c r="G549" t="s">
        <v>596</v>
      </c>
      <c r="H549" t="s">
        <v>19</v>
      </c>
      <c r="I549" t="s">
        <v>19</v>
      </c>
      <c r="J549" t="s">
        <v>19</v>
      </c>
      <c r="K549" t="s">
        <v>19</v>
      </c>
      <c r="L549">
        <v>0</v>
      </c>
      <c r="M549">
        <v>0</v>
      </c>
      <c r="N549">
        <v>1.2406877446454181E-3</v>
      </c>
      <c r="O549">
        <v>0</v>
      </c>
      <c r="P549">
        <v>1.2406877446454181E-3</v>
      </c>
      <c r="Q549">
        <v>0</v>
      </c>
      <c r="R549">
        <v>6.2034387232270905E-4</v>
      </c>
      <c r="S549">
        <v>1.2406877446454181E-2</v>
      </c>
      <c r="T549">
        <v>2.4813754892908362E-3</v>
      </c>
      <c r="U549">
        <v>6.2034387232270905E-3</v>
      </c>
      <c r="V549">
        <v>0</v>
      </c>
      <c r="W549">
        <v>0</v>
      </c>
      <c r="X549">
        <v>6.2034387232270905E-4</v>
      </c>
      <c r="Y549">
        <v>0</v>
      </c>
      <c r="Z549">
        <v>0</v>
      </c>
      <c r="AA549">
        <v>0</v>
      </c>
      <c r="AB549">
        <v>1.2406877446454181E-3</v>
      </c>
      <c r="AC549">
        <v>6.2034387232270905E-4</v>
      </c>
      <c r="AD549">
        <v>6.2034387232270905E-4</v>
      </c>
      <c r="AE549">
        <v>0</v>
      </c>
      <c r="AF549">
        <v>1.8610316169681269E-3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6.2034387232270905E-4</v>
      </c>
      <c r="AN549">
        <v>0.17617765973964936</v>
      </c>
      <c r="AO549" t="s">
        <v>19</v>
      </c>
      <c r="AT549" t="str">
        <f t="shared" si="16"/>
        <v>lcv</v>
      </c>
      <c r="AU549" t="str">
        <f t="shared" si="17"/>
        <v>eth</v>
      </c>
    </row>
    <row r="550" spans="1:47">
      <c r="A550" t="s">
        <v>17</v>
      </c>
      <c r="B550" t="s">
        <v>176</v>
      </c>
      <c r="C550" t="s">
        <v>606</v>
      </c>
      <c r="D550" t="s">
        <v>19</v>
      </c>
      <c r="E550" t="s">
        <v>19</v>
      </c>
      <c r="F550" t="s">
        <v>19</v>
      </c>
      <c r="G550" t="s">
        <v>178</v>
      </c>
      <c r="H550" t="s">
        <v>19</v>
      </c>
      <c r="I550" t="s">
        <v>19</v>
      </c>
      <c r="J550" t="s">
        <v>19</v>
      </c>
      <c r="K550" t="s">
        <v>19</v>
      </c>
      <c r="L550">
        <v>0</v>
      </c>
      <c r="M550">
        <v>0</v>
      </c>
      <c r="N550">
        <v>1.2406877446454181E-3</v>
      </c>
      <c r="O550">
        <v>0</v>
      </c>
      <c r="P550">
        <v>1.2406877446454181E-3</v>
      </c>
      <c r="Q550">
        <v>0</v>
      </c>
      <c r="R550">
        <v>6.2034387232270905E-4</v>
      </c>
      <c r="S550">
        <v>1.2406877446454181E-2</v>
      </c>
      <c r="T550">
        <v>2.4813754892908362E-3</v>
      </c>
      <c r="U550">
        <v>6.2034387232270905E-3</v>
      </c>
      <c r="V550">
        <v>0</v>
      </c>
      <c r="W550">
        <v>0</v>
      </c>
      <c r="X550">
        <v>6.2034387232270905E-4</v>
      </c>
      <c r="Y550">
        <v>0</v>
      </c>
      <c r="Z550">
        <v>0</v>
      </c>
      <c r="AA550">
        <v>0</v>
      </c>
      <c r="AB550">
        <v>1.2406877446454181E-3</v>
      </c>
      <c r="AC550">
        <v>6.2034387232270905E-4</v>
      </c>
      <c r="AD550">
        <v>6.2034387232270905E-4</v>
      </c>
      <c r="AE550">
        <v>0</v>
      </c>
      <c r="AF550">
        <v>1.8610316169681269E-3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6.2034387232270905E-4</v>
      </c>
      <c r="AN550">
        <v>0.17617765973964936</v>
      </c>
      <c r="AO550" t="s">
        <v>19</v>
      </c>
      <c r="AT550" t="str">
        <f t="shared" si="16"/>
        <v>lcv</v>
      </c>
      <c r="AU550" t="str">
        <f t="shared" si="17"/>
        <v>eth</v>
      </c>
    </row>
    <row r="551" spans="1:47">
      <c r="A551" t="s">
        <v>17</v>
      </c>
      <c r="B551" t="s">
        <v>176</v>
      </c>
      <c r="C551" t="s">
        <v>606</v>
      </c>
      <c r="D551" t="s">
        <v>19</v>
      </c>
      <c r="E551" t="s">
        <v>19</v>
      </c>
      <c r="F551" t="s">
        <v>19</v>
      </c>
      <c r="G551" t="s">
        <v>179</v>
      </c>
      <c r="H551" t="s">
        <v>19</v>
      </c>
      <c r="I551" t="s">
        <v>19</v>
      </c>
      <c r="J551" t="s">
        <v>19</v>
      </c>
      <c r="K551" t="s">
        <v>19</v>
      </c>
      <c r="L551">
        <v>0</v>
      </c>
      <c r="M551">
        <v>0</v>
      </c>
      <c r="N551">
        <v>1.2406877446454181E-3</v>
      </c>
      <c r="O551">
        <v>0</v>
      </c>
      <c r="P551">
        <v>1.2406877446454181E-3</v>
      </c>
      <c r="Q551">
        <v>0</v>
      </c>
      <c r="R551">
        <v>6.2034387232270905E-4</v>
      </c>
      <c r="S551">
        <v>1.2406877446454181E-2</v>
      </c>
      <c r="T551">
        <v>2.4813754892908362E-3</v>
      </c>
      <c r="U551">
        <v>6.2034387232270905E-3</v>
      </c>
      <c r="V551">
        <v>0</v>
      </c>
      <c r="W551">
        <v>0</v>
      </c>
      <c r="X551">
        <v>6.2034387232270905E-4</v>
      </c>
      <c r="Y551">
        <v>0</v>
      </c>
      <c r="Z551">
        <v>0</v>
      </c>
      <c r="AA551">
        <v>0</v>
      </c>
      <c r="AB551">
        <v>1.2406877446454181E-3</v>
      </c>
      <c r="AC551">
        <v>6.2034387232270905E-4</v>
      </c>
      <c r="AD551">
        <v>6.2034387232270905E-4</v>
      </c>
      <c r="AE551">
        <v>0</v>
      </c>
      <c r="AF551">
        <v>1.8610316169681269E-3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6.2034387232270905E-4</v>
      </c>
      <c r="AN551">
        <v>0.17617765973964936</v>
      </c>
      <c r="AO551" t="s">
        <v>19</v>
      </c>
      <c r="AT551" t="str">
        <f t="shared" si="16"/>
        <v>lcv</v>
      </c>
      <c r="AU551" t="str">
        <f t="shared" si="17"/>
        <v>eth</v>
      </c>
    </row>
    <row r="552" spans="1:47">
      <c r="A552" t="s">
        <v>17</v>
      </c>
      <c r="B552" t="s">
        <v>176</v>
      </c>
      <c r="C552" t="s">
        <v>606</v>
      </c>
      <c r="D552" t="s">
        <v>19</v>
      </c>
      <c r="E552" t="s">
        <v>19</v>
      </c>
      <c r="F552" t="s">
        <v>19</v>
      </c>
      <c r="G552" t="s">
        <v>180</v>
      </c>
      <c r="H552" t="s">
        <v>19</v>
      </c>
      <c r="I552" t="s">
        <v>19</v>
      </c>
      <c r="J552" t="s">
        <v>19</v>
      </c>
      <c r="K552" t="s">
        <v>19</v>
      </c>
      <c r="L552">
        <v>0</v>
      </c>
      <c r="M552">
        <v>0</v>
      </c>
      <c r="N552">
        <v>1.2406877446454181E-3</v>
      </c>
      <c r="O552">
        <v>0</v>
      </c>
      <c r="P552">
        <v>1.2406877446454181E-3</v>
      </c>
      <c r="Q552">
        <v>0</v>
      </c>
      <c r="R552">
        <v>6.2034387232270905E-4</v>
      </c>
      <c r="S552">
        <v>1.2406877446454181E-2</v>
      </c>
      <c r="T552">
        <v>2.4813754892908362E-3</v>
      </c>
      <c r="U552">
        <v>6.2034387232270905E-3</v>
      </c>
      <c r="V552">
        <v>0</v>
      </c>
      <c r="W552">
        <v>0</v>
      </c>
      <c r="X552">
        <v>6.2034387232270905E-4</v>
      </c>
      <c r="Y552">
        <v>0</v>
      </c>
      <c r="Z552">
        <v>0</v>
      </c>
      <c r="AA552">
        <v>0</v>
      </c>
      <c r="AB552">
        <v>1.2406877446454181E-3</v>
      </c>
      <c r="AC552">
        <v>6.2034387232270905E-4</v>
      </c>
      <c r="AD552">
        <v>6.2034387232270905E-4</v>
      </c>
      <c r="AE552">
        <v>0</v>
      </c>
      <c r="AF552">
        <v>1.8610316169681269E-3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6.2034387232270905E-4</v>
      </c>
      <c r="AN552">
        <v>0.17617765973964936</v>
      </c>
      <c r="AO552" t="s">
        <v>19</v>
      </c>
      <c r="AT552" t="str">
        <f t="shared" si="16"/>
        <v>lcv</v>
      </c>
      <c r="AU552" t="str">
        <f t="shared" si="17"/>
        <v>eth</v>
      </c>
    </row>
    <row r="553" spans="1:47">
      <c r="A553" t="s">
        <v>17</v>
      </c>
      <c r="B553" t="s">
        <v>176</v>
      </c>
      <c r="C553" t="s">
        <v>606</v>
      </c>
      <c r="D553" t="s">
        <v>19</v>
      </c>
      <c r="E553" t="s">
        <v>19</v>
      </c>
      <c r="F553" t="s">
        <v>19</v>
      </c>
      <c r="G553" t="s">
        <v>181</v>
      </c>
      <c r="H553" t="s">
        <v>19</v>
      </c>
      <c r="I553" t="s">
        <v>19</v>
      </c>
      <c r="J553" t="s">
        <v>19</v>
      </c>
      <c r="K553" t="s">
        <v>19</v>
      </c>
      <c r="L553">
        <v>0</v>
      </c>
      <c r="M553">
        <v>0</v>
      </c>
      <c r="N553">
        <v>1.2406877446454181E-3</v>
      </c>
      <c r="O553">
        <v>0</v>
      </c>
      <c r="P553">
        <v>1.2406877446454181E-3</v>
      </c>
      <c r="Q553">
        <v>0</v>
      </c>
      <c r="R553">
        <v>6.2034387232270905E-4</v>
      </c>
      <c r="S553">
        <v>1.2406877446454181E-2</v>
      </c>
      <c r="T553">
        <v>2.4813754892908362E-3</v>
      </c>
      <c r="U553">
        <v>6.2034387232270905E-3</v>
      </c>
      <c r="V553">
        <v>0</v>
      </c>
      <c r="W553">
        <v>0</v>
      </c>
      <c r="X553">
        <v>6.2034387232270905E-4</v>
      </c>
      <c r="Y553">
        <v>0</v>
      </c>
      <c r="Z553">
        <v>0</v>
      </c>
      <c r="AA553">
        <v>0</v>
      </c>
      <c r="AB553">
        <v>1.2406877446454181E-3</v>
      </c>
      <c r="AC553">
        <v>6.2034387232270905E-4</v>
      </c>
      <c r="AD553">
        <v>6.2034387232270905E-4</v>
      </c>
      <c r="AE553">
        <v>0</v>
      </c>
      <c r="AF553">
        <v>1.8610316169681269E-3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6.2034387232270905E-4</v>
      </c>
      <c r="AN553">
        <v>0.17617765973964936</v>
      </c>
      <c r="AO553" t="s">
        <v>19</v>
      </c>
      <c r="AT553" t="str">
        <f t="shared" si="16"/>
        <v>lcv</v>
      </c>
      <c r="AU553" t="str">
        <f t="shared" si="17"/>
        <v>eth</v>
      </c>
    </row>
    <row r="554" spans="1:47">
      <c r="A554" t="s">
        <v>17</v>
      </c>
      <c r="B554" t="s">
        <v>176</v>
      </c>
      <c r="C554" t="s">
        <v>606</v>
      </c>
      <c r="D554" t="s">
        <v>19</v>
      </c>
      <c r="E554" t="s">
        <v>19</v>
      </c>
      <c r="F554" t="s">
        <v>19</v>
      </c>
      <c r="G554" t="s">
        <v>182</v>
      </c>
      <c r="H554" t="s">
        <v>19</v>
      </c>
      <c r="I554" t="s">
        <v>19</v>
      </c>
      <c r="J554" t="s">
        <v>19</v>
      </c>
      <c r="K554" t="s">
        <v>19</v>
      </c>
      <c r="L554">
        <v>0</v>
      </c>
      <c r="M554">
        <v>0</v>
      </c>
      <c r="N554">
        <v>1.2406877446454181E-3</v>
      </c>
      <c r="O554">
        <v>0</v>
      </c>
      <c r="P554">
        <v>1.2406877446454181E-3</v>
      </c>
      <c r="Q554">
        <v>0</v>
      </c>
      <c r="R554">
        <v>6.2034387232270905E-4</v>
      </c>
      <c r="S554">
        <v>1.2406877446454181E-2</v>
      </c>
      <c r="T554">
        <v>2.4813754892908362E-3</v>
      </c>
      <c r="U554">
        <v>6.2034387232270905E-3</v>
      </c>
      <c r="V554">
        <v>0</v>
      </c>
      <c r="W554">
        <v>0</v>
      </c>
      <c r="X554">
        <v>6.2034387232270905E-4</v>
      </c>
      <c r="Y554">
        <v>0</v>
      </c>
      <c r="Z554">
        <v>0</v>
      </c>
      <c r="AA554">
        <v>0</v>
      </c>
      <c r="AB554">
        <v>1.2406877446454181E-3</v>
      </c>
      <c r="AC554">
        <v>6.2034387232270905E-4</v>
      </c>
      <c r="AD554">
        <v>6.2034387232270905E-4</v>
      </c>
      <c r="AE554">
        <v>0</v>
      </c>
      <c r="AF554">
        <v>1.8610316169681269E-3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6.2034387232270905E-4</v>
      </c>
      <c r="AN554">
        <v>0.17617765973964936</v>
      </c>
      <c r="AO554" t="s">
        <v>19</v>
      </c>
      <c r="AT554" t="str">
        <f t="shared" si="16"/>
        <v>lcv</v>
      </c>
      <c r="AU554" t="str">
        <f t="shared" si="17"/>
        <v>eth</v>
      </c>
    </row>
    <row r="555" spans="1:47">
      <c r="A555" t="s">
        <v>17</v>
      </c>
      <c r="B555" t="s">
        <v>176</v>
      </c>
      <c r="C555" t="s">
        <v>606</v>
      </c>
      <c r="D555" t="s">
        <v>19</v>
      </c>
      <c r="E555" t="s">
        <v>19</v>
      </c>
      <c r="F555" t="s">
        <v>19</v>
      </c>
      <c r="G555" t="s">
        <v>183</v>
      </c>
      <c r="H555" t="s">
        <v>19</v>
      </c>
      <c r="I555" t="s">
        <v>19</v>
      </c>
      <c r="J555" t="s">
        <v>19</v>
      </c>
      <c r="K555" t="s">
        <v>19</v>
      </c>
      <c r="L555">
        <v>0</v>
      </c>
      <c r="M555">
        <v>0</v>
      </c>
      <c r="N555">
        <v>1.2406877446454181E-3</v>
      </c>
      <c r="O555">
        <v>0</v>
      </c>
      <c r="P555">
        <v>1.2406877446454181E-3</v>
      </c>
      <c r="Q555">
        <v>0</v>
      </c>
      <c r="R555">
        <v>6.2034387232270905E-4</v>
      </c>
      <c r="S555">
        <v>1.2406877446454181E-2</v>
      </c>
      <c r="T555">
        <v>2.4813754892908362E-3</v>
      </c>
      <c r="U555">
        <v>6.2034387232270905E-3</v>
      </c>
      <c r="V555">
        <v>0</v>
      </c>
      <c r="W555">
        <v>0</v>
      </c>
      <c r="X555">
        <v>6.2034387232270905E-4</v>
      </c>
      <c r="Y555">
        <v>0</v>
      </c>
      <c r="Z555">
        <v>0</v>
      </c>
      <c r="AA555">
        <v>0</v>
      </c>
      <c r="AB555">
        <v>1.2406877446454181E-3</v>
      </c>
      <c r="AC555">
        <v>6.2034387232270905E-4</v>
      </c>
      <c r="AD555">
        <v>6.2034387232270905E-4</v>
      </c>
      <c r="AE555">
        <v>0</v>
      </c>
      <c r="AF555">
        <v>1.8610316169681269E-3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6.2034387232270905E-4</v>
      </c>
      <c r="AN555">
        <v>0.17617765973964936</v>
      </c>
      <c r="AO555" t="s">
        <v>19</v>
      </c>
      <c r="AT555" t="str">
        <f t="shared" si="16"/>
        <v>lcv</v>
      </c>
      <c r="AU555" t="str">
        <f t="shared" si="17"/>
        <v>eth</v>
      </c>
    </row>
    <row r="556" spans="1:47">
      <c r="A556" t="s">
        <v>17</v>
      </c>
      <c r="B556" t="s">
        <v>176</v>
      </c>
      <c r="C556" t="s">
        <v>606</v>
      </c>
      <c r="D556" t="s">
        <v>19</v>
      </c>
      <c r="E556" t="s">
        <v>19</v>
      </c>
      <c r="F556" t="s">
        <v>19</v>
      </c>
      <c r="G556" t="s">
        <v>184</v>
      </c>
      <c r="H556" t="s">
        <v>19</v>
      </c>
      <c r="I556" t="s">
        <v>19</v>
      </c>
      <c r="J556" t="s">
        <v>19</v>
      </c>
      <c r="K556" t="s">
        <v>19</v>
      </c>
      <c r="L556">
        <v>0</v>
      </c>
      <c r="M556">
        <v>0</v>
      </c>
      <c r="N556">
        <v>1.2406877446454181E-3</v>
      </c>
      <c r="O556">
        <v>0</v>
      </c>
      <c r="P556">
        <v>1.2406877446454181E-3</v>
      </c>
      <c r="Q556">
        <v>0</v>
      </c>
      <c r="R556">
        <v>6.2034387232270905E-4</v>
      </c>
      <c r="S556">
        <v>1.2406877446454181E-2</v>
      </c>
      <c r="T556">
        <v>2.4813754892908362E-3</v>
      </c>
      <c r="U556">
        <v>6.2034387232270905E-3</v>
      </c>
      <c r="V556">
        <v>0</v>
      </c>
      <c r="W556">
        <v>0</v>
      </c>
      <c r="X556">
        <v>6.2034387232270905E-4</v>
      </c>
      <c r="Y556">
        <v>0</v>
      </c>
      <c r="Z556">
        <v>0</v>
      </c>
      <c r="AA556">
        <v>0</v>
      </c>
      <c r="AB556">
        <v>1.2406877446454181E-3</v>
      </c>
      <c r="AC556">
        <v>6.2034387232270905E-4</v>
      </c>
      <c r="AD556">
        <v>6.2034387232270905E-4</v>
      </c>
      <c r="AE556">
        <v>0</v>
      </c>
      <c r="AF556">
        <v>1.8610316169681269E-3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6.2034387232270905E-4</v>
      </c>
      <c r="AN556">
        <v>0.17617765973964936</v>
      </c>
      <c r="AO556" t="s">
        <v>19</v>
      </c>
      <c r="AT556" t="str">
        <f t="shared" si="16"/>
        <v>lcv</v>
      </c>
      <c r="AU556" t="str">
        <f t="shared" si="17"/>
        <v>eth</v>
      </c>
    </row>
    <row r="557" spans="1:47">
      <c r="A557" t="s">
        <v>17</v>
      </c>
      <c r="B557" t="s">
        <v>176</v>
      </c>
      <c r="C557" t="s">
        <v>606</v>
      </c>
      <c r="D557" t="s">
        <v>19</v>
      </c>
      <c r="E557" t="s">
        <v>19</v>
      </c>
      <c r="F557" t="s">
        <v>19</v>
      </c>
      <c r="G557" t="s">
        <v>185</v>
      </c>
      <c r="H557" t="s">
        <v>19</v>
      </c>
      <c r="I557" t="s">
        <v>19</v>
      </c>
      <c r="J557" t="s">
        <v>19</v>
      </c>
      <c r="K557" t="s">
        <v>19</v>
      </c>
      <c r="L557">
        <v>0</v>
      </c>
      <c r="M557">
        <v>0</v>
      </c>
      <c r="N557">
        <v>1.2406877446454181E-3</v>
      </c>
      <c r="O557">
        <v>0</v>
      </c>
      <c r="P557">
        <v>1.2406877446454181E-3</v>
      </c>
      <c r="Q557">
        <v>0</v>
      </c>
      <c r="R557">
        <v>6.2034387232270905E-4</v>
      </c>
      <c r="S557">
        <v>1.2406877446454181E-2</v>
      </c>
      <c r="T557">
        <v>2.4813754892908362E-3</v>
      </c>
      <c r="U557">
        <v>6.2034387232270905E-3</v>
      </c>
      <c r="V557">
        <v>0</v>
      </c>
      <c r="W557">
        <v>0</v>
      </c>
      <c r="X557">
        <v>6.2034387232270905E-4</v>
      </c>
      <c r="Y557">
        <v>0</v>
      </c>
      <c r="Z557">
        <v>0</v>
      </c>
      <c r="AA557">
        <v>0</v>
      </c>
      <c r="AB557">
        <v>1.2406877446454181E-3</v>
      </c>
      <c r="AC557">
        <v>6.2034387232270905E-4</v>
      </c>
      <c r="AD557">
        <v>6.2034387232270905E-4</v>
      </c>
      <c r="AE557">
        <v>0</v>
      </c>
      <c r="AF557">
        <v>1.8610316169681269E-3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6.2034387232270905E-4</v>
      </c>
      <c r="AN557">
        <v>0.17617765973964936</v>
      </c>
      <c r="AO557" t="s">
        <v>19</v>
      </c>
      <c r="AT557" t="str">
        <f t="shared" si="16"/>
        <v>lcv</v>
      </c>
      <c r="AU557" t="str">
        <f t="shared" si="17"/>
        <v>eth</v>
      </c>
    </row>
    <row r="558" spans="1:47">
      <c r="A558" t="s">
        <v>17</v>
      </c>
      <c r="B558" t="s">
        <v>176</v>
      </c>
      <c r="C558" t="s">
        <v>606</v>
      </c>
      <c r="D558" t="s">
        <v>19</v>
      </c>
      <c r="E558" t="s">
        <v>19</v>
      </c>
      <c r="F558" t="s">
        <v>19</v>
      </c>
      <c r="G558" t="s">
        <v>186</v>
      </c>
      <c r="H558" t="s">
        <v>19</v>
      </c>
      <c r="I558" t="s">
        <v>19</v>
      </c>
      <c r="J558" t="s">
        <v>19</v>
      </c>
      <c r="K558" t="s">
        <v>19</v>
      </c>
      <c r="L558">
        <v>0</v>
      </c>
      <c r="M558">
        <v>0</v>
      </c>
      <c r="N558">
        <v>1.2406877446454181E-3</v>
      </c>
      <c r="O558">
        <v>0</v>
      </c>
      <c r="P558">
        <v>1.2406877446454181E-3</v>
      </c>
      <c r="Q558">
        <v>0</v>
      </c>
      <c r="R558">
        <v>6.2034387232270905E-4</v>
      </c>
      <c r="S558">
        <v>1.2406877446454181E-2</v>
      </c>
      <c r="T558">
        <v>2.4813754892908362E-3</v>
      </c>
      <c r="U558">
        <v>6.2034387232270905E-3</v>
      </c>
      <c r="V558">
        <v>0</v>
      </c>
      <c r="W558">
        <v>0</v>
      </c>
      <c r="X558">
        <v>6.2034387232270905E-4</v>
      </c>
      <c r="Y558">
        <v>0</v>
      </c>
      <c r="Z558">
        <v>0</v>
      </c>
      <c r="AA558">
        <v>0</v>
      </c>
      <c r="AB558">
        <v>1.2406877446454181E-3</v>
      </c>
      <c r="AC558">
        <v>6.2034387232270905E-4</v>
      </c>
      <c r="AD558">
        <v>6.2034387232270905E-4</v>
      </c>
      <c r="AE558">
        <v>0</v>
      </c>
      <c r="AF558">
        <v>1.8610316169681269E-3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6.2034387232270905E-4</v>
      </c>
      <c r="AN558">
        <v>0.17617765973964936</v>
      </c>
      <c r="AO558" t="s">
        <v>19</v>
      </c>
      <c r="AT558" t="str">
        <f t="shared" si="16"/>
        <v>lcv</v>
      </c>
      <c r="AU558" t="str">
        <f t="shared" si="17"/>
        <v>eth</v>
      </c>
    </row>
    <row r="559" spans="1:47">
      <c r="A559" t="s">
        <v>17</v>
      </c>
      <c r="B559" t="s">
        <v>176</v>
      </c>
      <c r="C559" t="s">
        <v>606</v>
      </c>
      <c r="D559" t="s">
        <v>19</v>
      </c>
      <c r="E559" t="s">
        <v>19</v>
      </c>
      <c r="F559" t="s">
        <v>19</v>
      </c>
      <c r="G559" t="s">
        <v>187</v>
      </c>
      <c r="H559" t="s">
        <v>19</v>
      </c>
      <c r="I559" t="s">
        <v>19</v>
      </c>
      <c r="J559" t="s">
        <v>19</v>
      </c>
      <c r="K559" t="s">
        <v>19</v>
      </c>
      <c r="L559">
        <v>0</v>
      </c>
      <c r="M559">
        <v>0</v>
      </c>
      <c r="N559">
        <v>1.2406877446454181E-3</v>
      </c>
      <c r="O559">
        <v>0</v>
      </c>
      <c r="P559">
        <v>1.2406877446454181E-3</v>
      </c>
      <c r="Q559">
        <v>0</v>
      </c>
      <c r="R559">
        <v>6.2034387232270905E-4</v>
      </c>
      <c r="S559">
        <v>1.2406877446454181E-2</v>
      </c>
      <c r="T559">
        <v>2.4813754892908362E-3</v>
      </c>
      <c r="U559">
        <v>6.2034387232270905E-3</v>
      </c>
      <c r="V559">
        <v>0</v>
      </c>
      <c r="W559">
        <v>0</v>
      </c>
      <c r="X559">
        <v>6.2034387232270905E-4</v>
      </c>
      <c r="Y559">
        <v>0</v>
      </c>
      <c r="Z559">
        <v>0</v>
      </c>
      <c r="AA559">
        <v>0</v>
      </c>
      <c r="AB559">
        <v>1.2406877446454181E-3</v>
      </c>
      <c r="AC559">
        <v>6.2034387232270905E-4</v>
      </c>
      <c r="AD559">
        <v>6.2034387232270905E-4</v>
      </c>
      <c r="AE559">
        <v>0</v>
      </c>
      <c r="AF559">
        <v>1.8610316169681269E-3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6.2034387232270905E-4</v>
      </c>
      <c r="AN559">
        <v>0.17617765973964936</v>
      </c>
      <c r="AO559" t="s">
        <v>19</v>
      </c>
      <c r="AT559" t="str">
        <f t="shared" si="16"/>
        <v>lcv</v>
      </c>
      <c r="AU559" t="str">
        <f t="shared" si="17"/>
        <v>eth</v>
      </c>
    </row>
    <row r="560" spans="1:47">
      <c r="A560" t="s">
        <v>17</v>
      </c>
      <c r="B560" t="s">
        <v>176</v>
      </c>
      <c r="C560" t="s">
        <v>606</v>
      </c>
      <c r="D560" t="s">
        <v>19</v>
      </c>
      <c r="E560" t="s">
        <v>19</v>
      </c>
      <c r="F560" t="s">
        <v>19</v>
      </c>
      <c r="G560" t="s">
        <v>188</v>
      </c>
      <c r="H560" t="s">
        <v>19</v>
      </c>
      <c r="I560" t="s">
        <v>19</v>
      </c>
      <c r="J560" t="s">
        <v>19</v>
      </c>
      <c r="K560" t="s">
        <v>19</v>
      </c>
      <c r="L560">
        <v>0</v>
      </c>
      <c r="M560">
        <v>0</v>
      </c>
      <c r="N560">
        <v>1.2406877446454181E-3</v>
      </c>
      <c r="O560">
        <v>0</v>
      </c>
      <c r="P560">
        <v>1.2406877446454181E-3</v>
      </c>
      <c r="Q560">
        <v>0</v>
      </c>
      <c r="R560">
        <v>6.2034387232270905E-4</v>
      </c>
      <c r="S560">
        <v>1.2406877446454181E-2</v>
      </c>
      <c r="T560">
        <v>2.4813754892908362E-3</v>
      </c>
      <c r="U560">
        <v>6.2034387232270905E-3</v>
      </c>
      <c r="V560">
        <v>0</v>
      </c>
      <c r="W560">
        <v>0</v>
      </c>
      <c r="X560">
        <v>6.2034387232270905E-4</v>
      </c>
      <c r="Y560">
        <v>0</v>
      </c>
      <c r="Z560">
        <v>0</v>
      </c>
      <c r="AA560">
        <v>0</v>
      </c>
      <c r="AB560">
        <v>1.2406877446454181E-3</v>
      </c>
      <c r="AC560">
        <v>6.2034387232270905E-4</v>
      </c>
      <c r="AD560">
        <v>6.2034387232270905E-4</v>
      </c>
      <c r="AE560">
        <v>0</v>
      </c>
      <c r="AF560">
        <v>1.8610316169681269E-3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6.2034387232270905E-4</v>
      </c>
      <c r="AN560">
        <v>0.17617765973964936</v>
      </c>
      <c r="AO560" t="s">
        <v>19</v>
      </c>
      <c r="AT560" t="str">
        <f t="shared" si="16"/>
        <v>lcv</v>
      </c>
      <c r="AU560" t="str">
        <f t="shared" si="17"/>
        <v>eth</v>
      </c>
    </row>
    <row r="561" spans="1:47">
      <c r="A561" t="s">
        <v>17</v>
      </c>
      <c r="B561" t="s">
        <v>176</v>
      </c>
      <c r="C561" t="s">
        <v>606</v>
      </c>
      <c r="D561" t="s">
        <v>19</v>
      </c>
      <c r="E561" t="s">
        <v>19</v>
      </c>
      <c r="F561" t="s">
        <v>19</v>
      </c>
      <c r="G561" t="s">
        <v>100</v>
      </c>
      <c r="H561" t="s">
        <v>19</v>
      </c>
      <c r="I561" t="s">
        <v>19</v>
      </c>
      <c r="J561" t="s">
        <v>19</v>
      </c>
      <c r="K561" t="s">
        <v>19</v>
      </c>
      <c r="L561">
        <v>0</v>
      </c>
      <c r="M561">
        <v>0</v>
      </c>
      <c r="N561">
        <v>1.2406877446454181E-3</v>
      </c>
      <c r="O561">
        <v>0</v>
      </c>
      <c r="P561">
        <v>1.2406877446454181E-3</v>
      </c>
      <c r="Q561">
        <v>0</v>
      </c>
      <c r="R561">
        <v>6.2034387232270905E-4</v>
      </c>
      <c r="S561">
        <v>1.2406877446454181E-2</v>
      </c>
      <c r="T561">
        <v>2.4813754892908362E-3</v>
      </c>
      <c r="U561">
        <v>6.2034387232270905E-3</v>
      </c>
      <c r="V561">
        <v>0</v>
      </c>
      <c r="W561">
        <v>0</v>
      </c>
      <c r="X561">
        <v>6.2034387232270905E-4</v>
      </c>
      <c r="Y561">
        <v>0</v>
      </c>
      <c r="Z561">
        <v>0</v>
      </c>
      <c r="AA561">
        <v>0</v>
      </c>
      <c r="AB561">
        <v>1.2406877446454181E-3</v>
      </c>
      <c r="AC561">
        <v>6.2034387232270905E-4</v>
      </c>
      <c r="AD561">
        <v>6.2034387232270905E-4</v>
      </c>
      <c r="AE561">
        <v>0</v>
      </c>
      <c r="AF561">
        <v>1.8610316169681269E-3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6.2034387232270905E-4</v>
      </c>
      <c r="AN561">
        <v>0.17617765973964936</v>
      </c>
      <c r="AO561" t="s">
        <v>19</v>
      </c>
      <c r="AT561" t="str">
        <f t="shared" si="16"/>
        <v>lcv</v>
      </c>
      <c r="AU561" t="str">
        <f t="shared" si="17"/>
        <v>eth</v>
      </c>
    </row>
    <row r="562" spans="1:47">
      <c r="A562" t="s">
        <v>17</v>
      </c>
      <c r="B562" t="s">
        <v>176</v>
      </c>
      <c r="C562" t="s">
        <v>605</v>
      </c>
      <c r="D562" t="s">
        <v>19</v>
      </c>
      <c r="E562" t="s">
        <v>19</v>
      </c>
      <c r="F562" t="s">
        <v>19</v>
      </c>
      <c r="G562" t="s">
        <v>603</v>
      </c>
      <c r="H562" t="s">
        <v>19</v>
      </c>
      <c r="I562" t="s">
        <v>19</v>
      </c>
      <c r="J562" t="s">
        <v>19</v>
      </c>
      <c r="K562" t="s">
        <v>19</v>
      </c>
      <c r="L562">
        <v>0</v>
      </c>
      <c r="M562">
        <v>0</v>
      </c>
      <c r="N562">
        <v>2.1712035531294815E-2</v>
      </c>
      <c r="O562">
        <v>6.2654731104593617E-2</v>
      </c>
      <c r="P562">
        <v>0.18672350556913539</v>
      </c>
      <c r="Q562">
        <v>0</v>
      </c>
      <c r="R562">
        <v>5.9553011742980062E-2</v>
      </c>
      <c r="S562">
        <v>4.8386822041171305E-2</v>
      </c>
      <c r="T562">
        <v>4.5285102679557758E-2</v>
      </c>
      <c r="U562">
        <v>0.44540690032770502</v>
      </c>
      <c r="V562">
        <v>4.9627509785816724E-3</v>
      </c>
      <c r="W562">
        <v>5.5830948509043811E-3</v>
      </c>
      <c r="X562">
        <v>8.0644703401952181E-3</v>
      </c>
      <c r="Y562">
        <v>1.1786533574131472E-2</v>
      </c>
      <c r="Z562">
        <v>2.4813754892908362E-3</v>
      </c>
      <c r="AA562">
        <v>7.4441264678725078E-3</v>
      </c>
      <c r="AB562">
        <v>5.6451292381366522E-2</v>
      </c>
      <c r="AC562">
        <v>8.6848142125179276E-3</v>
      </c>
      <c r="AD562">
        <v>1.923066004200398E-2</v>
      </c>
      <c r="AE562">
        <v>0</v>
      </c>
      <c r="AF562">
        <v>6.9478513700143421E-2</v>
      </c>
      <c r="AG562">
        <v>5.2108885275107555E-2</v>
      </c>
      <c r="AH562">
        <v>0.35979944594717123</v>
      </c>
      <c r="AI562">
        <v>6.2034387232270905E-4</v>
      </c>
      <c r="AJ562">
        <v>0.22766620114243419</v>
      </c>
      <c r="AK562">
        <v>0.15570631195299994</v>
      </c>
      <c r="AL562">
        <v>0</v>
      </c>
      <c r="AM562">
        <v>1.3647565191099598E-2</v>
      </c>
      <c r="AN562">
        <v>1.9913038301558961</v>
      </c>
      <c r="AO562" t="s">
        <v>19</v>
      </c>
      <c r="AT562" t="str">
        <f t="shared" si="16"/>
        <v>lcv</v>
      </c>
      <c r="AU562" t="str">
        <f t="shared" si="17"/>
        <v>gsl</v>
      </c>
    </row>
    <row r="563" spans="1:47">
      <c r="A563" t="s">
        <v>17</v>
      </c>
      <c r="B563" t="s">
        <v>176</v>
      </c>
      <c r="C563" t="s">
        <v>605</v>
      </c>
      <c r="D563" t="s">
        <v>19</v>
      </c>
      <c r="E563" t="s">
        <v>19</v>
      </c>
      <c r="F563" t="s">
        <v>19</v>
      </c>
      <c r="G563" t="s">
        <v>602</v>
      </c>
      <c r="H563" t="s">
        <v>19</v>
      </c>
      <c r="I563" t="s">
        <v>19</v>
      </c>
      <c r="J563" t="s">
        <v>19</v>
      </c>
      <c r="K563" t="s">
        <v>19</v>
      </c>
      <c r="L563">
        <v>0</v>
      </c>
      <c r="M563">
        <v>0</v>
      </c>
      <c r="N563">
        <v>2.1712035531294815E-2</v>
      </c>
      <c r="O563">
        <v>6.2654731104593617E-2</v>
      </c>
      <c r="P563">
        <v>0.18672350556913539</v>
      </c>
      <c r="Q563">
        <v>0</v>
      </c>
      <c r="R563">
        <v>5.9553011742980062E-2</v>
      </c>
      <c r="S563">
        <v>4.8386822041171305E-2</v>
      </c>
      <c r="T563">
        <v>4.5285102679557758E-2</v>
      </c>
      <c r="U563">
        <v>0.44540690032770502</v>
      </c>
      <c r="V563">
        <v>4.9627509785816724E-3</v>
      </c>
      <c r="W563">
        <v>5.5830948509043811E-3</v>
      </c>
      <c r="X563">
        <v>8.0644703401952181E-3</v>
      </c>
      <c r="Y563">
        <v>1.1786533574131472E-2</v>
      </c>
      <c r="Z563">
        <v>2.4813754892908362E-3</v>
      </c>
      <c r="AA563">
        <v>7.4441264678725078E-3</v>
      </c>
      <c r="AB563">
        <v>5.6451292381366522E-2</v>
      </c>
      <c r="AC563">
        <v>8.6848142125179276E-3</v>
      </c>
      <c r="AD563">
        <v>1.923066004200398E-2</v>
      </c>
      <c r="AE563">
        <v>0</v>
      </c>
      <c r="AF563">
        <v>6.9478513700143421E-2</v>
      </c>
      <c r="AG563">
        <v>5.2108885275107555E-2</v>
      </c>
      <c r="AH563">
        <v>0.35979944594717123</v>
      </c>
      <c r="AI563">
        <v>6.2034387232270905E-4</v>
      </c>
      <c r="AJ563">
        <v>0.22766620114243419</v>
      </c>
      <c r="AK563">
        <v>0.15570631195299994</v>
      </c>
      <c r="AL563">
        <v>0</v>
      </c>
      <c r="AM563">
        <v>1.3647565191099598E-2</v>
      </c>
      <c r="AN563">
        <v>1.9913038301558961</v>
      </c>
      <c r="AO563" t="s">
        <v>19</v>
      </c>
      <c r="AT563" t="str">
        <f t="shared" si="16"/>
        <v>lcv</v>
      </c>
      <c r="AU563" t="str">
        <f t="shared" si="17"/>
        <v>gsl</v>
      </c>
    </row>
    <row r="564" spans="1:47">
      <c r="A564" t="s">
        <v>17</v>
      </c>
      <c r="B564" t="s">
        <v>176</v>
      </c>
      <c r="C564" t="s">
        <v>605</v>
      </c>
      <c r="D564" t="s">
        <v>19</v>
      </c>
      <c r="E564" t="s">
        <v>19</v>
      </c>
      <c r="F564" t="s">
        <v>19</v>
      </c>
      <c r="G564" t="s">
        <v>601</v>
      </c>
      <c r="H564" t="s">
        <v>19</v>
      </c>
      <c r="I564" t="s">
        <v>19</v>
      </c>
      <c r="J564" t="s">
        <v>19</v>
      </c>
      <c r="K564" t="s">
        <v>19</v>
      </c>
      <c r="L564">
        <v>0</v>
      </c>
      <c r="M564">
        <v>0</v>
      </c>
      <c r="N564">
        <v>2.1712035531294815E-2</v>
      </c>
      <c r="O564">
        <v>6.2654731104593617E-2</v>
      </c>
      <c r="P564">
        <v>0.18672350556913539</v>
      </c>
      <c r="Q564">
        <v>0</v>
      </c>
      <c r="R564">
        <v>5.9553011742980062E-2</v>
      </c>
      <c r="S564">
        <v>4.8386822041171305E-2</v>
      </c>
      <c r="T564">
        <v>4.5285102679557758E-2</v>
      </c>
      <c r="U564">
        <v>0.44540690032770502</v>
      </c>
      <c r="V564">
        <v>4.9627509785816724E-3</v>
      </c>
      <c r="W564">
        <v>5.5830948509043811E-3</v>
      </c>
      <c r="X564">
        <v>8.0644703401952181E-3</v>
      </c>
      <c r="Y564">
        <v>1.1786533574131472E-2</v>
      </c>
      <c r="Z564">
        <v>2.4813754892908362E-3</v>
      </c>
      <c r="AA564">
        <v>7.4441264678725078E-3</v>
      </c>
      <c r="AB564">
        <v>5.6451292381366522E-2</v>
      </c>
      <c r="AC564">
        <v>8.6848142125179276E-3</v>
      </c>
      <c r="AD564">
        <v>1.923066004200398E-2</v>
      </c>
      <c r="AE564">
        <v>0</v>
      </c>
      <c r="AF564">
        <v>6.9478513700143421E-2</v>
      </c>
      <c r="AG564">
        <v>5.2108885275107555E-2</v>
      </c>
      <c r="AH564">
        <v>0.35979944594717123</v>
      </c>
      <c r="AI564">
        <v>6.2034387232270905E-4</v>
      </c>
      <c r="AJ564">
        <v>0.22766620114243419</v>
      </c>
      <c r="AK564">
        <v>0.15570631195299994</v>
      </c>
      <c r="AL564">
        <v>0</v>
      </c>
      <c r="AM564">
        <v>1.3647565191099598E-2</v>
      </c>
      <c r="AN564">
        <v>1.9913038301558961</v>
      </c>
      <c r="AO564" t="s">
        <v>19</v>
      </c>
      <c r="AT564" t="str">
        <f t="shared" si="16"/>
        <v>lcv</v>
      </c>
      <c r="AU564" t="str">
        <f t="shared" si="17"/>
        <v>gsl</v>
      </c>
    </row>
    <row r="565" spans="1:47">
      <c r="A565" t="s">
        <v>17</v>
      </c>
      <c r="B565" t="s">
        <v>176</v>
      </c>
      <c r="C565" t="s">
        <v>605</v>
      </c>
      <c r="D565" t="s">
        <v>19</v>
      </c>
      <c r="E565" t="s">
        <v>19</v>
      </c>
      <c r="F565" t="s">
        <v>19</v>
      </c>
      <c r="G565" t="s">
        <v>600</v>
      </c>
      <c r="H565" t="s">
        <v>19</v>
      </c>
      <c r="I565" t="s">
        <v>19</v>
      </c>
      <c r="J565" t="s">
        <v>19</v>
      </c>
      <c r="K565" t="s">
        <v>19</v>
      </c>
      <c r="L565">
        <v>0</v>
      </c>
      <c r="M565">
        <v>0</v>
      </c>
      <c r="N565">
        <v>2.1712035531294815E-2</v>
      </c>
      <c r="O565">
        <v>6.2654731104593617E-2</v>
      </c>
      <c r="P565">
        <v>0.18672350556913539</v>
      </c>
      <c r="Q565">
        <v>0</v>
      </c>
      <c r="R565">
        <v>5.9553011742980062E-2</v>
      </c>
      <c r="S565">
        <v>4.8386822041171305E-2</v>
      </c>
      <c r="T565">
        <v>4.5285102679557758E-2</v>
      </c>
      <c r="U565">
        <v>0.44540690032770502</v>
      </c>
      <c r="V565">
        <v>4.9627509785816724E-3</v>
      </c>
      <c r="W565">
        <v>5.5830948509043811E-3</v>
      </c>
      <c r="X565">
        <v>8.0644703401952181E-3</v>
      </c>
      <c r="Y565">
        <v>1.1786533574131472E-2</v>
      </c>
      <c r="Z565">
        <v>2.4813754892908362E-3</v>
      </c>
      <c r="AA565">
        <v>7.4441264678725078E-3</v>
      </c>
      <c r="AB565">
        <v>5.6451292381366522E-2</v>
      </c>
      <c r="AC565">
        <v>8.6848142125179276E-3</v>
      </c>
      <c r="AD565">
        <v>1.923066004200398E-2</v>
      </c>
      <c r="AE565">
        <v>0</v>
      </c>
      <c r="AF565">
        <v>6.9478513700143421E-2</v>
      </c>
      <c r="AG565">
        <v>5.2108885275107555E-2</v>
      </c>
      <c r="AH565">
        <v>0.35979944594717123</v>
      </c>
      <c r="AI565">
        <v>6.2034387232270905E-4</v>
      </c>
      <c r="AJ565">
        <v>0.22766620114243419</v>
      </c>
      <c r="AK565">
        <v>0.15570631195299994</v>
      </c>
      <c r="AL565">
        <v>0</v>
      </c>
      <c r="AM565">
        <v>1.3647565191099598E-2</v>
      </c>
      <c r="AN565">
        <v>1.9913038301558961</v>
      </c>
      <c r="AO565" t="s">
        <v>19</v>
      </c>
      <c r="AT565" t="str">
        <f t="shared" si="16"/>
        <v>lcv</v>
      </c>
      <c r="AU565" t="str">
        <f t="shared" si="17"/>
        <v>gsl</v>
      </c>
    </row>
    <row r="566" spans="1:47">
      <c r="A566" t="s">
        <v>17</v>
      </c>
      <c r="B566" t="s">
        <v>176</v>
      </c>
      <c r="C566" t="s">
        <v>605</v>
      </c>
      <c r="D566" t="s">
        <v>19</v>
      </c>
      <c r="E566" t="s">
        <v>19</v>
      </c>
      <c r="F566" t="s">
        <v>19</v>
      </c>
      <c r="G566" t="s">
        <v>599</v>
      </c>
      <c r="H566" t="s">
        <v>19</v>
      </c>
      <c r="I566" t="s">
        <v>19</v>
      </c>
      <c r="J566" t="s">
        <v>19</v>
      </c>
      <c r="K566" t="s">
        <v>19</v>
      </c>
      <c r="L566">
        <v>0</v>
      </c>
      <c r="M566">
        <v>0</v>
      </c>
      <c r="N566">
        <v>2.1712035531294815E-2</v>
      </c>
      <c r="O566">
        <v>6.2654731104593617E-2</v>
      </c>
      <c r="P566">
        <v>0.18672350556913539</v>
      </c>
      <c r="Q566">
        <v>0</v>
      </c>
      <c r="R566">
        <v>5.9553011742980062E-2</v>
      </c>
      <c r="S566">
        <v>4.8386822041171305E-2</v>
      </c>
      <c r="T566">
        <v>4.5285102679557758E-2</v>
      </c>
      <c r="U566">
        <v>0.44540690032770502</v>
      </c>
      <c r="V566">
        <v>4.9627509785816724E-3</v>
      </c>
      <c r="W566">
        <v>5.5830948509043811E-3</v>
      </c>
      <c r="X566">
        <v>8.0644703401952181E-3</v>
      </c>
      <c r="Y566">
        <v>1.1786533574131472E-2</v>
      </c>
      <c r="Z566">
        <v>2.4813754892908362E-3</v>
      </c>
      <c r="AA566">
        <v>7.4441264678725078E-3</v>
      </c>
      <c r="AB566">
        <v>5.6451292381366522E-2</v>
      </c>
      <c r="AC566">
        <v>8.6848142125179276E-3</v>
      </c>
      <c r="AD566">
        <v>1.923066004200398E-2</v>
      </c>
      <c r="AE566">
        <v>0</v>
      </c>
      <c r="AF566">
        <v>6.9478513700143421E-2</v>
      </c>
      <c r="AG566">
        <v>5.2108885275107555E-2</v>
      </c>
      <c r="AH566">
        <v>0.35979944594717123</v>
      </c>
      <c r="AI566">
        <v>6.2034387232270905E-4</v>
      </c>
      <c r="AJ566">
        <v>0.22766620114243419</v>
      </c>
      <c r="AK566">
        <v>0.15570631195299994</v>
      </c>
      <c r="AL566">
        <v>0</v>
      </c>
      <c r="AM566">
        <v>1.3647565191099598E-2</v>
      </c>
      <c r="AN566">
        <v>1.9913038301558961</v>
      </c>
      <c r="AO566" t="s">
        <v>19</v>
      </c>
      <c r="AT566" t="str">
        <f t="shared" si="16"/>
        <v>lcv</v>
      </c>
      <c r="AU566" t="str">
        <f t="shared" si="17"/>
        <v>gsl</v>
      </c>
    </row>
    <row r="567" spans="1:47">
      <c r="A567" t="s">
        <v>17</v>
      </c>
      <c r="B567" t="s">
        <v>176</v>
      </c>
      <c r="C567" t="s">
        <v>605</v>
      </c>
      <c r="D567" t="s">
        <v>19</v>
      </c>
      <c r="E567" t="s">
        <v>19</v>
      </c>
      <c r="F567" t="s">
        <v>19</v>
      </c>
      <c r="G567" t="s">
        <v>598</v>
      </c>
      <c r="H567" t="s">
        <v>19</v>
      </c>
      <c r="I567" t="s">
        <v>19</v>
      </c>
      <c r="J567" t="s">
        <v>19</v>
      </c>
      <c r="K567" t="s">
        <v>19</v>
      </c>
      <c r="L567">
        <v>0</v>
      </c>
      <c r="M567">
        <v>0</v>
      </c>
      <c r="N567">
        <v>2.1712035531294815E-2</v>
      </c>
      <c r="O567">
        <v>6.2654731104593617E-2</v>
      </c>
      <c r="P567">
        <v>0.18672350556913539</v>
      </c>
      <c r="Q567">
        <v>0</v>
      </c>
      <c r="R567">
        <v>5.9553011742980062E-2</v>
      </c>
      <c r="S567">
        <v>4.8386822041171305E-2</v>
      </c>
      <c r="T567">
        <v>4.5285102679557758E-2</v>
      </c>
      <c r="U567">
        <v>0.44540690032770502</v>
      </c>
      <c r="V567">
        <v>4.9627509785816724E-3</v>
      </c>
      <c r="W567">
        <v>5.5830948509043811E-3</v>
      </c>
      <c r="X567">
        <v>8.0644703401952181E-3</v>
      </c>
      <c r="Y567">
        <v>1.1786533574131472E-2</v>
      </c>
      <c r="Z567">
        <v>2.4813754892908362E-3</v>
      </c>
      <c r="AA567">
        <v>7.4441264678725078E-3</v>
      </c>
      <c r="AB567">
        <v>5.6451292381366522E-2</v>
      </c>
      <c r="AC567">
        <v>8.6848142125179276E-3</v>
      </c>
      <c r="AD567">
        <v>1.923066004200398E-2</v>
      </c>
      <c r="AE567">
        <v>0</v>
      </c>
      <c r="AF567">
        <v>6.9478513700143421E-2</v>
      </c>
      <c r="AG567">
        <v>5.2108885275107555E-2</v>
      </c>
      <c r="AH567">
        <v>0.35979944594717123</v>
      </c>
      <c r="AI567">
        <v>6.2034387232270905E-4</v>
      </c>
      <c r="AJ567">
        <v>0.22766620114243419</v>
      </c>
      <c r="AK567">
        <v>0.15570631195299994</v>
      </c>
      <c r="AL567">
        <v>0</v>
      </c>
      <c r="AM567">
        <v>1.3647565191099598E-2</v>
      </c>
      <c r="AN567">
        <v>1.9913038301558961</v>
      </c>
      <c r="AO567" t="s">
        <v>19</v>
      </c>
      <c r="AT567" t="str">
        <f t="shared" si="16"/>
        <v>lcv</v>
      </c>
      <c r="AU567" t="str">
        <f t="shared" si="17"/>
        <v>gsl</v>
      </c>
    </row>
    <row r="568" spans="1:47">
      <c r="A568" t="s">
        <v>17</v>
      </c>
      <c r="B568" t="s">
        <v>176</v>
      </c>
      <c r="C568" t="s">
        <v>605</v>
      </c>
      <c r="D568" t="s">
        <v>19</v>
      </c>
      <c r="E568" t="s">
        <v>19</v>
      </c>
      <c r="F568" t="s">
        <v>19</v>
      </c>
      <c r="G568" t="s">
        <v>597</v>
      </c>
      <c r="H568" t="s">
        <v>19</v>
      </c>
      <c r="I568" t="s">
        <v>19</v>
      </c>
      <c r="J568" t="s">
        <v>19</v>
      </c>
      <c r="K568" t="s">
        <v>19</v>
      </c>
      <c r="L568">
        <v>0</v>
      </c>
      <c r="M568">
        <v>0</v>
      </c>
      <c r="N568">
        <v>2.1712035531294815E-2</v>
      </c>
      <c r="O568">
        <v>6.2654731104593617E-2</v>
      </c>
      <c r="P568">
        <v>0.18672350556913539</v>
      </c>
      <c r="Q568">
        <v>0</v>
      </c>
      <c r="R568">
        <v>5.9553011742980062E-2</v>
      </c>
      <c r="S568">
        <v>4.8386822041171305E-2</v>
      </c>
      <c r="T568">
        <v>4.5285102679557758E-2</v>
      </c>
      <c r="U568">
        <v>0.44540690032770502</v>
      </c>
      <c r="V568">
        <v>4.9627509785816724E-3</v>
      </c>
      <c r="W568">
        <v>5.5830948509043811E-3</v>
      </c>
      <c r="X568">
        <v>8.0644703401952181E-3</v>
      </c>
      <c r="Y568">
        <v>1.1786533574131472E-2</v>
      </c>
      <c r="Z568">
        <v>2.4813754892908362E-3</v>
      </c>
      <c r="AA568">
        <v>7.4441264678725078E-3</v>
      </c>
      <c r="AB568">
        <v>5.6451292381366522E-2</v>
      </c>
      <c r="AC568">
        <v>8.6848142125179276E-3</v>
      </c>
      <c r="AD568">
        <v>1.923066004200398E-2</v>
      </c>
      <c r="AE568">
        <v>0</v>
      </c>
      <c r="AF568">
        <v>6.9478513700143421E-2</v>
      </c>
      <c r="AG568">
        <v>5.2108885275107555E-2</v>
      </c>
      <c r="AH568">
        <v>0.35979944594717123</v>
      </c>
      <c r="AI568">
        <v>6.2034387232270905E-4</v>
      </c>
      <c r="AJ568">
        <v>0.22766620114243419</v>
      </c>
      <c r="AK568">
        <v>0.15570631195299994</v>
      </c>
      <c r="AL568">
        <v>0</v>
      </c>
      <c r="AM568">
        <v>1.3647565191099598E-2</v>
      </c>
      <c r="AN568">
        <v>1.9913038301558961</v>
      </c>
      <c r="AO568" t="s">
        <v>19</v>
      </c>
      <c r="AT568" t="str">
        <f t="shared" si="16"/>
        <v>lcv</v>
      </c>
      <c r="AU568" t="str">
        <f t="shared" si="17"/>
        <v>gsl</v>
      </c>
    </row>
    <row r="569" spans="1:47">
      <c r="A569" t="s">
        <v>17</v>
      </c>
      <c r="B569" t="s">
        <v>176</v>
      </c>
      <c r="C569" t="s">
        <v>605</v>
      </c>
      <c r="D569" t="s">
        <v>19</v>
      </c>
      <c r="E569" t="s">
        <v>19</v>
      </c>
      <c r="F569" t="s">
        <v>19</v>
      </c>
      <c r="G569" t="s">
        <v>596</v>
      </c>
      <c r="H569" t="s">
        <v>19</v>
      </c>
      <c r="I569" t="s">
        <v>19</v>
      </c>
      <c r="J569" t="s">
        <v>19</v>
      </c>
      <c r="K569" t="s">
        <v>19</v>
      </c>
      <c r="L569">
        <v>0</v>
      </c>
      <c r="M569">
        <v>0</v>
      </c>
      <c r="N569">
        <v>2.1712035531294815E-2</v>
      </c>
      <c r="O569">
        <v>6.2654731104593617E-2</v>
      </c>
      <c r="P569">
        <v>0.18672350556913539</v>
      </c>
      <c r="Q569">
        <v>0</v>
      </c>
      <c r="R569">
        <v>5.9553011742980062E-2</v>
      </c>
      <c r="S569">
        <v>4.8386822041171305E-2</v>
      </c>
      <c r="T569">
        <v>4.5285102679557758E-2</v>
      </c>
      <c r="U569">
        <v>0.44540690032770502</v>
      </c>
      <c r="V569">
        <v>4.9627509785816724E-3</v>
      </c>
      <c r="W569">
        <v>5.5830948509043811E-3</v>
      </c>
      <c r="X569">
        <v>8.0644703401952181E-3</v>
      </c>
      <c r="Y569">
        <v>1.1786533574131472E-2</v>
      </c>
      <c r="Z569">
        <v>2.4813754892908362E-3</v>
      </c>
      <c r="AA569">
        <v>7.4441264678725078E-3</v>
      </c>
      <c r="AB569">
        <v>5.6451292381366522E-2</v>
      </c>
      <c r="AC569">
        <v>8.6848142125179276E-3</v>
      </c>
      <c r="AD569">
        <v>1.923066004200398E-2</v>
      </c>
      <c r="AE569">
        <v>0</v>
      </c>
      <c r="AF569">
        <v>6.9478513700143421E-2</v>
      </c>
      <c r="AG569">
        <v>5.2108885275107555E-2</v>
      </c>
      <c r="AH569">
        <v>0.35979944594717123</v>
      </c>
      <c r="AI569">
        <v>6.2034387232270905E-4</v>
      </c>
      <c r="AJ569">
        <v>0.22766620114243419</v>
      </c>
      <c r="AK569">
        <v>0.15570631195299994</v>
      </c>
      <c r="AL569">
        <v>0</v>
      </c>
      <c r="AM569">
        <v>1.3647565191099598E-2</v>
      </c>
      <c r="AN569">
        <v>1.9913038301558961</v>
      </c>
      <c r="AO569" t="s">
        <v>19</v>
      </c>
      <c r="AT569" t="str">
        <f t="shared" si="16"/>
        <v>lcv</v>
      </c>
      <c r="AU569" t="str">
        <f t="shared" si="17"/>
        <v>gsl</v>
      </c>
    </row>
    <row r="570" spans="1:47">
      <c r="A570" t="s">
        <v>17</v>
      </c>
      <c r="B570" t="s">
        <v>176</v>
      </c>
      <c r="C570" t="s">
        <v>605</v>
      </c>
      <c r="D570" t="s">
        <v>19</v>
      </c>
      <c r="E570" t="s">
        <v>19</v>
      </c>
      <c r="F570" t="s">
        <v>19</v>
      </c>
      <c r="G570" t="s">
        <v>178</v>
      </c>
      <c r="H570" t="s">
        <v>19</v>
      </c>
      <c r="I570" t="s">
        <v>19</v>
      </c>
      <c r="J570" t="s">
        <v>19</v>
      </c>
      <c r="K570" t="s">
        <v>19</v>
      </c>
      <c r="L570">
        <v>0</v>
      </c>
      <c r="M570">
        <v>0</v>
      </c>
      <c r="N570">
        <v>2.1712035531294815E-2</v>
      </c>
      <c r="O570">
        <v>6.2654731104593617E-2</v>
      </c>
      <c r="P570">
        <v>0.18672350556913539</v>
      </c>
      <c r="Q570">
        <v>0</v>
      </c>
      <c r="R570">
        <v>5.9553011742980062E-2</v>
      </c>
      <c r="S570">
        <v>4.8386822041171305E-2</v>
      </c>
      <c r="T570">
        <v>4.5285102679557758E-2</v>
      </c>
      <c r="U570">
        <v>0.44540690032770502</v>
      </c>
      <c r="V570">
        <v>4.9627509785816724E-3</v>
      </c>
      <c r="W570">
        <v>5.5830948509043811E-3</v>
      </c>
      <c r="X570">
        <v>8.0644703401952181E-3</v>
      </c>
      <c r="Y570">
        <v>1.1786533574131472E-2</v>
      </c>
      <c r="Z570">
        <v>2.4813754892908362E-3</v>
      </c>
      <c r="AA570">
        <v>7.4441264678725078E-3</v>
      </c>
      <c r="AB570">
        <v>5.6451292381366522E-2</v>
      </c>
      <c r="AC570">
        <v>8.6848142125179276E-3</v>
      </c>
      <c r="AD570">
        <v>1.923066004200398E-2</v>
      </c>
      <c r="AE570">
        <v>0</v>
      </c>
      <c r="AF570">
        <v>6.9478513700143421E-2</v>
      </c>
      <c r="AG570">
        <v>5.2108885275107555E-2</v>
      </c>
      <c r="AH570">
        <v>0.35979944594717123</v>
      </c>
      <c r="AI570">
        <v>6.2034387232270905E-4</v>
      </c>
      <c r="AJ570">
        <v>0.22766620114243419</v>
      </c>
      <c r="AK570">
        <v>0.15570631195299994</v>
      </c>
      <c r="AL570">
        <v>0</v>
      </c>
      <c r="AM570">
        <v>1.3647565191099598E-2</v>
      </c>
      <c r="AN570">
        <v>1.9913038301558961</v>
      </c>
      <c r="AO570" t="s">
        <v>19</v>
      </c>
      <c r="AT570" t="str">
        <f t="shared" si="16"/>
        <v>lcv</v>
      </c>
      <c r="AU570" t="str">
        <f t="shared" si="17"/>
        <v>gsl</v>
      </c>
    </row>
    <row r="571" spans="1:47">
      <c r="A571" t="s">
        <v>17</v>
      </c>
      <c r="B571" t="s">
        <v>176</v>
      </c>
      <c r="C571" t="s">
        <v>605</v>
      </c>
      <c r="D571" t="s">
        <v>19</v>
      </c>
      <c r="E571" t="s">
        <v>19</v>
      </c>
      <c r="F571" t="s">
        <v>19</v>
      </c>
      <c r="G571" t="s">
        <v>179</v>
      </c>
      <c r="H571" t="s">
        <v>19</v>
      </c>
      <c r="I571" t="s">
        <v>19</v>
      </c>
      <c r="J571" t="s">
        <v>19</v>
      </c>
      <c r="K571" t="s">
        <v>19</v>
      </c>
      <c r="L571">
        <v>0</v>
      </c>
      <c r="M571">
        <v>0</v>
      </c>
      <c r="N571">
        <v>2.1712035531294815E-2</v>
      </c>
      <c r="O571">
        <v>6.2654731104593617E-2</v>
      </c>
      <c r="P571">
        <v>0.18672350556913539</v>
      </c>
      <c r="Q571">
        <v>0</v>
      </c>
      <c r="R571">
        <v>5.9553011742980062E-2</v>
      </c>
      <c r="S571">
        <v>4.8386822041171305E-2</v>
      </c>
      <c r="T571">
        <v>4.5285102679557758E-2</v>
      </c>
      <c r="U571">
        <v>0.44540690032770502</v>
      </c>
      <c r="V571">
        <v>4.9627509785816724E-3</v>
      </c>
      <c r="W571">
        <v>5.5830948509043811E-3</v>
      </c>
      <c r="X571">
        <v>8.0644703401952181E-3</v>
      </c>
      <c r="Y571">
        <v>1.1786533574131472E-2</v>
      </c>
      <c r="Z571">
        <v>2.4813754892908362E-3</v>
      </c>
      <c r="AA571">
        <v>7.4441264678725078E-3</v>
      </c>
      <c r="AB571">
        <v>5.6451292381366522E-2</v>
      </c>
      <c r="AC571">
        <v>8.6848142125179276E-3</v>
      </c>
      <c r="AD571">
        <v>1.923066004200398E-2</v>
      </c>
      <c r="AE571">
        <v>0</v>
      </c>
      <c r="AF571">
        <v>6.9478513700143421E-2</v>
      </c>
      <c r="AG571">
        <v>5.2108885275107555E-2</v>
      </c>
      <c r="AH571">
        <v>0.35979944594717123</v>
      </c>
      <c r="AI571">
        <v>6.2034387232270905E-4</v>
      </c>
      <c r="AJ571">
        <v>0.22766620114243419</v>
      </c>
      <c r="AK571">
        <v>0.15570631195299994</v>
      </c>
      <c r="AL571">
        <v>0</v>
      </c>
      <c r="AM571">
        <v>1.3647565191099598E-2</v>
      </c>
      <c r="AN571">
        <v>1.9913038301558961</v>
      </c>
      <c r="AO571" t="s">
        <v>19</v>
      </c>
      <c r="AT571" t="str">
        <f t="shared" si="16"/>
        <v>lcv</v>
      </c>
      <c r="AU571" t="str">
        <f t="shared" si="17"/>
        <v>gsl</v>
      </c>
    </row>
    <row r="572" spans="1:47">
      <c r="A572" t="s">
        <v>17</v>
      </c>
      <c r="B572" t="s">
        <v>176</v>
      </c>
      <c r="C572" t="s">
        <v>605</v>
      </c>
      <c r="D572" t="s">
        <v>19</v>
      </c>
      <c r="E572" t="s">
        <v>19</v>
      </c>
      <c r="F572" t="s">
        <v>19</v>
      </c>
      <c r="G572" t="s">
        <v>180</v>
      </c>
      <c r="H572" t="s">
        <v>19</v>
      </c>
      <c r="I572" t="s">
        <v>19</v>
      </c>
      <c r="J572" t="s">
        <v>19</v>
      </c>
      <c r="K572" t="s">
        <v>19</v>
      </c>
      <c r="L572">
        <v>0</v>
      </c>
      <c r="M572">
        <v>0</v>
      </c>
      <c r="N572">
        <v>2.1712035531294815E-2</v>
      </c>
      <c r="O572">
        <v>6.2654731104593617E-2</v>
      </c>
      <c r="P572">
        <v>0.18672350556913539</v>
      </c>
      <c r="Q572">
        <v>0</v>
      </c>
      <c r="R572">
        <v>5.9553011742980062E-2</v>
      </c>
      <c r="S572">
        <v>4.8386822041171305E-2</v>
      </c>
      <c r="T572">
        <v>4.5285102679557758E-2</v>
      </c>
      <c r="U572">
        <v>0.44540690032770502</v>
      </c>
      <c r="V572">
        <v>4.9627509785816724E-3</v>
      </c>
      <c r="W572">
        <v>5.5830948509043811E-3</v>
      </c>
      <c r="X572">
        <v>8.0644703401952181E-3</v>
      </c>
      <c r="Y572">
        <v>1.1786533574131472E-2</v>
      </c>
      <c r="Z572">
        <v>2.4813754892908362E-3</v>
      </c>
      <c r="AA572">
        <v>7.4441264678725078E-3</v>
      </c>
      <c r="AB572">
        <v>5.6451292381366522E-2</v>
      </c>
      <c r="AC572">
        <v>8.6848142125179276E-3</v>
      </c>
      <c r="AD572">
        <v>1.923066004200398E-2</v>
      </c>
      <c r="AE572">
        <v>0</v>
      </c>
      <c r="AF572">
        <v>6.9478513700143421E-2</v>
      </c>
      <c r="AG572">
        <v>5.2108885275107555E-2</v>
      </c>
      <c r="AH572">
        <v>0.35979944594717123</v>
      </c>
      <c r="AI572">
        <v>6.2034387232270905E-4</v>
      </c>
      <c r="AJ572">
        <v>0.22766620114243419</v>
      </c>
      <c r="AK572">
        <v>0.15570631195299994</v>
      </c>
      <c r="AL572">
        <v>0</v>
      </c>
      <c r="AM572">
        <v>1.3647565191099598E-2</v>
      </c>
      <c r="AN572">
        <v>1.9913038301558961</v>
      </c>
      <c r="AO572" t="s">
        <v>19</v>
      </c>
      <c r="AT572" t="str">
        <f t="shared" si="16"/>
        <v>lcv</v>
      </c>
      <c r="AU572" t="str">
        <f t="shared" si="17"/>
        <v>gsl</v>
      </c>
    </row>
    <row r="573" spans="1:47">
      <c r="A573" t="s">
        <v>17</v>
      </c>
      <c r="B573" t="s">
        <v>176</v>
      </c>
      <c r="C573" t="s">
        <v>605</v>
      </c>
      <c r="D573" t="s">
        <v>19</v>
      </c>
      <c r="E573" t="s">
        <v>19</v>
      </c>
      <c r="F573" t="s">
        <v>19</v>
      </c>
      <c r="G573" t="s">
        <v>181</v>
      </c>
      <c r="H573" t="s">
        <v>19</v>
      </c>
      <c r="I573" t="s">
        <v>19</v>
      </c>
      <c r="J573" t="s">
        <v>19</v>
      </c>
      <c r="K573" t="s">
        <v>19</v>
      </c>
      <c r="L573">
        <v>0</v>
      </c>
      <c r="M573">
        <v>0</v>
      </c>
      <c r="N573">
        <v>2.1712035531294815E-2</v>
      </c>
      <c r="O573">
        <v>6.2654731104593617E-2</v>
      </c>
      <c r="P573">
        <v>0.18672350556913539</v>
      </c>
      <c r="Q573">
        <v>0</v>
      </c>
      <c r="R573">
        <v>5.9553011742980062E-2</v>
      </c>
      <c r="S573">
        <v>4.8386822041171305E-2</v>
      </c>
      <c r="T573">
        <v>4.5285102679557758E-2</v>
      </c>
      <c r="U573">
        <v>0.44540690032770502</v>
      </c>
      <c r="V573">
        <v>4.9627509785816724E-3</v>
      </c>
      <c r="W573">
        <v>5.5830948509043811E-3</v>
      </c>
      <c r="X573">
        <v>8.0644703401952181E-3</v>
      </c>
      <c r="Y573">
        <v>1.1786533574131472E-2</v>
      </c>
      <c r="Z573">
        <v>2.4813754892908362E-3</v>
      </c>
      <c r="AA573">
        <v>7.4441264678725078E-3</v>
      </c>
      <c r="AB573">
        <v>5.6451292381366522E-2</v>
      </c>
      <c r="AC573">
        <v>8.6848142125179276E-3</v>
      </c>
      <c r="AD573">
        <v>1.923066004200398E-2</v>
      </c>
      <c r="AE573">
        <v>0</v>
      </c>
      <c r="AF573">
        <v>6.9478513700143421E-2</v>
      </c>
      <c r="AG573">
        <v>5.2108885275107555E-2</v>
      </c>
      <c r="AH573">
        <v>0.35979944594717123</v>
      </c>
      <c r="AI573">
        <v>6.2034387232270905E-4</v>
      </c>
      <c r="AJ573">
        <v>0.22766620114243419</v>
      </c>
      <c r="AK573">
        <v>0.15570631195299994</v>
      </c>
      <c r="AL573">
        <v>0</v>
      </c>
      <c r="AM573">
        <v>1.3647565191099598E-2</v>
      </c>
      <c r="AN573">
        <v>1.9913038301558961</v>
      </c>
      <c r="AO573" t="s">
        <v>19</v>
      </c>
      <c r="AT573" t="str">
        <f t="shared" si="16"/>
        <v>lcv</v>
      </c>
      <c r="AU573" t="str">
        <f t="shared" si="17"/>
        <v>gsl</v>
      </c>
    </row>
    <row r="574" spans="1:47">
      <c r="A574" t="s">
        <v>17</v>
      </c>
      <c r="B574" t="s">
        <v>176</v>
      </c>
      <c r="C574" t="s">
        <v>605</v>
      </c>
      <c r="D574" t="s">
        <v>19</v>
      </c>
      <c r="E574" t="s">
        <v>19</v>
      </c>
      <c r="F574" t="s">
        <v>19</v>
      </c>
      <c r="G574" t="s">
        <v>182</v>
      </c>
      <c r="H574" t="s">
        <v>19</v>
      </c>
      <c r="I574" t="s">
        <v>19</v>
      </c>
      <c r="J574" t="s">
        <v>19</v>
      </c>
      <c r="K574" t="s">
        <v>19</v>
      </c>
      <c r="L574">
        <v>0</v>
      </c>
      <c r="M574">
        <v>0</v>
      </c>
      <c r="N574">
        <v>2.1712035531294815E-2</v>
      </c>
      <c r="O574">
        <v>6.2654731104593617E-2</v>
      </c>
      <c r="P574">
        <v>0.18672350556913539</v>
      </c>
      <c r="Q574">
        <v>0</v>
      </c>
      <c r="R574">
        <v>5.9553011742980062E-2</v>
      </c>
      <c r="S574">
        <v>4.8386822041171305E-2</v>
      </c>
      <c r="T574">
        <v>4.5285102679557758E-2</v>
      </c>
      <c r="U574">
        <v>0.44540690032770502</v>
      </c>
      <c r="V574">
        <v>4.9627509785816724E-3</v>
      </c>
      <c r="W574">
        <v>5.5830948509043811E-3</v>
      </c>
      <c r="X574">
        <v>8.0644703401952181E-3</v>
      </c>
      <c r="Y574">
        <v>1.1786533574131472E-2</v>
      </c>
      <c r="Z574">
        <v>2.4813754892908362E-3</v>
      </c>
      <c r="AA574">
        <v>7.4441264678725078E-3</v>
      </c>
      <c r="AB574">
        <v>5.6451292381366522E-2</v>
      </c>
      <c r="AC574">
        <v>8.6848142125179276E-3</v>
      </c>
      <c r="AD574">
        <v>1.923066004200398E-2</v>
      </c>
      <c r="AE574">
        <v>0</v>
      </c>
      <c r="AF574">
        <v>6.9478513700143421E-2</v>
      </c>
      <c r="AG574">
        <v>5.2108885275107555E-2</v>
      </c>
      <c r="AH574">
        <v>0.35979944594717123</v>
      </c>
      <c r="AI574">
        <v>6.2034387232270905E-4</v>
      </c>
      <c r="AJ574">
        <v>0.22766620114243419</v>
      </c>
      <c r="AK574">
        <v>0.15570631195299994</v>
      </c>
      <c r="AL574">
        <v>0</v>
      </c>
      <c r="AM574">
        <v>1.3647565191099598E-2</v>
      </c>
      <c r="AN574">
        <v>1.9913038301558961</v>
      </c>
      <c r="AO574" t="s">
        <v>19</v>
      </c>
      <c r="AT574" t="str">
        <f t="shared" si="16"/>
        <v>lcv</v>
      </c>
      <c r="AU574" t="str">
        <f t="shared" si="17"/>
        <v>gsl</v>
      </c>
    </row>
    <row r="575" spans="1:47">
      <c r="A575" t="s">
        <v>17</v>
      </c>
      <c r="B575" t="s">
        <v>176</v>
      </c>
      <c r="C575" t="s">
        <v>605</v>
      </c>
      <c r="D575" t="s">
        <v>19</v>
      </c>
      <c r="E575" t="s">
        <v>19</v>
      </c>
      <c r="F575" t="s">
        <v>19</v>
      </c>
      <c r="G575" t="s">
        <v>183</v>
      </c>
      <c r="H575" t="s">
        <v>19</v>
      </c>
      <c r="I575" t="s">
        <v>19</v>
      </c>
      <c r="J575" t="s">
        <v>19</v>
      </c>
      <c r="K575" t="s">
        <v>19</v>
      </c>
      <c r="L575">
        <v>0</v>
      </c>
      <c r="M575">
        <v>0</v>
      </c>
      <c r="N575">
        <v>2.1712035531294815E-2</v>
      </c>
      <c r="O575">
        <v>6.2654731104593617E-2</v>
      </c>
      <c r="P575">
        <v>0.18672350556913539</v>
      </c>
      <c r="Q575">
        <v>0</v>
      </c>
      <c r="R575">
        <v>5.9553011742980062E-2</v>
      </c>
      <c r="S575">
        <v>4.8386822041171305E-2</v>
      </c>
      <c r="T575">
        <v>4.5285102679557758E-2</v>
      </c>
      <c r="U575">
        <v>0.44540690032770502</v>
      </c>
      <c r="V575">
        <v>4.9627509785816724E-3</v>
      </c>
      <c r="W575">
        <v>5.5830948509043811E-3</v>
      </c>
      <c r="X575">
        <v>8.0644703401952181E-3</v>
      </c>
      <c r="Y575">
        <v>1.1786533574131472E-2</v>
      </c>
      <c r="Z575">
        <v>2.4813754892908362E-3</v>
      </c>
      <c r="AA575">
        <v>7.4441264678725078E-3</v>
      </c>
      <c r="AB575">
        <v>5.6451292381366522E-2</v>
      </c>
      <c r="AC575">
        <v>8.6848142125179276E-3</v>
      </c>
      <c r="AD575">
        <v>1.923066004200398E-2</v>
      </c>
      <c r="AE575">
        <v>0</v>
      </c>
      <c r="AF575">
        <v>6.9478513700143421E-2</v>
      </c>
      <c r="AG575">
        <v>5.2108885275107555E-2</v>
      </c>
      <c r="AH575">
        <v>0.35979944594717123</v>
      </c>
      <c r="AI575">
        <v>6.2034387232270905E-4</v>
      </c>
      <c r="AJ575">
        <v>0.22766620114243419</v>
      </c>
      <c r="AK575">
        <v>0.15570631195299994</v>
      </c>
      <c r="AL575">
        <v>0</v>
      </c>
      <c r="AM575">
        <v>1.3647565191099598E-2</v>
      </c>
      <c r="AN575">
        <v>1.9913038301558961</v>
      </c>
      <c r="AO575" t="s">
        <v>19</v>
      </c>
      <c r="AT575" t="str">
        <f t="shared" si="16"/>
        <v>lcv</v>
      </c>
      <c r="AU575" t="str">
        <f t="shared" si="17"/>
        <v>gsl</v>
      </c>
    </row>
    <row r="576" spans="1:47">
      <c r="A576" t="s">
        <v>17</v>
      </c>
      <c r="B576" t="s">
        <v>176</v>
      </c>
      <c r="C576" t="s">
        <v>605</v>
      </c>
      <c r="D576" t="s">
        <v>19</v>
      </c>
      <c r="E576" t="s">
        <v>19</v>
      </c>
      <c r="F576" t="s">
        <v>19</v>
      </c>
      <c r="G576" t="s">
        <v>184</v>
      </c>
      <c r="H576" t="s">
        <v>19</v>
      </c>
      <c r="I576" t="s">
        <v>19</v>
      </c>
      <c r="J576" t="s">
        <v>19</v>
      </c>
      <c r="K576" t="s">
        <v>19</v>
      </c>
      <c r="L576">
        <v>0</v>
      </c>
      <c r="M576">
        <v>0</v>
      </c>
      <c r="N576">
        <v>2.1712035531294815E-2</v>
      </c>
      <c r="O576">
        <v>6.2654731104593617E-2</v>
      </c>
      <c r="P576">
        <v>0.18672350556913539</v>
      </c>
      <c r="Q576">
        <v>0</v>
      </c>
      <c r="R576">
        <v>5.9553011742980062E-2</v>
      </c>
      <c r="S576">
        <v>4.8386822041171305E-2</v>
      </c>
      <c r="T576">
        <v>4.5285102679557758E-2</v>
      </c>
      <c r="U576">
        <v>0.44540690032770502</v>
      </c>
      <c r="V576">
        <v>4.9627509785816724E-3</v>
      </c>
      <c r="W576">
        <v>5.5830948509043811E-3</v>
      </c>
      <c r="X576">
        <v>8.0644703401952181E-3</v>
      </c>
      <c r="Y576">
        <v>1.1786533574131472E-2</v>
      </c>
      <c r="Z576">
        <v>2.4813754892908362E-3</v>
      </c>
      <c r="AA576">
        <v>7.4441264678725078E-3</v>
      </c>
      <c r="AB576">
        <v>5.6451292381366522E-2</v>
      </c>
      <c r="AC576">
        <v>8.6848142125179276E-3</v>
      </c>
      <c r="AD576">
        <v>1.923066004200398E-2</v>
      </c>
      <c r="AE576">
        <v>0</v>
      </c>
      <c r="AF576">
        <v>6.9478513700143421E-2</v>
      </c>
      <c r="AG576">
        <v>5.2108885275107555E-2</v>
      </c>
      <c r="AH576">
        <v>0.35979944594717123</v>
      </c>
      <c r="AI576">
        <v>6.2034387232270905E-4</v>
      </c>
      <c r="AJ576">
        <v>0.22766620114243419</v>
      </c>
      <c r="AK576">
        <v>0.15570631195299994</v>
      </c>
      <c r="AL576">
        <v>0</v>
      </c>
      <c r="AM576">
        <v>1.3647565191099598E-2</v>
      </c>
      <c r="AN576">
        <v>1.9913038301558961</v>
      </c>
      <c r="AO576" t="s">
        <v>19</v>
      </c>
      <c r="AT576" t="str">
        <f t="shared" si="16"/>
        <v>lcv</v>
      </c>
      <c r="AU576" t="str">
        <f t="shared" si="17"/>
        <v>gsl</v>
      </c>
    </row>
    <row r="577" spans="1:47">
      <c r="A577" t="s">
        <v>17</v>
      </c>
      <c r="B577" t="s">
        <v>176</v>
      </c>
      <c r="C577" t="s">
        <v>605</v>
      </c>
      <c r="D577" t="s">
        <v>19</v>
      </c>
      <c r="E577" t="s">
        <v>19</v>
      </c>
      <c r="F577" t="s">
        <v>19</v>
      </c>
      <c r="G577" t="s">
        <v>185</v>
      </c>
      <c r="H577" t="s">
        <v>19</v>
      </c>
      <c r="I577" t="s">
        <v>19</v>
      </c>
      <c r="J577" t="s">
        <v>19</v>
      </c>
      <c r="K577" t="s">
        <v>19</v>
      </c>
      <c r="L577">
        <v>0</v>
      </c>
      <c r="M577">
        <v>0</v>
      </c>
      <c r="N577">
        <v>2.1712035531294815E-2</v>
      </c>
      <c r="O577">
        <v>6.2654731104593617E-2</v>
      </c>
      <c r="P577">
        <v>0.18672350556913539</v>
      </c>
      <c r="Q577">
        <v>0</v>
      </c>
      <c r="R577">
        <v>5.9553011742980062E-2</v>
      </c>
      <c r="S577">
        <v>4.8386822041171305E-2</v>
      </c>
      <c r="T577">
        <v>4.5285102679557758E-2</v>
      </c>
      <c r="U577">
        <v>0.44540690032770502</v>
      </c>
      <c r="V577">
        <v>4.9627509785816724E-3</v>
      </c>
      <c r="W577">
        <v>5.5830948509043811E-3</v>
      </c>
      <c r="X577">
        <v>8.0644703401952181E-3</v>
      </c>
      <c r="Y577">
        <v>1.1786533574131472E-2</v>
      </c>
      <c r="Z577">
        <v>2.4813754892908362E-3</v>
      </c>
      <c r="AA577">
        <v>7.4441264678725078E-3</v>
      </c>
      <c r="AB577">
        <v>5.6451292381366522E-2</v>
      </c>
      <c r="AC577">
        <v>8.6848142125179276E-3</v>
      </c>
      <c r="AD577">
        <v>1.923066004200398E-2</v>
      </c>
      <c r="AE577">
        <v>0</v>
      </c>
      <c r="AF577">
        <v>6.9478513700143421E-2</v>
      </c>
      <c r="AG577">
        <v>5.2108885275107555E-2</v>
      </c>
      <c r="AH577">
        <v>0.35979944594717123</v>
      </c>
      <c r="AI577">
        <v>6.2034387232270905E-4</v>
      </c>
      <c r="AJ577">
        <v>0.22766620114243419</v>
      </c>
      <c r="AK577">
        <v>0.15570631195299994</v>
      </c>
      <c r="AL577">
        <v>0</v>
      </c>
      <c r="AM577">
        <v>1.3647565191099598E-2</v>
      </c>
      <c r="AN577">
        <v>1.9913038301558961</v>
      </c>
      <c r="AO577" t="s">
        <v>19</v>
      </c>
      <c r="AT577" t="str">
        <f t="shared" si="16"/>
        <v>lcv</v>
      </c>
      <c r="AU577" t="str">
        <f t="shared" si="17"/>
        <v>gsl</v>
      </c>
    </row>
    <row r="578" spans="1:47">
      <c r="A578" t="s">
        <v>17</v>
      </c>
      <c r="B578" t="s">
        <v>176</v>
      </c>
      <c r="C578" t="s">
        <v>605</v>
      </c>
      <c r="D578" t="s">
        <v>19</v>
      </c>
      <c r="E578" t="s">
        <v>19</v>
      </c>
      <c r="F578" t="s">
        <v>19</v>
      </c>
      <c r="G578" t="s">
        <v>186</v>
      </c>
      <c r="H578" t="s">
        <v>19</v>
      </c>
      <c r="I578" t="s">
        <v>19</v>
      </c>
      <c r="J578" t="s">
        <v>19</v>
      </c>
      <c r="K578" t="s">
        <v>19</v>
      </c>
      <c r="L578">
        <v>0</v>
      </c>
      <c r="M578">
        <v>0</v>
      </c>
      <c r="N578">
        <v>2.1712035531294815E-2</v>
      </c>
      <c r="O578">
        <v>6.2654731104593617E-2</v>
      </c>
      <c r="P578">
        <v>0.18672350556913539</v>
      </c>
      <c r="Q578">
        <v>0</v>
      </c>
      <c r="R578">
        <v>5.9553011742980062E-2</v>
      </c>
      <c r="S578">
        <v>4.8386822041171305E-2</v>
      </c>
      <c r="T578">
        <v>4.5285102679557758E-2</v>
      </c>
      <c r="U578">
        <v>0.44540690032770502</v>
      </c>
      <c r="V578">
        <v>4.9627509785816724E-3</v>
      </c>
      <c r="W578">
        <v>5.5830948509043811E-3</v>
      </c>
      <c r="X578">
        <v>8.0644703401952181E-3</v>
      </c>
      <c r="Y578">
        <v>1.1786533574131472E-2</v>
      </c>
      <c r="Z578">
        <v>2.4813754892908362E-3</v>
      </c>
      <c r="AA578">
        <v>7.4441264678725078E-3</v>
      </c>
      <c r="AB578">
        <v>5.6451292381366522E-2</v>
      </c>
      <c r="AC578">
        <v>8.6848142125179276E-3</v>
      </c>
      <c r="AD578">
        <v>1.923066004200398E-2</v>
      </c>
      <c r="AE578">
        <v>0</v>
      </c>
      <c r="AF578">
        <v>6.9478513700143421E-2</v>
      </c>
      <c r="AG578">
        <v>5.2108885275107555E-2</v>
      </c>
      <c r="AH578">
        <v>0.35979944594717123</v>
      </c>
      <c r="AI578">
        <v>6.2034387232270905E-4</v>
      </c>
      <c r="AJ578">
        <v>0.22766620114243419</v>
      </c>
      <c r="AK578">
        <v>0.15570631195299994</v>
      </c>
      <c r="AL578">
        <v>0</v>
      </c>
      <c r="AM578">
        <v>1.3647565191099598E-2</v>
      </c>
      <c r="AN578">
        <v>1.9913038301558961</v>
      </c>
      <c r="AO578" t="s">
        <v>19</v>
      </c>
      <c r="AT578" t="str">
        <f t="shared" si="16"/>
        <v>lcv</v>
      </c>
      <c r="AU578" t="str">
        <f t="shared" si="17"/>
        <v>gsl</v>
      </c>
    </row>
    <row r="579" spans="1:47">
      <c r="A579" t="s">
        <v>17</v>
      </c>
      <c r="B579" t="s">
        <v>176</v>
      </c>
      <c r="C579" t="s">
        <v>605</v>
      </c>
      <c r="D579" t="s">
        <v>19</v>
      </c>
      <c r="E579" t="s">
        <v>19</v>
      </c>
      <c r="F579" t="s">
        <v>19</v>
      </c>
      <c r="G579" t="s">
        <v>187</v>
      </c>
      <c r="H579" t="s">
        <v>19</v>
      </c>
      <c r="I579" t="s">
        <v>19</v>
      </c>
      <c r="J579" t="s">
        <v>19</v>
      </c>
      <c r="K579" t="s">
        <v>19</v>
      </c>
      <c r="L579">
        <v>0</v>
      </c>
      <c r="M579">
        <v>0</v>
      </c>
      <c r="N579">
        <v>2.1712035531294815E-2</v>
      </c>
      <c r="O579">
        <v>6.2654731104593617E-2</v>
      </c>
      <c r="P579">
        <v>0.18672350556913539</v>
      </c>
      <c r="Q579">
        <v>0</v>
      </c>
      <c r="R579">
        <v>5.9553011742980062E-2</v>
      </c>
      <c r="S579">
        <v>4.8386822041171305E-2</v>
      </c>
      <c r="T579">
        <v>4.5285102679557758E-2</v>
      </c>
      <c r="U579">
        <v>0.44540690032770502</v>
      </c>
      <c r="V579">
        <v>4.9627509785816724E-3</v>
      </c>
      <c r="W579">
        <v>5.5830948509043811E-3</v>
      </c>
      <c r="X579">
        <v>8.0644703401952181E-3</v>
      </c>
      <c r="Y579">
        <v>1.1786533574131472E-2</v>
      </c>
      <c r="Z579">
        <v>2.4813754892908362E-3</v>
      </c>
      <c r="AA579">
        <v>7.4441264678725078E-3</v>
      </c>
      <c r="AB579">
        <v>5.6451292381366522E-2</v>
      </c>
      <c r="AC579">
        <v>8.6848142125179276E-3</v>
      </c>
      <c r="AD579">
        <v>1.923066004200398E-2</v>
      </c>
      <c r="AE579">
        <v>0</v>
      </c>
      <c r="AF579">
        <v>6.9478513700143421E-2</v>
      </c>
      <c r="AG579">
        <v>5.2108885275107555E-2</v>
      </c>
      <c r="AH579">
        <v>0.35979944594717123</v>
      </c>
      <c r="AI579">
        <v>6.2034387232270905E-4</v>
      </c>
      <c r="AJ579">
        <v>0.22766620114243419</v>
      </c>
      <c r="AK579">
        <v>0.15570631195299994</v>
      </c>
      <c r="AL579">
        <v>0</v>
      </c>
      <c r="AM579">
        <v>1.3647565191099598E-2</v>
      </c>
      <c r="AN579">
        <v>1.9913038301558961</v>
      </c>
      <c r="AO579" t="s">
        <v>19</v>
      </c>
      <c r="AT579" t="str">
        <f t="shared" ref="AT579:AT642" si="18">MID(C579,5,3)</f>
        <v>lcv</v>
      </c>
      <c r="AU579" t="str">
        <f t="shared" ref="AU579:AU642" si="19">RIGHT(C579,3)</f>
        <v>gsl</v>
      </c>
    </row>
    <row r="580" spans="1:47">
      <c r="A580" t="s">
        <v>17</v>
      </c>
      <c r="B580" t="s">
        <v>176</v>
      </c>
      <c r="C580" t="s">
        <v>605</v>
      </c>
      <c r="D580" t="s">
        <v>19</v>
      </c>
      <c r="E580" t="s">
        <v>19</v>
      </c>
      <c r="F580" t="s">
        <v>19</v>
      </c>
      <c r="G580" t="s">
        <v>188</v>
      </c>
      <c r="H580" t="s">
        <v>19</v>
      </c>
      <c r="I580" t="s">
        <v>19</v>
      </c>
      <c r="J580" t="s">
        <v>19</v>
      </c>
      <c r="K580" t="s">
        <v>19</v>
      </c>
      <c r="L580">
        <v>0</v>
      </c>
      <c r="M580">
        <v>0</v>
      </c>
      <c r="N580">
        <v>2.1712035531294815E-2</v>
      </c>
      <c r="O580">
        <v>6.2654731104593617E-2</v>
      </c>
      <c r="P580">
        <v>0.18672350556913539</v>
      </c>
      <c r="Q580">
        <v>0</v>
      </c>
      <c r="R580">
        <v>5.9553011742980062E-2</v>
      </c>
      <c r="S580">
        <v>4.8386822041171305E-2</v>
      </c>
      <c r="T580">
        <v>4.5285102679557758E-2</v>
      </c>
      <c r="U580">
        <v>0.44540690032770502</v>
      </c>
      <c r="V580">
        <v>4.9627509785816724E-3</v>
      </c>
      <c r="W580">
        <v>5.5830948509043811E-3</v>
      </c>
      <c r="X580">
        <v>8.0644703401952181E-3</v>
      </c>
      <c r="Y580">
        <v>1.1786533574131472E-2</v>
      </c>
      <c r="Z580">
        <v>2.4813754892908362E-3</v>
      </c>
      <c r="AA580">
        <v>7.4441264678725078E-3</v>
      </c>
      <c r="AB580">
        <v>5.6451292381366522E-2</v>
      </c>
      <c r="AC580">
        <v>8.6848142125179276E-3</v>
      </c>
      <c r="AD580">
        <v>1.923066004200398E-2</v>
      </c>
      <c r="AE580">
        <v>0</v>
      </c>
      <c r="AF580">
        <v>6.9478513700143421E-2</v>
      </c>
      <c r="AG580">
        <v>5.2108885275107555E-2</v>
      </c>
      <c r="AH580">
        <v>0.35979944594717123</v>
      </c>
      <c r="AI580">
        <v>6.2034387232270905E-4</v>
      </c>
      <c r="AJ580">
        <v>0.22766620114243419</v>
      </c>
      <c r="AK580">
        <v>0.15570631195299994</v>
      </c>
      <c r="AL580">
        <v>0</v>
      </c>
      <c r="AM580">
        <v>1.3647565191099598E-2</v>
      </c>
      <c r="AN580">
        <v>1.9913038301558961</v>
      </c>
      <c r="AO580" t="s">
        <v>19</v>
      </c>
      <c r="AT580" t="str">
        <f t="shared" si="18"/>
        <v>lcv</v>
      </c>
      <c r="AU580" t="str">
        <f t="shared" si="19"/>
        <v>gsl</v>
      </c>
    </row>
    <row r="581" spans="1:47">
      <c r="A581" t="s">
        <v>17</v>
      </c>
      <c r="B581" t="s">
        <v>176</v>
      </c>
      <c r="C581" t="s">
        <v>605</v>
      </c>
      <c r="D581" t="s">
        <v>19</v>
      </c>
      <c r="E581" t="s">
        <v>19</v>
      </c>
      <c r="F581" t="s">
        <v>19</v>
      </c>
      <c r="G581" t="s">
        <v>100</v>
      </c>
      <c r="H581" t="s">
        <v>19</v>
      </c>
      <c r="I581" t="s">
        <v>19</v>
      </c>
      <c r="J581" t="s">
        <v>19</v>
      </c>
      <c r="K581" t="s">
        <v>19</v>
      </c>
      <c r="L581">
        <v>0</v>
      </c>
      <c r="M581">
        <v>0</v>
      </c>
      <c r="N581">
        <v>2.1712035531294815E-2</v>
      </c>
      <c r="O581">
        <v>6.2654731104593617E-2</v>
      </c>
      <c r="P581">
        <v>0.18672350556913539</v>
      </c>
      <c r="Q581">
        <v>0</v>
      </c>
      <c r="R581">
        <v>5.9553011742980062E-2</v>
      </c>
      <c r="S581">
        <v>4.8386822041171305E-2</v>
      </c>
      <c r="T581">
        <v>4.5285102679557758E-2</v>
      </c>
      <c r="U581">
        <v>0.44540690032770502</v>
      </c>
      <c r="V581">
        <v>4.9627509785816724E-3</v>
      </c>
      <c r="W581">
        <v>5.5830948509043811E-3</v>
      </c>
      <c r="X581">
        <v>8.0644703401952181E-3</v>
      </c>
      <c r="Y581">
        <v>1.1786533574131472E-2</v>
      </c>
      <c r="Z581">
        <v>2.4813754892908362E-3</v>
      </c>
      <c r="AA581">
        <v>7.4441264678725078E-3</v>
      </c>
      <c r="AB581">
        <v>5.6451292381366522E-2</v>
      </c>
      <c r="AC581">
        <v>8.6848142125179276E-3</v>
      </c>
      <c r="AD581">
        <v>1.923066004200398E-2</v>
      </c>
      <c r="AE581">
        <v>0</v>
      </c>
      <c r="AF581">
        <v>6.9478513700143421E-2</v>
      </c>
      <c r="AG581">
        <v>5.2108885275107555E-2</v>
      </c>
      <c r="AH581">
        <v>0.35979944594717123</v>
      </c>
      <c r="AI581">
        <v>6.2034387232270905E-4</v>
      </c>
      <c r="AJ581">
        <v>0.22766620114243419</v>
      </c>
      <c r="AK581">
        <v>0.15570631195299994</v>
      </c>
      <c r="AL581">
        <v>0</v>
      </c>
      <c r="AM581">
        <v>1.3647565191099598E-2</v>
      </c>
      <c r="AN581">
        <v>1.9913038301558961</v>
      </c>
      <c r="AO581" t="s">
        <v>19</v>
      </c>
      <c r="AT581" t="str">
        <f t="shared" si="18"/>
        <v>lcv</v>
      </c>
      <c r="AU581" t="str">
        <f t="shared" si="19"/>
        <v>gsl</v>
      </c>
    </row>
    <row r="582" spans="1:47">
      <c r="A582" t="s">
        <v>17</v>
      </c>
      <c r="B582" t="s">
        <v>176</v>
      </c>
      <c r="C582" t="s">
        <v>604</v>
      </c>
      <c r="D582" t="s">
        <v>19</v>
      </c>
      <c r="E582" t="s">
        <v>19</v>
      </c>
      <c r="F582" t="s">
        <v>19</v>
      </c>
      <c r="G582" t="s">
        <v>603</v>
      </c>
      <c r="H582" t="s">
        <v>19</v>
      </c>
      <c r="I582" t="s">
        <v>19</v>
      </c>
      <c r="J582" t="s">
        <v>19</v>
      </c>
      <c r="K582" t="s">
        <v>19</v>
      </c>
      <c r="L582">
        <v>1.3027221318776889E-2</v>
      </c>
      <c r="M582">
        <v>0</v>
      </c>
      <c r="N582">
        <v>0</v>
      </c>
      <c r="O582">
        <v>8.6848142125179276E-3</v>
      </c>
      <c r="P582">
        <v>8.2505735018920306E-2</v>
      </c>
      <c r="Q582">
        <v>5.5830948509043811E-3</v>
      </c>
      <c r="R582">
        <v>2.4813754892908362E-3</v>
      </c>
      <c r="S582">
        <v>0</v>
      </c>
      <c r="T582">
        <v>1.2406877446454181E-3</v>
      </c>
      <c r="U582">
        <v>1.1786533574131472E-2</v>
      </c>
      <c r="V582">
        <v>0</v>
      </c>
      <c r="W582">
        <v>4.7146134296525886E-2</v>
      </c>
      <c r="X582">
        <v>2.4813754892908362E-3</v>
      </c>
      <c r="Y582">
        <v>2.3573067148262943E-2</v>
      </c>
      <c r="Z582">
        <v>1.2406877446454181E-2</v>
      </c>
      <c r="AA582">
        <v>1.2406877446454181E-3</v>
      </c>
      <c r="AB582">
        <v>7.6922640168015921E-2</v>
      </c>
      <c r="AC582">
        <v>6.2034387232270905E-4</v>
      </c>
      <c r="AD582">
        <v>4.3424071062589638E-3</v>
      </c>
      <c r="AE582">
        <v>1.2406877446454181E-3</v>
      </c>
      <c r="AF582">
        <v>0</v>
      </c>
      <c r="AG582">
        <v>4.3424071062589638E-3</v>
      </c>
      <c r="AH582">
        <v>6.2034387232270905E-4</v>
      </c>
      <c r="AI582">
        <v>0</v>
      </c>
      <c r="AJ582">
        <v>2.6054442637553778E-2</v>
      </c>
      <c r="AK582">
        <v>0</v>
      </c>
      <c r="AL582">
        <v>0</v>
      </c>
      <c r="AM582">
        <v>6.2034387232270905E-4</v>
      </c>
      <c r="AN582">
        <v>1.2406877446454181E-3</v>
      </c>
      <c r="AO582" t="s">
        <v>19</v>
      </c>
      <c r="AT582" t="str">
        <f t="shared" si="18"/>
        <v>lcv</v>
      </c>
      <c r="AU582" t="str">
        <f t="shared" si="19"/>
        <v>lpg</v>
      </c>
    </row>
    <row r="583" spans="1:47">
      <c r="A583" t="s">
        <v>17</v>
      </c>
      <c r="B583" t="s">
        <v>176</v>
      </c>
      <c r="C583" t="s">
        <v>604</v>
      </c>
      <c r="D583" t="s">
        <v>19</v>
      </c>
      <c r="E583" t="s">
        <v>19</v>
      </c>
      <c r="F583" t="s">
        <v>19</v>
      </c>
      <c r="G583" t="s">
        <v>602</v>
      </c>
      <c r="H583" t="s">
        <v>19</v>
      </c>
      <c r="I583" t="s">
        <v>19</v>
      </c>
      <c r="J583" t="s">
        <v>19</v>
      </c>
      <c r="K583" t="s">
        <v>19</v>
      </c>
      <c r="L583">
        <v>1.3027221318776889E-2</v>
      </c>
      <c r="M583">
        <v>0</v>
      </c>
      <c r="N583">
        <v>0</v>
      </c>
      <c r="O583">
        <v>8.6848142125179276E-3</v>
      </c>
      <c r="P583">
        <v>8.2505735018920306E-2</v>
      </c>
      <c r="Q583">
        <v>5.5830948509043811E-3</v>
      </c>
      <c r="R583">
        <v>2.4813754892908362E-3</v>
      </c>
      <c r="S583">
        <v>0</v>
      </c>
      <c r="T583">
        <v>1.2406877446454181E-3</v>
      </c>
      <c r="U583">
        <v>1.1786533574131472E-2</v>
      </c>
      <c r="V583">
        <v>0</v>
      </c>
      <c r="W583">
        <v>4.7146134296525886E-2</v>
      </c>
      <c r="X583">
        <v>2.4813754892908362E-3</v>
      </c>
      <c r="Y583">
        <v>2.3573067148262943E-2</v>
      </c>
      <c r="Z583">
        <v>1.2406877446454181E-2</v>
      </c>
      <c r="AA583">
        <v>1.2406877446454181E-3</v>
      </c>
      <c r="AB583">
        <v>7.6922640168015921E-2</v>
      </c>
      <c r="AC583">
        <v>6.2034387232270905E-4</v>
      </c>
      <c r="AD583">
        <v>4.3424071062589638E-3</v>
      </c>
      <c r="AE583">
        <v>1.2406877446454181E-3</v>
      </c>
      <c r="AF583">
        <v>0</v>
      </c>
      <c r="AG583">
        <v>4.3424071062589638E-3</v>
      </c>
      <c r="AH583">
        <v>6.2034387232270905E-4</v>
      </c>
      <c r="AI583">
        <v>0</v>
      </c>
      <c r="AJ583">
        <v>2.6054442637553778E-2</v>
      </c>
      <c r="AK583">
        <v>0</v>
      </c>
      <c r="AL583">
        <v>0</v>
      </c>
      <c r="AM583">
        <v>6.2034387232270905E-4</v>
      </c>
      <c r="AN583">
        <v>1.2406877446454181E-3</v>
      </c>
      <c r="AO583" t="s">
        <v>19</v>
      </c>
      <c r="AT583" t="str">
        <f t="shared" si="18"/>
        <v>lcv</v>
      </c>
      <c r="AU583" t="str">
        <f t="shared" si="19"/>
        <v>lpg</v>
      </c>
    </row>
    <row r="584" spans="1:47">
      <c r="A584" t="s">
        <v>17</v>
      </c>
      <c r="B584" t="s">
        <v>176</v>
      </c>
      <c r="C584" t="s">
        <v>604</v>
      </c>
      <c r="D584" t="s">
        <v>19</v>
      </c>
      <c r="E584" t="s">
        <v>19</v>
      </c>
      <c r="F584" t="s">
        <v>19</v>
      </c>
      <c r="G584" t="s">
        <v>601</v>
      </c>
      <c r="H584" t="s">
        <v>19</v>
      </c>
      <c r="I584" t="s">
        <v>19</v>
      </c>
      <c r="J584" t="s">
        <v>19</v>
      </c>
      <c r="K584" t="s">
        <v>19</v>
      </c>
      <c r="L584">
        <v>1.3027221318776889E-2</v>
      </c>
      <c r="M584">
        <v>0</v>
      </c>
      <c r="N584">
        <v>0</v>
      </c>
      <c r="O584">
        <v>8.6848142125179276E-3</v>
      </c>
      <c r="P584">
        <v>8.2505735018920306E-2</v>
      </c>
      <c r="Q584">
        <v>5.5830948509043811E-3</v>
      </c>
      <c r="R584">
        <v>2.4813754892908362E-3</v>
      </c>
      <c r="S584">
        <v>0</v>
      </c>
      <c r="T584">
        <v>1.2406877446454181E-3</v>
      </c>
      <c r="U584">
        <v>1.1786533574131472E-2</v>
      </c>
      <c r="V584">
        <v>0</v>
      </c>
      <c r="W584">
        <v>4.7146134296525886E-2</v>
      </c>
      <c r="X584">
        <v>2.4813754892908362E-3</v>
      </c>
      <c r="Y584">
        <v>2.3573067148262943E-2</v>
      </c>
      <c r="Z584">
        <v>1.2406877446454181E-2</v>
      </c>
      <c r="AA584">
        <v>1.2406877446454181E-3</v>
      </c>
      <c r="AB584">
        <v>7.6922640168015921E-2</v>
      </c>
      <c r="AC584">
        <v>6.2034387232270905E-4</v>
      </c>
      <c r="AD584">
        <v>4.3424071062589638E-3</v>
      </c>
      <c r="AE584">
        <v>1.2406877446454181E-3</v>
      </c>
      <c r="AF584">
        <v>0</v>
      </c>
      <c r="AG584">
        <v>4.3424071062589638E-3</v>
      </c>
      <c r="AH584">
        <v>6.2034387232270905E-4</v>
      </c>
      <c r="AI584">
        <v>0</v>
      </c>
      <c r="AJ584">
        <v>2.6054442637553778E-2</v>
      </c>
      <c r="AK584">
        <v>0</v>
      </c>
      <c r="AL584">
        <v>0</v>
      </c>
      <c r="AM584">
        <v>6.2034387232270905E-4</v>
      </c>
      <c r="AN584">
        <v>1.2406877446454181E-3</v>
      </c>
      <c r="AO584" t="s">
        <v>19</v>
      </c>
      <c r="AT584" t="str">
        <f t="shared" si="18"/>
        <v>lcv</v>
      </c>
      <c r="AU584" t="str">
        <f t="shared" si="19"/>
        <v>lpg</v>
      </c>
    </row>
    <row r="585" spans="1:47">
      <c r="A585" t="s">
        <v>17</v>
      </c>
      <c r="B585" t="s">
        <v>176</v>
      </c>
      <c r="C585" t="s">
        <v>604</v>
      </c>
      <c r="D585" t="s">
        <v>19</v>
      </c>
      <c r="E585" t="s">
        <v>19</v>
      </c>
      <c r="F585" t="s">
        <v>19</v>
      </c>
      <c r="G585" t="s">
        <v>600</v>
      </c>
      <c r="H585" t="s">
        <v>19</v>
      </c>
      <c r="I585" t="s">
        <v>19</v>
      </c>
      <c r="J585" t="s">
        <v>19</v>
      </c>
      <c r="K585" t="s">
        <v>19</v>
      </c>
      <c r="L585">
        <v>1.3027221318776889E-2</v>
      </c>
      <c r="M585">
        <v>0</v>
      </c>
      <c r="N585">
        <v>0</v>
      </c>
      <c r="O585">
        <v>8.6848142125179276E-3</v>
      </c>
      <c r="P585">
        <v>8.2505735018920306E-2</v>
      </c>
      <c r="Q585">
        <v>5.5830948509043811E-3</v>
      </c>
      <c r="R585">
        <v>2.4813754892908362E-3</v>
      </c>
      <c r="S585">
        <v>0</v>
      </c>
      <c r="T585">
        <v>1.2406877446454181E-3</v>
      </c>
      <c r="U585">
        <v>1.1786533574131472E-2</v>
      </c>
      <c r="V585">
        <v>0</v>
      </c>
      <c r="W585">
        <v>4.7146134296525886E-2</v>
      </c>
      <c r="X585">
        <v>2.4813754892908362E-3</v>
      </c>
      <c r="Y585">
        <v>2.3573067148262943E-2</v>
      </c>
      <c r="Z585">
        <v>1.2406877446454181E-2</v>
      </c>
      <c r="AA585">
        <v>1.2406877446454181E-3</v>
      </c>
      <c r="AB585">
        <v>7.6922640168015921E-2</v>
      </c>
      <c r="AC585">
        <v>6.2034387232270905E-4</v>
      </c>
      <c r="AD585">
        <v>4.3424071062589638E-3</v>
      </c>
      <c r="AE585">
        <v>1.2406877446454181E-3</v>
      </c>
      <c r="AF585">
        <v>0</v>
      </c>
      <c r="AG585">
        <v>4.3424071062589638E-3</v>
      </c>
      <c r="AH585">
        <v>6.2034387232270905E-4</v>
      </c>
      <c r="AI585">
        <v>0</v>
      </c>
      <c r="AJ585">
        <v>2.6054442637553778E-2</v>
      </c>
      <c r="AK585">
        <v>0</v>
      </c>
      <c r="AL585">
        <v>0</v>
      </c>
      <c r="AM585">
        <v>6.2034387232270905E-4</v>
      </c>
      <c r="AN585">
        <v>1.2406877446454181E-3</v>
      </c>
      <c r="AO585" t="s">
        <v>19</v>
      </c>
      <c r="AT585" t="str">
        <f t="shared" si="18"/>
        <v>lcv</v>
      </c>
      <c r="AU585" t="str">
        <f t="shared" si="19"/>
        <v>lpg</v>
      </c>
    </row>
    <row r="586" spans="1:47">
      <c r="A586" t="s">
        <v>17</v>
      </c>
      <c r="B586" t="s">
        <v>176</v>
      </c>
      <c r="C586" t="s">
        <v>604</v>
      </c>
      <c r="D586" t="s">
        <v>19</v>
      </c>
      <c r="E586" t="s">
        <v>19</v>
      </c>
      <c r="F586" t="s">
        <v>19</v>
      </c>
      <c r="G586" t="s">
        <v>599</v>
      </c>
      <c r="H586" t="s">
        <v>19</v>
      </c>
      <c r="I586" t="s">
        <v>19</v>
      </c>
      <c r="J586" t="s">
        <v>19</v>
      </c>
      <c r="K586" t="s">
        <v>19</v>
      </c>
      <c r="L586">
        <v>1.3027221318776889E-2</v>
      </c>
      <c r="M586">
        <v>0</v>
      </c>
      <c r="N586">
        <v>0</v>
      </c>
      <c r="O586">
        <v>8.6848142125179276E-3</v>
      </c>
      <c r="P586">
        <v>8.2505735018920306E-2</v>
      </c>
      <c r="Q586">
        <v>5.5830948509043811E-3</v>
      </c>
      <c r="R586">
        <v>2.4813754892908362E-3</v>
      </c>
      <c r="S586">
        <v>0</v>
      </c>
      <c r="T586">
        <v>1.2406877446454181E-3</v>
      </c>
      <c r="U586">
        <v>1.1786533574131472E-2</v>
      </c>
      <c r="V586">
        <v>0</v>
      </c>
      <c r="W586">
        <v>4.7146134296525886E-2</v>
      </c>
      <c r="X586">
        <v>2.4813754892908362E-3</v>
      </c>
      <c r="Y586">
        <v>2.3573067148262943E-2</v>
      </c>
      <c r="Z586">
        <v>1.2406877446454181E-2</v>
      </c>
      <c r="AA586">
        <v>1.2406877446454181E-3</v>
      </c>
      <c r="AB586">
        <v>7.6922640168015921E-2</v>
      </c>
      <c r="AC586">
        <v>6.2034387232270905E-4</v>
      </c>
      <c r="AD586">
        <v>4.3424071062589638E-3</v>
      </c>
      <c r="AE586">
        <v>1.2406877446454181E-3</v>
      </c>
      <c r="AF586">
        <v>0</v>
      </c>
      <c r="AG586">
        <v>4.3424071062589638E-3</v>
      </c>
      <c r="AH586">
        <v>6.2034387232270905E-4</v>
      </c>
      <c r="AI586">
        <v>0</v>
      </c>
      <c r="AJ586">
        <v>2.6054442637553778E-2</v>
      </c>
      <c r="AK586">
        <v>0</v>
      </c>
      <c r="AL586">
        <v>0</v>
      </c>
      <c r="AM586">
        <v>6.2034387232270905E-4</v>
      </c>
      <c r="AN586">
        <v>1.2406877446454181E-3</v>
      </c>
      <c r="AO586" t="s">
        <v>19</v>
      </c>
      <c r="AT586" t="str">
        <f t="shared" si="18"/>
        <v>lcv</v>
      </c>
      <c r="AU586" t="str">
        <f t="shared" si="19"/>
        <v>lpg</v>
      </c>
    </row>
    <row r="587" spans="1:47">
      <c r="A587" t="s">
        <v>17</v>
      </c>
      <c r="B587" t="s">
        <v>176</v>
      </c>
      <c r="C587" t="s">
        <v>604</v>
      </c>
      <c r="D587" t="s">
        <v>19</v>
      </c>
      <c r="E587" t="s">
        <v>19</v>
      </c>
      <c r="F587" t="s">
        <v>19</v>
      </c>
      <c r="G587" t="s">
        <v>598</v>
      </c>
      <c r="H587" t="s">
        <v>19</v>
      </c>
      <c r="I587" t="s">
        <v>19</v>
      </c>
      <c r="J587" t="s">
        <v>19</v>
      </c>
      <c r="K587" t="s">
        <v>19</v>
      </c>
      <c r="L587">
        <v>1.3027221318776889E-2</v>
      </c>
      <c r="M587">
        <v>0</v>
      </c>
      <c r="N587">
        <v>0</v>
      </c>
      <c r="O587">
        <v>8.6848142125179276E-3</v>
      </c>
      <c r="P587">
        <v>8.2505735018920306E-2</v>
      </c>
      <c r="Q587">
        <v>5.5830948509043811E-3</v>
      </c>
      <c r="R587">
        <v>2.4813754892908362E-3</v>
      </c>
      <c r="S587">
        <v>0</v>
      </c>
      <c r="T587">
        <v>1.2406877446454181E-3</v>
      </c>
      <c r="U587">
        <v>1.1786533574131472E-2</v>
      </c>
      <c r="V587">
        <v>0</v>
      </c>
      <c r="W587">
        <v>4.7146134296525886E-2</v>
      </c>
      <c r="X587">
        <v>2.4813754892908362E-3</v>
      </c>
      <c r="Y587">
        <v>2.3573067148262943E-2</v>
      </c>
      <c r="Z587">
        <v>1.2406877446454181E-2</v>
      </c>
      <c r="AA587">
        <v>1.2406877446454181E-3</v>
      </c>
      <c r="AB587">
        <v>7.6922640168015921E-2</v>
      </c>
      <c r="AC587">
        <v>6.2034387232270905E-4</v>
      </c>
      <c r="AD587">
        <v>4.3424071062589638E-3</v>
      </c>
      <c r="AE587">
        <v>1.2406877446454181E-3</v>
      </c>
      <c r="AF587">
        <v>0</v>
      </c>
      <c r="AG587">
        <v>4.3424071062589638E-3</v>
      </c>
      <c r="AH587">
        <v>6.2034387232270905E-4</v>
      </c>
      <c r="AI587">
        <v>0</v>
      </c>
      <c r="AJ587">
        <v>2.6054442637553778E-2</v>
      </c>
      <c r="AK587">
        <v>0</v>
      </c>
      <c r="AL587">
        <v>0</v>
      </c>
      <c r="AM587">
        <v>6.2034387232270905E-4</v>
      </c>
      <c r="AN587">
        <v>1.2406877446454181E-3</v>
      </c>
      <c r="AO587" t="s">
        <v>19</v>
      </c>
      <c r="AT587" t="str">
        <f t="shared" si="18"/>
        <v>lcv</v>
      </c>
      <c r="AU587" t="str">
        <f t="shared" si="19"/>
        <v>lpg</v>
      </c>
    </row>
    <row r="588" spans="1:47">
      <c r="A588" t="s">
        <v>17</v>
      </c>
      <c r="B588" t="s">
        <v>176</v>
      </c>
      <c r="C588" t="s">
        <v>604</v>
      </c>
      <c r="D588" t="s">
        <v>19</v>
      </c>
      <c r="E588" t="s">
        <v>19</v>
      </c>
      <c r="F588" t="s">
        <v>19</v>
      </c>
      <c r="G588" t="s">
        <v>597</v>
      </c>
      <c r="H588" t="s">
        <v>19</v>
      </c>
      <c r="I588" t="s">
        <v>19</v>
      </c>
      <c r="J588" t="s">
        <v>19</v>
      </c>
      <c r="K588" t="s">
        <v>19</v>
      </c>
      <c r="L588">
        <v>1.3027221318776889E-2</v>
      </c>
      <c r="M588">
        <v>0</v>
      </c>
      <c r="N588">
        <v>0</v>
      </c>
      <c r="O588">
        <v>8.6848142125179276E-3</v>
      </c>
      <c r="P588">
        <v>8.2505735018920306E-2</v>
      </c>
      <c r="Q588">
        <v>5.5830948509043811E-3</v>
      </c>
      <c r="R588">
        <v>2.4813754892908362E-3</v>
      </c>
      <c r="S588">
        <v>0</v>
      </c>
      <c r="T588">
        <v>1.2406877446454181E-3</v>
      </c>
      <c r="U588">
        <v>1.1786533574131472E-2</v>
      </c>
      <c r="V588">
        <v>0</v>
      </c>
      <c r="W588">
        <v>4.7146134296525886E-2</v>
      </c>
      <c r="X588">
        <v>2.4813754892908362E-3</v>
      </c>
      <c r="Y588">
        <v>2.3573067148262943E-2</v>
      </c>
      <c r="Z588">
        <v>1.2406877446454181E-2</v>
      </c>
      <c r="AA588">
        <v>1.2406877446454181E-3</v>
      </c>
      <c r="AB588">
        <v>7.6922640168015921E-2</v>
      </c>
      <c r="AC588">
        <v>6.2034387232270905E-4</v>
      </c>
      <c r="AD588">
        <v>4.3424071062589638E-3</v>
      </c>
      <c r="AE588">
        <v>1.2406877446454181E-3</v>
      </c>
      <c r="AF588">
        <v>0</v>
      </c>
      <c r="AG588">
        <v>4.3424071062589638E-3</v>
      </c>
      <c r="AH588">
        <v>6.2034387232270905E-4</v>
      </c>
      <c r="AI588">
        <v>0</v>
      </c>
      <c r="AJ588">
        <v>2.6054442637553778E-2</v>
      </c>
      <c r="AK588">
        <v>0</v>
      </c>
      <c r="AL588">
        <v>0</v>
      </c>
      <c r="AM588">
        <v>6.2034387232270905E-4</v>
      </c>
      <c r="AN588">
        <v>1.2406877446454181E-3</v>
      </c>
      <c r="AO588" t="s">
        <v>19</v>
      </c>
      <c r="AT588" t="str">
        <f t="shared" si="18"/>
        <v>lcv</v>
      </c>
      <c r="AU588" t="str">
        <f t="shared" si="19"/>
        <v>lpg</v>
      </c>
    </row>
    <row r="589" spans="1:47">
      <c r="A589" t="s">
        <v>17</v>
      </c>
      <c r="B589" t="s">
        <v>176</v>
      </c>
      <c r="C589" t="s">
        <v>604</v>
      </c>
      <c r="D589" t="s">
        <v>19</v>
      </c>
      <c r="E589" t="s">
        <v>19</v>
      </c>
      <c r="F589" t="s">
        <v>19</v>
      </c>
      <c r="G589" t="s">
        <v>596</v>
      </c>
      <c r="H589" t="s">
        <v>19</v>
      </c>
      <c r="I589" t="s">
        <v>19</v>
      </c>
      <c r="J589" t="s">
        <v>19</v>
      </c>
      <c r="K589" t="s">
        <v>19</v>
      </c>
      <c r="L589">
        <v>1.3027221318776889E-2</v>
      </c>
      <c r="M589">
        <v>0</v>
      </c>
      <c r="N589">
        <v>0</v>
      </c>
      <c r="O589">
        <v>8.6848142125179276E-3</v>
      </c>
      <c r="P589">
        <v>8.2505735018920306E-2</v>
      </c>
      <c r="Q589">
        <v>5.5830948509043811E-3</v>
      </c>
      <c r="R589">
        <v>2.4813754892908362E-3</v>
      </c>
      <c r="S589">
        <v>0</v>
      </c>
      <c r="T589">
        <v>1.2406877446454181E-3</v>
      </c>
      <c r="U589">
        <v>1.1786533574131472E-2</v>
      </c>
      <c r="V589">
        <v>0</v>
      </c>
      <c r="W589">
        <v>4.7146134296525886E-2</v>
      </c>
      <c r="X589">
        <v>2.4813754892908362E-3</v>
      </c>
      <c r="Y589">
        <v>2.3573067148262943E-2</v>
      </c>
      <c r="Z589">
        <v>1.2406877446454181E-2</v>
      </c>
      <c r="AA589">
        <v>1.2406877446454181E-3</v>
      </c>
      <c r="AB589">
        <v>7.6922640168015921E-2</v>
      </c>
      <c r="AC589">
        <v>6.2034387232270905E-4</v>
      </c>
      <c r="AD589">
        <v>4.3424071062589638E-3</v>
      </c>
      <c r="AE589">
        <v>1.2406877446454181E-3</v>
      </c>
      <c r="AF589">
        <v>0</v>
      </c>
      <c r="AG589">
        <v>4.3424071062589638E-3</v>
      </c>
      <c r="AH589">
        <v>6.2034387232270905E-4</v>
      </c>
      <c r="AI589">
        <v>0</v>
      </c>
      <c r="AJ589">
        <v>2.6054442637553778E-2</v>
      </c>
      <c r="AK589">
        <v>0</v>
      </c>
      <c r="AL589">
        <v>0</v>
      </c>
      <c r="AM589">
        <v>6.2034387232270905E-4</v>
      </c>
      <c r="AN589">
        <v>1.2406877446454181E-3</v>
      </c>
      <c r="AO589" t="s">
        <v>19</v>
      </c>
      <c r="AT589" t="str">
        <f t="shared" si="18"/>
        <v>lcv</v>
      </c>
      <c r="AU589" t="str">
        <f t="shared" si="19"/>
        <v>lpg</v>
      </c>
    </row>
    <row r="590" spans="1:47">
      <c r="A590" t="s">
        <v>17</v>
      </c>
      <c r="B590" t="s">
        <v>176</v>
      </c>
      <c r="C590" t="s">
        <v>604</v>
      </c>
      <c r="D590" t="s">
        <v>19</v>
      </c>
      <c r="E590" t="s">
        <v>19</v>
      </c>
      <c r="F590" t="s">
        <v>19</v>
      </c>
      <c r="G590" t="s">
        <v>178</v>
      </c>
      <c r="H590" t="s">
        <v>19</v>
      </c>
      <c r="I590" t="s">
        <v>19</v>
      </c>
      <c r="J590" t="s">
        <v>19</v>
      </c>
      <c r="K590" t="s">
        <v>19</v>
      </c>
      <c r="L590">
        <v>1.3027221318776889E-2</v>
      </c>
      <c r="M590">
        <v>0</v>
      </c>
      <c r="N590">
        <v>0</v>
      </c>
      <c r="O590">
        <v>8.6848142125179276E-3</v>
      </c>
      <c r="P590">
        <v>8.2505735018920306E-2</v>
      </c>
      <c r="Q590">
        <v>5.5830948509043811E-3</v>
      </c>
      <c r="R590">
        <v>2.4813754892908362E-3</v>
      </c>
      <c r="S590">
        <v>0</v>
      </c>
      <c r="T590">
        <v>1.2406877446454181E-3</v>
      </c>
      <c r="U590">
        <v>1.1786533574131472E-2</v>
      </c>
      <c r="V590">
        <v>0</v>
      </c>
      <c r="W590">
        <v>4.7146134296525886E-2</v>
      </c>
      <c r="X590">
        <v>2.4813754892908362E-3</v>
      </c>
      <c r="Y590">
        <v>2.3573067148262943E-2</v>
      </c>
      <c r="Z590">
        <v>1.2406877446454181E-2</v>
      </c>
      <c r="AA590">
        <v>1.2406877446454181E-3</v>
      </c>
      <c r="AB590">
        <v>7.6922640168015921E-2</v>
      </c>
      <c r="AC590">
        <v>6.2034387232270905E-4</v>
      </c>
      <c r="AD590">
        <v>4.3424071062589638E-3</v>
      </c>
      <c r="AE590">
        <v>1.2406877446454181E-3</v>
      </c>
      <c r="AF590">
        <v>0</v>
      </c>
      <c r="AG590">
        <v>4.3424071062589638E-3</v>
      </c>
      <c r="AH590">
        <v>6.2034387232270905E-4</v>
      </c>
      <c r="AI590">
        <v>0</v>
      </c>
      <c r="AJ590">
        <v>2.6054442637553778E-2</v>
      </c>
      <c r="AK590">
        <v>0</v>
      </c>
      <c r="AL590">
        <v>0</v>
      </c>
      <c r="AM590">
        <v>6.2034387232270905E-4</v>
      </c>
      <c r="AN590">
        <v>1.2406877446454181E-3</v>
      </c>
      <c r="AO590" t="s">
        <v>19</v>
      </c>
      <c r="AT590" t="str">
        <f t="shared" si="18"/>
        <v>lcv</v>
      </c>
      <c r="AU590" t="str">
        <f t="shared" si="19"/>
        <v>lpg</v>
      </c>
    </row>
    <row r="591" spans="1:47">
      <c r="A591" t="s">
        <v>17</v>
      </c>
      <c r="B591" t="s">
        <v>176</v>
      </c>
      <c r="C591" t="s">
        <v>604</v>
      </c>
      <c r="D591" t="s">
        <v>19</v>
      </c>
      <c r="E591" t="s">
        <v>19</v>
      </c>
      <c r="F591" t="s">
        <v>19</v>
      </c>
      <c r="G591" t="s">
        <v>179</v>
      </c>
      <c r="H591" t="s">
        <v>19</v>
      </c>
      <c r="I591" t="s">
        <v>19</v>
      </c>
      <c r="J591" t="s">
        <v>19</v>
      </c>
      <c r="K591" t="s">
        <v>19</v>
      </c>
      <c r="L591">
        <v>1.3027221318776889E-2</v>
      </c>
      <c r="M591">
        <v>0</v>
      </c>
      <c r="N591">
        <v>0</v>
      </c>
      <c r="O591">
        <v>8.6848142125179276E-3</v>
      </c>
      <c r="P591">
        <v>8.2505735018920306E-2</v>
      </c>
      <c r="Q591">
        <v>5.5830948509043811E-3</v>
      </c>
      <c r="R591">
        <v>2.4813754892908362E-3</v>
      </c>
      <c r="S591">
        <v>0</v>
      </c>
      <c r="T591">
        <v>1.2406877446454181E-3</v>
      </c>
      <c r="U591">
        <v>1.1786533574131472E-2</v>
      </c>
      <c r="V591">
        <v>0</v>
      </c>
      <c r="W591">
        <v>4.7146134296525886E-2</v>
      </c>
      <c r="X591">
        <v>2.4813754892908362E-3</v>
      </c>
      <c r="Y591">
        <v>2.3573067148262943E-2</v>
      </c>
      <c r="Z591">
        <v>1.2406877446454181E-2</v>
      </c>
      <c r="AA591">
        <v>1.2406877446454181E-3</v>
      </c>
      <c r="AB591">
        <v>7.6922640168015921E-2</v>
      </c>
      <c r="AC591">
        <v>6.2034387232270905E-4</v>
      </c>
      <c r="AD591">
        <v>4.3424071062589638E-3</v>
      </c>
      <c r="AE591">
        <v>1.2406877446454181E-3</v>
      </c>
      <c r="AF591">
        <v>0</v>
      </c>
      <c r="AG591">
        <v>4.3424071062589638E-3</v>
      </c>
      <c r="AH591">
        <v>6.2034387232270905E-4</v>
      </c>
      <c r="AI591">
        <v>0</v>
      </c>
      <c r="AJ591">
        <v>2.6054442637553778E-2</v>
      </c>
      <c r="AK591">
        <v>0</v>
      </c>
      <c r="AL591">
        <v>0</v>
      </c>
      <c r="AM591">
        <v>6.2034387232270905E-4</v>
      </c>
      <c r="AN591">
        <v>1.2406877446454181E-3</v>
      </c>
      <c r="AO591" t="s">
        <v>19</v>
      </c>
      <c r="AT591" t="str">
        <f t="shared" si="18"/>
        <v>lcv</v>
      </c>
      <c r="AU591" t="str">
        <f t="shared" si="19"/>
        <v>lpg</v>
      </c>
    </row>
    <row r="592" spans="1:47">
      <c r="A592" t="s">
        <v>17</v>
      </c>
      <c r="B592" t="s">
        <v>176</v>
      </c>
      <c r="C592" t="s">
        <v>604</v>
      </c>
      <c r="D592" t="s">
        <v>19</v>
      </c>
      <c r="E592" t="s">
        <v>19</v>
      </c>
      <c r="F592" t="s">
        <v>19</v>
      </c>
      <c r="G592" t="s">
        <v>180</v>
      </c>
      <c r="H592" t="s">
        <v>19</v>
      </c>
      <c r="I592" t="s">
        <v>19</v>
      </c>
      <c r="J592" t="s">
        <v>19</v>
      </c>
      <c r="K592" t="s">
        <v>19</v>
      </c>
      <c r="L592">
        <v>1.3027221318776889E-2</v>
      </c>
      <c r="M592">
        <v>0</v>
      </c>
      <c r="N592">
        <v>0</v>
      </c>
      <c r="O592">
        <v>8.6848142125179276E-3</v>
      </c>
      <c r="P592">
        <v>8.2505735018920306E-2</v>
      </c>
      <c r="Q592">
        <v>5.5830948509043811E-3</v>
      </c>
      <c r="R592">
        <v>2.4813754892908362E-3</v>
      </c>
      <c r="S592">
        <v>0</v>
      </c>
      <c r="T592">
        <v>1.2406877446454181E-3</v>
      </c>
      <c r="U592">
        <v>1.1786533574131472E-2</v>
      </c>
      <c r="V592">
        <v>0</v>
      </c>
      <c r="W592">
        <v>4.7146134296525886E-2</v>
      </c>
      <c r="X592">
        <v>2.4813754892908362E-3</v>
      </c>
      <c r="Y592">
        <v>2.3573067148262943E-2</v>
      </c>
      <c r="Z592">
        <v>1.2406877446454181E-2</v>
      </c>
      <c r="AA592">
        <v>1.2406877446454181E-3</v>
      </c>
      <c r="AB592">
        <v>7.6922640168015921E-2</v>
      </c>
      <c r="AC592">
        <v>6.2034387232270905E-4</v>
      </c>
      <c r="AD592">
        <v>4.3424071062589638E-3</v>
      </c>
      <c r="AE592">
        <v>1.2406877446454181E-3</v>
      </c>
      <c r="AF592">
        <v>0</v>
      </c>
      <c r="AG592">
        <v>4.3424071062589638E-3</v>
      </c>
      <c r="AH592">
        <v>6.2034387232270905E-4</v>
      </c>
      <c r="AI592">
        <v>0</v>
      </c>
      <c r="AJ592">
        <v>2.6054442637553778E-2</v>
      </c>
      <c r="AK592">
        <v>0</v>
      </c>
      <c r="AL592">
        <v>0</v>
      </c>
      <c r="AM592">
        <v>6.2034387232270905E-4</v>
      </c>
      <c r="AN592">
        <v>1.2406877446454181E-3</v>
      </c>
      <c r="AO592" t="s">
        <v>19</v>
      </c>
      <c r="AT592" t="str">
        <f t="shared" si="18"/>
        <v>lcv</v>
      </c>
      <c r="AU592" t="str">
        <f t="shared" si="19"/>
        <v>lpg</v>
      </c>
    </row>
    <row r="593" spans="1:47">
      <c r="A593" t="s">
        <v>17</v>
      </c>
      <c r="B593" t="s">
        <v>176</v>
      </c>
      <c r="C593" t="s">
        <v>604</v>
      </c>
      <c r="D593" t="s">
        <v>19</v>
      </c>
      <c r="E593" t="s">
        <v>19</v>
      </c>
      <c r="F593" t="s">
        <v>19</v>
      </c>
      <c r="G593" t="s">
        <v>181</v>
      </c>
      <c r="H593" t="s">
        <v>19</v>
      </c>
      <c r="I593" t="s">
        <v>19</v>
      </c>
      <c r="J593" t="s">
        <v>19</v>
      </c>
      <c r="K593" t="s">
        <v>19</v>
      </c>
      <c r="L593">
        <v>1.3027221318776889E-2</v>
      </c>
      <c r="M593">
        <v>0</v>
      </c>
      <c r="N593">
        <v>0</v>
      </c>
      <c r="O593">
        <v>8.6848142125179276E-3</v>
      </c>
      <c r="P593">
        <v>8.2505735018920306E-2</v>
      </c>
      <c r="Q593">
        <v>5.5830948509043811E-3</v>
      </c>
      <c r="R593">
        <v>2.4813754892908362E-3</v>
      </c>
      <c r="S593">
        <v>0</v>
      </c>
      <c r="T593">
        <v>1.2406877446454181E-3</v>
      </c>
      <c r="U593">
        <v>1.1786533574131472E-2</v>
      </c>
      <c r="V593">
        <v>0</v>
      </c>
      <c r="W593">
        <v>4.7146134296525886E-2</v>
      </c>
      <c r="X593">
        <v>2.4813754892908362E-3</v>
      </c>
      <c r="Y593">
        <v>2.3573067148262943E-2</v>
      </c>
      <c r="Z593">
        <v>1.2406877446454181E-2</v>
      </c>
      <c r="AA593">
        <v>1.2406877446454181E-3</v>
      </c>
      <c r="AB593">
        <v>7.6922640168015921E-2</v>
      </c>
      <c r="AC593">
        <v>6.2034387232270905E-4</v>
      </c>
      <c r="AD593">
        <v>4.3424071062589638E-3</v>
      </c>
      <c r="AE593">
        <v>1.2406877446454181E-3</v>
      </c>
      <c r="AF593">
        <v>0</v>
      </c>
      <c r="AG593">
        <v>4.3424071062589638E-3</v>
      </c>
      <c r="AH593">
        <v>6.2034387232270905E-4</v>
      </c>
      <c r="AI593">
        <v>0</v>
      </c>
      <c r="AJ593">
        <v>2.6054442637553778E-2</v>
      </c>
      <c r="AK593">
        <v>0</v>
      </c>
      <c r="AL593">
        <v>0</v>
      </c>
      <c r="AM593">
        <v>6.2034387232270905E-4</v>
      </c>
      <c r="AN593">
        <v>1.2406877446454181E-3</v>
      </c>
      <c r="AO593" t="s">
        <v>19</v>
      </c>
      <c r="AT593" t="str">
        <f t="shared" si="18"/>
        <v>lcv</v>
      </c>
      <c r="AU593" t="str">
        <f t="shared" si="19"/>
        <v>lpg</v>
      </c>
    </row>
    <row r="594" spans="1:47">
      <c r="A594" t="s">
        <v>17</v>
      </c>
      <c r="B594" t="s">
        <v>176</v>
      </c>
      <c r="C594" t="s">
        <v>604</v>
      </c>
      <c r="D594" t="s">
        <v>19</v>
      </c>
      <c r="E594" t="s">
        <v>19</v>
      </c>
      <c r="F594" t="s">
        <v>19</v>
      </c>
      <c r="G594" t="s">
        <v>182</v>
      </c>
      <c r="H594" t="s">
        <v>19</v>
      </c>
      <c r="I594" t="s">
        <v>19</v>
      </c>
      <c r="J594" t="s">
        <v>19</v>
      </c>
      <c r="K594" t="s">
        <v>19</v>
      </c>
      <c r="L594">
        <v>1.3027221318776889E-2</v>
      </c>
      <c r="M594">
        <v>0</v>
      </c>
      <c r="N594">
        <v>0</v>
      </c>
      <c r="O594">
        <v>8.6848142125179276E-3</v>
      </c>
      <c r="P594">
        <v>8.2505735018920306E-2</v>
      </c>
      <c r="Q594">
        <v>5.5830948509043811E-3</v>
      </c>
      <c r="R594">
        <v>2.4813754892908362E-3</v>
      </c>
      <c r="S594">
        <v>0</v>
      </c>
      <c r="T594">
        <v>1.2406877446454181E-3</v>
      </c>
      <c r="U594">
        <v>1.1786533574131472E-2</v>
      </c>
      <c r="V594">
        <v>0</v>
      </c>
      <c r="W594">
        <v>4.7146134296525886E-2</v>
      </c>
      <c r="X594">
        <v>2.4813754892908362E-3</v>
      </c>
      <c r="Y594">
        <v>2.3573067148262943E-2</v>
      </c>
      <c r="Z594">
        <v>1.2406877446454181E-2</v>
      </c>
      <c r="AA594">
        <v>1.2406877446454181E-3</v>
      </c>
      <c r="AB594">
        <v>7.6922640168015921E-2</v>
      </c>
      <c r="AC594">
        <v>6.2034387232270905E-4</v>
      </c>
      <c r="AD594">
        <v>4.3424071062589638E-3</v>
      </c>
      <c r="AE594">
        <v>1.2406877446454181E-3</v>
      </c>
      <c r="AF594">
        <v>0</v>
      </c>
      <c r="AG594">
        <v>4.3424071062589638E-3</v>
      </c>
      <c r="AH594">
        <v>6.2034387232270905E-4</v>
      </c>
      <c r="AI594">
        <v>0</v>
      </c>
      <c r="AJ594">
        <v>2.6054442637553778E-2</v>
      </c>
      <c r="AK594">
        <v>0</v>
      </c>
      <c r="AL594">
        <v>0</v>
      </c>
      <c r="AM594">
        <v>6.2034387232270905E-4</v>
      </c>
      <c r="AN594">
        <v>1.2406877446454181E-3</v>
      </c>
      <c r="AO594" t="s">
        <v>19</v>
      </c>
      <c r="AT594" t="str">
        <f t="shared" si="18"/>
        <v>lcv</v>
      </c>
      <c r="AU594" t="str">
        <f t="shared" si="19"/>
        <v>lpg</v>
      </c>
    </row>
    <row r="595" spans="1:47">
      <c r="A595" t="s">
        <v>17</v>
      </c>
      <c r="B595" t="s">
        <v>176</v>
      </c>
      <c r="C595" t="s">
        <v>604</v>
      </c>
      <c r="D595" t="s">
        <v>19</v>
      </c>
      <c r="E595" t="s">
        <v>19</v>
      </c>
      <c r="F595" t="s">
        <v>19</v>
      </c>
      <c r="G595" t="s">
        <v>183</v>
      </c>
      <c r="H595" t="s">
        <v>19</v>
      </c>
      <c r="I595" t="s">
        <v>19</v>
      </c>
      <c r="J595" t="s">
        <v>19</v>
      </c>
      <c r="K595" t="s">
        <v>19</v>
      </c>
      <c r="L595">
        <v>1.3027221318776889E-2</v>
      </c>
      <c r="M595">
        <v>0</v>
      </c>
      <c r="N595">
        <v>0</v>
      </c>
      <c r="O595">
        <v>8.6848142125179276E-3</v>
      </c>
      <c r="P595">
        <v>8.2505735018920306E-2</v>
      </c>
      <c r="Q595">
        <v>5.5830948509043811E-3</v>
      </c>
      <c r="R595">
        <v>2.4813754892908362E-3</v>
      </c>
      <c r="S595">
        <v>0</v>
      </c>
      <c r="T595">
        <v>1.2406877446454181E-3</v>
      </c>
      <c r="U595">
        <v>1.1786533574131472E-2</v>
      </c>
      <c r="V595">
        <v>0</v>
      </c>
      <c r="W595">
        <v>4.7146134296525886E-2</v>
      </c>
      <c r="X595">
        <v>2.4813754892908362E-3</v>
      </c>
      <c r="Y595">
        <v>2.3573067148262943E-2</v>
      </c>
      <c r="Z595">
        <v>1.2406877446454181E-2</v>
      </c>
      <c r="AA595">
        <v>1.2406877446454181E-3</v>
      </c>
      <c r="AB595">
        <v>7.6922640168015921E-2</v>
      </c>
      <c r="AC595">
        <v>6.2034387232270905E-4</v>
      </c>
      <c r="AD595">
        <v>4.3424071062589638E-3</v>
      </c>
      <c r="AE595">
        <v>1.2406877446454181E-3</v>
      </c>
      <c r="AF595">
        <v>0</v>
      </c>
      <c r="AG595">
        <v>4.3424071062589638E-3</v>
      </c>
      <c r="AH595">
        <v>6.2034387232270905E-4</v>
      </c>
      <c r="AI595">
        <v>0</v>
      </c>
      <c r="AJ595">
        <v>2.6054442637553778E-2</v>
      </c>
      <c r="AK595">
        <v>0</v>
      </c>
      <c r="AL595">
        <v>0</v>
      </c>
      <c r="AM595">
        <v>6.2034387232270905E-4</v>
      </c>
      <c r="AN595">
        <v>1.2406877446454181E-3</v>
      </c>
      <c r="AO595" t="s">
        <v>19</v>
      </c>
      <c r="AT595" t="str">
        <f t="shared" si="18"/>
        <v>lcv</v>
      </c>
      <c r="AU595" t="str">
        <f t="shared" si="19"/>
        <v>lpg</v>
      </c>
    </row>
    <row r="596" spans="1:47">
      <c r="A596" t="s">
        <v>17</v>
      </c>
      <c r="B596" t="s">
        <v>176</v>
      </c>
      <c r="C596" t="s">
        <v>604</v>
      </c>
      <c r="D596" t="s">
        <v>19</v>
      </c>
      <c r="E596" t="s">
        <v>19</v>
      </c>
      <c r="F596" t="s">
        <v>19</v>
      </c>
      <c r="G596" t="s">
        <v>184</v>
      </c>
      <c r="H596" t="s">
        <v>19</v>
      </c>
      <c r="I596" t="s">
        <v>19</v>
      </c>
      <c r="J596" t="s">
        <v>19</v>
      </c>
      <c r="K596" t="s">
        <v>19</v>
      </c>
      <c r="L596">
        <v>1.3027221318776889E-2</v>
      </c>
      <c r="M596">
        <v>0</v>
      </c>
      <c r="N596">
        <v>0</v>
      </c>
      <c r="O596">
        <v>8.6848142125179276E-3</v>
      </c>
      <c r="P596">
        <v>8.2505735018920306E-2</v>
      </c>
      <c r="Q596">
        <v>5.5830948509043811E-3</v>
      </c>
      <c r="R596">
        <v>2.4813754892908362E-3</v>
      </c>
      <c r="S596">
        <v>0</v>
      </c>
      <c r="T596">
        <v>1.2406877446454181E-3</v>
      </c>
      <c r="U596">
        <v>1.1786533574131472E-2</v>
      </c>
      <c r="V596">
        <v>0</v>
      </c>
      <c r="W596">
        <v>4.7146134296525886E-2</v>
      </c>
      <c r="X596">
        <v>2.4813754892908362E-3</v>
      </c>
      <c r="Y596">
        <v>2.3573067148262943E-2</v>
      </c>
      <c r="Z596">
        <v>1.2406877446454181E-2</v>
      </c>
      <c r="AA596">
        <v>1.2406877446454181E-3</v>
      </c>
      <c r="AB596">
        <v>7.6922640168015921E-2</v>
      </c>
      <c r="AC596">
        <v>6.2034387232270905E-4</v>
      </c>
      <c r="AD596">
        <v>4.3424071062589638E-3</v>
      </c>
      <c r="AE596">
        <v>1.2406877446454181E-3</v>
      </c>
      <c r="AF596">
        <v>0</v>
      </c>
      <c r="AG596">
        <v>4.3424071062589638E-3</v>
      </c>
      <c r="AH596">
        <v>6.2034387232270905E-4</v>
      </c>
      <c r="AI596">
        <v>0</v>
      </c>
      <c r="AJ596">
        <v>2.6054442637553778E-2</v>
      </c>
      <c r="AK596">
        <v>0</v>
      </c>
      <c r="AL596">
        <v>0</v>
      </c>
      <c r="AM596">
        <v>6.2034387232270905E-4</v>
      </c>
      <c r="AN596">
        <v>1.2406877446454181E-3</v>
      </c>
      <c r="AO596" t="s">
        <v>19</v>
      </c>
      <c r="AT596" t="str">
        <f t="shared" si="18"/>
        <v>lcv</v>
      </c>
      <c r="AU596" t="str">
        <f t="shared" si="19"/>
        <v>lpg</v>
      </c>
    </row>
    <row r="597" spans="1:47">
      <c r="A597" t="s">
        <v>17</v>
      </c>
      <c r="B597" t="s">
        <v>176</v>
      </c>
      <c r="C597" t="s">
        <v>604</v>
      </c>
      <c r="D597" t="s">
        <v>19</v>
      </c>
      <c r="E597" t="s">
        <v>19</v>
      </c>
      <c r="F597" t="s">
        <v>19</v>
      </c>
      <c r="G597" t="s">
        <v>185</v>
      </c>
      <c r="H597" t="s">
        <v>19</v>
      </c>
      <c r="I597" t="s">
        <v>19</v>
      </c>
      <c r="J597" t="s">
        <v>19</v>
      </c>
      <c r="K597" t="s">
        <v>19</v>
      </c>
      <c r="L597">
        <v>1.3027221318776889E-2</v>
      </c>
      <c r="M597">
        <v>0</v>
      </c>
      <c r="N597">
        <v>0</v>
      </c>
      <c r="O597">
        <v>8.6848142125179276E-3</v>
      </c>
      <c r="P597">
        <v>8.2505735018920306E-2</v>
      </c>
      <c r="Q597">
        <v>5.5830948509043811E-3</v>
      </c>
      <c r="R597">
        <v>2.4813754892908362E-3</v>
      </c>
      <c r="S597">
        <v>0</v>
      </c>
      <c r="T597">
        <v>1.2406877446454181E-3</v>
      </c>
      <c r="U597">
        <v>1.1786533574131472E-2</v>
      </c>
      <c r="V597">
        <v>0</v>
      </c>
      <c r="W597">
        <v>4.7146134296525886E-2</v>
      </c>
      <c r="X597">
        <v>2.4813754892908362E-3</v>
      </c>
      <c r="Y597">
        <v>2.3573067148262943E-2</v>
      </c>
      <c r="Z597">
        <v>1.2406877446454181E-2</v>
      </c>
      <c r="AA597">
        <v>1.2406877446454181E-3</v>
      </c>
      <c r="AB597">
        <v>7.6922640168015921E-2</v>
      </c>
      <c r="AC597">
        <v>6.2034387232270905E-4</v>
      </c>
      <c r="AD597">
        <v>4.3424071062589638E-3</v>
      </c>
      <c r="AE597">
        <v>1.2406877446454181E-3</v>
      </c>
      <c r="AF597">
        <v>0</v>
      </c>
      <c r="AG597">
        <v>4.3424071062589638E-3</v>
      </c>
      <c r="AH597">
        <v>6.2034387232270905E-4</v>
      </c>
      <c r="AI597">
        <v>0</v>
      </c>
      <c r="AJ597">
        <v>2.6054442637553778E-2</v>
      </c>
      <c r="AK597">
        <v>0</v>
      </c>
      <c r="AL597">
        <v>0</v>
      </c>
      <c r="AM597">
        <v>6.2034387232270905E-4</v>
      </c>
      <c r="AN597">
        <v>1.2406877446454181E-3</v>
      </c>
      <c r="AO597" t="s">
        <v>19</v>
      </c>
      <c r="AT597" t="str">
        <f t="shared" si="18"/>
        <v>lcv</v>
      </c>
      <c r="AU597" t="str">
        <f t="shared" si="19"/>
        <v>lpg</v>
      </c>
    </row>
    <row r="598" spans="1:47">
      <c r="A598" t="s">
        <v>17</v>
      </c>
      <c r="B598" t="s">
        <v>176</v>
      </c>
      <c r="C598" t="s">
        <v>604</v>
      </c>
      <c r="D598" t="s">
        <v>19</v>
      </c>
      <c r="E598" t="s">
        <v>19</v>
      </c>
      <c r="F598" t="s">
        <v>19</v>
      </c>
      <c r="G598" t="s">
        <v>186</v>
      </c>
      <c r="H598" t="s">
        <v>19</v>
      </c>
      <c r="I598" t="s">
        <v>19</v>
      </c>
      <c r="J598" t="s">
        <v>19</v>
      </c>
      <c r="K598" t="s">
        <v>19</v>
      </c>
      <c r="L598">
        <v>1.3027221318776889E-2</v>
      </c>
      <c r="M598">
        <v>0</v>
      </c>
      <c r="N598">
        <v>0</v>
      </c>
      <c r="O598">
        <v>8.6848142125179276E-3</v>
      </c>
      <c r="P598">
        <v>8.2505735018920306E-2</v>
      </c>
      <c r="Q598">
        <v>5.5830948509043811E-3</v>
      </c>
      <c r="R598">
        <v>2.4813754892908362E-3</v>
      </c>
      <c r="S598">
        <v>0</v>
      </c>
      <c r="T598">
        <v>1.2406877446454181E-3</v>
      </c>
      <c r="U598">
        <v>1.1786533574131472E-2</v>
      </c>
      <c r="V598">
        <v>0</v>
      </c>
      <c r="W598">
        <v>4.7146134296525886E-2</v>
      </c>
      <c r="X598">
        <v>2.4813754892908362E-3</v>
      </c>
      <c r="Y598">
        <v>2.3573067148262943E-2</v>
      </c>
      <c r="Z598">
        <v>1.2406877446454181E-2</v>
      </c>
      <c r="AA598">
        <v>1.2406877446454181E-3</v>
      </c>
      <c r="AB598">
        <v>7.6922640168015921E-2</v>
      </c>
      <c r="AC598">
        <v>6.2034387232270905E-4</v>
      </c>
      <c r="AD598">
        <v>4.3424071062589638E-3</v>
      </c>
      <c r="AE598">
        <v>1.2406877446454181E-3</v>
      </c>
      <c r="AF598">
        <v>0</v>
      </c>
      <c r="AG598">
        <v>4.3424071062589638E-3</v>
      </c>
      <c r="AH598">
        <v>6.2034387232270905E-4</v>
      </c>
      <c r="AI598">
        <v>0</v>
      </c>
      <c r="AJ598">
        <v>2.6054442637553778E-2</v>
      </c>
      <c r="AK598">
        <v>0</v>
      </c>
      <c r="AL598">
        <v>0</v>
      </c>
      <c r="AM598">
        <v>6.2034387232270905E-4</v>
      </c>
      <c r="AN598">
        <v>1.2406877446454181E-3</v>
      </c>
      <c r="AO598" t="s">
        <v>19</v>
      </c>
      <c r="AT598" t="str">
        <f t="shared" si="18"/>
        <v>lcv</v>
      </c>
      <c r="AU598" t="str">
        <f t="shared" si="19"/>
        <v>lpg</v>
      </c>
    </row>
    <row r="599" spans="1:47">
      <c r="A599" t="s">
        <v>17</v>
      </c>
      <c r="B599" t="s">
        <v>176</v>
      </c>
      <c r="C599" t="s">
        <v>604</v>
      </c>
      <c r="D599" t="s">
        <v>19</v>
      </c>
      <c r="E599" t="s">
        <v>19</v>
      </c>
      <c r="F599" t="s">
        <v>19</v>
      </c>
      <c r="G599" t="s">
        <v>187</v>
      </c>
      <c r="H599" t="s">
        <v>19</v>
      </c>
      <c r="I599" t="s">
        <v>19</v>
      </c>
      <c r="J599" t="s">
        <v>19</v>
      </c>
      <c r="K599" t="s">
        <v>19</v>
      </c>
      <c r="L599">
        <v>1.3027221318776889E-2</v>
      </c>
      <c r="M599">
        <v>0</v>
      </c>
      <c r="N599">
        <v>0</v>
      </c>
      <c r="O599">
        <v>8.6848142125179276E-3</v>
      </c>
      <c r="P599">
        <v>8.2505735018920306E-2</v>
      </c>
      <c r="Q599">
        <v>5.5830948509043811E-3</v>
      </c>
      <c r="R599">
        <v>2.4813754892908362E-3</v>
      </c>
      <c r="S599">
        <v>0</v>
      </c>
      <c r="T599">
        <v>1.2406877446454181E-3</v>
      </c>
      <c r="U599">
        <v>1.1786533574131472E-2</v>
      </c>
      <c r="V599">
        <v>0</v>
      </c>
      <c r="W599">
        <v>4.7146134296525886E-2</v>
      </c>
      <c r="X599">
        <v>2.4813754892908362E-3</v>
      </c>
      <c r="Y599">
        <v>2.3573067148262943E-2</v>
      </c>
      <c r="Z599">
        <v>1.2406877446454181E-2</v>
      </c>
      <c r="AA599">
        <v>1.2406877446454181E-3</v>
      </c>
      <c r="AB599">
        <v>7.6922640168015921E-2</v>
      </c>
      <c r="AC599">
        <v>6.2034387232270905E-4</v>
      </c>
      <c r="AD599">
        <v>4.3424071062589638E-3</v>
      </c>
      <c r="AE599">
        <v>1.2406877446454181E-3</v>
      </c>
      <c r="AF599">
        <v>0</v>
      </c>
      <c r="AG599">
        <v>4.3424071062589638E-3</v>
      </c>
      <c r="AH599">
        <v>6.2034387232270905E-4</v>
      </c>
      <c r="AI599">
        <v>0</v>
      </c>
      <c r="AJ599">
        <v>2.6054442637553778E-2</v>
      </c>
      <c r="AK599">
        <v>0</v>
      </c>
      <c r="AL599">
        <v>0</v>
      </c>
      <c r="AM599">
        <v>6.2034387232270905E-4</v>
      </c>
      <c r="AN599">
        <v>1.2406877446454181E-3</v>
      </c>
      <c r="AO599" t="s">
        <v>19</v>
      </c>
      <c r="AT599" t="str">
        <f t="shared" si="18"/>
        <v>lcv</v>
      </c>
      <c r="AU599" t="str">
        <f t="shared" si="19"/>
        <v>lpg</v>
      </c>
    </row>
    <row r="600" spans="1:47">
      <c r="A600" t="s">
        <v>17</v>
      </c>
      <c r="B600" t="s">
        <v>176</v>
      </c>
      <c r="C600" t="s">
        <v>604</v>
      </c>
      <c r="D600" t="s">
        <v>19</v>
      </c>
      <c r="E600" t="s">
        <v>19</v>
      </c>
      <c r="F600" t="s">
        <v>19</v>
      </c>
      <c r="G600" t="s">
        <v>188</v>
      </c>
      <c r="H600" t="s">
        <v>19</v>
      </c>
      <c r="I600" t="s">
        <v>19</v>
      </c>
      <c r="J600" t="s">
        <v>19</v>
      </c>
      <c r="K600" t="s">
        <v>19</v>
      </c>
      <c r="L600">
        <v>1.3027221318776889E-2</v>
      </c>
      <c r="M600">
        <v>0</v>
      </c>
      <c r="N600">
        <v>0</v>
      </c>
      <c r="O600">
        <v>8.6848142125179276E-3</v>
      </c>
      <c r="P600">
        <v>8.2505735018920306E-2</v>
      </c>
      <c r="Q600">
        <v>5.5830948509043811E-3</v>
      </c>
      <c r="R600">
        <v>2.4813754892908362E-3</v>
      </c>
      <c r="S600">
        <v>0</v>
      </c>
      <c r="T600">
        <v>1.2406877446454181E-3</v>
      </c>
      <c r="U600">
        <v>1.1786533574131472E-2</v>
      </c>
      <c r="V600">
        <v>0</v>
      </c>
      <c r="W600">
        <v>4.7146134296525886E-2</v>
      </c>
      <c r="X600">
        <v>2.4813754892908362E-3</v>
      </c>
      <c r="Y600">
        <v>2.3573067148262943E-2</v>
      </c>
      <c r="Z600">
        <v>1.2406877446454181E-2</v>
      </c>
      <c r="AA600">
        <v>1.2406877446454181E-3</v>
      </c>
      <c r="AB600">
        <v>7.6922640168015921E-2</v>
      </c>
      <c r="AC600">
        <v>6.2034387232270905E-4</v>
      </c>
      <c r="AD600">
        <v>4.3424071062589638E-3</v>
      </c>
      <c r="AE600">
        <v>1.2406877446454181E-3</v>
      </c>
      <c r="AF600">
        <v>0</v>
      </c>
      <c r="AG600">
        <v>4.3424071062589638E-3</v>
      </c>
      <c r="AH600">
        <v>6.2034387232270905E-4</v>
      </c>
      <c r="AI600">
        <v>0</v>
      </c>
      <c r="AJ600">
        <v>2.6054442637553778E-2</v>
      </c>
      <c r="AK600">
        <v>0</v>
      </c>
      <c r="AL600">
        <v>0</v>
      </c>
      <c r="AM600">
        <v>6.2034387232270905E-4</v>
      </c>
      <c r="AN600">
        <v>1.2406877446454181E-3</v>
      </c>
      <c r="AO600" t="s">
        <v>19</v>
      </c>
      <c r="AT600" t="str">
        <f t="shared" si="18"/>
        <v>lcv</v>
      </c>
      <c r="AU600" t="str">
        <f t="shared" si="19"/>
        <v>lpg</v>
      </c>
    </row>
    <row r="601" spans="1:47">
      <c r="A601" t="s">
        <v>17</v>
      </c>
      <c r="B601" t="s">
        <v>176</v>
      </c>
      <c r="C601" t="s">
        <v>604</v>
      </c>
      <c r="D601" t="s">
        <v>19</v>
      </c>
      <c r="E601" t="s">
        <v>19</v>
      </c>
      <c r="F601" t="s">
        <v>19</v>
      </c>
      <c r="G601" t="s">
        <v>100</v>
      </c>
      <c r="H601" t="s">
        <v>19</v>
      </c>
      <c r="I601" t="s">
        <v>19</v>
      </c>
      <c r="J601" t="s">
        <v>19</v>
      </c>
      <c r="K601" t="s">
        <v>19</v>
      </c>
      <c r="L601">
        <v>1.3027221318776889E-2</v>
      </c>
      <c r="M601">
        <v>0</v>
      </c>
      <c r="N601">
        <v>0</v>
      </c>
      <c r="O601">
        <v>8.6848142125179276E-3</v>
      </c>
      <c r="P601">
        <v>8.2505735018920306E-2</v>
      </c>
      <c r="Q601">
        <v>5.5830948509043811E-3</v>
      </c>
      <c r="R601">
        <v>2.4813754892908362E-3</v>
      </c>
      <c r="S601">
        <v>0</v>
      </c>
      <c r="T601">
        <v>1.2406877446454181E-3</v>
      </c>
      <c r="U601">
        <v>1.1786533574131472E-2</v>
      </c>
      <c r="V601">
        <v>0</v>
      </c>
      <c r="W601">
        <v>4.7146134296525886E-2</v>
      </c>
      <c r="X601">
        <v>2.4813754892908362E-3</v>
      </c>
      <c r="Y601">
        <v>2.3573067148262943E-2</v>
      </c>
      <c r="Z601">
        <v>1.2406877446454181E-2</v>
      </c>
      <c r="AA601">
        <v>1.2406877446454181E-3</v>
      </c>
      <c r="AB601">
        <v>7.6922640168015921E-2</v>
      </c>
      <c r="AC601">
        <v>6.2034387232270905E-4</v>
      </c>
      <c r="AD601">
        <v>4.3424071062589638E-3</v>
      </c>
      <c r="AE601">
        <v>1.2406877446454181E-3</v>
      </c>
      <c r="AF601">
        <v>0</v>
      </c>
      <c r="AG601">
        <v>4.3424071062589638E-3</v>
      </c>
      <c r="AH601">
        <v>6.2034387232270905E-4</v>
      </c>
      <c r="AI601">
        <v>0</v>
      </c>
      <c r="AJ601">
        <v>2.6054442637553778E-2</v>
      </c>
      <c r="AK601">
        <v>0</v>
      </c>
      <c r="AL601">
        <v>0</v>
      </c>
      <c r="AM601">
        <v>6.2034387232270905E-4</v>
      </c>
      <c r="AN601">
        <v>1.2406877446454181E-3</v>
      </c>
      <c r="AO601" t="s">
        <v>19</v>
      </c>
      <c r="AT601" t="str">
        <f t="shared" si="18"/>
        <v>lcv</v>
      </c>
      <c r="AU601" t="str">
        <f t="shared" si="19"/>
        <v>lpg</v>
      </c>
    </row>
    <row r="602" spans="1:47">
      <c r="A602" t="s">
        <v>17</v>
      </c>
      <c r="B602" t="s">
        <v>176</v>
      </c>
      <c r="C602" t="s">
        <v>189</v>
      </c>
      <c r="D602" t="s">
        <v>19</v>
      </c>
      <c r="E602" t="s">
        <v>19</v>
      </c>
      <c r="F602" t="s">
        <v>19</v>
      </c>
      <c r="G602" t="s">
        <v>603</v>
      </c>
      <c r="H602" t="s">
        <v>19</v>
      </c>
      <c r="I602" t="s">
        <v>19</v>
      </c>
      <c r="J602" t="s">
        <v>19</v>
      </c>
      <c r="K602" t="s">
        <v>19</v>
      </c>
      <c r="L602">
        <v>2.4813754892908362E-3</v>
      </c>
      <c r="M602">
        <v>0</v>
      </c>
      <c r="N602">
        <v>1.4267909063422308E-2</v>
      </c>
      <c r="O602">
        <v>3.6600288467039832E-2</v>
      </c>
      <c r="P602">
        <v>1.8610316169681269E-3</v>
      </c>
      <c r="Q602">
        <v>4.3424071062589638E-3</v>
      </c>
      <c r="R602">
        <v>6.2034387232270905E-4</v>
      </c>
      <c r="S602">
        <v>1.3647565191099598E-2</v>
      </c>
      <c r="T602">
        <v>0</v>
      </c>
      <c r="U602">
        <v>0.10111605118860156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1.4888252935745016E-2</v>
      </c>
      <c r="AF602">
        <v>1.2406877446454181E-2</v>
      </c>
      <c r="AG602">
        <v>0</v>
      </c>
      <c r="AH602">
        <v>0</v>
      </c>
      <c r="AI602">
        <v>0</v>
      </c>
      <c r="AJ602">
        <v>1.8610316169681269E-3</v>
      </c>
      <c r="AK602">
        <v>0</v>
      </c>
      <c r="AL602">
        <v>0</v>
      </c>
      <c r="AM602">
        <v>0</v>
      </c>
      <c r="AN602">
        <v>6.2034387232270905E-4</v>
      </c>
      <c r="AO602" t="s">
        <v>19</v>
      </c>
      <c r="AT602" t="str">
        <f t="shared" si="18"/>
        <v>lcv</v>
      </c>
      <c r="AU602" t="str">
        <f t="shared" si="19"/>
        <v>nga</v>
      </c>
    </row>
    <row r="603" spans="1:47">
      <c r="A603" t="s">
        <v>17</v>
      </c>
      <c r="B603" t="s">
        <v>176</v>
      </c>
      <c r="C603" t="s">
        <v>189</v>
      </c>
      <c r="D603" t="s">
        <v>19</v>
      </c>
      <c r="E603" t="s">
        <v>19</v>
      </c>
      <c r="F603" t="s">
        <v>19</v>
      </c>
      <c r="G603" t="s">
        <v>602</v>
      </c>
      <c r="H603" t="s">
        <v>19</v>
      </c>
      <c r="I603" t="s">
        <v>19</v>
      </c>
      <c r="J603" t="s">
        <v>19</v>
      </c>
      <c r="K603" t="s">
        <v>19</v>
      </c>
      <c r="L603">
        <v>2.4813754892908362E-3</v>
      </c>
      <c r="M603">
        <v>0</v>
      </c>
      <c r="N603">
        <v>1.4267909063422308E-2</v>
      </c>
      <c r="O603">
        <v>3.6600288467039832E-2</v>
      </c>
      <c r="P603">
        <v>1.8610316169681269E-3</v>
      </c>
      <c r="Q603">
        <v>4.3424071062589638E-3</v>
      </c>
      <c r="R603">
        <v>6.2034387232270905E-4</v>
      </c>
      <c r="S603">
        <v>1.3647565191099598E-2</v>
      </c>
      <c r="T603">
        <v>0</v>
      </c>
      <c r="U603">
        <v>0.10111605118860156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1.4888252935745016E-2</v>
      </c>
      <c r="AF603">
        <v>1.2406877446454181E-2</v>
      </c>
      <c r="AG603">
        <v>0</v>
      </c>
      <c r="AH603">
        <v>0</v>
      </c>
      <c r="AI603">
        <v>0</v>
      </c>
      <c r="AJ603">
        <v>1.8610316169681269E-3</v>
      </c>
      <c r="AK603">
        <v>0</v>
      </c>
      <c r="AL603">
        <v>0</v>
      </c>
      <c r="AM603">
        <v>0</v>
      </c>
      <c r="AN603">
        <v>6.2034387232270905E-4</v>
      </c>
      <c r="AO603" t="s">
        <v>19</v>
      </c>
      <c r="AT603" t="str">
        <f t="shared" si="18"/>
        <v>lcv</v>
      </c>
      <c r="AU603" t="str">
        <f t="shared" si="19"/>
        <v>nga</v>
      </c>
    </row>
    <row r="604" spans="1:47">
      <c r="A604" t="s">
        <v>17</v>
      </c>
      <c r="B604" t="s">
        <v>176</v>
      </c>
      <c r="C604" t="s">
        <v>189</v>
      </c>
      <c r="D604" t="s">
        <v>19</v>
      </c>
      <c r="E604" t="s">
        <v>19</v>
      </c>
      <c r="F604" t="s">
        <v>19</v>
      </c>
      <c r="G604" t="s">
        <v>601</v>
      </c>
      <c r="H604" t="s">
        <v>19</v>
      </c>
      <c r="I604" t="s">
        <v>19</v>
      </c>
      <c r="J604" t="s">
        <v>19</v>
      </c>
      <c r="K604" t="s">
        <v>19</v>
      </c>
      <c r="L604">
        <v>2.4813754892908362E-3</v>
      </c>
      <c r="M604">
        <v>0</v>
      </c>
      <c r="N604">
        <v>1.4267909063422308E-2</v>
      </c>
      <c r="O604">
        <v>3.6600288467039832E-2</v>
      </c>
      <c r="P604">
        <v>1.8610316169681269E-3</v>
      </c>
      <c r="Q604">
        <v>4.3424071062589638E-3</v>
      </c>
      <c r="R604">
        <v>6.2034387232270905E-4</v>
      </c>
      <c r="S604">
        <v>1.3647565191099598E-2</v>
      </c>
      <c r="T604">
        <v>0</v>
      </c>
      <c r="U604">
        <v>0.10111605118860156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1.4888252935745016E-2</v>
      </c>
      <c r="AF604">
        <v>1.2406877446454181E-2</v>
      </c>
      <c r="AG604">
        <v>0</v>
      </c>
      <c r="AH604">
        <v>0</v>
      </c>
      <c r="AI604">
        <v>0</v>
      </c>
      <c r="AJ604">
        <v>1.8610316169681269E-3</v>
      </c>
      <c r="AK604">
        <v>0</v>
      </c>
      <c r="AL604">
        <v>0</v>
      </c>
      <c r="AM604">
        <v>0</v>
      </c>
      <c r="AN604">
        <v>6.2034387232270905E-4</v>
      </c>
      <c r="AO604" t="s">
        <v>19</v>
      </c>
      <c r="AT604" t="str">
        <f t="shared" si="18"/>
        <v>lcv</v>
      </c>
      <c r="AU604" t="str">
        <f t="shared" si="19"/>
        <v>nga</v>
      </c>
    </row>
    <row r="605" spans="1:47">
      <c r="A605" t="s">
        <v>17</v>
      </c>
      <c r="B605" t="s">
        <v>176</v>
      </c>
      <c r="C605" t="s">
        <v>189</v>
      </c>
      <c r="D605" t="s">
        <v>19</v>
      </c>
      <c r="E605" t="s">
        <v>19</v>
      </c>
      <c r="F605" t="s">
        <v>19</v>
      </c>
      <c r="G605" t="s">
        <v>600</v>
      </c>
      <c r="H605" t="s">
        <v>19</v>
      </c>
      <c r="I605" t="s">
        <v>19</v>
      </c>
      <c r="J605" t="s">
        <v>19</v>
      </c>
      <c r="K605" t="s">
        <v>19</v>
      </c>
      <c r="L605">
        <v>2.4813754892908362E-3</v>
      </c>
      <c r="M605">
        <v>0</v>
      </c>
      <c r="N605">
        <v>1.4267909063422308E-2</v>
      </c>
      <c r="O605">
        <v>3.6600288467039832E-2</v>
      </c>
      <c r="P605">
        <v>1.8610316169681269E-3</v>
      </c>
      <c r="Q605">
        <v>4.3424071062589638E-3</v>
      </c>
      <c r="R605">
        <v>6.2034387232270905E-4</v>
      </c>
      <c r="S605">
        <v>1.3647565191099598E-2</v>
      </c>
      <c r="T605">
        <v>0</v>
      </c>
      <c r="U605">
        <v>0.10111605118860156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1.4888252935745016E-2</v>
      </c>
      <c r="AF605">
        <v>1.2406877446454181E-2</v>
      </c>
      <c r="AG605">
        <v>0</v>
      </c>
      <c r="AH605">
        <v>0</v>
      </c>
      <c r="AI605">
        <v>0</v>
      </c>
      <c r="AJ605">
        <v>1.8610316169681269E-3</v>
      </c>
      <c r="AK605">
        <v>0</v>
      </c>
      <c r="AL605">
        <v>0</v>
      </c>
      <c r="AM605">
        <v>0</v>
      </c>
      <c r="AN605">
        <v>6.2034387232270905E-4</v>
      </c>
      <c r="AO605" t="s">
        <v>19</v>
      </c>
      <c r="AT605" t="str">
        <f t="shared" si="18"/>
        <v>lcv</v>
      </c>
      <c r="AU605" t="str">
        <f t="shared" si="19"/>
        <v>nga</v>
      </c>
    </row>
    <row r="606" spans="1:47">
      <c r="A606" t="s">
        <v>17</v>
      </c>
      <c r="B606" t="s">
        <v>176</v>
      </c>
      <c r="C606" t="s">
        <v>189</v>
      </c>
      <c r="D606" t="s">
        <v>19</v>
      </c>
      <c r="E606" t="s">
        <v>19</v>
      </c>
      <c r="F606" t="s">
        <v>19</v>
      </c>
      <c r="G606" t="s">
        <v>599</v>
      </c>
      <c r="H606" t="s">
        <v>19</v>
      </c>
      <c r="I606" t="s">
        <v>19</v>
      </c>
      <c r="J606" t="s">
        <v>19</v>
      </c>
      <c r="K606" t="s">
        <v>19</v>
      </c>
      <c r="L606">
        <v>2.4813754892908362E-3</v>
      </c>
      <c r="M606">
        <v>0</v>
      </c>
      <c r="N606">
        <v>1.4267909063422308E-2</v>
      </c>
      <c r="O606">
        <v>3.6600288467039832E-2</v>
      </c>
      <c r="P606">
        <v>1.8610316169681269E-3</v>
      </c>
      <c r="Q606">
        <v>4.3424071062589638E-3</v>
      </c>
      <c r="R606">
        <v>6.2034387232270905E-4</v>
      </c>
      <c r="S606">
        <v>1.3647565191099598E-2</v>
      </c>
      <c r="T606">
        <v>0</v>
      </c>
      <c r="U606">
        <v>0.10111605118860156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1.4888252935745016E-2</v>
      </c>
      <c r="AF606">
        <v>1.2406877446454181E-2</v>
      </c>
      <c r="AG606">
        <v>0</v>
      </c>
      <c r="AH606">
        <v>0</v>
      </c>
      <c r="AI606">
        <v>0</v>
      </c>
      <c r="AJ606">
        <v>1.8610316169681269E-3</v>
      </c>
      <c r="AK606">
        <v>0</v>
      </c>
      <c r="AL606">
        <v>0</v>
      </c>
      <c r="AM606">
        <v>0</v>
      </c>
      <c r="AN606">
        <v>6.2034387232270905E-4</v>
      </c>
      <c r="AO606" t="s">
        <v>19</v>
      </c>
      <c r="AT606" t="str">
        <f t="shared" si="18"/>
        <v>lcv</v>
      </c>
      <c r="AU606" t="str">
        <f t="shared" si="19"/>
        <v>nga</v>
      </c>
    </row>
    <row r="607" spans="1:47">
      <c r="A607" t="s">
        <v>17</v>
      </c>
      <c r="B607" t="s">
        <v>176</v>
      </c>
      <c r="C607" t="s">
        <v>189</v>
      </c>
      <c r="D607" t="s">
        <v>19</v>
      </c>
      <c r="E607" t="s">
        <v>19</v>
      </c>
      <c r="F607" t="s">
        <v>19</v>
      </c>
      <c r="G607" t="s">
        <v>598</v>
      </c>
      <c r="H607" t="s">
        <v>19</v>
      </c>
      <c r="I607" t="s">
        <v>19</v>
      </c>
      <c r="J607" t="s">
        <v>19</v>
      </c>
      <c r="K607" t="s">
        <v>19</v>
      </c>
      <c r="L607">
        <v>2.4813754892908362E-3</v>
      </c>
      <c r="M607">
        <v>0</v>
      </c>
      <c r="N607">
        <v>1.4267909063422308E-2</v>
      </c>
      <c r="O607">
        <v>3.6600288467039832E-2</v>
      </c>
      <c r="P607">
        <v>1.8610316169681269E-3</v>
      </c>
      <c r="Q607">
        <v>4.3424071062589638E-3</v>
      </c>
      <c r="R607">
        <v>6.2034387232270905E-4</v>
      </c>
      <c r="S607">
        <v>1.3647565191099598E-2</v>
      </c>
      <c r="T607">
        <v>0</v>
      </c>
      <c r="U607">
        <v>0.10111605118860156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1.4888252935745016E-2</v>
      </c>
      <c r="AF607">
        <v>1.2406877446454181E-2</v>
      </c>
      <c r="AG607">
        <v>0</v>
      </c>
      <c r="AH607">
        <v>0</v>
      </c>
      <c r="AI607">
        <v>0</v>
      </c>
      <c r="AJ607">
        <v>1.8610316169681269E-3</v>
      </c>
      <c r="AK607">
        <v>0</v>
      </c>
      <c r="AL607">
        <v>0</v>
      </c>
      <c r="AM607">
        <v>0</v>
      </c>
      <c r="AN607">
        <v>6.2034387232270905E-4</v>
      </c>
      <c r="AO607" t="s">
        <v>19</v>
      </c>
      <c r="AT607" t="str">
        <f t="shared" si="18"/>
        <v>lcv</v>
      </c>
      <c r="AU607" t="str">
        <f t="shared" si="19"/>
        <v>nga</v>
      </c>
    </row>
    <row r="608" spans="1:47">
      <c r="A608" t="s">
        <v>17</v>
      </c>
      <c r="B608" t="s">
        <v>176</v>
      </c>
      <c r="C608" t="s">
        <v>189</v>
      </c>
      <c r="D608" t="s">
        <v>19</v>
      </c>
      <c r="E608" t="s">
        <v>19</v>
      </c>
      <c r="F608" t="s">
        <v>19</v>
      </c>
      <c r="G608" t="s">
        <v>597</v>
      </c>
      <c r="H608" t="s">
        <v>19</v>
      </c>
      <c r="I608" t="s">
        <v>19</v>
      </c>
      <c r="J608" t="s">
        <v>19</v>
      </c>
      <c r="K608" t="s">
        <v>19</v>
      </c>
      <c r="L608">
        <v>2.4813754892908362E-3</v>
      </c>
      <c r="M608">
        <v>0</v>
      </c>
      <c r="N608">
        <v>1.4267909063422308E-2</v>
      </c>
      <c r="O608">
        <v>3.6600288467039832E-2</v>
      </c>
      <c r="P608">
        <v>1.8610316169681269E-3</v>
      </c>
      <c r="Q608">
        <v>4.3424071062589638E-3</v>
      </c>
      <c r="R608">
        <v>6.2034387232270905E-4</v>
      </c>
      <c r="S608">
        <v>1.3647565191099598E-2</v>
      </c>
      <c r="T608">
        <v>0</v>
      </c>
      <c r="U608">
        <v>0.10111605118860156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1.4888252935745016E-2</v>
      </c>
      <c r="AF608">
        <v>1.2406877446454181E-2</v>
      </c>
      <c r="AG608">
        <v>0</v>
      </c>
      <c r="AH608">
        <v>0</v>
      </c>
      <c r="AI608">
        <v>0</v>
      </c>
      <c r="AJ608">
        <v>1.8610316169681269E-3</v>
      </c>
      <c r="AK608">
        <v>0</v>
      </c>
      <c r="AL608">
        <v>0</v>
      </c>
      <c r="AM608">
        <v>0</v>
      </c>
      <c r="AN608">
        <v>6.2034387232270905E-4</v>
      </c>
      <c r="AO608" t="s">
        <v>19</v>
      </c>
      <c r="AT608" t="str">
        <f t="shared" si="18"/>
        <v>lcv</v>
      </c>
      <c r="AU608" t="str">
        <f t="shared" si="19"/>
        <v>nga</v>
      </c>
    </row>
    <row r="609" spans="1:47">
      <c r="A609" t="s">
        <v>17</v>
      </c>
      <c r="B609" t="s">
        <v>176</v>
      </c>
      <c r="C609" t="s">
        <v>189</v>
      </c>
      <c r="D609" t="s">
        <v>19</v>
      </c>
      <c r="E609" t="s">
        <v>19</v>
      </c>
      <c r="F609" t="s">
        <v>19</v>
      </c>
      <c r="G609" t="s">
        <v>596</v>
      </c>
      <c r="H609" t="s">
        <v>19</v>
      </c>
      <c r="I609" t="s">
        <v>19</v>
      </c>
      <c r="J609" t="s">
        <v>19</v>
      </c>
      <c r="K609" t="s">
        <v>19</v>
      </c>
      <c r="L609">
        <v>2.4813754892908362E-3</v>
      </c>
      <c r="M609">
        <v>0</v>
      </c>
      <c r="N609">
        <v>1.4267909063422308E-2</v>
      </c>
      <c r="O609">
        <v>3.6600288467039832E-2</v>
      </c>
      <c r="P609">
        <v>1.8610316169681269E-3</v>
      </c>
      <c r="Q609">
        <v>4.3424071062589638E-3</v>
      </c>
      <c r="R609">
        <v>6.2034387232270905E-4</v>
      </c>
      <c r="S609">
        <v>1.3647565191099598E-2</v>
      </c>
      <c r="T609">
        <v>0</v>
      </c>
      <c r="U609">
        <v>0.10111605118860156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1.4888252935745016E-2</v>
      </c>
      <c r="AF609">
        <v>1.2406877446454181E-2</v>
      </c>
      <c r="AG609">
        <v>0</v>
      </c>
      <c r="AH609">
        <v>0</v>
      </c>
      <c r="AI609">
        <v>0</v>
      </c>
      <c r="AJ609">
        <v>1.8610316169681269E-3</v>
      </c>
      <c r="AK609">
        <v>0</v>
      </c>
      <c r="AL609">
        <v>0</v>
      </c>
      <c r="AM609">
        <v>0</v>
      </c>
      <c r="AN609">
        <v>6.2034387232270905E-4</v>
      </c>
      <c r="AO609" t="s">
        <v>19</v>
      </c>
      <c r="AT609" t="str">
        <f t="shared" si="18"/>
        <v>lcv</v>
      </c>
      <c r="AU609" t="str">
        <f t="shared" si="19"/>
        <v>nga</v>
      </c>
    </row>
    <row r="610" spans="1:47">
      <c r="A610" t="s">
        <v>17</v>
      </c>
      <c r="B610" t="s">
        <v>176</v>
      </c>
      <c r="C610" t="s">
        <v>189</v>
      </c>
      <c r="D610" t="s">
        <v>19</v>
      </c>
      <c r="E610" t="s">
        <v>19</v>
      </c>
      <c r="F610" t="s">
        <v>19</v>
      </c>
      <c r="G610" t="s">
        <v>178</v>
      </c>
      <c r="H610" t="s">
        <v>19</v>
      </c>
      <c r="I610" t="s">
        <v>19</v>
      </c>
      <c r="J610" t="s">
        <v>19</v>
      </c>
      <c r="K610" t="s">
        <v>19</v>
      </c>
      <c r="L610">
        <v>2.4813754892908362E-3</v>
      </c>
      <c r="M610">
        <v>0</v>
      </c>
      <c r="N610">
        <v>1.4267909063422308E-2</v>
      </c>
      <c r="O610">
        <v>3.6600288467039832E-2</v>
      </c>
      <c r="P610">
        <v>1.8610316169681269E-3</v>
      </c>
      <c r="Q610">
        <v>4.3424071062589638E-3</v>
      </c>
      <c r="R610">
        <v>6.2034387232270905E-4</v>
      </c>
      <c r="S610">
        <v>1.3647565191099598E-2</v>
      </c>
      <c r="T610">
        <v>0</v>
      </c>
      <c r="U610">
        <v>0.10111605118860156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1.4888252935745016E-2</v>
      </c>
      <c r="AF610">
        <v>1.2406877446454181E-2</v>
      </c>
      <c r="AG610">
        <v>0</v>
      </c>
      <c r="AH610">
        <v>0</v>
      </c>
      <c r="AI610">
        <v>0</v>
      </c>
      <c r="AJ610">
        <v>1.8610316169681269E-3</v>
      </c>
      <c r="AK610">
        <v>0</v>
      </c>
      <c r="AL610">
        <v>0</v>
      </c>
      <c r="AM610">
        <v>0</v>
      </c>
      <c r="AN610">
        <v>6.2034387232270905E-4</v>
      </c>
      <c r="AO610" t="s">
        <v>19</v>
      </c>
      <c r="AT610" t="str">
        <f t="shared" si="18"/>
        <v>lcv</v>
      </c>
      <c r="AU610" t="str">
        <f t="shared" si="19"/>
        <v>nga</v>
      </c>
    </row>
    <row r="611" spans="1:47">
      <c r="A611" t="s">
        <v>17</v>
      </c>
      <c r="B611" t="s">
        <v>176</v>
      </c>
      <c r="C611" t="s">
        <v>189</v>
      </c>
      <c r="D611" t="s">
        <v>19</v>
      </c>
      <c r="E611" t="s">
        <v>19</v>
      </c>
      <c r="F611" t="s">
        <v>19</v>
      </c>
      <c r="G611" t="s">
        <v>179</v>
      </c>
      <c r="H611" t="s">
        <v>19</v>
      </c>
      <c r="I611" t="s">
        <v>19</v>
      </c>
      <c r="J611" t="s">
        <v>19</v>
      </c>
      <c r="K611" t="s">
        <v>19</v>
      </c>
      <c r="L611">
        <v>2.4813754892908362E-3</v>
      </c>
      <c r="M611">
        <v>0</v>
      </c>
      <c r="N611">
        <v>1.4267909063422308E-2</v>
      </c>
      <c r="O611">
        <v>3.6600288467039832E-2</v>
      </c>
      <c r="P611">
        <v>1.8610316169681269E-3</v>
      </c>
      <c r="Q611">
        <v>4.3424071062589638E-3</v>
      </c>
      <c r="R611">
        <v>6.2034387232270905E-4</v>
      </c>
      <c r="S611">
        <v>1.3647565191099598E-2</v>
      </c>
      <c r="T611">
        <v>0</v>
      </c>
      <c r="U611">
        <v>0.10111605118860156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1.4888252935745016E-2</v>
      </c>
      <c r="AF611">
        <v>1.2406877446454181E-2</v>
      </c>
      <c r="AG611">
        <v>0</v>
      </c>
      <c r="AH611">
        <v>0</v>
      </c>
      <c r="AI611">
        <v>0</v>
      </c>
      <c r="AJ611">
        <v>1.8610316169681269E-3</v>
      </c>
      <c r="AK611">
        <v>0</v>
      </c>
      <c r="AL611">
        <v>0</v>
      </c>
      <c r="AM611">
        <v>0</v>
      </c>
      <c r="AN611">
        <v>6.2034387232270905E-4</v>
      </c>
      <c r="AO611" t="s">
        <v>19</v>
      </c>
      <c r="AT611" t="str">
        <f t="shared" si="18"/>
        <v>lcv</v>
      </c>
      <c r="AU611" t="str">
        <f t="shared" si="19"/>
        <v>nga</v>
      </c>
    </row>
    <row r="612" spans="1:47">
      <c r="A612" t="s">
        <v>17</v>
      </c>
      <c r="B612" t="s">
        <v>176</v>
      </c>
      <c r="C612" t="s">
        <v>189</v>
      </c>
      <c r="D612" t="s">
        <v>19</v>
      </c>
      <c r="E612" t="s">
        <v>19</v>
      </c>
      <c r="F612" t="s">
        <v>19</v>
      </c>
      <c r="G612" t="s">
        <v>180</v>
      </c>
      <c r="H612" t="s">
        <v>19</v>
      </c>
      <c r="I612" t="s">
        <v>19</v>
      </c>
      <c r="J612" t="s">
        <v>19</v>
      </c>
      <c r="K612" t="s">
        <v>19</v>
      </c>
      <c r="L612">
        <v>2.4813754892908362E-3</v>
      </c>
      <c r="M612">
        <v>0</v>
      </c>
      <c r="N612">
        <v>1.4267909063422308E-2</v>
      </c>
      <c r="O612">
        <v>3.6600288467039832E-2</v>
      </c>
      <c r="P612">
        <v>1.8610316169681269E-3</v>
      </c>
      <c r="Q612">
        <v>4.3424071062589638E-3</v>
      </c>
      <c r="R612">
        <v>6.2034387232270905E-4</v>
      </c>
      <c r="S612">
        <v>1.3647565191099598E-2</v>
      </c>
      <c r="T612">
        <v>0</v>
      </c>
      <c r="U612">
        <v>0.10111605118860156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1.4888252935745016E-2</v>
      </c>
      <c r="AF612">
        <v>1.2406877446454181E-2</v>
      </c>
      <c r="AG612">
        <v>0</v>
      </c>
      <c r="AH612">
        <v>0</v>
      </c>
      <c r="AI612">
        <v>0</v>
      </c>
      <c r="AJ612">
        <v>1.8610316169681269E-3</v>
      </c>
      <c r="AK612">
        <v>0</v>
      </c>
      <c r="AL612">
        <v>0</v>
      </c>
      <c r="AM612">
        <v>0</v>
      </c>
      <c r="AN612">
        <v>6.2034387232270905E-4</v>
      </c>
      <c r="AO612" t="s">
        <v>19</v>
      </c>
      <c r="AT612" t="str">
        <f t="shared" si="18"/>
        <v>lcv</v>
      </c>
      <c r="AU612" t="str">
        <f t="shared" si="19"/>
        <v>nga</v>
      </c>
    </row>
    <row r="613" spans="1:47">
      <c r="A613" t="s">
        <v>17</v>
      </c>
      <c r="B613" t="s">
        <v>176</v>
      </c>
      <c r="C613" t="s">
        <v>189</v>
      </c>
      <c r="D613" t="s">
        <v>19</v>
      </c>
      <c r="E613" t="s">
        <v>19</v>
      </c>
      <c r="F613" t="s">
        <v>19</v>
      </c>
      <c r="G613" t="s">
        <v>181</v>
      </c>
      <c r="H613" t="s">
        <v>19</v>
      </c>
      <c r="I613" t="s">
        <v>19</v>
      </c>
      <c r="J613" t="s">
        <v>19</v>
      </c>
      <c r="K613" t="s">
        <v>19</v>
      </c>
      <c r="L613">
        <v>2.4813754892908362E-3</v>
      </c>
      <c r="M613">
        <v>0</v>
      </c>
      <c r="N613">
        <v>1.4267909063422308E-2</v>
      </c>
      <c r="O613">
        <v>3.6600288467039832E-2</v>
      </c>
      <c r="P613">
        <v>1.8610316169681269E-3</v>
      </c>
      <c r="Q613">
        <v>4.3424071062589638E-3</v>
      </c>
      <c r="R613">
        <v>6.2034387232270905E-4</v>
      </c>
      <c r="S613">
        <v>1.3647565191099598E-2</v>
      </c>
      <c r="T613">
        <v>0</v>
      </c>
      <c r="U613">
        <v>0.10111605118860156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1.4888252935745016E-2</v>
      </c>
      <c r="AF613">
        <v>1.2406877446454181E-2</v>
      </c>
      <c r="AG613">
        <v>0</v>
      </c>
      <c r="AH613">
        <v>0</v>
      </c>
      <c r="AI613">
        <v>0</v>
      </c>
      <c r="AJ613">
        <v>1.8610316169681269E-3</v>
      </c>
      <c r="AK613">
        <v>0</v>
      </c>
      <c r="AL613">
        <v>0</v>
      </c>
      <c r="AM613">
        <v>0</v>
      </c>
      <c r="AN613">
        <v>6.2034387232270905E-4</v>
      </c>
      <c r="AO613" t="s">
        <v>19</v>
      </c>
      <c r="AT613" t="str">
        <f t="shared" si="18"/>
        <v>lcv</v>
      </c>
      <c r="AU613" t="str">
        <f t="shared" si="19"/>
        <v>nga</v>
      </c>
    </row>
    <row r="614" spans="1:47">
      <c r="A614" t="s">
        <v>17</v>
      </c>
      <c r="B614" t="s">
        <v>176</v>
      </c>
      <c r="C614" t="s">
        <v>189</v>
      </c>
      <c r="D614" t="s">
        <v>19</v>
      </c>
      <c r="E614" t="s">
        <v>19</v>
      </c>
      <c r="F614" t="s">
        <v>19</v>
      </c>
      <c r="G614" t="s">
        <v>182</v>
      </c>
      <c r="H614" t="s">
        <v>19</v>
      </c>
      <c r="I614" t="s">
        <v>19</v>
      </c>
      <c r="J614" t="s">
        <v>19</v>
      </c>
      <c r="K614" t="s">
        <v>19</v>
      </c>
      <c r="L614">
        <v>2.4813754892908362E-3</v>
      </c>
      <c r="M614">
        <v>0</v>
      </c>
      <c r="N614">
        <v>1.4267909063422308E-2</v>
      </c>
      <c r="O614">
        <v>3.6600288467039832E-2</v>
      </c>
      <c r="P614">
        <v>1.8610316169681269E-3</v>
      </c>
      <c r="Q614">
        <v>4.3424071062589638E-3</v>
      </c>
      <c r="R614">
        <v>6.2034387232270905E-4</v>
      </c>
      <c r="S614">
        <v>1.3647565191099598E-2</v>
      </c>
      <c r="T614">
        <v>0</v>
      </c>
      <c r="U614">
        <v>0.10111605118860156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1.4888252935745016E-2</v>
      </c>
      <c r="AF614">
        <v>1.2406877446454181E-2</v>
      </c>
      <c r="AG614">
        <v>0</v>
      </c>
      <c r="AH614">
        <v>0</v>
      </c>
      <c r="AI614">
        <v>0</v>
      </c>
      <c r="AJ614">
        <v>1.8610316169681269E-3</v>
      </c>
      <c r="AK614">
        <v>0</v>
      </c>
      <c r="AL614">
        <v>0</v>
      </c>
      <c r="AM614">
        <v>0</v>
      </c>
      <c r="AN614">
        <v>6.2034387232270905E-4</v>
      </c>
      <c r="AO614" t="s">
        <v>19</v>
      </c>
      <c r="AT614" t="str">
        <f t="shared" si="18"/>
        <v>lcv</v>
      </c>
      <c r="AU614" t="str">
        <f t="shared" si="19"/>
        <v>nga</v>
      </c>
    </row>
    <row r="615" spans="1:47">
      <c r="A615" t="s">
        <v>17</v>
      </c>
      <c r="B615" t="s">
        <v>176</v>
      </c>
      <c r="C615" t="s">
        <v>189</v>
      </c>
      <c r="D615" t="s">
        <v>19</v>
      </c>
      <c r="E615" t="s">
        <v>19</v>
      </c>
      <c r="F615" t="s">
        <v>19</v>
      </c>
      <c r="G615" t="s">
        <v>183</v>
      </c>
      <c r="H615" t="s">
        <v>19</v>
      </c>
      <c r="I615" t="s">
        <v>19</v>
      </c>
      <c r="J615" t="s">
        <v>19</v>
      </c>
      <c r="K615" t="s">
        <v>19</v>
      </c>
      <c r="L615">
        <v>2.4813754892908362E-3</v>
      </c>
      <c r="M615">
        <v>0</v>
      </c>
      <c r="N615">
        <v>1.4267909063422308E-2</v>
      </c>
      <c r="O615">
        <v>3.6600288467039832E-2</v>
      </c>
      <c r="P615">
        <v>1.8610316169681269E-3</v>
      </c>
      <c r="Q615">
        <v>4.3424071062589638E-3</v>
      </c>
      <c r="R615">
        <v>6.2034387232270905E-4</v>
      </c>
      <c r="S615">
        <v>1.3647565191099598E-2</v>
      </c>
      <c r="T615">
        <v>0</v>
      </c>
      <c r="U615">
        <v>0.10111605118860156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1.4888252935745016E-2</v>
      </c>
      <c r="AF615">
        <v>1.2406877446454181E-2</v>
      </c>
      <c r="AG615">
        <v>0</v>
      </c>
      <c r="AH615">
        <v>0</v>
      </c>
      <c r="AI615">
        <v>0</v>
      </c>
      <c r="AJ615">
        <v>1.8610316169681269E-3</v>
      </c>
      <c r="AK615">
        <v>0</v>
      </c>
      <c r="AL615">
        <v>0</v>
      </c>
      <c r="AM615">
        <v>0</v>
      </c>
      <c r="AN615">
        <v>6.2034387232270905E-4</v>
      </c>
      <c r="AO615" t="s">
        <v>19</v>
      </c>
      <c r="AT615" t="str">
        <f t="shared" si="18"/>
        <v>lcv</v>
      </c>
      <c r="AU615" t="str">
        <f t="shared" si="19"/>
        <v>nga</v>
      </c>
    </row>
    <row r="616" spans="1:47">
      <c r="A616" t="s">
        <v>17</v>
      </c>
      <c r="B616" t="s">
        <v>176</v>
      </c>
      <c r="C616" t="s">
        <v>189</v>
      </c>
      <c r="D616" t="s">
        <v>19</v>
      </c>
      <c r="E616" t="s">
        <v>19</v>
      </c>
      <c r="F616" t="s">
        <v>19</v>
      </c>
      <c r="G616" t="s">
        <v>184</v>
      </c>
      <c r="H616" t="s">
        <v>19</v>
      </c>
      <c r="I616" t="s">
        <v>19</v>
      </c>
      <c r="J616" t="s">
        <v>19</v>
      </c>
      <c r="K616" t="s">
        <v>19</v>
      </c>
      <c r="L616">
        <v>2.4813754892908362E-3</v>
      </c>
      <c r="M616">
        <v>0</v>
      </c>
      <c r="N616">
        <v>1.4267909063422308E-2</v>
      </c>
      <c r="O616">
        <v>3.6600288467039832E-2</v>
      </c>
      <c r="P616">
        <v>1.8610316169681269E-3</v>
      </c>
      <c r="Q616">
        <v>4.3424071062589638E-3</v>
      </c>
      <c r="R616">
        <v>6.2034387232270905E-4</v>
      </c>
      <c r="S616">
        <v>1.3647565191099598E-2</v>
      </c>
      <c r="T616">
        <v>0</v>
      </c>
      <c r="U616">
        <v>0.10111605118860156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1.4888252935745016E-2</v>
      </c>
      <c r="AF616">
        <v>1.2406877446454181E-2</v>
      </c>
      <c r="AG616">
        <v>0</v>
      </c>
      <c r="AH616">
        <v>0</v>
      </c>
      <c r="AI616">
        <v>0</v>
      </c>
      <c r="AJ616">
        <v>1.8610316169681269E-3</v>
      </c>
      <c r="AK616">
        <v>0</v>
      </c>
      <c r="AL616">
        <v>0</v>
      </c>
      <c r="AM616">
        <v>0</v>
      </c>
      <c r="AN616">
        <v>6.2034387232270905E-4</v>
      </c>
      <c r="AO616" t="s">
        <v>19</v>
      </c>
      <c r="AT616" t="str">
        <f t="shared" si="18"/>
        <v>lcv</v>
      </c>
      <c r="AU616" t="str">
        <f t="shared" si="19"/>
        <v>nga</v>
      </c>
    </row>
    <row r="617" spans="1:47">
      <c r="A617" t="s">
        <v>17</v>
      </c>
      <c r="B617" t="s">
        <v>176</v>
      </c>
      <c r="C617" t="s">
        <v>189</v>
      </c>
      <c r="D617" t="s">
        <v>19</v>
      </c>
      <c r="E617" t="s">
        <v>19</v>
      </c>
      <c r="F617" t="s">
        <v>19</v>
      </c>
      <c r="G617" t="s">
        <v>185</v>
      </c>
      <c r="H617" t="s">
        <v>19</v>
      </c>
      <c r="I617" t="s">
        <v>19</v>
      </c>
      <c r="J617" t="s">
        <v>19</v>
      </c>
      <c r="K617" t="s">
        <v>19</v>
      </c>
      <c r="L617">
        <v>2.4813754892908362E-3</v>
      </c>
      <c r="M617">
        <v>0</v>
      </c>
      <c r="N617">
        <v>1.4267909063422308E-2</v>
      </c>
      <c r="O617">
        <v>3.6600288467039832E-2</v>
      </c>
      <c r="P617">
        <v>1.8610316169681269E-3</v>
      </c>
      <c r="Q617">
        <v>4.3424071062589638E-3</v>
      </c>
      <c r="R617">
        <v>6.2034387232270905E-4</v>
      </c>
      <c r="S617">
        <v>1.3647565191099598E-2</v>
      </c>
      <c r="T617">
        <v>0</v>
      </c>
      <c r="U617">
        <v>0.10111605118860156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1.4888252935745016E-2</v>
      </c>
      <c r="AF617">
        <v>1.2406877446454181E-2</v>
      </c>
      <c r="AG617">
        <v>0</v>
      </c>
      <c r="AH617">
        <v>0</v>
      </c>
      <c r="AI617">
        <v>0</v>
      </c>
      <c r="AJ617">
        <v>1.8610316169681269E-3</v>
      </c>
      <c r="AK617">
        <v>0</v>
      </c>
      <c r="AL617">
        <v>0</v>
      </c>
      <c r="AM617">
        <v>0</v>
      </c>
      <c r="AN617">
        <v>6.2034387232270905E-4</v>
      </c>
      <c r="AO617" t="s">
        <v>19</v>
      </c>
      <c r="AT617" t="str">
        <f t="shared" si="18"/>
        <v>lcv</v>
      </c>
      <c r="AU617" t="str">
        <f t="shared" si="19"/>
        <v>nga</v>
      </c>
    </row>
    <row r="618" spans="1:47">
      <c r="A618" t="s">
        <v>17</v>
      </c>
      <c r="B618" t="s">
        <v>176</v>
      </c>
      <c r="C618" t="s">
        <v>189</v>
      </c>
      <c r="D618" t="s">
        <v>19</v>
      </c>
      <c r="E618" t="s">
        <v>19</v>
      </c>
      <c r="F618" t="s">
        <v>19</v>
      </c>
      <c r="G618" t="s">
        <v>186</v>
      </c>
      <c r="H618" t="s">
        <v>19</v>
      </c>
      <c r="I618" t="s">
        <v>19</v>
      </c>
      <c r="J618" t="s">
        <v>19</v>
      </c>
      <c r="K618" t="s">
        <v>19</v>
      </c>
      <c r="L618">
        <v>2.4813754892908362E-3</v>
      </c>
      <c r="M618">
        <v>0</v>
      </c>
      <c r="N618">
        <v>1.4267909063422308E-2</v>
      </c>
      <c r="O618">
        <v>3.6600288467039832E-2</v>
      </c>
      <c r="P618">
        <v>1.8610316169681269E-3</v>
      </c>
      <c r="Q618">
        <v>4.3424071062589638E-3</v>
      </c>
      <c r="R618">
        <v>6.2034387232270905E-4</v>
      </c>
      <c r="S618">
        <v>1.3647565191099598E-2</v>
      </c>
      <c r="T618">
        <v>0</v>
      </c>
      <c r="U618">
        <v>0.10111605118860156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1.4888252935745016E-2</v>
      </c>
      <c r="AF618">
        <v>1.2406877446454181E-2</v>
      </c>
      <c r="AG618">
        <v>0</v>
      </c>
      <c r="AH618">
        <v>0</v>
      </c>
      <c r="AI618">
        <v>0</v>
      </c>
      <c r="AJ618">
        <v>1.8610316169681269E-3</v>
      </c>
      <c r="AK618">
        <v>0</v>
      </c>
      <c r="AL618">
        <v>0</v>
      </c>
      <c r="AM618">
        <v>0</v>
      </c>
      <c r="AN618">
        <v>6.2034387232270905E-4</v>
      </c>
      <c r="AO618" t="s">
        <v>19</v>
      </c>
      <c r="AT618" t="str">
        <f t="shared" si="18"/>
        <v>lcv</v>
      </c>
      <c r="AU618" t="str">
        <f t="shared" si="19"/>
        <v>nga</v>
      </c>
    </row>
    <row r="619" spans="1:47">
      <c r="A619" t="s">
        <v>17</v>
      </c>
      <c r="B619" t="s">
        <v>176</v>
      </c>
      <c r="C619" t="s">
        <v>189</v>
      </c>
      <c r="D619" t="s">
        <v>19</v>
      </c>
      <c r="E619" t="s">
        <v>19</v>
      </c>
      <c r="F619" t="s">
        <v>19</v>
      </c>
      <c r="G619" t="s">
        <v>187</v>
      </c>
      <c r="H619" t="s">
        <v>19</v>
      </c>
      <c r="I619" t="s">
        <v>19</v>
      </c>
      <c r="J619" t="s">
        <v>19</v>
      </c>
      <c r="K619" t="s">
        <v>19</v>
      </c>
      <c r="L619">
        <v>2.4813754892908362E-3</v>
      </c>
      <c r="M619">
        <v>0</v>
      </c>
      <c r="N619">
        <v>1.4267909063422308E-2</v>
      </c>
      <c r="O619">
        <v>3.6600288467039832E-2</v>
      </c>
      <c r="P619">
        <v>1.8610316169681269E-3</v>
      </c>
      <c r="Q619">
        <v>4.3424071062589638E-3</v>
      </c>
      <c r="R619">
        <v>6.2034387232270905E-4</v>
      </c>
      <c r="S619">
        <v>1.3647565191099598E-2</v>
      </c>
      <c r="T619">
        <v>0</v>
      </c>
      <c r="U619">
        <v>0.10111605118860156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1.4888252935745016E-2</v>
      </c>
      <c r="AF619">
        <v>1.2406877446454181E-2</v>
      </c>
      <c r="AG619">
        <v>0</v>
      </c>
      <c r="AH619">
        <v>0</v>
      </c>
      <c r="AI619">
        <v>0</v>
      </c>
      <c r="AJ619">
        <v>1.8610316169681269E-3</v>
      </c>
      <c r="AK619">
        <v>0</v>
      </c>
      <c r="AL619">
        <v>0</v>
      </c>
      <c r="AM619">
        <v>0</v>
      </c>
      <c r="AN619">
        <v>6.2034387232270905E-4</v>
      </c>
      <c r="AO619" t="s">
        <v>19</v>
      </c>
      <c r="AT619" t="str">
        <f t="shared" si="18"/>
        <v>lcv</v>
      </c>
      <c r="AU619" t="str">
        <f t="shared" si="19"/>
        <v>nga</v>
      </c>
    </row>
    <row r="620" spans="1:47">
      <c r="A620" t="s">
        <v>17</v>
      </c>
      <c r="B620" t="s">
        <v>176</v>
      </c>
      <c r="C620" t="s">
        <v>189</v>
      </c>
      <c r="D620" t="s">
        <v>19</v>
      </c>
      <c r="E620" t="s">
        <v>19</v>
      </c>
      <c r="F620" t="s">
        <v>19</v>
      </c>
      <c r="G620" t="s">
        <v>188</v>
      </c>
      <c r="H620" t="s">
        <v>19</v>
      </c>
      <c r="I620" t="s">
        <v>19</v>
      </c>
      <c r="J620" t="s">
        <v>19</v>
      </c>
      <c r="K620" t="s">
        <v>19</v>
      </c>
      <c r="L620">
        <v>2.4813754892908362E-3</v>
      </c>
      <c r="M620">
        <v>0</v>
      </c>
      <c r="N620">
        <v>1.4267909063422308E-2</v>
      </c>
      <c r="O620">
        <v>3.6600288467039832E-2</v>
      </c>
      <c r="P620">
        <v>1.8610316169681269E-3</v>
      </c>
      <c r="Q620">
        <v>4.3424071062589638E-3</v>
      </c>
      <c r="R620">
        <v>6.2034387232270905E-4</v>
      </c>
      <c r="S620">
        <v>1.3647565191099598E-2</v>
      </c>
      <c r="T620">
        <v>0</v>
      </c>
      <c r="U620">
        <v>0.10111605118860156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1.4888252935745016E-2</v>
      </c>
      <c r="AF620">
        <v>1.2406877446454181E-2</v>
      </c>
      <c r="AG620">
        <v>0</v>
      </c>
      <c r="AH620">
        <v>0</v>
      </c>
      <c r="AI620">
        <v>0</v>
      </c>
      <c r="AJ620">
        <v>1.8610316169681269E-3</v>
      </c>
      <c r="AK620">
        <v>0</v>
      </c>
      <c r="AL620">
        <v>0</v>
      </c>
      <c r="AM620">
        <v>0</v>
      </c>
      <c r="AN620">
        <v>6.2034387232270905E-4</v>
      </c>
      <c r="AO620" t="s">
        <v>19</v>
      </c>
      <c r="AT620" t="str">
        <f t="shared" si="18"/>
        <v>lcv</v>
      </c>
      <c r="AU620" t="str">
        <f t="shared" si="19"/>
        <v>nga</v>
      </c>
    </row>
    <row r="621" spans="1:47">
      <c r="A621" t="s">
        <v>17</v>
      </c>
      <c r="B621" t="s">
        <v>176</v>
      </c>
      <c r="C621" t="s">
        <v>189</v>
      </c>
      <c r="D621" t="s">
        <v>19</v>
      </c>
      <c r="E621" t="s">
        <v>19</v>
      </c>
      <c r="F621" t="s">
        <v>19</v>
      </c>
      <c r="G621" t="s">
        <v>100</v>
      </c>
      <c r="H621" t="s">
        <v>19</v>
      </c>
      <c r="I621" t="s">
        <v>19</v>
      </c>
      <c r="J621" t="s">
        <v>19</v>
      </c>
      <c r="K621" t="s">
        <v>19</v>
      </c>
      <c r="L621">
        <v>2.4813754892908362E-3</v>
      </c>
      <c r="M621">
        <v>0</v>
      </c>
      <c r="N621">
        <v>1.4267909063422308E-2</v>
      </c>
      <c r="O621">
        <v>3.6600288467039832E-2</v>
      </c>
      <c r="P621">
        <v>1.8610316169681269E-3</v>
      </c>
      <c r="Q621">
        <v>4.3424071062589638E-3</v>
      </c>
      <c r="R621">
        <v>6.2034387232270905E-4</v>
      </c>
      <c r="S621">
        <v>1.3647565191099598E-2</v>
      </c>
      <c r="T621">
        <v>0</v>
      </c>
      <c r="U621">
        <v>0.10111605118860156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1.4888252935745016E-2</v>
      </c>
      <c r="AF621">
        <v>1.2406877446454181E-2</v>
      </c>
      <c r="AG621">
        <v>0</v>
      </c>
      <c r="AH621">
        <v>0</v>
      </c>
      <c r="AI621">
        <v>0</v>
      </c>
      <c r="AJ621">
        <v>1.8610316169681269E-3</v>
      </c>
      <c r="AK621">
        <v>0</v>
      </c>
      <c r="AL621">
        <v>0</v>
      </c>
      <c r="AM621">
        <v>0</v>
      </c>
      <c r="AN621">
        <v>6.2034387232270905E-4</v>
      </c>
      <c r="AO621" t="s">
        <v>19</v>
      </c>
      <c r="AT621" t="str">
        <f t="shared" si="18"/>
        <v>lcv</v>
      </c>
      <c r="AU621" t="str">
        <f t="shared" si="19"/>
        <v>nga</v>
      </c>
    </row>
    <row r="622" spans="1:47">
      <c r="AT622" t="str">
        <f t="shared" si="18"/>
        <v/>
      </c>
      <c r="AU622" t="str">
        <f t="shared" si="19"/>
        <v/>
      </c>
    </row>
    <row r="623" spans="1:47">
      <c r="AT623" t="str">
        <f t="shared" si="18"/>
        <v/>
      </c>
      <c r="AU623" t="str">
        <f t="shared" si="19"/>
        <v/>
      </c>
    </row>
    <row r="624" spans="1:47">
      <c r="AT624" t="str">
        <f t="shared" si="18"/>
        <v/>
      </c>
      <c r="AU624" t="str">
        <f t="shared" si="19"/>
        <v/>
      </c>
    </row>
    <row r="625" spans="46:47">
      <c r="AT625" t="str">
        <f t="shared" si="18"/>
        <v/>
      </c>
      <c r="AU625" t="str">
        <f t="shared" si="19"/>
        <v/>
      </c>
    </row>
    <row r="626" spans="46:47">
      <c r="AT626" t="str">
        <f t="shared" si="18"/>
        <v/>
      </c>
      <c r="AU626" t="str">
        <f t="shared" si="19"/>
        <v/>
      </c>
    </row>
    <row r="627" spans="46:47">
      <c r="AT627" t="str">
        <f t="shared" si="18"/>
        <v/>
      </c>
      <c r="AU627" t="str">
        <f t="shared" si="19"/>
        <v/>
      </c>
    </row>
    <row r="628" spans="46:47">
      <c r="AT628" t="str">
        <f t="shared" si="18"/>
        <v/>
      </c>
      <c r="AU628" t="str">
        <f t="shared" si="19"/>
        <v/>
      </c>
    </row>
    <row r="629" spans="46:47">
      <c r="AT629" t="str">
        <f t="shared" si="18"/>
        <v/>
      </c>
      <c r="AU629" t="str">
        <f t="shared" si="19"/>
        <v/>
      </c>
    </row>
    <row r="630" spans="46:47">
      <c r="AT630" t="str">
        <f t="shared" si="18"/>
        <v/>
      </c>
      <c r="AU630" t="str">
        <f t="shared" si="19"/>
        <v/>
      </c>
    </row>
    <row r="631" spans="46:47">
      <c r="AT631" t="str">
        <f t="shared" si="18"/>
        <v/>
      </c>
      <c r="AU631" t="str">
        <f t="shared" si="19"/>
        <v/>
      </c>
    </row>
    <row r="632" spans="46:47">
      <c r="AT632" t="str">
        <f t="shared" si="18"/>
        <v/>
      </c>
      <c r="AU632" t="str">
        <f t="shared" si="19"/>
        <v/>
      </c>
    </row>
    <row r="633" spans="46:47">
      <c r="AT633" t="str">
        <f t="shared" si="18"/>
        <v/>
      </c>
      <c r="AU633" t="str">
        <f t="shared" si="19"/>
        <v/>
      </c>
    </row>
    <row r="634" spans="46:47">
      <c r="AT634" t="str">
        <f t="shared" si="18"/>
        <v/>
      </c>
      <c r="AU634" t="str">
        <f t="shared" si="19"/>
        <v/>
      </c>
    </row>
    <row r="635" spans="46:47">
      <c r="AT635" t="str">
        <f t="shared" si="18"/>
        <v/>
      </c>
      <c r="AU635" t="str">
        <f t="shared" si="19"/>
        <v/>
      </c>
    </row>
    <row r="636" spans="46:47">
      <c r="AT636" t="str">
        <f t="shared" si="18"/>
        <v/>
      </c>
      <c r="AU636" t="str">
        <f t="shared" si="19"/>
        <v/>
      </c>
    </row>
    <row r="637" spans="46:47">
      <c r="AT637" t="str">
        <f t="shared" si="18"/>
        <v/>
      </c>
      <c r="AU637" t="str">
        <f t="shared" si="19"/>
        <v/>
      </c>
    </row>
    <row r="638" spans="46:47">
      <c r="AT638" t="str">
        <f t="shared" si="18"/>
        <v/>
      </c>
      <c r="AU638" t="str">
        <f t="shared" si="19"/>
        <v/>
      </c>
    </row>
    <row r="639" spans="46:47">
      <c r="AT639" t="str">
        <f t="shared" si="18"/>
        <v/>
      </c>
      <c r="AU639" t="str">
        <f t="shared" si="19"/>
        <v/>
      </c>
    </row>
    <row r="640" spans="46:47">
      <c r="AT640" t="str">
        <f t="shared" si="18"/>
        <v/>
      </c>
      <c r="AU640" t="str">
        <f t="shared" si="19"/>
        <v/>
      </c>
    </row>
    <row r="641" spans="46:47">
      <c r="AT641" t="str">
        <f t="shared" si="18"/>
        <v/>
      </c>
      <c r="AU641" t="str">
        <f t="shared" si="19"/>
        <v/>
      </c>
    </row>
    <row r="642" spans="46:47">
      <c r="AT642" t="str">
        <f t="shared" si="18"/>
        <v/>
      </c>
      <c r="AU642" t="str">
        <f t="shared" si="19"/>
        <v/>
      </c>
    </row>
    <row r="643" spans="46:47">
      <c r="AT643" t="str">
        <f t="shared" ref="AT643:AT652" si="20">MID(C643,5,3)</f>
        <v/>
      </c>
      <c r="AU643" t="str">
        <f t="shared" ref="AU643:AU652" si="21">RIGHT(C643,3)</f>
        <v/>
      </c>
    </row>
    <row r="644" spans="46:47">
      <c r="AT644" t="str">
        <f t="shared" si="20"/>
        <v/>
      </c>
      <c r="AU644" t="str">
        <f t="shared" si="21"/>
        <v/>
      </c>
    </row>
    <row r="645" spans="46:47">
      <c r="AT645" t="str">
        <f t="shared" si="20"/>
        <v/>
      </c>
      <c r="AU645" t="str">
        <f t="shared" si="21"/>
        <v/>
      </c>
    </row>
    <row r="646" spans="46:47">
      <c r="AT646" t="str">
        <f t="shared" si="20"/>
        <v/>
      </c>
      <c r="AU646" t="str">
        <f t="shared" si="21"/>
        <v/>
      </c>
    </row>
    <row r="647" spans="46:47">
      <c r="AT647" t="str">
        <f t="shared" si="20"/>
        <v/>
      </c>
      <c r="AU647" t="str">
        <f t="shared" si="21"/>
        <v/>
      </c>
    </row>
    <row r="648" spans="46:47">
      <c r="AT648" t="str">
        <f t="shared" si="20"/>
        <v/>
      </c>
      <c r="AU648" t="str">
        <f t="shared" si="21"/>
        <v/>
      </c>
    </row>
    <row r="649" spans="46:47">
      <c r="AT649" t="str">
        <f t="shared" si="20"/>
        <v/>
      </c>
      <c r="AU649" t="str">
        <f t="shared" si="21"/>
        <v/>
      </c>
    </row>
    <row r="650" spans="46:47">
      <c r="AT650" t="str">
        <f t="shared" si="20"/>
        <v/>
      </c>
      <c r="AU650" t="str">
        <f t="shared" si="21"/>
        <v/>
      </c>
    </row>
    <row r="651" spans="46:47">
      <c r="AT651" t="str">
        <f t="shared" si="20"/>
        <v/>
      </c>
      <c r="AU651" t="str">
        <f t="shared" si="21"/>
        <v/>
      </c>
    </row>
    <row r="652" spans="46:47">
      <c r="AT652" t="str">
        <f t="shared" si="20"/>
        <v/>
      </c>
      <c r="AU652" t="str">
        <f t="shared" si="21"/>
        <v/>
      </c>
    </row>
    <row r="653" spans="46:47">
      <c r="AT653" t="str">
        <f t="shared" ref="AT653:AT716" si="22">MID(C653,5,3)</f>
        <v/>
      </c>
      <c r="AU653" t="str">
        <f t="shared" ref="AU653:AU716" si="23">RIGHT(C653,3)</f>
        <v/>
      </c>
    </row>
    <row r="654" spans="46:47">
      <c r="AT654" t="str">
        <f t="shared" si="22"/>
        <v/>
      </c>
      <c r="AU654" t="str">
        <f t="shared" si="23"/>
        <v/>
      </c>
    </row>
    <row r="655" spans="46:47">
      <c r="AT655" t="str">
        <f t="shared" si="22"/>
        <v/>
      </c>
      <c r="AU655" t="str">
        <f t="shared" si="23"/>
        <v/>
      </c>
    </row>
    <row r="656" spans="46:47">
      <c r="AT656" t="str">
        <f t="shared" si="22"/>
        <v/>
      </c>
      <c r="AU656" t="str">
        <f t="shared" si="23"/>
        <v/>
      </c>
    </row>
    <row r="657" spans="46:47">
      <c r="AT657" t="str">
        <f t="shared" si="22"/>
        <v/>
      </c>
      <c r="AU657" t="str">
        <f t="shared" si="23"/>
        <v/>
      </c>
    </row>
    <row r="658" spans="46:47">
      <c r="AT658" t="str">
        <f t="shared" si="22"/>
        <v/>
      </c>
      <c r="AU658" t="str">
        <f t="shared" si="23"/>
        <v/>
      </c>
    </row>
    <row r="659" spans="46:47">
      <c r="AT659" t="str">
        <f t="shared" si="22"/>
        <v/>
      </c>
      <c r="AU659" t="str">
        <f t="shared" si="23"/>
        <v/>
      </c>
    </row>
    <row r="660" spans="46:47">
      <c r="AT660" t="str">
        <f t="shared" si="22"/>
        <v/>
      </c>
      <c r="AU660" t="str">
        <f t="shared" si="23"/>
        <v/>
      </c>
    </row>
    <row r="661" spans="46:47">
      <c r="AT661" t="str">
        <f t="shared" si="22"/>
        <v/>
      </c>
      <c r="AU661" t="str">
        <f t="shared" si="23"/>
        <v/>
      </c>
    </row>
    <row r="662" spans="46:47">
      <c r="AT662" t="str">
        <f t="shared" si="22"/>
        <v/>
      </c>
      <c r="AU662" t="str">
        <f t="shared" si="23"/>
        <v/>
      </c>
    </row>
    <row r="663" spans="46:47">
      <c r="AT663" t="str">
        <f t="shared" si="22"/>
        <v/>
      </c>
      <c r="AU663" t="str">
        <f t="shared" si="23"/>
        <v/>
      </c>
    </row>
    <row r="664" spans="46:47">
      <c r="AT664" t="str">
        <f t="shared" si="22"/>
        <v/>
      </c>
      <c r="AU664" t="str">
        <f t="shared" si="23"/>
        <v/>
      </c>
    </row>
    <row r="665" spans="46:47">
      <c r="AT665" t="str">
        <f t="shared" si="22"/>
        <v/>
      </c>
      <c r="AU665" t="str">
        <f t="shared" si="23"/>
        <v/>
      </c>
    </row>
    <row r="666" spans="46:47">
      <c r="AT666" t="str">
        <f t="shared" si="22"/>
        <v/>
      </c>
      <c r="AU666" t="str">
        <f t="shared" si="23"/>
        <v/>
      </c>
    </row>
    <row r="667" spans="46:47">
      <c r="AT667" t="str">
        <f t="shared" si="22"/>
        <v/>
      </c>
      <c r="AU667" t="str">
        <f t="shared" si="23"/>
        <v/>
      </c>
    </row>
    <row r="668" spans="46:47">
      <c r="AT668" t="str">
        <f t="shared" si="22"/>
        <v/>
      </c>
      <c r="AU668" t="str">
        <f t="shared" si="23"/>
        <v/>
      </c>
    </row>
    <row r="669" spans="46:47">
      <c r="AT669" t="str">
        <f t="shared" si="22"/>
        <v/>
      </c>
      <c r="AU669" t="str">
        <f t="shared" si="23"/>
        <v/>
      </c>
    </row>
    <row r="670" spans="46:47">
      <c r="AT670" t="str">
        <f t="shared" si="22"/>
        <v/>
      </c>
      <c r="AU670" t="str">
        <f t="shared" si="23"/>
        <v/>
      </c>
    </row>
    <row r="671" spans="46:47">
      <c r="AT671" t="str">
        <f t="shared" si="22"/>
        <v/>
      </c>
      <c r="AU671" t="str">
        <f t="shared" si="23"/>
        <v/>
      </c>
    </row>
    <row r="672" spans="46:47">
      <c r="AT672" t="str">
        <f t="shared" si="22"/>
        <v/>
      </c>
      <c r="AU672" t="str">
        <f t="shared" si="23"/>
        <v/>
      </c>
    </row>
    <row r="673" spans="46:47">
      <c r="AT673" t="str">
        <f t="shared" si="22"/>
        <v/>
      </c>
      <c r="AU673" t="str">
        <f t="shared" si="23"/>
        <v/>
      </c>
    </row>
    <row r="674" spans="46:47">
      <c r="AT674" t="str">
        <f t="shared" si="22"/>
        <v/>
      </c>
      <c r="AU674" t="str">
        <f t="shared" si="23"/>
        <v/>
      </c>
    </row>
    <row r="675" spans="46:47">
      <c r="AT675" t="str">
        <f t="shared" si="22"/>
        <v/>
      </c>
      <c r="AU675" t="str">
        <f t="shared" si="23"/>
        <v/>
      </c>
    </row>
    <row r="676" spans="46:47">
      <c r="AT676" t="str">
        <f t="shared" si="22"/>
        <v/>
      </c>
      <c r="AU676" t="str">
        <f t="shared" si="23"/>
        <v/>
      </c>
    </row>
    <row r="677" spans="46:47">
      <c r="AT677" t="str">
        <f t="shared" si="22"/>
        <v/>
      </c>
      <c r="AU677" t="str">
        <f t="shared" si="23"/>
        <v/>
      </c>
    </row>
    <row r="678" spans="46:47">
      <c r="AT678" t="str">
        <f t="shared" si="22"/>
        <v/>
      </c>
      <c r="AU678" t="str">
        <f t="shared" si="23"/>
        <v/>
      </c>
    </row>
    <row r="679" spans="46:47">
      <c r="AT679" t="str">
        <f t="shared" si="22"/>
        <v/>
      </c>
      <c r="AU679" t="str">
        <f t="shared" si="23"/>
        <v/>
      </c>
    </row>
    <row r="680" spans="46:47">
      <c r="AT680" t="str">
        <f t="shared" si="22"/>
        <v/>
      </c>
      <c r="AU680" t="str">
        <f t="shared" si="23"/>
        <v/>
      </c>
    </row>
    <row r="681" spans="46:47">
      <c r="AT681" t="str">
        <f t="shared" si="22"/>
        <v/>
      </c>
      <c r="AU681" t="str">
        <f t="shared" si="23"/>
        <v/>
      </c>
    </row>
    <row r="682" spans="46:47">
      <c r="AT682" t="str">
        <f t="shared" si="22"/>
        <v/>
      </c>
      <c r="AU682" t="str">
        <f t="shared" si="23"/>
        <v/>
      </c>
    </row>
    <row r="683" spans="46:47">
      <c r="AT683" t="str">
        <f t="shared" si="22"/>
        <v/>
      </c>
      <c r="AU683" t="str">
        <f t="shared" si="23"/>
        <v/>
      </c>
    </row>
    <row r="684" spans="46:47">
      <c r="AT684" t="str">
        <f t="shared" si="22"/>
        <v/>
      </c>
      <c r="AU684" t="str">
        <f t="shared" si="23"/>
        <v/>
      </c>
    </row>
    <row r="685" spans="46:47">
      <c r="AT685" t="str">
        <f t="shared" si="22"/>
        <v/>
      </c>
      <c r="AU685" t="str">
        <f t="shared" si="23"/>
        <v/>
      </c>
    </row>
    <row r="686" spans="46:47">
      <c r="AT686" t="str">
        <f t="shared" si="22"/>
        <v/>
      </c>
      <c r="AU686" t="str">
        <f t="shared" si="23"/>
        <v/>
      </c>
    </row>
    <row r="687" spans="46:47">
      <c r="AT687" t="str">
        <f t="shared" si="22"/>
        <v/>
      </c>
      <c r="AU687" t="str">
        <f t="shared" si="23"/>
        <v/>
      </c>
    </row>
    <row r="688" spans="46:47">
      <c r="AT688" t="str">
        <f t="shared" si="22"/>
        <v/>
      </c>
      <c r="AU688" t="str">
        <f t="shared" si="23"/>
        <v/>
      </c>
    </row>
    <row r="689" spans="46:47">
      <c r="AT689" t="str">
        <f t="shared" si="22"/>
        <v/>
      </c>
      <c r="AU689" t="str">
        <f t="shared" si="23"/>
        <v/>
      </c>
    </row>
    <row r="690" spans="46:47">
      <c r="AT690" t="str">
        <f t="shared" si="22"/>
        <v/>
      </c>
      <c r="AU690" t="str">
        <f t="shared" si="23"/>
        <v/>
      </c>
    </row>
    <row r="691" spans="46:47">
      <c r="AT691" t="str">
        <f t="shared" si="22"/>
        <v/>
      </c>
      <c r="AU691" t="str">
        <f t="shared" si="23"/>
        <v/>
      </c>
    </row>
    <row r="692" spans="46:47">
      <c r="AT692" t="str">
        <f t="shared" si="22"/>
        <v/>
      </c>
      <c r="AU692" t="str">
        <f t="shared" si="23"/>
        <v/>
      </c>
    </row>
    <row r="693" spans="46:47">
      <c r="AT693" t="str">
        <f t="shared" si="22"/>
        <v/>
      </c>
      <c r="AU693" t="str">
        <f t="shared" si="23"/>
        <v/>
      </c>
    </row>
    <row r="694" spans="46:47">
      <c r="AT694" t="str">
        <f t="shared" si="22"/>
        <v/>
      </c>
      <c r="AU694" t="str">
        <f t="shared" si="23"/>
        <v/>
      </c>
    </row>
    <row r="695" spans="46:47">
      <c r="AT695" t="str">
        <f t="shared" si="22"/>
        <v/>
      </c>
      <c r="AU695" t="str">
        <f t="shared" si="23"/>
        <v/>
      </c>
    </row>
    <row r="696" spans="46:47">
      <c r="AT696" t="str">
        <f t="shared" si="22"/>
        <v/>
      </c>
      <c r="AU696" t="str">
        <f t="shared" si="23"/>
        <v/>
      </c>
    </row>
    <row r="697" spans="46:47">
      <c r="AT697" t="str">
        <f t="shared" si="22"/>
        <v/>
      </c>
      <c r="AU697" t="str">
        <f t="shared" si="23"/>
        <v/>
      </c>
    </row>
    <row r="698" spans="46:47">
      <c r="AT698" t="str">
        <f t="shared" si="22"/>
        <v/>
      </c>
      <c r="AU698" t="str">
        <f t="shared" si="23"/>
        <v/>
      </c>
    </row>
    <row r="699" spans="46:47">
      <c r="AT699" t="str">
        <f t="shared" si="22"/>
        <v/>
      </c>
      <c r="AU699" t="str">
        <f t="shared" si="23"/>
        <v/>
      </c>
    </row>
    <row r="700" spans="46:47">
      <c r="AT700" t="str">
        <f t="shared" si="22"/>
        <v/>
      </c>
      <c r="AU700" t="str">
        <f t="shared" si="23"/>
        <v/>
      </c>
    </row>
    <row r="701" spans="46:47">
      <c r="AT701" t="str">
        <f t="shared" si="22"/>
        <v/>
      </c>
      <c r="AU701" t="str">
        <f t="shared" si="23"/>
        <v/>
      </c>
    </row>
    <row r="702" spans="46:47">
      <c r="AT702" t="str">
        <f t="shared" si="22"/>
        <v/>
      </c>
      <c r="AU702" t="str">
        <f t="shared" si="23"/>
        <v/>
      </c>
    </row>
    <row r="703" spans="46:47">
      <c r="AT703" t="str">
        <f t="shared" si="22"/>
        <v/>
      </c>
      <c r="AU703" t="str">
        <f t="shared" si="23"/>
        <v/>
      </c>
    </row>
    <row r="704" spans="46:47">
      <c r="AT704" t="str">
        <f t="shared" si="22"/>
        <v/>
      </c>
      <c r="AU704" t="str">
        <f t="shared" si="23"/>
        <v/>
      </c>
    </row>
    <row r="705" spans="46:47">
      <c r="AT705" t="str">
        <f t="shared" si="22"/>
        <v/>
      </c>
      <c r="AU705" t="str">
        <f t="shared" si="23"/>
        <v/>
      </c>
    </row>
    <row r="706" spans="46:47">
      <c r="AT706" t="str">
        <f t="shared" si="22"/>
        <v/>
      </c>
      <c r="AU706" t="str">
        <f t="shared" si="23"/>
        <v/>
      </c>
    </row>
    <row r="707" spans="46:47">
      <c r="AT707" t="str">
        <f t="shared" si="22"/>
        <v/>
      </c>
      <c r="AU707" t="str">
        <f t="shared" si="23"/>
        <v/>
      </c>
    </row>
    <row r="708" spans="46:47">
      <c r="AT708" t="str">
        <f t="shared" si="22"/>
        <v/>
      </c>
      <c r="AU708" t="str">
        <f t="shared" si="23"/>
        <v/>
      </c>
    </row>
    <row r="709" spans="46:47">
      <c r="AT709" t="str">
        <f t="shared" si="22"/>
        <v/>
      </c>
      <c r="AU709" t="str">
        <f t="shared" si="23"/>
        <v/>
      </c>
    </row>
    <row r="710" spans="46:47">
      <c r="AT710" t="str">
        <f t="shared" si="22"/>
        <v/>
      </c>
      <c r="AU710" t="str">
        <f t="shared" si="23"/>
        <v/>
      </c>
    </row>
    <row r="711" spans="46:47">
      <c r="AT711" t="str">
        <f t="shared" si="22"/>
        <v/>
      </c>
      <c r="AU711" t="str">
        <f t="shared" si="23"/>
        <v/>
      </c>
    </row>
    <row r="712" spans="46:47">
      <c r="AT712" t="str">
        <f t="shared" si="22"/>
        <v/>
      </c>
      <c r="AU712" t="str">
        <f t="shared" si="23"/>
        <v/>
      </c>
    </row>
    <row r="713" spans="46:47">
      <c r="AT713" t="str">
        <f t="shared" si="22"/>
        <v/>
      </c>
      <c r="AU713" t="str">
        <f t="shared" si="23"/>
        <v/>
      </c>
    </row>
    <row r="714" spans="46:47">
      <c r="AT714" t="str">
        <f t="shared" si="22"/>
        <v/>
      </c>
      <c r="AU714" t="str">
        <f t="shared" si="23"/>
        <v/>
      </c>
    </row>
    <row r="715" spans="46:47">
      <c r="AT715" t="str">
        <f t="shared" si="22"/>
        <v/>
      </c>
      <c r="AU715" t="str">
        <f t="shared" si="23"/>
        <v/>
      </c>
    </row>
    <row r="716" spans="46:47">
      <c r="AT716" t="str">
        <f t="shared" si="22"/>
        <v/>
      </c>
      <c r="AU716" t="str">
        <f t="shared" si="23"/>
        <v/>
      </c>
    </row>
    <row r="717" spans="46:47">
      <c r="AT717" t="str">
        <f t="shared" ref="AT717:AT780" si="24">MID(C717,5,3)</f>
        <v/>
      </c>
      <c r="AU717" t="str">
        <f t="shared" ref="AU717:AU780" si="25">RIGHT(C717,3)</f>
        <v/>
      </c>
    </row>
    <row r="718" spans="46:47">
      <c r="AT718" t="str">
        <f t="shared" si="24"/>
        <v/>
      </c>
      <c r="AU718" t="str">
        <f t="shared" si="25"/>
        <v/>
      </c>
    </row>
    <row r="719" spans="46:47">
      <c r="AT719" t="str">
        <f t="shared" si="24"/>
        <v/>
      </c>
      <c r="AU719" t="str">
        <f t="shared" si="25"/>
        <v/>
      </c>
    </row>
    <row r="720" spans="46:47">
      <c r="AT720" t="str">
        <f t="shared" si="24"/>
        <v/>
      </c>
      <c r="AU720" t="str">
        <f t="shared" si="25"/>
        <v/>
      </c>
    </row>
    <row r="721" spans="46:47">
      <c r="AT721" t="str">
        <f t="shared" si="24"/>
        <v/>
      </c>
      <c r="AU721" t="str">
        <f t="shared" si="25"/>
        <v/>
      </c>
    </row>
    <row r="722" spans="46:47">
      <c r="AT722" t="str">
        <f t="shared" si="24"/>
        <v/>
      </c>
      <c r="AU722" t="str">
        <f t="shared" si="25"/>
        <v/>
      </c>
    </row>
    <row r="723" spans="46:47">
      <c r="AT723" t="str">
        <f t="shared" si="24"/>
        <v/>
      </c>
      <c r="AU723" t="str">
        <f t="shared" si="25"/>
        <v/>
      </c>
    </row>
    <row r="724" spans="46:47">
      <c r="AT724" t="str">
        <f t="shared" si="24"/>
        <v/>
      </c>
      <c r="AU724" t="str">
        <f t="shared" si="25"/>
        <v/>
      </c>
    </row>
    <row r="725" spans="46:47">
      <c r="AT725" t="str">
        <f t="shared" si="24"/>
        <v/>
      </c>
      <c r="AU725" t="str">
        <f t="shared" si="25"/>
        <v/>
      </c>
    </row>
    <row r="726" spans="46:47">
      <c r="AT726" t="str">
        <f t="shared" si="24"/>
        <v/>
      </c>
      <c r="AU726" t="str">
        <f t="shared" si="25"/>
        <v/>
      </c>
    </row>
    <row r="727" spans="46:47">
      <c r="AT727" t="str">
        <f t="shared" si="24"/>
        <v/>
      </c>
      <c r="AU727" t="str">
        <f t="shared" si="25"/>
        <v/>
      </c>
    </row>
    <row r="728" spans="46:47">
      <c r="AT728" t="str">
        <f t="shared" si="24"/>
        <v/>
      </c>
      <c r="AU728" t="str">
        <f t="shared" si="25"/>
        <v/>
      </c>
    </row>
    <row r="729" spans="46:47">
      <c r="AT729" t="str">
        <f t="shared" si="24"/>
        <v/>
      </c>
      <c r="AU729" t="str">
        <f t="shared" si="25"/>
        <v/>
      </c>
    </row>
    <row r="730" spans="46:47">
      <c r="AT730" t="str">
        <f t="shared" si="24"/>
        <v/>
      </c>
      <c r="AU730" t="str">
        <f t="shared" si="25"/>
        <v/>
      </c>
    </row>
    <row r="731" spans="46:47">
      <c r="AT731" t="str">
        <f t="shared" si="24"/>
        <v/>
      </c>
      <c r="AU731" t="str">
        <f t="shared" si="25"/>
        <v/>
      </c>
    </row>
    <row r="732" spans="46:47">
      <c r="AT732" t="str">
        <f t="shared" si="24"/>
        <v/>
      </c>
      <c r="AU732" t="str">
        <f t="shared" si="25"/>
        <v/>
      </c>
    </row>
    <row r="733" spans="46:47">
      <c r="AT733" t="str">
        <f t="shared" si="24"/>
        <v/>
      </c>
      <c r="AU733" t="str">
        <f t="shared" si="25"/>
        <v/>
      </c>
    </row>
    <row r="734" spans="46:47">
      <c r="AT734" t="str">
        <f t="shared" si="24"/>
        <v/>
      </c>
      <c r="AU734" t="str">
        <f t="shared" si="25"/>
        <v/>
      </c>
    </row>
    <row r="735" spans="46:47">
      <c r="AT735" t="str">
        <f t="shared" si="24"/>
        <v/>
      </c>
      <c r="AU735" t="str">
        <f t="shared" si="25"/>
        <v/>
      </c>
    </row>
    <row r="736" spans="46:47">
      <c r="AT736" t="str">
        <f t="shared" si="24"/>
        <v/>
      </c>
      <c r="AU736" t="str">
        <f t="shared" si="25"/>
        <v/>
      </c>
    </row>
    <row r="737" spans="46:47">
      <c r="AT737" t="str">
        <f t="shared" si="24"/>
        <v/>
      </c>
      <c r="AU737" t="str">
        <f t="shared" si="25"/>
        <v/>
      </c>
    </row>
    <row r="738" spans="46:47">
      <c r="AT738" t="str">
        <f t="shared" si="24"/>
        <v/>
      </c>
      <c r="AU738" t="str">
        <f t="shared" si="25"/>
        <v/>
      </c>
    </row>
    <row r="739" spans="46:47">
      <c r="AT739" t="str">
        <f t="shared" si="24"/>
        <v/>
      </c>
      <c r="AU739" t="str">
        <f t="shared" si="25"/>
        <v/>
      </c>
    </row>
    <row r="740" spans="46:47">
      <c r="AT740" t="str">
        <f t="shared" si="24"/>
        <v/>
      </c>
      <c r="AU740" t="str">
        <f t="shared" si="25"/>
        <v/>
      </c>
    </row>
    <row r="741" spans="46:47">
      <c r="AT741" t="str">
        <f t="shared" si="24"/>
        <v/>
      </c>
      <c r="AU741" t="str">
        <f t="shared" si="25"/>
        <v/>
      </c>
    </row>
    <row r="742" spans="46:47">
      <c r="AT742" t="str">
        <f t="shared" si="24"/>
        <v/>
      </c>
      <c r="AU742" t="str">
        <f t="shared" si="25"/>
        <v/>
      </c>
    </row>
    <row r="743" spans="46:47">
      <c r="AT743" t="str">
        <f t="shared" si="24"/>
        <v/>
      </c>
      <c r="AU743" t="str">
        <f t="shared" si="25"/>
        <v/>
      </c>
    </row>
    <row r="744" spans="46:47">
      <c r="AT744" t="str">
        <f t="shared" si="24"/>
        <v/>
      </c>
      <c r="AU744" t="str">
        <f t="shared" si="25"/>
        <v/>
      </c>
    </row>
    <row r="745" spans="46:47">
      <c r="AT745" t="str">
        <f t="shared" si="24"/>
        <v/>
      </c>
      <c r="AU745" t="str">
        <f t="shared" si="25"/>
        <v/>
      </c>
    </row>
    <row r="746" spans="46:47">
      <c r="AT746" t="str">
        <f t="shared" si="24"/>
        <v/>
      </c>
      <c r="AU746" t="str">
        <f t="shared" si="25"/>
        <v/>
      </c>
    </row>
    <row r="747" spans="46:47">
      <c r="AT747" t="str">
        <f t="shared" si="24"/>
        <v/>
      </c>
      <c r="AU747" t="str">
        <f t="shared" si="25"/>
        <v/>
      </c>
    </row>
    <row r="748" spans="46:47">
      <c r="AT748" t="str">
        <f t="shared" si="24"/>
        <v/>
      </c>
      <c r="AU748" t="str">
        <f t="shared" si="25"/>
        <v/>
      </c>
    </row>
    <row r="749" spans="46:47">
      <c r="AT749" t="str">
        <f t="shared" si="24"/>
        <v/>
      </c>
      <c r="AU749" t="str">
        <f t="shared" si="25"/>
        <v/>
      </c>
    </row>
    <row r="750" spans="46:47">
      <c r="AT750" t="str">
        <f t="shared" si="24"/>
        <v/>
      </c>
      <c r="AU750" t="str">
        <f t="shared" si="25"/>
        <v/>
      </c>
    </row>
    <row r="751" spans="46:47">
      <c r="AT751" t="str">
        <f t="shared" si="24"/>
        <v/>
      </c>
      <c r="AU751" t="str">
        <f t="shared" si="25"/>
        <v/>
      </c>
    </row>
    <row r="752" spans="46:47">
      <c r="AT752" t="str">
        <f t="shared" si="24"/>
        <v/>
      </c>
      <c r="AU752" t="str">
        <f t="shared" si="25"/>
        <v/>
      </c>
    </row>
    <row r="753" spans="46:47">
      <c r="AT753" t="str">
        <f t="shared" si="24"/>
        <v/>
      </c>
      <c r="AU753" t="str">
        <f t="shared" si="25"/>
        <v/>
      </c>
    </row>
    <row r="754" spans="46:47">
      <c r="AT754" t="str">
        <f t="shared" si="24"/>
        <v/>
      </c>
      <c r="AU754" t="str">
        <f t="shared" si="25"/>
        <v/>
      </c>
    </row>
    <row r="755" spans="46:47">
      <c r="AT755" t="str">
        <f t="shared" si="24"/>
        <v/>
      </c>
      <c r="AU755" t="str">
        <f t="shared" si="25"/>
        <v/>
      </c>
    </row>
    <row r="756" spans="46:47">
      <c r="AT756" t="str">
        <f t="shared" si="24"/>
        <v/>
      </c>
      <c r="AU756" t="str">
        <f t="shared" si="25"/>
        <v/>
      </c>
    </row>
    <row r="757" spans="46:47">
      <c r="AT757" t="str">
        <f t="shared" si="24"/>
        <v/>
      </c>
      <c r="AU757" t="str">
        <f t="shared" si="25"/>
        <v/>
      </c>
    </row>
    <row r="758" spans="46:47">
      <c r="AT758" t="str">
        <f t="shared" si="24"/>
        <v/>
      </c>
      <c r="AU758" t="str">
        <f t="shared" si="25"/>
        <v/>
      </c>
    </row>
    <row r="759" spans="46:47">
      <c r="AT759" t="str">
        <f t="shared" si="24"/>
        <v/>
      </c>
      <c r="AU759" t="str">
        <f t="shared" si="25"/>
        <v/>
      </c>
    </row>
    <row r="760" spans="46:47">
      <c r="AT760" t="str">
        <f t="shared" si="24"/>
        <v/>
      </c>
      <c r="AU760" t="str">
        <f t="shared" si="25"/>
        <v/>
      </c>
    </row>
    <row r="761" spans="46:47">
      <c r="AT761" t="str">
        <f t="shared" si="24"/>
        <v/>
      </c>
      <c r="AU761" t="str">
        <f t="shared" si="25"/>
        <v/>
      </c>
    </row>
    <row r="762" spans="46:47">
      <c r="AT762" t="str">
        <f t="shared" si="24"/>
        <v/>
      </c>
      <c r="AU762" t="str">
        <f t="shared" si="25"/>
        <v/>
      </c>
    </row>
    <row r="763" spans="46:47">
      <c r="AT763" t="str">
        <f t="shared" si="24"/>
        <v/>
      </c>
      <c r="AU763" t="str">
        <f t="shared" si="25"/>
        <v/>
      </c>
    </row>
    <row r="764" spans="46:47">
      <c r="AT764" t="str">
        <f t="shared" si="24"/>
        <v/>
      </c>
      <c r="AU764" t="str">
        <f t="shared" si="25"/>
        <v/>
      </c>
    </row>
    <row r="765" spans="46:47">
      <c r="AT765" t="str">
        <f t="shared" si="24"/>
        <v/>
      </c>
      <c r="AU765" t="str">
        <f t="shared" si="25"/>
        <v/>
      </c>
    </row>
    <row r="766" spans="46:47">
      <c r="AT766" t="str">
        <f t="shared" si="24"/>
        <v/>
      </c>
      <c r="AU766" t="str">
        <f t="shared" si="25"/>
        <v/>
      </c>
    </row>
    <row r="767" spans="46:47">
      <c r="AT767" t="str">
        <f t="shared" si="24"/>
        <v/>
      </c>
      <c r="AU767" t="str">
        <f t="shared" si="25"/>
        <v/>
      </c>
    </row>
    <row r="768" spans="46:47">
      <c r="AT768" t="str">
        <f t="shared" si="24"/>
        <v/>
      </c>
      <c r="AU768" t="str">
        <f t="shared" si="25"/>
        <v/>
      </c>
    </row>
    <row r="769" spans="46:47">
      <c r="AT769" t="str">
        <f t="shared" si="24"/>
        <v/>
      </c>
      <c r="AU769" t="str">
        <f t="shared" si="25"/>
        <v/>
      </c>
    </row>
    <row r="770" spans="46:47">
      <c r="AT770" t="str">
        <f t="shared" si="24"/>
        <v/>
      </c>
      <c r="AU770" t="str">
        <f t="shared" si="25"/>
        <v/>
      </c>
    </row>
    <row r="771" spans="46:47">
      <c r="AT771" t="str">
        <f t="shared" si="24"/>
        <v/>
      </c>
      <c r="AU771" t="str">
        <f t="shared" si="25"/>
        <v/>
      </c>
    </row>
    <row r="772" spans="46:47">
      <c r="AT772" t="str">
        <f t="shared" si="24"/>
        <v/>
      </c>
      <c r="AU772" t="str">
        <f t="shared" si="25"/>
        <v/>
      </c>
    </row>
    <row r="773" spans="46:47">
      <c r="AT773" t="str">
        <f t="shared" si="24"/>
        <v/>
      </c>
      <c r="AU773" t="str">
        <f t="shared" si="25"/>
        <v/>
      </c>
    </row>
    <row r="774" spans="46:47">
      <c r="AT774" t="str">
        <f t="shared" si="24"/>
        <v/>
      </c>
      <c r="AU774" t="str">
        <f t="shared" si="25"/>
        <v/>
      </c>
    </row>
    <row r="775" spans="46:47">
      <c r="AT775" t="str">
        <f t="shared" si="24"/>
        <v/>
      </c>
      <c r="AU775" t="str">
        <f t="shared" si="25"/>
        <v/>
      </c>
    </row>
    <row r="776" spans="46:47">
      <c r="AT776" t="str">
        <f t="shared" si="24"/>
        <v/>
      </c>
      <c r="AU776" t="str">
        <f t="shared" si="25"/>
        <v/>
      </c>
    </row>
    <row r="777" spans="46:47">
      <c r="AT777" t="str">
        <f t="shared" si="24"/>
        <v/>
      </c>
      <c r="AU777" t="str">
        <f t="shared" si="25"/>
        <v/>
      </c>
    </row>
    <row r="778" spans="46:47">
      <c r="AT778" t="str">
        <f t="shared" si="24"/>
        <v/>
      </c>
      <c r="AU778" t="str">
        <f t="shared" si="25"/>
        <v/>
      </c>
    </row>
    <row r="779" spans="46:47">
      <c r="AT779" t="str">
        <f t="shared" si="24"/>
        <v/>
      </c>
      <c r="AU779" t="str">
        <f t="shared" si="25"/>
        <v/>
      </c>
    </row>
    <row r="780" spans="46:47">
      <c r="AT780" t="str">
        <f t="shared" si="24"/>
        <v/>
      </c>
      <c r="AU780" t="str">
        <f t="shared" si="25"/>
        <v/>
      </c>
    </row>
    <row r="781" spans="46:47">
      <c r="AT781" t="str">
        <f t="shared" ref="AT781:AT844" si="26">MID(C781,5,3)</f>
        <v/>
      </c>
      <c r="AU781" t="str">
        <f t="shared" ref="AU781:AU844" si="27">RIGHT(C781,3)</f>
        <v/>
      </c>
    </row>
    <row r="782" spans="46:47">
      <c r="AT782" t="str">
        <f t="shared" si="26"/>
        <v/>
      </c>
      <c r="AU782" t="str">
        <f t="shared" si="27"/>
        <v/>
      </c>
    </row>
    <row r="783" spans="46:47">
      <c r="AT783" t="str">
        <f t="shared" si="26"/>
        <v/>
      </c>
      <c r="AU783" t="str">
        <f t="shared" si="27"/>
        <v/>
      </c>
    </row>
    <row r="784" spans="46:47">
      <c r="AT784" t="str">
        <f t="shared" si="26"/>
        <v/>
      </c>
      <c r="AU784" t="str">
        <f t="shared" si="27"/>
        <v/>
      </c>
    </row>
    <row r="785" spans="46:47">
      <c r="AT785" t="str">
        <f t="shared" si="26"/>
        <v/>
      </c>
      <c r="AU785" t="str">
        <f t="shared" si="27"/>
        <v/>
      </c>
    </row>
    <row r="786" spans="46:47">
      <c r="AT786" t="str">
        <f t="shared" si="26"/>
        <v/>
      </c>
      <c r="AU786" t="str">
        <f t="shared" si="27"/>
        <v/>
      </c>
    </row>
    <row r="787" spans="46:47">
      <c r="AT787" t="str">
        <f t="shared" si="26"/>
        <v/>
      </c>
      <c r="AU787" t="str">
        <f t="shared" si="27"/>
        <v/>
      </c>
    </row>
    <row r="788" spans="46:47">
      <c r="AT788" t="str">
        <f t="shared" si="26"/>
        <v/>
      </c>
      <c r="AU788" t="str">
        <f t="shared" si="27"/>
        <v/>
      </c>
    </row>
    <row r="789" spans="46:47">
      <c r="AT789" t="str">
        <f t="shared" si="26"/>
        <v/>
      </c>
      <c r="AU789" t="str">
        <f t="shared" si="27"/>
        <v/>
      </c>
    </row>
    <row r="790" spans="46:47">
      <c r="AT790" t="str">
        <f t="shared" si="26"/>
        <v/>
      </c>
      <c r="AU790" t="str">
        <f t="shared" si="27"/>
        <v/>
      </c>
    </row>
    <row r="791" spans="46:47">
      <c r="AT791" t="str">
        <f t="shared" si="26"/>
        <v/>
      </c>
      <c r="AU791" t="str">
        <f t="shared" si="27"/>
        <v/>
      </c>
    </row>
    <row r="792" spans="46:47">
      <c r="AT792" t="str">
        <f t="shared" si="26"/>
        <v/>
      </c>
      <c r="AU792" t="str">
        <f t="shared" si="27"/>
        <v/>
      </c>
    </row>
    <row r="793" spans="46:47">
      <c r="AT793" t="str">
        <f t="shared" si="26"/>
        <v/>
      </c>
      <c r="AU793" t="str">
        <f t="shared" si="27"/>
        <v/>
      </c>
    </row>
    <row r="794" spans="46:47">
      <c r="AT794" t="str">
        <f t="shared" si="26"/>
        <v/>
      </c>
      <c r="AU794" t="str">
        <f t="shared" si="27"/>
        <v/>
      </c>
    </row>
    <row r="795" spans="46:47">
      <c r="AT795" t="str">
        <f t="shared" si="26"/>
        <v/>
      </c>
      <c r="AU795" t="str">
        <f t="shared" si="27"/>
        <v/>
      </c>
    </row>
    <row r="796" spans="46:47">
      <c r="AT796" t="str">
        <f t="shared" si="26"/>
        <v/>
      </c>
      <c r="AU796" t="str">
        <f t="shared" si="27"/>
        <v/>
      </c>
    </row>
    <row r="797" spans="46:47">
      <c r="AT797" t="str">
        <f t="shared" si="26"/>
        <v/>
      </c>
      <c r="AU797" t="str">
        <f t="shared" si="27"/>
        <v/>
      </c>
    </row>
    <row r="798" spans="46:47">
      <c r="AT798" t="str">
        <f t="shared" si="26"/>
        <v/>
      </c>
      <c r="AU798" t="str">
        <f t="shared" si="27"/>
        <v/>
      </c>
    </row>
    <row r="799" spans="46:47">
      <c r="AT799" t="str">
        <f t="shared" si="26"/>
        <v/>
      </c>
      <c r="AU799" t="str">
        <f t="shared" si="27"/>
        <v/>
      </c>
    </row>
    <row r="800" spans="46:47">
      <c r="AT800" t="str">
        <f t="shared" si="26"/>
        <v/>
      </c>
      <c r="AU800" t="str">
        <f t="shared" si="27"/>
        <v/>
      </c>
    </row>
    <row r="801" spans="46:47">
      <c r="AT801" t="str">
        <f t="shared" si="26"/>
        <v/>
      </c>
      <c r="AU801" t="str">
        <f t="shared" si="27"/>
        <v/>
      </c>
    </row>
    <row r="802" spans="46:47">
      <c r="AT802" t="str">
        <f t="shared" si="26"/>
        <v/>
      </c>
      <c r="AU802" t="str">
        <f t="shared" si="27"/>
        <v/>
      </c>
    </row>
    <row r="803" spans="46:47">
      <c r="AT803" t="str">
        <f t="shared" si="26"/>
        <v/>
      </c>
      <c r="AU803" t="str">
        <f t="shared" si="27"/>
        <v/>
      </c>
    </row>
    <row r="804" spans="46:47">
      <c r="AT804" t="str">
        <f t="shared" si="26"/>
        <v/>
      </c>
      <c r="AU804" t="str">
        <f t="shared" si="27"/>
        <v/>
      </c>
    </row>
    <row r="805" spans="46:47">
      <c r="AT805" t="str">
        <f t="shared" si="26"/>
        <v/>
      </c>
      <c r="AU805" t="str">
        <f t="shared" si="27"/>
        <v/>
      </c>
    </row>
    <row r="806" spans="46:47">
      <c r="AT806" t="str">
        <f t="shared" si="26"/>
        <v/>
      </c>
      <c r="AU806" t="str">
        <f t="shared" si="27"/>
        <v/>
      </c>
    </row>
    <row r="807" spans="46:47">
      <c r="AT807" t="str">
        <f t="shared" si="26"/>
        <v/>
      </c>
      <c r="AU807" t="str">
        <f t="shared" si="27"/>
        <v/>
      </c>
    </row>
    <row r="808" spans="46:47">
      <c r="AT808" t="str">
        <f t="shared" si="26"/>
        <v/>
      </c>
      <c r="AU808" t="str">
        <f t="shared" si="27"/>
        <v/>
      </c>
    </row>
    <row r="809" spans="46:47">
      <c r="AT809" t="str">
        <f t="shared" si="26"/>
        <v/>
      </c>
      <c r="AU809" t="str">
        <f t="shared" si="27"/>
        <v/>
      </c>
    </row>
    <row r="810" spans="46:47">
      <c r="AT810" t="str">
        <f t="shared" si="26"/>
        <v/>
      </c>
      <c r="AU810" t="str">
        <f t="shared" si="27"/>
        <v/>
      </c>
    </row>
    <row r="811" spans="46:47">
      <c r="AT811" t="str">
        <f t="shared" si="26"/>
        <v/>
      </c>
      <c r="AU811" t="str">
        <f t="shared" si="27"/>
        <v/>
      </c>
    </row>
    <row r="812" spans="46:47">
      <c r="AT812" t="str">
        <f t="shared" si="26"/>
        <v/>
      </c>
      <c r="AU812" t="str">
        <f t="shared" si="27"/>
        <v/>
      </c>
    </row>
    <row r="813" spans="46:47">
      <c r="AT813" t="str">
        <f t="shared" si="26"/>
        <v/>
      </c>
      <c r="AU813" t="str">
        <f t="shared" si="27"/>
        <v/>
      </c>
    </row>
    <row r="814" spans="46:47">
      <c r="AT814" t="str">
        <f t="shared" si="26"/>
        <v/>
      </c>
      <c r="AU814" t="str">
        <f t="shared" si="27"/>
        <v/>
      </c>
    </row>
    <row r="815" spans="46:47">
      <c r="AT815" t="str">
        <f t="shared" si="26"/>
        <v/>
      </c>
      <c r="AU815" t="str">
        <f t="shared" si="27"/>
        <v/>
      </c>
    </row>
    <row r="816" spans="46:47">
      <c r="AT816" t="str">
        <f t="shared" si="26"/>
        <v/>
      </c>
      <c r="AU816" t="str">
        <f t="shared" si="27"/>
        <v/>
      </c>
    </row>
    <row r="817" spans="46:47">
      <c r="AT817" t="str">
        <f t="shared" si="26"/>
        <v/>
      </c>
      <c r="AU817" t="str">
        <f t="shared" si="27"/>
        <v/>
      </c>
    </row>
    <row r="818" spans="46:47">
      <c r="AT818" t="str">
        <f t="shared" si="26"/>
        <v/>
      </c>
      <c r="AU818" t="str">
        <f t="shared" si="27"/>
        <v/>
      </c>
    </row>
    <row r="819" spans="46:47">
      <c r="AT819" t="str">
        <f t="shared" si="26"/>
        <v/>
      </c>
      <c r="AU819" t="str">
        <f t="shared" si="27"/>
        <v/>
      </c>
    </row>
    <row r="820" spans="46:47">
      <c r="AT820" t="str">
        <f t="shared" si="26"/>
        <v/>
      </c>
      <c r="AU820" t="str">
        <f t="shared" si="27"/>
        <v/>
      </c>
    </row>
    <row r="821" spans="46:47">
      <c r="AT821" t="str">
        <f t="shared" si="26"/>
        <v/>
      </c>
      <c r="AU821" t="str">
        <f t="shared" si="27"/>
        <v/>
      </c>
    </row>
    <row r="822" spans="46:47">
      <c r="AT822" t="str">
        <f t="shared" si="26"/>
        <v/>
      </c>
      <c r="AU822" t="str">
        <f t="shared" si="27"/>
        <v/>
      </c>
    </row>
    <row r="823" spans="46:47">
      <c r="AT823" t="str">
        <f t="shared" si="26"/>
        <v/>
      </c>
      <c r="AU823" t="str">
        <f t="shared" si="27"/>
        <v/>
      </c>
    </row>
    <row r="824" spans="46:47">
      <c r="AT824" t="str">
        <f t="shared" si="26"/>
        <v/>
      </c>
      <c r="AU824" t="str">
        <f t="shared" si="27"/>
        <v/>
      </c>
    </row>
    <row r="825" spans="46:47">
      <c r="AT825" t="str">
        <f t="shared" si="26"/>
        <v/>
      </c>
      <c r="AU825" t="str">
        <f t="shared" si="27"/>
        <v/>
      </c>
    </row>
    <row r="826" spans="46:47">
      <c r="AT826" t="str">
        <f t="shared" si="26"/>
        <v/>
      </c>
      <c r="AU826" t="str">
        <f t="shared" si="27"/>
        <v/>
      </c>
    </row>
    <row r="827" spans="46:47">
      <c r="AT827" t="str">
        <f t="shared" si="26"/>
        <v/>
      </c>
      <c r="AU827" t="str">
        <f t="shared" si="27"/>
        <v/>
      </c>
    </row>
    <row r="828" spans="46:47">
      <c r="AT828" t="str">
        <f t="shared" si="26"/>
        <v/>
      </c>
      <c r="AU828" t="str">
        <f t="shared" si="27"/>
        <v/>
      </c>
    </row>
    <row r="829" spans="46:47">
      <c r="AT829" t="str">
        <f t="shared" si="26"/>
        <v/>
      </c>
      <c r="AU829" t="str">
        <f t="shared" si="27"/>
        <v/>
      </c>
    </row>
    <row r="830" spans="46:47">
      <c r="AT830" t="str">
        <f t="shared" si="26"/>
        <v/>
      </c>
      <c r="AU830" t="str">
        <f t="shared" si="27"/>
        <v/>
      </c>
    </row>
    <row r="831" spans="46:47">
      <c r="AT831" t="str">
        <f t="shared" si="26"/>
        <v/>
      </c>
      <c r="AU831" t="str">
        <f t="shared" si="27"/>
        <v/>
      </c>
    </row>
    <row r="832" spans="46:47">
      <c r="AT832" t="str">
        <f t="shared" si="26"/>
        <v/>
      </c>
      <c r="AU832" t="str">
        <f t="shared" si="27"/>
        <v/>
      </c>
    </row>
    <row r="833" spans="46:47">
      <c r="AT833" t="str">
        <f t="shared" si="26"/>
        <v/>
      </c>
      <c r="AU833" t="str">
        <f t="shared" si="27"/>
        <v/>
      </c>
    </row>
    <row r="834" spans="46:47">
      <c r="AT834" t="str">
        <f t="shared" si="26"/>
        <v/>
      </c>
      <c r="AU834" t="str">
        <f t="shared" si="27"/>
        <v/>
      </c>
    </row>
    <row r="835" spans="46:47">
      <c r="AT835" t="str">
        <f t="shared" si="26"/>
        <v/>
      </c>
      <c r="AU835" t="str">
        <f t="shared" si="27"/>
        <v/>
      </c>
    </row>
    <row r="836" spans="46:47">
      <c r="AT836" t="str">
        <f t="shared" si="26"/>
        <v/>
      </c>
      <c r="AU836" t="str">
        <f t="shared" si="27"/>
        <v/>
      </c>
    </row>
    <row r="837" spans="46:47">
      <c r="AT837" t="str">
        <f t="shared" si="26"/>
        <v/>
      </c>
      <c r="AU837" t="str">
        <f t="shared" si="27"/>
        <v/>
      </c>
    </row>
    <row r="838" spans="46:47">
      <c r="AT838" t="str">
        <f t="shared" si="26"/>
        <v/>
      </c>
      <c r="AU838" t="str">
        <f t="shared" si="27"/>
        <v/>
      </c>
    </row>
    <row r="839" spans="46:47">
      <c r="AT839" t="str">
        <f t="shared" si="26"/>
        <v/>
      </c>
      <c r="AU839" t="str">
        <f t="shared" si="27"/>
        <v/>
      </c>
    </row>
    <row r="840" spans="46:47">
      <c r="AT840" t="str">
        <f t="shared" si="26"/>
        <v/>
      </c>
      <c r="AU840" t="str">
        <f t="shared" si="27"/>
        <v/>
      </c>
    </row>
    <row r="841" spans="46:47">
      <c r="AT841" t="str">
        <f t="shared" si="26"/>
        <v/>
      </c>
      <c r="AU841" t="str">
        <f t="shared" si="27"/>
        <v/>
      </c>
    </row>
    <row r="842" spans="46:47">
      <c r="AT842" t="str">
        <f t="shared" si="26"/>
        <v/>
      </c>
      <c r="AU842" t="str">
        <f t="shared" si="27"/>
        <v/>
      </c>
    </row>
    <row r="843" spans="46:47">
      <c r="AT843" t="str">
        <f t="shared" si="26"/>
        <v/>
      </c>
      <c r="AU843" t="str">
        <f t="shared" si="27"/>
        <v/>
      </c>
    </row>
    <row r="844" spans="46:47">
      <c r="AT844" t="str">
        <f t="shared" si="26"/>
        <v/>
      </c>
      <c r="AU844" t="str">
        <f t="shared" si="27"/>
        <v/>
      </c>
    </row>
    <row r="845" spans="46:47">
      <c r="AT845" t="str">
        <f t="shared" ref="AT845:AT868" si="28">MID(C845,5,3)</f>
        <v/>
      </c>
      <c r="AU845" t="str">
        <f t="shared" ref="AU845:AU868" si="29">RIGHT(C845,3)</f>
        <v/>
      </c>
    </row>
    <row r="846" spans="46:47">
      <c r="AT846" t="str">
        <f t="shared" si="28"/>
        <v/>
      </c>
      <c r="AU846" t="str">
        <f t="shared" si="29"/>
        <v/>
      </c>
    </row>
    <row r="847" spans="46:47">
      <c r="AT847" t="str">
        <f t="shared" si="28"/>
        <v/>
      </c>
      <c r="AU847" t="str">
        <f t="shared" si="29"/>
        <v/>
      </c>
    </row>
    <row r="848" spans="46:47">
      <c r="AT848" t="str">
        <f t="shared" si="28"/>
        <v/>
      </c>
      <c r="AU848" t="str">
        <f t="shared" si="29"/>
        <v/>
      </c>
    </row>
    <row r="849" spans="46:47">
      <c r="AT849" t="str">
        <f t="shared" si="28"/>
        <v/>
      </c>
      <c r="AU849" t="str">
        <f t="shared" si="29"/>
        <v/>
      </c>
    </row>
    <row r="850" spans="46:47">
      <c r="AT850" t="str">
        <f t="shared" si="28"/>
        <v/>
      </c>
      <c r="AU850" t="str">
        <f t="shared" si="29"/>
        <v/>
      </c>
    </row>
    <row r="851" spans="46:47">
      <c r="AT851" t="str">
        <f t="shared" si="28"/>
        <v/>
      </c>
      <c r="AU851" t="str">
        <f t="shared" si="29"/>
        <v/>
      </c>
    </row>
    <row r="852" spans="46:47">
      <c r="AT852" t="str">
        <f t="shared" si="28"/>
        <v/>
      </c>
      <c r="AU852" t="str">
        <f t="shared" si="29"/>
        <v/>
      </c>
    </row>
    <row r="853" spans="46:47">
      <c r="AT853" t="str">
        <f t="shared" si="28"/>
        <v/>
      </c>
      <c r="AU853" t="str">
        <f t="shared" si="29"/>
        <v/>
      </c>
    </row>
    <row r="854" spans="46:47">
      <c r="AT854" t="str">
        <f t="shared" si="28"/>
        <v/>
      </c>
      <c r="AU854" t="str">
        <f t="shared" si="29"/>
        <v/>
      </c>
    </row>
    <row r="855" spans="46:47">
      <c r="AT855" t="str">
        <f t="shared" si="28"/>
        <v/>
      </c>
      <c r="AU855" t="str">
        <f t="shared" si="29"/>
        <v/>
      </c>
    </row>
    <row r="856" spans="46:47">
      <c r="AT856" t="str">
        <f t="shared" si="28"/>
        <v/>
      </c>
      <c r="AU856" t="str">
        <f t="shared" si="29"/>
        <v/>
      </c>
    </row>
    <row r="857" spans="46:47">
      <c r="AT857" t="str">
        <f t="shared" si="28"/>
        <v/>
      </c>
      <c r="AU857" t="str">
        <f t="shared" si="29"/>
        <v/>
      </c>
    </row>
    <row r="858" spans="46:47">
      <c r="AT858" t="str">
        <f t="shared" si="28"/>
        <v/>
      </c>
      <c r="AU858" t="str">
        <f t="shared" si="29"/>
        <v/>
      </c>
    </row>
    <row r="859" spans="46:47">
      <c r="AT859" t="str">
        <f t="shared" si="28"/>
        <v/>
      </c>
      <c r="AU859" t="str">
        <f t="shared" si="29"/>
        <v/>
      </c>
    </row>
    <row r="860" spans="46:47">
      <c r="AT860" t="str">
        <f t="shared" si="28"/>
        <v/>
      </c>
      <c r="AU860" t="str">
        <f t="shared" si="29"/>
        <v/>
      </c>
    </row>
    <row r="861" spans="46:47">
      <c r="AT861" t="str">
        <f t="shared" si="28"/>
        <v/>
      </c>
      <c r="AU861" t="str">
        <f t="shared" si="29"/>
        <v/>
      </c>
    </row>
    <row r="862" spans="46:47">
      <c r="AT862" t="str">
        <f t="shared" si="28"/>
        <v/>
      </c>
      <c r="AU862" t="str">
        <f t="shared" si="29"/>
        <v/>
      </c>
    </row>
    <row r="863" spans="46:47">
      <c r="AT863" t="str">
        <f t="shared" si="28"/>
        <v/>
      </c>
      <c r="AU863" t="str">
        <f t="shared" si="29"/>
        <v/>
      </c>
    </row>
    <row r="864" spans="46:47">
      <c r="AT864" t="str">
        <f t="shared" si="28"/>
        <v/>
      </c>
      <c r="AU864" t="str">
        <f t="shared" si="29"/>
        <v/>
      </c>
    </row>
    <row r="865" spans="46:47">
      <c r="AT865" t="str">
        <f t="shared" si="28"/>
        <v/>
      </c>
      <c r="AU865" t="str">
        <f t="shared" si="29"/>
        <v/>
      </c>
    </row>
    <row r="866" spans="46:47">
      <c r="AT866" t="str">
        <f t="shared" si="28"/>
        <v/>
      </c>
      <c r="AU866" t="str">
        <f t="shared" si="29"/>
        <v/>
      </c>
    </row>
    <row r="867" spans="46:47">
      <c r="AT867" t="str">
        <f t="shared" si="28"/>
        <v/>
      </c>
      <c r="AU867" t="str">
        <f t="shared" si="29"/>
        <v/>
      </c>
    </row>
    <row r="868" spans="46:47">
      <c r="AT868" t="str">
        <f t="shared" si="28"/>
        <v/>
      </c>
      <c r="AU868" t="str">
        <f t="shared" si="29"/>
        <v/>
      </c>
    </row>
    <row r="869" spans="46:47">
      <c r="AT869" t="str">
        <f t="shared" ref="AT869:AT932" si="30">MID(C869,5,3)</f>
        <v/>
      </c>
      <c r="AU869" t="str">
        <f t="shared" ref="AU869:AU932" si="31">RIGHT(C869,3)</f>
        <v/>
      </c>
    </row>
    <row r="870" spans="46:47">
      <c r="AT870" t="str">
        <f t="shared" si="30"/>
        <v/>
      </c>
      <c r="AU870" t="str">
        <f t="shared" si="31"/>
        <v/>
      </c>
    </row>
    <row r="871" spans="46:47">
      <c r="AT871" t="str">
        <f t="shared" si="30"/>
        <v/>
      </c>
      <c r="AU871" t="str">
        <f t="shared" si="31"/>
        <v/>
      </c>
    </row>
    <row r="872" spans="46:47">
      <c r="AT872" t="str">
        <f t="shared" si="30"/>
        <v/>
      </c>
      <c r="AU872" t="str">
        <f t="shared" si="31"/>
        <v/>
      </c>
    </row>
    <row r="873" spans="46:47">
      <c r="AT873" t="str">
        <f t="shared" si="30"/>
        <v/>
      </c>
      <c r="AU873" t="str">
        <f t="shared" si="31"/>
        <v/>
      </c>
    </row>
    <row r="874" spans="46:47">
      <c r="AT874" t="str">
        <f t="shared" si="30"/>
        <v/>
      </c>
      <c r="AU874" t="str">
        <f t="shared" si="31"/>
        <v/>
      </c>
    </row>
    <row r="875" spans="46:47">
      <c r="AT875" t="str">
        <f t="shared" si="30"/>
        <v/>
      </c>
      <c r="AU875" t="str">
        <f t="shared" si="31"/>
        <v/>
      </c>
    </row>
    <row r="876" spans="46:47">
      <c r="AT876" t="str">
        <f t="shared" si="30"/>
        <v/>
      </c>
      <c r="AU876" t="str">
        <f t="shared" si="31"/>
        <v/>
      </c>
    </row>
    <row r="877" spans="46:47">
      <c r="AT877" t="str">
        <f t="shared" si="30"/>
        <v/>
      </c>
      <c r="AU877" t="str">
        <f t="shared" si="31"/>
        <v/>
      </c>
    </row>
    <row r="878" spans="46:47">
      <c r="AT878" t="str">
        <f t="shared" si="30"/>
        <v/>
      </c>
      <c r="AU878" t="str">
        <f t="shared" si="31"/>
        <v/>
      </c>
    </row>
    <row r="879" spans="46:47">
      <c r="AT879" t="str">
        <f t="shared" si="30"/>
        <v/>
      </c>
      <c r="AU879" t="str">
        <f t="shared" si="31"/>
        <v/>
      </c>
    </row>
    <row r="880" spans="46:47">
      <c r="AT880" t="str">
        <f t="shared" si="30"/>
        <v/>
      </c>
      <c r="AU880" t="str">
        <f t="shared" si="31"/>
        <v/>
      </c>
    </row>
    <row r="881" spans="46:47">
      <c r="AT881" t="str">
        <f t="shared" si="30"/>
        <v/>
      </c>
      <c r="AU881" t="str">
        <f t="shared" si="31"/>
        <v/>
      </c>
    </row>
    <row r="882" spans="46:47">
      <c r="AT882" t="str">
        <f t="shared" si="30"/>
        <v/>
      </c>
      <c r="AU882" t="str">
        <f t="shared" si="31"/>
        <v/>
      </c>
    </row>
    <row r="883" spans="46:47">
      <c r="AT883" t="str">
        <f t="shared" si="30"/>
        <v/>
      </c>
      <c r="AU883" t="str">
        <f t="shared" si="31"/>
        <v/>
      </c>
    </row>
    <row r="884" spans="46:47">
      <c r="AT884" t="str">
        <f t="shared" si="30"/>
        <v/>
      </c>
      <c r="AU884" t="str">
        <f t="shared" si="31"/>
        <v/>
      </c>
    </row>
    <row r="885" spans="46:47">
      <c r="AT885" t="str">
        <f t="shared" si="30"/>
        <v/>
      </c>
      <c r="AU885" t="str">
        <f t="shared" si="31"/>
        <v/>
      </c>
    </row>
    <row r="886" spans="46:47">
      <c r="AT886" t="str">
        <f t="shared" si="30"/>
        <v/>
      </c>
      <c r="AU886" t="str">
        <f t="shared" si="31"/>
        <v/>
      </c>
    </row>
    <row r="887" spans="46:47">
      <c r="AT887" t="str">
        <f t="shared" si="30"/>
        <v/>
      </c>
      <c r="AU887" t="str">
        <f t="shared" si="31"/>
        <v/>
      </c>
    </row>
    <row r="888" spans="46:47">
      <c r="AT888" t="str">
        <f t="shared" si="30"/>
        <v/>
      </c>
      <c r="AU888" t="str">
        <f t="shared" si="31"/>
        <v/>
      </c>
    </row>
    <row r="889" spans="46:47">
      <c r="AT889" t="str">
        <f t="shared" si="30"/>
        <v/>
      </c>
      <c r="AU889" t="str">
        <f t="shared" si="31"/>
        <v/>
      </c>
    </row>
    <row r="890" spans="46:47">
      <c r="AT890" t="str">
        <f t="shared" si="30"/>
        <v/>
      </c>
      <c r="AU890" t="str">
        <f t="shared" si="31"/>
        <v/>
      </c>
    </row>
    <row r="891" spans="46:47">
      <c r="AT891" t="str">
        <f t="shared" si="30"/>
        <v/>
      </c>
      <c r="AU891" t="str">
        <f t="shared" si="31"/>
        <v/>
      </c>
    </row>
    <row r="892" spans="46:47">
      <c r="AT892" t="str">
        <f t="shared" si="30"/>
        <v/>
      </c>
      <c r="AU892" t="str">
        <f t="shared" si="31"/>
        <v/>
      </c>
    </row>
    <row r="893" spans="46:47">
      <c r="AT893" t="str">
        <f t="shared" si="30"/>
        <v/>
      </c>
      <c r="AU893" t="str">
        <f t="shared" si="31"/>
        <v/>
      </c>
    </row>
    <row r="894" spans="46:47">
      <c r="AT894" t="str">
        <f t="shared" si="30"/>
        <v/>
      </c>
      <c r="AU894" t="str">
        <f t="shared" si="31"/>
        <v/>
      </c>
    </row>
    <row r="895" spans="46:47">
      <c r="AT895" t="str">
        <f t="shared" si="30"/>
        <v/>
      </c>
      <c r="AU895" t="str">
        <f t="shared" si="31"/>
        <v/>
      </c>
    </row>
    <row r="896" spans="46:47">
      <c r="AT896" t="str">
        <f t="shared" si="30"/>
        <v/>
      </c>
      <c r="AU896" t="str">
        <f t="shared" si="31"/>
        <v/>
      </c>
    </row>
    <row r="897" spans="46:47">
      <c r="AT897" t="str">
        <f t="shared" si="30"/>
        <v/>
      </c>
      <c r="AU897" t="str">
        <f t="shared" si="31"/>
        <v/>
      </c>
    </row>
    <row r="898" spans="46:47">
      <c r="AT898" t="str">
        <f t="shared" si="30"/>
        <v/>
      </c>
      <c r="AU898" t="str">
        <f t="shared" si="31"/>
        <v/>
      </c>
    </row>
    <row r="899" spans="46:47">
      <c r="AT899" t="str">
        <f t="shared" si="30"/>
        <v/>
      </c>
      <c r="AU899" t="str">
        <f t="shared" si="31"/>
        <v/>
      </c>
    </row>
    <row r="900" spans="46:47">
      <c r="AT900" t="str">
        <f t="shared" si="30"/>
        <v/>
      </c>
      <c r="AU900" t="str">
        <f t="shared" si="31"/>
        <v/>
      </c>
    </row>
    <row r="901" spans="46:47">
      <c r="AT901" t="str">
        <f t="shared" si="30"/>
        <v/>
      </c>
      <c r="AU901" t="str">
        <f t="shared" si="31"/>
        <v/>
      </c>
    </row>
    <row r="902" spans="46:47">
      <c r="AT902" t="str">
        <f t="shared" si="30"/>
        <v/>
      </c>
      <c r="AU902" t="str">
        <f t="shared" si="31"/>
        <v/>
      </c>
    </row>
    <row r="903" spans="46:47">
      <c r="AT903" t="str">
        <f t="shared" si="30"/>
        <v/>
      </c>
      <c r="AU903" t="str">
        <f t="shared" si="31"/>
        <v/>
      </c>
    </row>
    <row r="904" spans="46:47">
      <c r="AT904" t="str">
        <f t="shared" si="30"/>
        <v/>
      </c>
      <c r="AU904" t="str">
        <f t="shared" si="31"/>
        <v/>
      </c>
    </row>
    <row r="905" spans="46:47">
      <c r="AT905" t="str">
        <f t="shared" si="30"/>
        <v/>
      </c>
      <c r="AU905" t="str">
        <f t="shared" si="31"/>
        <v/>
      </c>
    </row>
    <row r="906" spans="46:47">
      <c r="AT906" t="str">
        <f t="shared" si="30"/>
        <v/>
      </c>
      <c r="AU906" t="str">
        <f t="shared" si="31"/>
        <v/>
      </c>
    </row>
    <row r="907" spans="46:47">
      <c r="AT907" t="str">
        <f t="shared" si="30"/>
        <v/>
      </c>
      <c r="AU907" t="str">
        <f t="shared" si="31"/>
        <v/>
      </c>
    </row>
    <row r="908" spans="46:47">
      <c r="AT908" t="str">
        <f t="shared" si="30"/>
        <v/>
      </c>
      <c r="AU908" t="str">
        <f t="shared" si="31"/>
        <v/>
      </c>
    </row>
    <row r="909" spans="46:47">
      <c r="AT909" t="str">
        <f t="shared" si="30"/>
        <v/>
      </c>
      <c r="AU909" t="str">
        <f t="shared" si="31"/>
        <v/>
      </c>
    </row>
    <row r="910" spans="46:47">
      <c r="AT910" t="str">
        <f t="shared" si="30"/>
        <v/>
      </c>
      <c r="AU910" t="str">
        <f t="shared" si="31"/>
        <v/>
      </c>
    </row>
    <row r="911" spans="46:47">
      <c r="AT911" t="str">
        <f t="shared" si="30"/>
        <v/>
      </c>
      <c r="AU911" t="str">
        <f t="shared" si="31"/>
        <v/>
      </c>
    </row>
    <row r="912" spans="46:47">
      <c r="AT912" t="str">
        <f t="shared" si="30"/>
        <v/>
      </c>
      <c r="AU912" t="str">
        <f t="shared" si="31"/>
        <v/>
      </c>
    </row>
    <row r="913" spans="46:47">
      <c r="AT913" t="str">
        <f t="shared" si="30"/>
        <v/>
      </c>
      <c r="AU913" t="str">
        <f t="shared" si="31"/>
        <v/>
      </c>
    </row>
    <row r="914" spans="46:47">
      <c r="AT914" t="str">
        <f t="shared" si="30"/>
        <v/>
      </c>
      <c r="AU914" t="str">
        <f t="shared" si="31"/>
        <v/>
      </c>
    </row>
    <row r="915" spans="46:47">
      <c r="AT915" t="str">
        <f t="shared" si="30"/>
        <v/>
      </c>
      <c r="AU915" t="str">
        <f t="shared" si="31"/>
        <v/>
      </c>
    </row>
    <row r="916" spans="46:47">
      <c r="AT916" t="str">
        <f t="shared" si="30"/>
        <v/>
      </c>
      <c r="AU916" t="str">
        <f t="shared" si="31"/>
        <v/>
      </c>
    </row>
    <row r="917" spans="46:47">
      <c r="AT917" t="str">
        <f t="shared" si="30"/>
        <v/>
      </c>
      <c r="AU917" t="str">
        <f t="shared" si="31"/>
        <v/>
      </c>
    </row>
    <row r="918" spans="46:47">
      <c r="AT918" t="str">
        <f t="shared" si="30"/>
        <v/>
      </c>
      <c r="AU918" t="str">
        <f t="shared" si="31"/>
        <v/>
      </c>
    </row>
    <row r="919" spans="46:47">
      <c r="AT919" t="str">
        <f t="shared" si="30"/>
        <v/>
      </c>
      <c r="AU919" t="str">
        <f t="shared" si="31"/>
        <v/>
      </c>
    </row>
    <row r="920" spans="46:47">
      <c r="AT920" t="str">
        <f t="shared" si="30"/>
        <v/>
      </c>
      <c r="AU920" t="str">
        <f t="shared" si="31"/>
        <v/>
      </c>
    </row>
    <row r="921" spans="46:47">
      <c r="AT921" t="str">
        <f t="shared" si="30"/>
        <v/>
      </c>
      <c r="AU921" t="str">
        <f t="shared" si="31"/>
        <v/>
      </c>
    </row>
    <row r="922" spans="46:47">
      <c r="AT922" t="str">
        <f t="shared" si="30"/>
        <v/>
      </c>
      <c r="AU922" t="str">
        <f t="shared" si="31"/>
        <v/>
      </c>
    </row>
    <row r="923" spans="46:47">
      <c r="AT923" t="str">
        <f t="shared" si="30"/>
        <v/>
      </c>
      <c r="AU923" t="str">
        <f t="shared" si="31"/>
        <v/>
      </c>
    </row>
    <row r="924" spans="46:47">
      <c r="AT924" t="str">
        <f t="shared" si="30"/>
        <v/>
      </c>
      <c r="AU924" t="str">
        <f t="shared" si="31"/>
        <v/>
      </c>
    </row>
    <row r="925" spans="46:47">
      <c r="AT925" t="str">
        <f t="shared" si="30"/>
        <v/>
      </c>
      <c r="AU925" t="str">
        <f t="shared" si="31"/>
        <v/>
      </c>
    </row>
    <row r="926" spans="46:47">
      <c r="AT926" t="str">
        <f t="shared" si="30"/>
        <v/>
      </c>
      <c r="AU926" t="str">
        <f t="shared" si="31"/>
        <v/>
      </c>
    </row>
    <row r="927" spans="46:47">
      <c r="AT927" t="str">
        <f t="shared" si="30"/>
        <v/>
      </c>
      <c r="AU927" t="str">
        <f t="shared" si="31"/>
        <v/>
      </c>
    </row>
    <row r="928" spans="46:47">
      <c r="AT928" t="str">
        <f t="shared" si="30"/>
        <v/>
      </c>
      <c r="AU928" t="str">
        <f t="shared" si="31"/>
        <v/>
      </c>
    </row>
    <row r="929" spans="46:47">
      <c r="AT929" t="str">
        <f t="shared" si="30"/>
        <v/>
      </c>
      <c r="AU929" t="str">
        <f t="shared" si="31"/>
        <v/>
      </c>
    </row>
    <row r="930" spans="46:47">
      <c r="AT930" t="str">
        <f t="shared" si="30"/>
        <v/>
      </c>
      <c r="AU930" t="str">
        <f t="shared" si="31"/>
        <v/>
      </c>
    </row>
    <row r="931" spans="46:47">
      <c r="AT931" t="str">
        <f t="shared" si="30"/>
        <v/>
      </c>
      <c r="AU931" t="str">
        <f t="shared" si="31"/>
        <v/>
      </c>
    </row>
    <row r="932" spans="46:47">
      <c r="AT932" t="str">
        <f t="shared" si="30"/>
        <v/>
      </c>
      <c r="AU932" t="str">
        <f t="shared" si="31"/>
        <v/>
      </c>
    </row>
    <row r="933" spans="46:47">
      <c r="AT933" t="str">
        <f t="shared" ref="AT933:AT996" si="32">MID(C933,5,3)</f>
        <v/>
      </c>
      <c r="AU933" t="str">
        <f t="shared" ref="AU933:AU996" si="33">RIGHT(C933,3)</f>
        <v/>
      </c>
    </row>
    <row r="934" spans="46:47">
      <c r="AT934" t="str">
        <f t="shared" si="32"/>
        <v/>
      </c>
      <c r="AU934" t="str">
        <f t="shared" si="33"/>
        <v/>
      </c>
    </row>
    <row r="935" spans="46:47">
      <c r="AT935" t="str">
        <f t="shared" si="32"/>
        <v/>
      </c>
      <c r="AU935" t="str">
        <f t="shared" si="33"/>
        <v/>
      </c>
    </row>
    <row r="936" spans="46:47">
      <c r="AT936" t="str">
        <f t="shared" si="32"/>
        <v/>
      </c>
      <c r="AU936" t="str">
        <f t="shared" si="33"/>
        <v/>
      </c>
    </row>
    <row r="937" spans="46:47">
      <c r="AT937" t="str">
        <f t="shared" si="32"/>
        <v/>
      </c>
      <c r="AU937" t="str">
        <f t="shared" si="33"/>
        <v/>
      </c>
    </row>
    <row r="938" spans="46:47">
      <c r="AT938" t="str">
        <f t="shared" si="32"/>
        <v/>
      </c>
      <c r="AU938" t="str">
        <f t="shared" si="33"/>
        <v/>
      </c>
    </row>
    <row r="939" spans="46:47">
      <c r="AT939" t="str">
        <f t="shared" si="32"/>
        <v/>
      </c>
      <c r="AU939" t="str">
        <f t="shared" si="33"/>
        <v/>
      </c>
    </row>
    <row r="940" spans="46:47">
      <c r="AT940" t="str">
        <f t="shared" si="32"/>
        <v/>
      </c>
      <c r="AU940" t="str">
        <f t="shared" si="33"/>
        <v/>
      </c>
    </row>
    <row r="941" spans="46:47">
      <c r="AT941" t="str">
        <f t="shared" si="32"/>
        <v/>
      </c>
      <c r="AU941" t="str">
        <f t="shared" si="33"/>
        <v/>
      </c>
    </row>
    <row r="942" spans="46:47">
      <c r="AT942" t="str">
        <f t="shared" si="32"/>
        <v/>
      </c>
      <c r="AU942" t="str">
        <f t="shared" si="33"/>
        <v/>
      </c>
    </row>
    <row r="943" spans="46:47">
      <c r="AT943" t="str">
        <f t="shared" si="32"/>
        <v/>
      </c>
      <c r="AU943" t="str">
        <f t="shared" si="33"/>
        <v/>
      </c>
    </row>
    <row r="944" spans="46:47">
      <c r="AT944" t="str">
        <f t="shared" si="32"/>
        <v/>
      </c>
      <c r="AU944" t="str">
        <f t="shared" si="33"/>
        <v/>
      </c>
    </row>
    <row r="945" spans="46:47">
      <c r="AT945" t="str">
        <f t="shared" si="32"/>
        <v/>
      </c>
      <c r="AU945" t="str">
        <f t="shared" si="33"/>
        <v/>
      </c>
    </row>
    <row r="946" spans="46:47">
      <c r="AT946" t="str">
        <f t="shared" si="32"/>
        <v/>
      </c>
      <c r="AU946" t="str">
        <f t="shared" si="33"/>
        <v/>
      </c>
    </row>
    <row r="947" spans="46:47">
      <c r="AT947" t="str">
        <f t="shared" si="32"/>
        <v/>
      </c>
      <c r="AU947" t="str">
        <f t="shared" si="33"/>
        <v/>
      </c>
    </row>
    <row r="948" spans="46:47">
      <c r="AT948" t="str">
        <f t="shared" si="32"/>
        <v/>
      </c>
      <c r="AU948" t="str">
        <f t="shared" si="33"/>
        <v/>
      </c>
    </row>
    <row r="949" spans="46:47">
      <c r="AT949" t="str">
        <f t="shared" si="32"/>
        <v/>
      </c>
      <c r="AU949" t="str">
        <f t="shared" si="33"/>
        <v/>
      </c>
    </row>
    <row r="950" spans="46:47">
      <c r="AT950" t="str">
        <f t="shared" si="32"/>
        <v/>
      </c>
      <c r="AU950" t="str">
        <f t="shared" si="33"/>
        <v/>
      </c>
    </row>
    <row r="951" spans="46:47">
      <c r="AT951" t="str">
        <f t="shared" si="32"/>
        <v/>
      </c>
      <c r="AU951" t="str">
        <f t="shared" si="33"/>
        <v/>
      </c>
    </row>
    <row r="952" spans="46:47">
      <c r="AT952" t="str">
        <f t="shared" si="32"/>
        <v/>
      </c>
      <c r="AU952" t="str">
        <f t="shared" si="33"/>
        <v/>
      </c>
    </row>
    <row r="953" spans="46:47">
      <c r="AT953" t="str">
        <f t="shared" si="32"/>
        <v/>
      </c>
      <c r="AU953" t="str">
        <f t="shared" si="33"/>
        <v/>
      </c>
    </row>
    <row r="954" spans="46:47">
      <c r="AT954" t="str">
        <f t="shared" si="32"/>
        <v/>
      </c>
      <c r="AU954" t="str">
        <f t="shared" si="33"/>
        <v/>
      </c>
    </row>
    <row r="955" spans="46:47">
      <c r="AT955" t="str">
        <f t="shared" si="32"/>
        <v/>
      </c>
      <c r="AU955" t="str">
        <f t="shared" si="33"/>
        <v/>
      </c>
    </row>
    <row r="956" spans="46:47">
      <c r="AT956" t="str">
        <f t="shared" si="32"/>
        <v/>
      </c>
      <c r="AU956" t="str">
        <f t="shared" si="33"/>
        <v/>
      </c>
    </row>
    <row r="957" spans="46:47">
      <c r="AT957" t="str">
        <f t="shared" si="32"/>
        <v/>
      </c>
      <c r="AU957" t="str">
        <f t="shared" si="33"/>
        <v/>
      </c>
    </row>
    <row r="958" spans="46:47">
      <c r="AT958" t="str">
        <f t="shared" si="32"/>
        <v/>
      </c>
      <c r="AU958" t="str">
        <f t="shared" si="33"/>
        <v/>
      </c>
    </row>
    <row r="959" spans="46:47">
      <c r="AT959" t="str">
        <f t="shared" si="32"/>
        <v/>
      </c>
      <c r="AU959" t="str">
        <f t="shared" si="33"/>
        <v/>
      </c>
    </row>
    <row r="960" spans="46:47">
      <c r="AT960" t="str">
        <f t="shared" si="32"/>
        <v/>
      </c>
      <c r="AU960" t="str">
        <f t="shared" si="33"/>
        <v/>
      </c>
    </row>
    <row r="961" spans="46:47">
      <c r="AT961" t="str">
        <f t="shared" si="32"/>
        <v/>
      </c>
      <c r="AU961" t="str">
        <f t="shared" si="33"/>
        <v/>
      </c>
    </row>
    <row r="962" spans="46:47">
      <c r="AT962" t="str">
        <f t="shared" si="32"/>
        <v/>
      </c>
      <c r="AU962" t="str">
        <f t="shared" si="33"/>
        <v/>
      </c>
    </row>
    <row r="963" spans="46:47">
      <c r="AT963" t="str">
        <f t="shared" si="32"/>
        <v/>
      </c>
      <c r="AU963" t="str">
        <f t="shared" si="33"/>
        <v/>
      </c>
    </row>
    <row r="964" spans="46:47">
      <c r="AT964" t="str">
        <f t="shared" si="32"/>
        <v/>
      </c>
      <c r="AU964" t="str">
        <f t="shared" si="33"/>
        <v/>
      </c>
    </row>
    <row r="965" spans="46:47">
      <c r="AT965" t="str">
        <f t="shared" si="32"/>
        <v/>
      </c>
      <c r="AU965" t="str">
        <f t="shared" si="33"/>
        <v/>
      </c>
    </row>
    <row r="966" spans="46:47">
      <c r="AT966" t="str">
        <f t="shared" si="32"/>
        <v/>
      </c>
      <c r="AU966" t="str">
        <f t="shared" si="33"/>
        <v/>
      </c>
    </row>
    <row r="967" spans="46:47">
      <c r="AT967" t="str">
        <f t="shared" si="32"/>
        <v/>
      </c>
      <c r="AU967" t="str">
        <f t="shared" si="33"/>
        <v/>
      </c>
    </row>
    <row r="968" spans="46:47">
      <c r="AT968" t="str">
        <f t="shared" si="32"/>
        <v/>
      </c>
      <c r="AU968" t="str">
        <f t="shared" si="33"/>
        <v/>
      </c>
    </row>
    <row r="969" spans="46:47">
      <c r="AT969" t="str">
        <f t="shared" si="32"/>
        <v/>
      </c>
      <c r="AU969" t="str">
        <f t="shared" si="33"/>
        <v/>
      </c>
    </row>
    <row r="970" spans="46:47">
      <c r="AT970" t="str">
        <f t="shared" si="32"/>
        <v/>
      </c>
      <c r="AU970" t="str">
        <f t="shared" si="33"/>
        <v/>
      </c>
    </row>
    <row r="971" spans="46:47">
      <c r="AT971" t="str">
        <f t="shared" si="32"/>
        <v/>
      </c>
      <c r="AU971" t="str">
        <f t="shared" si="33"/>
        <v/>
      </c>
    </row>
    <row r="972" spans="46:47">
      <c r="AT972" t="str">
        <f t="shared" si="32"/>
        <v/>
      </c>
      <c r="AU972" t="str">
        <f t="shared" si="33"/>
        <v/>
      </c>
    </row>
    <row r="973" spans="46:47">
      <c r="AT973" t="str">
        <f t="shared" si="32"/>
        <v/>
      </c>
      <c r="AU973" t="str">
        <f t="shared" si="33"/>
        <v/>
      </c>
    </row>
    <row r="974" spans="46:47">
      <c r="AT974" t="str">
        <f t="shared" si="32"/>
        <v/>
      </c>
      <c r="AU974" t="str">
        <f t="shared" si="33"/>
        <v/>
      </c>
    </row>
    <row r="975" spans="46:47">
      <c r="AT975" t="str">
        <f t="shared" si="32"/>
        <v/>
      </c>
      <c r="AU975" t="str">
        <f t="shared" si="33"/>
        <v/>
      </c>
    </row>
    <row r="976" spans="46:47">
      <c r="AT976" t="str">
        <f t="shared" si="32"/>
        <v/>
      </c>
      <c r="AU976" t="str">
        <f t="shared" si="33"/>
        <v/>
      </c>
    </row>
    <row r="977" spans="46:47">
      <c r="AT977" t="str">
        <f t="shared" si="32"/>
        <v/>
      </c>
      <c r="AU977" t="str">
        <f t="shared" si="33"/>
        <v/>
      </c>
    </row>
    <row r="978" spans="46:47">
      <c r="AT978" t="str">
        <f t="shared" si="32"/>
        <v/>
      </c>
      <c r="AU978" t="str">
        <f t="shared" si="33"/>
        <v/>
      </c>
    </row>
    <row r="979" spans="46:47">
      <c r="AT979" t="str">
        <f t="shared" si="32"/>
        <v/>
      </c>
      <c r="AU979" t="str">
        <f t="shared" si="33"/>
        <v/>
      </c>
    </row>
    <row r="980" spans="46:47">
      <c r="AT980" t="str">
        <f t="shared" si="32"/>
        <v/>
      </c>
      <c r="AU980" t="str">
        <f t="shared" si="33"/>
        <v/>
      </c>
    </row>
    <row r="981" spans="46:47">
      <c r="AT981" t="str">
        <f t="shared" si="32"/>
        <v/>
      </c>
      <c r="AU981" t="str">
        <f t="shared" si="33"/>
        <v/>
      </c>
    </row>
    <row r="982" spans="46:47">
      <c r="AT982" t="str">
        <f t="shared" si="32"/>
        <v/>
      </c>
      <c r="AU982" t="str">
        <f t="shared" si="33"/>
        <v/>
      </c>
    </row>
    <row r="983" spans="46:47">
      <c r="AT983" t="str">
        <f t="shared" si="32"/>
        <v/>
      </c>
      <c r="AU983" t="str">
        <f t="shared" si="33"/>
        <v/>
      </c>
    </row>
    <row r="984" spans="46:47">
      <c r="AT984" t="str">
        <f t="shared" si="32"/>
        <v/>
      </c>
      <c r="AU984" t="str">
        <f t="shared" si="33"/>
        <v/>
      </c>
    </row>
    <row r="985" spans="46:47">
      <c r="AT985" t="str">
        <f t="shared" si="32"/>
        <v/>
      </c>
      <c r="AU985" t="str">
        <f t="shared" si="33"/>
        <v/>
      </c>
    </row>
    <row r="986" spans="46:47">
      <c r="AT986" t="str">
        <f t="shared" si="32"/>
        <v/>
      </c>
      <c r="AU986" t="str">
        <f t="shared" si="33"/>
        <v/>
      </c>
    </row>
    <row r="987" spans="46:47">
      <c r="AT987" t="str">
        <f t="shared" si="32"/>
        <v/>
      </c>
      <c r="AU987" t="str">
        <f t="shared" si="33"/>
        <v/>
      </c>
    </row>
    <row r="988" spans="46:47">
      <c r="AT988" t="str">
        <f t="shared" si="32"/>
        <v/>
      </c>
      <c r="AU988" t="str">
        <f t="shared" si="33"/>
        <v/>
      </c>
    </row>
    <row r="989" spans="46:47">
      <c r="AT989" t="str">
        <f t="shared" si="32"/>
        <v/>
      </c>
      <c r="AU989" t="str">
        <f t="shared" si="33"/>
        <v/>
      </c>
    </row>
    <row r="990" spans="46:47">
      <c r="AT990" t="str">
        <f t="shared" si="32"/>
        <v/>
      </c>
      <c r="AU990" t="str">
        <f t="shared" si="33"/>
        <v/>
      </c>
    </row>
    <row r="991" spans="46:47">
      <c r="AT991" t="str">
        <f t="shared" si="32"/>
        <v/>
      </c>
      <c r="AU991" t="str">
        <f t="shared" si="33"/>
        <v/>
      </c>
    </row>
    <row r="992" spans="46:47">
      <c r="AT992" t="str">
        <f t="shared" si="32"/>
        <v/>
      </c>
      <c r="AU992" t="str">
        <f t="shared" si="33"/>
        <v/>
      </c>
    </row>
    <row r="993" spans="46:47">
      <c r="AT993" t="str">
        <f t="shared" si="32"/>
        <v/>
      </c>
      <c r="AU993" t="str">
        <f t="shared" si="33"/>
        <v/>
      </c>
    </row>
    <row r="994" spans="46:47">
      <c r="AT994" t="str">
        <f t="shared" si="32"/>
        <v/>
      </c>
      <c r="AU994" t="str">
        <f t="shared" si="33"/>
        <v/>
      </c>
    </row>
    <row r="995" spans="46:47">
      <c r="AT995" t="str">
        <f t="shared" si="32"/>
        <v/>
      </c>
      <c r="AU995" t="str">
        <f t="shared" si="33"/>
        <v/>
      </c>
    </row>
    <row r="996" spans="46:47">
      <c r="AT996" t="str">
        <f t="shared" si="32"/>
        <v/>
      </c>
      <c r="AU996" t="str">
        <f t="shared" si="33"/>
        <v/>
      </c>
    </row>
    <row r="997" spans="46:47">
      <c r="AT997" t="str">
        <f t="shared" ref="AT997:AT999" si="34">MID(C997,5,3)</f>
        <v/>
      </c>
      <c r="AU997" t="str">
        <f t="shared" ref="AU997:AU999" si="35">RIGHT(C997,3)</f>
        <v/>
      </c>
    </row>
    <row r="998" spans="46:47">
      <c r="AT998" t="str">
        <f t="shared" si="34"/>
        <v/>
      </c>
      <c r="AU998" t="str">
        <f t="shared" si="35"/>
        <v/>
      </c>
    </row>
    <row r="999" spans="46:47">
      <c r="AT999" t="str">
        <f t="shared" si="34"/>
        <v/>
      </c>
      <c r="AU999" t="str">
        <f t="shared" si="35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B103-5DF6-4D7B-A766-3EF7E100CECE}">
  <dimension ref="A1:AR79"/>
  <sheetViews>
    <sheetView zoomScale="85" zoomScaleNormal="85" workbookViewId="0">
      <selection activeCell="B18" sqref="B18"/>
    </sheetView>
  </sheetViews>
  <sheetFormatPr defaultColWidth="8.86328125" defaultRowHeight="14.25"/>
  <cols>
    <col min="2" max="2" width="10.1328125" bestFit="1" customWidth="1"/>
    <col min="3" max="3" width="16.59765625" bestFit="1" customWidth="1"/>
    <col min="4" max="4" width="15.3984375" bestFit="1" customWidth="1"/>
    <col min="5" max="6" width="5.86328125" bestFit="1" customWidth="1"/>
    <col min="7" max="7" width="6.1328125" bestFit="1" customWidth="1"/>
    <col min="8" max="8" width="8.86328125" bestFit="1" customWidth="1"/>
    <col min="9" max="9" width="17.1328125" bestFit="1" customWidth="1"/>
    <col min="10" max="10" width="8.1328125" bestFit="1" customWidth="1"/>
    <col min="11" max="29" width="7.86328125" customWidth="1"/>
    <col min="30" max="30" width="8.1328125" customWidth="1"/>
    <col min="31" max="31" width="6" bestFit="1" customWidth="1"/>
  </cols>
  <sheetData>
    <row r="1" spans="2:44">
      <c r="M1" t="s">
        <v>637</v>
      </c>
      <c r="N1" t="s">
        <v>638</v>
      </c>
      <c r="O1" t="s">
        <v>639</v>
      </c>
      <c r="P1" t="s">
        <v>640</v>
      </c>
      <c r="Q1" t="s">
        <v>641</v>
      </c>
      <c r="R1" t="s">
        <v>642</v>
      </c>
      <c r="S1" t="s">
        <v>643</v>
      </c>
      <c r="T1" t="s">
        <v>644</v>
      </c>
      <c r="U1" t="s">
        <v>645</v>
      </c>
      <c r="V1" t="s">
        <v>121</v>
      </c>
      <c r="W1" t="s">
        <v>646</v>
      </c>
      <c r="X1" t="s">
        <v>647</v>
      </c>
      <c r="Y1" t="s">
        <v>648</v>
      </c>
      <c r="Z1" t="s">
        <v>649</v>
      </c>
      <c r="AA1" t="s">
        <v>650</v>
      </c>
      <c r="AB1" t="s">
        <v>651</v>
      </c>
      <c r="AC1" t="s">
        <v>652</v>
      </c>
      <c r="AD1" t="s">
        <v>653</v>
      </c>
      <c r="AE1" t="s">
        <v>636</v>
      </c>
      <c r="AF1" t="s">
        <v>122</v>
      </c>
      <c r="AG1" t="s">
        <v>654</v>
      </c>
      <c r="AH1" t="s">
        <v>655</v>
      </c>
      <c r="AI1" t="s">
        <v>656</v>
      </c>
      <c r="AJ1" t="s">
        <v>657</v>
      </c>
      <c r="AK1" t="s">
        <v>123</v>
      </c>
      <c r="AL1" t="s">
        <v>658</v>
      </c>
      <c r="AM1" t="s">
        <v>659</v>
      </c>
      <c r="AN1" t="s">
        <v>660</v>
      </c>
      <c r="AO1" t="s">
        <v>661</v>
      </c>
      <c r="AP1" t="s">
        <v>145</v>
      </c>
      <c r="AQ1" t="s">
        <v>146</v>
      </c>
    </row>
    <row r="2" spans="2:44">
      <c r="K2" s="9" t="s">
        <v>142</v>
      </c>
      <c r="L2" s="9" t="s">
        <v>143</v>
      </c>
      <c r="M2" s="10">
        <v>0</v>
      </c>
      <c r="N2" s="10">
        <v>1.5466859404332078E-3</v>
      </c>
      <c r="O2" s="10">
        <v>5.4981128564036259E-2</v>
      </c>
      <c r="P2" s="10">
        <v>0</v>
      </c>
      <c r="Q2" s="10">
        <v>8.2474765632834859E-3</v>
      </c>
      <c r="R2" s="10">
        <v>1.5001925610465561E-2</v>
      </c>
      <c r="S2" s="10">
        <v>8.0902329556184257E-3</v>
      </c>
      <c r="T2" s="10">
        <v>0.26270131336865882</v>
      </c>
      <c r="U2" s="10">
        <v>4.9148491163592947E-2</v>
      </c>
      <c r="V2" s="10">
        <v>1.4240158183713603E-2</v>
      </c>
      <c r="W2" s="10">
        <v>4.9325171230878602E-2</v>
      </c>
      <c r="X2" s="10">
        <v>3.9676020446202644E-2</v>
      </c>
      <c r="Y2" s="10">
        <v>5.2160299161641846E-2</v>
      </c>
      <c r="Z2" s="10">
        <v>5.2957471635896904E-3</v>
      </c>
      <c r="AA2" s="10">
        <v>4.28449153638868E-2</v>
      </c>
      <c r="AB2" s="10">
        <v>2.1382631512077355E-2</v>
      </c>
      <c r="AC2" s="10">
        <v>1.9641984061932415E-2</v>
      </c>
      <c r="AD2" s="10">
        <v>8.3110496453805083E-2</v>
      </c>
      <c r="AE2" s="10">
        <v>4.1650974876946134E-2</v>
      </c>
      <c r="AF2" s="10">
        <v>2.7419290441534492E-2</v>
      </c>
      <c r="AG2" s="10">
        <v>2.3532874680887862E-2</v>
      </c>
      <c r="AH2" s="10">
        <v>0</v>
      </c>
      <c r="AI2" s="10">
        <v>0</v>
      </c>
      <c r="AJ2" s="10">
        <v>5.8947977055441594E-2</v>
      </c>
      <c r="AK2" s="10">
        <v>0</v>
      </c>
      <c r="AL2" s="10">
        <v>0</v>
      </c>
      <c r="AM2" s="10">
        <v>0</v>
      </c>
      <c r="AN2" s="10">
        <v>3.0950130223062946E-2</v>
      </c>
      <c r="AO2" s="10">
        <v>8.8336222496207997E-2</v>
      </c>
      <c r="AP2" s="10"/>
      <c r="AQ2" s="10">
        <v>4.4220430355590583E-2</v>
      </c>
    </row>
    <row r="3" spans="2:44">
      <c r="B3" t="s">
        <v>138</v>
      </c>
      <c r="K3" s="9"/>
      <c r="L3" s="9" t="s">
        <v>144</v>
      </c>
      <c r="M3" s="10">
        <v>0</v>
      </c>
      <c r="N3" s="10">
        <v>0</v>
      </c>
      <c r="O3" s="10">
        <v>8.9358034660592792E-2</v>
      </c>
      <c r="P3" s="10">
        <v>4.8798115601416991E-5</v>
      </c>
      <c r="Q3" s="10">
        <v>1.5955646856327745E-2</v>
      </c>
      <c r="R3" s="10">
        <v>9.0874676157181172E-2</v>
      </c>
      <c r="S3" s="10">
        <v>3.167183817251335E-4</v>
      </c>
      <c r="T3" s="10">
        <v>0.45336610011312939</v>
      </c>
      <c r="U3" s="10">
        <v>3.3215555072431055E-2</v>
      </c>
      <c r="V3" s="10">
        <v>9.6352900220773915E-3</v>
      </c>
      <c r="W3" s="10">
        <v>0.22224276406594201</v>
      </c>
      <c r="X3" s="10">
        <v>6.029167940322145E-2</v>
      </c>
      <c r="Y3" s="10">
        <v>6.5088203541263573E-2</v>
      </c>
      <c r="Z3" s="10">
        <v>5.9043306362990752E-2</v>
      </c>
      <c r="AA3" s="10">
        <v>6.1709577131025269E-2</v>
      </c>
      <c r="AB3" s="10">
        <v>6.8502964571788102E-2</v>
      </c>
      <c r="AC3" s="10">
        <v>1.1621637275464124E-2</v>
      </c>
      <c r="AD3" s="10">
        <v>8.21698118854082E-2</v>
      </c>
      <c r="AE3" s="10">
        <v>5.6931929336453177E-2</v>
      </c>
      <c r="AF3" s="10">
        <v>6.7262437758921123E-4</v>
      </c>
      <c r="AG3" s="10">
        <v>3.1895002571472195E-2</v>
      </c>
      <c r="AH3" s="10">
        <v>0</v>
      </c>
      <c r="AI3" s="10">
        <v>0</v>
      </c>
      <c r="AJ3" s="10">
        <v>0.18889469418219185</v>
      </c>
      <c r="AK3" s="10">
        <v>0</v>
      </c>
      <c r="AL3" s="10">
        <v>0</v>
      </c>
      <c r="AM3" s="10">
        <v>0</v>
      </c>
      <c r="AN3" s="10">
        <v>5.1852280443730248E-2</v>
      </c>
      <c r="AO3" s="10">
        <v>3.5581240656848312E-2</v>
      </c>
      <c r="AP3" s="10"/>
      <c r="AQ3" s="10">
        <v>4.5617324142886009E-2</v>
      </c>
    </row>
    <row r="4" spans="2:44">
      <c r="B4" t="s">
        <v>7</v>
      </c>
      <c r="C4" t="s">
        <v>137</v>
      </c>
      <c r="D4" t="s">
        <v>140</v>
      </c>
      <c r="E4" t="s">
        <v>124</v>
      </c>
      <c r="F4" t="s">
        <v>127</v>
      </c>
      <c r="G4" t="s">
        <v>54</v>
      </c>
    </row>
    <row r="5" spans="2:44">
      <c r="B5" t="s">
        <v>139</v>
      </c>
      <c r="C5" t="s">
        <v>615</v>
      </c>
      <c r="E5">
        <v>2050</v>
      </c>
      <c r="F5" t="s">
        <v>2</v>
      </c>
      <c r="G5" t="s">
        <v>57</v>
      </c>
      <c r="K5" t="s">
        <v>147</v>
      </c>
    </row>
    <row r="6" spans="2:44">
      <c r="B6" t="s">
        <v>139</v>
      </c>
      <c r="C6" t="s">
        <v>141</v>
      </c>
      <c r="E6">
        <v>2050</v>
      </c>
      <c r="F6" t="s">
        <v>166</v>
      </c>
      <c r="G6" t="s">
        <v>57</v>
      </c>
    </row>
    <row r="7" spans="2:44">
      <c r="B7" t="s">
        <v>139</v>
      </c>
      <c r="C7" t="s">
        <v>141</v>
      </c>
      <c r="E7">
        <v>2100</v>
      </c>
      <c r="F7">
        <v>0</v>
      </c>
      <c r="G7" t="s">
        <v>57</v>
      </c>
      <c r="K7" t="s">
        <v>154</v>
      </c>
    </row>
    <row r="8" spans="2:44">
      <c r="I8" t="s">
        <v>148</v>
      </c>
      <c r="J8" t="s">
        <v>137</v>
      </c>
      <c r="K8" t="s">
        <v>133</v>
      </c>
      <c r="L8">
        <v>2018</v>
      </c>
      <c r="M8" t="str">
        <f>M1</f>
        <v>Africa_north</v>
      </c>
      <c r="N8" t="str">
        <f t="shared" ref="N8:AP8" si="0">N1</f>
        <v>Africa_other</v>
      </c>
      <c r="O8" t="str">
        <f t="shared" si="0"/>
        <v>Arg-Chi</v>
      </c>
      <c r="P8" t="str">
        <f t="shared" si="0"/>
        <v>Asia_central</v>
      </c>
      <c r="Q8" t="str">
        <f t="shared" si="0"/>
        <v>Asia_east</v>
      </c>
      <c r="R8" t="str">
        <f t="shared" si="0"/>
        <v>Asia_other</v>
      </c>
      <c r="S8" t="str">
        <f t="shared" si="0"/>
        <v>Australia_NZ</v>
      </c>
      <c r="T8" t="str">
        <f t="shared" si="0"/>
        <v>Brazil</v>
      </c>
      <c r="U8" t="str">
        <f t="shared" si="0"/>
        <v>Canada</v>
      </c>
      <c r="V8" t="str">
        <f t="shared" si="0"/>
        <v>China</v>
      </c>
      <c r="W8" t="str">
        <f t="shared" si="0"/>
        <v>EU_north</v>
      </c>
      <c r="X8" t="str">
        <f t="shared" si="0"/>
        <v>EU_northeast</v>
      </c>
      <c r="Y8" t="str">
        <f t="shared" si="0"/>
        <v>EU_northwest</v>
      </c>
      <c r="Z8" t="str">
        <f t="shared" si="0"/>
        <v>EU_south</v>
      </c>
      <c r="AA8" t="str">
        <f t="shared" si="0"/>
        <v>EU_southeast</v>
      </c>
      <c r="AB8" t="str">
        <f t="shared" si="0"/>
        <v>EU_southwest</v>
      </c>
      <c r="AC8" t="str">
        <f t="shared" si="0"/>
        <v>Europe_other</v>
      </c>
      <c r="AD8" t="str">
        <f t="shared" si="0"/>
        <v>France</v>
      </c>
      <c r="AE8" t="str">
        <f t="shared" si="0"/>
        <v>Germany</v>
      </c>
      <c r="AF8" t="str">
        <f t="shared" si="0"/>
        <v>India</v>
      </c>
      <c r="AG8" t="str">
        <f t="shared" si="0"/>
        <v>LatAm_other</v>
      </c>
      <c r="AH8" t="str">
        <f t="shared" si="0"/>
        <v>Mexico</v>
      </c>
      <c r="AI8" t="str">
        <f t="shared" si="0"/>
        <v>MidEast_other</v>
      </c>
      <c r="AJ8" t="str">
        <f t="shared" si="0"/>
        <v>Nor-Ice</v>
      </c>
      <c r="AK8" t="str">
        <f t="shared" si="0"/>
        <v>Russia</v>
      </c>
      <c r="AL8" t="str">
        <f t="shared" si="0"/>
        <v>SaudiArabia</v>
      </c>
      <c r="AM8" t="str">
        <f t="shared" si="0"/>
        <v>SouthAfrica</v>
      </c>
      <c r="AN8" t="str">
        <f t="shared" si="0"/>
        <v>UK</v>
      </c>
      <c r="AO8" t="str">
        <f t="shared" si="0"/>
        <v>USA</v>
      </c>
      <c r="AP8" t="str">
        <f t="shared" si="0"/>
        <v>\I:</v>
      </c>
      <c r="AQ8" t="s">
        <v>157</v>
      </c>
      <c r="AR8" t="s">
        <v>158</v>
      </c>
    </row>
    <row r="9" spans="2:44">
      <c r="I9" t="s">
        <v>155</v>
      </c>
      <c r="J9" t="s">
        <v>149</v>
      </c>
      <c r="K9" t="s">
        <v>150</v>
      </c>
      <c r="L9">
        <v>1</v>
      </c>
      <c r="AQ9">
        <v>0</v>
      </c>
      <c r="AR9">
        <v>3</v>
      </c>
    </row>
    <row r="10" spans="2:44">
      <c r="B10" t="s">
        <v>165</v>
      </c>
      <c r="J10" t="s">
        <v>149</v>
      </c>
      <c r="K10" t="s">
        <v>151</v>
      </c>
      <c r="M10" s="8">
        <f>IFERROR(-M2,"")</f>
        <v>0</v>
      </c>
      <c r="N10" s="8">
        <f t="shared" ref="N10:AP10" si="1">IFERROR(-N2,"")</f>
        <v>-1.5466859404332078E-3</v>
      </c>
      <c r="O10" s="8">
        <f t="shared" si="1"/>
        <v>-5.4981128564036259E-2</v>
      </c>
      <c r="P10" s="8">
        <f t="shared" si="1"/>
        <v>0</v>
      </c>
      <c r="Q10" s="8">
        <f t="shared" si="1"/>
        <v>-8.2474765632834859E-3</v>
      </c>
      <c r="R10" s="8">
        <f t="shared" si="1"/>
        <v>-1.5001925610465561E-2</v>
      </c>
      <c r="S10" s="8">
        <f t="shared" si="1"/>
        <v>-8.0902329556184257E-3</v>
      </c>
      <c r="T10" s="8">
        <f t="shared" si="1"/>
        <v>-0.26270131336865882</v>
      </c>
      <c r="U10" s="8">
        <f t="shared" si="1"/>
        <v>-4.9148491163592947E-2</v>
      </c>
      <c r="V10" s="8">
        <f t="shared" si="1"/>
        <v>-1.4240158183713603E-2</v>
      </c>
      <c r="W10" s="8">
        <f t="shared" si="1"/>
        <v>-4.9325171230878602E-2</v>
      </c>
      <c r="X10" s="8">
        <f t="shared" si="1"/>
        <v>-3.9676020446202644E-2</v>
      </c>
      <c r="Y10" s="8">
        <f t="shared" si="1"/>
        <v>-5.2160299161641846E-2</v>
      </c>
      <c r="Z10" s="8">
        <f t="shared" si="1"/>
        <v>-5.2957471635896904E-3</v>
      </c>
      <c r="AA10" s="8">
        <f t="shared" si="1"/>
        <v>-4.28449153638868E-2</v>
      </c>
      <c r="AB10" s="8">
        <f t="shared" si="1"/>
        <v>-2.1382631512077355E-2</v>
      </c>
      <c r="AC10" s="8">
        <f t="shared" si="1"/>
        <v>-1.9641984061932415E-2</v>
      </c>
      <c r="AD10" s="8">
        <f t="shared" si="1"/>
        <v>-8.3110496453805083E-2</v>
      </c>
      <c r="AE10" s="8">
        <f t="shared" si="1"/>
        <v>-4.1650974876946134E-2</v>
      </c>
      <c r="AF10" s="8">
        <f t="shared" si="1"/>
        <v>-2.7419290441534492E-2</v>
      </c>
      <c r="AG10" s="8">
        <f t="shared" si="1"/>
        <v>-2.3532874680887862E-2</v>
      </c>
      <c r="AH10" s="8">
        <f t="shared" si="1"/>
        <v>0</v>
      </c>
      <c r="AI10" s="8">
        <f t="shared" si="1"/>
        <v>0</v>
      </c>
      <c r="AJ10" s="8">
        <f t="shared" si="1"/>
        <v>-5.8947977055441594E-2</v>
      </c>
      <c r="AK10" s="8">
        <f t="shared" si="1"/>
        <v>0</v>
      </c>
      <c r="AL10" s="8">
        <f t="shared" si="1"/>
        <v>0</v>
      </c>
      <c r="AM10" s="8">
        <f t="shared" si="1"/>
        <v>0</v>
      </c>
      <c r="AN10" s="8">
        <f t="shared" si="1"/>
        <v>-3.0950130223062946E-2</v>
      </c>
      <c r="AO10" s="8">
        <f t="shared" si="1"/>
        <v>-8.8336222496207997E-2</v>
      </c>
      <c r="AP10" s="8">
        <f t="shared" si="1"/>
        <v>0</v>
      </c>
    </row>
    <row r="11" spans="2:44">
      <c r="B11" t="s">
        <v>7</v>
      </c>
      <c r="C11" t="s">
        <v>49</v>
      </c>
      <c r="D11" t="s">
        <v>4</v>
      </c>
      <c r="E11" t="s">
        <v>127</v>
      </c>
      <c r="I11" t="s">
        <v>156</v>
      </c>
      <c r="J11" t="s">
        <v>149</v>
      </c>
      <c r="K11" t="s">
        <v>152</v>
      </c>
      <c r="L11">
        <v>1</v>
      </c>
      <c r="AQ11">
        <v>0</v>
      </c>
      <c r="AR11">
        <v>3</v>
      </c>
    </row>
    <row r="12" spans="2:44">
      <c r="B12" t="s">
        <v>167</v>
      </c>
      <c r="C12" t="s">
        <v>168</v>
      </c>
      <c r="D12" t="s">
        <v>149</v>
      </c>
      <c r="E12">
        <v>2150</v>
      </c>
      <c r="J12" t="s">
        <v>149</v>
      </c>
      <c r="K12" t="s">
        <v>153</v>
      </c>
      <c r="M12" s="8">
        <f t="shared" ref="M12:AP12" si="2">IFERROR(-M3,"")</f>
        <v>0</v>
      </c>
      <c r="N12" s="8">
        <f t="shared" si="2"/>
        <v>0</v>
      </c>
      <c r="O12" s="8">
        <f t="shared" si="2"/>
        <v>-8.9358034660592792E-2</v>
      </c>
      <c r="P12" s="8">
        <f t="shared" si="2"/>
        <v>-4.8798115601416991E-5</v>
      </c>
      <c r="Q12" s="8">
        <f t="shared" si="2"/>
        <v>-1.5955646856327745E-2</v>
      </c>
      <c r="R12" s="8">
        <f t="shared" si="2"/>
        <v>-9.0874676157181172E-2</v>
      </c>
      <c r="S12" s="8">
        <f t="shared" si="2"/>
        <v>-3.167183817251335E-4</v>
      </c>
      <c r="T12" s="8">
        <f t="shared" si="2"/>
        <v>-0.45336610011312939</v>
      </c>
      <c r="U12" s="8">
        <f t="shared" si="2"/>
        <v>-3.3215555072431055E-2</v>
      </c>
      <c r="V12" s="8">
        <f t="shared" si="2"/>
        <v>-9.6352900220773915E-3</v>
      </c>
      <c r="W12" s="8">
        <f t="shared" si="2"/>
        <v>-0.22224276406594201</v>
      </c>
      <c r="X12" s="8">
        <f t="shared" si="2"/>
        <v>-6.029167940322145E-2</v>
      </c>
      <c r="Y12" s="8">
        <f t="shared" si="2"/>
        <v>-6.5088203541263573E-2</v>
      </c>
      <c r="Z12" s="8">
        <f t="shared" si="2"/>
        <v>-5.9043306362990752E-2</v>
      </c>
      <c r="AA12" s="8">
        <f t="shared" si="2"/>
        <v>-6.1709577131025269E-2</v>
      </c>
      <c r="AB12" s="8">
        <f t="shared" si="2"/>
        <v>-6.8502964571788102E-2</v>
      </c>
      <c r="AC12" s="8">
        <f t="shared" si="2"/>
        <v>-1.1621637275464124E-2</v>
      </c>
      <c r="AD12" s="8">
        <f t="shared" si="2"/>
        <v>-8.21698118854082E-2</v>
      </c>
      <c r="AE12" s="8">
        <f t="shared" si="2"/>
        <v>-5.6931929336453177E-2</v>
      </c>
      <c r="AF12" s="8">
        <f t="shared" si="2"/>
        <v>-6.7262437758921123E-4</v>
      </c>
      <c r="AG12" s="8">
        <f t="shared" si="2"/>
        <v>-3.1895002571472195E-2</v>
      </c>
      <c r="AH12" s="8">
        <f t="shared" si="2"/>
        <v>0</v>
      </c>
      <c r="AI12" s="8">
        <f t="shared" si="2"/>
        <v>0</v>
      </c>
      <c r="AJ12" s="8">
        <f t="shared" si="2"/>
        <v>-0.18889469418219185</v>
      </c>
      <c r="AK12" s="8">
        <f t="shared" si="2"/>
        <v>0</v>
      </c>
      <c r="AL12" s="8">
        <f t="shared" si="2"/>
        <v>0</v>
      </c>
      <c r="AM12" s="8">
        <f t="shared" si="2"/>
        <v>0</v>
      </c>
      <c r="AN12" s="8">
        <f t="shared" si="2"/>
        <v>-5.1852280443730248E-2</v>
      </c>
      <c r="AO12" s="8">
        <f t="shared" si="2"/>
        <v>-3.5581240656848312E-2</v>
      </c>
      <c r="AP12" s="8">
        <f t="shared" si="2"/>
        <v>0</v>
      </c>
    </row>
    <row r="15" spans="2:44">
      <c r="B15" t="s">
        <v>165</v>
      </c>
    </row>
    <row r="16" spans="2:44">
      <c r="B16" t="s">
        <v>7</v>
      </c>
      <c r="C16" t="s">
        <v>107</v>
      </c>
      <c r="D16" t="s">
        <v>50</v>
      </c>
      <c r="E16" t="s">
        <v>54</v>
      </c>
      <c r="F16" t="s">
        <v>127</v>
      </c>
      <c r="G16" t="s">
        <v>478</v>
      </c>
      <c r="K16" t="s">
        <v>177</v>
      </c>
    </row>
    <row r="17" spans="2:37">
      <c r="B17" t="s">
        <v>135</v>
      </c>
      <c r="C17" t="s">
        <v>675</v>
      </c>
      <c r="D17" t="s">
        <v>674</v>
      </c>
      <c r="E17" t="s">
        <v>55</v>
      </c>
      <c r="F17">
        <v>0.48</v>
      </c>
      <c r="K17" t="s">
        <v>3</v>
      </c>
      <c r="L17" t="s">
        <v>0</v>
      </c>
      <c r="M17" t="s">
        <v>4</v>
      </c>
      <c r="N17" t="s">
        <v>1</v>
      </c>
    </row>
    <row r="18" spans="2:37">
      <c r="B18" t="s">
        <v>695</v>
      </c>
      <c r="C18" t="s">
        <v>693</v>
      </c>
      <c r="D18" t="s">
        <v>152</v>
      </c>
      <c r="E18" t="s">
        <v>55</v>
      </c>
      <c r="F18" s="8">
        <v>0.01</v>
      </c>
      <c r="L18" t="s">
        <v>176</v>
      </c>
      <c r="M18" t="s">
        <v>175</v>
      </c>
      <c r="N18" t="s">
        <v>2</v>
      </c>
    </row>
    <row r="19" spans="2:37">
      <c r="B19" t="s">
        <v>695</v>
      </c>
      <c r="C19" t="s">
        <v>693</v>
      </c>
      <c r="D19" t="s">
        <v>152</v>
      </c>
      <c r="E19" t="s">
        <v>55</v>
      </c>
      <c r="F19" s="8">
        <v>0.03</v>
      </c>
      <c r="G19" t="str">
        <f>AF23</f>
        <v>USA</v>
      </c>
    </row>
    <row r="20" spans="2:37">
      <c r="B20" t="s">
        <v>695</v>
      </c>
      <c r="C20" t="s">
        <v>693</v>
      </c>
      <c r="D20" t="s">
        <v>152</v>
      </c>
      <c r="E20" t="s">
        <v>55</v>
      </c>
      <c r="F20" s="8">
        <v>0.1</v>
      </c>
      <c r="G20" t="str">
        <f>K23</f>
        <v>Brazil</v>
      </c>
    </row>
    <row r="23" spans="2:37">
      <c r="B23" t="s">
        <v>38</v>
      </c>
      <c r="C23" t="s">
        <v>39</v>
      </c>
      <c r="D23" t="str">
        <f>IF(BY_TRA!L1="","\I:",BY_TRA!L1)</f>
        <v>Africa_north</v>
      </c>
      <c r="E23" t="str">
        <f>IF(BY_TRA!M1="","\I:",BY_TRA!M1)</f>
        <v>Africa_other</v>
      </c>
      <c r="F23" t="str">
        <f>IF(BY_TRA!N1="","\I:",BY_TRA!N1)</f>
        <v>Arg-Chi</v>
      </c>
      <c r="G23" t="str">
        <f>IF(BY_TRA!O1="","\I:",BY_TRA!O1)</f>
        <v>Asia_central</v>
      </c>
      <c r="H23" t="str">
        <f>IF(BY_TRA!P1="","\I:",BY_TRA!P1)</f>
        <v>Asia_east</v>
      </c>
      <c r="I23" t="str">
        <f>IF(BY_TRA!Q1="","\I:",BY_TRA!Q1)</f>
        <v>Asia_other</v>
      </c>
      <c r="J23" t="str">
        <f>IF(BY_TRA!R1="","\I:",BY_TRA!R1)</f>
        <v>Australia_NZ</v>
      </c>
      <c r="K23" t="str">
        <f>IF(BY_TRA!S1="","\I:",BY_TRA!S1)</f>
        <v>Brazil</v>
      </c>
      <c r="L23" t="str">
        <f>IF(BY_TRA!T1="","\I:",BY_TRA!T1)</f>
        <v>Canada</v>
      </c>
      <c r="M23" t="str">
        <f>IF(BY_TRA!U1="","\I:",BY_TRA!U1)</f>
        <v>China</v>
      </c>
      <c r="N23" t="str">
        <f>IF(BY_TRA!V1="","\I:",BY_TRA!V1)</f>
        <v>EU_north</v>
      </c>
      <c r="O23" t="str">
        <f>IF(BY_TRA!W1="","\I:",BY_TRA!W1)</f>
        <v>EU_northeast</v>
      </c>
      <c r="P23" t="str">
        <f>IF(BY_TRA!X1="","\I:",BY_TRA!X1)</f>
        <v>EU_northwest</v>
      </c>
      <c r="Q23" t="str">
        <f>IF(BY_TRA!Y1="","\I:",BY_TRA!Y1)</f>
        <v>EU_south</v>
      </c>
      <c r="R23" t="str">
        <f>IF(BY_TRA!Z1="","\I:",BY_TRA!Z1)</f>
        <v>EU_southeast</v>
      </c>
      <c r="S23" t="str">
        <f>IF(BY_TRA!AA1="","\I:",BY_TRA!AA1)</f>
        <v>EU_southwest</v>
      </c>
      <c r="T23" t="str">
        <f>IF(BY_TRA!AB1="","\I:",BY_TRA!AB1)</f>
        <v>Europe_other</v>
      </c>
      <c r="U23" t="str">
        <f>IF(BY_TRA!AC1="","\I:",BY_TRA!AC1)</f>
        <v>France</v>
      </c>
      <c r="V23" t="str">
        <f>IF(BY_TRA!AD1="","\I:",BY_TRA!AD1)</f>
        <v>Germany</v>
      </c>
      <c r="W23" t="str">
        <f>IF(BY_TRA!AE1="","\I:",BY_TRA!AE1)</f>
        <v>India</v>
      </c>
      <c r="X23" t="str">
        <f>IF(BY_TRA!AF1="","\I:",BY_TRA!AF1)</f>
        <v>LatAm_other</v>
      </c>
      <c r="Y23" t="str">
        <f>IF(BY_TRA!AG1="","\I:",BY_TRA!AG1)</f>
        <v>Mexico</v>
      </c>
      <c r="Z23" t="str">
        <f>IF(BY_TRA!AH1="","\I:",BY_TRA!AH1)</f>
        <v>MidEast_other</v>
      </c>
      <c r="AA23" t="str">
        <f>IF(BY_TRA!AI1="","\I:",BY_TRA!AI1)</f>
        <v>Nor-Ice</v>
      </c>
      <c r="AB23" t="str">
        <f>IF(BY_TRA!AJ1="","\I:",BY_TRA!AJ1)</f>
        <v>Russia</v>
      </c>
      <c r="AC23" t="str">
        <f>IF(BY_TRA!AK1="","\I:",BY_TRA!AK1)</f>
        <v>SaudiArabia</v>
      </c>
      <c r="AD23" t="str">
        <f>IF(BY_TRA!AL1="","\I:",BY_TRA!AL1)</f>
        <v>SouthAfrica</v>
      </c>
      <c r="AE23" t="str">
        <f>IF(BY_TRA!AM1="","\I:",BY_TRA!AM1)</f>
        <v>UK</v>
      </c>
      <c r="AF23" t="str">
        <f>IF(BY_TRA!AN1="","\I:",BY_TRA!AN1)</f>
        <v>USA</v>
      </c>
      <c r="AG23" t="str">
        <f>IF(BY_TRA!AO1="","\I:",BY_TRA!AO1)</f>
        <v>year2</v>
      </c>
      <c r="AH23" t="str">
        <f>IF(BY_TRA!AP1="","\I:",BY_TRA!AP1)</f>
        <v>\I:</v>
      </c>
      <c r="AI23" t="str">
        <f>IF(BY_TRA!AQ1="","\I:",BY_TRA!AQ1)</f>
        <v>\I:</v>
      </c>
      <c r="AJ23" t="str">
        <f>IF(BY_TRA!AR1="","\I:",BY_TRA!AR1)</f>
        <v>\I:</v>
      </c>
      <c r="AK23" t="str">
        <f>IF(BY_TRA!AS1="","\I:",BY_TRA!AS1)</f>
        <v>\I:</v>
      </c>
    </row>
    <row r="24" spans="2:37">
      <c r="B24" t="s">
        <v>190</v>
      </c>
      <c r="C24" t="s">
        <v>191</v>
      </c>
      <c r="D24" s="12">
        <f>IFERROR(SUMIFS(BY_TRA!L$2:L$999,BY_TRA!$AT$2:$AT$999,Transport!$B24,BY_TRA!$AU$2:$AU$999,Transport!$C24)/SUMIFS(BY_TRA!L$2:L$999,BY_TRA!$AT$2:$AT$999,Transport!$B24),0)</f>
        <v>0</v>
      </c>
      <c r="E24" s="12">
        <f>IFERROR(SUMIFS(BY_TRA!M$2:M$999,BY_TRA!$AT$2:$AT$999,Transport!$B24,BY_TRA!$AU$2:$AU$999,Transport!$C24)/SUMIFS(BY_TRA!M$2:M$999,BY_TRA!$AT$2:$AT$999,Transport!$B24),0)</f>
        <v>1.6228497241155477E-3</v>
      </c>
      <c r="F24" s="12">
        <f>IFERROR(SUMIFS(BY_TRA!N$2:N$999,BY_TRA!$AT$2:$AT$999,Transport!$B24,BY_TRA!$AU$2:$AU$999,Transport!$C24)/SUMIFS(BY_TRA!N$2:N$999,BY_TRA!$AT$2:$AT$999,Transport!$B24),0)</f>
        <v>4.8780487804878078E-2</v>
      </c>
      <c r="G24" s="12">
        <f>IFERROR(SUMIFS(BY_TRA!O$2:O$999,BY_TRA!$AT$2:$AT$999,Transport!$B24,BY_TRA!$AU$2:$AU$999,Transport!$C24)/SUMIFS(BY_TRA!O$2:O$999,BY_TRA!$AT$2:$AT$999,Transport!$B24),0)</f>
        <v>0</v>
      </c>
      <c r="H24" s="12">
        <f>IFERROR(SUMIFS(BY_TRA!P$2:P$999,BY_TRA!$AT$2:$AT$999,Transport!$B24,BY_TRA!$AU$2:$AU$999,Transport!$C24)/SUMIFS(BY_TRA!P$2:P$999,BY_TRA!$AT$2:$AT$999,Transport!$B24),0)</f>
        <v>7.7220077220077231E-3</v>
      </c>
      <c r="I24" s="12">
        <f>IFERROR(SUMIFS(BY_TRA!Q$2:Q$999,BY_TRA!$AT$2:$AT$999,Transport!$B24,BY_TRA!$AU$2:$AU$999,Transport!$C24)/SUMIFS(BY_TRA!Q$2:Q$999,BY_TRA!$AT$2:$AT$999,Transport!$B24),0)</f>
        <v>1.4785774292915152E-2</v>
      </c>
      <c r="J24" s="12">
        <f>IFERROR(SUMIFS(BY_TRA!R$2:R$999,BY_TRA!$AT$2:$AT$999,Transport!$B24,BY_TRA!$AU$2:$AU$999,Transport!$C24)/SUMIFS(BY_TRA!R$2:R$999,BY_TRA!$AT$2:$AT$999,Transport!$B24),0)</f>
        <v>5.7803468208092517E-3</v>
      </c>
      <c r="K24" s="12">
        <f>IFERROR(SUMIFS(BY_TRA!S$2:S$999,BY_TRA!$AT$2:$AT$999,Transport!$B24,BY_TRA!$AU$2:$AU$999,Transport!$C24)/SUMIFS(BY_TRA!S$2:S$999,BY_TRA!$AT$2:$AT$999,Transport!$B24),0)</f>
        <v>0.20833333333333323</v>
      </c>
      <c r="L24" s="12">
        <f>IFERROR(SUMIFS(BY_TRA!T$2:T$999,BY_TRA!$AT$2:$AT$999,Transport!$B24,BY_TRA!$AU$2:$AU$999,Transport!$C24)/SUMIFS(BY_TRA!T$2:T$999,BY_TRA!$AT$2:$AT$999,Transport!$B24),0)</f>
        <v>5.2631578947368432E-2</v>
      </c>
      <c r="M24" s="12">
        <f>IFERROR(SUMIFS(BY_TRA!U$2:U$999,BY_TRA!$AT$2:$AT$999,Transport!$B24,BY_TRA!$AU$2:$AU$999,Transport!$C24)/SUMIFS(BY_TRA!U$2:U$999,BY_TRA!$AT$2:$AT$999,Transport!$B24),0)</f>
        <v>1.4019893671754423E-2</v>
      </c>
      <c r="N24" s="12">
        <f>IFERROR(SUMIFS(BY_TRA!V$2:V$999,BY_TRA!$AT$2:$AT$999,Transport!$B24,BY_TRA!$AU$2:$AU$999,Transport!$C24)/SUMIFS(BY_TRA!V$2:V$999,BY_TRA!$AT$2:$AT$999,Transport!$B24),0)</f>
        <v>4.8780487804878078E-2</v>
      </c>
      <c r="O24" s="12">
        <f>IFERROR(SUMIFS(BY_TRA!W$2:W$999,BY_TRA!$AT$2:$AT$999,Transport!$B24,BY_TRA!$AU$2:$AU$999,Transport!$C24)/SUMIFS(BY_TRA!W$2:W$999,BY_TRA!$AT$2:$AT$999,Transport!$B24),0)</f>
        <v>4.8780487804878078E-2</v>
      </c>
      <c r="P24" s="12">
        <f>IFERROR(SUMIFS(BY_TRA!X$2:X$999,BY_TRA!$AT$2:$AT$999,Transport!$B24,BY_TRA!$AU$2:$AU$999,Transport!$C24)/SUMIFS(BY_TRA!X$2:X$999,BY_TRA!$AT$2:$AT$999,Transport!$B24),0)</f>
        <v>4.6153846153846191E-2</v>
      </c>
      <c r="Q24" s="12">
        <f>IFERROR(SUMIFS(BY_TRA!Y$2:Y$999,BY_TRA!$AT$2:$AT$999,Transport!$B24,BY_TRA!$AU$2:$AU$999,Transport!$C24)/SUMIFS(BY_TRA!Y$2:Y$999,BY_TRA!$AT$2:$AT$999,Transport!$B24),0)</f>
        <v>0</v>
      </c>
      <c r="R24" s="12">
        <f>IFERROR(SUMIFS(BY_TRA!Z$2:Z$999,BY_TRA!$AT$2:$AT$999,Transport!$B24,BY_TRA!$AU$2:$AU$999,Transport!$C24)/SUMIFS(BY_TRA!Z$2:Z$999,BY_TRA!$AT$2:$AT$999,Transport!$B24),0)</f>
        <v>5.2631578947368432E-2</v>
      </c>
      <c r="S24" s="12">
        <f>IFERROR(SUMIFS(BY_TRA!AA$2:AA$999,BY_TRA!$AT$2:$AT$999,Transport!$B24,BY_TRA!$AU$2:$AU$999,Transport!$C24)/SUMIFS(BY_TRA!AA$2:AA$999,BY_TRA!$AT$2:$AT$999,Transport!$B24),0)</f>
        <v>1.7543859649122806E-2</v>
      </c>
      <c r="T24" s="12">
        <f>IFERROR(SUMIFS(BY_TRA!AB$2:AB$999,BY_TRA!$AT$2:$AT$999,Transport!$B24,BY_TRA!$AU$2:$AU$999,Transport!$C24)/SUMIFS(BY_TRA!AB$2:AB$999,BY_TRA!$AT$2:$AT$999,Transport!$B24),0)</f>
        <v>1.3513513513513519E-2</v>
      </c>
      <c r="U24" s="12">
        <f>IFERROR(SUMIFS(BY_TRA!AC$2:AC$999,BY_TRA!$AT$2:$AT$999,Transport!$B24,BY_TRA!$AU$2:$AU$999,Transport!$C24)/SUMIFS(BY_TRA!AC$2:AC$999,BY_TRA!$AT$2:$AT$999,Transport!$B24),0)</f>
        <v>8.1081081081081072E-2</v>
      </c>
      <c r="V24" s="12">
        <f>IFERROR(SUMIFS(BY_TRA!AD$2:AD$999,BY_TRA!$AT$2:$AT$999,Transport!$B24,BY_TRA!$AU$2:$AU$999,Transport!$C24)/SUMIFS(BY_TRA!AD$2:AD$999,BY_TRA!$AT$2:$AT$999,Transport!$B24),0)</f>
        <v>3.8709677419354861E-2</v>
      </c>
      <c r="W24" s="12">
        <f>IFERROR(SUMIFS(BY_TRA!AE$2:AE$999,BY_TRA!$AT$2:$AT$999,Transport!$B24,BY_TRA!$AU$2:$AU$999,Transport!$C24)/SUMIFS(BY_TRA!AE$2:AE$999,BY_TRA!$AT$2:$AT$999,Transport!$B24),0)</f>
        <v>2.6649583600256262E-2</v>
      </c>
      <c r="X24" s="12">
        <f>IFERROR(SUMIFS(BY_TRA!AF$2:AF$999,BY_TRA!$AT$2:$AT$999,Transport!$B24,BY_TRA!$AU$2:$AU$999,Transport!$C24)/SUMIFS(BY_TRA!AF$2:AF$999,BY_TRA!$AT$2:$AT$999,Transport!$B24),0)</f>
        <v>2.3622047244094509E-2</v>
      </c>
      <c r="Y24" s="12">
        <f>IFERROR(SUMIFS(BY_TRA!AG$2:AG$999,BY_TRA!$AT$2:$AT$999,Transport!$B24,BY_TRA!$AU$2:$AU$999,Transport!$C24)/SUMIFS(BY_TRA!AG$2:AG$999,BY_TRA!$AT$2:$AT$999,Transport!$B24),0)</f>
        <v>0</v>
      </c>
      <c r="Z24" s="12">
        <f>IFERROR(SUMIFS(BY_TRA!AH$2:AH$999,BY_TRA!$AT$2:$AT$999,Transport!$B24,BY_TRA!$AU$2:$AU$999,Transport!$C24)/SUMIFS(BY_TRA!AH$2:AH$999,BY_TRA!$AT$2:$AT$999,Transport!$B24),0)</f>
        <v>0</v>
      </c>
      <c r="AA24" s="12">
        <f>IFERROR(SUMIFS(BY_TRA!AI$2:AI$999,BY_TRA!$AT$2:$AT$999,Transport!$B24,BY_TRA!$AU$2:$AU$999,Transport!$C24)/SUMIFS(BY_TRA!AI$2:AI$999,BY_TRA!$AT$2:$AT$999,Transport!$B24),0)</f>
        <v>0</v>
      </c>
      <c r="AB24" s="12">
        <f>IFERROR(SUMIFS(BY_TRA!AJ$2:AJ$999,BY_TRA!$AT$2:$AT$999,Transport!$B24,BY_TRA!$AU$2:$AU$999,Transport!$C24)/SUMIFS(BY_TRA!AJ$2:AJ$999,BY_TRA!$AT$2:$AT$999,Transport!$B24),0)</f>
        <v>0</v>
      </c>
      <c r="AC24" s="12">
        <f>IFERROR(SUMIFS(BY_TRA!AK$2:AK$999,BY_TRA!$AT$2:$AT$999,Transport!$B24,BY_TRA!$AU$2:$AU$999,Transport!$C24)/SUMIFS(BY_TRA!AK$2:AK$999,BY_TRA!$AT$2:$AT$999,Transport!$B24),0)</f>
        <v>0</v>
      </c>
      <c r="AD24" s="12">
        <f>IFERROR(SUMIFS(BY_TRA!AL$2:AL$999,BY_TRA!$AT$2:$AT$999,Transport!$B24,BY_TRA!$AU$2:$AU$999,Transport!$C24)/SUMIFS(BY_TRA!AL$2:AL$999,BY_TRA!$AT$2:$AT$999,Transport!$B24),0)</f>
        <v>0</v>
      </c>
      <c r="AE24" s="12">
        <f>IFERROR(SUMIFS(BY_TRA!AM$2:AM$999,BY_TRA!$AT$2:$AT$999,Transport!$B24,BY_TRA!$AU$2:$AU$999,Transport!$C24)/SUMIFS(BY_TRA!AM$2:AM$999,BY_TRA!$AT$2:$AT$999,Transport!$B24),0)</f>
        <v>2.7522935779816522E-2</v>
      </c>
      <c r="AF24" s="12">
        <f>IFERROR(SUMIFS(BY_TRA!AN$2:AN$999,BY_TRA!$AT$2:$AT$999,Transport!$B24,BY_TRA!$AU$2:$AU$999,Transport!$C24)/SUMIFS(BY_TRA!AN$2:AN$999,BY_TRA!$AT$2:$AT$999,Transport!$B24),0)</f>
        <v>7.8947368421052613E-2</v>
      </c>
      <c r="AG24" s="12">
        <f>IFERROR(SUMIFS(BY_TRA!AO$2:AO$999,BY_TRA!$AT$2:$AT$999,Transport!$B24,BY_TRA!$AU$2:$AU$999,Transport!$C24)/SUMIFS(BY_TRA!AO$2:AO$999,BY_TRA!$AT$2:$AT$999,Transport!$B24),0)</f>
        <v>0</v>
      </c>
      <c r="AH24" s="12">
        <f>IFERROR(SUMIFS(BY_TRA!AP$2:AP$999,BY_TRA!$AT$2:$AT$999,Transport!$B24,BY_TRA!$AU$2:$AU$999,Transport!$C24)/SUMIFS(BY_TRA!AP$2:AP$999,BY_TRA!$AT$2:$AT$999,Transport!$B24),0)</f>
        <v>0</v>
      </c>
      <c r="AI24" s="12">
        <f>IFERROR(SUMIFS(BY_TRA!AQ$2:AQ$999,BY_TRA!$AT$2:$AT$999,Transport!$B24,BY_TRA!$AU$2:$AU$999,Transport!$C24)/SUMIFS(BY_TRA!AQ$2:AQ$999,BY_TRA!$AT$2:$AT$999,Transport!$B24),0)</f>
        <v>0</v>
      </c>
    </row>
    <row r="25" spans="2:37">
      <c r="B25" t="s">
        <v>190</v>
      </c>
      <c r="C25" t="s">
        <v>192</v>
      </c>
      <c r="D25" s="12">
        <f>IFERROR(SUMIFS(BY_TRA!L$2:L$999,BY_TRA!$AT$2:$AT$999,Transport!$B25,BY_TRA!$AU$2:$AU$999,Transport!$C25)/SUMIFS(BY_TRA!L$2:L$999,BY_TRA!$AT$2:$AT$999,Transport!$B25),0)</f>
        <v>1</v>
      </c>
      <c r="E25" s="12">
        <f>IFERROR(SUMIFS(BY_TRA!M$2:M$999,BY_TRA!$AT$2:$AT$999,Transport!$B25,BY_TRA!$AU$2:$AU$999,Transport!$C25)/SUMIFS(BY_TRA!M$2:M$999,BY_TRA!$AT$2:$AT$999,Transport!$B25),0)</f>
        <v>0.99837715027588458</v>
      </c>
      <c r="F25" s="12">
        <f>IFERROR(SUMIFS(BY_TRA!N$2:N$999,BY_TRA!$AT$2:$AT$999,Transport!$B25,BY_TRA!$AU$2:$AU$999,Transport!$C25)/SUMIFS(BY_TRA!N$2:N$999,BY_TRA!$AT$2:$AT$999,Transport!$B25),0)</f>
        <v>0.9512195121951218</v>
      </c>
      <c r="G25" s="12">
        <f>IFERROR(SUMIFS(BY_TRA!O$2:O$999,BY_TRA!$AT$2:$AT$999,Transport!$B25,BY_TRA!$AU$2:$AU$999,Transport!$C25)/SUMIFS(BY_TRA!O$2:O$999,BY_TRA!$AT$2:$AT$999,Transport!$B25),0)</f>
        <v>1</v>
      </c>
      <c r="H25" s="12">
        <f>IFERROR(SUMIFS(BY_TRA!P$2:P$999,BY_TRA!$AT$2:$AT$999,Transport!$B25,BY_TRA!$AU$2:$AU$999,Transport!$C25)/SUMIFS(BY_TRA!P$2:P$999,BY_TRA!$AT$2:$AT$999,Transport!$B25),0)</f>
        <v>0.99227799227799218</v>
      </c>
      <c r="I25" s="12">
        <f>IFERROR(SUMIFS(BY_TRA!Q$2:Q$999,BY_TRA!$AT$2:$AT$999,Transport!$B25,BY_TRA!$AU$2:$AU$999,Transport!$C25)/SUMIFS(BY_TRA!Q$2:Q$999,BY_TRA!$AT$2:$AT$999,Transport!$B25),0)</f>
        <v>0.98521422570708483</v>
      </c>
      <c r="J25" s="12">
        <f>IFERROR(SUMIFS(BY_TRA!R$2:R$999,BY_TRA!$AT$2:$AT$999,Transport!$B25,BY_TRA!$AU$2:$AU$999,Transport!$C25)/SUMIFS(BY_TRA!R$2:R$999,BY_TRA!$AT$2:$AT$999,Transport!$B25),0)</f>
        <v>0.99421965317919081</v>
      </c>
      <c r="K25" s="12">
        <f>IFERROR(SUMIFS(BY_TRA!S$2:S$999,BY_TRA!$AT$2:$AT$999,Transport!$B25,BY_TRA!$AU$2:$AU$999,Transport!$C25)/SUMIFS(BY_TRA!S$2:S$999,BY_TRA!$AT$2:$AT$999,Transport!$B25),0)</f>
        <v>0.7916666666666663</v>
      </c>
      <c r="L25" s="12">
        <f>IFERROR(SUMIFS(BY_TRA!T$2:T$999,BY_TRA!$AT$2:$AT$999,Transport!$B25,BY_TRA!$AU$2:$AU$999,Transport!$C25)/SUMIFS(BY_TRA!T$2:T$999,BY_TRA!$AT$2:$AT$999,Transport!$B25),0)</f>
        <v>0.94736842105263142</v>
      </c>
      <c r="M25" s="12">
        <f>IFERROR(SUMIFS(BY_TRA!U$2:U$999,BY_TRA!$AT$2:$AT$999,Transport!$B25,BY_TRA!$AU$2:$AU$999,Transport!$C25)/SUMIFS(BY_TRA!U$2:U$999,BY_TRA!$AT$2:$AT$999,Transport!$B25),0)</f>
        <v>0.98598010632824562</v>
      </c>
      <c r="N25" s="12">
        <f>IFERROR(SUMIFS(BY_TRA!V$2:V$999,BY_TRA!$AT$2:$AT$999,Transport!$B25,BY_TRA!$AU$2:$AU$999,Transport!$C25)/SUMIFS(BY_TRA!V$2:V$999,BY_TRA!$AT$2:$AT$999,Transport!$B25),0)</f>
        <v>0.9512195121951218</v>
      </c>
      <c r="O25" s="12">
        <f>IFERROR(SUMIFS(BY_TRA!W$2:W$999,BY_TRA!$AT$2:$AT$999,Transport!$B25,BY_TRA!$AU$2:$AU$999,Transport!$C25)/SUMIFS(BY_TRA!W$2:W$999,BY_TRA!$AT$2:$AT$999,Transport!$B25),0)</f>
        <v>0.9512195121951218</v>
      </c>
      <c r="P25" s="12">
        <f>IFERROR(SUMIFS(BY_TRA!X$2:X$999,BY_TRA!$AT$2:$AT$999,Transport!$B25,BY_TRA!$AU$2:$AU$999,Transport!$C25)/SUMIFS(BY_TRA!X$2:X$999,BY_TRA!$AT$2:$AT$999,Transport!$B25),0)</f>
        <v>0.9538461538461539</v>
      </c>
      <c r="Q25" s="12">
        <f>IFERROR(SUMIFS(BY_TRA!Y$2:Y$999,BY_TRA!$AT$2:$AT$999,Transport!$B25,BY_TRA!$AU$2:$AU$999,Transport!$C25)/SUMIFS(BY_TRA!Y$2:Y$999,BY_TRA!$AT$2:$AT$999,Transport!$B25),0)</f>
        <v>1</v>
      </c>
      <c r="R25" s="12">
        <f>IFERROR(SUMIFS(BY_TRA!Z$2:Z$999,BY_TRA!$AT$2:$AT$999,Transport!$B25,BY_TRA!$AU$2:$AU$999,Transport!$C25)/SUMIFS(BY_TRA!Z$2:Z$999,BY_TRA!$AT$2:$AT$999,Transport!$B25),0)</f>
        <v>0.94736842105263142</v>
      </c>
      <c r="S25" s="12">
        <f>IFERROR(SUMIFS(BY_TRA!AA$2:AA$999,BY_TRA!$AT$2:$AT$999,Transport!$B25,BY_TRA!$AU$2:$AU$999,Transport!$C25)/SUMIFS(BY_TRA!AA$2:AA$999,BY_TRA!$AT$2:$AT$999,Transport!$B25),0)</f>
        <v>0.98245614035087714</v>
      </c>
      <c r="T25" s="12">
        <f>IFERROR(SUMIFS(BY_TRA!AB$2:AB$999,BY_TRA!$AT$2:$AT$999,Transport!$B25,BY_TRA!$AU$2:$AU$999,Transport!$C25)/SUMIFS(BY_TRA!AB$2:AB$999,BY_TRA!$AT$2:$AT$999,Transport!$B25),0)</f>
        <v>0.98648648648648651</v>
      </c>
      <c r="U25" s="12">
        <f>IFERROR(SUMIFS(BY_TRA!AC$2:AC$999,BY_TRA!$AT$2:$AT$999,Transport!$B25,BY_TRA!$AU$2:$AU$999,Transport!$C25)/SUMIFS(BY_TRA!AC$2:AC$999,BY_TRA!$AT$2:$AT$999,Transport!$B25),0)</f>
        <v>0.91891891891891886</v>
      </c>
      <c r="V25" s="12">
        <f>IFERROR(SUMIFS(BY_TRA!AD$2:AD$999,BY_TRA!$AT$2:$AT$999,Transport!$B25,BY_TRA!$AU$2:$AU$999,Transport!$C25)/SUMIFS(BY_TRA!AD$2:AD$999,BY_TRA!$AT$2:$AT$999,Transport!$B25),0)</f>
        <v>0.96129032258064517</v>
      </c>
      <c r="W25" s="12">
        <f>IFERROR(SUMIFS(BY_TRA!AE$2:AE$999,BY_TRA!$AT$2:$AT$999,Transport!$B25,BY_TRA!$AU$2:$AU$999,Transport!$C25)/SUMIFS(BY_TRA!AE$2:AE$999,BY_TRA!$AT$2:$AT$999,Transport!$B25),0)</f>
        <v>0.97335041639974373</v>
      </c>
      <c r="X25" s="12">
        <f>IFERROR(SUMIFS(BY_TRA!AF$2:AF$999,BY_TRA!$AT$2:$AT$999,Transport!$B25,BY_TRA!$AU$2:$AU$999,Transport!$C25)/SUMIFS(BY_TRA!AF$2:AF$999,BY_TRA!$AT$2:$AT$999,Transport!$B25),0)</f>
        <v>0.97637795275590555</v>
      </c>
      <c r="Y25" s="12">
        <f>IFERROR(SUMIFS(BY_TRA!AG$2:AG$999,BY_TRA!$AT$2:$AT$999,Transport!$B25,BY_TRA!$AU$2:$AU$999,Transport!$C25)/SUMIFS(BY_TRA!AG$2:AG$999,BY_TRA!$AT$2:$AT$999,Transport!$B25),0)</f>
        <v>1</v>
      </c>
      <c r="Z25" s="12">
        <f>IFERROR(SUMIFS(BY_TRA!AH$2:AH$999,BY_TRA!$AT$2:$AT$999,Transport!$B25,BY_TRA!$AU$2:$AU$999,Transport!$C25)/SUMIFS(BY_TRA!AH$2:AH$999,BY_TRA!$AT$2:$AT$999,Transport!$B25),0)</f>
        <v>1</v>
      </c>
      <c r="AA25" s="12">
        <f>IFERROR(SUMIFS(BY_TRA!AI$2:AI$999,BY_TRA!$AT$2:$AT$999,Transport!$B25,BY_TRA!$AU$2:$AU$999,Transport!$C25)/SUMIFS(BY_TRA!AI$2:AI$999,BY_TRA!$AT$2:$AT$999,Transport!$B25),0)</f>
        <v>1</v>
      </c>
      <c r="AB25" s="12">
        <f>IFERROR(SUMIFS(BY_TRA!AJ$2:AJ$999,BY_TRA!$AT$2:$AT$999,Transport!$B25,BY_TRA!$AU$2:$AU$999,Transport!$C25)/SUMIFS(BY_TRA!AJ$2:AJ$999,BY_TRA!$AT$2:$AT$999,Transport!$B25),0)</f>
        <v>1</v>
      </c>
      <c r="AC25" s="12">
        <f>IFERROR(SUMIFS(BY_TRA!AK$2:AK$999,BY_TRA!$AT$2:$AT$999,Transport!$B25,BY_TRA!$AU$2:$AU$999,Transport!$C25)/SUMIFS(BY_TRA!AK$2:AK$999,BY_TRA!$AT$2:$AT$999,Transport!$B25),0)</f>
        <v>1</v>
      </c>
      <c r="AD25" s="12">
        <f>IFERROR(SUMIFS(BY_TRA!AL$2:AL$999,BY_TRA!$AT$2:$AT$999,Transport!$B25,BY_TRA!$AU$2:$AU$999,Transport!$C25)/SUMIFS(BY_TRA!AL$2:AL$999,BY_TRA!$AT$2:$AT$999,Transport!$B25),0)</f>
        <v>1</v>
      </c>
      <c r="AE25" s="12">
        <f>IFERROR(SUMIFS(BY_TRA!AM$2:AM$999,BY_TRA!$AT$2:$AT$999,Transport!$B25,BY_TRA!$AU$2:$AU$999,Transport!$C25)/SUMIFS(BY_TRA!AM$2:AM$999,BY_TRA!$AT$2:$AT$999,Transport!$B25),0)</f>
        <v>0.97247706422018354</v>
      </c>
      <c r="AF25" s="12">
        <f>IFERROR(SUMIFS(BY_TRA!AN$2:AN$999,BY_TRA!$AT$2:$AT$999,Transport!$B25,BY_TRA!$AU$2:$AU$999,Transport!$C25)/SUMIFS(BY_TRA!AN$2:AN$999,BY_TRA!$AT$2:$AT$999,Transport!$B25),0)</f>
        <v>0.92105263157894712</v>
      </c>
      <c r="AG25" s="12">
        <f>IFERROR(SUMIFS(BY_TRA!AO$2:AO$999,BY_TRA!$AT$2:$AT$999,Transport!$B25,BY_TRA!$AU$2:$AU$999,Transport!$C25)/SUMIFS(BY_TRA!AO$2:AO$999,BY_TRA!$AT$2:$AT$999,Transport!$B25),0)</f>
        <v>0</v>
      </c>
      <c r="AH25" s="12">
        <f>IFERROR(SUMIFS(BY_TRA!AP$2:AP$999,BY_TRA!$AT$2:$AT$999,Transport!$B25,BY_TRA!$AU$2:$AU$999,Transport!$C25)/SUMIFS(BY_TRA!AP$2:AP$999,BY_TRA!$AT$2:$AT$999,Transport!$B25),0)</f>
        <v>0</v>
      </c>
      <c r="AI25" s="12">
        <f>IFERROR(SUMIFS(BY_TRA!AQ$2:AQ$999,BY_TRA!$AT$2:$AT$999,Transport!$B25,BY_TRA!$AU$2:$AU$999,Transport!$C25)/SUMIFS(BY_TRA!AQ$2:AQ$999,BY_TRA!$AT$2:$AT$999,Transport!$B25),0)</f>
        <v>0</v>
      </c>
    </row>
    <row r="26" spans="2:37">
      <c r="B26" t="s">
        <v>193</v>
      </c>
      <c r="C26" t="s">
        <v>194</v>
      </c>
      <c r="D26" s="12">
        <f>IFERROR(SUMIFS(BY_TRA!L$2:L$999,BY_TRA!$AT$2:$AT$999,Transport!$B26,BY_TRA!$AU$2:$AU$999,Transport!$C26)/SUMIFS(BY_TRA!L$2:L$999,BY_TRA!$AT$2:$AT$999,Transport!$B26),0)</f>
        <v>0</v>
      </c>
      <c r="E26" s="12">
        <f>IFERROR(SUMIFS(BY_TRA!M$2:M$999,BY_TRA!$AT$2:$AT$999,Transport!$B26,BY_TRA!$AU$2:$AU$999,Transport!$C26)/SUMIFS(BY_TRA!M$2:M$999,BY_TRA!$AT$2:$AT$999,Transport!$B26),0)</f>
        <v>0</v>
      </c>
      <c r="F26" s="12">
        <f>IFERROR(SUMIFS(BY_TRA!N$2:N$999,BY_TRA!$AT$2:$AT$999,Transport!$B26,BY_TRA!$AU$2:$AU$999,Transport!$C26)/SUMIFS(BY_TRA!N$2:N$999,BY_TRA!$AT$2:$AT$999,Transport!$B26),0)</f>
        <v>0</v>
      </c>
      <c r="G26" s="12">
        <f>IFERROR(SUMIFS(BY_TRA!O$2:O$999,BY_TRA!$AT$2:$AT$999,Transport!$B26,BY_TRA!$AU$2:$AU$999,Transport!$C26)/SUMIFS(BY_TRA!O$2:O$999,BY_TRA!$AT$2:$AT$999,Transport!$B26),0)</f>
        <v>0</v>
      </c>
      <c r="H26" s="12">
        <f>IFERROR(SUMIFS(BY_TRA!P$2:P$999,BY_TRA!$AT$2:$AT$999,Transport!$B26,BY_TRA!$AU$2:$AU$999,Transport!$C26)/SUMIFS(BY_TRA!P$2:P$999,BY_TRA!$AT$2:$AT$999,Transport!$B26),0)</f>
        <v>0</v>
      </c>
      <c r="I26" s="12">
        <f>IFERROR(SUMIFS(BY_TRA!Q$2:Q$999,BY_TRA!$AT$2:$AT$999,Transport!$B26,BY_TRA!$AU$2:$AU$999,Transport!$C26)/SUMIFS(BY_TRA!Q$2:Q$999,BY_TRA!$AT$2:$AT$999,Transport!$B26),0)</f>
        <v>0</v>
      </c>
      <c r="J26" s="12">
        <f>IFERROR(SUMIFS(BY_TRA!R$2:R$999,BY_TRA!$AT$2:$AT$999,Transport!$B26,BY_TRA!$AU$2:$AU$999,Transport!$C26)/SUMIFS(BY_TRA!R$2:R$999,BY_TRA!$AT$2:$AT$999,Transport!$B26),0)</f>
        <v>0</v>
      </c>
      <c r="K26" s="12">
        <f>IFERROR(SUMIFS(BY_TRA!S$2:S$999,BY_TRA!$AT$2:$AT$999,Transport!$B26,BY_TRA!$AU$2:$AU$999,Transport!$C26)/SUMIFS(BY_TRA!S$2:S$999,BY_TRA!$AT$2:$AT$999,Transport!$B26),0)</f>
        <v>7.6923076923076913E-2</v>
      </c>
      <c r="L26" s="12">
        <f>IFERROR(SUMIFS(BY_TRA!T$2:T$999,BY_TRA!$AT$2:$AT$999,Transport!$B26,BY_TRA!$AU$2:$AU$999,Transport!$C26)/SUMIFS(BY_TRA!T$2:T$999,BY_TRA!$AT$2:$AT$999,Transport!$B26),0)</f>
        <v>0</v>
      </c>
      <c r="M26" s="12">
        <f>IFERROR(SUMIFS(BY_TRA!U$2:U$999,BY_TRA!$AT$2:$AT$999,Transport!$B26,BY_TRA!$AU$2:$AU$999,Transport!$C26)/SUMIFS(BY_TRA!U$2:U$999,BY_TRA!$AT$2:$AT$999,Transport!$B26),0)</f>
        <v>9.5846645367412119E-3</v>
      </c>
      <c r="N26" s="12">
        <f>IFERROR(SUMIFS(BY_TRA!V$2:V$999,BY_TRA!$AT$2:$AT$999,Transport!$B26,BY_TRA!$AU$2:$AU$999,Transport!$C26)/SUMIFS(BY_TRA!V$2:V$999,BY_TRA!$AT$2:$AT$999,Transport!$B26),0)</f>
        <v>0</v>
      </c>
      <c r="O26" s="12">
        <f>IFERROR(SUMIFS(BY_TRA!W$2:W$999,BY_TRA!$AT$2:$AT$999,Transport!$B26,BY_TRA!$AU$2:$AU$999,Transport!$C26)/SUMIFS(BY_TRA!W$2:W$999,BY_TRA!$AT$2:$AT$999,Transport!$B26),0)</f>
        <v>0</v>
      </c>
      <c r="P26" s="12">
        <f>IFERROR(SUMIFS(BY_TRA!X$2:X$999,BY_TRA!$AT$2:$AT$999,Transport!$B26,BY_TRA!$AU$2:$AU$999,Transport!$C26)/SUMIFS(BY_TRA!X$2:X$999,BY_TRA!$AT$2:$AT$999,Transport!$B26),0)</f>
        <v>0</v>
      </c>
      <c r="Q26" s="12">
        <f>IFERROR(SUMIFS(BY_TRA!Y$2:Y$999,BY_TRA!$AT$2:$AT$999,Transport!$B26,BY_TRA!$AU$2:$AU$999,Transport!$C26)/SUMIFS(BY_TRA!Y$2:Y$999,BY_TRA!$AT$2:$AT$999,Transport!$B26),0)</f>
        <v>0</v>
      </c>
      <c r="R26" s="12">
        <f>IFERROR(SUMIFS(BY_TRA!Z$2:Z$999,BY_TRA!$AT$2:$AT$999,Transport!$B26,BY_TRA!$AU$2:$AU$999,Transport!$C26)/SUMIFS(BY_TRA!Z$2:Z$999,BY_TRA!$AT$2:$AT$999,Transport!$B26),0)</f>
        <v>0</v>
      </c>
      <c r="S26" s="12">
        <f>IFERROR(SUMIFS(BY_TRA!AA$2:AA$999,BY_TRA!$AT$2:$AT$999,Transport!$B26,BY_TRA!$AU$2:$AU$999,Transport!$C26)/SUMIFS(BY_TRA!AA$2:AA$999,BY_TRA!$AT$2:$AT$999,Transport!$B26),0)</f>
        <v>0</v>
      </c>
      <c r="T26" s="12">
        <f>IFERROR(SUMIFS(BY_TRA!AB$2:AB$999,BY_TRA!$AT$2:$AT$999,Transport!$B26,BY_TRA!$AU$2:$AU$999,Transport!$C26)/SUMIFS(BY_TRA!AB$2:AB$999,BY_TRA!$AT$2:$AT$999,Transport!$B26),0)</f>
        <v>0</v>
      </c>
      <c r="U26" s="12">
        <f>IFERROR(SUMIFS(BY_TRA!AC$2:AC$999,BY_TRA!$AT$2:$AT$999,Transport!$B26,BY_TRA!$AU$2:$AU$999,Transport!$C26)/SUMIFS(BY_TRA!AC$2:AC$999,BY_TRA!$AT$2:$AT$999,Transport!$B26),0)</f>
        <v>0</v>
      </c>
      <c r="V26" s="12">
        <f>IFERROR(SUMIFS(BY_TRA!AD$2:AD$999,BY_TRA!$AT$2:$AT$999,Transport!$B26,BY_TRA!$AU$2:$AU$999,Transport!$C26)/SUMIFS(BY_TRA!AD$2:AD$999,BY_TRA!$AT$2:$AT$999,Transport!$B26),0)</f>
        <v>0</v>
      </c>
      <c r="W26" s="12">
        <f>IFERROR(SUMIFS(BY_TRA!AE$2:AE$999,BY_TRA!$AT$2:$AT$999,Transport!$B26,BY_TRA!$AU$2:$AU$999,Transport!$C26)/SUMIFS(BY_TRA!AE$2:AE$999,BY_TRA!$AT$2:$AT$999,Transport!$B26),0)</f>
        <v>0</v>
      </c>
      <c r="X26" s="12">
        <f>IFERROR(SUMIFS(BY_TRA!AF$2:AF$999,BY_TRA!$AT$2:$AT$999,Transport!$B26,BY_TRA!$AU$2:$AU$999,Transport!$C26)/SUMIFS(BY_TRA!AF$2:AF$999,BY_TRA!$AT$2:$AT$999,Transport!$B26),0)</f>
        <v>0</v>
      </c>
      <c r="Y26" s="12">
        <f>IFERROR(SUMIFS(BY_TRA!AG$2:AG$999,BY_TRA!$AT$2:$AT$999,Transport!$B26,BY_TRA!$AU$2:$AU$999,Transport!$C26)/SUMIFS(BY_TRA!AG$2:AG$999,BY_TRA!$AT$2:$AT$999,Transport!$B26),0)</f>
        <v>0</v>
      </c>
      <c r="Z26" s="12">
        <f>IFERROR(SUMIFS(BY_TRA!AH$2:AH$999,BY_TRA!$AT$2:$AT$999,Transport!$B26,BY_TRA!$AU$2:$AU$999,Transport!$C26)/SUMIFS(BY_TRA!AH$2:AH$999,BY_TRA!$AT$2:$AT$999,Transport!$B26),0)</f>
        <v>0</v>
      </c>
      <c r="AA26" s="12">
        <f>IFERROR(SUMIFS(BY_TRA!AI$2:AI$999,BY_TRA!$AT$2:$AT$999,Transport!$B26,BY_TRA!$AU$2:$AU$999,Transport!$C26)/SUMIFS(BY_TRA!AI$2:AI$999,BY_TRA!$AT$2:$AT$999,Transport!$B26),0)</f>
        <v>0</v>
      </c>
      <c r="AB26" s="12">
        <f>IFERROR(SUMIFS(BY_TRA!AJ$2:AJ$999,BY_TRA!$AT$2:$AT$999,Transport!$B26,BY_TRA!$AU$2:$AU$999,Transport!$C26)/SUMIFS(BY_TRA!AJ$2:AJ$999,BY_TRA!$AT$2:$AT$999,Transport!$B26),0)</f>
        <v>0</v>
      </c>
      <c r="AC26" s="12">
        <f>IFERROR(SUMIFS(BY_TRA!AK$2:AK$999,BY_TRA!$AT$2:$AT$999,Transport!$B26,BY_TRA!$AU$2:$AU$999,Transport!$C26)/SUMIFS(BY_TRA!AK$2:AK$999,BY_TRA!$AT$2:$AT$999,Transport!$B26),0)</f>
        <v>0</v>
      </c>
      <c r="AD26" s="12">
        <f>IFERROR(SUMIFS(BY_TRA!AL$2:AL$999,BY_TRA!$AT$2:$AT$999,Transport!$B26,BY_TRA!$AU$2:$AU$999,Transport!$C26)/SUMIFS(BY_TRA!AL$2:AL$999,BY_TRA!$AT$2:$AT$999,Transport!$B26),0)</f>
        <v>0</v>
      </c>
      <c r="AE26" s="12">
        <f>IFERROR(SUMIFS(BY_TRA!AM$2:AM$999,BY_TRA!$AT$2:$AT$999,Transport!$B26,BY_TRA!$AU$2:$AU$999,Transport!$C26)/SUMIFS(BY_TRA!AM$2:AM$999,BY_TRA!$AT$2:$AT$999,Transport!$B26),0)</f>
        <v>0</v>
      </c>
      <c r="AF26" s="12">
        <f>IFERROR(SUMIFS(BY_TRA!AN$2:AN$999,BY_TRA!$AT$2:$AT$999,Transport!$B26,BY_TRA!$AU$2:$AU$999,Transport!$C26)/SUMIFS(BY_TRA!AN$2:AN$999,BY_TRA!$AT$2:$AT$999,Transport!$B26),0)</f>
        <v>0</v>
      </c>
      <c r="AG26" s="12">
        <f>IFERROR(SUMIFS(BY_TRA!AO$2:AO$999,BY_TRA!$AT$2:$AT$999,Transport!$B26,BY_TRA!$AU$2:$AU$999,Transport!$C26)/SUMIFS(BY_TRA!AO$2:AO$999,BY_TRA!$AT$2:$AT$999,Transport!$B26),0)</f>
        <v>0</v>
      </c>
      <c r="AH26" s="12">
        <f>IFERROR(SUMIFS(BY_TRA!AP$2:AP$999,BY_TRA!$AT$2:$AT$999,Transport!$B26,BY_TRA!$AU$2:$AU$999,Transport!$C26)/SUMIFS(BY_TRA!AP$2:AP$999,BY_TRA!$AT$2:$AT$999,Transport!$B26),0)</f>
        <v>0</v>
      </c>
      <c r="AI26" s="12">
        <f>IFERROR(SUMIFS(BY_TRA!AQ$2:AQ$999,BY_TRA!$AT$2:$AT$999,Transport!$B26,BY_TRA!$AU$2:$AU$999,Transport!$C26)/SUMIFS(BY_TRA!AQ$2:AQ$999,BY_TRA!$AT$2:$AT$999,Transport!$B26),0)</f>
        <v>0</v>
      </c>
    </row>
    <row r="27" spans="2:37">
      <c r="B27" t="s">
        <v>193</v>
      </c>
      <c r="C27" t="s">
        <v>195</v>
      </c>
      <c r="D27" s="12">
        <f>IFERROR(SUMIFS(BY_TRA!L$2:L$999,BY_TRA!$AT$2:$AT$999,Transport!$B27,BY_TRA!$AU$2:$AU$999,Transport!$C27)/SUMIFS(BY_TRA!L$2:L$999,BY_TRA!$AT$2:$AT$999,Transport!$B27),0)</f>
        <v>0</v>
      </c>
      <c r="E27" s="12">
        <f>IFERROR(SUMIFS(BY_TRA!M$2:M$999,BY_TRA!$AT$2:$AT$999,Transport!$B27,BY_TRA!$AU$2:$AU$999,Transport!$C27)/SUMIFS(BY_TRA!M$2:M$999,BY_TRA!$AT$2:$AT$999,Transport!$B27),0)</f>
        <v>0</v>
      </c>
      <c r="F27" s="12">
        <f>IFERROR(SUMIFS(BY_TRA!N$2:N$999,BY_TRA!$AT$2:$AT$999,Transport!$B27,BY_TRA!$AU$2:$AU$999,Transport!$C27)/SUMIFS(BY_TRA!N$2:N$999,BY_TRA!$AT$2:$AT$999,Transport!$B27),0)</f>
        <v>0.125</v>
      </c>
      <c r="G27" s="12">
        <f>IFERROR(SUMIFS(BY_TRA!O$2:O$999,BY_TRA!$AT$2:$AT$999,Transport!$B27,BY_TRA!$AU$2:$AU$999,Transport!$C27)/SUMIFS(BY_TRA!O$2:O$999,BY_TRA!$AT$2:$AT$999,Transport!$B27),0)</f>
        <v>0</v>
      </c>
      <c r="H27" s="12">
        <f>IFERROR(SUMIFS(BY_TRA!P$2:P$999,BY_TRA!$AT$2:$AT$999,Transport!$B27,BY_TRA!$AU$2:$AU$999,Transport!$C27)/SUMIFS(BY_TRA!P$2:P$999,BY_TRA!$AT$2:$AT$999,Transport!$B27),0)</f>
        <v>7.6923076923076927E-2</v>
      </c>
      <c r="I27" s="12">
        <f>IFERROR(SUMIFS(BY_TRA!Q$2:Q$999,BY_TRA!$AT$2:$AT$999,Transport!$B27,BY_TRA!$AU$2:$AU$999,Transport!$C27)/SUMIFS(BY_TRA!Q$2:Q$999,BY_TRA!$AT$2:$AT$999,Transport!$B27),0)</f>
        <v>0</v>
      </c>
      <c r="J27" s="12">
        <f>IFERROR(SUMIFS(BY_TRA!R$2:R$999,BY_TRA!$AT$2:$AT$999,Transport!$B27,BY_TRA!$AU$2:$AU$999,Transport!$C27)/SUMIFS(BY_TRA!R$2:R$999,BY_TRA!$AT$2:$AT$999,Transport!$B27),0)</f>
        <v>0</v>
      </c>
      <c r="K27" s="12">
        <f>IFERROR(SUMIFS(BY_TRA!S$2:S$999,BY_TRA!$AT$2:$AT$999,Transport!$B27,BY_TRA!$AU$2:$AU$999,Transport!$C27)/SUMIFS(BY_TRA!S$2:S$999,BY_TRA!$AT$2:$AT$999,Transport!$B27),0)</f>
        <v>0.15384615384615383</v>
      </c>
      <c r="L27" s="12">
        <f>IFERROR(SUMIFS(BY_TRA!T$2:T$999,BY_TRA!$AT$2:$AT$999,Transport!$B27,BY_TRA!$AU$2:$AU$999,Transport!$C27)/SUMIFS(BY_TRA!T$2:T$999,BY_TRA!$AT$2:$AT$999,Transport!$B27),0)</f>
        <v>0</v>
      </c>
      <c r="M27" s="12">
        <f>IFERROR(SUMIFS(BY_TRA!U$2:U$999,BY_TRA!$AT$2:$AT$999,Transport!$B27,BY_TRA!$AU$2:$AU$999,Transport!$C27)/SUMIFS(BY_TRA!U$2:U$999,BY_TRA!$AT$2:$AT$999,Transport!$B27),0)</f>
        <v>0.99041533546325877</v>
      </c>
      <c r="N27" s="12">
        <f>IFERROR(SUMIFS(BY_TRA!V$2:V$999,BY_TRA!$AT$2:$AT$999,Transport!$B27,BY_TRA!$AU$2:$AU$999,Transport!$C27)/SUMIFS(BY_TRA!V$2:V$999,BY_TRA!$AT$2:$AT$999,Transport!$B27),0)</f>
        <v>0</v>
      </c>
      <c r="O27" s="12">
        <f>IFERROR(SUMIFS(BY_TRA!W$2:W$999,BY_TRA!$AT$2:$AT$999,Transport!$B27,BY_TRA!$AU$2:$AU$999,Transport!$C27)/SUMIFS(BY_TRA!W$2:W$999,BY_TRA!$AT$2:$AT$999,Transport!$B27),0)</f>
        <v>0</v>
      </c>
      <c r="P27" s="12">
        <f>IFERROR(SUMIFS(BY_TRA!X$2:X$999,BY_TRA!$AT$2:$AT$999,Transport!$B27,BY_TRA!$AU$2:$AU$999,Transport!$C27)/SUMIFS(BY_TRA!X$2:X$999,BY_TRA!$AT$2:$AT$999,Transport!$B27),0)</f>
        <v>0</v>
      </c>
      <c r="Q27" s="12">
        <f>IFERROR(SUMIFS(BY_TRA!Y$2:Y$999,BY_TRA!$AT$2:$AT$999,Transport!$B27,BY_TRA!$AU$2:$AU$999,Transport!$C27)/SUMIFS(BY_TRA!Y$2:Y$999,BY_TRA!$AT$2:$AT$999,Transport!$B27),0)</f>
        <v>0</v>
      </c>
      <c r="R27" s="12">
        <f>IFERROR(SUMIFS(BY_TRA!Z$2:Z$999,BY_TRA!$AT$2:$AT$999,Transport!$B27,BY_TRA!$AU$2:$AU$999,Transport!$C27)/SUMIFS(BY_TRA!Z$2:Z$999,BY_TRA!$AT$2:$AT$999,Transport!$B27),0)</f>
        <v>0</v>
      </c>
      <c r="S27" s="12">
        <f>IFERROR(SUMIFS(BY_TRA!AA$2:AA$999,BY_TRA!$AT$2:$AT$999,Transport!$B27,BY_TRA!$AU$2:$AU$999,Transport!$C27)/SUMIFS(BY_TRA!AA$2:AA$999,BY_TRA!$AT$2:$AT$999,Transport!$B27),0)</f>
        <v>0</v>
      </c>
      <c r="T27" s="12">
        <f>IFERROR(SUMIFS(BY_TRA!AB$2:AB$999,BY_TRA!$AT$2:$AT$999,Transport!$B27,BY_TRA!$AU$2:$AU$999,Transport!$C27)/SUMIFS(BY_TRA!AB$2:AB$999,BY_TRA!$AT$2:$AT$999,Transport!$B27),0)</f>
        <v>0</v>
      </c>
      <c r="U27" s="12">
        <f>IFERROR(SUMIFS(BY_TRA!AC$2:AC$999,BY_TRA!$AT$2:$AT$999,Transport!$B27,BY_TRA!$AU$2:$AU$999,Transport!$C27)/SUMIFS(BY_TRA!AC$2:AC$999,BY_TRA!$AT$2:$AT$999,Transport!$B27),0)</f>
        <v>0</v>
      </c>
      <c r="V27" s="12">
        <f>IFERROR(SUMIFS(BY_TRA!AD$2:AD$999,BY_TRA!$AT$2:$AT$999,Transport!$B27,BY_TRA!$AU$2:$AU$999,Transport!$C27)/SUMIFS(BY_TRA!AD$2:AD$999,BY_TRA!$AT$2:$AT$999,Transport!$B27),0)</f>
        <v>0</v>
      </c>
      <c r="W27" s="12">
        <f>IFERROR(SUMIFS(BY_TRA!AE$2:AE$999,BY_TRA!$AT$2:$AT$999,Transport!$B27,BY_TRA!$AU$2:$AU$999,Transport!$C27)/SUMIFS(BY_TRA!AE$2:AE$999,BY_TRA!$AT$2:$AT$999,Transport!$B27),0)</f>
        <v>0.52469135802469202</v>
      </c>
      <c r="X27" s="12">
        <f>IFERROR(SUMIFS(BY_TRA!AF$2:AF$999,BY_TRA!$AT$2:$AT$999,Transport!$B27,BY_TRA!$AU$2:$AU$999,Transport!$C27)/SUMIFS(BY_TRA!AF$2:AF$999,BY_TRA!$AT$2:$AT$999,Transport!$B27),0)</f>
        <v>0.11111111111111115</v>
      </c>
      <c r="Y27" s="12">
        <f>IFERROR(SUMIFS(BY_TRA!AG$2:AG$999,BY_TRA!$AT$2:$AT$999,Transport!$B27,BY_TRA!$AU$2:$AU$999,Transport!$C27)/SUMIFS(BY_TRA!AG$2:AG$999,BY_TRA!$AT$2:$AT$999,Transport!$B27),0)</f>
        <v>0</v>
      </c>
      <c r="Z27" s="12">
        <f>IFERROR(SUMIFS(BY_TRA!AH$2:AH$999,BY_TRA!$AT$2:$AT$999,Transport!$B27,BY_TRA!$AU$2:$AU$999,Transport!$C27)/SUMIFS(BY_TRA!AH$2:AH$999,BY_TRA!$AT$2:$AT$999,Transport!$B27),0)</f>
        <v>0</v>
      </c>
      <c r="AA27" s="12">
        <f>IFERROR(SUMIFS(BY_TRA!AI$2:AI$999,BY_TRA!$AT$2:$AT$999,Transport!$B27,BY_TRA!$AU$2:$AU$999,Transport!$C27)/SUMIFS(BY_TRA!AI$2:AI$999,BY_TRA!$AT$2:$AT$999,Transport!$B27),0)</f>
        <v>0</v>
      </c>
      <c r="AB27" s="12">
        <f>IFERROR(SUMIFS(BY_TRA!AJ$2:AJ$999,BY_TRA!$AT$2:$AT$999,Transport!$B27,BY_TRA!$AU$2:$AU$999,Transport!$C27)/SUMIFS(BY_TRA!AJ$2:AJ$999,BY_TRA!$AT$2:$AT$999,Transport!$B27),0)</f>
        <v>0</v>
      </c>
      <c r="AC27" s="12">
        <f>IFERROR(SUMIFS(BY_TRA!AK$2:AK$999,BY_TRA!$AT$2:$AT$999,Transport!$B27,BY_TRA!$AU$2:$AU$999,Transport!$C27)/SUMIFS(BY_TRA!AK$2:AK$999,BY_TRA!$AT$2:$AT$999,Transport!$B27),0)</f>
        <v>0</v>
      </c>
      <c r="AD27" s="12">
        <f>IFERROR(SUMIFS(BY_TRA!AL$2:AL$999,BY_TRA!$AT$2:$AT$999,Transport!$B27,BY_TRA!$AU$2:$AU$999,Transport!$C27)/SUMIFS(BY_TRA!AL$2:AL$999,BY_TRA!$AT$2:$AT$999,Transport!$B27),0)</f>
        <v>0</v>
      </c>
      <c r="AE27" s="12">
        <f>IFERROR(SUMIFS(BY_TRA!AM$2:AM$999,BY_TRA!$AT$2:$AT$999,Transport!$B27,BY_TRA!$AU$2:$AU$999,Transport!$C27)/SUMIFS(BY_TRA!AM$2:AM$999,BY_TRA!$AT$2:$AT$999,Transport!$B27),0)</f>
        <v>0</v>
      </c>
      <c r="AF27" s="12">
        <f>IFERROR(SUMIFS(BY_TRA!AN$2:AN$999,BY_TRA!$AT$2:$AT$999,Transport!$B27,BY_TRA!$AU$2:$AU$999,Transport!$C27)/SUMIFS(BY_TRA!AN$2:AN$999,BY_TRA!$AT$2:$AT$999,Transport!$B27),0)</f>
        <v>0</v>
      </c>
      <c r="AG27" s="12">
        <f>IFERROR(SUMIFS(BY_TRA!AO$2:AO$999,BY_TRA!$AT$2:$AT$999,Transport!$B27,BY_TRA!$AU$2:$AU$999,Transport!$C27)/SUMIFS(BY_TRA!AO$2:AO$999,BY_TRA!$AT$2:$AT$999,Transport!$B27),0)</f>
        <v>0</v>
      </c>
      <c r="AH27" s="12">
        <f>IFERROR(SUMIFS(BY_TRA!AP$2:AP$999,BY_TRA!$AT$2:$AT$999,Transport!$B27,BY_TRA!$AU$2:$AU$999,Transport!$C27)/SUMIFS(BY_TRA!AP$2:AP$999,BY_TRA!$AT$2:$AT$999,Transport!$B27),0)</f>
        <v>0</v>
      </c>
      <c r="AI27" s="12">
        <f>IFERROR(SUMIFS(BY_TRA!AQ$2:AQ$999,BY_TRA!$AT$2:$AT$999,Transport!$B27,BY_TRA!$AU$2:$AU$999,Transport!$C27)/SUMIFS(BY_TRA!AQ$2:AQ$999,BY_TRA!$AT$2:$AT$999,Transport!$B27),0)</f>
        <v>0</v>
      </c>
    </row>
    <row r="28" spans="2:37">
      <c r="B28" t="s">
        <v>193</v>
      </c>
      <c r="C28" t="s">
        <v>191</v>
      </c>
      <c r="D28" s="12">
        <f>IFERROR(SUMIFS(BY_TRA!L$2:L$999,BY_TRA!$AT$2:$AT$999,Transport!$B28,BY_TRA!$AU$2:$AU$999,Transport!$C28)/SUMIFS(BY_TRA!L$2:L$999,BY_TRA!$AT$2:$AT$999,Transport!$B28),0)</f>
        <v>0</v>
      </c>
      <c r="E28" s="12">
        <f>IFERROR(SUMIFS(BY_TRA!M$2:M$999,BY_TRA!$AT$2:$AT$999,Transport!$B28,BY_TRA!$AU$2:$AU$999,Transport!$C28)/SUMIFS(BY_TRA!M$2:M$999,BY_TRA!$AT$2:$AT$999,Transport!$B28),0)</f>
        <v>2.0533880903490769E-3</v>
      </c>
      <c r="F28" s="12">
        <f>IFERROR(SUMIFS(BY_TRA!N$2:N$999,BY_TRA!$AT$2:$AT$999,Transport!$B28,BY_TRA!$AU$2:$AU$999,Transport!$C28)/SUMIFS(BY_TRA!N$2:N$999,BY_TRA!$AT$2:$AT$999,Transport!$B28),0)</f>
        <v>0</v>
      </c>
      <c r="G28" s="12">
        <f>IFERROR(SUMIFS(BY_TRA!O$2:O$999,BY_TRA!$AT$2:$AT$999,Transport!$B28,BY_TRA!$AU$2:$AU$999,Transport!$C28)/SUMIFS(BY_TRA!O$2:O$999,BY_TRA!$AT$2:$AT$999,Transport!$B28),0)</f>
        <v>0</v>
      </c>
      <c r="H28" s="12">
        <f>IFERROR(SUMIFS(BY_TRA!P$2:P$999,BY_TRA!$AT$2:$AT$999,Transport!$B28,BY_TRA!$AU$2:$AU$999,Transport!$C28)/SUMIFS(BY_TRA!P$2:P$999,BY_TRA!$AT$2:$AT$999,Transport!$B28),0)</f>
        <v>0</v>
      </c>
      <c r="I28" s="12">
        <f>IFERROR(SUMIFS(BY_TRA!Q$2:Q$999,BY_TRA!$AT$2:$AT$999,Transport!$B28,BY_TRA!$AU$2:$AU$999,Transport!$C28)/SUMIFS(BY_TRA!Q$2:Q$999,BY_TRA!$AT$2:$AT$999,Transport!$B28),0)</f>
        <v>1.4872521246458931E-2</v>
      </c>
      <c r="J28" s="12">
        <f>IFERROR(SUMIFS(BY_TRA!R$2:R$999,BY_TRA!$AT$2:$AT$999,Transport!$B28,BY_TRA!$AU$2:$AU$999,Transport!$C28)/SUMIFS(BY_TRA!R$2:R$999,BY_TRA!$AT$2:$AT$999,Transport!$B28),0)</f>
        <v>0</v>
      </c>
      <c r="K28" s="12">
        <f>IFERROR(SUMIFS(BY_TRA!S$2:S$999,BY_TRA!$AT$2:$AT$999,Transport!$B28,BY_TRA!$AU$2:$AU$999,Transport!$C28)/SUMIFS(BY_TRA!S$2:S$999,BY_TRA!$AT$2:$AT$999,Transport!$B28),0)</f>
        <v>0.15384615384615383</v>
      </c>
      <c r="L28" s="12">
        <f>IFERROR(SUMIFS(BY_TRA!T$2:T$999,BY_TRA!$AT$2:$AT$999,Transport!$B28,BY_TRA!$AU$2:$AU$999,Transport!$C28)/SUMIFS(BY_TRA!T$2:T$999,BY_TRA!$AT$2:$AT$999,Transport!$B28),0)</f>
        <v>0</v>
      </c>
      <c r="M28" s="12">
        <f>IFERROR(SUMIFS(BY_TRA!U$2:U$999,BY_TRA!$AT$2:$AT$999,Transport!$B28,BY_TRA!$AU$2:$AU$999,Transport!$C28)/SUMIFS(BY_TRA!U$2:U$999,BY_TRA!$AT$2:$AT$999,Transport!$B28),0)</f>
        <v>0</v>
      </c>
      <c r="N28" s="12">
        <f>IFERROR(SUMIFS(BY_TRA!V$2:V$999,BY_TRA!$AT$2:$AT$999,Transport!$B28,BY_TRA!$AU$2:$AU$999,Transport!$C28)/SUMIFS(BY_TRA!V$2:V$999,BY_TRA!$AT$2:$AT$999,Transport!$B28),0)</f>
        <v>0</v>
      </c>
      <c r="O28" s="12">
        <f>IFERROR(SUMIFS(BY_TRA!W$2:W$999,BY_TRA!$AT$2:$AT$999,Transport!$B28,BY_TRA!$AU$2:$AU$999,Transport!$C28)/SUMIFS(BY_TRA!W$2:W$999,BY_TRA!$AT$2:$AT$999,Transport!$B28),0)</f>
        <v>0</v>
      </c>
      <c r="P28" s="12">
        <f>IFERROR(SUMIFS(BY_TRA!X$2:X$999,BY_TRA!$AT$2:$AT$999,Transport!$B28,BY_TRA!$AU$2:$AU$999,Transport!$C28)/SUMIFS(BY_TRA!X$2:X$999,BY_TRA!$AT$2:$AT$999,Transport!$B28),0)</f>
        <v>0</v>
      </c>
      <c r="Q28" s="12">
        <f>IFERROR(SUMIFS(BY_TRA!Y$2:Y$999,BY_TRA!$AT$2:$AT$999,Transport!$B28,BY_TRA!$AU$2:$AU$999,Transport!$C28)/SUMIFS(BY_TRA!Y$2:Y$999,BY_TRA!$AT$2:$AT$999,Transport!$B28),0)</f>
        <v>0</v>
      </c>
      <c r="R28" s="12">
        <f>IFERROR(SUMIFS(BY_TRA!Z$2:Z$999,BY_TRA!$AT$2:$AT$999,Transport!$B28,BY_TRA!$AU$2:$AU$999,Transport!$C28)/SUMIFS(BY_TRA!Z$2:Z$999,BY_TRA!$AT$2:$AT$999,Transport!$B28),0)</f>
        <v>0</v>
      </c>
      <c r="S28" s="12">
        <f>IFERROR(SUMIFS(BY_TRA!AA$2:AA$999,BY_TRA!$AT$2:$AT$999,Transport!$B28,BY_TRA!$AU$2:$AU$999,Transport!$C28)/SUMIFS(BY_TRA!AA$2:AA$999,BY_TRA!$AT$2:$AT$999,Transport!$B28),0)</f>
        <v>0</v>
      </c>
      <c r="T28" s="12">
        <f>IFERROR(SUMIFS(BY_TRA!AB$2:AB$999,BY_TRA!$AT$2:$AT$999,Transport!$B28,BY_TRA!$AU$2:$AU$999,Transport!$C28)/SUMIFS(BY_TRA!AB$2:AB$999,BY_TRA!$AT$2:$AT$999,Transport!$B28),0)</f>
        <v>0</v>
      </c>
      <c r="U28" s="12">
        <f>IFERROR(SUMIFS(BY_TRA!AC$2:AC$999,BY_TRA!$AT$2:$AT$999,Transport!$B28,BY_TRA!$AU$2:$AU$999,Transport!$C28)/SUMIFS(BY_TRA!AC$2:AC$999,BY_TRA!$AT$2:$AT$999,Transport!$B28),0)</f>
        <v>0.14285714285714285</v>
      </c>
      <c r="V28" s="12">
        <f>IFERROR(SUMIFS(BY_TRA!AD$2:AD$999,BY_TRA!$AT$2:$AT$999,Transport!$B28,BY_TRA!$AU$2:$AU$999,Transport!$C28)/SUMIFS(BY_TRA!AD$2:AD$999,BY_TRA!$AT$2:$AT$999,Transport!$B28),0)</f>
        <v>6.6666666666666666E-2</v>
      </c>
      <c r="W28" s="12">
        <f>IFERROR(SUMIFS(BY_TRA!AE$2:AE$999,BY_TRA!$AT$2:$AT$999,Transport!$B28,BY_TRA!$AU$2:$AU$999,Transport!$C28)/SUMIFS(BY_TRA!AE$2:AE$999,BY_TRA!$AT$2:$AT$999,Transport!$B28),0)</f>
        <v>1.2345679012345697E-2</v>
      </c>
      <c r="X28" s="12">
        <f>IFERROR(SUMIFS(BY_TRA!AF$2:AF$999,BY_TRA!$AT$2:$AT$999,Transport!$B28,BY_TRA!$AU$2:$AU$999,Transport!$C28)/SUMIFS(BY_TRA!AF$2:AF$999,BY_TRA!$AT$2:$AT$999,Transport!$B28),0)</f>
        <v>3.7037037037037049E-2</v>
      </c>
      <c r="Y28" s="12">
        <f>IFERROR(SUMIFS(BY_TRA!AG$2:AG$999,BY_TRA!$AT$2:$AT$999,Transport!$B28,BY_TRA!$AU$2:$AU$999,Transport!$C28)/SUMIFS(BY_TRA!AG$2:AG$999,BY_TRA!$AT$2:$AT$999,Transport!$B28),0)</f>
        <v>0</v>
      </c>
      <c r="Z28" s="12">
        <f>IFERROR(SUMIFS(BY_TRA!AH$2:AH$999,BY_TRA!$AT$2:$AT$999,Transport!$B28,BY_TRA!$AU$2:$AU$999,Transport!$C28)/SUMIFS(BY_TRA!AH$2:AH$999,BY_TRA!$AT$2:$AT$999,Transport!$B28),0)</f>
        <v>0</v>
      </c>
      <c r="AA28" s="12">
        <f>IFERROR(SUMIFS(BY_TRA!AI$2:AI$999,BY_TRA!$AT$2:$AT$999,Transport!$B28,BY_TRA!$AU$2:$AU$999,Transport!$C28)/SUMIFS(BY_TRA!AI$2:AI$999,BY_TRA!$AT$2:$AT$999,Transport!$B28),0)</f>
        <v>0</v>
      </c>
      <c r="AB28" s="12">
        <f>IFERROR(SUMIFS(BY_TRA!AJ$2:AJ$999,BY_TRA!$AT$2:$AT$999,Transport!$B28,BY_TRA!$AU$2:$AU$999,Transport!$C28)/SUMIFS(BY_TRA!AJ$2:AJ$999,BY_TRA!$AT$2:$AT$999,Transport!$B28),0)</f>
        <v>0</v>
      </c>
      <c r="AC28" s="12">
        <f>IFERROR(SUMIFS(BY_TRA!AK$2:AK$999,BY_TRA!$AT$2:$AT$999,Transport!$B28,BY_TRA!$AU$2:$AU$999,Transport!$C28)/SUMIFS(BY_TRA!AK$2:AK$999,BY_TRA!$AT$2:$AT$999,Transport!$B28),0)</f>
        <v>0</v>
      </c>
      <c r="AD28" s="12">
        <f>IFERROR(SUMIFS(BY_TRA!AL$2:AL$999,BY_TRA!$AT$2:$AT$999,Transport!$B28,BY_TRA!$AU$2:$AU$999,Transport!$C28)/SUMIFS(BY_TRA!AL$2:AL$999,BY_TRA!$AT$2:$AT$999,Transport!$B28),0)</f>
        <v>0</v>
      </c>
      <c r="AE28" s="12">
        <f>IFERROR(SUMIFS(BY_TRA!AM$2:AM$999,BY_TRA!$AT$2:$AT$999,Transport!$B28,BY_TRA!$AU$2:$AU$999,Transport!$C28)/SUMIFS(BY_TRA!AM$2:AM$999,BY_TRA!$AT$2:$AT$999,Transport!$B28),0)</f>
        <v>0</v>
      </c>
      <c r="AF28" s="12">
        <f>IFERROR(SUMIFS(BY_TRA!AN$2:AN$999,BY_TRA!$AT$2:$AT$999,Transport!$B28,BY_TRA!$AU$2:$AU$999,Transport!$C28)/SUMIFS(BY_TRA!AN$2:AN$999,BY_TRA!$AT$2:$AT$999,Transport!$B28),0)</f>
        <v>7.6923076923076927E-2</v>
      </c>
      <c r="AG28" s="12">
        <f>IFERROR(SUMIFS(BY_TRA!AO$2:AO$999,BY_TRA!$AT$2:$AT$999,Transport!$B28,BY_TRA!$AU$2:$AU$999,Transport!$C28)/SUMIFS(BY_TRA!AO$2:AO$999,BY_TRA!$AT$2:$AT$999,Transport!$B28),0)</f>
        <v>0</v>
      </c>
      <c r="AH28" s="12">
        <f>IFERROR(SUMIFS(BY_TRA!AP$2:AP$999,BY_TRA!$AT$2:$AT$999,Transport!$B28,BY_TRA!$AU$2:$AU$999,Transport!$C28)/SUMIFS(BY_TRA!AP$2:AP$999,BY_TRA!$AT$2:$AT$999,Transport!$B28),0)</f>
        <v>0</v>
      </c>
      <c r="AI28" s="12">
        <f>IFERROR(SUMIFS(BY_TRA!AQ$2:AQ$999,BY_TRA!$AT$2:$AT$999,Transport!$B28,BY_TRA!$AU$2:$AU$999,Transport!$C28)/SUMIFS(BY_TRA!AQ$2:AQ$999,BY_TRA!$AT$2:$AT$999,Transport!$B28),0)</f>
        <v>0</v>
      </c>
    </row>
    <row r="29" spans="2:37">
      <c r="B29" t="s">
        <v>193</v>
      </c>
      <c r="C29" t="s">
        <v>192</v>
      </c>
      <c r="D29" s="12">
        <f>IFERROR(SUMIFS(BY_TRA!L$2:L$999,BY_TRA!$AT$2:$AT$999,Transport!$B29,BY_TRA!$AU$2:$AU$999,Transport!$C29)/SUMIFS(BY_TRA!L$2:L$999,BY_TRA!$AT$2:$AT$999,Transport!$B29),0)</f>
        <v>1</v>
      </c>
      <c r="E29" s="12">
        <f>IFERROR(SUMIFS(BY_TRA!M$2:M$999,BY_TRA!$AT$2:$AT$999,Transport!$B29,BY_TRA!$AU$2:$AU$999,Transport!$C29)/SUMIFS(BY_TRA!M$2:M$999,BY_TRA!$AT$2:$AT$999,Transport!$B29),0)</f>
        <v>0.99794661190965084</v>
      </c>
      <c r="F29" s="12">
        <f>IFERROR(SUMIFS(BY_TRA!N$2:N$999,BY_TRA!$AT$2:$AT$999,Transport!$B29,BY_TRA!$AU$2:$AU$999,Transport!$C29)/SUMIFS(BY_TRA!N$2:N$999,BY_TRA!$AT$2:$AT$999,Transport!$B29),0)</f>
        <v>0.875</v>
      </c>
      <c r="G29" s="12">
        <f>IFERROR(SUMIFS(BY_TRA!O$2:O$999,BY_TRA!$AT$2:$AT$999,Transport!$B29,BY_TRA!$AU$2:$AU$999,Transport!$C29)/SUMIFS(BY_TRA!O$2:O$999,BY_TRA!$AT$2:$AT$999,Transport!$B29),0)</f>
        <v>1</v>
      </c>
      <c r="H29" s="12">
        <f>IFERROR(SUMIFS(BY_TRA!P$2:P$999,BY_TRA!$AT$2:$AT$999,Transport!$B29,BY_TRA!$AU$2:$AU$999,Transport!$C29)/SUMIFS(BY_TRA!P$2:P$999,BY_TRA!$AT$2:$AT$999,Transport!$B29),0)</f>
        <v>0.92307692307692291</v>
      </c>
      <c r="I29" s="12">
        <f>IFERROR(SUMIFS(BY_TRA!Q$2:Q$999,BY_TRA!$AT$2:$AT$999,Transport!$B29,BY_TRA!$AU$2:$AU$999,Transport!$C29)/SUMIFS(BY_TRA!Q$2:Q$999,BY_TRA!$AT$2:$AT$999,Transport!$B29),0)</f>
        <v>0.98512747875354123</v>
      </c>
      <c r="J29" s="12">
        <f>IFERROR(SUMIFS(BY_TRA!R$2:R$999,BY_TRA!$AT$2:$AT$999,Transport!$B29,BY_TRA!$AU$2:$AU$999,Transport!$C29)/SUMIFS(BY_TRA!R$2:R$999,BY_TRA!$AT$2:$AT$999,Transport!$B29),0)</f>
        <v>0</v>
      </c>
      <c r="K29" s="12">
        <f>IFERROR(SUMIFS(BY_TRA!S$2:S$999,BY_TRA!$AT$2:$AT$999,Transport!$B29,BY_TRA!$AU$2:$AU$999,Transport!$C29)/SUMIFS(BY_TRA!S$2:S$999,BY_TRA!$AT$2:$AT$999,Transport!$B29),0)</f>
        <v>0.61538461538461531</v>
      </c>
      <c r="L29" s="12">
        <f>IFERROR(SUMIFS(BY_TRA!T$2:T$999,BY_TRA!$AT$2:$AT$999,Transport!$B29,BY_TRA!$AU$2:$AU$999,Transport!$C29)/SUMIFS(BY_TRA!T$2:T$999,BY_TRA!$AT$2:$AT$999,Transport!$B29),0)</f>
        <v>0</v>
      </c>
      <c r="M29" s="12">
        <f>IFERROR(SUMIFS(BY_TRA!U$2:U$999,BY_TRA!$AT$2:$AT$999,Transport!$B29,BY_TRA!$AU$2:$AU$999,Transport!$C29)/SUMIFS(BY_TRA!U$2:U$999,BY_TRA!$AT$2:$AT$999,Transport!$B29),0)</f>
        <v>0</v>
      </c>
      <c r="N29" s="12">
        <f>IFERROR(SUMIFS(BY_TRA!V$2:V$999,BY_TRA!$AT$2:$AT$999,Transport!$B29,BY_TRA!$AU$2:$AU$999,Transport!$C29)/SUMIFS(BY_TRA!V$2:V$999,BY_TRA!$AT$2:$AT$999,Transport!$B29),0)</f>
        <v>1</v>
      </c>
      <c r="O29" s="12">
        <f>IFERROR(SUMIFS(BY_TRA!W$2:W$999,BY_TRA!$AT$2:$AT$999,Transport!$B29,BY_TRA!$AU$2:$AU$999,Transport!$C29)/SUMIFS(BY_TRA!W$2:W$999,BY_TRA!$AT$2:$AT$999,Transport!$B29),0)</f>
        <v>1</v>
      </c>
      <c r="P29" s="12">
        <f>IFERROR(SUMIFS(BY_TRA!X$2:X$999,BY_TRA!$AT$2:$AT$999,Transport!$B29,BY_TRA!$AU$2:$AU$999,Transport!$C29)/SUMIFS(BY_TRA!X$2:X$999,BY_TRA!$AT$2:$AT$999,Transport!$B29),0)</f>
        <v>1</v>
      </c>
      <c r="Q29" s="12">
        <f>IFERROR(SUMIFS(BY_TRA!Y$2:Y$999,BY_TRA!$AT$2:$AT$999,Transport!$B29,BY_TRA!$AU$2:$AU$999,Transport!$C29)/SUMIFS(BY_TRA!Y$2:Y$999,BY_TRA!$AT$2:$AT$999,Transport!$B29),0)</f>
        <v>1</v>
      </c>
      <c r="R29" s="12">
        <f>IFERROR(SUMIFS(BY_TRA!Z$2:Z$999,BY_TRA!$AT$2:$AT$999,Transport!$B29,BY_TRA!$AU$2:$AU$999,Transport!$C29)/SUMIFS(BY_TRA!Z$2:Z$999,BY_TRA!$AT$2:$AT$999,Transport!$B29),0)</f>
        <v>1</v>
      </c>
      <c r="S29" s="12">
        <f>IFERROR(SUMIFS(BY_TRA!AA$2:AA$999,BY_TRA!$AT$2:$AT$999,Transport!$B29,BY_TRA!$AU$2:$AU$999,Transport!$C29)/SUMIFS(BY_TRA!AA$2:AA$999,BY_TRA!$AT$2:$AT$999,Transport!$B29),0)</f>
        <v>1</v>
      </c>
      <c r="T29" s="12">
        <f>IFERROR(SUMIFS(BY_TRA!AB$2:AB$999,BY_TRA!$AT$2:$AT$999,Transport!$B29,BY_TRA!$AU$2:$AU$999,Transport!$C29)/SUMIFS(BY_TRA!AB$2:AB$999,BY_TRA!$AT$2:$AT$999,Transport!$B29),0)</f>
        <v>1</v>
      </c>
      <c r="U29" s="12">
        <f>IFERROR(SUMIFS(BY_TRA!AC$2:AC$999,BY_TRA!$AT$2:$AT$999,Transport!$B29,BY_TRA!$AU$2:$AU$999,Transport!$C29)/SUMIFS(BY_TRA!AC$2:AC$999,BY_TRA!$AT$2:$AT$999,Transport!$B29),0)</f>
        <v>0.8571428571428571</v>
      </c>
      <c r="V29" s="12">
        <f>IFERROR(SUMIFS(BY_TRA!AD$2:AD$999,BY_TRA!$AT$2:$AT$999,Transport!$B29,BY_TRA!$AU$2:$AU$999,Transport!$C29)/SUMIFS(BY_TRA!AD$2:AD$999,BY_TRA!$AT$2:$AT$999,Transport!$B29),0)</f>
        <v>0.93333333333333335</v>
      </c>
      <c r="W29" s="12">
        <f>IFERROR(SUMIFS(BY_TRA!AE$2:AE$999,BY_TRA!$AT$2:$AT$999,Transport!$B29,BY_TRA!$AU$2:$AU$999,Transport!$C29)/SUMIFS(BY_TRA!AE$2:AE$999,BY_TRA!$AT$2:$AT$999,Transport!$B29),0)</f>
        <v>0.46296296296296352</v>
      </c>
      <c r="X29" s="12">
        <f>IFERROR(SUMIFS(BY_TRA!AF$2:AF$999,BY_TRA!$AT$2:$AT$999,Transport!$B29,BY_TRA!$AU$2:$AU$999,Transport!$C29)/SUMIFS(BY_TRA!AF$2:AF$999,BY_TRA!$AT$2:$AT$999,Transport!$B29),0)</f>
        <v>0.85185185185185197</v>
      </c>
      <c r="Y29" s="12">
        <f>IFERROR(SUMIFS(BY_TRA!AG$2:AG$999,BY_TRA!$AT$2:$AT$999,Transport!$B29,BY_TRA!$AU$2:$AU$999,Transport!$C29)/SUMIFS(BY_TRA!AG$2:AG$999,BY_TRA!$AT$2:$AT$999,Transport!$B29),0)</f>
        <v>1</v>
      </c>
      <c r="Z29" s="12">
        <f>IFERROR(SUMIFS(BY_TRA!AH$2:AH$999,BY_TRA!$AT$2:$AT$999,Transport!$B29,BY_TRA!$AU$2:$AU$999,Transport!$C29)/SUMIFS(BY_TRA!AH$2:AH$999,BY_TRA!$AT$2:$AT$999,Transport!$B29),0)</f>
        <v>1</v>
      </c>
      <c r="AA29" s="12">
        <f>IFERROR(SUMIFS(BY_TRA!AI$2:AI$999,BY_TRA!$AT$2:$AT$999,Transport!$B29,BY_TRA!$AU$2:$AU$999,Transport!$C29)/SUMIFS(BY_TRA!AI$2:AI$999,BY_TRA!$AT$2:$AT$999,Transport!$B29),0)</f>
        <v>1</v>
      </c>
      <c r="AB29" s="12">
        <f>IFERROR(SUMIFS(BY_TRA!AJ$2:AJ$999,BY_TRA!$AT$2:$AT$999,Transport!$B29,BY_TRA!$AU$2:$AU$999,Transport!$C29)/SUMIFS(BY_TRA!AJ$2:AJ$999,BY_TRA!$AT$2:$AT$999,Transport!$B29),0)</f>
        <v>1</v>
      </c>
      <c r="AC29" s="12">
        <f>IFERROR(SUMIFS(BY_TRA!AK$2:AK$999,BY_TRA!$AT$2:$AT$999,Transport!$B29,BY_TRA!$AU$2:$AU$999,Transport!$C29)/SUMIFS(BY_TRA!AK$2:AK$999,BY_TRA!$AT$2:$AT$999,Transport!$B29),0)</f>
        <v>1</v>
      </c>
      <c r="AD29" s="12">
        <f>IFERROR(SUMIFS(BY_TRA!AL$2:AL$999,BY_TRA!$AT$2:$AT$999,Transport!$B29,BY_TRA!$AU$2:$AU$999,Transport!$C29)/SUMIFS(BY_TRA!AL$2:AL$999,BY_TRA!$AT$2:$AT$999,Transport!$B29),0)</f>
        <v>1</v>
      </c>
      <c r="AE29" s="12">
        <f>IFERROR(SUMIFS(BY_TRA!AM$2:AM$999,BY_TRA!$AT$2:$AT$999,Transport!$B29,BY_TRA!$AU$2:$AU$999,Transport!$C29)/SUMIFS(BY_TRA!AM$2:AM$999,BY_TRA!$AT$2:$AT$999,Transport!$B29),0)</f>
        <v>1</v>
      </c>
      <c r="AF29" s="12">
        <f>IFERROR(SUMIFS(BY_TRA!AN$2:AN$999,BY_TRA!$AT$2:$AT$999,Transport!$B29,BY_TRA!$AU$2:$AU$999,Transport!$C29)/SUMIFS(BY_TRA!AN$2:AN$999,BY_TRA!$AT$2:$AT$999,Transport!$B29),0)</f>
        <v>0.92307692307692302</v>
      </c>
      <c r="AG29" s="12">
        <f>IFERROR(SUMIFS(BY_TRA!AO$2:AO$999,BY_TRA!$AT$2:$AT$999,Transport!$B29,BY_TRA!$AU$2:$AU$999,Transport!$C29)/SUMIFS(BY_TRA!AO$2:AO$999,BY_TRA!$AT$2:$AT$999,Transport!$B29),0)</f>
        <v>0</v>
      </c>
      <c r="AH29" s="12">
        <f>IFERROR(SUMIFS(BY_TRA!AP$2:AP$999,BY_TRA!$AT$2:$AT$999,Transport!$B29,BY_TRA!$AU$2:$AU$999,Transport!$C29)/SUMIFS(BY_TRA!AP$2:AP$999,BY_TRA!$AT$2:$AT$999,Transport!$B29),0)</f>
        <v>0</v>
      </c>
      <c r="AI29" s="12">
        <f>IFERROR(SUMIFS(BY_TRA!AQ$2:AQ$999,BY_TRA!$AT$2:$AT$999,Transport!$B29,BY_TRA!$AU$2:$AU$999,Transport!$C29)/SUMIFS(BY_TRA!AQ$2:AQ$999,BY_TRA!$AT$2:$AT$999,Transport!$B29),0)</f>
        <v>0</v>
      </c>
    </row>
    <row r="30" spans="2:37">
      <c r="B30" t="s">
        <v>196</v>
      </c>
      <c r="C30" t="s">
        <v>194</v>
      </c>
      <c r="D30" s="12">
        <f>IFERROR(SUMIFS(BY_TRA!L$2:L$999,BY_TRA!$AT$2:$AT$999,Transport!$B30,BY_TRA!$AU$2:$AU$999,Transport!$C30)/SUMIFS(BY_TRA!L$2:L$999,BY_TRA!$AT$2:$AT$999,Transport!$B30),0)</f>
        <v>0</v>
      </c>
      <c r="E30" s="12">
        <f>IFERROR(SUMIFS(BY_TRA!M$2:M$999,BY_TRA!$AT$2:$AT$999,Transport!$B30,BY_TRA!$AU$2:$AU$999,Transport!$C30)/SUMIFS(BY_TRA!M$2:M$999,BY_TRA!$AT$2:$AT$999,Transport!$B30),0)</f>
        <v>0</v>
      </c>
      <c r="F30" s="12">
        <f>IFERROR(SUMIFS(BY_TRA!N$2:N$999,BY_TRA!$AT$2:$AT$999,Transport!$B30,BY_TRA!$AU$2:$AU$999,Transport!$C30)/SUMIFS(BY_TRA!N$2:N$999,BY_TRA!$AT$2:$AT$999,Transport!$B30),0)</f>
        <v>5.8823529411764705E-2</v>
      </c>
      <c r="G30" s="12">
        <f>IFERROR(SUMIFS(BY_TRA!O$2:O$999,BY_TRA!$AT$2:$AT$999,Transport!$B30,BY_TRA!$AU$2:$AU$999,Transport!$C30)/SUMIFS(BY_TRA!O$2:O$999,BY_TRA!$AT$2:$AT$999,Transport!$B30),0)</f>
        <v>0</v>
      </c>
      <c r="H30" s="12">
        <f>IFERROR(SUMIFS(BY_TRA!P$2:P$999,BY_TRA!$AT$2:$AT$999,Transport!$B30,BY_TRA!$AU$2:$AU$999,Transport!$C30)/SUMIFS(BY_TRA!P$2:P$999,BY_TRA!$AT$2:$AT$999,Transport!$B30),0)</f>
        <v>0</v>
      </c>
      <c r="I30" s="12">
        <f>IFERROR(SUMIFS(BY_TRA!Q$2:Q$999,BY_TRA!$AT$2:$AT$999,Transport!$B30,BY_TRA!$AU$2:$AU$999,Transport!$C30)/SUMIFS(BY_TRA!Q$2:Q$999,BY_TRA!$AT$2:$AT$999,Transport!$B30),0)</f>
        <v>7.5268817204301272E-2</v>
      </c>
      <c r="J30" s="12">
        <f>IFERROR(SUMIFS(BY_TRA!R$2:R$999,BY_TRA!$AT$2:$AT$999,Transport!$B30,BY_TRA!$AU$2:$AU$999,Transport!$C30)/SUMIFS(BY_TRA!R$2:R$999,BY_TRA!$AT$2:$AT$999,Transport!$B30),0)</f>
        <v>0</v>
      </c>
      <c r="K30" s="12">
        <f>IFERROR(SUMIFS(BY_TRA!S$2:S$999,BY_TRA!$AT$2:$AT$999,Transport!$B30,BY_TRA!$AU$2:$AU$999,Transport!$C30)/SUMIFS(BY_TRA!S$2:S$999,BY_TRA!$AT$2:$AT$999,Transport!$B30),0)</f>
        <v>0.26086956521739207</v>
      </c>
      <c r="L30" s="12">
        <f>IFERROR(SUMIFS(BY_TRA!T$2:T$999,BY_TRA!$AT$2:$AT$999,Transport!$B30,BY_TRA!$AU$2:$AU$999,Transport!$C30)/SUMIFS(BY_TRA!T$2:T$999,BY_TRA!$AT$2:$AT$999,Transport!$B30),0)</f>
        <v>0</v>
      </c>
      <c r="M30" s="12">
        <f>IFERROR(SUMIFS(BY_TRA!U$2:U$999,BY_TRA!$AT$2:$AT$999,Transport!$B30,BY_TRA!$AU$2:$AU$999,Transport!$C30)/SUMIFS(BY_TRA!U$2:U$999,BY_TRA!$AT$2:$AT$999,Transport!$B30),0)</f>
        <v>5.128205128205123E-3</v>
      </c>
      <c r="N30" s="12">
        <f>IFERROR(SUMIFS(BY_TRA!V$2:V$999,BY_TRA!$AT$2:$AT$999,Transport!$B30,BY_TRA!$AU$2:$AU$999,Transport!$C30)/SUMIFS(BY_TRA!V$2:V$999,BY_TRA!$AT$2:$AT$999,Transport!$B30),0)</f>
        <v>0.19999999999999996</v>
      </c>
      <c r="O30" s="12">
        <f>IFERROR(SUMIFS(BY_TRA!W$2:W$999,BY_TRA!$AT$2:$AT$999,Transport!$B30,BY_TRA!$AU$2:$AU$999,Transport!$C30)/SUMIFS(BY_TRA!W$2:W$999,BY_TRA!$AT$2:$AT$999,Transport!$B30),0)</f>
        <v>5.7142857142857328E-2</v>
      </c>
      <c r="P30" s="12">
        <f>IFERROR(SUMIFS(BY_TRA!X$2:X$999,BY_TRA!$AT$2:$AT$999,Transport!$B30,BY_TRA!$AU$2:$AU$999,Transport!$C30)/SUMIFS(BY_TRA!X$2:X$999,BY_TRA!$AT$2:$AT$999,Transport!$B30),0)</f>
        <v>0.11111111111111109</v>
      </c>
      <c r="Q30" s="12">
        <f>IFERROR(SUMIFS(BY_TRA!Y$2:Y$999,BY_TRA!$AT$2:$AT$999,Transport!$B30,BY_TRA!$AU$2:$AU$999,Transport!$C30)/SUMIFS(BY_TRA!Y$2:Y$999,BY_TRA!$AT$2:$AT$999,Transport!$B30),0)</f>
        <v>6.25E-2</v>
      </c>
      <c r="R30" s="12">
        <f>IFERROR(SUMIFS(BY_TRA!Z$2:Z$999,BY_TRA!$AT$2:$AT$999,Transport!$B30,BY_TRA!$AU$2:$AU$999,Transport!$C30)/SUMIFS(BY_TRA!Z$2:Z$999,BY_TRA!$AT$2:$AT$999,Transport!$B30),0)</f>
        <v>6.6666666666666666E-2</v>
      </c>
      <c r="S30" s="12">
        <f>IFERROR(SUMIFS(BY_TRA!AA$2:AA$999,BY_TRA!$AT$2:$AT$999,Transport!$B30,BY_TRA!$AU$2:$AU$999,Transport!$C30)/SUMIFS(BY_TRA!AA$2:AA$999,BY_TRA!$AT$2:$AT$999,Transport!$B30),0)</f>
        <v>7.1428571428571425E-2</v>
      </c>
      <c r="T30" s="12">
        <f>IFERROR(SUMIFS(BY_TRA!AB$2:AB$999,BY_TRA!$AT$2:$AT$999,Transport!$B30,BY_TRA!$AU$2:$AU$999,Transport!$C30)/SUMIFS(BY_TRA!AB$2:AB$999,BY_TRA!$AT$2:$AT$999,Transport!$B30),0)</f>
        <v>0</v>
      </c>
      <c r="U30" s="12">
        <f>IFERROR(SUMIFS(BY_TRA!AC$2:AC$999,BY_TRA!$AT$2:$AT$999,Transport!$B30,BY_TRA!$AU$2:$AU$999,Transport!$C30)/SUMIFS(BY_TRA!AC$2:AC$999,BY_TRA!$AT$2:$AT$999,Transport!$B30),0)</f>
        <v>5.8823529411764705E-2</v>
      </c>
      <c r="V30" s="12">
        <f>IFERROR(SUMIFS(BY_TRA!AD$2:AD$999,BY_TRA!$AT$2:$AT$999,Transport!$B30,BY_TRA!$AU$2:$AU$999,Transport!$C30)/SUMIFS(BY_TRA!AD$2:AD$999,BY_TRA!$AT$2:$AT$999,Transport!$B30),0)</f>
        <v>5.5555555555555546E-2</v>
      </c>
      <c r="W30" s="12">
        <f>IFERROR(SUMIFS(BY_TRA!AE$2:AE$999,BY_TRA!$AT$2:$AT$999,Transport!$B30,BY_TRA!$AU$2:$AU$999,Transport!$C30)/SUMIFS(BY_TRA!AE$2:AE$999,BY_TRA!$AT$2:$AT$999,Transport!$B30),0)</f>
        <v>0</v>
      </c>
      <c r="X30" s="12">
        <f>IFERROR(SUMIFS(BY_TRA!AF$2:AF$999,BY_TRA!$AT$2:$AT$999,Transport!$B30,BY_TRA!$AU$2:$AU$999,Transport!$C30)/SUMIFS(BY_TRA!AF$2:AF$999,BY_TRA!$AT$2:$AT$999,Transport!$B30),0)</f>
        <v>3.125E-2</v>
      </c>
      <c r="Y30" s="12">
        <f>IFERROR(SUMIFS(BY_TRA!AG$2:AG$999,BY_TRA!$AT$2:$AT$999,Transport!$B30,BY_TRA!$AU$2:$AU$999,Transport!$C30)/SUMIFS(BY_TRA!AG$2:AG$999,BY_TRA!$AT$2:$AT$999,Transport!$B30),0)</f>
        <v>0</v>
      </c>
      <c r="Z30" s="12">
        <f>IFERROR(SUMIFS(BY_TRA!AH$2:AH$999,BY_TRA!$AT$2:$AT$999,Transport!$B30,BY_TRA!$AU$2:$AU$999,Transport!$C30)/SUMIFS(BY_TRA!AH$2:AH$999,BY_TRA!$AT$2:$AT$999,Transport!$B30),0)</f>
        <v>0</v>
      </c>
      <c r="AA30" s="12">
        <f>IFERROR(SUMIFS(BY_TRA!AI$2:AI$999,BY_TRA!$AT$2:$AT$999,Transport!$B30,BY_TRA!$AU$2:$AU$999,Transport!$C30)/SUMIFS(BY_TRA!AI$2:AI$999,BY_TRA!$AT$2:$AT$999,Transport!$B30),0)</f>
        <v>0</v>
      </c>
      <c r="AB30" s="12">
        <f>IFERROR(SUMIFS(BY_TRA!AJ$2:AJ$999,BY_TRA!$AT$2:$AT$999,Transport!$B30,BY_TRA!$AU$2:$AU$999,Transport!$C30)/SUMIFS(BY_TRA!AJ$2:AJ$999,BY_TRA!$AT$2:$AT$999,Transport!$B30),0)</f>
        <v>0</v>
      </c>
      <c r="AC30" s="12">
        <f>IFERROR(SUMIFS(BY_TRA!AK$2:AK$999,BY_TRA!$AT$2:$AT$999,Transport!$B30,BY_TRA!$AU$2:$AU$999,Transport!$C30)/SUMIFS(BY_TRA!AK$2:AK$999,BY_TRA!$AT$2:$AT$999,Transport!$B30),0)</f>
        <v>0</v>
      </c>
      <c r="AD30" s="12">
        <f>IFERROR(SUMIFS(BY_TRA!AL$2:AL$999,BY_TRA!$AT$2:$AT$999,Transport!$B30,BY_TRA!$AU$2:$AU$999,Transport!$C30)/SUMIFS(BY_TRA!AL$2:AL$999,BY_TRA!$AT$2:$AT$999,Transport!$B30),0)</f>
        <v>0</v>
      </c>
      <c r="AE30" s="12">
        <f>IFERROR(SUMIFS(BY_TRA!AM$2:AM$999,BY_TRA!$AT$2:$AT$999,Transport!$B30,BY_TRA!$AU$2:$AU$999,Transport!$C30)/SUMIFS(BY_TRA!AM$2:AM$999,BY_TRA!$AT$2:$AT$999,Transport!$B30),0)</f>
        <v>7.1428571428571425E-2</v>
      </c>
      <c r="AF30" s="12">
        <f>IFERROR(SUMIFS(BY_TRA!AN$2:AN$999,BY_TRA!$AT$2:$AT$999,Transport!$B30,BY_TRA!$AU$2:$AU$999,Transport!$C30)/SUMIFS(BY_TRA!AN$2:AN$999,BY_TRA!$AT$2:$AT$999,Transport!$B30),0)</f>
        <v>2.1739130434782625E-2</v>
      </c>
      <c r="AG30" s="12">
        <f>IFERROR(SUMIFS(BY_TRA!AO$2:AO$999,BY_TRA!$AT$2:$AT$999,Transport!$B30,BY_TRA!$AU$2:$AU$999,Transport!$C30)/SUMIFS(BY_TRA!AO$2:AO$999,BY_TRA!$AT$2:$AT$999,Transport!$B30),0)</f>
        <v>0</v>
      </c>
      <c r="AH30" s="12">
        <f>IFERROR(SUMIFS(BY_TRA!AP$2:AP$999,BY_TRA!$AT$2:$AT$999,Transport!$B30,BY_TRA!$AU$2:$AU$999,Transport!$C30)/SUMIFS(BY_TRA!AP$2:AP$999,BY_TRA!$AT$2:$AT$999,Transport!$B30),0)</f>
        <v>0</v>
      </c>
      <c r="AI30" s="12">
        <f>IFERROR(SUMIFS(BY_TRA!AQ$2:AQ$999,BY_TRA!$AT$2:$AT$999,Transport!$B30,BY_TRA!$AU$2:$AU$999,Transport!$C30)/SUMIFS(BY_TRA!AQ$2:AQ$999,BY_TRA!$AT$2:$AT$999,Transport!$B30),0)</f>
        <v>0</v>
      </c>
    </row>
    <row r="31" spans="2:37">
      <c r="B31" t="s">
        <v>196</v>
      </c>
      <c r="C31" t="s">
        <v>195</v>
      </c>
      <c r="D31" s="12">
        <f>IFERROR(SUMIFS(BY_TRA!L$2:L$999,BY_TRA!$AT$2:$AT$999,Transport!$B31,BY_TRA!$AU$2:$AU$999,Transport!$C31)/SUMIFS(BY_TRA!L$2:L$999,BY_TRA!$AT$2:$AT$999,Transport!$B31),0)</f>
        <v>0.96000000000000174</v>
      </c>
      <c r="E31" s="12">
        <f>IFERROR(SUMIFS(BY_TRA!M$2:M$999,BY_TRA!$AT$2:$AT$999,Transport!$B31,BY_TRA!$AU$2:$AU$999,Transport!$C31)/SUMIFS(BY_TRA!M$2:M$999,BY_TRA!$AT$2:$AT$999,Transport!$B31),0)</f>
        <v>1</v>
      </c>
      <c r="F31" s="12">
        <f>IFERROR(SUMIFS(BY_TRA!N$2:N$999,BY_TRA!$AT$2:$AT$999,Transport!$B31,BY_TRA!$AU$2:$AU$999,Transport!$C31)/SUMIFS(BY_TRA!N$2:N$999,BY_TRA!$AT$2:$AT$999,Transport!$B31),0)</f>
        <v>0.52941176470588214</v>
      </c>
      <c r="G31" s="12">
        <f>IFERROR(SUMIFS(BY_TRA!O$2:O$999,BY_TRA!$AT$2:$AT$999,Transport!$B31,BY_TRA!$AU$2:$AU$999,Transport!$C31)/SUMIFS(BY_TRA!O$2:O$999,BY_TRA!$AT$2:$AT$999,Transport!$B31),0)</f>
        <v>0.79999999999999993</v>
      </c>
      <c r="H31" s="12">
        <f>IFERROR(SUMIFS(BY_TRA!P$2:P$999,BY_TRA!$AT$2:$AT$999,Transport!$B31,BY_TRA!$AU$2:$AU$999,Transport!$C31)/SUMIFS(BY_TRA!P$2:P$999,BY_TRA!$AT$2:$AT$999,Transport!$B31),0)</f>
        <v>1</v>
      </c>
      <c r="I31" s="12">
        <f>IFERROR(SUMIFS(BY_TRA!Q$2:Q$999,BY_TRA!$AT$2:$AT$999,Transport!$B31,BY_TRA!$AU$2:$AU$999,Transport!$C31)/SUMIFS(BY_TRA!Q$2:Q$999,BY_TRA!$AT$2:$AT$999,Transport!$B31),0)</f>
        <v>0.87096774193548576</v>
      </c>
      <c r="J31" s="12">
        <f>IFERROR(SUMIFS(BY_TRA!R$2:R$999,BY_TRA!$AT$2:$AT$999,Transport!$B31,BY_TRA!$AU$2:$AU$999,Transport!$C31)/SUMIFS(BY_TRA!R$2:R$999,BY_TRA!$AT$2:$AT$999,Transport!$B31),0)</f>
        <v>0.86956521739130566</v>
      </c>
      <c r="K31" s="12">
        <f>IFERROR(SUMIFS(BY_TRA!S$2:S$999,BY_TRA!$AT$2:$AT$999,Transport!$B31,BY_TRA!$AU$2:$AU$999,Transport!$C31)/SUMIFS(BY_TRA!S$2:S$999,BY_TRA!$AT$2:$AT$999,Transport!$B31),0)</f>
        <v>0.58695652173913204</v>
      </c>
      <c r="L31" s="12">
        <f>IFERROR(SUMIFS(BY_TRA!T$2:T$999,BY_TRA!$AT$2:$AT$999,Transport!$B31,BY_TRA!$AU$2:$AU$999,Transport!$C31)/SUMIFS(BY_TRA!T$2:T$999,BY_TRA!$AT$2:$AT$999,Transport!$B31),0)</f>
        <v>0.875</v>
      </c>
      <c r="M31" s="12">
        <f>IFERROR(SUMIFS(BY_TRA!U$2:U$999,BY_TRA!$AT$2:$AT$999,Transport!$B31,BY_TRA!$AU$2:$AU$999,Transport!$C31)/SUMIFS(BY_TRA!U$2:U$999,BY_TRA!$AT$2:$AT$999,Transport!$B31),0)</f>
        <v>0.65897435897435819</v>
      </c>
      <c r="N31" s="12">
        <f>IFERROR(SUMIFS(BY_TRA!V$2:V$999,BY_TRA!$AT$2:$AT$999,Transport!$B31,BY_TRA!$AU$2:$AU$999,Transport!$C31)/SUMIFS(BY_TRA!V$2:V$999,BY_TRA!$AT$2:$AT$999,Transport!$B31),0)</f>
        <v>0.79999999999999982</v>
      </c>
      <c r="O31" s="12">
        <f>IFERROR(SUMIFS(BY_TRA!W$2:W$999,BY_TRA!$AT$2:$AT$999,Transport!$B31,BY_TRA!$AU$2:$AU$999,Transport!$C31)/SUMIFS(BY_TRA!W$2:W$999,BY_TRA!$AT$2:$AT$999,Transport!$B31),0)</f>
        <v>0.8857142857142879</v>
      </c>
      <c r="P31" s="12">
        <f>IFERROR(SUMIFS(BY_TRA!X$2:X$999,BY_TRA!$AT$2:$AT$999,Transport!$B31,BY_TRA!$AU$2:$AU$999,Transport!$C31)/SUMIFS(BY_TRA!X$2:X$999,BY_TRA!$AT$2:$AT$999,Transport!$B31),0)</f>
        <v>0.88888888888888873</v>
      </c>
      <c r="Q31" s="12">
        <f>IFERROR(SUMIFS(BY_TRA!Y$2:Y$999,BY_TRA!$AT$2:$AT$999,Transport!$B31,BY_TRA!$AU$2:$AU$999,Transport!$C31)/SUMIFS(BY_TRA!Y$2:Y$999,BY_TRA!$AT$2:$AT$999,Transport!$B31),0)</f>
        <v>0.8125</v>
      </c>
      <c r="R31" s="12">
        <f>IFERROR(SUMIFS(BY_TRA!Z$2:Z$999,BY_TRA!$AT$2:$AT$999,Transport!$B31,BY_TRA!$AU$2:$AU$999,Transport!$C31)/SUMIFS(BY_TRA!Z$2:Z$999,BY_TRA!$AT$2:$AT$999,Transport!$B31),0)</f>
        <v>0.86666666666666659</v>
      </c>
      <c r="S31" s="12">
        <f>IFERROR(SUMIFS(BY_TRA!AA$2:AA$999,BY_TRA!$AT$2:$AT$999,Transport!$B31,BY_TRA!$AU$2:$AU$999,Transport!$C31)/SUMIFS(BY_TRA!AA$2:AA$999,BY_TRA!$AT$2:$AT$999,Transport!$B31),0)</f>
        <v>0.9285714285714286</v>
      </c>
      <c r="T31" s="12">
        <f>IFERROR(SUMIFS(BY_TRA!AB$2:AB$999,BY_TRA!$AT$2:$AT$999,Transport!$B31,BY_TRA!$AU$2:$AU$999,Transport!$C31)/SUMIFS(BY_TRA!AB$2:AB$999,BY_TRA!$AT$2:$AT$999,Transport!$B31),0)</f>
        <v>0.70270270270270518</v>
      </c>
      <c r="U31" s="12">
        <f>IFERROR(SUMIFS(BY_TRA!AC$2:AC$999,BY_TRA!$AT$2:$AT$999,Transport!$B31,BY_TRA!$AU$2:$AU$999,Transport!$C31)/SUMIFS(BY_TRA!AC$2:AC$999,BY_TRA!$AT$2:$AT$999,Transport!$B31),0)</f>
        <v>0.94117647058823528</v>
      </c>
      <c r="V31" s="12">
        <f>IFERROR(SUMIFS(BY_TRA!AD$2:AD$999,BY_TRA!$AT$2:$AT$999,Transport!$B31,BY_TRA!$AU$2:$AU$999,Transport!$C31)/SUMIFS(BY_TRA!AD$2:AD$999,BY_TRA!$AT$2:$AT$999,Transport!$B31),0)</f>
        <v>0.94444444444444431</v>
      </c>
      <c r="W31" s="12">
        <f>IFERROR(SUMIFS(BY_TRA!AE$2:AE$999,BY_TRA!$AT$2:$AT$999,Transport!$B31,BY_TRA!$AU$2:$AU$999,Transport!$C31)/SUMIFS(BY_TRA!AE$2:AE$999,BY_TRA!$AT$2:$AT$999,Transport!$B31),0)</f>
        <v>0.87037037037036957</v>
      </c>
      <c r="X31" s="12">
        <f>IFERROR(SUMIFS(BY_TRA!AF$2:AF$999,BY_TRA!$AT$2:$AT$999,Transport!$B31,BY_TRA!$AU$2:$AU$999,Transport!$C31)/SUMIFS(BY_TRA!AF$2:AF$999,BY_TRA!$AT$2:$AT$999,Transport!$B31),0)</f>
        <v>0.59374999999999989</v>
      </c>
      <c r="Y31" s="12">
        <f>IFERROR(SUMIFS(BY_TRA!AG$2:AG$999,BY_TRA!$AT$2:$AT$999,Transport!$B31,BY_TRA!$AU$2:$AU$999,Transport!$C31)/SUMIFS(BY_TRA!AG$2:AG$999,BY_TRA!$AT$2:$AT$999,Transport!$B31),0)</f>
        <v>0.59999999999999987</v>
      </c>
      <c r="Z31" s="12">
        <f>IFERROR(SUMIFS(BY_TRA!AH$2:AH$999,BY_TRA!$AT$2:$AT$999,Transport!$B31,BY_TRA!$AU$2:$AU$999,Transport!$C31)/SUMIFS(BY_TRA!AH$2:AH$999,BY_TRA!$AT$2:$AT$999,Transport!$B31),0)</f>
        <v>0.46666666666666656</v>
      </c>
      <c r="AA31" s="12">
        <f>IFERROR(SUMIFS(BY_TRA!AI$2:AI$999,BY_TRA!$AT$2:$AT$999,Transport!$B31,BY_TRA!$AU$2:$AU$999,Transport!$C31)/SUMIFS(BY_TRA!AI$2:AI$999,BY_TRA!$AT$2:$AT$999,Transport!$B31),0)</f>
        <v>1</v>
      </c>
      <c r="AB31" s="12">
        <f>IFERROR(SUMIFS(BY_TRA!AJ$2:AJ$999,BY_TRA!$AT$2:$AT$999,Transport!$B31,BY_TRA!$AU$2:$AU$999,Transport!$C31)/SUMIFS(BY_TRA!AJ$2:AJ$999,BY_TRA!$AT$2:$AT$999,Transport!$B31),0)</f>
        <v>0.70588235294117641</v>
      </c>
      <c r="AC31" s="12">
        <f>IFERROR(SUMIFS(BY_TRA!AK$2:AK$999,BY_TRA!$AT$2:$AT$999,Transport!$B31,BY_TRA!$AU$2:$AU$999,Transport!$C31)/SUMIFS(BY_TRA!AK$2:AK$999,BY_TRA!$AT$2:$AT$999,Transport!$B31),0)</f>
        <v>0.69565217391304401</v>
      </c>
      <c r="AD31" s="12">
        <f>IFERROR(SUMIFS(BY_TRA!AL$2:AL$999,BY_TRA!$AT$2:$AT$999,Transport!$B31,BY_TRA!$AU$2:$AU$999,Transport!$C31)/SUMIFS(BY_TRA!AL$2:AL$999,BY_TRA!$AT$2:$AT$999,Transport!$B31),0)</f>
        <v>1</v>
      </c>
      <c r="AE31" s="12">
        <f>IFERROR(SUMIFS(BY_TRA!AM$2:AM$999,BY_TRA!$AT$2:$AT$999,Transport!$B31,BY_TRA!$AU$2:$AU$999,Transport!$C31)/SUMIFS(BY_TRA!AM$2:AM$999,BY_TRA!$AT$2:$AT$999,Transport!$B31),0)</f>
        <v>0.9285714285714286</v>
      </c>
      <c r="AF31" s="12">
        <f>IFERROR(SUMIFS(BY_TRA!AN$2:AN$999,BY_TRA!$AT$2:$AT$999,Transport!$B31,BY_TRA!$AU$2:$AU$999,Transport!$C31)/SUMIFS(BY_TRA!AN$2:AN$999,BY_TRA!$AT$2:$AT$999,Transport!$B31),0)</f>
        <v>0.89130434782608703</v>
      </c>
      <c r="AG31" s="12">
        <f>IFERROR(SUMIFS(BY_TRA!AO$2:AO$999,BY_TRA!$AT$2:$AT$999,Transport!$B31,BY_TRA!$AU$2:$AU$999,Transport!$C31)/SUMIFS(BY_TRA!AO$2:AO$999,BY_TRA!$AT$2:$AT$999,Transport!$B31),0)</f>
        <v>0</v>
      </c>
      <c r="AH31" s="12">
        <f>IFERROR(SUMIFS(BY_TRA!AP$2:AP$999,BY_TRA!$AT$2:$AT$999,Transport!$B31,BY_TRA!$AU$2:$AU$999,Transport!$C31)/SUMIFS(BY_TRA!AP$2:AP$999,BY_TRA!$AT$2:$AT$999,Transport!$B31),0)</f>
        <v>0</v>
      </c>
      <c r="AI31" s="12">
        <f>IFERROR(SUMIFS(BY_TRA!AQ$2:AQ$999,BY_TRA!$AT$2:$AT$999,Transport!$B31,BY_TRA!$AU$2:$AU$999,Transport!$C31)/SUMIFS(BY_TRA!AQ$2:AQ$999,BY_TRA!$AT$2:$AT$999,Transport!$B31),0)</f>
        <v>0</v>
      </c>
    </row>
    <row r="32" spans="2:37">
      <c r="B32" t="s">
        <v>196</v>
      </c>
      <c r="C32" t="s">
        <v>197</v>
      </c>
      <c r="D32" s="12">
        <f>IFERROR(SUMIFS(BY_TRA!L$2:L$999,BY_TRA!$AT$2:$AT$999,Transport!$B32,BY_TRA!$AU$2:$AU$999,Transport!$C32)/SUMIFS(BY_TRA!L$2:L$999,BY_TRA!$AT$2:$AT$999,Transport!$B32),0)</f>
        <v>0</v>
      </c>
      <c r="E32" s="12">
        <f>IFERROR(SUMIFS(BY_TRA!M$2:M$999,BY_TRA!$AT$2:$AT$999,Transport!$B32,BY_TRA!$AU$2:$AU$999,Transport!$C32)/SUMIFS(BY_TRA!M$2:M$999,BY_TRA!$AT$2:$AT$999,Transport!$B32),0)</f>
        <v>0</v>
      </c>
      <c r="F32" s="12">
        <f>IFERROR(SUMIFS(BY_TRA!N$2:N$999,BY_TRA!$AT$2:$AT$999,Transport!$B32,BY_TRA!$AU$2:$AU$999,Transport!$C32)/SUMIFS(BY_TRA!N$2:N$999,BY_TRA!$AT$2:$AT$999,Transport!$B32),0)</f>
        <v>5.8823529411764705E-2</v>
      </c>
      <c r="G32" s="12">
        <f>IFERROR(SUMIFS(BY_TRA!O$2:O$999,BY_TRA!$AT$2:$AT$999,Transport!$B32,BY_TRA!$AU$2:$AU$999,Transport!$C32)/SUMIFS(BY_TRA!O$2:O$999,BY_TRA!$AT$2:$AT$999,Transport!$B32),0)</f>
        <v>0</v>
      </c>
      <c r="H32" s="12">
        <f>IFERROR(SUMIFS(BY_TRA!P$2:P$999,BY_TRA!$AT$2:$AT$999,Transport!$B32,BY_TRA!$AU$2:$AU$999,Transport!$C32)/SUMIFS(BY_TRA!P$2:P$999,BY_TRA!$AT$2:$AT$999,Transport!$B32),0)</f>
        <v>0</v>
      </c>
      <c r="I32" s="12">
        <f>IFERROR(SUMIFS(BY_TRA!Q$2:Q$999,BY_TRA!$AT$2:$AT$999,Transport!$B32,BY_TRA!$AU$2:$AU$999,Transport!$C32)/SUMIFS(BY_TRA!Q$2:Q$999,BY_TRA!$AT$2:$AT$999,Transport!$B32),0)</f>
        <v>0</v>
      </c>
      <c r="J32" s="12">
        <f>IFERROR(SUMIFS(BY_TRA!R$2:R$999,BY_TRA!$AT$2:$AT$999,Transport!$B32,BY_TRA!$AU$2:$AU$999,Transport!$C32)/SUMIFS(BY_TRA!R$2:R$999,BY_TRA!$AT$2:$AT$999,Transport!$B32),0)</f>
        <v>0</v>
      </c>
      <c r="K32" s="12">
        <f>IFERROR(SUMIFS(BY_TRA!S$2:S$999,BY_TRA!$AT$2:$AT$999,Transport!$B32,BY_TRA!$AU$2:$AU$999,Transport!$C32)/SUMIFS(BY_TRA!S$2:S$999,BY_TRA!$AT$2:$AT$999,Transport!$B32),0)</f>
        <v>0</v>
      </c>
      <c r="L32" s="12">
        <f>IFERROR(SUMIFS(BY_TRA!T$2:T$999,BY_TRA!$AT$2:$AT$999,Transport!$B32,BY_TRA!$AU$2:$AU$999,Transport!$C32)/SUMIFS(BY_TRA!T$2:T$999,BY_TRA!$AT$2:$AT$999,Transport!$B32),0)</f>
        <v>0</v>
      </c>
      <c r="M32" s="12">
        <f>IFERROR(SUMIFS(BY_TRA!U$2:U$999,BY_TRA!$AT$2:$AT$999,Transport!$B32,BY_TRA!$AU$2:$AU$999,Transport!$C32)/SUMIFS(BY_TRA!U$2:U$999,BY_TRA!$AT$2:$AT$999,Transport!$B32),0)</f>
        <v>5.6410256410256342E-2</v>
      </c>
      <c r="N32" s="12">
        <f>IFERROR(SUMIFS(BY_TRA!V$2:V$999,BY_TRA!$AT$2:$AT$999,Transport!$B32,BY_TRA!$AU$2:$AU$999,Transport!$C32)/SUMIFS(BY_TRA!V$2:V$999,BY_TRA!$AT$2:$AT$999,Transport!$B32),0)</f>
        <v>0</v>
      </c>
      <c r="O32" s="12">
        <f>IFERROR(SUMIFS(BY_TRA!W$2:W$999,BY_TRA!$AT$2:$AT$999,Transport!$B32,BY_TRA!$AU$2:$AU$999,Transport!$C32)/SUMIFS(BY_TRA!W$2:W$999,BY_TRA!$AT$2:$AT$999,Transport!$B32),0)</f>
        <v>2.8571428571428664E-2</v>
      </c>
      <c r="P32" s="12">
        <f>IFERROR(SUMIFS(BY_TRA!X$2:X$999,BY_TRA!$AT$2:$AT$999,Transport!$B32,BY_TRA!$AU$2:$AU$999,Transport!$C32)/SUMIFS(BY_TRA!X$2:X$999,BY_TRA!$AT$2:$AT$999,Transport!$B32),0)</f>
        <v>0</v>
      </c>
      <c r="Q32" s="12">
        <f>IFERROR(SUMIFS(BY_TRA!Y$2:Y$999,BY_TRA!$AT$2:$AT$999,Transport!$B32,BY_TRA!$AU$2:$AU$999,Transport!$C32)/SUMIFS(BY_TRA!Y$2:Y$999,BY_TRA!$AT$2:$AT$999,Transport!$B32),0)</f>
        <v>0</v>
      </c>
      <c r="R32" s="12">
        <f>IFERROR(SUMIFS(BY_TRA!Z$2:Z$999,BY_TRA!$AT$2:$AT$999,Transport!$B32,BY_TRA!$AU$2:$AU$999,Transport!$C32)/SUMIFS(BY_TRA!Z$2:Z$999,BY_TRA!$AT$2:$AT$999,Transport!$B32),0)</f>
        <v>0</v>
      </c>
      <c r="S32" s="12">
        <f>IFERROR(SUMIFS(BY_TRA!AA$2:AA$999,BY_TRA!$AT$2:$AT$999,Transport!$B32,BY_TRA!$AU$2:$AU$999,Transport!$C32)/SUMIFS(BY_TRA!AA$2:AA$999,BY_TRA!$AT$2:$AT$999,Transport!$B32),0)</f>
        <v>0</v>
      </c>
      <c r="T32" s="12">
        <f>IFERROR(SUMIFS(BY_TRA!AB$2:AB$999,BY_TRA!$AT$2:$AT$999,Transport!$B32,BY_TRA!$AU$2:$AU$999,Transport!$C32)/SUMIFS(BY_TRA!AB$2:AB$999,BY_TRA!$AT$2:$AT$999,Transport!$B32),0)</f>
        <v>2.7027027027027126E-2</v>
      </c>
      <c r="U32" s="12">
        <f>IFERROR(SUMIFS(BY_TRA!AC$2:AC$999,BY_TRA!$AT$2:$AT$999,Transport!$B32,BY_TRA!$AU$2:$AU$999,Transport!$C32)/SUMIFS(BY_TRA!AC$2:AC$999,BY_TRA!$AT$2:$AT$999,Transport!$B32),0)</f>
        <v>0</v>
      </c>
      <c r="V32" s="12">
        <f>IFERROR(SUMIFS(BY_TRA!AD$2:AD$999,BY_TRA!$AT$2:$AT$999,Transport!$B32,BY_TRA!$AU$2:$AU$999,Transport!$C32)/SUMIFS(BY_TRA!AD$2:AD$999,BY_TRA!$AT$2:$AT$999,Transport!$B32),0)</f>
        <v>0</v>
      </c>
      <c r="W32" s="12">
        <f>IFERROR(SUMIFS(BY_TRA!AE$2:AE$999,BY_TRA!$AT$2:$AT$999,Transport!$B32,BY_TRA!$AU$2:$AU$999,Transport!$C32)/SUMIFS(BY_TRA!AE$2:AE$999,BY_TRA!$AT$2:$AT$999,Transport!$B32),0)</f>
        <v>0</v>
      </c>
      <c r="X32" s="12">
        <f>IFERROR(SUMIFS(BY_TRA!AF$2:AF$999,BY_TRA!$AT$2:$AT$999,Transport!$B32,BY_TRA!$AU$2:$AU$999,Transport!$C32)/SUMIFS(BY_TRA!AF$2:AF$999,BY_TRA!$AT$2:$AT$999,Transport!$B32),0)</f>
        <v>0</v>
      </c>
      <c r="Y32" s="12">
        <f>IFERROR(SUMIFS(BY_TRA!AG$2:AG$999,BY_TRA!$AT$2:$AT$999,Transport!$B32,BY_TRA!$AU$2:$AU$999,Transport!$C32)/SUMIFS(BY_TRA!AG$2:AG$999,BY_TRA!$AT$2:$AT$999,Transport!$B32),0)</f>
        <v>0</v>
      </c>
      <c r="Z32" s="12">
        <f>IFERROR(SUMIFS(BY_TRA!AH$2:AH$999,BY_TRA!$AT$2:$AT$999,Transport!$B32,BY_TRA!$AU$2:$AU$999,Transport!$C32)/SUMIFS(BY_TRA!AH$2:AH$999,BY_TRA!$AT$2:$AT$999,Transport!$B32),0)</f>
        <v>0</v>
      </c>
      <c r="AA32" s="12">
        <f>IFERROR(SUMIFS(BY_TRA!AI$2:AI$999,BY_TRA!$AT$2:$AT$999,Transport!$B32,BY_TRA!$AU$2:$AU$999,Transport!$C32)/SUMIFS(BY_TRA!AI$2:AI$999,BY_TRA!$AT$2:$AT$999,Transport!$B32),0)</f>
        <v>0</v>
      </c>
      <c r="AB32" s="12">
        <f>IFERROR(SUMIFS(BY_TRA!AJ$2:AJ$999,BY_TRA!$AT$2:$AT$999,Transport!$B32,BY_TRA!$AU$2:$AU$999,Transport!$C32)/SUMIFS(BY_TRA!AJ$2:AJ$999,BY_TRA!$AT$2:$AT$999,Transport!$B32),0)</f>
        <v>0</v>
      </c>
      <c r="AC32" s="12">
        <f>IFERROR(SUMIFS(BY_TRA!AK$2:AK$999,BY_TRA!$AT$2:$AT$999,Transport!$B32,BY_TRA!$AU$2:$AU$999,Transport!$C32)/SUMIFS(BY_TRA!AK$2:AK$999,BY_TRA!$AT$2:$AT$999,Transport!$B32),0)</f>
        <v>0</v>
      </c>
      <c r="AD32" s="12">
        <f>IFERROR(SUMIFS(BY_TRA!AL$2:AL$999,BY_TRA!$AT$2:$AT$999,Transport!$B32,BY_TRA!$AU$2:$AU$999,Transport!$C32)/SUMIFS(BY_TRA!AL$2:AL$999,BY_TRA!$AT$2:$AT$999,Transport!$B32),0)</f>
        <v>0</v>
      </c>
      <c r="AE32" s="12">
        <f>IFERROR(SUMIFS(BY_TRA!AM$2:AM$999,BY_TRA!$AT$2:$AT$999,Transport!$B32,BY_TRA!$AU$2:$AU$999,Transport!$C32)/SUMIFS(BY_TRA!AM$2:AM$999,BY_TRA!$AT$2:$AT$999,Transport!$B32),0)</f>
        <v>0</v>
      </c>
      <c r="AF32" s="12">
        <f>IFERROR(SUMIFS(BY_TRA!AN$2:AN$999,BY_TRA!$AT$2:$AT$999,Transport!$B32,BY_TRA!$AU$2:$AU$999,Transport!$C32)/SUMIFS(BY_TRA!AN$2:AN$999,BY_TRA!$AT$2:$AT$999,Transport!$B32),0)</f>
        <v>0</v>
      </c>
      <c r="AG32" s="12">
        <f>IFERROR(SUMIFS(BY_TRA!AO$2:AO$999,BY_TRA!$AT$2:$AT$999,Transport!$B32,BY_TRA!$AU$2:$AU$999,Transport!$C32)/SUMIFS(BY_TRA!AO$2:AO$999,BY_TRA!$AT$2:$AT$999,Transport!$B32),0)</f>
        <v>0</v>
      </c>
      <c r="AH32" s="12">
        <f>IFERROR(SUMIFS(BY_TRA!AP$2:AP$999,BY_TRA!$AT$2:$AT$999,Transport!$B32,BY_TRA!$AU$2:$AU$999,Transport!$C32)/SUMIFS(BY_TRA!AP$2:AP$999,BY_TRA!$AT$2:$AT$999,Transport!$B32),0)</f>
        <v>0</v>
      </c>
      <c r="AI32" s="12">
        <f>IFERROR(SUMIFS(BY_TRA!AQ$2:AQ$999,BY_TRA!$AT$2:$AT$999,Transport!$B32,BY_TRA!$AU$2:$AU$999,Transport!$C32)/SUMIFS(BY_TRA!AQ$2:AQ$999,BY_TRA!$AT$2:$AT$999,Transport!$B32),0)</f>
        <v>0</v>
      </c>
    </row>
    <row r="33" spans="2:35">
      <c r="B33" t="s">
        <v>196</v>
      </c>
      <c r="C33" t="s">
        <v>191</v>
      </c>
      <c r="D33" s="12">
        <f>IFERROR(SUMIFS(BY_TRA!L$2:L$999,BY_TRA!$AT$2:$AT$999,Transport!$B33,BY_TRA!$AU$2:$AU$999,Transport!$C33)/SUMIFS(BY_TRA!L$2:L$999,BY_TRA!$AT$2:$AT$999,Transport!$B33),0)</f>
        <v>0</v>
      </c>
      <c r="E33" s="12">
        <f>IFERROR(SUMIFS(BY_TRA!M$2:M$999,BY_TRA!$AT$2:$AT$999,Transport!$B33,BY_TRA!$AU$2:$AU$999,Transport!$C33)/SUMIFS(BY_TRA!M$2:M$999,BY_TRA!$AT$2:$AT$999,Transport!$B33),0)</f>
        <v>0</v>
      </c>
      <c r="F33" s="12">
        <f>IFERROR(SUMIFS(BY_TRA!N$2:N$999,BY_TRA!$AT$2:$AT$999,Transport!$B33,BY_TRA!$AU$2:$AU$999,Transport!$C33)/SUMIFS(BY_TRA!N$2:N$999,BY_TRA!$AT$2:$AT$999,Transport!$B33),0)</f>
        <v>0</v>
      </c>
      <c r="G33" s="12">
        <f>IFERROR(SUMIFS(BY_TRA!O$2:O$999,BY_TRA!$AT$2:$AT$999,Transport!$B33,BY_TRA!$AU$2:$AU$999,Transport!$C33)/SUMIFS(BY_TRA!O$2:O$999,BY_TRA!$AT$2:$AT$999,Transport!$B33),0)</f>
        <v>0</v>
      </c>
      <c r="H33" s="12">
        <f>IFERROR(SUMIFS(BY_TRA!P$2:P$999,BY_TRA!$AT$2:$AT$999,Transport!$B33,BY_TRA!$AU$2:$AU$999,Transport!$C33)/SUMIFS(BY_TRA!P$2:P$999,BY_TRA!$AT$2:$AT$999,Transport!$B33),0)</f>
        <v>0</v>
      </c>
      <c r="I33" s="12">
        <f>IFERROR(SUMIFS(BY_TRA!Q$2:Q$999,BY_TRA!$AT$2:$AT$999,Transport!$B33,BY_TRA!$AU$2:$AU$999,Transport!$C33)/SUMIFS(BY_TRA!Q$2:Q$999,BY_TRA!$AT$2:$AT$999,Transport!$B33),0)</f>
        <v>0</v>
      </c>
      <c r="J33" s="12">
        <f>IFERROR(SUMIFS(BY_TRA!R$2:R$999,BY_TRA!$AT$2:$AT$999,Transport!$B33,BY_TRA!$AU$2:$AU$999,Transport!$C33)/SUMIFS(BY_TRA!R$2:R$999,BY_TRA!$AT$2:$AT$999,Transport!$B33),0)</f>
        <v>0</v>
      </c>
      <c r="K33" s="12">
        <f>IFERROR(SUMIFS(BY_TRA!S$2:S$999,BY_TRA!$AT$2:$AT$999,Transport!$B33,BY_TRA!$AU$2:$AU$999,Transport!$C33)/SUMIFS(BY_TRA!S$2:S$999,BY_TRA!$AT$2:$AT$999,Transport!$B33),0)</f>
        <v>2.1739130434782674E-2</v>
      </c>
      <c r="L33" s="12">
        <f>IFERROR(SUMIFS(BY_TRA!T$2:T$999,BY_TRA!$AT$2:$AT$999,Transport!$B33,BY_TRA!$AU$2:$AU$999,Transport!$C33)/SUMIFS(BY_TRA!T$2:T$999,BY_TRA!$AT$2:$AT$999,Transport!$B33),0)</f>
        <v>0</v>
      </c>
      <c r="M33" s="12">
        <f>IFERROR(SUMIFS(BY_TRA!U$2:U$999,BY_TRA!$AT$2:$AT$999,Transport!$B33,BY_TRA!$AU$2:$AU$999,Transport!$C33)/SUMIFS(BY_TRA!U$2:U$999,BY_TRA!$AT$2:$AT$999,Transport!$B33),0)</f>
        <v>0</v>
      </c>
      <c r="N33" s="12">
        <f>IFERROR(SUMIFS(BY_TRA!V$2:V$999,BY_TRA!$AT$2:$AT$999,Transport!$B33,BY_TRA!$AU$2:$AU$999,Transport!$C33)/SUMIFS(BY_TRA!V$2:V$999,BY_TRA!$AT$2:$AT$999,Transport!$B33),0)</f>
        <v>0</v>
      </c>
      <c r="O33" s="12">
        <f>IFERROR(SUMIFS(BY_TRA!W$2:W$999,BY_TRA!$AT$2:$AT$999,Transport!$B33,BY_TRA!$AU$2:$AU$999,Transport!$C33)/SUMIFS(BY_TRA!W$2:W$999,BY_TRA!$AT$2:$AT$999,Transport!$B33),0)</f>
        <v>0</v>
      </c>
      <c r="P33" s="12">
        <f>IFERROR(SUMIFS(BY_TRA!X$2:X$999,BY_TRA!$AT$2:$AT$999,Transport!$B33,BY_TRA!$AU$2:$AU$999,Transport!$C33)/SUMIFS(BY_TRA!X$2:X$999,BY_TRA!$AT$2:$AT$999,Transport!$B33),0)</f>
        <v>0</v>
      </c>
      <c r="Q33" s="12">
        <f>IFERROR(SUMIFS(BY_TRA!Y$2:Y$999,BY_TRA!$AT$2:$AT$999,Transport!$B33,BY_TRA!$AU$2:$AU$999,Transport!$C33)/SUMIFS(BY_TRA!Y$2:Y$999,BY_TRA!$AT$2:$AT$999,Transport!$B33),0)</f>
        <v>0</v>
      </c>
      <c r="R33" s="12">
        <f>IFERROR(SUMIFS(BY_TRA!Z$2:Z$999,BY_TRA!$AT$2:$AT$999,Transport!$B33,BY_TRA!$AU$2:$AU$999,Transport!$C33)/SUMIFS(BY_TRA!Z$2:Z$999,BY_TRA!$AT$2:$AT$999,Transport!$B33),0)</f>
        <v>0</v>
      </c>
      <c r="S33" s="12">
        <f>IFERROR(SUMIFS(BY_TRA!AA$2:AA$999,BY_TRA!$AT$2:$AT$999,Transport!$B33,BY_TRA!$AU$2:$AU$999,Transport!$C33)/SUMIFS(BY_TRA!AA$2:AA$999,BY_TRA!$AT$2:$AT$999,Transport!$B33),0)</f>
        <v>0</v>
      </c>
      <c r="T33" s="12">
        <f>IFERROR(SUMIFS(BY_TRA!AB$2:AB$999,BY_TRA!$AT$2:$AT$999,Transport!$B33,BY_TRA!$AU$2:$AU$999,Transport!$C33)/SUMIFS(BY_TRA!AB$2:AB$999,BY_TRA!$AT$2:$AT$999,Transport!$B33),0)</f>
        <v>0</v>
      </c>
      <c r="U33" s="12">
        <f>IFERROR(SUMIFS(BY_TRA!AC$2:AC$999,BY_TRA!$AT$2:$AT$999,Transport!$B33,BY_TRA!$AU$2:$AU$999,Transport!$C33)/SUMIFS(BY_TRA!AC$2:AC$999,BY_TRA!$AT$2:$AT$999,Transport!$B33),0)</f>
        <v>0</v>
      </c>
      <c r="V33" s="12">
        <f>IFERROR(SUMIFS(BY_TRA!AD$2:AD$999,BY_TRA!$AT$2:$AT$999,Transport!$B33,BY_TRA!$AU$2:$AU$999,Transport!$C33)/SUMIFS(BY_TRA!AD$2:AD$999,BY_TRA!$AT$2:$AT$999,Transport!$B33),0)</f>
        <v>0</v>
      </c>
      <c r="W33" s="12">
        <f>IFERROR(SUMIFS(BY_TRA!AE$2:AE$999,BY_TRA!$AT$2:$AT$999,Transport!$B33,BY_TRA!$AU$2:$AU$999,Transport!$C33)/SUMIFS(BY_TRA!AE$2:AE$999,BY_TRA!$AT$2:$AT$999,Transport!$B33),0)</f>
        <v>0</v>
      </c>
      <c r="X33" s="12">
        <f>IFERROR(SUMIFS(BY_TRA!AF$2:AF$999,BY_TRA!$AT$2:$AT$999,Transport!$B33,BY_TRA!$AU$2:$AU$999,Transport!$C33)/SUMIFS(BY_TRA!AF$2:AF$999,BY_TRA!$AT$2:$AT$999,Transport!$B33),0)</f>
        <v>0</v>
      </c>
      <c r="Y33" s="12">
        <f>IFERROR(SUMIFS(BY_TRA!AG$2:AG$999,BY_TRA!$AT$2:$AT$999,Transport!$B33,BY_TRA!$AU$2:$AU$999,Transport!$C33)/SUMIFS(BY_TRA!AG$2:AG$999,BY_TRA!$AT$2:$AT$999,Transport!$B33),0)</f>
        <v>0</v>
      </c>
      <c r="Z33" s="12">
        <f>IFERROR(SUMIFS(BY_TRA!AH$2:AH$999,BY_TRA!$AT$2:$AT$999,Transport!$B33,BY_TRA!$AU$2:$AU$999,Transport!$C33)/SUMIFS(BY_TRA!AH$2:AH$999,BY_TRA!$AT$2:$AT$999,Transport!$B33),0)</f>
        <v>0</v>
      </c>
      <c r="AA33" s="12">
        <f>IFERROR(SUMIFS(BY_TRA!AI$2:AI$999,BY_TRA!$AT$2:$AT$999,Transport!$B33,BY_TRA!$AU$2:$AU$999,Transport!$C33)/SUMIFS(BY_TRA!AI$2:AI$999,BY_TRA!$AT$2:$AT$999,Transport!$B33),0)</f>
        <v>0</v>
      </c>
      <c r="AB33" s="12">
        <f>IFERROR(SUMIFS(BY_TRA!AJ$2:AJ$999,BY_TRA!$AT$2:$AT$999,Transport!$B33,BY_TRA!$AU$2:$AU$999,Transport!$C33)/SUMIFS(BY_TRA!AJ$2:AJ$999,BY_TRA!$AT$2:$AT$999,Transport!$B33),0)</f>
        <v>0</v>
      </c>
      <c r="AC33" s="12">
        <f>IFERROR(SUMIFS(BY_TRA!AK$2:AK$999,BY_TRA!$AT$2:$AT$999,Transport!$B33,BY_TRA!$AU$2:$AU$999,Transport!$C33)/SUMIFS(BY_TRA!AK$2:AK$999,BY_TRA!$AT$2:$AT$999,Transport!$B33),0)</f>
        <v>0</v>
      </c>
      <c r="AD33" s="12">
        <f>IFERROR(SUMIFS(BY_TRA!AL$2:AL$999,BY_TRA!$AT$2:$AT$999,Transport!$B33,BY_TRA!$AU$2:$AU$999,Transport!$C33)/SUMIFS(BY_TRA!AL$2:AL$999,BY_TRA!$AT$2:$AT$999,Transport!$B33),0)</f>
        <v>0</v>
      </c>
      <c r="AE33" s="12">
        <f>IFERROR(SUMIFS(BY_TRA!AM$2:AM$999,BY_TRA!$AT$2:$AT$999,Transport!$B33,BY_TRA!$AU$2:$AU$999,Transport!$C33)/SUMIFS(BY_TRA!AM$2:AM$999,BY_TRA!$AT$2:$AT$999,Transport!$B33),0)</f>
        <v>0</v>
      </c>
      <c r="AF33" s="12">
        <f>IFERROR(SUMIFS(BY_TRA!AN$2:AN$999,BY_TRA!$AT$2:$AT$999,Transport!$B33,BY_TRA!$AU$2:$AU$999,Transport!$C33)/SUMIFS(BY_TRA!AN$2:AN$999,BY_TRA!$AT$2:$AT$999,Transport!$B33),0)</f>
        <v>0</v>
      </c>
      <c r="AG33" s="12">
        <f>IFERROR(SUMIFS(BY_TRA!AO$2:AO$999,BY_TRA!$AT$2:$AT$999,Transport!$B33,BY_TRA!$AU$2:$AU$999,Transport!$C33)/SUMIFS(BY_TRA!AO$2:AO$999,BY_TRA!$AT$2:$AT$999,Transport!$B33),0)</f>
        <v>0</v>
      </c>
      <c r="AH33" s="12">
        <f>IFERROR(SUMIFS(BY_TRA!AP$2:AP$999,BY_TRA!$AT$2:$AT$999,Transport!$B33,BY_TRA!$AU$2:$AU$999,Transport!$C33)/SUMIFS(BY_TRA!AP$2:AP$999,BY_TRA!$AT$2:$AT$999,Transport!$B33),0)</f>
        <v>0</v>
      </c>
      <c r="AI33" s="12">
        <f>IFERROR(SUMIFS(BY_TRA!AQ$2:AQ$999,BY_TRA!$AT$2:$AT$999,Transport!$B33,BY_TRA!$AU$2:$AU$999,Transport!$C33)/SUMIFS(BY_TRA!AQ$2:AQ$999,BY_TRA!$AT$2:$AT$999,Transport!$B33),0)</f>
        <v>0</v>
      </c>
    </row>
    <row r="34" spans="2:35">
      <c r="B34" t="s">
        <v>196</v>
      </c>
      <c r="C34" t="s">
        <v>192</v>
      </c>
      <c r="D34" s="12">
        <f>IFERROR(SUMIFS(BY_TRA!L$2:L$999,BY_TRA!$AT$2:$AT$999,Transport!$B34,BY_TRA!$AU$2:$AU$999,Transport!$C34)/SUMIFS(BY_TRA!L$2:L$999,BY_TRA!$AT$2:$AT$999,Transport!$B34),0)</f>
        <v>0</v>
      </c>
      <c r="E34" s="12">
        <f>IFERROR(SUMIFS(BY_TRA!M$2:M$999,BY_TRA!$AT$2:$AT$999,Transport!$B34,BY_TRA!$AU$2:$AU$999,Transport!$C34)/SUMIFS(BY_TRA!M$2:M$999,BY_TRA!$AT$2:$AT$999,Transport!$B34),0)</f>
        <v>0</v>
      </c>
      <c r="F34" s="12">
        <f>IFERROR(SUMIFS(BY_TRA!N$2:N$999,BY_TRA!$AT$2:$AT$999,Transport!$B34,BY_TRA!$AU$2:$AU$999,Transport!$C34)/SUMIFS(BY_TRA!N$2:N$999,BY_TRA!$AT$2:$AT$999,Transport!$B34),0)</f>
        <v>5.8823529411764705E-2</v>
      </c>
      <c r="G34" s="12">
        <f>IFERROR(SUMIFS(BY_TRA!O$2:O$999,BY_TRA!$AT$2:$AT$999,Transport!$B34,BY_TRA!$AU$2:$AU$999,Transport!$C34)/SUMIFS(BY_TRA!O$2:O$999,BY_TRA!$AT$2:$AT$999,Transport!$B34),0)</f>
        <v>0.19999999999999998</v>
      </c>
      <c r="H34" s="12">
        <f>IFERROR(SUMIFS(BY_TRA!P$2:P$999,BY_TRA!$AT$2:$AT$999,Transport!$B34,BY_TRA!$AU$2:$AU$999,Transport!$C34)/SUMIFS(BY_TRA!P$2:P$999,BY_TRA!$AT$2:$AT$999,Transport!$B34),0)</f>
        <v>0</v>
      </c>
      <c r="I34" s="12">
        <f>IFERROR(SUMIFS(BY_TRA!Q$2:Q$999,BY_TRA!$AT$2:$AT$999,Transport!$B34,BY_TRA!$AU$2:$AU$999,Transport!$C34)/SUMIFS(BY_TRA!Q$2:Q$999,BY_TRA!$AT$2:$AT$999,Transport!$B34),0)</f>
        <v>0</v>
      </c>
      <c r="J34" s="12">
        <f>IFERROR(SUMIFS(BY_TRA!R$2:R$999,BY_TRA!$AT$2:$AT$999,Transport!$B34,BY_TRA!$AU$2:$AU$999,Transport!$C34)/SUMIFS(BY_TRA!R$2:R$999,BY_TRA!$AT$2:$AT$999,Transport!$B34),0)</f>
        <v>4.3478260869565293E-2</v>
      </c>
      <c r="K34" s="12">
        <f>IFERROR(SUMIFS(BY_TRA!S$2:S$999,BY_TRA!$AT$2:$AT$999,Transport!$B34,BY_TRA!$AU$2:$AU$999,Transport!$C34)/SUMIFS(BY_TRA!S$2:S$999,BY_TRA!$AT$2:$AT$999,Transport!$B34),0)</f>
        <v>4.3478260869565348E-2</v>
      </c>
      <c r="L34" s="12">
        <f>IFERROR(SUMIFS(BY_TRA!T$2:T$999,BY_TRA!$AT$2:$AT$999,Transport!$B34,BY_TRA!$AU$2:$AU$999,Transport!$C34)/SUMIFS(BY_TRA!T$2:T$999,BY_TRA!$AT$2:$AT$999,Transport!$B34),0)</f>
        <v>0.125</v>
      </c>
      <c r="M34" s="12">
        <f>IFERROR(SUMIFS(BY_TRA!U$2:U$999,BY_TRA!$AT$2:$AT$999,Transport!$B34,BY_TRA!$AU$2:$AU$999,Transport!$C34)/SUMIFS(BY_TRA!U$2:U$999,BY_TRA!$AT$2:$AT$999,Transport!$B34),0)</f>
        <v>3.589743589743586E-2</v>
      </c>
      <c r="N34" s="12">
        <f>IFERROR(SUMIFS(BY_TRA!V$2:V$999,BY_TRA!$AT$2:$AT$999,Transport!$B34,BY_TRA!$AU$2:$AU$999,Transport!$C34)/SUMIFS(BY_TRA!V$2:V$999,BY_TRA!$AT$2:$AT$999,Transport!$B34),0)</f>
        <v>0</v>
      </c>
      <c r="O34" s="12">
        <f>IFERROR(SUMIFS(BY_TRA!W$2:W$999,BY_TRA!$AT$2:$AT$999,Transport!$B34,BY_TRA!$AU$2:$AU$999,Transport!$C34)/SUMIFS(BY_TRA!W$2:W$999,BY_TRA!$AT$2:$AT$999,Transport!$B34),0)</f>
        <v>0</v>
      </c>
      <c r="P34" s="12">
        <f>IFERROR(SUMIFS(BY_TRA!X$2:X$999,BY_TRA!$AT$2:$AT$999,Transport!$B34,BY_TRA!$AU$2:$AU$999,Transport!$C34)/SUMIFS(BY_TRA!X$2:X$999,BY_TRA!$AT$2:$AT$999,Transport!$B34),0)</f>
        <v>0</v>
      </c>
      <c r="Q34" s="12">
        <f>IFERROR(SUMIFS(BY_TRA!Y$2:Y$999,BY_TRA!$AT$2:$AT$999,Transport!$B34,BY_TRA!$AU$2:$AU$999,Transport!$C34)/SUMIFS(BY_TRA!Y$2:Y$999,BY_TRA!$AT$2:$AT$999,Transport!$B34),0)</f>
        <v>0</v>
      </c>
      <c r="R34" s="12">
        <f>IFERROR(SUMIFS(BY_TRA!Z$2:Z$999,BY_TRA!$AT$2:$AT$999,Transport!$B34,BY_TRA!$AU$2:$AU$999,Transport!$C34)/SUMIFS(BY_TRA!Z$2:Z$999,BY_TRA!$AT$2:$AT$999,Transport!$B34),0)</f>
        <v>0</v>
      </c>
      <c r="S34" s="12">
        <f>IFERROR(SUMIFS(BY_TRA!AA$2:AA$999,BY_TRA!$AT$2:$AT$999,Transport!$B34,BY_TRA!$AU$2:$AU$999,Transport!$C34)/SUMIFS(BY_TRA!AA$2:AA$999,BY_TRA!$AT$2:$AT$999,Transport!$B34),0)</f>
        <v>0</v>
      </c>
      <c r="T34" s="12">
        <f>IFERROR(SUMIFS(BY_TRA!AB$2:AB$999,BY_TRA!$AT$2:$AT$999,Transport!$B34,BY_TRA!$AU$2:$AU$999,Transport!$C34)/SUMIFS(BY_TRA!AB$2:AB$999,BY_TRA!$AT$2:$AT$999,Transport!$B34),0)</f>
        <v>8.1081081081081363E-2</v>
      </c>
      <c r="U34" s="12">
        <f>IFERROR(SUMIFS(BY_TRA!AC$2:AC$999,BY_TRA!$AT$2:$AT$999,Transport!$B34,BY_TRA!$AU$2:$AU$999,Transport!$C34)/SUMIFS(BY_TRA!AC$2:AC$999,BY_TRA!$AT$2:$AT$999,Transport!$B34),0)</f>
        <v>0</v>
      </c>
      <c r="V34" s="12">
        <f>IFERROR(SUMIFS(BY_TRA!AD$2:AD$999,BY_TRA!$AT$2:$AT$999,Transport!$B34,BY_TRA!$AU$2:$AU$999,Transport!$C34)/SUMIFS(BY_TRA!AD$2:AD$999,BY_TRA!$AT$2:$AT$999,Transport!$B34),0)</f>
        <v>0</v>
      </c>
      <c r="W34" s="12">
        <f>IFERROR(SUMIFS(BY_TRA!AE$2:AE$999,BY_TRA!$AT$2:$AT$999,Transport!$B34,BY_TRA!$AU$2:$AU$999,Transport!$C34)/SUMIFS(BY_TRA!AE$2:AE$999,BY_TRA!$AT$2:$AT$999,Transport!$B34),0)</f>
        <v>0</v>
      </c>
      <c r="X34" s="12">
        <f>IFERROR(SUMIFS(BY_TRA!AF$2:AF$999,BY_TRA!$AT$2:$AT$999,Transport!$B34,BY_TRA!$AU$2:$AU$999,Transport!$C34)/SUMIFS(BY_TRA!AF$2:AF$999,BY_TRA!$AT$2:$AT$999,Transport!$B34),0)</f>
        <v>0.125</v>
      </c>
      <c r="Y34" s="12">
        <f>IFERROR(SUMIFS(BY_TRA!AG$2:AG$999,BY_TRA!$AT$2:$AT$999,Transport!$B34,BY_TRA!$AU$2:$AU$999,Transport!$C34)/SUMIFS(BY_TRA!AG$2:AG$999,BY_TRA!$AT$2:$AT$999,Transport!$B34),0)</f>
        <v>0.13333333333333336</v>
      </c>
      <c r="Z34" s="12">
        <f>IFERROR(SUMIFS(BY_TRA!AH$2:AH$999,BY_TRA!$AT$2:$AT$999,Transport!$B34,BY_TRA!$AU$2:$AU$999,Transport!$C34)/SUMIFS(BY_TRA!AH$2:AH$999,BY_TRA!$AT$2:$AT$999,Transport!$B34),0)</f>
        <v>0.26666666666666661</v>
      </c>
      <c r="AA34" s="12">
        <f>IFERROR(SUMIFS(BY_TRA!AI$2:AI$999,BY_TRA!$AT$2:$AT$999,Transport!$B34,BY_TRA!$AU$2:$AU$999,Transport!$C34)/SUMIFS(BY_TRA!AI$2:AI$999,BY_TRA!$AT$2:$AT$999,Transport!$B34),0)</f>
        <v>0</v>
      </c>
      <c r="AB34" s="12">
        <f>IFERROR(SUMIFS(BY_TRA!AJ$2:AJ$999,BY_TRA!$AT$2:$AT$999,Transport!$B34,BY_TRA!$AU$2:$AU$999,Transport!$C34)/SUMIFS(BY_TRA!AJ$2:AJ$999,BY_TRA!$AT$2:$AT$999,Transport!$B34),0)</f>
        <v>0.29411764705882348</v>
      </c>
      <c r="AC34" s="12">
        <f>IFERROR(SUMIFS(BY_TRA!AK$2:AK$999,BY_TRA!$AT$2:$AT$999,Transport!$B34,BY_TRA!$AU$2:$AU$999,Transport!$C34)/SUMIFS(BY_TRA!AK$2:AK$999,BY_TRA!$AT$2:$AT$999,Transport!$B34),0)</f>
        <v>0.30434782608695671</v>
      </c>
      <c r="AD34" s="12">
        <f>IFERROR(SUMIFS(BY_TRA!AL$2:AL$999,BY_TRA!$AT$2:$AT$999,Transport!$B34,BY_TRA!$AU$2:$AU$999,Transport!$C34)/SUMIFS(BY_TRA!AL$2:AL$999,BY_TRA!$AT$2:$AT$999,Transport!$B34),0)</f>
        <v>0</v>
      </c>
      <c r="AE34" s="12">
        <f>IFERROR(SUMIFS(BY_TRA!AM$2:AM$999,BY_TRA!$AT$2:$AT$999,Transport!$B34,BY_TRA!$AU$2:$AU$999,Transport!$C34)/SUMIFS(BY_TRA!AM$2:AM$999,BY_TRA!$AT$2:$AT$999,Transport!$B34),0)</f>
        <v>0</v>
      </c>
      <c r="AF34" s="12">
        <f>IFERROR(SUMIFS(BY_TRA!AN$2:AN$999,BY_TRA!$AT$2:$AT$999,Transport!$B34,BY_TRA!$AU$2:$AU$999,Transport!$C34)/SUMIFS(BY_TRA!AN$2:AN$999,BY_TRA!$AT$2:$AT$999,Transport!$B34),0)</f>
        <v>8.6956521739130502E-2</v>
      </c>
      <c r="AG34" s="12">
        <f>IFERROR(SUMIFS(BY_TRA!AO$2:AO$999,BY_TRA!$AT$2:$AT$999,Transport!$B34,BY_TRA!$AU$2:$AU$999,Transport!$C34)/SUMIFS(BY_TRA!AO$2:AO$999,BY_TRA!$AT$2:$AT$999,Transport!$B34),0)</f>
        <v>0</v>
      </c>
      <c r="AH34" s="12">
        <f>IFERROR(SUMIFS(BY_TRA!AP$2:AP$999,BY_TRA!$AT$2:$AT$999,Transport!$B34,BY_TRA!$AU$2:$AU$999,Transport!$C34)/SUMIFS(BY_TRA!AP$2:AP$999,BY_TRA!$AT$2:$AT$999,Transport!$B34),0)</f>
        <v>0</v>
      </c>
      <c r="AI34" s="12">
        <f>IFERROR(SUMIFS(BY_TRA!AQ$2:AQ$999,BY_TRA!$AT$2:$AT$999,Transport!$B34,BY_TRA!$AU$2:$AU$999,Transport!$C34)/SUMIFS(BY_TRA!AQ$2:AQ$999,BY_TRA!$AT$2:$AT$999,Transport!$B34),0)</f>
        <v>0</v>
      </c>
    </row>
    <row r="35" spans="2:35">
      <c r="B35" t="s">
        <v>196</v>
      </c>
      <c r="C35" t="s">
        <v>198</v>
      </c>
      <c r="D35" s="12">
        <f>IFERROR(SUMIFS(BY_TRA!L$2:L$999,BY_TRA!$AT$2:$AT$999,Transport!$B35,BY_TRA!$AU$2:$AU$999,Transport!$C35)/SUMIFS(BY_TRA!L$2:L$999,BY_TRA!$AT$2:$AT$999,Transport!$B35),0)</f>
        <v>1.3333333333333362E-2</v>
      </c>
      <c r="E35" s="12">
        <f>IFERROR(SUMIFS(BY_TRA!M$2:M$999,BY_TRA!$AT$2:$AT$999,Transport!$B35,BY_TRA!$AU$2:$AU$999,Transport!$C35)/SUMIFS(BY_TRA!M$2:M$999,BY_TRA!$AT$2:$AT$999,Transport!$B35),0)</f>
        <v>0</v>
      </c>
      <c r="F35" s="12">
        <f>IFERROR(SUMIFS(BY_TRA!N$2:N$999,BY_TRA!$AT$2:$AT$999,Transport!$B35,BY_TRA!$AU$2:$AU$999,Transport!$C35)/SUMIFS(BY_TRA!N$2:N$999,BY_TRA!$AT$2:$AT$999,Transport!$B35),0)</f>
        <v>0</v>
      </c>
      <c r="G35" s="12">
        <f>IFERROR(SUMIFS(BY_TRA!O$2:O$999,BY_TRA!$AT$2:$AT$999,Transport!$B35,BY_TRA!$AU$2:$AU$999,Transport!$C35)/SUMIFS(BY_TRA!O$2:O$999,BY_TRA!$AT$2:$AT$999,Transport!$B35),0)</f>
        <v>0</v>
      </c>
      <c r="H35" s="12">
        <f>IFERROR(SUMIFS(BY_TRA!P$2:P$999,BY_TRA!$AT$2:$AT$999,Transport!$B35,BY_TRA!$AU$2:$AU$999,Transport!$C35)/SUMIFS(BY_TRA!P$2:P$999,BY_TRA!$AT$2:$AT$999,Transport!$B35),0)</f>
        <v>0</v>
      </c>
      <c r="I35" s="12">
        <f>IFERROR(SUMIFS(BY_TRA!Q$2:Q$999,BY_TRA!$AT$2:$AT$999,Transport!$B35,BY_TRA!$AU$2:$AU$999,Transport!$C35)/SUMIFS(BY_TRA!Q$2:Q$999,BY_TRA!$AT$2:$AT$999,Transport!$B35),0)</f>
        <v>3.2258064516129115E-2</v>
      </c>
      <c r="J35" s="12">
        <f>IFERROR(SUMIFS(BY_TRA!R$2:R$999,BY_TRA!$AT$2:$AT$999,Transport!$B35,BY_TRA!$AU$2:$AU$999,Transport!$C35)/SUMIFS(BY_TRA!R$2:R$999,BY_TRA!$AT$2:$AT$999,Transport!$B35),0)</f>
        <v>8.6956521739130585E-2</v>
      </c>
      <c r="K35" s="12">
        <f>IFERROR(SUMIFS(BY_TRA!S$2:S$999,BY_TRA!$AT$2:$AT$999,Transport!$B35,BY_TRA!$AU$2:$AU$999,Transport!$C35)/SUMIFS(BY_TRA!S$2:S$999,BY_TRA!$AT$2:$AT$999,Transport!$B35),0)</f>
        <v>0</v>
      </c>
      <c r="L35" s="12">
        <f>IFERROR(SUMIFS(BY_TRA!T$2:T$999,BY_TRA!$AT$2:$AT$999,Transport!$B35,BY_TRA!$AU$2:$AU$999,Transport!$C35)/SUMIFS(BY_TRA!T$2:T$999,BY_TRA!$AT$2:$AT$999,Transport!$B35),0)</f>
        <v>0</v>
      </c>
      <c r="M35" s="12">
        <f>IFERROR(SUMIFS(BY_TRA!U$2:U$999,BY_TRA!$AT$2:$AT$999,Transport!$B35,BY_TRA!$AU$2:$AU$999,Transport!$C35)/SUMIFS(BY_TRA!U$2:U$999,BY_TRA!$AT$2:$AT$999,Transport!$B35),0)</f>
        <v>2.3076923076923044E-2</v>
      </c>
      <c r="N35" s="12">
        <f>IFERROR(SUMIFS(BY_TRA!V$2:V$999,BY_TRA!$AT$2:$AT$999,Transport!$B35,BY_TRA!$AU$2:$AU$999,Transport!$C35)/SUMIFS(BY_TRA!V$2:V$999,BY_TRA!$AT$2:$AT$999,Transport!$B35),0)</f>
        <v>0</v>
      </c>
      <c r="O35" s="12">
        <f>IFERROR(SUMIFS(BY_TRA!W$2:W$999,BY_TRA!$AT$2:$AT$999,Transport!$B35,BY_TRA!$AU$2:$AU$999,Transport!$C35)/SUMIFS(BY_TRA!W$2:W$999,BY_TRA!$AT$2:$AT$999,Transport!$B35),0)</f>
        <v>0</v>
      </c>
      <c r="P35" s="12">
        <f>IFERROR(SUMIFS(BY_TRA!X$2:X$999,BY_TRA!$AT$2:$AT$999,Transport!$B35,BY_TRA!$AU$2:$AU$999,Transport!$C35)/SUMIFS(BY_TRA!X$2:X$999,BY_TRA!$AT$2:$AT$999,Transport!$B35),0)</f>
        <v>0</v>
      </c>
      <c r="Q35" s="12">
        <f>IFERROR(SUMIFS(BY_TRA!Y$2:Y$999,BY_TRA!$AT$2:$AT$999,Transport!$B35,BY_TRA!$AU$2:$AU$999,Transport!$C35)/SUMIFS(BY_TRA!Y$2:Y$999,BY_TRA!$AT$2:$AT$999,Transport!$B35),0)</f>
        <v>0</v>
      </c>
      <c r="R35" s="12">
        <f>IFERROR(SUMIFS(BY_TRA!Z$2:Z$999,BY_TRA!$AT$2:$AT$999,Transport!$B35,BY_TRA!$AU$2:$AU$999,Transport!$C35)/SUMIFS(BY_TRA!Z$2:Z$999,BY_TRA!$AT$2:$AT$999,Transport!$B35),0)</f>
        <v>0</v>
      </c>
      <c r="S35" s="12">
        <f>IFERROR(SUMIFS(BY_TRA!AA$2:AA$999,BY_TRA!$AT$2:$AT$999,Transport!$B35,BY_TRA!$AU$2:$AU$999,Transport!$C35)/SUMIFS(BY_TRA!AA$2:AA$999,BY_TRA!$AT$2:$AT$999,Transport!$B35),0)</f>
        <v>0</v>
      </c>
      <c r="T35" s="12">
        <f>IFERROR(SUMIFS(BY_TRA!AB$2:AB$999,BY_TRA!$AT$2:$AT$999,Transport!$B35,BY_TRA!$AU$2:$AU$999,Transport!$C35)/SUMIFS(BY_TRA!AB$2:AB$999,BY_TRA!$AT$2:$AT$999,Transport!$B35),0)</f>
        <v>0.18918918918918987</v>
      </c>
      <c r="U35" s="12">
        <f>IFERROR(SUMIFS(BY_TRA!AC$2:AC$999,BY_TRA!$AT$2:$AT$999,Transport!$B35,BY_TRA!$AU$2:$AU$999,Transport!$C35)/SUMIFS(BY_TRA!AC$2:AC$999,BY_TRA!$AT$2:$AT$999,Transport!$B35),0)</f>
        <v>0</v>
      </c>
      <c r="V35" s="12">
        <f>IFERROR(SUMIFS(BY_TRA!AD$2:AD$999,BY_TRA!$AT$2:$AT$999,Transport!$B35,BY_TRA!$AU$2:$AU$999,Transport!$C35)/SUMIFS(BY_TRA!AD$2:AD$999,BY_TRA!$AT$2:$AT$999,Transport!$B35),0)</f>
        <v>0</v>
      </c>
      <c r="W35" s="12">
        <f>IFERROR(SUMIFS(BY_TRA!AE$2:AE$999,BY_TRA!$AT$2:$AT$999,Transport!$B35,BY_TRA!$AU$2:$AU$999,Transport!$C35)/SUMIFS(BY_TRA!AE$2:AE$999,BY_TRA!$AT$2:$AT$999,Transport!$B35),0)</f>
        <v>9.2592592592592535E-3</v>
      </c>
      <c r="X35" s="12">
        <f>IFERROR(SUMIFS(BY_TRA!AF$2:AF$999,BY_TRA!$AT$2:$AT$999,Transport!$B35,BY_TRA!$AU$2:$AU$999,Transport!$C35)/SUMIFS(BY_TRA!AF$2:AF$999,BY_TRA!$AT$2:$AT$999,Transport!$B35),0)</f>
        <v>0.125</v>
      </c>
      <c r="Y35" s="12">
        <f>IFERROR(SUMIFS(BY_TRA!AG$2:AG$999,BY_TRA!$AT$2:$AT$999,Transport!$B35,BY_TRA!$AU$2:$AU$999,Transport!$C35)/SUMIFS(BY_TRA!AG$2:AG$999,BY_TRA!$AT$2:$AT$999,Transport!$B35),0)</f>
        <v>0.26666666666666672</v>
      </c>
      <c r="Z35" s="12">
        <f>IFERROR(SUMIFS(BY_TRA!AH$2:AH$999,BY_TRA!$AT$2:$AT$999,Transport!$B35,BY_TRA!$AU$2:$AU$999,Transport!$C35)/SUMIFS(BY_TRA!AH$2:AH$999,BY_TRA!$AT$2:$AT$999,Transport!$B35),0)</f>
        <v>0</v>
      </c>
      <c r="AA35" s="12">
        <f>IFERROR(SUMIFS(BY_TRA!AI$2:AI$999,BY_TRA!$AT$2:$AT$999,Transport!$B35,BY_TRA!$AU$2:$AU$999,Transport!$C35)/SUMIFS(BY_TRA!AI$2:AI$999,BY_TRA!$AT$2:$AT$999,Transport!$B35),0)</f>
        <v>0</v>
      </c>
      <c r="AB35" s="12">
        <f>IFERROR(SUMIFS(BY_TRA!AJ$2:AJ$999,BY_TRA!$AT$2:$AT$999,Transport!$B35,BY_TRA!$AU$2:$AU$999,Transport!$C35)/SUMIFS(BY_TRA!AJ$2:AJ$999,BY_TRA!$AT$2:$AT$999,Transport!$B35),0)</f>
        <v>0</v>
      </c>
      <c r="AC35" s="12">
        <f>IFERROR(SUMIFS(BY_TRA!AK$2:AK$999,BY_TRA!$AT$2:$AT$999,Transport!$B35,BY_TRA!$AU$2:$AU$999,Transport!$C35)/SUMIFS(BY_TRA!AK$2:AK$999,BY_TRA!$AT$2:$AT$999,Transport!$B35),0)</f>
        <v>0</v>
      </c>
      <c r="AD35" s="12">
        <f>IFERROR(SUMIFS(BY_TRA!AL$2:AL$999,BY_TRA!$AT$2:$AT$999,Transport!$B35,BY_TRA!$AU$2:$AU$999,Transport!$C35)/SUMIFS(BY_TRA!AL$2:AL$999,BY_TRA!$AT$2:$AT$999,Transport!$B35),0)</f>
        <v>0</v>
      </c>
      <c r="AE35" s="12">
        <f>IFERROR(SUMIFS(BY_TRA!AM$2:AM$999,BY_TRA!$AT$2:$AT$999,Transport!$B35,BY_TRA!$AU$2:$AU$999,Transport!$C35)/SUMIFS(BY_TRA!AM$2:AM$999,BY_TRA!$AT$2:$AT$999,Transport!$B35),0)</f>
        <v>0</v>
      </c>
      <c r="AF35" s="12">
        <f>IFERROR(SUMIFS(BY_TRA!AN$2:AN$999,BY_TRA!$AT$2:$AT$999,Transport!$B35,BY_TRA!$AU$2:$AU$999,Transport!$C35)/SUMIFS(BY_TRA!AN$2:AN$999,BY_TRA!$AT$2:$AT$999,Transport!$B35),0)</f>
        <v>0</v>
      </c>
      <c r="AG35" s="12">
        <f>IFERROR(SUMIFS(BY_TRA!AO$2:AO$999,BY_TRA!$AT$2:$AT$999,Transport!$B35,BY_TRA!$AU$2:$AU$999,Transport!$C35)/SUMIFS(BY_TRA!AO$2:AO$999,BY_TRA!$AT$2:$AT$999,Transport!$B35),0)</f>
        <v>0</v>
      </c>
      <c r="AH35" s="12">
        <f>IFERROR(SUMIFS(BY_TRA!AP$2:AP$999,BY_TRA!$AT$2:$AT$999,Transport!$B35,BY_TRA!$AU$2:$AU$999,Transport!$C35)/SUMIFS(BY_TRA!AP$2:AP$999,BY_TRA!$AT$2:$AT$999,Transport!$B35),0)</f>
        <v>0</v>
      </c>
      <c r="AI35" s="12">
        <f>IFERROR(SUMIFS(BY_TRA!AQ$2:AQ$999,BY_TRA!$AT$2:$AT$999,Transport!$B35,BY_TRA!$AU$2:$AU$999,Transport!$C35)/SUMIFS(BY_TRA!AQ$2:AQ$999,BY_TRA!$AT$2:$AT$999,Transport!$B35),0)</f>
        <v>0</v>
      </c>
    </row>
    <row r="36" spans="2:35">
      <c r="B36" t="s">
        <v>196</v>
      </c>
      <c r="C36" s="13" t="s">
        <v>199</v>
      </c>
      <c r="D36" s="12">
        <f>IFERROR(SUMIFS(BY_TRA!L$2:L$999,BY_TRA!$AT$2:$AT$999,Transport!$B36,BY_TRA!$AU$2:$AU$999,Transport!$C36)/SUMIFS(BY_TRA!L$2:L$999,BY_TRA!$AT$2:$AT$999,Transport!$B36),0)</f>
        <v>2.6666666666666724E-2</v>
      </c>
      <c r="E36" s="12">
        <f>IFERROR(SUMIFS(BY_TRA!M$2:M$999,BY_TRA!$AT$2:$AT$999,Transport!$B36,BY_TRA!$AU$2:$AU$999,Transport!$C36)/SUMIFS(BY_TRA!M$2:M$999,BY_TRA!$AT$2:$AT$999,Transport!$B36),0)</f>
        <v>0</v>
      </c>
      <c r="F36" s="12">
        <f>IFERROR(SUMIFS(BY_TRA!N$2:N$999,BY_TRA!$AT$2:$AT$999,Transport!$B36,BY_TRA!$AU$2:$AU$999,Transport!$C36)/SUMIFS(BY_TRA!N$2:N$999,BY_TRA!$AT$2:$AT$999,Transport!$B36),0)</f>
        <v>0.29411764705882348</v>
      </c>
      <c r="G36" s="12">
        <f>IFERROR(SUMIFS(BY_TRA!O$2:O$999,BY_TRA!$AT$2:$AT$999,Transport!$B36,BY_TRA!$AU$2:$AU$999,Transport!$C36)/SUMIFS(BY_TRA!O$2:O$999,BY_TRA!$AT$2:$AT$999,Transport!$B36),0)</f>
        <v>0</v>
      </c>
      <c r="H36" s="12">
        <f>IFERROR(SUMIFS(BY_TRA!P$2:P$999,BY_TRA!$AT$2:$AT$999,Transport!$B36,BY_TRA!$AU$2:$AU$999,Transport!$C36)/SUMIFS(BY_TRA!P$2:P$999,BY_TRA!$AT$2:$AT$999,Transport!$B36),0)</f>
        <v>0</v>
      </c>
      <c r="I36" s="12">
        <f>IFERROR(SUMIFS(BY_TRA!Q$2:Q$999,BY_TRA!$AT$2:$AT$999,Transport!$B36,BY_TRA!$AU$2:$AU$999,Transport!$C36)/SUMIFS(BY_TRA!Q$2:Q$999,BY_TRA!$AT$2:$AT$999,Transport!$B36),0)</f>
        <v>2.1505376344086079E-2</v>
      </c>
      <c r="J36" s="12">
        <f>IFERROR(SUMIFS(BY_TRA!R$2:R$999,BY_TRA!$AT$2:$AT$999,Transport!$B36,BY_TRA!$AU$2:$AU$999,Transport!$C36)/SUMIFS(BY_TRA!R$2:R$999,BY_TRA!$AT$2:$AT$999,Transport!$B36),0)</f>
        <v>0</v>
      </c>
      <c r="K36" s="12">
        <f>IFERROR(SUMIFS(BY_TRA!S$2:S$999,BY_TRA!$AT$2:$AT$999,Transport!$B36,BY_TRA!$AU$2:$AU$999,Transport!$C36)/SUMIFS(BY_TRA!S$2:S$999,BY_TRA!$AT$2:$AT$999,Transport!$B36),0)</f>
        <v>8.6956521739130696E-2</v>
      </c>
      <c r="L36" s="12">
        <f>IFERROR(SUMIFS(BY_TRA!T$2:T$999,BY_TRA!$AT$2:$AT$999,Transport!$B36,BY_TRA!$AU$2:$AU$999,Transport!$C36)/SUMIFS(BY_TRA!T$2:T$999,BY_TRA!$AT$2:$AT$999,Transport!$B36),0)</f>
        <v>0</v>
      </c>
      <c r="M36" s="12">
        <f>IFERROR(SUMIFS(BY_TRA!U$2:U$999,BY_TRA!$AT$2:$AT$999,Transport!$B36,BY_TRA!$AU$2:$AU$999,Transport!$C36)/SUMIFS(BY_TRA!U$2:U$999,BY_TRA!$AT$2:$AT$999,Transport!$B36),0)</f>
        <v>0.22051282051282015</v>
      </c>
      <c r="N36" s="12">
        <f>IFERROR(SUMIFS(BY_TRA!V$2:V$999,BY_TRA!$AT$2:$AT$999,Transport!$B36,BY_TRA!$AU$2:$AU$999,Transport!$C36)/SUMIFS(BY_TRA!V$2:V$999,BY_TRA!$AT$2:$AT$999,Transport!$B36),0)</f>
        <v>0</v>
      </c>
      <c r="O36" s="12">
        <f>IFERROR(SUMIFS(BY_TRA!W$2:W$999,BY_TRA!$AT$2:$AT$999,Transport!$B36,BY_TRA!$AU$2:$AU$999,Transport!$C36)/SUMIFS(BY_TRA!W$2:W$999,BY_TRA!$AT$2:$AT$999,Transport!$B36),0)</f>
        <v>2.8571428571428664E-2</v>
      </c>
      <c r="P36" s="12">
        <f>IFERROR(SUMIFS(BY_TRA!X$2:X$999,BY_TRA!$AT$2:$AT$999,Transport!$B36,BY_TRA!$AU$2:$AU$999,Transport!$C36)/SUMIFS(BY_TRA!X$2:X$999,BY_TRA!$AT$2:$AT$999,Transport!$B36),0)</f>
        <v>0</v>
      </c>
      <c r="Q36" s="12">
        <f>IFERROR(SUMIFS(BY_TRA!Y$2:Y$999,BY_TRA!$AT$2:$AT$999,Transport!$B36,BY_TRA!$AU$2:$AU$999,Transport!$C36)/SUMIFS(BY_TRA!Y$2:Y$999,BY_TRA!$AT$2:$AT$999,Transport!$B36),0)</f>
        <v>0.125</v>
      </c>
      <c r="R36" s="12">
        <f>IFERROR(SUMIFS(BY_TRA!Z$2:Z$999,BY_TRA!$AT$2:$AT$999,Transport!$B36,BY_TRA!$AU$2:$AU$999,Transport!$C36)/SUMIFS(BY_TRA!Z$2:Z$999,BY_TRA!$AT$2:$AT$999,Transport!$B36),0)</f>
        <v>6.6666666666666666E-2</v>
      </c>
      <c r="S36" s="12">
        <f>IFERROR(SUMIFS(BY_TRA!AA$2:AA$999,BY_TRA!$AT$2:$AT$999,Transport!$B36,BY_TRA!$AU$2:$AU$999,Transport!$C36)/SUMIFS(BY_TRA!AA$2:AA$999,BY_TRA!$AT$2:$AT$999,Transport!$B36),0)</f>
        <v>0</v>
      </c>
      <c r="T36" s="12">
        <f>IFERROR(SUMIFS(BY_TRA!AB$2:AB$999,BY_TRA!$AT$2:$AT$999,Transport!$B36,BY_TRA!$AU$2:$AU$999,Transport!$C36)/SUMIFS(BY_TRA!AB$2:AB$999,BY_TRA!$AT$2:$AT$999,Transport!$B36),0)</f>
        <v>0</v>
      </c>
      <c r="U36" s="12">
        <f>IFERROR(SUMIFS(BY_TRA!AC$2:AC$999,BY_TRA!$AT$2:$AT$999,Transport!$B36,BY_TRA!$AU$2:$AU$999,Transport!$C36)/SUMIFS(BY_TRA!AC$2:AC$999,BY_TRA!$AT$2:$AT$999,Transport!$B36),0)</f>
        <v>0</v>
      </c>
      <c r="V36" s="12">
        <f>IFERROR(SUMIFS(BY_TRA!AD$2:AD$999,BY_TRA!$AT$2:$AT$999,Transport!$B36,BY_TRA!$AU$2:$AU$999,Transport!$C36)/SUMIFS(BY_TRA!AD$2:AD$999,BY_TRA!$AT$2:$AT$999,Transport!$B36),0)</f>
        <v>0</v>
      </c>
      <c r="W36" s="12">
        <f>IFERROR(SUMIFS(BY_TRA!AE$2:AE$999,BY_TRA!$AT$2:$AT$999,Transport!$B36,BY_TRA!$AU$2:$AU$999,Transport!$C36)/SUMIFS(BY_TRA!AE$2:AE$999,BY_TRA!$AT$2:$AT$999,Transport!$B36),0)</f>
        <v>0.12037037037037029</v>
      </c>
      <c r="X36" s="12">
        <f>IFERROR(SUMIFS(BY_TRA!AF$2:AF$999,BY_TRA!$AT$2:$AT$999,Transport!$B36,BY_TRA!$AU$2:$AU$999,Transport!$C36)/SUMIFS(BY_TRA!AF$2:AF$999,BY_TRA!$AT$2:$AT$999,Transport!$B36),0)</f>
        <v>0.125</v>
      </c>
      <c r="Y36" s="12">
        <f>IFERROR(SUMIFS(BY_TRA!AG$2:AG$999,BY_TRA!$AT$2:$AT$999,Transport!$B36,BY_TRA!$AU$2:$AU$999,Transport!$C36)/SUMIFS(BY_TRA!AG$2:AG$999,BY_TRA!$AT$2:$AT$999,Transport!$B36),0)</f>
        <v>0</v>
      </c>
      <c r="Z36" s="12">
        <f>IFERROR(SUMIFS(BY_TRA!AH$2:AH$999,BY_TRA!$AT$2:$AT$999,Transport!$B36,BY_TRA!$AU$2:$AU$999,Transport!$C36)/SUMIFS(BY_TRA!AH$2:AH$999,BY_TRA!$AT$2:$AT$999,Transport!$B36),0)</f>
        <v>0.26666666666666661</v>
      </c>
      <c r="AA36" s="12">
        <f>IFERROR(SUMIFS(BY_TRA!AI$2:AI$999,BY_TRA!$AT$2:$AT$999,Transport!$B36,BY_TRA!$AU$2:$AU$999,Transport!$C36)/SUMIFS(BY_TRA!AI$2:AI$999,BY_TRA!$AT$2:$AT$999,Transport!$B36),0)</f>
        <v>0</v>
      </c>
      <c r="AB36" s="12">
        <f>IFERROR(SUMIFS(BY_TRA!AJ$2:AJ$999,BY_TRA!$AT$2:$AT$999,Transport!$B36,BY_TRA!$AU$2:$AU$999,Transport!$C36)/SUMIFS(BY_TRA!AJ$2:AJ$999,BY_TRA!$AT$2:$AT$999,Transport!$B36),0)</f>
        <v>0</v>
      </c>
      <c r="AC36" s="12">
        <f>IFERROR(SUMIFS(BY_TRA!AK$2:AK$999,BY_TRA!$AT$2:$AT$999,Transport!$B36,BY_TRA!$AU$2:$AU$999,Transport!$C36)/SUMIFS(BY_TRA!AK$2:AK$999,BY_TRA!$AT$2:$AT$999,Transport!$B36),0)</f>
        <v>0</v>
      </c>
      <c r="AD36" s="12">
        <f>IFERROR(SUMIFS(BY_TRA!AL$2:AL$999,BY_TRA!$AT$2:$AT$999,Transport!$B36,BY_TRA!$AU$2:$AU$999,Transport!$C36)/SUMIFS(BY_TRA!AL$2:AL$999,BY_TRA!$AT$2:$AT$999,Transport!$B36),0)</f>
        <v>0</v>
      </c>
      <c r="AE36" s="12">
        <f>IFERROR(SUMIFS(BY_TRA!AM$2:AM$999,BY_TRA!$AT$2:$AT$999,Transport!$B36,BY_TRA!$AU$2:$AU$999,Transport!$C36)/SUMIFS(BY_TRA!AM$2:AM$999,BY_TRA!$AT$2:$AT$999,Transport!$B36),0)</f>
        <v>0</v>
      </c>
      <c r="AF36" s="12">
        <f>IFERROR(SUMIFS(BY_TRA!AN$2:AN$999,BY_TRA!$AT$2:$AT$999,Transport!$B36,BY_TRA!$AU$2:$AU$999,Transport!$C36)/SUMIFS(BY_TRA!AN$2:AN$999,BY_TRA!$AT$2:$AT$999,Transport!$B36),0)</f>
        <v>0</v>
      </c>
      <c r="AG36" s="12">
        <f>IFERROR(SUMIFS(BY_TRA!AO$2:AO$999,BY_TRA!$AT$2:$AT$999,Transport!$B36,BY_TRA!$AU$2:$AU$999,Transport!$C36)/SUMIFS(BY_TRA!AO$2:AO$999,BY_TRA!$AT$2:$AT$999,Transport!$B36),0)</f>
        <v>0</v>
      </c>
      <c r="AH36" s="12">
        <f>IFERROR(SUMIFS(BY_TRA!AP$2:AP$999,BY_TRA!$AT$2:$AT$999,Transport!$B36,BY_TRA!$AU$2:$AU$999,Transport!$C36)/SUMIFS(BY_TRA!AP$2:AP$999,BY_TRA!$AT$2:$AT$999,Transport!$B36),0)</f>
        <v>0</v>
      </c>
      <c r="AI36" s="12">
        <f>IFERROR(SUMIFS(BY_TRA!AQ$2:AQ$999,BY_TRA!$AT$2:$AT$999,Transport!$B36,BY_TRA!$AU$2:$AU$999,Transport!$C36)/SUMIFS(BY_TRA!AQ$2:AQ$999,BY_TRA!$AT$2:$AT$999,Transport!$B36),0)</f>
        <v>0</v>
      </c>
    </row>
    <row r="37" spans="2:35">
      <c r="B37" t="s">
        <v>200</v>
      </c>
      <c r="C37" t="s">
        <v>194</v>
      </c>
      <c r="D37" s="12">
        <f>IFERROR(SUMIFS(BY_TRA!L$2:L$999,BY_TRA!$AT$2:$AT$999,Transport!$B37,BY_TRA!$AU$2:$AU$999,Transport!$C37)/SUMIFS(BY_TRA!L$2:L$999,BY_TRA!$AT$2:$AT$999,Transport!$B37),0)</f>
        <v>0</v>
      </c>
      <c r="E37" s="12">
        <f>IFERROR(SUMIFS(BY_TRA!M$2:M$999,BY_TRA!$AT$2:$AT$999,Transport!$B37,BY_TRA!$AU$2:$AU$999,Transport!$C37)/SUMIFS(BY_TRA!M$2:M$999,BY_TRA!$AT$2:$AT$999,Transport!$B37),0)</f>
        <v>0</v>
      </c>
      <c r="F37" s="12">
        <f>IFERROR(SUMIFS(BY_TRA!N$2:N$999,BY_TRA!$AT$2:$AT$999,Transport!$B37,BY_TRA!$AU$2:$AU$999,Transport!$C37)/SUMIFS(BY_TRA!N$2:N$999,BY_TRA!$AT$2:$AT$999,Transport!$B37),0)</f>
        <v>7.1902654867256654E-3</v>
      </c>
      <c r="G37" s="12">
        <f>IFERROR(SUMIFS(BY_TRA!O$2:O$999,BY_TRA!$AT$2:$AT$999,Transport!$B37,BY_TRA!$AU$2:$AU$999,Transport!$C37)/SUMIFS(BY_TRA!O$2:O$999,BY_TRA!$AT$2:$AT$999,Transport!$B37),0)</f>
        <v>0</v>
      </c>
      <c r="H37" s="12">
        <f>IFERROR(SUMIFS(BY_TRA!P$2:P$999,BY_TRA!$AT$2:$AT$999,Transport!$B37,BY_TRA!$AU$2:$AU$999,Transport!$C37)/SUMIFS(BY_TRA!P$2:P$999,BY_TRA!$AT$2:$AT$999,Transport!$B37),0)</f>
        <v>7.5376884422110398E-4</v>
      </c>
      <c r="I37" s="12">
        <f>IFERROR(SUMIFS(BY_TRA!Q$2:Q$999,BY_TRA!$AT$2:$AT$999,Transport!$B37,BY_TRA!$AU$2:$AU$999,Transport!$C37)/SUMIFS(BY_TRA!Q$2:Q$999,BY_TRA!$AT$2:$AT$999,Transport!$B37),0)</f>
        <v>9.5880307659888253E-3</v>
      </c>
      <c r="J37" s="12">
        <f>IFERROR(SUMIFS(BY_TRA!R$2:R$999,BY_TRA!$AT$2:$AT$999,Transport!$B37,BY_TRA!$AU$2:$AU$999,Transport!$C37)/SUMIFS(BY_TRA!R$2:R$999,BY_TRA!$AT$2:$AT$999,Transport!$B37),0)</f>
        <v>0</v>
      </c>
      <c r="K37" s="12">
        <f>IFERROR(SUMIFS(BY_TRA!S$2:S$999,BY_TRA!$AT$2:$AT$999,Transport!$B37,BY_TRA!$AU$2:$AU$999,Transport!$C37)/SUMIFS(BY_TRA!S$2:S$999,BY_TRA!$AT$2:$AT$999,Transport!$B37),0)</f>
        <v>4.2380136986301373E-2</v>
      </c>
      <c r="L37" s="12">
        <f>IFERROR(SUMIFS(BY_TRA!T$2:T$999,BY_TRA!$AT$2:$AT$999,Transport!$B37,BY_TRA!$AU$2:$AU$999,Transport!$C37)/SUMIFS(BY_TRA!T$2:T$999,BY_TRA!$AT$2:$AT$999,Transport!$B37),0)</f>
        <v>3.4328870580157877E-4</v>
      </c>
      <c r="M37" s="12">
        <f>IFERROR(SUMIFS(BY_TRA!U$2:U$999,BY_TRA!$AT$2:$AT$999,Transport!$B37,BY_TRA!$AU$2:$AU$999,Transport!$C37)/SUMIFS(BY_TRA!U$2:U$999,BY_TRA!$AT$2:$AT$999,Transport!$B37),0)</f>
        <v>3.4776963739219122E-4</v>
      </c>
      <c r="N37" s="12">
        <f>IFERROR(SUMIFS(BY_TRA!V$2:V$999,BY_TRA!$AT$2:$AT$999,Transport!$B37,BY_TRA!$AU$2:$AU$999,Transport!$C37)/SUMIFS(BY_TRA!V$2:V$999,BY_TRA!$AT$2:$AT$999,Transport!$B37),0)</f>
        <v>9.2317624273725266E-2</v>
      </c>
      <c r="O37" s="12">
        <f>IFERROR(SUMIFS(BY_TRA!W$2:W$999,BY_TRA!$AT$2:$AT$999,Transport!$B37,BY_TRA!$AU$2:$AU$999,Transport!$C37)/SUMIFS(BY_TRA!W$2:W$999,BY_TRA!$AT$2:$AT$999,Transport!$B37),0)</f>
        <v>3.067814854682463E-2</v>
      </c>
      <c r="P37" s="12">
        <f>IFERROR(SUMIFS(BY_TRA!X$2:X$999,BY_TRA!$AT$2:$AT$999,Transport!$B37,BY_TRA!$AU$2:$AU$999,Transport!$C37)/SUMIFS(BY_TRA!X$2:X$999,BY_TRA!$AT$2:$AT$999,Transport!$B37),0)</f>
        <v>3.2842582106455173E-2</v>
      </c>
      <c r="Q37" s="12">
        <f>IFERROR(SUMIFS(BY_TRA!Y$2:Y$999,BY_TRA!$AT$2:$AT$999,Transport!$B37,BY_TRA!$AU$2:$AU$999,Transport!$C37)/SUMIFS(BY_TRA!Y$2:Y$999,BY_TRA!$AT$2:$AT$999,Transport!$B37),0)</f>
        <v>2.879961277831557E-2</v>
      </c>
      <c r="R37" s="12">
        <f>IFERROR(SUMIFS(BY_TRA!Z$2:Z$999,BY_TRA!$AT$2:$AT$999,Transport!$B37,BY_TRA!$AU$2:$AU$999,Transport!$C37)/SUMIFS(BY_TRA!Z$2:Z$999,BY_TRA!$AT$2:$AT$999,Transport!$B37),0)</f>
        <v>3.1172069825436396E-2</v>
      </c>
      <c r="S37" s="12">
        <f>IFERROR(SUMIFS(BY_TRA!AA$2:AA$999,BY_TRA!$AT$2:$AT$999,Transport!$B37,BY_TRA!$AU$2:$AU$999,Transport!$C37)/SUMIFS(BY_TRA!AA$2:AA$999,BY_TRA!$AT$2:$AT$999,Transport!$B37),0)</f>
        <v>4.3802145411203849E-2</v>
      </c>
      <c r="T37" s="12">
        <f>IFERROR(SUMIFS(BY_TRA!AB$2:AB$999,BY_TRA!$AT$2:$AT$999,Transport!$B37,BY_TRA!$AU$2:$AU$999,Transport!$C37)/SUMIFS(BY_TRA!AB$2:AB$999,BY_TRA!$AT$2:$AT$999,Transport!$B37),0)</f>
        <v>3.1446540880503211E-3</v>
      </c>
      <c r="U37" s="12">
        <f>IFERROR(SUMIFS(BY_TRA!AC$2:AC$999,BY_TRA!$AT$2:$AT$999,Transport!$B37,BY_TRA!$AU$2:$AU$999,Transport!$C37)/SUMIFS(BY_TRA!AC$2:AC$999,BY_TRA!$AT$2:$AT$999,Transport!$B37),0)</f>
        <v>5.1126726435667742E-2</v>
      </c>
      <c r="V37" s="12">
        <f>IFERROR(SUMIFS(BY_TRA!AD$2:AD$999,BY_TRA!$AT$2:$AT$999,Transport!$B37,BY_TRA!$AU$2:$AU$999,Transport!$C37)/SUMIFS(BY_TRA!AD$2:AD$999,BY_TRA!$AT$2:$AT$999,Transport!$B37),0)</f>
        <v>2.7270981371230959E-2</v>
      </c>
      <c r="W37" s="12">
        <f>IFERROR(SUMIFS(BY_TRA!AE$2:AE$999,BY_TRA!$AT$2:$AT$999,Transport!$B37,BY_TRA!$AU$2:$AU$999,Transport!$C37)/SUMIFS(BY_TRA!AE$2:AE$999,BY_TRA!$AT$2:$AT$999,Transport!$B37),0)</f>
        <v>2.0807324178110658E-4</v>
      </c>
      <c r="X37" s="12">
        <f>IFERROR(SUMIFS(BY_TRA!AF$2:AF$999,BY_TRA!$AT$2:$AT$999,Transport!$B37,BY_TRA!$AU$2:$AU$999,Transport!$C37)/SUMIFS(BY_TRA!AF$2:AF$999,BY_TRA!$AT$2:$AT$999,Transport!$B37),0)</f>
        <v>1.9727756954034314E-3</v>
      </c>
      <c r="Y37" s="12">
        <f>IFERROR(SUMIFS(BY_TRA!AG$2:AG$999,BY_TRA!$AT$2:$AT$999,Transport!$B37,BY_TRA!$AU$2:$AU$999,Transport!$C37)/SUMIFS(BY_TRA!AG$2:AG$999,BY_TRA!$AT$2:$AT$999,Transport!$B37),0)</f>
        <v>0</v>
      </c>
      <c r="Z37" s="12">
        <f>IFERROR(SUMIFS(BY_TRA!AH$2:AH$999,BY_TRA!$AT$2:$AT$999,Transport!$B37,BY_TRA!$AU$2:$AU$999,Transport!$C37)/SUMIFS(BY_TRA!AH$2:AH$999,BY_TRA!$AT$2:$AT$999,Transport!$B37),0)</f>
        <v>0</v>
      </c>
      <c r="AA37" s="12">
        <f>IFERROR(SUMIFS(BY_TRA!AI$2:AI$999,BY_TRA!$AT$2:$AT$999,Transport!$B37,BY_TRA!$AU$2:$AU$999,Transport!$C37)/SUMIFS(BY_TRA!AI$2:AI$999,BY_TRA!$AT$2:$AT$999,Transport!$B37),0)</f>
        <v>9.1139240506328989E-2</v>
      </c>
      <c r="AB37" s="12">
        <f>IFERROR(SUMIFS(BY_TRA!AJ$2:AJ$999,BY_TRA!$AT$2:$AT$999,Transport!$B37,BY_TRA!$AU$2:$AU$999,Transport!$C37)/SUMIFS(BY_TRA!AJ$2:AJ$999,BY_TRA!$AT$2:$AT$999,Transport!$B37),0)</f>
        <v>0</v>
      </c>
      <c r="AC37" s="12">
        <f>IFERROR(SUMIFS(BY_TRA!AK$2:AK$999,BY_TRA!$AT$2:$AT$999,Transport!$B37,BY_TRA!$AU$2:$AU$999,Transport!$C37)/SUMIFS(BY_TRA!AK$2:AK$999,BY_TRA!$AT$2:$AT$999,Transport!$B37),0)</f>
        <v>0</v>
      </c>
      <c r="AD37" s="12">
        <f>IFERROR(SUMIFS(BY_TRA!AL$2:AL$999,BY_TRA!$AT$2:$AT$999,Transport!$B37,BY_TRA!$AU$2:$AU$999,Transport!$C37)/SUMIFS(BY_TRA!AL$2:AL$999,BY_TRA!$AT$2:$AT$999,Transport!$B37),0)</f>
        <v>0</v>
      </c>
      <c r="AE37" s="12">
        <f>IFERROR(SUMIFS(BY_TRA!AM$2:AM$999,BY_TRA!$AT$2:$AT$999,Transport!$B37,BY_TRA!$AU$2:$AU$999,Transport!$C37)/SUMIFS(BY_TRA!AM$2:AM$999,BY_TRA!$AT$2:$AT$999,Transport!$B37),0)</f>
        <v>2.5417574437182327E-2</v>
      </c>
      <c r="AF37" s="12">
        <f>IFERROR(SUMIFS(BY_TRA!AN$2:AN$999,BY_TRA!$AT$2:$AT$999,Transport!$B37,BY_TRA!$AU$2:$AU$999,Transport!$C37)/SUMIFS(BY_TRA!AN$2:AN$999,BY_TRA!$AT$2:$AT$999,Transport!$B37),0)</f>
        <v>3.5205069530012321E-4</v>
      </c>
      <c r="AG37" s="12">
        <f>IFERROR(SUMIFS(BY_TRA!AO$2:AO$999,BY_TRA!$AT$2:$AT$999,Transport!$B37,BY_TRA!$AU$2:$AU$999,Transport!$C37)/SUMIFS(BY_TRA!AO$2:AO$999,BY_TRA!$AT$2:$AT$999,Transport!$B37),0)</f>
        <v>0</v>
      </c>
      <c r="AH37" s="12">
        <f>IFERROR(SUMIFS(BY_TRA!AP$2:AP$999,BY_TRA!$AT$2:$AT$999,Transport!$B37,BY_TRA!$AU$2:$AU$999,Transport!$C37)/SUMIFS(BY_TRA!AP$2:AP$999,BY_TRA!$AT$2:$AT$999,Transport!$B37),0)</f>
        <v>0</v>
      </c>
      <c r="AI37" s="12">
        <f>IFERROR(SUMIFS(BY_TRA!AQ$2:AQ$999,BY_TRA!$AT$2:$AT$999,Transport!$B37,BY_TRA!$AU$2:$AU$999,Transport!$C37)/SUMIFS(BY_TRA!AQ$2:AQ$999,BY_TRA!$AT$2:$AT$999,Transport!$B37),0)</f>
        <v>0</v>
      </c>
    </row>
    <row r="38" spans="2:35">
      <c r="B38" t="s">
        <v>200</v>
      </c>
      <c r="C38" t="s">
        <v>195</v>
      </c>
      <c r="D38" s="12">
        <f>IFERROR(SUMIFS(BY_TRA!L$2:L$999,BY_TRA!$AT$2:$AT$999,Transport!$B38,BY_TRA!$AU$2:$AU$999,Transport!$C38)/SUMIFS(BY_TRA!L$2:L$999,BY_TRA!$AT$2:$AT$999,Transport!$B38),0)</f>
        <v>0.22871842843779239</v>
      </c>
      <c r="E38" s="12">
        <f>IFERROR(SUMIFS(BY_TRA!M$2:M$999,BY_TRA!$AT$2:$AT$999,Transport!$B38,BY_TRA!$AU$2:$AU$999,Transport!$C38)/SUMIFS(BY_TRA!M$2:M$999,BY_TRA!$AT$2:$AT$999,Transport!$B38),0)</f>
        <v>0.1405946994182288</v>
      </c>
      <c r="F38" s="12">
        <f>IFERROR(SUMIFS(BY_TRA!N$2:N$999,BY_TRA!$AT$2:$AT$999,Transport!$B38,BY_TRA!$AU$2:$AU$999,Transport!$C38)/SUMIFS(BY_TRA!N$2:N$999,BY_TRA!$AT$2:$AT$999,Transport!$B38),0)</f>
        <v>7.9646017699115043E-2</v>
      </c>
      <c r="G38" s="12">
        <f>IFERROR(SUMIFS(BY_TRA!O$2:O$999,BY_TRA!$AT$2:$AT$999,Transport!$B38,BY_TRA!$AU$2:$AU$999,Transport!$C38)/SUMIFS(BY_TRA!O$2:O$999,BY_TRA!$AT$2:$AT$999,Transport!$B38),0)</f>
        <v>2.7741935483870977E-2</v>
      </c>
      <c r="H38" s="12">
        <f>IFERROR(SUMIFS(BY_TRA!P$2:P$999,BY_TRA!$AT$2:$AT$999,Transport!$B38,BY_TRA!$AU$2:$AU$999,Transport!$C38)/SUMIFS(BY_TRA!P$2:P$999,BY_TRA!$AT$2:$AT$999,Transport!$B38),0)</f>
        <v>4.6859296482411938E-2</v>
      </c>
      <c r="I38" s="12">
        <f>IFERROR(SUMIFS(BY_TRA!Q$2:Q$999,BY_TRA!$AT$2:$AT$999,Transport!$B38,BY_TRA!$AU$2:$AU$999,Transport!$C38)/SUMIFS(BY_TRA!Q$2:Q$999,BY_TRA!$AT$2:$AT$999,Transport!$B38),0)</f>
        <v>0.10515224949952585</v>
      </c>
      <c r="J38" s="12">
        <f>IFERROR(SUMIFS(BY_TRA!R$2:R$999,BY_TRA!$AT$2:$AT$999,Transport!$B38,BY_TRA!$AU$2:$AU$999,Transport!$C38)/SUMIFS(BY_TRA!R$2:R$999,BY_TRA!$AT$2:$AT$999,Transport!$B38),0)</f>
        <v>2.4481327800829879E-2</v>
      </c>
      <c r="K38" s="12">
        <f>IFERROR(SUMIFS(BY_TRA!S$2:S$999,BY_TRA!$AT$2:$AT$999,Transport!$B38,BY_TRA!$AU$2:$AU$999,Transport!$C38)/SUMIFS(BY_TRA!S$2:S$999,BY_TRA!$AT$2:$AT$999,Transport!$B38),0)</f>
        <v>9.3749999999999986E-2</v>
      </c>
      <c r="L38" s="12">
        <f>IFERROR(SUMIFS(BY_TRA!T$2:T$999,BY_TRA!$AT$2:$AT$999,Transport!$B38,BY_TRA!$AU$2:$AU$999,Transport!$C38)/SUMIFS(BY_TRA!T$2:T$999,BY_TRA!$AT$2:$AT$999,Transport!$B38),0)</f>
        <v>1.0298661174047362E-2</v>
      </c>
      <c r="M38" s="12">
        <f>IFERROR(SUMIFS(BY_TRA!U$2:U$999,BY_TRA!$AT$2:$AT$999,Transport!$B38,BY_TRA!$AU$2:$AU$999,Transport!$C38)/SUMIFS(BY_TRA!U$2:U$999,BY_TRA!$AT$2:$AT$999,Transport!$B38),0)</f>
        <v>3.6353519428730378E-2</v>
      </c>
      <c r="N38" s="12">
        <f>IFERROR(SUMIFS(BY_TRA!V$2:V$999,BY_TRA!$AT$2:$AT$999,Transport!$B38,BY_TRA!$AU$2:$AU$999,Transport!$C38)/SUMIFS(BY_TRA!V$2:V$999,BY_TRA!$AT$2:$AT$999,Transport!$B38),0)</f>
        <v>0.41510652033570139</v>
      </c>
      <c r="O38" s="12">
        <f>IFERROR(SUMIFS(BY_TRA!W$2:W$999,BY_TRA!$AT$2:$AT$999,Transport!$B38,BY_TRA!$AU$2:$AU$999,Transport!$C38)/SUMIFS(BY_TRA!W$2:W$999,BY_TRA!$AT$2:$AT$999,Transport!$B38),0)</f>
        <v>0.51049515608180973</v>
      </c>
      <c r="P38" s="12">
        <f>IFERROR(SUMIFS(BY_TRA!X$2:X$999,BY_TRA!$AT$2:$AT$999,Transport!$B38,BY_TRA!$AU$2:$AU$999,Transport!$C38)/SUMIFS(BY_TRA!X$2:X$999,BY_TRA!$AT$2:$AT$999,Transport!$B38),0)</f>
        <v>0.50547376368440777</v>
      </c>
      <c r="Q38" s="12">
        <f>IFERROR(SUMIFS(BY_TRA!Y$2:Y$999,BY_TRA!$AT$2:$AT$999,Transport!$B38,BY_TRA!$AU$2:$AU$999,Transport!$C38)/SUMIFS(BY_TRA!Y$2:Y$999,BY_TRA!$AT$2:$AT$999,Transport!$B38),0)</f>
        <v>0.48862536302032866</v>
      </c>
      <c r="R38" s="12">
        <f>IFERROR(SUMIFS(BY_TRA!Z$2:Z$999,BY_TRA!$AT$2:$AT$999,Transport!$B38,BY_TRA!$AU$2:$AU$999,Transport!$C38)/SUMIFS(BY_TRA!Z$2:Z$999,BY_TRA!$AT$2:$AT$999,Transport!$B38),0)</f>
        <v>0.50311720698254325</v>
      </c>
      <c r="S38" s="12">
        <f>IFERROR(SUMIFS(BY_TRA!AA$2:AA$999,BY_TRA!$AT$2:$AT$999,Transport!$B38,BY_TRA!$AU$2:$AU$999,Transport!$C38)/SUMIFS(BY_TRA!AA$2:AA$999,BY_TRA!$AT$2:$AT$999,Transport!$B38),0)</f>
        <v>0.63825983313468448</v>
      </c>
      <c r="T38" s="12">
        <f>IFERROR(SUMIFS(BY_TRA!AB$2:AB$999,BY_TRA!$AT$2:$AT$999,Transport!$B38,BY_TRA!$AU$2:$AU$999,Transport!$C38)/SUMIFS(BY_TRA!AB$2:AB$999,BY_TRA!$AT$2:$AT$999,Transport!$B38),0)</f>
        <v>0.27493261455525664</v>
      </c>
      <c r="U38" s="12">
        <f>IFERROR(SUMIFS(BY_TRA!AC$2:AC$999,BY_TRA!$AT$2:$AT$999,Transport!$B38,BY_TRA!$AU$2:$AU$999,Transport!$C38)/SUMIFS(BY_TRA!AC$2:AC$999,BY_TRA!$AT$2:$AT$999,Transport!$B38),0)</f>
        <v>0.62151684031984744</v>
      </c>
      <c r="V38" s="12">
        <f>IFERROR(SUMIFS(BY_TRA!AD$2:AD$999,BY_TRA!$AT$2:$AT$999,Transport!$B38,BY_TRA!$AU$2:$AU$999,Transport!$C38)/SUMIFS(BY_TRA!AD$2:AD$999,BY_TRA!$AT$2:$AT$999,Transport!$B38),0)</f>
        <v>0.47877856731323093</v>
      </c>
      <c r="W38" s="12">
        <f>IFERROR(SUMIFS(BY_TRA!AE$2:AE$999,BY_TRA!$AT$2:$AT$999,Transport!$B38,BY_TRA!$AU$2:$AU$999,Transport!$C38)/SUMIFS(BY_TRA!AE$2:AE$999,BY_TRA!$AT$2:$AT$999,Transport!$B38),0)</f>
        <v>0.41760299625468084</v>
      </c>
      <c r="X38" s="12">
        <f>IFERROR(SUMIFS(BY_TRA!AF$2:AF$999,BY_TRA!$AT$2:$AT$999,Transport!$B38,BY_TRA!$AU$2:$AU$999,Transport!$C38)/SUMIFS(BY_TRA!AF$2:AF$999,BY_TRA!$AT$2:$AT$999,Transport!$B38),0)</f>
        <v>6.0169658709804646E-2</v>
      </c>
      <c r="Y38" s="12">
        <f>IFERROR(SUMIFS(BY_TRA!AG$2:AG$999,BY_TRA!$AT$2:$AT$999,Transport!$B38,BY_TRA!$AU$2:$AU$999,Transport!$C38)/SUMIFS(BY_TRA!AG$2:AG$999,BY_TRA!$AT$2:$AT$999,Transport!$B38),0)</f>
        <v>6.0503903477643714E-2</v>
      </c>
      <c r="Z38" s="12">
        <f>IFERROR(SUMIFS(BY_TRA!AH$2:AH$999,BY_TRA!$AT$2:$AT$999,Transport!$B38,BY_TRA!$AU$2:$AU$999,Transport!$C38)/SUMIFS(BY_TRA!AH$2:AH$999,BY_TRA!$AT$2:$AT$999,Transport!$B38),0)</f>
        <v>8.7042662792233383E-2</v>
      </c>
      <c r="AA38" s="12">
        <f>IFERROR(SUMIFS(BY_TRA!AI$2:AI$999,BY_TRA!$AT$2:$AT$999,Transport!$B38,BY_TRA!$AU$2:$AU$999,Transport!$C38)/SUMIFS(BY_TRA!AI$2:AI$999,BY_TRA!$AT$2:$AT$999,Transport!$B38),0)</f>
        <v>0.48607594936708809</v>
      </c>
      <c r="AB38" s="12">
        <f>IFERROR(SUMIFS(BY_TRA!AJ$2:AJ$999,BY_TRA!$AT$2:$AT$999,Transport!$B38,BY_TRA!$AU$2:$AU$999,Transport!$C38)/SUMIFS(BY_TRA!AJ$2:AJ$999,BY_TRA!$AT$2:$AT$999,Transport!$B38),0)</f>
        <v>3.1909901454716109E-2</v>
      </c>
      <c r="AC38" s="12">
        <f>IFERROR(SUMIFS(BY_TRA!AK$2:AK$999,BY_TRA!$AT$2:$AT$999,Transport!$B38,BY_TRA!$AU$2:$AU$999,Transport!$C38)/SUMIFS(BY_TRA!AK$2:AK$999,BY_TRA!$AT$2:$AT$999,Transport!$B38),0)</f>
        <v>0.12220149253731338</v>
      </c>
      <c r="AD38" s="12">
        <f>IFERROR(SUMIFS(BY_TRA!AL$2:AL$999,BY_TRA!$AT$2:$AT$999,Transport!$B38,BY_TRA!$AU$2:$AU$999,Transport!$C38)/SUMIFS(BY_TRA!AL$2:AL$999,BY_TRA!$AT$2:$AT$999,Transport!$B38),0)</f>
        <v>0.18411552346570376</v>
      </c>
      <c r="AE38" s="12">
        <f>IFERROR(SUMIFS(BY_TRA!AM$2:AM$999,BY_TRA!$AT$2:$AT$999,Transport!$B38,BY_TRA!$AU$2:$AU$999,Transport!$C38)/SUMIFS(BY_TRA!AM$2:AM$999,BY_TRA!$AT$2:$AT$999,Transport!$B38),0)</f>
        <v>0.49237472766884627</v>
      </c>
      <c r="AF38" s="12">
        <f>IFERROR(SUMIFS(BY_TRA!AN$2:AN$999,BY_TRA!$AT$2:$AT$999,Transport!$B38,BY_TRA!$AU$2:$AU$999,Transport!$C38)/SUMIFS(BY_TRA!AN$2:AN$999,BY_TRA!$AT$2:$AT$999,Transport!$B38),0)</f>
        <v>1.0350290441823617E-2</v>
      </c>
      <c r="AG38" s="12">
        <f>IFERROR(SUMIFS(BY_TRA!AO$2:AO$999,BY_TRA!$AT$2:$AT$999,Transport!$B38,BY_TRA!$AU$2:$AU$999,Transport!$C38)/SUMIFS(BY_TRA!AO$2:AO$999,BY_TRA!$AT$2:$AT$999,Transport!$B38),0)</f>
        <v>0</v>
      </c>
      <c r="AH38" s="12">
        <f>IFERROR(SUMIFS(BY_TRA!AP$2:AP$999,BY_TRA!$AT$2:$AT$999,Transport!$B38,BY_TRA!$AU$2:$AU$999,Transport!$C38)/SUMIFS(BY_TRA!AP$2:AP$999,BY_TRA!$AT$2:$AT$999,Transport!$B38),0)</f>
        <v>0</v>
      </c>
      <c r="AI38" s="12">
        <f>IFERROR(SUMIFS(BY_TRA!AQ$2:AQ$999,BY_TRA!$AT$2:$AT$999,Transport!$B38,BY_TRA!$AU$2:$AU$999,Transport!$C38)/SUMIFS(BY_TRA!AQ$2:AQ$999,BY_TRA!$AT$2:$AT$999,Transport!$B38),0)</f>
        <v>0</v>
      </c>
    </row>
    <row r="39" spans="2:35">
      <c r="B39" t="s">
        <v>200</v>
      </c>
      <c r="C39" t="s">
        <v>197</v>
      </c>
      <c r="D39" s="12">
        <f>IFERROR(SUMIFS(BY_TRA!L$2:L$999,BY_TRA!$AT$2:$AT$999,Transport!$B39,BY_TRA!$AU$2:$AU$999,Transport!$C39)/SUMIFS(BY_TRA!L$2:L$999,BY_TRA!$AT$2:$AT$999,Transport!$B39),0)</f>
        <v>0</v>
      </c>
      <c r="E39" s="12">
        <f>IFERROR(SUMIFS(BY_TRA!M$2:M$999,BY_TRA!$AT$2:$AT$999,Transport!$B39,BY_TRA!$AU$2:$AU$999,Transport!$C39)/SUMIFS(BY_TRA!M$2:M$999,BY_TRA!$AT$2:$AT$999,Transport!$B39),0)</f>
        <v>0</v>
      </c>
      <c r="F39" s="12">
        <f>IFERROR(SUMIFS(BY_TRA!N$2:N$999,BY_TRA!$AT$2:$AT$999,Transport!$B39,BY_TRA!$AU$2:$AU$999,Transport!$C39)/SUMIFS(BY_TRA!N$2:N$999,BY_TRA!$AT$2:$AT$999,Transport!$B39),0)</f>
        <v>7.7433628318584087E-3</v>
      </c>
      <c r="G39" s="12">
        <f>IFERROR(SUMIFS(BY_TRA!O$2:O$999,BY_TRA!$AT$2:$AT$999,Transport!$B39,BY_TRA!$AU$2:$AU$999,Transport!$C39)/SUMIFS(BY_TRA!O$2:O$999,BY_TRA!$AT$2:$AT$999,Transport!$B39),0)</f>
        <v>0</v>
      </c>
      <c r="H39" s="12">
        <f>IFERROR(SUMIFS(BY_TRA!P$2:P$999,BY_TRA!$AT$2:$AT$999,Transport!$B39,BY_TRA!$AU$2:$AU$999,Transport!$C39)/SUMIFS(BY_TRA!P$2:P$999,BY_TRA!$AT$2:$AT$999,Transport!$B39),0)</f>
        <v>1.1306532663316556E-3</v>
      </c>
      <c r="I39" s="12">
        <f>IFERROR(SUMIFS(BY_TRA!Q$2:Q$999,BY_TRA!$AT$2:$AT$999,Transport!$B39,BY_TRA!$AU$2:$AU$999,Transport!$C39)/SUMIFS(BY_TRA!Q$2:Q$999,BY_TRA!$AT$2:$AT$999,Transport!$B39),0)</f>
        <v>6.3217785270256041E-4</v>
      </c>
      <c r="J39" s="12">
        <f>IFERROR(SUMIFS(BY_TRA!R$2:R$999,BY_TRA!$AT$2:$AT$999,Transport!$B39,BY_TRA!$AU$2:$AU$999,Transport!$C39)/SUMIFS(BY_TRA!R$2:R$999,BY_TRA!$AT$2:$AT$999,Transport!$B39),0)</f>
        <v>8.2987551867220002E-4</v>
      </c>
      <c r="K39" s="12">
        <f>IFERROR(SUMIFS(BY_TRA!S$2:S$999,BY_TRA!$AT$2:$AT$999,Transport!$B39,BY_TRA!$AU$2:$AU$999,Transport!$C39)/SUMIFS(BY_TRA!S$2:S$999,BY_TRA!$AT$2:$AT$999,Transport!$B39),0)</f>
        <v>0</v>
      </c>
      <c r="L39" s="12">
        <f>IFERROR(SUMIFS(BY_TRA!T$2:T$999,BY_TRA!$AT$2:$AT$999,Transport!$B39,BY_TRA!$AU$2:$AU$999,Transport!$C39)/SUMIFS(BY_TRA!T$2:T$999,BY_TRA!$AT$2:$AT$999,Transport!$B39),0)</f>
        <v>8.2389289392378884E-3</v>
      </c>
      <c r="M39" s="12">
        <f>IFERROR(SUMIFS(BY_TRA!U$2:U$999,BY_TRA!$AT$2:$AT$999,Transport!$B39,BY_TRA!$AU$2:$AU$999,Transport!$C39)/SUMIFS(BY_TRA!U$2:U$999,BY_TRA!$AT$2:$AT$999,Transport!$B39),0)</f>
        <v>9.9415747009180974E-2</v>
      </c>
      <c r="N39" s="12">
        <f>IFERROR(SUMIFS(BY_TRA!V$2:V$999,BY_TRA!$AT$2:$AT$999,Transport!$B39,BY_TRA!$AU$2:$AU$999,Transport!$C39)/SUMIFS(BY_TRA!V$2:V$999,BY_TRA!$AT$2:$AT$999,Transport!$B39),0)</f>
        <v>8.3925112976113887E-3</v>
      </c>
      <c r="O39" s="12">
        <f>IFERROR(SUMIFS(BY_TRA!W$2:W$999,BY_TRA!$AT$2:$AT$999,Transport!$B39,BY_TRA!$AU$2:$AU$999,Transport!$C39)/SUMIFS(BY_TRA!W$2:W$999,BY_TRA!$AT$2:$AT$999,Transport!$B39),0)</f>
        <v>0</v>
      </c>
      <c r="P39" s="12">
        <f>IFERROR(SUMIFS(BY_TRA!X$2:X$999,BY_TRA!$AT$2:$AT$999,Transport!$B39,BY_TRA!$AU$2:$AU$999,Transport!$C39)/SUMIFS(BY_TRA!X$2:X$999,BY_TRA!$AT$2:$AT$999,Transport!$B39),0)</f>
        <v>8.6825217063042446E-3</v>
      </c>
      <c r="Q39" s="12">
        <f>IFERROR(SUMIFS(BY_TRA!Y$2:Y$999,BY_TRA!$AT$2:$AT$999,Transport!$B39,BY_TRA!$AU$2:$AU$999,Transport!$C39)/SUMIFS(BY_TRA!Y$2:Y$999,BY_TRA!$AT$2:$AT$999,Transport!$B39),0)</f>
        <v>1.4520813165537264E-3</v>
      </c>
      <c r="R39" s="12">
        <f>IFERROR(SUMIFS(BY_TRA!Z$2:Z$999,BY_TRA!$AT$2:$AT$999,Transport!$B39,BY_TRA!$AU$2:$AU$999,Transport!$C39)/SUMIFS(BY_TRA!Z$2:Z$999,BY_TRA!$AT$2:$AT$999,Transport!$B39),0)</f>
        <v>0</v>
      </c>
      <c r="S39" s="12">
        <f>IFERROR(SUMIFS(BY_TRA!AA$2:AA$999,BY_TRA!$AT$2:$AT$999,Transport!$B39,BY_TRA!$AU$2:$AU$999,Transport!$C39)/SUMIFS(BY_TRA!AA$2:AA$999,BY_TRA!$AT$2:$AT$999,Transport!$B39),0)</f>
        <v>1.7878426698450557E-3</v>
      </c>
      <c r="T39" s="12">
        <f>IFERROR(SUMIFS(BY_TRA!AB$2:AB$999,BY_TRA!$AT$2:$AT$999,Transport!$B39,BY_TRA!$AU$2:$AU$999,Transport!$C39)/SUMIFS(BY_TRA!AB$2:AB$999,BY_TRA!$AT$2:$AT$999,Transport!$B39),0)</f>
        <v>0</v>
      </c>
      <c r="U39" s="12">
        <f>IFERROR(SUMIFS(BY_TRA!AC$2:AC$999,BY_TRA!$AT$2:$AT$999,Transport!$B39,BY_TRA!$AU$2:$AU$999,Transport!$C39)/SUMIFS(BY_TRA!AC$2:AC$999,BY_TRA!$AT$2:$AT$999,Transport!$B39),0)</f>
        <v>2.6653743639447648E-3</v>
      </c>
      <c r="V39" s="12">
        <f>IFERROR(SUMIFS(BY_TRA!AD$2:AD$999,BY_TRA!$AT$2:$AT$999,Transport!$B39,BY_TRA!$AU$2:$AU$999,Transport!$C39)/SUMIFS(BY_TRA!AD$2:AD$999,BY_TRA!$AT$2:$AT$999,Transport!$B39),0)</f>
        <v>2.1125408104474704E-3</v>
      </c>
      <c r="W39" s="12">
        <f>IFERROR(SUMIFS(BY_TRA!AE$2:AE$999,BY_TRA!$AT$2:$AT$999,Transport!$B39,BY_TRA!$AU$2:$AU$999,Transport!$C39)/SUMIFS(BY_TRA!AE$2:AE$999,BY_TRA!$AT$2:$AT$999,Transport!$B39),0)</f>
        <v>0</v>
      </c>
      <c r="X39" s="12">
        <f>IFERROR(SUMIFS(BY_TRA!AF$2:AF$999,BY_TRA!$AT$2:$AT$999,Transport!$B39,BY_TRA!$AU$2:$AU$999,Transport!$C39)/SUMIFS(BY_TRA!AF$2:AF$999,BY_TRA!$AT$2:$AT$999,Transport!$B39),0)</f>
        <v>0</v>
      </c>
      <c r="Y39" s="12">
        <f>IFERROR(SUMIFS(BY_TRA!AG$2:AG$999,BY_TRA!$AT$2:$AT$999,Transport!$B39,BY_TRA!$AU$2:$AU$999,Transport!$C39)/SUMIFS(BY_TRA!AG$2:AG$999,BY_TRA!$AT$2:$AT$999,Transport!$B39),0)</f>
        <v>0</v>
      </c>
      <c r="Z39" s="12">
        <f>IFERROR(SUMIFS(BY_TRA!AH$2:AH$999,BY_TRA!$AT$2:$AT$999,Transport!$B39,BY_TRA!$AU$2:$AU$999,Transport!$C39)/SUMIFS(BY_TRA!AH$2:AH$999,BY_TRA!$AT$2:$AT$999,Transport!$B39),0)</f>
        <v>0</v>
      </c>
      <c r="AA39" s="12">
        <f>IFERROR(SUMIFS(BY_TRA!AI$2:AI$999,BY_TRA!$AT$2:$AT$999,Transport!$B39,BY_TRA!$AU$2:$AU$999,Transport!$C39)/SUMIFS(BY_TRA!AI$2:AI$999,BY_TRA!$AT$2:$AT$999,Transport!$B39),0)</f>
        <v>7.8481012658227697E-2</v>
      </c>
      <c r="AB39" s="12">
        <f>IFERROR(SUMIFS(BY_TRA!AJ$2:AJ$999,BY_TRA!$AT$2:$AT$999,Transport!$B39,BY_TRA!$AU$2:$AU$999,Transport!$C39)/SUMIFS(BY_TRA!AJ$2:AJ$999,BY_TRA!$AT$2:$AT$999,Transport!$B39),0)</f>
        <v>0</v>
      </c>
      <c r="AC39" s="12">
        <f>IFERROR(SUMIFS(BY_TRA!AK$2:AK$999,BY_TRA!$AT$2:$AT$999,Transport!$B39,BY_TRA!$AU$2:$AU$999,Transport!$C39)/SUMIFS(BY_TRA!AK$2:AK$999,BY_TRA!$AT$2:$AT$999,Transport!$B39),0)</f>
        <v>0</v>
      </c>
      <c r="AD39" s="12">
        <f>IFERROR(SUMIFS(BY_TRA!AL$2:AL$999,BY_TRA!$AT$2:$AT$999,Transport!$B39,BY_TRA!$AU$2:$AU$999,Transport!$C39)/SUMIFS(BY_TRA!AL$2:AL$999,BY_TRA!$AT$2:$AT$999,Transport!$B39),0)</f>
        <v>0</v>
      </c>
      <c r="AE39" s="12">
        <f>IFERROR(SUMIFS(BY_TRA!AM$2:AM$999,BY_TRA!$AT$2:$AT$999,Transport!$B39,BY_TRA!$AU$2:$AU$999,Transport!$C39)/SUMIFS(BY_TRA!AM$2:AM$999,BY_TRA!$AT$2:$AT$999,Transport!$B39),0)</f>
        <v>3.1469377874606698E-3</v>
      </c>
      <c r="AF39" s="12">
        <f>IFERROR(SUMIFS(BY_TRA!AN$2:AN$999,BY_TRA!$AT$2:$AT$999,Transport!$B39,BY_TRA!$AU$2:$AU$999,Transport!$C39)/SUMIFS(BY_TRA!AN$2:AN$999,BY_TRA!$AT$2:$AT$999,Transport!$B39),0)</f>
        <v>4.2598134131314903E-3</v>
      </c>
      <c r="AG39" s="12">
        <f>IFERROR(SUMIFS(BY_TRA!AO$2:AO$999,BY_TRA!$AT$2:$AT$999,Transport!$B39,BY_TRA!$AU$2:$AU$999,Transport!$C39)/SUMIFS(BY_TRA!AO$2:AO$999,BY_TRA!$AT$2:$AT$999,Transport!$B39),0)</f>
        <v>0</v>
      </c>
      <c r="AH39" s="12">
        <f>IFERROR(SUMIFS(BY_TRA!AP$2:AP$999,BY_TRA!$AT$2:$AT$999,Transport!$B39,BY_TRA!$AU$2:$AU$999,Transport!$C39)/SUMIFS(BY_TRA!AP$2:AP$999,BY_TRA!$AT$2:$AT$999,Transport!$B39),0)</f>
        <v>0</v>
      </c>
      <c r="AI39" s="12">
        <f>IFERROR(SUMIFS(BY_TRA!AQ$2:AQ$999,BY_TRA!$AT$2:$AT$999,Transport!$B39,BY_TRA!$AU$2:$AU$999,Transport!$C39)/SUMIFS(BY_TRA!AQ$2:AQ$999,BY_TRA!$AT$2:$AT$999,Transport!$B39),0)</f>
        <v>0</v>
      </c>
    </row>
    <row r="40" spans="2:35">
      <c r="B40" t="s">
        <v>200</v>
      </c>
      <c r="C40" t="s">
        <v>191</v>
      </c>
      <c r="D40" s="12">
        <f>IFERROR(SUMIFS(BY_TRA!L$2:L$999,BY_TRA!$AT$2:$AT$999,Transport!$B40,BY_TRA!$AU$2:$AU$999,Transport!$C40)/SUMIFS(BY_TRA!L$2:L$999,BY_TRA!$AT$2:$AT$999,Transport!$B40),0)</f>
        <v>0</v>
      </c>
      <c r="E40" s="12">
        <f>IFERROR(SUMIFS(BY_TRA!M$2:M$999,BY_TRA!$AT$2:$AT$999,Transport!$B40,BY_TRA!$AU$2:$AU$999,Transport!$C40)/SUMIFS(BY_TRA!M$2:M$999,BY_TRA!$AT$2:$AT$999,Transport!$B40),0)</f>
        <v>1.2928248222365871E-3</v>
      </c>
      <c r="F40" s="12">
        <f>IFERROR(SUMIFS(BY_TRA!N$2:N$999,BY_TRA!$AT$2:$AT$999,Transport!$B40,BY_TRA!$AU$2:$AU$999,Transport!$C40)/SUMIFS(BY_TRA!N$2:N$999,BY_TRA!$AT$2:$AT$999,Transport!$B40),0)</f>
        <v>4.2588495575221236E-2</v>
      </c>
      <c r="G40" s="12">
        <f>IFERROR(SUMIFS(BY_TRA!O$2:O$999,BY_TRA!$AT$2:$AT$999,Transport!$B40,BY_TRA!$AU$2:$AU$999,Transport!$C40)/SUMIFS(BY_TRA!O$2:O$999,BY_TRA!$AT$2:$AT$999,Transport!$B40),0)</f>
        <v>0</v>
      </c>
      <c r="H40" s="12">
        <f>IFERROR(SUMIFS(BY_TRA!P$2:P$999,BY_TRA!$AT$2:$AT$999,Transport!$B40,BY_TRA!$AU$2:$AU$999,Transport!$C40)/SUMIFS(BY_TRA!P$2:P$999,BY_TRA!$AT$2:$AT$999,Transport!$B40),0)</f>
        <v>7.1608040201004844E-3</v>
      </c>
      <c r="I40" s="12">
        <f>IFERROR(SUMIFS(BY_TRA!Q$2:Q$999,BY_TRA!$AT$2:$AT$999,Transport!$B40,BY_TRA!$AU$2:$AU$999,Transport!$C40)/SUMIFS(BY_TRA!Q$2:Q$999,BY_TRA!$AT$2:$AT$999,Transport!$B40),0)</f>
        <v>1.2011379201348643E-2</v>
      </c>
      <c r="J40" s="12">
        <f>IFERROR(SUMIFS(BY_TRA!R$2:R$999,BY_TRA!$AT$2:$AT$999,Transport!$B40,BY_TRA!$AU$2:$AU$999,Transport!$C40)/SUMIFS(BY_TRA!R$2:R$999,BY_TRA!$AT$2:$AT$999,Transport!$B40),0)</f>
        <v>7.8838174273858988E-3</v>
      </c>
      <c r="K40" s="12">
        <f>IFERROR(SUMIFS(BY_TRA!S$2:S$999,BY_TRA!$AT$2:$AT$999,Transport!$B40,BY_TRA!$AU$2:$AU$999,Transport!$C40)/SUMIFS(BY_TRA!S$2:S$999,BY_TRA!$AT$2:$AT$999,Transport!$B40),0)</f>
        <v>0.17294520547945205</v>
      </c>
      <c r="L40" s="12">
        <f>IFERROR(SUMIFS(BY_TRA!T$2:T$999,BY_TRA!$AT$2:$AT$999,Transport!$B40,BY_TRA!$AU$2:$AU$999,Transport!$C40)/SUMIFS(BY_TRA!T$2:T$999,BY_TRA!$AT$2:$AT$999,Transport!$B40),0)</f>
        <v>4.5657397871609946E-2</v>
      </c>
      <c r="M40" s="12">
        <f>IFERROR(SUMIFS(BY_TRA!U$2:U$999,BY_TRA!$AT$2:$AT$999,Transport!$B40,BY_TRA!$AU$2:$AU$999,Transport!$C40)/SUMIFS(BY_TRA!U$2:U$999,BY_TRA!$AT$2:$AT$999,Transport!$B40),0)</f>
        <v>1.094315125660761E-2</v>
      </c>
      <c r="N40" s="12">
        <f>IFERROR(SUMIFS(BY_TRA!V$2:V$999,BY_TRA!$AT$2:$AT$999,Transport!$B40,BY_TRA!$AU$2:$AU$999,Transport!$C40)/SUMIFS(BY_TRA!V$2:V$999,BY_TRA!$AT$2:$AT$999,Transport!$B40),0)</f>
        <v>2.2595222724338334E-2</v>
      </c>
      <c r="O40" s="12">
        <f>IFERROR(SUMIFS(BY_TRA!W$2:W$999,BY_TRA!$AT$2:$AT$999,Transport!$B40,BY_TRA!$AU$2:$AU$999,Transport!$C40)/SUMIFS(BY_TRA!W$2:W$999,BY_TRA!$AT$2:$AT$999,Transport!$B40),0)</f>
        <v>1.5069967707212105E-2</v>
      </c>
      <c r="P40" s="12">
        <f>IFERROR(SUMIFS(BY_TRA!X$2:X$999,BY_TRA!$AT$2:$AT$999,Transport!$B40,BY_TRA!$AU$2:$AU$999,Transport!$C40)/SUMIFS(BY_TRA!X$2:X$999,BY_TRA!$AT$2:$AT$999,Transport!$B40),0)</f>
        <v>2.1895054737636775E-2</v>
      </c>
      <c r="Q40" s="12">
        <f>IFERROR(SUMIFS(BY_TRA!Y$2:Y$999,BY_TRA!$AT$2:$AT$999,Transport!$B40,BY_TRA!$AU$2:$AU$999,Transport!$C40)/SUMIFS(BY_TRA!Y$2:Y$999,BY_TRA!$AT$2:$AT$999,Transport!$B40),0)</f>
        <v>2.178121974830589E-3</v>
      </c>
      <c r="R40" s="12">
        <f>IFERROR(SUMIFS(BY_TRA!Z$2:Z$999,BY_TRA!$AT$2:$AT$999,Transport!$B40,BY_TRA!$AU$2:$AU$999,Transport!$C40)/SUMIFS(BY_TRA!Z$2:Z$999,BY_TRA!$AT$2:$AT$999,Transport!$B40),0)</f>
        <v>1.7456359102244388E-2</v>
      </c>
      <c r="S40" s="12">
        <f>IFERROR(SUMIFS(BY_TRA!AA$2:AA$999,BY_TRA!$AT$2:$AT$999,Transport!$B40,BY_TRA!$AU$2:$AU$999,Transport!$C40)/SUMIFS(BY_TRA!AA$2:AA$999,BY_TRA!$AT$2:$AT$999,Transport!$B40),0)</f>
        <v>6.257449344457695E-3</v>
      </c>
      <c r="T40" s="12">
        <f>IFERROR(SUMIFS(BY_TRA!AB$2:AB$999,BY_TRA!$AT$2:$AT$999,Transport!$B40,BY_TRA!$AU$2:$AU$999,Transport!$C40)/SUMIFS(BY_TRA!AB$2:AB$999,BY_TRA!$AT$2:$AT$999,Transport!$B40),0)</f>
        <v>8.5354896675651562E-3</v>
      </c>
      <c r="U40" s="12">
        <f>IFERROR(SUMIFS(BY_TRA!AC$2:AC$999,BY_TRA!$AT$2:$AT$999,Transport!$B40,BY_TRA!$AU$2:$AU$999,Transport!$C40)/SUMIFS(BY_TRA!AC$2:AC$999,BY_TRA!$AT$2:$AT$999,Transport!$B40),0)</f>
        <v>2.4472982796220101E-2</v>
      </c>
      <c r="V40" s="12">
        <f>IFERROR(SUMIFS(BY_TRA!AD$2:AD$999,BY_TRA!$AT$2:$AT$999,Transport!$B40,BY_TRA!$AU$2:$AU$999,Transport!$C40)/SUMIFS(BY_TRA!AD$2:AD$999,BY_TRA!$AT$2:$AT$999,Transport!$B40),0)</f>
        <v>1.9204916458613362E-2</v>
      </c>
      <c r="W40" s="12">
        <f>IFERROR(SUMIFS(BY_TRA!AE$2:AE$999,BY_TRA!$AT$2:$AT$999,Transport!$B40,BY_TRA!$AU$2:$AU$999,Transport!$C40)/SUMIFS(BY_TRA!AE$2:AE$999,BY_TRA!$AT$2:$AT$999,Transport!$B40),0)</f>
        <v>1.4981273408239668E-2</v>
      </c>
      <c r="X40" s="12">
        <f>IFERROR(SUMIFS(BY_TRA!AF$2:AF$999,BY_TRA!$AT$2:$AT$999,Transport!$B40,BY_TRA!$AU$2:$AU$999,Transport!$C40)/SUMIFS(BY_TRA!AF$2:AF$999,BY_TRA!$AT$2:$AT$999,Transport!$B40),0)</f>
        <v>2.0714144801736025E-2</v>
      </c>
      <c r="Y40" s="12">
        <f>IFERROR(SUMIFS(BY_TRA!AG$2:AG$999,BY_TRA!$AT$2:$AT$999,Transport!$B40,BY_TRA!$AU$2:$AU$999,Transport!$C40)/SUMIFS(BY_TRA!AG$2:AG$999,BY_TRA!$AT$2:$AT$999,Transport!$B40),0)</f>
        <v>0</v>
      </c>
      <c r="Z40" s="12">
        <f>IFERROR(SUMIFS(BY_TRA!AH$2:AH$999,BY_TRA!$AT$2:$AT$999,Transport!$B40,BY_TRA!$AU$2:$AU$999,Transport!$C40)/SUMIFS(BY_TRA!AH$2:AH$999,BY_TRA!$AT$2:$AT$999,Transport!$B40),0)</f>
        <v>0</v>
      </c>
      <c r="AA40" s="12">
        <f>IFERROR(SUMIFS(BY_TRA!AI$2:AI$999,BY_TRA!$AT$2:$AT$999,Transport!$B40,BY_TRA!$AU$2:$AU$999,Transport!$C40)/SUMIFS(BY_TRA!AI$2:AI$999,BY_TRA!$AT$2:$AT$999,Transport!$B40),0)</f>
        <v>1.7721518987341752E-2</v>
      </c>
      <c r="AB40" s="12">
        <f>IFERROR(SUMIFS(BY_TRA!AJ$2:AJ$999,BY_TRA!$AT$2:$AT$999,Transport!$B40,BY_TRA!$AU$2:$AU$999,Transport!$C40)/SUMIFS(BY_TRA!AJ$2:AJ$999,BY_TRA!$AT$2:$AT$999,Transport!$B40),0)</f>
        <v>0</v>
      </c>
      <c r="AC40" s="12">
        <f>IFERROR(SUMIFS(BY_TRA!AK$2:AK$999,BY_TRA!$AT$2:$AT$999,Transport!$B40,BY_TRA!$AU$2:$AU$999,Transport!$C40)/SUMIFS(BY_TRA!AK$2:AK$999,BY_TRA!$AT$2:$AT$999,Transport!$B40),0)</f>
        <v>0</v>
      </c>
      <c r="AD40" s="12">
        <f>IFERROR(SUMIFS(BY_TRA!AL$2:AL$999,BY_TRA!$AT$2:$AT$999,Transport!$B40,BY_TRA!$AU$2:$AU$999,Transport!$C40)/SUMIFS(BY_TRA!AL$2:AL$999,BY_TRA!$AT$2:$AT$999,Transport!$B40),0)</f>
        <v>0</v>
      </c>
      <c r="AE40" s="12">
        <f>IFERROR(SUMIFS(BY_TRA!AM$2:AM$999,BY_TRA!$AT$2:$AT$999,Transport!$B40,BY_TRA!$AU$2:$AU$999,Transport!$C40)/SUMIFS(BY_TRA!AM$2:AM$999,BY_TRA!$AT$2:$AT$999,Transport!$B40),0)</f>
        <v>1.4282256112321491E-2</v>
      </c>
      <c r="AF40" s="12">
        <f>IFERROR(SUMIFS(BY_TRA!AN$2:AN$999,BY_TRA!$AT$2:$AT$999,Transport!$B40,BY_TRA!$AU$2:$AU$999,Transport!$C40)/SUMIFS(BY_TRA!AN$2:AN$999,BY_TRA!$AT$2:$AT$999,Transport!$B40),0)</f>
        <v>7.9669072346417888E-2</v>
      </c>
      <c r="AG40" s="12">
        <f>IFERROR(SUMIFS(BY_TRA!AO$2:AO$999,BY_TRA!$AT$2:$AT$999,Transport!$B40,BY_TRA!$AU$2:$AU$999,Transport!$C40)/SUMIFS(BY_TRA!AO$2:AO$999,BY_TRA!$AT$2:$AT$999,Transport!$B40),0)</f>
        <v>0</v>
      </c>
      <c r="AH40" s="12">
        <f>IFERROR(SUMIFS(BY_TRA!AP$2:AP$999,BY_TRA!$AT$2:$AT$999,Transport!$B40,BY_TRA!$AU$2:$AU$999,Transport!$C40)/SUMIFS(BY_TRA!AP$2:AP$999,BY_TRA!$AT$2:$AT$999,Transport!$B40),0)</f>
        <v>0</v>
      </c>
      <c r="AI40" s="12">
        <f>IFERROR(SUMIFS(BY_TRA!AQ$2:AQ$999,BY_TRA!$AT$2:$AT$999,Transport!$B40,BY_TRA!$AU$2:$AU$999,Transport!$C40)/SUMIFS(BY_TRA!AQ$2:AQ$999,BY_TRA!$AT$2:$AT$999,Transport!$B40),0)</f>
        <v>0</v>
      </c>
    </row>
    <row r="41" spans="2:35">
      <c r="B41" t="s">
        <v>200</v>
      </c>
      <c r="C41" t="s">
        <v>192</v>
      </c>
      <c r="D41" s="12">
        <f>IFERROR(SUMIFS(BY_TRA!L$2:L$999,BY_TRA!$AT$2:$AT$999,Transport!$B41,BY_TRA!$AU$2:$AU$999,Transport!$C41)/SUMIFS(BY_TRA!L$2:L$999,BY_TRA!$AT$2:$AT$999,Transport!$B41),0)</f>
        <v>0.71515434985968196</v>
      </c>
      <c r="E41" s="12">
        <f>IFERROR(SUMIFS(BY_TRA!M$2:M$999,BY_TRA!$AT$2:$AT$999,Transport!$B41,BY_TRA!$AU$2:$AU$999,Transport!$C41)/SUMIFS(BY_TRA!M$2:M$999,BY_TRA!$AT$2:$AT$999,Transport!$B41),0)</f>
        <v>0.85811247575953453</v>
      </c>
      <c r="F41" s="12">
        <f>IFERROR(SUMIFS(BY_TRA!N$2:N$999,BY_TRA!$AT$2:$AT$999,Transport!$B41,BY_TRA!$AU$2:$AU$999,Transport!$C41)/SUMIFS(BY_TRA!N$2:N$999,BY_TRA!$AT$2:$AT$999,Transport!$B41),0)</f>
        <v>0.77710176991150437</v>
      </c>
      <c r="G41" s="12">
        <f>IFERROR(SUMIFS(BY_TRA!O$2:O$999,BY_TRA!$AT$2:$AT$999,Transport!$B41,BY_TRA!$AU$2:$AU$999,Transport!$C41)/SUMIFS(BY_TRA!O$2:O$999,BY_TRA!$AT$2:$AT$999,Transport!$B41),0)</f>
        <v>0.70516129032258079</v>
      </c>
      <c r="H41" s="12">
        <f>IFERROR(SUMIFS(BY_TRA!P$2:P$999,BY_TRA!$AT$2:$AT$999,Transport!$B41,BY_TRA!$AU$2:$AU$999,Transport!$C41)/SUMIFS(BY_TRA!P$2:P$999,BY_TRA!$AT$2:$AT$999,Transport!$B41),0)</f>
        <v>0.87248743718592747</v>
      </c>
      <c r="I41" s="12">
        <f>IFERROR(SUMIFS(BY_TRA!Q$2:Q$999,BY_TRA!$AT$2:$AT$999,Transport!$B41,BY_TRA!$AU$2:$AU$999,Transport!$C41)/SUMIFS(BY_TRA!Q$2:Q$999,BY_TRA!$AT$2:$AT$999,Transport!$B41),0)</f>
        <v>0.79981034664418871</v>
      </c>
      <c r="J41" s="12">
        <f>IFERROR(SUMIFS(BY_TRA!R$2:R$999,BY_TRA!$AT$2:$AT$999,Transport!$B41,BY_TRA!$AU$2:$AU$999,Transport!$C41)/SUMIFS(BY_TRA!R$2:R$999,BY_TRA!$AT$2:$AT$999,Transport!$B41),0)</f>
        <v>0.95933609958506305</v>
      </c>
      <c r="K41" s="12">
        <f>IFERROR(SUMIFS(BY_TRA!S$2:S$999,BY_TRA!$AT$2:$AT$999,Transport!$B41,BY_TRA!$AU$2:$AU$999,Transport!$C41)/SUMIFS(BY_TRA!S$2:S$999,BY_TRA!$AT$2:$AT$999,Transport!$B41),0)</f>
        <v>0.65860445205479468</v>
      </c>
      <c r="L41" s="12">
        <f>IFERROR(SUMIFS(BY_TRA!T$2:T$999,BY_TRA!$AT$2:$AT$999,Transport!$B41,BY_TRA!$AU$2:$AU$999,Transport!$C41)/SUMIFS(BY_TRA!T$2:T$999,BY_TRA!$AT$2:$AT$999,Transport!$B41),0)</f>
        <v>0.92722279437006383</v>
      </c>
      <c r="M41" s="12">
        <f>IFERROR(SUMIFS(BY_TRA!U$2:U$999,BY_TRA!$AT$2:$AT$999,Transport!$B41,BY_TRA!$AU$2:$AU$999,Transport!$C41)/SUMIFS(BY_TRA!U$2:U$999,BY_TRA!$AT$2:$AT$999,Transport!$B41),0)</f>
        <v>0.76868682184920623</v>
      </c>
      <c r="N41" s="12">
        <f>IFERROR(SUMIFS(BY_TRA!V$2:V$999,BY_TRA!$AT$2:$AT$999,Transport!$B41,BY_TRA!$AU$2:$AU$999,Transport!$C41)/SUMIFS(BY_TRA!V$2:V$999,BY_TRA!$AT$2:$AT$999,Transport!$B41),0)</f>
        <v>0.4531956100710145</v>
      </c>
      <c r="O41" s="12">
        <f>IFERROR(SUMIFS(BY_TRA!W$2:W$999,BY_TRA!$AT$2:$AT$999,Transport!$B41,BY_TRA!$AU$2:$AU$999,Transport!$C41)/SUMIFS(BY_TRA!W$2:W$999,BY_TRA!$AT$2:$AT$999,Transport!$B41),0)</f>
        <v>0.38293864370290753</v>
      </c>
      <c r="P41" s="12">
        <f>IFERROR(SUMIFS(BY_TRA!X$2:X$999,BY_TRA!$AT$2:$AT$999,Transport!$B41,BY_TRA!$AU$2:$AU$999,Transport!$C41)/SUMIFS(BY_TRA!X$2:X$999,BY_TRA!$AT$2:$AT$999,Transport!$B41),0)</f>
        <v>0.41827104567761308</v>
      </c>
      <c r="Q41" s="12">
        <f>IFERROR(SUMIFS(BY_TRA!Y$2:Y$999,BY_TRA!$AT$2:$AT$999,Transport!$B41,BY_TRA!$AU$2:$AU$999,Transport!$C41)/SUMIFS(BY_TRA!Y$2:Y$999,BY_TRA!$AT$2:$AT$999,Transport!$B41),0)</f>
        <v>0.39278799612778292</v>
      </c>
      <c r="R41" s="12">
        <f>IFERROR(SUMIFS(BY_TRA!Z$2:Z$999,BY_TRA!$AT$2:$AT$999,Transport!$B41,BY_TRA!$AU$2:$AU$999,Transport!$C41)/SUMIFS(BY_TRA!Z$2:Z$999,BY_TRA!$AT$2:$AT$999,Transport!$B41),0)</f>
        <v>0.41022443890274285</v>
      </c>
      <c r="S41" s="12">
        <f>IFERROR(SUMIFS(BY_TRA!AA$2:AA$999,BY_TRA!$AT$2:$AT$999,Transport!$B41,BY_TRA!$AU$2:$AU$999,Transport!$C41)/SUMIFS(BY_TRA!AA$2:AA$999,BY_TRA!$AT$2:$AT$999,Transport!$B41),0)</f>
        <v>0.29827175208581674</v>
      </c>
      <c r="T41" s="12">
        <f>IFERROR(SUMIFS(BY_TRA!AB$2:AB$999,BY_TRA!$AT$2:$AT$999,Transport!$B41,BY_TRA!$AU$2:$AU$999,Transport!$C41)/SUMIFS(BY_TRA!AB$2:AB$999,BY_TRA!$AT$2:$AT$999,Transport!$B41),0)</f>
        <v>0.43755615453728713</v>
      </c>
      <c r="U41" s="12">
        <f>IFERROR(SUMIFS(BY_TRA!AC$2:AC$999,BY_TRA!$AT$2:$AT$999,Transport!$B41,BY_TRA!$AU$2:$AU$999,Transport!$C41)/SUMIFS(BY_TRA!AC$2:AC$999,BY_TRA!$AT$2:$AT$999,Transport!$B41),0)</f>
        <v>0.29440271383571698</v>
      </c>
      <c r="V41" s="12">
        <f>IFERROR(SUMIFS(BY_TRA!AD$2:AD$999,BY_TRA!$AT$2:$AT$999,Transport!$B41,BY_TRA!$AU$2:$AU$999,Transport!$C41)/SUMIFS(BY_TRA!AD$2:AD$999,BY_TRA!$AT$2:$AT$999,Transport!$B41),0)</f>
        <v>0.4611100441713068</v>
      </c>
      <c r="W41" s="12">
        <f>IFERROR(SUMIFS(BY_TRA!AE$2:AE$999,BY_TRA!$AT$2:$AT$999,Transport!$B41,BY_TRA!$AU$2:$AU$999,Transport!$C41)/SUMIFS(BY_TRA!AE$2:AE$999,BY_TRA!$AT$2:$AT$999,Transport!$B41),0)</f>
        <v>0.54265501456512566</v>
      </c>
      <c r="X41" s="12">
        <f>IFERROR(SUMIFS(BY_TRA!AF$2:AF$999,BY_TRA!$AT$2:$AT$999,Transport!$B41,BY_TRA!$AU$2:$AU$999,Transport!$C41)/SUMIFS(BY_TRA!AF$2:AF$999,BY_TRA!$AT$2:$AT$999,Transport!$B41),0)</f>
        <v>0.87689879660682479</v>
      </c>
      <c r="Y41" s="12">
        <f>IFERROR(SUMIFS(BY_TRA!AG$2:AG$999,BY_TRA!$AT$2:$AT$999,Transport!$B41,BY_TRA!$AU$2:$AU$999,Transport!$C41)/SUMIFS(BY_TRA!AG$2:AG$999,BY_TRA!$AT$2:$AT$999,Transport!$B41),0)</f>
        <v>0.91146202980837465</v>
      </c>
      <c r="Z41" s="12">
        <f>IFERROR(SUMIFS(BY_TRA!AH$2:AH$999,BY_TRA!$AT$2:$AT$999,Transport!$B41,BY_TRA!$AU$2:$AU$999,Transport!$C41)/SUMIFS(BY_TRA!AH$2:AH$999,BY_TRA!$AT$2:$AT$999,Transport!$B41),0)</f>
        <v>0.82195218597278963</v>
      </c>
      <c r="AA41" s="12">
        <f>IFERROR(SUMIFS(BY_TRA!AI$2:AI$999,BY_TRA!$AT$2:$AT$999,Transport!$B41,BY_TRA!$AU$2:$AU$999,Transport!$C41)/SUMIFS(BY_TRA!AI$2:AI$999,BY_TRA!$AT$2:$AT$999,Transport!$B41),0)</f>
        <v>0.30886075949367042</v>
      </c>
      <c r="AB41" s="12">
        <f>IFERROR(SUMIFS(BY_TRA!AJ$2:AJ$999,BY_TRA!$AT$2:$AT$999,Transport!$B41,BY_TRA!$AU$2:$AU$999,Transport!$C41)/SUMIFS(BY_TRA!AJ$2:AJ$999,BY_TRA!$AT$2:$AT$999,Transport!$B41),0)</f>
        <v>0.93336461755044542</v>
      </c>
      <c r="AC41" s="12">
        <f>IFERROR(SUMIFS(BY_TRA!AK$2:AK$999,BY_TRA!$AT$2:$AT$999,Transport!$B41,BY_TRA!$AU$2:$AU$999,Transport!$C41)/SUMIFS(BY_TRA!AK$2:AK$999,BY_TRA!$AT$2:$AT$999,Transport!$B41),0)</f>
        <v>0.87779850746268651</v>
      </c>
      <c r="AD41" s="12">
        <f>IFERROR(SUMIFS(BY_TRA!AL$2:AL$999,BY_TRA!$AT$2:$AT$999,Transport!$B41,BY_TRA!$AU$2:$AU$999,Transport!$C41)/SUMIFS(BY_TRA!AL$2:AL$999,BY_TRA!$AT$2:$AT$999,Transport!$B41),0)</f>
        <v>0.81347773766546227</v>
      </c>
      <c r="AE41" s="12">
        <f>IFERROR(SUMIFS(BY_TRA!AM$2:AM$999,BY_TRA!$AT$2:$AT$999,Transport!$B41,BY_TRA!$AU$2:$AU$999,Transport!$C41)/SUMIFS(BY_TRA!AM$2:AM$999,BY_TRA!$AT$2:$AT$999,Transport!$B41),0)</f>
        <v>0.46235778261922111</v>
      </c>
      <c r="AF41" s="12">
        <f>IFERROR(SUMIFS(BY_TRA!AN$2:AN$999,BY_TRA!$AT$2:$AT$999,Transport!$B41,BY_TRA!$AU$2:$AU$999,Transport!$C41)/SUMIFS(BY_TRA!AN$2:AN$999,BY_TRA!$AT$2:$AT$999,Transport!$B41),0)</f>
        <v>0.90188347121985579</v>
      </c>
      <c r="AG41" s="12">
        <f>IFERROR(SUMIFS(BY_TRA!AO$2:AO$999,BY_TRA!$AT$2:$AT$999,Transport!$B41,BY_TRA!$AU$2:$AU$999,Transport!$C41)/SUMIFS(BY_TRA!AO$2:AO$999,BY_TRA!$AT$2:$AT$999,Transport!$B41),0)</f>
        <v>0</v>
      </c>
      <c r="AH41" s="12">
        <f>IFERROR(SUMIFS(BY_TRA!AP$2:AP$999,BY_TRA!$AT$2:$AT$999,Transport!$B41,BY_TRA!$AU$2:$AU$999,Transport!$C41)/SUMIFS(BY_TRA!AP$2:AP$999,BY_TRA!$AT$2:$AT$999,Transport!$B41),0)</f>
        <v>0</v>
      </c>
      <c r="AI41" s="12">
        <f>IFERROR(SUMIFS(BY_TRA!AQ$2:AQ$999,BY_TRA!$AT$2:$AT$999,Transport!$B41,BY_TRA!$AU$2:$AU$999,Transport!$C41)/SUMIFS(BY_TRA!AQ$2:AQ$999,BY_TRA!$AT$2:$AT$999,Transport!$B41),0)</f>
        <v>0</v>
      </c>
    </row>
    <row r="42" spans="2:35">
      <c r="B42" t="s">
        <v>200</v>
      </c>
      <c r="C42" t="s">
        <v>198</v>
      </c>
      <c r="D42" s="12">
        <f>IFERROR(SUMIFS(BY_TRA!L$2:L$999,BY_TRA!$AT$2:$AT$999,Transport!$B42,BY_TRA!$AU$2:$AU$999,Transport!$C42)/SUMIFS(BY_TRA!L$2:L$999,BY_TRA!$AT$2:$AT$999,Transport!$B42),0)</f>
        <v>4.7708138447146886E-2</v>
      </c>
      <c r="E42" s="12">
        <f>IFERROR(SUMIFS(BY_TRA!M$2:M$999,BY_TRA!$AT$2:$AT$999,Transport!$B42,BY_TRA!$AU$2:$AU$999,Transport!$C42)/SUMIFS(BY_TRA!M$2:M$999,BY_TRA!$AT$2:$AT$999,Transport!$B42),0)</f>
        <v>0</v>
      </c>
      <c r="F42" s="12">
        <f>IFERROR(SUMIFS(BY_TRA!N$2:N$999,BY_TRA!$AT$2:$AT$999,Transport!$B42,BY_TRA!$AU$2:$AU$999,Transport!$C42)/SUMIFS(BY_TRA!N$2:N$999,BY_TRA!$AT$2:$AT$999,Transport!$B42),0)</f>
        <v>5.5309734513274346E-4</v>
      </c>
      <c r="G42" s="12">
        <f>IFERROR(SUMIFS(BY_TRA!O$2:O$999,BY_TRA!$AT$2:$AT$999,Transport!$B42,BY_TRA!$AU$2:$AU$999,Transport!$C42)/SUMIFS(BY_TRA!O$2:O$999,BY_TRA!$AT$2:$AT$999,Transport!$B42),0)</f>
        <v>2.7741935483870977E-2</v>
      </c>
      <c r="H42" s="12">
        <f>IFERROR(SUMIFS(BY_TRA!P$2:P$999,BY_TRA!$AT$2:$AT$999,Transport!$B42,BY_TRA!$AU$2:$AU$999,Transport!$C42)/SUMIFS(BY_TRA!P$2:P$999,BY_TRA!$AT$2:$AT$999,Transport!$B42),0)</f>
        <v>4.9748743718592829E-2</v>
      </c>
      <c r="I42" s="12">
        <f>IFERROR(SUMIFS(BY_TRA!Q$2:Q$999,BY_TRA!$AT$2:$AT$999,Transport!$B42,BY_TRA!$AU$2:$AU$999,Transport!$C42)/SUMIFS(BY_TRA!Q$2:Q$999,BY_TRA!$AT$2:$AT$999,Transport!$B42),0)</f>
        <v>1.6120535243915289E-2</v>
      </c>
      <c r="J42" s="12">
        <f>IFERROR(SUMIFS(BY_TRA!R$2:R$999,BY_TRA!$AT$2:$AT$999,Transport!$B42,BY_TRA!$AU$2:$AU$999,Transport!$C42)/SUMIFS(BY_TRA!R$2:R$999,BY_TRA!$AT$2:$AT$999,Transport!$B42),0)</f>
        <v>6.2240663900414994E-3</v>
      </c>
      <c r="K42" s="12">
        <f>IFERROR(SUMIFS(BY_TRA!S$2:S$999,BY_TRA!$AT$2:$AT$999,Transport!$B42,BY_TRA!$AU$2:$AU$999,Transport!$C42)/SUMIFS(BY_TRA!S$2:S$999,BY_TRA!$AT$2:$AT$999,Transport!$B42),0)</f>
        <v>0</v>
      </c>
      <c r="L42" s="12">
        <f>IFERROR(SUMIFS(BY_TRA!T$2:T$999,BY_TRA!$AT$2:$AT$999,Transport!$B42,BY_TRA!$AU$2:$AU$999,Transport!$C42)/SUMIFS(BY_TRA!T$2:T$999,BY_TRA!$AT$2:$AT$999,Transport!$B42),0)</f>
        <v>7.2090628218331523E-3</v>
      </c>
      <c r="M42" s="12">
        <f>IFERROR(SUMIFS(BY_TRA!U$2:U$999,BY_TRA!$AT$2:$AT$999,Transport!$B42,BY_TRA!$AU$2:$AU$999,Transport!$C42)/SUMIFS(BY_TRA!U$2:U$999,BY_TRA!$AT$2:$AT$999,Transport!$B42),0)</f>
        <v>7.4886395251785153E-3</v>
      </c>
      <c r="N42" s="12">
        <f>IFERROR(SUMIFS(BY_TRA!V$2:V$999,BY_TRA!$AT$2:$AT$999,Transport!$B42,BY_TRA!$AU$2:$AU$999,Transport!$C42)/SUMIFS(BY_TRA!V$2:V$999,BY_TRA!$AT$2:$AT$999,Transport!$B42),0)</f>
        <v>0</v>
      </c>
      <c r="O42" s="12">
        <f>IFERROR(SUMIFS(BY_TRA!W$2:W$999,BY_TRA!$AT$2:$AT$999,Transport!$B42,BY_TRA!$AU$2:$AU$999,Transport!$C42)/SUMIFS(BY_TRA!W$2:W$999,BY_TRA!$AT$2:$AT$999,Transport!$B42),0)</f>
        <v>6.0818083961248839E-2</v>
      </c>
      <c r="P42" s="12">
        <f>IFERROR(SUMIFS(BY_TRA!X$2:X$999,BY_TRA!$AT$2:$AT$999,Transport!$B42,BY_TRA!$AU$2:$AU$999,Transport!$C42)/SUMIFS(BY_TRA!X$2:X$999,BY_TRA!$AT$2:$AT$999,Transport!$B42),0)</f>
        <v>9.4375235938089601E-3</v>
      </c>
      <c r="Q42" s="12">
        <f>IFERROR(SUMIFS(BY_TRA!Y$2:Y$999,BY_TRA!$AT$2:$AT$999,Transport!$B42,BY_TRA!$AU$2:$AU$999,Transport!$C42)/SUMIFS(BY_TRA!Y$2:Y$999,BY_TRA!$AT$2:$AT$999,Transport!$B42),0)</f>
        <v>6.1955469506292334E-2</v>
      </c>
      <c r="R42" s="12">
        <f>IFERROR(SUMIFS(BY_TRA!Z$2:Z$999,BY_TRA!$AT$2:$AT$999,Transport!$B42,BY_TRA!$AU$2:$AU$999,Transport!$C42)/SUMIFS(BY_TRA!Z$2:Z$999,BY_TRA!$AT$2:$AT$999,Transport!$B42),0)</f>
        <v>3.8029925187032403E-2</v>
      </c>
      <c r="S42" s="12">
        <f>IFERROR(SUMIFS(BY_TRA!AA$2:AA$999,BY_TRA!$AT$2:$AT$999,Transport!$B42,BY_TRA!$AU$2:$AU$999,Transport!$C42)/SUMIFS(BY_TRA!AA$2:AA$999,BY_TRA!$AT$2:$AT$999,Transport!$B42),0)</f>
        <v>5.0655542312276584E-3</v>
      </c>
      <c r="T42" s="12">
        <f>IFERROR(SUMIFS(BY_TRA!AB$2:AB$999,BY_TRA!$AT$2:$AT$999,Transport!$B42,BY_TRA!$AU$2:$AU$999,Transport!$C42)/SUMIFS(BY_TRA!AB$2:AB$999,BY_TRA!$AT$2:$AT$999,Transport!$B42),0)</f>
        <v>0.26909254267744881</v>
      </c>
      <c r="U42" s="12">
        <f>IFERROR(SUMIFS(BY_TRA!AC$2:AC$999,BY_TRA!$AT$2:$AT$999,Transport!$B42,BY_TRA!$AU$2:$AU$999,Transport!$C42)/SUMIFS(BY_TRA!AC$2:AC$999,BY_TRA!$AT$2:$AT$999,Transport!$B42),0)</f>
        <v>1.696147322510305E-3</v>
      </c>
      <c r="V42" s="12">
        <f>IFERROR(SUMIFS(BY_TRA!AD$2:AD$999,BY_TRA!$AT$2:$AT$999,Transport!$B42,BY_TRA!$AU$2:$AU$999,Transport!$C42)/SUMIFS(BY_TRA!AD$2:AD$999,BY_TRA!$AT$2:$AT$999,Transport!$B42),0)</f>
        <v>8.0660649126176147E-3</v>
      </c>
      <c r="W42" s="12">
        <f>IFERROR(SUMIFS(BY_TRA!AE$2:AE$999,BY_TRA!$AT$2:$AT$999,Transport!$B42,BY_TRA!$AU$2:$AU$999,Transport!$C42)/SUMIFS(BY_TRA!AE$2:AE$999,BY_TRA!$AT$2:$AT$999,Transport!$B42),0)</f>
        <v>1.6645859342488527E-3</v>
      </c>
      <c r="X42" s="12">
        <f>IFERROR(SUMIFS(BY_TRA!AF$2:AF$999,BY_TRA!$AT$2:$AT$999,Transport!$B42,BY_TRA!$AU$2:$AU$999,Transport!$C42)/SUMIFS(BY_TRA!AF$2:AF$999,BY_TRA!$AT$2:$AT$999,Transport!$B42),0)</f>
        <v>1.3414874728743335E-2</v>
      </c>
      <c r="Y42" s="12">
        <f>IFERROR(SUMIFS(BY_TRA!AG$2:AG$999,BY_TRA!$AT$2:$AT$999,Transport!$B42,BY_TRA!$AU$2:$AU$999,Transport!$C42)/SUMIFS(BY_TRA!AG$2:AG$999,BY_TRA!$AT$2:$AT$999,Transport!$B42),0)</f>
        <v>2.7324343506032647E-2</v>
      </c>
      <c r="Z42" s="12">
        <f>IFERROR(SUMIFS(BY_TRA!AH$2:AH$999,BY_TRA!$AT$2:$AT$999,Transport!$B42,BY_TRA!$AU$2:$AU$999,Transport!$C42)/SUMIFS(BY_TRA!AH$2:AH$999,BY_TRA!$AT$2:$AT$999,Transport!$B42),0)</f>
        <v>9.245806366398084E-4</v>
      </c>
      <c r="AA42" s="12">
        <f>IFERROR(SUMIFS(BY_TRA!AI$2:AI$999,BY_TRA!$AT$2:$AT$999,Transport!$B42,BY_TRA!$AU$2:$AU$999,Transport!$C42)/SUMIFS(BY_TRA!AI$2:AI$999,BY_TRA!$AT$2:$AT$999,Transport!$B42),0)</f>
        <v>2.5316455696202506E-3</v>
      </c>
      <c r="AB42" s="12">
        <f>IFERROR(SUMIFS(BY_TRA!AJ$2:AJ$999,BY_TRA!$AT$2:$AT$999,Transport!$B42,BY_TRA!$AU$2:$AU$999,Transport!$C42)/SUMIFS(BY_TRA!AJ$2:AJ$999,BY_TRA!$AT$2:$AT$999,Transport!$B42),0)</f>
        <v>2.9563585171281104E-2</v>
      </c>
      <c r="AC42" s="12">
        <f>IFERROR(SUMIFS(BY_TRA!AK$2:AK$999,BY_TRA!$AT$2:$AT$999,Transport!$B42,BY_TRA!$AU$2:$AU$999,Transport!$C42)/SUMIFS(BY_TRA!AK$2:AK$999,BY_TRA!$AT$2:$AT$999,Transport!$B42),0)</f>
        <v>0</v>
      </c>
      <c r="AD42" s="12">
        <f>IFERROR(SUMIFS(BY_TRA!AL$2:AL$999,BY_TRA!$AT$2:$AT$999,Transport!$B42,BY_TRA!$AU$2:$AU$999,Transport!$C42)/SUMIFS(BY_TRA!AL$2:AL$999,BY_TRA!$AT$2:$AT$999,Transport!$B42),0)</f>
        <v>2.4067388688327291E-3</v>
      </c>
      <c r="AE42" s="12">
        <f>IFERROR(SUMIFS(BY_TRA!AM$2:AM$999,BY_TRA!$AT$2:$AT$999,Transport!$B42,BY_TRA!$AU$2:$AU$999,Transport!$C42)/SUMIFS(BY_TRA!AM$2:AM$999,BY_TRA!$AT$2:$AT$999,Transport!$B42),0)</f>
        <v>2.178649237472771E-3</v>
      </c>
      <c r="AF42" s="12">
        <f>IFERROR(SUMIFS(BY_TRA!AN$2:AN$999,BY_TRA!$AT$2:$AT$999,Transport!$B42,BY_TRA!$AU$2:$AU$999,Transport!$C42)/SUMIFS(BY_TRA!AN$2:AN$999,BY_TRA!$AT$2:$AT$999,Transport!$B42),0)</f>
        <v>1.7602534765006161E-4</v>
      </c>
      <c r="AG42" s="12">
        <f>IFERROR(SUMIFS(BY_TRA!AO$2:AO$999,BY_TRA!$AT$2:$AT$999,Transport!$B42,BY_TRA!$AU$2:$AU$999,Transport!$C42)/SUMIFS(BY_TRA!AO$2:AO$999,BY_TRA!$AT$2:$AT$999,Transport!$B42),0)</f>
        <v>0</v>
      </c>
      <c r="AH42" s="12">
        <f>IFERROR(SUMIFS(BY_TRA!AP$2:AP$999,BY_TRA!$AT$2:$AT$999,Transport!$B42,BY_TRA!$AU$2:$AU$999,Transport!$C42)/SUMIFS(BY_TRA!AP$2:AP$999,BY_TRA!$AT$2:$AT$999,Transport!$B42),0)</f>
        <v>0</v>
      </c>
      <c r="AI42" s="12">
        <f>IFERROR(SUMIFS(BY_TRA!AQ$2:AQ$999,BY_TRA!$AT$2:$AT$999,Transport!$B42,BY_TRA!$AU$2:$AU$999,Transport!$C42)/SUMIFS(BY_TRA!AQ$2:AQ$999,BY_TRA!$AT$2:$AT$999,Transport!$B42),0)</f>
        <v>0</v>
      </c>
    </row>
    <row r="43" spans="2:35">
      <c r="B43" t="s">
        <v>200</v>
      </c>
      <c r="C43" s="13" t="s">
        <v>199</v>
      </c>
      <c r="D43" s="12">
        <f>IFERROR(SUMIFS(BY_TRA!L$2:L$999,BY_TRA!$AT$2:$AT$999,Transport!$B43,BY_TRA!$AU$2:$AU$999,Transport!$C43)/SUMIFS(BY_TRA!L$2:L$999,BY_TRA!$AT$2:$AT$999,Transport!$B43),0)</f>
        <v>8.4190832553788595E-3</v>
      </c>
      <c r="E43" s="12">
        <f>IFERROR(SUMIFS(BY_TRA!M$2:M$999,BY_TRA!$AT$2:$AT$999,Transport!$B43,BY_TRA!$AU$2:$AU$999,Transport!$C43)/SUMIFS(BY_TRA!M$2:M$999,BY_TRA!$AT$2:$AT$999,Transport!$B43),0)</f>
        <v>0</v>
      </c>
      <c r="F43" s="12">
        <f>IFERROR(SUMIFS(BY_TRA!N$2:N$999,BY_TRA!$AT$2:$AT$999,Transport!$B43,BY_TRA!$AU$2:$AU$999,Transport!$C43)/SUMIFS(BY_TRA!N$2:N$999,BY_TRA!$AT$2:$AT$999,Transport!$B43),0)</f>
        <v>8.5176991150442471E-2</v>
      </c>
      <c r="G43" s="12">
        <f>IFERROR(SUMIFS(BY_TRA!O$2:O$999,BY_TRA!$AT$2:$AT$999,Transport!$B43,BY_TRA!$AU$2:$AU$999,Transport!$C43)/SUMIFS(BY_TRA!O$2:O$999,BY_TRA!$AT$2:$AT$999,Transport!$B43),0)</f>
        <v>0.23935483870967755</v>
      </c>
      <c r="H43" s="12">
        <f>IFERROR(SUMIFS(BY_TRA!P$2:P$999,BY_TRA!$AT$2:$AT$999,Transport!$B43,BY_TRA!$AU$2:$AU$999,Transport!$C43)/SUMIFS(BY_TRA!P$2:P$999,BY_TRA!$AT$2:$AT$999,Transport!$B43),0)</f>
        <v>2.1859296482412003E-2</v>
      </c>
      <c r="I43" s="12">
        <f>IFERROR(SUMIFS(BY_TRA!Q$2:Q$999,BY_TRA!$AT$2:$AT$999,Transport!$B43,BY_TRA!$AU$2:$AU$999,Transport!$C43)/SUMIFS(BY_TRA!Q$2:Q$999,BY_TRA!$AT$2:$AT$999,Transport!$B43),0)</f>
        <v>5.6685280792329588E-2</v>
      </c>
      <c r="J43" s="12">
        <f>IFERROR(SUMIFS(BY_TRA!R$2:R$999,BY_TRA!$AT$2:$AT$999,Transport!$B43,BY_TRA!$AU$2:$AU$999,Transport!$C43)/SUMIFS(BY_TRA!R$2:R$999,BY_TRA!$AT$2:$AT$999,Transport!$B43),0)</f>
        <v>1.2448132780082998E-3</v>
      </c>
      <c r="K43" s="12">
        <f>IFERROR(SUMIFS(BY_TRA!S$2:S$999,BY_TRA!$AT$2:$AT$999,Transport!$B43,BY_TRA!$AU$2:$AU$999,Transport!$C43)/SUMIFS(BY_TRA!S$2:S$999,BY_TRA!$AT$2:$AT$999,Transport!$B43),0)</f>
        <v>3.232020547945208E-2</v>
      </c>
      <c r="L43" s="12">
        <f>IFERROR(SUMIFS(BY_TRA!T$2:T$999,BY_TRA!$AT$2:$AT$999,Transport!$B43,BY_TRA!$AU$2:$AU$999,Transport!$C43)/SUMIFS(BY_TRA!T$2:T$999,BY_TRA!$AT$2:$AT$999,Transport!$B43),0)</f>
        <v>1.029866117404736E-3</v>
      </c>
      <c r="M43" s="12">
        <f>IFERROR(SUMIFS(BY_TRA!U$2:U$999,BY_TRA!$AT$2:$AT$999,Transport!$B43,BY_TRA!$AU$2:$AU$999,Transport!$C43)/SUMIFS(BY_TRA!U$2:U$999,BY_TRA!$AT$2:$AT$999,Transport!$B43),0)</f>
        <v>7.6764351293702959E-2</v>
      </c>
      <c r="N43" s="12">
        <f>IFERROR(SUMIFS(BY_TRA!V$2:V$999,BY_TRA!$AT$2:$AT$999,Transport!$B43,BY_TRA!$AU$2:$AU$999,Transport!$C43)/SUMIFS(BY_TRA!V$2:V$999,BY_TRA!$AT$2:$AT$999,Transport!$B43),0)</f>
        <v>8.3925112976113887E-3</v>
      </c>
      <c r="O43" s="12">
        <f>IFERROR(SUMIFS(BY_TRA!W$2:W$999,BY_TRA!$AT$2:$AT$999,Transport!$B43,BY_TRA!$AU$2:$AU$999,Transport!$C43)/SUMIFS(BY_TRA!W$2:W$999,BY_TRA!$AT$2:$AT$999,Transport!$B43),0)</f>
        <v>0</v>
      </c>
      <c r="P43" s="12">
        <f>IFERROR(SUMIFS(BY_TRA!X$2:X$999,BY_TRA!$AT$2:$AT$999,Transport!$B43,BY_TRA!$AU$2:$AU$999,Transport!$C43)/SUMIFS(BY_TRA!X$2:X$999,BY_TRA!$AT$2:$AT$999,Transport!$B43),0)</f>
        <v>3.3975084937712258E-3</v>
      </c>
      <c r="Q43" s="12">
        <f>IFERROR(SUMIFS(BY_TRA!Y$2:Y$999,BY_TRA!$AT$2:$AT$999,Transport!$B43,BY_TRA!$AU$2:$AU$999,Transport!$C43)/SUMIFS(BY_TRA!Y$2:Y$999,BY_TRA!$AT$2:$AT$999,Transport!$B43),0)</f>
        <v>2.4201355275895432E-2</v>
      </c>
      <c r="R43" s="12">
        <f>IFERROR(SUMIFS(BY_TRA!Z$2:Z$999,BY_TRA!$AT$2:$AT$999,Transport!$B43,BY_TRA!$AU$2:$AU$999,Transport!$C43)/SUMIFS(BY_TRA!Z$2:Z$999,BY_TRA!$AT$2:$AT$999,Transport!$B43),0)</f>
        <v>0</v>
      </c>
      <c r="S43" s="12">
        <f>IFERROR(SUMIFS(BY_TRA!AA$2:AA$999,BY_TRA!$AT$2:$AT$999,Transport!$B43,BY_TRA!$AU$2:$AU$999,Transport!$C43)/SUMIFS(BY_TRA!AA$2:AA$999,BY_TRA!$AT$2:$AT$999,Transport!$B43),0)</f>
        <v>6.5554231227652046E-3</v>
      </c>
      <c r="T43" s="12">
        <f>IFERROR(SUMIFS(BY_TRA!AB$2:AB$999,BY_TRA!$AT$2:$AT$999,Transport!$B43,BY_TRA!$AU$2:$AU$999,Transport!$C43)/SUMIFS(BY_TRA!AB$2:AB$999,BY_TRA!$AT$2:$AT$999,Transport!$B43),0)</f>
        <v>6.7385444743935452E-3</v>
      </c>
      <c r="U43" s="12">
        <f>IFERROR(SUMIFS(BY_TRA!AC$2:AC$999,BY_TRA!$AT$2:$AT$999,Transport!$B43,BY_TRA!$AU$2:$AU$999,Transport!$C43)/SUMIFS(BY_TRA!AC$2:AC$999,BY_TRA!$AT$2:$AT$999,Transport!$B43),0)</f>
        <v>4.1192149260964551E-3</v>
      </c>
      <c r="V43" s="12">
        <f>IFERROR(SUMIFS(BY_TRA!AD$2:AD$999,BY_TRA!$AT$2:$AT$999,Transport!$B43,BY_TRA!$AU$2:$AU$999,Transport!$C43)/SUMIFS(BY_TRA!AD$2:AD$999,BY_TRA!$AT$2:$AT$999,Transport!$B43),0)</f>
        <v>3.4568849625504056E-3</v>
      </c>
      <c r="W43" s="12">
        <f>IFERROR(SUMIFS(BY_TRA!AE$2:AE$999,BY_TRA!$AT$2:$AT$999,Transport!$B43,BY_TRA!$AU$2:$AU$999,Transport!$C43)/SUMIFS(BY_TRA!AE$2:AE$999,BY_TRA!$AT$2:$AT$999,Transport!$B43),0)</f>
        <v>2.2888056595921722E-2</v>
      </c>
      <c r="X43" s="12">
        <f>IFERROR(SUMIFS(BY_TRA!AF$2:AF$999,BY_TRA!$AT$2:$AT$999,Transport!$B43,BY_TRA!$AU$2:$AU$999,Transport!$C43)/SUMIFS(BY_TRA!AF$2:AF$999,BY_TRA!$AT$2:$AT$999,Transport!$B43),0)</f>
        <v>2.682974945748667E-2</v>
      </c>
      <c r="Y43" s="12">
        <f>IFERROR(SUMIFS(BY_TRA!AG$2:AG$999,BY_TRA!$AT$2:$AT$999,Transport!$B43,BY_TRA!$AU$2:$AU$999,Transport!$C43)/SUMIFS(BY_TRA!AG$2:AG$999,BY_TRA!$AT$2:$AT$999,Transport!$B43),0)</f>
        <v>7.0972320794890028E-4</v>
      </c>
      <c r="Z43" s="12">
        <f>IFERROR(SUMIFS(BY_TRA!AH$2:AH$999,BY_TRA!$AT$2:$AT$999,Transport!$B43,BY_TRA!$AU$2:$AU$999,Transport!$C43)/SUMIFS(BY_TRA!AH$2:AH$999,BY_TRA!$AT$2:$AT$999,Transport!$B43),0)</f>
        <v>9.0080570598335574E-2</v>
      </c>
      <c r="AA43" s="12">
        <f>IFERROR(SUMIFS(BY_TRA!AI$2:AI$999,BY_TRA!$AT$2:$AT$999,Transport!$B43,BY_TRA!$AU$2:$AU$999,Transport!$C43)/SUMIFS(BY_TRA!AI$2:AI$999,BY_TRA!$AT$2:$AT$999,Transport!$B43),0)</f>
        <v>1.5189873417721503E-2</v>
      </c>
      <c r="AB43" s="12">
        <f>IFERROR(SUMIFS(BY_TRA!AJ$2:AJ$999,BY_TRA!$AT$2:$AT$999,Transport!$B43,BY_TRA!$AU$2:$AU$999,Transport!$C43)/SUMIFS(BY_TRA!AJ$2:AJ$999,BY_TRA!$AT$2:$AT$999,Transport!$B43),0)</f>
        <v>5.1618958235570165E-3</v>
      </c>
      <c r="AC43" s="12">
        <f>IFERROR(SUMIFS(BY_TRA!AK$2:AK$999,BY_TRA!$AT$2:$AT$999,Transport!$B43,BY_TRA!$AU$2:$AU$999,Transport!$C43)/SUMIFS(BY_TRA!AK$2:AK$999,BY_TRA!$AT$2:$AT$999,Transport!$B43),0)</f>
        <v>0</v>
      </c>
      <c r="AD43" s="12">
        <f>IFERROR(SUMIFS(BY_TRA!AL$2:AL$999,BY_TRA!$AT$2:$AT$999,Transport!$B43,BY_TRA!$AU$2:$AU$999,Transport!$C43)/SUMIFS(BY_TRA!AL$2:AL$999,BY_TRA!$AT$2:$AT$999,Transport!$B43),0)</f>
        <v>0</v>
      </c>
      <c r="AE43" s="12">
        <f>IFERROR(SUMIFS(BY_TRA!AM$2:AM$999,BY_TRA!$AT$2:$AT$999,Transport!$B43,BY_TRA!$AU$2:$AU$999,Transport!$C43)/SUMIFS(BY_TRA!AM$2:AM$999,BY_TRA!$AT$2:$AT$999,Transport!$B43),0)</f>
        <v>2.4207213749697463E-4</v>
      </c>
      <c r="AF43" s="12">
        <f>IFERROR(SUMIFS(BY_TRA!AN$2:AN$999,BY_TRA!$AT$2:$AT$999,Transport!$B43,BY_TRA!$AU$2:$AU$999,Transport!$C43)/SUMIFS(BY_TRA!AN$2:AN$999,BY_TRA!$AT$2:$AT$999,Transport!$B43),0)</f>
        <v>3.3092765358211577E-3</v>
      </c>
      <c r="AG43" s="12">
        <f>IFERROR(SUMIFS(BY_TRA!AO$2:AO$999,BY_TRA!$AT$2:$AT$999,Transport!$B43,BY_TRA!$AU$2:$AU$999,Transport!$C43)/SUMIFS(BY_TRA!AO$2:AO$999,BY_TRA!$AT$2:$AT$999,Transport!$B43),0)</f>
        <v>0</v>
      </c>
      <c r="AH43" s="12">
        <f>IFERROR(SUMIFS(BY_TRA!AP$2:AP$999,BY_TRA!$AT$2:$AT$999,Transport!$B43,BY_TRA!$AU$2:$AU$999,Transport!$C43)/SUMIFS(BY_TRA!AP$2:AP$999,BY_TRA!$AT$2:$AT$999,Transport!$B43),0)</f>
        <v>0</v>
      </c>
      <c r="AI43" s="12">
        <f>IFERROR(SUMIFS(BY_TRA!AQ$2:AQ$999,BY_TRA!$AT$2:$AT$999,Transport!$B43,BY_TRA!$AU$2:$AU$999,Transport!$C43)/SUMIFS(BY_TRA!AQ$2:AQ$999,BY_TRA!$AT$2:$AT$999,Transport!$B43),0)</f>
        <v>0</v>
      </c>
    </row>
    <row r="44" spans="2:35">
      <c r="B44" t="s">
        <v>201</v>
      </c>
      <c r="C44" t="s">
        <v>194</v>
      </c>
      <c r="D44" s="12">
        <f>IFERROR(SUMIFS(BY_TRA!L$2:L$999,BY_TRA!$AT$2:$AT$999,Transport!$B44,BY_TRA!$AU$2:$AU$999,Transport!$C44)/SUMIFS(BY_TRA!L$2:L$999,BY_TRA!$AT$2:$AT$999,Transport!$B44),0)</f>
        <v>0</v>
      </c>
      <c r="E44" s="12">
        <f>IFERROR(SUMIFS(BY_TRA!M$2:M$999,BY_TRA!$AT$2:$AT$999,Transport!$B44,BY_TRA!$AU$2:$AU$999,Transport!$C44)/SUMIFS(BY_TRA!M$2:M$999,BY_TRA!$AT$2:$AT$999,Transport!$B44),0)</f>
        <v>0</v>
      </c>
      <c r="F44" s="12">
        <f>IFERROR(SUMIFS(BY_TRA!N$2:N$999,BY_TRA!$AT$2:$AT$999,Transport!$B44,BY_TRA!$AU$2:$AU$999,Transport!$C44)/SUMIFS(BY_TRA!N$2:N$999,BY_TRA!$AT$2:$AT$999,Transport!$B44),0)</f>
        <v>8.1818181818181929E-2</v>
      </c>
      <c r="G44" s="12">
        <f>IFERROR(SUMIFS(BY_TRA!O$2:O$999,BY_TRA!$AT$2:$AT$999,Transport!$B44,BY_TRA!$AU$2:$AU$999,Transport!$C44)/SUMIFS(BY_TRA!O$2:O$999,BY_TRA!$AT$2:$AT$999,Transport!$B44),0)</f>
        <v>0</v>
      </c>
      <c r="H44" s="12">
        <f>IFERROR(SUMIFS(BY_TRA!P$2:P$999,BY_TRA!$AT$2:$AT$999,Transport!$B44,BY_TRA!$AU$2:$AU$999,Transport!$C44)/SUMIFS(BY_TRA!P$2:P$999,BY_TRA!$AT$2:$AT$999,Transport!$B44),0)</f>
        <v>1.6260162601626025E-2</v>
      </c>
      <c r="I44" s="12">
        <f>IFERROR(SUMIFS(BY_TRA!Q$2:Q$999,BY_TRA!$AT$2:$AT$999,Transport!$B44,BY_TRA!$AU$2:$AU$999,Transport!$C44)/SUMIFS(BY_TRA!Q$2:Q$999,BY_TRA!$AT$2:$AT$999,Transport!$B44),0)</f>
        <v>8.3892617449664406E-2</v>
      </c>
      <c r="J44" s="12">
        <f>IFERROR(SUMIFS(BY_TRA!R$2:R$999,BY_TRA!$AT$2:$AT$999,Transport!$B44,BY_TRA!$AU$2:$AU$999,Transport!$C44)/SUMIFS(BY_TRA!R$2:R$999,BY_TRA!$AT$2:$AT$999,Transport!$B44),0)</f>
        <v>0</v>
      </c>
      <c r="K44" s="12">
        <f>IFERROR(SUMIFS(BY_TRA!S$2:S$999,BY_TRA!$AT$2:$AT$999,Transport!$B44,BY_TRA!$AU$2:$AU$999,Transport!$C44)/SUMIFS(BY_TRA!S$2:S$999,BY_TRA!$AT$2:$AT$999,Transport!$B44),0)</f>
        <v>0.30474040632054228</v>
      </c>
      <c r="L44" s="12">
        <f>IFERROR(SUMIFS(BY_TRA!T$2:T$999,BY_TRA!$AT$2:$AT$999,Transport!$B44,BY_TRA!$AU$2:$AU$999,Transport!$C44)/SUMIFS(BY_TRA!T$2:T$999,BY_TRA!$AT$2:$AT$999,Transport!$B44),0)</f>
        <v>3.2051282051282083E-2</v>
      </c>
      <c r="M44" s="12">
        <f>IFERROR(SUMIFS(BY_TRA!U$2:U$999,BY_TRA!$AT$2:$AT$999,Transport!$B44,BY_TRA!$AU$2:$AU$999,Transport!$C44)/SUMIFS(BY_TRA!U$2:U$999,BY_TRA!$AT$2:$AT$999,Transport!$B44),0)</f>
        <v>8.7873462214411325E-3</v>
      </c>
      <c r="N44" s="12">
        <f>IFERROR(SUMIFS(BY_TRA!V$2:V$999,BY_TRA!$AT$2:$AT$999,Transport!$B44,BY_TRA!$AU$2:$AU$999,Transport!$C44)/SUMIFS(BY_TRA!V$2:V$999,BY_TRA!$AT$2:$AT$999,Transport!$B44),0)</f>
        <v>0.17647058823529407</v>
      </c>
      <c r="O44" s="12">
        <f>IFERROR(SUMIFS(BY_TRA!W$2:W$999,BY_TRA!$AT$2:$AT$999,Transport!$B44,BY_TRA!$AU$2:$AU$999,Transport!$C44)/SUMIFS(BY_TRA!W$2:W$999,BY_TRA!$AT$2:$AT$999,Transport!$B44),0)</f>
        <v>5.4687500000000014E-2</v>
      </c>
      <c r="P44" s="12">
        <f>IFERROR(SUMIFS(BY_TRA!X$2:X$999,BY_TRA!$AT$2:$AT$999,Transport!$B44,BY_TRA!$AU$2:$AU$999,Transport!$C44)/SUMIFS(BY_TRA!X$2:X$999,BY_TRA!$AT$2:$AT$999,Transport!$B44),0)</f>
        <v>6.3492063492063558E-2</v>
      </c>
      <c r="Q44" s="12">
        <f>IFERROR(SUMIFS(BY_TRA!Y$2:Y$999,BY_TRA!$AT$2:$AT$999,Transport!$B44,BY_TRA!$AU$2:$AU$999,Transport!$C44)/SUMIFS(BY_TRA!Y$2:Y$999,BY_TRA!$AT$2:$AT$999,Transport!$B44),0)</f>
        <v>5.3191489361702135E-2</v>
      </c>
      <c r="R44" s="12">
        <f>IFERROR(SUMIFS(BY_TRA!Z$2:Z$999,BY_TRA!$AT$2:$AT$999,Transport!$B44,BY_TRA!$AU$2:$AU$999,Transport!$C44)/SUMIFS(BY_TRA!Z$2:Z$999,BY_TRA!$AT$2:$AT$999,Transport!$B44),0)</f>
        <v>5.4545454545454584E-2</v>
      </c>
      <c r="S44" s="12">
        <f>IFERROR(SUMIFS(BY_TRA!AA$2:AA$999,BY_TRA!$AT$2:$AT$999,Transport!$B44,BY_TRA!$AU$2:$AU$999,Transport!$C44)/SUMIFS(BY_TRA!AA$2:AA$999,BY_TRA!$AT$2:$AT$999,Transport!$B44),0)</f>
        <v>6.0000000000000012E-2</v>
      </c>
      <c r="T44" s="12">
        <f>IFERROR(SUMIFS(BY_TRA!AB$2:AB$999,BY_TRA!$AT$2:$AT$999,Transport!$B44,BY_TRA!$AU$2:$AU$999,Transport!$C44)/SUMIFS(BY_TRA!AB$2:AB$999,BY_TRA!$AT$2:$AT$999,Transport!$B44),0)</f>
        <v>1.0869565217391302E-2</v>
      </c>
      <c r="U44" s="12">
        <f>IFERROR(SUMIFS(BY_TRA!AC$2:AC$999,BY_TRA!$AT$2:$AT$999,Transport!$B44,BY_TRA!$AU$2:$AU$999,Transport!$C44)/SUMIFS(BY_TRA!AC$2:AC$999,BY_TRA!$AT$2:$AT$999,Transport!$B44),0)</f>
        <v>7.3770491803278673E-2</v>
      </c>
      <c r="V44" s="12">
        <f>IFERROR(SUMIFS(BY_TRA!AD$2:AD$999,BY_TRA!$AT$2:$AT$999,Transport!$B44,BY_TRA!$AU$2:$AU$999,Transport!$C44)/SUMIFS(BY_TRA!AD$2:AD$999,BY_TRA!$AT$2:$AT$999,Transport!$B44),0)</f>
        <v>5.4263565891472895E-2</v>
      </c>
      <c r="W44" s="12">
        <f>IFERROR(SUMIFS(BY_TRA!AE$2:AE$999,BY_TRA!$AT$2:$AT$999,Transport!$B44,BY_TRA!$AU$2:$AU$999,Transport!$C44)/SUMIFS(BY_TRA!AE$2:AE$999,BY_TRA!$AT$2:$AT$999,Transport!$B44),0)</f>
        <v>0</v>
      </c>
      <c r="X44" s="12">
        <f>IFERROR(SUMIFS(BY_TRA!AF$2:AF$999,BY_TRA!$AT$2:$AT$999,Transport!$B44,BY_TRA!$AU$2:$AU$999,Transport!$C44)/SUMIFS(BY_TRA!AF$2:AF$999,BY_TRA!$AT$2:$AT$999,Transport!$B44),0)</f>
        <v>3.1111111111111093E-2</v>
      </c>
      <c r="Y44" s="12">
        <f>IFERROR(SUMIFS(BY_TRA!AG$2:AG$999,BY_TRA!$AT$2:$AT$999,Transport!$B44,BY_TRA!$AU$2:$AU$999,Transport!$C44)/SUMIFS(BY_TRA!AG$2:AG$999,BY_TRA!$AT$2:$AT$999,Transport!$B44),0)</f>
        <v>0</v>
      </c>
      <c r="Z44" s="12">
        <f>IFERROR(SUMIFS(BY_TRA!AH$2:AH$999,BY_TRA!$AT$2:$AT$999,Transport!$B44,BY_TRA!$AU$2:$AU$999,Transport!$C44)/SUMIFS(BY_TRA!AH$2:AH$999,BY_TRA!$AT$2:$AT$999,Transport!$B44),0)</f>
        <v>0</v>
      </c>
      <c r="AA44" s="12">
        <f>IFERROR(SUMIFS(BY_TRA!AI$2:AI$999,BY_TRA!$AT$2:$AT$999,Transport!$B44,BY_TRA!$AU$2:$AU$999,Transport!$C44)/SUMIFS(BY_TRA!AI$2:AI$999,BY_TRA!$AT$2:$AT$999,Transport!$B44),0)</f>
        <v>0.19999999999999996</v>
      </c>
      <c r="AB44" s="12">
        <f>IFERROR(SUMIFS(BY_TRA!AJ$2:AJ$999,BY_TRA!$AT$2:$AT$999,Transport!$B44,BY_TRA!$AU$2:$AU$999,Transport!$C44)/SUMIFS(BY_TRA!AJ$2:AJ$999,BY_TRA!$AT$2:$AT$999,Transport!$B44),0)</f>
        <v>0</v>
      </c>
      <c r="AC44" s="12">
        <f>IFERROR(SUMIFS(BY_TRA!AK$2:AK$999,BY_TRA!$AT$2:$AT$999,Transport!$B44,BY_TRA!$AU$2:$AU$999,Transport!$C44)/SUMIFS(BY_TRA!AK$2:AK$999,BY_TRA!$AT$2:$AT$999,Transport!$B44),0)</f>
        <v>0</v>
      </c>
      <c r="AD44" s="12">
        <f>IFERROR(SUMIFS(BY_TRA!AL$2:AL$999,BY_TRA!$AT$2:$AT$999,Transport!$B44,BY_TRA!$AU$2:$AU$999,Transport!$C44)/SUMIFS(BY_TRA!AL$2:AL$999,BY_TRA!$AT$2:$AT$999,Transport!$B44),0)</f>
        <v>0</v>
      </c>
      <c r="AE44" s="12">
        <f>IFERROR(SUMIFS(BY_TRA!AM$2:AM$999,BY_TRA!$AT$2:$AT$999,Transport!$B44,BY_TRA!$AU$2:$AU$999,Transport!$C44)/SUMIFS(BY_TRA!AM$2:AM$999,BY_TRA!$AT$2:$AT$999,Transport!$B44),0)</f>
        <v>5.3191489361702135E-2</v>
      </c>
      <c r="AF44" s="12">
        <f>IFERROR(SUMIFS(BY_TRA!AN$2:AN$999,BY_TRA!$AT$2:$AT$999,Transport!$B44,BY_TRA!$AU$2:$AU$999,Transport!$C44)/SUMIFS(BY_TRA!AN$2:AN$999,BY_TRA!$AT$2:$AT$999,Transport!$B44),0)</f>
        <v>2.8160200250312833E-2</v>
      </c>
      <c r="AG44" s="12">
        <f>IFERROR(SUMIFS(BY_TRA!AO$2:AO$999,BY_TRA!$AT$2:$AT$999,Transport!$B44,BY_TRA!$AU$2:$AU$999,Transport!$C44)/SUMIFS(BY_TRA!AO$2:AO$999,BY_TRA!$AT$2:$AT$999,Transport!$B44),0)</f>
        <v>0</v>
      </c>
      <c r="AH44" s="12">
        <f>IFERROR(SUMIFS(BY_TRA!AP$2:AP$999,BY_TRA!$AT$2:$AT$999,Transport!$B44,BY_TRA!$AU$2:$AU$999,Transport!$C44)/SUMIFS(BY_TRA!AP$2:AP$999,BY_TRA!$AT$2:$AT$999,Transport!$B44),0)</f>
        <v>0</v>
      </c>
      <c r="AI44" s="12">
        <f>IFERROR(SUMIFS(BY_TRA!AQ$2:AQ$999,BY_TRA!$AT$2:$AT$999,Transport!$B44,BY_TRA!$AU$2:$AU$999,Transport!$C44)/SUMIFS(BY_TRA!AQ$2:AQ$999,BY_TRA!$AT$2:$AT$999,Transport!$B44),0)</f>
        <v>0</v>
      </c>
    </row>
    <row r="45" spans="2:35">
      <c r="B45" t="s">
        <v>201</v>
      </c>
      <c r="C45" t="s">
        <v>195</v>
      </c>
      <c r="D45" s="12">
        <f>IFERROR(SUMIFS(BY_TRA!L$2:L$999,BY_TRA!$AT$2:$AT$999,Transport!$B45,BY_TRA!$AU$2:$AU$999,Transport!$C45)/SUMIFS(BY_TRA!L$2:L$999,BY_TRA!$AT$2:$AT$999,Transport!$B45),0)</f>
        <v>1</v>
      </c>
      <c r="E45" s="12">
        <f>IFERROR(SUMIFS(BY_TRA!M$2:M$999,BY_TRA!$AT$2:$AT$999,Transport!$B45,BY_TRA!$AU$2:$AU$999,Transport!$C45)/SUMIFS(BY_TRA!M$2:M$999,BY_TRA!$AT$2:$AT$999,Transport!$B45),0)</f>
        <v>1</v>
      </c>
      <c r="F45" s="12">
        <f>IFERROR(SUMIFS(BY_TRA!N$2:N$999,BY_TRA!$AT$2:$AT$999,Transport!$B45,BY_TRA!$AU$2:$AU$999,Transport!$C45)/SUMIFS(BY_TRA!N$2:N$999,BY_TRA!$AT$2:$AT$999,Transport!$B45),0)</f>
        <v>0.89090909090909198</v>
      </c>
      <c r="G45" s="12">
        <f>IFERROR(SUMIFS(BY_TRA!O$2:O$999,BY_TRA!$AT$2:$AT$999,Transport!$B45,BY_TRA!$AU$2:$AU$999,Transport!$C45)/SUMIFS(BY_TRA!O$2:O$999,BY_TRA!$AT$2:$AT$999,Transport!$B45),0)</f>
        <v>0.75000000000000111</v>
      </c>
      <c r="H45" s="12">
        <f>IFERROR(SUMIFS(BY_TRA!P$2:P$999,BY_TRA!$AT$2:$AT$999,Transport!$B45,BY_TRA!$AU$2:$AU$999,Transport!$C45)/SUMIFS(BY_TRA!P$2:P$999,BY_TRA!$AT$2:$AT$999,Transport!$B45),0)</f>
        <v>0.9837398373983739</v>
      </c>
      <c r="I45" s="12">
        <f>IFERROR(SUMIFS(BY_TRA!Q$2:Q$999,BY_TRA!$AT$2:$AT$999,Transport!$B45,BY_TRA!$AU$2:$AU$999,Transport!$C45)/SUMIFS(BY_TRA!Q$2:Q$999,BY_TRA!$AT$2:$AT$999,Transport!$B45),0)</f>
        <v>0.91610738255033553</v>
      </c>
      <c r="J45" s="12">
        <f>IFERROR(SUMIFS(BY_TRA!R$2:R$999,BY_TRA!$AT$2:$AT$999,Transport!$B45,BY_TRA!$AU$2:$AU$999,Transport!$C45)/SUMIFS(BY_TRA!R$2:R$999,BY_TRA!$AT$2:$AT$999,Transport!$B45),0)</f>
        <v>1</v>
      </c>
      <c r="K45" s="12">
        <f>IFERROR(SUMIFS(BY_TRA!S$2:S$999,BY_TRA!$AT$2:$AT$999,Transport!$B45,BY_TRA!$AU$2:$AU$999,Transport!$C45)/SUMIFS(BY_TRA!S$2:S$999,BY_TRA!$AT$2:$AT$999,Transport!$B45),0)</f>
        <v>0.67268623024830776</v>
      </c>
      <c r="L45" s="12">
        <f>IFERROR(SUMIFS(BY_TRA!T$2:T$999,BY_TRA!$AT$2:$AT$999,Transport!$B45,BY_TRA!$AU$2:$AU$999,Transport!$C45)/SUMIFS(BY_TRA!T$2:T$999,BY_TRA!$AT$2:$AT$999,Transport!$B45),0)</f>
        <v>0.96153846153846179</v>
      </c>
      <c r="M45" s="12">
        <f>IFERROR(SUMIFS(BY_TRA!U$2:U$999,BY_TRA!$AT$2:$AT$999,Transport!$B45,BY_TRA!$AU$2:$AU$999,Transport!$C45)/SUMIFS(BY_TRA!U$2:U$999,BY_TRA!$AT$2:$AT$999,Transport!$B45),0)</f>
        <v>0.96133567662565911</v>
      </c>
      <c r="N45" s="12">
        <f>IFERROR(SUMIFS(BY_TRA!V$2:V$999,BY_TRA!$AT$2:$AT$999,Transport!$B45,BY_TRA!$AU$2:$AU$999,Transport!$C45)/SUMIFS(BY_TRA!V$2:V$999,BY_TRA!$AT$2:$AT$999,Transport!$B45),0)</f>
        <v>0.82352941176470573</v>
      </c>
      <c r="O45" s="12">
        <f>IFERROR(SUMIFS(BY_TRA!W$2:W$999,BY_TRA!$AT$2:$AT$999,Transport!$B45,BY_TRA!$AU$2:$AU$999,Transport!$C45)/SUMIFS(BY_TRA!W$2:W$999,BY_TRA!$AT$2:$AT$999,Transport!$B45),0)</f>
        <v>0.93750000000000022</v>
      </c>
      <c r="P45" s="12">
        <f>IFERROR(SUMIFS(BY_TRA!X$2:X$999,BY_TRA!$AT$2:$AT$999,Transport!$B45,BY_TRA!$AU$2:$AU$999,Transport!$C45)/SUMIFS(BY_TRA!X$2:X$999,BY_TRA!$AT$2:$AT$999,Transport!$B45),0)</f>
        <v>0.93650793650793673</v>
      </c>
      <c r="Q45" s="12">
        <f>IFERROR(SUMIFS(BY_TRA!Y$2:Y$999,BY_TRA!$AT$2:$AT$999,Transport!$B45,BY_TRA!$AU$2:$AU$999,Transport!$C45)/SUMIFS(BY_TRA!Y$2:Y$999,BY_TRA!$AT$2:$AT$999,Transport!$B45),0)</f>
        <v>0.94680851063829774</v>
      </c>
      <c r="R45" s="12">
        <f>IFERROR(SUMIFS(BY_TRA!Z$2:Z$999,BY_TRA!$AT$2:$AT$999,Transport!$B45,BY_TRA!$AU$2:$AU$999,Transport!$C45)/SUMIFS(BY_TRA!Z$2:Z$999,BY_TRA!$AT$2:$AT$999,Transport!$B45),0)</f>
        <v>0.92727272727272803</v>
      </c>
      <c r="S45" s="12">
        <f>IFERROR(SUMIFS(BY_TRA!AA$2:AA$999,BY_TRA!$AT$2:$AT$999,Transport!$B45,BY_TRA!$AU$2:$AU$999,Transport!$C45)/SUMIFS(BY_TRA!AA$2:AA$999,BY_TRA!$AT$2:$AT$999,Transport!$B45),0)</f>
        <v>0.94</v>
      </c>
      <c r="T45" s="12">
        <f>IFERROR(SUMIFS(BY_TRA!AB$2:AB$999,BY_TRA!$AT$2:$AT$999,Transport!$B45,BY_TRA!$AU$2:$AU$999,Transport!$C45)/SUMIFS(BY_TRA!AB$2:AB$999,BY_TRA!$AT$2:$AT$999,Transport!$B45),0)</f>
        <v>0.94927536231883991</v>
      </c>
      <c r="U45" s="12">
        <f>IFERROR(SUMIFS(BY_TRA!AC$2:AC$999,BY_TRA!$AT$2:$AT$999,Transport!$B45,BY_TRA!$AU$2:$AU$999,Transport!$C45)/SUMIFS(BY_TRA!AC$2:AC$999,BY_TRA!$AT$2:$AT$999,Transport!$B45),0)</f>
        <v>0.92622950819672123</v>
      </c>
      <c r="V45" s="12">
        <f>IFERROR(SUMIFS(BY_TRA!AD$2:AD$999,BY_TRA!$AT$2:$AT$999,Transport!$B45,BY_TRA!$AU$2:$AU$999,Transport!$C45)/SUMIFS(BY_TRA!AD$2:AD$999,BY_TRA!$AT$2:$AT$999,Transport!$B45),0)</f>
        <v>0.94573643410852715</v>
      </c>
      <c r="W45" s="12">
        <f>IFERROR(SUMIFS(BY_TRA!AE$2:AE$999,BY_TRA!$AT$2:$AT$999,Transport!$B45,BY_TRA!$AU$2:$AU$999,Transport!$C45)/SUMIFS(BY_TRA!AE$2:AE$999,BY_TRA!$AT$2:$AT$999,Transport!$B45),0)</f>
        <v>1</v>
      </c>
      <c r="X45" s="12">
        <f>IFERROR(SUMIFS(BY_TRA!AF$2:AF$999,BY_TRA!$AT$2:$AT$999,Transport!$B45,BY_TRA!$AU$2:$AU$999,Transport!$C45)/SUMIFS(BY_TRA!AF$2:AF$999,BY_TRA!$AT$2:$AT$999,Transport!$B45),0)</f>
        <v>0.91999999999999904</v>
      </c>
      <c r="Y45" s="12">
        <f>IFERROR(SUMIFS(BY_TRA!AG$2:AG$999,BY_TRA!$AT$2:$AT$999,Transport!$B45,BY_TRA!$AU$2:$AU$999,Transport!$C45)/SUMIFS(BY_TRA!AG$2:AG$999,BY_TRA!$AT$2:$AT$999,Transport!$B45),0)</f>
        <v>0.96842105263158029</v>
      </c>
      <c r="Z45" s="12">
        <f>IFERROR(SUMIFS(BY_TRA!AH$2:AH$999,BY_TRA!$AT$2:$AT$999,Transport!$B45,BY_TRA!$AU$2:$AU$999,Transport!$C45)/SUMIFS(BY_TRA!AH$2:AH$999,BY_TRA!$AT$2:$AT$999,Transport!$B45),0)</f>
        <v>0.80341880341880301</v>
      </c>
      <c r="AA45" s="12">
        <f>IFERROR(SUMIFS(BY_TRA!AI$2:AI$999,BY_TRA!$AT$2:$AT$999,Transport!$B45,BY_TRA!$AU$2:$AU$999,Transport!$C45)/SUMIFS(BY_TRA!AI$2:AI$999,BY_TRA!$AT$2:$AT$999,Transport!$B45),0)</f>
        <v>0.79999999999999982</v>
      </c>
      <c r="AB45" s="12">
        <f>IFERROR(SUMIFS(BY_TRA!AJ$2:AJ$999,BY_TRA!$AT$2:$AT$999,Transport!$B45,BY_TRA!$AU$2:$AU$999,Transport!$C45)/SUMIFS(BY_TRA!AJ$2:AJ$999,BY_TRA!$AT$2:$AT$999,Transport!$B45),0)</f>
        <v>0.72375690607734822</v>
      </c>
      <c r="AC45" s="12">
        <f>IFERROR(SUMIFS(BY_TRA!AK$2:AK$999,BY_TRA!$AT$2:$AT$999,Transport!$B45,BY_TRA!$AU$2:$AU$999,Transport!$C45)/SUMIFS(BY_TRA!AK$2:AK$999,BY_TRA!$AT$2:$AT$999,Transport!$B45),0)</f>
        <v>0.84210526315789425</v>
      </c>
      <c r="AD45" s="12">
        <f>IFERROR(SUMIFS(BY_TRA!AL$2:AL$999,BY_TRA!$AT$2:$AT$999,Transport!$B45,BY_TRA!$AU$2:$AU$999,Transport!$C45)/SUMIFS(BY_TRA!AL$2:AL$999,BY_TRA!$AT$2:$AT$999,Transport!$B45),0)</f>
        <v>1</v>
      </c>
      <c r="AE45" s="12">
        <f>IFERROR(SUMIFS(BY_TRA!AM$2:AM$999,BY_TRA!$AT$2:$AT$999,Transport!$B45,BY_TRA!$AU$2:$AU$999,Transport!$C45)/SUMIFS(BY_TRA!AM$2:AM$999,BY_TRA!$AT$2:$AT$999,Transport!$B45),0)</f>
        <v>0.94680851063829774</v>
      </c>
      <c r="AF45" s="12">
        <f>IFERROR(SUMIFS(BY_TRA!AN$2:AN$999,BY_TRA!$AT$2:$AT$999,Transport!$B45,BY_TRA!$AU$2:$AU$999,Transport!$C45)/SUMIFS(BY_TRA!AN$2:AN$999,BY_TRA!$AT$2:$AT$999,Transport!$B45),0)</f>
        <v>0.79536921151439122</v>
      </c>
      <c r="AG45" s="12">
        <f>IFERROR(SUMIFS(BY_TRA!AO$2:AO$999,BY_TRA!$AT$2:$AT$999,Transport!$B45,BY_TRA!$AU$2:$AU$999,Transport!$C45)/SUMIFS(BY_TRA!AO$2:AO$999,BY_TRA!$AT$2:$AT$999,Transport!$B45),0)</f>
        <v>0</v>
      </c>
      <c r="AH45" s="12">
        <f>IFERROR(SUMIFS(BY_TRA!AP$2:AP$999,BY_TRA!$AT$2:$AT$999,Transport!$B45,BY_TRA!$AU$2:$AU$999,Transport!$C45)/SUMIFS(BY_TRA!AP$2:AP$999,BY_TRA!$AT$2:$AT$999,Transport!$B45),0)</f>
        <v>0</v>
      </c>
      <c r="AI45" s="12">
        <f>IFERROR(SUMIFS(BY_TRA!AQ$2:AQ$999,BY_TRA!$AT$2:$AT$999,Transport!$B45,BY_TRA!$AU$2:$AU$999,Transport!$C45)/SUMIFS(BY_TRA!AQ$2:AQ$999,BY_TRA!$AT$2:$AT$999,Transport!$B45),0)</f>
        <v>0</v>
      </c>
    </row>
    <row r="46" spans="2:35">
      <c r="B46" t="s">
        <v>201</v>
      </c>
      <c r="C46" t="s">
        <v>191</v>
      </c>
      <c r="D46" s="12">
        <f>IFERROR(SUMIFS(BY_TRA!L$2:L$999,BY_TRA!$AT$2:$AT$999,Transport!$B46,BY_TRA!$AU$2:$AU$999,Transport!$C46)/SUMIFS(BY_TRA!L$2:L$999,BY_TRA!$AT$2:$AT$999,Transport!$B46),0)</f>
        <v>0</v>
      </c>
      <c r="E46" s="12">
        <f>IFERROR(SUMIFS(BY_TRA!M$2:M$999,BY_TRA!$AT$2:$AT$999,Transport!$B46,BY_TRA!$AU$2:$AU$999,Transport!$C46)/SUMIFS(BY_TRA!M$2:M$999,BY_TRA!$AT$2:$AT$999,Transport!$B46),0)</f>
        <v>0</v>
      </c>
      <c r="F46" s="12">
        <f>IFERROR(SUMIFS(BY_TRA!N$2:N$999,BY_TRA!$AT$2:$AT$999,Transport!$B46,BY_TRA!$AU$2:$AU$999,Transport!$C46)/SUMIFS(BY_TRA!N$2:N$999,BY_TRA!$AT$2:$AT$999,Transport!$B46),0)</f>
        <v>0</v>
      </c>
      <c r="G46" s="12">
        <f>IFERROR(SUMIFS(BY_TRA!O$2:O$999,BY_TRA!$AT$2:$AT$999,Transport!$B46,BY_TRA!$AU$2:$AU$999,Transport!$C46)/SUMIFS(BY_TRA!O$2:O$999,BY_TRA!$AT$2:$AT$999,Transport!$B46),0)</f>
        <v>0</v>
      </c>
      <c r="H46" s="12">
        <f>IFERROR(SUMIFS(BY_TRA!P$2:P$999,BY_TRA!$AT$2:$AT$999,Transport!$B46,BY_TRA!$AU$2:$AU$999,Transport!$C46)/SUMIFS(BY_TRA!P$2:P$999,BY_TRA!$AT$2:$AT$999,Transport!$B46),0)</f>
        <v>0</v>
      </c>
      <c r="I46" s="12">
        <f>IFERROR(SUMIFS(BY_TRA!Q$2:Q$999,BY_TRA!$AT$2:$AT$999,Transport!$B46,BY_TRA!$AU$2:$AU$999,Transport!$C46)/SUMIFS(BY_TRA!Q$2:Q$999,BY_TRA!$AT$2:$AT$999,Transport!$B46),0)</f>
        <v>0</v>
      </c>
      <c r="J46" s="12">
        <f>IFERROR(SUMIFS(BY_TRA!R$2:R$999,BY_TRA!$AT$2:$AT$999,Transport!$B46,BY_TRA!$AU$2:$AU$999,Transport!$C46)/SUMIFS(BY_TRA!R$2:R$999,BY_TRA!$AT$2:$AT$999,Transport!$B46),0)</f>
        <v>0</v>
      </c>
      <c r="K46" s="12">
        <f>IFERROR(SUMIFS(BY_TRA!S$2:S$999,BY_TRA!$AT$2:$AT$999,Transport!$B46,BY_TRA!$AU$2:$AU$999,Transport!$C46)/SUMIFS(BY_TRA!S$2:S$999,BY_TRA!$AT$2:$AT$999,Transport!$B46),0)</f>
        <v>4.5146726862302566E-3</v>
      </c>
      <c r="L46" s="12">
        <f>IFERROR(SUMIFS(BY_TRA!T$2:T$999,BY_TRA!$AT$2:$AT$999,Transport!$B46,BY_TRA!$AU$2:$AU$999,Transport!$C46)/SUMIFS(BY_TRA!T$2:T$999,BY_TRA!$AT$2:$AT$999,Transport!$B46),0)</f>
        <v>0</v>
      </c>
      <c r="M46" s="12">
        <f>IFERROR(SUMIFS(BY_TRA!U$2:U$999,BY_TRA!$AT$2:$AT$999,Transport!$B46,BY_TRA!$AU$2:$AU$999,Transport!$C46)/SUMIFS(BY_TRA!U$2:U$999,BY_TRA!$AT$2:$AT$999,Transport!$B46),0)</f>
        <v>0</v>
      </c>
      <c r="N46" s="12">
        <f>IFERROR(SUMIFS(BY_TRA!V$2:V$999,BY_TRA!$AT$2:$AT$999,Transport!$B46,BY_TRA!$AU$2:$AU$999,Transport!$C46)/SUMIFS(BY_TRA!V$2:V$999,BY_TRA!$AT$2:$AT$999,Transport!$B46),0)</f>
        <v>0</v>
      </c>
      <c r="O46" s="12">
        <f>IFERROR(SUMIFS(BY_TRA!W$2:W$999,BY_TRA!$AT$2:$AT$999,Transport!$B46,BY_TRA!$AU$2:$AU$999,Transport!$C46)/SUMIFS(BY_TRA!W$2:W$999,BY_TRA!$AT$2:$AT$999,Transport!$B46),0)</f>
        <v>0</v>
      </c>
      <c r="P46" s="12">
        <f>IFERROR(SUMIFS(BY_TRA!X$2:X$999,BY_TRA!$AT$2:$AT$999,Transport!$B46,BY_TRA!$AU$2:$AU$999,Transport!$C46)/SUMIFS(BY_TRA!X$2:X$999,BY_TRA!$AT$2:$AT$999,Transport!$B46),0)</f>
        <v>0</v>
      </c>
      <c r="Q46" s="12">
        <f>IFERROR(SUMIFS(BY_TRA!Y$2:Y$999,BY_TRA!$AT$2:$AT$999,Transport!$B46,BY_TRA!$AU$2:$AU$999,Transport!$C46)/SUMIFS(BY_TRA!Y$2:Y$999,BY_TRA!$AT$2:$AT$999,Transport!$B46),0)</f>
        <v>0</v>
      </c>
      <c r="R46" s="12">
        <f>IFERROR(SUMIFS(BY_TRA!Z$2:Z$999,BY_TRA!$AT$2:$AT$999,Transport!$B46,BY_TRA!$AU$2:$AU$999,Transport!$C46)/SUMIFS(BY_TRA!Z$2:Z$999,BY_TRA!$AT$2:$AT$999,Transport!$B46),0)</f>
        <v>0</v>
      </c>
      <c r="S46" s="12">
        <f>IFERROR(SUMIFS(BY_TRA!AA$2:AA$999,BY_TRA!$AT$2:$AT$999,Transport!$B46,BY_TRA!$AU$2:$AU$999,Transport!$C46)/SUMIFS(BY_TRA!AA$2:AA$999,BY_TRA!$AT$2:$AT$999,Transport!$B46),0)</f>
        <v>0</v>
      </c>
      <c r="T46" s="12">
        <f>IFERROR(SUMIFS(BY_TRA!AB$2:AB$999,BY_TRA!$AT$2:$AT$999,Transport!$B46,BY_TRA!$AU$2:$AU$999,Transport!$C46)/SUMIFS(BY_TRA!AB$2:AB$999,BY_TRA!$AT$2:$AT$999,Transport!$B46),0)</f>
        <v>0</v>
      </c>
      <c r="U46" s="12">
        <f>IFERROR(SUMIFS(BY_TRA!AC$2:AC$999,BY_TRA!$AT$2:$AT$999,Transport!$B46,BY_TRA!$AU$2:$AU$999,Transport!$C46)/SUMIFS(BY_TRA!AC$2:AC$999,BY_TRA!$AT$2:$AT$999,Transport!$B46),0)</f>
        <v>0</v>
      </c>
      <c r="V46" s="12">
        <f>IFERROR(SUMIFS(BY_TRA!AD$2:AD$999,BY_TRA!$AT$2:$AT$999,Transport!$B46,BY_TRA!$AU$2:$AU$999,Transport!$C46)/SUMIFS(BY_TRA!AD$2:AD$999,BY_TRA!$AT$2:$AT$999,Transport!$B46),0)</f>
        <v>0</v>
      </c>
      <c r="W46" s="12">
        <f>IFERROR(SUMIFS(BY_TRA!AE$2:AE$999,BY_TRA!$AT$2:$AT$999,Transport!$B46,BY_TRA!$AU$2:$AU$999,Transport!$C46)/SUMIFS(BY_TRA!AE$2:AE$999,BY_TRA!$AT$2:$AT$999,Transport!$B46),0)</f>
        <v>0</v>
      </c>
      <c r="X46" s="12">
        <f>IFERROR(SUMIFS(BY_TRA!AF$2:AF$999,BY_TRA!$AT$2:$AT$999,Transport!$B46,BY_TRA!$AU$2:$AU$999,Transport!$C46)/SUMIFS(BY_TRA!AF$2:AF$999,BY_TRA!$AT$2:$AT$999,Transport!$B46),0)</f>
        <v>0</v>
      </c>
      <c r="Y46" s="12">
        <f>IFERROR(SUMIFS(BY_TRA!AG$2:AG$999,BY_TRA!$AT$2:$AT$999,Transport!$B46,BY_TRA!$AU$2:$AU$999,Transport!$C46)/SUMIFS(BY_TRA!AG$2:AG$999,BY_TRA!$AT$2:$AT$999,Transport!$B46),0)</f>
        <v>0</v>
      </c>
      <c r="Z46" s="12">
        <f>IFERROR(SUMIFS(BY_TRA!AH$2:AH$999,BY_TRA!$AT$2:$AT$999,Transport!$B46,BY_TRA!$AU$2:$AU$999,Transport!$C46)/SUMIFS(BY_TRA!AH$2:AH$999,BY_TRA!$AT$2:$AT$999,Transport!$B46),0)</f>
        <v>0</v>
      </c>
      <c r="AA46" s="12">
        <f>IFERROR(SUMIFS(BY_TRA!AI$2:AI$999,BY_TRA!$AT$2:$AT$999,Transport!$B46,BY_TRA!$AU$2:$AU$999,Transport!$C46)/SUMIFS(BY_TRA!AI$2:AI$999,BY_TRA!$AT$2:$AT$999,Transport!$B46),0)</f>
        <v>0</v>
      </c>
      <c r="AB46" s="12">
        <f>IFERROR(SUMIFS(BY_TRA!AJ$2:AJ$999,BY_TRA!$AT$2:$AT$999,Transport!$B46,BY_TRA!$AU$2:$AU$999,Transport!$C46)/SUMIFS(BY_TRA!AJ$2:AJ$999,BY_TRA!$AT$2:$AT$999,Transport!$B46),0)</f>
        <v>0</v>
      </c>
      <c r="AC46" s="12">
        <f>IFERROR(SUMIFS(BY_TRA!AK$2:AK$999,BY_TRA!$AT$2:$AT$999,Transport!$B46,BY_TRA!$AU$2:$AU$999,Transport!$C46)/SUMIFS(BY_TRA!AK$2:AK$999,BY_TRA!$AT$2:$AT$999,Transport!$B46),0)</f>
        <v>0</v>
      </c>
      <c r="AD46" s="12">
        <f>IFERROR(SUMIFS(BY_TRA!AL$2:AL$999,BY_TRA!$AT$2:$AT$999,Transport!$B46,BY_TRA!$AU$2:$AU$999,Transport!$C46)/SUMIFS(BY_TRA!AL$2:AL$999,BY_TRA!$AT$2:$AT$999,Transport!$B46),0)</f>
        <v>0</v>
      </c>
      <c r="AE46" s="12">
        <f>IFERROR(SUMIFS(BY_TRA!AM$2:AM$999,BY_TRA!$AT$2:$AT$999,Transport!$B46,BY_TRA!$AU$2:$AU$999,Transport!$C46)/SUMIFS(BY_TRA!AM$2:AM$999,BY_TRA!$AT$2:$AT$999,Transport!$B46),0)</f>
        <v>0</v>
      </c>
      <c r="AF46" s="12">
        <f>IFERROR(SUMIFS(BY_TRA!AN$2:AN$999,BY_TRA!$AT$2:$AT$999,Transport!$B46,BY_TRA!$AU$2:$AU$999,Transport!$C46)/SUMIFS(BY_TRA!AN$2:AN$999,BY_TRA!$AT$2:$AT$999,Transport!$B46),0)</f>
        <v>1.4392991239048783E-2</v>
      </c>
      <c r="AG46" s="12">
        <f>IFERROR(SUMIFS(BY_TRA!AO$2:AO$999,BY_TRA!$AT$2:$AT$999,Transport!$B46,BY_TRA!$AU$2:$AU$999,Transport!$C46)/SUMIFS(BY_TRA!AO$2:AO$999,BY_TRA!$AT$2:$AT$999,Transport!$B46),0)</f>
        <v>0</v>
      </c>
      <c r="AH46" s="12">
        <f>IFERROR(SUMIFS(BY_TRA!AP$2:AP$999,BY_TRA!$AT$2:$AT$999,Transport!$B46,BY_TRA!$AU$2:$AU$999,Transport!$C46)/SUMIFS(BY_TRA!AP$2:AP$999,BY_TRA!$AT$2:$AT$999,Transport!$B46),0)</f>
        <v>0</v>
      </c>
      <c r="AI46" s="12">
        <f>IFERROR(SUMIFS(BY_TRA!AQ$2:AQ$999,BY_TRA!$AT$2:$AT$999,Transport!$B46,BY_TRA!$AU$2:$AU$999,Transport!$C46)/SUMIFS(BY_TRA!AQ$2:AQ$999,BY_TRA!$AT$2:$AT$999,Transport!$B46),0)</f>
        <v>0</v>
      </c>
    </row>
    <row r="47" spans="2:35">
      <c r="B47" t="s">
        <v>201</v>
      </c>
      <c r="C47" t="s">
        <v>192</v>
      </c>
      <c r="D47" s="12">
        <f>IFERROR(SUMIFS(BY_TRA!L$2:L$999,BY_TRA!$AT$2:$AT$999,Transport!$B47,BY_TRA!$AU$2:$AU$999,Transport!$C47)/SUMIFS(BY_TRA!L$2:L$999,BY_TRA!$AT$2:$AT$999,Transport!$B47),0)</f>
        <v>0</v>
      </c>
      <c r="E47" s="12">
        <f>IFERROR(SUMIFS(BY_TRA!M$2:M$999,BY_TRA!$AT$2:$AT$999,Transport!$B47,BY_TRA!$AU$2:$AU$999,Transport!$C47)/SUMIFS(BY_TRA!M$2:M$999,BY_TRA!$AT$2:$AT$999,Transport!$B47),0)</f>
        <v>0</v>
      </c>
      <c r="F47" s="12">
        <f>IFERROR(SUMIFS(BY_TRA!N$2:N$999,BY_TRA!$AT$2:$AT$999,Transport!$B47,BY_TRA!$AU$2:$AU$999,Transport!$C47)/SUMIFS(BY_TRA!N$2:N$999,BY_TRA!$AT$2:$AT$999,Transport!$B47),0)</f>
        <v>2.7272727272727317E-2</v>
      </c>
      <c r="G47" s="12">
        <f>IFERROR(SUMIFS(BY_TRA!O$2:O$999,BY_TRA!$AT$2:$AT$999,Transport!$B47,BY_TRA!$AU$2:$AU$999,Transport!$C47)/SUMIFS(BY_TRA!O$2:O$999,BY_TRA!$AT$2:$AT$999,Transport!$B47),0)</f>
        <v>0.25000000000000039</v>
      </c>
      <c r="H47" s="12">
        <f>IFERROR(SUMIFS(BY_TRA!P$2:P$999,BY_TRA!$AT$2:$AT$999,Transport!$B47,BY_TRA!$AU$2:$AU$999,Transport!$C47)/SUMIFS(BY_TRA!P$2:P$999,BY_TRA!$AT$2:$AT$999,Transport!$B47),0)</f>
        <v>0</v>
      </c>
      <c r="I47" s="12">
        <f>IFERROR(SUMIFS(BY_TRA!Q$2:Q$999,BY_TRA!$AT$2:$AT$999,Transport!$B47,BY_TRA!$AU$2:$AU$999,Transport!$C47)/SUMIFS(BY_TRA!Q$2:Q$999,BY_TRA!$AT$2:$AT$999,Transport!$B47),0)</f>
        <v>0</v>
      </c>
      <c r="J47" s="12">
        <f>IFERROR(SUMIFS(BY_TRA!R$2:R$999,BY_TRA!$AT$2:$AT$999,Transport!$B47,BY_TRA!$AU$2:$AU$999,Transport!$C47)/SUMIFS(BY_TRA!R$2:R$999,BY_TRA!$AT$2:$AT$999,Transport!$B47),0)</f>
        <v>0</v>
      </c>
      <c r="K47" s="12">
        <f>IFERROR(SUMIFS(BY_TRA!S$2:S$999,BY_TRA!$AT$2:$AT$999,Transport!$B47,BY_TRA!$AU$2:$AU$999,Transport!$C47)/SUMIFS(BY_TRA!S$2:S$999,BY_TRA!$AT$2:$AT$999,Transport!$B47),0)</f>
        <v>1.8058690744921026E-2</v>
      </c>
      <c r="L47" s="12">
        <f>IFERROR(SUMIFS(BY_TRA!T$2:T$999,BY_TRA!$AT$2:$AT$999,Transport!$B47,BY_TRA!$AU$2:$AU$999,Transport!$C47)/SUMIFS(BY_TRA!T$2:T$999,BY_TRA!$AT$2:$AT$999,Transport!$B47),0)</f>
        <v>6.4102564102564178E-3</v>
      </c>
      <c r="M47" s="12">
        <f>IFERROR(SUMIFS(BY_TRA!U$2:U$999,BY_TRA!$AT$2:$AT$999,Transport!$B47,BY_TRA!$AU$2:$AU$999,Transport!$C47)/SUMIFS(BY_TRA!U$2:U$999,BY_TRA!$AT$2:$AT$999,Transport!$B47),0)</f>
        <v>2.9876977152899855E-2</v>
      </c>
      <c r="N47" s="12">
        <f>IFERROR(SUMIFS(BY_TRA!V$2:V$999,BY_TRA!$AT$2:$AT$999,Transport!$B47,BY_TRA!$AU$2:$AU$999,Transport!$C47)/SUMIFS(BY_TRA!V$2:V$999,BY_TRA!$AT$2:$AT$999,Transport!$B47),0)</f>
        <v>0</v>
      </c>
      <c r="O47" s="12">
        <f>IFERROR(SUMIFS(BY_TRA!W$2:W$999,BY_TRA!$AT$2:$AT$999,Transport!$B47,BY_TRA!$AU$2:$AU$999,Transport!$C47)/SUMIFS(BY_TRA!W$2:W$999,BY_TRA!$AT$2:$AT$999,Transport!$B47),0)</f>
        <v>7.8125000000000017E-3</v>
      </c>
      <c r="P47" s="12">
        <f>IFERROR(SUMIFS(BY_TRA!X$2:X$999,BY_TRA!$AT$2:$AT$999,Transport!$B47,BY_TRA!$AU$2:$AU$999,Transport!$C47)/SUMIFS(BY_TRA!X$2:X$999,BY_TRA!$AT$2:$AT$999,Transport!$B47),0)</f>
        <v>0</v>
      </c>
      <c r="Q47" s="12">
        <f>IFERROR(SUMIFS(BY_TRA!Y$2:Y$999,BY_TRA!$AT$2:$AT$999,Transport!$B47,BY_TRA!$AU$2:$AU$999,Transport!$C47)/SUMIFS(BY_TRA!Y$2:Y$999,BY_TRA!$AT$2:$AT$999,Transport!$B47),0)</f>
        <v>0</v>
      </c>
      <c r="R47" s="12">
        <f>IFERROR(SUMIFS(BY_TRA!Z$2:Z$999,BY_TRA!$AT$2:$AT$999,Transport!$B47,BY_TRA!$AU$2:$AU$999,Transport!$C47)/SUMIFS(BY_TRA!Z$2:Z$999,BY_TRA!$AT$2:$AT$999,Transport!$B47),0)</f>
        <v>1.8181818181818198E-2</v>
      </c>
      <c r="S47" s="12">
        <f>IFERROR(SUMIFS(BY_TRA!AA$2:AA$999,BY_TRA!$AT$2:$AT$999,Transport!$B47,BY_TRA!$AU$2:$AU$999,Transport!$C47)/SUMIFS(BY_TRA!AA$2:AA$999,BY_TRA!$AT$2:$AT$999,Transport!$B47),0)</f>
        <v>0</v>
      </c>
      <c r="T47" s="12">
        <f>IFERROR(SUMIFS(BY_TRA!AB$2:AB$999,BY_TRA!$AT$2:$AT$999,Transport!$B47,BY_TRA!$AU$2:$AU$999,Transport!$C47)/SUMIFS(BY_TRA!AB$2:AB$999,BY_TRA!$AT$2:$AT$999,Transport!$B47),0)</f>
        <v>3.9855072463768106E-2</v>
      </c>
      <c r="U47" s="12">
        <f>IFERROR(SUMIFS(BY_TRA!AC$2:AC$999,BY_TRA!$AT$2:$AT$999,Transport!$B47,BY_TRA!$AU$2:$AU$999,Transport!$C47)/SUMIFS(BY_TRA!AC$2:AC$999,BY_TRA!$AT$2:$AT$999,Transport!$B47),0)</f>
        <v>0</v>
      </c>
      <c r="V47" s="12">
        <f>IFERROR(SUMIFS(BY_TRA!AD$2:AD$999,BY_TRA!$AT$2:$AT$999,Transport!$B47,BY_TRA!$AU$2:$AU$999,Transport!$C47)/SUMIFS(BY_TRA!AD$2:AD$999,BY_TRA!$AT$2:$AT$999,Transport!$B47),0)</f>
        <v>0</v>
      </c>
      <c r="W47" s="12">
        <f>IFERROR(SUMIFS(BY_TRA!AE$2:AE$999,BY_TRA!$AT$2:$AT$999,Transport!$B47,BY_TRA!$AU$2:$AU$999,Transport!$C47)/SUMIFS(BY_TRA!AE$2:AE$999,BY_TRA!$AT$2:$AT$999,Transport!$B47),0)</f>
        <v>0</v>
      </c>
      <c r="X47" s="12">
        <f>IFERROR(SUMIFS(BY_TRA!AF$2:AF$999,BY_TRA!$AT$2:$AT$999,Transport!$B47,BY_TRA!$AU$2:$AU$999,Transport!$C47)/SUMIFS(BY_TRA!AF$2:AF$999,BY_TRA!$AT$2:$AT$999,Transport!$B47),0)</f>
        <v>4.8888888888888857E-2</v>
      </c>
      <c r="Y47" s="12">
        <f>IFERROR(SUMIFS(BY_TRA!AG$2:AG$999,BY_TRA!$AT$2:$AT$999,Transport!$B47,BY_TRA!$AU$2:$AU$999,Transport!$C47)/SUMIFS(BY_TRA!AG$2:AG$999,BY_TRA!$AT$2:$AT$999,Transport!$B47),0)</f>
        <v>3.1578947368421102E-2</v>
      </c>
      <c r="Z47" s="12">
        <f>IFERROR(SUMIFS(BY_TRA!AH$2:AH$999,BY_TRA!$AT$2:$AT$999,Transport!$B47,BY_TRA!$AU$2:$AU$999,Transport!$C47)/SUMIFS(BY_TRA!AH$2:AH$999,BY_TRA!$AT$2:$AT$999,Transport!$B47),0)</f>
        <v>0.19658119658119652</v>
      </c>
      <c r="AA47" s="12">
        <f>IFERROR(SUMIFS(BY_TRA!AI$2:AI$999,BY_TRA!$AT$2:$AT$999,Transport!$B47,BY_TRA!$AU$2:$AU$999,Transport!$C47)/SUMIFS(BY_TRA!AI$2:AI$999,BY_TRA!$AT$2:$AT$999,Transport!$B47),0)</f>
        <v>0</v>
      </c>
      <c r="AB47" s="12">
        <f>IFERROR(SUMIFS(BY_TRA!AJ$2:AJ$999,BY_TRA!$AT$2:$AT$999,Transport!$B47,BY_TRA!$AU$2:$AU$999,Transport!$C47)/SUMIFS(BY_TRA!AJ$2:AJ$999,BY_TRA!$AT$2:$AT$999,Transport!$B47),0)</f>
        <v>0.27624309392265201</v>
      </c>
      <c r="AC47" s="12">
        <f>IFERROR(SUMIFS(BY_TRA!AK$2:AK$999,BY_TRA!$AT$2:$AT$999,Transport!$B47,BY_TRA!$AU$2:$AU$999,Transport!$C47)/SUMIFS(BY_TRA!AK$2:AK$999,BY_TRA!$AT$2:$AT$999,Transport!$B47),0)</f>
        <v>0.1578947368421052</v>
      </c>
      <c r="AD47" s="12">
        <f>IFERROR(SUMIFS(BY_TRA!AL$2:AL$999,BY_TRA!$AT$2:$AT$999,Transport!$B47,BY_TRA!$AU$2:$AU$999,Transport!$C47)/SUMIFS(BY_TRA!AL$2:AL$999,BY_TRA!$AT$2:$AT$999,Transport!$B47),0)</f>
        <v>0</v>
      </c>
      <c r="AE47" s="12">
        <f>IFERROR(SUMIFS(BY_TRA!AM$2:AM$999,BY_TRA!$AT$2:$AT$999,Transport!$B47,BY_TRA!$AU$2:$AU$999,Transport!$C47)/SUMIFS(BY_TRA!AM$2:AM$999,BY_TRA!$AT$2:$AT$999,Transport!$B47),0)</f>
        <v>0</v>
      </c>
      <c r="AF47" s="12">
        <f>IFERROR(SUMIFS(BY_TRA!AN$2:AN$999,BY_TRA!$AT$2:$AT$999,Transport!$B47,BY_TRA!$AU$2:$AU$999,Transport!$C47)/SUMIFS(BY_TRA!AN$2:AN$999,BY_TRA!$AT$2:$AT$999,Transport!$B47),0)</f>
        <v>0.16207759699624499</v>
      </c>
      <c r="AG47" s="12">
        <f>IFERROR(SUMIFS(BY_TRA!AO$2:AO$999,BY_TRA!$AT$2:$AT$999,Transport!$B47,BY_TRA!$AU$2:$AU$999,Transport!$C47)/SUMIFS(BY_TRA!AO$2:AO$999,BY_TRA!$AT$2:$AT$999,Transport!$B47),0)</f>
        <v>0</v>
      </c>
      <c r="AH47" s="12">
        <f>IFERROR(SUMIFS(BY_TRA!AP$2:AP$999,BY_TRA!$AT$2:$AT$999,Transport!$B47,BY_TRA!$AU$2:$AU$999,Transport!$C47)/SUMIFS(BY_TRA!AP$2:AP$999,BY_TRA!$AT$2:$AT$999,Transport!$B47),0)</f>
        <v>0</v>
      </c>
      <c r="AI47" s="12">
        <f>IFERROR(SUMIFS(BY_TRA!AQ$2:AQ$999,BY_TRA!$AT$2:$AT$999,Transport!$B47,BY_TRA!$AU$2:$AU$999,Transport!$C47)/SUMIFS(BY_TRA!AQ$2:AQ$999,BY_TRA!$AT$2:$AT$999,Transport!$B47),0)</f>
        <v>0</v>
      </c>
    </row>
    <row r="48" spans="2:35">
      <c r="B48" t="s">
        <v>202</v>
      </c>
      <c r="C48" t="s">
        <v>194</v>
      </c>
      <c r="D48" s="12">
        <f>IFERROR(SUMIFS(BY_TRA!L$2:L$999,BY_TRA!$AT$2:$AT$999,Transport!$B48,BY_TRA!$AU$2:$AU$999,Transport!$C48)/SUMIFS(BY_TRA!L$2:L$999,BY_TRA!$AT$2:$AT$999,Transport!$B48),0)</f>
        <v>0</v>
      </c>
      <c r="E48" s="12">
        <f>IFERROR(SUMIFS(BY_TRA!M$2:M$999,BY_TRA!$AT$2:$AT$999,Transport!$B48,BY_TRA!$AU$2:$AU$999,Transport!$C48)/SUMIFS(BY_TRA!M$2:M$999,BY_TRA!$AT$2:$AT$999,Transport!$B48),0)</f>
        <v>0</v>
      </c>
      <c r="F48" s="12">
        <f>IFERROR(SUMIFS(BY_TRA!N$2:N$999,BY_TRA!$AT$2:$AT$999,Transport!$B48,BY_TRA!$AU$2:$AU$999,Transport!$C48)/SUMIFS(BY_TRA!N$2:N$999,BY_TRA!$AT$2:$AT$999,Transport!$B48),0)</f>
        <v>4.5112781954887278E-2</v>
      </c>
      <c r="G48" s="12">
        <f>IFERROR(SUMIFS(BY_TRA!O$2:O$999,BY_TRA!$AT$2:$AT$999,Transport!$B48,BY_TRA!$AU$2:$AU$999,Transport!$C48)/SUMIFS(BY_TRA!O$2:O$999,BY_TRA!$AT$2:$AT$999,Transport!$B48),0)</f>
        <v>0</v>
      </c>
      <c r="H48" s="12">
        <f>IFERROR(SUMIFS(BY_TRA!P$2:P$999,BY_TRA!$AT$2:$AT$999,Transport!$B48,BY_TRA!$AU$2:$AU$999,Transport!$C48)/SUMIFS(BY_TRA!P$2:P$999,BY_TRA!$AT$2:$AT$999,Transport!$B48),0)</f>
        <v>7.3529411764705907E-3</v>
      </c>
      <c r="I48" s="12">
        <f>IFERROR(SUMIFS(BY_TRA!Q$2:Q$999,BY_TRA!$AT$2:$AT$999,Transport!$B48,BY_TRA!$AU$2:$AU$999,Transport!$C48)/SUMIFS(BY_TRA!Q$2:Q$999,BY_TRA!$AT$2:$AT$999,Transport!$B48),0)</f>
        <v>8.0357142857142752E-2</v>
      </c>
      <c r="J48" s="12">
        <f>IFERROR(SUMIFS(BY_TRA!R$2:R$999,BY_TRA!$AT$2:$AT$999,Transport!$B48,BY_TRA!$AU$2:$AU$999,Transport!$C48)/SUMIFS(BY_TRA!R$2:R$999,BY_TRA!$AT$2:$AT$999,Transport!$B48),0)</f>
        <v>0</v>
      </c>
      <c r="K48" s="12">
        <f>IFERROR(SUMIFS(BY_TRA!S$2:S$999,BY_TRA!$AT$2:$AT$999,Transport!$B48,BY_TRA!$AU$2:$AU$999,Transport!$C48)/SUMIFS(BY_TRA!S$2:S$999,BY_TRA!$AT$2:$AT$999,Transport!$B48),0)</f>
        <v>0.22168674698795207</v>
      </c>
      <c r="L48" s="12">
        <f>IFERROR(SUMIFS(BY_TRA!T$2:T$999,BY_TRA!$AT$2:$AT$999,Transport!$B48,BY_TRA!$AU$2:$AU$999,Transport!$C48)/SUMIFS(BY_TRA!T$2:T$999,BY_TRA!$AT$2:$AT$999,Transport!$B48),0)</f>
        <v>1.6853932584269701E-2</v>
      </c>
      <c r="M48" s="12">
        <f>IFERROR(SUMIFS(BY_TRA!U$2:U$999,BY_TRA!$AT$2:$AT$999,Transport!$B48,BY_TRA!$AU$2:$AU$999,Transport!$C48)/SUMIFS(BY_TRA!U$2:U$999,BY_TRA!$AT$2:$AT$999,Transport!$B48),0)</f>
        <v>3.2701111837802545E-3</v>
      </c>
      <c r="N48" s="12">
        <f>IFERROR(SUMIFS(BY_TRA!V$2:V$999,BY_TRA!$AT$2:$AT$999,Transport!$B48,BY_TRA!$AU$2:$AU$999,Transport!$C48)/SUMIFS(BY_TRA!V$2:V$999,BY_TRA!$AT$2:$AT$999,Transport!$B48),0)</f>
        <v>0.17117117117117123</v>
      </c>
      <c r="O48" s="12">
        <f>IFERROR(SUMIFS(BY_TRA!W$2:W$999,BY_TRA!$AT$2:$AT$999,Transport!$B48,BY_TRA!$AU$2:$AU$999,Transport!$C48)/SUMIFS(BY_TRA!W$2:W$999,BY_TRA!$AT$2:$AT$999,Transport!$B48),0)</f>
        <v>4.5766590389016058E-2</v>
      </c>
      <c r="P48" s="12">
        <f>IFERROR(SUMIFS(BY_TRA!X$2:X$999,BY_TRA!$AT$2:$AT$999,Transport!$B48,BY_TRA!$AU$2:$AU$999,Transport!$C48)/SUMIFS(BY_TRA!X$2:X$999,BY_TRA!$AT$2:$AT$999,Transport!$B48),0)</f>
        <v>5.3921568627450997E-2</v>
      </c>
      <c r="Q48" s="12">
        <f>IFERROR(SUMIFS(BY_TRA!Y$2:Y$999,BY_TRA!$AT$2:$AT$999,Transport!$B48,BY_TRA!$AU$2:$AU$999,Transport!$C48)/SUMIFS(BY_TRA!Y$2:Y$999,BY_TRA!$AT$2:$AT$999,Transport!$B48),0)</f>
        <v>4.7477744807121747E-2</v>
      </c>
      <c r="R48" s="12">
        <f>IFERROR(SUMIFS(BY_TRA!Z$2:Z$999,BY_TRA!$AT$2:$AT$999,Transport!$B48,BY_TRA!$AU$2:$AU$999,Transport!$C48)/SUMIFS(BY_TRA!Z$2:Z$999,BY_TRA!$AT$2:$AT$999,Transport!$B48),0)</f>
        <v>5.1724137931034607E-2</v>
      </c>
      <c r="S48" s="12">
        <f>IFERROR(SUMIFS(BY_TRA!AA$2:AA$999,BY_TRA!$AT$2:$AT$999,Transport!$B48,BY_TRA!$AU$2:$AU$999,Transport!$C48)/SUMIFS(BY_TRA!AA$2:AA$999,BY_TRA!$AT$2:$AT$999,Transport!$B48),0)</f>
        <v>6.0702875399361034E-2</v>
      </c>
      <c r="T48" s="12">
        <f>IFERROR(SUMIFS(BY_TRA!AB$2:AB$999,BY_TRA!$AT$2:$AT$999,Transport!$B48,BY_TRA!$AU$2:$AU$999,Transport!$C48)/SUMIFS(BY_TRA!AB$2:AB$999,BY_TRA!$AT$2:$AT$999,Transport!$B48),0)</f>
        <v>5.9405940594059441E-3</v>
      </c>
      <c r="U48" s="12">
        <f>IFERROR(SUMIFS(BY_TRA!AC$2:AC$999,BY_TRA!$AT$2:$AT$999,Transport!$B48,BY_TRA!$AU$2:$AU$999,Transport!$C48)/SUMIFS(BY_TRA!AC$2:AC$999,BY_TRA!$AT$2:$AT$999,Transport!$B48),0)</f>
        <v>7.3684210526315672E-2</v>
      </c>
      <c r="V48" s="12">
        <f>IFERROR(SUMIFS(BY_TRA!AD$2:AD$999,BY_TRA!$AT$2:$AT$999,Transport!$B48,BY_TRA!$AU$2:$AU$999,Transport!$C48)/SUMIFS(BY_TRA!AD$2:AD$999,BY_TRA!$AT$2:$AT$999,Transport!$B48),0)</f>
        <v>4.964539007092196E-2</v>
      </c>
      <c r="W48" s="12">
        <f>IFERROR(SUMIFS(BY_TRA!AE$2:AE$999,BY_TRA!$AT$2:$AT$999,Transport!$B48,BY_TRA!$AU$2:$AU$999,Transport!$C48)/SUMIFS(BY_TRA!AE$2:AE$999,BY_TRA!$AT$2:$AT$999,Transport!$B48),0)</f>
        <v>0</v>
      </c>
      <c r="X48" s="12">
        <f>IFERROR(SUMIFS(BY_TRA!AF$2:AF$999,BY_TRA!$AT$2:$AT$999,Transport!$B48,BY_TRA!$AU$2:$AU$999,Transport!$C48)/SUMIFS(BY_TRA!AF$2:AF$999,BY_TRA!$AT$2:$AT$999,Transport!$B48),0)</f>
        <v>1.7793594306049845E-2</v>
      </c>
      <c r="Y48" s="12">
        <f>IFERROR(SUMIFS(BY_TRA!AG$2:AG$999,BY_TRA!$AT$2:$AT$999,Transport!$B48,BY_TRA!$AU$2:$AU$999,Transport!$C48)/SUMIFS(BY_TRA!AG$2:AG$999,BY_TRA!$AT$2:$AT$999,Transport!$B48),0)</f>
        <v>0</v>
      </c>
      <c r="Z48" s="12">
        <f>IFERROR(SUMIFS(BY_TRA!AH$2:AH$999,BY_TRA!$AT$2:$AT$999,Transport!$B48,BY_TRA!$AU$2:$AU$999,Transport!$C48)/SUMIFS(BY_TRA!AH$2:AH$999,BY_TRA!$AT$2:$AT$999,Transport!$B48),0)</f>
        <v>0</v>
      </c>
      <c r="AA48" s="12">
        <f>IFERROR(SUMIFS(BY_TRA!AI$2:AI$999,BY_TRA!$AT$2:$AT$999,Transport!$B48,BY_TRA!$AU$2:$AU$999,Transport!$C48)/SUMIFS(BY_TRA!AI$2:AI$999,BY_TRA!$AT$2:$AT$999,Transport!$B48),0)</f>
        <v>0.16129032258064543</v>
      </c>
      <c r="AB48" s="12">
        <f>IFERROR(SUMIFS(BY_TRA!AJ$2:AJ$999,BY_TRA!$AT$2:$AT$999,Transport!$B48,BY_TRA!$AU$2:$AU$999,Transport!$C48)/SUMIFS(BY_TRA!AJ$2:AJ$999,BY_TRA!$AT$2:$AT$999,Transport!$B48),0)</f>
        <v>0</v>
      </c>
      <c r="AC48" s="12">
        <f>IFERROR(SUMIFS(BY_TRA!AK$2:AK$999,BY_TRA!$AT$2:$AT$999,Transport!$B48,BY_TRA!$AU$2:$AU$999,Transport!$C48)/SUMIFS(BY_TRA!AK$2:AK$999,BY_TRA!$AT$2:$AT$999,Transport!$B48),0)</f>
        <v>0</v>
      </c>
      <c r="AD48" s="12">
        <f>IFERROR(SUMIFS(BY_TRA!AL$2:AL$999,BY_TRA!$AT$2:$AT$999,Transport!$B48,BY_TRA!$AU$2:$AU$999,Transport!$C48)/SUMIFS(BY_TRA!AL$2:AL$999,BY_TRA!$AT$2:$AT$999,Transport!$B48),0)</f>
        <v>0</v>
      </c>
      <c r="AE48" s="12">
        <f>IFERROR(SUMIFS(BY_TRA!AM$2:AM$999,BY_TRA!$AT$2:$AT$999,Transport!$B48,BY_TRA!$AU$2:$AU$999,Transport!$C48)/SUMIFS(BY_TRA!AM$2:AM$999,BY_TRA!$AT$2:$AT$999,Transport!$B48),0)</f>
        <v>4.6052631578947449E-2</v>
      </c>
      <c r="AF48" s="12">
        <f>IFERROR(SUMIFS(BY_TRA!AN$2:AN$999,BY_TRA!$AT$2:$AT$999,Transport!$B48,BY_TRA!$AU$2:$AU$999,Transport!$C48)/SUMIFS(BY_TRA!AN$2:AN$999,BY_TRA!$AT$2:$AT$999,Transport!$B48),0)</f>
        <v>3.5971223021582762E-3</v>
      </c>
      <c r="AG48" s="12">
        <f>IFERROR(SUMIFS(BY_TRA!AO$2:AO$999,BY_TRA!$AT$2:$AT$999,Transport!$B48,BY_TRA!$AU$2:$AU$999,Transport!$C48)/SUMIFS(BY_TRA!AO$2:AO$999,BY_TRA!$AT$2:$AT$999,Transport!$B48),0)</f>
        <v>0</v>
      </c>
      <c r="AH48" s="12">
        <f>IFERROR(SUMIFS(BY_TRA!AP$2:AP$999,BY_TRA!$AT$2:$AT$999,Transport!$B48,BY_TRA!$AU$2:$AU$999,Transport!$C48)/SUMIFS(BY_TRA!AP$2:AP$999,BY_TRA!$AT$2:$AT$999,Transport!$B48),0)</f>
        <v>0</v>
      </c>
      <c r="AI48" s="12">
        <f>IFERROR(SUMIFS(BY_TRA!AQ$2:AQ$999,BY_TRA!$AT$2:$AT$999,Transport!$B48,BY_TRA!$AU$2:$AU$999,Transport!$C48)/SUMIFS(BY_TRA!AQ$2:AQ$999,BY_TRA!$AT$2:$AT$999,Transport!$B48),0)</f>
        <v>0</v>
      </c>
    </row>
    <row r="49" spans="1:42">
      <c r="B49" t="s">
        <v>202</v>
      </c>
      <c r="C49" t="s">
        <v>195</v>
      </c>
      <c r="D49" s="12">
        <f>IFERROR(SUMIFS(BY_TRA!L$2:L$999,BY_TRA!$AT$2:$AT$999,Transport!$B49,BY_TRA!$AU$2:$AU$999,Transport!$C49)/SUMIFS(BY_TRA!L$2:L$999,BY_TRA!$AT$2:$AT$999,Transport!$B49),0)</f>
        <v>0.92401215805471237</v>
      </c>
      <c r="E49" s="12">
        <f>IFERROR(SUMIFS(BY_TRA!M$2:M$999,BY_TRA!$AT$2:$AT$999,Transport!$B49,BY_TRA!$AU$2:$AU$999,Transport!$C49)/SUMIFS(BY_TRA!M$2:M$999,BY_TRA!$AT$2:$AT$999,Transport!$B49),0)</f>
        <v>1</v>
      </c>
      <c r="F49" s="12">
        <f>IFERROR(SUMIFS(BY_TRA!N$2:N$999,BY_TRA!$AT$2:$AT$999,Transport!$B49,BY_TRA!$AU$2:$AU$999,Transport!$C49)/SUMIFS(BY_TRA!N$2:N$999,BY_TRA!$AT$2:$AT$999,Transport!$B49),0)</f>
        <v>0.50375939849624085</v>
      </c>
      <c r="G49" s="12">
        <f>IFERROR(SUMIFS(BY_TRA!O$2:O$999,BY_TRA!$AT$2:$AT$999,Transport!$B49,BY_TRA!$AU$2:$AU$999,Transport!$C49)/SUMIFS(BY_TRA!O$2:O$999,BY_TRA!$AT$2:$AT$999,Transport!$B49),0)</f>
        <v>0.13861386138613854</v>
      </c>
      <c r="H49" s="12">
        <f>IFERROR(SUMIFS(BY_TRA!P$2:P$999,BY_TRA!$AT$2:$AT$999,Transport!$B49,BY_TRA!$AU$2:$AU$999,Transport!$C49)/SUMIFS(BY_TRA!P$2:P$999,BY_TRA!$AT$2:$AT$999,Transport!$B49),0)</f>
        <v>0.45465686274509809</v>
      </c>
      <c r="I49" s="12">
        <f>IFERROR(SUMIFS(BY_TRA!Q$2:Q$999,BY_TRA!$AT$2:$AT$999,Transport!$B49,BY_TRA!$AU$2:$AU$999,Transport!$C49)/SUMIFS(BY_TRA!Q$2:Q$999,BY_TRA!$AT$2:$AT$999,Transport!$B49),0)</f>
        <v>0.88392857142856995</v>
      </c>
      <c r="J49" s="12">
        <f>IFERROR(SUMIFS(BY_TRA!R$2:R$999,BY_TRA!$AT$2:$AT$999,Transport!$B49,BY_TRA!$AU$2:$AU$999,Transport!$C49)/SUMIFS(BY_TRA!R$2:R$999,BY_TRA!$AT$2:$AT$999,Transport!$B49),0)</f>
        <v>0.66336633663366373</v>
      </c>
      <c r="K49" s="12">
        <f>IFERROR(SUMIFS(BY_TRA!S$2:S$999,BY_TRA!$AT$2:$AT$999,Transport!$B49,BY_TRA!$AU$2:$AU$999,Transport!$C49)/SUMIFS(BY_TRA!S$2:S$999,BY_TRA!$AT$2:$AT$999,Transport!$B49),0)</f>
        <v>0.48915662650602437</v>
      </c>
      <c r="L49" s="12">
        <f>IFERROR(SUMIFS(BY_TRA!T$2:T$999,BY_TRA!$AT$2:$AT$999,Transport!$B49,BY_TRA!$AU$2:$AU$999,Transport!$C49)/SUMIFS(BY_TRA!T$2:T$999,BY_TRA!$AT$2:$AT$999,Transport!$B49),0)</f>
        <v>0.53932584269663042</v>
      </c>
      <c r="M49" s="12">
        <f>IFERROR(SUMIFS(BY_TRA!U$2:U$999,BY_TRA!$AT$2:$AT$999,Transport!$B49,BY_TRA!$AU$2:$AU$999,Transport!$C49)/SUMIFS(BY_TRA!U$2:U$999,BY_TRA!$AT$2:$AT$999,Transport!$B49),0)</f>
        <v>0.35382603008502339</v>
      </c>
      <c r="N49" s="12">
        <f>IFERROR(SUMIFS(BY_TRA!V$2:V$999,BY_TRA!$AT$2:$AT$999,Transport!$B49,BY_TRA!$AU$2:$AU$999,Transport!$C49)/SUMIFS(BY_TRA!V$2:V$999,BY_TRA!$AT$2:$AT$999,Transport!$B49),0)</f>
        <v>0.75675675675675702</v>
      </c>
      <c r="O49" s="12">
        <f>IFERROR(SUMIFS(BY_TRA!W$2:W$999,BY_TRA!$AT$2:$AT$999,Transport!$B49,BY_TRA!$AU$2:$AU$999,Transport!$C49)/SUMIFS(BY_TRA!W$2:W$999,BY_TRA!$AT$2:$AT$999,Transport!$B49),0)</f>
        <v>0.75972540045766601</v>
      </c>
      <c r="P49" s="12">
        <f>IFERROR(SUMIFS(BY_TRA!X$2:X$999,BY_TRA!$AT$2:$AT$999,Transport!$B49,BY_TRA!$AU$2:$AU$999,Transport!$C49)/SUMIFS(BY_TRA!X$2:X$999,BY_TRA!$AT$2:$AT$999,Transport!$B49),0)</f>
        <v>0.85784313725490224</v>
      </c>
      <c r="Q49" s="12">
        <f>IFERROR(SUMIFS(BY_TRA!Y$2:Y$999,BY_TRA!$AT$2:$AT$999,Transport!$B49,BY_TRA!$AU$2:$AU$999,Transport!$C49)/SUMIFS(BY_TRA!Y$2:Y$999,BY_TRA!$AT$2:$AT$999,Transport!$B49),0)</f>
        <v>0.78338278931750815</v>
      </c>
      <c r="R49" s="12">
        <f>IFERROR(SUMIFS(BY_TRA!Z$2:Z$999,BY_TRA!$AT$2:$AT$999,Transport!$B49,BY_TRA!$AU$2:$AU$999,Transport!$C49)/SUMIFS(BY_TRA!Z$2:Z$999,BY_TRA!$AT$2:$AT$999,Transport!$B49),0)</f>
        <v>0.81034482758620852</v>
      </c>
      <c r="S49" s="12">
        <f>IFERROR(SUMIFS(BY_TRA!AA$2:AA$999,BY_TRA!$AT$2:$AT$999,Transport!$B49,BY_TRA!$AU$2:$AU$999,Transport!$C49)/SUMIFS(BY_TRA!AA$2:AA$999,BY_TRA!$AT$2:$AT$999,Transport!$B49),0)</f>
        <v>0.89456869009584628</v>
      </c>
      <c r="T49" s="12">
        <f>IFERROR(SUMIFS(BY_TRA!AB$2:AB$999,BY_TRA!$AT$2:$AT$999,Transport!$B49,BY_TRA!$AU$2:$AU$999,Transport!$C49)/SUMIFS(BY_TRA!AB$2:AB$999,BY_TRA!$AT$2:$AT$999,Transport!$B49),0)</f>
        <v>0.56435643564356419</v>
      </c>
      <c r="U49" s="12">
        <f>IFERROR(SUMIFS(BY_TRA!AC$2:AC$999,BY_TRA!$AT$2:$AT$999,Transport!$B49,BY_TRA!$AU$2:$AU$999,Transport!$C49)/SUMIFS(BY_TRA!AC$2:AC$999,BY_TRA!$AT$2:$AT$999,Transport!$B49),0)</f>
        <v>0.884210526315788</v>
      </c>
      <c r="V49" s="12">
        <f>IFERROR(SUMIFS(BY_TRA!AD$2:AD$999,BY_TRA!$AT$2:$AT$999,Transport!$B49,BY_TRA!$AU$2:$AU$999,Transport!$C49)/SUMIFS(BY_TRA!AD$2:AD$999,BY_TRA!$AT$2:$AT$999,Transport!$B49),0)</f>
        <v>0.85815602836879346</v>
      </c>
      <c r="W49" s="12">
        <f>IFERROR(SUMIFS(BY_TRA!AE$2:AE$999,BY_TRA!$AT$2:$AT$999,Transport!$B49,BY_TRA!$AU$2:$AU$999,Transport!$C49)/SUMIFS(BY_TRA!AE$2:AE$999,BY_TRA!$AT$2:$AT$999,Transport!$B49),0)</f>
        <v>0.96383866481223879</v>
      </c>
      <c r="X49" s="12">
        <f>IFERROR(SUMIFS(BY_TRA!AF$2:AF$999,BY_TRA!$AT$2:$AT$999,Transport!$B49,BY_TRA!$AU$2:$AU$999,Transport!$C49)/SUMIFS(BY_TRA!AF$2:AF$999,BY_TRA!$AT$2:$AT$999,Transport!$B49),0)</f>
        <v>0.50177935943060537</v>
      </c>
      <c r="Y49" s="12">
        <f>IFERROR(SUMIFS(BY_TRA!AG$2:AG$999,BY_TRA!$AT$2:$AT$999,Transport!$B49,BY_TRA!$AU$2:$AU$999,Transport!$C49)/SUMIFS(BY_TRA!AG$2:AG$999,BY_TRA!$AT$2:$AT$999,Transport!$B49),0)</f>
        <v>0.52356020942408499</v>
      </c>
      <c r="Z49" s="12">
        <f>IFERROR(SUMIFS(BY_TRA!AH$2:AH$999,BY_TRA!$AT$2:$AT$999,Transport!$B49,BY_TRA!$AU$2:$AU$999,Transport!$C49)/SUMIFS(BY_TRA!AH$2:AH$999,BY_TRA!$AT$2:$AT$999,Transport!$B49),0)</f>
        <v>0.34572072072072102</v>
      </c>
      <c r="AA49" s="12">
        <f>IFERROR(SUMIFS(BY_TRA!AI$2:AI$999,BY_TRA!$AT$2:$AT$999,Transport!$B49,BY_TRA!$AU$2:$AU$999,Transport!$C49)/SUMIFS(BY_TRA!AI$2:AI$999,BY_TRA!$AT$2:$AT$999,Transport!$B49),0)</f>
        <v>0.80645161290322698</v>
      </c>
      <c r="AB49" s="12">
        <f>IFERROR(SUMIFS(BY_TRA!AJ$2:AJ$999,BY_TRA!$AT$2:$AT$999,Transport!$B49,BY_TRA!$AU$2:$AU$999,Transport!$C49)/SUMIFS(BY_TRA!AJ$2:AJ$999,BY_TRA!$AT$2:$AT$999,Transport!$B49),0)</f>
        <v>0.17764471057884218</v>
      </c>
      <c r="AC49" s="12">
        <f>IFERROR(SUMIFS(BY_TRA!AK$2:AK$999,BY_TRA!$AT$2:$AT$999,Transport!$B49,BY_TRA!$AU$2:$AU$999,Transport!$C49)/SUMIFS(BY_TRA!AK$2:AK$999,BY_TRA!$AT$2:$AT$999,Transport!$B49),0)</f>
        <v>0.41079812206572808</v>
      </c>
      <c r="AD49" s="12">
        <f>IFERROR(SUMIFS(BY_TRA!AL$2:AL$999,BY_TRA!$AT$2:$AT$999,Transport!$B49,BY_TRA!$AU$2:$AU$999,Transport!$C49)/SUMIFS(BY_TRA!AL$2:AL$999,BY_TRA!$AT$2:$AT$999,Transport!$B49),0)</f>
        <v>1</v>
      </c>
      <c r="AE49" s="12">
        <f>IFERROR(SUMIFS(BY_TRA!AM$2:AM$999,BY_TRA!$AT$2:$AT$999,Transport!$B49,BY_TRA!$AU$2:$AU$999,Transport!$C49)/SUMIFS(BY_TRA!AM$2:AM$999,BY_TRA!$AT$2:$AT$999,Transport!$B49),0)</f>
        <v>0.875000000000001</v>
      </c>
      <c r="AF49" s="12">
        <f>IFERROR(SUMIFS(BY_TRA!AN$2:AN$999,BY_TRA!$AT$2:$AT$999,Transport!$B49,BY_TRA!$AU$2:$AU$999,Transport!$C49)/SUMIFS(BY_TRA!AN$2:AN$999,BY_TRA!$AT$2:$AT$999,Transport!$B49),0)</f>
        <v>9.7893114080164434E-2</v>
      </c>
      <c r="AG49" s="12">
        <f>IFERROR(SUMIFS(BY_TRA!AO$2:AO$999,BY_TRA!$AT$2:$AT$999,Transport!$B49,BY_TRA!$AU$2:$AU$999,Transport!$C49)/SUMIFS(BY_TRA!AO$2:AO$999,BY_TRA!$AT$2:$AT$999,Transport!$B49),0)</f>
        <v>0</v>
      </c>
      <c r="AH49" s="12">
        <f>IFERROR(SUMIFS(BY_TRA!AP$2:AP$999,BY_TRA!$AT$2:$AT$999,Transport!$B49,BY_TRA!$AU$2:$AU$999,Transport!$C49)/SUMIFS(BY_TRA!AP$2:AP$999,BY_TRA!$AT$2:$AT$999,Transport!$B49),0)</f>
        <v>0</v>
      </c>
      <c r="AI49" s="12">
        <f>IFERROR(SUMIFS(BY_TRA!AQ$2:AQ$999,BY_TRA!$AT$2:$AT$999,Transport!$B49,BY_TRA!$AU$2:$AU$999,Transport!$C49)/SUMIFS(BY_TRA!AQ$2:AQ$999,BY_TRA!$AT$2:$AT$999,Transport!$B49),0)</f>
        <v>0</v>
      </c>
    </row>
    <row r="50" spans="1:42">
      <c r="B50" t="s">
        <v>202</v>
      </c>
      <c r="C50" t="s">
        <v>197</v>
      </c>
      <c r="D50" s="12">
        <f>IFERROR(SUMIFS(BY_TRA!L$2:L$999,BY_TRA!$AT$2:$AT$999,Transport!$B50,BY_TRA!$AU$2:$AU$999,Transport!$C50)/SUMIFS(BY_TRA!L$2:L$999,BY_TRA!$AT$2:$AT$999,Transport!$B50),0)</f>
        <v>0</v>
      </c>
      <c r="E50" s="12">
        <f>IFERROR(SUMIFS(BY_TRA!M$2:M$999,BY_TRA!$AT$2:$AT$999,Transport!$B50,BY_TRA!$AU$2:$AU$999,Transport!$C50)/SUMIFS(BY_TRA!M$2:M$999,BY_TRA!$AT$2:$AT$999,Transport!$B50),0)</f>
        <v>0</v>
      </c>
      <c r="F50" s="12">
        <f>IFERROR(SUMIFS(BY_TRA!N$2:N$999,BY_TRA!$AT$2:$AT$999,Transport!$B50,BY_TRA!$AU$2:$AU$999,Transport!$C50)/SUMIFS(BY_TRA!N$2:N$999,BY_TRA!$AT$2:$AT$999,Transport!$B50),0)</f>
        <v>0</v>
      </c>
      <c r="G50" s="12">
        <f>IFERROR(SUMIFS(BY_TRA!O$2:O$999,BY_TRA!$AT$2:$AT$999,Transport!$B50,BY_TRA!$AU$2:$AU$999,Transport!$C50)/SUMIFS(BY_TRA!O$2:O$999,BY_TRA!$AT$2:$AT$999,Transport!$B50),0)</f>
        <v>0</v>
      </c>
      <c r="H50" s="12">
        <f>IFERROR(SUMIFS(BY_TRA!P$2:P$999,BY_TRA!$AT$2:$AT$999,Transport!$B50,BY_TRA!$AU$2:$AU$999,Transport!$C50)/SUMIFS(BY_TRA!P$2:P$999,BY_TRA!$AT$2:$AT$999,Transport!$B50),0)</f>
        <v>0</v>
      </c>
      <c r="I50" s="12">
        <f>IFERROR(SUMIFS(BY_TRA!Q$2:Q$999,BY_TRA!$AT$2:$AT$999,Transport!$B50,BY_TRA!$AU$2:$AU$999,Transport!$C50)/SUMIFS(BY_TRA!Q$2:Q$999,BY_TRA!$AT$2:$AT$999,Transport!$B50),0)</f>
        <v>0</v>
      </c>
      <c r="J50" s="12">
        <f>IFERROR(SUMIFS(BY_TRA!R$2:R$999,BY_TRA!$AT$2:$AT$999,Transport!$B50,BY_TRA!$AU$2:$AU$999,Transport!$C50)/SUMIFS(BY_TRA!R$2:R$999,BY_TRA!$AT$2:$AT$999,Transport!$B50),0)</f>
        <v>0</v>
      </c>
      <c r="K50" s="12">
        <f>IFERROR(SUMIFS(BY_TRA!S$2:S$999,BY_TRA!$AT$2:$AT$999,Transport!$B50,BY_TRA!$AU$2:$AU$999,Transport!$C50)/SUMIFS(BY_TRA!S$2:S$999,BY_TRA!$AT$2:$AT$999,Transport!$B50),0)</f>
        <v>0</v>
      </c>
      <c r="L50" s="12">
        <f>IFERROR(SUMIFS(BY_TRA!T$2:T$999,BY_TRA!$AT$2:$AT$999,Transport!$B50,BY_TRA!$AU$2:$AU$999,Transport!$C50)/SUMIFS(BY_TRA!T$2:T$999,BY_TRA!$AT$2:$AT$999,Transport!$B50),0)</f>
        <v>0</v>
      </c>
      <c r="M50" s="12">
        <f>IFERROR(SUMIFS(BY_TRA!U$2:U$999,BY_TRA!$AT$2:$AT$999,Transport!$B50,BY_TRA!$AU$2:$AU$999,Transport!$C50)/SUMIFS(BY_TRA!U$2:U$999,BY_TRA!$AT$2:$AT$999,Transport!$B50),0)</f>
        <v>4.7743623283191705E-2</v>
      </c>
      <c r="N50" s="12">
        <f>IFERROR(SUMIFS(BY_TRA!V$2:V$999,BY_TRA!$AT$2:$AT$999,Transport!$B50,BY_TRA!$AU$2:$AU$999,Transport!$C50)/SUMIFS(BY_TRA!V$2:V$999,BY_TRA!$AT$2:$AT$999,Transport!$B50),0)</f>
        <v>0</v>
      </c>
      <c r="O50" s="12">
        <f>IFERROR(SUMIFS(BY_TRA!W$2:W$999,BY_TRA!$AT$2:$AT$999,Transport!$B50,BY_TRA!$AU$2:$AU$999,Transport!$C50)/SUMIFS(BY_TRA!W$2:W$999,BY_TRA!$AT$2:$AT$999,Transport!$B50),0)</f>
        <v>0</v>
      </c>
      <c r="P50" s="12">
        <f>IFERROR(SUMIFS(BY_TRA!X$2:X$999,BY_TRA!$AT$2:$AT$999,Transport!$B50,BY_TRA!$AU$2:$AU$999,Transport!$C50)/SUMIFS(BY_TRA!X$2:X$999,BY_TRA!$AT$2:$AT$999,Transport!$B50),0)</f>
        <v>0</v>
      </c>
      <c r="Q50" s="12">
        <f>IFERROR(SUMIFS(BY_TRA!Y$2:Y$999,BY_TRA!$AT$2:$AT$999,Transport!$B50,BY_TRA!$AU$2:$AU$999,Transport!$C50)/SUMIFS(BY_TRA!Y$2:Y$999,BY_TRA!$AT$2:$AT$999,Transport!$B50),0)</f>
        <v>0</v>
      </c>
      <c r="R50" s="12">
        <f>IFERROR(SUMIFS(BY_TRA!Z$2:Z$999,BY_TRA!$AT$2:$AT$999,Transport!$B50,BY_TRA!$AU$2:$AU$999,Transport!$C50)/SUMIFS(BY_TRA!Z$2:Z$999,BY_TRA!$AT$2:$AT$999,Transport!$B50),0)</f>
        <v>0</v>
      </c>
      <c r="S50" s="12">
        <f>IFERROR(SUMIFS(BY_TRA!AA$2:AA$999,BY_TRA!$AT$2:$AT$999,Transport!$B50,BY_TRA!$AU$2:$AU$999,Transport!$C50)/SUMIFS(BY_TRA!AA$2:AA$999,BY_TRA!$AT$2:$AT$999,Transport!$B50),0)</f>
        <v>0</v>
      </c>
      <c r="T50" s="12">
        <f>IFERROR(SUMIFS(BY_TRA!AB$2:AB$999,BY_TRA!$AT$2:$AT$999,Transport!$B50,BY_TRA!$AU$2:$AU$999,Transport!$C50)/SUMIFS(BY_TRA!AB$2:AB$999,BY_TRA!$AT$2:$AT$999,Transport!$B50),0)</f>
        <v>0</v>
      </c>
      <c r="U50" s="12">
        <f>IFERROR(SUMIFS(BY_TRA!AC$2:AC$999,BY_TRA!$AT$2:$AT$999,Transport!$B50,BY_TRA!$AU$2:$AU$999,Transport!$C50)/SUMIFS(BY_TRA!AC$2:AC$999,BY_TRA!$AT$2:$AT$999,Transport!$B50),0)</f>
        <v>0</v>
      </c>
      <c r="V50" s="12">
        <f>IFERROR(SUMIFS(BY_TRA!AD$2:AD$999,BY_TRA!$AT$2:$AT$999,Transport!$B50,BY_TRA!$AU$2:$AU$999,Transport!$C50)/SUMIFS(BY_TRA!AD$2:AD$999,BY_TRA!$AT$2:$AT$999,Transport!$B50),0)</f>
        <v>0</v>
      </c>
      <c r="W50" s="12">
        <f>IFERROR(SUMIFS(BY_TRA!AE$2:AE$999,BY_TRA!$AT$2:$AT$999,Transport!$B50,BY_TRA!$AU$2:$AU$999,Transport!$C50)/SUMIFS(BY_TRA!AE$2:AE$999,BY_TRA!$AT$2:$AT$999,Transport!$B50),0)</f>
        <v>0</v>
      </c>
      <c r="X50" s="12">
        <f>IFERROR(SUMIFS(BY_TRA!AF$2:AF$999,BY_TRA!$AT$2:$AT$999,Transport!$B50,BY_TRA!$AU$2:$AU$999,Transport!$C50)/SUMIFS(BY_TRA!AF$2:AF$999,BY_TRA!$AT$2:$AT$999,Transport!$B50),0)</f>
        <v>0</v>
      </c>
      <c r="Y50" s="12">
        <f>IFERROR(SUMIFS(BY_TRA!AG$2:AG$999,BY_TRA!$AT$2:$AT$999,Transport!$B50,BY_TRA!$AU$2:$AU$999,Transport!$C50)/SUMIFS(BY_TRA!AG$2:AG$999,BY_TRA!$AT$2:$AT$999,Transport!$B50),0)</f>
        <v>0</v>
      </c>
      <c r="Z50" s="12">
        <f>IFERROR(SUMIFS(BY_TRA!AH$2:AH$999,BY_TRA!$AT$2:$AT$999,Transport!$B50,BY_TRA!$AU$2:$AU$999,Transport!$C50)/SUMIFS(BY_TRA!AH$2:AH$999,BY_TRA!$AT$2:$AT$999,Transport!$B50),0)</f>
        <v>0</v>
      </c>
      <c r="AA50" s="12">
        <f>IFERROR(SUMIFS(BY_TRA!AI$2:AI$999,BY_TRA!$AT$2:$AT$999,Transport!$B50,BY_TRA!$AU$2:$AU$999,Transport!$C50)/SUMIFS(BY_TRA!AI$2:AI$999,BY_TRA!$AT$2:$AT$999,Transport!$B50),0)</f>
        <v>0</v>
      </c>
      <c r="AB50" s="12">
        <f>IFERROR(SUMIFS(BY_TRA!AJ$2:AJ$999,BY_TRA!$AT$2:$AT$999,Transport!$B50,BY_TRA!$AU$2:$AU$999,Transport!$C50)/SUMIFS(BY_TRA!AJ$2:AJ$999,BY_TRA!$AT$2:$AT$999,Transport!$B50),0)</f>
        <v>0</v>
      </c>
      <c r="AC50" s="12">
        <f>IFERROR(SUMIFS(BY_TRA!AK$2:AK$999,BY_TRA!$AT$2:$AT$999,Transport!$B50,BY_TRA!$AU$2:$AU$999,Transport!$C50)/SUMIFS(BY_TRA!AK$2:AK$999,BY_TRA!$AT$2:$AT$999,Transport!$B50),0)</f>
        <v>0</v>
      </c>
      <c r="AD50" s="12">
        <f>IFERROR(SUMIFS(BY_TRA!AL$2:AL$999,BY_TRA!$AT$2:$AT$999,Transport!$B50,BY_TRA!$AU$2:$AU$999,Transport!$C50)/SUMIFS(BY_TRA!AL$2:AL$999,BY_TRA!$AT$2:$AT$999,Transport!$B50),0)</f>
        <v>0</v>
      </c>
      <c r="AE50" s="12">
        <f>IFERROR(SUMIFS(BY_TRA!AM$2:AM$999,BY_TRA!$AT$2:$AT$999,Transport!$B50,BY_TRA!$AU$2:$AU$999,Transport!$C50)/SUMIFS(BY_TRA!AM$2:AM$999,BY_TRA!$AT$2:$AT$999,Transport!$B50),0)</f>
        <v>0</v>
      </c>
      <c r="AF50" s="12">
        <f>IFERROR(SUMIFS(BY_TRA!AN$2:AN$999,BY_TRA!$AT$2:$AT$999,Transport!$B50,BY_TRA!$AU$2:$AU$999,Transport!$C50)/SUMIFS(BY_TRA!AN$2:AN$999,BY_TRA!$AT$2:$AT$999,Transport!$B50),0)</f>
        <v>0</v>
      </c>
      <c r="AG50" s="12">
        <f>IFERROR(SUMIFS(BY_TRA!AO$2:AO$999,BY_TRA!$AT$2:$AT$999,Transport!$B50,BY_TRA!$AU$2:$AU$999,Transport!$C50)/SUMIFS(BY_TRA!AO$2:AO$999,BY_TRA!$AT$2:$AT$999,Transport!$B50),0)</f>
        <v>0</v>
      </c>
      <c r="AH50" s="12">
        <f>IFERROR(SUMIFS(BY_TRA!AP$2:AP$999,BY_TRA!$AT$2:$AT$999,Transport!$B50,BY_TRA!$AU$2:$AU$999,Transport!$C50)/SUMIFS(BY_TRA!AP$2:AP$999,BY_TRA!$AT$2:$AT$999,Transport!$B50),0)</f>
        <v>0</v>
      </c>
      <c r="AI50" s="12">
        <f>IFERROR(SUMIFS(BY_TRA!AQ$2:AQ$999,BY_TRA!$AT$2:$AT$999,Transport!$B50,BY_TRA!$AU$2:$AU$999,Transport!$C50)/SUMIFS(BY_TRA!AQ$2:AQ$999,BY_TRA!$AT$2:$AT$999,Transport!$B50),0)</f>
        <v>0</v>
      </c>
    </row>
    <row r="51" spans="1:42">
      <c r="B51" t="s">
        <v>202</v>
      </c>
      <c r="C51" t="s">
        <v>191</v>
      </c>
      <c r="D51" s="12">
        <f>IFERROR(SUMIFS(BY_TRA!L$2:L$999,BY_TRA!$AT$2:$AT$999,Transport!$B51,BY_TRA!$AU$2:$AU$999,Transport!$C51)/SUMIFS(BY_TRA!L$2:L$999,BY_TRA!$AT$2:$AT$999,Transport!$B51),0)</f>
        <v>0</v>
      </c>
      <c r="E51" s="12">
        <f>IFERROR(SUMIFS(BY_TRA!M$2:M$999,BY_TRA!$AT$2:$AT$999,Transport!$B51,BY_TRA!$AU$2:$AU$999,Transport!$C51)/SUMIFS(BY_TRA!M$2:M$999,BY_TRA!$AT$2:$AT$999,Transport!$B51),0)</f>
        <v>0</v>
      </c>
      <c r="F51" s="12">
        <f>IFERROR(SUMIFS(BY_TRA!N$2:N$999,BY_TRA!$AT$2:$AT$999,Transport!$B51,BY_TRA!$AU$2:$AU$999,Transport!$C51)/SUMIFS(BY_TRA!N$2:N$999,BY_TRA!$AT$2:$AT$999,Transport!$B51),0)</f>
        <v>1.5037593984962428E-2</v>
      </c>
      <c r="G51" s="12">
        <f>IFERROR(SUMIFS(BY_TRA!O$2:O$999,BY_TRA!$AT$2:$AT$999,Transport!$B51,BY_TRA!$AU$2:$AU$999,Transport!$C51)/SUMIFS(BY_TRA!O$2:O$999,BY_TRA!$AT$2:$AT$999,Transport!$B51),0)</f>
        <v>0</v>
      </c>
      <c r="H51" s="12">
        <f>IFERROR(SUMIFS(BY_TRA!P$2:P$999,BY_TRA!$AT$2:$AT$999,Transport!$B51,BY_TRA!$AU$2:$AU$999,Transport!$C51)/SUMIFS(BY_TRA!P$2:P$999,BY_TRA!$AT$2:$AT$999,Transport!$B51),0)</f>
        <v>2.4509803921568636E-3</v>
      </c>
      <c r="I51" s="12">
        <f>IFERROR(SUMIFS(BY_TRA!Q$2:Q$999,BY_TRA!$AT$2:$AT$999,Transport!$B51,BY_TRA!$AU$2:$AU$999,Transport!$C51)/SUMIFS(BY_TRA!Q$2:Q$999,BY_TRA!$AT$2:$AT$999,Transport!$B51),0)</f>
        <v>0</v>
      </c>
      <c r="J51" s="12">
        <f>IFERROR(SUMIFS(BY_TRA!R$2:R$999,BY_TRA!$AT$2:$AT$999,Transport!$B51,BY_TRA!$AU$2:$AU$999,Transport!$C51)/SUMIFS(BY_TRA!R$2:R$999,BY_TRA!$AT$2:$AT$999,Transport!$B51),0)</f>
        <v>3.3003300330033043E-3</v>
      </c>
      <c r="K51" s="12">
        <f>IFERROR(SUMIFS(BY_TRA!S$2:S$999,BY_TRA!$AT$2:$AT$999,Transport!$B51,BY_TRA!$AU$2:$AU$999,Transport!$C51)/SUMIFS(BY_TRA!S$2:S$999,BY_TRA!$AT$2:$AT$999,Transport!$B51),0)</f>
        <v>4.8192771084337414E-2</v>
      </c>
      <c r="L51" s="12">
        <f>IFERROR(SUMIFS(BY_TRA!T$2:T$999,BY_TRA!$AT$2:$AT$999,Transport!$B51,BY_TRA!$AU$2:$AU$999,Transport!$C51)/SUMIFS(BY_TRA!T$2:T$999,BY_TRA!$AT$2:$AT$999,Transport!$B51),0)</f>
        <v>2.2471910112359602E-2</v>
      </c>
      <c r="M51" s="12">
        <f>IFERROR(SUMIFS(BY_TRA!U$2:U$999,BY_TRA!$AT$2:$AT$999,Transport!$B51,BY_TRA!$AU$2:$AU$999,Transport!$C51)/SUMIFS(BY_TRA!U$2:U$999,BY_TRA!$AT$2:$AT$999,Transport!$B51),0)</f>
        <v>6.540222367560509E-3</v>
      </c>
      <c r="N51" s="12">
        <f>IFERROR(SUMIFS(BY_TRA!V$2:V$999,BY_TRA!$AT$2:$AT$999,Transport!$B51,BY_TRA!$AU$2:$AU$999,Transport!$C51)/SUMIFS(BY_TRA!V$2:V$999,BY_TRA!$AT$2:$AT$999,Transport!$B51),0)</f>
        <v>0</v>
      </c>
      <c r="O51" s="12">
        <f>IFERROR(SUMIFS(BY_TRA!W$2:W$999,BY_TRA!$AT$2:$AT$999,Transport!$B51,BY_TRA!$AU$2:$AU$999,Transport!$C51)/SUMIFS(BY_TRA!W$2:W$999,BY_TRA!$AT$2:$AT$999,Transport!$B51),0)</f>
        <v>0</v>
      </c>
      <c r="P51" s="12">
        <f>IFERROR(SUMIFS(BY_TRA!X$2:X$999,BY_TRA!$AT$2:$AT$999,Transport!$B51,BY_TRA!$AU$2:$AU$999,Transport!$C51)/SUMIFS(BY_TRA!X$2:X$999,BY_TRA!$AT$2:$AT$999,Transport!$B51),0)</f>
        <v>4.9019607843137272E-3</v>
      </c>
      <c r="Q51" s="12">
        <f>IFERROR(SUMIFS(BY_TRA!Y$2:Y$999,BY_TRA!$AT$2:$AT$999,Transport!$B51,BY_TRA!$AU$2:$AU$999,Transport!$C51)/SUMIFS(BY_TRA!Y$2:Y$999,BY_TRA!$AT$2:$AT$999,Transport!$B51),0)</f>
        <v>0</v>
      </c>
      <c r="R51" s="12">
        <f>IFERROR(SUMIFS(BY_TRA!Z$2:Z$999,BY_TRA!$AT$2:$AT$999,Transport!$B51,BY_TRA!$AU$2:$AU$999,Transport!$C51)/SUMIFS(BY_TRA!Z$2:Z$999,BY_TRA!$AT$2:$AT$999,Transport!$B51),0)</f>
        <v>0</v>
      </c>
      <c r="S51" s="12">
        <f>IFERROR(SUMIFS(BY_TRA!AA$2:AA$999,BY_TRA!$AT$2:$AT$999,Transport!$B51,BY_TRA!$AU$2:$AU$999,Transport!$C51)/SUMIFS(BY_TRA!AA$2:AA$999,BY_TRA!$AT$2:$AT$999,Transport!$B51),0)</f>
        <v>0</v>
      </c>
      <c r="T51" s="12">
        <f>IFERROR(SUMIFS(BY_TRA!AB$2:AB$999,BY_TRA!$AT$2:$AT$999,Transport!$B51,BY_TRA!$AU$2:$AU$999,Transport!$C51)/SUMIFS(BY_TRA!AB$2:AB$999,BY_TRA!$AT$2:$AT$999,Transport!$B51),0)</f>
        <v>3.960396039603963E-3</v>
      </c>
      <c r="U51" s="12">
        <f>IFERROR(SUMIFS(BY_TRA!AC$2:AC$999,BY_TRA!$AT$2:$AT$999,Transport!$B51,BY_TRA!$AU$2:$AU$999,Transport!$C51)/SUMIFS(BY_TRA!AC$2:AC$999,BY_TRA!$AT$2:$AT$999,Transport!$B51),0)</f>
        <v>2.6315789473684171E-3</v>
      </c>
      <c r="V51" s="12">
        <f>IFERROR(SUMIFS(BY_TRA!AD$2:AD$999,BY_TRA!$AT$2:$AT$999,Transport!$B51,BY_TRA!$AU$2:$AU$999,Transport!$C51)/SUMIFS(BY_TRA!AD$2:AD$999,BY_TRA!$AT$2:$AT$999,Transport!$B51),0)</f>
        <v>2.364066193853427E-3</v>
      </c>
      <c r="W51" s="12">
        <f>IFERROR(SUMIFS(BY_TRA!AE$2:AE$999,BY_TRA!$AT$2:$AT$999,Transport!$B51,BY_TRA!$AU$2:$AU$999,Transport!$C51)/SUMIFS(BY_TRA!AE$2:AE$999,BY_TRA!$AT$2:$AT$999,Transport!$B51),0)</f>
        <v>0</v>
      </c>
      <c r="X51" s="12">
        <f>IFERROR(SUMIFS(BY_TRA!AF$2:AF$999,BY_TRA!$AT$2:$AT$999,Transport!$B51,BY_TRA!$AU$2:$AU$999,Transport!$C51)/SUMIFS(BY_TRA!AF$2:AF$999,BY_TRA!$AT$2:$AT$999,Transport!$B51),0)</f>
        <v>1.0676156583629907E-2</v>
      </c>
      <c r="Y51" s="12">
        <f>IFERROR(SUMIFS(BY_TRA!AG$2:AG$999,BY_TRA!$AT$2:$AT$999,Transport!$B51,BY_TRA!$AU$2:$AU$999,Transport!$C51)/SUMIFS(BY_TRA!AG$2:AG$999,BY_TRA!$AT$2:$AT$999,Transport!$B51),0)</f>
        <v>0</v>
      </c>
      <c r="Z51" s="12">
        <f>IFERROR(SUMIFS(BY_TRA!AH$2:AH$999,BY_TRA!$AT$2:$AT$999,Transport!$B51,BY_TRA!$AU$2:$AU$999,Transport!$C51)/SUMIFS(BY_TRA!AH$2:AH$999,BY_TRA!$AT$2:$AT$999,Transport!$B51),0)</f>
        <v>0</v>
      </c>
      <c r="AA51" s="12">
        <f>IFERROR(SUMIFS(BY_TRA!AI$2:AI$999,BY_TRA!$AT$2:$AT$999,Transport!$B51,BY_TRA!$AU$2:$AU$999,Transport!$C51)/SUMIFS(BY_TRA!AI$2:AI$999,BY_TRA!$AT$2:$AT$999,Transport!$B51),0)</f>
        <v>0</v>
      </c>
      <c r="AB51" s="12">
        <f>IFERROR(SUMIFS(BY_TRA!AJ$2:AJ$999,BY_TRA!$AT$2:$AT$999,Transport!$B51,BY_TRA!$AU$2:$AU$999,Transport!$C51)/SUMIFS(BY_TRA!AJ$2:AJ$999,BY_TRA!$AT$2:$AT$999,Transport!$B51),0)</f>
        <v>0</v>
      </c>
      <c r="AC51" s="12">
        <f>IFERROR(SUMIFS(BY_TRA!AK$2:AK$999,BY_TRA!$AT$2:$AT$999,Transport!$B51,BY_TRA!$AU$2:$AU$999,Transport!$C51)/SUMIFS(BY_TRA!AK$2:AK$999,BY_TRA!$AT$2:$AT$999,Transport!$B51),0)</f>
        <v>0</v>
      </c>
      <c r="AD51" s="12">
        <f>IFERROR(SUMIFS(BY_TRA!AL$2:AL$999,BY_TRA!$AT$2:$AT$999,Transport!$B51,BY_TRA!$AU$2:$AU$999,Transport!$C51)/SUMIFS(BY_TRA!AL$2:AL$999,BY_TRA!$AT$2:$AT$999,Transport!$B51),0)</f>
        <v>0</v>
      </c>
      <c r="AE51" s="12">
        <f>IFERROR(SUMIFS(BY_TRA!AM$2:AM$999,BY_TRA!$AT$2:$AT$999,Transport!$B51,BY_TRA!$AU$2:$AU$999,Transport!$C51)/SUMIFS(BY_TRA!AM$2:AM$999,BY_TRA!$AT$2:$AT$999,Transport!$B51),0)</f>
        <v>3.2894736842105318E-3</v>
      </c>
      <c r="AF51" s="12">
        <f>IFERROR(SUMIFS(BY_TRA!AN$2:AN$999,BY_TRA!$AT$2:$AT$999,Transport!$B51,BY_TRA!$AU$2:$AU$999,Transport!$C51)/SUMIFS(BY_TRA!AN$2:AN$999,BY_TRA!$AT$2:$AT$999,Transport!$B51),0)</f>
        <v>7.297019527235353E-2</v>
      </c>
      <c r="AG51" s="12">
        <f>IFERROR(SUMIFS(BY_TRA!AO$2:AO$999,BY_TRA!$AT$2:$AT$999,Transport!$B51,BY_TRA!$AU$2:$AU$999,Transport!$C51)/SUMIFS(BY_TRA!AO$2:AO$999,BY_TRA!$AT$2:$AT$999,Transport!$B51),0)</f>
        <v>0</v>
      </c>
      <c r="AH51" s="12">
        <f>IFERROR(SUMIFS(BY_TRA!AP$2:AP$999,BY_TRA!$AT$2:$AT$999,Transport!$B51,BY_TRA!$AU$2:$AU$999,Transport!$C51)/SUMIFS(BY_TRA!AP$2:AP$999,BY_TRA!$AT$2:$AT$999,Transport!$B51),0)</f>
        <v>0</v>
      </c>
      <c r="AI51" s="12">
        <f>IFERROR(SUMIFS(BY_TRA!AQ$2:AQ$999,BY_TRA!$AT$2:$AT$999,Transport!$B51,BY_TRA!$AU$2:$AU$999,Transport!$C51)/SUMIFS(BY_TRA!AQ$2:AQ$999,BY_TRA!$AT$2:$AT$999,Transport!$B51),0)</f>
        <v>0</v>
      </c>
    </row>
    <row r="52" spans="1:42">
      <c r="B52" t="s">
        <v>202</v>
      </c>
      <c r="C52" t="s">
        <v>192</v>
      </c>
      <c r="D52" s="12">
        <f>IFERROR(SUMIFS(BY_TRA!L$2:L$999,BY_TRA!$AT$2:$AT$999,Transport!$B52,BY_TRA!$AU$2:$AU$999,Transport!$C52)/SUMIFS(BY_TRA!L$2:L$999,BY_TRA!$AT$2:$AT$999,Transport!$B52),0)</f>
        <v>0</v>
      </c>
      <c r="E52" s="12">
        <f>IFERROR(SUMIFS(BY_TRA!M$2:M$999,BY_TRA!$AT$2:$AT$999,Transport!$B52,BY_TRA!$AU$2:$AU$999,Transport!$C52)/SUMIFS(BY_TRA!M$2:M$999,BY_TRA!$AT$2:$AT$999,Transport!$B52),0)</f>
        <v>0</v>
      </c>
      <c r="F52" s="12">
        <f>IFERROR(SUMIFS(BY_TRA!N$2:N$999,BY_TRA!$AT$2:$AT$999,Transport!$B52,BY_TRA!$AU$2:$AU$999,Transport!$C52)/SUMIFS(BY_TRA!N$2:N$999,BY_TRA!$AT$2:$AT$999,Transport!$B52),0)</f>
        <v>0.26315789473684226</v>
      </c>
      <c r="G52" s="12">
        <f>IFERROR(SUMIFS(BY_TRA!O$2:O$999,BY_TRA!$AT$2:$AT$999,Transport!$B52,BY_TRA!$AU$2:$AU$999,Transport!$C52)/SUMIFS(BY_TRA!O$2:O$999,BY_TRA!$AT$2:$AT$999,Transport!$B52),0)</f>
        <v>0.49999999999999939</v>
      </c>
      <c r="H52" s="12">
        <f>IFERROR(SUMIFS(BY_TRA!P$2:P$999,BY_TRA!$AT$2:$AT$999,Transport!$B52,BY_TRA!$AU$2:$AU$999,Transport!$C52)/SUMIFS(BY_TRA!P$2:P$999,BY_TRA!$AT$2:$AT$999,Transport!$B52),0)</f>
        <v>0.36887254901960759</v>
      </c>
      <c r="I52" s="12">
        <f>IFERROR(SUMIFS(BY_TRA!Q$2:Q$999,BY_TRA!$AT$2:$AT$999,Transport!$B52,BY_TRA!$AU$2:$AU$999,Transport!$C52)/SUMIFS(BY_TRA!Q$2:Q$999,BY_TRA!$AT$2:$AT$999,Transport!$B52),0)</f>
        <v>0</v>
      </c>
      <c r="J52" s="12">
        <f>IFERROR(SUMIFS(BY_TRA!R$2:R$999,BY_TRA!$AT$2:$AT$999,Transport!$B52,BY_TRA!$AU$2:$AU$999,Transport!$C52)/SUMIFS(BY_TRA!R$2:R$999,BY_TRA!$AT$2:$AT$999,Transport!$B52),0)</f>
        <v>0.31683168316831717</v>
      </c>
      <c r="K52" s="12">
        <f>IFERROR(SUMIFS(BY_TRA!S$2:S$999,BY_TRA!$AT$2:$AT$999,Transport!$B52,BY_TRA!$AU$2:$AU$999,Transport!$C52)/SUMIFS(BY_TRA!S$2:S$999,BY_TRA!$AT$2:$AT$999,Transport!$B52),0)</f>
        <v>0.1879518072289158</v>
      </c>
      <c r="L52" s="12">
        <f>IFERROR(SUMIFS(BY_TRA!T$2:T$999,BY_TRA!$AT$2:$AT$999,Transport!$B52,BY_TRA!$AU$2:$AU$999,Transport!$C52)/SUMIFS(BY_TRA!T$2:T$999,BY_TRA!$AT$2:$AT$999,Transport!$B52),0)</f>
        <v>0.41011235955056252</v>
      </c>
      <c r="M52" s="12">
        <f>IFERROR(SUMIFS(BY_TRA!U$2:U$999,BY_TRA!$AT$2:$AT$999,Transport!$B52,BY_TRA!$AU$2:$AU$999,Transport!$C52)/SUMIFS(BY_TRA!U$2:U$999,BY_TRA!$AT$2:$AT$999,Transport!$B52),0)</f>
        <v>0.46958796599084435</v>
      </c>
      <c r="N52" s="12">
        <f>IFERROR(SUMIFS(BY_TRA!V$2:V$999,BY_TRA!$AT$2:$AT$999,Transport!$B52,BY_TRA!$AU$2:$AU$999,Transport!$C52)/SUMIFS(BY_TRA!V$2:V$999,BY_TRA!$AT$2:$AT$999,Transport!$B52),0)</f>
        <v>7.2072072072072099E-2</v>
      </c>
      <c r="O52" s="12">
        <f>IFERROR(SUMIFS(BY_TRA!W$2:W$999,BY_TRA!$AT$2:$AT$999,Transport!$B52,BY_TRA!$AU$2:$AU$999,Transport!$C52)/SUMIFS(BY_TRA!W$2:W$999,BY_TRA!$AT$2:$AT$999,Transport!$B52),0)</f>
        <v>2.0594965675057222E-2</v>
      </c>
      <c r="P52" s="12">
        <f>IFERROR(SUMIFS(BY_TRA!X$2:X$999,BY_TRA!$AT$2:$AT$999,Transport!$B52,BY_TRA!$AU$2:$AU$999,Transport!$C52)/SUMIFS(BY_TRA!X$2:X$999,BY_TRA!$AT$2:$AT$999,Transport!$B52),0)</f>
        <v>6.3725490196078455E-2</v>
      </c>
      <c r="Q52" s="12">
        <f>IFERROR(SUMIFS(BY_TRA!Y$2:Y$999,BY_TRA!$AT$2:$AT$999,Transport!$B52,BY_TRA!$AU$2:$AU$999,Transport!$C52)/SUMIFS(BY_TRA!Y$2:Y$999,BY_TRA!$AT$2:$AT$999,Transport!$B52),0)</f>
        <v>5.637982195845706E-2</v>
      </c>
      <c r="R52" s="12">
        <f>IFERROR(SUMIFS(BY_TRA!Z$2:Z$999,BY_TRA!$AT$2:$AT$999,Transport!$B52,BY_TRA!$AU$2:$AU$999,Transport!$C52)/SUMIFS(BY_TRA!Z$2:Z$999,BY_TRA!$AT$2:$AT$999,Transport!$B52),0)</f>
        <v>2.2988505747126499E-2</v>
      </c>
      <c r="S52" s="12">
        <f>IFERROR(SUMIFS(BY_TRA!AA$2:AA$999,BY_TRA!$AT$2:$AT$999,Transport!$B52,BY_TRA!$AU$2:$AU$999,Transport!$C52)/SUMIFS(BY_TRA!AA$2:AA$999,BY_TRA!$AT$2:$AT$999,Transport!$B52),0)</f>
        <v>3.8338658146964869E-2</v>
      </c>
      <c r="T52" s="12">
        <f>IFERROR(SUMIFS(BY_TRA!AB$2:AB$999,BY_TRA!$AT$2:$AT$999,Transport!$B52,BY_TRA!$AU$2:$AU$999,Transport!$C52)/SUMIFS(BY_TRA!AB$2:AB$999,BY_TRA!$AT$2:$AT$999,Transport!$B52),0)</f>
        <v>0.18019801980198016</v>
      </c>
      <c r="U52" s="12">
        <f>IFERROR(SUMIFS(BY_TRA!AC$2:AC$999,BY_TRA!$AT$2:$AT$999,Transport!$B52,BY_TRA!$AU$2:$AU$999,Transport!$C52)/SUMIFS(BY_TRA!AC$2:AC$999,BY_TRA!$AT$2:$AT$999,Transport!$B52),0)</f>
        <v>3.6842105263157836E-2</v>
      </c>
      <c r="V52" s="12">
        <f>IFERROR(SUMIFS(BY_TRA!AD$2:AD$999,BY_TRA!$AT$2:$AT$999,Transport!$B52,BY_TRA!$AU$2:$AU$999,Transport!$C52)/SUMIFS(BY_TRA!AD$2:AD$999,BY_TRA!$AT$2:$AT$999,Transport!$B52),0)</f>
        <v>7.3286052009456176E-2</v>
      </c>
      <c r="W52" s="12">
        <f>IFERROR(SUMIFS(BY_TRA!AE$2:AE$999,BY_TRA!$AT$2:$AT$999,Transport!$B52,BY_TRA!$AU$2:$AU$999,Transport!$C52)/SUMIFS(BY_TRA!AE$2:AE$999,BY_TRA!$AT$2:$AT$999,Transport!$B52),0)</f>
        <v>0</v>
      </c>
      <c r="X52" s="12">
        <f>IFERROR(SUMIFS(BY_TRA!AF$2:AF$999,BY_TRA!$AT$2:$AT$999,Transport!$B52,BY_TRA!$AU$2:$AU$999,Transport!$C52)/SUMIFS(BY_TRA!AF$2:AF$999,BY_TRA!$AT$2:$AT$999,Transport!$B52),0)</f>
        <v>0.39857651245551656</v>
      </c>
      <c r="Y52" s="12">
        <f>IFERROR(SUMIFS(BY_TRA!AG$2:AG$999,BY_TRA!$AT$2:$AT$999,Transport!$B52,BY_TRA!$AU$2:$AU$999,Transport!$C52)/SUMIFS(BY_TRA!AG$2:AG$999,BY_TRA!$AT$2:$AT$999,Transport!$B52),0)</f>
        <v>0.4397905759162315</v>
      </c>
      <c r="Z52" s="12">
        <f>IFERROR(SUMIFS(BY_TRA!AH$2:AH$999,BY_TRA!$AT$2:$AT$999,Transport!$B52,BY_TRA!$AU$2:$AU$999,Transport!$C52)/SUMIFS(BY_TRA!AH$2:AH$999,BY_TRA!$AT$2:$AT$999,Transport!$B52),0)</f>
        <v>0.65315315315315381</v>
      </c>
      <c r="AA52" s="12">
        <f>IFERROR(SUMIFS(BY_TRA!AI$2:AI$999,BY_TRA!$AT$2:$AT$999,Transport!$B52,BY_TRA!$AU$2:$AU$999,Transport!$C52)/SUMIFS(BY_TRA!AI$2:AI$999,BY_TRA!$AT$2:$AT$999,Transport!$B52),0)</f>
        <v>3.2258064516129094E-2</v>
      </c>
      <c r="AB52" s="12">
        <f>IFERROR(SUMIFS(BY_TRA!AJ$2:AJ$999,BY_TRA!$AT$2:$AT$999,Transport!$B52,BY_TRA!$AU$2:$AU$999,Transport!$C52)/SUMIFS(BY_TRA!AJ$2:AJ$999,BY_TRA!$AT$2:$AT$999,Transport!$B52),0)</f>
        <v>0.73253493013972026</v>
      </c>
      <c r="AC52" s="12">
        <f>IFERROR(SUMIFS(BY_TRA!AK$2:AK$999,BY_TRA!$AT$2:$AT$999,Transport!$B52,BY_TRA!$AU$2:$AU$999,Transport!$C52)/SUMIFS(BY_TRA!AK$2:AK$999,BY_TRA!$AT$2:$AT$999,Transport!$B52),0)</f>
        <v>0.58920187793427237</v>
      </c>
      <c r="AD52" s="12">
        <f>IFERROR(SUMIFS(BY_TRA!AL$2:AL$999,BY_TRA!$AT$2:$AT$999,Transport!$B52,BY_TRA!$AU$2:$AU$999,Transport!$C52)/SUMIFS(BY_TRA!AL$2:AL$999,BY_TRA!$AT$2:$AT$999,Transport!$B52),0)</f>
        <v>0</v>
      </c>
      <c r="AE52" s="12">
        <f>IFERROR(SUMIFS(BY_TRA!AM$2:AM$999,BY_TRA!$AT$2:$AT$999,Transport!$B52,BY_TRA!$AU$2:$AU$999,Transport!$C52)/SUMIFS(BY_TRA!AM$2:AM$999,BY_TRA!$AT$2:$AT$999,Transport!$B52),0)</f>
        <v>7.2368421052631693E-2</v>
      </c>
      <c r="AF52" s="12">
        <f>IFERROR(SUMIFS(BY_TRA!AN$2:AN$999,BY_TRA!$AT$2:$AT$999,Transport!$B52,BY_TRA!$AU$2:$AU$999,Transport!$C52)/SUMIFS(BY_TRA!AN$2:AN$999,BY_TRA!$AT$2:$AT$999,Transport!$B52),0)</f>
        <v>0.82476875642343273</v>
      </c>
      <c r="AG52" s="12">
        <f>IFERROR(SUMIFS(BY_TRA!AO$2:AO$999,BY_TRA!$AT$2:$AT$999,Transport!$B52,BY_TRA!$AU$2:$AU$999,Transport!$C52)/SUMIFS(BY_TRA!AO$2:AO$999,BY_TRA!$AT$2:$AT$999,Transport!$B52),0)</f>
        <v>0</v>
      </c>
      <c r="AH52" s="12">
        <f>IFERROR(SUMIFS(BY_TRA!AP$2:AP$999,BY_TRA!$AT$2:$AT$999,Transport!$B52,BY_TRA!$AU$2:$AU$999,Transport!$C52)/SUMIFS(BY_TRA!AP$2:AP$999,BY_TRA!$AT$2:$AT$999,Transport!$B52),0)</f>
        <v>0</v>
      </c>
      <c r="AI52" s="12">
        <f>IFERROR(SUMIFS(BY_TRA!AQ$2:AQ$999,BY_TRA!$AT$2:$AT$999,Transport!$B52,BY_TRA!$AU$2:$AU$999,Transport!$C52)/SUMIFS(BY_TRA!AQ$2:AQ$999,BY_TRA!$AT$2:$AT$999,Transport!$B52),0)</f>
        <v>0</v>
      </c>
    </row>
    <row r="53" spans="1:42">
      <c r="B53" t="s">
        <v>202</v>
      </c>
      <c r="C53" t="s">
        <v>198</v>
      </c>
      <c r="D53" s="12">
        <f>IFERROR(SUMIFS(BY_TRA!L$2:L$999,BY_TRA!$AT$2:$AT$999,Transport!$B53,BY_TRA!$AU$2:$AU$999,Transport!$C53)/SUMIFS(BY_TRA!L$2:L$999,BY_TRA!$AT$2:$AT$999,Transport!$B53),0)</f>
        <v>6.3829787234042631E-2</v>
      </c>
      <c r="E53" s="12">
        <f>IFERROR(SUMIFS(BY_TRA!M$2:M$999,BY_TRA!$AT$2:$AT$999,Transport!$B53,BY_TRA!$AU$2:$AU$999,Transport!$C53)/SUMIFS(BY_TRA!M$2:M$999,BY_TRA!$AT$2:$AT$999,Transport!$B53),0)</f>
        <v>0</v>
      </c>
      <c r="F53" s="12">
        <f>IFERROR(SUMIFS(BY_TRA!N$2:N$999,BY_TRA!$AT$2:$AT$999,Transport!$B53,BY_TRA!$AU$2:$AU$999,Transport!$C53)/SUMIFS(BY_TRA!N$2:N$999,BY_TRA!$AT$2:$AT$999,Transport!$B53),0)</f>
        <v>0</v>
      </c>
      <c r="G53" s="12">
        <f>IFERROR(SUMIFS(BY_TRA!O$2:O$999,BY_TRA!$AT$2:$AT$999,Transport!$B53,BY_TRA!$AU$2:$AU$999,Transport!$C53)/SUMIFS(BY_TRA!O$2:O$999,BY_TRA!$AT$2:$AT$999,Transport!$B53),0)</f>
        <v>6.9306930693069271E-2</v>
      </c>
      <c r="H53" s="12">
        <f>IFERROR(SUMIFS(BY_TRA!P$2:P$999,BY_TRA!$AT$2:$AT$999,Transport!$B53,BY_TRA!$AU$2:$AU$999,Transport!$C53)/SUMIFS(BY_TRA!P$2:P$999,BY_TRA!$AT$2:$AT$999,Transport!$B53),0)</f>
        <v>0.16299019607843135</v>
      </c>
      <c r="I53" s="12">
        <f>IFERROR(SUMIFS(BY_TRA!Q$2:Q$999,BY_TRA!$AT$2:$AT$999,Transport!$B53,BY_TRA!$AU$2:$AU$999,Transport!$C53)/SUMIFS(BY_TRA!Q$2:Q$999,BY_TRA!$AT$2:$AT$999,Transport!$B53),0)</f>
        <v>2.0089285714285688E-2</v>
      </c>
      <c r="J53" s="12">
        <f>IFERROR(SUMIFS(BY_TRA!R$2:R$999,BY_TRA!$AT$2:$AT$999,Transport!$B53,BY_TRA!$AU$2:$AU$999,Transport!$C53)/SUMIFS(BY_TRA!R$2:R$999,BY_TRA!$AT$2:$AT$999,Transport!$B53),0)</f>
        <v>1.3201320132013217E-2</v>
      </c>
      <c r="K53" s="12">
        <f>IFERROR(SUMIFS(BY_TRA!S$2:S$999,BY_TRA!$AT$2:$AT$999,Transport!$B53,BY_TRA!$AU$2:$AU$999,Transport!$C53)/SUMIFS(BY_TRA!S$2:S$999,BY_TRA!$AT$2:$AT$999,Transport!$B53),0)</f>
        <v>0</v>
      </c>
      <c r="L53" s="12">
        <f>IFERROR(SUMIFS(BY_TRA!T$2:T$999,BY_TRA!$AT$2:$AT$999,Transport!$B53,BY_TRA!$AU$2:$AU$999,Transport!$C53)/SUMIFS(BY_TRA!T$2:T$999,BY_TRA!$AT$2:$AT$999,Transport!$B53),0)</f>
        <v>1.1235955056179801E-2</v>
      </c>
      <c r="M53" s="12">
        <f>IFERROR(SUMIFS(BY_TRA!U$2:U$999,BY_TRA!$AT$2:$AT$999,Transport!$B53,BY_TRA!$AU$2:$AU$999,Transport!$C53)/SUMIFS(BY_TRA!U$2:U$999,BY_TRA!$AT$2:$AT$999,Transport!$B53),0)</f>
        <v>1.2426422498364967E-2</v>
      </c>
      <c r="N53" s="12">
        <f>IFERROR(SUMIFS(BY_TRA!V$2:V$999,BY_TRA!$AT$2:$AT$999,Transport!$B53,BY_TRA!$AU$2:$AU$999,Transport!$C53)/SUMIFS(BY_TRA!V$2:V$999,BY_TRA!$AT$2:$AT$999,Transport!$B53),0)</f>
        <v>0</v>
      </c>
      <c r="O53" s="12">
        <f>IFERROR(SUMIFS(BY_TRA!W$2:W$999,BY_TRA!$AT$2:$AT$999,Transport!$B53,BY_TRA!$AU$2:$AU$999,Transport!$C53)/SUMIFS(BY_TRA!W$2:W$999,BY_TRA!$AT$2:$AT$999,Transport!$B53),0)</f>
        <v>0.17391304347826103</v>
      </c>
      <c r="P53" s="12">
        <f>IFERROR(SUMIFS(BY_TRA!X$2:X$999,BY_TRA!$AT$2:$AT$999,Transport!$B53,BY_TRA!$AU$2:$AU$999,Transport!$C53)/SUMIFS(BY_TRA!X$2:X$999,BY_TRA!$AT$2:$AT$999,Transport!$B53),0)</f>
        <v>1.9607843137254909E-2</v>
      </c>
      <c r="Q53" s="12">
        <f>IFERROR(SUMIFS(BY_TRA!Y$2:Y$999,BY_TRA!$AT$2:$AT$999,Transport!$B53,BY_TRA!$AU$2:$AU$999,Transport!$C53)/SUMIFS(BY_TRA!Y$2:Y$999,BY_TRA!$AT$2:$AT$999,Transport!$B53),0)</f>
        <v>0.11275964391691412</v>
      </c>
      <c r="R53" s="12">
        <f>IFERROR(SUMIFS(BY_TRA!Z$2:Z$999,BY_TRA!$AT$2:$AT$999,Transport!$B53,BY_TRA!$AU$2:$AU$999,Transport!$C53)/SUMIFS(BY_TRA!Z$2:Z$999,BY_TRA!$AT$2:$AT$999,Transport!$B53),0)</f>
        <v>0.11494252873563247</v>
      </c>
      <c r="S53" s="12">
        <f>IFERROR(SUMIFS(BY_TRA!AA$2:AA$999,BY_TRA!$AT$2:$AT$999,Transport!$B53,BY_TRA!$AU$2:$AU$999,Transport!$C53)/SUMIFS(BY_TRA!AA$2:AA$999,BY_TRA!$AT$2:$AT$999,Transport!$B53),0)</f>
        <v>6.3897763578274792E-3</v>
      </c>
      <c r="T53" s="12">
        <f>IFERROR(SUMIFS(BY_TRA!AB$2:AB$999,BY_TRA!$AT$2:$AT$999,Transport!$B53,BY_TRA!$AU$2:$AU$999,Transport!$C53)/SUMIFS(BY_TRA!AB$2:AB$999,BY_TRA!$AT$2:$AT$999,Transport!$B53),0)</f>
        <v>0.24554455445544549</v>
      </c>
      <c r="U53" s="12">
        <f>IFERROR(SUMIFS(BY_TRA!AC$2:AC$999,BY_TRA!$AT$2:$AT$999,Transport!$B53,BY_TRA!$AU$2:$AU$999,Transport!$C53)/SUMIFS(BY_TRA!AC$2:AC$999,BY_TRA!$AT$2:$AT$999,Transport!$B53),0)</f>
        <v>2.6315789473684171E-3</v>
      </c>
      <c r="V53" s="12">
        <f>IFERROR(SUMIFS(BY_TRA!AD$2:AD$999,BY_TRA!$AT$2:$AT$999,Transport!$B53,BY_TRA!$AU$2:$AU$999,Transport!$C53)/SUMIFS(BY_TRA!AD$2:AD$999,BY_TRA!$AT$2:$AT$999,Transport!$B53),0)</f>
        <v>1.6548463356973988E-2</v>
      </c>
      <c r="W53" s="12">
        <f>IFERROR(SUMIFS(BY_TRA!AE$2:AE$999,BY_TRA!$AT$2:$AT$999,Transport!$B53,BY_TRA!$AU$2:$AU$999,Transport!$C53)/SUMIFS(BY_TRA!AE$2:AE$999,BY_TRA!$AT$2:$AT$999,Transport!$B53),0)</f>
        <v>2.7816411682892901E-3</v>
      </c>
      <c r="X53" s="12">
        <f>IFERROR(SUMIFS(BY_TRA!AF$2:AF$999,BY_TRA!$AT$2:$AT$999,Transport!$B53,BY_TRA!$AU$2:$AU$999,Transport!$C53)/SUMIFS(BY_TRA!AF$2:AF$999,BY_TRA!$AT$2:$AT$999,Transport!$B53),0)</f>
        <v>0</v>
      </c>
      <c r="Y53" s="12">
        <f>IFERROR(SUMIFS(BY_TRA!AG$2:AG$999,BY_TRA!$AT$2:$AT$999,Transport!$B53,BY_TRA!$AU$2:$AU$999,Transport!$C53)/SUMIFS(BY_TRA!AG$2:AG$999,BY_TRA!$AT$2:$AT$999,Transport!$B53),0)</f>
        <v>3.6649214659685958E-2</v>
      </c>
      <c r="Z53" s="12">
        <f>IFERROR(SUMIFS(BY_TRA!AH$2:AH$999,BY_TRA!$AT$2:$AT$999,Transport!$B53,BY_TRA!$AU$2:$AU$999,Transport!$C53)/SUMIFS(BY_TRA!AH$2:AH$999,BY_TRA!$AT$2:$AT$999,Transport!$B53),0)</f>
        <v>1.1261261261261274E-3</v>
      </c>
      <c r="AA53" s="12">
        <f>IFERROR(SUMIFS(BY_TRA!AI$2:AI$999,BY_TRA!$AT$2:$AT$999,Transport!$B53,BY_TRA!$AU$2:$AU$999,Transport!$C53)/SUMIFS(BY_TRA!AI$2:AI$999,BY_TRA!$AT$2:$AT$999,Transport!$B53),0)</f>
        <v>0</v>
      </c>
      <c r="AB53" s="12">
        <f>IFERROR(SUMIFS(BY_TRA!AJ$2:AJ$999,BY_TRA!$AT$2:$AT$999,Transport!$B53,BY_TRA!$AU$2:$AU$999,Transport!$C53)/SUMIFS(BY_TRA!AJ$2:AJ$999,BY_TRA!$AT$2:$AT$999,Transport!$B53),0)</f>
        <v>8.383233532934127E-2</v>
      </c>
      <c r="AC53" s="12">
        <f>IFERROR(SUMIFS(BY_TRA!AK$2:AK$999,BY_TRA!$AT$2:$AT$999,Transport!$B53,BY_TRA!$AU$2:$AU$999,Transport!$C53)/SUMIFS(BY_TRA!AK$2:AK$999,BY_TRA!$AT$2:$AT$999,Transport!$B53),0)</f>
        <v>0</v>
      </c>
      <c r="AD53" s="12">
        <f>IFERROR(SUMIFS(BY_TRA!AL$2:AL$999,BY_TRA!$AT$2:$AT$999,Transport!$B53,BY_TRA!$AU$2:$AU$999,Transport!$C53)/SUMIFS(BY_TRA!AL$2:AL$999,BY_TRA!$AT$2:$AT$999,Transport!$B53),0)</f>
        <v>0</v>
      </c>
      <c r="AE53" s="12">
        <f>IFERROR(SUMIFS(BY_TRA!AM$2:AM$999,BY_TRA!$AT$2:$AT$999,Transport!$B53,BY_TRA!$AU$2:$AU$999,Transport!$C53)/SUMIFS(BY_TRA!AM$2:AM$999,BY_TRA!$AT$2:$AT$999,Transport!$B53),0)</f>
        <v>3.2894736842105318E-3</v>
      </c>
      <c r="AF53" s="12">
        <f>IFERROR(SUMIFS(BY_TRA!AN$2:AN$999,BY_TRA!$AT$2:$AT$999,Transport!$B53,BY_TRA!$AU$2:$AU$999,Transport!$C53)/SUMIFS(BY_TRA!AN$2:AN$999,BY_TRA!$AT$2:$AT$999,Transport!$B53),0)</f>
        <v>5.1387461459403939E-4</v>
      </c>
      <c r="AG53" s="12">
        <f>IFERROR(SUMIFS(BY_TRA!AO$2:AO$999,BY_TRA!$AT$2:$AT$999,Transport!$B53,BY_TRA!$AU$2:$AU$999,Transport!$C53)/SUMIFS(BY_TRA!AO$2:AO$999,BY_TRA!$AT$2:$AT$999,Transport!$B53),0)</f>
        <v>0</v>
      </c>
      <c r="AH53" s="12">
        <f>IFERROR(SUMIFS(BY_TRA!AP$2:AP$999,BY_TRA!$AT$2:$AT$999,Transport!$B53,BY_TRA!$AU$2:$AU$999,Transport!$C53)/SUMIFS(BY_TRA!AP$2:AP$999,BY_TRA!$AT$2:$AT$999,Transport!$B53),0)</f>
        <v>0</v>
      </c>
      <c r="AI53" s="12">
        <f>IFERROR(SUMIFS(BY_TRA!AQ$2:AQ$999,BY_TRA!$AT$2:$AT$999,Transport!$B53,BY_TRA!$AU$2:$AU$999,Transport!$C53)/SUMIFS(BY_TRA!AQ$2:AQ$999,BY_TRA!$AT$2:$AT$999,Transport!$B53),0)</f>
        <v>0</v>
      </c>
    </row>
    <row r="54" spans="1:42">
      <c r="B54" t="s">
        <v>202</v>
      </c>
      <c r="C54" s="13" t="s">
        <v>199</v>
      </c>
      <c r="D54" s="12">
        <f>IFERROR(SUMIFS(BY_TRA!L$2:L$999,BY_TRA!$AT$2:$AT$999,Transport!$B54,BY_TRA!$AU$2:$AU$999,Transport!$C54)/SUMIFS(BY_TRA!L$2:L$999,BY_TRA!$AT$2:$AT$999,Transport!$B54),0)</f>
        <v>1.2158054711246218E-2</v>
      </c>
      <c r="E54" s="12">
        <f>IFERROR(SUMIFS(BY_TRA!M$2:M$999,BY_TRA!$AT$2:$AT$999,Transport!$B54,BY_TRA!$AU$2:$AU$999,Transport!$C54)/SUMIFS(BY_TRA!M$2:M$999,BY_TRA!$AT$2:$AT$999,Transport!$B54),0)</f>
        <v>0</v>
      </c>
      <c r="F54" s="12">
        <f>IFERROR(SUMIFS(BY_TRA!N$2:N$999,BY_TRA!$AT$2:$AT$999,Transport!$B54,BY_TRA!$AU$2:$AU$999,Transport!$C54)/SUMIFS(BY_TRA!N$2:N$999,BY_TRA!$AT$2:$AT$999,Transport!$B54),0)</f>
        <v>0.17293233082706785</v>
      </c>
      <c r="G54" s="12">
        <f>IFERROR(SUMIFS(BY_TRA!O$2:O$999,BY_TRA!$AT$2:$AT$999,Transport!$B54,BY_TRA!$AU$2:$AU$999,Transport!$C54)/SUMIFS(BY_TRA!O$2:O$999,BY_TRA!$AT$2:$AT$999,Transport!$B54),0)</f>
        <v>0.29207920792079167</v>
      </c>
      <c r="H54" s="12">
        <f>IFERROR(SUMIFS(BY_TRA!P$2:P$999,BY_TRA!$AT$2:$AT$999,Transport!$B54,BY_TRA!$AU$2:$AU$999,Transport!$C54)/SUMIFS(BY_TRA!P$2:P$999,BY_TRA!$AT$2:$AT$999,Transport!$B54),0)</f>
        <v>3.6764705882352954E-3</v>
      </c>
      <c r="I54" s="12">
        <f>IFERROR(SUMIFS(BY_TRA!Q$2:Q$999,BY_TRA!$AT$2:$AT$999,Transport!$B54,BY_TRA!$AU$2:$AU$999,Transport!$C54)/SUMIFS(BY_TRA!Q$2:Q$999,BY_TRA!$AT$2:$AT$999,Transport!$B54),0)</f>
        <v>1.5624999999999984E-2</v>
      </c>
      <c r="J54" s="12">
        <f>IFERROR(SUMIFS(BY_TRA!R$2:R$999,BY_TRA!$AT$2:$AT$999,Transport!$B54,BY_TRA!$AU$2:$AU$999,Transport!$C54)/SUMIFS(BY_TRA!R$2:R$999,BY_TRA!$AT$2:$AT$999,Transport!$B54),0)</f>
        <v>3.3003300330033043E-3</v>
      </c>
      <c r="K54" s="12">
        <f>IFERROR(SUMIFS(BY_TRA!S$2:S$999,BY_TRA!$AT$2:$AT$999,Transport!$B54,BY_TRA!$AU$2:$AU$999,Transport!$C54)/SUMIFS(BY_TRA!S$2:S$999,BY_TRA!$AT$2:$AT$999,Transport!$B54),0)</f>
        <v>5.3012048192771159E-2</v>
      </c>
      <c r="L54" s="12">
        <f>IFERROR(SUMIFS(BY_TRA!T$2:T$999,BY_TRA!$AT$2:$AT$999,Transport!$B54,BY_TRA!$AU$2:$AU$999,Transport!$C54)/SUMIFS(BY_TRA!T$2:T$999,BY_TRA!$AT$2:$AT$999,Transport!$B54),0)</f>
        <v>0</v>
      </c>
      <c r="M54" s="12">
        <f>IFERROR(SUMIFS(BY_TRA!U$2:U$999,BY_TRA!$AT$2:$AT$999,Transport!$B54,BY_TRA!$AU$2:$AU$999,Transport!$C54)/SUMIFS(BY_TRA!U$2:U$999,BY_TRA!$AT$2:$AT$999,Transport!$B54),0)</f>
        <v>0.10660562459123626</v>
      </c>
      <c r="N54" s="12">
        <f>IFERROR(SUMIFS(BY_TRA!V$2:V$999,BY_TRA!$AT$2:$AT$999,Transport!$B54,BY_TRA!$AU$2:$AU$999,Transport!$C54)/SUMIFS(BY_TRA!V$2:V$999,BY_TRA!$AT$2:$AT$999,Transport!$B54),0)</f>
        <v>0</v>
      </c>
      <c r="O54" s="12">
        <f>IFERROR(SUMIFS(BY_TRA!W$2:W$999,BY_TRA!$AT$2:$AT$999,Transport!$B54,BY_TRA!$AU$2:$AU$999,Transport!$C54)/SUMIFS(BY_TRA!W$2:W$999,BY_TRA!$AT$2:$AT$999,Transport!$B54),0)</f>
        <v>0</v>
      </c>
      <c r="P54" s="12">
        <f>IFERROR(SUMIFS(BY_TRA!X$2:X$999,BY_TRA!$AT$2:$AT$999,Transport!$B54,BY_TRA!$AU$2:$AU$999,Transport!$C54)/SUMIFS(BY_TRA!X$2:X$999,BY_TRA!$AT$2:$AT$999,Transport!$B54),0)</f>
        <v>0</v>
      </c>
      <c r="Q54" s="12">
        <f>IFERROR(SUMIFS(BY_TRA!Y$2:Y$999,BY_TRA!$AT$2:$AT$999,Transport!$B54,BY_TRA!$AU$2:$AU$999,Transport!$C54)/SUMIFS(BY_TRA!Y$2:Y$999,BY_TRA!$AT$2:$AT$999,Transport!$B54),0)</f>
        <v>0</v>
      </c>
      <c r="R54" s="12">
        <f>IFERROR(SUMIFS(BY_TRA!Z$2:Z$999,BY_TRA!$AT$2:$AT$999,Transport!$B54,BY_TRA!$AU$2:$AU$999,Transport!$C54)/SUMIFS(BY_TRA!Z$2:Z$999,BY_TRA!$AT$2:$AT$999,Transport!$B54),0)</f>
        <v>0</v>
      </c>
      <c r="S54" s="12">
        <f>IFERROR(SUMIFS(BY_TRA!AA$2:AA$999,BY_TRA!$AT$2:$AT$999,Transport!$B54,BY_TRA!$AU$2:$AU$999,Transport!$C54)/SUMIFS(BY_TRA!AA$2:AA$999,BY_TRA!$AT$2:$AT$999,Transport!$B54),0)</f>
        <v>0</v>
      </c>
      <c r="T54" s="12">
        <f>IFERROR(SUMIFS(BY_TRA!AB$2:AB$999,BY_TRA!$AT$2:$AT$999,Transport!$B54,BY_TRA!$AU$2:$AU$999,Transport!$C54)/SUMIFS(BY_TRA!AB$2:AB$999,BY_TRA!$AT$2:$AT$999,Transport!$B54),0)</f>
        <v>0</v>
      </c>
      <c r="U54" s="12">
        <f>IFERROR(SUMIFS(BY_TRA!AC$2:AC$999,BY_TRA!$AT$2:$AT$999,Transport!$B54,BY_TRA!$AU$2:$AU$999,Transport!$C54)/SUMIFS(BY_TRA!AC$2:AC$999,BY_TRA!$AT$2:$AT$999,Transport!$B54),0)</f>
        <v>0</v>
      </c>
      <c r="V54" s="12">
        <f>IFERROR(SUMIFS(BY_TRA!AD$2:AD$999,BY_TRA!$AT$2:$AT$999,Transport!$B54,BY_TRA!$AU$2:$AU$999,Transport!$C54)/SUMIFS(BY_TRA!AD$2:AD$999,BY_TRA!$AT$2:$AT$999,Transport!$B54),0)</f>
        <v>0</v>
      </c>
      <c r="W54" s="12">
        <f>IFERROR(SUMIFS(BY_TRA!AE$2:AE$999,BY_TRA!$AT$2:$AT$999,Transport!$B54,BY_TRA!$AU$2:$AU$999,Transport!$C54)/SUMIFS(BY_TRA!AE$2:AE$999,BY_TRA!$AT$2:$AT$999,Transport!$B54),0)</f>
        <v>3.3379694019471481E-2</v>
      </c>
      <c r="X54" s="12">
        <f>IFERROR(SUMIFS(BY_TRA!AF$2:AF$999,BY_TRA!$AT$2:$AT$999,Transport!$B54,BY_TRA!$AU$2:$AU$999,Transport!$C54)/SUMIFS(BY_TRA!AF$2:AF$999,BY_TRA!$AT$2:$AT$999,Transport!$B54),0)</f>
        <v>7.1174377224199378E-2</v>
      </c>
      <c r="Y54" s="12">
        <f>IFERROR(SUMIFS(BY_TRA!AG$2:AG$999,BY_TRA!$AT$2:$AT$999,Transport!$B54,BY_TRA!$AU$2:$AU$999,Transport!$C54)/SUMIFS(BY_TRA!AG$2:AG$999,BY_TRA!$AT$2:$AT$999,Transport!$B54),0)</f>
        <v>0</v>
      </c>
      <c r="Z54" s="12">
        <f>IFERROR(SUMIFS(BY_TRA!AH$2:AH$999,BY_TRA!$AT$2:$AT$999,Transport!$B54,BY_TRA!$AU$2:$AU$999,Transport!$C54)/SUMIFS(BY_TRA!AH$2:AH$999,BY_TRA!$AT$2:$AT$999,Transport!$B54),0)</f>
        <v>0</v>
      </c>
      <c r="AA54" s="12">
        <f>IFERROR(SUMIFS(BY_TRA!AI$2:AI$999,BY_TRA!$AT$2:$AT$999,Transport!$B54,BY_TRA!$AU$2:$AU$999,Transport!$C54)/SUMIFS(BY_TRA!AI$2:AI$999,BY_TRA!$AT$2:$AT$999,Transport!$B54),0)</f>
        <v>0</v>
      </c>
      <c r="AB54" s="12">
        <f>IFERROR(SUMIFS(BY_TRA!AJ$2:AJ$999,BY_TRA!$AT$2:$AT$999,Transport!$B54,BY_TRA!$AU$2:$AU$999,Transport!$C54)/SUMIFS(BY_TRA!AJ$2:AJ$999,BY_TRA!$AT$2:$AT$999,Transport!$B54),0)</f>
        <v>5.9880239520958053E-3</v>
      </c>
      <c r="AC54" s="12">
        <f>IFERROR(SUMIFS(BY_TRA!AK$2:AK$999,BY_TRA!$AT$2:$AT$999,Transport!$B54,BY_TRA!$AU$2:$AU$999,Transport!$C54)/SUMIFS(BY_TRA!AK$2:AK$999,BY_TRA!$AT$2:$AT$999,Transport!$B54),0)</f>
        <v>0</v>
      </c>
      <c r="AD54" s="12">
        <f>IFERROR(SUMIFS(BY_TRA!AL$2:AL$999,BY_TRA!$AT$2:$AT$999,Transport!$B54,BY_TRA!$AU$2:$AU$999,Transport!$C54)/SUMIFS(BY_TRA!AL$2:AL$999,BY_TRA!$AT$2:$AT$999,Transport!$B54),0)</f>
        <v>0</v>
      </c>
      <c r="AE54" s="12">
        <f>IFERROR(SUMIFS(BY_TRA!AM$2:AM$999,BY_TRA!$AT$2:$AT$999,Transport!$B54,BY_TRA!$AU$2:$AU$999,Transport!$C54)/SUMIFS(BY_TRA!AM$2:AM$999,BY_TRA!$AT$2:$AT$999,Transport!$B54),0)</f>
        <v>0</v>
      </c>
      <c r="AF54" s="12">
        <f>IFERROR(SUMIFS(BY_TRA!AN$2:AN$999,BY_TRA!$AT$2:$AT$999,Transport!$B54,BY_TRA!$AU$2:$AU$999,Transport!$C54)/SUMIFS(BY_TRA!AN$2:AN$999,BY_TRA!$AT$2:$AT$999,Transport!$B54),0)</f>
        <v>2.569373072970197E-4</v>
      </c>
      <c r="AG54" s="12">
        <f>IFERROR(SUMIFS(BY_TRA!AO$2:AO$999,BY_TRA!$AT$2:$AT$999,Transport!$B54,BY_TRA!$AU$2:$AU$999,Transport!$C54)/SUMIFS(BY_TRA!AO$2:AO$999,BY_TRA!$AT$2:$AT$999,Transport!$B54),0)</f>
        <v>0</v>
      </c>
      <c r="AH54" s="12">
        <f>IFERROR(SUMIFS(BY_TRA!AP$2:AP$999,BY_TRA!$AT$2:$AT$999,Transport!$B54,BY_TRA!$AU$2:$AU$999,Transport!$C54)/SUMIFS(BY_TRA!AP$2:AP$999,BY_TRA!$AT$2:$AT$999,Transport!$B54),0)</f>
        <v>0</v>
      </c>
      <c r="AI54" s="12">
        <f>IFERROR(SUMIFS(BY_TRA!AQ$2:AQ$999,BY_TRA!$AT$2:$AT$999,Transport!$B54,BY_TRA!$AU$2:$AU$999,Transport!$C54)/SUMIFS(BY_TRA!AQ$2:AQ$999,BY_TRA!$AT$2:$AT$999,Transport!$B54),0)</f>
        <v>0</v>
      </c>
    </row>
    <row r="57" spans="1:42">
      <c r="A57" t="s">
        <v>204</v>
      </c>
    </row>
    <row r="58" spans="1:42">
      <c r="A58" t="s">
        <v>52</v>
      </c>
      <c r="B58" t="s">
        <v>4</v>
      </c>
      <c r="C58" t="s">
        <v>49</v>
      </c>
      <c r="D58" t="str">
        <f>D23</f>
        <v>Africa_north</v>
      </c>
      <c r="E58" t="str">
        <f t="shared" ref="E58:AK58" si="3">E23</f>
        <v>Africa_other</v>
      </c>
      <c r="F58" t="str">
        <f t="shared" si="3"/>
        <v>Arg-Chi</v>
      </c>
      <c r="G58" t="str">
        <f t="shared" si="3"/>
        <v>Asia_central</v>
      </c>
      <c r="H58" t="str">
        <f t="shared" si="3"/>
        <v>Asia_east</v>
      </c>
      <c r="I58" t="str">
        <f t="shared" si="3"/>
        <v>Asia_other</v>
      </c>
      <c r="J58" t="str">
        <f t="shared" si="3"/>
        <v>Australia_NZ</v>
      </c>
      <c r="K58" t="str">
        <f t="shared" si="3"/>
        <v>Brazil</v>
      </c>
      <c r="L58" t="str">
        <f t="shared" si="3"/>
        <v>Canada</v>
      </c>
      <c r="M58" t="str">
        <f t="shared" si="3"/>
        <v>China</v>
      </c>
      <c r="N58" t="str">
        <f t="shared" si="3"/>
        <v>EU_north</v>
      </c>
      <c r="O58" t="str">
        <f t="shared" si="3"/>
        <v>EU_northeast</v>
      </c>
      <c r="P58" t="str">
        <f t="shared" si="3"/>
        <v>EU_northwest</v>
      </c>
      <c r="Q58" t="str">
        <f t="shared" si="3"/>
        <v>EU_south</v>
      </c>
      <c r="R58" t="str">
        <f t="shared" si="3"/>
        <v>EU_southeast</v>
      </c>
      <c r="S58" t="str">
        <f t="shared" si="3"/>
        <v>EU_southwest</v>
      </c>
      <c r="T58" t="str">
        <f t="shared" si="3"/>
        <v>Europe_other</v>
      </c>
      <c r="U58" t="str">
        <f t="shared" si="3"/>
        <v>France</v>
      </c>
      <c r="V58" t="str">
        <f t="shared" si="3"/>
        <v>Germany</v>
      </c>
      <c r="W58" t="str">
        <f t="shared" si="3"/>
        <v>India</v>
      </c>
      <c r="X58" t="str">
        <f t="shared" si="3"/>
        <v>LatAm_other</v>
      </c>
      <c r="Y58" t="str">
        <f t="shared" si="3"/>
        <v>Mexico</v>
      </c>
      <c r="Z58" t="str">
        <f t="shared" si="3"/>
        <v>MidEast_other</v>
      </c>
      <c r="AA58" t="str">
        <f t="shared" si="3"/>
        <v>Nor-Ice</v>
      </c>
      <c r="AB58" t="str">
        <f t="shared" si="3"/>
        <v>Russia</v>
      </c>
      <c r="AC58" t="str">
        <f t="shared" si="3"/>
        <v>SaudiArabia</v>
      </c>
      <c r="AD58" t="str">
        <f t="shared" si="3"/>
        <v>SouthAfrica</v>
      </c>
      <c r="AE58" t="str">
        <f t="shared" si="3"/>
        <v>UK</v>
      </c>
      <c r="AF58" t="str">
        <f t="shared" si="3"/>
        <v>USA</v>
      </c>
      <c r="AG58" t="str">
        <f t="shared" si="3"/>
        <v>year2</v>
      </c>
      <c r="AH58" t="str">
        <f t="shared" si="3"/>
        <v>\I:</v>
      </c>
      <c r="AI58" t="str">
        <f t="shared" si="3"/>
        <v>\I:</v>
      </c>
      <c r="AJ58" t="str">
        <f t="shared" si="3"/>
        <v>\I:</v>
      </c>
      <c r="AK58" t="str">
        <f t="shared" si="3"/>
        <v>\I:</v>
      </c>
      <c r="AL58" t="s">
        <v>54</v>
      </c>
      <c r="AM58" t="s">
        <v>50</v>
      </c>
      <c r="AN58" t="s">
        <v>51</v>
      </c>
    </row>
    <row r="59" spans="1:42">
      <c r="A59">
        <v>2025</v>
      </c>
      <c r="B59" t="str">
        <f>"Trd_"&amp;B36</f>
        <v>Trd_bus</v>
      </c>
      <c r="C59" t="str">
        <f>"*"&amp;C36</f>
        <v>*nga</v>
      </c>
      <c r="D59">
        <f>D36*$AP59</f>
        <v>2.9333333333333399E-2</v>
      </c>
      <c r="E59" s="12">
        <f t="shared" ref="E59:AK59" si="4">E36*$AP59</f>
        <v>0</v>
      </c>
      <c r="F59" s="12">
        <f t="shared" si="4"/>
        <v>0.32352941176470584</v>
      </c>
      <c r="G59" s="12">
        <f t="shared" si="4"/>
        <v>0</v>
      </c>
      <c r="H59" s="12">
        <f t="shared" si="4"/>
        <v>0</v>
      </c>
      <c r="I59" s="12">
        <f t="shared" si="4"/>
        <v>2.3655913978494689E-2</v>
      </c>
      <c r="J59" s="12">
        <f t="shared" si="4"/>
        <v>0</v>
      </c>
      <c r="K59" s="12">
        <f t="shared" si="4"/>
        <v>9.5652173913043773E-2</v>
      </c>
      <c r="L59" s="12">
        <f t="shared" si="4"/>
        <v>0</v>
      </c>
      <c r="M59" s="12">
        <f t="shared" si="4"/>
        <v>0.24256410256410219</v>
      </c>
      <c r="N59" s="12">
        <f t="shared" si="4"/>
        <v>0</v>
      </c>
      <c r="O59" s="12">
        <f t="shared" si="4"/>
        <v>3.1428571428571535E-2</v>
      </c>
      <c r="P59" s="12">
        <f t="shared" si="4"/>
        <v>0</v>
      </c>
      <c r="Q59" s="12">
        <f t="shared" si="4"/>
        <v>0.13750000000000001</v>
      </c>
      <c r="R59" s="12">
        <f t="shared" si="4"/>
        <v>7.3333333333333334E-2</v>
      </c>
      <c r="S59" s="12">
        <f t="shared" si="4"/>
        <v>0</v>
      </c>
      <c r="T59" s="12">
        <f t="shared" si="4"/>
        <v>0</v>
      </c>
      <c r="U59" s="12">
        <f t="shared" si="4"/>
        <v>0</v>
      </c>
      <c r="V59" s="12">
        <f t="shared" si="4"/>
        <v>0</v>
      </c>
      <c r="W59" s="12">
        <f t="shared" si="4"/>
        <v>0.13240740740740733</v>
      </c>
      <c r="X59" s="12">
        <f t="shared" si="4"/>
        <v>0.13750000000000001</v>
      </c>
      <c r="Y59" s="12">
        <f t="shared" si="4"/>
        <v>0</v>
      </c>
      <c r="Z59" s="12">
        <f t="shared" si="4"/>
        <v>0.29333333333333328</v>
      </c>
      <c r="AA59" s="12">
        <f t="shared" si="4"/>
        <v>0</v>
      </c>
      <c r="AB59" s="12">
        <f t="shared" si="4"/>
        <v>0</v>
      </c>
      <c r="AC59" s="12">
        <f t="shared" si="4"/>
        <v>0</v>
      </c>
      <c r="AD59" s="12">
        <f t="shared" si="4"/>
        <v>0</v>
      </c>
      <c r="AE59" s="12">
        <f t="shared" si="4"/>
        <v>0</v>
      </c>
      <c r="AF59" s="12">
        <f t="shared" si="4"/>
        <v>0</v>
      </c>
      <c r="AG59" s="12">
        <f t="shared" si="4"/>
        <v>0</v>
      </c>
      <c r="AH59" s="12">
        <f t="shared" si="4"/>
        <v>0</v>
      </c>
      <c r="AI59" s="12">
        <f t="shared" si="4"/>
        <v>0</v>
      </c>
      <c r="AJ59" s="12">
        <f t="shared" si="4"/>
        <v>0</v>
      </c>
      <c r="AK59" s="12">
        <f t="shared" si="4"/>
        <v>0</v>
      </c>
      <c r="AL59" t="s">
        <v>55</v>
      </c>
      <c r="AM59" t="str">
        <f>B59</f>
        <v>Trd_bus</v>
      </c>
      <c r="AN59" t="s">
        <v>203</v>
      </c>
      <c r="AP59">
        <v>1.1000000000000001</v>
      </c>
    </row>
    <row r="60" spans="1:42">
      <c r="A60">
        <v>2025</v>
      </c>
      <c r="B60" t="str">
        <f>"Trd_"&amp;B43</f>
        <v>Trd_car</v>
      </c>
      <c r="C60" t="str">
        <f>"*"&amp;C43</f>
        <v>*nga</v>
      </c>
      <c r="D60">
        <f>D43*$AP60</f>
        <v>9.2609915809167467E-3</v>
      </c>
      <c r="E60" s="12">
        <f t="shared" ref="E60:AK60" si="5">E43*$AP60</f>
        <v>0</v>
      </c>
      <c r="F60" s="12">
        <f t="shared" si="5"/>
        <v>9.3694690265486727E-2</v>
      </c>
      <c r="G60" s="12">
        <f t="shared" si="5"/>
        <v>0.26329032258064533</v>
      </c>
      <c r="H60" s="12">
        <f t="shared" si="5"/>
        <v>2.4045226130653206E-2</v>
      </c>
      <c r="I60" s="12">
        <f t="shared" si="5"/>
        <v>6.2353808871562555E-2</v>
      </c>
      <c r="J60" s="12">
        <f t="shared" si="5"/>
        <v>1.3692946058091299E-3</v>
      </c>
      <c r="K60" s="12">
        <f t="shared" si="5"/>
        <v>3.5552226027397292E-2</v>
      </c>
      <c r="L60" s="12">
        <f t="shared" si="5"/>
        <v>1.1328527291452097E-3</v>
      </c>
      <c r="M60" s="12">
        <f t="shared" si="5"/>
        <v>8.4440786423073261E-2</v>
      </c>
      <c r="N60" s="12">
        <f t="shared" si="5"/>
        <v>9.231762427372529E-3</v>
      </c>
      <c r="O60" s="12">
        <f t="shared" si="5"/>
        <v>0</v>
      </c>
      <c r="P60" s="12">
        <f t="shared" si="5"/>
        <v>3.7372593431483484E-3</v>
      </c>
      <c r="Q60" s="12">
        <f t="shared" si="5"/>
        <v>2.6621490803484978E-2</v>
      </c>
      <c r="R60" s="12">
        <f t="shared" si="5"/>
        <v>0</v>
      </c>
      <c r="S60" s="12">
        <f t="shared" si="5"/>
        <v>7.2109654350417255E-3</v>
      </c>
      <c r="T60" s="12">
        <f t="shared" si="5"/>
        <v>7.4123989218329005E-3</v>
      </c>
      <c r="U60" s="12">
        <f t="shared" si="5"/>
        <v>4.5311364187061009E-3</v>
      </c>
      <c r="V60" s="12">
        <f t="shared" si="5"/>
        <v>3.8025734588054464E-3</v>
      </c>
      <c r="W60" s="12">
        <f t="shared" si="5"/>
        <v>2.5176862255513896E-2</v>
      </c>
      <c r="X60" s="12">
        <f t="shared" si="5"/>
        <v>2.9512724403235338E-2</v>
      </c>
      <c r="Y60" s="12">
        <f t="shared" si="5"/>
        <v>7.8069552874379037E-4</v>
      </c>
      <c r="Z60" s="12">
        <f t="shared" si="5"/>
        <v>9.9088627658169143E-2</v>
      </c>
      <c r="AA60" s="12">
        <f t="shared" si="5"/>
        <v>1.6708860759493654E-2</v>
      </c>
      <c r="AB60" s="12">
        <f t="shared" si="5"/>
        <v>5.6780854059127186E-3</v>
      </c>
      <c r="AC60" s="12">
        <f t="shared" si="5"/>
        <v>0</v>
      </c>
      <c r="AD60" s="12">
        <f t="shared" si="5"/>
        <v>0</v>
      </c>
      <c r="AE60" s="12">
        <f t="shared" si="5"/>
        <v>2.6627935124667212E-4</v>
      </c>
      <c r="AF60" s="12">
        <f t="shared" si="5"/>
        <v>3.6402041894032736E-3</v>
      </c>
      <c r="AG60" s="12">
        <f t="shared" si="5"/>
        <v>0</v>
      </c>
      <c r="AH60" s="12">
        <f t="shared" si="5"/>
        <v>0</v>
      </c>
      <c r="AI60" s="12">
        <f t="shared" si="5"/>
        <v>0</v>
      </c>
      <c r="AJ60" s="12">
        <f t="shared" si="5"/>
        <v>0</v>
      </c>
      <c r="AK60" s="12">
        <f t="shared" si="5"/>
        <v>0</v>
      </c>
      <c r="AL60" t="s">
        <v>55</v>
      </c>
      <c r="AM60" t="str">
        <f t="shared" ref="AM60:AM61" si="6">B60</f>
        <v>Trd_car</v>
      </c>
      <c r="AN60" t="s">
        <v>203</v>
      </c>
      <c r="AP60">
        <v>1.1000000000000001</v>
      </c>
    </row>
    <row r="61" spans="1:42">
      <c r="A61">
        <v>2025</v>
      </c>
      <c r="B61" t="str">
        <f>"Trd_"&amp;B54</f>
        <v>Trd_lcv</v>
      </c>
      <c r="C61" t="str">
        <f>"*"&amp;C54</f>
        <v>*nga</v>
      </c>
      <c r="D61">
        <f>D54*$AP61</f>
        <v>1.337386018237084E-2</v>
      </c>
      <c r="E61" s="12">
        <f t="shared" ref="E61:AK61" si="7">E54*$AP61</f>
        <v>0</v>
      </c>
      <c r="F61" s="12">
        <f t="shared" si="7"/>
        <v>0.19022556390977466</v>
      </c>
      <c r="G61" s="12">
        <f t="shared" si="7"/>
        <v>0.32128712871287085</v>
      </c>
      <c r="H61" s="12">
        <f t="shared" si="7"/>
        <v>4.0441176470588256E-3</v>
      </c>
      <c r="I61" s="12">
        <f t="shared" si="7"/>
        <v>1.7187499999999984E-2</v>
      </c>
      <c r="J61" s="12">
        <f t="shared" si="7"/>
        <v>3.6303630363036352E-3</v>
      </c>
      <c r="K61" s="12">
        <f t="shared" si="7"/>
        <v>5.8313253012048281E-2</v>
      </c>
      <c r="L61" s="12">
        <f t="shared" si="7"/>
        <v>0</v>
      </c>
      <c r="M61" s="12">
        <f t="shared" si="7"/>
        <v>0.1172661870503599</v>
      </c>
      <c r="N61" s="12">
        <f t="shared" si="7"/>
        <v>0</v>
      </c>
      <c r="O61" s="12">
        <f t="shared" si="7"/>
        <v>0</v>
      </c>
      <c r="P61" s="12">
        <f t="shared" si="7"/>
        <v>0</v>
      </c>
      <c r="Q61" s="12">
        <f t="shared" si="7"/>
        <v>0</v>
      </c>
      <c r="R61" s="12">
        <f t="shared" si="7"/>
        <v>0</v>
      </c>
      <c r="S61" s="12">
        <f t="shared" si="7"/>
        <v>0</v>
      </c>
      <c r="T61" s="12">
        <f t="shared" si="7"/>
        <v>0</v>
      </c>
      <c r="U61" s="12">
        <f t="shared" si="7"/>
        <v>0</v>
      </c>
      <c r="V61" s="12">
        <f t="shared" si="7"/>
        <v>0</v>
      </c>
      <c r="W61" s="12">
        <f t="shared" si="7"/>
        <v>3.6717663421418634E-2</v>
      </c>
      <c r="X61" s="12">
        <f t="shared" si="7"/>
        <v>7.8291814946619326E-2</v>
      </c>
      <c r="Y61" s="12">
        <f t="shared" si="7"/>
        <v>0</v>
      </c>
      <c r="Z61" s="12">
        <f t="shared" si="7"/>
        <v>0</v>
      </c>
      <c r="AA61" s="12">
        <f t="shared" si="7"/>
        <v>0</v>
      </c>
      <c r="AB61" s="12">
        <f t="shared" si="7"/>
        <v>6.5868263473053863E-3</v>
      </c>
      <c r="AC61" s="12">
        <f t="shared" si="7"/>
        <v>0</v>
      </c>
      <c r="AD61" s="12">
        <f t="shared" si="7"/>
        <v>0</v>
      </c>
      <c r="AE61" s="12">
        <f t="shared" si="7"/>
        <v>0</v>
      </c>
      <c r="AF61" s="12">
        <f t="shared" si="7"/>
        <v>2.8263103802672168E-4</v>
      </c>
      <c r="AG61" s="12">
        <f t="shared" si="7"/>
        <v>0</v>
      </c>
      <c r="AH61" s="12">
        <f t="shared" si="7"/>
        <v>0</v>
      </c>
      <c r="AI61" s="12">
        <f t="shared" si="7"/>
        <v>0</v>
      </c>
      <c r="AJ61" s="12">
        <f t="shared" si="7"/>
        <v>0</v>
      </c>
      <c r="AK61" s="12">
        <f t="shared" si="7"/>
        <v>0</v>
      </c>
      <c r="AL61" t="s">
        <v>55</v>
      </c>
      <c r="AM61" t="str">
        <f t="shared" si="6"/>
        <v>Trd_lcv</v>
      </c>
      <c r="AN61" t="s">
        <v>203</v>
      </c>
      <c r="AP61">
        <v>1.1000000000000001</v>
      </c>
    </row>
    <row r="62" spans="1:42">
      <c r="A62">
        <v>2050</v>
      </c>
      <c r="B62" t="str">
        <f>B59</f>
        <v>Trd_bus</v>
      </c>
      <c r="C62" t="str">
        <f>C59</f>
        <v>*nga</v>
      </c>
      <c r="D62" s="12">
        <f>D36*$AP62</f>
        <v>4.0000000000000084E-2</v>
      </c>
      <c r="E62" s="12">
        <f t="shared" ref="E62:AK62" si="8">E36*$AP62</f>
        <v>0</v>
      </c>
      <c r="F62" s="12">
        <f t="shared" si="8"/>
        <v>0.44117647058823523</v>
      </c>
      <c r="G62" s="12">
        <f t="shared" si="8"/>
        <v>0</v>
      </c>
      <c r="H62" s="12">
        <f t="shared" si="8"/>
        <v>0</v>
      </c>
      <c r="I62" s="12">
        <f t="shared" si="8"/>
        <v>3.2258064516129115E-2</v>
      </c>
      <c r="J62" s="12">
        <f t="shared" si="8"/>
        <v>0</v>
      </c>
      <c r="K62" s="12">
        <f t="shared" si="8"/>
        <v>0.13043478260869604</v>
      </c>
      <c r="L62" s="12">
        <f t="shared" si="8"/>
        <v>0</v>
      </c>
      <c r="M62" s="12">
        <f t="shared" si="8"/>
        <v>0.3307692307692302</v>
      </c>
      <c r="N62" s="12">
        <f t="shared" si="8"/>
        <v>0</v>
      </c>
      <c r="O62" s="12">
        <f t="shared" si="8"/>
        <v>4.2857142857142996E-2</v>
      </c>
      <c r="P62" s="12">
        <f t="shared" si="8"/>
        <v>0</v>
      </c>
      <c r="Q62" s="12">
        <f t="shared" si="8"/>
        <v>0.1875</v>
      </c>
      <c r="R62" s="12">
        <f t="shared" si="8"/>
        <v>0.1</v>
      </c>
      <c r="S62" s="12">
        <f t="shared" si="8"/>
        <v>0</v>
      </c>
      <c r="T62" s="12">
        <f t="shared" si="8"/>
        <v>0</v>
      </c>
      <c r="U62" s="12">
        <f t="shared" si="8"/>
        <v>0</v>
      </c>
      <c r="V62" s="12">
        <f t="shared" si="8"/>
        <v>0</v>
      </c>
      <c r="W62" s="12">
        <f t="shared" si="8"/>
        <v>0.18055555555555544</v>
      </c>
      <c r="X62" s="12">
        <f t="shared" si="8"/>
        <v>0.1875</v>
      </c>
      <c r="Y62" s="12">
        <f t="shared" si="8"/>
        <v>0</v>
      </c>
      <c r="Z62" s="12">
        <f t="shared" si="8"/>
        <v>0.39999999999999991</v>
      </c>
      <c r="AA62" s="12">
        <f t="shared" si="8"/>
        <v>0</v>
      </c>
      <c r="AB62" s="12">
        <f t="shared" si="8"/>
        <v>0</v>
      </c>
      <c r="AC62" s="12">
        <f t="shared" si="8"/>
        <v>0</v>
      </c>
      <c r="AD62" s="12">
        <f t="shared" si="8"/>
        <v>0</v>
      </c>
      <c r="AE62" s="12">
        <f t="shared" si="8"/>
        <v>0</v>
      </c>
      <c r="AF62" s="12">
        <f t="shared" si="8"/>
        <v>0</v>
      </c>
      <c r="AG62" s="12">
        <f t="shared" si="8"/>
        <v>0</v>
      </c>
      <c r="AH62" s="12">
        <f t="shared" si="8"/>
        <v>0</v>
      </c>
      <c r="AI62" s="12">
        <f t="shared" si="8"/>
        <v>0</v>
      </c>
      <c r="AJ62" s="12">
        <f t="shared" si="8"/>
        <v>0</v>
      </c>
      <c r="AK62" s="12">
        <f t="shared" si="8"/>
        <v>0</v>
      </c>
      <c r="AL62" t="s">
        <v>55</v>
      </c>
      <c r="AM62" s="12" t="str">
        <f>AM59</f>
        <v>Trd_bus</v>
      </c>
      <c r="AN62" s="12" t="str">
        <f t="shared" ref="AN62:AN67" si="9">AN59</f>
        <v>CNGVeh</v>
      </c>
      <c r="AP62">
        <v>1.5</v>
      </c>
    </row>
    <row r="63" spans="1:42">
      <c r="A63">
        <v>2050</v>
      </c>
      <c r="B63" t="str">
        <f t="shared" ref="B63:B64" si="10">B60</f>
        <v>Trd_car</v>
      </c>
      <c r="C63" t="str">
        <f t="shared" ref="C63:C67" si="11">C60</f>
        <v>*nga</v>
      </c>
      <c r="D63" s="12">
        <f>D43*$AP63</f>
        <v>1.262862488306829E-2</v>
      </c>
      <c r="E63" s="12">
        <f t="shared" ref="E63:AK63" si="12">E43*$AP63</f>
        <v>0</v>
      </c>
      <c r="F63" s="12">
        <f t="shared" si="12"/>
        <v>0.12776548672566371</v>
      </c>
      <c r="G63" s="12">
        <f t="shared" si="12"/>
        <v>0.35903225806451633</v>
      </c>
      <c r="H63" s="12">
        <f t="shared" si="12"/>
        <v>3.2788944723618006E-2</v>
      </c>
      <c r="I63" s="12">
        <f t="shared" si="12"/>
        <v>8.5027921188494379E-2</v>
      </c>
      <c r="J63" s="12">
        <f t="shared" si="12"/>
        <v>1.8672199170124497E-3</v>
      </c>
      <c r="K63" s="12">
        <f t="shared" si="12"/>
        <v>4.848030821917812E-2</v>
      </c>
      <c r="L63" s="12">
        <f t="shared" si="12"/>
        <v>1.5447991761071041E-3</v>
      </c>
      <c r="M63" s="12">
        <f t="shared" si="12"/>
        <v>0.11514652694055444</v>
      </c>
      <c r="N63" s="12">
        <f t="shared" si="12"/>
        <v>1.2588766946417083E-2</v>
      </c>
      <c r="O63" s="12">
        <f t="shared" si="12"/>
        <v>0</v>
      </c>
      <c r="P63" s="12">
        <f t="shared" si="12"/>
        <v>5.0962627406568387E-3</v>
      </c>
      <c r="Q63" s="12">
        <f t="shared" si="12"/>
        <v>3.6302032913843152E-2</v>
      </c>
      <c r="R63" s="12">
        <f t="shared" si="12"/>
        <v>0</v>
      </c>
      <c r="S63" s="12">
        <f t="shared" si="12"/>
        <v>9.8331346841478064E-3</v>
      </c>
      <c r="T63" s="12">
        <f t="shared" si="12"/>
        <v>1.0107816711590318E-2</v>
      </c>
      <c r="U63" s="12">
        <f t="shared" si="12"/>
        <v>6.1788223891446822E-3</v>
      </c>
      <c r="V63" s="12">
        <f t="shared" si="12"/>
        <v>5.1853274438256082E-3</v>
      </c>
      <c r="W63" s="12">
        <f t="shared" si="12"/>
        <v>3.4332084893882585E-2</v>
      </c>
      <c r="X63" s="12">
        <f t="shared" si="12"/>
        <v>4.0244624186230003E-2</v>
      </c>
      <c r="Y63" s="12">
        <f t="shared" si="12"/>
        <v>1.0645848119233505E-3</v>
      </c>
      <c r="Z63" s="12">
        <f t="shared" si="12"/>
        <v>0.13512085589750336</v>
      </c>
      <c r="AA63" s="12">
        <f t="shared" si="12"/>
        <v>2.2784810126582254E-2</v>
      </c>
      <c r="AB63" s="12">
        <f t="shared" si="12"/>
        <v>7.7428437353355244E-3</v>
      </c>
      <c r="AC63" s="12">
        <f t="shared" si="12"/>
        <v>0</v>
      </c>
      <c r="AD63" s="12">
        <f t="shared" si="12"/>
        <v>0</v>
      </c>
      <c r="AE63" s="12">
        <f t="shared" si="12"/>
        <v>3.6310820624546196E-4</v>
      </c>
      <c r="AF63" s="12">
        <f t="shared" si="12"/>
        <v>4.9639148037317364E-3</v>
      </c>
      <c r="AG63" s="12">
        <f t="shared" si="12"/>
        <v>0</v>
      </c>
      <c r="AH63" s="12">
        <f t="shared" si="12"/>
        <v>0</v>
      </c>
      <c r="AI63" s="12">
        <f t="shared" si="12"/>
        <v>0</v>
      </c>
      <c r="AJ63" s="12">
        <f t="shared" si="12"/>
        <v>0</v>
      </c>
      <c r="AK63" s="12">
        <f t="shared" si="12"/>
        <v>0</v>
      </c>
      <c r="AL63" t="s">
        <v>55</v>
      </c>
      <c r="AM63" s="12" t="str">
        <f t="shared" ref="AM63" si="13">AM60</f>
        <v>Trd_car</v>
      </c>
      <c r="AN63" s="12" t="str">
        <f t="shared" si="9"/>
        <v>CNGVeh</v>
      </c>
      <c r="AP63">
        <v>1.5</v>
      </c>
    </row>
    <row r="64" spans="1:42">
      <c r="A64">
        <v>2050</v>
      </c>
      <c r="B64" t="str">
        <f t="shared" si="10"/>
        <v>Trd_lcv</v>
      </c>
      <c r="C64" t="str">
        <f t="shared" si="11"/>
        <v>*nga</v>
      </c>
      <c r="D64" s="12">
        <f>D54*$AP64</f>
        <v>1.8237082066869328E-2</v>
      </c>
      <c r="E64" s="12">
        <f t="shared" ref="E64:AK64" si="14">E54*$AP64</f>
        <v>0</v>
      </c>
      <c r="F64" s="12">
        <f t="shared" si="14"/>
        <v>0.25939849624060179</v>
      </c>
      <c r="G64" s="12">
        <f t="shared" si="14"/>
        <v>0.43811881188118751</v>
      </c>
      <c r="H64" s="12">
        <f t="shared" si="14"/>
        <v>5.5147058823529433E-3</v>
      </c>
      <c r="I64" s="12">
        <f t="shared" si="14"/>
        <v>2.3437499999999976E-2</v>
      </c>
      <c r="J64" s="12">
        <f t="shared" si="14"/>
        <v>4.9504950495049566E-3</v>
      </c>
      <c r="K64" s="12">
        <f t="shared" si="14"/>
        <v>7.9518072289156735E-2</v>
      </c>
      <c r="L64" s="12">
        <f t="shared" si="14"/>
        <v>0</v>
      </c>
      <c r="M64" s="12">
        <f t="shared" si="14"/>
        <v>0.15990843688685441</v>
      </c>
      <c r="N64" s="12">
        <f t="shared" si="14"/>
        <v>0</v>
      </c>
      <c r="O64" s="12">
        <f t="shared" si="14"/>
        <v>0</v>
      </c>
      <c r="P64" s="12">
        <f t="shared" si="14"/>
        <v>0</v>
      </c>
      <c r="Q64" s="12">
        <f t="shared" si="14"/>
        <v>0</v>
      </c>
      <c r="R64" s="12">
        <f t="shared" si="14"/>
        <v>0</v>
      </c>
      <c r="S64" s="12">
        <f t="shared" si="14"/>
        <v>0</v>
      </c>
      <c r="T64" s="12">
        <f t="shared" si="14"/>
        <v>0</v>
      </c>
      <c r="U64" s="12">
        <f t="shared" si="14"/>
        <v>0</v>
      </c>
      <c r="V64" s="12">
        <f t="shared" si="14"/>
        <v>0</v>
      </c>
      <c r="W64" s="12">
        <f t="shared" si="14"/>
        <v>5.0069541029207222E-2</v>
      </c>
      <c r="X64" s="12">
        <f t="shared" si="14"/>
        <v>0.10676156583629906</v>
      </c>
      <c r="Y64" s="12">
        <f t="shared" si="14"/>
        <v>0</v>
      </c>
      <c r="Z64" s="12">
        <f t="shared" si="14"/>
        <v>0</v>
      </c>
      <c r="AA64" s="12">
        <f t="shared" si="14"/>
        <v>0</v>
      </c>
      <c r="AB64" s="12">
        <f t="shared" si="14"/>
        <v>8.982035928143707E-3</v>
      </c>
      <c r="AC64" s="12">
        <f t="shared" si="14"/>
        <v>0</v>
      </c>
      <c r="AD64" s="12">
        <f t="shared" si="14"/>
        <v>0</v>
      </c>
      <c r="AE64" s="12">
        <f t="shared" si="14"/>
        <v>0</v>
      </c>
      <c r="AF64" s="12">
        <f t="shared" si="14"/>
        <v>3.8540596094552954E-4</v>
      </c>
      <c r="AG64" s="12">
        <f t="shared" si="14"/>
        <v>0</v>
      </c>
      <c r="AH64" s="12">
        <f t="shared" si="14"/>
        <v>0</v>
      </c>
      <c r="AI64" s="12">
        <f t="shared" si="14"/>
        <v>0</v>
      </c>
      <c r="AJ64" s="12">
        <f t="shared" si="14"/>
        <v>0</v>
      </c>
      <c r="AK64" s="12">
        <f t="shared" si="14"/>
        <v>0</v>
      </c>
      <c r="AL64" t="s">
        <v>55</v>
      </c>
      <c r="AM64" s="12" t="str">
        <f t="shared" ref="AM64" si="15">AM61</f>
        <v>Trd_lcv</v>
      </c>
      <c r="AN64" s="12" t="str">
        <f t="shared" si="9"/>
        <v>CNGVeh</v>
      </c>
      <c r="AP64">
        <v>1.5</v>
      </c>
    </row>
    <row r="65" spans="1:40">
      <c r="A65">
        <v>0</v>
      </c>
      <c r="B65" t="str">
        <f>B62</f>
        <v>Trd_bus</v>
      </c>
      <c r="C65" t="str">
        <f t="shared" si="11"/>
        <v>*nga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 t="s">
        <v>55</v>
      </c>
      <c r="AM65" s="12" t="str">
        <f>AM62</f>
        <v>Trd_bus</v>
      </c>
      <c r="AN65" s="12" t="str">
        <f t="shared" si="9"/>
        <v>CNGVeh</v>
      </c>
    </row>
    <row r="66" spans="1:40">
      <c r="A66">
        <v>0</v>
      </c>
      <c r="B66" t="str">
        <f t="shared" ref="B66" si="16">B63</f>
        <v>Trd_car</v>
      </c>
      <c r="C66" t="str">
        <f t="shared" si="11"/>
        <v>*nga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 t="s">
        <v>55</v>
      </c>
      <c r="AM66" s="12" t="str">
        <f t="shared" ref="AM66" si="17">AM63</f>
        <v>Trd_car</v>
      </c>
      <c r="AN66" s="12" t="str">
        <f t="shared" si="9"/>
        <v>CNGVeh</v>
      </c>
    </row>
    <row r="67" spans="1:40">
      <c r="A67">
        <v>0</v>
      </c>
      <c r="B67" t="str">
        <f t="shared" ref="B67" si="18">B64</f>
        <v>Trd_lcv</v>
      </c>
      <c r="C67" t="str">
        <f t="shared" si="11"/>
        <v>*nga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5</v>
      </c>
      <c r="AL67" t="s">
        <v>55</v>
      </c>
      <c r="AM67" s="12" t="str">
        <f t="shared" ref="AM67" si="19">AM64</f>
        <v>Trd_lcv</v>
      </c>
      <c r="AN67" s="12" t="str">
        <f t="shared" si="9"/>
        <v>CNGVeh</v>
      </c>
    </row>
    <row r="68" spans="1:40">
      <c r="A68" s="14">
        <v>2025</v>
      </c>
      <c r="B68" s="14" t="s">
        <v>694</v>
      </c>
      <c r="C68" s="14" t="s">
        <v>686</v>
      </c>
      <c r="D68" s="14">
        <v>0.05</v>
      </c>
      <c r="E68" s="14">
        <v>0.05</v>
      </c>
      <c r="F68" s="14">
        <v>0.05</v>
      </c>
      <c r="G68" s="14">
        <v>0.05</v>
      </c>
      <c r="H68" s="14">
        <v>0.05</v>
      </c>
      <c r="I68" s="14">
        <v>0.05</v>
      </c>
      <c r="J68" s="14">
        <v>0.05</v>
      </c>
      <c r="K68" s="14">
        <v>0.05</v>
      </c>
      <c r="L68" s="14">
        <v>0.05</v>
      </c>
      <c r="M68" s="14">
        <v>0.05</v>
      </c>
      <c r="N68" s="14">
        <v>0.05</v>
      </c>
      <c r="O68" s="14">
        <v>0.05</v>
      </c>
      <c r="P68" s="14">
        <v>0.05</v>
      </c>
      <c r="Q68" s="14">
        <v>0.05</v>
      </c>
      <c r="R68" s="14">
        <v>0.05</v>
      </c>
      <c r="S68" s="14">
        <v>0.05</v>
      </c>
      <c r="T68" s="14">
        <v>0.05</v>
      </c>
      <c r="U68" s="14">
        <v>0.05</v>
      </c>
      <c r="V68" s="14">
        <v>0.05</v>
      </c>
      <c r="W68" s="14">
        <v>0.05</v>
      </c>
      <c r="X68" s="14">
        <v>0.05</v>
      </c>
      <c r="Y68" s="14">
        <v>0.05</v>
      </c>
      <c r="Z68" s="14">
        <v>0.05</v>
      </c>
      <c r="AA68" s="14">
        <v>0.05</v>
      </c>
      <c r="AB68" s="14">
        <v>0.05</v>
      </c>
      <c r="AC68" s="14">
        <v>0.05</v>
      </c>
      <c r="AD68" s="14">
        <v>0.05</v>
      </c>
      <c r="AE68" s="14">
        <v>0.05</v>
      </c>
      <c r="AF68" s="14">
        <v>0.05</v>
      </c>
      <c r="AG68" s="14">
        <v>0.05</v>
      </c>
      <c r="AH68" s="14">
        <v>0.05</v>
      </c>
      <c r="AI68" s="14">
        <v>0.05</v>
      </c>
      <c r="AJ68" s="14">
        <v>0.05</v>
      </c>
      <c r="AK68" s="14">
        <v>0.05</v>
      </c>
      <c r="AL68" s="14" t="s">
        <v>55</v>
      </c>
      <c r="AM68" s="14" t="s">
        <v>685</v>
      </c>
      <c r="AN68" s="14" t="s">
        <v>203</v>
      </c>
    </row>
    <row r="69" spans="1:40">
      <c r="A69" s="14">
        <v>2050</v>
      </c>
      <c r="B69" s="14" t="s">
        <v>694</v>
      </c>
      <c r="C69" s="14" t="s">
        <v>686</v>
      </c>
      <c r="D69" s="14">
        <f>1/5</f>
        <v>0.2</v>
      </c>
      <c r="E69" s="14">
        <f t="shared" ref="E69:AK69" si="20">1/5</f>
        <v>0.2</v>
      </c>
      <c r="F69" s="14">
        <f t="shared" si="20"/>
        <v>0.2</v>
      </c>
      <c r="G69" s="14">
        <f t="shared" si="20"/>
        <v>0.2</v>
      </c>
      <c r="H69" s="14">
        <f t="shared" si="20"/>
        <v>0.2</v>
      </c>
      <c r="I69" s="14">
        <f t="shared" si="20"/>
        <v>0.2</v>
      </c>
      <c r="J69" s="14">
        <f t="shared" si="20"/>
        <v>0.2</v>
      </c>
      <c r="K69" s="14">
        <f t="shared" si="20"/>
        <v>0.2</v>
      </c>
      <c r="L69" s="14">
        <f t="shared" si="20"/>
        <v>0.2</v>
      </c>
      <c r="M69" s="14">
        <f t="shared" si="20"/>
        <v>0.2</v>
      </c>
      <c r="N69" s="14">
        <f t="shared" si="20"/>
        <v>0.2</v>
      </c>
      <c r="O69" s="14">
        <f t="shared" si="20"/>
        <v>0.2</v>
      </c>
      <c r="P69" s="14">
        <f t="shared" si="20"/>
        <v>0.2</v>
      </c>
      <c r="Q69" s="14">
        <f t="shared" si="20"/>
        <v>0.2</v>
      </c>
      <c r="R69" s="14">
        <f t="shared" si="20"/>
        <v>0.2</v>
      </c>
      <c r="S69" s="14">
        <f t="shared" si="20"/>
        <v>0.2</v>
      </c>
      <c r="T69" s="14">
        <f t="shared" si="20"/>
        <v>0.2</v>
      </c>
      <c r="U69" s="14">
        <f t="shared" si="20"/>
        <v>0.2</v>
      </c>
      <c r="V69" s="14">
        <f t="shared" si="20"/>
        <v>0.2</v>
      </c>
      <c r="W69" s="14">
        <f t="shared" si="20"/>
        <v>0.2</v>
      </c>
      <c r="X69" s="14">
        <f t="shared" si="20"/>
        <v>0.2</v>
      </c>
      <c r="Y69" s="14">
        <f t="shared" si="20"/>
        <v>0.2</v>
      </c>
      <c r="Z69" s="14">
        <f t="shared" si="20"/>
        <v>0.2</v>
      </c>
      <c r="AA69" s="14">
        <f t="shared" si="20"/>
        <v>0.2</v>
      </c>
      <c r="AB69" s="14">
        <f t="shared" si="20"/>
        <v>0.2</v>
      </c>
      <c r="AC69" s="14">
        <f t="shared" si="20"/>
        <v>0.2</v>
      </c>
      <c r="AD69" s="14">
        <f t="shared" si="20"/>
        <v>0.2</v>
      </c>
      <c r="AE69" s="14">
        <f t="shared" si="20"/>
        <v>0.2</v>
      </c>
      <c r="AF69" s="14">
        <f t="shared" si="20"/>
        <v>0.2</v>
      </c>
      <c r="AG69" s="14">
        <f t="shared" si="20"/>
        <v>0.2</v>
      </c>
      <c r="AH69" s="14">
        <f t="shared" si="20"/>
        <v>0.2</v>
      </c>
      <c r="AI69" s="14">
        <f t="shared" si="20"/>
        <v>0.2</v>
      </c>
      <c r="AJ69" s="14">
        <f t="shared" si="20"/>
        <v>0.2</v>
      </c>
      <c r="AK69" s="14">
        <f t="shared" si="20"/>
        <v>0.2</v>
      </c>
      <c r="AL69" s="14" t="s">
        <v>55</v>
      </c>
      <c r="AM69" s="14" t="s">
        <v>685</v>
      </c>
      <c r="AN69" s="14" t="s">
        <v>203</v>
      </c>
    </row>
    <row r="70" spans="1:40">
      <c r="A70" s="14">
        <v>0</v>
      </c>
      <c r="B70" s="14" t="s">
        <v>694</v>
      </c>
      <c r="C70" s="14" t="s">
        <v>686</v>
      </c>
      <c r="D70" s="14">
        <v>5</v>
      </c>
      <c r="E70" s="14">
        <v>5</v>
      </c>
      <c r="F70" s="14">
        <v>5</v>
      </c>
      <c r="G70" s="14">
        <v>5</v>
      </c>
      <c r="H70" s="14">
        <v>5</v>
      </c>
      <c r="I70" s="14">
        <v>5</v>
      </c>
      <c r="J70" s="14">
        <v>5</v>
      </c>
      <c r="K70" s="14">
        <v>5</v>
      </c>
      <c r="L70" s="14">
        <v>5</v>
      </c>
      <c r="M70" s="14">
        <v>5</v>
      </c>
      <c r="N70" s="14">
        <v>5</v>
      </c>
      <c r="O70" s="14">
        <v>5</v>
      </c>
      <c r="P70" s="14">
        <v>5</v>
      </c>
      <c r="Q70" s="14">
        <v>5</v>
      </c>
      <c r="R70" s="14">
        <v>5</v>
      </c>
      <c r="S70" s="14">
        <v>5</v>
      </c>
      <c r="T70" s="14">
        <v>5</v>
      </c>
      <c r="U70" s="14">
        <v>5</v>
      </c>
      <c r="V70" s="14">
        <v>5</v>
      </c>
      <c r="W70" s="14">
        <v>5</v>
      </c>
      <c r="X70" s="14">
        <v>5</v>
      </c>
      <c r="Y70" s="14">
        <v>5</v>
      </c>
      <c r="Z70" s="14">
        <v>5</v>
      </c>
      <c r="AA70" s="14">
        <v>5</v>
      </c>
      <c r="AB70" s="14">
        <v>5</v>
      </c>
      <c r="AC70" s="14">
        <v>5</v>
      </c>
      <c r="AD70" s="14">
        <v>5</v>
      </c>
      <c r="AE70" s="14">
        <v>5</v>
      </c>
      <c r="AF70" s="14">
        <v>5</v>
      </c>
      <c r="AG70" s="14">
        <v>5</v>
      </c>
      <c r="AH70" s="14">
        <v>5</v>
      </c>
      <c r="AI70" s="14">
        <v>5</v>
      </c>
      <c r="AJ70" s="14">
        <v>5</v>
      </c>
      <c r="AK70" s="14">
        <v>5</v>
      </c>
      <c r="AL70" s="14" t="s">
        <v>55</v>
      </c>
      <c r="AM70" s="14" t="s">
        <v>685</v>
      </c>
      <c r="AN70" s="14" t="s">
        <v>203</v>
      </c>
    </row>
    <row r="72" spans="1:40">
      <c r="B72" s="14" t="s">
        <v>117</v>
      </c>
      <c r="C72" s="14"/>
      <c r="D72" s="14"/>
      <c r="E72" s="14"/>
      <c r="F72" s="14"/>
      <c r="G72" s="14"/>
      <c r="H72" s="14"/>
      <c r="I72" s="14"/>
      <c r="J72" s="14"/>
    </row>
    <row r="73" spans="1:40">
      <c r="B73" s="14" t="s">
        <v>7</v>
      </c>
      <c r="C73" s="14" t="s">
        <v>137</v>
      </c>
      <c r="D73" s="14" t="s">
        <v>133</v>
      </c>
      <c r="E73" s="14" t="s">
        <v>134</v>
      </c>
      <c r="F73" s="14">
        <v>2020</v>
      </c>
      <c r="G73" s="14">
        <v>2050</v>
      </c>
      <c r="H73" s="14">
        <v>2100</v>
      </c>
      <c r="I73" s="14">
        <v>0</v>
      </c>
      <c r="J73" s="14" t="s">
        <v>478</v>
      </c>
    </row>
    <row r="74" spans="1:40">
      <c r="B74" s="14" t="s">
        <v>135</v>
      </c>
      <c r="C74" s="14" t="s">
        <v>687</v>
      </c>
      <c r="D74" s="14" t="s">
        <v>688</v>
      </c>
      <c r="E74" s="14"/>
      <c r="F74" s="14">
        <v>0</v>
      </c>
      <c r="G74" s="14">
        <v>0.8</v>
      </c>
      <c r="H74" s="14">
        <v>1</v>
      </c>
      <c r="I74" s="14">
        <v>3</v>
      </c>
      <c r="J74" s="14"/>
    </row>
    <row r="75" spans="1:40">
      <c r="B75" s="14" t="s">
        <v>135</v>
      </c>
      <c r="C75" s="14" t="s">
        <v>689</v>
      </c>
      <c r="D75" s="14" t="s">
        <v>688</v>
      </c>
      <c r="E75" s="14"/>
      <c r="F75" s="14">
        <v>0</v>
      </c>
      <c r="G75" s="14">
        <v>0.8</v>
      </c>
      <c r="H75" s="14">
        <v>1</v>
      </c>
      <c r="I75" s="14">
        <v>3</v>
      </c>
      <c r="J75" s="14"/>
    </row>
    <row r="76" spans="1:40">
      <c r="B76" s="14" t="s">
        <v>135</v>
      </c>
      <c r="C76" s="14" t="s">
        <v>690</v>
      </c>
      <c r="D76" s="14" t="s">
        <v>688</v>
      </c>
      <c r="E76" s="14"/>
      <c r="F76" s="14">
        <v>0</v>
      </c>
      <c r="G76" s="14">
        <v>0.8</v>
      </c>
      <c r="H76" s="14">
        <v>1</v>
      </c>
      <c r="I76" s="14">
        <v>3</v>
      </c>
      <c r="J76" s="14"/>
    </row>
    <row r="77" spans="1:40">
      <c r="B77" s="14" t="s">
        <v>135</v>
      </c>
      <c r="C77" s="14" t="s">
        <v>691</v>
      </c>
      <c r="D77" s="14" t="s">
        <v>688</v>
      </c>
      <c r="E77" s="14"/>
      <c r="F77" s="14">
        <v>0</v>
      </c>
      <c r="G77" s="14">
        <v>0.8</v>
      </c>
      <c r="H77" s="14">
        <v>1</v>
      </c>
      <c r="I77" s="14">
        <v>3</v>
      </c>
      <c r="J77" s="14"/>
    </row>
    <row r="78" spans="1:40">
      <c r="B78" s="14" t="s">
        <v>135</v>
      </c>
      <c r="C78" s="14" t="s">
        <v>690</v>
      </c>
      <c r="D78" s="14" t="s">
        <v>692</v>
      </c>
      <c r="E78" s="14"/>
      <c r="F78" s="14">
        <v>0</v>
      </c>
      <c r="G78" s="14">
        <v>0</v>
      </c>
      <c r="H78" s="14">
        <v>1</v>
      </c>
      <c r="I78" s="14">
        <v>3</v>
      </c>
      <c r="J78" s="14"/>
    </row>
    <row r="79" spans="1:40">
      <c r="B79" t="s">
        <v>135</v>
      </c>
      <c r="C79" t="s">
        <v>691</v>
      </c>
      <c r="D79" t="s">
        <v>692</v>
      </c>
      <c r="F79">
        <v>0</v>
      </c>
      <c r="G79">
        <v>0.8</v>
      </c>
      <c r="H79">
        <v>1</v>
      </c>
      <c r="I79">
        <v>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48"/>
  <sheetViews>
    <sheetView zoomScale="112" zoomScaleNormal="112" workbookViewId="0"/>
  </sheetViews>
  <sheetFormatPr defaultColWidth="8.86328125" defaultRowHeight="14.25"/>
  <cols>
    <col min="2" max="2" width="12" customWidth="1"/>
    <col min="3" max="3" width="12.86328125" bestFit="1" customWidth="1"/>
    <col min="4" max="4" width="14.3984375" customWidth="1"/>
    <col min="5" max="5" width="14" bestFit="1" customWidth="1"/>
    <col min="6" max="6" width="11.1328125" customWidth="1"/>
    <col min="7" max="7" width="8" bestFit="1" customWidth="1"/>
    <col min="8" max="8" width="17.1328125" customWidth="1"/>
    <col min="9" max="9" width="7.59765625" bestFit="1" customWidth="1"/>
    <col min="10" max="10" width="5" bestFit="1" customWidth="1"/>
    <col min="11" max="11" width="20.86328125" bestFit="1" customWidth="1"/>
    <col min="12" max="12" width="17.1328125" bestFit="1" customWidth="1"/>
    <col min="13" max="30" width="7.59765625" customWidth="1"/>
    <col min="32" max="32" width="6" bestFit="1" customWidth="1"/>
  </cols>
  <sheetData>
    <row r="1" spans="2:19">
      <c r="O1" t="s">
        <v>205</v>
      </c>
    </row>
    <row r="2" spans="2:19">
      <c r="O2" t="s">
        <v>3</v>
      </c>
      <c r="P2" t="s">
        <v>0</v>
      </c>
      <c r="Q2" t="s">
        <v>4</v>
      </c>
      <c r="R2" t="s">
        <v>1</v>
      </c>
      <c r="S2" t="s">
        <v>206</v>
      </c>
    </row>
    <row r="3" spans="2:19">
      <c r="B3" t="s">
        <v>170</v>
      </c>
      <c r="O3" t="s">
        <v>17</v>
      </c>
      <c r="P3" t="s">
        <v>114</v>
      </c>
      <c r="Q3" t="s">
        <v>207</v>
      </c>
      <c r="R3" t="s">
        <v>2</v>
      </c>
      <c r="S3" t="s">
        <v>57</v>
      </c>
    </row>
    <row r="4" spans="2:19">
      <c r="B4" t="s">
        <v>7</v>
      </c>
      <c r="C4" t="s">
        <v>126</v>
      </c>
      <c r="D4" t="s">
        <v>124</v>
      </c>
      <c r="E4" t="s">
        <v>127</v>
      </c>
      <c r="F4" t="s">
        <v>49</v>
      </c>
    </row>
    <row r="5" spans="2:19">
      <c r="B5" t="s">
        <v>114</v>
      </c>
      <c r="C5" t="s">
        <v>128</v>
      </c>
      <c r="D5">
        <v>2030</v>
      </c>
      <c r="E5" t="s">
        <v>125</v>
      </c>
    </row>
    <row r="6" spans="2:19">
      <c r="B6" t="s">
        <v>114</v>
      </c>
      <c r="C6" t="s">
        <v>128</v>
      </c>
      <c r="D6">
        <v>2050</v>
      </c>
      <c r="E6">
        <v>0</v>
      </c>
    </row>
    <row r="7" spans="2:19">
      <c r="B7" t="s">
        <v>114</v>
      </c>
      <c r="C7" t="s">
        <v>467</v>
      </c>
      <c r="D7">
        <v>2030</v>
      </c>
      <c r="E7" t="s">
        <v>129</v>
      </c>
      <c r="J7" s="5">
        <v>1.2</v>
      </c>
    </row>
    <row r="8" spans="2:19">
      <c r="B8" t="s">
        <v>114</v>
      </c>
      <c r="C8" t="s">
        <v>467</v>
      </c>
      <c r="D8">
        <v>2050</v>
      </c>
      <c r="E8">
        <v>0</v>
      </c>
      <c r="J8" s="5">
        <v>1.7</v>
      </c>
    </row>
    <row r="9" spans="2:19">
      <c r="B9" t="s">
        <v>114</v>
      </c>
      <c r="C9" t="s">
        <v>467</v>
      </c>
      <c r="D9">
        <v>2100</v>
      </c>
      <c r="E9">
        <v>0</v>
      </c>
      <c r="J9" s="5">
        <v>2.7</v>
      </c>
    </row>
    <row r="10" spans="2:19">
      <c r="B10" t="s">
        <v>114</v>
      </c>
      <c r="C10" t="s">
        <v>130</v>
      </c>
      <c r="D10">
        <v>2030</v>
      </c>
      <c r="E10" t="s">
        <v>131</v>
      </c>
    </row>
    <row r="11" spans="2:19">
      <c r="B11" t="s">
        <v>114</v>
      </c>
      <c r="C11" t="s">
        <v>130</v>
      </c>
      <c r="D11">
        <v>2050</v>
      </c>
      <c r="E11">
        <v>0</v>
      </c>
    </row>
    <row r="12" spans="2:19">
      <c r="B12" t="s">
        <v>114</v>
      </c>
      <c r="C12" t="s">
        <v>130</v>
      </c>
      <c r="D12">
        <v>2100</v>
      </c>
      <c r="E12">
        <v>0</v>
      </c>
    </row>
    <row r="16" spans="2:19">
      <c r="L16" t="s">
        <v>162</v>
      </c>
    </row>
    <row r="17" spans="2:16">
      <c r="L17" t="s">
        <v>7</v>
      </c>
      <c r="M17" t="s">
        <v>137</v>
      </c>
      <c r="N17" t="s">
        <v>12</v>
      </c>
      <c r="O17" t="s">
        <v>127</v>
      </c>
      <c r="P17" t="s">
        <v>132</v>
      </c>
    </row>
    <row r="18" spans="2:16">
      <c r="B18" t="s">
        <v>170</v>
      </c>
      <c r="L18" t="s">
        <v>135</v>
      </c>
      <c r="M18" t="s">
        <v>161</v>
      </c>
      <c r="N18">
        <v>2019</v>
      </c>
      <c r="O18" s="11" t="s">
        <v>163</v>
      </c>
      <c r="P18" t="s">
        <v>164</v>
      </c>
    </row>
    <row r="19" spans="2:16">
      <c r="B19" t="s">
        <v>7</v>
      </c>
      <c r="C19" t="s">
        <v>126</v>
      </c>
      <c r="D19" t="s">
        <v>159</v>
      </c>
      <c r="E19" t="s">
        <v>124</v>
      </c>
      <c r="F19" t="s">
        <v>127</v>
      </c>
    </row>
    <row r="20" spans="2:16">
      <c r="B20" t="s">
        <v>114</v>
      </c>
      <c r="C20" t="s">
        <v>128</v>
      </c>
      <c r="D20" t="s">
        <v>55</v>
      </c>
      <c r="E20" s="11" t="s">
        <v>160</v>
      </c>
      <c r="F20" t="s">
        <v>2</v>
      </c>
    </row>
    <row r="24" spans="2:16">
      <c r="B24" t="s">
        <v>117</v>
      </c>
    </row>
    <row r="25" spans="2:16">
      <c r="B25" t="s">
        <v>7</v>
      </c>
      <c r="C25" t="s">
        <v>132</v>
      </c>
      <c r="D25" t="s">
        <v>133</v>
      </c>
      <c r="E25" t="s">
        <v>134</v>
      </c>
      <c r="F25">
        <v>2025</v>
      </c>
      <c r="G25">
        <v>2035</v>
      </c>
      <c r="H25">
        <v>2050</v>
      </c>
      <c r="I25">
        <v>2100</v>
      </c>
      <c r="J25">
        <v>2200</v>
      </c>
      <c r="K25">
        <v>0</v>
      </c>
      <c r="L25" t="s">
        <v>137</v>
      </c>
    </row>
    <row r="26" spans="2:16">
      <c r="B26" t="s">
        <v>135</v>
      </c>
      <c r="D26" t="s">
        <v>673</v>
      </c>
      <c r="G26">
        <v>0.3</v>
      </c>
      <c r="J26">
        <v>0.3</v>
      </c>
      <c r="K26">
        <v>2</v>
      </c>
      <c r="L26" t="s">
        <v>672</v>
      </c>
    </row>
    <row r="29" spans="2:16">
      <c r="B29" t="s">
        <v>117</v>
      </c>
    </row>
    <row r="30" spans="2:16">
      <c r="B30" t="s">
        <v>7</v>
      </c>
      <c r="C30" t="s">
        <v>132</v>
      </c>
      <c r="D30" t="s">
        <v>133</v>
      </c>
      <c r="E30" t="s">
        <v>134</v>
      </c>
      <c r="F30">
        <v>2025</v>
      </c>
      <c r="G30">
        <v>2050</v>
      </c>
      <c r="H30">
        <v>2100</v>
      </c>
      <c r="I30">
        <v>2200</v>
      </c>
      <c r="J30">
        <v>0</v>
      </c>
      <c r="K30" t="s">
        <v>137</v>
      </c>
    </row>
    <row r="31" spans="2:16">
      <c r="B31" t="s">
        <v>671</v>
      </c>
      <c r="C31" t="s">
        <v>136</v>
      </c>
      <c r="D31" t="s">
        <v>136</v>
      </c>
      <c r="F31">
        <v>0.5</v>
      </c>
      <c r="G31">
        <v>0.8</v>
      </c>
      <c r="H31">
        <v>1</v>
      </c>
      <c r="I31">
        <v>1</v>
      </c>
      <c r="J31">
        <v>3</v>
      </c>
      <c r="K31" t="s">
        <v>662</v>
      </c>
    </row>
    <row r="32" spans="2:16">
      <c r="B32" t="s">
        <v>135</v>
      </c>
      <c r="C32" s="21" t="s">
        <v>663</v>
      </c>
      <c r="D32" s="21" t="s">
        <v>663</v>
      </c>
      <c r="F32">
        <v>0.5</v>
      </c>
      <c r="G32">
        <v>0.8</v>
      </c>
      <c r="H32">
        <v>1</v>
      </c>
      <c r="I32">
        <v>1</v>
      </c>
      <c r="J32">
        <v>3</v>
      </c>
    </row>
    <row r="33" spans="2:13">
      <c r="B33" t="s">
        <v>135</v>
      </c>
      <c r="C33" s="21" t="s">
        <v>664</v>
      </c>
      <c r="D33" s="21" t="s">
        <v>664</v>
      </c>
      <c r="F33">
        <v>0.5</v>
      </c>
      <c r="G33">
        <v>0.8</v>
      </c>
      <c r="H33">
        <v>1</v>
      </c>
      <c r="I33">
        <v>1</v>
      </c>
      <c r="J33">
        <v>3</v>
      </c>
    </row>
    <row r="34" spans="2:13">
      <c r="B34" t="s">
        <v>135</v>
      </c>
      <c r="C34" s="21" t="s">
        <v>665</v>
      </c>
      <c r="D34" s="21" t="s">
        <v>665</v>
      </c>
      <c r="F34">
        <v>0.5</v>
      </c>
      <c r="G34">
        <v>0.8</v>
      </c>
      <c r="H34">
        <v>1</v>
      </c>
      <c r="I34">
        <v>1</v>
      </c>
      <c r="J34">
        <v>3</v>
      </c>
    </row>
    <row r="35" spans="2:13">
      <c r="B35" t="s">
        <v>135</v>
      </c>
      <c r="C35" s="21" t="s">
        <v>666</v>
      </c>
      <c r="D35" s="21" t="s">
        <v>666</v>
      </c>
      <c r="F35">
        <v>0.5</v>
      </c>
      <c r="G35">
        <v>0.8</v>
      </c>
      <c r="H35">
        <v>1</v>
      </c>
      <c r="I35">
        <v>1</v>
      </c>
      <c r="J35">
        <v>3</v>
      </c>
      <c r="M35" s="20"/>
    </row>
    <row r="36" spans="2:13">
      <c r="B36" t="s">
        <v>135</v>
      </c>
      <c r="C36" s="21" t="s">
        <v>667</v>
      </c>
      <c r="D36" s="21" t="s">
        <v>667</v>
      </c>
      <c r="F36">
        <v>0.5</v>
      </c>
      <c r="G36">
        <v>0.8</v>
      </c>
      <c r="H36">
        <v>1</v>
      </c>
      <c r="I36">
        <v>1</v>
      </c>
      <c r="J36">
        <v>3</v>
      </c>
      <c r="M36" s="20"/>
    </row>
    <row r="37" spans="2:13">
      <c r="B37" t="s">
        <v>135</v>
      </c>
      <c r="C37" s="21" t="s">
        <v>668</v>
      </c>
      <c r="D37" s="21" t="s">
        <v>668</v>
      </c>
      <c r="F37">
        <v>0.5</v>
      </c>
      <c r="G37">
        <v>0.8</v>
      </c>
      <c r="H37">
        <v>1</v>
      </c>
      <c r="I37">
        <v>1</v>
      </c>
      <c r="J37">
        <v>3</v>
      </c>
      <c r="M37" s="20"/>
    </row>
    <row r="38" spans="2:13">
      <c r="B38" t="s">
        <v>135</v>
      </c>
      <c r="C38" s="21" t="s">
        <v>669</v>
      </c>
      <c r="D38" s="21" t="s">
        <v>669</v>
      </c>
      <c r="F38">
        <v>0.5</v>
      </c>
      <c r="G38">
        <v>0.8</v>
      </c>
      <c r="H38">
        <v>1</v>
      </c>
      <c r="I38">
        <v>1</v>
      </c>
      <c r="J38">
        <v>3</v>
      </c>
      <c r="M38" s="20"/>
    </row>
    <row r="39" spans="2:13">
      <c r="B39" t="s">
        <v>135</v>
      </c>
      <c r="C39" s="21" t="s">
        <v>670</v>
      </c>
      <c r="D39" s="21" t="s">
        <v>670</v>
      </c>
      <c r="F39">
        <v>0.5</v>
      </c>
      <c r="G39">
        <v>0.8</v>
      </c>
      <c r="H39">
        <v>1</v>
      </c>
      <c r="I39">
        <v>1</v>
      </c>
      <c r="J39">
        <v>3</v>
      </c>
      <c r="M39" s="20"/>
    </row>
    <row r="40" spans="2:13">
      <c r="C40" s="21"/>
      <c r="D40" s="21"/>
      <c r="M40" s="20"/>
    </row>
    <row r="41" spans="2:13">
      <c r="C41" s="22"/>
      <c r="D41" s="22"/>
      <c r="E41" s="22"/>
      <c r="M41" s="22"/>
    </row>
    <row r="42" spans="2:13">
      <c r="C42" s="22"/>
      <c r="D42" s="22"/>
      <c r="E42" s="22"/>
    </row>
    <row r="44" spans="2:13">
      <c r="B44" t="s">
        <v>170</v>
      </c>
    </row>
    <row r="45" spans="2:13">
      <c r="B45" t="s">
        <v>7</v>
      </c>
      <c r="C45" t="s">
        <v>137</v>
      </c>
      <c r="D45" t="s">
        <v>124</v>
      </c>
      <c r="E45" t="s">
        <v>127</v>
      </c>
      <c r="F45" t="s">
        <v>133</v>
      </c>
      <c r="G45" t="s">
        <v>159</v>
      </c>
    </row>
    <row r="46" spans="2:13">
      <c r="B46" t="s">
        <v>135</v>
      </c>
      <c r="C46" t="s">
        <v>169</v>
      </c>
      <c r="D46">
        <v>2050</v>
      </c>
      <c r="E46" t="s">
        <v>125</v>
      </c>
      <c r="F46" s="11" t="s">
        <v>172</v>
      </c>
    </row>
    <row r="47" spans="2:13">
      <c r="B47" t="s">
        <v>135</v>
      </c>
      <c r="C47" t="s">
        <v>169</v>
      </c>
      <c r="D47">
        <v>2100</v>
      </c>
      <c r="E47">
        <v>0</v>
      </c>
      <c r="F47" s="11" t="s">
        <v>172</v>
      </c>
    </row>
    <row r="48" spans="2:13">
      <c r="B48" t="s">
        <v>135</v>
      </c>
      <c r="C48" t="s">
        <v>169</v>
      </c>
      <c r="D48">
        <v>2050</v>
      </c>
      <c r="E48" t="s">
        <v>173</v>
      </c>
      <c r="F48" t="s">
        <v>174</v>
      </c>
      <c r="G48" t="s">
        <v>55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3AE5-5FFD-42D5-8547-1B1E97AD18A2}">
  <dimension ref="A1:BA663"/>
  <sheetViews>
    <sheetView workbookViewId="0"/>
  </sheetViews>
  <sheetFormatPr defaultColWidth="8.86328125" defaultRowHeight="14.25"/>
  <cols>
    <col min="2" max="2" width="10.59765625" bestFit="1" customWidth="1"/>
    <col min="3" max="3" width="15" bestFit="1" customWidth="1"/>
    <col min="4" max="4" width="11" bestFit="1" customWidth="1"/>
    <col min="5" max="5" width="8.86328125" bestFit="1" customWidth="1"/>
    <col min="7" max="7" width="5" bestFit="1" customWidth="1"/>
    <col min="12" max="12" width="6.1328125" bestFit="1" customWidth="1"/>
    <col min="13" max="13" width="12.1328125" bestFit="1" customWidth="1"/>
    <col min="14" max="14" width="9.86328125" bestFit="1" customWidth="1"/>
    <col min="17" max="17" width="8.3984375" bestFit="1" customWidth="1"/>
    <col min="18" max="18" width="6.86328125" bestFit="1" customWidth="1"/>
    <col min="19" max="19" width="5.86328125" bestFit="1" customWidth="1"/>
    <col min="20" max="20" width="7.3984375" bestFit="1" customWidth="1"/>
    <col min="21" max="21" width="6" bestFit="1" customWidth="1"/>
    <col min="22" max="22" width="5.1328125" bestFit="1" customWidth="1"/>
    <col min="23" max="23" width="8.1328125" bestFit="1" customWidth="1"/>
    <col min="24" max="24" width="7.59765625" bestFit="1" customWidth="1"/>
    <col min="25" max="25" width="6.86328125" bestFit="1" customWidth="1"/>
    <col min="26" max="26" width="9.3984375" bestFit="1" customWidth="1"/>
    <col min="27" max="27" width="9" bestFit="1" customWidth="1"/>
    <col min="28" max="28" width="5.3984375" bestFit="1" customWidth="1"/>
    <col min="29" max="29" width="9.86328125" bestFit="1" customWidth="1"/>
    <col min="30" max="30" width="6" bestFit="1" customWidth="1"/>
    <col min="31" max="31" width="6.59765625" bestFit="1" customWidth="1"/>
    <col min="32" max="32" width="8.86328125" bestFit="1" customWidth="1"/>
    <col min="33" max="33" width="7.3984375" bestFit="1" customWidth="1"/>
    <col min="34" max="34" width="8" bestFit="1" customWidth="1"/>
    <col min="35" max="35" width="5.86328125" bestFit="1" customWidth="1"/>
    <col min="36" max="36" width="6.59765625" bestFit="1" customWidth="1"/>
    <col min="37" max="37" width="11.59765625" bestFit="1" customWidth="1"/>
    <col min="38" max="38" width="11.1328125" bestFit="1" customWidth="1"/>
    <col min="39" max="41" width="4.59765625" bestFit="1" customWidth="1"/>
    <col min="52" max="52" width="5" bestFit="1" customWidth="1"/>
    <col min="53" max="53" width="4" bestFit="1" customWidth="1"/>
  </cols>
  <sheetData>
    <row r="1" spans="1:5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637</v>
      </c>
      <c r="M1" t="s">
        <v>638</v>
      </c>
      <c r="N1" t="s">
        <v>639</v>
      </c>
      <c r="O1" t="s">
        <v>640</v>
      </c>
      <c r="P1" t="s">
        <v>641</v>
      </c>
      <c r="Q1" t="s">
        <v>642</v>
      </c>
      <c r="R1" t="s">
        <v>643</v>
      </c>
      <c r="S1" t="s">
        <v>644</v>
      </c>
      <c r="T1" t="s">
        <v>645</v>
      </c>
      <c r="U1" t="s">
        <v>121</v>
      </c>
      <c r="V1" t="s">
        <v>646</v>
      </c>
      <c r="W1" t="s">
        <v>647</v>
      </c>
      <c r="X1" t="s">
        <v>648</v>
      </c>
      <c r="Y1" t="s">
        <v>649</v>
      </c>
      <c r="Z1" t="s">
        <v>650</v>
      </c>
      <c r="AA1" t="s">
        <v>651</v>
      </c>
      <c r="AB1" t="s">
        <v>652</v>
      </c>
      <c r="AC1" t="s">
        <v>653</v>
      </c>
      <c r="AD1" t="s">
        <v>636</v>
      </c>
      <c r="AE1" t="s">
        <v>122</v>
      </c>
      <c r="AF1" t="s">
        <v>654</v>
      </c>
      <c r="AG1" t="s">
        <v>655</v>
      </c>
      <c r="AH1" t="s">
        <v>656</v>
      </c>
      <c r="AI1" t="s">
        <v>657</v>
      </c>
      <c r="AJ1" t="s">
        <v>123</v>
      </c>
      <c r="AK1" t="s">
        <v>658</v>
      </c>
      <c r="AL1" t="s">
        <v>659</v>
      </c>
      <c r="AM1" t="s">
        <v>660</v>
      </c>
      <c r="AN1" t="s">
        <v>661</v>
      </c>
      <c r="AO1" t="s">
        <v>124</v>
      </c>
      <c r="AU1" t="s">
        <v>208</v>
      </c>
      <c r="AV1" t="s">
        <v>209</v>
      </c>
      <c r="AW1" t="s">
        <v>210</v>
      </c>
      <c r="AX1" t="s">
        <v>211</v>
      </c>
    </row>
    <row r="2" spans="1:53">
      <c r="A2" t="s">
        <v>17</v>
      </c>
      <c r="B2" t="s">
        <v>114</v>
      </c>
      <c r="C2" t="s">
        <v>457</v>
      </c>
      <c r="D2" t="s">
        <v>455</v>
      </c>
      <c r="E2" t="s">
        <v>57</v>
      </c>
      <c r="F2" t="s">
        <v>19</v>
      </c>
      <c r="G2" t="s">
        <v>100</v>
      </c>
      <c r="H2" t="s">
        <v>19</v>
      </c>
      <c r="I2" t="s">
        <v>19</v>
      </c>
      <c r="J2" t="s">
        <v>19</v>
      </c>
      <c r="K2" t="s">
        <v>19</v>
      </c>
      <c r="L2">
        <v>0</v>
      </c>
      <c r="M2">
        <v>0</v>
      </c>
      <c r="N2">
        <v>0</v>
      </c>
      <c r="O2">
        <v>0</v>
      </c>
      <c r="P2">
        <v>1.1102369980061401E-3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1.0642327425312E-3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19</v>
      </c>
      <c r="AU2" t="str">
        <f>LEFT(C2,3)</f>
        <v>ICH</v>
      </c>
      <c r="AV2" t="str">
        <f>MID(C2,5,3)</f>
        <v>MDR</v>
      </c>
      <c r="AW2" t="str">
        <f>RIGHT(C2,3)</f>
        <v>BFG</v>
      </c>
      <c r="AX2" t="str">
        <f>IFERROR(VLOOKUP(AW2,$AZ$2:$BA$10,2,FALSE),"")</f>
        <v>Yes</v>
      </c>
      <c r="AZ2" t="s">
        <v>58</v>
      </c>
      <c r="BA2" t="s">
        <v>212</v>
      </c>
    </row>
    <row r="3" spans="1:53">
      <c r="A3" t="s">
        <v>17</v>
      </c>
      <c r="B3" t="s">
        <v>114</v>
      </c>
      <c r="C3" t="s">
        <v>452</v>
      </c>
      <c r="D3" t="s">
        <v>455</v>
      </c>
      <c r="E3" t="s">
        <v>57</v>
      </c>
      <c r="F3" t="s">
        <v>19</v>
      </c>
      <c r="G3" t="s">
        <v>100</v>
      </c>
      <c r="H3" t="s">
        <v>19</v>
      </c>
      <c r="I3" t="s">
        <v>19</v>
      </c>
      <c r="J3" t="s">
        <v>19</v>
      </c>
      <c r="K3" t="s">
        <v>19</v>
      </c>
      <c r="L3">
        <v>0.93754875155480799</v>
      </c>
      <c r="M3">
        <v>0.25229298931770999</v>
      </c>
      <c r="N3">
        <v>0.93301875481916796</v>
      </c>
      <c r="O3">
        <v>0.74356863332810597</v>
      </c>
      <c r="P3">
        <v>0.95421362505435503</v>
      </c>
      <c r="Q3">
        <v>0.83974936817940504</v>
      </c>
      <c r="R3">
        <v>0.62951723946347604</v>
      </c>
      <c r="S3">
        <v>0.876843488769391</v>
      </c>
      <c r="T3">
        <v>0.82175701377051802</v>
      </c>
      <c r="U3">
        <v>0.94232152489824605</v>
      </c>
      <c r="V3">
        <v>0.96597209060475397</v>
      </c>
      <c r="W3">
        <v>0.88438823084486395</v>
      </c>
      <c r="X3">
        <v>0.78369207218306003</v>
      </c>
      <c r="Y3">
        <v>0.91374495529830202</v>
      </c>
      <c r="Z3">
        <v>0.810534717736206</v>
      </c>
      <c r="AA3">
        <v>0.76747329130069697</v>
      </c>
      <c r="AB3">
        <v>0.87592160889993598</v>
      </c>
      <c r="AC3">
        <v>0.81778750056597505</v>
      </c>
      <c r="AD3">
        <v>0.88057795565880004</v>
      </c>
      <c r="AE3">
        <v>0.99</v>
      </c>
      <c r="AF3">
        <v>0.76887013427655504</v>
      </c>
      <c r="AG3">
        <v>0.63727293169863797</v>
      </c>
      <c r="AH3">
        <v>6.9119831335767304E-3</v>
      </c>
      <c r="AI3">
        <v>0.93182156369535596</v>
      </c>
      <c r="AJ3">
        <v>0.81377092895251901</v>
      </c>
      <c r="AK3">
        <v>0.99</v>
      </c>
      <c r="AL3">
        <v>0.83296708759705096</v>
      </c>
      <c r="AM3">
        <v>0.87739180453704502</v>
      </c>
      <c r="AN3">
        <v>0.64375387149159502</v>
      </c>
      <c r="AO3" t="s">
        <v>19</v>
      </c>
      <c r="AU3" t="str">
        <f t="shared" ref="AU3:AU66" si="0">LEFT(C3,3)</f>
        <v>ICH</v>
      </c>
      <c r="AV3" t="str">
        <f t="shared" ref="AV3:AV66" si="1">MID(C3,5,3)</f>
        <v>MDR</v>
      </c>
      <c r="AW3" t="str">
        <f t="shared" ref="AW3:AW66" si="2">RIGHT(C3,3)</f>
        <v>ELC</v>
      </c>
      <c r="AX3" t="str">
        <f t="shared" ref="AX3:AX66" si="3">IFERROR(VLOOKUP(AW3,$AZ$2:$BA$10,2,FALSE),"")</f>
        <v>No</v>
      </c>
      <c r="AZ3" t="s">
        <v>42</v>
      </c>
      <c r="BA3" t="s">
        <v>212</v>
      </c>
    </row>
    <row r="4" spans="1:53">
      <c r="A4" t="s">
        <v>17</v>
      </c>
      <c r="B4" t="s">
        <v>114</v>
      </c>
      <c r="C4" t="s">
        <v>456</v>
      </c>
      <c r="D4" t="s">
        <v>455</v>
      </c>
      <c r="E4" t="s">
        <v>57</v>
      </c>
      <c r="F4" t="s">
        <v>19</v>
      </c>
      <c r="G4" t="s">
        <v>100</v>
      </c>
      <c r="H4" t="s">
        <v>19</v>
      </c>
      <c r="I4" t="s">
        <v>19</v>
      </c>
      <c r="J4" t="s">
        <v>19</v>
      </c>
      <c r="K4" t="s">
        <v>19</v>
      </c>
      <c r="L4">
        <v>5.2451248445191598E-2</v>
      </c>
      <c r="M4">
        <v>0.73770701068229005</v>
      </c>
      <c r="N4">
        <v>5.6981245180832002E-2</v>
      </c>
      <c r="O4">
        <v>0.246431366671894</v>
      </c>
      <c r="P4">
        <v>3.4676137947638498E-2</v>
      </c>
      <c r="Q4">
        <v>0.150250631820595</v>
      </c>
      <c r="R4">
        <v>0.36048276053652401</v>
      </c>
      <c r="S4">
        <v>0.11315651123060901</v>
      </c>
      <c r="T4">
        <v>0.168242986229482</v>
      </c>
      <c r="U4">
        <v>4.7678475101754401E-2</v>
      </c>
      <c r="V4">
        <v>2.40279093952461E-2</v>
      </c>
      <c r="W4">
        <v>0.105611769155136</v>
      </c>
      <c r="X4">
        <v>0.20630792781693999</v>
      </c>
      <c r="Y4">
        <v>7.6255044701697805E-2</v>
      </c>
      <c r="Z4">
        <v>0.17946528226379399</v>
      </c>
      <c r="AA4">
        <v>0.22252670869930299</v>
      </c>
      <c r="AB4">
        <v>0.114078391100064</v>
      </c>
      <c r="AC4">
        <v>0.172212499434025</v>
      </c>
      <c r="AD4">
        <v>0.10942204434119999</v>
      </c>
      <c r="AE4">
        <v>0</v>
      </c>
      <c r="AF4">
        <v>0.22112986572344501</v>
      </c>
      <c r="AG4">
        <v>0.35272706830136202</v>
      </c>
      <c r="AH4">
        <v>0.983088016866423</v>
      </c>
      <c r="AI4">
        <v>5.7114203562113101E-2</v>
      </c>
      <c r="AJ4">
        <v>0.17622907104748001</v>
      </c>
      <c r="AK4">
        <v>0</v>
      </c>
      <c r="AL4">
        <v>0.157032912402949</v>
      </c>
      <c r="AM4">
        <v>0.112608195462955</v>
      </c>
      <c r="AN4">
        <v>0.34624612850840503</v>
      </c>
      <c r="AO4" t="s">
        <v>19</v>
      </c>
      <c r="AU4" t="str">
        <f t="shared" si="0"/>
        <v>ICH</v>
      </c>
      <c r="AV4" t="str">
        <f t="shared" si="1"/>
        <v>MDR</v>
      </c>
      <c r="AW4" t="str">
        <f t="shared" si="2"/>
        <v>NGA</v>
      </c>
      <c r="AX4" t="str">
        <f t="shared" si="3"/>
        <v>Yes</v>
      </c>
      <c r="AZ4" t="s">
        <v>118</v>
      </c>
      <c r="BA4" t="s">
        <v>212</v>
      </c>
    </row>
    <row r="5" spans="1:53">
      <c r="A5" t="s">
        <v>17</v>
      </c>
      <c r="B5" t="s">
        <v>114</v>
      </c>
      <c r="C5" t="s">
        <v>453</v>
      </c>
      <c r="D5" t="s">
        <v>450</v>
      </c>
      <c r="E5" t="s">
        <v>57</v>
      </c>
      <c r="F5" t="s">
        <v>19</v>
      </c>
      <c r="G5" t="s">
        <v>100</v>
      </c>
      <c r="H5" t="s">
        <v>19</v>
      </c>
      <c r="I5" t="s">
        <v>19</v>
      </c>
      <c r="J5" t="s">
        <v>19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19</v>
      </c>
      <c r="AU5" t="str">
        <f t="shared" si="0"/>
        <v>ICH</v>
      </c>
      <c r="AV5" t="str">
        <f t="shared" si="1"/>
        <v>OTH</v>
      </c>
      <c r="AW5" t="str">
        <f t="shared" si="2"/>
        <v>BFG</v>
      </c>
      <c r="AX5" t="str">
        <f t="shared" si="3"/>
        <v>Yes</v>
      </c>
      <c r="AZ5" t="s">
        <v>213</v>
      </c>
      <c r="BA5" t="s">
        <v>214</v>
      </c>
    </row>
    <row r="6" spans="1:53">
      <c r="A6" t="s">
        <v>17</v>
      </c>
      <c r="B6" t="s">
        <v>114</v>
      </c>
      <c r="C6" t="s">
        <v>454</v>
      </c>
      <c r="D6" t="s">
        <v>450</v>
      </c>
      <c r="E6" t="s">
        <v>57</v>
      </c>
      <c r="F6" t="s">
        <v>19</v>
      </c>
      <c r="G6" t="s">
        <v>100</v>
      </c>
      <c r="H6" t="s">
        <v>19</v>
      </c>
      <c r="I6" t="s">
        <v>19</v>
      </c>
      <c r="J6" t="s">
        <v>19</v>
      </c>
      <c r="K6" t="s">
        <v>19</v>
      </c>
      <c r="L6">
        <v>0.14793214304382599</v>
      </c>
      <c r="M6">
        <v>4.2419455898864297E-2</v>
      </c>
      <c r="N6">
        <v>0.79846712147406596</v>
      </c>
      <c r="O6">
        <v>0.189259642495962</v>
      </c>
      <c r="P6">
        <v>4.0598304012431301E-2</v>
      </c>
      <c r="Q6">
        <v>8.86445826715586E-2</v>
      </c>
      <c r="R6">
        <v>9.6628585604219802E-2</v>
      </c>
      <c r="S6">
        <v>2.92383276318731E-2</v>
      </c>
      <c r="T6">
        <v>0.470283248945427</v>
      </c>
      <c r="U6">
        <v>7.0788019933422097E-2</v>
      </c>
      <c r="V6">
        <v>0.105877009351476</v>
      </c>
      <c r="W6">
        <v>0.17105349994486499</v>
      </c>
      <c r="X6">
        <v>7.6118846831353795E-2</v>
      </c>
      <c r="Y6">
        <v>0.12033507770021799</v>
      </c>
      <c r="Z6">
        <v>4.4302924923511899E-2</v>
      </c>
      <c r="AA6">
        <v>0.23330475003287299</v>
      </c>
      <c r="AB6">
        <v>0.31337782663536301</v>
      </c>
      <c r="AC6">
        <v>0.345801261273115</v>
      </c>
      <c r="AD6">
        <v>0.22197070940490499</v>
      </c>
      <c r="AE6">
        <v>1.16159027797094E-2</v>
      </c>
      <c r="AF6">
        <v>8.7636415662022807E-2</v>
      </c>
      <c r="AG6">
        <v>7.0943994238476804E-2</v>
      </c>
      <c r="AH6">
        <v>0</v>
      </c>
      <c r="AI6">
        <v>0.21202086857951599</v>
      </c>
      <c r="AJ6">
        <v>0.230357405770451</v>
      </c>
      <c r="AK6">
        <v>0.99</v>
      </c>
      <c r="AL6">
        <v>0.54332550188037299</v>
      </c>
      <c r="AM6">
        <v>0.27051628630062702</v>
      </c>
      <c r="AN6">
        <v>0.14465999081273301</v>
      </c>
      <c r="AO6" t="s">
        <v>19</v>
      </c>
      <c r="AU6" t="str">
        <f t="shared" si="0"/>
        <v>ICH</v>
      </c>
      <c r="AV6" t="str">
        <f t="shared" si="1"/>
        <v>OTH</v>
      </c>
      <c r="AW6" t="str">
        <f t="shared" si="2"/>
        <v>ELC</v>
      </c>
      <c r="AX6" t="str">
        <f t="shared" si="3"/>
        <v>No</v>
      </c>
      <c r="AZ6" t="s">
        <v>120</v>
      </c>
      <c r="BA6" t="s">
        <v>214</v>
      </c>
    </row>
    <row r="7" spans="1:53">
      <c r="A7" t="s">
        <v>17</v>
      </c>
      <c r="B7" t="s">
        <v>114</v>
      </c>
      <c r="C7" t="s">
        <v>451</v>
      </c>
      <c r="D7" t="s">
        <v>450</v>
      </c>
      <c r="E7" t="s">
        <v>57</v>
      </c>
      <c r="F7" t="s">
        <v>19</v>
      </c>
      <c r="G7" t="s">
        <v>100</v>
      </c>
      <c r="H7" t="s">
        <v>19</v>
      </c>
      <c r="I7" t="s">
        <v>19</v>
      </c>
      <c r="J7" t="s">
        <v>19</v>
      </c>
      <c r="K7" t="s">
        <v>19</v>
      </c>
      <c r="L7">
        <v>3.25032417576257E-2</v>
      </c>
      <c r="M7">
        <v>0.48713123916802498</v>
      </c>
      <c r="N7">
        <v>0.191514102275814</v>
      </c>
      <c r="O7">
        <v>0.24634009195467399</v>
      </c>
      <c r="P7">
        <v>5.7942223812004999E-3</v>
      </c>
      <c r="Q7">
        <v>6.2290380015802102E-2</v>
      </c>
      <c r="R7">
        <v>0.217312473166201</v>
      </c>
      <c r="S7">
        <v>1.4818769933221201E-2</v>
      </c>
      <c r="T7">
        <v>0.37814226225258601</v>
      </c>
      <c r="U7">
        <v>1.40664714585227E-2</v>
      </c>
      <c r="V7">
        <v>1.0343207370028199E-2</v>
      </c>
      <c r="W7">
        <v>8.0223847643460994E-2</v>
      </c>
      <c r="X7">
        <v>7.8698204355896501E-2</v>
      </c>
      <c r="Y7">
        <v>3.9440098410266203E-2</v>
      </c>
      <c r="Z7">
        <v>3.8525065320875698E-2</v>
      </c>
      <c r="AA7">
        <v>0.265671283788944</v>
      </c>
      <c r="AB7">
        <v>0.160290790519489</v>
      </c>
      <c r="AC7">
        <v>0.28599137391405699</v>
      </c>
      <c r="AD7">
        <v>0.108326533266331</v>
      </c>
      <c r="AE7">
        <v>0</v>
      </c>
      <c r="AF7">
        <v>9.8987687038591302E-2</v>
      </c>
      <c r="AG7">
        <v>0.15421659580876801</v>
      </c>
      <c r="AH7">
        <v>0.47880900802451998</v>
      </c>
      <c r="AI7">
        <v>5.1037822532470398E-2</v>
      </c>
      <c r="AJ7">
        <v>0.195920427275173</v>
      </c>
      <c r="AK7">
        <v>0</v>
      </c>
      <c r="AL7">
        <v>0.40227689828931301</v>
      </c>
      <c r="AM7">
        <v>0.136355293245179</v>
      </c>
      <c r="AN7">
        <v>0.30557348332631801</v>
      </c>
      <c r="AO7" t="s">
        <v>19</v>
      </c>
      <c r="AU7" t="str">
        <f t="shared" si="0"/>
        <v>ICH</v>
      </c>
      <c r="AV7" t="str">
        <f t="shared" si="1"/>
        <v>OTH</v>
      </c>
      <c r="AW7" t="str">
        <f t="shared" si="2"/>
        <v>NGA</v>
      </c>
      <c r="AX7" t="str">
        <f t="shared" si="3"/>
        <v>Yes</v>
      </c>
      <c r="AZ7" t="s">
        <v>216</v>
      </c>
      <c r="BA7" t="s">
        <v>214</v>
      </c>
    </row>
    <row r="8" spans="1:53">
      <c r="A8" t="s">
        <v>17</v>
      </c>
      <c r="B8" t="s">
        <v>114</v>
      </c>
      <c r="C8" t="s">
        <v>449</v>
      </c>
      <c r="D8" t="s">
        <v>450</v>
      </c>
      <c r="E8" t="s">
        <v>57</v>
      </c>
      <c r="F8" t="s">
        <v>19</v>
      </c>
      <c r="G8" t="s">
        <v>100</v>
      </c>
      <c r="H8" t="s">
        <v>19</v>
      </c>
      <c r="I8" t="s">
        <v>19</v>
      </c>
      <c r="J8" t="s">
        <v>19</v>
      </c>
      <c r="K8" t="s">
        <v>19</v>
      </c>
      <c r="L8">
        <v>0.80956461519854805</v>
      </c>
      <c r="M8">
        <v>0.46044930493311098</v>
      </c>
      <c r="N8">
        <v>0</v>
      </c>
      <c r="O8">
        <v>0.55440026554936395</v>
      </c>
      <c r="P8">
        <v>0.94342195813541196</v>
      </c>
      <c r="Q8">
        <v>0.83906503731263904</v>
      </c>
      <c r="R8">
        <v>0.67605894122957899</v>
      </c>
      <c r="S8">
        <v>0.94594290243490597</v>
      </c>
      <c r="T8">
        <v>0.141574488801987</v>
      </c>
      <c r="U8">
        <v>0.90514550860805498</v>
      </c>
      <c r="V8">
        <v>0.87377978327849604</v>
      </c>
      <c r="W8">
        <v>0.73872265241167401</v>
      </c>
      <c r="X8">
        <v>0.83518294881275001</v>
      </c>
      <c r="Y8">
        <v>0.83022482388951602</v>
      </c>
      <c r="Z8">
        <v>0.90717200975561196</v>
      </c>
      <c r="AA8">
        <v>0.491023966178183</v>
      </c>
      <c r="AB8">
        <v>0.51633138284514901</v>
      </c>
      <c r="AC8">
        <v>0.358207364812828</v>
      </c>
      <c r="AD8">
        <v>0.65970275732876404</v>
      </c>
      <c r="AE8">
        <v>0.97838409722029096</v>
      </c>
      <c r="AF8">
        <v>0.80337589729938597</v>
      </c>
      <c r="AG8">
        <v>0.76483940995275501</v>
      </c>
      <c r="AH8">
        <v>0.51033381515152398</v>
      </c>
      <c r="AI8">
        <v>0.72599029988396702</v>
      </c>
      <c r="AJ8">
        <v>0.56372216695437605</v>
      </c>
      <c r="AK8">
        <v>0</v>
      </c>
      <c r="AL8">
        <v>4.4397599830313897E-2</v>
      </c>
      <c r="AM8">
        <v>0.583128420454194</v>
      </c>
      <c r="AN8">
        <v>0.53976652586094898</v>
      </c>
      <c r="AO8" t="s">
        <v>19</v>
      </c>
      <c r="AU8" t="str">
        <f t="shared" si="0"/>
        <v>ICH</v>
      </c>
      <c r="AV8" t="str">
        <f t="shared" si="1"/>
        <v>OTH</v>
      </c>
      <c r="AW8" t="str">
        <f t="shared" si="2"/>
        <v>OIL</v>
      </c>
      <c r="AX8" t="str">
        <f t="shared" si="3"/>
        <v>Yes</v>
      </c>
      <c r="AZ8" t="s">
        <v>47</v>
      </c>
      <c r="BA8" t="s">
        <v>214</v>
      </c>
    </row>
    <row r="9" spans="1:53">
      <c r="A9" t="s">
        <v>17</v>
      </c>
      <c r="B9" t="s">
        <v>114</v>
      </c>
      <c r="C9" t="s">
        <v>444</v>
      </c>
      <c r="D9" t="s">
        <v>448</v>
      </c>
      <c r="E9" t="s">
        <v>57</v>
      </c>
      <c r="F9" t="s">
        <v>19</v>
      </c>
      <c r="G9" t="s">
        <v>100</v>
      </c>
      <c r="H9" t="s">
        <v>19</v>
      </c>
      <c r="I9" t="s">
        <v>19</v>
      </c>
      <c r="J9" t="s">
        <v>19</v>
      </c>
      <c r="K9" t="s">
        <v>19</v>
      </c>
      <c r="L9">
        <v>0</v>
      </c>
      <c r="M9">
        <v>0</v>
      </c>
      <c r="N9">
        <v>0</v>
      </c>
      <c r="O9">
        <v>0</v>
      </c>
      <c r="P9">
        <v>5.9487127501633603E-3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3.8812028540534298E-3</v>
      </c>
      <c r="AJ9">
        <v>0</v>
      </c>
      <c r="AK9">
        <v>0</v>
      </c>
      <c r="AL9">
        <v>0</v>
      </c>
      <c r="AM9">
        <v>0</v>
      </c>
      <c r="AN9">
        <v>0</v>
      </c>
      <c r="AO9" t="s">
        <v>19</v>
      </c>
      <c r="AU9" t="str">
        <f t="shared" si="0"/>
        <v>ICH</v>
      </c>
      <c r="AV9" t="str">
        <f t="shared" si="1"/>
        <v>OTP</v>
      </c>
      <c r="AW9" t="str">
        <f t="shared" si="2"/>
        <v>BFG</v>
      </c>
      <c r="AX9" t="str">
        <f t="shared" si="3"/>
        <v>Yes</v>
      </c>
      <c r="AZ9" t="s">
        <v>218</v>
      </c>
      <c r="BA9" t="s">
        <v>214</v>
      </c>
    </row>
    <row r="10" spans="1:53">
      <c r="A10" t="s">
        <v>17</v>
      </c>
      <c r="B10" t="s">
        <v>114</v>
      </c>
      <c r="C10" t="s">
        <v>447</v>
      </c>
      <c r="D10" t="s">
        <v>448</v>
      </c>
      <c r="E10" t="s">
        <v>57</v>
      </c>
      <c r="F10" t="s">
        <v>19</v>
      </c>
      <c r="G10" t="s">
        <v>100</v>
      </c>
      <c r="H10" t="s">
        <v>19</v>
      </c>
      <c r="I10" t="s">
        <v>19</v>
      </c>
      <c r="J10" t="s">
        <v>19</v>
      </c>
      <c r="K10" t="s">
        <v>19</v>
      </c>
      <c r="L10">
        <v>0.116038187978559</v>
      </c>
      <c r="M10">
        <v>0</v>
      </c>
      <c r="N10">
        <v>0</v>
      </c>
      <c r="O10">
        <v>0</v>
      </c>
      <c r="P10">
        <v>0.119924955534757</v>
      </c>
      <c r="Q10">
        <v>0</v>
      </c>
      <c r="R10">
        <v>0.109972928273672</v>
      </c>
      <c r="S10">
        <v>0.13588424433373</v>
      </c>
      <c r="T10">
        <v>1.4535784710459701E-3</v>
      </c>
      <c r="U10">
        <v>0</v>
      </c>
      <c r="V10">
        <v>0.19909480127322801</v>
      </c>
      <c r="W10">
        <v>7.5832026127124003E-2</v>
      </c>
      <c r="X10">
        <v>6.9415519251851202E-3</v>
      </c>
      <c r="Y10">
        <v>0.20056385962595599</v>
      </c>
      <c r="Z10">
        <v>7.4205748549216896E-2</v>
      </c>
      <c r="AA10">
        <v>1.33135098607034E-2</v>
      </c>
      <c r="AB10">
        <v>8.7757313974597198E-2</v>
      </c>
      <c r="AC10">
        <v>7.2532110811170294E-2</v>
      </c>
      <c r="AD10">
        <v>0.10490875372546</v>
      </c>
      <c r="AE10">
        <v>0</v>
      </c>
      <c r="AF10">
        <v>0.15492617129587199</v>
      </c>
      <c r="AG10">
        <v>0</v>
      </c>
      <c r="AH10">
        <v>0</v>
      </c>
      <c r="AI10">
        <v>0.238441332733103</v>
      </c>
      <c r="AJ10">
        <v>5.50067001909662E-2</v>
      </c>
      <c r="AK10">
        <v>0</v>
      </c>
      <c r="AL10">
        <v>0</v>
      </c>
      <c r="AM10">
        <v>0.13765658270284201</v>
      </c>
      <c r="AN10">
        <v>1.6351400942120901E-2</v>
      </c>
      <c r="AO10" t="s">
        <v>19</v>
      </c>
      <c r="AU10" t="str">
        <f t="shared" si="0"/>
        <v>ICH</v>
      </c>
      <c r="AV10" t="str">
        <f t="shared" si="1"/>
        <v>OTP</v>
      </c>
      <c r="AW10" t="str">
        <f t="shared" si="2"/>
        <v>BIO</v>
      </c>
      <c r="AX10" t="str">
        <f t="shared" si="3"/>
        <v>No</v>
      </c>
      <c r="AZ10" t="s">
        <v>103</v>
      </c>
    </row>
    <row r="11" spans="1:53">
      <c r="A11" t="s">
        <v>17</v>
      </c>
      <c r="B11" t="s">
        <v>114</v>
      </c>
      <c r="C11" t="s">
        <v>446</v>
      </c>
      <c r="D11" t="s">
        <v>448</v>
      </c>
      <c r="E11" t="s">
        <v>57</v>
      </c>
      <c r="F11" t="s">
        <v>19</v>
      </c>
      <c r="G11" t="s">
        <v>100</v>
      </c>
      <c r="H11" t="s">
        <v>19</v>
      </c>
      <c r="I11" t="s">
        <v>19</v>
      </c>
      <c r="J11" t="s">
        <v>19</v>
      </c>
      <c r="K11" t="s">
        <v>19</v>
      </c>
      <c r="L11">
        <v>0</v>
      </c>
      <c r="M11">
        <v>3.0200201535992501E-3</v>
      </c>
      <c r="N11">
        <v>0</v>
      </c>
      <c r="O11">
        <v>1.21097450868037E-2</v>
      </c>
      <c r="P11">
        <v>0.54831649459581699</v>
      </c>
      <c r="Q11">
        <v>0.43523395754029398</v>
      </c>
      <c r="R11">
        <v>0.18242134001249</v>
      </c>
      <c r="S11">
        <v>0.13262402409770899</v>
      </c>
      <c r="T11">
        <v>0</v>
      </c>
      <c r="U11">
        <v>0.58311264353853898</v>
      </c>
      <c r="V11">
        <v>1.70748952656594E-2</v>
      </c>
      <c r="W11">
        <v>0.61357018318065903</v>
      </c>
      <c r="X11">
        <v>0</v>
      </c>
      <c r="Y11">
        <v>0</v>
      </c>
      <c r="Z11">
        <v>0.22640468331084099</v>
      </c>
      <c r="AA11">
        <v>0.11730790042688601</v>
      </c>
      <c r="AB11">
        <v>0.48888465649933099</v>
      </c>
      <c r="AC11">
        <v>0.20934892647421099</v>
      </c>
      <c r="AD11">
        <v>0.14531327387634299</v>
      </c>
      <c r="AE11">
        <v>0.90647589190647404</v>
      </c>
      <c r="AF11">
        <v>0.11932703051773599</v>
      </c>
      <c r="AG11">
        <v>0</v>
      </c>
      <c r="AH11">
        <v>0</v>
      </c>
      <c r="AI11">
        <v>0.39006346367171102</v>
      </c>
      <c r="AJ11">
        <v>5.39704902650344E-2</v>
      </c>
      <c r="AK11">
        <v>0</v>
      </c>
      <c r="AL11">
        <v>0.72369015544151205</v>
      </c>
      <c r="AM11">
        <v>5.13980963566927E-2</v>
      </c>
      <c r="AN11">
        <v>8.8608558201884402E-2</v>
      </c>
      <c r="AO11" t="s">
        <v>19</v>
      </c>
      <c r="AU11" t="str">
        <f t="shared" si="0"/>
        <v>ICH</v>
      </c>
      <c r="AV11" t="str">
        <f t="shared" si="1"/>
        <v>OTP</v>
      </c>
      <c r="AW11" t="str">
        <f t="shared" si="2"/>
        <v>COA</v>
      </c>
      <c r="AX11" t="str">
        <f t="shared" si="3"/>
        <v>Yes</v>
      </c>
    </row>
    <row r="12" spans="1:53">
      <c r="A12" t="s">
        <v>17</v>
      </c>
      <c r="B12" t="s">
        <v>114</v>
      </c>
      <c r="C12" t="s">
        <v>445</v>
      </c>
      <c r="D12" t="s">
        <v>448</v>
      </c>
      <c r="E12" t="s">
        <v>57</v>
      </c>
      <c r="F12" t="s">
        <v>19</v>
      </c>
      <c r="G12" t="s">
        <v>100</v>
      </c>
      <c r="H12" t="s">
        <v>19</v>
      </c>
      <c r="I12" t="s">
        <v>19</v>
      </c>
      <c r="J12" t="s">
        <v>19</v>
      </c>
      <c r="K12" t="s">
        <v>19</v>
      </c>
      <c r="L12">
        <v>0.26417995539035499</v>
      </c>
      <c r="M12">
        <v>8.1139414023442807E-3</v>
      </c>
      <c r="N12">
        <v>0.28127147240024097</v>
      </c>
      <c r="O12">
        <v>5.2341100484757597E-2</v>
      </c>
      <c r="P12">
        <v>0.123919670532791</v>
      </c>
      <c r="Q12">
        <v>6.6160812724196494E-2</v>
      </c>
      <c r="R12">
        <v>2.8111474517140699E-2</v>
      </c>
      <c r="S12">
        <v>0.11408078053470801</v>
      </c>
      <c r="T12">
        <v>0.10464050486411799</v>
      </c>
      <c r="U12">
        <v>5.2810616061514701E-2</v>
      </c>
      <c r="V12">
        <v>0.38189782326199101</v>
      </c>
      <c r="W12">
        <v>4.6715649341682298E-2</v>
      </c>
      <c r="X12">
        <v>8.2317914478377704E-2</v>
      </c>
      <c r="Y12">
        <v>0.17732914906858299</v>
      </c>
      <c r="Z12">
        <v>6.7664968580568502E-2</v>
      </c>
      <c r="AA12">
        <v>6.5782592422876193E-2</v>
      </c>
      <c r="AB12">
        <v>6.4856546264722301E-2</v>
      </c>
      <c r="AC12">
        <v>7.2679329588151098E-2</v>
      </c>
      <c r="AD12">
        <v>0.120724188828413</v>
      </c>
      <c r="AE12">
        <v>8.3524108093526006E-2</v>
      </c>
      <c r="AF12">
        <v>5.5595378812644501E-2</v>
      </c>
      <c r="AG12">
        <v>4.1533269413585601E-2</v>
      </c>
      <c r="AH12">
        <v>0</v>
      </c>
      <c r="AI12">
        <v>8.2366349086241603E-2</v>
      </c>
      <c r="AJ12">
        <v>8.8043995926161106E-2</v>
      </c>
      <c r="AK12">
        <v>0.99</v>
      </c>
      <c r="AL12">
        <v>3.0337859547553799E-2</v>
      </c>
      <c r="AM12">
        <v>0.12722945914327599</v>
      </c>
      <c r="AN12">
        <v>3.8163009559276602E-2</v>
      </c>
      <c r="AO12" t="s">
        <v>19</v>
      </c>
      <c r="AU12" t="str">
        <f t="shared" si="0"/>
        <v>ICH</v>
      </c>
      <c r="AV12" t="str">
        <f t="shared" si="1"/>
        <v>OTP</v>
      </c>
      <c r="AW12" t="str">
        <f t="shared" si="2"/>
        <v>ELC</v>
      </c>
      <c r="AX12" t="str">
        <f t="shared" si="3"/>
        <v>No</v>
      </c>
    </row>
    <row r="13" spans="1:53">
      <c r="A13" t="s">
        <v>17</v>
      </c>
      <c r="B13" t="s">
        <v>114</v>
      </c>
      <c r="C13" t="s">
        <v>443</v>
      </c>
      <c r="D13" t="s">
        <v>448</v>
      </c>
      <c r="E13" t="s">
        <v>57</v>
      </c>
      <c r="F13" t="s">
        <v>19</v>
      </c>
      <c r="G13" t="s">
        <v>100</v>
      </c>
      <c r="H13" t="s">
        <v>19</v>
      </c>
      <c r="I13" t="s">
        <v>19</v>
      </c>
      <c r="J13" t="s">
        <v>19</v>
      </c>
      <c r="K13" t="s">
        <v>19</v>
      </c>
      <c r="L13">
        <v>0.60978185663108697</v>
      </c>
      <c r="M13">
        <v>0.97886603844405595</v>
      </c>
      <c r="N13">
        <v>0.70872852759975902</v>
      </c>
      <c r="O13">
        <v>0.71569904842438703</v>
      </c>
      <c r="P13">
        <v>0.185796712148841</v>
      </c>
      <c r="Q13">
        <v>0.488405019346353</v>
      </c>
      <c r="R13">
        <v>0.66416068543170903</v>
      </c>
      <c r="S13">
        <v>0.60741095103385301</v>
      </c>
      <c r="T13">
        <v>0.88390591666483598</v>
      </c>
      <c r="U13">
        <v>0.110244554047602</v>
      </c>
      <c r="V13">
        <v>0.39193248019912102</v>
      </c>
      <c r="W13">
        <v>0.230167721763642</v>
      </c>
      <c r="X13">
        <v>0.89408228174646098</v>
      </c>
      <c r="Y13">
        <v>0.61057129623108397</v>
      </c>
      <c r="Z13">
        <v>0.61813790364934595</v>
      </c>
      <c r="AA13">
        <v>0.78694163693032504</v>
      </c>
      <c r="AB13">
        <v>0.34850148326135</v>
      </c>
      <c r="AC13">
        <v>0.63146281334418297</v>
      </c>
      <c r="AD13">
        <v>0.61893348218058997</v>
      </c>
      <c r="AE13">
        <v>0</v>
      </c>
      <c r="AF13">
        <v>0.65969891558613802</v>
      </c>
      <c r="AG13">
        <v>0.94846673058641395</v>
      </c>
      <c r="AH13">
        <v>0.989831321863749</v>
      </c>
      <c r="AI13">
        <v>0.208292604628037</v>
      </c>
      <c r="AJ13">
        <v>0.78666131135934103</v>
      </c>
      <c r="AK13">
        <v>0</v>
      </c>
      <c r="AL13">
        <v>0.235971985010934</v>
      </c>
      <c r="AM13">
        <v>0.67371586179719001</v>
      </c>
      <c r="AN13">
        <v>0.84687703129671799</v>
      </c>
      <c r="AO13" t="s">
        <v>19</v>
      </c>
      <c r="AU13" t="str">
        <f t="shared" si="0"/>
        <v>ICH</v>
      </c>
      <c r="AV13" t="str">
        <f t="shared" si="1"/>
        <v>OTP</v>
      </c>
      <c r="AW13" t="str">
        <f t="shared" si="2"/>
        <v>NGA</v>
      </c>
      <c r="AX13" t="str">
        <f t="shared" si="3"/>
        <v>Yes</v>
      </c>
    </row>
    <row r="14" spans="1:53">
      <c r="A14" t="s">
        <v>17</v>
      </c>
      <c r="B14" t="s">
        <v>114</v>
      </c>
      <c r="C14" t="s">
        <v>441</v>
      </c>
      <c r="D14" t="s">
        <v>448</v>
      </c>
      <c r="E14" t="s">
        <v>57</v>
      </c>
      <c r="F14" t="s">
        <v>19</v>
      </c>
      <c r="G14" t="s">
        <v>100</v>
      </c>
      <c r="H14" t="s">
        <v>19</v>
      </c>
      <c r="I14" t="s">
        <v>19</v>
      </c>
      <c r="J14" t="s">
        <v>19</v>
      </c>
      <c r="K14" t="s">
        <v>19</v>
      </c>
      <c r="L14">
        <v>0</v>
      </c>
      <c r="M14">
        <v>0</v>
      </c>
      <c r="N14">
        <v>0</v>
      </c>
      <c r="O14">
        <v>0.20985010600405199</v>
      </c>
      <c r="P14">
        <v>6.0934544376307596E-3</v>
      </c>
      <c r="Q14">
        <v>0</v>
      </c>
      <c r="R14">
        <v>5.3335717649872503E-3</v>
      </c>
      <c r="S14">
        <v>0</v>
      </c>
      <c r="T14">
        <v>0</v>
      </c>
      <c r="U14">
        <v>0.24383218635234499</v>
      </c>
      <c r="V14">
        <v>0</v>
      </c>
      <c r="W14">
        <v>2.37144195868919E-2</v>
      </c>
      <c r="X14">
        <v>5.9352999282309702E-3</v>
      </c>
      <c r="Y14">
        <v>1.53569507437653E-3</v>
      </c>
      <c r="Z14">
        <v>3.5866959100278799E-3</v>
      </c>
      <c r="AA14">
        <v>6.6543603592094797E-3</v>
      </c>
      <c r="AB14">
        <v>0</v>
      </c>
      <c r="AC14">
        <v>3.9768197822837598E-3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6.6955047026854397E-2</v>
      </c>
      <c r="AJ14">
        <v>6.3175022584972098E-3</v>
      </c>
      <c r="AK14">
        <v>0</v>
      </c>
      <c r="AL14">
        <v>0</v>
      </c>
      <c r="AM14">
        <v>0</v>
      </c>
      <c r="AN14">
        <v>0</v>
      </c>
      <c r="AO14" t="s">
        <v>19</v>
      </c>
      <c r="AU14" t="str">
        <f t="shared" si="0"/>
        <v>ICH</v>
      </c>
      <c r="AV14" t="str">
        <f t="shared" si="1"/>
        <v>OTP</v>
      </c>
      <c r="AW14" t="str">
        <f t="shared" si="2"/>
        <v>OVC</v>
      </c>
      <c r="AX14" t="str">
        <f t="shared" si="3"/>
        <v>Yes</v>
      </c>
    </row>
    <row r="15" spans="1:53">
      <c r="A15" t="s">
        <v>17</v>
      </c>
      <c r="B15" t="s">
        <v>114</v>
      </c>
      <c r="C15" t="s">
        <v>442</v>
      </c>
      <c r="D15" t="s">
        <v>440</v>
      </c>
      <c r="E15" t="s">
        <v>57</v>
      </c>
      <c r="F15" t="s">
        <v>19</v>
      </c>
      <c r="G15" t="s">
        <v>100</v>
      </c>
      <c r="H15" t="s">
        <v>19</v>
      </c>
      <c r="I15" t="s">
        <v>19</v>
      </c>
      <c r="J15" t="s">
        <v>19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19</v>
      </c>
      <c r="AU15" t="str">
        <f t="shared" si="0"/>
        <v>ICH</v>
      </c>
      <c r="AV15" t="str">
        <f t="shared" si="1"/>
        <v>PRC</v>
      </c>
      <c r="AW15" t="str">
        <f t="shared" si="2"/>
        <v>BFG</v>
      </c>
      <c r="AX15" t="str">
        <f t="shared" si="3"/>
        <v>Yes</v>
      </c>
    </row>
    <row r="16" spans="1:53">
      <c r="A16" t="s">
        <v>17</v>
      </c>
      <c r="B16" t="s">
        <v>114</v>
      </c>
      <c r="C16" t="s">
        <v>437</v>
      </c>
      <c r="D16" t="s">
        <v>440</v>
      </c>
      <c r="E16" t="s">
        <v>57</v>
      </c>
      <c r="F16" t="s">
        <v>19</v>
      </c>
      <c r="G16" t="s">
        <v>100</v>
      </c>
      <c r="H16" t="s">
        <v>19</v>
      </c>
      <c r="I16" t="s">
        <v>19</v>
      </c>
      <c r="J16" t="s">
        <v>19</v>
      </c>
      <c r="K16" t="s">
        <v>19</v>
      </c>
      <c r="L16">
        <v>0.96243871331529596</v>
      </c>
      <c r="M16">
        <v>0.39651881094170099</v>
      </c>
      <c r="N16">
        <v>0.959989550371522</v>
      </c>
      <c r="O16">
        <v>0.84641114499469805</v>
      </c>
      <c r="P16">
        <v>0.97135280435037297</v>
      </c>
      <c r="Q16">
        <v>0.90693690127224003</v>
      </c>
      <c r="R16">
        <v>0.765591856700514</v>
      </c>
      <c r="S16">
        <v>0.92865537985767599</v>
      </c>
      <c r="T16">
        <v>0.896090435717395</v>
      </c>
      <c r="U16">
        <v>0.96500701376319298</v>
      </c>
      <c r="V16">
        <v>0.977553241536807</v>
      </c>
      <c r="W16">
        <v>0.93297023443891103</v>
      </c>
      <c r="X16">
        <v>0.87243740218983601</v>
      </c>
      <c r="Y16">
        <v>0.94944200616747598</v>
      </c>
      <c r="Z16">
        <v>0.8892183059605</v>
      </c>
      <c r="AA16">
        <v>0.86205629156809205</v>
      </c>
      <c r="AB16">
        <v>0.92812582265476895</v>
      </c>
      <c r="AC16">
        <v>0.89366914796627295</v>
      </c>
      <c r="AD16">
        <v>0.93079537087950404</v>
      </c>
      <c r="AE16">
        <v>0.99</v>
      </c>
      <c r="AF16">
        <v>0.86295769850121395</v>
      </c>
      <c r="AG16">
        <v>0.77143638309978302</v>
      </c>
      <c r="AH16">
        <v>1.3413939812946E-2</v>
      </c>
      <c r="AI16">
        <v>0.95934040190800496</v>
      </c>
      <c r="AJ16">
        <v>0.89120859091383997</v>
      </c>
      <c r="AK16">
        <v>0.99</v>
      </c>
      <c r="AL16">
        <v>0.90287278341086297</v>
      </c>
      <c r="AM16">
        <v>0.92897010818500103</v>
      </c>
      <c r="AN16">
        <v>0.77627894319865898</v>
      </c>
      <c r="AO16" t="s">
        <v>19</v>
      </c>
      <c r="AU16" t="str">
        <f t="shared" si="0"/>
        <v>ICH</v>
      </c>
      <c r="AV16" t="str">
        <f t="shared" si="1"/>
        <v>PRC</v>
      </c>
      <c r="AW16" t="str">
        <f t="shared" si="2"/>
        <v>ELC</v>
      </c>
      <c r="AX16" t="str">
        <f t="shared" si="3"/>
        <v>No</v>
      </c>
    </row>
    <row r="17" spans="1:50">
      <c r="A17" t="s">
        <v>17</v>
      </c>
      <c r="B17" t="s">
        <v>114</v>
      </c>
      <c r="C17" t="s">
        <v>439</v>
      </c>
      <c r="D17" t="s">
        <v>440</v>
      </c>
      <c r="E17" t="s">
        <v>57</v>
      </c>
      <c r="F17" t="s">
        <v>19</v>
      </c>
      <c r="G17" t="s">
        <v>100</v>
      </c>
      <c r="H17" t="s">
        <v>19</v>
      </c>
      <c r="I17" t="s">
        <v>19</v>
      </c>
      <c r="J17" t="s">
        <v>19</v>
      </c>
      <c r="K17" t="s">
        <v>19</v>
      </c>
      <c r="L17">
        <v>2.7561286684703701E-2</v>
      </c>
      <c r="M17">
        <v>0.59348118905829905</v>
      </c>
      <c r="N17">
        <v>3.0010449628478299E-2</v>
      </c>
      <c r="O17">
        <v>0.143588855005302</v>
      </c>
      <c r="P17">
        <v>1.8068684790375801E-2</v>
      </c>
      <c r="Q17">
        <v>8.3063098727759896E-2</v>
      </c>
      <c r="R17">
        <v>0.224408143299486</v>
      </c>
      <c r="S17">
        <v>6.1344620142324502E-2</v>
      </c>
      <c r="T17">
        <v>9.3909564282604593E-2</v>
      </c>
      <c r="U17">
        <v>2.4992986236806701E-2</v>
      </c>
      <c r="V17">
        <v>1.2446758463192899E-2</v>
      </c>
      <c r="W17">
        <v>5.70297655610894E-2</v>
      </c>
      <c r="X17">
        <v>0.117562597810164</v>
      </c>
      <c r="Y17">
        <v>4.0557993832524002E-2</v>
      </c>
      <c r="Z17">
        <v>0.10078169403950001</v>
      </c>
      <c r="AA17">
        <v>0.127943708431908</v>
      </c>
      <c r="AB17">
        <v>6.1874177345231499E-2</v>
      </c>
      <c r="AC17">
        <v>9.6330852033727099E-2</v>
      </c>
      <c r="AD17">
        <v>5.9204629120495698E-2</v>
      </c>
      <c r="AE17">
        <v>0</v>
      </c>
      <c r="AF17">
        <v>0.12704230149878601</v>
      </c>
      <c r="AG17">
        <v>0.218563616900217</v>
      </c>
      <c r="AH17">
        <v>0.97658606018705396</v>
      </c>
      <c r="AI17">
        <v>3.0098755445907299E-2</v>
      </c>
      <c r="AJ17">
        <v>9.8791409086160201E-2</v>
      </c>
      <c r="AK17">
        <v>0</v>
      </c>
      <c r="AL17">
        <v>8.7127216589137399E-2</v>
      </c>
      <c r="AM17">
        <v>6.10298918149988E-2</v>
      </c>
      <c r="AN17">
        <v>0.21372105680134099</v>
      </c>
      <c r="AO17" t="s">
        <v>19</v>
      </c>
      <c r="AU17" t="str">
        <f t="shared" si="0"/>
        <v>ICH</v>
      </c>
      <c r="AV17" t="str">
        <f t="shared" si="1"/>
        <v>PRC</v>
      </c>
      <c r="AW17" t="str">
        <f t="shared" si="2"/>
        <v>NGA</v>
      </c>
      <c r="AX17" t="str">
        <f t="shared" si="3"/>
        <v>Yes</v>
      </c>
    </row>
    <row r="18" spans="1:50">
      <c r="A18" t="s">
        <v>17</v>
      </c>
      <c r="B18" t="s">
        <v>114</v>
      </c>
      <c r="C18" t="s">
        <v>434</v>
      </c>
      <c r="D18" t="s">
        <v>436</v>
      </c>
      <c r="E18" t="s">
        <v>57</v>
      </c>
      <c r="F18" t="s">
        <v>19</v>
      </c>
      <c r="G18" t="s">
        <v>100</v>
      </c>
      <c r="H18" t="s">
        <v>19</v>
      </c>
      <c r="I18" t="s">
        <v>19</v>
      </c>
      <c r="J18" t="s">
        <v>19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1.27411788365546E-2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1.0294897338311499E-2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19</v>
      </c>
      <c r="AU18" t="str">
        <f t="shared" si="0"/>
        <v>ICH</v>
      </c>
      <c r="AV18" t="str">
        <f t="shared" si="1"/>
        <v>PRH</v>
      </c>
      <c r="AW18" t="str">
        <f t="shared" si="2"/>
        <v>BFG</v>
      </c>
      <c r="AX18" t="str">
        <f t="shared" si="3"/>
        <v>Yes</v>
      </c>
    </row>
    <row r="19" spans="1:50">
      <c r="A19" t="s">
        <v>17</v>
      </c>
      <c r="B19" t="s">
        <v>114</v>
      </c>
      <c r="C19" t="s">
        <v>430</v>
      </c>
      <c r="D19" t="s">
        <v>436</v>
      </c>
      <c r="E19" t="s">
        <v>57</v>
      </c>
      <c r="F19" t="s">
        <v>19</v>
      </c>
      <c r="G19" t="s">
        <v>100</v>
      </c>
      <c r="H19" t="s">
        <v>19</v>
      </c>
      <c r="I19" t="s">
        <v>19</v>
      </c>
      <c r="J19" t="s">
        <v>19</v>
      </c>
      <c r="K19" t="s">
        <v>19</v>
      </c>
      <c r="L19">
        <v>2.4707282470491299E-2</v>
      </c>
      <c r="M19">
        <v>0</v>
      </c>
      <c r="N19">
        <v>0</v>
      </c>
      <c r="O19">
        <v>0</v>
      </c>
      <c r="P19">
        <v>4.3535563258785798E-2</v>
      </c>
      <c r="Q19">
        <v>0</v>
      </c>
      <c r="R19">
        <v>2.51715731379215E-2</v>
      </c>
      <c r="S19">
        <v>2.7295749267521398E-2</v>
      </c>
      <c r="T19">
        <v>0</v>
      </c>
      <c r="U19">
        <v>0</v>
      </c>
      <c r="V19">
        <v>4.79096579847548E-2</v>
      </c>
      <c r="W19">
        <v>3.3744446909100501E-2</v>
      </c>
      <c r="X19">
        <v>1.20998949227086E-3</v>
      </c>
      <c r="Y19">
        <v>4.4241317920635397E-2</v>
      </c>
      <c r="Z19">
        <v>1.6645547982185298E-2</v>
      </c>
      <c r="AA19">
        <v>2.6548207079005702E-3</v>
      </c>
      <c r="AB19">
        <v>3.0938193962711798E-2</v>
      </c>
      <c r="AC19">
        <v>1.71039139753804E-2</v>
      </c>
      <c r="AD19">
        <v>2.4360032018996801E-2</v>
      </c>
      <c r="AE19">
        <v>0</v>
      </c>
      <c r="AF19">
        <v>3.4788157470961097E-2</v>
      </c>
      <c r="AG19">
        <v>0</v>
      </c>
      <c r="AH19">
        <v>0</v>
      </c>
      <c r="AI19">
        <v>0.10719763573932101</v>
      </c>
      <c r="AJ19">
        <v>1.0869384817405899E-2</v>
      </c>
      <c r="AK19">
        <v>0</v>
      </c>
      <c r="AL19">
        <v>0</v>
      </c>
      <c r="AM19">
        <v>3.0135988923714E-2</v>
      </c>
      <c r="AN19">
        <v>3.0998484086217299E-3</v>
      </c>
      <c r="AO19" t="s">
        <v>19</v>
      </c>
      <c r="AU19" t="str">
        <f t="shared" si="0"/>
        <v>ICH</v>
      </c>
      <c r="AV19" t="str">
        <f t="shared" si="1"/>
        <v>PRH</v>
      </c>
      <c r="AW19" t="str">
        <f t="shared" si="2"/>
        <v>BIO</v>
      </c>
      <c r="AX19" t="str">
        <f t="shared" si="3"/>
        <v>No</v>
      </c>
    </row>
    <row r="20" spans="1:50">
      <c r="A20" t="s">
        <v>17</v>
      </c>
      <c r="B20" t="s">
        <v>114</v>
      </c>
      <c r="C20" t="s">
        <v>438</v>
      </c>
      <c r="D20" t="s">
        <v>436</v>
      </c>
      <c r="E20" t="s">
        <v>57</v>
      </c>
      <c r="F20" t="s">
        <v>19</v>
      </c>
      <c r="G20" t="s">
        <v>100</v>
      </c>
      <c r="H20" t="s">
        <v>19</v>
      </c>
      <c r="I20" t="s">
        <v>19</v>
      </c>
      <c r="J20" t="s">
        <v>19</v>
      </c>
      <c r="K20" t="s">
        <v>19</v>
      </c>
      <c r="L20">
        <v>0</v>
      </c>
      <c r="M20">
        <v>0</v>
      </c>
      <c r="N20">
        <v>0</v>
      </c>
      <c r="O20">
        <v>2.6057653854698001E-3</v>
      </c>
      <c r="P20">
        <v>0.19905170971185801</v>
      </c>
      <c r="Q20">
        <v>0.11938144096275401</v>
      </c>
      <c r="R20">
        <v>4.1754204185734403E-2</v>
      </c>
      <c r="S20">
        <v>2.6640852487135699E-2</v>
      </c>
      <c r="T20">
        <v>0</v>
      </c>
      <c r="U20">
        <v>0.33004171015358802</v>
      </c>
      <c r="V20">
        <v>4.1088586295158804E-3</v>
      </c>
      <c r="W20">
        <v>0.27303222040563502</v>
      </c>
      <c r="X20">
        <v>0</v>
      </c>
      <c r="Y20">
        <v>0</v>
      </c>
      <c r="Z20">
        <v>5.0786227389681797E-2</v>
      </c>
      <c r="AA20">
        <v>2.3392136747715699E-2</v>
      </c>
      <c r="AB20">
        <v>0.172352680855162</v>
      </c>
      <c r="AC20">
        <v>4.9366907831692598E-2</v>
      </c>
      <c r="AD20">
        <v>3.3742046099189398E-2</v>
      </c>
      <c r="AE20">
        <v>0.33940724740462702</v>
      </c>
      <c r="AF20">
        <v>2.6794488584278301E-2</v>
      </c>
      <c r="AG20">
        <v>0</v>
      </c>
      <c r="AH20">
        <v>0</v>
      </c>
      <c r="AI20">
        <v>0.17536339280867</v>
      </c>
      <c r="AJ20">
        <v>1.06646285895743E-2</v>
      </c>
      <c r="AK20">
        <v>0</v>
      </c>
      <c r="AL20">
        <v>0.32751467873416501</v>
      </c>
      <c r="AM20">
        <v>1.12521496036913E-2</v>
      </c>
      <c r="AN20">
        <v>1.67981385267622E-2</v>
      </c>
      <c r="AO20" t="s">
        <v>19</v>
      </c>
      <c r="AU20" t="str">
        <f t="shared" si="0"/>
        <v>ICH</v>
      </c>
      <c r="AV20" t="str">
        <f t="shared" si="1"/>
        <v>PRH</v>
      </c>
      <c r="AW20" t="str">
        <f t="shared" si="2"/>
        <v>COA</v>
      </c>
      <c r="AX20" t="str">
        <f t="shared" si="3"/>
        <v>Yes</v>
      </c>
    </row>
    <row r="21" spans="1:50">
      <c r="A21" t="s">
        <v>17</v>
      </c>
      <c r="B21" t="s">
        <v>114</v>
      </c>
      <c r="C21" t="s">
        <v>435</v>
      </c>
      <c r="D21" t="s">
        <v>436</v>
      </c>
      <c r="E21" t="s">
        <v>57</v>
      </c>
      <c r="F21" t="s">
        <v>19</v>
      </c>
      <c r="G21" t="s">
        <v>100</v>
      </c>
      <c r="H21" t="s">
        <v>19</v>
      </c>
      <c r="I21" t="s">
        <v>19</v>
      </c>
      <c r="J21" t="s">
        <v>19</v>
      </c>
      <c r="K21" t="s">
        <v>19</v>
      </c>
      <c r="L21">
        <v>0.13178613236983799</v>
      </c>
      <c r="M21">
        <v>3.23549302856845E-3</v>
      </c>
      <c r="N21">
        <v>0.13477780563465599</v>
      </c>
      <c r="O21">
        <v>2.6386936202538801E-2</v>
      </c>
      <c r="P21">
        <v>0.105395158110672</v>
      </c>
      <c r="Q21">
        <v>4.2516811131672098E-2</v>
      </c>
      <c r="R21">
        <v>1.50748848389546E-2</v>
      </c>
      <c r="S21">
        <v>5.3688863225968601E-2</v>
      </c>
      <c r="T21">
        <v>4.4382096669214798E-2</v>
      </c>
      <c r="U21">
        <v>7.0029884867617798E-2</v>
      </c>
      <c r="V21">
        <v>0.21530600446318299</v>
      </c>
      <c r="W21">
        <v>4.8703239824946801E-2</v>
      </c>
      <c r="X21">
        <v>3.3617482639024802E-2</v>
      </c>
      <c r="Y21">
        <v>9.1643425770289305E-2</v>
      </c>
      <c r="Z21">
        <v>3.5560694907949497E-2</v>
      </c>
      <c r="AA21">
        <v>3.0732608592306001E-2</v>
      </c>
      <c r="AB21">
        <v>5.3568719073529301E-2</v>
      </c>
      <c r="AC21">
        <v>4.0153361415579597E-2</v>
      </c>
      <c r="AD21">
        <v>6.5675929952268994E-2</v>
      </c>
      <c r="AE21">
        <v>7.3269378561563403E-2</v>
      </c>
      <c r="AF21">
        <v>2.9247661032422601E-2</v>
      </c>
      <c r="AG21">
        <v>1.6633885221780002E-2</v>
      </c>
      <c r="AH21">
        <v>0</v>
      </c>
      <c r="AI21">
        <v>8.6755954167134705E-2</v>
      </c>
      <c r="AJ21">
        <v>4.0760070359958302E-2</v>
      </c>
      <c r="AK21">
        <v>0.99</v>
      </c>
      <c r="AL21">
        <v>3.2166873325791899E-2</v>
      </c>
      <c r="AM21">
        <v>6.5256225869327597E-2</v>
      </c>
      <c r="AN21">
        <v>1.6950164312755402E-2</v>
      </c>
      <c r="AO21" t="s">
        <v>19</v>
      </c>
      <c r="AU21" t="str">
        <f t="shared" si="0"/>
        <v>ICH</v>
      </c>
      <c r="AV21" t="str">
        <f t="shared" si="1"/>
        <v>PRH</v>
      </c>
      <c r="AW21" t="str">
        <f t="shared" si="2"/>
        <v>ELC</v>
      </c>
      <c r="AX21" t="str">
        <f t="shared" si="3"/>
        <v>No</v>
      </c>
    </row>
    <row r="22" spans="1:50">
      <c r="A22" t="s">
        <v>17</v>
      </c>
      <c r="B22" t="s">
        <v>114</v>
      </c>
      <c r="C22" t="s">
        <v>432</v>
      </c>
      <c r="D22" t="s">
        <v>436</v>
      </c>
      <c r="E22" t="s">
        <v>57</v>
      </c>
      <c r="F22" t="s">
        <v>19</v>
      </c>
      <c r="G22" t="s">
        <v>100</v>
      </c>
      <c r="H22" t="s">
        <v>19</v>
      </c>
      <c r="I22" t="s">
        <v>19</v>
      </c>
      <c r="J22" t="s">
        <v>19</v>
      </c>
      <c r="K22" t="s">
        <v>19</v>
      </c>
      <c r="L22">
        <v>0.76603842022849999</v>
      </c>
      <c r="M22">
        <v>0.98296502641263594</v>
      </c>
      <c r="N22">
        <v>0.85522189787509095</v>
      </c>
      <c r="O22">
        <v>0.90862098097327404</v>
      </c>
      <c r="P22">
        <v>0.39794645264510797</v>
      </c>
      <c r="Q22">
        <v>0.79039862225802204</v>
      </c>
      <c r="R22">
        <v>0.89691181487620797</v>
      </c>
      <c r="S22">
        <v>0.71988072574608697</v>
      </c>
      <c r="T22">
        <v>0.94410485999368199</v>
      </c>
      <c r="U22">
        <v>0.36815061237555702</v>
      </c>
      <c r="V22">
        <v>0.55645034757465195</v>
      </c>
      <c r="W22">
        <v>0.60429094271999195</v>
      </c>
      <c r="X22">
        <v>0.91950590430086199</v>
      </c>
      <c r="Y22">
        <v>0.79462783271568005</v>
      </c>
      <c r="Z22">
        <v>0.81808406467420802</v>
      </c>
      <c r="AA22">
        <v>0.92584261816713898</v>
      </c>
      <c r="AB22">
        <v>0.72488360665260498</v>
      </c>
      <c r="AC22">
        <v>0.87854695736941202</v>
      </c>
      <c r="AD22">
        <v>0.84793412902156295</v>
      </c>
      <c r="AE22">
        <v>0</v>
      </c>
      <c r="AF22">
        <v>0.87398588917895403</v>
      </c>
      <c r="AG22">
        <v>0.95659011010050299</v>
      </c>
      <c r="AH22">
        <v>0.98621630492312695</v>
      </c>
      <c r="AI22">
        <v>0.55249649699078496</v>
      </c>
      <c r="AJ22">
        <v>0.91712635839317502</v>
      </c>
      <c r="AK22">
        <v>0</v>
      </c>
      <c r="AL22">
        <v>0.63007255363646397</v>
      </c>
      <c r="AM22">
        <v>0.87019633036223398</v>
      </c>
      <c r="AN22">
        <v>0.94723525645474105</v>
      </c>
      <c r="AO22" t="s">
        <v>19</v>
      </c>
      <c r="AU22" t="str">
        <f t="shared" si="0"/>
        <v>ICH</v>
      </c>
      <c r="AV22" t="str">
        <f t="shared" si="1"/>
        <v>PRH</v>
      </c>
      <c r="AW22" t="str">
        <f t="shared" si="2"/>
        <v>NGA</v>
      </c>
      <c r="AX22" t="str">
        <f t="shared" si="3"/>
        <v>Yes</v>
      </c>
    </row>
    <row r="23" spans="1:50">
      <c r="A23" t="s">
        <v>17</v>
      </c>
      <c r="B23" t="s">
        <v>114</v>
      </c>
      <c r="C23" t="s">
        <v>429</v>
      </c>
      <c r="D23" t="s">
        <v>436</v>
      </c>
      <c r="E23" t="s">
        <v>57</v>
      </c>
      <c r="F23" t="s">
        <v>19</v>
      </c>
      <c r="G23" t="s">
        <v>100</v>
      </c>
      <c r="H23" t="s">
        <v>19</v>
      </c>
      <c r="I23" t="s">
        <v>19</v>
      </c>
      <c r="J23" t="s">
        <v>19</v>
      </c>
      <c r="K23" t="s">
        <v>19</v>
      </c>
      <c r="L23">
        <v>6.7468164931171096E-2</v>
      </c>
      <c r="M23">
        <v>3.28546929673858E-3</v>
      </c>
      <c r="N23">
        <v>0</v>
      </c>
      <c r="O23">
        <v>7.23093733427458E-3</v>
      </c>
      <c r="P23">
        <v>0.22911787098303699</v>
      </c>
      <c r="Q23">
        <v>3.7648209425279099E-2</v>
      </c>
      <c r="R23">
        <v>9.8667280448669001E-3</v>
      </c>
      <c r="S23">
        <v>0.16249380927328699</v>
      </c>
      <c r="T23">
        <v>1.24989498018179E-3</v>
      </c>
      <c r="U23">
        <v>8.3768794400306407E-2</v>
      </c>
      <c r="V23">
        <v>0.16622513134789399</v>
      </c>
      <c r="W23">
        <v>1.9676485077829001E-2</v>
      </c>
      <c r="X23">
        <v>3.4506016420882697E-2</v>
      </c>
      <c r="Y23">
        <v>5.9148672762904503E-2</v>
      </c>
      <c r="Z23">
        <v>6.8118911220495001E-2</v>
      </c>
      <c r="AA23">
        <v>6.0508829276906002E-3</v>
      </c>
      <c r="AB23">
        <v>8.2567994559915505E-3</v>
      </c>
      <c r="AC23">
        <v>3.8910791242637698E-3</v>
      </c>
      <c r="AD23">
        <v>1.8259928673815502E-2</v>
      </c>
      <c r="AE23">
        <v>0.57732337403380896</v>
      </c>
      <c r="AF23">
        <v>2.5082195510010102E-2</v>
      </c>
      <c r="AG23">
        <v>1.67760046777173E-2</v>
      </c>
      <c r="AH23">
        <v>3.7169585538420302E-3</v>
      </c>
      <c r="AI23">
        <v>2.7790202787455101E-2</v>
      </c>
      <c r="AJ23">
        <v>9.3312124038933998E-3</v>
      </c>
      <c r="AK23">
        <v>0</v>
      </c>
      <c r="AL23">
        <v>0</v>
      </c>
      <c r="AM23">
        <v>1.3159305241033E-2</v>
      </c>
      <c r="AN23">
        <v>5.9165922971191904E-3</v>
      </c>
      <c r="AO23" t="s">
        <v>19</v>
      </c>
      <c r="AU23" t="str">
        <f t="shared" si="0"/>
        <v>ICH</v>
      </c>
      <c r="AV23" t="str">
        <f t="shared" si="1"/>
        <v>PRH</v>
      </c>
      <c r="AW23" t="str">
        <f t="shared" si="2"/>
        <v>OIL</v>
      </c>
      <c r="AX23" t="str">
        <f t="shared" si="3"/>
        <v>Yes</v>
      </c>
    </row>
    <row r="24" spans="1:50">
      <c r="A24" t="s">
        <v>17</v>
      </c>
      <c r="B24" t="s">
        <v>114</v>
      </c>
      <c r="C24" t="s">
        <v>433</v>
      </c>
      <c r="D24" t="s">
        <v>436</v>
      </c>
      <c r="E24" t="s">
        <v>57</v>
      </c>
      <c r="F24" t="s">
        <v>19</v>
      </c>
      <c r="G24" t="s">
        <v>100</v>
      </c>
      <c r="H24" t="s">
        <v>19</v>
      </c>
      <c r="I24" t="s">
        <v>19</v>
      </c>
      <c r="J24" t="s">
        <v>19</v>
      </c>
      <c r="K24" t="s">
        <v>19</v>
      </c>
      <c r="L24">
        <v>0</v>
      </c>
      <c r="M24">
        <v>0</v>
      </c>
      <c r="N24">
        <v>0</v>
      </c>
      <c r="O24">
        <v>4.5155380104442602E-2</v>
      </c>
      <c r="P24">
        <v>2.21206645398438E-3</v>
      </c>
      <c r="Q24">
        <v>0</v>
      </c>
      <c r="R24">
        <v>1.2207949163146E-3</v>
      </c>
      <c r="S24">
        <v>0</v>
      </c>
      <c r="T24">
        <v>0</v>
      </c>
      <c r="U24">
        <v>0.13800899820293</v>
      </c>
      <c r="V24">
        <v>0</v>
      </c>
      <c r="W24">
        <v>1.0552665062496301E-2</v>
      </c>
      <c r="X24">
        <v>1.0345886084319499E-3</v>
      </c>
      <c r="Y24">
        <v>0</v>
      </c>
      <c r="Z24">
        <v>0</v>
      </c>
      <c r="AA24">
        <v>1.32693285724796E-3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3.01014201683222E-2</v>
      </c>
      <c r="AJ24">
        <v>1.2483454359931601E-3</v>
      </c>
      <c r="AK24">
        <v>0</v>
      </c>
      <c r="AL24">
        <v>0</v>
      </c>
      <c r="AM24">
        <v>0</v>
      </c>
      <c r="AN24">
        <v>0</v>
      </c>
      <c r="AO24" t="s">
        <v>19</v>
      </c>
      <c r="AU24" t="str">
        <f t="shared" si="0"/>
        <v>ICH</v>
      </c>
      <c r="AV24" t="str">
        <f t="shared" si="1"/>
        <v>PRH</v>
      </c>
      <c r="AW24" t="str">
        <f t="shared" si="2"/>
        <v>OVC</v>
      </c>
      <c r="AX24" t="str">
        <f t="shared" si="3"/>
        <v>Yes</v>
      </c>
    </row>
    <row r="25" spans="1:50">
      <c r="A25" t="s">
        <v>17</v>
      </c>
      <c r="B25" t="s">
        <v>114</v>
      </c>
      <c r="C25" t="s">
        <v>431</v>
      </c>
      <c r="D25" t="s">
        <v>428</v>
      </c>
      <c r="E25" t="s">
        <v>57</v>
      </c>
      <c r="F25" t="s">
        <v>19</v>
      </c>
      <c r="G25" t="s">
        <v>100</v>
      </c>
      <c r="H25" t="s">
        <v>19</v>
      </c>
      <c r="I25" t="s">
        <v>19</v>
      </c>
      <c r="J25" t="s">
        <v>19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6.0167177253015597E-3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5.2254927554785096E-3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19</v>
      </c>
      <c r="AU25" t="str">
        <f t="shared" si="0"/>
        <v>ICH</v>
      </c>
      <c r="AV25" t="str">
        <f t="shared" si="1"/>
        <v>SPC</v>
      </c>
      <c r="AW25" t="str">
        <f t="shared" si="2"/>
        <v>BFG</v>
      </c>
      <c r="AX25" t="str">
        <f t="shared" si="3"/>
        <v>Yes</v>
      </c>
    </row>
    <row r="26" spans="1:50">
      <c r="A26" t="s">
        <v>17</v>
      </c>
      <c r="B26" t="s">
        <v>114</v>
      </c>
      <c r="C26" t="s">
        <v>422</v>
      </c>
      <c r="D26" t="s">
        <v>428</v>
      </c>
      <c r="E26" t="s">
        <v>57</v>
      </c>
      <c r="F26" t="s">
        <v>19</v>
      </c>
      <c r="G26" t="s">
        <v>100</v>
      </c>
      <c r="H26" t="s">
        <v>19</v>
      </c>
      <c r="I26" t="s">
        <v>19</v>
      </c>
      <c r="J26" t="s">
        <v>19</v>
      </c>
      <c r="K26" t="s">
        <v>19</v>
      </c>
      <c r="L26">
        <v>0.72611721604979695</v>
      </c>
      <c r="M26">
        <v>4.9514351042264801E-2</v>
      </c>
      <c r="N26">
        <v>0.70880356594013805</v>
      </c>
      <c r="O26">
        <v>0.313999886487631</v>
      </c>
      <c r="P26">
        <v>0.79606256425751298</v>
      </c>
      <c r="Q26">
        <v>0.45785106158563799</v>
      </c>
      <c r="R26">
        <v>0.20975478930233399</v>
      </c>
      <c r="S26">
        <v>0.53854084259645496</v>
      </c>
      <c r="T26">
        <v>0.42490149333637001</v>
      </c>
      <c r="U26">
        <v>0.74510365961859604</v>
      </c>
      <c r="V26">
        <v>0.85228572098031197</v>
      </c>
      <c r="W26">
        <v>0.55751655676604805</v>
      </c>
      <c r="X26">
        <v>0.36530478580425801</v>
      </c>
      <c r="Y26">
        <v>0.64197831795012705</v>
      </c>
      <c r="Z26">
        <v>0.40601965195399198</v>
      </c>
      <c r="AA26">
        <v>0.34333502599968801</v>
      </c>
      <c r="AB26">
        <v>0.53628895421200196</v>
      </c>
      <c r="AC26">
        <v>0.418085192337178</v>
      </c>
      <c r="AD26">
        <v>0.547809770314308</v>
      </c>
      <c r="AE26">
        <v>0.99</v>
      </c>
      <c r="AF26">
        <v>0.345157279646226</v>
      </c>
      <c r="AG26">
        <v>0.21542954232620701</v>
      </c>
      <c r="AH26">
        <v>1.07036846088518E-3</v>
      </c>
      <c r="AI26">
        <v>0.70433786493740103</v>
      </c>
      <c r="AJ26">
        <v>0.41134264886694</v>
      </c>
      <c r="AK26">
        <v>0.99</v>
      </c>
      <c r="AL26">
        <v>0.44501765238327801</v>
      </c>
      <c r="AM26">
        <v>0.53988694750194499</v>
      </c>
      <c r="AN26">
        <v>0.220299827943919</v>
      </c>
      <c r="AO26" t="s">
        <v>19</v>
      </c>
      <c r="AU26" t="str">
        <f t="shared" si="0"/>
        <v>ICH</v>
      </c>
      <c r="AV26" t="str">
        <f t="shared" si="1"/>
        <v>SPC</v>
      </c>
      <c r="AW26" t="str">
        <f t="shared" si="2"/>
        <v>ELC</v>
      </c>
      <c r="AX26" t="str">
        <f t="shared" si="3"/>
        <v>No</v>
      </c>
    </row>
    <row r="27" spans="1:50">
      <c r="A27" t="s">
        <v>17</v>
      </c>
      <c r="B27" t="s">
        <v>114</v>
      </c>
      <c r="C27" t="s">
        <v>427</v>
      </c>
      <c r="D27" t="s">
        <v>428</v>
      </c>
      <c r="E27" t="s">
        <v>57</v>
      </c>
      <c r="F27" t="s">
        <v>19</v>
      </c>
      <c r="G27" t="s">
        <v>100</v>
      </c>
      <c r="H27" t="s">
        <v>19</v>
      </c>
      <c r="I27" t="s">
        <v>19</v>
      </c>
      <c r="J27" t="s">
        <v>19</v>
      </c>
      <c r="K27" t="s">
        <v>19</v>
      </c>
      <c r="L27">
        <v>0.26388278395020298</v>
      </c>
      <c r="M27">
        <v>0.94048564895773501</v>
      </c>
      <c r="N27">
        <v>0.281196434059862</v>
      </c>
      <c r="O27">
        <v>0.67600011351236899</v>
      </c>
      <c r="P27">
        <v>0.18792071801718599</v>
      </c>
      <c r="Q27">
        <v>0.53214893841436195</v>
      </c>
      <c r="R27">
        <v>0.78024521069766595</v>
      </c>
      <c r="S27">
        <v>0.45145915740354498</v>
      </c>
      <c r="T27">
        <v>0.56509850666363004</v>
      </c>
      <c r="U27">
        <v>0.24489634038140401</v>
      </c>
      <c r="V27">
        <v>0.137714279019688</v>
      </c>
      <c r="W27">
        <v>0.43248344323395199</v>
      </c>
      <c r="X27">
        <v>0.62469521419574203</v>
      </c>
      <c r="Y27">
        <v>0.34802168204987299</v>
      </c>
      <c r="Z27">
        <v>0.58398034804600796</v>
      </c>
      <c r="AA27">
        <v>0.64666497400031198</v>
      </c>
      <c r="AB27">
        <v>0.45371104578799798</v>
      </c>
      <c r="AC27">
        <v>0.57191480766282199</v>
      </c>
      <c r="AD27">
        <v>0.44219022968569199</v>
      </c>
      <c r="AE27">
        <v>0</v>
      </c>
      <c r="AF27">
        <v>0.64484272035377399</v>
      </c>
      <c r="AG27">
        <v>0.77457045767379296</v>
      </c>
      <c r="AH27">
        <v>0.98892963153911495</v>
      </c>
      <c r="AI27">
        <v>0.28043664230712101</v>
      </c>
      <c r="AJ27">
        <v>0.57865735113306005</v>
      </c>
      <c r="AK27">
        <v>0</v>
      </c>
      <c r="AL27">
        <v>0.54498234761672204</v>
      </c>
      <c r="AM27">
        <v>0.450113052498055</v>
      </c>
      <c r="AN27">
        <v>0.76970017205608099</v>
      </c>
      <c r="AO27" t="s">
        <v>19</v>
      </c>
      <c r="AU27" t="str">
        <f t="shared" si="0"/>
        <v>ICH</v>
      </c>
      <c r="AV27" t="str">
        <f t="shared" si="1"/>
        <v>SPC</v>
      </c>
      <c r="AW27" t="str">
        <f t="shared" si="2"/>
        <v>NGA</v>
      </c>
      <c r="AX27" t="str">
        <f t="shared" si="3"/>
        <v>Yes</v>
      </c>
    </row>
    <row r="28" spans="1:50">
      <c r="A28" t="s">
        <v>17</v>
      </c>
      <c r="B28" t="s">
        <v>114</v>
      </c>
      <c r="C28" t="s">
        <v>426</v>
      </c>
      <c r="D28" t="s">
        <v>425</v>
      </c>
      <c r="E28" t="s">
        <v>57</v>
      </c>
      <c r="F28" t="s">
        <v>19</v>
      </c>
      <c r="G28" t="s">
        <v>100</v>
      </c>
      <c r="H28" t="s">
        <v>19</v>
      </c>
      <c r="I28" t="s">
        <v>19</v>
      </c>
      <c r="J28" t="s">
        <v>19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3.8213576493748799E-3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7.0738478141607599E-3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19</v>
      </c>
      <c r="AU28" t="str">
        <f t="shared" si="0"/>
        <v>ICH</v>
      </c>
      <c r="AV28" t="str">
        <f t="shared" si="1"/>
        <v>STM</v>
      </c>
      <c r="AW28" t="str">
        <f t="shared" si="2"/>
        <v>BFG</v>
      </c>
      <c r="AX28" t="str">
        <f t="shared" si="3"/>
        <v>Yes</v>
      </c>
    </row>
    <row r="29" spans="1:50">
      <c r="A29" t="s">
        <v>17</v>
      </c>
      <c r="B29" t="s">
        <v>114</v>
      </c>
      <c r="C29" t="s">
        <v>424</v>
      </c>
      <c r="D29" t="s">
        <v>425</v>
      </c>
      <c r="E29" t="s">
        <v>57</v>
      </c>
      <c r="F29" t="s">
        <v>19</v>
      </c>
      <c r="G29" t="s">
        <v>100</v>
      </c>
      <c r="H29" t="s">
        <v>19</v>
      </c>
      <c r="I29" t="s">
        <v>19</v>
      </c>
      <c r="J29" t="s">
        <v>19</v>
      </c>
      <c r="K29" t="s">
        <v>19</v>
      </c>
      <c r="L29">
        <v>4.1651490739033403E-2</v>
      </c>
      <c r="M29">
        <v>0</v>
      </c>
      <c r="N29">
        <v>0</v>
      </c>
      <c r="O29">
        <v>0</v>
      </c>
      <c r="P29">
        <v>2.6853722920851999E-2</v>
      </c>
      <c r="Q29">
        <v>0</v>
      </c>
      <c r="R29">
        <v>4.6926051026294602E-2</v>
      </c>
      <c r="S29">
        <v>3.3849863533534003E-2</v>
      </c>
      <c r="T29">
        <v>0</v>
      </c>
      <c r="U29">
        <v>0</v>
      </c>
      <c r="V29">
        <v>1.9264073433872601E-2</v>
      </c>
      <c r="W29">
        <v>2.6285414754768598E-2</v>
      </c>
      <c r="X29">
        <v>1.0491581758305E-3</v>
      </c>
      <c r="Y29">
        <v>1.7688598997429E-2</v>
      </c>
      <c r="Z29">
        <v>1.3838743531729701E-2</v>
      </c>
      <c r="AA29">
        <v>4.7875752424545396E-3</v>
      </c>
      <c r="AB29">
        <v>1.7982054368022402E-2</v>
      </c>
      <c r="AC29">
        <v>1.5322680931016699E-2</v>
      </c>
      <c r="AD29">
        <v>1.6424202511191598E-2</v>
      </c>
      <c r="AE29">
        <v>0</v>
      </c>
      <c r="AF29">
        <v>6.2328455094398202E-2</v>
      </c>
      <c r="AG29">
        <v>0</v>
      </c>
      <c r="AH29">
        <v>0</v>
      </c>
      <c r="AI29">
        <v>0.15148553334440501</v>
      </c>
      <c r="AJ29">
        <v>2.92283537142898E-3</v>
      </c>
      <c r="AK29">
        <v>0</v>
      </c>
      <c r="AL29">
        <v>0</v>
      </c>
      <c r="AM29">
        <v>3.6700846568311199E-2</v>
      </c>
      <c r="AN29">
        <v>4.9669937127986797E-3</v>
      </c>
      <c r="AO29" t="s">
        <v>19</v>
      </c>
      <c r="AU29" t="str">
        <f t="shared" si="0"/>
        <v>ICH</v>
      </c>
      <c r="AV29" t="str">
        <f t="shared" si="1"/>
        <v>STM</v>
      </c>
      <c r="AW29" t="str">
        <f t="shared" si="2"/>
        <v>BIO</v>
      </c>
      <c r="AX29" t="str">
        <f t="shared" si="3"/>
        <v>No</v>
      </c>
    </row>
    <row r="30" spans="1:50">
      <c r="A30" t="s">
        <v>17</v>
      </c>
      <c r="B30" t="s">
        <v>114</v>
      </c>
      <c r="C30" t="s">
        <v>423</v>
      </c>
      <c r="D30" t="s">
        <v>425</v>
      </c>
      <c r="E30" t="s">
        <v>57</v>
      </c>
      <c r="F30" t="s">
        <v>19</v>
      </c>
      <c r="G30" t="s">
        <v>100</v>
      </c>
      <c r="H30" t="s">
        <v>19</v>
      </c>
      <c r="I30" t="s">
        <v>19</v>
      </c>
      <c r="J30" t="s">
        <v>19</v>
      </c>
      <c r="K30" t="s">
        <v>19</v>
      </c>
      <c r="L30">
        <v>0</v>
      </c>
      <c r="M30">
        <v>1.04499968624238E-3</v>
      </c>
      <c r="N30">
        <v>0</v>
      </c>
      <c r="O30">
        <v>3.3042367211799499E-3</v>
      </c>
      <c r="P30">
        <v>0.122779609574602</v>
      </c>
      <c r="Q30">
        <v>0.12957019478078899</v>
      </c>
      <c r="R30">
        <v>7.7840185253669203E-2</v>
      </c>
      <c r="S30">
        <v>3.3037716322356803E-2</v>
      </c>
      <c r="T30">
        <v>0</v>
      </c>
      <c r="U30">
        <v>0.14904764216744501</v>
      </c>
      <c r="V30">
        <v>1.6521377462886901E-3</v>
      </c>
      <c r="W30">
        <v>0.21267988697844201</v>
      </c>
      <c r="X30">
        <v>0</v>
      </c>
      <c r="Y30">
        <v>0</v>
      </c>
      <c r="Z30">
        <v>4.2222555637224699E-2</v>
      </c>
      <c r="AA30">
        <v>4.2184247858318598E-2</v>
      </c>
      <c r="AB30">
        <v>0.100175701314282</v>
      </c>
      <c r="AC30">
        <v>4.4225747296481502E-2</v>
      </c>
      <c r="AD30">
        <v>2.27498140332031E-2</v>
      </c>
      <c r="AE30">
        <v>0.196245690847143</v>
      </c>
      <c r="AF30">
        <v>4.8006540153689103E-2</v>
      </c>
      <c r="AG30">
        <v>0</v>
      </c>
      <c r="AH30">
        <v>0</v>
      </c>
      <c r="AI30">
        <v>0.24781346067468801</v>
      </c>
      <c r="AJ30">
        <v>2.8677753330477499E-3</v>
      </c>
      <c r="AK30">
        <v>0</v>
      </c>
      <c r="AL30">
        <v>0.50489264749914597</v>
      </c>
      <c r="AM30">
        <v>1.3703330500091799E-2</v>
      </c>
      <c r="AN30">
        <v>2.69162350704262E-2</v>
      </c>
      <c r="AO30" t="s">
        <v>19</v>
      </c>
      <c r="AU30" t="str">
        <f t="shared" si="0"/>
        <v>ICH</v>
      </c>
      <c r="AV30" t="str">
        <f t="shared" si="1"/>
        <v>STM</v>
      </c>
      <c r="AW30" t="str">
        <f t="shared" si="2"/>
        <v>COA</v>
      </c>
      <c r="AX30" t="str">
        <f t="shared" si="3"/>
        <v>Yes</v>
      </c>
    </row>
    <row r="31" spans="1:50">
      <c r="A31" t="s">
        <v>17</v>
      </c>
      <c r="B31" t="s">
        <v>114</v>
      </c>
      <c r="C31" t="s">
        <v>421</v>
      </c>
      <c r="D31" t="s">
        <v>425</v>
      </c>
      <c r="E31" t="s">
        <v>57</v>
      </c>
      <c r="F31" t="s">
        <v>19</v>
      </c>
      <c r="G31" t="s">
        <v>100</v>
      </c>
      <c r="H31" t="s">
        <v>19</v>
      </c>
      <c r="I31" t="s">
        <v>19</v>
      </c>
      <c r="J31" t="s">
        <v>19</v>
      </c>
      <c r="K31" t="s">
        <v>19</v>
      </c>
      <c r="L31">
        <v>5.3448500530452601E-2</v>
      </c>
      <c r="M31">
        <v>1.5825018914456799E-3</v>
      </c>
      <c r="N31">
        <v>7.1610737198640501E-2</v>
      </c>
      <c r="O31">
        <v>8.0497993193787507E-3</v>
      </c>
      <c r="P31">
        <v>1.5640161720797598E-2</v>
      </c>
      <c r="Q31">
        <v>1.11016932388619E-2</v>
      </c>
      <c r="R31">
        <v>6.7611083721434402E-3</v>
      </c>
      <c r="S31">
        <v>1.6017928635957201E-2</v>
      </c>
      <c r="T31">
        <v>1.6693065298790902E-2</v>
      </c>
      <c r="U31">
        <v>7.6085156384553604E-3</v>
      </c>
      <c r="V31">
        <v>2.0827706067447702E-2</v>
      </c>
      <c r="W31">
        <v>9.1270539147421705E-3</v>
      </c>
      <c r="X31">
        <v>7.01269262439077E-3</v>
      </c>
      <c r="Y31">
        <v>8.8150938417426196E-3</v>
      </c>
      <c r="Z31">
        <v>7.1126108315126097E-3</v>
      </c>
      <c r="AA31">
        <v>1.33333747208932E-2</v>
      </c>
      <c r="AB31">
        <v>7.49058702734565E-3</v>
      </c>
      <c r="AC31">
        <v>8.6540899791270297E-3</v>
      </c>
      <c r="AD31">
        <v>1.0653024144433801E-2</v>
      </c>
      <c r="AE31">
        <v>1.0192055258331801E-2</v>
      </c>
      <c r="AF31">
        <v>1.26068422864721E-2</v>
      </c>
      <c r="AG31">
        <v>7.7909370458405496E-3</v>
      </c>
      <c r="AH31">
        <v>0</v>
      </c>
      <c r="AI31">
        <v>2.9494802184683901E-2</v>
      </c>
      <c r="AJ31">
        <v>2.63690545481091E-3</v>
      </c>
      <c r="AK31">
        <v>0.99</v>
      </c>
      <c r="AL31">
        <v>1.1929915561112199E-2</v>
      </c>
      <c r="AM31">
        <v>1.9119337120152902E-2</v>
      </c>
      <c r="AN31">
        <v>6.5341230765256202E-3</v>
      </c>
      <c r="AO31" t="s">
        <v>19</v>
      </c>
      <c r="AU31" t="str">
        <f t="shared" si="0"/>
        <v>ICH</v>
      </c>
      <c r="AV31" t="str">
        <f t="shared" si="1"/>
        <v>STM</v>
      </c>
      <c r="AW31" t="str">
        <f t="shared" si="2"/>
        <v>ELC</v>
      </c>
      <c r="AX31" t="str">
        <f t="shared" si="3"/>
        <v>No</v>
      </c>
    </row>
    <row r="32" spans="1:50">
      <c r="A32" t="s">
        <v>17</v>
      </c>
      <c r="B32" t="s">
        <v>114</v>
      </c>
      <c r="C32" t="s">
        <v>419</v>
      </c>
      <c r="D32" t="s">
        <v>425</v>
      </c>
      <c r="E32" t="s">
        <v>57</v>
      </c>
      <c r="F32" t="s">
        <v>19</v>
      </c>
      <c r="G32" t="s">
        <v>100</v>
      </c>
      <c r="H32" t="s">
        <v>19</v>
      </c>
      <c r="I32" t="s">
        <v>19</v>
      </c>
      <c r="J32" t="s">
        <v>19</v>
      </c>
      <c r="K32" t="s">
        <v>19</v>
      </c>
      <c r="L32">
        <v>0</v>
      </c>
      <c r="M32">
        <v>0</v>
      </c>
      <c r="N32">
        <v>0</v>
      </c>
      <c r="O32">
        <v>0.33963363149992298</v>
      </c>
      <c r="P32">
        <v>0.36845030555427999</v>
      </c>
      <c r="Q32">
        <v>0.33623204406275098</v>
      </c>
      <c r="R32">
        <v>0</v>
      </c>
      <c r="S32">
        <v>0</v>
      </c>
      <c r="T32">
        <v>0.25062012562109698</v>
      </c>
      <c r="U32">
        <v>0.60137784815519402</v>
      </c>
      <c r="V32">
        <v>0.68257285991314798</v>
      </c>
      <c r="W32">
        <v>0.46883051635704298</v>
      </c>
      <c r="X32">
        <v>0.52303120006839299</v>
      </c>
      <c r="Y32">
        <v>0.75336736608660904</v>
      </c>
      <c r="Z32">
        <v>0.46251386097816699</v>
      </c>
      <c r="AA32">
        <v>8.9857621815805505E-2</v>
      </c>
      <c r="AB32">
        <v>0.64822514300909795</v>
      </c>
      <c r="AC32">
        <v>0.53008060781987498</v>
      </c>
      <c r="AD32">
        <v>0.63327350117800096</v>
      </c>
      <c r="AE32">
        <v>0</v>
      </c>
      <c r="AF32">
        <v>0</v>
      </c>
      <c r="AG32">
        <v>0</v>
      </c>
      <c r="AH32">
        <v>0</v>
      </c>
      <c r="AI32">
        <v>3.9778941060230402E-2</v>
      </c>
      <c r="AJ32">
        <v>0.85543105983783096</v>
      </c>
      <c r="AK32">
        <v>0</v>
      </c>
      <c r="AL32">
        <v>0</v>
      </c>
      <c r="AM32">
        <v>0.36756356998579398</v>
      </c>
      <c r="AN32">
        <v>0.19132500133261801</v>
      </c>
      <c r="AO32" t="s">
        <v>19</v>
      </c>
      <c r="AU32" t="str">
        <f t="shared" si="0"/>
        <v>ICH</v>
      </c>
      <c r="AV32" t="str">
        <f t="shared" si="1"/>
        <v>STM</v>
      </c>
      <c r="AW32" t="str">
        <f t="shared" si="2"/>
        <v>HET</v>
      </c>
      <c r="AX32" t="str">
        <f t="shared" si="3"/>
        <v>No</v>
      </c>
    </row>
    <row r="33" spans="1:50">
      <c r="A33" t="s">
        <v>17</v>
      </c>
      <c r="B33" t="s">
        <v>114</v>
      </c>
      <c r="C33" t="s">
        <v>420</v>
      </c>
      <c r="D33" t="s">
        <v>425</v>
      </c>
      <c r="E33" t="s">
        <v>57</v>
      </c>
      <c r="F33" t="s">
        <v>19</v>
      </c>
      <c r="G33" t="s">
        <v>100</v>
      </c>
      <c r="H33" t="s">
        <v>19</v>
      </c>
      <c r="I33" t="s">
        <v>19</v>
      </c>
      <c r="J33" t="s">
        <v>19</v>
      </c>
      <c r="K33" t="s">
        <v>19</v>
      </c>
      <c r="L33">
        <v>0.62791934076302502</v>
      </c>
      <c r="M33">
        <v>0.97169357328347605</v>
      </c>
      <c r="N33">
        <v>0.91838772576093597</v>
      </c>
      <c r="O33">
        <v>0.56022997552404097</v>
      </c>
      <c r="P33">
        <v>0.119352827580922</v>
      </c>
      <c r="Q33">
        <v>0.417121147307979</v>
      </c>
      <c r="R33">
        <v>0.81301982162030695</v>
      </c>
      <c r="S33">
        <v>0.43408040997691</v>
      </c>
      <c r="T33">
        <v>0.71768852990212595</v>
      </c>
      <c r="U33">
        <v>8.0840603572483599E-2</v>
      </c>
      <c r="V33">
        <v>0.108792563781927</v>
      </c>
      <c r="W33">
        <v>0.22887920888116201</v>
      </c>
      <c r="X33">
        <v>0.38766949769227299</v>
      </c>
      <c r="Y33">
        <v>0.154481647395629</v>
      </c>
      <c r="Z33">
        <v>0.33070764586517498</v>
      </c>
      <c r="AA33">
        <v>0.81183042433624597</v>
      </c>
      <c r="AB33">
        <v>0.20486150813583701</v>
      </c>
      <c r="AC33">
        <v>0.38269428127114202</v>
      </c>
      <c r="AD33">
        <v>0.27798175411125498</v>
      </c>
      <c r="AE33">
        <v>0</v>
      </c>
      <c r="AF33">
        <v>0.76138987062416996</v>
      </c>
      <c r="AG33">
        <v>0.90554362209922201</v>
      </c>
      <c r="AH33">
        <v>0.97227722561476804</v>
      </c>
      <c r="AI33">
        <v>0.379632356606941</v>
      </c>
      <c r="AJ33">
        <v>0.119915770935566</v>
      </c>
      <c r="AK33">
        <v>0</v>
      </c>
      <c r="AL33">
        <v>0.47228763757148401</v>
      </c>
      <c r="AM33">
        <v>0.51529463506546602</v>
      </c>
      <c r="AN33">
        <v>0.73800405354878795</v>
      </c>
      <c r="AO33" t="s">
        <v>19</v>
      </c>
      <c r="AU33" t="str">
        <f t="shared" si="0"/>
        <v>ICH</v>
      </c>
      <c r="AV33" t="str">
        <f t="shared" si="1"/>
        <v>STM</v>
      </c>
      <c r="AW33" t="str">
        <f t="shared" si="2"/>
        <v>NGA</v>
      </c>
      <c r="AX33" t="str">
        <f t="shared" si="3"/>
        <v>Yes</v>
      </c>
    </row>
    <row r="34" spans="1:50">
      <c r="A34" t="s">
        <v>17</v>
      </c>
      <c r="B34" t="s">
        <v>114</v>
      </c>
      <c r="C34" t="s">
        <v>418</v>
      </c>
      <c r="D34" t="s">
        <v>425</v>
      </c>
      <c r="E34" t="s">
        <v>57</v>
      </c>
      <c r="F34" t="s">
        <v>19</v>
      </c>
      <c r="G34" t="s">
        <v>100</v>
      </c>
      <c r="H34" t="s">
        <v>19</v>
      </c>
      <c r="I34" t="s">
        <v>19</v>
      </c>
      <c r="J34" t="s">
        <v>19</v>
      </c>
      <c r="K34" t="s">
        <v>19</v>
      </c>
      <c r="L34">
        <v>0.26698066796748898</v>
      </c>
      <c r="M34">
        <v>1.5678925138835901E-2</v>
      </c>
      <c r="N34">
        <v>0</v>
      </c>
      <c r="O34">
        <v>2.1523147824815601E-2</v>
      </c>
      <c r="P34">
        <v>0.33173756223478001</v>
      </c>
      <c r="Q34">
        <v>9.5915317495775199E-2</v>
      </c>
      <c r="R34">
        <v>4.3176969433299503E-2</v>
      </c>
      <c r="S34">
        <v>0.47301408153124203</v>
      </c>
      <c r="T34">
        <v>4.5868750017436701E-3</v>
      </c>
      <c r="U34">
        <v>8.8800189901725404E-2</v>
      </c>
      <c r="V34">
        <v>0.156890659057315</v>
      </c>
      <c r="W34">
        <v>3.5977865050337898E-2</v>
      </c>
      <c r="X34">
        <v>7.0231111727124401E-2</v>
      </c>
      <c r="Y34">
        <v>5.5511854051513501E-2</v>
      </c>
      <c r="Z34">
        <v>0.13293569475070199</v>
      </c>
      <c r="AA34">
        <v>2.5613829499509799E-2</v>
      </c>
      <c r="AB34">
        <v>1.12650061454149E-2</v>
      </c>
      <c r="AC34">
        <v>8.1824745813954304E-3</v>
      </c>
      <c r="AD34">
        <v>2.88988699941688E-2</v>
      </c>
      <c r="AE34">
        <v>0.78356225389452505</v>
      </c>
      <c r="AF34">
        <v>0.105486244729604</v>
      </c>
      <c r="AG34">
        <v>7.6665440854937802E-2</v>
      </c>
      <c r="AH34">
        <v>1.7690221160530401E-2</v>
      </c>
      <c r="AI34">
        <v>9.2183462619115197E-2</v>
      </c>
      <c r="AJ34">
        <v>5.8899663419507402E-3</v>
      </c>
      <c r="AK34">
        <v>0</v>
      </c>
      <c r="AL34">
        <v>0</v>
      </c>
      <c r="AM34">
        <v>3.7618280760183899E-2</v>
      </c>
      <c r="AN34">
        <v>2.22535932588434E-2</v>
      </c>
      <c r="AO34" t="s">
        <v>19</v>
      </c>
      <c r="AU34" t="str">
        <f t="shared" si="0"/>
        <v>ICH</v>
      </c>
      <c r="AV34" t="str">
        <f t="shared" si="1"/>
        <v>STM</v>
      </c>
      <c r="AW34" t="str">
        <f t="shared" si="2"/>
        <v>OIL</v>
      </c>
      <c r="AX34" t="str">
        <f t="shared" si="3"/>
        <v>Yes</v>
      </c>
    </row>
    <row r="35" spans="1:50">
      <c r="A35" t="s">
        <v>17</v>
      </c>
      <c r="B35" t="s">
        <v>114</v>
      </c>
      <c r="C35" t="s">
        <v>409</v>
      </c>
      <c r="D35" t="s">
        <v>425</v>
      </c>
      <c r="E35" t="s">
        <v>57</v>
      </c>
      <c r="F35" t="s">
        <v>19</v>
      </c>
      <c r="G35" t="s">
        <v>100</v>
      </c>
      <c r="H35" t="s">
        <v>19</v>
      </c>
      <c r="I35" t="s">
        <v>19</v>
      </c>
      <c r="J35" t="s">
        <v>19</v>
      </c>
      <c r="K35" t="s">
        <v>19</v>
      </c>
      <c r="L35">
        <v>0</v>
      </c>
      <c r="M35">
        <v>0</v>
      </c>
      <c r="N35">
        <v>0</v>
      </c>
      <c r="O35">
        <v>5.7259209110661298E-2</v>
      </c>
      <c r="P35">
        <v>1.36445276439188E-3</v>
      </c>
      <c r="Q35">
        <v>0</v>
      </c>
      <c r="R35">
        <v>2.2758642942866301E-3</v>
      </c>
      <c r="S35">
        <v>0</v>
      </c>
      <c r="T35">
        <v>0</v>
      </c>
      <c r="U35">
        <v>6.23252005646968E-2</v>
      </c>
      <c r="V35">
        <v>0</v>
      </c>
      <c r="W35">
        <v>8.2200540635047302E-3</v>
      </c>
      <c r="X35">
        <v>0</v>
      </c>
      <c r="Y35">
        <v>0</v>
      </c>
      <c r="Z35">
        <v>0</v>
      </c>
      <c r="AA35">
        <v>2.3929265267723398E-3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4.2537595695775997E-2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19</v>
      </c>
      <c r="AU35" t="str">
        <f t="shared" si="0"/>
        <v>ICH</v>
      </c>
      <c r="AV35" t="str">
        <f t="shared" si="1"/>
        <v>STM</v>
      </c>
      <c r="AW35" t="str">
        <f t="shared" si="2"/>
        <v>OVC</v>
      </c>
      <c r="AX35" t="str">
        <f t="shared" si="3"/>
        <v>Yes</v>
      </c>
    </row>
    <row r="36" spans="1:50">
      <c r="A36" t="s">
        <v>17</v>
      </c>
      <c r="B36" t="s">
        <v>114</v>
      </c>
      <c r="C36" t="s">
        <v>417</v>
      </c>
      <c r="D36" t="s">
        <v>402</v>
      </c>
      <c r="E36" t="s">
        <v>57</v>
      </c>
      <c r="F36" t="s">
        <v>19</v>
      </c>
      <c r="G36" t="s">
        <v>100</v>
      </c>
      <c r="H36" t="s">
        <v>19</v>
      </c>
      <c r="I36" t="s">
        <v>19</v>
      </c>
      <c r="J36" t="s">
        <v>19</v>
      </c>
      <c r="K36" t="s">
        <v>19</v>
      </c>
      <c r="L36">
        <v>0.89045791363039395</v>
      </c>
      <c r="M36">
        <v>0.92835899872461203</v>
      </c>
      <c r="N36">
        <v>0.89010379039666998</v>
      </c>
      <c r="O36">
        <v>0.808264155478855</v>
      </c>
      <c r="P36">
        <v>0.93066680511942401</v>
      </c>
      <c r="Q36">
        <v>0.98235288973596102</v>
      </c>
      <c r="R36">
        <v>0.88099881363022503</v>
      </c>
      <c r="S36">
        <v>0.96015755086931798</v>
      </c>
      <c r="T36">
        <v>0.77882746655547197</v>
      </c>
      <c r="U36">
        <v>0.95142496418526501</v>
      </c>
      <c r="V36">
        <v>0.94215542083547898</v>
      </c>
      <c r="W36">
        <v>0.88939600549815001</v>
      </c>
      <c r="X36">
        <v>0.851484545724005</v>
      </c>
      <c r="Y36">
        <v>0.92447667223023899</v>
      </c>
      <c r="Z36">
        <v>0.89064144654833199</v>
      </c>
      <c r="AA36">
        <v>0.91526314435881795</v>
      </c>
      <c r="AB36">
        <v>0.91407754903340399</v>
      </c>
      <c r="AC36">
        <v>0.90671088202327998</v>
      </c>
      <c r="AD36">
        <v>0.86907850963798805</v>
      </c>
      <c r="AE36">
        <v>0.99</v>
      </c>
      <c r="AF36">
        <v>0.95161596304674601</v>
      </c>
      <c r="AG36">
        <v>0.837794918216901</v>
      </c>
      <c r="AH36">
        <v>0.98936105788842699</v>
      </c>
      <c r="AI36">
        <v>0.97567714502456404</v>
      </c>
      <c r="AJ36">
        <v>0.921114762449736</v>
      </c>
      <c r="AL36">
        <v>0.89061678442168102</v>
      </c>
      <c r="AM36">
        <v>0.87748046710113903</v>
      </c>
      <c r="AN36">
        <v>0.83499056873330302</v>
      </c>
      <c r="AO36" t="s">
        <v>19</v>
      </c>
      <c r="AU36" t="str">
        <f t="shared" si="0"/>
        <v>IFP</v>
      </c>
      <c r="AV36" t="str">
        <f t="shared" si="1"/>
        <v>MDR</v>
      </c>
      <c r="AW36" t="str">
        <f t="shared" si="2"/>
        <v>ELC</v>
      </c>
      <c r="AX36" t="str">
        <f t="shared" si="3"/>
        <v>No</v>
      </c>
    </row>
    <row r="37" spans="1:50">
      <c r="A37" t="s">
        <v>17</v>
      </c>
      <c r="B37" t="s">
        <v>114</v>
      </c>
      <c r="C37" t="s">
        <v>405</v>
      </c>
      <c r="D37" t="s">
        <v>402</v>
      </c>
      <c r="E37" t="s">
        <v>57</v>
      </c>
      <c r="F37" t="s">
        <v>19</v>
      </c>
      <c r="G37" t="s">
        <v>100</v>
      </c>
      <c r="H37" t="s">
        <v>19</v>
      </c>
      <c r="I37" t="s">
        <v>19</v>
      </c>
      <c r="J37" t="s">
        <v>19</v>
      </c>
      <c r="K37" t="s">
        <v>19</v>
      </c>
      <c r="L37">
        <v>9.9542086369606597E-2</v>
      </c>
      <c r="M37">
        <v>6.16410012753877E-2</v>
      </c>
      <c r="N37">
        <v>9.9896209603329497E-2</v>
      </c>
      <c r="O37">
        <v>0.181735844521145</v>
      </c>
      <c r="P37">
        <v>5.9333194880575597E-2</v>
      </c>
      <c r="Q37">
        <v>7.64711026403908E-3</v>
      </c>
      <c r="R37">
        <v>0.109001186369775</v>
      </c>
      <c r="S37">
        <v>2.9842449130681799E-2</v>
      </c>
      <c r="T37">
        <v>0.21117253344452799</v>
      </c>
      <c r="U37">
        <v>3.8575035814735099E-2</v>
      </c>
      <c r="V37">
        <v>4.7844579164521298E-2</v>
      </c>
      <c r="W37">
        <v>0.10060399450184999</v>
      </c>
      <c r="X37">
        <v>0.13851545427599499</v>
      </c>
      <c r="Y37">
        <v>6.5523327769761205E-2</v>
      </c>
      <c r="Z37">
        <v>9.9358553451667997E-2</v>
      </c>
      <c r="AA37">
        <v>7.4736855641182195E-2</v>
      </c>
      <c r="AB37">
        <v>7.5922450966595598E-2</v>
      </c>
      <c r="AC37">
        <v>8.3289117976719507E-2</v>
      </c>
      <c r="AD37">
        <v>0.120921490362012</v>
      </c>
      <c r="AE37">
        <v>0</v>
      </c>
      <c r="AF37">
        <v>3.8384036953254201E-2</v>
      </c>
      <c r="AG37">
        <v>0.15220508178309899</v>
      </c>
      <c r="AH37">
        <v>0</v>
      </c>
      <c r="AI37">
        <v>1.43228549754359E-2</v>
      </c>
      <c r="AJ37">
        <v>6.8885237550263795E-2</v>
      </c>
      <c r="AL37">
        <v>9.9383215578318501E-2</v>
      </c>
      <c r="AM37">
        <v>0.112519532898861</v>
      </c>
      <c r="AN37">
        <v>0.155009431266697</v>
      </c>
      <c r="AO37" t="s">
        <v>19</v>
      </c>
      <c r="AU37" t="str">
        <f t="shared" si="0"/>
        <v>IFP</v>
      </c>
      <c r="AV37" t="str">
        <f t="shared" si="1"/>
        <v>MDR</v>
      </c>
      <c r="AW37" t="str">
        <f t="shared" si="2"/>
        <v>NGA</v>
      </c>
      <c r="AX37" t="str">
        <f t="shared" si="3"/>
        <v>Yes</v>
      </c>
    </row>
    <row r="38" spans="1:50">
      <c r="A38" t="s">
        <v>17</v>
      </c>
      <c r="B38" t="s">
        <v>114</v>
      </c>
      <c r="C38" t="s">
        <v>410</v>
      </c>
      <c r="D38" t="s">
        <v>411</v>
      </c>
      <c r="E38" t="s">
        <v>57</v>
      </c>
      <c r="F38" t="s">
        <v>19</v>
      </c>
      <c r="G38" t="s">
        <v>100</v>
      </c>
      <c r="H38" t="s">
        <v>19</v>
      </c>
      <c r="I38" t="s">
        <v>19</v>
      </c>
      <c r="J38" t="s">
        <v>19</v>
      </c>
      <c r="K38" t="s">
        <v>19</v>
      </c>
      <c r="L38">
        <v>8.5811972294025804E-2</v>
      </c>
      <c r="M38">
        <v>3.1408372150884198E-2</v>
      </c>
      <c r="N38">
        <v>0.27604162510192698</v>
      </c>
      <c r="O38">
        <v>9.4587415150027707E-2</v>
      </c>
      <c r="P38">
        <v>0.103932827815477</v>
      </c>
      <c r="Q38">
        <v>9.3175540002132601E-2</v>
      </c>
      <c r="R38">
        <v>0.14598314649129099</v>
      </c>
      <c r="S38">
        <v>0.143763008627869</v>
      </c>
      <c r="T38">
        <v>0.141155665666749</v>
      </c>
      <c r="U38">
        <v>0.37585023897395498</v>
      </c>
      <c r="V38">
        <v>0.167879687828664</v>
      </c>
      <c r="W38">
        <v>0.18110549922083</v>
      </c>
      <c r="X38">
        <v>0.170083456325964</v>
      </c>
      <c r="Y38">
        <v>0.15064115564525801</v>
      </c>
      <c r="Z38">
        <v>0.15340673258274101</v>
      </c>
      <c r="AA38">
        <v>0.112705296075735</v>
      </c>
      <c r="AB38">
        <v>0.1861819052575</v>
      </c>
      <c r="AC38">
        <v>0.18059761629611501</v>
      </c>
      <c r="AD38">
        <v>0.16456659241766</v>
      </c>
      <c r="AE38">
        <v>0.97631958621794102</v>
      </c>
      <c r="AF38">
        <v>0.103496405720249</v>
      </c>
      <c r="AG38">
        <v>6.4637204449903396E-2</v>
      </c>
      <c r="AH38">
        <v>0.42540704196381801</v>
      </c>
      <c r="AI38">
        <v>0.17270602000971499</v>
      </c>
      <c r="AJ38">
        <v>9.70680682097321E-2</v>
      </c>
      <c r="AL38">
        <v>3.75829358985535E-2</v>
      </c>
      <c r="AM38">
        <v>0.164762237216137</v>
      </c>
      <c r="AN38">
        <v>0.16850724421133301</v>
      </c>
      <c r="AO38" t="s">
        <v>19</v>
      </c>
      <c r="AU38" t="str">
        <f t="shared" si="0"/>
        <v>IFP</v>
      </c>
      <c r="AV38" t="str">
        <f t="shared" si="1"/>
        <v>OTH</v>
      </c>
      <c r="AW38" t="str">
        <f t="shared" si="2"/>
        <v>ELC</v>
      </c>
      <c r="AX38" t="str">
        <f t="shared" si="3"/>
        <v>No</v>
      </c>
    </row>
    <row r="39" spans="1:50">
      <c r="A39" t="s">
        <v>17</v>
      </c>
      <c r="B39" t="s">
        <v>114</v>
      </c>
      <c r="C39" t="s">
        <v>414</v>
      </c>
      <c r="D39" t="s">
        <v>411</v>
      </c>
      <c r="E39" t="s">
        <v>57</v>
      </c>
      <c r="F39" t="s">
        <v>19</v>
      </c>
      <c r="G39" t="s">
        <v>100</v>
      </c>
      <c r="H39" t="s">
        <v>19</v>
      </c>
      <c r="I39" t="s">
        <v>19</v>
      </c>
      <c r="J39" t="s">
        <v>19</v>
      </c>
      <c r="K39" t="s">
        <v>19</v>
      </c>
      <c r="L39">
        <v>0.21275255971819601</v>
      </c>
      <c r="M39">
        <v>4.6252235703846102E-2</v>
      </c>
      <c r="N39">
        <v>0.68709455017090104</v>
      </c>
      <c r="O39">
        <v>0.47168731865060398</v>
      </c>
      <c r="P39">
        <v>0.146956846139249</v>
      </c>
      <c r="Q39">
        <v>1.6086638874971401E-2</v>
      </c>
      <c r="R39">
        <v>0.400582700686404</v>
      </c>
      <c r="S39">
        <v>9.9099778186226603E-2</v>
      </c>
      <c r="T39">
        <v>0.84884433433325102</v>
      </c>
      <c r="U39">
        <v>0.33797159004267102</v>
      </c>
      <c r="V39">
        <v>0.18907839603197599</v>
      </c>
      <c r="W39">
        <v>0.45434448082823797</v>
      </c>
      <c r="X39">
        <v>0.61364486194552603</v>
      </c>
      <c r="Y39">
        <v>0.23679754566845401</v>
      </c>
      <c r="Z39">
        <v>0.37955992087045698</v>
      </c>
      <c r="AA39">
        <v>0.204111155129239</v>
      </c>
      <c r="AB39">
        <v>0.342971645137092</v>
      </c>
      <c r="AC39">
        <v>0.36792984506526799</v>
      </c>
      <c r="AD39">
        <v>0.50783160490093804</v>
      </c>
      <c r="AE39">
        <v>0</v>
      </c>
      <c r="AF39">
        <v>9.2586521240525493E-2</v>
      </c>
      <c r="AG39">
        <v>0.26043992695474899</v>
      </c>
      <c r="AH39">
        <v>6.0931931343660498E-3</v>
      </c>
      <c r="AI39">
        <v>5.6229537003441597E-2</v>
      </c>
      <c r="AJ39">
        <v>0.16099870145158501</v>
      </c>
      <c r="AL39">
        <v>9.3013597281482299E-2</v>
      </c>
      <c r="AM39">
        <v>0.46857780329946103</v>
      </c>
      <c r="AN39">
        <v>0.69379105734764601</v>
      </c>
      <c r="AO39" t="s">
        <v>19</v>
      </c>
      <c r="AU39" t="str">
        <f t="shared" si="0"/>
        <v>IFP</v>
      </c>
      <c r="AV39" t="str">
        <f t="shared" si="1"/>
        <v>OTH</v>
      </c>
      <c r="AW39" t="str">
        <f t="shared" si="2"/>
        <v>NGA</v>
      </c>
      <c r="AX39" t="str">
        <f t="shared" si="3"/>
        <v>Yes</v>
      </c>
    </row>
    <row r="40" spans="1:50">
      <c r="A40" t="s">
        <v>17</v>
      </c>
      <c r="B40" t="s">
        <v>114</v>
      </c>
      <c r="C40" t="s">
        <v>406</v>
      </c>
      <c r="D40" t="s">
        <v>411</v>
      </c>
      <c r="E40" t="s">
        <v>57</v>
      </c>
      <c r="F40" t="s">
        <v>19</v>
      </c>
      <c r="G40" t="s">
        <v>100</v>
      </c>
      <c r="H40" t="s">
        <v>19</v>
      </c>
      <c r="I40" t="s">
        <v>19</v>
      </c>
      <c r="J40" t="s">
        <v>19</v>
      </c>
      <c r="K40" t="s">
        <v>19</v>
      </c>
      <c r="L40">
        <v>0.691435467987778</v>
      </c>
      <c r="M40">
        <v>0.91233939214527005</v>
      </c>
      <c r="N40">
        <v>2.6863824727172601E-2</v>
      </c>
      <c r="O40">
        <v>0.42372526619936801</v>
      </c>
      <c r="P40">
        <v>0.73911032604527405</v>
      </c>
      <c r="Q40">
        <v>0.880737821122896</v>
      </c>
      <c r="R40">
        <v>0.44343415282230503</v>
      </c>
      <c r="S40">
        <v>0.74713721318590398</v>
      </c>
      <c r="T40">
        <v>0</v>
      </c>
      <c r="U40">
        <v>0.27617817098337399</v>
      </c>
      <c r="V40">
        <v>0.63304191613936001</v>
      </c>
      <c r="W40">
        <v>0.35455001995093199</v>
      </c>
      <c r="X40">
        <v>0.20627168172850999</v>
      </c>
      <c r="Y40">
        <v>0.60256129868628805</v>
      </c>
      <c r="Z40">
        <v>0.457033346546802</v>
      </c>
      <c r="AA40">
        <v>0.67318354879502595</v>
      </c>
      <c r="AB40">
        <v>0.46084644960540799</v>
      </c>
      <c r="AC40">
        <v>0.44147253863861602</v>
      </c>
      <c r="AD40">
        <v>0.31760180268140198</v>
      </c>
      <c r="AE40">
        <v>1.36804137820588E-2</v>
      </c>
      <c r="AF40">
        <v>0.79391707303922499</v>
      </c>
      <c r="AG40">
        <v>0.66492286859534799</v>
      </c>
      <c r="AH40">
        <v>0.55849976490181596</v>
      </c>
      <c r="AI40">
        <v>0.76106444298684295</v>
      </c>
      <c r="AJ40">
        <v>0.73193323033868296</v>
      </c>
      <c r="AL40">
        <v>0.85940346681996405</v>
      </c>
      <c r="AM40">
        <v>0.35665995948440099</v>
      </c>
      <c r="AN40">
        <v>0.127701698441022</v>
      </c>
      <c r="AO40" t="s">
        <v>19</v>
      </c>
      <c r="AU40" t="str">
        <f t="shared" si="0"/>
        <v>IFP</v>
      </c>
      <c r="AV40" t="str">
        <f t="shared" si="1"/>
        <v>OTH</v>
      </c>
      <c r="AW40" t="str">
        <f t="shared" si="2"/>
        <v>OIL</v>
      </c>
      <c r="AX40" t="str">
        <f t="shared" si="3"/>
        <v>Yes</v>
      </c>
    </row>
    <row r="41" spans="1:50">
      <c r="A41" t="s">
        <v>17</v>
      </c>
      <c r="B41" t="s">
        <v>114</v>
      </c>
      <c r="C41" t="s">
        <v>407</v>
      </c>
      <c r="D41" t="s">
        <v>412</v>
      </c>
      <c r="E41" t="s">
        <v>57</v>
      </c>
      <c r="F41" t="s">
        <v>19</v>
      </c>
      <c r="G41" t="s">
        <v>100</v>
      </c>
      <c r="H41" t="s">
        <v>19</v>
      </c>
      <c r="I41" t="s">
        <v>19</v>
      </c>
      <c r="J41" t="s">
        <v>19</v>
      </c>
      <c r="K41" t="s">
        <v>19</v>
      </c>
      <c r="L41">
        <v>0.20742415154378899</v>
      </c>
      <c r="M41">
        <v>0.30546825446551701</v>
      </c>
      <c r="N41">
        <v>0.20677740138252601</v>
      </c>
      <c r="O41">
        <v>0.115269220710657</v>
      </c>
      <c r="P41">
        <v>0.31411837992520197</v>
      </c>
      <c r="Q41">
        <v>0.78401786273259999</v>
      </c>
      <c r="R41">
        <v>0.191278336233351</v>
      </c>
      <c r="S41">
        <v>0.48316807179444599</v>
      </c>
      <c r="T41">
        <v>9.7527055240027596E-2</v>
      </c>
      <c r="U41">
        <v>0.41800788243998799</v>
      </c>
      <c r="V41">
        <v>0.36478948356900098</v>
      </c>
      <c r="W41">
        <v>0.20549523591650301</v>
      </c>
      <c r="X41">
        <v>0.152535570893964</v>
      </c>
      <c r="Y41">
        <v>0.29185724049655198</v>
      </c>
      <c r="Z41">
        <v>0.207760736146476</v>
      </c>
      <c r="AA41">
        <v>0.26358566217989199</v>
      </c>
      <c r="AB41">
        <v>0.26030407468535999</v>
      </c>
      <c r="AC41">
        <v>0.24145016513248499</v>
      </c>
      <c r="AD41">
        <v>0.17380942339203301</v>
      </c>
      <c r="AE41">
        <v>0.99</v>
      </c>
      <c r="AF41">
        <v>0.41925564423504103</v>
      </c>
      <c r="AG41">
        <v>0.138821143894411</v>
      </c>
      <c r="AH41">
        <v>0.96888206758766404</v>
      </c>
      <c r="AI41">
        <v>0.66200940067746905</v>
      </c>
      <c r="AJ41">
        <v>0.28093222254635197</v>
      </c>
      <c r="AL41">
        <v>0.20771545235257799</v>
      </c>
      <c r="AM41">
        <v>0.18581880865041001</v>
      </c>
      <c r="AN41">
        <v>0.13626187105690399</v>
      </c>
      <c r="AO41" t="s">
        <v>19</v>
      </c>
      <c r="AU41" t="str">
        <f t="shared" si="0"/>
        <v>IFP</v>
      </c>
      <c r="AV41" t="str">
        <f t="shared" si="1"/>
        <v>OTP</v>
      </c>
      <c r="AW41" t="str">
        <f t="shared" si="2"/>
        <v>ELC</v>
      </c>
      <c r="AX41" t="str">
        <f t="shared" si="3"/>
        <v>No</v>
      </c>
    </row>
    <row r="42" spans="1:50">
      <c r="A42" t="s">
        <v>17</v>
      </c>
      <c r="B42" t="s">
        <v>114</v>
      </c>
      <c r="C42" t="s">
        <v>408</v>
      </c>
      <c r="D42" t="s">
        <v>412</v>
      </c>
      <c r="E42" t="s">
        <v>57</v>
      </c>
      <c r="F42" t="s">
        <v>19</v>
      </c>
      <c r="G42" t="s">
        <v>100</v>
      </c>
      <c r="H42" t="s">
        <v>19</v>
      </c>
      <c r="I42" t="s">
        <v>19</v>
      </c>
      <c r="J42" t="s">
        <v>19</v>
      </c>
      <c r="K42" t="s">
        <v>19</v>
      </c>
      <c r="L42">
        <v>0.78257584845621098</v>
      </c>
      <c r="M42">
        <v>0.68453174553448304</v>
      </c>
      <c r="N42">
        <v>0.78322259861747501</v>
      </c>
      <c r="O42">
        <v>0.87473077928934295</v>
      </c>
      <c r="P42">
        <v>0.67588162007479802</v>
      </c>
      <c r="Q42">
        <v>0.2059821372674</v>
      </c>
      <c r="R42">
        <v>0.79872166376664899</v>
      </c>
      <c r="S42">
        <v>0.50683192820555401</v>
      </c>
      <c r="T42">
        <v>0.89247294475997196</v>
      </c>
      <c r="U42">
        <v>0.571992117560012</v>
      </c>
      <c r="V42">
        <v>0.62521051643099901</v>
      </c>
      <c r="W42">
        <v>0.78450476408349701</v>
      </c>
      <c r="X42">
        <v>0.83746442910603602</v>
      </c>
      <c r="Y42">
        <v>0.69814275950344795</v>
      </c>
      <c r="Z42">
        <v>0.78223926385352405</v>
      </c>
      <c r="AA42">
        <v>0.726414337820108</v>
      </c>
      <c r="AB42">
        <v>0.72969592531464</v>
      </c>
      <c r="AC42">
        <v>0.74854983486751503</v>
      </c>
      <c r="AD42">
        <v>0.81619057660796701</v>
      </c>
      <c r="AE42">
        <v>0</v>
      </c>
      <c r="AF42">
        <v>0.57074435576495897</v>
      </c>
      <c r="AG42">
        <v>0.85117885610558897</v>
      </c>
      <c r="AH42">
        <v>2.1117932412335901E-2</v>
      </c>
      <c r="AI42">
        <v>0.327990599322531</v>
      </c>
      <c r="AJ42">
        <v>0.70906777745364802</v>
      </c>
      <c r="AL42">
        <v>0.78228454764742195</v>
      </c>
      <c r="AM42">
        <v>0.80418119134958999</v>
      </c>
      <c r="AN42">
        <v>0.85373812894309598</v>
      </c>
      <c r="AO42" t="s">
        <v>19</v>
      </c>
      <c r="AU42" t="str">
        <f t="shared" si="0"/>
        <v>IFP</v>
      </c>
      <c r="AV42" t="str">
        <f t="shared" si="1"/>
        <v>OTP</v>
      </c>
      <c r="AW42" t="str">
        <f t="shared" si="2"/>
        <v>NGA</v>
      </c>
      <c r="AX42" t="str">
        <f t="shared" si="3"/>
        <v>Yes</v>
      </c>
    </row>
    <row r="43" spans="1:50">
      <c r="A43" t="s">
        <v>17</v>
      </c>
      <c r="B43" t="s">
        <v>114</v>
      </c>
      <c r="C43" t="s">
        <v>415</v>
      </c>
      <c r="D43" t="s">
        <v>403</v>
      </c>
      <c r="E43" t="s">
        <v>57</v>
      </c>
      <c r="F43" t="s">
        <v>19</v>
      </c>
      <c r="G43" t="s">
        <v>100</v>
      </c>
      <c r="H43" t="s">
        <v>19</v>
      </c>
      <c r="I43" t="s">
        <v>19</v>
      </c>
      <c r="J43" t="s">
        <v>19</v>
      </c>
      <c r="K43" t="s">
        <v>19</v>
      </c>
      <c r="L43">
        <v>0.94220467757708404</v>
      </c>
      <c r="M43">
        <v>0.96104366114944995</v>
      </c>
      <c r="N43">
        <v>0.94202472638424295</v>
      </c>
      <c r="O43">
        <v>0.89834096572226396</v>
      </c>
      <c r="P43">
        <v>0.96216446193343796</v>
      </c>
      <c r="Q43">
        <v>0.98651517963604296</v>
      </c>
      <c r="R43">
        <v>0.93737225123805601</v>
      </c>
      <c r="S43">
        <v>0.97623134534439804</v>
      </c>
      <c r="T43">
        <v>0.88153657697427201</v>
      </c>
      <c r="U43">
        <v>0.97211470505296904</v>
      </c>
      <c r="V43">
        <v>0.96770035815456901</v>
      </c>
      <c r="W43">
        <v>0.94166483543836499</v>
      </c>
      <c r="X43">
        <v>0.92194306871600196</v>
      </c>
      <c r="Y43">
        <v>0.95915150368066104</v>
      </c>
      <c r="Z43">
        <v>0.94229791235773197</v>
      </c>
      <c r="AA43">
        <v>0.954627199073526</v>
      </c>
      <c r="AB43">
        <v>0.95404152588593005</v>
      </c>
      <c r="AC43">
        <v>0.95038446178257296</v>
      </c>
      <c r="AD43">
        <v>0.93120548602562503</v>
      </c>
      <c r="AE43">
        <v>0.99</v>
      </c>
      <c r="AF43">
        <v>0.97220517758773295</v>
      </c>
      <c r="AG43">
        <v>0.91460030784916402</v>
      </c>
      <c r="AH43">
        <v>0.98970995763430103</v>
      </c>
      <c r="AI43">
        <v>0.98344878265150204</v>
      </c>
      <c r="AJ43">
        <v>0.95750617772031699</v>
      </c>
      <c r="AL43">
        <v>0.94228538515143501</v>
      </c>
      <c r="AM43">
        <v>0.93556109100654905</v>
      </c>
      <c r="AN43">
        <v>0.91308115886894303</v>
      </c>
      <c r="AO43" t="s">
        <v>19</v>
      </c>
      <c r="AU43" t="str">
        <f t="shared" si="0"/>
        <v>IFP</v>
      </c>
      <c r="AV43" t="str">
        <f t="shared" si="1"/>
        <v>PRC</v>
      </c>
      <c r="AW43" t="str">
        <f t="shared" si="2"/>
        <v>ELC</v>
      </c>
      <c r="AX43" t="str">
        <f t="shared" si="3"/>
        <v>No</v>
      </c>
    </row>
    <row r="44" spans="1:50">
      <c r="A44" t="s">
        <v>17</v>
      </c>
      <c r="B44" t="s">
        <v>114</v>
      </c>
      <c r="C44" t="s">
        <v>416</v>
      </c>
      <c r="D44" t="s">
        <v>403</v>
      </c>
      <c r="E44" t="s">
        <v>57</v>
      </c>
      <c r="F44" t="s">
        <v>19</v>
      </c>
      <c r="G44" t="s">
        <v>100</v>
      </c>
      <c r="H44" t="s">
        <v>19</v>
      </c>
      <c r="I44" t="s">
        <v>19</v>
      </c>
      <c r="J44" t="s">
        <v>19</v>
      </c>
      <c r="K44" t="s">
        <v>19</v>
      </c>
      <c r="L44">
        <v>4.7795322422915697E-2</v>
      </c>
      <c r="M44">
        <v>2.89563388505505E-2</v>
      </c>
      <c r="N44">
        <v>4.7975273615756597E-2</v>
      </c>
      <c r="O44">
        <v>9.1659034277736195E-2</v>
      </c>
      <c r="P44">
        <v>2.7835538066561898E-2</v>
      </c>
      <c r="Q44">
        <v>3.4848203639573101E-3</v>
      </c>
      <c r="R44">
        <v>5.2627748761943899E-2</v>
      </c>
      <c r="S44">
        <v>1.37686546556023E-2</v>
      </c>
      <c r="T44">
        <v>0.10846342302572801</v>
      </c>
      <c r="U44">
        <v>1.78852949470313E-2</v>
      </c>
      <c r="V44">
        <v>2.2299641845431099E-2</v>
      </c>
      <c r="W44">
        <v>4.8335164561634697E-2</v>
      </c>
      <c r="X44">
        <v>6.8056931283998201E-2</v>
      </c>
      <c r="Y44">
        <v>3.0848496319338701E-2</v>
      </c>
      <c r="Z44">
        <v>4.7702087642268097E-2</v>
      </c>
      <c r="AA44">
        <v>3.5372800926473998E-2</v>
      </c>
      <c r="AB44">
        <v>3.5958474114069598E-2</v>
      </c>
      <c r="AC44">
        <v>3.9615538217427103E-2</v>
      </c>
      <c r="AD44">
        <v>5.87945139743749E-2</v>
      </c>
      <c r="AE44">
        <v>0</v>
      </c>
      <c r="AF44">
        <v>1.77948224122669E-2</v>
      </c>
      <c r="AG44">
        <v>7.5399692150835806E-2</v>
      </c>
      <c r="AH44">
        <v>0</v>
      </c>
      <c r="AI44">
        <v>6.5512173484974399E-3</v>
      </c>
      <c r="AJ44">
        <v>3.2493822279683199E-2</v>
      </c>
      <c r="AL44">
        <v>4.7714614848565103E-2</v>
      </c>
      <c r="AM44">
        <v>5.4438908993451003E-2</v>
      </c>
      <c r="AN44">
        <v>7.6918841131057097E-2</v>
      </c>
      <c r="AO44" t="s">
        <v>19</v>
      </c>
      <c r="AU44" t="str">
        <f t="shared" si="0"/>
        <v>IFP</v>
      </c>
      <c r="AV44" t="str">
        <f t="shared" si="1"/>
        <v>PRC</v>
      </c>
      <c r="AW44" t="str">
        <f t="shared" si="2"/>
        <v>NGA</v>
      </c>
      <c r="AX44" t="str">
        <f t="shared" si="3"/>
        <v>Yes</v>
      </c>
    </row>
    <row r="45" spans="1:50">
      <c r="A45" t="s">
        <v>17</v>
      </c>
      <c r="B45" t="s">
        <v>114</v>
      </c>
      <c r="C45" t="s">
        <v>404</v>
      </c>
      <c r="D45" t="s">
        <v>413</v>
      </c>
      <c r="E45" t="s">
        <v>57</v>
      </c>
      <c r="F45" t="s">
        <v>19</v>
      </c>
      <c r="G45" t="s">
        <v>100</v>
      </c>
      <c r="H45" t="s">
        <v>19</v>
      </c>
      <c r="I45" t="s">
        <v>19</v>
      </c>
      <c r="J45" t="s">
        <v>19</v>
      </c>
      <c r="K45" t="s">
        <v>19</v>
      </c>
      <c r="L45">
        <v>1.1203072677133699E-2</v>
      </c>
      <c r="M45">
        <v>0.60435342353955601</v>
      </c>
      <c r="N45">
        <v>0</v>
      </c>
      <c r="O45">
        <v>1.15401516107916E-2</v>
      </c>
      <c r="P45">
        <v>8.6125714115150603E-2</v>
      </c>
      <c r="Q45">
        <v>0.81381735123479504</v>
      </c>
      <c r="R45">
        <v>0.58090776982886605</v>
      </c>
      <c r="S45">
        <v>0.94842468379898504</v>
      </c>
      <c r="T45">
        <v>1.17275239503195E-2</v>
      </c>
      <c r="U45">
        <v>0</v>
      </c>
      <c r="V45">
        <v>0.17878653062007999</v>
      </c>
      <c r="W45">
        <v>4.2975063619008699E-2</v>
      </c>
      <c r="X45">
        <v>8.5564073042919395E-2</v>
      </c>
      <c r="Y45">
        <v>0.164588522350228</v>
      </c>
      <c r="Z45">
        <v>0.206435168285409</v>
      </c>
      <c r="AA45">
        <v>0.39101608555197598</v>
      </c>
      <c r="AB45">
        <v>8.1902572846635893E-2</v>
      </c>
      <c r="AC45">
        <v>0.10020385536646299</v>
      </c>
      <c r="AD45">
        <v>3.4877629681232501E-2</v>
      </c>
      <c r="AE45">
        <v>0.95514418266018697</v>
      </c>
      <c r="AF45">
        <v>0.720601415313468</v>
      </c>
      <c r="AG45">
        <v>0.79726261101338103</v>
      </c>
      <c r="AH45">
        <v>0</v>
      </c>
      <c r="AI45">
        <v>0.13307707206077199</v>
      </c>
      <c r="AJ45">
        <v>0.211222741476909</v>
      </c>
      <c r="AL45">
        <v>0.57651246640863996</v>
      </c>
      <c r="AM45">
        <v>5.3860066330997498E-2</v>
      </c>
      <c r="AN45">
        <v>0.10391649002382999</v>
      </c>
      <c r="AO45" t="s">
        <v>19</v>
      </c>
      <c r="AU45" t="str">
        <f t="shared" si="0"/>
        <v>IFP</v>
      </c>
      <c r="AV45" t="str">
        <f t="shared" si="1"/>
        <v>PRH</v>
      </c>
      <c r="AW45" t="str">
        <f t="shared" si="2"/>
        <v>BIO</v>
      </c>
      <c r="AX45" t="str">
        <f t="shared" si="3"/>
        <v>No</v>
      </c>
    </row>
    <row r="46" spans="1:50">
      <c r="A46" t="s">
        <v>17</v>
      </c>
      <c r="B46" t="s">
        <v>114</v>
      </c>
      <c r="C46" t="s">
        <v>399</v>
      </c>
      <c r="D46" t="s">
        <v>413</v>
      </c>
      <c r="E46" t="s">
        <v>57</v>
      </c>
      <c r="F46" t="s">
        <v>19</v>
      </c>
      <c r="G46" t="s">
        <v>100</v>
      </c>
      <c r="H46" t="s">
        <v>19</v>
      </c>
      <c r="I46" t="s">
        <v>19</v>
      </c>
      <c r="J46" t="s">
        <v>19</v>
      </c>
      <c r="K46" t="s">
        <v>19</v>
      </c>
      <c r="L46">
        <v>4.3772392053267099E-2</v>
      </c>
      <c r="M46">
        <v>0.14875126725436499</v>
      </c>
      <c r="N46">
        <v>5.0828159357141002E-2</v>
      </c>
      <c r="O46">
        <v>6.8880607236530805E-2</v>
      </c>
      <c r="P46">
        <v>0</v>
      </c>
      <c r="Q46">
        <v>0.131296340292435</v>
      </c>
      <c r="R46">
        <v>0.18201112886276299</v>
      </c>
      <c r="S46">
        <v>1.74986337289893E-3</v>
      </c>
      <c r="T46">
        <v>0</v>
      </c>
      <c r="U46">
        <v>0.70971666694167801</v>
      </c>
      <c r="V46">
        <v>0.105927585265311</v>
      </c>
      <c r="W46">
        <v>0.337969497237253</v>
      </c>
      <c r="X46">
        <v>2.68365223431608E-2</v>
      </c>
      <c r="Y46">
        <v>0</v>
      </c>
      <c r="Z46">
        <v>1.15310778550472E-2</v>
      </c>
      <c r="AA46">
        <v>7.6615927837207203E-3</v>
      </c>
      <c r="AB46">
        <v>0.39119284464709198</v>
      </c>
      <c r="AC46">
        <v>9.1417551344326498E-2</v>
      </c>
      <c r="AD46">
        <v>8.2619349400238698E-2</v>
      </c>
      <c r="AE46">
        <v>0</v>
      </c>
      <c r="AF46">
        <v>0.19912229869192399</v>
      </c>
      <c r="AG46">
        <v>0</v>
      </c>
      <c r="AH46">
        <v>0</v>
      </c>
      <c r="AI46">
        <v>0</v>
      </c>
      <c r="AJ46">
        <v>7.89998216838321E-2</v>
      </c>
      <c r="AL46">
        <v>0</v>
      </c>
      <c r="AM46">
        <v>3.1997514686118403E-2</v>
      </c>
      <c r="AN46">
        <v>0.200209271787851</v>
      </c>
      <c r="AO46" t="s">
        <v>19</v>
      </c>
      <c r="AU46" t="str">
        <f t="shared" si="0"/>
        <v>IFP</v>
      </c>
      <c r="AV46" t="str">
        <f t="shared" si="1"/>
        <v>PRH</v>
      </c>
      <c r="AW46" t="str">
        <f t="shared" si="2"/>
        <v>COA</v>
      </c>
      <c r="AX46" t="str">
        <f t="shared" si="3"/>
        <v>Yes</v>
      </c>
    </row>
    <row r="47" spans="1:50">
      <c r="A47" t="s">
        <v>17</v>
      </c>
      <c r="B47" t="s">
        <v>114</v>
      </c>
      <c r="C47" t="s">
        <v>401</v>
      </c>
      <c r="D47" t="s">
        <v>413</v>
      </c>
      <c r="E47" t="s">
        <v>57</v>
      </c>
      <c r="F47" t="s">
        <v>19</v>
      </c>
      <c r="G47" t="s">
        <v>100</v>
      </c>
      <c r="H47" t="s">
        <v>19</v>
      </c>
      <c r="I47" t="s">
        <v>19</v>
      </c>
      <c r="J47" t="s">
        <v>19</v>
      </c>
      <c r="K47" t="s">
        <v>19</v>
      </c>
      <c r="L47">
        <v>5.3844551448757598E-2</v>
      </c>
      <c r="M47">
        <v>2.2097659304181599E-2</v>
      </c>
      <c r="N47">
        <v>5.3712890465781801E-2</v>
      </c>
      <c r="O47">
        <v>2.6818004628206101E-2</v>
      </c>
      <c r="P47">
        <v>8.7437543251333905E-2</v>
      </c>
      <c r="Q47">
        <v>2.0978654159204999E-2</v>
      </c>
      <c r="R47">
        <v>1.18811051422792E-2</v>
      </c>
      <c r="S47">
        <v>7.1756206893353004E-3</v>
      </c>
      <c r="T47">
        <v>2.4039678196663899E-2</v>
      </c>
      <c r="U47">
        <v>3.3769791090991E-2</v>
      </c>
      <c r="V47">
        <v>8.2129328770542895E-2</v>
      </c>
      <c r="W47">
        <v>3.3759487824416998E-2</v>
      </c>
      <c r="X47">
        <v>3.5304417599391798E-2</v>
      </c>
      <c r="Y47">
        <v>7.2557337071081293E-2</v>
      </c>
      <c r="Z47">
        <v>4.4169240853851599E-2</v>
      </c>
      <c r="AA47">
        <v>4.4695320713882401E-2</v>
      </c>
      <c r="AB47">
        <v>3.8141438683631901E-2</v>
      </c>
      <c r="AC47">
        <v>5.4718986561049301E-2</v>
      </c>
      <c r="AD47">
        <v>4.04401300202996E-2</v>
      </c>
      <c r="AE47">
        <v>3.4855817339813501E-2</v>
      </c>
      <c r="AF47">
        <v>9.75930795003257E-3</v>
      </c>
      <c r="AG47">
        <v>6.9841792500753303E-3</v>
      </c>
      <c r="AH47">
        <v>0.90448584764034101</v>
      </c>
      <c r="AI47">
        <v>0.27211833002212099</v>
      </c>
      <c r="AJ47">
        <v>5.8567243905101797E-2</v>
      </c>
      <c r="AL47">
        <v>2.3851071980743901E-2</v>
      </c>
      <c r="AM47">
        <v>4.5727481691236499E-2</v>
      </c>
      <c r="AN47">
        <v>2.4341388247216499E-2</v>
      </c>
      <c r="AO47" t="s">
        <v>19</v>
      </c>
      <c r="AU47" t="str">
        <f t="shared" si="0"/>
        <v>IFP</v>
      </c>
      <c r="AV47" t="str">
        <f t="shared" si="1"/>
        <v>PRH</v>
      </c>
      <c r="AW47" t="str">
        <f t="shared" si="2"/>
        <v>ELC</v>
      </c>
      <c r="AX47" t="str">
        <f t="shared" si="3"/>
        <v>No</v>
      </c>
    </row>
    <row r="48" spans="1:50">
      <c r="A48" t="s">
        <v>17</v>
      </c>
      <c r="B48" t="s">
        <v>114</v>
      </c>
      <c r="C48" t="s">
        <v>400</v>
      </c>
      <c r="D48" t="s">
        <v>413</v>
      </c>
      <c r="E48" t="s">
        <v>57</v>
      </c>
      <c r="F48" t="s">
        <v>19</v>
      </c>
      <c r="G48" t="s">
        <v>100</v>
      </c>
      <c r="H48" t="s">
        <v>19</v>
      </c>
      <c r="I48" t="s">
        <v>19</v>
      </c>
      <c r="J48" t="s">
        <v>19</v>
      </c>
      <c r="K48" t="s">
        <v>19</v>
      </c>
      <c r="L48">
        <v>0.88117998382084195</v>
      </c>
      <c r="M48">
        <v>0.21479764990189701</v>
      </c>
      <c r="N48">
        <v>0.88250343022795696</v>
      </c>
      <c r="O48">
        <v>0.88276123652447203</v>
      </c>
      <c r="P48">
        <v>0.81607669513855596</v>
      </c>
      <c r="Q48">
        <v>2.3907654313564401E-2</v>
      </c>
      <c r="R48">
        <v>0.21519999616609201</v>
      </c>
      <c r="S48">
        <v>3.2649832138781198E-2</v>
      </c>
      <c r="T48">
        <v>0.95423279785301696</v>
      </c>
      <c r="U48">
        <v>0.200442443401674</v>
      </c>
      <c r="V48">
        <v>0.61057354036681599</v>
      </c>
      <c r="W48">
        <v>0.55904326304305696</v>
      </c>
      <c r="X48">
        <v>0.84077546716265905</v>
      </c>
      <c r="Y48">
        <v>0.75285414057869005</v>
      </c>
      <c r="Z48">
        <v>0.72135959432683106</v>
      </c>
      <c r="AA48">
        <v>0.53429415626047205</v>
      </c>
      <c r="AB48">
        <v>0.46378186943987199</v>
      </c>
      <c r="AC48">
        <v>0.73584611123462496</v>
      </c>
      <c r="AD48">
        <v>0.82373314702677503</v>
      </c>
      <c r="AE48">
        <v>0</v>
      </c>
      <c r="AF48">
        <v>5.7628520641022897E-2</v>
      </c>
      <c r="AG48">
        <v>0.185753209736543</v>
      </c>
      <c r="AH48">
        <v>8.5514152359658993E-2</v>
      </c>
      <c r="AI48">
        <v>0.58480459791710804</v>
      </c>
      <c r="AJ48">
        <v>0.64120473939966005</v>
      </c>
      <c r="AL48">
        <v>0.38963646161061599</v>
      </c>
      <c r="AM48">
        <v>0.85841493729164697</v>
      </c>
      <c r="AN48">
        <v>0.66153284994110295</v>
      </c>
      <c r="AO48" t="s">
        <v>19</v>
      </c>
      <c r="AU48" t="str">
        <f t="shared" si="0"/>
        <v>IFP</v>
      </c>
      <c r="AV48" t="str">
        <f t="shared" si="1"/>
        <v>PRH</v>
      </c>
      <c r="AW48" t="str">
        <f t="shared" si="2"/>
        <v>NGA</v>
      </c>
      <c r="AX48" t="str">
        <f t="shared" si="3"/>
        <v>Yes</v>
      </c>
    </row>
    <row r="49" spans="1:50">
      <c r="A49" t="s">
        <v>17</v>
      </c>
      <c r="B49" t="s">
        <v>114</v>
      </c>
      <c r="C49" t="s">
        <v>398</v>
      </c>
      <c r="D49" t="s">
        <v>413</v>
      </c>
      <c r="E49" t="s">
        <v>57</v>
      </c>
      <c r="F49" t="s">
        <v>19</v>
      </c>
      <c r="G49" t="s">
        <v>100</v>
      </c>
      <c r="H49" t="s">
        <v>19</v>
      </c>
      <c r="I49" t="s">
        <v>19</v>
      </c>
      <c r="J49" t="s">
        <v>19</v>
      </c>
      <c r="K49" t="s">
        <v>19</v>
      </c>
      <c r="L49">
        <v>0</v>
      </c>
      <c r="M49">
        <v>0</v>
      </c>
      <c r="N49">
        <v>2.6654553984953298E-3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4.6071098565656797E-2</v>
      </c>
      <c r="V49">
        <v>1.2583014977250199E-2</v>
      </c>
      <c r="W49">
        <v>1.62526882762648E-2</v>
      </c>
      <c r="X49">
        <v>1.5195198518683801E-3</v>
      </c>
      <c r="Y49">
        <v>0</v>
      </c>
      <c r="Z49">
        <v>6.5049186788603596E-3</v>
      </c>
      <c r="AA49">
        <v>1.23328446899484E-2</v>
      </c>
      <c r="AB49">
        <v>1.4981274382768099E-2</v>
      </c>
      <c r="AC49">
        <v>7.8134954935366995E-3</v>
      </c>
      <c r="AD49">
        <v>8.3297438714546798E-3</v>
      </c>
      <c r="AE49">
        <v>0</v>
      </c>
      <c r="AF49">
        <v>2.8884574035527898E-3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 t="s">
        <v>19</v>
      </c>
      <c r="AU49" t="str">
        <f t="shared" si="0"/>
        <v>IFP</v>
      </c>
      <c r="AV49" t="str">
        <f t="shared" si="1"/>
        <v>PRH</v>
      </c>
      <c r="AW49" t="str">
        <f t="shared" si="2"/>
        <v>OVC</v>
      </c>
      <c r="AX49" t="str">
        <f t="shared" si="3"/>
        <v>Yes</v>
      </c>
    </row>
    <row r="50" spans="1:50">
      <c r="A50" t="s">
        <v>17</v>
      </c>
      <c r="B50" t="s">
        <v>114</v>
      </c>
      <c r="C50" t="s">
        <v>389</v>
      </c>
      <c r="D50" t="s">
        <v>391</v>
      </c>
      <c r="E50" t="s">
        <v>57</v>
      </c>
      <c r="F50" t="s">
        <v>19</v>
      </c>
      <c r="G50" t="s">
        <v>100</v>
      </c>
      <c r="H50" t="s">
        <v>19</v>
      </c>
      <c r="I50" t="s">
        <v>19</v>
      </c>
      <c r="J50" t="s">
        <v>19</v>
      </c>
      <c r="K50" t="s">
        <v>19</v>
      </c>
      <c r="L50">
        <v>0.32191832360991901</v>
      </c>
      <c r="M50">
        <v>0.28930755529496899</v>
      </c>
      <c r="N50">
        <v>0.36778981406703398</v>
      </c>
      <c r="O50">
        <v>0.215246118449615</v>
      </c>
      <c r="P50">
        <v>0.42914556114128199</v>
      </c>
      <c r="Q50">
        <v>0.62643624661891195</v>
      </c>
      <c r="R50">
        <v>0.32904929497201801</v>
      </c>
      <c r="S50">
        <v>0.57493079234883804</v>
      </c>
      <c r="T50">
        <v>0.19504819779007401</v>
      </c>
      <c r="U50">
        <v>0.60165363571341701</v>
      </c>
      <c r="V50">
        <v>0.50816804757715905</v>
      </c>
      <c r="W50">
        <v>0.35404501557398299</v>
      </c>
      <c r="X50">
        <v>0.28247746638819998</v>
      </c>
      <c r="Y50">
        <v>0.437771688706451</v>
      </c>
      <c r="Z50">
        <v>0.350699163831517</v>
      </c>
      <c r="AA50">
        <v>0.39282484962495301</v>
      </c>
      <c r="AB50">
        <v>0.41774981207332501</v>
      </c>
      <c r="AC50">
        <v>0.39590476806694902</v>
      </c>
      <c r="AD50">
        <v>0.31072931300400602</v>
      </c>
      <c r="AE50">
        <v>0.98932046151832698</v>
      </c>
      <c r="AF50">
        <v>0.49941149247121303</v>
      </c>
      <c r="AG50">
        <v>0.233761198966459</v>
      </c>
      <c r="AH50">
        <v>0.92173328737117</v>
      </c>
      <c r="AI50">
        <v>0.689090541784252</v>
      </c>
      <c r="AJ50">
        <v>0.39699179239178101</v>
      </c>
      <c r="AL50">
        <v>0.26064438448654098</v>
      </c>
      <c r="AM50">
        <v>0.32634418433064599</v>
      </c>
      <c r="AN50">
        <v>0.25864561167475297</v>
      </c>
      <c r="AO50" t="s">
        <v>19</v>
      </c>
      <c r="AU50" t="str">
        <f t="shared" si="0"/>
        <v>IFP</v>
      </c>
      <c r="AV50" t="str">
        <f t="shared" si="1"/>
        <v>SPC</v>
      </c>
      <c r="AW50" t="str">
        <f t="shared" si="2"/>
        <v>ELC</v>
      </c>
      <c r="AX50" t="str">
        <f t="shared" si="3"/>
        <v>No</v>
      </c>
    </row>
    <row r="51" spans="1:50">
      <c r="A51" t="s">
        <v>17</v>
      </c>
      <c r="B51" t="s">
        <v>114</v>
      </c>
      <c r="C51" t="s">
        <v>494</v>
      </c>
      <c r="D51" t="s">
        <v>391</v>
      </c>
      <c r="E51" t="s">
        <v>57</v>
      </c>
      <c r="F51" t="s">
        <v>19</v>
      </c>
      <c r="G51" t="s">
        <v>100</v>
      </c>
      <c r="H51" t="s">
        <v>19</v>
      </c>
      <c r="I51" t="s">
        <v>19</v>
      </c>
      <c r="J51" t="s">
        <v>19</v>
      </c>
      <c r="K51" t="s">
        <v>19</v>
      </c>
      <c r="L51">
        <v>0.54093081707600699</v>
      </c>
      <c r="M51">
        <v>0.28874614450117198</v>
      </c>
      <c r="N51">
        <v>0.62045564784830498</v>
      </c>
      <c r="O51">
        <v>0.72748708550128305</v>
      </c>
      <c r="P51">
        <v>0.41125464903612102</v>
      </c>
      <c r="Q51">
        <v>7.3300913915251106E-2</v>
      </c>
      <c r="R51">
        <v>0.61195508972698498</v>
      </c>
      <c r="S51">
        <v>0.26860260194031199</v>
      </c>
      <c r="T51">
        <v>0.79495180220992601</v>
      </c>
      <c r="U51">
        <v>0.36667476826680101</v>
      </c>
      <c r="V51">
        <v>0.38790039978986102</v>
      </c>
      <c r="W51">
        <v>0.60197883222133597</v>
      </c>
      <c r="X51">
        <v>0.69072942184203501</v>
      </c>
      <c r="Y51">
        <v>0.46639119877392499</v>
      </c>
      <c r="Z51">
        <v>0.58808455610064703</v>
      </c>
      <c r="AA51">
        <v>0.48215923095867602</v>
      </c>
      <c r="AB51">
        <v>0.52156222108052597</v>
      </c>
      <c r="AC51">
        <v>0.54665440561629597</v>
      </c>
      <c r="AD51">
        <v>0.64987434172735203</v>
      </c>
      <c r="AE51">
        <v>0</v>
      </c>
      <c r="AF51">
        <v>0.30279600970182402</v>
      </c>
      <c r="AG51">
        <v>0.638361288288818</v>
      </c>
      <c r="AH51">
        <v>8.9477668185630709E-3</v>
      </c>
      <c r="AI51">
        <v>0.152055606223406</v>
      </c>
      <c r="AJ51">
        <v>0.44626890900116001</v>
      </c>
      <c r="AL51">
        <v>0.43719302728782</v>
      </c>
      <c r="AM51">
        <v>0.62902662147830801</v>
      </c>
      <c r="AN51">
        <v>0.72174594474840703</v>
      </c>
      <c r="AO51" t="s">
        <v>19</v>
      </c>
      <c r="AU51" t="str">
        <f t="shared" si="0"/>
        <v>IFP</v>
      </c>
      <c r="AV51" t="str">
        <f t="shared" si="1"/>
        <v>SPC</v>
      </c>
      <c r="AW51" t="str">
        <f t="shared" si="2"/>
        <v>NGA</v>
      </c>
      <c r="AX51" t="str">
        <f t="shared" si="3"/>
        <v>Yes</v>
      </c>
    </row>
    <row r="52" spans="1:50">
      <c r="A52" t="s">
        <v>17</v>
      </c>
      <c r="B52" t="s">
        <v>114</v>
      </c>
      <c r="C52" t="s">
        <v>392</v>
      </c>
      <c r="D52" t="s">
        <v>391</v>
      </c>
      <c r="E52" t="s">
        <v>57</v>
      </c>
      <c r="F52" t="s">
        <v>19</v>
      </c>
      <c r="G52" t="s">
        <v>100</v>
      </c>
      <c r="H52" t="s">
        <v>19</v>
      </c>
      <c r="I52" t="s">
        <v>19</v>
      </c>
      <c r="J52" t="s">
        <v>19</v>
      </c>
      <c r="K52" t="s">
        <v>19</v>
      </c>
      <c r="L52">
        <v>0.12715085931407399</v>
      </c>
      <c r="M52">
        <v>0.41194630020385797</v>
      </c>
      <c r="N52">
        <v>1.7545380846606599E-3</v>
      </c>
      <c r="O52">
        <v>4.7266796049101299E-2</v>
      </c>
      <c r="P52">
        <v>0.149599789822597</v>
      </c>
      <c r="Q52">
        <v>0.29026283946583697</v>
      </c>
      <c r="R52">
        <v>4.8995615300996997E-2</v>
      </c>
      <c r="S52">
        <v>0.14646660571084999</v>
      </c>
      <c r="T52">
        <v>0</v>
      </c>
      <c r="U52">
        <v>2.1671596019781199E-2</v>
      </c>
      <c r="V52">
        <v>9.3931552632979795E-2</v>
      </c>
      <c r="W52">
        <v>3.3976152204680497E-2</v>
      </c>
      <c r="X52">
        <v>1.67931117697643E-2</v>
      </c>
      <c r="Y52">
        <v>8.5837112519624101E-2</v>
      </c>
      <c r="Z52">
        <v>5.1216280067835303E-2</v>
      </c>
      <c r="AA52">
        <v>0.115015919416371</v>
      </c>
      <c r="AB52">
        <v>5.0687966846148999E-2</v>
      </c>
      <c r="AC52">
        <v>4.7440826316754899E-2</v>
      </c>
      <c r="AD52">
        <v>2.9396345268642099E-2</v>
      </c>
      <c r="AE52">
        <v>0</v>
      </c>
      <c r="AF52">
        <v>0.187792497826963</v>
      </c>
      <c r="AG52">
        <v>0.117877512744723</v>
      </c>
      <c r="AH52">
        <v>5.93189458102669E-2</v>
      </c>
      <c r="AI52">
        <v>0.148853851992341</v>
      </c>
      <c r="AJ52">
        <v>0.146739298607059</v>
      </c>
      <c r="AL52">
        <v>0.29216258822563901</v>
      </c>
      <c r="AM52">
        <v>3.4629194191045598E-2</v>
      </c>
      <c r="AN52">
        <v>9.6084435768393501E-3</v>
      </c>
      <c r="AO52" t="s">
        <v>19</v>
      </c>
      <c r="AU52" t="str">
        <f t="shared" si="0"/>
        <v>IFP</v>
      </c>
      <c r="AV52" t="str">
        <f t="shared" si="1"/>
        <v>SPC</v>
      </c>
      <c r="AW52" t="str">
        <f t="shared" si="2"/>
        <v>OIL</v>
      </c>
      <c r="AX52" t="str">
        <f t="shared" si="3"/>
        <v>Yes</v>
      </c>
    </row>
    <row r="53" spans="1:50">
      <c r="A53" t="s">
        <v>17</v>
      </c>
      <c r="B53" t="s">
        <v>114</v>
      </c>
      <c r="C53" t="s">
        <v>493</v>
      </c>
      <c r="D53" t="s">
        <v>394</v>
      </c>
      <c r="E53" t="s">
        <v>57</v>
      </c>
      <c r="F53" t="s">
        <v>19</v>
      </c>
      <c r="G53" t="s">
        <v>100</v>
      </c>
      <c r="H53" t="s">
        <v>19</v>
      </c>
      <c r="I53" t="s">
        <v>19</v>
      </c>
      <c r="J53" t="s">
        <v>19</v>
      </c>
      <c r="K53" t="s">
        <v>19</v>
      </c>
      <c r="L53">
        <v>5.5571275962157402E-3</v>
      </c>
      <c r="M53">
        <v>0.360473858542319</v>
      </c>
      <c r="N53">
        <v>0</v>
      </c>
      <c r="O53">
        <v>3.9103932901583998E-3</v>
      </c>
      <c r="P53">
        <v>3.5785494403639102E-2</v>
      </c>
      <c r="Q53">
        <v>0.67651698362634805</v>
      </c>
      <c r="R53">
        <v>0.48728626606358699</v>
      </c>
      <c r="S53">
        <v>0.89513953651223899</v>
      </c>
      <c r="T53">
        <v>6.8778229886179796E-3</v>
      </c>
      <c r="U53">
        <v>0</v>
      </c>
      <c r="V53">
        <v>4.8308341736997697E-2</v>
      </c>
      <c r="W53">
        <v>2.2684550750799601E-2</v>
      </c>
      <c r="X53">
        <v>4.8185324918333702E-2</v>
      </c>
      <c r="Y53">
        <v>5.0858461494882497E-2</v>
      </c>
      <c r="Z53">
        <v>0.104231770476608</v>
      </c>
      <c r="AA53">
        <v>0.22834580764654999</v>
      </c>
      <c r="AB53">
        <v>2.3016443742581799E-2</v>
      </c>
      <c r="AC53">
        <v>4.6659717113799397E-2</v>
      </c>
      <c r="AD53">
        <v>1.5864922102167899E-2</v>
      </c>
      <c r="AE53">
        <v>0.92208977466394104</v>
      </c>
      <c r="AF53">
        <v>0.64966410166155297</v>
      </c>
      <c r="AG53">
        <v>0.66751580497316898</v>
      </c>
      <c r="AH53">
        <v>0</v>
      </c>
      <c r="AI53">
        <v>3.7395946543323899E-2</v>
      </c>
      <c r="AJ53">
        <v>1.50279926577852E-2</v>
      </c>
      <c r="AL53">
        <v>0.33399563989258801</v>
      </c>
      <c r="AM53">
        <v>3.0152739461558001E-2</v>
      </c>
      <c r="AN53">
        <v>6.32300503892822E-2</v>
      </c>
      <c r="AO53" t="s">
        <v>19</v>
      </c>
      <c r="AU53" t="str">
        <f t="shared" si="0"/>
        <v>IFP</v>
      </c>
      <c r="AV53" t="str">
        <f t="shared" si="1"/>
        <v>STM</v>
      </c>
      <c r="AW53" t="str">
        <f t="shared" si="2"/>
        <v>BIO</v>
      </c>
      <c r="AX53" t="str">
        <f t="shared" si="3"/>
        <v>No</v>
      </c>
    </row>
    <row r="54" spans="1:50">
      <c r="A54" t="s">
        <v>17</v>
      </c>
      <c r="B54" t="s">
        <v>114</v>
      </c>
      <c r="C54" t="s">
        <v>395</v>
      </c>
      <c r="D54" t="s">
        <v>394</v>
      </c>
      <c r="E54" t="s">
        <v>57</v>
      </c>
      <c r="F54" t="s">
        <v>19</v>
      </c>
      <c r="G54" t="s">
        <v>100</v>
      </c>
      <c r="H54" t="s">
        <v>19</v>
      </c>
      <c r="I54" t="s">
        <v>19</v>
      </c>
      <c r="J54" t="s">
        <v>19</v>
      </c>
      <c r="K54" t="s">
        <v>19</v>
      </c>
      <c r="L54">
        <v>2.1712683193430799E-2</v>
      </c>
      <c r="M54">
        <v>8.8724480050423798E-2</v>
      </c>
      <c r="N54">
        <v>3.0233561574510699E-2</v>
      </c>
      <c r="O54">
        <v>2.33402708598636E-2</v>
      </c>
      <c r="P54">
        <v>0</v>
      </c>
      <c r="Q54">
        <v>0.109145134299539</v>
      </c>
      <c r="R54">
        <v>0.152677460987796</v>
      </c>
      <c r="S54">
        <v>1.6515511619776501E-3</v>
      </c>
      <c r="T54">
        <v>0</v>
      </c>
      <c r="U54">
        <v>0.31670403018474103</v>
      </c>
      <c r="V54">
        <v>2.8621764573784399E-2</v>
      </c>
      <c r="W54">
        <v>0.17839848429938199</v>
      </c>
      <c r="X54">
        <v>1.5112961583008001E-2</v>
      </c>
      <c r="Y54">
        <v>0</v>
      </c>
      <c r="Z54">
        <v>5.8221894569508402E-3</v>
      </c>
      <c r="AA54">
        <v>4.4742215389630899E-3</v>
      </c>
      <c r="AB54">
        <v>0.109933885937628</v>
      </c>
      <c r="AC54">
        <v>4.2568392896288998E-2</v>
      </c>
      <c r="AD54">
        <v>3.7581382517857601E-2</v>
      </c>
      <c r="AE54">
        <v>0</v>
      </c>
      <c r="AF54">
        <v>0.17952033752833901</v>
      </c>
      <c r="AG54">
        <v>0</v>
      </c>
      <c r="AH54">
        <v>0</v>
      </c>
      <c r="AI54">
        <v>0</v>
      </c>
      <c r="AJ54">
        <v>5.6206482878206404E-3</v>
      </c>
      <c r="AL54">
        <v>0</v>
      </c>
      <c r="AM54">
        <v>1.7913322234299499E-2</v>
      </c>
      <c r="AN54">
        <v>0.12182130420921999</v>
      </c>
      <c r="AO54" t="s">
        <v>19</v>
      </c>
      <c r="AU54" t="str">
        <f t="shared" si="0"/>
        <v>IFP</v>
      </c>
      <c r="AV54" t="str">
        <f t="shared" si="1"/>
        <v>STM</v>
      </c>
      <c r="AW54" t="str">
        <f t="shared" si="2"/>
        <v>COA</v>
      </c>
      <c r="AX54" t="str">
        <f t="shared" si="3"/>
        <v>Yes</v>
      </c>
    </row>
    <row r="55" spans="1:50">
      <c r="A55" t="s">
        <v>17</v>
      </c>
      <c r="B55" t="s">
        <v>114</v>
      </c>
      <c r="C55" t="s">
        <v>393</v>
      </c>
      <c r="D55" t="s">
        <v>394</v>
      </c>
      <c r="E55" t="s">
        <v>57</v>
      </c>
      <c r="F55" t="s">
        <v>19</v>
      </c>
      <c r="G55" t="s">
        <v>100</v>
      </c>
      <c r="H55" t="s">
        <v>19</v>
      </c>
      <c r="I55" t="s">
        <v>19</v>
      </c>
      <c r="J55" t="s">
        <v>19</v>
      </c>
      <c r="K55" t="s">
        <v>19</v>
      </c>
      <c r="L55">
        <v>5.3612618451239297E-2</v>
      </c>
      <c r="M55">
        <v>2.64570307537535E-2</v>
      </c>
      <c r="N55">
        <v>6.4132104558092304E-2</v>
      </c>
      <c r="O55">
        <v>1.8240948868999698E-2</v>
      </c>
      <c r="P55">
        <v>7.2926298793134905E-2</v>
      </c>
      <c r="Q55">
        <v>3.5005914060515703E-2</v>
      </c>
      <c r="R55">
        <v>2.0005336695300802E-2</v>
      </c>
      <c r="S55">
        <v>1.35943799682376E-2</v>
      </c>
      <c r="T55">
        <v>2.82999296316238E-2</v>
      </c>
      <c r="U55">
        <v>3.0248859152473599E-2</v>
      </c>
      <c r="V55">
        <v>4.45448649337905E-2</v>
      </c>
      <c r="W55">
        <v>3.5770214445888099E-2</v>
      </c>
      <c r="X55">
        <v>3.9908410763485599E-2</v>
      </c>
      <c r="Y55">
        <v>4.5004614650383801E-2</v>
      </c>
      <c r="Z55">
        <v>4.4766011727743998E-2</v>
      </c>
      <c r="AA55">
        <v>5.2392909535699403E-2</v>
      </c>
      <c r="AB55">
        <v>2.1515417989236198E-2</v>
      </c>
      <c r="AC55">
        <v>5.1145538477641299E-2</v>
      </c>
      <c r="AD55">
        <v>3.6924580086730302E-2</v>
      </c>
      <c r="AE55">
        <v>6.7544747445343306E-2</v>
      </c>
      <c r="AF55">
        <v>1.76613875760523E-2</v>
      </c>
      <c r="AG55">
        <v>1.1737823440806599E-2</v>
      </c>
      <c r="AH55">
        <v>0.62383557859285799</v>
      </c>
      <c r="AI55">
        <v>0.15349390335823501</v>
      </c>
      <c r="AJ55">
        <v>8.36425233759246E-3</v>
      </c>
      <c r="AL55">
        <v>2.77365242707437E-2</v>
      </c>
      <c r="AM55">
        <v>5.1386520996478301E-2</v>
      </c>
      <c r="AN55">
        <v>2.9730104943338501E-2</v>
      </c>
      <c r="AO55" t="s">
        <v>19</v>
      </c>
      <c r="AU55" t="str">
        <f t="shared" si="0"/>
        <v>IFP</v>
      </c>
      <c r="AV55" t="str">
        <f t="shared" si="1"/>
        <v>STM</v>
      </c>
      <c r="AW55" t="str">
        <f t="shared" si="2"/>
        <v>ELC</v>
      </c>
      <c r="AX55" t="str">
        <f t="shared" si="3"/>
        <v>No</v>
      </c>
    </row>
    <row r="56" spans="1:50">
      <c r="A56" t="s">
        <v>17</v>
      </c>
      <c r="B56" t="s">
        <v>114</v>
      </c>
      <c r="C56" t="s">
        <v>396</v>
      </c>
      <c r="D56" t="s">
        <v>394</v>
      </c>
      <c r="E56" t="s">
        <v>57</v>
      </c>
      <c r="F56" t="s">
        <v>19</v>
      </c>
      <c r="G56" t="s">
        <v>100</v>
      </c>
      <c r="H56" t="s">
        <v>19</v>
      </c>
      <c r="I56" t="s">
        <v>19</v>
      </c>
      <c r="J56" t="s">
        <v>19</v>
      </c>
      <c r="K56" t="s">
        <v>19</v>
      </c>
      <c r="L56">
        <v>0</v>
      </c>
      <c r="M56">
        <v>0</v>
      </c>
      <c r="N56">
        <v>0</v>
      </c>
      <c r="O56">
        <v>0.40496323353485802</v>
      </c>
      <c r="P56">
        <v>0.10502539252654</v>
      </c>
      <c r="Q56">
        <v>7.8047758840584904E-3</v>
      </c>
      <c r="R56">
        <v>0</v>
      </c>
      <c r="S56">
        <v>0</v>
      </c>
      <c r="T56">
        <v>4.43065839583872E-3</v>
      </c>
      <c r="U56">
        <v>0.46200378040586099</v>
      </c>
      <c r="V56">
        <v>0.52008781241972801</v>
      </c>
      <c r="W56">
        <v>0.21638213901335199</v>
      </c>
      <c r="X56">
        <v>6.3153562146930395E-2</v>
      </c>
      <c r="Y56">
        <v>0.42954850132898797</v>
      </c>
      <c r="Z56">
        <v>0.16184904826607099</v>
      </c>
      <c r="AA56">
        <v>4.68552566581402E-2</v>
      </c>
      <c r="AB56">
        <v>0.58942003918932295</v>
      </c>
      <c r="AC56">
        <v>0.21580877487507699</v>
      </c>
      <c r="AD56">
        <v>0.231993886817464</v>
      </c>
      <c r="AE56">
        <v>0</v>
      </c>
      <c r="AF56">
        <v>0</v>
      </c>
      <c r="AG56">
        <v>0</v>
      </c>
      <c r="AH56">
        <v>0</v>
      </c>
      <c r="AI56">
        <v>0.258829175107336</v>
      </c>
      <c r="AJ56">
        <v>0.859157097870063</v>
      </c>
      <c r="AL56">
        <v>0</v>
      </c>
      <c r="AM56">
        <v>3.1460345599943297E-2</v>
      </c>
      <c r="AN56">
        <v>8.2930783111825196E-2</v>
      </c>
      <c r="AO56" t="s">
        <v>19</v>
      </c>
      <c r="AU56" t="str">
        <f t="shared" si="0"/>
        <v>IFP</v>
      </c>
      <c r="AV56" t="str">
        <f t="shared" si="1"/>
        <v>STM</v>
      </c>
      <c r="AW56" t="str">
        <f t="shared" si="2"/>
        <v>HET</v>
      </c>
      <c r="AX56" t="str">
        <f t="shared" si="3"/>
        <v>No</v>
      </c>
    </row>
    <row r="57" spans="1:50">
      <c r="A57" t="s">
        <v>17</v>
      </c>
      <c r="B57" t="s">
        <v>114</v>
      </c>
      <c r="C57" t="s">
        <v>390</v>
      </c>
      <c r="D57" t="s">
        <v>394</v>
      </c>
      <c r="E57" t="s">
        <v>57</v>
      </c>
      <c r="F57" t="s">
        <v>19</v>
      </c>
      <c r="G57" t="s">
        <v>100</v>
      </c>
      <c r="H57" t="s">
        <v>19</v>
      </c>
      <c r="I57" t="s">
        <v>19</v>
      </c>
      <c r="J57" t="s">
        <v>19</v>
      </c>
      <c r="K57" t="s">
        <v>19</v>
      </c>
      <c r="L57">
        <v>0.74230334485718896</v>
      </c>
      <c r="M57">
        <v>0.217578457126126</v>
      </c>
      <c r="N57">
        <v>0.89146625628463805</v>
      </c>
      <c r="O57">
        <v>0.50799069536680896</v>
      </c>
      <c r="P57">
        <v>0.57584916350093696</v>
      </c>
      <c r="Q57">
        <v>3.37514398737764E-2</v>
      </c>
      <c r="R57">
        <v>0.306565178655961</v>
      </c>
      <c r="S57">
        <v>5.2332613318873497E-2</v>
      </c>
      <c r="T57">
        <v>0.95039158898391995</v>
      </c>
      <c r="U57">
        <v>0.151901426582844</v>
      </c>
      <c r="V57">
        <v>0.28017468451747002</v>
      </c>
      <c r="W57">
        <v>0.50114413430877003</v>
      </c>
      <c r="X57">
        <v>0.80409424113355998</v>
      </c>
      <c r="Y57">
        <v>0.395073676686923</v>
      </c>
      <c r="Z57">
        <v>0.61854574003324303</v>
      </c>
      <c r="AA57">
        <v>0.52988597127011405</v>
      </c>
      <c r="AB57">
        <v>0.22133904038337299</v>
      </c>
      <c r="AC57">
        <v>0.58189985342581396</v>
      </c>
      <c r="AD57">
        <v>0.63632810142447405</v>
      </c>
      <c r="AE57">
        <v>0</v>
      </c>
      <c r="AF57">
        <v>8.8233764489070096E-2</v>
      </c>
      <c r="AG57">
        <v>0.26411925349467202</v>
      </c>
      <c r="AH57">
        <v>4.98996957684084E-2</v>
      </c>
      <c r="AI57">
        <v>0.27908445726777098</v>
      </c>
      <c r="AJ57">
        <v>7.7474824582103904E-2</v>
      </c>
      <c r="AL57">
        <v>0.38334982030352499</v>
      </c>
      <c r="AM57">
        <v>0.816132619246278</v>
      </c>
      <c r="AN57">
        <v>0.68358740510711502</v>
      </c>
      <c r="AO57" t="s">
        <v>19</v>
      </c>
      <c r="AU57" t="str">
        <f t="shared" si="0"/>
        <v>IFP</v>
      </c>
      <c r="AV57" t="str">
        <f t="shared" si="1"/>
        <v>STM</v>
      </c>
      <c r="AW57" t="str">
        <f t="shared" si="2"/>
        <v>NGA</v>
      </c>
      <c r="AX57" t="str">
        <f t="shared" si="3"/>
        <v>Yes</v>
      </c>
    </row>
    <row r="58" spans="1:50">
      <c r="A58" t="s">
        <v>17</v>
      </c>
      <c r="B58" t="s">
        <v>114</v>
      </c>
      <c r="C58" t="s">
        <v>492</v>
      </c>
      <c r="D58" t="s">
        <v>394</v>
      </c>
      <c r="E58" t="s">
        <v>57</v>
      </c>
      <c r="F58" t="s">
        <v>19</v>
      </c>
      <c r="G58" t="s">
        <v>100</v>
      </c>
      <c r="H58" t="s">
        <v>19</v>
      </c>
      <c r="I58" t="s">
        <v>19</v>
      </c>
      <c r="J58" t="s">
        <v>19</v>
      </c>
      <c r="K58" t="s">
        <v>19</v>
      </c>
      <c r="L58">
        <v>0.16681422590192499</v>
      </c>
      <c r="M58">
        <v>0.296766173527377</v>
      </c>
      <c r="N58">
        <v>2.41007777523927E-3</v>
      </c>
      <c r="O58">
        <v>3.1554458079311398E-2</v>
      </c>
      <c r="P58">
        <v>0.200264049953878</v>
      </c>
      <c r="Q58">
        <v>0.12777575225576199</v>
      </c>
      <c r="R58">
        <v>2.3465757597356099E-2</v>
      </c>
      <c r="S58">
        <v>2.7281919038671699E-2</v>
      </c>
      <c r="T58">
        <v>0</v>
      </c>
      <c r="U58">
        <v>8.5831324482931407E-3</v>
      </c>
      <c r="V58">
        <v>6.4862585605868994E-2</v>
      </c>
      <c r="W58">
        <v>2.7041433871752101E-2</v>
      </c>
      <c r="X58">
        <v>1.8689783320816101E-2</v>
      </c>
      <c r="Y58">
        <v>6.9514745838821904E-2</v>
      </c>
      <c r="Z58">
        <v>5.1500822968709899E-2</v>
      </c>
      <c r="AA58">
        <v>0.120843691327833</v>
      </c>
      <c r="AB58">
        <v>2.0565101608214498E-2</v>
      </c>
      <c r="AC58">
        <v>4.8279385264550098E-2</v>
      </c>
      <c r="AD58">
        <v>2.75181442890183E-2</v>
      </c>
      <c r="AE58">
        <v>0</v>
      </c>
      <c r="AF58">
        <v>5.23162963405574E-2</v>
      </c>
      <c r="AG58">
        <v>4.66271180913519E-2</v>
      </c>
      <c r="AH58">
        <v>0.31626472563873398</v>
      </c>
      <c r="AI58">
        <v>0.26119651772333402</v>
      </c>
      <c r="AJ58">
        <v>2.43547962587039E-2</v>
      </c>
      <c r="AL58">
        <v>0.24491801553314299</v>
      </c>
      <c r="AM58">
        <v>4.2954452461442298E-2</v>
      </c>
      <c r="AN58">
        <v>8.7003522392196594E-3</v>
      </c>
      <c r="AO58" t="s">
        <v>19</v>
      </c>
      <c r="AU58" t="str">
        <f t="shared" si="0"/>
        <v>IFP</v>
      </c>
      <c r="AV58" t="str">
        <f t="shared" si="1"/>
        <v>STM</v>
      </c>
      <c r="AW58" t="str">
        <f t="shared" si="2"/>
        <v>OIL</v>
      </c>
      <c r="AX58" t="str">
        <f t="shared" si="3"/>
        <v>Yes</v>
      </c>
    </row>
    <row r="59" spans="1:50">
      <c r="A59" t="s">
        <v>17</v>
      </c>
      <c r="B59" t="s">
        <v>114</v>
      </c>
      <c r="C59" t="s">
        <v>386</v>
      </c>
      <c r="D59" t="s">
        <v>394</v>
      </c>
      <c r="E59" t="s">
        <v>57</v>
      </c>
      <c r="F59" t="s">
        <v>19</v>
      </c>
      <c r="G59" t="s">
        <v>100</v>
      </c>
      <c r="H59" t="s">
        <v>19</v>
      </c>
      <c r="I59" t="s">
        <v>19</v>
      </c>
      <c r="J59" t="s">
        <v>19</v>
      </c>
      <c r="K59" t="s">
        <v>19</v>
      </c>
      <c r="L59">
        <v>0</v>
      </c>
      <c r="M59">
        <v>0</v>
      </c>
      <c r="N59">
        <v>1.5854638636092701E-3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2.05587712257869E-2</v>
      </c>
      <c r="V59">
        <v>3.3999462123602002E-3</v>
      </c>
      <c r="W59">
        <v>8.5790433100552503E-3</v>
      </c>
      <c r="X59">
        <v>0</v>
      </c>
      <c r="Y59">
        <v>0</v>
      </c>
      <c r="Z59">
        <v>3.2844170706735898E-3</v>
      </c>
      <c r="AA59">
        <v>7.2021420227004898E-3</v>
      </c>
      <c r="AB59">
        <v>4.2100711496431001E-3</v>
      </c>
      <c r="AC59">
        <v>3.6383379468290199E-3</v>
      </c>
      <c r="AD59">
        <v>3.7889827622875701E-3</v>
      </c>
      <c r="AE59">
        <v>0</v>
      </c>
      <c r="AF59">
        <v>2.6041124044288498E-3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 t="s">
        <v>19</v>
      </c>
      <c r="AU59" t="str">
        <f t="shared" si="0"/>
        <v>IFP</v>
      </c>
      <c r="AV59" t="str">
        <f t="shared" si="1"/>
        <v>STM</v>
      </c>
      <c r="AW59" t="str">
        <f t="shared" si="2"/>
        <v>OVC</v>
      </c>
      <c r="AX59" t="str">
        <f t="shared" si="3"/>
        <v>Yes</v>
      </c>
    </row>
    <row r="60" spans="1:50">
      <c r="A60" t="s">
        <v>17</v>
      </c>
      <c r="B60" t="s">
        <v>114</v>
      </c>
      <c r="C60" t="s">
        <v>397</v>
      </c>
      <c r="D60" t="s">
        <v>388</v>
      </c>
      <c r="E60" t="s">
        <v>57</v>
      </c>
      <c r="F60" t="s">
        <v>19</v>
      </c>
      <c r="G60" t="s">
        <v>100</v>
      </c>
      <c r="H60" t="s">
        <v>19</v>
      </c>
      <c r="I60" t="s">
        <v>19</v>
      </c>
      <c r="J60" t="s">
        <v>19</v>
      </c>
      <c r="K60" t="s">
        <v>19</v>
      </c>
      <c r="L60">
        <v>0</v>
      </c>
      <c r="M60">
        <v>0</v>
      </c>
      <c r="N60">
        <v>0.53502763425763999</v>
      </c>
      <c r="O60">
        <v>0</v>
      </c>
      <c r="P60">
        <v>0.28438049816035699</v>
      </c>
      <c r="Q60">
        <v>2.41848002049007E-2</v>
      </c>
      <c r="R60">
        <v>0.181452213279062</v>
      </c>
      <c r="S60">
        <v>0.71799889754816604</v>
      </c>
      <c r="T60">
        <v>0.416961270668118</v>
      </c>
      <c r="U60">
        <v>0</v>
      </c>
      <c r="V60">
        <v>0.57528274839149196</v>
      </c>
      <c r="W60">
        <v>0.51342016910785704</v>
      </c>
      <c r="X60">
        <v>0.30576453703676099</v>
      </c>
      <c r="Y60">
        <v>2.1229788535752502E-3</v>
      </c>
      <c r="Z60">
        <v>0.270824782139718</v>
      </c>
      <c r="AA60">
        <v>0.52275344888027298</v>
      </c>
      <c r="AB60">
        <v>3.3695702327172797E-2</v>
      </c>
      <c r="AC60">
        <v>0.34776182290639202</v>
      </c>
      <c r="AD60">
        <v>0.20422231394955001</v>
      </c>
      <c r="AE60">
        <v>0</v>
      </c>
      <c r="AF60">
        <v>0.57775021561126705</v>
      </c>
      <c r="AG60">
        <v>0</v>
      </c>
      <c r="AH60">
        <v>0</v>
      </c>
      <c r="AI60">
        <v>0.16005829472609201</v>
      </c>
      <c r="AJ60">
        <v>0.14712802888149501</v>
      </c>
      <c r="AL60">
        <v>0</v>
      </c>
      <c r="AM60">
        <v>0.20651431297985101</v>
      </c>
      <c r="AN60">
        <v>0.69207150531343498</v>
      </c>
      <c r="AO60" t="s">
        <v>19</v>
      </c>
      <c r="AU60" t="str">
        <f t="shared" si="0"/>
        <v>ILP</v>
      </c>
      <c r="AV60" t="str">
        <f t="shared" si="1"/>
        <v>MDR</v>
      </c>
      <c r="AW60" t="str">
        <f t="shared" si="2"/>
        <v>BIO</v>
      </c>
      <c r="AX60" t="str">
        <f t="shared" si="3"/>
        <v>No</v>
      </c>
    </row>
    <row r="61" spans="1:50">
      <c r="A61" t="s">
        <v>17</v>
      </c>
      <c r="B61" t="s">
        <v>114</v>
      </c>
      <c r="C61" t="s">
        <v>383</v>
      </c>
      <c r="D61" t="s">
        <v>388</v>
      </c>
      <c r="E61" t="s">
        <v>57</v>
      </c>
      <c r="F61" t="s">
        <v>19</v>
      </c>
      <c r="G61" t="s">
        <v>100</v>
      </c>
      <c r="H61" t="s">
        <v>19</v>
      </c>
      <c r="I61" t="s">
        <v>19</v>
      </c>
      <c r="J61" t="s">
        <v>19</v>
      </c>
      <c r="K61" t="s">
        <v>19</v>
      </c>
      <c r="L61">
        <v>0</v>
      </c>
      <c r="M61">
        <v>0.898250215961654</v>
      </c>
      <c r="N61">
        <v>0</v>
      </c>
      <c r="O61">
        <v>2.19868609073487E-2</v>
      </c>
      <c r="P61">
        <v>0.13838961392620699</v>
      </c>
      <c r="Q61">
        <v>0.58085021606472398</v>
      </c>
      <c r="R61">
        <v>4.3519509101187903E-2</v>
      </c>
      <c r="S61">
        <v>7.8945554646576693E-3</v>
      </c>
      <c r="T61">
        <v>0</v>
      </c>
      <c r="U61">
        <v>0.224787010770093</v>
      </c>
      <c r="V61">
        <v>1.40440556179895E-2</v>
      </c>
      <c r="W61">
        <v>6.08029578727474E-2</v>
      </c>
      <c r="X61">
        <v>2.14183080108124E-2</v>
      </c>
      <c r="Y61">
        <v>0</v>
      </c>
      <c r="Z61">
        <v>9.4571406759755297E-2</v>
      </c>
      <c r="AA61">
        <v>0</v>
      </c>
      <c r="AB61">
        <v>0.20602674103604399</v>
      </c>
      <c r="AC61">
        <v>5.4508696833631401E-3</v>
      </c>
      <c r="AD61">
        <v>6.2909711652858094E-2</v>
      </c>
      <c r="AE61">
        <v>0.26851804446175098</v>
      </c>
      <c r="AF61">
        <v>0.15810899040350401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3.0419075716696199E-2</v>
      </c>
      <c r="AN61">
        <v>2.43269232242584E-2</v>
      </c>
      <c r="AO61" t="s">
        <v>19</v>
      </c>
      <c r="AU61" t="str">
        <f t="shared" si="0"/>
        <v>ILP</v>
      </c>
      <c r="AV61" t="str">
        <f t="shared" si="1"/>
        <v>MDR</v>
      </c>
      <c r="AW61" t="str">
        <f t="shared" si="2"/>
        <v>COA</v>
      </c>
      <c r="AX61" t="str">
        <f t="shared" si="3"/>
        <v>Yes</v>
      </c>
    </row>
    <row r="62" spans="1:50">
      <c r="A62" t="s">
        <v>17</v>
      </c>
      <c r="B62" t="s">
        <v>114</v>
      </c>
      <c r="C62" t="s">
        <v>384</v>
      </c>
      <c r="D62" t="s">
        <v>388</v>
      </c>
      <c r="E62" t="s">
        <v>57</v>
      </c>
      <c r="F62" t="s">
        <v>19</v>
      </c>
      <c r="G62" t="s">
        <v>100</v>
      </c>
      <c r="H62" t="s">
        <v>19</v>
      </c>
      <c r="I62" t="s">
        <v>19</v>
      </c>
      <c r="J62" t="s">
        <v>19</v>
      </c>
      <c r="K62" t="s">
        <v>19</v>
      </c>
      <c r="L62">
        <v>0.94715817734268704</v>
      </c>
      <c r="M62">
        <v>9.0868775657515402E-2</v>
      </c>
      <c r="N62">
        <v>0.44709706129869597</v>
      </c>
      <c r="O62">
        <v>0.89382429599075597</v>
      </c>
      <c r="P62">
        <v>0.56198730266501196</v>
      </c>
      <c r="Q62">
        <v>0.38092881670225198</v>
      </c>
      <c r="R62">
        <v>0.74495163309992396</v>
      </c>
      <c r="S62">
        <v>0.25973336460624202</v>
      </c>
      <c r="T62">
        <v>0.56079455874360096</v>
      </c>
      <c r="U62">
        <v>0.757436997833703</v>
      </c>
      <c r="V62">
        <v>0.39866513721117502</v>
      </c>
      <c r="W62">
        <v>0.40229890773000898</v>
      </c>
      <c r="X62">
        <v>0.63551513628210998</v>
      </c>
      <c r="Y62">
        <v>0.95930298450293205</v>
      </c>
      <c r="Z62">
        <v>0.59959497041389898</v>
      </c>
      <c r="AA62">
        <v>0.450868791151955</v>
      </c>
      <c r="AB62">
        <v>0.736558988377637</v>
      </c>
      <c r="AC62">
        <v>0.61006789726555799</v>
      </c>
      <c r="AD62">
        <v>0.69449709075343802</v>
      </c>
      <c r="AE62">
        <v>0.72148195553824901</v>
      </c>
      <c r="AF62">
        <v>0.250018135744981</v>
      </c>
      <c r="AG62">
        <v>0.90083188105901801</v>
      </c>
      <c r="AH62">
        <v>0.94700164432065004</v>
      </c>
      <c r="AI62">
        <v>0.82741752772896804</v>
      </c>
      <c r="AJ62">
        <v>0.83198611632943198</v>
      </c>
      <c r="AL62">
        <v>0.95450529665886497</v>
      </c>
      <c r="AM62">
        <v>0.74204928994620001</v>
      </c>
      <c r="AN62">
        <v>0.26138024299201501</v>
      </c>
      <c r="AO62" t="s">
        <v>19</v>
      </c>
      <c r="AU62" t="str">
        <f t="shared" si="0"/>
        <v>ILP</v>
      </c>
      <c r="AV62" t="str">
        <f t="shared" si="1"/>
        <v>MDR</v>
      </c>
      <c r="AW62" t="str">
        <f t="shared" si="2"/>
        <v>ELC</v>
      </c>
      <c r="AX62" t="str">
        <f t="shared" si="3"/>
        <v>No</v>
      </c>
    </row>
    <row r="63" spans="1:50">
      <c r="A63" t="s">
        <v>17</v>
      </c>
      <c r="B63" t="s">
        <v>114</v>
      </c>
      <c r="C63" t="s">
        <v>385</v>
      </c>
      <c r="D63" t="s">
        <v>388</v>
      </c>
      <c r="E63" t="s">
        <v>57</v>
      </c>
      <c r="F63" t="s">
        <v>19</v>
      </c>
      <c r="G63" t="s">
        <v>100</v>
      </c>
      <c r="H63" t="s">
        <v>19</v>
      </c>
      <c r="I63" t="s">
        <v>19</v>
      </c>
      <c r="J63" t="s">
        <v>19</v>
      </c>
      <c r="K63" t="s">
        <v>19</v>
      </c>
      <c r="L63">
        <v>4.2841822657312699E-2</v>
      </c>
      <c r="M63">
        <v>0</v>
      </c>
      <c r="N63">
        <v>7.8753044436633696E-3</v>
      </c>
      <c r="O63">
        <v>7.4188843101895399E-2</v>
      </c>
      <c r="P63">
        <v>5.2425852484235301E-3</v>
      </c>
      <c r="Q63">
        <v>4.0361670281238099E-3</v>
      </c>
      <c r="R63">
        <v>2.0076644519825999E-2</v>
      </c>
      <c r="S63">
        <v>4.3731823809350498E-3</v>
      </c>
      <c r="T63">
        <v>1.22441705882806E-2</v>
      </c>
      <c r="U63">
        <v>7.7759913962046397E-3</v>
      </c>
      <c r="V63">
        <v>2.00805877934365E-3</v>
      </c>
      <c r="W63">
        <v>1.3477965289385699E-2</v>
      </c>
      <c r="X63">
        <v>2.7302018670315901E-2</v>
      </c>
      <c r="Y63">
        <v>2.8574036643492801E-2</v>
      </c>
      <c r="Z63">
        <v>2.50088406866282E-2</v>
      </c>
      <c r="AA63">
        <v>1.6377759967771899E-2</v>
      </c>
      <c r="AB63">
        <v>1.3718568259145501E-2</v>
      </c>
      <c r="AC63">
        <v>2.6719410144687799E-2</v>
      </c>
      <c r="AD63">
        <v>2.8370883644154399E-2</v>
      </c>
      <c r="AE63">
        <v>0</v>
      </c>
      <c r="AF63">
        <v>4.12265824024741E-3</v>
      </c>
      <c r="AG63">
        <v>8.9168118940981894E-2</v>
      </c>
      <c r="AH63">
        <v>4.2998355679350397E-2</v>
      </c>
      <c r="AI63">
        <v>2.5241775449398002E-3</v>
      </c>
      <c r="AJ63">
        <v>1.08794757532045E-2</v>
      </c>
      <c r="AL63">
        <v>3.5494703341134699E-2</v>
      </c>
      <c r="AM63">
        <v>1.1017321357252899E-2</v>
      </c>
      <c r="AN63">
        <v>1.22213284702918E-2</v>
      </c>
      <c r="AO63" t="s">
        <v>19</v>
      </c>
      <c r="AU63" t="str">
        <f t="shared" si="0"/>
        <v>ILP</v>
      </c>
      <c r="AV63" t="str">
        <f t="shared" si="1"/>
        <v>MDR</v>
      </c>
      <c r="AW63" t="str">
        <f t="shared" si="2"/>
        <v>NGA</v>
      </c>
      <c r="AX63" t="str">
        <f t="shared" si="3"/>
        <v>Yes</v>
      </c>
    </row>
    <row r="64" spans="1:50">
      <c r="A64" t="s">
        <v>17</v>
      </c>
      <c r="B64" t="s">
        <v>114</v>
      </c>
      <c r="C64" t="s">
        <v>387</v>
      </c>
      <c r="D64" t="s">
        <v>380</v>
      </c>
      <c r="E64" t="s">
        <v>57</v>
      </c>
      <c r="F64" t="s">
        <v>19</v>
      </c>
      <c r="G64" t="s">
        <v>100</v>
      </c>
      <c r="H64" t="s">
        <v>19</v>
      </c>
      <c r="I64" t="s">
        <v>19</v>
      </c>
      <c r="J64" t="s">
        <v>19</v>
      </c>
      <c r="K64" t="s">
        <v>19</v>
      </c>
      <c r="L64">
        <v>6.7669365657307398E-2</v>
      </c>
      <c r="M64">
        <v>7.5038362367893397E-3</v>
      </c>
      <c r="N64">
        <v>9.4923945621787201E-2</v>
      </c>
      <c r="O64">
        <v>9.87645536543761E-2</v>
      </c>
      <c r="P64">
        <v>0.15008278368389499</v>
      </c>
      <c r="Q64">
        <v>0.12777346443682699</v>
      </c>
      <c r="R64">
        <v>0.177011982994774</v>
      </c>
      <c r="S64">
        <v>0.12578086174994199</v>
      </c>
      <c r="T64">
        <v>0.335664758820021</v>
      </c>
      <c r="U64">
        <v>0.37568320286003398</v>
      </c>
      <c r="V64">
        <v>0.26922642985852602</v>
      </c>
      <c r="W64">
        <v>0.26506418839719298</v>
      </c>
      <c r="X64">
        <v>0.25939170373698101</v>
      </c>
      <c r="Y64">
        <v>0.24033934849035099</v>
      </c>
      <c r="Z64">
        <v>0.26325087449183898</v>
      </c>
      <c r="AA64">
        <v>0.14518103641926799</v>
      </c>
      <c r="AB64">
        <v>0.31597329506729799</v>
      </c>
      <c r="AC64">
        <v>0.205034716594403</v>
      </c>
      <c r="AD64">
        <v>0.28447542962664901</v>
      </c>
      <c r="AE64">
        <v>0.99</v>
      </c>
      <c r="AF64">
        <v>0.203077273371188</v>
      </c>
      <c r="AG64">
        <v>7.6684837795544997E-2</v>
      </c>
      <c r="AH64">
        <v>0.32554536728817401</v>
      </c>
      <c r="AI64">
        <v>0.46794867183835498</v>
      </c>
      <c r="AJ64">
        <v>0.192902745162953</v>
      </c>
      <c r="AL64">
        <v>0.24301310308787899</v>
      </c>
      <c r="AM64">
        <v>0.37620489784130201</v>
      </c>
      <c r="AN64">
        <v>0.27309488587769298</v>
      </c>
      <c r="AO64" t="s">
        <v>19</v>
      </c>
      <c r="AU64" t="str">
        <f t="shared" si="0"/>
        <v>ILP</v>
      </c>
      <c r="AV64" t="str">
        <f t="shared" si="1"/>
        <v>OTH</v>
      </c>
      <c r="AW64" t="str">
        <f t="shared" si="2"/>
        <v>ELC</v>
      </c>
      <c r="AX64" t="str">
        <f t="shared" si="3"/>
        <v>No</v>
      </c>
    </row>
    <row r="65" spans="1:50">
      <c r="A65" t="s">
        <v>17</v>
      </c>
      <c r="B65" t="s">
        <v>114</v>
      </c>
      <c r="C65" t="s">
        <v>381</v>
      </c>
      <c r="D65" t="s">
        <v>380</v>
      </c>
      <c r="E65" t="s">
        <v>57</v>
      </c>
      <c r="F65" t="s">
        <v>19</v>
      </c>
      <c r="G65" t="s">
        <v>100</v>
      </c>
      <c r="H65" t="s">
        <v>19</v>
      </c>
      <c r="I65" t="s">
        <v>19</v>
      </c>
      <c r="J65" t="s">
        <v>19</v>
      </c>
      <c r="K65" t="s">
        <v>19</v>
      </c>
      <c r="L65">
        <v>0.13759106458171999</v>
      </c>
      <c r="M65">
        <v>3.2704040375070298E-3</v>
      </c>
      <c r="N65">
        <v>7.5161254093411206E-2</v>
      </c>
      <c r="O65">
        <v>0.36850233847832198</v>
      </c>
      <c r="P65">
        <v>6.2936497992663001E-2</v>
      </c>
      <c r="Q65">
        <v>6.0858139669647399E-2</v>
      </c>
      <c r="R65">
        <v>0.214446231994742</v>
      </c>
      <c r="S65">
        <v>9.5200036232929094E-2</v>
      </c>
      <c r="T65">
        <v>0.32944583964007501</v>
      </c>
      <c r="U65">
        <v>0.173373906077472</v>
      </c>
      <c r="V65">
        <v>6.0959101080451598E-2</v>
      </c>
      <c r="W65">
        <v>0.39918961625868898</v>
      </c>
      <c r="X65">
        <v>0.50093069212923003</v>
      </c>
      <c r="Y65">
        <v>0.32180543958074598</v>
      </c>
      <c r="Z65">
        <v>0.493580621945513</v>
      </c>
      <c r="AA65">
        <v>0.23706471563561901</v>
      </c>
      <c r="AB65">
        <v>0.26454790922544502</v>
      </c>
      <c r="AC65">
        <v>0.40367215762587899</v>
      </c>
      <c r="AD65">
        <v>0.52239606070533995</v>
      </c>
      <c r="AE65">
        <v>0</v>
      </c>
      <c r="AF65">
        <v>0.15052888505855999</v>
      </c>
      <c r="AG65">
        <v>0.34121495707751298</v>
      </c>
      <c r="AH65">
        <v>0.66445463271182603</v>
      </c>
      <c r="AI65">
        <v>6.4172077729002297E-2</v>
      </c>
      <c r="AJ65">
        <v>0.113392151879759</v>
      </c>
      <c r="AL65">
        <v>0.406225889872801</v>
      </c>
      <c r="AM65">
        <v>0.251084791830186</v>
      </c>
      <c r="AN65">
        <v>0.57400004478528599</v>
      </c>
      <c r="AO65" t="s">
        <v>19</v>
      </c>
      <c r="AU65" t="str">
        <f t="shared" si="0"/>
        <v>ILP</v>
      </c>
      <c r="AV65" t="str">
        <f t="shared" si="1"/>
        <v>OTH</v>
      </c>
      <c r="AW65" t="str">
        <f t="shared" si="2"/>
        <v>NGA</v>
      </c>
      <c r="AX65" t="str">
        <f t="shared" si="3"/>
        <v>Yes</v>
      </c>
    </row>
    <row r="66" spans="1:50">
      <c r="A66" t="s">
        <v>17</v>
      </c>
      <c r="B66" t="s">
        <v>114</v>
      </c>
      <c r="C66" t="s">
        <v>378</v>
      </c>
      <c r="D66" t="s">
        <v>380</v>
      </c>
      <c r="E66" t="s">
        <v>57</v>
      </c>
      <c r="F66" t="s">
        <v>19</v>
      </c>
      <c r="G66" t="s">
        <v>100</v>
      </c>
      <c r="H66" t="s">
        <v>19</v>
      </c>
      <c r="I66" t="s">
        <v>19</v>
      </c>
      <c r="J66" t="s">
        <v>19</v>
      </c>
      <c r="K66" t="s">
        <v>19</v>
      </c>
      <c r="L66">
        <v>0.78473956976097203</v>
      </c>
      <c r="M66">
        <v>0.97922575972570403</v>
      </c>
      <c r="N66">
        <v>0.81991480028480201</v>
      </c>
      <c r="O66">
        <v>0.52273310786730098</v>
      </c>
      <c r="P66">
        <v>0.77698071832344195</v>
      </c>
      <c r="Q66">
        <v>0.80136839589352604</v>
      </c>
      <c r="R66">
        <v>0.59854178501048405</v>
      </c>
      <c r="S66">
        <v>0.76901910201712798</v>
      </c>
      <c r="T66">
        <v>0.32488940153990498</v>
      </c>
      <c r="U66">
        <v>0.44094289106249401</v>
      </c>
      <c r="V66">
        <v>0.65981446906102204</v>
      </c>
      <c r="W66">
        <v>0.32574619534411903</v>
      </c>
      <c r="X66">
        <v>0.22967760413378899</v>
      </c>
      <c r="Y66">
        <v>0.42785521192890402</v>
      </c>
      <c r="Z66">
        <v>0.23316850356264701</v>
      </c>
      <c r="AA66">
        <v>0.60775424794511301</v>
      </c>
      <c r="AB66">
        <v>0.40947879570725598</v>
      </c>
      <c r="AC66">
        <v>0.38129312577971802</v>
      </c>
      <c r="AD66">
        <v>0.183128509668011</v>
      </c>
      <c r="AE66">
        <v>0</v>
      </c>
      <c r="AF66">
        <v>0.63639384157025203</v>
      </c>
      <c r="AG66">
        <v>0.57210020512694204</v>
      </c>
      <c r="AH66">
        <v>0</v>
      </c>
      <c r="AI66">
        <v>0.45787925043264299</v>
      </c>
      <c r="AJ66">
        <v>0.68370510295728804</v>
      </c>
      <c r="AL66">
        <v>0.34076100703932</v>
      </c>
      <c r="AM66">
        <v>0.36271031032851198</v>
      </c>
      <c r="AN66">
        <v>0.14290506933702099</v>
      </c>
      <c r="AO66" t="s">
        <v>19</v>
      </c>
      <c r="AU66" t="str">
        <f t="shared" si="0"/>
        <v>ILP</v>
      </c>
      <c r="AV66" t="str">
        <f t="shared" si="1"/>
        <v>OTH</v>
      </c>
      <c r="AW66" t="str">
        <f t="shared" si="2"/>
        <v>OIL</v>
      </c>
      <c r="AX66" t="str">
        <f t="shared" si="3"/>
        <v>Yes</v>
      </c>
    </row>
    <row r="67" spans="1:50">
      <c r="A67" t="s">
        <v>17</v>
      </c>
      <c r="B67" t="s">
        <v>114</v>
      </c>
      <c r="C67" t="s">
        <v>379</v>
      </c>
      <c r="D67" t="s">
        <v>377</v>
      </c>
      <c r="E67" t="s">
        <v>57</v>
      </c>
      <c r="F67" t="s">
        <v>19</v>
      </c>
      <c r="G67" t="s">
        <v>100</v>
      </c>
      <c r="H67" t="s">
        <v>19</v>
      </c>
      <c r="I67" t="s">
        <v>19</v>
      </c>
      <c r="J67" t="s">
        <v>19</v>
      </c>
      <c r="K67" t="s">
        <v>19</v>
      </c>
      <c r="L67">
        <v>0.15621618490413</v>
      </c>
      <c r="M67">
        <v>0.46174162131194502</v>
      </c>
      <c r="N67">
        <v>0.32158643001269299</v>
      </c>
      <c r="O67">
        <v>9.1716020697904604E-2</v>
      </c>
      <c r="P67">
        <v>0.47125326445486099</v>
      </c>
      <c r="Q67">
        <v>0.439945236695991</v>
      </c>
      <c r="R67">
        <v>0.23683466228952901</v>
      </c>
      <c r="S67">
        <v>0.33145958254783098</v>
      </c>
      <c r="T67">
        <v>0.27681729245992398</v>
      </c>
      <c r="U67">
        <v>0.44767811638139299</v>
      </c>
      <c r="V67">
        <v>0.62093849179800498</v>
      </c>
      <c r="W67">
        <v>0.199867594780896</v>
      </c>
      <c r="X67">
        <v>0.16311510836137</v>
      </c>
      <c r="Y67">
        <v>0.219279920366518</v>
      </c>
      <c r="Z67">
        <v>0.16718093820009899</v>
      </c>
      <c r="AA67">
        <v>0.18727522682200101</v>
      </c>
      <c r="AB67">
        <v>0.30959024569378302</v>
      </c>
      <c r="AC67">
        <v>0.16050329848235501</v>
      </c>
      <c r="AD67">
        <v>0.170090961094117</v>
      </c>
      <c r="AE67">
        <v>0.99</v>
      </c>
      <c r="AF67">
        <v>0.33607699592482199</v>
      </c>
      <c r="AG67">
        <v>7.8074878185162497E-2</v>
      </c>
      <c r="AH67">
        <v>0.15571526079359599</v>
      </c>
      <c r="AI67">
        <v>0.72795240650442306</v>
      </c>
      <c r="AJ67">
        <v>0.38929963635543802</v>
      </c>
      <c r="AL67">
        <v>0.183741442584611</v>
      </c>
      <c r="AM67">
        <v>0.35974302907066202</v>
      </c>
      <c r="AN67">
        <v>0.15190307947967999</v>
      </c>
      <c r="AO67" t="s">
        <v>19</v>
      </c>
      <c r="AU67" t="str">
        <f t="shared" ref="AU67:AU130" si="4">LEFT(C67,3)</f>
        <v>ILP</v>
      </c>
      <c r="AV67" t="str">
        <f t="shared" ref="AV67:AV130" si="5">MID(C67,5,3)</f>
        <v>OTP</v>
      </c>
      <c r="AW67" t="str">
        <f t="shared" ref="AW67:AW130" si="6">RIGHT(C67,3)</f>
        <v>ELC</v>
      </c>
      <c r="AX67" t="str">
        <f t="shared" ref="AX67:AX130" si="7">IFERROR(VLOOKUP(AW67,$AZ$2:$BA$10,2,FALSE),"")</f>
        <v>No</v>
      </c>
    </row>
    <row r="68" spans="1:50">
      <c r="A68" t="s">
        <v>17</v>
      </c>
      <c r="B68" t="s">
        <v>114</v>
      </c>
      <c r="C68" t="s">
        <v>382</v>
      </c>
      <c r="D68" t="s">
        <v>377</v>
      </c>
      <c r="E68" t="s">
        <v>57</v>
      </c>
      <c r="F68" t="s">
        <v>19</v>
      </c>
      <c r="G68" t="s">
        <v>100</v>
      </c>
      <c r="H68" t="s">
        <v>19</v>
      </c>
      <c r="I68" t="s">
        <v>19</v>
      </c>
      <c r="J68" t="s">
        <v>19</v>
      </c>
      <c r="K68" t="s">
        <v>19</v>
      </c>
      <c r="L68">
        <v>0.83378381509586996</v>
      </c>
      <c r="M68">
        <v>0.52825837868805503</v>
      </c>
      <c r="N68">
        <v>0.66841356998730606</v>
      </c>
      <c r="O68">
        <v>0.89828397930209503</v>
      </c>
      <c r="P68">
        <v>0.51874673554513995</v>
      </c>
      <c r="Q68">
        <v>0.55005476330400904</v>
      </c>
      <c r="R68">
        <v>0.75316533771047101</v>
      </c>
      <c r="S68">
        <v>0.65854041745216896</v>
      </c>
      <c r="T68">
        <v>0.71318270754007596</v>
      </c>
      <c r="U68">
        <v>0.542321883618607</v>
      </c>
      <c r="V68">
        <v>0.36906150820199501</v>
      </c>
      <c r="W68">
        <v>0.79013240521910399</v>
      </c>
      <c r="X68">
        <v>0.82688489163862999</v>
      </c>
      <c r="Y68">
        <v>0.77072007963348299</v>
      </c>
      <c r="Z68">
        <v>0.82281906179990105</v>
      </c>
      <c r="AA68">
        <v>0.80272477317799895</v>
      </c>
      <c r="AB68">
        <v>0.68040975430621697</v>
      </c>
      <c r="AC68">
        <v>0.82949670151764499</v>
      </c>
      <c r="AD68">
        <v>0.81990903890588296</v>
      </c>
      <c r="AE68">
        <v>0</v>
      </c>
      <c r="AF68">
        <v>0.653923004075178</v>
      </c>
      <c r="AG68">
        <v>0.91192512181483698</v>
      </c>
      <c r="AH68">
        <v>0.834284739206404</v>
      </c>
      <c r="AI68">
        <v>0.26204759349557699</v>
      </c>
      <c r="AJ68">
        <v>0.60070036364456203</v>
      </c>
      <c r="AL68">
        <v>0.80625855741538899</v>
      </c>
      <c r="AM68">
        <v>0.63025697092933897</v>
      </c>
      <c r="AN68">
        <v>0.83809692052032003</v>
      </c>
      <c r="AO68" t="s">
        <v>19</v>
      </c>
      <c r="AU68" t="str">
        <f t="shared" si="4"/>
        <v>ILP</v>
      </c>
      <c r="AV68" t="str">
        <f t="shared" si="5"/>
        <v>OTP</v>
      </c>
      <c r="AW68" t="str">
        <f t="shared" si="6"/>
        <v>NGA</v>
      </c>
      <c r="AX68" t="str">
        <f t="shared" si="7"/>
        <v>Yes</v>
      </c>
    </row>
    <row r="69" spans="1:50">
      <c r="A69" t="s">
        <v>17</v>
      </c>
      <c r="B69" t="s">
        <v>114</v>
      </c>
      <c r="C69" t="s">
        <v>375</v>
      </c>
      <c r="D69" t="s">
        <v>373</v>
      </c>
      <c r="E69" t="s">
        <v>57</v>
      </c>
      <c r="F69" t="s">
        <v>19</v>
      </c>
      <c r="G69" t="s">
        <v>100</v>
      </c>
      <c r="H69" t="s">
        <v>19</v>
      </c>
      <c r="I69" t="s">
        <v>19</v>
      </c>
      <c r="J69" t="s">
        <v>19</v>
      </c>
      <c r="K69" t="s">
        <v>19</v>
      </c>
      <c r="L69">
        <v>0.99</v>
      </c>
      <c r="M69">
        <v>0.99</v>
      </c>
      <c r="N69">
        <v>0.99</v>
      </c>
      <c r="O69">
        <v>0.99</v>
      </c>
      <c r="P69">
        <v>0.99</v>
      </c>
      <c r="Q69">
        <v>0.99</v>
      </c>
      <c r="R69">
        <v>0.99</v>
      </c>
      <c r="S69">
        <v>0.99</v>
      </c>
      <c r="T69">
        <v>0.99</v>
      </c>
      <c r="U69">
        <v>0.99</v>
      </c>
      <c r="V69">
        <v>0.99</v>
      </c>
      <c r="W69">
        <v>0.99</v>
      </c>
      <c r="X69">
        <v>0.99</v>
      </c>
      <c r="Y69">
        <v>0.99</v>
      </c>
      <c r="Z69">
        <v>0.99</v>
      </c>
      <c r="AA69">
        <v>0.99</v>
      </c>
      <c r="AB69">
        <v>0.99</v>
      </c>
      <c r="AC69">
        <v>0.99</v>
      </c>
      <c r="AD69">
        <v>0.99</v>
      </c>
      <c r="AE69">
        <v>0.99</v>
      </c>
      <c r="AF69">
        <v>0.99</v>
      </c>
      <c r="AG69">
        <v>0.99</v>
      </c>
      <c r="AH69">
        <v>0.99</v>
      </c>
      <c r="AI69">
        <v>0.99</v>
      </c>
      <c r="AJ69">
        <v>0.99</v>
      </c>
      <c r="AL69">
        <v>0.99</v>
      </c>
      <c r="AM69">
        <v>0.99</v>
      </c>
      <c r="AN69">
        <v>0.99</v>
      </c>
      <c r="AO69" t="s">
        <v>19</v>
      </c>
      <c r="AU69" t="str">
        <f t="shared" si="4"/>
        <v>ILP</v>
      </c>
      <c r="AV69" t="str">
        <f t="shared" si="5"/>
        <v>PRC</v>
      </c>
      <c r="AW69" t="str">
        <f t="shared" si="6"/>
        <v>ELC</v>
      </c>
      <c r="AX69" t="str">
        <f t="shared" si="7"/>
        <v>No</v>
      </c>
    </row>
    <row r="70" spans="1:50">
      <c r="A70" t="s">
        <v>17</v>
      </c>
      <c r="B70" t="s">
        <v>114</v>
      </c>
      <c r="C70" t="s">
        <v>374</v>
      </c>
      <c r="D70" t="s">
        <v>376</v>
      </c>
      <c r="E70" t="s">
        <v>57</v>
      </c>
      <c r="F70" t="s">
        <v>19</v>
      </c>
      <c r="G70" t="s">
        <v>100</v>
      </c>
      <c r="H70" t="s">
        <v>19</v>
      </c>
      <c r="I70" t="s">
        <v>19</v>
      </c>
      <c r="J70" t="s">
        <v>19</v>
      </c>
      <c r="K70" t="s">
        <v>19</v>
      </c>
      <c r="L70">
        <v>4.0971621466652897E-2</v>
      </c>
      <c r="M70">
        <v>2.3121234460026199E-2</v>
      </c>
      <c r="N70">
        <v>8.8339543145418906E-2</v>
      </c>
      <c r="O70">
        <v>2.5448481704674501E-2</v>
      </c>
      <c r="P70">
        <v>0.15047842451245699</v>
      </c>
      <c r="Q70">
        <v>0.13289534784104401</v>
      </c>
      <c r="R70">
        <v>7.18152629986335E-2</v>
      </c>
      <c r="S70">
        <v>9.7636607263567293E-2</v>
      </c>
      <c r="T70">
        <v>9.1261007932058796E-2</v>
      </c>
      <c r="U70">
        <v>0.16959544746719399</v>
      </c>
      <c r="V70">
        <v>0.25299144726820899</v>
      </c>
      <c r="W70">
        <v>6.1730690593694897E-2</v>
      </c>
      <c r="X70">
        <v>4.9293306348364603E-2</v>
      </c>
      <c r="Y70">
        <v>6.7960016936540593E-2</v>
      </c>
      <c r="Z70">
        <v>5.06764711572327E-2</v>
      </c>
      <c r="AA70">
        <v>5.4618180423853899E-2</v>
      </c>
      <c r="AB70">
        <v>0.103814423082171</v>
      </c>
      <c r="AC70">
        <v>4.7754196745338998E-2</v>
      </c>
      <c r="AD70">
        <v>5.1860361315038003E-2</v>
      </c>
      <c r="AE70">
        <v>0.99</v>
      </c>
      <c r="AF70">
        <v>0.10844259273630499</v>
      </c>
      <c r="AG70">
        <v>2.1276083203263099E-2</v>
      </c>
      <c r="AH70">
        <v>4.7367865078227198E-2</v>
      </c>
      <c r="AI70">
        <v>0.37804178963896601</v>
      </c>
      <c r="AJ70">
        <v>0.12771541391882199</v>
      </c>
      <c r="AL70">
        <v>5.5925902451037603E-2</v>
      </c>
      <c r="AM70">
        <v>0.12716995577186299</v>
      </c>
      <c r="AN70">
        <v>4.5741162859245003E-2</v>
      </c>
      <c r="AO70" t="s">
        <v>19</v>
      </c>
      <c r="AU70" t="str">
        <f t="shared" si="4"/>
        <v>ILP</v>
      </c>
      <c r="AV70" t="str">
        <f t="shared" si="5"/>
        <v>PRH</v>
      </c>
      <c r="AW70" t="str">
        <f t="shared" si="6"/>
        <v>ELC</v>
      </c>
      <c r="AX70" t="str">
        <f t="shared" si="7"/>
        <v>No</v>
      </c>
    </row>
    <row r="71" spans="1:50">
      <c r="A71" t="s">
        <v>17</v>
      </c>
      <c r="B71" t="s">
        <v>114</v>
      </c>
      <c r="C71" t="s">
        <v>371</v>
      </c>
      <c r="D71" t="s">
        <v>376</v>
      </c>
      <c r="E71" t="s">
        <v>57</v>
      </c>
      <c r="F71" t="s">
        <v>19</v>
      </c>
      <c r="G71" t="s">
        <v>100</v>
      </c>
      <c r="H71" t="s">
        <v>19</v>
      </c>
      <c r="I71" t="s">
        <v>19</v>
      </c>
      <c r="J71" t="s">
        <v>19</v>
      </c>
      <c r="K71" t="s">
        <v>19</v>
      </c>
      <c r="L71">
        <v>0.812242842306237</v>
      </c>
      <c r="M71">
        <v>9.82502572557548E-2</v>
      </c>
      <c r="N71">
        <v>0.68198999053634002</v>
      </c>
      <c r="O71">
        <v>0.92577539766139305</v>
      </c>
      <c r="P71">
        <v>0.615248478810134</v>
      </c>
      <c r="Q71">
        <v>0.61715236290289899</v>
      </c>
      <c r="R71">
        <v>0.848275889687506</v>
      </c>
      <c r="S71">
        <v>0.72050971899365501</v>
      </c>
      <c r="T71">
        <v>0.87330944431017798</v>
      </c>
      <c r="U71">
        <v>0.763098784629891</v>
      </c>
      <c r="V71">
        <v>0.55851046772232205</v>
      </c>
      <c r="W71">
        <v>0.90642929048722298</v>
      </c>
      <c r="X71">
        <v>0.92814135795089803</v>
      </c>
      <c r="Y71">
        <v>0.88721034154463496</v>
      </c>
      <c r="Z71">
        <v>0.92640152079540405</v>
      </c>
      <c r="AA71">
        <v>0.86955863085245999</v>
      </c>
      <c r="AB71">
        <v>0.84745425570806798</v>
      </c>
      <c r="AC71">
        <v>0.91667957296056102</v>
      </c>
      <c r="AD71">
        <v>0.92852860020125205</v>
      </c>
      <c r="AE71">
        <v>0</v>
      </c>
      <c r="AF71">
        <v>0.78372378892089201</v>
      </c>
      <c r="AG71">
        <v>0.92302795116112801</v>
      </c>
      <c r="AH71">
        <v>0.942632134921773</v>
      </c>
      <c r="AI71">
        <v>0.50546641876046305</v>
      </c>
      <c r="AJ71">
        <v>0.73196871616471204</v>
      </c>
      <c r="AL71">
        <v>0.91149758887072296</v>
      </c>
      <c r="AM71">
        <v>0.82753257610070496</v>
      </c>
      <c r="AN71">
        <v>0.93736811325565905</v>
      </c>
      <c r="AO71" t="s">
        <v>19</v>
      </c>
      <c r="AU71" t="str">
        <f t="shared" si="4"/>
        <v>ILP</v>
      </c>
      <c r="AV71" t="str">
        <f t="shared" si="5"/>
        <v>PRH</v>
      </c>
      <c r="AW71" t="str">
        <f t="shared" si="6"/>
        <v>NGA</v>
      </c>
      <c r="AX71" t="str">
        <f t="shared" si="7"/>
        <v>Yes</v>
      </c>
    </row>
    <row r="72" spans="1:50">
      <c r="A72" t="s">
        <v>17</v>
      </c>
      <c r="B72" t="s">
        <v>114</v>
      </c>
      <c r="C72" t="s">
        <v>372</v>
      </c>
      <c r="D72" t="s">
        <v>376</v>
      </c>
      <c r="E72" t="s">
        <v>57</v>
      </c>
      <c r="F72" t="s">
        <v>19</v>
      </c>
      <c r="G72" t="s">
        <v>100</v>
      </c>
      <c r="H72" t="s">
        <v>19</v>
      </c>
      <c r="I72" t="s">
        <v>19</v>
      </c>
      <c r="J72" t="s">
        <v>19</v>
      </c>
      <c r="K72" t="s">
        <v>19</v>
      </c>
      <c r="L72">
        <v>0.13678553622711001</v>
      </c>
      <c r="M72">
        <v>0.868628508284219</v>
      </c>
      <c r="N72">
        <v>0.219670466318241</v>
      </c>
      <c r="O72">
        <v>3.8776120633932702E-2</v>
      </c>
      <c r="P72">
        <v>0.224273096677409</v>
      </c>
      <c r="Q72">
        <v>0.23995228925605699</v>
      </c>
      <c r="R72">
        <v>6.9908847313860101E-2</v>
      </c>
      <c r="S72">
        <v>0.17185367374277799</v>
      </c>
      <c r="T72">
        <v>2.54295477577627E-2</v>
      </c>
      <c r="U72">
        <v>5.7305767902915E-2</v>
      </c>
      <c r="V72">
        <v>0.17849808500946901</v>
      </c>
      <c r="W72">
        <v>2.1840018919082198E-2</v>
      </c>
      <c r="X72">
        <v>1.25653357007378E-2</v>
      </c>
      <c r="Y72">
        <v>3.4829641518824901E-2</v>
      </c>
      <c r="Z72">
        <v>1.2922008047362901E-2</v>
      </c>
      <c r="AA72">
        <v>6.5823188723686504E-2</v>
      </c>
      <c r="AB72">
        <v>3.8731321209760701E-2</v>
      </c>
      <c r="AC72">
        <v>2.5566230294100101E-2</v>
      </c>
      <c r="AD72">
        <v>9.6110384837098106E-3</v>
      </c>
      <c r="AE72">
        <v>0</v>
      </c>
      <c r="AF72">
        <v>9.7833618342802395E-2</v>
      </c>
      <c r="AG72">
        <v>4.5695965635609098E-2</v>
      </c>
      <c r="AH72">
        <v>0</v>
      </c>
      <c r="AI72">
        <v>0.106491791600571</v>
      </c>
      <c r="AJ72">
        <v>0.13031586991646699</v>
      </c>
      <c r="AL72">
        <v>2.2576508678239699E-2</v>
      </c>
      <c r="AM72">
        <v>3.5297468127431397E-2</v>
      </c>
      <c r="AN72">
        <v>6.8907238850956804E-3</v>
      </c>
      <c r="AO72" t="s">
        <v>19</v>
      </c>
      <c r="AU72" t="str">
        <f t="shared" si="4"/>
        <v>ILP</v>
      </c>
      <c r="AV72" t="str">
        <f t="shared" si="5"/>
        <v>PRH</v>
      </c>
      <c r="AW72" t="str">
        <f t="shared" si="6"/>
        <v>OIL</v>
      </c>
      <c r="AX72" t="str">
        <f t="shared" si="7"/>
        <v>Yes</v>
      </c>
    </row>
    <row r="73" spans="1:50">
      <c r="A73" t="s">
        <v>17</v>
      </c>
      <c r="B73" t="s">
        <v>114</v>
      </c>
      <c r="C73" t="s">
        <v>370</v>
      </c>
      <c r="D73" t="s">
        <v>369</v>
      </c>
      <c r="E73" t="s">
        <v>57</v>
      </c>
      <c r="F73" t="s">
        <v>19</v>
      </c>
      <c r="G73" t="s">
        <v>100</v>
      </c>
      <c r="H73" t="s">
        <v>19</v>
      </c>
      <c r="I73" t="s">
        <v>19</v>
      </c>
      <c r="J73" t="s">
        <v>19</v>
      </c>
      <c r="K73" t="s">
        <v>19</v>
      </c>
      <c r="L73">
        <v>0.36456250633681397</v>
      </c>
      <c r="M73">
        <v>0.72382582230482295</v>
      </c>
      <c r="N73">
        <v>0.593494771148942</v>
      </c>
      <c r="O73">
        <v>0.23866164553660199</v>
      </c>
      <c r="P73">
        <v>0.73126276030383097</v>
      </c>
      <c r="Q73">
        <v>0.70619668562969296</v>
      </c>
      <c r="R73">
        <v>0.48956943116037999</v>
      </c>
      <c r="S73">
        <v>0.604170272522906</v>
      </c>
      <c r="T73">
        <v>0.54154062474717202</v>
      </c>
      <c r="U73">
        <v>0.71254707688505303</v>
      </c>
      <c r="V73">
        <v>0.83120316688754503</v>
      </c>
      <c r="W73">
        <v>0.43598950005875597</v>
      </c>
      <c r="X73">
        <v>0.37650765048572099</v>
      </c>
      <c r="Y73">
        <v>0.46484332716579502</v>
      </c>
      <c r="Z73">
        <v>0.38342609077205803</v>
      </c>
      <c r="AA73">
        <v>0.416359786028423</v>
      </c>
      <c r="AB73">
        <v>0.58015934754457399</v>
      </c>
      <c r="AC73">
        <v>0.37201623138428502</v>
      </c>
      <c r="AD73">
        <v>0.38832374932618002</v>
      </c>
      <c r="AE73">
        <v>0.99</v>
      </c>
      <c r="AF73">
        <v>0.609073054813418</v>
      </c>
      <c r="AG73">
        <v>0.20823127171651501</v>
      </c>
      <c r="AH73">
        <v>0.363684906592596</v>
      </c>
      <c r="AI73">
        <v>0.88732930697687495</v>
      </c>
      <c r="AJ73">
        <v>0.66177647789863503</v>
      </c>
      <c r="AL73">
        <v>0.41071501396762899</v>
      </c>
      <c r="AM73">
        <v>0.63334406571992097</v>
      </c>
      <c r="AN73">
        <v>0.35695971358527201</v>
      </c>
      <c r="AO73" t="s">
        <v>19</v>
      </c>
      <c r="AU73" t="str">
        <f t="shared" si="4"/>
        <v>ILP</v>
      </c>
      <c r="AV73" t="str">
        <f t="shared" si="5"/>
        <v>SPC</v>
      </c>
      <c r="AW73" t="str">
        <f t="shared" si="6"/>
        <v>ELC</v>
      </c>
      <c r="AX73" t="str">
        <f t="shared" si="7"/>
        <v>No</v>
      </c>
    </row>
    <row r="74" spans="1:50">
      <c r="A74" t="s">
        <v>17</v>
      </c>
      <c r="B74" t="s">
        <v>114</v>
      </c>
      <c r="C74" t="s">
        <v>368</v>
      </c>
      <c r="D74" t="s">
        <v>369</v>
      </c>
      <c r="E74" t="s">
        <v>57</v>
      </c>
      <c r="F74" t="s">
        <v>19</v>
      </c>
      <c r="G74" t="s">
        <v>100</v>
      </c>
      <c r="H74" t="s">
        <v>19</v>
      </c>
      <c r="I74" t="s">
        <v>19</v>
      </c>
      <c r="J74" t="s">
        <v>19</v>
      </c>
      <c r="K74" t="s">
        <v>19</v>
      </c>
      <c r="L74">
        <v>0.62543749366318602</v>
      </c>
      <c r="M74">
        <v>0.26617417769517698</v>
      </c>
      <c r="N74">
        <v>0.39650522885105799</v>
      </c>
      <c r="O74">
        <v>0.75133835446339703</v>
      </c>
      <c r="P74">
        <v>0.25873723969616902</v>
      </c>
      <c r="Q74">
        <v>0.28380331437030798</v>
      </c>
      <c r="R74">
        <v>0.50043056883962</v>
      </c>
      <c r="S74">
        <v>0.38582972747709399</v>
      </c>
      <c r="T74">
        <v>0.44845937525282797</v>
      </c>
      <c r="U74">
        <v>0.27745292311494701</v>
      </c>
      <c r="V74">
        <v>0.15879683311245499</v>
      </c>
      <c r="W74">
        <v>0.55401049994124396</v>
      </c>
      <c r="X74">
        <v>0.613492349514279</v>
      </c>
      <c r="Y74">
        <v>0.52515667283420497</v>
      </c>
      <c r="Z74">
        <v>0.60657390922794197</v>
      </c>
      <c r="AA74">
        <v>0.57364021397157705</v>
      </c>
      <c r="AB74">
        <v>0.409840652455426</v>
      </c>
      <c r="AC74">
        <v>0.61798376861571502</v>
      </c>
      <c r="AD74">
        <v>0.60167625067382002</v>
      </c>
      <c r="AE74">
        <v>0</v>
      </c>
      <c r="AF74">
        <v>0.38092694518658199</v>
      </c>
      <c r="AG74">
        <v>0.78176872828348498</v>
      </c>
      <c r="AH74">
        <v>0.62631509340740399</v>
      </c>
      <c r="AI74">
        <v>0.102670693023125</v>
      </c>
      <c r="AJ74">
        <v>0.32822352210136502</v>
      </c>
      <c r="AL74">
        <v>0.579284986032371</v>
      </c>
      <c r="AM74">
        <v>0.35665593428007902</v>
      </c>
      <c r="AN74">
        <v>0.63304028641472898</v>
      </c>
      <c r="AO74" t="s">
        <v>19</v>
      </c>
      <c r="AU74" t="str">
        <f t="shared" si="4"/>
        <v>ILP</v>
      </c>
      <c r="AV74" t="str">
        <f t="shared" si="5"/>
        <v>SPC</v>
      </c>
      <c r="AW74" t="str">
        <f t="shared" si="6"/>
        <v>NGA</v>
      </c>
      <c r="AX74" t="str">
        <f t="shared" si="7"/>
        <v>Yes</v>
      </c>
    </row>
    <row r="75" spans="1:50">
      <c r="A75" t="s">
        <v>17</v>
      </c>
      <c r="B75" t="s">
        <v>114</v>
      </c>
      <c r="C75" t="s">
        <v>491</v>
      </c>
      <c r="D75" t="s">
        <v>359</v>
      </c>
      <c r="E75" t="s">
        <v>57</v>
      </c>
      <c r="F75" t="s">
        <v>19</v>
      </c>
      <c r="G75" t="s">
        <v>100</v>
      </c>
      <c r="H75" t="s">
        <v>19</v>
      </c>
      <c r="I75" t="s">
        <v>19</v>
      </c>
      <c r="J75" t="s">
        <v>19</v>
      </c>
      <c r="K75" t="s">
        <v>19</v>
      </c>
      <c r="L75">
        <v>0</v>
      </c>
      <c r="M75">
        <v>0</v>
      </c>
      <c r="N75">
        <v>0.81321394856772</v>
      </c>
      <c r="O75">
        <v>0</v>
      </c>
      <c r="P75">
        <v>0.48812589416461399</v>
      </c>
      <c r="Q75">
        <v>3.52558391042102E-2</v>
      </c>
      <c r="R75">
        <v>0.39149752964059997</v>
      </c>
      <c r="S75">
        <v>0.90173286324785495</v>
      </c>
      <c r="T75">
        <v>0.70332841857669604</v>
      </c>
      <c r="U75">
        <v>0</v>
      </c>
      <c r="V75">
        <v>0.82163199827491196</v>
      </c>
      <c r="W75">
        <v>0.64046099433229098</v>
      </c>
      <c r="X75">
        <v>0.385168690656225</v>
      </c>
      <c r="Y75">
        <v>1.4078804950018401E-3</v>
      </c>
      <c r="Z75">
        <v>0.37747883971598001</v>
      </c>
      <c r="AA75">
        <v>0.66875901481036804</v>
      </c>
      <c r="AB75">
        <v>3.2085512799414302E-2</v>
      </c>
      <c r="AC75">
        <v>0.34575815559292999</v>
      </c>
      <c r="AD75">
        <v>0.21423274805004</v>
      </c>
      <c r="AE75">
        <v>0</v>
      </c>
      <c r="AF75">
        <v>0.72285961117271202</v>
      </c>
      <c r="AG75">
        <v>0</v>
      </c>
      <c r="AH75">
        <v>0</v>
      </c>
      <c r="AI75">
        <v>0.66516071745127903</v>
      </c>
      <c r="AJ75">
        <v>4.0274004882895002E-2</v>
      </c>
      <c r="AL75">
        <v>0</v>
      </c>
      <c r="AM75">
        <v>0.53443813284770303</v>
      </c>
      <c r="AN75">
        <v>0.79054225551724799</v>
      </c>
      <c r="AO75" t="s">
        <v>19</v>
      </c>
      <c r="AU75" t="str">
        <f t="shared" si="4"/>
        <v>ILP</v>
      </c>
      <c r="AV75" t="str">
        <f t="shared" si="5"/>
        <v>STM</v>
      </c>
      <c r="AW75" t="str">
        <f t="shared" si="6"/>
        <v>BIO</v>
      </c>
      <c r="AX75" t="str">
        <f t="shared" si="7"/>
        <v>No</v>
      </c>
    </row>
    <row r="76" spans="1:50">
      <c r="A76" t="s">
        <v>17</v>
      </c>
      <c r="B76" t="s">
        <v>114</v>
      </c>
      <c r="C76" t="s">
        <v>360</v>
      </c>
      <c r="D76" t="s">
        <v>359</v>
      </c>
      <c r="E76" t="s">
        <v>57</v>
      </c>
      <c r="F76" t="s">
        <v>19</v>
      </c>
      <c r="G76" t="s">
        <v>100</v>
      </c>
      <c r="H76" t="s">
        <v>19</v>
      </c>
      <c r="I76" t="s">
        <v>19</v>
      </c>
      <c r="J76" t="s">
        <v>19</v>
      </c>
      <c r="K76" t="s">
        <v>19</v>
      </c>
      <c r="L76">
        <v>0</v>
      </c>
      <c r="M76">
        <v>0.91349957811836302</v>
      </c>
      <c r="N76">
        <v>0</v>
      </c>
      <c r="O76">
        <v>1.30798678735848E-2</v>
      </c>
      <c r="P76">
        <v>0.23753933366673599</v>
      </c>
      <c r="Q76">
        <v>0.84674512866449203</v>
      </c>
      <c r="R76">
        <v>9.3896789663753297E-2</v>
      </c>
      <c r="S76">
        <v>9.9147507433842604E-3</v>
      </c>
      <c r="T76">
        <v>0</v>
      </c>
      <c r="U76">
        <v>0.19899470783625001</v>
      </c>
      <c r="V76">
        <v>2.0058041916876899E-2</v>
      </c>
      <c r="W76">
        <v>7.5848058180479197E-2</v>
      </c>
      <c r="X76">
        <v>2.6980439695674999E-2</v>
      </c>
      <c r="Y76">
        <v>0</v>
      </c>
      <c r="Z76">
        <v>0.13181476455712099</v>
      </c>
      <c r="AA76">
        <v>0</v>
      </c>
      <c r="AB76">
        <v>0.196181506245169</v>
      </c>
      <c r="AC76">
        <v>5.41946390879244E-3</v>
      </c>
      <c r="AD76">
        <v>6.5993378224853294E-2</v>
      </c>
      <c r="AE76">
        <v>0.84920183617646505</v>
      </c>
      <c r="AF76">
        <v>0.19782009636303799</v>
      </c>
      <c r="AG76">
        <v>0</v>
      </c>
      <c r="AH76">
        <v>0</v>
      </c>
      <c r="AI76">
        <v>0</v>
      </c>
      <c r="AJ76">
        <v>0</v>
      </c>
      <c r="AL76">
        <v>0</v>
      </c>
      <c r="AM76">
        <v>7.8721488086737096E-2</v>
      </c>
      <c r="AN76">
        <v>2.7788256860525301E-2</v>
      </c>
      <c r="AO76" t="s">
        <v>19</v>
      </c>
      <c r="AU76" t="str">
        <f t="shared" si="4"/>
        <v>ILP</v>
      </c>
      <c r="AV76" t="str">
        <f t="shared" si="5"/>
        <v>STM</v>
      </c>
      <c r="AW76" t="str">
        <f t="shared" si="6"/>
        <v>COA</v>
      </c>
      <c r="AX76" t="str">
        <f t="shared" si="7"/>
        <v>Yes</v>
      </c>
    </row>
    <row r="77" spans="1:50">
      <c r="A77" t="s">
        <v>17</v>
      </c>
      <c r="B77" t="s">
        <v>114</v>
      </c>
      <c r="C77" t="s">
        <v>490</v>
      </c>
      <c r="D77" t="s">
        <v>359</v>
      </c>
      <c r="E77" t="s">
        <v>57</v>
      </c>
      <c r="F77" t="s">
        <v>19</v>
      </c>
      <c r="G77" t="s">
        <v>100</v>
      </c>
      <c r="H77" t="s">
        <v>19</v>
      </c>
      <c r="I77" t="s">
        <v>19</v>
      </c>
      <c r="J77" t="s">
        <v>19</v>
      </c>
      <c r="K77" t="s">
        <v>19</v>
      </c>
      <c r="L77">
        <v>0.11839354940475399</v>
      </c>
      <c r="M77">
        <v>5.7024274140806798E-3</v>
      </c>
      <c r="N77">
        <v>4.19338260282913E-2</v>
      </c>
      <c r="O77">
        <v>3.2811520180017401E-2</v>
      </c>
      <c r="P77">
        <v>5.9524068532891501E-2</v>
      </c>
      <c r="Q77">
        <v>3.4266239636729E-2</v>
      </c>
      <c r="R77">
        <v>9.9181095546758094E-2</v>
      </c>
      <c r="S77">
        <v>2.01287094107367E-2</v>
      </c>
      <c r="T77">
        <v>5.8371426641676202E-2</v>
      </c>
      <c r="U77">
        <v>4.1376228162156602E-2</v>
      </c>
      <c r="V77">
        <v>3.5134867587938601E-2</v>
      </c>
      <c r="W77">
        <v>3.0967252966868E-2</v>
      </c>
      <c r="X77">
        <v>4.9399645293452699E-2</v>
      </c>
      <c r="Y77">
        <v>3.9256356415683001E-2</v>
      </c>
      <c r="Z77">
        <v>5.1569896373396699E-2</v>
      </c>
      <c r="AA77">
        <v>3.5592376422777502E-2</v>
      </c>
      <c r="AB77">
        <v>4.3278886049471797E-2</v>
      </c>
      <c r="AC77">
        <v>3.74285299506543E-2</v>
      </c>
      <c r="AD77">
        <v>4.4955948534972999E-2</v>
      </c>
      <c r="AE77">
        <v>0.14079816382353499</v>
      </c>
      <c r="AF77">
        <v>1.9302760609289999E-2</v>
      </c>
      <c r="AG77">
        <v>6.3486944579576099E-2</v>
      </c>
      <c r="AH77">
        <v>0.13370177711554901</v>
      </c>
      <c r="AI77">
        <v>0.21218134235613101</v>
      </c>
      <c r="AJ77">
        <v>1.40533398666429E-2</v>
      </c>
      <c r="AL77">
        <v>0.15556174448361901</v>
      </c>
      <c r="AM77">
        <v>0.118498841237932</v>
      </c>
      <c r="AN77">
        <v>1.8423873624879801E-2</v>
      </c>
      <c r="AO77" t="s">
        <v>19</v>
      </c>
      <c r="AU77" t="str">
        <f t="shared" si="4"/>
        <v>ILP</v>
      </c>
      <c r="AV77" t="str">
        <f t="shared" si="5"/>
        <v>STM</v>
      </c>
      <c r="AW77" t="str">
        <f t="shared" si="6"/>
        <v>ELC</v>
      </c>
      <c r="AX77" t="str">
        <f t="shared" si="7"/>
        <v>No</v>
      </c>
    </row>
    <row r="78" spans="1:50">
      <c r="A78" t="s">
        <v>17</v>
      </c>
      <c r="B78" t="s">
        <v>114</v>
      </c>
      <c r="C78" t="s">
        <v>364</v>
      </c>
      <c r="D78" t="s">
        <v>359</v>
      </c>
      <c r="E78" t="s">
        <v>57</v>
      </c>
      <c r="F78" t="s">
        <v>19</v>
      </c>
      <c r="G78" t="s">
        <v>100</v>
      </c>
      <c r="H78" t="s">
        <v>19</v>
      </c>
      <c r="I78" t="s">
        <v>19</v>
      </c>
      <c r="J78" t="s">
        <v>19</v>
      </c>
      <c r="K78" t="s">
        <v>19</v>
      </c>
      <c r="L78">
        <v>0</v>
      </c>
      <c r="M78">
        <v>0</v>
      </c>
      <c r="N78">
        <v>0</v>
      </c>
      <c r="O78">
        <v>0.54525753476513406</v>
      </c>
      <c r="P78">
        <v>0.100397538360693</v>
      </c>
      <c r="Q78">
        <v>4.3256804020591101E-3</v>
      </c>
      <c r="R78">
        <v>0</v>
      </c>
      <c r="S78">
        <v>0</v>
      </c>
      <c r="T78">
        <v>4.3748969387988598E-2</v>
      </c>
      <c r="U78">
        <v>0.68560110484300496</v>
      </c>
      <c r="V78">
        <v>8.0922419307000906E-2</v>
      </c>
      <c r="W78">
        <v>9.3161192904759202E-2</v>
      </c>
      <c r="X78">
        <v>0.225398013781274</v>
      </c>
      <c r="Y78">
        <v>0.77848444309698395</v>
      </c>
      <c r="Z78">
        <v>0.12186739826808</v>
      </c>
      <c r="AA78">
        <v>9.0666850267692903E-2</v>
      </c>
      <c r="AB78">
        <v>0.60000488548561004</v>
      </c>
      <c r="AC78">
        <v>0.36427435824666898</v>
      </c>
      <c r="AD78">
        <v>0.40332219403217301</v>
      </c>
      <c r="AE78">
        <v>0</v>
      </c>
      <c r="AF78">
        <v>0</v>
      </c>
      <c r="AG78">
        <v>0</v>
      </c>
      <c r="AH78">
        <v>0</v>
      </c>
      <c r="AI78">
        <v>3.77737067844986E-3</v>
      </c>
      <c r="AJ78">
        <v>0.90553267960019901</v>
      </c>
      <c r="AL78">
        <v>0</v>
      </c>
      <c r="AM78">
        <v>0</v>
      </c>
      <c r="AN78">
        <v>3.09190483902833E-2</v>
      </c>
      <c r="AO78" t="s">
        <v>19</v>
      </c>
      <c r="AU78" t="str">
        <f t="shared" si="4"/>
        <v>ILP</v>
      </c>
      <c r="AV78" t="str">
        <f t="shared" si="5"/>
        <v>STM</v>
      </c>
      <c r="AW78" t="str">
        <f t="shared" si="6"/>
        <v>HET</v>
      </c>
      <c r="AX78" t="str">
        <f t="shared" si="7"/>
        <v>No</v>
      </c>
    </row>
    <row r="79" spans="1:50">
      <c r="A79" t="s">
        <v>17</v>
      </c>
      <c r="B79" t="s">
        <v>114</v>
      </c>
      <c r="C79" t="s">
        <v>362</v>
      </c>
      <c r="D79" t="s">
        <v>359</v>
      </c>
      <c r="E79" t="s">
        <v>57</v>
      </c>
      <c r="F79" t="s">
        <v>19</v>
      </c>
      <c r="G79" t="s">
        <v>100</v>
      </c>
      <c r="H79" t="s">
        <v>19</v>
      </c>
      <c r="I79" t="s">
        <v>19</v>
      </c>
      <c r="J79" t="s">
        <v>19</v>
      </c>
      <c r="K79" t="s">
        <v>19</v>
      </c>
      <c r="L79">
        <v>0.755370839058498</v>
      </c>
      <c r="M79">
        <v>7.7985143800557996E-3</v>
      </c>
      <c r="N79">
        <v>0.104187777452019</v>
      </c>
      <c r="O79">
        <v>0.38414885534051102</v>
      </c>
      <c r="P79">
        <v>7.8324630360697103E-2</v>
      </c>
      <c r="Q79">
        <v>5.1212797351579298E-2</v>
      </c>
      <c r="R79">
        <v>0.37703242567542</v>
      </c>
      <c r="S79">
        <v>4.7804912392660902E-2</v>
      </c>
      <c r="T79">
        <v>0.179768103441448</v>
      </c>
      <c r="U79">
        <v>5.9916564352689598E-2</v>
      </c>
      <c r="V79">
        <v>2.4962796237794099E-2</v>
      </c>
      <c r="W79">
        <v>0.14634062655628199</v>
      </c>
      <c r="X79">
        <v>0.29935012186814203</v>
      </c>
      <c r="Y79">
        <v>0.16493489105440701</v>
      </c>
      <c r="Z79">
        <v>0.30340210226992198</v>
      </c>
      <c r="AA79">
        <v>0.182367758870941</v>
      </c>
      <c r="AB79">
        <v>0.113700945724883</v>
      </c>
      <c r="AC79">
        <v>0.23122682311229301</v>
      </c>
      <c r="AD79">
        <v>0.25904567475831902</v>
      </c>
      <c r="AE79">
        <v>0</v>
      </c>
      <c r="AF79">
        <v>4.4896449186302298E-2</v>
      </c>
      <c r="AG79">
        <v>0.88641486776449896</v>
      </c>
      <c r="AH79">
        <v>0.85629822288445101</v>
      </c>
      <c r="AI79">
        <v>9.1303856806027206E-2</v>
      </c>
      <c r="AJ79">
        <v>2.59213840782241E-2</v>
      </c>
      <c r="AL79">
        <v>0.81597106948767295</v>
      </c>
      <c r="AM79">
        <v>0.248167048251869</v>
      </c>
      <c r="AN79">
        <v>0.12151037286035</v>
      </c>
      <c r="AO79" t="s">
        <v>19</v>
      </c>
      <c r="AU79" t="str">
        <f t="shared" si="4"/>
        <v>ILP</v>
      </c>
      <c r="AV79" t="str">
        <f t="shared" si="5"/>
        <v>STM</v>
      </c>
      <c r="AW79" t="str">
        <f t="shared" si="6"/>
        <v>NGA</v>
      </c>
      <c r="AX79" t="str">
        <f t="shared" si="7"/>
        <v>Yes</v>
      </c>
    </row>
    <row r="80" spans="1:50">
      <c r="A80" t="s">
        <v>17</v>
      </c>
      <c r="B80" t="s">
        <v>114</v>
      </c>
      <c r="C80" t="s">
        <v>363</v>
      </c>
      <c r="D80" t="s">
        <v>359</v>
      </c>
      <c r="E80" t="s">
        <v>57</v>
      </c>
      <c r="F80" t="s">
        <v>19</v>
      </c>
      <c r="G80" t="s">
        <v>100</v>
      </c>
      <c r="H80" t="s">
        <v>19</v>
      </c>
      <c r="I80" t="s">
        <v>19</v>
      </c>
      <c r="J80" t="s">
        <v>19</v>
      </c>
      <c r="K80" t="s">
        <v>19</v>
      </c>
      <c r="L80">
        <v>0.116235611536748</v>
      </c>
      <c r="M80">
        <v>6.2999480087500004E-2</v>
      </c>
      <c r="N80">
        <v>3.0664447951970101E-2</v>
      </c>
      <c r="O80">
        <v>1.4702221840753101E-2</v>
      </c>
      <c r="P80">
        <v>2.6088534914368501E-2</v>
      </c>
      <c r="Q80">
        <v>1.8194314840930599E-2</v>
      </c>
      <c r="R80">
        <v>2.8392159473468501E-2</v>
      </c>
      <c r="S80">
        <v>1.04187642053634E-2</v>
      </c>
      <c r="T80">
        <v>4.7830819521908399E-3</v>
      </c>
      <c r="U80">
        <v>4.1113948058991E-3</v>
      </c>
      <c r="V80">
        <v>7.2898766754775296E-3</v>
      </c>
      <c r="W80">
        <v>3.22187505932058E-3</v>
      </c>
      <c r="X80">
        <v>3.7030887052317001E-3</v>
      </c>
      <c r="Y80">
        <v>5.9164289379234703E-3</v>
      </c>
      <c r="Z80">
        <v>3.8669988155009801E-3</v>
      </c>
      <c r="AA80">
        <v>1.26139996282199E-2</v>
      </c>
      <c r="AB80">
        <v>4.7482636954517196E-3</v>
      </c>
      <c r="AC80">
        <v>5.89266918866139E-3</v>
      </c>
      <c r="AD80">
        <v>2.4500563996417402E-3</v>
      </c>
      <c r="AE80">
        <v>0</v>
      </c>
      <c r="AF80">
        <v>5.1210826686578998E-3</v>
      </c>
      <c r="AG80">
        <v>4.0098187655925301E-2</v>
      </c>
      <c r="AH80">
        <v>0</v>
      </c>
      <c r="AI80">
        <v>1.7576712708112899E-2</v>
      </c>
      <c r="AJ80">
        <v>4.2168454103882697E-3</v>
      </c>
      <c r="AL80">
        <v>1.84671860287072E-2</v>
      </c>
      <c r="AM80">
        <v>9.6722447264438096E-3</v>
      </c>
      <c r="AN80">
        <v>0</v>
      </c>
      <c r="AO80" t="s">
        <v>19</v>
      </c>
      <c r="AU80" t="str">
        <f t="shared" si="4"/>
        <v>ILP</v>
      </c>
      <c r="AV80" t="str">
        <f t="shared" si="5"/>
        <v>STM</v>
      </c>
      <c r="AW80" t="str">
        <f t="shared" si="6"/>
        <v>OIL</v>
      </c>
      <c r="AX80" t="str">
        <f t="shared" si="7"/>
        <v>Yes</v>
      </c>
    </row>
    <row r="81" spans="1:50">
      <c r="A81" t="s">
        <v>17</v>
      </c>
      <c r="B81" t="s">
        <v>114</v>
      </c>
      <c r="C81" t="s">
        <v>489</v>
      </c>
      <c r="D81" t="s">
        <v>361</v>
      </c>
      <c r="E81" t="s">
        <v>57</v>
      </c>
      <c r="F81" t="s">
        <v>19</v>
      </c>
      <c r="G81" t="s">
        <v>100</v>
      </c>
      <c r="H81" t="s">
        <v>19</v>
      </c>
      <c r="I81" t="s">
        <v>19</v>
      </c>
      <c r="J81" t="s">
        <v>19</v>
      </c>
      <c r="K81" t="s">
        <v>19</v>
      </c>
      <c r="L81">
        <v>0.74301980622724195</v>
      </c>
      <c r="M81">
        <v>0.80900165515497702</v>
      </c>
      <c r="N81">
        <v>0.85794020799135196</v>
      </c>
      <c r="O81">
        <v>0.82311452632458604</v>
      </c>
      <c r="P81">
        <v>0.67794389301437596</v>
      </c>
      <c r="Q81">
        <v>0.64278289445970305</v>
      </c>
      <c r="R81">
        <v>0.78650639961763402</v>
      </c>
      <c r="S81">
        <v>0.88390667862197403</v>
      </c>
      <c r="T81">
        <v>0.74228469028254795</v>
      </c>
      <c r="U81">
        <v>0.922295659220847</v>
      </c>
      <c r="V81">
        <v>0.84036766842099098</v>
      </c>
      <c r="W81">
        <v>0.87934308023762298</v>
      </c>
      <c r="X81">
        <v>0.73921403553382603</v>
      </c>
      <c r="Y81">
        <v>0.87638000034817798</v>
      </c>
      <c r="Z81">
        <v>0.73199779560600797</v>
      </c>
      <c r="AA81">
        <v>0.80187309418126296</v>
      </c>
      <c r="AB81">
        <v>0.92119226176106095</v>
      </c>
      <c r="AC81">
        <v>0.73774712860747105</v>
      </c>
      <c r="AD81">
        <v>0.71796138948401</v>
      </c>
      <c r="AE81">
        <v>0.85592683933930602</v>
      </c>
      <c r="AF81">
        <v>0.68898240750915896</v>
      </c>
      <c r="AG81">
        <v>0.93043145164554897</v>
      </c>
      <c r="AH81">
        <v>0.77866810320968605</v>
      </c>
      <c r="AI81">
        <v>0.75416896961399205</v>
      </c>
      <c r="AJ81">
        <v>0.80416460691660496</v>
      </c>
      <c r="AK81">
        <v>0.99</v>
      </c>
      <c r="AL81">
        <v>0.90061488463847605</v>
      </c>
      <c r="AM81">
        <v>0.75681431312193603</v>
      </c>
      <c r="AN81">
        <v>0.78443747559959898</v>
      </c>
      <c r="AO81" t="s">
        <v>19</v>
      </c>
      <c r="AU81" t="str">
        <f t="shared" si="4"/>
        <v>IMC</v>
      </c>
      <c r="AV81" t="str">
        <f t="shared" si="5"/>
        <v>MDR</v>
      </c>
      <c r="AW81" t="str">
        <f t="shared" si="6"/>
        <v>ELC</v>
      </c>
      <c r="AX81" t="str">
        <f t="shared" si="7"/>
        <v>No</v>
      </c>
    </row>
    <row r="82" spans="1:50">
      <c r="A82" t="s">
        <v>17</v>
      </c>
      <c r="B82" t="s">
        <v>114</v>
      </c>
      <c r="C82" t="s">
        <v>356</v>
      </c>
      <c r="D82" t="s">
        <v>361</v>
      </c>
      <c r="E82" t="s">
        <v>57</v>
      </c>
      <c r="F82" t="s">
        <v>19</v>
      </c>
      <c r="G82" t="s">
        <v>100</v>
      </c>
      <c r="H82" t="s">
        <v>19</v>
      </c>
      <c r="I82" t="s">
        <v>19</v>
      </c>
      <c r="J82" t="s">
        <v>19</v>
      </c>
      <c r="K82" t="s">
        <v>19</v>
      </c>
      <c r="L82">
        <v>1.78859713052308E-3</v>
      </c>
      <c r="M82">
        <v>0</v>
      </c>
      <c r="N82">
        <v>1.9604830167943999E-3</v>
      </c>
      <c r="O82">
        <v>1.0013678395164399E-2</v>
      </c>
      <c r="P82">
        <v>1.27314528607085E-3</v>
      </c>
      <c r="Q82">
        <v>0</v>
      </c>
      <c r="R82">
        <v>1.6995710373276401E-3</v>
      </c>
      <c r="S82">
        <v>5.9449410737088901E-3</v>
      </c>
      <c r="T82">
        <v>1.35438437252208E-2</v>
      </c>
      <c r="U82">
        <v>2.081285088132E-3</v>
      </c>
      <c r="V82">
        <v>0</v>
      </c>
      <c r="W82">
        <v>1.3543037003097899E-2</v>
      </c>
      <c r="X82">
        <v>1.48955186544764E-2</v>
      </c>
      <c r="Y82">
        <v>1.80507924423009E-2</v>
      </c>
      <c r="Z82">
        <v>1.13082530379932E-2</v>
      </c>
      <c r="AA82">
        <v>2.0133191150314901E-2</v>
      </c>
      <c r="AB82">
        <v>9.5655956459032004E-3</v>
      </c>
      <c r="AC82">
        <v>8.3555163469091892E-3</v>
      </c>
      <c r="AD82">
        <v>2.05188841508601E-2</v>
      </c>
      <c r="AE82">
        <v>0</v>
      </c>
      <c r="AF82">
        <v>5.3490616437889601E-3</v>
      </c>
      <c r="AG82">
        <v>5.57214933510807E-3</v>
      </c>
      <c r="AH82">
        <v>1.10014238491883E-3</v>
      </c>
      <c r="AI82">
        <v>0</v>
      </c>
      <c r="AJ82">
        <v>2.8998737583805299E-2</v>
      </c>
      <c r="AK82">
        <v>0</v>
      </c>
      <c r="AL82">
        <v>0</v>
      </c>
      <c r="AM82">
        <v>5.32923287012185E-2</v>
      </c>
      <c r="AN82">
        <v>1.2284567905462901E-2</v>
      </c>
      <c r="AO82" t="s">
        <v>19</v>
      </c>
      <c r="AU82" t="str">
        <f t="shared" si="4"/>
        <v>IMC</v>
      </c>
      <c r="AV82" t="str">
        <f t="shared" si="5"/>
        <v>MDR</v>
      </c>
      <c r="AW82" t="str">
        <f t="shared" si="6"/>
        <v>NGA</v>
      </c>
      <c r="AX82" t="str">
        <f t="shared" si="7"/>
        <v>Yes</v>
      </c>
    </row>
    <row r="83" spans="1:50">
      <c r="A83" t="s">
        <v>17</v>
      </c>
      <c r="B83" t="s">
        <v>114</v>
      </c>
      <c r="C83" t="s">
        <v>367</v>
      </c>
      <c r="D83" t="s">
        <v>361</v>
      </c>
      <c r="E83" t="s">
        <v>57</v>
      </c>
      <c r="F83" t="s">
        <v>19</v>
      </c>
      <c r="G83" t="s">
        <v>100</v>
      </c>
      <c r="H83" t="s">
        <v>19</v>
      </c>
      <c r="I83" t="s">
        <v>19</v>
      </c>
      <c r="J83" t="s">
        <v>19</v>
      </c>
      <c r="K83" t="s">
        <v>19</v>
      </c>
      <c r="L83">
        <v>0.245191596642235</v>
      </c>
      <c r="M83">
        <v>0.180994094139171</v>
      </c>
      <c r="N83">
        <v>0.13009930899185401</v>
      </c>
      <c r="O83">
        <v>0.156871795280249</v>
      </c>
      <c r="P83">
        <v>0.310782961699553</v>
      </c>
      <c r="Q83">
        <v>0.34684105447900399</v>
      </c>
      <c r="R83">
        <v>0.20179402934503801</v>
      </c>
      <c r="S83">
        <v>0.100148380304317</v>
      </c>
      <c r="T83">
        <v>0.23417146599223099</v>
      </c>
      <c r="U83">
        <v>6.5623055691021101E-2</v>
      </c>
      <c r="V83">
        <v>0.14875945572872501</v>
      </c>
      <c r="W83">
        <v>9.7113882759279097E-2</v>
      </c>
      <c r="X83">
        <v>0.23589044581169799</v>
      </c>
      <c r="Y83">
        <v>9.5569207209521195E-2</v>
      </c>
      <c r="Z83">
        <v>0.246693951355999</v>
      </c>
      <c r="AA83">
        <v>0.167993714668422</v>
      </c>
      <c r="AB83">
        <v>5.9242142593035903E-2</v>
      </c>
      <c r="AC83">
        <v>0.24389735504561999</v>
      </c>
      <c r="AD83">
        <v>0.25151972636512998</v>
      </c>
      <c r="AE83">
        <v>0.134073160660694</v>
      </c>
      <c r="AF83">
        <v>0.29566853084705202</v>
      </c>
      <c r="AG83">
        <v>5.3996399019343097E-2</v>
      </c>
      <c r="AH83">
        <v>0.21023175440539499</v>
      </c>
      <c r="AI83">
        <v>0.23545798459945499</v>
      </c>
      <c r="AJ83">
        <v>0.15683665549959</v>
      </c>
      <c r="AK83">
        <v>0</v>
      </c>
      <c r="AL83">
        <v>8.9332703229516294E-2</v>
      </c>
      <c r="AM83">
        <v>0.17989335817684601</v>
      </c>
      <c r="AN83">
        <v>0.19327795649493801</v>
      </c>
      <c r="AO83" t="s">
        <v>19</v>
      </c>
      <c r="AU83" t="str">
        <f t="shared" si="4"/>
        <v>IMC</v>
      </c>
      <c r="AV83" t="str">
        <f t="shared" si="5"/>
        <v>MDR</v>
      </c>
      <c r="AW83" t="str">
        <f t="shared" si="6"/>
        <v>OIL</v>
      </c>
      <c r="AX83" t="str">
        <f t="shared" si="7"/>
        <v>Yes</v>
      </c>
    </row>
    <row r="84" spans="1:50">
      <c r="A84" t="s">
        <v>17</v>
      </c>
      <c r="B84" t="s">
        <v>114</v>
      </c>
      <c r="C84" t="s">
        <v>365</v>
      </c>
      <c r="D84" t="s">
        <v>366</v>
      </c>
      <c r="E84" t="s">
        <v>57</v>
      </c>
      <c r="F84" t="s">
        <v>19</v>
      </c>
      <c r="G84" t="s">
        <v>100</v>
      </c>
      <c r="H84" t="s">
        <v>19</v>
      </c>
      <c r="I84" t="s">
        <v>19</v>
      </c>
      <c r="J84" t="s">
        <v>19</v>
      </c>
      <c r="K84" t="s">
        <v>19</v>
      </c>
      <c r="L84">
        <v>3.46137550384608E-2</v>
      </c>
      <c r="M84">
        <v>5.0598857345311499E-2</v>
      </c>
      <c r="N84">
        <v>7.1789643567422207E-2</v>
      </c>
      <c r="O84">
        <v>5.5258515146410399E-2</v>
      </c>
      <c r="P84">
        <v>2.5248302497035701E-2</v>
      </c>
      <c r="Q84">
        <v>2.1601821714531799E-2</v>
      </c>
      <c r="R84">
        <v>4.4026909014256203E-2</v>
      </c>
      <c r="S84">
        <v>8.9913252648952405E-2</v>
      </c>
      <c r="T84">
        <v>3.4339609260486098E-2</v>
      </c>
      <c r="U84">
        <v>0.13926948779902901</v>
      </c>
      <c r="V84">
        <v>6.2724798685238503E-2</v>
      </c>
      <c r="W84">
        <v>8.5654557396558806E-2</v>
      </c>
      <c r="X84">
        <v>3.37841218808883E-2</v>
      </c>
      <c r="Y84">
        <v>8.3103126972131694E-2</v>
      </c>
      <c r="Z84">
        <v>3.2604373894398797E-2</v>
      </c>
      <c r="AA84">
        <v>4.7926229751268999E-2</v>
      </c>
      <c r="AB84">
        <v>0.13606021441980901</v>
      </c>
      <c r="AC84">
        <v>3.3606631835532703E-2</v>
      </c>
      <c r="AD84">
        <v>3.03153861456095E-2</v>
      </c>
      <c r="AE84">
        <v>7.07224341014836E-2</v>
      </c>
      <c r="AF84">
        <v>2.6532124310046399E-2</v>
      </c>
      <c r="AG84">
        <v>0.15571785126567</v>
      </c>
      <c r="AH84">
        <v>4.2070228602211102E-2</v>
      </c>
      <c r="AI84">
        <v>3.6731330658721403E-2</v>
      </c>
      <c r="AJ84">
        <v>4.8417890523924798E-2</v>
      </c>
      <c r="AK84">
        <v>0.99</v>
      </c>
      <c r="AL84">
        <v>0.107185511362476</v>
      </c>
      <c r="AM84">
        <v>3.6536313526110399E-2</v>
      </c>
      <c r="AN84">
        <v>4.3301364145116997E-2</v>
      </c>
      <c r="AO84" t="s">
        <v>19</v>
      </c>
      <c r="AU84" t="str">
        <f t="shared" si="4"/>
        <v>IMC</v>
      </c>
      <c r="AV84" t="str">
        <f t="shared" si="5"/>
        <v>OTH</v>
      </c>
      <c r="AW84" t="str">
        <f t="shared" si="6"/>
        <v>ELC</v>
      </c>
      <c r="AX84" t="str">
        <f t="shared" si="7"/>
        <v>No</v>
      </c>
    </row>
    <row r="85" spans="1:50">
      <c r="A85" t="s">
        <v>17</v>
      </c>
      <c r="B85" t="s">
        <v>114</v>
      </c>
      <c r="C85" t="s">
        <v>358</v>
      </c>
      <c r="D85" t="s">
        <v>366</v>
      </c>
      <c r="E85" t="s">
        <v>57</v>
      </c>
      <c r="F85" t="s">
        <v>19</v>
      </c>
      <c r="G85" t="s">
        <v>100</v>
      </c>
      <c r="H85" t="s">
        <v>19</v>
      </c>
      <c r="I85" t="s">
        <v>19</v>
      </c>
      <c r="J85" t="s">
        <v>19</v>
      </c>
      <c r="K85" t="s">
        <v>19</v>
      </c>
      <c r="L85">
        <v>7.5394059292225599E-3</v>
      </c>
      <c r="M85">
        <v>0</v>
      </c>
      <c r="N85">
        <v>1.48437671005514E-2</v>
      </c>
      <c r="O85">
        <v>6.0828744921823302E-2</v>
      </c>
      <c r="P85">
        <v>4.2903494810260104E-3</v>
      </c>
      <c r="Q85">
        <v>1.14353419833346E-3</v>
      </c>
      <c r="R85">
        <v>8.6085801817516894E-3</v>
      </c>
      <c r="S85">
        <v>5.4719373900092301E-2</v>
      </c>
      <c r="T85">
        <v>5.6694777058260301E-2</v>
      </c>
      <c r="U85">
        <v>2.84376469543253E-2</v>
      </c>
      <c r="V85">
        <v>5.8952019986625399E-3</v>
      </c>
      <c r="W85">
        <v>0.119367050255319</v>
      </c>
      <c r="X85">
        <v>6.1599095127601498E-2</v>
      </c>
      <c r="Y85">
        <v>0.15488075316319899</v>
      </c>
      <c r="Z85">
        <v>4.5576175775016901E-2</v>
      </c>
      <c r="AA85">
        <v>0.108882106053022</v>
      </c>
      <c r="AB85">
        <v>0.12784070600234601</v>
      </c>
      <c r="AC85">
        <v>3.4440307907554001E-2</v>
      </c>
      <c r="AD85">
        <v>7.83956610384723E-2</v>
      </c>
      <c r="AE85">
        <v>0</v>
      </c>
      <c r="AF85">
        <v>1.8638792152491299E-2</v>
      </c>
      <c r="AG85">
        <v>8.4382626430528906E-2</v>
      </c>
      <c r="AH85">
        <v>5.3783326004026898E-3</v>
      </c>
      <c r="AI85">
        <v>1.6440174140250499E-3</v>
      </c>
      <c r="AJ85">
        <v>0.15798515226572599</v>
      </c>
      <c r="AK85">
        <v>0</v>
      </c>
      <c r="AL85">
        <v>0</v>
      </c>
      <c r="AM85">
        <v>0.232796452632929</v>
      </c>
      <c r="AN85">
        <v>6.1359159525889197E-2</v>
      </c>
      <c r="AO85" t="s">
        <v>19</v>
      </c>
      <c r="AU85" t="str">
        <f t="shared" si="4"/>
        <v>IMC</v>
      </c>
      <c r="AV85" t="str">
        <f t="shared" si="5"/>
        <v>OTH</v>
      </c>
      <c r="AW85" t="str">
        <f t="shared" si="6"/>
        <v>NGA</v>
      </c>
      <c r="AX85" t="str">
        <f t="shared" si="7"/>
        <v>Yes</v>
      </c>
    </row>
    <row r="86" spans="1:50">
      <c r="A86" t="s">
        <v>17</v>
      </c>
      <c r="B86" t="s">
        <v>114</v>
      </c>
      <c r="C86" t="s">
        <v>357</v>
      </c>
      <c r="D86" t="s">
        <v>366</v>
      </c>
      <c r="E86" t="s">
        <v>57</v>
      </c>
      <c r="F86" t="s">
        <v>19</v>
      </c>
      <c r="G86" t="s">
        <v>100</v>
      </c>
      <c r="H86" t="s">
        <v>19</v>
      </c>
      <c r="I86" t="s">
        <v>19</v>
      </c>
      <c r="J86" t="s">
        <v>19</v>
      </c>
      <c r="K86" t="s">
        <v>19</v>
      </c>
      <c r="L86">
        <v>0.94784683903231703</v>
      </c>
      <c r="M86">
        <v>0.93937708636615402</v>
      </c>
      <c r="N86">
        <v>0.90336658933202596</v>
      </c>
      <c r="O86">
        <v>0.87391273993176599</v>
      </c>
      <c r="P86">
        <v>0.96046134802193806</v>
      </c>
      <c r="Q86">
        <v>0.96725464408713502</v>
      </c>
      <c r="R86">
        <v>0.93736451080399197</v>
      </c>
      <c r="S86">
        <v>0.84536737345095503</v>
      </c>
      <c r="T86">
        <v>0.89896561368125405</v>
      </c>
      <c r="U86">
        <v>0.82229286524664602</v>
      </c>
      <c r="V86">
        <v>0.92137999931609904</v>
      </c>
      <c r="W86">
        <v>0.78497839234812194</v>
      </c>
      <c r="X86">
        <v>0.89461678299151004</v>
      </c>
      <c r="Y86">
        <v>0.75201611986466899</v>
      </c>
      <c r="Z86">
        <v>0.91181945033058398</v>
      </c>
      <c r="AA86">
        <v>0.833191664195709</v>
      </c>
      <c r="AB86">
        <v>0.72609907957784403</v>
      </c>
      <c r="AC86">
        <v>0.92195306025691304</v>
      </c>
      <c r="AD86">
        <v>0.88128895281591801</v>
      </c>
      <c r="AE86">
        <v>0.91927756589851595</v>
      </c>
      <c r="AF86">
        <v>0.94482908353746198</v>
      </c>
      <c r="AG86">
        <v>0.74989952230380097</v>
      </c>
      <c r="AH86">
        <v>0.94255143879738601</v>
      </c>
      <c r="AI86">
        <v>0.95162465192725298</v>
      </c>
      <c r="AJ86">
        <v>0.78359695721034905</v>
      </c>
      <c r="AK86">
        <v>0</v>
      </c>
      <c r="AL86">
        <v>0.88225006517067806</v>
      </c>
      <c r="AM86">
        <v>0.72066723384095999</v>
      </c>
      <c r="AN86">
        <v>0.88533947632899401</v>
      </c>
      <c r="AO86" t="s">
        <v>19</v>
      </c>
      <c r="AU86" t="str">
        <f t="shared" si="4"/>
        <v>IMC</v>
      </c>
      <c r="AV86" t="str">
        <f t="shared" si="5"/>
        <v>OTH</v>
      </c>
      <c r="AW86" t="str">
        <f t="shared" si="6"/>
        <v>OIL</v>
      </c>
      <c r="AX86" t="str">
        <f t="shared" si="7"/>
        <v>Yes</v>
      </c>
    </row>
    <row r="87" spans="1:50">
      <c r="A87" t="s">
        <v>17</v>
      </c>
      <c r="B87" t="s">
        <v>114</v>
      </c>
      <c r="C87" t="s">
        <v>355</v>
      </c>
      <c r="D87" t="s">
        <v>354</v>
      </c>
      <c r="E87" t="s">
        <v>57</v>
      </c>
      <c r="F87" t="s">
        <v>19</v>
      </c>
      <c r="G87" t="s">
        <v>100</v>
      </c>
      <c r="H87" t="s">
        <v>19</v>
      </c>
      <c r="I87" t="s">
        <v>19</v>
      </c>
      <c r="J87" t="s">
        <v>19</v>
      </c>
      <c r="K87" t="s">
        <v>19</v>
      </c>
      <c r="L87">
        <v>0.72286417317719298</v>
      </c>
      <c r="M87">
        <v>0.98920207887968303</v>
      </c>
      <c r="N87">
        <v>0.73289473862929599</v>
      </c>
      <c r="O87">
        <v>0.34522980507755902</v>
      </c>
      <c r="P87">
        <v>0.76845341664621802</v>
      </c>
      <c r="Q87">
        <v>0.90841158963135904</v>
      </c>
      <c r="R87">
        <v>0.74338727539820204</v>
      </c>
      <c r="S87">
        <v>0.48707668017308797</v>
      </c>
      <c r="T87">
        <v>0.26044821976911903</v>
      </c>
      <c r="U87">
        <v>0.73527372172973804</v>
      </c>
      <c r="V87">
        <v>0.85384719412828902</v>
      </c>
      <c r="W87">
        <v>0.29425749061768702</v>
      </c>
      <c r="X87">
        <v>0.241847418420154</v>
      </c>
      <c r="Y87">
        <v>0.23786422733881099</v>
      </c>
      <c r="Z87">
        <v>0.29362552289295002</v>
      </c>
      <c r="AA87">
        <v>0.203933664993449</v>
      </c>
      <c r="AB87">
        <v>0.381630133743669</v>
      </c>
      <c r="AC87">
        <v>0.36148304657383001</v>
      </c>
      <c r="AD87">
        <v>0.18375910795752701</v>
      </c>
      <c r="AE87">
        <v>0.99</v>
      </c>
      <c r="AF87">
        <v>0.45166692900732902</v>
      </c>
      <c r="AG87">
        <v>0.51578779730676605</v>
      </c>
      <c r="AH87">
        <v>0.81354252228836399</v>
      </c>
      <c r="AI87">
        <v>0.92012772345140004</v>
      </c>
      <c r="AJ87">
        <v>0.15146838853529199</v>
      </c>
      <c r="AK87">
        <v>0.99</v>
      </c>
      <c r="AL87">
        <v>0.98123345732338096</v>
      </c>
      <c r="AM87">
        <v>8.3824974552356907E-2</v>
      </c>
      <c r="AN87">
        <v>0.29081994198675198</v>
      </c>
      <c r="AO87" t="s">
        <v>19</v>
      </c>
      <c r="AU87" t="str">
        <f t="shared" si="4"/>
        <v>IMC</v>
      </c>
      <c r="AV87" t="str">
        <f t="shared" si="5"/>
        <v>OTP</v>
      </c>
      <c r="AW87" t="str">
        <f t="shared" si="6"/>
        <v>ELC</v>
      </c>
      <c r="AX87" t="str">
        <f t="shared" si="7"/>
        <v>No</v>
      </c>
    </row>
    <row r="88" spans="1:50">
      <c r="A88" t="s">
        <v>17</v>
      </c>
      <c r="B88" t="s">
        <v>114</v>
      </c>
      <c r="C88" t="s">
        <v>353</v>
      </c>
      <c r="D88" t="s">
        <v>354</v>
      </c>
      <c r="E88" t="s">
        <v>57</v>
      </c>
      <c r="F88" t="s">
        <v>19</v>
      </c>
      <c r="G88" t="s">
        <v>100</v>
      </c>
      <c r="H88" t="s">
        <v>19</v>
      </c>
      <c r="I88" t="s">
        <v>19</v>
      </c>
      <c r="J88" t="s">
        <v>19</v>
      </c>
      <c r="K88" t="s">
        <v>19</v>
      </c>
      <c r="L88">
        <v>0.26713582682280701</v>
      </c>
      <c r="M88">
        <v>0</v>
      </c>
      <c r="N88">
        <v>0.257105261370704</v>
      </c>
      <c r="O88">
        <v>0.64477019492244103</v>
      </c>
      <c r="P88">
        <v>0.221546583353782</v>
      </c>
      <c r="Q88">
        <v>8.1588410368641298E-2</v>
      </c>
      <c r="R88">
        <v>0.24661272460179801</v>
      </c>
      <c r="S88">
        <v>0.50292331982691196</v>
      </c>
      <c r="T88">
        <v>0.72955178023088096</v>
      </c>
      <c r="U88">
        <v>0.25472627827026201</v>
      </c>
      <c r="V88">
        <v>0.136152805871711</v>
      </c>
      <c r="W88">
        <v>0.69574250938231297</v>
      </c>
      <c r="X88">
        <v>0.74815258157984599</v>
      </c>
      <c r="Y88">
        <v>0.75213577266118903</v>
      </c>
      <c r="Z88">
        <v>0.69637447710705003</v>
      </c>
      <c r="AA88">
        <v>0.78606633500655099</v>
      </c>
      <c r="AB88">
        <v>0.60836986625633105</v>
      </c>
      <c r="AC88">
        <v>0.62851695342616998</v>
      </c>
      <c r="AD88">
        <v>0.80624089204247296</v>
      </c>
      <c r="AE88">
        <v>0</v>
      </c>
      <c r="AF88">
        <v>0.53833307099267103</v>
      </c>
      <c r="AG88">
        <v>0.474212202693234</v>
      </c>
      <c r="AH88">
        <v>0.176457477711636</v>
      </c>
      <c r="AI88">
        <v>6.9872276548600398E-2</v>
      </c>
      <c r="AJ88">
        <v>0.838531611464708</v>
      </c>
      <c r="AK88">
        <v>0</v>
      </c>
      <c r="AL88">
        <v>8.7665426766193408E-3</v>
      </c>
      <c r="AM88">
        <v>0.90617502544764295</v>
      </c>
      <c r="AN88">
        <v>0.69918005801324801</v>
      </c>
      <c r="AO88" t="s">
        <v>19</v>
      </c>
      <c r="AU88" t="str">
        <f t="shared" si="4"/>
        <v>IMC</v>
      </c>
      <c r="AV88" t="str">
        <f t="shared" si="5"/>
        <v>OTP</v>
      </c>
      <c r="AW88" t="str">
        <f t="shared" si="6"/>
        <v>NGA</v>
      </c>
      <c r="AX88" t="str">
        <f t="shared" si="7"/>
        <v>Yes</v>
      </c>
    </row>
    <row r="89" spans="1:50">
      <c r="A89" t="s">
        <v>17</v>
      </c>
      <c r="B89" t="s">
        <v>114</v>
      </c>
      <c r="C89" t="s">
        <v>340</v>
      </c>
      <c r="D89" t="s">
        <v>352</v>
      </c>
      <c r="E89" t="s">
        <v>57</v>
      </c>
      <c r="F89" t="s">
        <v>19</v>
      </c>
      <c r="G89" t="s">
        <v>100</v>
      </c>
      <c r="H89" t="s">
        <v>19</v>
      </c>
      <c r="I89" t="s">
        <v>19</v>
      </c>
      <c r="J89" t="s">
        <v>19</v>
      </c>
      <c r="K89" t="s">
        <v>19</v>
      </c>
      <c r="L89">
        <v>0.987334010730197</v>
      </c>
      <c r="M89">
        <v>0.98999416519376504</v>
      </c>
      <c r="N89">
        <v>0.98746888636219299</v>
      </c>
      <c r="O89">
        <v>0.97667202159107303</v>
      </c>
      <c r="P89">
        <v>0.98791892525303004</v>
      </c>
      <c r="Q89">
        <v>0.98935074552190005</v>
      </c>
      <c r="R89">
        <v>0.98760611660367703</v>
      </c>
      <c r="S89">
        <v>0.98258699469097999</v>
      </c>
      <c r="T89">
        <v>0.97014408829129695</v>
      </c>
      <c r="U89">
        <v>0.987500340678229</v>
      </c>
      <c r="V89">
        <v>0.98884788775208898</v>
      </c>
      <c r="W89">
        <v>0.97318734397254902</v>
      </c>
      <c r="X89">
        <v>0.968117563088706</v>
      </c>
      <c r="Y89">
        <v>0.96764362353722899</v>
      </c>
      <c r="Z89">
        <v>0.97313673089453701</v>
      </c>
      <c r="AA89">
        <v>0.96288172380989601</v>
      </c>
      <c r="AB89">
        <v>0.97860144625408996</v>
      </c>
      <c r="AC89">
        <v>0.97758060323232698</v>
      </c>
      <c r="AD89">
        <v>0.95924852505639202</v>
      </c>
      <c r="AE89">
        <v>0.99</v>
      </c>
      <c r="AF89">
        <v>0.98145285496672197</v>
      </c>
      <c r="AG89">
        <v>0.98339385630741805</v>
      </c>
      <c r="AH89">
        <v>0.98843351537906798</v>
      </c>
      <c r="AI89">
        <v>0.98945100304766598</v>
      </c>
      <c r="AJ89">
        <v>0.95151155507235896</v>
      </c>
      <c r="AK89">
        <v>0.99</v>
      </c>
      <c r="AL89">
        <v>0.98993537780408603</v>
      </c>
      <c r="AM89">
        <v>0.91752697905261404</v>
      </c>
      <c r="AN89">
        <v>0.97290944632141996</v>
      </c>
      <c r="AO89" t="s">
        <v>19</v>
      </c>
      <c r="AU89" t="str">
        <f t="shared" si="4"/>
        <v>IMC</v>
      </c>
      <c r="AV89" t="str">
        <f t="shared" si="5"/>
        <v>PRC</v>
      </c>
      <c r="AW89" t="str">
        <f t="shared" si="6"/>
        <v>ELC</v>
      </c>
      <c r="AX89" t="str">
        <f t="shared" si="7"/>
        <v>No</v>
      </c>
    </row>
    <row r="90" spans="1:50">
      <c r="A90" t="s">
        <v>17</v>
      </c>
      <c r="B90" t="s">
        <v>114</v>
      </c>
      <c r="C90" t="s">
        <v>342</v>
      </c>
      <c r="D90" t="s">
        <v>352</v>
      </c>
      <c r="E90" t="s">
        <v>57</v>
      </c>
      <c r="F90" t="s">
        <v>19</v>
      </c>
      <c r="G90" t="s">
        <v>100</v>
      </c>
      <c r="H90" t="s">
        <v>19</v>
      </c>
      <c r="I90" t="s">
        <v>19</v>
      </c>
      <c r="J90" t="s">
        <v>19</v>
      </c>
      <c r="K90" t="s">
        <v>19</v>
      </c>
      <c r="L90">
        <v>2.6659892698025901E-3</v>
      </c>
      <c r="M90">
        <v>0</v>
      </c>
      <c r="N90">
        <v>2.5311136378068201E-3</v>
      </c>
      <c r="O90">
        <v>1.3327978408927001E-2</v>
      </c>
      <c r="P90">
        <v>2.0810747469697899E-3</v>
      </c>
      <c r="Q90">
        <v>0</v>
      </c>
      <c r="R90">
        <v>2.39388339632261E-3</v>
      </c>
      <c r="S90">
        <v>7.4130053090204397E-3</v>
      </c>
      <c r="T90">
        <v>1.9855911708702999E-2</v>
      </c>
      <c r="U90">
        <v>2.4996593217707702E-3</v>
      </c>
      <c r="V90">
        <v>1.15211224791089E-3</v>
      </c>
      <c r="W90">
        <v>1.6812656027450801E-2</v>
      </c>
      <c r="X90">
        <v>2.1882436911294399E-2</v>
      </c>
      <c r="Y90">
        <v>2.2356376462771398E-2</v>
      </c>
      <c r="Z90">
        <v>1.6863269105463E-2</v>
      </c>
      <c r="AA90">
        <v>2.71182761901036E-2</v>
      </c>
      <c r="AB90">
        <v>1.1398553745910501E-2</v>
      </c>
      <c r="AC90">
        <v>1.24193967676728E-2</v>
      </c>
      <c r="AD90">
        <v>3.07514749436078E-2</v>
      </c>
      <c r="AE90">
        <v>0</v>
      </c>
      <c r="AF90">
        <v>8.5471450332782108E-3</v>
      </c>
      <c r="AG90">
        <v>6.6061436925821298E-3</v>
      </c>
      <c r="AH90">
        <v>1.5664846209322899E-3</v>
      </c>
      <c r="AI90">
        <v>0</v>
      </c>
      <c r="AJ90">
        <v>3.8488444927640697E-2</v>
      </c>
      <c r="AK90">
        <v>0</v>
      </c>
      <c r="AL90">
        <v>0</v>
      </c>
      <c r="AM90">
        <v>7.2473020947385794E-2</v>
      </c>
      <c r="AN90">
        <v>1.7090553678579899E-2</v>
      </c>
      <c r="AO90" t="s">
        <v>19</v>
      </c>
      <c r="AU90" t="str">
        <f t="shared" si="4"/>
        <v>IMC</v>
      </c>
      <c r="AV90" t="str">
        <f t="shared" si="5"/>
        <v>PRC</v>
      </c>
      <c r="AW90" t="str">
        <f t="shared" si="6"/>
        <v>NGA</v>
      </c>
      <c r="AX90" t="str">
        <f t="shared" si="7"/>
        <v>Yes</v>
      </c>
    </row>
    <row r="91" spans="1:50">
      <c r="A91" t="s">
        <v>17</v>
      </c>
      <c r="B91" t="s">
        <v>114</v>
      </c>
      <c r="C91" t="s">
        <v>341</v>
      </c>
      <c r="D91" t="s">
        <v>345</v>
      </c>
      <c r="E91" t="s">
        <v>57</v>
      </c>
      <c r="F91" t="s">
        <v>19</v>
      </c>
      <c r="G91" t="s">
        <v>100</v>
      </c>
      <c r="H91" t="s">
        <v>19</v>
      </c>
      <c r="I91" t="s">
        <v>19</v>
      </c>
      <c r="J91" t="s">
        <v>19</v>
      </c>
      <c r="K91" t="s">
        <v>19</v>
      </c>
      <c r="L91">
        <v>1.16816094851591E-3</v>
      </c>
      <c r="M91">
        <v>7.3543860415430703E-3</v>
      </c>
      <c r="N91">
        <v>1.3719789090728999E-3</v>
      </c>
      <c r="O91">
        <v>0</v>
      </c>
      <c r="P91">
        <v>1.8125637105603599E-2</v>
      </c>
      <c r="Q91">
        <v>2.3267543310809798E-3</v>
      </c>
      <c r="R91">
        <v>0</v>
      </c>
      <c r="S91">
        <v>3.1692874307056897E-2</v>
      </c>
      <c r="T91">
        <v>7.3895610217536004E-2</v>
      </c>
      <c r="U91">
        <v>0</v>
      </c>
      <c r="V91">
        <v>0.10202449175874399</v>
      </c>
      <c r="W91">
        <v>3.1289722185719598E-2</v>
      </c>
      <c r="X91">
        <v>5.7758499113580303E-2</v>
      </c>
      <c r="Y91">
        <v>1.24667602617425E-2</v>
      </c>
      <c r="Z91">
        <v>1.9102354565065399E-2</v>
      </c>
      <c r="AA91">
        <v>3.20860264097809E-2</v>
      </c>
      <c r="AB91">
        <v>6.0807262982644897E-2</v>
      </c>
      <c r="AC91">
        <v>7.1961461291993101E-2</v>
      </c>
      <c r="AD91">
        <v>3.2780924974572197E-2</v>
      </c>
      <c r="AE91">
        <v>0.75946564116477999</v>
      </c>
      <c r="AF91">
        <v>1.1757023280803299E-2</v>
      </c>
      <c r="AG91">
        <v>0</v>
      </c>
      <c r="AH91">
        <v>0</v>
      </c>
      <c r="AI91">
        <v>0</v>
      </c>
      <c r="AJ91">
        <v>2.5336000668837902E-3</v>
      </c>
      <c r="AK91">
        <v>0</v>
      </c>
      <c r="AL91">
        <v>0</v>
      </c>
      <c r="AM91">
        <v>0</v>
      </c>
      <c r="AN91">
        <v>3.2450574977556199E-2</v>
      </c>
      <c r="AO91" t="s">
        <v>19</v>
      </c>
      <c r="AU91" t="str">
        <f t="shared" si="4"/>
        <v>IMC</v>
      </c>
      <c r="AV91" t="str">
        <f t="shared" si="5"/>
        <v>PRH</v>
      </c>
      <c r="AW91" t="str">
        <f t="shared" si="6"/>
        <v>BIO</v>
      </c>
      <c r="AX91" t="str">
        <f t="shared" si="7"/>
        <v>No</v>
      </c>
    </row>
    <row r="92" spans="1:50">
      <c r="A92" t="s">
        <v>17</v>
      </c>
      <c r="B92" t="s">
        <v>114</v>
      </c>
      <c r="C92" t="s">
        <v>343</v>
      </c>
      <c r="D92" t="s">
        <v>345</v>
      </c>
      <c r="E92" t="s">
        <v>57</v>
      </c>
      <c r="F92" t="s">
        <v>19</v>
      </c>
      <c r="G92" t="s">
        <v>100</v>
      </c>
      <c r="H92" t="s">
        <v>19</v>
      </c>
      <c r="I92" t="s">
        <v>19</v>
      </c>
      <c r="J92" t="s">
        <v>19</v>
      </c>
      <c r="K92" t="s">
        <v>19</v>
      </c>
      <c r="L92">
        <v>0</v>
      </c>
      <c r="M92">
        <v>5.4108536215274797E-2</v>
      </c>
      <c r="N92">
        <v>1.4580264862951499E-2</v>
      </c>
      <c r="O92">
        <v>0.24511892086825801</v>
      </c>
      <c r="P92">
        <v>0</v>
      </c>
      <c r="Q92">
        <v>0.12301611743433</v>
      </c>
      <c r="R92">
        <v>3.3384748815795597E-2</v>
      </c>
      <c r="S92">
        <v>0.17893443977823001</v>
      </c>
      <c r="T92">
        <v>0</v>
      </c>
      <c r="U92">
        <v>0.41244493837540802</v>
      </c>
      <c r="V92">
        <v>0.117818816882842</v>
      </c>
      <c r="W92">
        <v>4.9968794710816E-2</v>
      </c>
      <c r="X92">
        <v>6.7379855512845303E-3</v>
      </c>
      <c r="Y92">
        <v>0</v>
      </c>
      <c r="Z92">
        <v>7.1389473758421201E-3</v>
      </c>
      <c r="AA92">
        <v>0</v>
      </c>
      <c r="AB92">
        <v>1.57956501640121E-2</v>
      </c>
      <c r="AC92">
        <v>0</v>
      </c>
      <c r="AD92">
        <v>3.4454625413009497E-2</v>
      </c>
      <c r="AE92">
        <v>1.31085274226969E-2</v>
      </c>
      <c r="AF92">
        <v>0</v>
      </c>
      <c r="AG92">
        <v>0</v>
      </c>
      <c r="AH92">
        <v>0</v>
      </c>
      <c r="AI92">
        <v>0</v>
      </c>
      <c r="AJ92">
        <v>3.9292904483909704E-3</v>
      </c>
      <c r="AK92">
        <v>0</v>
      </c>
      <c r="AL92">
        <v>0.16651214581052101</v>
      </c>
      <c r="AM92">
        <v>6.3162270950743102E-3</v>
      </c>
      <c r="AN92">
        <v>0</v>
      </c>
      <c r="AO92" t="s">
        <v>19</v>
      </c>
      <c r="AU92" t="str">
        <f t="shared" si="4"/>
        <v>IMC</v>
      </c>
      <c r="AV92" t="str">
        <f t="shared" si="5"/>
        <v>PRH</v>
      </c>
      <c r="AW92" t="str">
        <f t="shared" si="6"/>
        <v>COA</v>
      </c>
      <c r="AX92" t="str">
        <f t="shared" si="7"/>
        <v>Yes</v>
      </c>
    </row>
    <row r="93" spans="1:50">
      <c r="A93" t="s">
        <v>17</v>
      </c>
      <c r="B93" t="s">
        <v>114</v>
      </c>
      <c r="C93" t="s">
        <v>349</v>
      </c>
      <c r="D93" t="s">
        <v>345</v>
      </c>
      <c r="E93" t="s">
        <v>57</v>
      </c>
      <c r="F93" t="s">
        <v>19</v>
      </c>
      <c r="G93" t="s">
        <v>100</v>
      </c>
      <c r="H93" t="s">
        <v>19</v>
      </c>
      <c r="I93" t="s">
        <v>19</v>
      </c>
      <c r="J93" t="s">
        <v>19</v>
      </c>
      <c r="K93" t="s">
        <v>19</v>
      </c>
      <c r="L93">
        <v>2.2100222391042999E-2</v>
      </c>
      <c r="M93">
        <v>3.1865218752670399E-2</v>
      </c>
      <c r="N93">
        <v>4.3788926992124798E-2</v>
      </c>
      <c r="O93">
        <v>2.0147941649324999E-2</v>
      </c>
      <c r="P93">
        <v>1.60643423664532E-2</v>
      </c>
      <c r="Q93">
        <v>1.2458649343423001E-2</v>
      </c>
      <c r="R93">
        <v>2.6822010413037799E-2</v>
      </c>
      <c r="S93">
        <v>3.4740671724649501E-2</v>
      </c>
      <c r="T93">
        <v>1.5408542403310599E-2</v>
      </c>
      <c r="U93">
        <v>4.2870411475951498E-2</v>
      </c>
      <c r="V93">
        <v>3.1786059744070602E-2</v>
      </c>
      <c r="W93">
        <v>3.1047820619858901E-2</v>
      </c>
      <c r="X93">
        <v>1.5420334619898E-2</v>
      </c>
      <c r="Y93">
        <v>2.8818738714124398E-2</v>
      </c>
      <c r="Z93">
        <v>1.6677813851671001E-2</v>
      </c>
      <c r="AA93">
        <v>1.8871968745303998E-2</v>
      </c>
      <c r="AB93">
        <v>4.6944659347263898E-2</v>
      </c>
      <c r="AC93">
        <v>1.7277323437263001E-2</v>
      </c>
      <c r="AD93">
        <v>1.28343784790915E-2</v>
      </c>
      <c r="AE93">
        <v>1.0504469109295899E-2</v>
      </c>
      <c r="AF93">
        <v>1.5725883767873899E-2</v>
      </c>
      <c r="AG93">
        <v>7.1312750062495003E-2</v>
      </c>
      <c r="AH93">
        <v>2.729529870107E-2</v>
      </c>
      <c r="AI93">
        <v>2.4310524996232201E-2</v>
      </c>
      <c r="AJ93">
        <v>1.6563790940899398E-2</v>
      </c>
      <c r="AK93">
        <v>0.99</v>
      </c>
      <c r="AL93">
        <v>6.08727251928508E-2</v>
      </c>
      <c r="AM93">
        <v>1.0187862242815199E-2</v>
      </c>
      <c r="AN93">
        <v>2.0553568360525999E-2</v>
      </c>
      <c r="AO93" t="s">
        <v>19</v>
      </c>
      <c r="AU93" t="str">
        <f t="shared" si="4"/>
        <v>IMC</v>
      </c>
      <c r="AV93" t="str">
        <f t="shared" si="5"/>
        <v>PRH</v>
      </c>
      <c r="AW93" t="str">
        <f t="shared" si="6"/>
        <v>ELC</v>
      </c>
      <c r="AX93" t="str">
        <f t="shared" si="7"/>
        <v>No</v>
      </c>
    </row>
    <row r="94" spans="1:50">
      <c r="A94" t="s">
        <v>17</v>
      </c>
      <c r="B94" t="s">
        <v>114</v>
      </c>
      <c r="C94" t="s">
        <v>346</v>
      </c>
      <c r="D94" t="s">
        <v>345</v>
      </c>
      <c r="E94" t="s">
        <v>57</v>
      </c>
      <c r="F94" t="s">
        <v>19</v>
      </c>
      <c r="G94" t="s">
        <v>100</v>
      </c>
      <c r="H94" t="s">
        <v>19</v>
      </c>
      <c r="I94" t="s">
        <v>19</v>
      </c>
      <c r="J94" t="s">
        <v>19</v>
      </c>
      <c r="K94" t="s">
        <v>19</v>
      </c>
      <c r="L94">
        <v>4.9608050948005099E-2</v>
      </c>
      <c r="M94">
        <v>0</v>
      </c>
      <c r="N94">
        <v>9.3306897110363399E-2</v>
      </c>
      <c r="O94">
        <v>0.22856379528958501</v>
      </c>
      <c r="P94">
        <v>2.8131348191391198E-2</v>
      </c>
      <c r="Q94">
        <v>6.7966804477856699E-3</v>
      </c>
      <c r="R94">
        <v>5.4047021973846303E-2</v>
      </c>
      <c r="S94">
        <v>0.21788269163311599</v>
      </c>
      <c r="T94">
        <v>0.26216600130435602</v>
      </c>
      <c r="U94">
        <v>9.0211611582076301E-2</v>
      </c>
      <c r="V94">
        <v>3.0786705650205901E-2</v>
      </c>
      <c r="W94">
        <v>0.44589460391321101</v>
      </c>
      <c r="X94">
        <v>0.28974943968584099</v>
      </c>
      <c r="Y94">
        <v>0.55350578626910796</v>
      </c>
      <c r="Z94">
        <v>0.24025268407065201</v>
      </c>
      <c r="AA94">
        <v>0.44184257919408298</v>
      </c>
      <c r="AB94">
        <v>0.454560098799278</v>
      </c>
      <c r="AC94">
        <v>0.18246753714788699</v>
      </c>
      <c r="AD94">
        <v>0.34203525564574</v>
      </c>
      <c r="AE94">
        <v>0</v>
      </c>
      <c r="AF94">
        <v>0.113848657257245</v>
      </c>
      <c r="AG94">
        <v>0.39824371501641298</v>
      </c>
      <c r="AH94">
        <v>3.5960667517601297E-2</v>
      </c>
      <c r="AI94">
        <v>1.12132420997316E-2</v>
      </c>
      <c r="AJ94">
        <v>0.556976996446506</v>
      </c>
      <c r="AK94">
        <v>0</v>
      </c>
      <c r="AL94">
        <v>3.3033822601708598E-3</v>
      </c>
      <c r="AM94">
        <v>0.66896255085485901</v>
      </c>
      <c r="AN94">
        <v>0.30014572710127801</v>
      </c>
      <c r="AO94" t="s">
        <v>19</v>
      </c>
      <c r="AU94" t="str">
        <f t="shared" si="4"/>
        <v>IMC</v>
      </c>
      <c r="AV94" t="str">
        <f t="shared" si="5"/>
        <v>PRH</v>
      </c>
      <c r="AW94" t="str">
        <f t="shared" si="6"/>
        <v>NGA</v>
      </c>
      <c r="AX94" t="str">
        <f t="shared" si="7"/>
        <v>Yes</v>
      </c>
    </row>
    <row r="95" spans="1:50">
      <c r="A95" t="s">
        <v>17</v>
      </c>
      <c r="B95" t="s">
        <v>114</v>
      </c>
      <c r="C95" t="s">
        <v>344</v>
      </c>
      <c r="D95" t="s">
        <v>345</v>
      </c>
      <c r="E95" t="s">
        <v>57</v>
      </c>
      <c r="F95" t="s">
        <v>19</v>
      </c>
      <c r="G95" t="s">
        <v>100</v>
      </c>
      <c r="H95" t="s">
        <v>19</v>
      </c>
      <c r="I95" t="s">
        <v>19</v>
      </c>
      <c r="J95" t="s">
        <v>19</v>
      </c>
      <c r="K95" t="s">
        <v>19</v>
      </c>
      <c r="L95">
        <v>0.91712356571243603</v>
      </c>
      <c r="M95">
        <v>0.89651573417853003</v>
      </c>
      <c r="N95">
        <v>0.835041941487071</v>
      </c>
      <c r="O95">
        <v>0.48288231802409598</v>
      </c>
      <c r="P95">
        <v>0.92608834257417605</v>
      </c>
      <c r="Q95">
        <v>0.84540179844338104</v>
      </c>
      <c r="R95">
        <v>0.86541296298721404</v>
      </c>
      <c r="S95">
        <v>0.49499606197865098</v>
      </c>
      <c r="T95">
        <v>0.61129528672765798</v>
      </c>
      <c r="U95">
        <v>0.38359236493378002</v>
      </c>
      <c r="V95">
        <v>0.70758392596413799</v>
      </c>
      <c r="W95">
        <v>0.431201344500102</v>
      </c>
      <c r="X95">
        <v>0.618813760847436</v>
      </c>
      <c r="Y95">
        <v>0.395208714755025</v>
      </c>
      <c r="Z95">
        <v>0.70682820013676995</v>
      </c>
      <c r="AA95">
        <v>0.49719942565083203</v>
      </c>
      <c r="AB95">
        <v>0.37965811388151999</v>
      </c>
      <c r="AC95">
        <v>0.71829367812285705</v>
      </c>
      <c r="AD95">
        <v>0.56542085456351798</v>
      </c>
      <c r="AE95">
        <v>0.206921362303227</v>
      </c>
      <c r="AF95">
        <v>0.84866843569407802</v>
      </c>
      <c r="AG95">
        <v>0.52044353492109197</v>
      </c>
      <c r="AH95">
        <v>0.92674403378132897</v>
      </c>
      <c r="AI95">
        <v>0.95447623290403605</v>
      </c>
      <c r="AJ95">
        <v>0.406245324715445</v>
      </c>
      <c r="AK95">
        <v>0</v>
      </c>
      <c r="AL95">
        <v>0.75931174673645696</v>
      </c>
      <c r="AM95">
        <v>0.30453335980725199</v>
      </c>
      <c r="AN95">
        <v>0.63685012956063902</v>
      </c>
      <c r="AO95" t="s">
        <v>19</v>
      </c>
      <c r="AU95" t="str">
        <f t="shared" si="4"/>
        <v>IMC</v>
      </c>
      <c r="AV95" t="str">
        <f t="shared" si="5"/>
        <v>PRH</v>
      </c>
      <c r="AW95" t="str">
        <f t="shared" si="6"/>
        <v>OIL</v>
      </c>
      <c r="AX95" t="str">
        <f t="shared" si="7"/>
        <v>Yes</v>
      </c>
    </row>
    <row r="96" spans="1:50">
      <c r="A96" t="s">
        <v>17</v>
      </c>
      <c r="B96" t="s">
        <v>114</v>
      </c>
      <c r="C96" t="s">
        <v>350</v>
      </c>
      <c r="D96" t="s">
        <v>345</v>
      </c>
      <c r="E96" t="s">
        <v>57</v>
      </c>
      <c r="F96" t="s">
        <v>19</v>
      </c>
      <c r="G96" t="s">
        <v>100</v>
      </c>
      <c r="H96" t="s">
        <v>19</v>
      </c>
      <c r="I96" t="s">
        <v>19</v>
      </c>
      <c r="J96" t="s">
        <v>19</v>
      </c>
      <c r="K96" t="s">
        <v>19</v>
      </c>
      <c r="L96">
        <v>0</v>
      </c>
      <c r="M96">
        <v>0</v>
      </c>
      <c r="N96">
        <v>1.9099906384164899E-3</v>
      </c>
      <c r="O96">
        <v>1.31446032126781E-2</v>
      </c>
      <c r="P96">
        <v>1.59032976237564E-3</v>
      </c>
      <c r="Q96">
        <v>0</v>
      </c>
      <c r="R96">
        <v>1.02099368360947E-2</v>
      </c>
      <c r="S96">
        <v>3.1753260578296999E-2</v>
      </c>
      <c r="T96">
        <v>2.7234559347139399E-2</v>
      </c>
      <c r="U96">
        <v>6.0880673632784203E-2</v>
      </c>
      <c r="V96">
        <v>0</v>
      </c>
      <c r="W96">
        <v>0</v>
      </c>
      <c r="X96">
        <v>1.51998018196095E-3</v>
      </c>
      <c r="Y96">
        <v>0</v>
      </c>
      <c r="Z96">
        <v>0</v>
      </c>
      <c r="AA96">
        <v>0</v>
      </c>
      <c r="AB96">
        <v>3.2234214825281E-2</v>
      </c>
      <c r="AC96">
        <v>0</v>
      </c>
      <c r="AD96">
        <v>2.4739609240691401E-3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3.7509973818744299E-3</v>
      </c>
      <c r="AK96">
        <v>0</v>
      </c>
      <c r="AL96">
        <v>0</v>
      </c>
      <c r="AM96">
        <v>0</v>
      </c>
      <c r="AN96">
        <v>0</v>
      </c>
      <c r="AO96" t="s">
        <v>19</v>
      </c>
      <c r="AU96" t="str">
        <f t="shared" si="4"/>
        <v>IMC</v>
      </c>
      <c r="AV96" t="str">
        <f t="shared" si="5"/>
        <v>PRH</v>
      </c>
      <c r="AW96" t="str">
        <f t="shared" si="6"/>
        <v>OVC</v>
      </c>
      <c r="AX96" t="str">
        <f t="shared" si="7"/>
        <v>Yes</v>
      </c>
    </row>
    <row r="97" spans="1:50">
      <c r="A97" t="s">
        <v>17</v>
      </c>
      <c r="B97" t="s">
        <v>114</v>
      </c>
      <c r="C97" t="s">
        <v>347</v>
      </c>
      <c r="D97" t="s">
        <v>348</v>
      </c>
      <c r="E97" t="s">
        <v>57</v>
      </c>
      <c r="F97" t="s">
        <v>19</v>
      </c>
      <c r="G97" t="s">
        <v>100</v>
      </c>
      <c r="H97" t="s">
        <v>19</v>
      </c>
      <c r="I97" t="s">
        <v>19</v>
      </c>
      <c r="J97" t="s">
        <v>19</v>
      </c>
      <c r="K97" t="s">
        <v>19</v>
      </c>
      <c r="L97">
        <v>0.96492231809260598</v>
      </c>
      <c r="M97">
        <v>0.98994384284465398</v>
      </c>
      <c r="N97">
        <v>0.966163655265043</v>
      </c>
      <c r="O97">
        <v>0.87506399753492803</v>
      </c>
      <c r="P97">
        <v>0.97032635015328095</v>
      </c>
      <c r="Q97">
        <v>0.98378607399810503</v>
      </c>
      <c r="R97">
        <v>0.96742959619044899</v>
      </c>
      <c r="S97">
        <v>0.92297828723000497</v>
      </c>
      <c r="T97">
        <v>0.82707139777167404</v>
      </c>
      <c r="U97">
        <v>0.96645355778806996</v>
      </c>
      <c r="V97">
        <v>0.97902111839837103</v>
      </c>
      <c r="W97">
        <v>0.84885259607028396</v>
      </c>
      <c r="X97">
        <v>0.81310520127431196</v>
      </c>
      <c r="Y97">
        <v>0.80989850748136705</v>
      </c>
      <c r="Z97">
        <v>0.84848211319145095</v>
      </c>
      <c r="AA97">
        <v>0.77886812484113499</v>
      </c>
      <c r="AB97">
        <v>0.89019965184108496</v>
      </c>
      <c r="AC97">
        <v>0.88213429843783497</v>
      </c>
      <c r="AD97">
        <v>0.75655850052521201</v>
      </c>
      <c r="AE97">
        <v>0.99</v>
      </c>
      <c r="AF97">
        <v>0.913435043845789</v>
      </c>
      <c r="AG97">
        <v>0.92987620336711996</v>
      </c>
      <c r="AH97">
        <v>0.97512558270405902</v>
      </c>
      <c r="AI97">
        <v>0.98474105747719898</v>
      </c>
      <c r="AJ97">
        <v>0.71257407001124795</v>
      </c>
      <c r="AK97">
        <v>0.99</v>
      </c>
      <c r="AL97">
        <v>0.98937836134465695</v>
      </c>
      <c r="AM97">
        <v>0.56241908670549601</v>
      </c>
      <c r="AN97">
        <v>0.84682191784032002</v>
      </c>
      <c r="AO97" t="s">
        <v>19</v>
      </c>
      <c r="AU97" t="str">
        <f t="shared" si="4"/>
        <v>IMC</v>
      </c>
      <c r="AV97" t="str">
        <f t="shared" si="5"/>
        <v>SPC</v>
      </c>
      <c r="AW97" t="str">
        <f t="shared" si="6"/>
        <v>ELC</v>
      </c>
      <c r="AX97" t="str">
        <f t="shared" si="7"/>
        <v>No</v>
      </c>
    </row>
    <row r="98" spans="1:50">
      <c r="A98" t="s">
        <v>17</v>
      </c>
      <c r="B98" t="s">
        <v>114</v>
      </c>
      <c r="C98" t="s">
        <v>351</v>
      </c>
      <c r="D98" t="s">
        <v>348</v>
      </c>
      <c r="E98" t="s">
        <v>57</v>
      </c>
      <c r="F98" t="s">
        <v>19</v>
      </c>
      <c r="G98" t="s">
        <v>100</v>
      </c>
      <c r="H98" t="s">
        <v>19</v>
      </c>
      <c r="I98" t="s">
        <v>19</v>
      </c>
      <c r="J98" t="s">
        <v>19</v>
      </c>
      <c r="K98" t="s">
        <v>19</v>
      </c>
      <c r="L98">
        <v>2.50776819073943E-2</v>
      </c>
      <c r="M98">
        <v>0</v>
      </c>
      <c r="N98">
        <v>2.3836344734957E-2</v>
      </c>
      <c r="O98">
        <v>0.114936002465072</v>
      </c>
      <c r="P98">
        <v>1.96736498467187E-2</v>
      </c>
      <c r="Q98">
        <v>6.2139260018954003E-3</v>
      </c>
      <c r="R98">
        <v>2.2570403809550801E-2</v>
      </c>
      <c r="S98">
        <v>6.7021712769994801E-2</v>
      </c>
      <c r="T98">
        <v>0.162928602228326</v>
      </c>
      <c r="U98">
        <v>2.3546442211929801E-2</v>
      </c>
      <c r="V98">
        <v>1.0978881601628399E-2</v>
      </c>
      <c r="W98">
        <v>0.141147403929716</v>
      </c>
      <c r="X98">
        <v>0.176894798725688</v>
      </c>
      <c r="Y98">
        <v>0.180101492518633</v>
      </c>
      <c r="Z98">
        <v>0.14151788680854899</v>
      </c>
      <c r="AA98">
        <v>0.211131875158865</v>
      </c>
      <c r="AB98">
        <v>9.9800348158914906E-2</v>
      </c>
      <c r="AC98">
        <v>0.107865701562165</v>
      </c>
      <c r="AD98">
        <v>0.23344149947478801</v>
      </c>
      <c r="AE98">
        <v>0</v>
      </c>
      <c r="AF98">
        <v>7.6564956154210898E-2</v>
      </c>
      <c r="AG98">
        <v>6.0123796632879901E-2</v>
      </c>
      <c r="AH98">
        <v>1.48744172959405E-2</v>
      </c>
      <c r="AI98">
        <v>5.2589425228009197E-3</v>
      </c>
      <c r="AJ98">
        <v>0.27742592998875198</v>
      </c>
      <c r="AK98">
        <v>0</v>
      </c>
      <c r="AL98">
        <v>0</v>
      </c>
      <c r="AM98">
        <v>0.42758091329450398</v>
      </c>
      <c r="AN98">
        <v>0.14317808215968</v>
      </c>
      <c r="AO98" t="s">
        <v>19</v>
      </c>
      <c r="AU98" t="str">
        <f t="shared" si="4"/>
        <v>IMC</v>
      </c>
      <c r="AV98" t="str">
        <f t="shared" si="5"/>
        <v>SPC</v>
      </c>
      <c r="AW98" t="str">
        <f t="shared" si="6"/>
        <v>NGA</v>
      </c>
      <c r="AX98" t="str">
        <f t="shared" si="7"/>
        <v>Yes</v>
      </c>
    </row>
    <row r="99" spans="1:50">
      <c r="A99" t="s">
        <v>17</v>
      </c>
      <c r="B99" t="s">
        <v>114</v>
      </c>
      <c r="C99" t="s">
        <v>336</v>
      </c>
      <c r="D99" t="s">
        <v>335</v>
      </c>
      <c r="E99" t="s">
        <v>57</v>
      </c>
      <c r="F99" t="s">
        <v>19</v>
      </c>
      <c r="G99" t="s">
        <v>100</v>
      </c>
      <c r="H99" t="s">
        <v>19</v>
      </c>
      <c r="I99" t="s">
        <v>19</v>
      </c>
      <c r="J99" t="s">
        <v>19</v>
      </c>
      <c r="K99" t="s">
        <v>19</v>
      </c>
      <c r="L99">
        <v>6.8491979823520996E-2</v>
      </c>
      <c r="M99">
        <v>0.110541943957121</v>
      </c>
      <c r="N99">
        <v>0.123327595532328</v>
      </c>
      <c r="O99">
        <v>9.1322786617803395E-3</v>
      </c>
      <c r="P99">
        <v>5.31121378290084E-2</v>
      </c>
      <c r="Q99">
        <v>4.8061611970904403E-2</v>
      </c>
      <c r="R99">
        <v>8.4847437482497304E-2</v>
      </c>
      <c r="S99">
        <v>0.100541245588936</v>
      </c>
      <c r="T99">
        <v>3.90625226720294E-2</v>
      </c>
      <c r="U99">
        <v>7.8986945455284105E-2</v>
      </c>
      <c r="V99">
        <v>0.109300572815777</v>
      </c>
      <c r="W99">
        <v>2.8722606678152501E-2</v>
      </c>
      <c r="X99">
        <v>2.3081563123541201E-2</v>
      </c>
      <c r="Y99">
        <v>4.5022102936092198E-2</v>
      </c>
      <c r="Z99">
        <v>2.78006937851491E-2</v>
      </c>
      <c r="AA99">
        <v>3.7328068906079398E-2</v>
      </c>
      <c r="AB99">
        <v>5.4817706708995599E-2</v>
      </c>
      <c r="AC99">
        <v>4.3068892854884903E-2</v>
      </c>
      <c r="AD99">
        <v>2.8338843352109101E-2</v>
      </c>
      <c r="AE99">
        <v>0.15073863061984899</v>
      </c>
      <c r="AF99">
        <v>4.5378329351792299E-2</v>
      </c>
      <c r="AG99">
        <v>0.134617903925634</v>
      </c>
      <c r="AH99">
        <v>8.5279240328337197E-2</v>
      </c>
      <c r="AI99">
        <v>4.6163981331996E-2</v>
      </c>
      <c r="AJ99">
        <v>1.25805931295551E-2</v>
      </c>
      <c r="AK99">
        <v>0.99</v>
      </c>
      <c r="AL99">
        <v>0.21675595672752601</v>
      </c>
      <c r="AM99">
        <v>1.65255143521769E-2</v>
      </c>
      <c r="AN99">
        <v>4.7188926284073597E-2</v>
      </c>
      <c r="AO99" t="s">
        <v>19</v>
      </c>
      <c r="AU99" t="str">
        <f t="shared" si="4"/>
        <v>IMC</v>
      </c>
      <c r="AV99" t="str">
        <f t="shared" si="5"/>
        <v>STM</v>
      </c>
      <c r="AW99" t="str">
        <f t="shared" si="6"/>
        <v>ELC</v>
      </c>
      <c r="AX99" t="str">
        <f t="shared" si="7"/>
        <v>No</v>
      </c>
    </row>
    <row r="100" spans="1:50">
      <c r="A100" t="s">
        <v>17</v>
      </c>
      <c r="B100" t="s">
        <v>114</v>
      </c>
      <c r="C100" t="s">
        <v>339</v>
      </c>
      <c r="D100" t="s">
        <v>335</v>
      </c>
      <c r="E100" t="s">
        <v>57</v>
      </c>
      <c r="F100" t="s">
        <v>19</v>
      </c>
      <c r="G100" t="s">
        <v>100</v>
      </c>
      <c r="H100" t="s">
        <v>19</v>
      </c>
      <c r="I100" t="s">
        <v>19</v>
      </c>
      <c r="J100" t="s">
        <v>19</v>
      </c>
      <c r="K100" t="s">
        <v>19</v>
      </c>
      <c r="L100">
        <v>0</v>
      </c>
      <c r="M100">
        <v>0</v>
      </c>
      <c r="N100">
        <v>0</v>
      </c>
      <c r="O100">
        <v>0.83939382051450295</v>
      </c>
      <c r="P100">
        <v>0</v>
      </c>
      <c r="Q100">
        <v>0</v>
      </c>
      <c r="R100">
        <v>0</v>
      </c>
      <c r="S100">
        <v>0</v>
      </c>
      <c r="T100">
        <v>2.1900190214327298E-3</v>
      </c>
      <c r="U100">
        <v>0.58352761920560703</v>
      </c>
      <c r="V100">
        <v>0.111638260774931</v>
      </c>
      <c r="W100">
        <v>0.53154102927800695</v>
      </c>
      <c r="X100">
        <v>0.371835587405695</v>
      </c>
      <c r="Y100">
        <v>0.105977048358197</v>
      </c>
      <c r="Z100">
        <v>0.32142592420486199</v>
      </c>
      <c r="AA100">
        <v>3.1197022790579701E-3</v>
      </c>
      <c r="AB100">
        <v>0.40198777524659601</v>
      </c>
      <c r="AC100">
        <v>9.1303742347449701E-2</v>
      </c>
      <c r="AD100">
        <v>2.8430284931375501E-2</v>
      </c>
      <c r="AE100">
        <v>0</v>
      </c>
      <c r="AF100">
        <v>0</v>
      </c>
      <c r="AG100">
        <v>0</v>
      </c>
      <c r="AH100">
        <v>0</v>
      </c>
      <c r="AI100">
        <v>0.41518372336458398</v>
      </c>
      <c r="AJ100">
        <v>0.56512480957060196</v>
      </c>
      <c r="AK100">
        <v>0</v>
      </c>
      <c r="AL100">
        <v>0</v>
      </c>
      <c r="AM100">
        <v>0</v>
      </c>
      <c r="AN100">
        <v>0</v>
      </c>
      <c r="AO100" t="s">
        <v>19</v>
      </c>
      <c r="AU100" t="str">
        <f t="shared" si="4"/>
        <v>IMC</v>
      </c>
      <c r="AV100" t="str">
        <f t="shared" si="5"/>
        <v>STM</v>
      </c>
      <c r="AW100" t="str">
        <f t="shared" si="6"/>
        <v>HET</v>
      </c>
      <c r="AX100" t="str">
        <f t="shared" si="7"/>
        <v>No</v>
      </c>
    </row>
    <row r="101" spans="1:50">
      <c r="A101" t="s">
        <v>17</v>
      </c>
      <c r="B101" t="s">
        <v>114</v>
      </c>
      <c r="C101" t="s">
        <v>338</v>
      </c>
      <c r="D101" t="s">
        <v>335</v>
      </c>
      <c r="E101" t="s">
        <v>57</v>
      </c>
      <c r="F101" t="s">
        <v>19</v>
      </c>
      <c r="G101" t="s">
        <v>100</v>
      </c>
      <c r="H101" t="s">
        <v>19</v>
      </c>
      <c r="I101" t="s">
        <v>19</v>
      </c>
      <c r="J101" t="s">
        <v>19</v>
      </c>
      <c r="K101" t="s">
        <v>19</v>
      </c>
      <c r="L101">
        <v>0.118144002511889</v>
      </c>
      <c r="M101">
        <v>0</v>
      </c>
      <c r="N101">
        <v>0.201941765008985</v>
      </c>
      <c r="O101">
        <v>7.9610866138748806E-2</v>
      </c>
      <c r="P101">
        <v>7.1472309686900201E-2</v>
      </c>
      <c r="Q101">
        <v>2.01484045082677E-2</v>
      </c>
      <c r="R101">
        <v>0.13138192238575999</v>
      </c>
      <c r="S101">
        <v>0.48455738958627398</v>
      </c>
      <c r="T101">
        <v>0.51073019935396402</v>
      </c>
      <c r="U101">
        <v>0.12772518727176599</v>
      </c>
      <c r="V101">
        <v>8.1351469357302003E-2</v>
      </c>
      <c r="W101">
        <v>0.31698695252631298</v>
      </c>
      <c r="X101">
        <v>0.33328092879327398</v>
      </c>
      <c r="Y101">
        <v>0.664491472261585</v>
      </c>
      <c r="Z101">
        <v>0.30775222369272398</v>
      </c>
      <c r="AA101">
        <v>0.67158705943824204</v>
      </c>
      <c r="AB101">
        <v>0.40788940178482003</v>
      </c>
      <c r="AC101">
        <v>0.34953389290921999</v>
      </c>
      <c r="AD101">
        <v>0.58035615061632095</v>
      </c>
      <c r="AE101">
        <v>0</v>
      </c>
      <c r="AF101">
        <v>0.25245140596384602</v>
      </c>
      <c r="AG101">
        <v>0.57769819345223805</v>
      </c>
      <c r="AH101">
        <v>8.6337537134584502E-2</v>
      </c>
      <c r="AI101">
        <v>1.63627598826218E-2</v>
      </c>
      <c r="AJ101">
        <v>0.32508361073171699</v>
      </c>
      <c r="AK101">
        <v>0</v>
      </c>
      <c r="AL101">
        <v>9.0390662173109506E-3</v>
      </c>
      <c r="AM101">
        <v>0.83385428987972898</v>
      </c>
      <c r="AN101">
        <v>0.52954328887893698</v>
      </c>
      <c r="AO101" t="s">
        <v>19</v>
      </c>
      <c r="AU101" t="str">
        <f t="shared" si="4"/>
        <v>IMC</v>
      </c>
      <c r="AV101" t="str">
        <f t="shared" si="5"/>
        <v>STM</v>
      </c>
      <c r="AW101" t="str">
        <f t="shared" si="6"/>
        <v>NGA</v>
      </c>
      <c r="AX101" t="str">
        <f t="shared" si="7"/>
        <v>Yes</v>
      </c>
    </row>
    <row r="102" spans="1:50">
      <c r="A102" t="s">
        <v>17</v>
      </c>
      <c r="B102" t="s">
        <v>114</v>
      </c>
      <c r="C102" t="s">
        <v>334</v>
      </c>
      <c r="D102" t="s">
        <v>335</v>
      </c>
      <c r="E102" t="s">
        <v>57</v>
      </c>
      <c r="F102" t="s">
        <v>19</v>
      </c>
      <c r="G102" t="s">
        <v>100</v>
      </c>
      <c r="H102" t="s">
        <v>19</v>
      </c>
      <c r="I102" t="s">
        <v>19</v>
      </c>
      <c r="J102" t="s">
        <v>19</v>
      </c>
      <c r="K102" t="s">
        <v>19</v>
      </c>
      <c r="L102">
        <v>0.80336401766458998</v>
      </c>
      <c r="M102">
        <v>0.87904185941106705</v>
      </c>
      <c r="N102">
        <v>0.66473063945868704</v>
      </c>
      <c r="O102">
        <v>6.1863034684968198E-2</v>
      </c>
      <c r="P102">
        <v>0.86541555248409097</v>
      </c>
      <c r="Q102">
        <v>0.92178998352082797</v>
      </c>
      <c r="R102">
        <v>0.77377064013174301</v>
      </c>
      <c r="S102">
        <v>0.40490136482479</v>
      </c>
      <c r="T102">
        <v>0.43801725895257398</v>
      </c>
      <c r="U102">
        <v>0.19976024806734199</v>
      </c>
      <c r="V102">
        <v>0.68770969705199003</v>
      </c>
      <c r="W102">
        <v>0.112749411517527</v>
      </c>
      <c r="X102">
        <v>0.26180192067749097</v>
      </c>
      <c r="Y102">
        <v>0.17450937644412601</v>
      </c>
      <c r="Z102">
        <v>0.33302115831726498</v>
      </c>
      <c r="AA102">
        <v>0.27796516937662102</v>
      </c>
      <c r="AB102">
        <v>0.12530511625958801</v>
      </c>
      <c r="AC102">
        <v>0.506093471888446</v>
      </c>
      <c r="AD102">
        <v>0.35287472110019402</v>
      </c>
      <c r="AE102">
        <v>0.83926136938015095</v>
      </c>
      <c r="AF102">
        <v>0.69217026468436205</v>
      </c>
      <c r="AG102">
        <v>0.277683902622127</v>
      </c>
      <c r="AH102">
        <v>0.81838322253707796</v>
      </c>
      <c r="AI102">
        <v>0.51228953542079803</v>
      </c>
      <c r="AJ102">
        <v>8.7210986568125801E-2</v>
      </c>
      <c r="AK102">
        <v>0</v>
      </c>
      <c r="AL102">
        <v>0.76420497705516299</v>
      </c>
      <c r="AM102">
        <v>0.13962019576809401</v>
      </c>
      <c r="AN102">
        <v>0.41326778483698901</v>
      </c>
      <c r="AO102" t="s">
        <v>19</v>
      </c>
      <c r="AU102" t="str">
        <f t="shared" si="4"/>
        <v>IMC</v>
      </c>
      <c r="AV102" t="str">
        <f t="shared" si="5"/>
        <v>STM</v>
      </c>
      <c r="AW102" t="str">
        <f t="shared" si="6"/>
        <v>OIL</v>
      </c>
      <c r="AX102" t="str">
        <f t="shared" si="7"/>
        <v>Yes</v>
      </c>
    </row>
    <row r="103" spans="1:50">
      <c r="A103" t="s">
        <v>17</v>
      </c>
      <c r="B103" t="s">
        <v>114</v>
      </c>
      <c r="C103" t="s">
        <v>331</v>
      </c>
      <c r="D103" t="s">
        <v>337</v>
      </c>
      <c r="E103" t="s">
        <v>57</v>
      </c>
      <c r="F103" t="s">
        <v>19</v>
      </c>
      <c r="G103" t="s">
        <v>100</v>
      </c>
      <c r="H103" t="s">
        <v>19</v>
      </c>
      <c r="I103" t="s">
        <v>19</v>
      </c>
      <c r="J103" t="s">
        <v>19</v>
      </c>
      <c r="K103" t="s">
        <v>19</v>
      </c>
      <c r="L103">
        <v>0</v>
      </c>
      <c r="M103">
        <v>0</v>
      </c>
      <c r="N103">
        <v>0</v>
      </c>
      <c r="O103">
        <v>0</v>
      </c>
      <c r="P103">
        <v>1.15957574213478E-3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L103">
        <v>0</v>
      </c>
      <c r="AM103">
        <v>0</v>
      </c>
      <c r="AN103">
        <v>0</v>
      </c>
      <c r="AO103" t="s">
        <v>19</v>
      </c>
      <c r="AU103" t="str">
        <f t="shared" si="4"/>
        <v>INF</v>
      </c>
      <c r="AV103" t="str">
        <f t="shared" si="5"/>
        <v>MDR</v>
      </c>
      <c r="AW103" t="str">
        <f t="shared" si="6"/>
        <v>BFG</v>
      </c>
      <c r="AX103" t="str">
        <f t="shared" si="7"/>
        <v>Yes</v>
      </c>
    </row>
    <row r="104" spans="1:50">
      <c r="A104" t="s">
        <v>17</v>
      </c>
      <c r="B104" t="s">
        <v>114</v>
      </c>
      <c r="C104" t="s">
        <v>333</v>
      </c>
      <c r="D104" t="s">
        <v>337</v>
      </c>
      <c r="E104" t="s">
        <v>57</v>
      </c>
      <c r="F104" t="s">
        <v>19</v>
      </c>
      <c r="G104" t="s">
        <v>100</v>
      </c>
      <c r="H104" t="s">
        <v>19</v>
      </c>
      <c r="I104" t="s">
        <v>19</v>
      </c>
      <c r="J104" t="s">
        <v>19</v>
      </c>
      <c r="K104" t="s">
        <v>19</v>
      </c>
      <c r="L104">
        <v>0.99</v>
      </c>
      <c r="M104">
        <v>0.98888682194299804</v>
      </c>
      <c r="N104">
        <v>0.96018798797729199</v>
      </c>
      <c r="O104">
        <v>0.98618309016440198</v>
      </c>
      <c r="P104">
        <v>0.9679610329003</v>
      </c>
      <c r="Q104">
        <v>0.96529038841206904</v>
      </c>
      <c r="R104">
        <v>0.94160291474406199</v>
      </c>
      <c r="S104">
        <v>0.97872837085834397</v>
      </c>
      <c r="T104">
        <v>0.97899852922365405</v>
      </c>
      <c r="U104">
        <v>0.98360194720696403</v>
      </c>
      <c r="V104">
        <v>0.98881133825733303</v>
      </c>
      <c r="W104">
        <v>0.94736696824269695</v>
      </c>
      <c r="X104">
        <v>0.91786200547466601</v>
      </c>
      <c r="Y104">
        <v>0.93212914971189098</v>
      </c>
      <c r="Z104">
        <v>0.95494183686697298</v>
      </c>
      <c r="AA104">
        <v>0.94919457259225404</v>
      </c>
      <c r="AB104">
        <v>0.94647978248229803</v>
      </c>
      <c r="AC104">
        <v>0.96969215292557698</v>
      </c>
      <c r="AD104">
        <v>0.95282798949348702</v>
      </c>
      <c r="AE104">
        <v>0.99</v>
      </c>
      <c r="AF104">
        <v>0.981429893619852</v>
      </c>
      <c r="AG104">
        <v>0.99</v>
      </c>
      <c r="AH104">
        <v>0.99</v>
      </c>
      <c r="AI104">
        <v>0.98911587081406105</v>
      </c>
      <c r="AJ104">
        <v>0.99</v>
      </c>
      <c r="AL104">
        <v>0.98789142900169802</v>
      </c>
      <c r="AM104">
        <v>0.95333484317846395</v>
      </c>
      <c r="AN104">
        <v>0.93592780815378496</v>
      </c>
      <c r="AO104" t="s">
        <v>19</v>
      </c>
      <c r="AU104" t="str">
        <f t="shared" si="4"/>
        <v>INF</v>
      </c>
      <c r="AV104" t="str">
        <f t="shared" si="5"/>
        <v>MDR</v>
      </c>
      <c r="AW104" t="str">
        <f t="shared" si="6"/>
        <v>ELC</v>
      </c>
      <c r="AX104" t="str">
        <f t="shared" si="7"/>
        <v>No</v>
      </c>
    </row>
    <row r="105" spans="1:50">
      <c r="A105" t="s">
        <v>17</v>
      </c>
      <c r="B105" t="s">
        <v>114</v>
      </c>
      <c r="C105" t="s">
        <v>325</v>
      </c>
      <c r="D105" t="s">
        <v>337</v>
      </c>
      <c r="E105" t="s">
        <v>57</v>
      </c>
      <c r="F105" t="s">
        <v>19</v>
      </c>
      <c r="G105" t="s">
        <v>100</v>
      </c>
      <c r="H105" t="s">
        <v>19</v>
      </c>
      <c r="I105" t="s">
        <v>19</v>
      </c>
      <c r="J105" t="s">
        <v>19</v>
      </c>
      <c r="K105" t="s">
        <v>19</v>
      </c>
      <c r="L105">
        <v>0</v>
      </c>
      <c r="M105">
        <v>1.1131780570018499E-3</v>
      </c>
      <c r="N105">
        <v>2.98120120227079E-2</v>
      </c>
      <c r="O105">
        <v>3.8169098355980702E-3</v>
      </c>
      <c r="P105">
        <v>2.0879391357565499E-2</v>
      </c>
      <c r="Q105">
        <v>2.4709611587930599E-2</v>
      </c>
      <c r="R105">
        <v>4.8397085255937701E-2</v>
      </c>
      <c r="S105">
        <v>1.12716291416556E-2</v>
      </c>
      <c r="T105">
        <v>1.10014707763464E-2</v>
      </c>
      <c r="U105">
        <v>6.3980527930359602E-3</v>
      </c>
      <c r="V105">
        <v>1.18866174266677E-3</v>
      </c>
      <c r="W105">
        <v>4.2633031757303597E-2</v>
      </c>
      <c r="X105">
        <v>7.2137994525334301E-2</v>
      </c>
      <c r="Y105">
        <v>5.7870850288109399E-2</v>
      </c>
      <c r="Z105">
        <v>3.5058163133026801E-2</v>
      </c>
      <c r="AA105">
        <v>4.0805427407745898E-2</v>
      </c>
      <c r="AB105">
        <v>4.3520217517701701E-2</v>
      </c>
      <c r="AC105">
        <v>2.0307847074422701E-2</v>
      </c>
      <c r="AD105">
        <v>3.7172010506512997E-2</v>
      </c>
      <c r="AE105">
        <v>0</v>
      </c>
      <c r="AF105">
        <v>8.5701063801479904E-3</v>
      </c>
      <c r="AG105">
        <v>0</v>
      </c>
      <c r="AH105">
        <v>0</v>
      </c>
      <c r="AI105">
        <v>0</v>
      </c>
      <c r="AJ105">
        <v>0</v>
      </c>
      <c r="AL105">
        <v>2.1085709983020701E-3</v>
      </c>
      <c r="AM105">
        <v>3.6665156821535497E-2</v>
      </c>
      <c r="AN105">
        <v>5.4072191846214999E-2</v>
      </c>
      <c r="AO105" t="s">
        <v>19</v>
      </c>
      <c r="AU105" t="str">
        <f t="shared" si="4"/>
        <v>INF</v>
      </c>
      <c r="AV105" t="str">
        <f t="shared" si="5"/>
        <v>MDR</v>
      </c>
      <c r="AW105" t="str">
        <f t="shared" si="6"/>
        <v>NGA</v>
      </c>
      <c r="AX105" t="str">
        <f t="shared" si="7"/>
        <v>Yes</v>
      </c>
    </row>
    <row r="106" spans="1:50">
      <c r="A106" t="s">
        <v>17</v>
      </c>
      <c r="B106" t="s">
        <v>114</v>
      </c>
      <c r="C106" t="s">
        <v>332</v>
      </c>
      <c r="D106" t="s">
        <v>326</v>
      </c>
      <c r="E106" t="s">
        <v>57</v>
      </c>
      <c r="F106" t="s">
        <v>19</v>
      </c>
      <c r="G106" t="s">
        <v>100</v>
      </c>
      <c r="H106" t="s">
        <v>19</v>
      </c>
      <c r="I106" t="s">
        <v>19</v>
      </c>
      <c r="J106" t="s">
        <v>19</v>
      </c>
      <c r="K106" t="s">
        <v>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>
        <v>0</v>
      </c>
      <c r="AM106">
        <v>0</v>
      </c>
      <c r="AN106">
        <v>0</v>
      </c>
      <c r="AO106" t="s">
        <v>19</v>
      </c>
      <c r="AU106" t="str">
        <f t="shared" si="4"/>
        <v>INF</v>
      </c>
      <c r="AV106" t="str">
        <f t="shared" si="5"/>
        <v>OTH</v>
      </c>
      <c r="AW106" t="str">
        <f t="shared" si="6"/>
        <v>BFG</v>
      </c>
      <c r="AX106" t="str">
        <f t="shared" si="7"/>
        <v>Yes</v>
      </c>
    </row>
    <row r="107" spans="1:50">
      <c r="A107" t="s">
        <v>17</v>
      </c>
      <c r="B107" t="s">
        <v>114</v>
      </c>
      <c r="C107" t="s">
        <v>330</v>
      </c>
      <c r="D107" t="s">
        <v>326</v>
      </c>
      <c r="E107" t="s">
        <v>57</v>
      </c>
      <c r="F107" t="s">
        <v>19</v>
      </c>
      <c r="G107" t="s">
        <v>100</v>
      </c>
      <c r="H107" t="s">
        <v>19</v>
      </c>
      <c r="I107" t="s">
        <v>19</v>
      </c>
      <c r="J107" t="s">
        <v>19</v>
      </c>
      <c r="K107" t="s">
        <v>19</v>
      </c>
      <c r="L107">
        <v>2.90143743846644E-2</v>
      </c>
      <c r="M107">
        <v>0.36107951419237799</v>
      </c>
      <c r="N107">
        <v>0.89851840882710698</v>
      </c>
      <c r="O107">
        <v>0.25336347293862099</v>
      </c>
      <c r="P107">
        <v>6.5686965379860296E-2</v>
      </c>
      <c r="Q107">
        <v>2.8467205468546201E-2</v>
      </c>
      <c r="R107">
        <v>0.15566385585036199</v>
      </c>
      <c r="S107">
        <v>2.8730682905141299E-2</v>
      </c>
      <c r="T107">
        <v>0.56051358495903802</v>
      </c>
      <c r="U107">
        <v>0.61191772450176496</v>
      </c>
      <c r="V107">
        <v>9.9084610987258306E-2</v>
      </c>
      <c r="W107">
        <v>0.35857255128663601</v>
      </c>
      <c r="X107">
        <v>0.33622127238124999</v>
      </c>
      <c r="Y107">
        <v>0.106175130376364</v>
      </c>
      <c r="Z107">
        <v>0.28845071059253802</v>
      </c>
      <c r="AA107">
        <v>0.130048451966437</v>
      </c>
      <c r="AB107">
        <v>0.18604262690041001</v>
      </c>
      <c r="AC107">
        <v>0.11123242444826301</v>
      </c>
      <c r="AD107">
        <v>0.34583539908534799</v>
      </c>
      <c r="AE107">
        <v>0.14695871846108999</v>
      </c>
      <c r="AF107">
        <v>0.12706721760277201</v>
      </c>
      <c r="AG107">
        <v>0.99</v>
      </c>
      <c r="AH107">
        <v>0.99</v>
      </c>
      <c r="AI107">
        <v>0.67897556257720504</v>
      </c>
      <c r="AJ107">
        <v>0.99</v>
      </c>
      <c r="AL107">
        <v>0.98311891732721302</v>
      </c>
      <c r="AM107">
        <v>0.43610152490536602</v>
      </c>
      <c r="AN107">
        <v>0.21154801138468499</v>
      </c>
      <c r="AO107" t="s">
        <v>19</v>
      </c>
      <c r="AU107" t="str">
        <f t="shared" si="4"/>
        <v>INF</v>
      </c>
      <c r="AV107" t="str">
        <f t="shared" si="5"/>
        <v>OTH</v>
      </c>
      <c r="AW107" t="str">
        <f t="shared" si="6"/>
        <v>ELC</v>
      </c>
      <c r="AX107" t="str">
        <f t="shared" si="7"/>
        <v>No</v>
      </c>
    </row>
    <row r="108" spans="1:50">
      <c r="A108" t="s">
        <v>17</v>
      </c>
      <c r="B108" t="s">
        <v>114</v>
      </c>
      <c r="C108" t="s">
        <v>329</v>
      </c>
      <c r="D108" t="s">
        <v>326</v>
      </c>
      <c r="E108" t="s">
        <v>57</v>
      </c>
      <c r="F108" t="s">
        <v>19</v>
      </c>
      <c r="G108" t="s">
        <v>100</v>
      </c>
      <c r="H108" t="s">
        <v>19</v>
      </c>
      <c r="I108" t="s">
        <v>19</v>
      </c>
      <c r="J108" t="s">
        <v>19</v>
      </c>
      <c r="K108" t="s">
        <v>19</v>
      </c>
      <c r="L108">
        <v>0</v>
      </c>
      <c r="M108">
        <v>1.3328847784382801E-3</v>
      </c>
      <c r="N108">
        <v>9.1481591172892604E-2</v>
      </c>
      <c r="O108">
        <v>3.2156595622977401E-3</v>
      </c>
      <c r="P108">
        <v>4.6463387583482001E-3</v>
      </c>
      <c r="Q108">
        <v>2.3895960091354501E-3</v>
      </c>
      <c r="R108">
        <v>2.6236802605312099E-2</v>
      </c>
      <c r="S108">
        <v>1.08503106878902E-3</v>
      </c>
      <c r="T108">
        <v>2.0655064923697501E-2</v>
      </c>
      <c r="U108">
        <v>1.30524844298233E-2</v>
      </c>
      <c r="V108">
        <v>0</v>
      </c>
      <c r="W108">
        <v>5.2914748000497801E-2</v>
      </c>
      <c r="X108">
        <v>8.6652993523793104E-2</v>
      </c>
      <c r="Y108">
        <v>2.1616147157670702E-2</v>
      </c>
      <c r="Z108">
        <v>3.4726064018180097E-2</v>
      </c>
      <c r="AA108">
        <v>1.8333255170023498E-2</v>
      </c>
      <c r="AB108">
        <v>2.8052003877876999E-2</v>
      </c>
      <c r="AC108">
        <v>7.6389403343976999E-3</v>
      </c>
      <c r="AD108">
        <v>4.4242809869372797E-2</v>
      </c>
      <c r="AE108">
        <v>0</v>
      </c>
      <c r="AF108">
        <v>3.6385819632509301E-3</v>
      </c>
      <c r="AG108">
        <v>0</v>
      </c>
      <c r="AH108">
        <v>0</v>
      </c>
      <c r="AI108">
        <v>1.9901894142438301E-3</v>
      </c>
      <c r="AJ108">
        <v>0</v>
      </c>
      <c r="AL108">
        <v>6.88108267278694E-3</v>
      </c>
      <c r="AM108">
        <v>5.5000596210846603E-2</v>
      </c>
      <c r="AN108">
        <v>4.0078575922569699E-2</v>
      </c>
      <c r="AO108" t="s">
        <v>19</v>
      </c>
      <c r="AU108" t="str">
        <f t="shared" si="4"/>
        <v>INF</v>
      </c>
      <c r="AV108" t="str">
        <f t="shared" si="5"/>
        <v>OTH</v>
      </c>
      <c r="AW108" t="str">
        <f t="shared" si="6"/>
        <v>NGA</v>
      </c>
      <c r="AX108" t="str">
        <f t="shared" si="7"/>
        <v>Yes</v>
      </c>
    </row>
    <row r="109" spans="1:50">
      <c r="A109" t="s">
        <v>17</v>
      </c>
      <c r="B109" t="s">
        <v>114</v>
      </c>
      <c r="C109" t="s">
        <v>327</v>
      </c>
      <c r="D109" t="s">
        <v>326</v>
      </c>
      <c r="E109" t="s">
        <v>57</v>
      </c>
      <c r="F109" t="s">
        <v>19</v>
      </c>
      <c r="G109" t="s">
        <v>100</v>
      </c>
      <c r="H109" t="s">
        <v>19</v>
      </c>
      <c r="I109" t="s">
        <v>19</v>
      </c>
      <c r="J109" t="s">
        <v>19</v>
      </c>
      <c r="K109" t="s">
        <v>19</v>
      </c>
      <c r="L109">
        <v>0.96098562561533596</v>
      </c>
      <c r="M109">
        <v>0.62758760102918298</v>
      </c>
      <c r="N109">
        <v>0</v>
      </c>
      <c r="O109">
        <v>0.73342086749908098</v>
      </c>
      <c r="P109">
        <v>0.91940865281725703</v>
      </c>
      <c r="Q109">
        <v>0.959143198522318</v>
      </c>
      <c r="R109">
        <v>0.80809934154432606</v>
      </c>
      <c r="S109">
        <v>0.96018428602606998</v>
      </c>
      <c r="T109">
        <v>0.40883135011726501</v>
      </c>
      <c r="U109">
        <v>0.36502979106841099</v>
      </c>
      <c r="V109">
        <v>0.89052479753118796</v>
      </c>
      <c r="W109">
        <v>0.57851270071286598</v>
      </c>
      <c r="X109">
        <v>0.56712573409495604</v>
      </c>
      <c r="Y109">
        <v>0.86220872246596503</v>
      </c>
      <c r="Z109">
        <v>0.66682322538928196</v>
      </c>
      <c r="AA109">
        <v>0.84161829286353895</v>
      </c>
      <c r="AB109">
        <v>0.77590536922171305</v>
      </c>
      <c r="AC109">
        <v>0.87112863521733996</v>
      </c>
      <c r="AD109">
        <v>0.59992179104527998</v>
      </c>
      <c r="AE109">
        <v>0.84304128153891</v>
      </c>
      <c r="AF109">
        <v>0.85929420043397697</v>
      </c>
      <c r="AG109">
        <v>0</v>
      </c>
      <c r="AH109">
        <v>0</v>
      </c>
      <c r="AI109">
        <v>0.309034248008551</v>
      </c>
      <c r="AJ109">
        <v>0</v>
      </c>
      <c r="AL109">
        <v>0</v>
      </c>
      <c r="AM109">
        <v>0.498897878883788</v>
      </c>
      <c r="AN109">
        <v>0.73837341269274503</v>
      </c>
      <c r="AO109" t="s">
        <v>19</v>
      </c>
      <c r="AU109" t="str">
        <f t="shared" si="4"/>
        <v>INF</v>
      </c>
      <c r="AV109" t="str">
        <f t="shared" si="5"/>
        <v>OTH</v>
      </c>
      <c r="AW109" t="str">
        <f t="shared" si="6"/>
        <v>OIL</v>
      </c>
      <c r="AX109" t="str">
        <f t="shared" si="7"/>
        <v>Yes</v>
      </c>
    </row>
    <row r="110" spans="1:50">
      <c r="A110" t="s">
        <v>17</v>
      </c>
      <c r="B110" t="s">
        <v>114</v>
      </c>
      <c r="C110" t="s">
        <v>328</v>
      </c>
      <c r="D110" t="s">
        <v>323</v>
      </c>
      <c r="E110" t="s">
        <v>57</v>
      </c>
      <c r="F110" t="s">
        <v>19</v>
      </c>
      <c r="G110" t="s">
        <v>100</v>
      </c>
      <c r="H110" t="s">
        <v>19</v>
      </c>
      <c r="I110" t="s">
        <v>19</v>
      </c>
      <c r="J110" t="s">
        <v>19</v>
      </c>
      <c r="K110" t="s">
        <v>19</v>
      </c>
      <c r="L110">
        <v>0</v>
      </c>
      <c r="M110">
        <v>0</v>
      </c>
      <c r="N110">
        <v>0</v>
      </c>
      <c r="O110">
        <v>0</v>
      </c>
      <c r="P110">
        <v>8.9129313202339893E-3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  <c r="AM110">
        <v>0</v>
      </c>
      <c r="AN110">
        <v>0</v>
      </c>
      <c r="AO110" t="s">
        <v>19</v>
      </c>
      <c r="AU110" t="str">
        <f t="shared" si="4"/>
        <v>INF</v>
      </c>
      <c r="AV110" t="str">
        <f t="shared" si="5"/>
        <v>OTP</v>
      </c>
      <c r="AW110" t="str">
        <f t="shared" si="6"/>
        <v>BFG</v>
      </c>
      <c r="AX110" t="str">
        <f t="shared" si="7"/>
        <v>Yes</v>
      </c>
    </row>
    <row r="111" spans="1:50">
      <c r="A111" t="s">
        <v>17</v>
      </c>
      <c r="B111" t="s">
        <v>114</v>
      </c>
      <c r="C111" t="s">
        <v>321</v>
      </c>
      <c r="D111" t="s">
        <v>323</v>
      </c>
      <c r="E111" t="s">
        <v>57</v>
      </c>
      <c r="F111" t="s">
        <v>19</v>
      </c>
      <c r="G111" t="s">
        <v>100</v>
      </c>
      <c r="H111" t="s">
        <v>19</v>
      </c>
      <c r="I111" t="s">
        <v>19</v>
      </c>
      <c r="J111" t="s">
        <v>19</v>
      </c>
      <c r="K111" t="s">
        <v>19</v>
      </c>
      <c r="L111">
        <v>0.99</v>
      </c>
      <c r="M111">
        <v>0.97999790798900399</v>
      </c>
      <c r="N111">
        <v>0.77253052066612204</v>
      </c>
      <c r="O111">
        <v>0.95643717960325203</v>
      </c>
      <c r="P111">
        <v>0.82060028509488003</v>
      </c>
      <c r="Q111">
        <v>0.80351302396212498</v>
      </c>
      <c r="R111">
        <v>0.67530046032329005</v>
      </c>
      <c r="S111">
        <v>0.89640035866670098</v>
      </c>
      <c r="T111">
        <v>0.89845919693680898</v>
      </c>
      <c r="U111">
        <v>0.93486528644576194</v>
      </c>
      <c r="V111">
        <v>0.97932618032724705</v>
      </c>
      <c r="W111">
        <v>0.70311774429017004</v>
      </c>
      <c r="X111">
        <v>0.57807480142608003</v>
      </c>
      <c r="Y111">
        <v>0.63343774820953402</v>
      </c>
      <c r="Z111">
        <v>0.74276441683515304</v>
      </c>
      <c r="AA111">
        <v>0.71234720080813496</v>
      </c>
      <c r="AB111">
        <v>0.69871059240887501</v>
      </c>
      <c r="AC111">
        <v>0.83201715409884203</v>
      </c>
      <c r="AD111">
        <v>0.73132273118306201</v>
      </c>
      <c r="AE111">
        <v>0.99</v>
      </c>
      <c r="AF111">
        <v>0.91736952432567098</v>
      </c>
      <c r="AG111">
        <v>0.99</v>
      </c>
      <c r="AH111">
        <v>0.99</v>
      </c>
      <c r="AI111">
        <v>0.98204123048050795</v>
      </c>
      <c r="AJ111">
        <v>0.99</v>
      </c>
      <c r="AL111">
        <v>0.97120520207761596</v>
      </c>
      <c r="AM111">
        <v>0.73403853389001805</v>
      </c>
      <c r="AN111">
        <v>0.64968447524106798</v>
      </c>
      <c r="AO111" t="s">
        <v>19</v>
      </c>
      <c r="AU111" t="str">
        <f t="shared" si="4"/>
        <v>INF</v>
      </c>
      <c r="AV111" t="str">
        <f t="shared" si="5"/>
        <v>OTP</v>
      </c>
      <c r="AW111" t="str">
        <f t="shared" si="6"/>
        <v>ELC</v>
      </c>
      <c r="AX111" t="str">
        <f t="shared" si="7"/>
        <v>No</v>
      </c>
    </row>
    <row r="112" spans="1:50">
      <c r="A112" t="s">
        <v>17</v>
      </c>
      <c r="B112" t="s">
        <v>114</v>
      </c>
      <c r="C112" t="s">
        <v>320</v>
      </c>
      <c r="D112" t="s">
        <v>323</v>
      </c>
      <c r="E112" t="s">
        <v>57</v>
      </c>
      <c r="F112" t="s">
        <v>19</v>
      </c>
      <c r="G112" t="s">
        <v>100</v>
      </c>
      <c r="H112" t="s">
        <v>19</v>
      </c>
      <c r="I112" t="s">
        <v>19</v>
      </c>
      <c r="J112" t="s">
        <v>19</v>
      </c>
      <c r="K112" t="s">
        <v>19</v>
      </c>
      <c r="L112">
        <v>0</v>
      </c>
      <c r="M112">
        <v>1.0002092010995899E-2</v>
      </c>
      <c r="N112">
        <v>0.217469479333878</v>
      </c>
      <c r="O112">
        <v>3.3562820396748197E-2</v>
      </c>
      <c r="P112">
        <v>0.16048678358488699</v>
      </c>
      <c r="Q112">
        <v>0.18648697603787501</v>
      </c>
      <c r="R112">
        <v>0.31469953967670999</v>
      </c>
      <c r="S112">
        <v>9.3599641333299399E-2</v>
      </c>
      <c r="T112">
        <v>9.1540803063190804E-2</v>
      </c>
      <c r="U112">
        <v>5.51347135542384E-2</v>
      </c>
      <c r="V112">
        <v>1.06738196727532E-2</v>
      </c>
      <c r="W112">
        <v>0.28688225570983</v>
      </c>
      <c r="X112">
        <v>0.41192519857392002</v>
      </c>
      <c r="Y112">
        <v>0.35656225179046602</v>
      </c>
      <c r="Z112">
        <v>0.24723558316484701</v>
      </c>
      <c r="AA112">
        <v>0.27765279919186497</v>
      </c>
      <c r="AB112">
        <v>0.29128940759112498</v>
      </c>
      <c r="AC112">
        <v>0.15798284590115799</v>
      </c>
      <c r="AD112">
        <v>0.25867726881693798</v>
      </c>
      <c r="AE112">
        <v>0</v>
      </c>
      <c r="AF112">
        <v>7.2630475674328995E-2</v>
      </c>
      <c r="AG112">
        <v>0</v>
      </c>
      <c r="AH112">
        <v>0</v>
      </c>
      <c r="AI112">
        <v>7.9587695194922002E-3</v>
      </c>
      <c r="AJ112">
        <v>0</v>
      </c>
      <c r="AL112">
        <v>1.8794797922384001E-2</v>
      </c>
      <c r="AM112">
        <v>0.25596146610998199</v>
      </c>
      <c r="AN112">
        <v>0.34031552475893201</v>
      </c>
      <c r="AO112" t="s">
        <v>19</v>
      </c>
      <c r="AU112" t="str">
        <f t="shared" si="4"/>
        <v>INF</v>
      </c>
      <c r="AV112" t="str">
        <f t="shared" si="5"/>
        <v>OTP</v>
      </c>
      <c r="AW112" t="str">
        <f t="shared" si="6"/>
        <v>NGA</v>
      </c>
      <c r="AX112" t="str">
        <f t="shared" si="7"/>
        <v>Yes</v>
      </c>
    </row>
    <row r="113" spans="1:50">
      <c r="A113" t="s">
        <v>17</v>
      </c>
      <c r="B113" t="s">
        <v>114</v>
      </c>
      <c r="C113" t="s">
        <v>322</v>
      </c>
      <c r="D113" t="s">
        <v>324</v>
      </c>
      <c r="E113" t="s">
        <v>57</v>
      </c>
      <c r="F113" t="s">
        <v>19</v>
      </c>
      <c r="G113" t="s">
        <v>100</v>
      </c>
      <c r="H113" t="s">
        <v>19</v>
      </c>
      <c r="I113" t="s">
        <v>19</v>
      </c>
      <c r="J113" t="s">
        <v>19</v>
      </c>
      <c r="K113" t="s">
        <v>19</v>
      </c>
      <c r="L113">
        <v>0.99</v>
      </c>
      <c r="M113">
        <v>0.99</v>
      </c>
      <c r="N113">
        <v>0.99</v>
      </c>
      <c r="O113">
        <v>0.99</v>
      </c>
      <c r="P113">
        <v>0.99</v>
      </c>
      <c r="Q113">
        <v>0.99</v>
      </c>
      <c r="R113">
        <v>0.99</v>
      </c>
      <c r="S113">
        <v>0.99</v>
      </c>
      <c r="T113">
        <v>0.99</v>
      </c>
      <c r="U113">
        <v>0.99</v>
      </c>
      <c r="V113">
        <v>0.99</v>
      </c>
      <c r="W113">
        <v>0.99</v>
      </c>
      <c r="X113">
        <v>0.99</v>
      </c>
      <c r="Y113">
        <v>0.99</v>
      </c>
      <c r="Z113">
        <v>0.99</v>
      </c>
      <c r="AA113">
        <v>0.99</v>
      </c>
      <c r="AB113">
        <v>0.99</v>
      </c>
      <c r="AC113">
        <v>0.99</v>
      </c>
      <c r="AD113">
        <v>0.99</v>
      </c>
      <c r="AE113">
        <v>0.99</v>
      </c>
      <c r="AF113">
        <v>0.99</v>
      </c>
      <c r="AG113">
        <v>0.99</v>
      </c>
      <c r="AH113">
        <v>0.99</v>
      </c>
      <c r="AI113">
        <v>0.99</v>
      </c>
      <c r="AJ113">
        <v>0.99</v>
      </c>
      <c r="AL113">
        <v>0.99</v>
      </c>
      <c r="AM113">
        <v>0.99</v>
      </c>
      <c r="AN113">
        <v>0.99</v>
      </c>
      <c r="AO113" t="s">
        <v>19</v>
      </c>
      <c r="AU113" t="str">
        <f t="shared" si="4"/>
        <v>INF</v>
      </c>
      <c r="AV113" t="str">
        <f t="shared" si="5"/>
        <v>PRC</v>
      </c>
      <c r="AW113" t="str">
        <f t="shared" si="6"/>
        <v>ELC</v>
      </c>
      <c r="AX113" t="str">
        <f t="shared" si="7"/>
        <v>No</v>
      </c>
    </row>
    <row r="114" spans="1:50">
      <c r="A114" t="s">
        <v>17</v>
      </c>
      <c r="B114" t="s">
        <v>114</v>
      </c>
      <c r="C114" t="s">
        <v>319</v>
      </c>
      <c r="D114" t="s">
        <v>316</v>
      </c>
      <c r="E114" t="s">
        <v>57</v>
      </c>
      <c r="F114" t="s">
        <v>19</v>
      </c>
      <c r="G114" t="s">
        <v>100</v>
      </c>
      <c r="H114" t="s">
        <v>19</v>
      </c>
      <c r="I114" t="s">
        <v>19</v>
      </c>
      <c r="J114" t="s">
        <v>19</v>
      </c>
      <c r="K114" t="s">
        <v>19</v>
      </c>
      <c r="L114">
        <v>0</v>
      </c>
      <c r="M114">
        <v>0</v>
      </c>
      <c r="N114">
        <v>0</v>
      </c>
      <c r="O114">
        <v>0</v>
      </c>
      <c r="P114">
        <v>2.84197510998924E-2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>
        <v>0</v>
      </c>
      <c r="AM114">
        <v>0</v>
      </c>
      <c r="AN114">
        <v>0</v>
      </c>
      <c r="AO114" t="s">
        <v>19</v>
      </c>
      <c r="AU114" t="str">
        <f t="shared" si="4"/>
        <v>INF</v>
      </c>
      <c r="AV114" t="str">
        <f t="shared" si="5"/>
        <v>PRH</v>
      </c>
      <c r="AW114" t="str">
        <f t="shared" si="6"/>
        <v>BFG</v>
      </c>
      <c r="AX114" t="str">
        <f t="shared" si="7"/>
        <v>Yes</v>
      </c>
    </row>
    <row r="115" spans="1:50">
      <c r="A115" t="s">
        <v>17</v>
      </c>
      <c r="B115" t="s">
        <v>114</v>
      </c>
      <c r="C115" t="s">
        <v>318</v>
      </c>
      <c r="D115" t="s">
        <v>316</v>
      </c>
      <c r="E115" t="s">
        <v>57</v>
      </c>
      <c r="F115" t="s">
        <v>19</v>
      </c>
      <c r="G115" t="s">
        <v>100</v>
      </c>
      <c r="H115" t="s">
        <v>19</v>
      </c>
      <c r="I115" t="s">
        <v>19</v>
      </c>
      <c r="J115" t="s">
        <v>19</v>
      </c>
      <c r="K115" t="s">
        <v>19</v>
      </c>
      <c r="L115">
        <v>0</v>
      </c>
      <c r="M115">
        <v>0</v>
      </c>
      <c r="N115">
        <v>0</v>
      </c>
      <c r="O115">
        <v>0</v>
      </c>
      <c r="P115">
        <v>1.9985478523251402E-2</v>
      </c>
      <c r="Q115">
        <v>0</v>
      </c>
      <c r="R115">
        <v>7.1111767302258098E-3</v>
      </c>
      <c r="S115">
        <v>5.7310637811604998E-3</v>
      </c>
      <c r="T115">
        <v>6.4288215019949304E-3</v>
      </c>
      <c r="U115">
        <v>0</v>
      </c>
      <c r="V115">
        <v>1.0929686647713301E-2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9.58060867616203E-3</v>
      </c>
      <c r="AC115">
        <v>0</v>
      </c>
      <c r="AD115">
        <v>3.7682117200840601E-3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L115">
        <v>0</v>
      </c>
      <c r="AM115">
        <v>0</v>
      </c>
      <c r="AN115">
        <v>0</v>
      </c>
      <c r="AO115" t="s">
        <v>19</v>
      </c>
      <c r="AU115" t="str">
        <f t="shared" si="4"/>
        <v>INF</v>
      </c>
      <c r="AV115" t="str">
        <f t="shared" si="5"/>
        <v>PRH</v>
      </c>
      <c r="AW115" t="str">
        <f t="shared" si="6"/>
        <v>BIO</v>
      </c>
      <c r="AX115" t="str">
        <f t="shared" si="7"/>
        <v>No</v>
      </c>
    </row>
    <row r="116" spans="1:50">
      <c r="A116" t="s">
        <v>17</v>
      </c>
      <c r="B116" t="s">
        <v>114</v>
      </c>
      <c r="C116" t="s">
        <v>317</v>
      </c>
      <c r="D116" t="s">
        <v>316</v>
      </c>
      <c r="E116" t="s">
        <v>57</v>
      </c>
      <c r="F116" t="s">
        <v>19</v>
      </c>
      <c r="G116" t="s">
        <v>100</v>
      </c>
      <c r="H116" t="s">
        <v>19</v>
      </c>
      <c r="I116" t="s">
        <v>19</v>
      </c>
      <c r="J116" t="s">
        <v>19</v>
      </c>
      <c r="K116" t="s">
        <v>19</v>
      </c>
      <c r="L116">
        <v>5.1259198087654001E-2</v>
      </c>
      <c r="M116">
        <v>0</v>
      </c>
      <c r="N116">
        <v>0</v>
      </c>
      <c r="O116">
        <v>0.68415485443430102</v>
      </c>
      <c r="P116">
        <v>1.9496732803559E-2</v>
      </c>
      <c r="Q116">
        <v>0.94896746422887601</v>
      </c>
      <c r="R116">
        <v>0.23509138669469101</v>
      </c>
      <c r="S116">
        <v>0.30331898781531202</v>
      </c>
      <c r="T116">
        <v>6.4005026786491795E-2</v>
      </c>
      <c r="U116">
        <v>0.30216606174065402</v>
      </c>
      <c r="V116">
        <v>0.17879779653617001</v>
      </c>
      <c r="W116">
        <v>2.2970162753069599E-2</v>
      </c>
      <c r="X116">
        <v>0</v>
      </c>
      <c r="Y116">
        <v>0.14725330017763599</v>
      </c>
      <c r="Z116">
        <v>2.4609309082940099E-3</v>
      </c>
      <c r="AA116">
        <v>0</v>
      </c>
      <c r="AB116">
        <v>0.28577245573461901</v>
      </c>
      <c r="AC116">
        <v>0</v>
      </c>
      <c r="AD116">
        <v>1.18881281100709E-2</v>
      </c>
      <c r="AE116">
        <v>0.49192701513091103</v>
      </c>
      <c r="AF116">
        <v>2.30425057232603E-2</v>
      </c>
      <c r="AG116">
        <v>0</v>
      </c>
      <c r="AH116">
        <v>0</v>
      </c>
      <c r="AI116">
        <v>0</v>
      </c>
      <c r="AJ116">
        <v>0</v>
      </c>
      <c r="AL116">
        <v>0.76017546711085104</v>
      </c>
      <c r="AM116">
        <v>3.7205013305672399E-2</v>
      </c>
      <c r="AN116">
        <v>0</v>
      </c>
      <c r="AO116" t="s">
        <v>19</v>
      </c>
      <c r="AU116" t="str">
        <f t="shared" si="4"/>
        <v>INF</v>
      </c>
      <c r="AV116" t="str">
        <f t="shared" si="5"/>
        <v>PRH</v>
      </c>
      <c r="AW116" t="str">
        <f t="shared" si="6"/>
        <v>COA</v>
      </c>
      <c r="AX116" t="str">
        <f t="shared" si="7"/>
        <v>Yes</v>
      </c>
    </row>
    <row r="117" spans="1:50">
      <c r="A117" t="s">
        <v>17</v>
      </c>
      <c r="B117" t="s">
        <v>114</v>
      </c>
      <c r="C117" t="s">
        <v>308</v>
      </c>
      <c r="D117" t="s">
        <v>316</v>
      </c>
      <c r="E117" t="s">
        <v>57</v>
      </c>
      <c r="F117" t="s">
        <v>19</v>
      </c>
      <c r="G117" t="s">
        <v>100</v>
      </c>
      <c r="H117" t="s">
        <v>19</v>
      </c>
      <c r="I117" t="s">
        <v>19</v>
      </c>
      <c r="J117" t="s">
        <v>19</v>
      </c>
      <c r="K117" t="s">
        <v>19</v>
      </c>
      <c r="L117">
        <v>0.93862071103468403</v>
      </c>
      <c r="M117">
        <v>0.91456510642554401</v>
      </c>
      <c r="N117">
        <v>0.304145891158492</v>
      </c>
      <c r="O117">
        <v>0.213737444902172</v>
      </c>
      <c r="P117">
        <v>0.32663615222063203</v>
      </c>
      <c r="Q117">
        <v>1.43511278580447E-2</v>
      </c>
      <c r="R117">
        <v>0.15560791536949301</v>
      </c>
      <c r="S117">
        <v>0.30374494695536203</v>
      </c>
      <c r="T117">
        <v>0.50489420664994999</v>
      </c>
      <c r="U117">
        <v>0.42406803503510798</v>
      </c>
      <c r="V117">
        <v>0.70689092054536695</v>
      </c>
      <c r="W117">
        <v>0.21859918880557699</v>
      </c>
      <c r="X117">
        <v>0.147579918824085</v>
      </c>
      <c r="Y117">
        <v>0.152615343049646</v>
      </c>
      <c r="Z117">
        <v>0.26885727131227899</v>
      </c>
      <c r="AA117">
        <v>0.239955424377158</v>
      </c>
      <c r="AB117">
        <v>0.15950344021339899</v>
      </c>
      <c r="AC117">
        <v>0.39255532566777701</v>
      </c>
      <c r="AD117">
        <v>0.25291915857077502</v>
      </c>
      <c r="AE117">
        <v>0.49807298486908902</v>
      </c>
      <c r="AF117">
        <v>0.59154438799446096</v>
      </c>
      <c r="AG117">
        <v>0.99</v>
      </c>
      <c r="AH117">
        <v>0.99</v>
      </c>
      <c r="AI117">
        <v>0.92964666876278201</v>
      </c>
      <c r="AJ117">
        <v>0.99</v>
      </c>
      <c r="AL117">
        <v>0.19897846196161301</v>
      </c>
      <c r="AM117">
        <v>0.251176145029541</v>
      </c>
      <c r="AN117">
        <v>0.19049256932081499</v>
      </c>
      <c r="AO117" t="s">
        <v>19</v>
      </c>
      <c r="AU117" t="str">
        <f t="shared" si="4"/>
        <v>INF</v>
      </c>
      <c r="AV117" t="str">
        <f t="shared" si="5"/>
        <v>PRH</v>
      </c>
      <c r="AW117" t="str">
        <f t="shared" si="6"/>
        <v>ELC</v>
      </c>
      <c r="AX117" t="str">
        <f t="shared" si="7"/>
        <v>No</v>
      </c>
    </row>
    <row r="118" spans="1:50">
      <c r="A118" t="s">
        <v>17</v>
      </c>
      <c r="B118" t="s">
        <v>114</v>
      </c>
      <c r="C118" t="s">
        <v>310</v>
      </c>
      <c r="D118" t="s">
        <v>316</v>
      </c>
      <c r="E118" t="s">
        <v>57</v>
      </c>
      <c r="F118" t="s">
        <v>19</v>
      </c>
      <c r="G118" t="s">
        <v>100</v>
      </c>
      <c r="H118" t="s">
        <v>19</v>
      </c>
      <c r="I118" t="s">
        <v>19</v>
      </c>
      <c r="J118" t="s">
        <v>19</v>
      </c>
      <c r="K118" t="s">
        <v>19</v>
      </c>
      <c r="L118">
        <v>0</v>
      </c>
      <c r="M118">
        <v>7.4773454793172503E-2</v>
      </c>
      <c r="N118">
        <v>0.68585410884150799</v>
      </c>
      <c r="O118">
        <v>6.0082740671781598E-2</v>
      </c>
      <c r="P118">
        <v>0.511727767266699</v>
      </c>
      <c r="Q118">
        <v>2.6681407913078999E-2</v>
      </c>
      <c r="R118">
        <v>0.58089530870548101</v>
      </c>
      <c r="S118">
        <v>0.25406705138944302</v>
      </c>
      <c r="T118">
        <v>0.41208221330814099</v>
      </c>
      <c r="U118">
        <v>0.20034511119903201</v>
      </c>
      <c r="V118">
        <v>6.1718025405433502E-2</v>
      </c>
      <c r="W118">
        <v>0.71448200887033397</v>
      </c>
      <c r="X118">
        <v>0.84242008117591405</v>
      </c>
      <c r="Y118">
        <v>0.68817159557183505</v>
      </c>
      <c r="Z118">
        <v>0.71688384797847604</v>
      </c>
      <c r="AA118">
        <v>0.74921769969722096</v>
      </c>
      <c r="AB118">
        <v>0.53267773226591297</v>
      </c>
      <c r="AC118">
        <v>0.59709804435278402</v>
      </c>
      <c r="AD118">
        <v>0.71663504998327698</v>
      </c>
      <c r="AE118">
        <v>0</v>
      </c>
      <c r="AF118">
        <v>0.375170810194143</v>
      </c>
      <c r="AG118">
        <v>0</v>
      </c>
      <c r="AH118">
        <v>0</v>
      </c>
      <c r="AI118">
        <v>6.0353331237218102E-2</v>
      </c>
      <c r="AJ118">
        <v>0</v>
      </c>
      <c r="AL118">
        <v>3.08460709275356E-2</v>
      </c>
      <c r="AM118">
        <v>0.70161884166478705</v>
      </c>
      <c r="AN118">
        <v>0.79932691084928398</v>
      </c>
      <c r="AO118" t="s">
        <v>19</v>
      </c>
      <c r="AU118" t="str">
        <f t="shared" si="4"/>
        <v>INF</v>
      </c>
      <c r="AV118" t="str">
        <f t="shared" si="5"/>
        <v>PRH</v>
      </c>
      <c r="AW118" t="str">
        <f t="shared" si="6"/>
        <v>NGA</v>
      </c>
      <c r="AX118" t="str">
        <f t="shared" si="7"/>
        <v>Yes</v>
      </c>
    </row>
    <row r="119" spans="1:50">
      <c r="A119" t="s">
        <v>17</v>
      </c>
      <c r="B119" t="s">
        <v>114</v>
      </c>
      <c r="C119" t="s">
        <v>309</v>
      </c>
      <c r="D119" t="s">
        <v>316</v>
      </c>
      <c r="E119" t="s">
        <v>57</v>
      </c>
      <c r="F119" t="s">
        <v>19</v>
      </c>
      <c r="G119" t="s">
        <v>100</v>
      </c>
      <c r="H119" t="s">
        <v>19</v>
      </c>
      <c r="I119" t="s">
        <v>19</v>
      </c>
      <c r="J119" t="s">
        <v>19</v>
      </c>
      <c r="K119" t="s">
        <v>19</v>
      </c>
      <c r="L119">
        <v>0</v>
      </c>
      <c r="M119">
        <v>0</v>
      </c>
      <c r="N119">
        <v>0</v>
      </c>
      <c r="O119">
        <v>3.2024959991745601E-2</v>
      </c>
      <c r="P119">
        <v>8.3734118085965897E-2</v>
      </c>
      <c r="Q119">
        <v>0</v>
      </c>
      <c r="R119">
        <v>1.12942125001091E-2</v>
      </c>
      <c r="S119">
        <v>0.123137950058722</v>
      </c>
      <c r="T119">
        <v>2.5897317534215899E-3</v>
      </c>
      <c r="U119">
        <v>6.3420792025205897E-2</v>
      </c>
      <c r="V119">
        <v>3.1663570865315897E-2</v>
      </c>
      <c r="W119">
        <v>3.3747793724300298E-2</v>
      </c>
      <c r="X119">
        <v>0</v>
      </c>
      <c r="Y119">
        <v>1.9488438447007499E-3</v>
      </c>
      <c r="Z119">
        <v>1.6706780391524099E-3</v>
      </c>
      <c r="AA119">
        <v>0</v>
      </c>
      <c r="AB119">
        <v>2.4657631099068598E-3</v>
      </c>
      <c r="AC119">
        <v>0</v>
      </c>
      <c r="AD119">
        <v>4.7894516157926904E-3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L119">
        <v>0</v>
      </c>
      <c r="AM119">
        <v>0</v>
      </c>
      <c r="AN119">
        <v>0</v>
      </c>
      <c r="AO119" t="s">
        <v>19</v>
      </c>
      <c r="AU119" t="str">
        <f t="shared" si="4"/>
        <v>INF</v>
      </c>
      <c r="AV119" t="str">
        <f t="shared" si="5"/>
        <v>PRH</v>
      </c>
      <c r="AW119" t="str">
        <f t="shared" si="6"/>
        <v>OVC</v>
      </c>
      <c r="AX119" t="str">
        <f t="shared" si="7"/>
        <v>Yes</v>
      </c>
    </row>
    <row r="120" spans="1:50">
      <c r="A120" t="s">
        <v>17</v>
      </c>
      <c r="B120" t="s">
        <v>114</v>
      </c>
      <c r="C120" t="s">
        <v>304</v>
      </c>
      <c r="D120" t="s">
        <v>312</v>
      </c>
      <c r="E120" t="s">
        <v>57</v>
      </c>
      <c r="F120" t="s">
        <v>19</v>
      </c>
      <c r="G120" t="s">
        <v>100</v>
      </c>
      <c r="H120" t="s">
        <v>19</v>
      </c>
      <c r="I120" t="s">
        <v>19</v>
      </c>
      <c r="J120" t="s">
        <v>19</v>
      </c>
      <c r="K120" t="s">
        <v>19</v>
      </c>
      <c r="L120">
        <v>0</v>
      </c>
      <c r="M120">
        <v>0</v>
      </c>
      <c r="N120">
        <v>0</v>
      </c>
      <c r="O120">
        <v>0</v>
      </c>
      <c r="P120">
        <v>2.4175392782292599E-2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  <c r="AM120">
        <v>0</v>
      </c>
      <c r="AN120">
        <v>0</v>
      </c>
      <c r="AO120" t="s">
        <v>19</v>
      </c>
      <c r="AU120" t="str">
        <f t="shared" si="4"/>
        <v>INF</v>
      </c>
      <c r="AV120" t="str">
        <f t="shared" si="5"/>
        <v>SPC</v>
      </c>
      <c r="AW120" t="str">
        <f t="shared" si="6"/>
        <v>BFG</v>
      </c>
      <c r="AX120" t="str">
        <f t="shared" si="7"/>
        <v>Yes</v>
      </c>
    </row>
    <row r="121" spans="1:50">
      <c r="A121" t="s">
        <v>17</v>
      </c>
      <c r="B121" t="s">
        <v>114</v>
      </c>
      <c r="C121" t="s">
        <v>305</v>
      </c>
      <c r="D121" t="s">
        <v>312</v>
      </c>
      <c r="E121" t="s">
        <v>57</v>
      </c>
      <c r="F121" t="s">
        <v>19</v>
      </c>
      <c r="G121" t="s">
        <v>100</v>
      </c>
      <c r="H121" t="s">
        <v>19</v>
      </c>
      <c r="I121" t="s">
        <v>19</v>
      </c>
      <c r="J121" t="s">
        <v>19</v>
      </c>
      <c r="K121" t="s">
        <v>19</v>
      </c>
      <c r="L121">
        <v>0.99</v>
      </c>
      <c r="M121">
        <v>0.94934878351821606</v>
      </c>
      <c r="N121">
        <v>0.453911831304524</v>
      </c>
      <c r="O121">
        <v>0.86295127147399997</v>
      </c>
      <c r="P121">
        <v>0.53052101403019003</v>
      </c>
      <c r="Q121">
        <v>0.50158888338187901</v>
      </c>
      <c r="R121">
        <v>0.335007849072262</v>
      </c>
      <c r="S121">
        <v>0.68841751011646002</v>
      </c>
      <c r="T121">
        <v>0.69353817295862596</v>
      </c>
      <c r="U121">
        <v>0.79362960990632003</v>
      </c>
      <c r="V121">
        <v>0.94670962569510297</v>
      </c>
      <c r="W121">
        <v>0.36506869872970898</v>
      </c>
      <c r="X121">
        <v>0.24814376987707901</v>
      </c>
      <c r="Y121">
        <v>0.29449921903684301</v>
      </c>
      <c r="Z121">
        <v>0.41310188812260401</v>
      </c>
      <c r="AA121">
        <v>0.37567151568782298</v>
      </c>
      <c r="AB121">
        <v>0.36012061247657901</v>
      </c>
      <c r="AC121">
        <v>0.55102993979048198</v>
      </c>
      <c r="AD121">
        <v>0.39855218037692203</v>
      </c>
      <c r="AE121">
        <v>0.99</v>
      </c>
      <c r="AF121">
        <v>0.74315000772566997</v>
      </c>
      <c r="AG121">
        <v>0.99</v>
      </c>
      <c r="AH121">
        <v>0.99</v>
      </c>
      <c r="AI121">
        <v>0.95744540645504095</v>
      </c>
      <c r="AJ121">
        <v>0.99</v>
      </c>
      <c r="AL121">
        <v>0.91565677051810102</v>
      </c>
      <c r="AM121">
        <v>0.40195244092298599</v>
      </c>
      <c r="AN121">
        <v>0.30960099417757803</v>
      </c>
      <c r="AO121" t="s">
        <v>19</v>
      </c>
      <c r="AU121" t="str">
        <f t="shared" si="4"/>
        <v>INF</v>
      </c>
      <c r="AV121" t="str">
        <f t="shared" si="5"/>
        <v>SPC</v>
      </c>
      <c r="AW121" t="str">
        <f t="shared" si="6"/>
        <v>ELC</v>
      </c>
      <c r="AX121" t="str">
        <f t="shared" si="7"/>
        <v>No</v>
      </c>
    </row>
    <row r="122" spans="1:50">
      <c r="A122" t="s">
        <v>17</v>
      </c>
      <c r="B122" t="s">
        <v>114</v>
      </c>
      <c r="C122" t="s">
        <v>313</v>
      </c>
      <c r="D122" t="s">
        <v>312</v>
      </c>
      <c r="E122" t="s">
        <v>57</v>
      </c>
      <c r="F122" t="s">
        <v>19</v>
      </c>
      <c r="G122" t="s">
        <v>100</v>
      </c>
      <c r="H122" t="s">
        <v>19</v>
      </c>
      <c r="I122" t="s">
        <v>19</v>
      </c>
      <c r="J122" t="s">
        <v>19</v>
      </c>
      <c r="K122" t="s">
        <v>19</v>
      </c>
      <c r="L122">
        <v>0</v>
      </c>
      <c r="M122">
        <v>4.06512164817842E-2</v>
      </c>
      <c r="N122">
        <v>0.53608816869547604</v>
      </c>
      <c r="O122">
        <v>0.12704872852599999</v>
      </c>
      <c r="P122">
        <v>0.43530359318751699</v>
      </c>
      <c r="Q122">
        <v>0.48841111661812098</v>
      </c>
      <c r="R122">
        <v>0.65499215092773799</v>
      </c>
      <c r="S122">
        <v>0.30158248988353997</v>
      </c>
      <c r="T122">
        <v>0.29646182704137403</v>
      </c>
      <c r="U122">
        <v>0.19637039009367899</v>
      </c>
      <c r="V122">
        <v>4.3290374304897301E-2</v>
      </c>
      <c r="W122">
        <v>0.62493130127029095</v>
      </c>
      <c r="X122">
        <v>0.74185623012292101</v>
      </c>
      <c r="Y122">
        <v>0.69550078096315704</v>
      </c>
      <c r="Z122">
        <v>0.57689811187739604</v>
      </c>
      <c r="AA122">
        <v>0.61432848431217701</v>
      </c>
      <c r="AB122">
        <v>0.62987938752342099</v>
      </c>
      <c r="AC122">
        <v>0.43897006020951801</v>
      </c>
      <c r="AD122">
        <v>0.59144781962307802</v>
      </c>
      <c r="AE122">
        <v>0</v>
      </c>
      <c r="AF122">
        <v>0.24684999227432999</v>
      </c>
      <c r="AG122">
        <v>0</v>
      </c>
      <c r="AH122">
        <v>0</v>
      </c>
      <c r="AI122">
        <v>3.2554593544959501E-2</v>
      </c>
      <c r="AJ122">
        <v>0</v>
      </c>
      <c r="AL122">
        <v>7.4343229481898906E-2</v>
      </c>
      <c r="AM122">
        <v>0.588047559077014</v>
      </c>
      <c r="AN122">
        <v>0.68039900582242197</v>
      </c>
      <c r="AO122" t="s">
        <v>19</v>
      </c>
      <c r="AU122" t="str">
        <f t="shared" si="4"/>
        <v>INF</v>
      </c>
      <c r="AV122" t="str">
        <f t="shared" si="5"/>
        <v>SPC</v>
      </c>
      <c r="AW122" t="str">
        <f t="shared" si="6"/>
        <v>NGA</v>
      </c>
      <c r="AX122" t="str">
        <f t="shared" si="7"/>
        <v>Yes</v>
      </c>
    </row>
    <row r="123" spans="1:50">
      <c r="A123" t="s">
        <v>17</v>
      </c>
      <c r="B123" t="s">
        <v>114</v>
      </c>
      <c r="C123" t="s">
        <v>311</v>
      </c>
      <c r="D123" t="s">
        <v>314</v>
      </c>
      <c r="E123" t="s">
        <v>57</v>
      </c>
      <c r="F123" t="s">
        <v>19</v>
      </c>
      <c r="G123" t="s">
        <v>100</v>
      </c>
      <c r="H123" t="s">
        <v>19</v>
      </c>
      <c r="I123" t="s">
        <v>19</v>
      </c>
      <c r="J123" t="s">
        <v>19</v>
      </c>
      <c r="K123" t="s">
        <v>19</v>
      </c>
      <c r="L123">
        <v>0</v>
      </c>
      <c r="M123">
        <v>0</v>
      </c>
      <c r="N123">
        <v>0</v>
      </c>
      <c r="O123">
        <v>0</v>
      </c>
      <c r="P123">
        <v>3.1601354651158903E-2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>
        <v>0</v>
      </c>
      <c r="AM123">
        <v>0</v>
      </c>
      <c r="AN123">
        <v>0</v>
      </c>
      <c r="AO123" t="s">
        <v>19</v>
      </c>
      <c r="AU123" t="str">
        <f t="shared" si="4"/>
        <v>INF</v>
      </c>
      <c r="AV123" t="str">
        <f t="shared" si="5"/>
        <v>STM</v>
      </c>
      <c r="AW123" t="str">
        <f t="shared" si="6"/>
        <v>BFG</v>
      </c>
      <c r="AX123" t="str">
        <f t="shared" si="7"/>
        <v>Yes</v>
      </c>
    </row>
    <row r="124" spans="1:50">
      <c r="A124" t="s">
        <v>17</v>
      </c>
      <c r="B124" t="s">
        <v>114</v>
      </c>
      <c r="C124" t="s">
        <v>307</v>
      </c>
      <c r="D124" t="s">
        <v>314</v>
      </c>
      <c r="E124" t="s">
        <v>57</v>
      </c>
      <c r="F124" t="s">
        <v>19</v>
      </c>
      <c r="G124" t="s">
        <v>100</v>
      </c>
      <c r="H124" t="s">
        <v>19</v>
      </c>
      <c r="I124" t="s">
        <v>19</v>
      </c>
      <c r="J124" t="s">
        <v>19</v>
      </c>
      <c r="K124" t="s">
        <v>19</v>
      </c>
      <c r="L124">
        <v>0.99</v>
      </c>
      <c r="M124">
        <v>0.91933795870275503</v>
      </c>
      <c r="N124">
        <v>0.31731161538388097</v>
      </c>
      <c r="O124">
        <v>0.28061880878868001</v>
      </c>
      <c r="P124">
        <v>0.38634163465325</v>
      </c>
      <c r="Q124">
        <v>0.106918183804026</v>
      </c>
      <c r="R124">
        <v>0.21953688589483999</v>
      </c>
      <c r="S124">
        <v>0.55420182632982296</v>
      </c>
      <c r="T124">
        <v>0.56017852764892395</v>
      </c>
      <c r="U124">
        <v>4.1712098116474597E-2</v>
      </c>
      <c r="V124">
        <v>3.4435302011971702E-2</v>
      </c>
      <c r="W124">
        <v>6.9233435155224093E-2</v>
      </c>
      <c r="X124">
        <v>0.15549047398444499</v>
      </c>
      <c r="Y124">
        <v>0.169541483991481</v>
      </c>
      <c r="Z124">
        <v>6.5016874642012695E-2</v>
      </c>
      <c r="AA124">
        <v>0.25156777836995198</v>
      </c>
      <c r="AB124">
        <v>9.1336447360442705E-3</v>
      </c>
      <c r="AC124">
        <v>0.110784404191833</v>
      </c>
      <c r="AD124">
        <v>0.113713765669677</v>
      </c>
      <c r="AE124">
        <v>0.99</v>
      </c>
      <c r="AF124">
        <v>0.620208147918763</v>
      </c>
      <c r="AG124">
        <v>0.99</v>
      </c>
      <c r="AH124">
        <v>0.99</v>
      </c>
      <c r="AI124">
        <v>0.87807589399333197</v>
      </c>
      <c r="AJ124">
        <v>0.99</v>
      </c>
      <c r="AL124">
        <v>0.86407210698175796</v>
      </c>
      <c r="AM124">
        <v>0.27302526250889397</v>
      </c>
      <c r="AN124">
        <v>8.6313074560064207E-2</v>
      </c>
      <c r="AO124" t="s">
        <v>19</v>
      </c>
      <c r="AU124" t="str">
        <f t="shared" si="4"/>
        <v>INF</v>
      </c>
      <c r="AV124" t="str">
        <f t="shared" si="5"/>
        <v>STM</v>
      </c>
      <c r="AW124" t="str">
        <f t="shared" si="6"/>
        <v>ELC</v>
      </c>
      <c r="AX124" t="str">
        <f t="shared" si="7"/>
        <v>No</v>
      </c>
    </row>
    <row r="125" spans="1:50">
      <c r="A125" t="s">
        <v>17</v>
      </c>
      <c r="B125" t="s">
        <v>114</v>
      </c>
      <c r="C125" t="s">
        <v>306</v>
      </c>
      <c r="D125" t="s">
        <v>314</v>
      </c>
      <c r="E125" t="s">
        <v>57</v>
      </c>
      <c r="F125" t="s">
        <v>19</v>
      </c>
      <c r="G125" t="s">
        <v>100</v>
      </c>
      <c r="H125" t="s">
        <v>19</v>
      </c>
      <c r="I125" t="s">
        <v>19</v>
      </c>
      <c r="J125" t="s">
        <v>19</v>
      </c>
      <c r="K125" t="s">
        <v>19</v>
      </c>
      <c r="L125">
        <v>0</v>
      </c>
      <c r="M125">
        <v>0</v>
      </c>
      <c r="N125">
        <v>0</v>
      </c>
      <c r="O125">
        <v>0.63522215689603301</v>
      </c>
      <c r="P125">
        <v>3.0410963267309102E-3</v>
      </c>
      <c r="Q125">
        <v>0.69620628101484805</v>
      </c>
      <c r="R125">
        <v>0</v>
      </c>
      <c r="S125">
        <v>0</v>
      </c>
      <c r="T125">
        <v>0</v>
      </c>
      <c r="U125">
        <v>0.92976182702783305</v>
      </c>
      <c r="V125">
        <v>0.95273824553979003</v>
      </c>
      <c r="W125">
        <v>0.70803261698030096</v>
      </c>
      <c r="X125">
        <v>0</v>
      </c>
      <c r="Y125">
        <v>0.101750160690944</v>
      </c>
      <c r="Z125">
        <v>0.76200426908369001</v>
      </c>
      <c r="AA125">
        <v>0</v>
      </c>
      <c r="AB125">
        <v>0.95219047418704506</v>
      </c>
      <c r="AC125">
        <v>0.72079867439850298</v>
      </c>
      <c r="AD125">
        <v>0.57338047821195304</v>
      </c>
      <c r="AE125">
        <v>0</v>
      </c>
      <c r="AF125">
        <v>0</v>
      </c>
      <c r="AG125">
        <v>0</v>
      </c>
      <c r="AH125">
        <v>0</v>
      </c>
      <c r="AI125">
        <v>5.83328974520562E-2</v>
      </c>
      <c r="AJ125">
        <v>0</v>
      </c>
      <c r="AL125">
        <v>0</v>
      </c>
      <c r="AM125">
        <v>0</v>
      </c>
      <c r="AN125">
        <v>0.56319944348439599</v>
      </c>
      <c r="AO125" t="s">
        <v>19</v>
      </c>
      <c r="AU125" t="str">
        <f t="shared" si="4"/>
        <v>INF</v>
      </c>
      <c r="AV125" t="str">
        <f t="shared" si="5"/>
        <v>STM</v>
      </c>
      <c r="AW125" t="str">
        <f t="shared" si="6"/>
        <v>HET</v>
      </c>
      <c r="AX125" t="str">
        <f t="shared" si="7"/>
        <v>No</v>
      </c>
    </row>
    <row r="126" spans="1:50">
      <c r="A126" t="s">
        <v>17</v>
      </c>
      <c r="B126" t="s">
        <v>114</v>
      </c>
      <c r="C126" t="s">
        <v>315</v>
      </c>
      <c r="D126" t="s">
        <v>314</v>
      </c>
      <c r="E126" t="s">
        <v>57</v>
      </c>
      <c r="F126" t="s">
        <v>19</v>
      </c>
      <c r="G126" t="s">
        <v>100</v>
      </c>
      <c r="H126" t="s">
        <v>19</v>
      </c>
      <c r="I126" t="s">
        <v>19</v>
      </c>
      <c r="J126" t="s">
        <v>19</v>
      </c>
      <c r="K126" t="s">
        <v>19</v>
      </c>
      <c r="L126">
        <v>0</v>
      </c>
      <c r="M126">
        <v>7.0662041297245307E-2</v>
      </c>
      <c r="N126">
        <v>0.67268838461611902</v>
      </c>
      <c r="O126">
        <v>7.4159034315287004E-2</v>
      </c>
      <c r="P126">
        <v>0.56901591436886001</v>
      </c>
      <c r="Q126">
        <v>0.18687553518112601</v>
      </c>
      <c r="R126">
        <v>0.77046311410516</v>
      </c>
      <c r="S126">
        <v>0.43579817367017698</v>
      </c>
      <c r="T126">
        <v>0.42982147235107598</v>
      </c>
      <c r="U126">
        <v>1.8526074855692201E-2</v>
      </c>
      <c r="V126">
        <v>2.82645244823826E-3</v>
      </c>
      <c r="W126">
        <v>0.212733947864475</v>
      </c>
      <c r="X126">
        <v>0.83441749033531298</v>
      </c>
      <c r="Y126">
        <v>0.71870835531757504</v>
      </c>
      <c r="Z126">
        <v>0.16297885627429701</v>
      </c>
      <c r="AA126">
        <v>0.73843222163004896</v>
      </c>
      <c r="AB126">
        <v>2.86758810769106E-2</v>
      </c>
      <c r="AC126">
        <v>0.15841692140966401</v>
      </c>
      <c r="AD126">
        <v>0.30290575611836901</v>
      </c>
      <c r="AE126">
        <v>0</v>
      </c>
      <c r="AF126">
        <v>0.36979185208123699</v>
      </c>
      <c r="AG126">
        <v>0</v>
      </c>
      <c r="AH126">
        <v>0</v>
      </c>
      <c r="AI126">
        <v>5.3591208554611899E-2</v>
      </c>
      <c r="AJ126">
        <v>0</v>
      </c>
      <c r="AL126">
        <v>0.125927893018242</v>
      </c>
      <c r="AM126">
        <v>0.71697473749110596</v>
      </c>
      <c r="AN126">
        <v>0.34048748195554002</v>
      </c>
      <c r="AO126" t="s">
        <v>19</v>
      </c>
      <c r="AU126" t="str">
        <f t="shared" si="4"/>
        <v>INF</v>
      </c>
      <c r="AV126" t="str">
        <f t="shared" si="5"/>
        <v>STM</v>
      </c>
      <c r="AW126" t="str">
        <f t="shared" si="6"/>
        <v>NGA</v>
      </c>
      <c r="AX126" t="str">
        <f t="shared" si="7"/>
        <v>Yes</v>
      </c>
    </row>
    <row r="127" spans="1:50">
      <c r="A127" t="s">
        <v>17</v>
      </c>
      <c r="B127" t="s">
        <v>114</v>
      </c>
      <c r="C127" t="s">
        <v>302</v>
      </c>
      <c r="D127" t="s">
        <v>303</v>
      </c>
      <c r="E127" t="s">
        <v>57</v>
      </c>
      <c r="F127" t="s">
        <v>19</v>
      </c>
      <c r="G127" t="s">
        <v>100</v>
      </c>
      <c r="H127" t="s">
        <v>19</v>
      </c>
      <c r="I127" t="s">
        <v>19</v>
      </c>
      <c r="J127" t="s">
        <v>19</v>
      </c>
      <c r="K127" t="s">
        <v>19</v>
      </c>
      <c r="L127">
        <v>5.0784125136363201E-3</v>
      </c>
      <c r="M127">
        <v>1.98177307744066E-2</v>
      </c>
      <c r="N127">
        <v>0</v>
      </c>
      <c r="O127">
        <v>0</v>
      </c>
      <c r="P127">
        <v>4.2669530092166903E-2</v>
      </c>
      <c r="Q127">
        <v>6.7561066194668402E-3</v>
      </c>
      <c r="R127">
        <v>1.7428818922306102E-2</v>
      </c>
      <c r="S127">
        <v>0.105981423066541</v>
      </c>
      <c r="T127">
        <v>3.6154578813272498E-2</v>
      </c>
      <c r="U127">
        <v>0</v>
      </c>
      <c r="V127">
        <v>3.4228250960931697E-2</v>
      </c>
      <c r="W127">
        <v>0.13940766276854699</v>
      </c>
      <c r="X127">
        <v>7.4214270410679406E-2</v>
      </c>
      <c r="Y127">
        <v>2.6015853558058102E-2</v>
      </c>
      <c r="Z127">
        <v>5.79930285396692E-2</v>
      </c>
      <c r="AA127">
        <v>4.1592578050712301E-2</v>
      </c>
      <c r="AB127">
        <v>2.0045815669276001E-2</v>
      </c>
      <c r="AC127">
        <v>5.6068003018315403E-2</v>
      </c>
      <c r="AD127">
        <v>0.11085920148945801</v>
      </c>
      <c r="AE127">
        <v>0</v>
      </c>
      <c r="AF127">
        <v>3.7406597715088398E-3</v>
      </c>
      <c r="AG127">
        <v>0</v>
      </c>
      <c r="AH127">
        <v>0</v>
      </c>
      <c r="AI127">
        <v>8.0361518546302593E-2</v>
      </c>
      <c r="AJ127">
        <v>3.7557869666201599E-3</v>
      </c>
      <c r="AK127">
        <v>0</v>
      </c>
      <c r="AL127">
        <v>0</v>
      </c>
      <c r="AM127">
        <v>4.7977156169508497E-2</v>
      </c>
      <c r="AN127">
        <v>1.4216258045314401E-2</v>
      </c>
      <c r="AO127" t="s">
        <v>19</v>
      </c>
      <c r="AU127" t="str">
        <f t="shared" si="4"/>
        <v>INM</v>
      </c>
      <c r="AV127" t="str">
        <f t="shared" si="5"/>
        <v>MDR</v>
      </c>
      <c r="AW127" t="str">
        <f t="shared" si="6"/>
        <v>BIO</v>
      </c>
      <c r="AX127" t="str">
        <f t="shared" si="7"/>
        <v>No</v>
      </c>
    </row>
    <row r="128" spans="1:50">
      <c r="A128" t="s">
        <v>17</v>
      </c>
      <c r="B128" t="s">
        <v>114</v>
      </c>
      <c r="C128" t="s">
        <v>301</v>
      </c>
      <c r="D128" t="s">
        <v>303</v>
      </c>
      <c r="E128" t="s">
        <v>57</v>
      </c>
      <c r="F128" t="s">
        <v>19</v>
      </c>
      <c r="G128" t="s">
        <v>100</v>
      </c>
      <c r="H128" t="s">
        <v>19</v>
      </c>
      <c r="I128" t="s">
        <v>19</v>
      </c>
      <c r="J128" t="s">
        <v>19</v>
      </c>
      <c r="K128" t="s">
        <v>19</v>
      </c>
      <c r="L128">
        <v>8.6942453574128706E-2</v>
      </c>
      <c r="M128">
        <v>0.32354530813760901</v>
      </c>
      <c r="N128">
        <v>0</v>
      </c>
      <c r="O128">
        <v>0.22379674058799801</v>
      </c>
      <c r="P128">
        <v>0.14919372807078399</v>
      </c>
      <c r="Q128">
        <v>0.56897597991287896</v>
      </c>
      <c r="R128">
        <v>0.1301645273531</v>
      </c>
      <c r="S128">
        <v>4.6376133252725204E-3</v>
      </c>
      <c r="T128">
        <v>5.2548603940878298E-2</v>
      </c>
      <c r="U128">
        <v>0.33831674780683801</v>
      </c>
      <c r="V128">
        <v>5.8780591968103903E-2</v>
      </c>
      <c r="W128">
        <v>7.77914236249794E-2</v>
      </c>
      <c r="X128">
        <v>9.4055048414803305E-2</v>
      </c>
      <c r="Y128">
        <v>1.83145323907941E-2</v>
      </c>
      <c r="Z128">
        <v>2.5699699366873299E-2</v>
      </c>
      <c r="AA128">
        <v>0</v>
      </c>
      <c r="AB128">
        <v>0.104689116193524</v>
      </c>
      <c r="AC128">
        <v>2.3511125427531199E-2</v>
      </c>
      <c r="AD128">
        <v>9.3440661975933495E-2</v>
      </c>
      <c r="AE128">
        <v>0.255337317843228</v>
      </c>
      <c r="AF128">
        <v>0.135061537479051</v>
      </c>
      <c r="AG128">
        <v>4.8070587658750998E-3</v>
      </c>
      <c r="AH128">
        <v>0.193395247496505</v>
      </c>
      <c r="AI128">
        <v>4.96899393107973E-2</v>
      </c>
      <c r="AJ128">
        <v>3.33553403711997E-2</v>
      </c>
      <c r="AK128">
        <v>0</v>
      </c>
      <c r="AL128">
        <v>0.34748355915878898</v>
      </c>
      <c r="AM128">
        <v>6.80938134170017E-2</v>
      </c>
      <c r="AN128">
        <v>0.128244799988702</v>
      </c>
      <c r="AO128" t="s">
        <v>19</v>
      </c>
      <c r="AU128" t="str">
        <f t="shared" si="4"/>
        <v>INM</v>
      </c>
      <c r="AV128" t="str">
        <f t="shared" si="5"/>
        <v>MDR</v>
      </c>
      <c r="AW128" t="str">
        <f t="shared" si="6"/>
        <v>COA</v>
      </c>
      <c r="AX128" t="str">
        <f t="shared" si="7"/>
        <v>Yes</v>
      </c>
    </row>
    <row r="129" spans="1:50">
      <c r="A129" t="s">
        <v>17</v>
      </c>
      <c r="B129" t="s">
        <v>114</v>
      </c>
      <c r="C129" t="s">
        <v>298</v>
      </c>
      <c r="D129" t="s">
        <v>303</v>
      </c>
      <c r="E129" t="s">
        <v>57</v>
      </c>
      <c r="F129" t="s">
        <v>19</v>
      </c>
      <c r="G129" t="s">
        <v>100</v>
      </c>
      <c r="H129" t="s">
        <v>19</v>
      </c>
      <c r="I129" t="s">
        <v>19</v>
      </c>
      <c r="J129" t="s">
        <v>19</v>
      </c>
      <c r="K129" t="s">
        <v>19</v>
      </c>
      <c r="L129">
        <v>0.230419164560244</v>
      </c>
      <c r="M129">
        <v>0.20790851808008401</v>
      </c>
      <c r="N129">
        <v>0.52405366861174096</v>
      </c>
      <c r="O129">
        <v>0.309753783086753</v>
      </c>
      <c r="P129">
        <v>0.40240786323024602</v>
      </c>
      <c r="Q129">
        <v>0.233820717825615</v>
      </c>
      <c r="R129">
        <v>0.37838091214154401</v>
      </c>
      <c r="S129">
        <v>0.18729789811380501</v>
      </c>
      <c r="T129">
        <v>0.21116230284506601</v>
      </c>
      <c r="U129">
        <v>0.51300687072347695</v>
      </c>
      <c r="V129">
        <v>0.33303256203197701</v>
      </c>
      <c r="W129">
        <v>0.484626119612035</v>
      </c>
      <c r="X129">
        <v>0.36428134367674297</v>
      </c>
      <c r="Y129">
        <v>0.341037747863491</v>
      </c>
      <c r="Z129">
        <v>0.36934145346177799</v>
      </c>
      <c r="AA129">
        <v>0.25923804149493002</v>
      </c>
      <c r="AB129">
        <v>0.27010487918759102</v>
      </c>
      <c r="AC129">
        <v>0.41947367019020398</v>
      </c>
      <c r="AD129">
        <v>0.44243823733890297</v>
      </c>
      <c r="AE129">
        <v>1.59729730684511E-2</v>
      </c>
      <c r="AF129">
        <v>0.284996051019901</v>
      </c>
      <c r="AG129">
        <v>0.23077321146951599</v>
      </c>
      <c r="AH129">
        <v>2.0935023879245101E-2</v>
      </c>
      <c r="AI129">
        <v>0.57249993069599703</v>
      </c>
      <c r="AJ129">
        <v>0.39778137216026599</v>
      </c>
      <c r="AK129">
        <v>0.99</v>
      </c>
      <c r="AL129">
        <v>0.481241090359735</v>
      </c>
      <c r="AM129">
        <v>0.52429706990342395</v>
      </c>
      <c r="AN129">
        <v>0.42582856244131601</v>
      </c>
      <c r="AO129" t="s">
        <v>19</v>
      </c>
      <c r="AU129" t="str">
        <f t="shared" si="4"/>
        <v>INM</v>
      </c>
      <c r="AV129" t="str">
        <f t="shared" si="5"/>
        <v>MDR</v>
      </c>
      <c r="AW129" t="str">
        <f t="shared" si="6"/>
        <v>ELC</v>
      </c>
      <c r="AX129" t="str">
        <f t="shared" si="7"/>
        <v>No</v>
      </c>
    </row>
    <row r="130" spans="1:50">
      <c r="A130" t="s">
        <v>17</v>
      </c>
      <c r="B130" t="s">
        <v>114</v>
      </c>
      <c r="C130" t="s">
        <v>288</v>
      </c>
      <c r="D130" t="s">
        <v>303</v>
      </c>
      <c r="E130" t="s">
        <v>57</v>
      </c>
      <c r="F130" t="s">
        <v>19</v>
      </c>
      <c r="G130" t="s">
        <v>100</v>
      </c>
      <c r="H130" t="s">
        <v>19</v>
      </c>
      <c r="I130" t="s">
        <v>19</v>
      </c>
      <c r="J130" t="s">
        <v>19</v>
      </c>
      <c r="K130" t="s">
        <v>19</v>
      </c>
      <c r="L130">
        <v>0.22030935852484801</v>
      </c>
      <c r="M130">
        <v>2.07239437669554E-2</v>
      </c>
      <c r="N130">
        <v>0.24617376696246501</v>
      </c>
      <c r="O130">
        <v>0.27527640685011101</v>
      </c>
      <c r="P130">
        <v>4.2401371110701101E-2</v>
      </c>
      <c r="Q130">
        <v>2.07047852760564E-2</v>
      </c>
      <c r="R130">
        <v>0.272989923433474</v>
      </c>
      <c r="S130">
        <v>5.2438122561415702E-2</v>
      </c>
      <c r="T130">
        <v>0.18840740177328499</v>
      </c>
      <c r="U130">
        <v>4.1625965555319701E-2</v>
      </c>
      <c r="V130">
        <v>6.0765359718845897E-2</v>
      </c>
      <c r="W130">
        <v>0.189352449329695</v>
      </c>
      <c r="X130">
        <v>0.20276212237827701</v>
      </c>
      <c r="Y130">
        <v>0.14860212121333</v>
      </c>
      <c r="Z130">
        <v>0.12279157533832299</v>
      </c>
      <c r="AA130">
        <v>0.157509759529006</v>
      </c>
      <c r="AB130">
        <v>7.5952214080383301E-2</v>
      </c>
      <c r="AC130">
        <v>0.18382637000190599</v>
      </c>
      <c r="AD130">
        <v>0.195088548913986</v>
      </c>
      <c r="AE130">
        <v>0</v>
      </c>
      <c r="AF130">
        <v>6.0309319241083501E-2</v>
      </c>
      <c r="AG130">
        <v>5.5485129284952299E-2</v>
      </c>
      <c r="AH130">
        <v>0.63657815387494998</v>
      </c>
      <c r="AI130">
        <v>4.6061792852348002E-2</v>
      </c>
      <c r="AJ130">
        <v>0.41791016554694399</v>
      </c>
      <c r="AK130">
        <v>0</v>
      </c>
      <c r="AL130">
        <v>0.13678203542397799</v>
      </c>
      <c r="AM130">
        <v>0.203493854611348</v>
      </c>
      <c r="AN130">
        <v>0.268969571007592</v>
      </c>
      <c r="AO130" t="s">
        <v>19</v>
      </c>
      <c r="AU130" t="str">
        <f t="shared" si="4"/>
        <v>INM</v>
      </c>
      <c r="AV130" t="str">
        <f t="shared" si="5"/>
        <v>MDR</v>
      </c>
      <c r="AW130" t="str">
        <f t="shared" si="6"/>
        <v>NGA</v>
      </c>
      <c r="AX130" t="str">
        <f t="shared" si="7"/>
        <v>Yes</v>
      </c>
    </row>
    <row r="131" spans="1:50">
      <c r="A131" t="s">
        <v>17</v>
      </c>
      <c r="B131" t="s">
        <v>114</v>
      </c>
      <c r="C131" t="s">
        <v>289</v>
      </c>
      <c r="D131" t="s">
        <v>303</v>
      </c>
      <c r="E131" t="s">
        <v>57</v>
      </c>
      <c r="F131" t="s">
        <v>19</v>
      </c>
      <c r="G131" t="s">
        <v>100</v>
      </c>
      <c r="H131" t="s">
        <v>19</v>
      </c>
      <c r="I131" t="s">
        <v>19</v>
      </c>
      <c r="J131" t="s">
        <v>19</v>
      </c>
      <c r="K131" t="s">
        <v>19</v>
      </c>
      <c r="L131">
        <v>0.44725061082714201</v>
      </c>
      <c r="M131">
        <v>0.41800449924094502</v>
      </c>
      <c r="N131">
        <v>0.219167262437136</v>
      </c>
      <c r="O131">
        <v>0.18015807714061999</v>
      </c>
      <c r="P131">
        <v>0.34917710482432002</v>
      </c>
      <c r="Q131">
        <v>0.159742410365983</v>
      </c>
      <c r="R131">
        <v>0.19043174692548701</v>
      </c>
      <c r="S131">
        <v>0.63779854415083703</v>
      </c>
      <c r="T131">
        <v>0.49821857470129599</v>
      </c>
      <c r="U131">
        <v>7.1741524981333904E-2</v>
      </c>
      <c r="V131">
        <v>0.496099916483694</v>
      </c>
      <c r="W131">
        <v>8.9829227070924098E-2</v>
      </c>
      <c r="X131">
        <v>0.24965740270771</v>
      </c>
      <c r="Y131">
        <v>0.45593204557481998</v>
      </c>
      <c r="Z131">
        <v>0.40882632216021197</v>
      </c>
      <c r="AA131">
        <v>0.53066074829508003</v>
      </c>
      <c r="AB131">
        <v>0.51800288406134098</v>
      </c>
      <c r="AC131">
        <v>0.30352978577296003</v>
      </c>
      <c r="AD131">
        <v>0.14305208555106</v>
      </c>
      <c r="AE131">
        <v>0.71868970908832097</v>
      </c>
      <c r="AF131">
        <v>0.50539012274001505</v>
      </c>
      <c r="AG131">
        <v>0.69893460047965705</v>
      </c>
      <c r="AH131">
        <v>0.126587556239492</v>
      </c>
      <c r="AI131">
        <v>0.231780906950947</v>
      </c>
      <c r="AJ131">
        <v>0.134170195613178</v>
      </c>
      <c r="AK131">
        <v>0</v>
      </c>
      <c r="AL131">
        <v>2.44933150574979E-2</v>
      </c>
      <c r="AM131">
        <v>0.14613810589871701</v>
      </c>
      <c r="AN131">
        <v>0.152740808517076</v>
      </c>
      <c r="AO131" t="s">
        <v>19</v>
      </c>
      <c r="AU131" t="str">
        <f t="shared" ref="AU131:AU194" si="8">LEFT(C131,3)</f>
        <v>INM</v>
      </c>
      <c r="AV131" t="str">
        <f t="shared" ref="AV131:AV194" si="9">MID(C131,5,3)</f>
        <v>MDR</v>
      </c>
      <c r="AW131" t="str">
        <f t="shared" ref="AW131:AW194" si="10">RIGHT(C131,3)</f>
        <v>OIL</v>
      </c>
      <c r="AX131" t="str">
        <f t="shared" ref="AX131:AX194" si="11">IFERROR(VLOOKUP(AW131,$AZ$2:$BA$10,2,FALSE),"")</f>
        <v>Yes</v>
      </c>
    </row>
    <row r="132" spans="1:50">
      <c r="A132" t="s">
        <v>17</v>
      </c>
      <c r="B132" t="s">
        <v>114</v>
      </c>
      <c r="C132" t="s">
        <v>297</v>
      </c>
      <c r="D132" t="s">
        <v>303</v>
      </c>
      <c r="E132" t="s">
        <v>57</v>
      </c>
      <c r="F132" t="s">
        <v>19</v>
      </c>
      <c r="G132" t="s">
        <v>100</v>
      </c>
      <c r="H132" t="s">
        <v>19</v>
      </c>
      <c r="I132" t="s">
        <v>19</v>
      </c>
      <c r="J132" t="s">
        <v>19</v>
      </c>
      <c r="K132" t="s">
        <v>19</v>
      </c>
      <c r="L132">
        <v>0</v>
      </c>
      <c r="M132">
        <v>0</v>
      </c>
      <c r="N132">
        <v>0</v>
      </c>
      <c r="O132">
        <v>1.01187139794524E-3</v>
      </c>
      <c r="P132">
        <v>4.1504026717811802E-3</v>
      </c>
      <c r="Q132">
        <v>0</v>
      </c>
      <c r="R132">
        <v>0</v>
      </c>
      <c r="S132">
        <v>1.84639878212829E-3</v>
      </c>
      <c r="T132">
        <v>3.5085379262020898E-3</v>
      </c>
      <c r="U132">
        <v>2.5308890933031201E-2</v>
      </c>
      <c r="V132">
        <v>7.0933188364479902E-3</v>
      </c>
      <c r="W132">
        <v>8.9931175938192803E-3</v>
      </c>
      <c r="X132">
        <v>5.0298124117879404E-3</v>
      </c>
      <c r="Y132">
        <v>0</v>
      </c>
      <c r="Z132">
        <v>5.3479211331439501E-3</v>
      </c>
      <c r="AA132">
        <v>0</v>
      </c>
      <c r="AB132">
        <v>1.2050908078843701E-3</v>
      </c>
      <c r="AC132">
        <v>3.5910455890838201E-3</v>
      </c>
      <c r="AD132">
        <v>5.1212647306591204E-3</v>
      </c>
      <c r="AE132">
        <v>0</v>
      </c>
      <c r="AF132">
        <v>0</v>
      </c>
      <c r="AG132">
        <v>0</v>
      </c>
      <c r="AH132">
        <v>1.25040185098088E-2</v>
      </c>
      <c r="AI132">
        <v>9.6059116436078302E-3</v>
      </c>
      <c r="AJ132">
        <v>3.02713934179265E-3</v>
      </c>
      <c r="AK132">
        <v>0</v>
      </c>
      <c r="AL132">
        <v>0</v>
      </c>
      <c r="AM132">
        <v>0</v>
      </c>
      <c r="AN132">
        <v>0</v>
      </c>
      <c r="AO132" t="s">
        <v>19</v>
      </c>
      <c r="AU132" t="str">
        <f t="shared" si="8"/>
        <v>INM</v>
      </c>
      <c r="AV132" t="str">
        <f t="shared" si="9"/>
        <v>MDR</v>
      </c>
      <c r="AW132" t="str">
        <f t="shared" si="10"/>
        <v>OVC</v>
      </c>
      <c r="AX132" t="str">
        <f t="shared" si="11"/>
        <v>Yes</v>
      </c>
    </row>
    <row r="133" spans="1:50">
      <c r="A133" t="s">
        <v>17</v>
      </c>
      <c r="B133" t="s">
        <v>114</v>
      </c>
      <c r="C133" t="s">
        <v>292</v>
      </c>
      <c r="D133" t="s">
        <v>293</v>
      </c>
      <c r="E133" t="s">
        <v>57</v>
      </c>
      <c r="F133" t="s">
        <v>19</v>
      </c>
      <c r="G133" t="s">
        <v>100</v>
      </c>
      <c r="H133" t="s">
        <v>19</v>
      </c>
      <c r="I133" t="s">
        <v>19</v>
      </c>
      <c r="J133" t="s">
        <v>19</v>
      </c>
      <c r="K133" t="s">
        <v>19</v>
      </c>
      <c r="L133">
        <v>1.6362977742749699E-2</v>
      </c>
      <c r="M133">
        <v>1.6265764319047998E-2</v>
      </c>
      <c r="N133">
        <v>6.90177083827163E-2</v>
      </c>
      <c r="O133">
        <v>4.94374076015167E-2</v>
      </c>
      <c r="P133">
        <v>3.67204114312525E-2</v>
      </c>
      <c r="Q133">
        <v>4.6152513872607798E-2</v>
      </c>
      <c r="R133">
        <v>5.6999844328758598E-2</v>
      </c>
      <c r="S133">
        <v>9.6478355115644007E-3</v>
      </c>
      <c r="T133">
        <v>1.36004301065435E-2</v>
      </c>
      <c r="U133">
        <v>0.18639505107380999</v>
      </c>
      <c r="V133">
        <v>2.17246402763848E-2</v>
      </c>
      <c r="W133">
        <v>0.13605040147675199</v>
      </c>
      <c r="X133">
        <v>4.4109523040630101E-2</v>
      </c>
      <c r="Y133">
        <v>2.3832320102057301E-2</v>
      </c>
      <c r="Z133">
        <v>2.86875404893948E-2</v>
      </c>
      <c r="AA133">
        <v>1.5725458790820299E-2</v>
      </c>
      <c r="AB133">
        <v>1.6931085934691899E-2</v>
      </c>
      <c r="AC133">
        <v>4.2408563687061702E-2</v>
      </c>
      <c r="AD133">
        <v>8.6305093341867201E-2</v>
      </c>
      <c r="AE133">
        <v>0</v>
      </c>
      <c r="AF133">
        <v>1.8317390646028799E-2</v>
      </c>
      <c r="AG133">
        <v>1.08363837237691E-2</v>
      </c>
      <c r="AH133">
        <v>4.1108154235914096E-3</v>
      </c>
      <c r="AI133">
        <v>7.5144053059516006E-2</v>
      </c>
      <c r="AJ133">
        <v>7.5594786161562205E-2</v>
      </c>
      <c r="AK133">
        <v>0.99</v>
      </c>
      <c r="AL133">
        <v>0.32196765396498001</v>
      </c>
      <c r="AM133">
        <v>9.8579916206971693E-2</v>
      </c>
      <c r="AN133">
        <v>7.6749474749916502E-2</v>
      </c>
      <c r="AO133" t="s">
        <v>19</v>
      </c>
      <c r="AU133" t="str">
        <f t="shared" si="8"/>
        <v>INM</v>
      </c>
      <c r="AV133" t="str">
        <f t="shared" si="9"/>
        <v>OTH</v>
      </c>
      <c r="AW133" t="str">
        <f t="shared" si="10"/>
        <v>ELC</v>
      </c>
      <c r="AX133" t="str">
        <f t="shared" si="11"/>
        <v>No</v>
      </c>
    </row>
    <row r="134" spans="1:50">
      <c r="A134" t="s">
        <v>17</v>
      </c>
      <c r="B134" t="s">
        <v>114</v>
      </c>
      <c r="C134" t="s">
        <v>290</v>
      </c>
      <c r="D134" t="s">
        <v>293</v>
      </c>
      <c r="E134" t="s">
        <v>57</v>
      </c>
      <c r="F134" t="s">
        <v>19</v>
      </c>
      <c r="G134" t="s">
        <v>100</v>
      </c>
      <c r="H134" t="s">
        <v>19</v>
      </c>
      <c r="I134" t="s">
        <v>19</v>
      </c>
      <c r="J134" t="s">
        <v>19</v>
      </c>
      <c r="K134" t="s">
        <v>19</v>
      </c>
      <c r="L134">
        <v>3.1066959125692701E-2</v>
      </c>
      <c r="M134">
        <v>3.2195609836305002E-3</v>
      </c>
      <c r="N134">
        <v>6.4379648170179701E-2</v>
      </c>
      <c r="O134">
        <v>8.7242905133448095E-2</v>
      </c>
      <c r="P134">
        <v>7.6832159259459E-3</v>
      </c>
      <c r="Q134">
        <v>8.1153108740932602E-3</v>
      </c>
      <c r="R134">
        <v>8.1660704923435495E-2</v>
      </c>
      <c r="S134">
        <v>5.3637209962125003E-3</v>
      </c>
      <c r="T134">
        <v>2.4096627931998901E-2</v>
      </c>
      <c r="U134">
        <v>3.0032921038273101E-2</v>
      </c>
      <c r="V134">
        <v>7.87125580918447E-3</v>
      </c>
      <c r="W134">
        <v>0.105556746462065</v>
      </c>
      <c r="X134">
        <v>4.8753333794762002E-2</v>
      </c>
      <c r="Y134">
        <v>2.06210577565933E-2</v>
      </c>
      <c r="Z134">
        <v>1.8938949722673699E-2</v>
      </c>
      <c r="AA134">
        <v>1.89729175598078E-2</v>
      </c>
      <c r="AB134">
        <v>9.4539843970024295E-3</v>
      </c>
      <c r="AC134">
        <v>3.6904449152833002E-2</v>
      </c>
      <c r="AD134">
        <v>7.55679445674943E-2</v>
      </c>
      <c r="AE134">
        <v>0</v>
      </c>
      <c r="AF134">
        <v>7.6971730306429603E-3</v>
      </c>
      <c r="AG134">
        <v>5.1736571091018603E-3</v>
      </c>
      <c r="AH134">
        <v>0.24821516127634199</v>
      </c>
      <c r="AI134">
        <v>1.20055503516386E-2</v>
      </c>
      <c r="AJ134">
        <v>0.157707517238795</v>
      </c>
      <c r="AK134">
        <v>0</v>
      </c>
      <c r="AL134">
        <v>0.18171913511922499</v>
      </c>
      <c r="AM134">
        <v>7.5977390004016501E-2</v>
      </c>
      <c r="AN134">
        <v>9.6264427419244902E-2</v>
      </c>
      <c r="AO134" t="s">
        <v>19</v>
      </c>
      <c r="AU134" t="str">
        <f t="shared" si="8"/>
        <v>INM</v>
      </c>
      <c r="AV134" t="str">
        <f t="shared" si="9"/>
        <v>OTH</v>
      </c>
      <c r="AW134" t="str">
        <f t="shared" si="10"/>
        <v>NGA</v>
      </c>
      <c r="AX134" t="str">
        <f t="shared" si="11"/>
        <v>Yes</v>
      </c>
    </row>
    <row r="135" spans="1:50">
      <c r="A135" t="s">
        <v>17</v>
      </c>
      <c r="B135" t="s">
        <v>114</v>
      </c>
      <c r="C135" t="s">
        <v>294</v>
      </c>
      <c r="D135" t="s">
        <v>293</v>
      </c>
      <c r="E135" t="s">
        <v>57</v>
      </c>
      <c r="F135" t="s">
        <v>19</v>
      </c>
      <c r="G135" t="s">
        <v>100</v>
      </c>
      <c r="H135" t="s">
        <v>19</v>
      </c>
      <c r="I135" t="s">
        <v>19</v>
      </c>
      <c r="J135" t="s">
        <v>19</v>
      </c>
      <c r="K135" t="s">
        <v>19</v>
      </c>
      <c r="L135">
        <v>0.942570063131557</v>
      </c>
      <c r="M135">
        <v>0.970514674697321</v>
      </c>
      <c r="N135">
        <v>0.85660264344710402</v>
      </c>
      <c r="O135">
        <v>0.85331968726503504</v>
      </c>
      <c r="P135">
        <v>0.94559637264280205</v>
      </c>
      <c r="Q135">
        <v>0.93573217525329899</v>
      </c>
      <c r="R135">
        <v>0.85133945074780604</v>
      </c>
      <c r="S135">
        <v>0.97498844349222302</v>
      </c>
      <c r="T135">
        <v>0.95230294196145804</v>
      </c>
      <c r="U135">
        <v>0.77357202788791701</v>
      </c>
      <c r="V135">
        <v>0.96040410391443098</v>
      </c>
      <c r="W135">
        <v>0.748392852061184</v>
      </c>
      <c r="X135">
        <v>0.89713714316460802</v>
      </c>
      <c r="Y135">
        <v>0.94554662214134899</v>
      </c>
      <c r="Z135">
        <v>0.942373509787932</v>
      </c>
      <c r="AA135">
        <v>0.95530162364937199</v>
      </c>
      <c r="AB135">
        <v>0.96361492966830598</v>
      </c>
      <c r="AC135">
        <v>0.91068698716010499</v>
      </c>
      <c r="AD135">
        <v>0.82812696209063796</v>
      </c>
      <c r="AE135">
        <v>0.98925914119375102</v>
      </c>
      <c r="AF135">
        <v>0.963985436323328</v>
      </c>
      <c r="AG135">
        <v>0.97398995916712905</v>
      </c>
      <c r="AH135">
        <v>0.73767402330006604</v>
      </c>
      <c r="AI135">
        <v>0.90285039658884503</v>
      </c>
      <c r="AJ135">
        <v>0.75669769659964303</v>
      </c>
      <c r="AK135">
        <v>0</v>
      </c>
      <c r="AL135">
        <v>0.48631321091579599</v>
      </c>
      <c r="AM135">
        <v>0.81544269378901202</v>
      </c>
      <c r="AN135">
        <v>0.81698609783083898</v>
      </c>
      <c r="AO135" t="s">
        <v>19</v>
      </c>
      <c r="AU135" t="str">
        <f t="shared" si="8"/>
        <v>INM</v>
      </c>
      <c r="AV135" t="str">
        <f t="shared" si="9"/>
        <v>OTH</v>
      </c>
      <c r="AW135" t="str">
        <f t="shared" si="10"/>
        <v>OIL</v>
      </c>
      <c r="AX135" t="str">
        <f t="shared" si="11"/>
        <v>Yes</v>
      </c>
    </row>
    <row r="136" spans="1:50">
      <c r="A136" t="s">
        <v>17</v>
      </c>
      <c r="B136" t="s">
        <v>114</v>
      </c>
      <c r="C136" t="s">
        <v>291</v>
      </c>
      <c r="D136" t="s">
        <v>296</v>
      </c>
      <c r="E136" t="s">
        <v>57</v>
      </c>
      <c r="F136" t="s">
        <v>19</v>
      </c>
      <c r="G136" t="s">
        <v>100</v>
      </c>
      <c r="H136" t="s">
        <v>19</v>
      </c>
      <c r="I136" t="s">
        <v>19</v>
      </c>
      <c r="J136" t="s">
        <v>19</v>
      </c>
      <c r="K136" t="s">
        <v>19</v>
      </c>
      <c r="L136">
        <v>0.99</v>
      </c>
      <c r="M136">
        <v>0.99</v>
      </c>
      <c r="N136">
        <v>0.99</v>
      </c>
      <c r="O136">
        <v>0.99</v>
      </c>
      <c r="P136">
        <v>0.99</v>
      </c>
      <c r="Q136">
        <v>0.99</v>
      </c>
      <c r="R136">
        <v>0.99</v>
      </c>
      <c r="S136">
        <v>0.99</v>
      </c>
      <c r="T136">
        <v>0.99</v>
      </c>
      <c r="U136">
        <v>0.99</v>
      </c>
      <c r="V136">
        <v>0.99</v>
      </c>
      <c r="W136">
        <v>0.99</v>
      </c>
      <c r="X136">
        <v>0.99</v>
      </c>
      <c r="Y136">
        <v>0.99</v>
      </c>
      <c r="Z136">
        <v>0.99</v>
      </c>
      <c r="AA136">
        <v>0.99</v>
      </c>
      <c r="AB136">
        <v>0.99</v>
      </c>
      <c r="AC136">
        <v>0.99</v>
      </c>
      <c r="AD136">
        <v>0.99</v>
      </c>
      <c r="AE136">
        <v>0.99</v>
      </c>
      <c r="AF136">
        <v>0.99</v>
      </c>
      <c r="AG136">
        <v>0.99</v>
      </c>
      <c r="AH136">
        <v>0.99</v>
      </c>
      <c r="AI136">
        <v>0.99</v>
      </c>
      <c r="AJ136">
        <v>0.99</v>
      </c>
      <c r="AK136">
        <v>0.99</v>
      </c>
      <c r="AL136">
        <v>0.99</v>
      </c>
      <c r="AM136">
        <v>0.99</v>
      </c>
      <c r="AN136">
        <v>0.99</v>
      </c>
      <c r="AO136" t="s">
        <v>19</v>
      </c>
      <c r="AU136" t="str">
        <f t="shared" si="8"/>
        <v>INM</v>
      </c>
      <c r="AV136" t="str">
        <f t="shared" si="9"/>
        <v>OTP</v>
      </c>
      <c r="AW136" t="str">
        <f t="shared" si="10"/>
        <v>ELC</v>
      </c>
      <c r="AX136" t="str">
        <f t="shared" si="11"/>
        <v>No</v>
      </c>
    </row>
    <row r="137" spans="1:50">
      <c r="A137" t="s">
        <v>17</v>
      </c>
      <c r="B137" t="s">
        <v>114</v>
      </c>
      <c r="C137" t="s">
        <v>299</v>
      </c>
      <c r="D137" t="s">
        <v>300</v>
      </c>
      <c r="E137" t="s">
        <v>57</v>
      </c>
      <c r="F137" t="s">
        <v>19</v>
      </c>
      <c r="G137" t="s">
        <v>100</v>
      </c>
      <c r="H137" t="s">
        <v>19</v>
      </c>
      <c r="I137" t="s">
        <v>19</v>
      </c>
      <c r="J137" t="s">
        <v>19</v>
      </c>
      <c r="K137" t="s">
        <v>19</v>
      </c>
      <c r="L137">
        <v>1.5664467971761801E-2</v>
      </c>
      <c r="M137">
        <v>4.2020205408902098E-2</v>
      </c>
      <c r="N137">
        <v>0</v>
      </c>
      <c r="O137">
        <v>0</v>
      </c>
      <c r="P137">
        <v>9.9561920187477101E-2</v>
      </c>
      <c r="Q137">
        <v>9.3080932758195095E-3</v>
      </c>
      <c r="R137">
        <v>3.5996524295464002E-2</v>
      </c>
      <c r="S137">
        <v>0.44942390584591002</v>
      </c>
      <c r="T137">
        <v>0.121474315310446</v>
      </c>
      <c r="U137">
        <v>0</v>
      </c>
      <c r="V137">
        <v>0.112825165087208</v>
      </c>
      <c r="W137">
        <v>0.24301113812514399</v>
      </c>
      <c r="X137">
        <v>0.159264374817217</v>
      </c>
      <c r="Y137">
        <v>8.8347674882224198E-2</v>
      </c>
      <c r="Z137">
        <v>0.169956226416763</v>
      </c>
      <c r="AA137">
        <v>0.16312700691986801</v>
      </c>
      <c r="AB137">
        <v>6.5487647578502298E-2</v>
      </c>
      <c r="AC137">
        <v>0.14315712467942701</v>
      </c>
      <c r="AD137">
        <v>0.20589657284907401</v>
      </c>
      <c r="AE137">
        <v>0</v>
      </c>
      <c r="AF137">
        <v>1.1688319975789001E-2</v>
      </c>
      <c r="AG137">
        <v>0</v>
      </c>
      <c r="AH137">
        <v>0</v>
      </c>
      <c r="AI137">
        <v>0.17553121383867001</v>
      </c>
      <c r="AJ137">
        <v>8.2387196986088498E-3</v>
      </c>
      <c r="AK137">
        <v>0</v>
      </c>
      <c r="AL137">
        <v>0</v>
      </c>
      <c r="AM137">
        <v>9.8044157567348994E-2</v>
      </c>
      <c r="AN137">
        <v>2.8405278771700099E-2</v>
      </c>
      <c r="AO137" t="s">
        <v>19</v>
      </c>
      <c r="AU137" t="str">
        <f t="shared" si="8"/>
        <v>INM</v>
      </c>
      <c r="AV137" t="str">
        <f t="shared" si="9"/>
        <v>PRC</v>
      </c>
      <c r="AW137" t="str">
        <f t="shared" si="10"/>
        <v>BIO</v>
      </c>
      <c r="AX137" t="str">
        <f t="shared" si="11"/>
        <v>No</v>
      </c>
    </row>
    <row r="138" spans="1:50">
      <c r="A138" t="s">
        <v>17</v>
      </c>
      <c r="B138" t="s">
        <v>114</v>
      </c>
      <c r="C138" t="s">
        <v>295</v>
      </c>
      <c r="D138" t="s">
        <v>300</v>
      </c>
      <c r="E138" t="s">
        <v>57</v>
      </c>
      <c r="F138" t="s">
        <v>19</v>
      </c>
      <c r="G138" t="s">
        <v>100</v>
      </c>
      <c r="H138" t="s">
        <v>19</v>
      </c>
      <c r="I138" t="s">
        <v>19</v>
      </c>
      <c r="J138" t="s">
        <v>19</v>
      </c>
      <c r="K138" t="s">
        <v>19</v>
      </c>
      <c r="L138">
        <v>0.27497854731285598</v>
      </c>
      <c r="M138">
        <v>0.70342629779092403</v>
      </c>
      <c r="N138">
        <v>1.58143606623104E-3</v>
      </c>
      <c r="O138">
        <v>0.43285206856821701</v>
      </c>
      <c r="P138">
        <v>0.35694821742861099</v>
      </c>
      <c r="Q138">
        <v>0.80378039998683903</v>
      </c>
      <c r="R138">
        <v>0.27565413019423901</v>
      </c>
      <c r="S138">
        <v>2.0165091900676599E-2</v>
      </c>
      <c r="T138">
        <v>0.181034598529003</v>
      </c>
      <c r="U138">
        <v>0.52618876445481599</v>
      </c>
      <c r="V138">
        <v>0.19867099774896599</v>
      </c>
      <c r="W138">
        <v>0.139043438757638</v>
      </c>
      <c r="X138">
        <v>0.20696293635804699</v>
      </c>
      <c r="Y138">
        <v>6.3772306835550796E-2</v>
      </c>
      <c r="Z138">
        <v>7.7226896239582302E-2</v>
      </c>
      <c r="AA138">
        <v>2.5065251886753999E-3</v>
      </c>
      <c r="AB138">
        <v>0.35068439307965499</v>
      </c>
      <c r="AC138">
        <v>6.1553187082041903E-2</v>
      </c>
      <c r="AD138">
        <v>0.177947760044744</v>
      </c>
      <c r="AE138">
        <v>0.96042212879448197</v>
      </c>
      <c r="AF138">
        <v>0.43272782279934102</v>
      </c>
      <c r="AG138">
        <v>3.2699197131768498E-2</v>
      </c>
      <c r="AH138">
        <v>0.36305555616547402</v>
      </c>
      <c r="AI138">
        <v>0.111289434328788</v>
      </c>
      <c r="AJ138">
        <v>7.5024550291369604E-2</v>
      </c>
      <c r="AK138">
        <v>0</v>
      </c>
      <c r="AL138">
        <v>0.52822139893041298</v>
      </c>
      <c r="AM138">
        <v>0.14268362066345</v>
      </c>
      <c r="AN138">
        <v>0.26274397730564197</v>
      </c>
      <c r="AO138" t="s">
        <v>19</v>
      </c>
      <c r="AU138" t="str">
        <f t="shared" si="8"/>
        <v>INM</v>
      </c>
      <c r="AV138" t="str">
        <f t="shared" si="9"/>
        <v>PRC</v>
      </c>
      <c r="AW138" t="str">
        <f t="shared" si="10"/>
        <v>COA</v>
      </c>
      <c r="AX138" t="str">
        <f t="shared" si="11"/>
        <v>Yes</v>
      </c>
    </row>
    <row r="139" spans="1:50">
      <c r="A139" t="s">
        <v>17</v>
      </c>
      <c r="B139" t="s">
        <v>114</v>
      </c>
      <c r="C139" t="s">
        <v>284</v>
      </c>
      <c r="D139" t="s">
        <v>300</v>
      </c>
      <c r="E139" t="s">
        <v>57</v>
      </c>
      <c r="F139" t="s">
        <v>19</v>
      </c>
      <c r="G139" t="s">
        <v>100</v>
      </c>
      <c r="H139" t="s">
        <v>19</v>
      </c>
      <c r="I139" t="s">
        <v>19</v>
      </c>
      <c r="J139" t="s">
        <v>19</v>
      </c>
      <c r="K139" t="s">
        <v>19</v>
      </c>
      <c r="L139">
        <v>0.35877221929366598</v>
      </c>
      <c r="M139">
        <v>0.222530254850375</v>
      </c>
      <c r="N139">
        <v>0.67404453544348797</v>
      </c>
      <c r="O139">
        <v>0.29494133906351899</v>
      </c>
      <c r="P139">
        <v>0.47397386782491802</v>
      </c>
      <c r="Q139">
        <v>0.16261468306479401</v>
      </c>
      <c r="R139">
        <v>0.39448851725539502</v>
      </c>
      <c r="S139">
        <v>0.40093305415393998</v>
      </c>
      <c r="T139">
        <v>0.35813773153603201</v>
      </c>
      <c r="U139">
        <v>0.39280277120975898</v>
      </c>
      <c r="V139">
        <v>0.55414128067560298</v>
      </c>
      <c r="W139">
        <v>0.42644093431827002</v>
      </c>
      <c r="X139">
        <v>0.39462144653313402</v>
      </c>
      <c r="Y139">
        <v>0.58461779722324603</v>
      </c>
      <c r="Z139">
        <v>0.54638891508225096</v>
      </c>
      <c r="AA139">
        <v>0.51324094365626705</v>
      </c>
      <c r="AB139">
        <v>0.44543118859940201</v>
      </c>
      <c r="AC139">
        <v>0.54064864689764702</v>
      </c>
      <c r="AD139">
        <v>0.41480364189674701</v>
      </c>
      <c r="AE139">
        <v>2.95778712055185E-2</v>
      </c>
      <c r="AF139">
        <v>0.44952646077703601</v>
      </c>
      <c r="AG139">
        <v>0.77281641859355998</v>
      </c>
      <c r="AH139">
        <v>1.93479091241982E-2</v>
      </c>
      <c r="AI139">
        <v>0.63123954091061296</v>
      </c>
      <c r="AJ139">
        <v>0.44046941130787598</v>
      </c>
      <c r="AK139">
        <v>0.99</v>
      </c>
      <c r="AL139">
        <v>0.36014527406533497</v>
      </c>
      <c r="AM139">
        <v>0.540850435428332</v>
      </c>
      <c r="AN139">
        <v>0.42949793669734299</v>
      </c>
      <c r="AO139" t="s">
        <v>19</v>
      </c>
      <c r="AU139" t="str">
        <f t="shared" si="8"/>
        <v>INM</v>
      </c>
      <c r="AV139" t="str">
        <f t="shared" si="9"/>
        <v>PRC</v>
      </c>
      <c r="AW139" t="str">
        <f t="shared" si="10"/>
        <v>ELC</v>
      </c>
      <c r="AX139" t="str">
        <f t="shared" si="11"/>
        <v>No</v>
      </c>
    </row>
    <row r="140" spans="1:50">
      <c r="A140" t="s">
        <v>17</v>
      </c>
      <c r="B140" t="s">
        <v>114</v>
      </c>
      <c r="C140" t="s">
        <v>287</v>
      </c>
      <c r="D140" t="s">
        <v>300</v>
      </c>
      <c r="E140" t="s">
        <v>57</v>
      </c>
      <c r="F140" t="s">
        <v>19</v>
      </c>
      <c r="G140" t="s">
        <v>100</v>
      </c>
      <c r="H140" t="s">
        <v>19</v>
      </c>
      <c r="I140" t="s">
        <v>19</v>
      </c>
      <c r="J140" t="s">
        <v>19</v>
      </c>
      <c r="K140" t="s">
        <v>19</v>
      </c>
      <c r="L140">
        <v>0.34058476542171701</v>
      </c>
      <c r="M140">
        <v>2.2023241949799498E-2</v>
      </c>
      <c r="N140">
        <v>0.31437402849028101</v>
      </c>
      <c r="O140">
        <v>0.260243614220796</v>
      </c>
      <c r="P140">
        <v>4.95860943248475E-2</v>
      </c>
      <c r="Q140">
        <v>1.4296823672547501E-2</v>
      </c>
      <c r="R140">
        <v>0.28258156476247698</v>
      </c>
      <c r="S140">
        <v>0.111449507926591</v>
      </c>
      <c r="T140">
        <v>0.317266130468984</v>
      </c>
      <c r="U140">
        <v>3.1645192679193197E-2</v>
      </c>
      <c r="V140">
        <v>0.100388032186847</v>
      </c>
      <c r="W140">
        <v>0.16543030044851201</v>
      </c>
      <c r="X140">
        <v>0.21808341803741799</v>
      </c>
      <c r="Y140">
        <v>0.25292202585496998</v>
      </c>
      <c r="Z140">
        <v>0.180357604995702</v>
      </c>
      <c r="AA140">
        <v>0.30961507202551802</v>
      </c>
      <c r="AB140">
        <v>0.12435999448589501</v>
      </c>
      <c r="AC140">
        <v>0.235239521977366</v>
      </c>
      <c r="AD140">
        <v>0.181599123548147</v>
      </c>
      <c r="AE140">
        <v>0</v>
      </c>
      <c r="AF140">
        <v>9.4448030762600096E-2</v>
      </c>
      <c r="AG140">
        <v>0.18448438427467101</v>
      </c>
      <c r="AH140">
        <v>0.58412308614761699</v>
      </c>
      <c r="AI140">
        <v>5.0425667659590598E-2</v>
      </c>
      <c r="AJ140">
        <v>0.45945852091264999</v>
      </c>
      <c r="AK140">
        <v>0</v>
      </c>
      <c r="AL140">
        <v>0.101633327004251</v>
      </c>
      <c r="AM140">
        <v>0.208421786340869</v>
      </c>
      <c r="AN140">
        <v>0.26935280722531502</v>
      </c>
      <c r="AO140" t="s">
        <v>19</v>
      </c>
      <c r="AU140" t="str">
        <f t="shared" si="8"/>
        <v>INM</v>
      </c>
      <c r="AV140" t="str">
        <f t="shared" si="9"/>
        <v>PRC</v>
      </c>
      <c r="AW140" t="str">
        <f t="shared" si="10"/>
        <v>NGA</v>
      </c>
      <c r="AX140" t="str">
        <f t="shared" si="11"/>
        <v>Yes</v>
      </c>
    </row>
    <row r="141" spans="1:50">
      <c r="A141" t="s">
        <v>17</v>
      </c>
      <c r="B141" t="s">
        <v>114</v>
      </c>
      <c r="C141" t="s">
        <v>286</v>
      </c>
      <c r="D141" t="s">
        <v>300</v>
      </c>
      <c r="E141" t="s">
        <v>57</v>
      </c>
      <c r="F141" t="s">
        <v>19</v>
      </c>
      <c r="G141" t="s">
        <v>100</v>
      </c>
      <c r="H141" t="s">
        <v>19</v>
      </c>
      <c r="I141" t="s">
        <v>19</v>
      </c>
      <c r="J141" t="s">
        <v>19</v>
      </c>
      <c r="K141" t="s">
        <v>19</v>
      </c>
      <c r="L141">
        <v>0</v>
      </c>
      <c r="M141">
        <v>0</v>
      </c>
      <c r="N141">
        <v>0</v>
      </c>
      <c r="O141">
        <v>1.9570911827171602E-3</v>
      </c>
      <c r="P141">
        <v>9.9299002341462807E-3</v>
      </c>
      <c r="Q141">
        <v>0</v>
      </c>
      <c r="R141">
        <v>1.27926349242533E-3</v>
      </c>
      <c r="S141">
        <v>8.0284401728827302E-3</v>
      </c>
      <c r="T141">
        <v>1.20872241555341E-2</v>
      </c>
      <c r="U141">
        <v>3.9363271656231699E-2</v>
      </c>
      <c r="V141">
        <v>2.3974524301377399E-2</v>
      </c>
      <c r="W141">
        <v>1.60741883504356E-2</v>
      </c>
      <c r="X141">
        <v>1.1067824254183701E-2</v>
      </c>
      <c r="Y141">
        <v>0</v>
      </c>
      <c r="Z141">
        <v>1.6070357265701499E-2</v>
      </c>
      <c r="AA141">
        <v>1.5104522096706799E-3</v>
      </c>
      <c r="AB141">
        <v>4.03677625654597E-3</v>
      </c>
      <c r="AC141">
        <v>9.4015193635172706E-3</v>
      </c>
      <c r="AD141">
        <v>9.7529016612880604E-3</v>
      </c>
      <c r="AE141">
        <v>0</v>
      </c>
      <c r="AF141">
        <v>1.6093656852333401E-3</v>
      </c>
      <c r="AG141">
        <v>0</v>
      </c>
      <c r="AH141">
        <v>2.3473448562711201E-2</v>
      </c>
      <c r="AI141">
        <v>2.1514143262339198E-2</v>
      </c>
      <c r="AJ141">
        <v>6.8087977894958603E-3</v>
      </c>
      <c r="AK141">
        <v>0</v>
      </c>
      <c r="AL141">
        <v>0</v>
      </c>
      <c r="AM141">
        <v>0</v>
      </c>
      <c r="AN141">
        <v>0</v>
      </c>
      <c r="AO141" t="s">
        <v>19</v>
      </c>
      <c r="AU141" t="str">
        <f t="shared" si="8"/>
        <v>INM</v>
      </c>
      <c r="AV141" t="str">
        <f t="shared" si="9"/>
        <v>PRC</v>
      </c>
      <c r="AW141" t="str">
        <f t="shared" si="10"/>
        <v>OVC</v>
      </c>
      <c r="AX141" t="str">
        <f t="shared" si="11"/>
        <v>Yes</v>
      </c>
    </row>
    <row r="142" spans="1:50">
      <c r="A142" t="s">
        <v>17</v>
      </c>
      <c r="B142" t="s">
        <v>114</v>
      </c>
      <c r="C142" t="s">
        <v>285</v>
      </c>
      <c r="D142" t="s">
        <v>283</v>
      </c>
      <c r="E142" t="s">
        <v>57</v>
      </c>
      <c r="F142" t="s">
        <v>19</v>
      </c>
      <c r="G142" t="s">
        <v>100</v>
      </c>
      <c r="H142" t="s">
        <v>19</v>
      </c>
      <c r="I142" t="s">
        <v>19</v>
      </c>
      <c r="J142" t="s">
        <v>19</v>
      </c>
      <c r="K142" t="s">
        <v>19</v>
      </c>
      <c r="L142">
        <v>1.63727286861803E-2</v>
      </c>
      <c r="M142">
        <v>5.2834081761769298E-2</v>
      </c>
      <c r="N142">
        <v>0</v>
      </c>
      <c r="O142">
        <v>0</v>
      </c>
      <c r="P142">
        <v>0.16742812789861</v>
      </c>
      <c r="Q142">
        <v>1.10596097402464E-2</v>
      </c>
      <c r="R142">
        <v>4.12257184416761E-2</v>
      </c>
      <c r="S142">
        <v>0.62023428653215196</v>
      </c>
      <c r="T142">
        <v>0.12935185963984</v>
      </c>
      <c r="U142">
        <v>0</v>
      </c>
      <c r="V142">
        <v>0.19859073718254899</v>
      </c>
      <c r="W142">
        <v>0.32630958462522203</v>
      </c>
      <c r="X142">
        <v>0.19459845447537899</v>
      </c>
      <c r="Y142">
        <v>0.13060105065058999</v>
      </c>
      <c r="Z142">
        <v>0.26224631772078399</v>
      </c>
      <c r="AA142">
        <v>0.20560002716463099</v>
      </c>
      <c r="AB142">
        <v>9.5403631236696804E-2</v>
      </c>
      <c r="AC142">
        <v>0.20402168284023101</v>
      </c>
      <c r="AD142">
        <v>0.267830934895673</v>
      </c>
      <c r="AE142">
        <v>0</v>
      </c>
      <c r="AF142">
        <v>1.7854736778026601E-2</v>
      </c>
      <c r="AG142">
        <v>0</v>
      </c>
      <c r="AH142">
        <v>0</v>
      </c>
      <c r="AI142">
        <v>0.385379737672291</v>
      </c>
      <c r="AJ142">
        <v>8.3286061258889908E-3</v>
      </c>
      <c r="AK142">
        <v>0</v>
      </c>
      <c r="AL142">
        <v>0</v>
      </c>
      <c r="AM142">
        <v>0.14495446543964</v>
      </c>
      <c r="AN142">
        <v>3.42413078915371E-2</v>
      </c>
      <c r="AO142" t="s">
        <v>19</v>
      </c>
      <c r="AU142" t="str">
        <f t="shared" si="8"/>
        <v>INM</v>
      </c>
      <c r="AV142" t="str">
        <f t="shared" si="9"/>
        <v>PRH</v>
      </c>
      <c r="AW142" t="str">
        <f t="shared" si="10"/>
        <v>BIO</v>
      </c>
      <c r="AX142" t="str">
        <f t="shared" si="11"/>
        <v>No</v>
      </c>
    </row>
    <row r="143" spans="1:50">
      <c r="A143" t="s">
        <v>17</v>
      </c>
      <c r="B143" t="s">
        <v>114</v>
      </c>
      <c r="C143" t="s">
        <v>276</v>
      </c>
      <c r="D143" t="s">
        <v>283</v>
      </c>
      <c r="E143" t="s">
        <v>57</v>
      </c>
      <c r="F143" t="s">
        <v>19</v>
      </c>
      <c r="G143" t="s">
        <v>100</v>
      </c>
      <c r="H143" t="s">
        <v>19</v>
      </c>
      <c r="I143" t="s">
        <v>19</v>
      </c>
      <c r="J143" t="s">
        <v>19</v>
      </c>
      <c r="K143" t="s">
        <v>19</v>
      </c>
      <c r="L143">
        <v>0.28030121614929099</v>
      </c>
      <c r="M143">
        <v>0.86257197952529496</v>
      </c>
      <c r="N143">
        <v>2.3779804706904801E-3</v>
      </c>
      <c r="O143">
        <v>0.44811060536276598</v>
      </c>
      <c r="P143">
        <v>0.58541133523500699</v>
      </c>
      <c r="Q143">
        <v>0.931402158645525</v>
      </c>
      <c r="R143">
        <v>0.30788811219359102</v>
      </c>
      <c r="S143">
        <v>2.7140669645532599E-2</v>
      </c>
      <c r="T143">
        <v>0.188005499285052</v>
      </c>
      <c r="U143">
        <v>0.79031833008985997</v>
      </c>
      <c r="V143">
        <v>0.34104229001640601</v>
      </c>
      <c r="W143">
        <v>0.18208530740965001</v>
      </c>
      <c r="X143">
        <v>0.24662328357935201</v>
      </c>
      <c r="Y143">
        <v>9.1939984481928E-2</v>
      </c>
      <c r="Z143">
        <v>0.116214857116551</v>
      </c>
      <c r="AA143">
        <v>3.08098884509715E-3</v>
      </c>
      <c r="AB143">
        <v>0.49824472102328698</v>
      </c>
      <c r="AC143">
        <v>8.5552884300618304E-2</v>
      </c>
      <c r="AD143">
        <v>0.22574851269034901</v>
      </c>
      <c r="AE143">
        <v>0.98742938742259401</v>
      </c>
      <c r="AF143">
        <v>0.644669215546253</v>
      </c>
      <c r="AG143">
        <v>7.1934717802996706E-2</v>
      </c>
      <c r="AH143">
        <v>0.23919160837148201</v>
      </c>
      <c r="AI143">
        <v>0.23829186061875601</v>
      </c>
      <c r="AJ143">
        <v>7.3966786352816505E-2</v>
      </c>
      <c r="AK143">
        <v>0</v>
      </c>
      <c r="AL143">
        <v>0.69486108385219403</v>
      </c>
      <c r="AM143">
        <v>0.20573337629130201</v>
      </c>
      <c r="AN143">
        <v>0.30889068472903097</v>
      </c>
      <c r="AO143" t="s">
        <v>19</v>
      </c>
      <c r="AU143" t="str">
        <f t="shared" si="8"/>
        <v>INM</v>
      </c>
      <c r="AV143" t="str">
        <f t="shared" si="9"/>
        <v>PRH</v>
      </c>
      <c r="AW143" t="str">
        <f t="shared" si="10"/>
        <v>COA</v>
      </c>
      <c r="AX143" t="str">
        <f t="shared" si="11"/>
        <v>Yes</v>
      </c>
    </row>
    <row r="144" spans="1:50">
      <c r="A144" t="s">
        <v>17</v>
      </c>
      <c r="B144" t="s">
        <v>114</v>
      </c>
      <c r="C144" t="s">
        <v>282</v>
      </c>
      <c r="D144" t="s">
        <v>283</v>
      </c>
      <c r="E144" t="s">
        <v>57</v>
      </c>
      <c r="F144" t="s">
        <v>19</v>
      </c>
      <c r="G144" t="s">
        <v>100</v>
      </c>
      <c r="H144" t="s">
        <v>19</v>
      </c>
      <c r="I144" t="s">
        <v>19</v>
      </c>
      <c r="J144" t="s">
        <v>19</v>
      </c>
      <c r="K144" t="s">
        <v>19</v>
      </c>
      <c r="L144">
        <v>3.0915110278495601E-2</v>
      </c>
      <c r="M144">
        <v>2.3067027589526098E-2</v>
      </c>
      <c r="N144">
        <v>8.56783434255938E-2</v>
      </c>
      <c r="O144">
        <v>2.5811140624691802E-2</v>
      </c>
      <c r="P144">
        <v>6.5710705794341406E-2</v>
      </c>
      <c r="Q144">
        <v>1.5928886199906699E-2</v>
      </c>
      <c r="R144">
        <v>3.7246769152157501E-2</v>
      </c>
      <c r="S144">
        <v>4.5616088207226402E-2</v>
      </c>
      <c r="T144">
        <v>3.1440169030530103E-2</v>
      </c>
      <c r="U144">
        <v>4.98724669894113E-2</v>
      </c>
      <c r="V144">
        <v>8.0411856922266503E-2</v>
      </c>
      <c r="W144">
        <v>4.72072948059108E-2</v>
      </c>
      <c r="X144">
        <v>3.9750995255597901E-2</v>
      </c>
      <c r="Y144">
        <v>7.1247586214447503E-2</v>
      </c>
      <c r="Z144">
        <v>6.9505756720549594E-2</v>
      </c>
      <c r="AA144">
        <v>5.3329212626928302E-2</v>
      </c>
      <c r="AB144">
        <v>5.3497404774979301E-2</v>
      </c>
      <c r="AC144">
        <v>6.3522130512556396E-2</v>
      </c>
      <c r="AD144">
        <v>4.4483685033513701E-2</v>
      </c>
      <c r="AE144">
        <v>2.5706125774061202E-3</v>
      </c>
      <c r="AF144">
        <v>5.6611309089214003E-2</v>
      </c>
      <c r="AG144">
        <v>0.14371550294733701</v>
      </c>
      <c r="AH144">
        <v>1.07753829744461E-3</v>
      </c>
      <c r="AI144">
        <v>0.114255020579638</v>
      </c>
      <c r="AJ144">
        <v>3.6709200627690203E-2</v>
      </c>
      <c r="AK144">
        <v>0.99</v>
      </c>
      <c r="AL144">
        <v>4.0048434376177597E-2</v>
      </c>
      <c r="AM144">
        <v>6.5922495616133406E-2</v>
      </c>
      <c r="AN144">
        <v>4.2683394224667798E-2</v>
      </c>
      <c r="AO144" t="s">
        <v>19</v>
      </c>
      <c r="AU144" t="str">
        <f t="shared" si="8"/>
        <v>INM</v>
      </c>
      <c r="AV144" t="str">
        <f t="shared" si="9"/>
        <v>PRH</v>
      </c>
      <c r="AW144" t="str">
        <f t="shared" si="10"/>
        <v>ELC</v>
      </c>
      <c r="AX144" t="str">
        <f t="shared" si="11"/>
        <v>No</v>
      </c>
    </row>
    <row r="145" spans="1:50">
      <c r="A145" t="s">
        <v>17</v>
      </c>
      <c r="B145" t="s">
        <v>114</v>
      </c>
      <c r="C145" t="s">
        <v>281</v>
      </c>
      <c r="D145" t="s">
        <v>283</v>
      </c>
      <c r="E145" t="s">
        <v>57</v>
      </c>
      <c r="F145" t="s">
        <v>19</v>
      </c>
      <c r="G145" t="s">
        <v>100</v>
      </c>
      <c r="H145" t="s">
        <v>19</v>
      </c>
      <c r="I145" t="s">
        <v>19</v>
      </c>
      <c r="J145" t="s">
        <v>19</v>
      </c>
      <c r="K145" t="s">
        <v>19</v>
      </c>
      <c r="L145">
        <v>0.66241094488603303</v>
      </c>
      <c r="M145">
        <v>5.1526911123409097E-2</v>
      </c>
      <c r="N145">
        <v>0.90194367610371595</v>
      </c>
      <c r="O145">
        <v>0.51404592401406102</v>
      </c>
      <c r="P145">
        <v>0.15516434239052199</v>
      </c>
      <c r="Q145">
        <v>3.1609345414322101E-2</v>
      </c>
      <c r="R145">
        <v>0.60221054434379695</v>
      </c>
      <c r="S145">
        <v>0.286203289884708</v>
      </c>
      <c r="T145">
        <v>0.62864981840380196</v>
      </c>
      <c r="U145">
        <v>9.0686855155551194E-2</v>
      </c>
      <c r="V145">
        <v>0.32880000636386603</v>
      </c>
      <c r="W145">
        <v>0.41334774741500402</v>
      </c>
      <c r="X145">
        <v>0.495838513149163</v>
      </c>
      <c r="Y145">
        <v>0.69572092216291403</v>
      </c>
      <c r="Z145">
        <v>0.51784959915375395</v>
      </c>
      <c r="AA145">
        <v>0.72613314274054996</v>
      </c>
      <c r="AB145">
        <v>0.33711887948874097</v>
      </c>
      <c r="AC145">
        <v>0.62383611384691595</v>
      </c>
      <c r="AD145">
        <v>0.43956411796289702</v>
      </c>
      <c r="AE145">
        <v>0</v>
      </c>
      <c r="AF145">
        <v>0.26846713792585403</v>
      </c>
      <c r="AG145">
        <v>0.77434977924966597</v>
      </c>
      <c r="AH145">
        <v>0.73426585955700396</v>
      </c>
      <c r="AI145">
        <v>0.206007505617221</v>
      </c>
      <c r="AJ145">
        <v>0.86428260569107396</v>
      </c>
      <c r="AK145">
        <v>0</v>
      </c>
      <c r="AL145">
        <v>0.25509048177162802</v>
      </c>
      <c r="AM145">
        <v>0.57338966265292501</v>
      </c>
      <c r="AN145">
        <v>0.60418461315476402</v>
      </c>
      <c r="AO145" t="s">
        <v>19</v>
      </c>
      <c r="AU145" t="str">
        <f t="shared" si="8"/>
        <v>INM</v>
      </c>
      <c r="AV145" t="str">
        <f t="shared" si="9"/>
        <v>PRH</v>
      </c>
      <c r="AW145" t="str">
        <f t="shared" si="10"/>
        <v>NGA</v>
      </c>
      <c r="AX145" t="str">
        <f t="shared" si="11"/>
        <v>Yes</v>
      </c>
    </row>
    <row r="146" spans="1:50">
      <c r="A146" t="s">
        <v>17</v>
      </c>
      <c r="B146" t="s">
        <v>114</v>
      </c>
      <c r="C146" t="s">
        <v>280</v>
      </c>
      <c r="D146" t="s">
        <v>283</v>
      </c>
      <c r="E146" t="s">
        <v>57</v>
      </c>
      <c r="F146" t="s">
        <v>19</v>
      </c>
      <c r="G146" t="s">
        <v>100</v>
      </c>
      <c r="H146" t="s">
        <v>19</v>
      </c>
      <c r="I146" t="s">
        <v>19</v>
      </c>
      <c r="J146" t="s">
        <v>19</v>
      </c>
      <c r="K146" t="s">
        <v>19</v>
      </c>
      <c r="L146">
        <v>0</v>
      </c>
      <c r="M146">
        <v>0</v>
      </c>
      <c r="N146">
        <v>0</v>
      </c>
      <c r="O146">
        <v>2.02608091382913E-3</v>
      </c>
      <c r="P146">
        <v>1.6285488681518901E-2</v>
      </c>
      <c r="Q146">
        <v>0</v>
      </c>
      <c r="R146">
        <v>1.4288558687783001E-3</v>
      </c>
      <c r="S146">
        <v>1.08056657303814E-2</v>
      </c>
      <c r="T146">
        <v>1.2552653640776E-2</v>
      </c>
      <c r="U146">
        <v>5.9122347765177198E-2</v>
      </c>
      <c r="V146">
        <v>4.1155109514912899E-2</v>
      </c>
      <c r="W146">
        <v>2.1050065744212702E-2</v>
      </c>
      <c r="X146">
        <v>1.31887535405073E-2</v>
      </c>
      <c r="Y146">
        <v>0</v>
      </c>
      <c r="Z146">
        <v>2.41834692883615E-2</v>
      </c>
      <c r="AA146">
        <v>1.85662862279354E-3</v>
      </c>
      <c r="AB146">
        <v>5.7353634762962596E-3</v>
      </c>
      <c r="AC146">
        <v>1.30671884996785E-2</v>
      </c>
      <c r="AD146">
        <v>1.2372749417567301E-2</v>
      </c>
      <c r="AE146">
        <v>0</v>
      </c>
      <c r="AF146">
        <v>2.3976006606525398E-3</v>
      </c>
      <c r="AG146">
        <v>0</v>
      </c>
      <c r="AH146">
        <v>1.54649937740688E-2</v>
      </c>
      <c r="AI146">
        <v>4.6065875512093797E-2</v>
      </c>
      <c r="AJ146">
        <v>6.7128012025298896E-3</v>
      </c>
      <c r="AK146">
        <v>0</v>
      </c>
      <c r="AL146">
        <v>0</v>
      </c>
      <c r="AM146">
        <v>0</v>
      </c>
      <c r="AN146">
        <v>0</v>
      </c>
      <c r="AO146" t="s">
        <v>19</v>
      </c>
      <c r="AU146" t="str">
        <f t="shared" si="8"/>
        <v>INM</v>
      </c>
      <c r="AV146" t="str">
        <f t="shared" si="9"/>
        <v>PRH</v>
      </c>
      <c r="AW146" t="str">
        <f t="shared" si="10"/>
        <v>OVC</v>
      </c>
      <c r="AX146" t="str">
        <f t="shared" si="11"/>
        <v>Yes</v>
      </c>
    </row>
    <row r="147" spans="1:50">
      <c r="A147" t="s">
        <v>17</v>
      </c>
      <c r="B147" t="s">
        <v>114</v>
      </c>
      <c r="C147" t="s">
        <v>279</v>
      </c>
      <c r="D147" t="s">
        <v>278</v>
      </c>
      <c r="E147" t="s">
        <v>57</v>
      </c>
      <c r="F147" t="s">
        <v>19</v>
      </c>
      <c r="G147" t="s">
        <v>100</v>
      </c>
      <c r="H147" t="s">
        <v>19</v>
      </c>
      <c r="I147" t="s">
        <v>19</v>
      </c>
      <c r="J147" t="s">
        <v>19</v>
      </c>
      <c r="K147" t="s">
        <v>19</v>
      </c>
      <c r="L147">
        <v>0.18540414591517401</v>
      </c>
      <c r="M147">
        <v>0.68161988076892499</v>
      </c>
      <c r="N147">
        <v>0.31608065499337101</v>
      </c>
      <c r="O147">
        <v>0.19667703555082899</v>
      </c>
      <c r="P147">
        <v>0.66970957743716397</v>
      </c>
      <c r="Q147">
        <v>0.706178060734309</v>
      </c>
      <c r="R147">
        <v>0.23159933477274899</v>
      </c>
      <c r="S147">
        <v>0.435980362115233</v>
      </c>
      <c r="T147">
        <v>0.19605026601100001</v>
      </c>
      <c r="U147">
        <v>0.72353297714661702</v>
      </c>
      <c r="V147">
        <v>0.541528587976422</v>
      </c>
      <c r="W147">
        <v>0.35696183381452101</v>
      </c>
      <c r="X147">
        <v>0.28074336815076001</v>
      </c>
      <c r="Y147">
        <v>0.33246824644725098</v>
      </c>
      <c r="Z147">
        <v>0.39458209393979599</v>
      </c>
      <c r="AA147">
        <v>0.26345648501466001</v>
      </c>
      <c r="AB147">
        <v>0.43491673795575198</v>
      </c>
      <c r="AC147">
        <v>0.33120819913592198</v>
      </c>
      <c r="AD147">
        <v>0.32985152619858898</v>
      </c>
      <c r="AE147">
        <v>0.99</v>
      </c>
      <c r="AF147">
        <v>0.50497765565094599</v>
      </c>
      <c r="AG147">
        <v>0.47339484606445298</v>
      </c>
      <c r="AH147">
        <v>7.1215990807787502E-3</v>
      </c>
      <c r="AI147">
        <v>0.72517801817146899</v>
      </c>
      <c r="AJ147">
        <v>0.17162150761028599</v>
      </c>
      <c r="AK147">
        <v>0.99</v>
      </c>
      <c r="AL147">
        <v>0.43230283079429299</v>
      </c>
      <c r="AM147">
        <v>0.35848226923874399</v>
      </c>
      <c r="AN147">
        <v>0.256019112872368</v>
      </c>
      <c r="AO147" t="s">
        <v>19</v>
      </c>
      <c r="AU147" t="str">
        <f t="shared" si="8"/>
        <v>INM</v>
      </c>
      <c r="AV147" t="str">
        <f t="shared" si="9"/>
        <v>SPC</v>
      </c>
      <c r="AW147" t="str">
        <f t="shared" si="10"/>
        <v>ELC</v>
      </c>
      <c r="AX147" t="str">
        <f t="shared" si="11"/>
        <v>No</v>
      </c>
    </row>
    <row r="148" spans="1:50">
      <c r="A148" t="s">
        <v>17</v>
      </c>
      <c r="B148" t="s">
        <v>114</v>
      </c>
      <c r="C148" t="s">
        <v>277</v>
      </c>
      <c r="D148" t="s">
        <v>278</v>
      </c>
      <c r="E148" t="s">
        <v>57</v>
      </c>
      <c r="F148" t="s">
        <v>19</v>
      </c>
      <c r="G148" t="s">
        <v>100</v>
      </c>
      <c r="H148" t="s">
        <v>19</v>
      </c>
      <c r="I148" t="s">
        <v>19</v>
      </c>
      <c r="J148" t="s">
        <v>19</v>
      </c>
      <c r="K148" t="s">
        <v>19</v>
      </c>
      <c r="L148">
        <v>0.80459585408482603</v>
      </c>
      <c r="M148">
        <v>0.308380119231075</v>
      </c>
      <c r="N148">
        <v>0.67391934500662898</v>
      </c>
      <c r="O148">
        <v>0.79332296444917105</v>
      </c>
      <c r="P148">
        <v>0.32029042256283602</v>
      </c>
      <c r="Q148">
        <v>0.28382193926569099</v>
      </c>
      <c r="R148">
        <v>0.75840066522725103</v>
      </c>
      <c r="S148">
        <v>0.55401963788476705</v>
      </c>
      <c r="T148">
        <v>0.79394973398900004</v>
      </c>
      <c r="U148">
        <v>0.26646702285338297</v>
      </c>
      <c r="V148">
        <v>0.44847141202357799</v>
      </c>
      <c r="W148">
        <v>0.63303816618547903</v>
      </c>
      <c r="X148">
        <v>0.70925663184924004</v>
      </c>
      <c r="Y148">
        <v>0.65753175355274895</v>
      </c>
      <c r="Z148">
        <v>0.59541790606020395</v>
      </c>
      <c r="AA148">
        <v>0.72654351498533998</v>
      </c>
      <c r="AB148">
        <v>0.55508326204424896</v>
      </c>
      <c r="AC148">
        <v>0.65879180086407796</v>
      </c>
      <c r="AD148">
        <v>0.66014847380141095</v>
      </c>
      <c r="AE148">
        <v>0</v>
      </c>
      <c r="AF148">
        <v>0.485022344349054</v>
      </c>
      <c r="AG148">
        <v>0.51660515393554696</v>
      </c>
      <c r="AH148">
        <v>0.98287840091922096</v>
      </c>
      <c r="AI148">
        <v>0.26482198182853101</v>
      </c>
      <c r="AJ148">
        <v>0.81837849238971405</v>
      </c>
      <c r="AK148">
        <v>0</v>
      </c>
      <c r="AL148">
        <v>0.557697169205707</v>
      </c>
      <c r="AM148">
        <v>0.63151773076125595</v>
      </c>
      <c r="AN148">
        <v>0.73398088712763199</v>
      </c>
      <c r="AO148" t="s">
        <v>19</v>
      </c>
      <c r="AU148" t="str">
        <f t="shared" si="8"/>
        <v>INM</v>
      </c>
      <c r="AV148" t="str">
        <f t="shared" si="9"/>
        <v>SPC</v>
      </c>
      <c r="AW148" t="str">
        <f t="shared" si="10"/>
        <v>NGA</v>
      </c>
      <c r="AX148" t="str">
        <f t="shared" si="11"/>
        <v>Yes</v>
      </c>
    </row>
    <row r="149" spans="1:50">
      <c r="A149" t="s">
        <v>17</v>
      </c>
      <c r="B149" t="s">
        <v>114</v>
      </c>
      <c r="C149" t="s">
        <v>275</v>
      </c>
      <c r="D149" t="s">
        <v>274</v>
      </c>
      <c r="E149" t="s">
        <v>57</v>
      </c>
      <c r="F149" t="s">
        <v>19</v>
      </c>
      <c r="G149" t="s">
        <v>100</v>
      </c>
      <c r="H149" t="s">
        <v>19</v>
      </c>
      <c r="I149" t="s">
        <v>19</v>
      </c>
      <c r="J149" t="s">
        <v>19</v>
      </c>
      <c r="K149" t="s">
        <v>19</v>
      </c>
      <c r="L149">
        <v>0</v>
      </c>
      <c r="M149">
        <v>0</v>
      </c>
      <c r="N149">
        <v>0</v>
      </c>
      <c r="O149">
        <v>0.856826745506995</v>
      </c>
      <c r="P149">
        <v>0.28276004675093003</v>
      </c>
      <c r="Q149">
        <v>0</v>
      </c>
      <c r="R149">
        <v>0</v>
      </c>
      <c r="S149">
        <v>0</v>
      </c>
      <c r="T149">
        <v>0</v>
      </c>
      <c r="U149">
        <v>0.88678696787295497</v>
      </c>
      <c r="V149">
        <v>0.93939787706955402</v>
      </c>
      <c r="W149">
        <v>0.81540226079151301</v>
      </c>
      <c r="X149">
        <v>0.60839681230104503</v>
      </c>
      <c r="Y149">
        <v>0.93009141967438103</v>
      </c>
      <c r="Z149">
        <v>0.40375859760691701</v>
      </c>
      <c r="AA149">
        <v>0.37677340414220101</v>
      </c>
      <c r="AB149">
        <v>0.90416688682777002</v>
      </c>
      <c r="AC149">
        <v>0.55022976911438903</v>
      </c>
      <c r="AD149">
        <v>0.62060039603829298</v>
      </c>
      <c r="AF149">
        <v>0</v>
      </c>
      <c r="AG149">
        <v>0</v>
      </c>
      <c r="AH149">
        <v>0</v>
      </c>
      <c r="AI149">
        <v>0.76244517618955698</v>
      </c>
      <c r="AJ149">
        <v>0.97126114790450102</v>
      </c>
      <c r="AL149">
        <v>0</v>
      </c>
      <c r="AM149">
        <v>0</v>
      </c>
      <c r="AN149">
        <v>6.8464165780685496E-2</v>
      </c>
      <c r="AO149" t="s">
        <v>19</v>
      </c>
      <c r="AU149" t="str">
        <f t="shared" si="8"/>
        <v>INM</v>
      </c>
      <c r="AV149" t="str">
        <f t="shared" si="9"/>
        <v>STM</v>
      </c>
      <c r="AW149" t="str">
        <f t="shared" si="10"/>
        <v>HET</v>
      </c>
      <c r="AX149" t="str">
        <f t="shared" si="11"/>
        <v>No</v>
      </c>
    </row>
    <row r="150" spans="1:50">
      <c r="A150" t="s">
        <v>17</v>
      </c>
      <c r="B150" t="s">
        <v>114</v>
      </c>
      <c r="C150" t="s">
        <v>271</v>
      </c>
      <c r="D150" t="s">
        <v>274</v>
      </c>
      <c r="E150" t="s">
        <v>57</v>
      </c>
      <c r="F150" t="s">
        <v>19</v>
      </c>
      <c r="G150" t="s">
        <v>100</v>
      </c>
      <c r="H150" t="s">
        <v>19</v>
      </c>
      <c r="I150" t="s">
        <v>19</v>
      </c>
      <c r="J150" t="s">
        <v>19</v>
      </c>
      <c r="K150" t="s">
        <v>19</v>
      </c>
      <c r="L150">
        <v>0.99</v>
      </c>
      <c r="M150">
        <v>0.99</v>
      </c>
      <c r="N150">
        <v>0.99</v>
      </c>
      <c r="O150">
        <v>0.13317325449300499</v>
      </c>
      <c r="P150">
        <v>0.70723995324906996</v>
      </c>
      <c r="Q150">
        <v>0.989780364860124</v>
      </c>
      <c r="R150">
        <v>0.99</v>
      </c>
      <c r="S150">
        <v>0.99</v>
      </c>
      <c r="T150">
        <v>0.99</v>
      </c>
      <c r="U150">
        <v>0.103213032127045</v>
      </c>
      <c r="V150">
        <v>5.0602122930445997E-2</v>
      </c>
      <c r="W150">
        <v>0.17459773920848701</v>
      </c>
      <c r="X150">
        <v>0.38160318769895502</v>
      </c>
      <c r="Y150">
        <v>5.9908580325618598E-2</v>
      </c>
      <c r="Z150">
        <v>0.58624140239308298</v>
      </c>
      <c r="AA150">
        <v>0.61322659585779904</v>
      </c>
      <c r="AB150">
        <v>8.5833113172229802E-2</v>
      </c>
      <c r="AC150">
        <v>0.43977023088561001</v>
      </c>
      <c r="AD150">
        <v>0.36939960396170701</v>
      </c>
      <c r="AF150">
        <v>0.99</v>
      </c>
      <c r="AG150">
        <v>0.99</v>
      </c>
      <c r="AH150">
        <v>0.99</v>
      </c>
      <c r="AI150">
        <v>0.22755482381044301</v>
      </c>
      <c r="AJ150">
        <v>1.87388520954993E-2</v>
      </c>
      <c r="AL150">
        <v>0.99</v>
      </c>
      <c r="AM150">
        <v>0.99</v>
      </c>
      <c r="AN150">
        <v>0.92153583421931495</v>
      </c>
      <c r="AO150" t="s">
        <v>19</v>
      </c>
      <c r="AU150" t="str">
        <f t="shared" si="8"/>
        <v>INM</v>
      </c>
      <c r="AV150" t="str">
        <f t="shared" si="9"/>
        <v>STM</v>
      </c>
      <c r="AW150" t="str">
        <f t="shared" si="10"/>
        <v>NGA</v>
      </c>
      <c r="AX150" t="str">
        <f t="shared" si="11"/>
        <v>Yes</v>
      </c>
    </row>
    <row r="151" spans="1:50">
      <c r="A151" t="s">
        <v>17</v>
      </c>
      <c r="B151" t="s">
        <v>114</v>
      </c>
      <c r="C151" t="s">
        <v>273</v>
      </c>
      <c r="D151" t="s">
        <v>272</v>
      </c>
      <c r="E151" t="s">
        <v>57</v>
      </c>
      <c r="F151" t="s">
        <v>19</v>
      </c>
      <c r="G151" t="s">
        <v>100</v>
      </c>
      <c r="H151" t="s">
        <v>19</v>
      </c>
      <c r="I151" t="s">
        <v>19</v>
      </c>
      <c r="J151" t="s">
        <v>19</v>
      </c>
      <c r="K151" t="s">
        <v>19</v>
      </c>
      <c r="L151">
        <v>0.81197707427160004</v>
      </c>
      <c r="M151">
        <v>0.77060927411873403</v>
      </c>
      <c r="N151">
        <v>0.73295645652471098</v>
      </c>
      <c r="O151">
        <v>0.87703172660467699</v>
      </c>
      <c r="P151">
        <v>0.88817520256288696</v>
      </c>
      <c r="Q151">
        <v>0.87464530554411002</v>
      </c>
      <c r="R151">
        <v>0.79828861124081196</v>
      </c>
      <c r="S151">
        <v>0.94751670807487198</v>
      </c>
      <c r="T151">
        <v>0.75156508039312597</v>
      </c>
      <c r="U151">
        <v>0.89006924397208698</v>
      </c>
      <c r="V151">
        <v>0.94442213374309403</v>
      </c>
      <c r="W151">
        <v>0.95640015813254697</v>
      </c>
      <c r="X151">
        <v>0.92322555651761395</v>
      </c>
      <c r="Y151">
        <v>0.96384612001535497</v>
      </c>
      <c r="Z151">
        <v>0.94705374255465102</v>
      </c>
      <c r="AA151">
        <v>0.93895388708405303</v>
      </c>
      <c r="AB151">
        <v>0.93639159417755302</v>
      </c>
      <c r="AC151">
        <v>0.93106055544917399</v>
      </c>
      <c r="AD151">
        <v>0.94586944081030599</v>
      </c>
      <c r="AE151">
        <v>0.881047400833604</v>
      </c>
      <c r="AF151">
        <v>0.79486841237839101</v>
      </c>
      <c r="AG151">
        <v>0.95591209329412996</v>
      </c>
      <c r="AH151">
        <v>0.696463722203019</v>
      </c>
      <c r="AI151">
        <v>0.94829743719135495</v>
      </c>
      <c r="AJ151">
        <v>0.65250813904938698</v>
      </c>
      <c r="AK151">
        <v>0.38940240291504202</v>
      </c>
      <c r="AL151">
        <v>0.97150535854130804</v>
      </c>
      <c r="AM151">
        <v>0.88087103581523696</v>
      </c>
      <c r="AN151">
        <v>0.88347057599557699</v>
      </c>
      <c r="AO151" t="s">
        <v>19</v>
      </c>
      <c r="AU151" t="str">
        <f t="shared" si="8"/>
        <v>IOI</v>
      </c>
      <c r="AV151" t="str">
        <f t="shared" si="9"/>
        <v>MDR</v>
      </c>
      <c r="AW151" t="str">
        <f t="shared" si="10"/>
        <v>ELC</v>
      </c>
      <c r="AX151" t="str">
        <f t="shared" si="11"/>
        <v>No</v>
      </c>
    </row>
    <row r="152" spans="1:50">
      <c r="A152" t="s">
        <v>17</v>
      </c>
      <c r="B152" t="s">
        <v>114</v>
      </c>
      <c r="C152" t="s">
        <v>270</v>
      </c>
      <c r="D152" t="s">
        <v>272</v>
      </c>
      <c r="E152" t="s">
        <v>57</v>
      </c>
      <c r="F152" t="s">
        <v>19</v>
      </c>
      <c r="G152" t="s">
        <v>100</v>
      </c>
      <c r="H152" t="s">
        <v>19</v>
      </c>
      <c r="I152" t="s">
        <v>19</v>
      </c>
      <c r="J152" t="s">
        <v>19</v>
      </c>
      <c r="K152" t="s">
        <v>19</v>
      </c>
      <c r="L152">
        <v>5.6284170301348302E-2</v>
      </c>
      <c r="M152">
        <v>3.6100531744894998E-2</v>
      </c>
      <c r="N152">
        <v>0.121993949025178</v>
      </c>
      <c r="O152">
        <v>9.1217969872571705E-2</v>
      </c>
      <c r="P152">
        <v>3.7916095734347302E-2</v>
      </c>
      <c r="Q152">
        <v>5.5806373733985601E-2</v>
      </c>
      <c r="R152">
        <v>4.0202310485686198E-2</v>
      </c>
      <c r="S152">
        <v>1.92183885613544E-2</v>
      </c>
      <c r="T152">
        <v>9.6076785331173101E-2</v>
      </c>
      <c r="U152">
        <v>1.8351216229356301E-2</v>
      </c>
      <c r="V152">
        <v>3.5599882908309601E-3</v>
      </c>
      <c r="W152">
        <v>2.48773722515374E-2</v>
      </c>
      <c r="X152">
        <v>4.5412544122114901E-2</v>
      </c>
      <c r="Y152">
        <v>1.7763853402930099E-2</v>
      </c>
      <c r="Z152">
        <v>3.1465062485698102E-2</v>
      </c>
      <c r="AA152">
        <v>3.3415879022916997E-2</v>
      </c>
      <c r="AB152">
        <v>4.30983945393794E-2</v>
      </c>
      <c r="AC152">
        <v>4.1932583071939297E-2</v>
      </c>
      <c r="AD152">
        <v>3.4577681588121502E-2</v>
      </c>
      <c r="AE152">
        <v>1.6282832155053498E-2</v>
      </c>
      <c r="AF152">
        <v>2.9606672337686699E-2</v>
      </c>
      <c r="AG152">
        <v>1.3350401643088001E-2</v>
      </c>
      <c r="AH152">
        <v>0.20528304448751999</v>
      </c>
      <c r="AI152">
        <v>6.1053389464341898E-3</v>
      </c>
      <c r="AJ152">
        <v>4.0116467567901201E-2</v>
      </c>
      <c r="AK152">
        <v>0.231775217476</v>
      </c>
      <c r="AL152">
        <v>2.8568215359244002E-3</v>
      </c>
      <c r="AM152">
        <v>2.3794866279816199E-2</v>
      </c>
      <c r="AN152">
        <v>8.7949861109402602E-2</v>
      </c>
      <c r="AO152" t="s">
        <v>19</v>
      </c>
      <c r="AU152" t="str">
        <f t="shared" si="8"/>
        <v>IOI</v>
      </c>
      <c r="AV152" t="str">
        <f t="shared" si="9"/>
        <v>MDR</v>
      </c>
      <c r="AW152" t="str">
        <f t="shared" si="10"/>
        <v>NGA</v>
      </c>
      <c r="AX152" t="str">
        <f t="shared" si="11"/>
        <v>Yes</v>
      </c>
    </row>
    <row r="153" spans="1:50">
      <c r="A153" t="s">
        <v>17</v>
      </c>
      <c r="B153" t="s">
        <v>114</v>
      </c>
      <c r="C153" t="s">
        <v>267</v>
      </c>
      <c r="D153" t="s">
        <v>272</v>
      </c>
      <c r="E153" t="s">
        <v>57</v>
      </c>
      <c r="F153" t="s">
        <v>19</v>
      </c>
      <c r="G153" t="s">
        <v>100</v>
      </c>
      <c r="H153" t="s">
        <v>19</v>
      </c>
      <c r="I153" t="s">
        <v>19</v>
      </c>
      <c r="J153" t="s">
        <v>19</v>
      </c>
      <c r="K153" t="s">
        <v>19</v>
      </c>
      <c r="L153">
        <v>0.121738755427051</v>
      </c>
      <c r="M153">
        <v>0.18329019413637099</v>
      </c>
      <c r="N153">
        <v>0.135049594450111</v>
      </c>
      <c r="O153">
        <v>2.17503035227514E-2</v>
      </c>
      <c r="P153">
        <v>6.3908701702765497E-2</v>
      </c>
      <c r="Q153">
        <v>5.9548320721904899E-2</v>
      </c>
      <c r="R153">
        <v>0.15150907827350199</v>
      </c>
      <c r="S153">
        <v>2.3264903363773799E-2</v>
      </c>
      <c r="T153">
        <v>0.14235813427570099</v>
      </c>
      <c r="U153">
        <v>8.1579539798557199E-2</v>
      </c>
      <c r="V153">
        <v>4.2017877966075298E-2</v>
      </c>
      <c r="W153">
        <v>8.7224696159161202E-3</v>
      </c>
      <c r="X153">
        <v>2.13618993602709E-2</v>
      </c>
      <c r="Y153">
        <v>8.3900265817150807E-3</v>
      </c>
      <c r="Z153">
        <v>1.1481194959650901E-2</v>
      </c>
      <c r="AA153">
        <v>1.76302338930302E-2</v>
      </c>
      <c r="AB153">
        <v>1.05100112830673E-2</v>
      </c>
      <c r="AC153">
        <v>1.70068614788868E-2</v>
      </c>
      <c r="AD153">
        <v>9.5528776015720903E-3</v>
      </c>
      <c r="AE153">
        <v>9.2669767011342594E-2</v>
      </c>
      <c r="AF153">
        <v>0.16552491528392199</v>
      </c>
      <c r="AG153">
        <v>2.0737505062782199E-2</v>
      </c>
      <c r="AH153">
        <v>8.8253233309461096E-2</v>
      </c>
      <c r="AI153">
        <v>3.5597223862211397E-2</v>
      </c>
      <c r="AJ153">
        <v>0.29737539338271202</v>
      </c>
      <c r="AK153">
        <v>0.36882237960895797</v>
      </c>
      <c r="AL153">
        <v>1.5637819922767301E-2</v>
      </c>
      <c r="AM153">
        <v>8.5334097904946393E-2</v>
      </c>
      <c r="AN153">
        <v>1.8579562895020101E-2</v>
      </c>
      <c r="AO153" t="s">
        <v>19</v>
      </c>
      <c r="AU153" t="str">
        <f t="shared" si="8"/>
        <v>IOI</v>
      </c>
      <c r="AV153" t="str">
        <f t="shared" si="9"/>
        <v>MDR</v>
      </c>
      <c r="AW153" t="str">
        <f t="shared" si="10"/>
        <v>OIL</v>
      </c>
      <c r="AX153" t="str">
        <f t="shared" si="11"/>
        <v>Yes</v>
      </c>
    </row>
    <row r="154" spans="1:50">
      <c r="A154" t="s">
        <v>17</v>
      </c>
      <c r="B154" t="s">
        <v>114</v>
      </c>
      <c r="C154" t="s">
        <v>269</v>
      </c>
      <c r="D154" t="s">
        <v>268</v>
      </c>
      <c r="E154" t="s">
        <v>57</v>
      </c>
      <c r="F154" t="s">
        <v>19</v>
      </c>
      <c r="G154" t="s">
        <v>100</v>
      </c>
      <c r="H154" t="s">
        <v>19</v>
      </c>
      <c r="I154" t="s">
        <v>19</v>
      </c>
      <c r="J154" t="s">
        <v>19</v>
      </c>
      <c r="K154" t="s">
        <v>19</v>
      </c>
      <c r="L154">
        <v>3.7117813226922397E-2</v>
      </c>
      <c r="M154">
        <v>2.3919790357879799E-2</v>
      </c>
      <c r="N154">
        <v>3.0014206417682501E-2</v>
      </c>
      <c r="O154">
        <v>0.172408761544186</v>
      </c>
      <c r="P154">
        <v>7.4040211667995695E-2</v>
      </c>
      <c r="Q154">
        <v>7.7158169772037599E-2</v>
      </c>
      <c r="R154">
        <v>2.97321855045454E-2</v>
      </c>
      <c r="S154">
        <v>0.18849707932753401</v>
      </c>
      <c r="T154">
        <v>2.94216309301592E-2</v>
      </c>
      <c r="U154">
        <v>5.9720293507741801E-2</v>
      </c>
      <c r="V154">
        <v>0.116088490730916</v>
      </c>
      <c r="W154">
        <v>0.36962851008328501</v>
      </c>
      <c r="X154">
        <v>0.19155953756516</v>
      </c>
      <c r="Y154">
        <v>0.38556546001304598</v>
      </c>
      <c r="Z154">
        <v>0.30709539895545102</v>
      </c>
      <c r="AA154">
        <v>0.22710690584181401</v>
      </c>
      <c r="AB154">
        <v>0.31522544509789302</v>
      </c>
      <c r="AC154">
        <v>0.22897165285978699</v>
      </c>
      <c r="AD154">
        <v>0.34136266700206502</v>
      </c>
      <c r="AE154">
        <v>5.2524459067989603E-2</v>
      </c>
      <c r="AF154">
        <v>2.7242437147621899E-2</v>
      </c>
      <c r="AG154">
        <v>0.209051642859095</v>
      </c>
      <c r="AH154">
        <v>4.1314763187503802E-2</v>
      </c>
      <c r="AI154">
        <v>0.13434596565214199</v>
      </c>
      <c r="AJ154">
        <v>1.2654048767032199E-2</v>
      </c>
      <c r="AK154">
        <v>6.0358445817248196E-3</v>
      </c>
      <c r="AL154">
        <v>0.26527083354525599</v>
      </c>
      <c r="AM154">
        <v>5.6596286382886198E-2</v>
      </c>
      <c r="AN154">
        <v>0.194799367153979</v>
      </c>
      <c r="AO154" t="s">
        <v>19</v>
      </c>
      <c r="AU154" t="str">
        <f t="shared" si="8"/>
        <v>IOI</v>
      </c>
      <c r="AV154" t="str">
        <f t="shared" si="9"/>
        <v>OTH</v>
      </c>
      <c r="AW154" t="str">
        <f t="shared" si="10"/>
        <v>ELC</v>
      </c>
      <c r="AX154" t="str">
        <f t="shared" si="11"/>
        <v>No</v>
      </c>
    </row>
    <row r="155" spans="1:50">
      <c r="A155" t="s">
        <v>17</v>
      </c>
      <c r="B155" t="s">
        <v>114</v>
      </c>
      <c r="C155" t="s">
        <v>266</v>
      </c>
      <c r="D155" t="s">
        <v>268</v>
      </c>
      <c r="E155" t="s">
        <v>57</v>
      </c>
      <c r="F155" t="s">
        <v>19</v>
      </c>
      <c r="G155" t="s">
        <v>100</v>
      </c>
      <c r="H155" t="s">
        <v>19</v>
      </c>
      <c r="I155" t="s">
        <v>19</v>
      </c>
      <c r="J155" t="s">
        <v>19</v>
      </c>
      <c r="K155" t="s">
        <v>19</v>
      </c>
      <c r="L155">
        <v>1.37834555776264E-2</v>
      </c>
      <c r="M155">
        <v>6.00302240531913E-3</v>
      </c>
      <c r="N155">
        <v>2.6762101148870201E-2</v>
      </c>
      <c r="O155">
        <v>9.6063334625728206E-2</v>
      </c>
      <c r="P155">
        <v>1.69326856849767E-2</v>
      </c>
      <c r="Q155">
        <v>2.6373452053944101E-2</v>
      </c>
      <c r="R155">
        <v>8.0214178733677595E-3</v>
      </c>
      <c r="S155">
        <v>2.0481791747563899E-2</v>
      </c>
      <c r="T155">
        <v>2.0148923175075099E-2</v>
      </c>
      <c r="U155">
        <v>6.5962365139205902E-3</v>
      </c>
      <c r="V155">
        <v>2.3442547541763399E-3</v>
      </c>
      <c r="W155">
        <v>5.1506679735083501E-2</v>
      </c>
      <c r="X155">
        <v>5.0478335113137797E-2</v>
      </c>
      <c r="Y155">
        <v>3.8068067127894997E-2</v>
      </c>
      <c r="Z155">
        <v>5.4658852670161302E-2</v>
      </c>
      <c r="AA155">
        <v>4.3298434463327103E-2</v>
      </c>
      <c r="AB155">
        <v>7.7724525680868295E-2</v>
      </c>
      <c r="AC155">
        <v>5.52444475346772E-2</v>
      </c>
      <c r="AD155">
        <v>6.6851926479319701E-2</v>
      </c>
      <c r="AE155">
        <v>5.2002651509068598E-3</v>
      </c>
      <c r="AF155">
        <v>5.4359260989611299E-3</v>
      </c>
      <c r="AG155">
        <v>1.56409521778153E-2</v>
      </c>
      <c r="AH155">
        <v>6.5236863993619498E-2</v>
      </c>
      <c r="AI155">
        <v>4.6336482187355598E-3</v>
      </c>
      <c r="AJ155">
        <v>4.1677291049211102E-3</v>
      </c>
      <c r="AK155">
        <v>1.9245962991369499E-2</v>
      </c>
      <c r="AL155">
        <v>4.1788871230794104E-3</v>
      </c>
      <c r="AM155">
        <v>8.1901546370799407E-3</v>
      </c>
      <c r="AN155">
        <v>0.103887629676243</v>
      </c>
      <c r="AO155" t="s">
        <v>19</v>
      </c>
      <c r="AU155" t="str">
        <f t="shared" si="8"/>
        <v>IOI</v>
      </c>
      <c r="AV155" t="str">
        <f t="shared" si="9"/>
        <v>OTH</v>
      </c>
      <c r="AW155" t="str">
        <f t="shared" si="10"/>
        <v>NGA</v>
      </c>
      <c r="AX155" t="str">
        <f t="shared" si="11"/>
        <v>Yes</v>
      </c>
    </row>
    <row r="156" spans="1:50">
      <c r="A156" t="s">
        <v>17</v>
      </c>
      <c r="B156" t="s">
        <v>114</v>
      </c>
      <c r="C156" t="s">
        <v>265</v>
      </c>
      <c r="D156" t="s">
        <v>268</v>
      </c>
      <c r="E156" t="s">
        <v>57</v>
      </c>
      <c r="F156" t="s">
        <v>19</v>
      </c>
      <c r="G156" t="s">
        <v>100</v>
      </c>
      <c r="H156" t="s">
        <v>19</v>
      </c>
      <c r="I156" t="s">
        <v>19</v>
      </c>
      <c r="J156" t="s">
        <v>19</v>
      </c>
      <c r="K156" t="s">
        <v>19</v>
      </c>
      <c r="L156">
        <v>0.93909873119545095</v>
      </c>
      <c r="M156">
        <v>0.96007718723680102</v>
      </c>
      <c r="N156">
        <v>0.93322369243344705</v>
      </c>
      <c r="O156">
        <v>0.72152790383008603</v>
      </c>
      <c r="P156">
        <v>0.89902710264702801</v>
      </c>
      <c r="Q156">
        <v>0.88646837817401802</v>
      </c>
      <c r="R156">
        <v>0.95224639662208699</v>
      </c>
      <c r="S156">
        <v>0.78102112892490205</v>
      </c>
      <c r="T156">
        <v>0.94042944589476596</v>
      </c>
      <c r="U156">
        <v>0.92368346997833795</v>
      </c>
      <c r="V156">
        <v>0.87156725451490702</v>
      </c>
      <c r="W156">
        <v>0.56886481018163104</v>
      </c>
      <c r="X156">
        <v>0.74796212732170198</v>
      </c>
      <c r="Y156">
        <v>0.56636647285905894</v>
      </c>
      <c r="Z156">
        <v>0.62824574837438696</v>
      </c>
      <c r="AA156">
        <v>0.71959465969485903</v>
      </c>
      <c r="AB156">
        <v>0.59705002922123895</v>
      </c>
      <c r="AC156">
        <v>0.705783899605535</v>
      </c>
      <c r="AD156">
        <v>0.58178540651861499</v>
      </c>
      <c r="AE156">
        <v>0.93227527578110403</v>
      </c>
      <c r="AF156">
        <v>0.95732163675341697</v>
      </c>
      <c r="AG156">
        <v>0.76530740496309002</v>
      </c>
      <c r="AH156">
        <v>0.883448372818877</v>
      </c>
      <c r="AI156">
        <v>0.85102038612912201</v>
      </c>
      <c r="AJ156">
        <v>0.97317822212804705</v>
      </c>
      <c r="AK156">
        <v>0.96471819242690604</v>
      </c>
      <c r="AL156">
        <v>0.72055027933166405</v>
      </c>
      <c r="AM156">
        <v>0.92521355898003399</v>
      </c>
      <c r="AN156">
        <v>0.69131300316977795</v>
      </c>
      <c r="AO156" t="s">
        <v>19</v>
      </c>
      <c r="AU156" t="str">
        <f t="shared" si="8"/>
        <v>IOI</v>
      </c>
      <c r="AV156" t="str">
        <f t="shared" si="9"/>
        <v>OTH</v>
      </c>
      <c r="AW156" t="str">
        <f t="shared" si="10"/>
        <v>OIL</v>
      </c>
      <c r="AX156" t="str">
        <f t="shared" si="11"/>
        <v>Yes</v>
      </c>
    </row>
    <row r="157" spans="1:50">
      <c r="A157" t="s">
        <v>17</v>
      </c>
      <c r="B157" t="s">
        <v>114</v>
      </c>
      <c r="C157" t="s">
        <v>263</v>
      </c>
      <c r="D157" t="s">
        <v>264</v>
      </c>
      <c r="E157" t="s">
        <v>57</v>
      </c>
      <c r="F157" t="s">
        <v>19</v>
      </c>
      <c r="G157" t="s">
        <v>100</v>
      </c>
      <c r="H157" t="s">
        <v>19</v>
      </c>
      <c r="I157" t="s">
        <v>19</v>
      </c>
      <c r="J157" t="s">
        <v>19</v>
      </c>
      <c r="K157" t="s">
        <v>19</v>
      </c>
      <c r="L157">
        <v>0.28484103815828499</v>
      </c>
      <c r="M157">
        <v>0.37035681540409898</v>
      </c>
      <c r="N157">
        <v>0.14256258196673099</v>
      </c>
      <c r="O157">
        <v>0.209987900963858</v>
      </c>
      <c r="P157">
        <v>0.392135319959521</v>
      </c>
      <c r="Q157">
        <v>0.301945729828898</v>
      </c>
      <c r="R157">
        <v>0.35374910917435198</v>
      </c>
      <c r="S157">
        <v>0.57411627791072195</v>
      </c>
      <c r="T157">
        <v>0.177879746857351</v>
      </c>
      <c r="U157">
        <v>0.57016224974510998</v>
      </c>
      <c r="V157">
        <v>0.87253529672845198</v>
      </c>
      <c r="W157">
        <v>0.51322433826870795</v>
      </c>
      <c r="X157">
        <v>0.35911851605098299</v>
      </c>
      <c r="Y157">
        <v>0.59702552365746697</v>
      </c>
      <c r="Z157">
        <v>0.45276245906974699</v>
      </c>
      <c r="AA157">
        <v>0.43592847426562198</v>
      </c>
      <c r="AB157">
        <v>0.37446283728964502</v>
      </c>
      <c r="AC157">
        <v>0.37953137922861402</v>
      </c>
      <c r="AD157">
        <v>0.42939127059051801</v>
      </c>
      <c r="AE157">
        <v>0.59636986966778704</v>
      </c>
      <c r="AF157">
        <v>0.42484541076367199</v>
      </c>
      <c r="AG157">
        <v>0.66053252291891296</v>
      </c>
      <c r="AH157">
        <v>8.5886770916643707E-2</v>
      </c>
      <c r="AI157">
        <v>0.80491986178274</v>
      </c>
      <c r="AJ157">
        <v>0.309788479576529</v>
      </c>
      <c r="AK157">
        <v>4.4479569829133599E-2</v>
      </c>
      <c r="AL157">
        <v>0.89590984413752295</v>
      </c>
      <c r="AM157">
        <v>0.50388197198615103</v>
      </c>
      <c r="AN157">
        <v>0.21732583415988299</v>
      </c>
      <c r="AO157" t="s">
        <v>19</v>
      </c>
      <c r="AU157" t="str">
        <f t="shared" si="8"/>
        <v>IOI</v>
      </c>
      <c r="AV157" t="str">
        <f t="shared" si="9"/>
        <v>OTP</v>
      </c>
      <c r="AW157" t="str">
        <f t="shared" si="10"/>
        <v>ELC</v>
      </c>
      <c r="AX157" t="str">
        <f t="shared" si="11"/>
        <v>No</v>
      </c>
    </row>
    <row r="158" spans="1:50">
      <c r="A158" t="s">
        <v>17</v>
      </c>
      <c r="B158" t="s">
        <v>114</v>
      </c>
      <c r="C158" t="s">
        <v>262</v>
      </c>
      <c r="D158" t="s">
        <v>264</v>
      </c>
      <c r="E158" t="s">
        <v>57</v>
      </c>
      <c r="F158" t="s">
        <v>19</v>
      </c>
      <c r="G158" t="s">
        <v>100</v>
      </c>
      <c r="H158" t="s">
        <v>19</v>
      </c>
      <c r="I158" t="s">
        <v>19</v>
      </c>
      <c r="J158" t="s">
        <v>19</v>
      </c>
      <c r="K158" t="s">
        <v>19</v>
      </c>
      <c r="L158">
        <v>0.705158961841715</v>
      </c>
      <c r="M158">
        <v>0.61964318459590095</v>
      </c>
      <c r="N158">
        <v>0.847437418033269</v>
      </c>
      <c r="O158">
        <v>0.78001209903614199</v>
      </c>
      <c r="P158">
        <v>0.59786468004047899</v>
      </c>
      <c r="Q158">
        <v>0.68805427017110199</v>
      </c>
      <c r="R158">
        <v>0.63625089082564801</v>
      </c>
      <c r="S158">
        <v>0.41588372208927699</v>
      </c>
      <c r="T158">
        <v>0.81212025314264902</v>
      </c>
      <c r="U158">
        <v>0.41983775025489001</v>
      </c>
      <c r="V158">
        <v>0.117464703271548</v>
      </c>
      <c r="W158">
        <v>0.47677566173129199</v>
      </c>
      <c r="X158">
        <v>0.630881483949017</v>
      </c>
      <c r="Y158">
        <v>0.39297447634253302</v>
      </c>
      <c r="Z158">
        <v>0.537237540930253</v>
      </c>
      <c r="AA158">
        <v>0.55407152573437801</v>
      </c>
      <c r="AB158">
        <v>0.61553716271035497</v>
      </c>
      <c r="AC158">
        <v>0.61046862077138597</v>
      </c>
      <c r="AD158">
        <v>0.56060872940948203</v>
      </c>
      <c r="AE158">
        <v>0.393630130332213</v>
      </c>
      <c r="AF158">
        <v>0.565154589236328</v>
      </c>
      <c r="AG158">
        <v>0.32946747708108698</v>
      </c>
      <c r="AH158">
        <v>0.90411322908335601</v>
      </c>
      <c r="AI158">
        <v>0.18508013821725999</v>
      </c>
      <c r="AJ158">
        <v>0.68021152042347099</v>
      </c>
      <c r="AK158">
        <v>0.94552043017086596</v>
      </c>
      <c r="AL158">
        <v>9.4090155862477501E-2</v>
      </c>
      <c r="AM158">
        <v>0.48611802801384901</v>
      </c>
      <c r="AN158">
        <v>0.77267416584011706</v>
      </c>
      <c r="AO158" t="s">
        <v>19</v>
      </c>
      <c r="AU158" t="str">
        <f t="shared" si="8"/>
        <v>IOI</v>
      </c>
      <c r="AV158" t="str">
        <f t="shared" si="9"/>
        <v>OTP</v>
      </c>
      <c r="AW158" t="str">
        <f t="shared" si="10"/>
        <v>NGA</v>
      </c>
      <c r="AX158" t="str">
        <f t="shared" si="11"/>
        <v>Yes</v>
      </c>
    </row>
    <row r="159" spans="1:50">
      <c r="A159" t="s">
        <v>17</v>
      </c>
      <c r="B159" t="s">
        <v>114</v>
      </c>
      <c r="C159" t="s">
        <v>260</v>
      </c>
      <c r="D159" t="s">
        <v>261</v>
      </c>
      <c r="E159" t="s">
        <v>57</v>
      </c>
      <c r="F159" t="s">
        <v>19</v>
      </c>
      <c r="G159" t="s">
        <v>100</v>
      </c>
      <c r="H159" t="s">
        <v>19</v>
      </c>
      <c r="I159" t="s">
        <v>19</v>
      </c>
      <c r="J159" t="s">
        <v>19</v>
      </c>
      <c r="K159" t="s">
        <v>19</v>
      </c>
      <c r="L159">
        <v>0.99</v>
      </c>
      <c r="M159">
        <v>0.99</v>
      </c>
      <c r="N159">
        <v>0.99</v>
      </c>
      <c r="O159">
        <v>0.99</v>
      </c>
      <c r="P159">
        <v>0.99</v>
      </c>
      <c r="Q159">
        <v>0.99</v>
      </c>
      <c r="R159">
        <v>0.99</v>
      </c>
      <c r="S159">
        <v>0.99</v>
      </c>
      <c r="T159">
        <v>0.99</v>
      </c>
      <c r="U159">
        <v>0.99</v>
      </c>
      <c r="V159">
        <v>0.99</v>
      </c>
      <c r="W159">
        <v>0.99</v>
      </c>
      <c r="X159">
        <v>0.99</v>
      </c>
      <c r="Y159">
        <v>0.99</v>
      </c>
      <c r="Z159">
        <v>0.99</v>
      </c>
      <c r="AA159">
        <v>0.99</v>
      </c>
      <c r="AB159">
        <v>0.99</v>
      </c>
      <c r="AC159">
        <v>0.99</v>
      </c>
      <c r="AD159">
        <v>0.99</v>
      </c>
      <c r="AE159">
        <v>0.99</v>
      </c>
      <c r="AF159">
        <v>0.99</v>
      </c>
      <c r="AG159">
        <v>0.99</v>
      </c>
      <c r="AH159">
        <v>0.99</v>
      </c>
      <c r="AI159">
        <v>0.99</v>
      </c>
      <c r="AJ159">
        <v>0.99</v>
      </c>
      <c r="AK159">
        <v>0.99</v>
      </c>
      <c r="AL159">
        <v>0.99</v>
      </c>
      <c r="AM159">
        <v>0.99</v>
      </c>
      <c r="AN159">
        <v>0.99</v>
      </c>
      <c r="AO159" t="s">
        <v>19</v>
      </c>
      <c r="AU159" t="str">
        <f t="shared" si="8"/>
        <v>IOI</v>
      </c>
      <c r="AV159" t="str">
        <f t="shared" si="9"/>
        <v>PRC</v>
      </c>
      <c r="AW159" t="str">
        <f t="shared" si="10"/>
        <v>ELC</v>
      </c>
      <c r="AX159" t="str">
        <f t="shared" si="11"/>
        <v>No</v>
      </c>
    </row>
    <row r="160" spans="1:50">
      <c r="A160" t="s">
        <v>17</v>
      </c>
      <c r="B160" t="s">
        <v>114</v>
      </c>
      <c r="C160" t="s">
        <v>259</v>
      </c>
      <c r="D160" t="s">
        <v>256</v>
      </c>
      <c r="E160" t="s">
        <v>57</v>
      </c>
      <c r="F160" t="s">
        <v>19</v>
      </c>
      <c r="G160" t="s">
        <v>100</v>
      </c>
      <c r="H160" t="s">
        <v>19</v>
      </c>
      <c r="I160" t="s">
        <v>19</v>
      </c>
      <c r="J160" t="s">
        <v>19</v>
      </c>
      <c r="K160" t="s">
        <v>19</v>
      </c>
      <c r="L160">
        <v>9.3415622730338405E-2</v>
      </c>
      <c r="M160">
        <v>0.13223853024846399</v>
      </c>
      <c r="N160">
        <v>4.1171660212976101E-2</v>
      </c>
      <c r="O160">
        <v>6.4281318630278098E-2</v>
      </c>
      <c r="P160">
        <v>0.1432518209218</v>
      </c>
      <c r="Q160">
        <v>0.10066622851649799</v>
      </c>
      <c r="R160">
        <v>0.12416892871829199</v>
      </c>
      <c r="S160">
        <v>0.25995156155344801</v>
      </c>
      <c r="T160">
        <v>5.29402815262369E-2</v>
      </c>
      <c r="U160">
        <v>0.25682506140274403</v>
      </c>
      <c r="V160">
        <v>0.65049019545713604</v>
      </c>
      <c r="W160">
        <v>0.21514312494354201</v>
      </c>
      <c r="X160">
        <v>0.12674782451444799</v>
      </c>
      <c r="Y160">
        <v>0.27872637885074902</v>
      </c>
      <c r="Z160">
        <v>0.17677725645109499</v>
      </c>
      <c r="AA160">
        <v>0.167014572647011</v>
      </c>
      <c r="AB160">
        <v>0.13427668904205001</v>
      </c>
      <c r="AC160">
        <v>0.13681680703620899</v>
      </c>
      <c r="AD160">
        <v>0.16332132846619199</v>
      </c>
      <c r="AE160">
        <v>0.27817284255684099</v>
      </c>
      <c r="AF160">
        <v>0.16078441338032701</v>
      </c>
      <c r="AG160">
        <v>0.337449402379427</v>
      </c>
      <c r="AH160">
        <v>2.3677633750464201E-2</v>
      </c>
      <c r="AI160">
        <v>0.52340946355828899</v>
      </c>
      <c r="AJ160">
        <v>0.104071704742947</v>
      </c>
      <c r="AK160">
        <v>1.1868604984640201E-2</v>
      </c>
      <c r="AL160">
        <v>0.70354381069022098</v>
      </c>
      <c r="AM160">
        <v>0.20884994923887901</v>
      </c>
      <c r="AN160">
        <v>6.6964723265716106E-2</v>
      </c>
      <c r="AO160" t="s">
        <v>19</v>
      </c>
      <c r="AU160" t="str">
        <f t="shared" si="8"/>
        <v>IOI</v>
      </c>
      <c r="AV160" t="str">
        <f t="shared" si="9"/>
        <v>PRH</v>
      </c>
      <c r="AW160" t="str">
        <f t="shared" si="10"/>
        <v>ELC</v>
      </c>
      <c r="AX160" t="str">
        <f t="shared" si="11"/>
        <v>No</v>
      </c>
    </row>
    <row r="161" spans="1:50">
      <c r="A161" t="s">
        <v>17</v>
      </c>
      <c r="B161" t="s">
        <v>114</v>
      </c>
      <c r="C161" t="s">
        <v>258</v>
      </c>
      <c r="D161" t="s">
        <v>256</v>
      </c>
      <c r="E161" t="s">
        <v>57</v>
      </c>
      <c r="F161" t="s">
        <v>19</v>
      </c>
      <c r="G161" t="s">
        <v>100</v>
      </c>
      <c r="H161" t="s">
        <v>19</v>
      </c>
      <c r="I161" t="s">
        <v>19</v>
      </c>
      <c r="J161" t="s">
        <v>19</v>
      </c>
      <c r="K161" t="s">
        <v>19</v>
      </c>
      <c r="L161">
        <v>0.896584377269662</v>
      </c>
      <c r="M161">
        <v>0.857761469751536</v>
      </c>
      <c r="N161">
        <v>0.94882833978702397</v>
      </c>
      <c r="O161">
        <v>0.92571868136972202</v>
      </c>
      <c r="P161">
        <v>0.84674817907819999</v>
      </c>
      <c r="Q161">
        <v>0.88933377148350201</v>
      </c>
      <c r="R161">
        <v>0.865831071281708</v>
      </c>
      <c r="S161">
        <v>0.73004843844655198</v>
      </c>
      <c r="T161">
        <v>0.93705971847376301</v>
      </c>
      <c r="U161">
        <v>0.73317493859725602</v>
      </c>
      <c r="V161">
        <v>0.339509804542864</v>
      </c>
      <c r="W161">
        <v>0.77485687505645795</v>
      </c>
      <c r="X161">
        <v>0.863252175485552</v>
      </c>
      <c r="Y161">
        <v>0.71127362114925097</v>
      </c>
      <c r="Z161">
        <v>0.813222743548905</v>
      </c>
      <c r="AA161">
        <v>0.82298542735298896</v>
      </c>
      <c r="AB161">
        <v>0.85572331095794996</v>
      </c>
      <c r="AC161">
        <v>0.85318319296379097</v>
      </c>
      <c r="AD161">
        <v>0.82667867153380803</v>
      </c>
      <c r="AE161">
        <v>0.71182715744315905</v>
      </c>
      <c r="AF161">
        <v>0.82921558661967298</v>
      </c>
      <c r="AG161">
        <v>0.65255059762057299</v>
      </c>
      <c r="AH161">
        <v>0.96632236624953605</v>
      </c>
      <c r="AI161">
        <v>0.466590536441711</v>
      </c>
      <c r="AJ161">
        <v>0.88592829525705297</v>
      </c>
      <c r="AK161">
        <v>0.97813139501535995</v>
      </c>
      <c r="AL161">
        <v>0.28645618930977901</v>
      </c>
      <c r="AM161">
        <v>0.78115005076112098</v>
      </c>
      <c r="AN161">
        <v>0.92303527673428398</v>
      </c>
      <c r="AO161" t="s">
        <v>19</v>
      </c>
      <c r="AU161" t="str">
        <f t="shared" si="8"/>
        <v>IOI</v>
      </c>
      <c r="AV161" t="str">
        <f t="shared" si="9"/>
        <v>PRH</v>
      </c>
      <c r="AW161" t="str">
        <f t="shared" si="10"/>
        <v>NGA</v>
      </c>
      <c r="AX161" t="str">
        <f t="shared" si="11"/>
        <v>Yes</v>
      </c>
    </row>
    <row r="162" spans="1:50">
      <c r="A162" t="s">
        <v>17</v>
      </c>
      <c r="B162" t="s">
        <v>114</v>
      </c>
      <c r="C162" t="s">
        <v>257</v>
      </c>
      <c r="D162" t="s">
        <v>255</v>
      </c>
      <c r="E162" t="s">
        <v>57</v>
      </c>
      <c r="F162" t="s">
        <v>19</v>
      </c>
      <c r="G162" t="s">
        <v>100</v>
      </c>
      <c r="H162" t="s">
        <v>19</v>
      </c>
      <c r="I162" t="s">
        <v>19</v>
      </c>
      <c r="J162" t="s">
        <v>19</v>
      </c>
      <c r="K162" t="s">
        <v>19</v>
      </c>
      <c r="L162">
        <v>0.39164290784068401</v>
      </c>
      <c r="M162">
        <v>0.48707519505944302</v>
      </c>
      <c r="N162">
        <v>0.212059829228045</v>
      </c>
      <c r="O162">
        <v>0.30069135955909898</v>
      </c>
      <c r="P162">
        <v>0.51006742317907705</v>
      </c>
      <c r="Q162">
        <v>0.411419174030841</v>
      </c>
      <c r="R162">
        <v>0.46919671315817102</v>
      </c>
      <c r="S162">
        <v>0.68414970076406501</v>
      </c>
      <c r="T162">
        <v>0.25932513938589202</v>
      </c>
      <c r="U162">
        <v>0.68067817722878898</v>
      </c>
      <c r="V162">
        <v>0.91405770749150295</v>
      </c>
      <c r="W162">
        <v>0.62924502363581203</v>
      </c>
      <c r="X162">
        <v>0.47501020096896901</v>
      </c>
      <c r="Y162">
        <v>0.70401696203196495</v>
      </c>
      <c r="Z162">
        <v>0.57149865283550805</v>
      </c>
      <c r="AA162">
        <v>0.55480905985311202</v>
      </c>
      <c r="AB162">
        <v>0.49144892846381799</v>
      </c>
      <c r="AC162">
        <v>0.49682286215985899</v>
      </c>
      <c r="AD162">
        <v>0.548253135363581</v>
      </c>
      <c r="AE162">
        <v>0.70345414045804899</v>
      </c>
      <c r="AF162">
        <v>0.54366925261333798</v>
      </c>
      <c r="AG162">
        <v>0.75698194528220397</v>
      </c>
      <c r="AH162">
        <v>0.13206088746414901</v>
      </c>
      <c r="AI162">
        <v>0.86697349202967799</v>
      </c>
      <c r="AJ162">
        <v>0.42036816891684198</v>
      </c>
      <c r="AK162">
        <v>7.0118983392089995E-2</v>
      </c>
      <c r="AL162">
        <v>0.92974026390636699</v>
      </c>
      <c r="AM162">
        <v>0.62053948308641704</v>
      </c>
      <c r="AN162">
        <v>0.309939440591184</v>
      </c>
      <c r="AO162" t="s">
        <v>19</v>
      </c>
      <c r="AU162" t="str">
        <f t="shared" si="8"/>
        <v>IOI</v>
      </c>
      <c r="AV162" t="str">
        <f t="shared" si="9"/>
        <v>SPC</v>
      </c>
      <c r="AW162" t="str">
        <f t="shared" si="10"/>
        <v>ELC</v>
      </c>
      <c r="AX162" t="str">
        <f t="shared" si="11"/>
        <v>No</v>
      </c>
    </row>
    <row r="163" spans="1:50">
      <c r="A163" t="s">
        <v>17</v>
      </c>
      <c r="B163" t="s">
        <v>114</v>
      </c>
      <c r="C163" t="s">
        <v>253</v>
      </c>
      <c r="D163" t="s">
        <v>255</v>
      </c>
      <c r="E163" t="s">
        <v>57</v>
      </c>
      <c r="F163" t="s">
        <v>19</v>
      </c>
      <c r="G163" t="s">
        <v>100</v>
      </c>
      <c r="H163" t="s">
        <v>19</v>
      </c>
      <c r="I163" t="s">
        <v>19</v>
      </c>
      <c r="J163" t="s">
        <v>19</v>
      </c>
      <c r="K163" t="s">
        <v>19</v>
      </c>
      <c r="L163">
        <v>0.59835709215931598</v>
      </c>
      <c r="M163">
        <v>0.50292480494055702</v>
      </c>
      <c r="N163">
        <v>0.77794017077195499</v>
      </c>
      <c r="O163">
        <v>0.68930864044090101</v>
      </c>
      <c r="P163">
        <v>0.479932576820923</v>
      </c>
      <c r="Q163">
        <v>0.57858082596915905</v>
      </c>
      <c r="R163">
        <v>0.52080328684182997</v>
      </c>
      <c r="S163">
        <v>0.30585029923593499</v>
      </c>
      <c r="T163">
        <v>0.73067486061410802</v>
      </c>
      <c r="U163">
        <v>0.30932182277121101</v>
      </c>
      <c r="V163">
        <v>7.5942292508497003E-2</v>
      </c>
      <c r="W163">
        <v>0.36075497636418802</v>
      </c>
      <c r="X163">
        <v>0.51498979903103104</v>
      </c>
      <c r="Y163">
        <v>0.28598303796803498</v>
      </c>
      <c r="Z163">
        <v>0.418501347164492</v>
      </c>
      <c r="AA163">
        <v>0.43519094014688797</v>
      </c>
      <c r="AB163">
        <v>0.498551071536182</v>
      </c>
      <c r="AC163">
        <v>0.493177137840141</v>
      </c>
      <c r="AD163">
        <v>0.44174686463641899</v>
      </c>
      <c r="AE163">
        <v>0.286545859541951</v>
      </c>
      <c r="AF163">
        <v>0.44633074738666201</v>
      </c>
      <c r="AG163">
        <v>0.23301805471779599</v>
      </c>
      <c r="AH163">
        <v>0.85793911253585098</v>
      </c>
      <c r="AI163">
        <v>0.123026507970322</v>
      </c>
      <c r="AJ163">
        <v>0.56963183108315796</v>
      </c>
      <c r="AK163">
        <v>0.91988101660791</v>
      </c>
      <c r="AL163">
        <v>6.0259736093633297E-2</v>
      </c>
      <c r="AM163">
        <v>0.369460516913583</v>
      </c>
      <c r="AN163">
        <v>0.68006055940881605</v>
      </c>
      <c r="AO163" t="s">
        <v>19</v>
      </c>
      <c r="AU163" t="str">
        <f t="shared" si="8"/>
        <v>IOI</v>
      </c>
      <c r="AV163" t="str">
        <f t="shared" si="9"/>
        <v>SPC</v>
      </c>
      <c r="AW163" t="str">
        <f t="shared" si="10"/>
        <v>NGA</v>
      </c>
      <c r="AX163" t="str">
        <f t="shared" si="11"/>
        <v>Yes</v>
      </c>
    </row>
    <row r="164" spans="1:50">
      <c r="A164" t="s">
        <v>17</v>
      </c>
      <c r="B164" t="s">
        <v>114</v>
      </c>
      <c r="C164" t="s">
        <v>254</v>
      </c>
      <c r="D164" t="s">
        <v>247</v>
      </c>
      <c r="E164" t="s">
        <v>57</v>
      </c>
      <c r="F164" t="s">
        <v>19</v>
      </c>
      <c r="G164" t="s">
        <v>100</v>
      </c>
      <c r="H164" t="s">
        <v>19</v>
      </c>
      <c r="I164" t="s">
        <v>19</v>
      </c>
      <c r="J164" t="s">
        <v>19</v>
      </c>
      <c r="K164" t="s">
        <v>19</v>
      </c>
      <c r="L164">
        <v>6.0075620511612698E-3</v>
      </c>
      <c r="M164">
        <v>0.86055689113626399</v>
      </c>
      <c r="N164">
        <v>0.641696080683406</v>
      </c>
      <c r="O164">
        <v>0</v>
      </c>
      <c r="P164">
        <v>0.18061699777159801</v>
      </c>
      <c r="Q164">
        <v>0.46408134514511901</v>
      </c>
      <c r="R164">
        <v>0.71996848649058498</v>
      </c>
      <c r="S164">
        <v>0.68626812729103004</v>
      </c>
      <c r="T164">
        <v>0.50833227353222998</v>
      </c>
      <c r="U164">
        <v>0</v>
      </c>
      <c r="V164">
        <v>0.42184613069334698</v>
      </c>
      <c r="W164">
        <v>0.69640908084192699</v>
      </c>
      <c r="X164">
        <v>0.69940722736458905</v>
      </c>
      <c r="Y164">
        <v>0.26584597388720999</v>
      </c>
      <c r="Z164">
        <v>0.58820222936464095</v>
      </c>
      <c r="AA164">
        <v>0.76281262695035601</v>
      </c>
      <c r="AB164">
        <v>0.13443935381172401</v>
      </c>
      <c r="AC164">
        <v>0.56229047275399502</v>
      </c>
      <c r="AD164">
        <v>0.675506936324479</v>
      </c>
      <c r="AE164">
        <v>0.68217345290970799</v>
      </c>
      <c r="AF164">
        <v>0.74095559838496305</v>
      </c>
      <c r="AG164">
        <v>6.0212776663287997E-2</v>
      </c>
      <c r="AH164">
        <v>6.0224266047925997E-3</v>
      </c>
      <c r="AI164">
        <v>0.86985791505252896</v>
      </c>
      <c r="AJ164">
        <v>0.19806892626759001</v>
      </c>
      <c r="AK164">
        <v>0</v>
      </c>
      <c r="AL164">
        <v>0.26254661257052497</v>
      </c>
      <c r="AM164">
        <v>0.31865119110373002</v>
      </c>
      <c r="AN164">
        <v>0.39947118222150602</v>
      </c>
      <c r="AO164" t="s">
        <v>19</v>
      </c>
      <c r="AU164" t="str">
        <f t="shared" si="8"/>
        <v>IOI</v>
      </c>
      <c r="AV164" t="str">
        <f t="shared" si="9"/>
        <v>STM</v>
      </c>
      <c r="AW164" t="str">
        <f t="shared" si="10"/>
        <v>BIO</v>
      </c>
      <c r="AX164" t="str">
        <f t="shared" si="11"/>
        <v>No</v>
      </c>
    </row>
    <row r="165" spans="1:50">
      <c r="A165" t="s">
        <v>17</v>
      </c>
      <c r="B165" t="s">
        <v>114</v>
      </c>
      <c r="C165" t="s">
        <v>248</v>
      </c>
      <c r="D165" t="s">
        <v>247</v>
      </c>
      <c r="E165" t="s">
        <v>57</v>
      </c>
      <c r="F165" t="s">
        <v>19</v>
      </c>
      <c r="G165" t="s">
        <v>100</v>
      </c>
      <c r="H165" t="s">
        <v>19</v>
      </c>
      <c r="I165" t="s">
        <v>19</v>
      </c>
      <c r="J165" t="s">
        <v>19</v>
      </c>
      <c r="K165" t="s">
        <v>19</v>
      </c>
      <c r="L165">
        <v>0</v>
      </c>
      <c r="M165">
        <v>8.1229058187626005E-2</v>
      </c>
      <c r="N165">
        <v>4.3931343105151899E-2</v>
      </c>
      <c r="O165">
        <v>5.0883991366417997E-2</v>
      </c>
      <c r="P165">
        <v>0.106704106627887</v>
      </c>
      <c r="Q165">
        <v>0.368908849688526</v>
      </c>
      <c r="R165">
        <v>0.22071956355292</v>
      </c>
      <c r="S165">
        <v>7.7361616630871599E-3</v>
      </c>
      <c r="T165">
        <v>8.4234145831715707E-2</v>
      </c>
      <c r="U165">
        <v>0.73536888010865098</v>
      </c>
      <c r="V165">
        <v>1.6397623658735601E-3</v>
      </c>
      <c r="W165">
        <v>3.6547266633003297E-2</v>
      </c>
      <c r="X165">
        <v>3.4074796980874199E-2</v>
      </c>
      <c r="Y165">
        <v>1.2196581603228399E-2</v>
      </c>
      <c r="Z165">
        <v>3.0865346071248302E-3</v>
      </c>
      <c r="AA165">
        <v>0</v>
      </c>
      <c r="AB165">
        <v>0.26523635608538598</v>
      </c>
      <c r="AC165">
        <v>0</v>
      </c>
      <c r="AD165">
        <v>2.09662438463609E-2</v>
      </c>
      <c r="AE165">
        <v>0.28203139903427998</v>
      </c>
      <c r="AF165">
        <v>0.118172921528724</v>
      </c>
      <c r="AG165">
        <v>0.671867720836136</v>
      </c>
      <c r="AH165">
        <v>0.11231200892837501</v>
      </c>
      <c r="AI165">
        <v>0</v>
      </c>
      <c r="AJ165">
        <v>3.6039035967085301E-3</v>
      </c>
      <c r="AK165">
        <v>0</v>
      </c>
      <c r="AL165">
        <v>0.71128203142191604</v>
      </c>
      <c r="AM165">
        <v>0.19734276058325501</v>
      </c>
      <c r="AN165">
        <v>8.9633353715660793E-2</v>
      </c>
      <c r="AO165" t="s">
        <v>19</v>
      </c>
      <c r="AU165" t="str">
        <f t="shared" si="8"/>
        <v>IOI</v>
      </c>
      <c r="AV165" t="str">
        <f t="shared" si="9"/>
        <v>STM</v>
      </c>
      <c r="AW165" t="str">
        <f t="shared" si="10"/>
        <v>COA</v>
      </c>
      <c r="AX165" t="str">
        <f t="shared" si="11"/>
        <v>Yes</v>
      </c>
    </row>
    <row r="166" spans="1:50">
      <c r="A166" t="s">
        <v>17</v>
      </c>
      <c r="B166" t="s">
        <v>114</v>
      </c>
      <c r="C166" t="s">
        <v>241</v>
      </c>
      <c r="D166" t="s">
        <v>247</v>
      </c>
      <c r="E166" t="s">
        <v>57</v>
      </c>
      <c r="F166" t="s">
        <v>19</v>
      </c>
      <c r="G166" t="s">
        <v>100</v>
      </c>
      <c r="H166" t="s">
        <v>19</v>
      </c>
      <c r="I166" t="s">
        <v>19</v>
      </c>
      <c r="J166" t="s">
        <v>19</v>
      </c>
      <c r="K166" t="s">
        <v>19</v>
      </c>
      <c r="L166">
        <v>7.8739009044247202E-2</v>
      </c>
      <c r="M166">
        <v>5.3123847080998599E-3</v>
      </c>
      <c r="N166">
        <v>1.0630669610133699E-2</v>
      </c>
      <c r="O166">
        <v>1.5839042422040001E-2</v>
      </c>
      <c r="P166">
        <v>3.1820817472526797E-2</v>
      </c>
      <c r="Q166">
        <v>1.2731821095776599E-2</v>
      </c>
      <c r="R166">
        <v>5.2724618908088997E-3</v>
      </c>
      <c r="S166">
        <v>6.78252730085913E-2</v>
      </c>
      <c r="T166">
        <v>1.40924353054773E-2</v>
      </c>
      <c r="U166">
        <v>1.3579073117726799E-2</v>
      </c>
      <c r="V166">
        <v>8.1902278347151299E-3</v>
      </c>
      <c r="W166">
        <v>1.3754500716159799E-2</v>
      </c>
      <c r="X166">
        <v>2.4948408237243001E-2</v>
      </c>
      <c r="Y166">
        <v>4.5497667613219599E-2</v>
      </c>
      <c r="Z166">
        <v>2.3025274216019999E-2</v>
      </c>
      <c r="AA166">
        <v>2.32083433411528E-2</v>
      </c>
      <c r="AB166">
        <v>2.0201519922457001E-2</v>
      </c>
      <c r="AC166">
        <v>3.5089405421436397E-2</v>
      </c>
      <c r="AD166">
        <v>2.09385637000046E-2</v>
      </c>
      <c r="AE166">
        <v>6.3452520611788797E-3</v>
      </c>
      <c r="AF166">
        <v>1.8230500074452399E-2</v>
      </c>
      <c r="AG166">
        <v>7.7770858015785801E-2</v>
      </c>
      <c r="AH166">
        <v>1.7400439638793799E-2</v>
      </c>
      <c r="AI166">
        <v>1.7144206070497499E-2</v>
      </c>
      <c r="AJ166">
        <v>5.6610052283918803E-3</v>
      </c>
      <c r="AK166">
        <v>9.9277761970057599E-3</v>
      </c>
      <c r="AL166">
        <v>1.0869850520873499E-2</v>
      </c>
      <c r="AM166">
        <v>2.5523586535701599E-2</v>
      </c>
      <c r="AN166">
        <v>2.5226381920836101E-2</v>
      </c>
      <c r="AO166" t="s">
        <v>19</v>
      </c>
      <c r="AU166" t="str">
        <f t="shared" si="8"/>
        <v>IOI</v>
      </c>
      <c r="AV166" t="str">
        <f t="shared" si="9"/>
        <v>STM</v>
      </c>
      <c r="AW166" t="str">
        <f t="shared" si="10"/>
        <v>ELC</v>
      </c>
      <c r="AX166" t="str">
        <f t="shared" si="11"/>
        <v>No</v>
      </c>
    </row>
    <row r="167" spans="1:50">
      <c r="A167" t="s">
        <v>17</v>
      </c>
      <c r="B167" t="s">
        <v>114</v>
      </c>
      <c r="C167" t="s">
        <v>240</v>
      </c>
      <c r="D167" t="s">
        <v>247</v>
      </c>
      <c r="E167" t="s">
        <v>57</v>
      </c>
      <c r="F167" t="s">
        <v>19</v>
      </c>
      <c r="G167" t="s">
        <v>100</v>
      </c>
      <c r="H167" t="s">
        <v>19</v>
      </c>
      <c r="I167" t="s">
        <v>19</v>
      </c>
      <c r="J167" t="s">
        <v>19</v>
      </c>
      <c r="K167" t="s">
        <v>19</v>
      </c>
      <c r="L167">
        <v>0</v>
      </c>
      <c r="M167">
        <v>0</v>
      </c>
      <c r="N167">
        <v>0</v>
      </c>
      <c r="O167">
        <v>0.64993919836443903</v>
      </c>
      <c r="P167">
        <v>0.35777741007307001</v>
      </c>
      <c r="Q167">
        <v>8.8638705559614308E-3</v>
      </c>
      <c r="R167">
        <v>0</v>
      </c>
      <c r="S167">
        <v>0</v>
      </c>
      <c r="T167">
        <v>8.4544544621858397E-2</v>
      </c>
      <c r="U167">
        <v>0.183932753388098</v>
      </c>
      <c r="V167">
        <v>0.55320333479721895</v>
      </c>
      <c r="W167">
        <v>0.18389481886387901</v>
      </c>
      <c r="X167">
        <v>2.8030120818120199E-2</v>
      </c>
      <c r="Y167">
        <v>0.52738244728446904</v>
      </c>
      <c r="Z167">
        <v>0.24880498378788901</v>
      </c>
      <c r="AA167">
        <v>6.66883083971576E-2</v>
      </c>
      <c r="AB167">
        <v>0.41590821522648802</v>
      </c>
      <c r="AC167">
        <v>0.130453198781837</v>
      </c>
      <c r="AD167">
        <v>0.14563340619658899</v>
      </c>
      <c r="AE167">
        <v>0</v>
      </c>
      <c r="AF167">
        <v>0</v>
      </c>
      <c r="AG167">
        <v>0</v>
      </c>
      <c r="AH167">
        <v>0</v>
      </c>
      <c r="AI167">
        <v>8.46907468564181E-2</v>
      </c>
      <c r="AJ167">
        <v>0.72478503963783403</v>
      </c>
      <c r="AK167">
        <v>0</v>
      </c>
      <c r="AL167">
        <v>0</v>
      </c>
      <c r="AM167">
        <v>0.33412872207201999</v>
      </c>
      <c r="AN167">
        <v>5.9149170800899598E-2</v>
      </c>
      <c r="AO167" t="s">
        <v>19</v>
      </c>
      <c r="AU167" t="str">
        <f t="shared" si="8"/>
        <v>IOI</v>
      </c>
      <c r="AV167" t="str">
        <f t="shared" si="9"/>
        <v>STM</v>
      </c>
      <c r="AW167" t="str">
        <f t="shared" si="10"/>
        <v>HET</v>
      </c>
      <c r="AX167" t="str">
        <f t="shared" si="11"/>
        <v>No</v>
      </c>
    </row>
    <row r="168" spans="1:50">
      <c r="A168" t="s">
        <v>17</v>
      </c>
      <c r="B168" t="s">
        <v>114</v>
      </c>
      <c r="C168" t="s">
        <v>249</v>
      </c>
      <c r="D168" t="s">
        <v>247</v>
      </c>
      <c r="E168" t="s">
        <v>57</v>
      </c>
      <c r="F168" t="s">
        <v>19</v>
      </c>
      <c r="G168" t="s">
        <v>100</v>
      </c>
      <c r="H168" t="s">
        <v>19</v>
      </c>
      <c r="I168" t="s">
        <v>19</v>
      </c>
      <c r="J168" t="s">
        <v>19</v>
      </c>
      <c r="K168" t="s">
        <v>19</v>
      </c>
      <c r="L168">
        <v>0.90525342890459104</v>
      </c>
      <c r="M168">
        <v>4.12768567463494E-2</v>
      </c>
      <c r="N168">
        <v>0.29346645688704298</v>
      </c>
      <c r="O168">
        <v>0.27323212065944102</v>
      </c>
      <c r="P168">
        <v>0.225306661553906</v>
      </c>
      <c r="Q168">
        <v>0.13473489671830999</v>
      </c>
      <c r="R168">
        <v>4.4039488065685799E-2</v>
      </c>
      <c r="S168">
        <v>0.22817043803729201</v>
      </c>
      <c r="T168">
        <v>0.298796600708719</v>
      </c>
      <c r="U168">
        <v>4.6435370766797303E-2</v>
      </c>
      <c r="V168">
        <v>5.1205443088460098E-3</v>
      </c>
      <c r="W168">
        <v>5.9339984486724701E-2</v>
      </c>
      <c r="X168">
        <v>0.203539446599174</v>
      </c>
      <c r="Y168">
        <v>0.139077329611873</v>
      </c>
      <c r="Z168">
        <v>0.12688097802432499</v>
      </c>
      <c r="AA168">
        <v>0.13699051526425299</v>
      </c>
      <c r="AB168">
        <v>0.15421455495394501</v>
      </c>
      <c r="AC168">
        <v>0.26211231725876</v>
      </c>
      <c r="AD168">
        <v>0.12695484993256601</v>
      </c>
      <c r="AE168">
        <v>1.9449895994833401E-2</v>
      </c>
      <c r="AF168">
        <v>0.11262392873798199</v>
      </c>
      <c r="AG168">
        <v>0.18014864448479001</v>
      </c>
      <c r="AH168">
        <v>0.85065318876880702</v>
      </c>
      <c r="AI168">
        <v>1.8307132020554898E-2</v>
      </c>
      <c r="AJ168">
        <v>5.7725544741316297E-2</v>
      </c>
      <c r="AK168">
        <v>0.98007222380299397</v>
      </c>
      <c r="AL168">
        <v>5.3015054866854304E-3</v>
      </c>
      <c r="AM168">
        <v>0.114353739705293</v>
      </c>
      <c r="AN168">
        <v>0.416519911341098</v>
      </c>
      <c r="AO168" t="s">
        <v>19</v>
      </c>
      <c r="AU168" t="str">
        <f t="shared" si="8"/>
        <v>IOI</v>
      </c>
      <c r="AV168" t="str">
        <f t="shared" si="9"/>
        <v>STM</v>
      </c>
      <c r="AW168" t="str">
        <f t="shared" si="10"/>
        <v>NGA</v>
      </c>
      <c r="AX168" t="str">
        <f t="shared" si="11"/>
        <v>Yes</v>
      </c>
    </row>
    <row r="169" spans="1:50">
      <c r="A169" t="s">
        <v>17</v>
      </c>
      <c r="B169" t="s">
        <v>114</v>
      </c>
      <c r="C169" t="s">
        <v>243</v>
      </c>
      <c r="D169" t="s">
        <v>247</v>
      </c>
      <c r="E169" t="s">
        <v>57</v>
      </c>
      <c r="F169" t="s">
        <v>19</v>
      </c>
      <c r="G169" t="s">
        <v>100</v>
      </c>
      <c r="H169" t="s">
        <v>19</v>
      </c>
      <c r="I169" t="s">
        <v>19</v>
      </c>
      <c r="J169" t="s">
        <v>19</v>
      </c>
      <c r="K169" t="s">
        <v>19</v>
      </c>
      <c r="L169">
        <v>0</v>
      </c>
      <c r="M169">
        <v>1.62480922166062E-3</v>
      </c>
      <c r="N169">
        <v>0</v>
      </c>
      <c r="O169">
        <v>0</v>
      </c>
      <c r="P169">
        <v>8.7774006501011997E-2</v>
      </c>
      <c r="Q169">
        <v>0</v>
      </c>
      <c r="R169">
        <v>0</v>
      </c>
      <c r="S169">
        <v>0</v>
      </c>
      <c r="T169">
        <v>0</v>
      </c>
      <c r="U169">
        <v>1.0683922618726501E-2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3.6119360592315698E-3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19</v>
      </c>
      <c r="AU169" t="str">
        <f t="shared" si="8"/>
        <v>IOI</v>
      </c>
      <c r="AV169" t="str">
        <f t="shared" si="9"/>
        <v>STM</v>
      </c>
      <c r="AW169" t="str">
        <f t="shared" si="10"/>
        <v>OVC</v>
      </c>
      <c r="AX169" t="str">
        <f t="shared" si="11"/>
        <v>Yes</v>
      </c>
    </row>
    <row r="170" spans="1:50">
      <c r="A170" t="s">
        <v>17</v>
      </c>
      <c r="B170" t="s">
        <v>114</v>
      </c>
      <c r="C170" t="s">
        <v>244</v>
      </c>
      <c r="D170" t="s">
        <v>246</v>
      </c>
      <c r="E170" t="s">
        <v>57</v>
      </c>
      <c r="F170" t="s">
        <v>19</v>
      </c>
      <c r="G170" t="s">
        <v>100</v>
      </c>
      <c r="H170" t="s">
        <v>19</v>
      </c>
      <c r="I170" t="s">
        <v>19</v>
      </c>
      <c r="J170" t="s">
        <v>19</v>
      </c>
      <c r="K170" t="s">
        <v>19</v>
      </c>
      <c r="L170">
        <v>0.97239503397702198</v>
      </c>
      <c r="M170">
        <v>2.10569125540149E-2</v>
      </c>
      <c r="N170">
        <v>0.98300269548821995</v>
      </c>
      <c r="O170">
        <v>0.87581949425776295</v>
      </c>
      <c r="P170">
        <v>0.96013218785222398</v>
      </c>
      <c r="Q170">
        <v>0.95905639854513502</v>
      </c>
      <c r="R170">
        <v>0.94076109686735199</v>
      </c>
      <c r="T170">
        <v>0.96847687322685005</v>
      </c>
      <c r="U170">
        <v>0.97399957557663897</v>
      </c>
      <c r="V170">
        <v>0.9472405216227</v>
      </c>
      <c r="W170">
        <v>0.960612251689831</v>
      </c>
      <c r="X170">
        <v>0.95160444619242601</v>
      </c>
      <c r="Y170">
        <v>0.94248863074648703</v>
      </c>
      <c r="Z170">
        <v>0.95659290728265201</v>
      </c>
      <c r="AA170">
        <v>0.92270777430043005</v>
      </c>
      <c r="AB170">
        <v>0.94438966282032499</v>
      </c>
      <c r="AC170">
        <v>0.94879595792325</v>
      </c>
      <c r="AD170">
        <v>0.95618790064384296</v>
      </c>
      <c r="AE170">
        <v>0.92746915155855902</v>
      </c>
      <c r="AF170">
        <v>0.94637918565646295</v>
      </c>
      <c r="AG170">
        <v>0.89160702109682</v>
      </c>
      <c r="AH170">
        <v>0.89165273275374701</v>
      </c>
      <c r="AI170">
        <v>0.94287041934425098</v>
      </c>
      <c r="AJ170">
        <v>0.92471662112642505</v>
      </c>
      <c r="AL170">
        <v>0.60497408970128397</v>
      </c>
      <c r="AM170">
        <v>0.92279202736215804</v>
      </c>
      <c r="AN170">
        <v>0.95069767857319198</v>
      </c>
      <c r="AO170" t="s">
        <v>19</v>
      </c>
      <c r="AU170" t="str">
        <f t="shared" si="8"/>
        <v>ITM</v>
      </c>
      <c r="AV170" t="str">
        <f t="shared" si="9"/>
        <v>MDR</v>
      </c>
      <c r="AW170" t="str">
        <f t="shared" si="10"/>
        <v>ELC</v>
      </c>
      <c r="AX170" t="str">
        <f t="shared" si="11"/>
        <v>No</v>
      </c>
    </row>
    <row r="171" spans="1:50">
      <c r="A171" t="s">
        <v>17</v>
      </c>
      <c r="B171" t="s">
        <v>114</v>
      </c>
      <c r="C171" t="s">
        <v>245</v>
      </c>
      <c r="D171" t="s">
        <v>246</v>
      </c>
      <c r="E171" t="s">
        <v>57</v>
      </c>
      <c r="F171" t="s">
        <v>19</v>
      </c>
      <c r="G171" t="s">
        <v>100</v>
      </c>
      <c r="H171" t="s">
        <v>19</v>
      </c>
      <c r="I171" t="s">
        <v>19</v>
      </c>
      <c r="J171" t="s">
        <v>19</v>
      </c>
      <c r="K171" t="s">
        <v>19</v>
      </c>
      <c r="L171">
        <v>0</v>
      </c>
      <c r="M171">
        <v>0</v>
      </c>
      <c r="N171">
        <v>6.9973045117799398E-3</v>
      </c>
      <c r="O171">
        <v>1.9689571586861802E-2</v>
      </c>
      <c r="P171">
        <v>5.5135144645011101E-3</v>
      </c>
      <c r="Q171">
        <v>2.4750788999217499E-3</v>
      </c>
      <c r="R171">
        <v>3.0859506695976899E-3</v>
      </c>
      <c r="T171">
        <v>2.1523126773149999E-2</v>
      </c>
      <c r="U171">
        <v>7.1311674491266698E-3</v>
      </c>
      <c r="V171">
        <v>2.3788398115479501E-3</v>
      </c>
      <c r="W171">
        <v>1.4612094098849299E-2</v>
      </c>
      <c r="X171">
        <v>1.9202811804545299E-2</v>
      </c>
      <c r="Y171">
        <v>1.5079540578613699E-2</v>
      </c>
      <c r="Z171">
        <v>1.6669964399668499E-2</v>
      </c>
      <c r="AA171">
        <v>1.8612417359252901E-2</v>
      </c>
      <c r="AB171">
        <v>1.4108820464399201E-2</v>
      </c>
      <c r="AC171">
        <v>1.64871759245575E-2</v>
      </c>
      <c r="AD171">
        <v>1.6036850787045601E-2</v>
      </c>
      <c r="AE171">
        <v>0</v>
      </c>
      <c r="AF171">
        <v>2.3334610597081001E-2</v>
      </c>
      <c r="AG171">
        <v>1.55177509261646E-2</v>
      </c>
      <c r="AH171">
        <v>0</v>
      </c>
      <c r="AI171">
        <v>0</v>
      </c>
      <c r="AJ171">
        <v>1.9758317973389099E-2</v>
      </c>
      <c r="AL171">
        <v>4.9015066214593797E-2</v>
      </c>
      <c r="AM171">
        <v>2.7375276091860801E-2</v>
      </c>
      <c r="AN171">
        <v>2.7109305466950499E-2</v>
      </c>
      <c r="AO171" t="s">
        <v>19</v>
      </c>
      <c r="AU171" t="str">
        <f t="shared" si="8"/>
        <v>ITM</v>
      </c>
      <c r="AV171" t="str">
        <f t="shared" si="9"/>
        <v>MDR</v>
      </c>
      <c r="AW171" t="str">
        <f t="shared" si="10"/>
        <v>NGA</v>
      </c>
      <c r="AX171" t="str">
        <f t="shared" si="11"/>
        <v>Yes</v>
      </c>
    </row>
    <row r="172" spans="1:50">
      <c r="A172" t="s">
        <v>17</v>
      </c>
      <c r="B172" t="s">
        <v>114</v>
      </c>
      <c r="C172" t="s">
        <v>250</v>
      </c>
      <c r="D172" t="s">
        <v>246</v>
      </c>
      <c r="E172" t="s">
        <v>57</v>
      </c>
      <c r="F172" t="s">
        <v>19</v>
      </c>
      <c r="G172" t="s">
        <v>100</v>
      </c>
      <c r="H172" t="s">
        <v>19</v>
      </c>
      <c r="I172" t="s">
        <v>19</v>
      </c>
      <c r="J172" t="s">
        <v>19</v>
      </c>
      <c r="K172" t="s">
        <v>19</v>
      </c>
      <c r="L172">
        <v>1.6748512697732299E-2</v>
      </c>
      <c r="M172">
        <v>0.96894308744598501</v>
      </c>
      <c r="N172">
        <v>0</v>
      </c>
      <c r="O172">
        <v>9.4490934155375197E-2</v>
      </c>
      <c r="P172">
        <v>2.4354297683275399E-2</v>
      </c>
      <c r="Q172">
        <v>2.84685225549435E-2</v>
      </c>
      <c r="R172">
        <v>4.6152952463050602E-2</v>
      </c>
      <c r="T172">
        <v>0</v>
      </c>
      <c r="U172">
        <v>8.8692569742346902E-3</v>
      </c>
      <c r="V172">
        <v>4.0380638565751602E-2</v>
      </c>
      <c r="W172">
        <v>1.47756542113194E-2</v>
      </c>
      <c r="X172">
        <v>1.91927420030291E-2</v>
      </c>
      <c r="Y172">
        <v>3.2431828674898897E-2</v>
      </c>
      <c r="Z172">
        <v>1.6737128317679099E-2</v>
      </c>
      <c r="AA172">
        <v>4.8679808340317203E-2</v>
      </c>
      <c r="AB172">
        <v>3.1501516715275998E-2</v>
      </c>
      <c r="AC172">
        <v>2.4716866152192402E-2</v>
      </c>
      <c r="AD172">
        <v>1.77752485691118E-2</v>
      </c>
      <c r="AE172">
        <v>6.2530848441440703E-2</v>
      </c>
      <c r="AF172">
        <v>2.0286203746456399E-2</v>
      </c>
      <c r="AG172">
        <v>8.2875227977015201E-2</v>
      </c>
      <c r="AH172">
        <v>9.8347267246253298E-2</v>
      </c>
      <c r="AI172">
        <v>4.6208289785237999E-2</v>
      </c>
      <c r="AJ172">
        <v>4.5525060900185502E-2</v>
      </c>
      <c r="AL172">
        <v>0.33601084408412302</v>
      </c>
      <c r="AM172">
        <v>3.9832696545981199E-2</v>
      </c>
      <c r="AN172">
        <v>1.21930159598577E-2</v>
      </c>
      <c r="AO172" t="s">
        <v>19</v>
      </c>
      <c r="AU172" t="str">
        <f t="shared" si="8"/>
        <v>ITM</v>
      </c>
      <c r="AV172" t="str">
        <f t="shared" si="9"/>
        <v>MDR</v>
      </c>
      <c r="AW172" t="str">
        <f t="shared" si="10"/>
        <v>OIL</v>
      </c>
      <c r="AX172" t="str">
        <f t="shared" si="11"/>
        <v>Yes</v>
      </c>
    </row>
    <row r="173" spans="1:50">
      <c r="A173" t="s">
        <v>17</v>
      </c>
      <c r="B173" t="s">
        <v>114</v>
      </c>
      <c r="C173" t="s">
        <v>251</v>
      </c>
      <c r="D173" t="s">
        <v>242</v>
      </c>
      <c r="E173" t="s">
        <v>57</v>
      </c>
      <c r="F173" t="s">
        <v>19</v>
      </c>
      <c r="G173" t="s">
        <v>100</v>
      </c>
      <c r="H173" t="s">
        <v>19</v>
      </c>
      <c r="I173" t="s">
        <v>19</v>
      </c>
      <c r="J173" t="s">
        <v>19</v>
      </c>
      <c r="K173" t="s">
        <v>19</v>
      </c>
      <c r="L173">
        <v>0.61558061614650506</v>
      </c>
      <c r="M173">
        <v>0</v>
      </c>
      <c r="N173">
        <v>0.86806838086469795</v>
      </c>
      <c r="O173">
        <v>0.192432256693954</v>
      </c>
      <c r="P173">
        <v>0.49912677935479399</v>
      </c>
      <c r="Q173">
        <v>0.47844294479698102</v>
      </c>
      <c r="R173">
        <v>0.36030494787914902</v>
      </c>
      <c r="T173">
        <v>0.68820102406675299</v>
      </c>
      <c r="U173">
        <v>0.679548463738185</v>
      </c>
      <c r="V173">
        <v>0.39411725493544297</v>
      </c>
      <c r="W173">
        <v>0.54163144683491005</v>
      </c>
      <c r="X173">
        <v>0.47366769511546403</v>
      </c>
      <c r="Y173">
        <v>0.39660923291901601</v>
      </c>
      <c r="Z173">
        <v>0.50923836613636198</v>
      </c>
      <c r="AA173">
        <v>0.308617593848447</v>
      </c>
      <c r="AB173">
        <v>0.40589205353843799</v>
      </c>
      <c r="AC173">
        <v>0.44264617100149301</v>
      </c>
      <c r="AD173">
        <v>0.50288064996800796</v>
      </c>
      <c r="AE173">
        <v>0.29883784218133402</v>
      </c>
      <c r="AF173">
        <v>0.44556895080227399</v>
      </c>
      <c r="AG173">
        <v>0.218444768960148</v>
      </c>
      <c r="AH173">
        <v>0.20695301498073199</v>
      </c>
      <c r="AI173">
        <v>0.36660239113632698</v>
      </c>
      <c r="AJ173">
        <v>0.31827911272755399</v>
      </c>
      <c r="AL173">
        <v>4.5723550884069798E-2</v>
      </c>
      <c r="AM173">
        <v>0.32288083819284702</v>
      </c>
      <c r="AN173">
        <v>0.49434594283696198</v>
      </c>
      <c r="AO173" t="s">
        <v>19</v>
      </c>
      <c r="AU173" t="str">
        <f t="shared" si="8"/>
        <v>ITM</v>
      </c>
      <c r="AV173" t="str">
        <f t="shared" si="9"/>
        <v>OTH</v>
      </c>
      <c r="AW173" t="str">
        <f t="shared" si="10"/>
        <v>ELC</v>
      </c>
      <c r="AX173" t="str">
        <f t="shared" si="11"/>
        <v>No</v>
      </c>
    </row>
    <row r="174" spans="1:50">
      <c r="A174" t="s">
        <v>17</v>
      </c>
      <c r="B174" t="s">
        <v>114</v>
      </c>
      <c r="C174" t="s">
        <v>252</v>
      </c>
      <c r="D174" t="s">
        <v>242</v>
      </c>
      <c r="E174" t="s">
        <v>57</v>
      </c>
      <c r="F174" t="s">
        <v>19</v>
      </c>
      <c r="G174" t="s">
        <v>100</v>
      </c>
      <c r="H174" t="s">
        <v>19</v>
      </c>
      <c r="I174" t="s">
        <v>19</v>
      </c>
      <c r="J174" t="s">
        <v>19</v>
      </c>
      <c r="K174" t="s">
        <v>19</v>
      </c>
      <c r="L174">
        <v>1.06987303469608E-2</v>
      </c>
      <c r="M174">
        <v>0</v>
      </c>
      <c r="N174">
        <v>0.121931619135302</v>
      </c>
      <c r="O174">
        <v>8.5366184347270294E-2</v>
      </c>
      <c r="P174">
        <v>5.6558085261636401E-2</v>
      </c>
      <c r="Q174">
        <v>2.4364718236949599E-2</v>
      </c>
      <c r="R174">
        <v>2.33220216215956E-2</v>
      </c>
      <c r="T174">
        <v>0.301798975933247</v>
      </c>
      <c r="U174">
        <v>9.8176747374799797E-2</v>
      </c>
      <c r="V174">
        <v>1.9530650886850201E-2</v>
      </c>
      <c r="W174">
        <v>0.162575294071542</v>
      </c>
      <c r="X174">
        <v>0.18861162955441599</v>
      </c>
      <c r="Y174">
        <v>0.12521638122522599</v>
      </c>
      <c r="Z174">
        <v>0.17511162166091199</v>
      </c>
      <c r="AA174">
        <v>0.122841644443521</v>
      </c>
      <c r="AB174">
        <v>0.11965652033928199</v>
      </c>
      <c r="AC174">
        <v>0.15178068062935701</v>
      </c>
      <c r="AD174">
        <v>0.16642827330552201</v>
      </c>
      <c r="AE174">
        <v>0</v>
      </c>
      <c r="AF174">
        <v>0.21678869722070501</v>
      </c>
      <c r="AG174">
        <v>7.5021075212520993E-2</v>
      </c>
      <c r="AH174">
        <v>0</v>
      </c>
      <c r="AI174">
        <v>7.0684857691175502E-3</v>
      </c>
      <c r="AJ174">
        <v>0.13419482958265599</v>
      </c>
      <c r="AL174">
        <v>7.3100291225455596E-2</v>
      </c>
      <c r="AM174">
        <v>0.18900934808101799</v>
      </c>
      <c r="AN174">
        <v>0.278159098358291</v>
      </c>
      <c r="AO174" t="s">
        <v>19</v>
      </c>
      <c r="AU174" t="str">
        <f t="shared" si="8"/>
        <v>ITM</v>
      </c>
      <c r="AV174" t="str">
        <f t="shared" si="9"/>
        <v>OTH</v>
      </c>
      <c r="AW174" t="str">
        <f t="shared" si="10"/>
        <v>NGA</v>
      </c>
      <c r="AX174" t="str">
        <f t="shared" si="11"/>
        <v>Yes</v>
      </c>
    </row>
    <row r="175" spans="1:50">
      <c r="A175" t="s">
        <v>17</v>
      </c>
      <c r="B175" t="s">
        <v>114</v>
      </c>
      <c r="C175" t="s">
        <v>237</v>
      </c>
      <c r="D175" t="s">
        <v>242</v>
      </c>
      <c r="E175" t="s">
        <v>57</v>
      </c>
      <c r="F175" t="s">
        <v>19</v>
      </c>
      <c r="G175" t="s">
        <v>100</v>
      </c>
      <c r="H175" t="s">
        <v>19</v>
      </c>
      <c r="I175" t="s">
        <v>19</v>
      </c>
      <c r="J175" t="s">
        <v>19</v>
      </c>
      <c r="K175" t="s">
        <v>19</v>
      </c>
      <c r="L175">
        <v>0.36372065350653399</v>
      </c>
      <c r="M175">
        <v>0.98937323163421498</v>
      </c>
      <c r="N175">
        <v>0</v>
      </c>
      <c r="O175">
        <v>0.71220155895877502</v>
      </c>
      <c r="P175">
        <v>0.43431513538356897</v>
      </c>
      <c r="Q175">
        <v>0.48719233696606901</v>
      </c>
      <c r="R175">
        <v>0.60637303049925495</v>
      </c>
      <c r="T175">
        <v>0</v>
      </c>
      <c r="U175">
        <v>0.21227478888701501</v>
      </c>
      <c r="V175">
        <v>0.57635209417770605</v>
      </c>
      <c r="W175">
        <v>0.28579325909354802</v>
      </c>
      <c r="X175">
        <v>0.32772067533012</v>
      </c>
      <c r="Y175">
        <v>0.46817438585575799</v>
      </c>
      <c r="Z175">
        <v>0.30565001220272597</v>
      </c>
      <c r="AA175">
        <v>0.55854076170803202</v>
      </c>
      <c r="AB175">
        <v>0.46445142612228002</v>
      </c>
      <c r="AC175">
        <v>0.39557314836914897</v>
      </c>
      <c r="AD175">
        <v>0.32069107672647001</v>
      </c>
      <c r="AE175">
        <v>0.69116215781866597</v>
      </c>
      <c r="AF175">
        <v>0.32764235197702102</v>
      </c>
      <c r="AG175">
        <v>0.69653415582733103</v>
      </c>
      <c r="AH175">
        <v>0.78304698501926795</v>
      </c>
      <c r="AI175">
        <v>0.61632912309455501</v>
      </c>
      <c r="AJ175">
        <v>0.53752605768978901</v>
      </c>
      <c r="AL175">
        <v>0.87117615789047498</v>
      </c>
      <c r="AM175">
        <v>0.47810981372613598</v>
      </c>
      <c r="AN175">
        <v>0.21749495880474701</v>
      </c>
      <c r="AO175" t="s">
        <v>19</v>
      </c>
      <c r="AU175" t="str">
        <f t="shared" si="8"/>
        <v>ITM</v>
      </c>
      <c r="AV175" t="str">
        <f t="shared" si="9"/>
        <v>OTH</v>
      </c>
      <c r="AW175" t="str">
        <f t="shared" si="10"/>
        <v>OIL</v>
      </c>
      <c r="AX175" t="str">
        <f t="shared" si="11"/>
        <v>Yes</v>
      </c>
    </row>
    <row r="176" spans="1:50">
      <c r="A176" t="s">
        <v>17</v>
      </c>
      <c r="B176" t="s">
        <v>114</v>
      </c>
      <c r="C176" t="s">
        <v>239</v>
      </c>
      <c r="D176" t="s">
        <v>238</v>
      </c>
      <c r="E176" t="s">
        <v>57</v>
      </c>
      <c r="F176" t="s">
        <v>19</v>
      </c>
      <c r="G176" t="s">
        <v>100</v>
      </c>
      <c r="H176" t="s">
        <v>19</v>
      </c>
      <c r="I176" t="s">
        <v>19</v>
      </c>
      <c r="J176" t="s">
        <v>19</v>
      </c>
      <c r="K176" t="s">
        <v>19</v>
      </c>
      <c r="L176">
        <v>0.89442810122020799</v>
      </c>
      <c r="M176">
        <v>3.9561748406014997E-3</v>
      </c>
      <c r="N176">
        <v>0.89222603515005405</v>
      </c>
      <c r="O176">
        <v>0.51282839444579598</v>
      </c>
      <c r="P176">
        <v>0.80763869174208902</v>
      </c>
      <c r="Q176">
        <v>0.82464810528245902</v>
      </c>
      <c r="R176">
        <v>0.75214995846420096</v>
      </c>
      <c r="T176">
        <v>0.73763466627203</v>
      </c>
      <c r="U176">
        <v>0.85195324775797499</v>
      </c>
      <c r="V176">
        <v>0.77979487847166695</v>
      </c>
      <c r="W176">
        <v>0.75143087255619201</v>
      </c>
      <c r="X176">
        <v>0.69723187132871001</v>
      </c>
      <c r="Y176">
        <v>0.691004491172449</v>
      </c>
      <c r="Z176">
        <v>0.72631510757325601</v>
      </c>
      <c r="AA176">
        <v>0.62018592622212099</v>
      </c>
      <c r="AB176">
        <v>0.70179606918154103</v>
      </c>
      <c r="AC176">
        <v>0.70281702120825895</v>
      </c>
      <c r="AD176">
        <v>0.72853797400888198</v>
      </c>
      <c r="AE176">
        <v>0.725176850782978</v>
      </c>
      <c r="AF176">
        <v>0.66190218577629101</v>
      </c>
      <c r="AG176">
        <v>0.55888066367940703</v>
      </c>
      <c r="AH176">
        <v>0.61974723227602102</v>
      </c>
      <c r="AI176">
        <v>0.77313922853119998</v>
      </c>
      <c r="AJ176">
        <v>0.62045689368589296</v>
      </c>
      <c r="AL176">
        <v>0.18836798697350199</v>
      </c>
      <c r="AM176">
        <v>0.58562544508589398</v>
      </c>
      <c r="AN176">
        <v>0.65630208629313402</v>
      </c>
      <c r="AO176" t="s">
        <v>19</v>
      </c>
      <c r="AU176" t="str">
        <f t="shared" si="8"/>
        <v>ITM</v>
      </c>
      <c r="AV176" t="str">
        <f t="shared" si="9"/>
        <v>OTP</v>
      </c>
      <c r="AW176" t="str">
        <f t="shared" si="10"/>
        <v>ELC</v>
      </c>
      <c r="AX176" t="str">
        <f t="shared" si="11"/>
        <v>No</v>
      </c>
    </row>
    <row r="177" spans="1:50">
      <c r="A177" t="s">
        <v>17</v>
      </c>
      <c r="B177" t="s">
        <v>114</v>
      </c>
      <c r="C177" t="s">
        <v>236</v>
      </c>
      <c r="D177" t="s">
        <v>238</v>
      </c>
      <c r="E177" t="s">
        <v>57</v>
      </c>
      <c r="F177" t="s">
        <v>19</v>
      </c>
      <c r="G177" t="s">
        <v>100</v>
      </c>
      <c r="H177" t="s">
        <v>19</v>
      </c>
      <c r="I177" t="s">
        <v>19</v>
      </c>
      <c r="J177" t="s">
        <v>19</v>
      </c>
      <c r="K177" t="s">
        <v>19</v>
      </c>
      <c r="L177">
        <v>1.21277063444026E-2</v>
      </c>
      <c r="M177">
        <v>0</v>
      </c>
      <c r="N177">
        <v>9.7773964849945896E-2</v>
      </c>
      <c r="O177">
        <v>0.177486772418494</v>
      </c>
      <c r="P177">
        <v>7.1398136199363194E-2</v>
      </c>
      <c r="Q177">
        <v>3.2763163988436803E-2</v>
      </c>
      <c r="R177">
        <v>3.7982743867770903E-2</v>
      </c>
      <c r="T177">
        <v>0.25236533372797099</v>
      </c>
      <c r="U177">
        <v>9.6026234487310597E-2</v>
      </c>
      <c r="V177">
        <v>3.0147935524074101E-2</v>
      </c>
      <c r="W177">
        <v>0.175964736101897</v>
      </c>
      <c r="X177">
        <v>0.21659970641533999</v>
      </c>
      <c r="Y177">
        <v>0.17020218449090499</v>
      </c>
      <c r="Z177">
        <v>0.19485199786704099</v>
      </c>
      <c r="AA177">
        <v>0.19258957677269001</v>
      </c>
      <c r="AB177">
        <v>0.16140711806070099</v>
      </c>
      <c r="AC177">
        <v>0.188013046490557</v>
      </c>
      <c r="AD177">
        <v>0.18810498611467699</v>
      </c>
      <c r="AE177">
        <v>0</v>
      </c>
      <c r="AF177">
        <v>0.25124733426190299</v>
      </c>
      <c r="AG177">
        <v>0.14974304166709801</v>
      </c>
      <c r="AH177">
        <v>0</v>
      </c>
      <c r="AI177">
        <v>1.16298666700035E-2</v>
      </c>
      <c r="AJ177">
        <v>0.20409162808928899</v>
      </c>
      <c r="AL177">
        <v>0.23494823402416401</v>
      </c>
      <c r="AM177">
        <v>0.26745263560606702</v>
      </c>
      <c r="AN177">
        <v>0.2881058070934</v>
      </c>
      <c r="AO177" t="s">
        <v>19</v>
      </c>
      <c r="AU177" t="str">
        <f t="shared" si="8"/>
        <v>ITM</v>
      </c>
      <c r="AV177" t="str">
        <f t="shared" si="9"/>
        <v>OTP</v>
      </c>
      <c r="AW177" t="str">
        <f t="shared" si="10"/>
        <v>NGA</v>
      </c>
      <c r="AX177" t="str">
        <f t="shared" si="11"/>
        <v>Yes</v>
      </c>
    </row>
    <row r="178" spans="1:50">
      <c r="A178" t="s">
        <v>17</v>
      </c>
      <c r="B178" t="s">
        <v>114</v>
      </c>
      <c r="C178" t="s">
        <v>233</v>
      </c>
      <c r="D178" t="s">
        <v>238</v>
      </c>
      <c r="E178" t="s">
        <v>57</v>
      </c>
      <c r="F178" t="s">
        <v>19</v>
      </c>
      <c r="G178" t="s">
        <v>100</v>
      </c>
      <c r="H178" t="s">
        <v>19</v>
      </c>
      <c r="I178" t="s">
        <v>19</v>
      </c>
      <c r="J178" t="s">
        <v>19</v>
      </c>
      <c r="K178" t="s">
        <v>19</v>
      </c>
      <c r="L178">
        <v>8.3444192435389294E-2</v>
      </c>
      <c r="M178">
        <v>0.98604382515939804</v>
      </c>
      <c r="N178">
        <v>0</v>
      </c>
      <c r="O178">
        <v>0.29968483313571098</v>
      </c>
      <c r="P178">
        <v>0.110963172058548</v>
      </c>
      <c r="Q178">
        <v>0.13258873072910399</v>
      </c>
      <c r="R178">
        <v>0.19986729766802799</v>
      </c>
      <c r="T178">
        <v>0</v>
      </c>
      <c r="U178">
        <v>4.2020517754714902E-2</v>
      </c>
      <c r="V178">
        <v>0.18005718600425899</v>
      </c>
      <c r="W178">
        <v>6.2604391341911203E-2</v>
      </c>
      <c r="X178">
        <v>7.6168422255949705E-2</v>
      </c>
      <c r="Y178">
        <v>0.128793324336646</v>
      </c>
      <c r="Z178">
        <v>6.8832894559702595E-2</v>
      </c>
      <c r="AA178">
        <v>0.177224497005189</v>
      </c>
      <c r="AB178">
        <v>0.126796812757758</v>
      </c>
      <c r="AC178">
        <v>9.9169932301184302E-2</v>
      </c>
      <c r="AD178">
        <v>7.3357039876441696E-2</v>
      </c>
      <c r="AE178">
        <v>0.26482314921702199</v>
      </c>
      <c r="AF178">
        <v>7.6850479961805607E-2</v>
      </c>
      <c r="AG178">
        <v>0.28137629465349601</v>
      </c>
      <c r="AH178">
        <v>0.37025276772397903</v>
      </c>
      <c r="AI178">
        <v>0.20523090479879699</v>
      </c>
      <c r="AJ178">
        <v>0.16545147822481801</v>
      </c>
      <c r="AL178">
        <v>0.56668377900233502</v>
      </c>
      <c r="AM178">
        <v>0.13692191930803899</v>
      </c>
      <c r="AN178">
        <v>4.5592106613465799E-2</v>
      </c>
      <c r="AO178" t="s">
        <v>19</v>
      </c>
      <c r="AU178" t="str">
        <f t="shared" si="8"/>
        <v>ITM</v>
      </c>
      <c r="AV178" t="str">
        <f t="shared" si="9"/>
        <v>OTP</v>
      </c>
      <c r="AW178" t="str">
        <f t="shared" si="10"/>
        <v>OIL</v>
      </c>
      <c r="AX178" t="str">
        <f t="shared" si="11"/>
        <v>Yes</v>
      </c>
    </row>
    <row r="179" spans="1:50">
      <c r="A179" t="s">
        <v>17</v>
      </c>
      <c r="B179" t="s">
        <v>114</v>
      </c>
      <c r="C179" t="s">
        <v>235</v>
      </c>
      <c r="D179" t="s">
        <v>234</v>
      </c>
      <c r="E179" t="s">
        <v>57</v>
      </c>
      <c r="F179" t="s">
        <v>19</v>
      </c>
      <c r="G179" t="s">
        <v>100</v>
      </c>
      <c r="H179" t="s">
        <v>19</v>
      </c>
      <c r="I179" t="s">
        <v>19</v>
      </c>
      <c r="J179" t="s">
        <v>19</v>
      </c>
      <c r="K179" t="s">
        <v>19</v>
      </c>
      <c r="L179">
        <v>0.98764399830534799</v>
      </c>
      <c r="M179">
        <v>0.99</v>
      </c>
      <c r="N179">
        <v>0.97127454943802205</v>
      </c>
      <c r="O179">
        <v>0.93317999334671198</v>
      </c>
      <c r="P179">
        <v>0.97483842460474901</v>
      </c>
      <c r="Q179">
        <v>0.98312821972005304</v>
      </c>
      <c r="R179">
        <v>0.98128198409660095</v>
      </c>
      <c r="T179">
        <v>0.93379415732416704</v>
      </c>
      <c r="U179">
        <v>0.97075031579929805</v>
      </c>
      <c r="V179">
        <v>0.98331178269956498</v>
      </c>
      <c r="W179">
        <v>0.95082758787668098</v>
      </c>
      <c r="X179">
        <v>0.93869641383556701</v>
      </c>
      <c r="Y179">
        <v>0.94888141757049405</v>
      </c>
      <c r="Z179">
        <v>0.94538014106539003</v>
      </c>
      <c r="AA179">
        <v>0.93871542522528295</v>
      </c>
      <c r="AB179">
        <v>0.95149985111971302</v>
      </c>
      <c r="AC179">
        <v>0.945501059774841</v>
      </c>
      <c r="AD179">
        <v>0.94698374758287596</v>
      </c>
      <c r="AE179">
        <v>0.99</v>
      </c>
      <c r="AF179">
        <v>0.92802597381846896</v>
      </c>
      <c r="AG179">
        <v>0.94543428816550901</v>
      </c>
      <c r="AH179">
        <v>0.99</v>
      </c>
      <c r="AI179">
        <v>0.98738695827118395</v>
      </c>
      <c r="AJ179">
        <v>0.93584253958855201</v>
      </c>
      <c r="AL179">
        <v>0.811851012824227</v>
      </c>
      <c r="AM179">
        <v>0.91637236356627405</v>
      </c>
      <c r="AN179">
        <v>0.91902316671852902</v>
      </c>
      <c r="AO179" t="s">
        <v>19</v>
      </c>
      <c r="AU179" t="str">
        <f t="shared" si="8"/>
        <v>ITM</v>
      </c>
      <c r="AV179" t="str">
        <f t="shared" si="9"/>
        <v>PRC</v>
      </c>
      <c r="AW179" t="str">
        <f t="shared" si="10"/>
        <v>ELC</v>
      </c>
      <c r="AX179" t="str">
        <f t="shared" si="11"/>
        <v>No</v>
      </c>
    </row>
    <row r="180" spans="1:50">
      <c r="A180" t="s">
        <v>17</v>
      </c>
      <c r="B180" t="s">
        <v>114</v>
      </c>
      <c r="C180" t="s">
        <v>232</v>
      </c>
      <c r="D180" t="s">
        <v>234</v>
      </c>
      <c r="E180" t="s">
        <v>57</v>
      </c>
      <c r="F180" t="s">
        <v>19</v>
      </c>
      <c r="G180" t="s">
        <v>100</v>
      </c>
      <c r="H180" t="s">
        <v>19</v>
      </c>
      <c r="I180" t="s">
        <v>19</v>
      </c>
      <c r="J180" t="s">
        <v>19</v>
      </c>
      <c r="K180" t="s">
        <v>19</v>
      </c>
      <c r="L180">
        <v>2.3560016946520398E-3</v>
      </c>
      <c r="M180">
        <v>0</v>
      </c>
      <c r="N180">
        <v>1.8725450561978298E-2</v>
      </c>
      <c r="O180">
        <v>5.6820006653287597E-2</v>
      </c>
      <c r="P180">
        <v>1.5161575395251E-2</v>
      </c>
      <c r="Q180">
        <v>6.8717802799466501E-3</v>
      </c>
      <c r="R180">
        <v>8.7180159033995192E-3</v>
      </c>
      <c r="T180">
        <v>5.62058426758325E-2</v>
      </c>
      <c r="U180">
        <v>1.9249684200702E-2</v>
      </c>
      <c r="V180">
        <v>6.6882173004350898E-3</v>
      </c>
      <c r="W180">
        <v>3.9172412123319303E-2</v>
      </c>
      <c r="X180">
        <v>5.1303586164432903E-2</v>
      </c>
      <c r="Y180">
        <v>4.1118582429506403E-2</v>
      </c>
      <c r="Z180">
        <v>4.4619858934609798E-2</v>
      </c>
      <c r="AA180">
        <v>5.1284574774716998E-2</v>
      </c>
      <c r="AB180">
        <v>3.8500148880286598E-2</v>
      </c>
      <c r="AC180">
        <v>4.4498940225158497E-2</v>
      </c>
      <c r="AD180">
        <v>4.3016252417124E-2</v>
      </c>
      <c r="AE180">
        <v>0</v>
      </c>
      <c r="AF180">
        <v>6.1974026181531201E-2</v>
      </c>
      <c r="AG180">
        <v>4.4565711834490998E-2</v>
      </c>
      <c r="AH180">
        <v>0</v>
      </c>
      <c r="AI180">
        <v>2.61304172881571E-3</v>
      </c>
      <c r="AJ180">
        <v>5.4157460411448102E-2</v>
      </c>
      <c r="AL180">
        <v>0.17814898717577299</v>
      </c>
      <c r="AM180">
        <v>7.3627636433725899E-2</v>
      </c>
      <c r="AN180">
        <v>7.0976833281471294E-2</v>
      </c>
      <c r="AO180" t="s">
        <v>19</v>
      </c>
      <c r="AU180" t="str">
        <f t="shared" si="8"/>
        <v>ITM</v>
      </c>
      <c r="AV180" t="str">
        <f t="shared" si="9"/>
        <v>PRC</v>
      </c>
      <c r="AW180" t="str">
        <f t="shared" si="10"/>
        <v>NGA</v>
      </c>
      <c r="AX180" t="str">
        <f t="shared" si="11"/>
        <v>Yes</v>
      </c>
    </row>
    <row r="181" spans="1:50">
      <c r="A181" t="s">
        <v>17</v>
      </c>
      <c r="B181" t="s">
        <v>114</v>
      </c>
      <c r="C181" t="s">
        <v>229</v>
      </c>
      <c r="D181" t="s">
        <v>231</v>
      </c>
      <c r="E181" t="s">
        <v>57</v>
      </c>
      <c r="F181" t="s">
        <v>19</v>
      </c>
      <c r="G181" t="s">
        <v>100</v>
      </c>
      <c r="H181" t="s">
        <v>19</v>
      </c>
      <c r="I181" t="s">
        <v>19</v>
      </c>
      <c r="J181" t="s">
        <v>19</v>
      </c>
      <c r="K181" t="s">
        <v>19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1.2259398768729301E-3</v>
      </c>
      <c r="R181">
        <v>0</v>
      </c>
      <c r="T181">
        <v>1.90103170210452E-3</v>
      </c>
      <c r="U181">
        <v>0</v>
      </c>
      <c r="V181">
        <v>0.15970417036916201</v>
      </c>
      <c r="W181">
        <v>2.73548185873463E-2</v>
      </c>
      <c r="X181">
        <v>1.4150628280773099E-2</v>
      </c>
      <c r="Y181">
        <v>6.7070281821073703E-3</v>
      </c>
      <c r="Z181">
        <v>3.0324442480140198E-2</v>
      </c>
      <c r="AA181">
        <v>2.69876101031544E-3</v>
      </c>
      <c r="AB181">
        <v>4.9292113285926399E-2</v>
      </c>
      <c r="AC181">
        <v>1.31198233116421E-2</v>
      </c>
      <c r="AD181">
        <v>3.1387678044713499E-2</v>
      </c>
      <c r="AE181">
        <v>0</v>
      </c>
      <c r="AF181">
        <v>0</v>
      </c>
      <c r="AG181">
        <v>0</v>
      </c>
      <c r="AH181">
        <v>0</v>
      </c>
      <c r="AI181">
        <v>1.4981128299108699E-2</v>
      </c>
      <c r="AJ181">
        <v>0</v>
      </c>
      <c r="AL181">
        <v>0</v>
      </c>
      <c r="AM181">
        <v>1.1079164014240999E-3</v>
      </c>
      <c r="AN181">
        <v>0</v>
      </c>
      <c r="AO181" t="s">
        <v>19</v>
      </c>
      <c r="AU181" t="str">
        <f t="shared" si="8"/>
        <v>ITM</v>
      </c>
      <c r="AV181" t="str">
        <f t="shared" si="9"/>
        <v>PRH</v>
      </c>
      <c r="AW181" t="str">
        <f t="shared" si="10"/>
        <v>BIO</v>
      </c>
      <c r="AX181" t="str">
        <f t="shared" si="11"/>
        <v>No</v>
      </c>
    </row>
    <row r="182" spans="1:50">
      <c r="A182" t="s">
        <v>17</v>
      </c>
      <c r="B182" t="s">
        <v>114</v>
      </c>
      <c r="C182" t="s">
        <v>230</v>
      </c>
      <c r="D182" t="s">
        <v>231</v>
      </c>
      <c r="E182" t="s">
        <v>57</v>
      </c>
      <c r="F182" t="s">
        <v>19</v>
      </c>
      <c r="G182" t="s">
        <v>100</v>
      </c>
      <c r="H182" t="s">
        <v>19</v>
      </c>
      <c r="I182" t="s">
        <v>19</v>
      </c>
      <c r="J182" t="s">
        <v>19</v>
      </c>
      <c r="K182" t="s">
        <v>19</v>
      </c>
      <c r="L182">
        <v>0</v>
      </c>
      <c r="M182">
        <v>0.981999418446448</v>
      </c>
      <c r="N182">
        <v>0</v>
      </c>
      <c r="O182">
        <v>0.33586028074869301</v>
      </c>
      <c r="P182">
        <v>1.29086961759961E-3</v>
      </c>
      <c r="Q182">
        <v>1.1529613863526401E-2</v>
      </c>
      <c r="R182">
        <v>0</v>
      </c>
      <c r="T182">
        <v>0</v>
      </c>
      <c r="U182">
        <v>9.6052965102199697E-2</v>
      </c>
      <c r="V182">
        <v>0</v>
      </c>
      <c r="W182">
        <v>5.3771492681563199E-2</v>
      </c>
      <c r="X182">
        <v>0</v>
      </c>
      <c r="Y182">
        <v>0</v>
      </c>
      <c r="Z182">
        <v>1.4715836557828699E-3</v>
      </c>
      <c r="AA182">
        <v>0</v>
      </c>
      <c r="AB182">
        <v>2.0591834572981998E-2</v>
      </c>
      <c r="AC182">
        <v>1.7009787921796E-3</v>
      </c>
      <c r="AD182">
        <v>8.9494022378893298E-2</v>
      </c>
      <c r="AE182">
        <v>0</v>
      </c>
      <c r="AF182">
        <v>4.7870119379685598E-2</v>
      </c>
      <c r="AG182">
        <v>0</v>
      </c>
      <c r="AH182">
        <v>0</v>
      </c>
      <c r="AI182">
        <v>0</v>
      </c>
      <c r="AJ182">
        <v>5.1564483895908996E-3</v>
      </c>
      <c r="AL182">
        <v>0</v>
      </c>
      <c r="AM182">
        <v>3.7363487284982601E-2</v>
      </c>
      <c r="AN182">
        <v>3.8031648380233399E-3</v>
      </c>
      <c r="AO182" t="s">
        <v>19</v>
      </c>
      <c r="AU182" t="str">
        <f t="shared" si="8"/>
        <v>ITM</v>
      </c>
      <c r="AV182" t="str">
        <f t="shared" si="9"/>
        <v>PRH</v>
      </c>
      <c r="AW182" t="str">
        <f t="shared" si="10"/>
        <v>COA</v>
      </c>
      <c r="AX182" t="str">
        <f t="shared" si="11"/>
        <v>Yes</v>
      </c>
    </row>
    <row r="183" spans="1:50">
      <c r="A183" t="s">
        <v>17</v>
      </c>
      <c r="B183" t="s">
        <v>114</v>
      </c>
      <c r="C183" t="s">
        <v>228</v>
      </c>
      <c r="D183" t="s">
        <v>231</v>
      </c>
      <c r="E183" t="s">
        <v>57</v>
      </c>
      <c r="F183" t="s">
        <v>19</v>
      </c>
      <c r="G183" t="s">
        <v>100</v>
      </c>
      <c r="H183" t="s">
        <v>19</v>
      </c>
      <c r="I183" t="s">
        <v>19</v>
      </c>
      <c r="J183" t="s">
        <v>19</v>
      </c>
      <c r="K183" t="s">
        <v>19</v>
      </c>
      <c r="L183">
        <v>0.87340387361708804</v>
      </c>
      <c r="M183">
        <v>8.0005815535519401E-3</v>
      </c>
      <c r="N183">
        <v>0.47621172422813601</v>
      </c>
      <c r="O183">
        <v>0.14589887685485201</v>
      </c>
      <c r="P183">
        <v>0.52073373110523102</v>
      </c>
      <c r="Q183">
        <v>0.70246800705536705</v>
      </c>
      <c r="R183">
        <v>0.66124110428449401</v>
      </c>
      <c r="T183">
        <v>0.22619222277057599</v>
      </c>
      <c r="U183">
        <v>0.31865653332208599</v>
      </c>
      <c r="V183">
        <v>0.57713821791876496</v>
      </c>
      <c r="W183">
        <v>0.27351978434836399</v>
      </c>
      <c r="X183">
        <v>0.24044251863947599</v>
      </c>
      <c r="Y183">
        <v>0.28708895920405098</v>
      </c>
      <c r="Z183">
        <v>0.26314255019129001</v>
      </c>
      <c r="AA183">
        <v>0.24331317114506301</v>
      </c>
      <c r="AB183">
        <v>0.27544325106735801</v>
      </c>
      <c r="AC183">
        <v>0.25847902543552198</v>
      </c>
      <c r="AD183">
        <v>0.24512074784367399</v>
      </c>
      <c r="AE183">
        <v>0.99</v>
      </c>
      <c r="AF183">
        <v>0.187204053319625</v>
      </c>
      <c r="AG183">
        <v>0.27213274653622199</v>
      </c>
      <c r="AH183">
        <v>0.99</v>
      </c>
      <c r="AI183">
        <v>0.84924616884784399</v>
      </c>
      <c r="AJ183">
        <v>0.22962429948830201</v>
      </c>
      <c r="AL183">
        <v>7.4547797057057899E-2</v>
      </c>
      <c r="AM183">
        <v>0.17311923849858499</v>
      </c>
      <c r="AN183">
        <v>0.185179509586512</v>
      </c>
      <c r="AO183" t="s">
        <v>19</v>
      </c>
      <c r="AU183" t="str">
        <f t="shared" si="8"/>
        <v>ITM</v>
      </c>
      <c r="AV183" t="str">
        <f t="shared" si="9"/>
        <v>PRH</v>
      </c>
      <c r="AW183" t="str">
        <f t="shared" si="10"/>
        <v>ELC</v>
      </c>
      <c r="AX183" t="str">
        <f t="shared" si="11"/>
        <v>No</v>
      </c>
    </row>
    <row r="184" spans="1:50">
      <c r="A184" t="s">
        <v>17</v>
      </c>
      <c r="B184" t="s">
        <v>114</v>
      </c>
      <c r="C184" t="s">
        <v>226</v>
      </c>
      <c r="D184" t="s">
        <v>231</v>
      </c>
      <c r="E184" t="s">
        <v>57</v>
      </c>
      <c r="F184" t="s">
        <v>19</v>
      </c>
      <c r="G184" t="s">
        <v>100</v>
      </c>
      <c r="H184" t="s">
        <v>19</v>
      </c>
      <c r="I184" t="s">
        <v>19</v>
      </c>
      <c r="J184" t="s">
        <v>19</v>
      </c>
      <c r="K184" t="s">
        <v>19</v>
      </c>
      <c r="L184">
        <v>0.116596126382912</v>
      </c>
      <c r="M184">
        <v>0</v>
      </c>
      <c r="N184">
        <v>0.51378827577186403</v>
      </c>
      <c r="O184">
        <v>0.49714336623819799</v>
      </c>
      <c r="P184">
        <v>0.45323270452597197</v>
      </c>
      <c r="Q184">
        <v>0.274776439204234</v>
      </c>
      <c r="R184">
        <v>0.32875889571550598</v>
      </c>
      <c r="T184">
        <v>0.76190674552731996</v>
      </c>
      <c r="U184">
        <v>0.35361667382416001</v>
      </c>
      <c r="V184">
        <v>0.21968115581598199</v>
      </c>
      <c r="W184">
        <v>0.63061039482916004</v>
      </c>
      <c r="X184">
        <v>0.73540685307975096</v>
      </c>
      <c r="Y184">
        <v>0.69620401261384202</v>
      </c>
      <c r="Z184">
        <v>0.69503493775097602</v>
      </c>
      <c r="AA184">
        <v>0.74389606703726396</v>
      </c>
      <c r="AB184">
        <v>0.623705622421588</v>
      </c>
      <c r="AC184">
        <v>0.68078000968060903</v>
      </c>
      <c r="AD184">
        <v>0.62310890559660104</v>
      </c>
      <c r="AE184">
        <v>0</v>
      </c>
      <c r="AF184">
        <v>0.69961428194852204</v>
      </c>
      <c r="AG184">
        <v>0.717867253463778</v>
      </c>
      <c r="AH184">
        <v>0</v>
      </c>
      <c r="AI184">
        <v>0.12577270285304801</v>
      </c>
      <c r="AJ184">
        <v>0.74364761912244803</v>
      </c>
      <c r="AL184">
        <v>0.91545220294294205</v>
      </c>
      <c r="AM184">
        <v>0.77840935781500897</v>
      </c>
      <c r="AN184">
        <v>0.80034443277419998</v>
      </c>
      <c r="AO184" t="s">
        <v>19</v>
      </c>
      <c r="AU184" t="str">
        <f t="shared" si="8"/>
        <v>ITM</v>
      </c>
      <c r="AV184" t="str">
        <f t="shared" si="9"/>
        <v>PRH</v>
      </c>
      <c r="AW184" t="str">
        <f t="shared" si="10"/>
        <v>NGA</v>
      </c>
      <c r="AX184" t="str">
        <f t="shared" si="11"/>
        <v>Yes</v>
      </c>
    </row>
    <row r="185" spans="1:50">
      <c r="A185" t="s">
        <v>17</v>
      </c>
      <c r="B185" t="s">
        <v>114</v>
      </c>
      <c r="C185" t="s">
        <v>227</v>
      </c>
      <c r="D185" t="s">
        <v>231</v>
      </c>
      <c r="E185" t="s">
        <v>57</v>
      </c>
      <c r="F185" t="s">
        <v>19</v>
      </c>
      <c r="G185" t="s">
        <v>100</v>
      </c>
      <c r="H185" t="s">
        <v>19</v>
      </c>
      <c r="I185" t="s">
        <v>19</v>
      </c>
      <c r="J185" t="s">
        <v>19</v>
      </c>
      <c r="K185" t="s">
        <v>19</v>
      </c>
      <c r="L185">
        <v>0</v>
      </c>
      <c r="M185">
        <v>0</v>
      </c>
      <c r="N185">
        <v>0</v>
      </c>
      <c r="O185">
        <v>1.1082212903888101E-2</v>
      </c>
      <c r="P185">
        <v>1.4207918370518101E-2</v>
      </c>
      <c r="Q185">
        <v>0</v>
      </c>
      <c r="R185">
        <v>0</v>
      </c>
      <c r="T185">
        <v>0</v>
      </c>
      <c r="U185">
        <v>0.221673827751554</v>
      </c>
      <c r="V185">
        <v>3.3476455896090898E-2</v>
      </c>
      <c r="W185">
        <v>4.7435095535670801E-3</v>
      </c>
      <c r="X185">
        <v>0</v>
      </c>
      <c r="Y185">
        <v>0</v>
      </c>
      <c r="Z185">
        <v>0</v>
      </c>
      <c r="AA185">
        <v>0</v>
      </c>
      <c r="AB185">
        <v>2.09671786521455E-2</v>
      </c>
      <c r="AC185">
        <v>3.5920162780048101E-2</v>
      </c>
      <c r="AD185">
        <v>0</v>
      </c>
      <c r="AE185">
        <v>0</v>
      </c>
      <c r="AF185">
        <v>5.53115453521675E-2</v>
      </c>
      <c r="AG185">
        <v>0</v>
      </c>
      <c r="AH185">
        <v>0</v>
      </c>
      <c r="AI185">
        <v>0</v>
      </c>
      <c r="AJ185">
        <v>1.06892281033804E-2</v>
      </c>
      <c r="AL185">
        <v>0</v>
      </c>
      <c r="AM185">
        <v>0</v>
      </c>
      <c r="AN185">
        <v>0</v>
      </c>
      <c r="AO185" t="s">
        <v>19</v>
      </c>
      <c r="AU185" t="str">
        <f t="shared" si="8"/>
        <v>ITM</v>
      </c>
      <c r="AV185" t="str">
        <f t="shared" si="9"/>
        <v>PRH</v>
      </c>
      <c r="AW185" t="str">
        <f t="shared" si="10"/>
        <v>OVC</v>
      </c>
      <c r="AX185" t="str">
        <f t="shared" si="11"/>
        <v>Yes</v>
      </c>
    </row>
    <row r="186" spans="1:50">
      <c r="A186" t="s">
        <v>17</v>
      </c>
      <c r="B186" t="s">
        <v>114</v>
      </c>
      <c r="C186" t="s">
        <v>225</v>
      </c>
      <c r="D186" t="s">
        <v>220</v>
      </c>
      <c r="E186" t="s">
        <v>57</v>
      </c>
      <c r="F186" t="s">
        <v>19</v>
      </c>
      <c r="G186" t="s">
        <v>100</v>
      </c>
      <c r="H186" t="s">
        <v>19</v>
      </c>
      <c r="I186" t="s">
        <v>19</v>
      </c>
      <c r="J186" t="s">
        <v>19</v>
      </c>
      <c r="K186" t="s">
        <v>19</v>
      </c>
      <c r="L186">
        <v>0.89683628534980098</v>
      </c>
      <c r="M186">
        <v>9.1137472946747206E-3</v>
      </c>
      <c r="N186">
        <v>0.65391102682913105</v>
      </c>
      <c r="O186">
        <v>0.34427853698936001</v>
      </c>
      <c r="P186">
        <v>0.67166235248481099</v>
      </c>
      <c r="Q186">
        <v>0.78836220354497699</v>
      </c>
      <c r="R186">
        <v>0.73246854539059503</v>
      </c>
      <c r="T186">
        <v>0.38009197532890199</v>
      </c>
      <c r="U186">
        <v>0.63873437671779298</v>
      </c>
      <c r="V186">
        <v>0.77281196863148205</v>
      </c>
      <c r="W186">
        <v>0.46385587428622099</v>
      </c>
      <c r="X186">
        <v>0.39533558797476998</v>
      </c>
      <c r="Y186">
        <v>0.44280979963316802</v>
      </c>
      <c r="Z186">
        <v>0.43058946768078399</v>
      </c>
      <c r="AA186">
        <v>0.38374248733632499</v>
      </c>
      <c r="AB186">
        <v>0.459031547600947</v>
      </c>
      <c r="AC186">
        <v>0.42753293522700497</v>
      </c>
      <c r="AD186">
        <v>0.43913039111348501</v>
      </c>
      <c r="AE186">
        <v>0.85514885004776497</v>
      </c>
      <c r="AF186">
        <v>0.34976850449630498</v>
      </c>
      <c r="AG186">
        <v>0.400152566771663</v>
      </c>
      <c r="AH186">
        <v>0.78697646441815505</v>
      </c>
      <c r="AI186">
        <v>0.83531761286042805</v>
      </c>
      <c r="AJ186">
        <v>0.372472024945873</v>
      </c>
      <c r="AL186">
        <v>0.12148686860095401</v>
      </c>
      <c r="AM186">
        <v>0.305278999393648</v>
      </c>
      <c r="AN186">
        <v>0.32050257230620899</v>
      </c>
      <c r="AO186" t="s">
        <v>19</v>
      </c>
      <c r="AU186" t="str">
        <f t="shared" si="8"/>
        <v>ITM</v>
      </c>
      <c r="AV186" t="str">
        <f t="shared" si="9"/>
        <v>SPC</v>
      </c>
      <c r="AW186" t="str">
        <f t="shared" si="10"/>
        <v>ELC</v>
      </c>
      <c r="AX186" t="str">
        <f t="shared" si="11"/>
        <v>No</v>
      </c>
    </row>
    <row r="187" spans="1:50">
      <c r="A187" t="s">
        <v>17</v>
      </c>
      <c r="B187" t="s">
        <v>114</v>
      </c>
      <c r="C187" t="s">
        <v>224</v>
      </c>
      <c r="D187" t="s">
        <v>220</v>
      </c>
      <c r="E187" t="s">
        <v>57</v>
      </c>
      <c r="F187" t="s">
        <v>19</v>
      </c>
      <c r="G187" t="s">
        <v>100</v>
      </c>
      <c r="H187" t="s">
        <v>19</v>
      </c>
      <c r="I187" t="s">
        <v>19</v>
      </c>
      <c r="J187" t="s">
        <v>19</v>
      </c>
      <c r="K187" t="s">
        <v>19</v>
      </c>
      <c r="L187">
        <v>5.7033979651787699E-2</v>
      </c>
      <c r="M187">
        <v>0</v>
      </c>
      <c r="N187">
        <v>0.336088973170869</v>
      </c>
      <c r="O187">
        <v>0.55884471138277103</v>
      </c>
      <c r="P187">
        <v>0.27848899160193202</v>
      </c>
      <c r="Q187">
        <v>0.146902853871861</v>
      </c>
      <c r="R187">
        <v>0.17348348845508099</v>
      </c>
      <c r="T187">
        <v>0.60990802467109795</v>
      </c>
      <c r="U187">
        <v>0.337661616135503</v>
      </c>
      <c r="V187">
        <v>0.14013231826158801</v>
      </c>
      <c r="W187">
        <v>0.50945630025147204</v>
      </c>
      <c r="X187">
        <v>0.57601502489219303</v>
      </c>
      <c r="Y187">
        <v>0.51155078009430299</v>
      </c>
      <c r="Z187">
        <v>0.54178934035844795</v>
      </c>
      <c r="AA187">
        <v>0.55890504060568902</v>
      </c>
      <c r="AB187">
        <v>0.49515543908568499</v>
      </c>
      <c r="AC187">
        <v>0.53641703363506099</v>
      </c>
      <c r="AD187">
        <v>0.53177617579732706</v>
      </c>
      <c r="AE187">
        <v>0</v>
      </c>
      <c r="AF187">
        <v>0.62269533977602998</v>
      </c>
      <c r="AG187">
        <v>0.50285230076662002</v>
      </c>
      <c r="AH187">
        <v>0</v>
      </c>
      <c r="AI187">
        <v>5.8932644933000197E-2</v>
      </c>
      <c r="AJ187">
        <v>0.57463821447150798</v>
      </c>
      <c r="AL187">
        <v>0.71069243798141402</v>
      </c>
      <c r="AM187">
        <v>0.65389970477596604</v>
      </c>
      <c r="AN187">
        <v>0.65988311332401905</v>
      </c>
      <c r="AO187" t="s">
        <v>19</v>
      </c>
      <c r="AU187" t="str">
        <f t="shared" si="8"/>
        <v>ITM</v>
      </c>
      <c r="AV187" t="str">
        <f t="shared" si="9"/>
        <v>SPC</v>
      </c>
      <c r="AW187" t="str">
        <f t="shared" si="10"/>
        <v>NGA</v>
      </c>
      <c r="AX187" t="str">
        <f t="shared" si="11"/>
        <v>Yes</v>
      </c>
    </row>
    <row r="188" spans="1:50">
      <c r="A188" t="s">
        <v>17</v>
      </c>
      <c r="B188" t="s">
        <v>114</v>
      </c>
      <c r="C188" t="s">
        <v>223</v>
      </c>
      <c r="D188" t="s">
        <v>220</v>
      </c>
      <c r="E188" t="s">
        <v>57</v>
      </c>
      <c r="F188" t="s">
        <v>19</v>
      </c>
      <c r="G188" t="s">
        <v>100</v>
      </c>
      <c r="H188" t="s">
        <v>19</v>
      </c>
      <c r="I188" t="s">
        <v>19</v>
      </c>
      <c r="J188" t="s">
        <v>19</v>
      </c>
      <c r="K188" t="s">
        <v>19</v>
      </c>
      <c r="L188">
        <v>3.6129734998411198E-2</v>
      </c>
      <c r="M188">
        <v>0.98088625270532503</v>
      </c>
      <c r="N188">
        <v>0</v>
      </c>
      <c r="O188">
        <v>8.6876751627869203E-2</v>
      </c>
      <c r="P188">
        <v>3.9848655913257099E-2</v>
      </c>
      <c r="Q188">
        <v>5.4734942583161798E-2</v>
      </c>
      <c r="R188">
        <v>8.4047966154324805E-2</v>
      </c>
      <c r="T188">
        <v>0</v>
      </c>
      <c r="U188">
        <v>1.36040071467041E-2</v>
      </c>
      <c r="V188">
        <v>7.7055713106930698E-2</v>
      </c>
      <c r="W188">
        <v>1.6687825462307598E-2</v>
      </c>
      <c r="X188">
        <v>1.8649387133037602E-2</v>
      </c>
      <c r="Y188">
        <v>3.56394202725289E-2</v>
      </c>
      <c r="Z188">
        <v>1.7621191960768699E-2</v>
      </c>
      <c r="AA188">
        <v>4.7352472057985498E-2</v>
      </c>
      <c r="AB188">
        <v>3.5813013313367302E-2</v>
      </c>
      <c r="AC188">
        <v>2.6050031137933999E-2</v>
      </c>
      <c r="AD188">
        <v>1.9093433089187602E-2</v>
      </c>
      <c r="AE188">
        <v>0.13485114995223499</v>
      </c>
      <c r="AF188">
        <v>1.75361557276651E-2</v>
      </c>
      <c r="AG188">
        <v>8.6995132461717098E-2</v>
      </c>
      <c r="AH188">
        <v>0.20302353558184499</v>
      </c>
      <c r="AI188">
        <v>9.5749742206572105E-2</v>
      </c>
      <c r="AJ188">
        <v>4.2889760582619202E-2</v>
      </c>
      <c r="AL188">
        <v>0.157820693417632</v>
      </c>
      <c r="AM188">
        <v>3.08212958303851E-2</v>
      </c>
      <c r="AN188">
        <v>9.6143143697721596E-3</v>
      </c>
      <c r="AO188" t="s">
        <v>19</v>
      </c>
      <c r="AU188" t="str">
        <f t="shared" si="8"/>
        <v>ITM</v>
      </c>
      <c r="AV188" t="str">
        <f t="shared" si="9"/>
        <v>SPC</v>
      </c>
      <c r="AW188" t="str">
        <f t="shared" si="10"/>
        <v>OIL</v>
      </c>
      <c r="AX188" t="str">
        <f t="shared" si="11"/>
        <v>Yes</v>
      </c>
    </row>
    <row r="189" spans="1:50">
      <c r="A189" t="s">
        <v>17</v>
      </c>
      <c r="B189" t="s">
        <v>114</v>
      </c>
      <c r="C189" t="s">
        <v>222</v>
      </c>
      <c r="D189" t="s">
        <v>221</v>
      </c>
      <c r="E189" t="s">
        <v>57</v>
      </c>
      <c r="F189" t="s">
        <v>19</v>
      </c>
      <c r="G189" t="s">
        <v>100</v>
      </c>
      <c r="H189" t="s">
        <v>19</v>
      </c>
      <c r="I189" t="s">
        <v>19</v>
      </c>
      <c r="J189" t="s">
        <v>19</v>
      </c>
      <c r="K189" t="s">
        <v>19</v>
      </c>
      <c r="L189">
        <v>0.51557971022899296</v>
      </c>
      <c r="M189">
        <v>0</v>
      </c>
      <c r="N189">
        <v>0.36102045291541301</v>
      </c>
      <c r="O189">
        <v>1.5888664026638501E-2</v>
      </c>
      <c r="P189">
        <v>0.281208101552398</v>
      </c>
      <c r="Q189">
        <v>0.29122873169892</v>
      </c>
      <c r="R189">
        <v>0.25985835620839898</v>
      </c>
      <c r="T189">
        <v>0.153742896615432</v>
      </c>
      <c r="U189">
        <v>0.13524977811130801</v>
      </c>
      <c r="V189">
        <v>4.5939078905837497E-2</v>
      </c>
      <c r="W189">
        <v>4.8715316369822403E-2</v>
      </c>
      <c r="X189">
        <v>0.13974356335445301</v>
      </c>
      <c r="Y189">
        <v>6.3914365570837101E-2</v>
      </c>
      <c r="Z189">
        <v>8.0367732010709597E-2</v>
      </c>
      <c r="AA189">
        <v>0.120233208605339</v>
      </c>
      <c r="AB189">
        <v>4.1561696313736199E-2</v>
      </c>
      <c r="AC189">
        <v>0.11762013573213601</v>
      </c>
      <c r="AD189">
        <v>4.8335274046417E-2</v>
      </c>
      <c r="AE189">
        <v>0.26343422124472798</v>
      </c>
      <c r="AF189">
        <v>0.12513109242867501</v>
      </c>
      <c r="AG189">
        <v>0.109245474747521</v>
      </c>
      <c r="AH189">
        <v>0.179606312952105</v>
      </c>
      <c r="AI189">
        <v>0.118246620666433</v>
      </c>
      <c r="AJ189">
        <v>5.9795830723913699E-3</v>
      </c>
      <c r="AL189">
        <v>2.2732081613571299E-2</v>
      </c>
      <c r="AM189">
        <v>9.8119790285684794E-2</v>
      </c>
      <c r="AN189">
        <v>9.4244625210908997E-2</v>
      </c>
      <c r="AO189" t="s">
        <v>19</v>
      </c>
      <c r="AU189" t="str">
        <f t="shared" si="8"/>
        <v>ITM</v>
      </c>
      <c r="AV189" t="str">
        <f t="shared" si="9"/>
        <v>STM</v>
      </c>
      <c r="AW189" t="str">
        <f t="shared" si="10"/>
        <v>ELC</v>
      </c>
      <c r="AX189" t="str">
        <f t="shared" si="11"/>
        <v>No</v>
      </c>
    </row>
    <row r="190" spans="1:50">
      <c r="A190" t="s">
        <v>17</v>
      </c>
      <c r="B190" t="s">
        <v>114</v>
      </c>
      <c r="C190" t="s">
        <v>215</v>
      </c>
      <c r="D190" t="s">
        <v>221</v>
      </c>
      <c r="E190" t="s">
        <v>57</v>
      </c>
      <c r="F190" t="s">
        <v>19</v>
      </c>
      <c r="G190" t="s">
        <v>100</v>
      </c>
      <c r="H190" t="s">
        <v>19</v>
      </c>
      <c r="I190" t="s">
        <v>19</v>
      </c>
      <c r="J190" t="s">
        <v>19</v>
      </c>
      <c r="K190" t="s">
        <v>19</v>
      </c>
      <c r="L190">
        <v>0</v>
      </c>
      <c r="M190">
        <v>0</v>
      </c>
      <c r="N190">
        <v>0</v>
      </c>
      <c r="O190">
        <v>0.81656125532476598</v>
      </c>
      <c r="P190">
        <v>2.1761542922277301E-2</v>
      </c>
      <c r="Q190">
        <v>0.161176652269274</v>
      </c>
      <c r="R190">
        <v>0</v>
      </c>
      <c r="T190">
        <v>0</v>
      </c>
      <c r="U190">
        <v>0.56200508468561206</v>
      </c>
      <c r="V190">
        <v>0.83571107712880899</v>
      </c>
      <c r="W190">
        <v>0.72926464776353705</v>
      </c>
      <c r="X190">
        <v>4.4768571999278098E-2</v>
      </c>
      <c r="Y190">
        <v>0.58582733113809404</v>
      </c>
      <c r="Z190">
        <v>0.50932712122038704</v>
      </c>
      <c r="AA190">
        <v>1.6681956556188302E-2</v>
      </c>
      <c r="AB190">
        <v>0.73975422564068904</v>
      </c>
      <c r="AC190">
        <v>0.24678778589182501</v>
      </c>
      <c r="AD190">
        <v>0.70649500711861102</v>
      </c>
      <c r="AE190">
        <v>0</v>
      </c>
      <c r="AF190">
        <v>0</v>
      </c>
      <c r="AG190">
        <v>0</v>
      </c>
      <c r="AH190">
        <v>0</v>
      </c>
      <c r="AI190">
        <v>0.606411095890797</v>
      </c>
      <c r="AJ190">
        <v>0.94070687082985605</v>
      </c>
      <c r="AL190">
        <v>0</v>
      </c>
      <c r="AM190">
        <v>6.19309284436983E-3</v>
      </c>
      <c r="AN190">
        <v>0.18855862199630799</v>
      </c>
      <c r="AO190" t="s">
        <v>19</v>
      </c>
      <c r="AU190" t="str">
        <f t="shared" si="8"/>
        <v>ITM</v>
      </c>
      <c r="AV190" t="str">
        <f t="shared" si="9"/>
        <v>STM</v>
      </c>
      <c r="AW190" t="str">
        <f t="shared" si="10"/>
        <v>HET</v>
      </c>
      <c r="AX190" t="str">
        <f t="shared" si="11"/>
        <v>No</v>
      </c>
    </row>
    <row r="191" spans="1:50">
      <c r="A191" t="s">
        <v>17</v>
      </c>
      <c r="B191" t="s">
        <v>114</v>
      </c>
      <c r="C191" t="s">
        <v>219</v>
      </c>
      <c r="D191" t="s">
        <v>221</v>
      </c>
      <c r="E191" t="s">
        <v>57</v>
      </c>
      <c r="F191" t="s">
        <v>19</v>
      </c>
      <c r="G191" t="s">
        <v>100</v>
      </c>
      <c r="H191" t="s">
        <v>19</v>
      </c>
      <c r="I191" t="s">
        <v>19</v>
      </c>
      <c r="J191" t="s">
        <v>19</v>
      </c>
      <c r="K191" t="s">
        <v>19</v>
      </c>
      <c r="L191">
        <v>0.11114385011968</v>
      </c>
      <c r="M191">
        <v>0</v>
      </c>
      <c r="N191">
        <v>0.62897954708458703</v>
      </c>
      <c r="O191">
        <v>8.7425412909243105E-2</v>
      </c>
      <c r="P191">
        <v>0.39523370054240098</v>
      </c>
      <c r="Q191">
        <v>0.18395337947377599</v>
      </c>
      <c r="R191">
        <v>0.20862913997374399</v>
      </c>
      <c r="T191">
        <v>0.83625710338456805</v>
      </c>
      <c r="U191">
        <v>0.24236342396778501</v>
      </c>
      <c r="V191">
        <v>2.82368251340505E-2</v>
      </c>
      <c r="W191">
        <v>0.181367103657363</v>
      </c>
      <c r="X191">
        <v>0.69019026234289604</v>
      </c>
      <c r="Y191">
        <v>0.250287479012053</v>
      </c>
      <c r="Z191">
        <v>0.34278189855131702</v>
      </c>
      <c r="AA191">
        <v>0.59359699134351696</v>
      </c>
      <c r="AB191">
        <v>0.15197123695586401</v>
      </c>
      <c r="AC191">
        <v>0.50024617172641705</v>
      </c>
      <c r="AD191">
        <v>0.19841234089297799</v>
      </c>
      <c r="AE191">
        <v>0</v>
      </c>
      <c r="AF191">
        <v>0.75514311185199101</v>
      </c>
      <c r="AG191">
        <v>0.465358236126935</v>
      </c>
      <c r="AH191">
        <v>0</v>
      </c>
      <c r="AI191">
        <v>2.8278876161349501E-2</v>
      </c>
      <c r="AJ191">
        <v>3.1270934620721502E-2</v>
      </c>
      <c r="AL191">
        <v>0.45077588720092099</v>
      </c>
      <c r="AM191">
        <v>0.71242628900018101</v>
      </c>
      <c r="AN191">
        <v>0.65775052100637599</v>
      </c>
      <c r="AO191" t="s">
        <v>19</v>
      </c>
      <c r="AU191" t="str">
        <f t="shared" si="8"/>
        <v>ITM</v>
      </c>
      <c r="AV191" t="str">
        <f t="shared" si="9"/>
        <v>STM</v>
      </c>
      <c r="AW191" t="str">
        <f t="shared" si="10"/>
        <v>NGA</v>
      </c>
      <c r="AX191" t="str">
        <f t="shared" si="11"/>
        <v>Yes</v>
      </c>
    </row>
    <row r="192" spans="1:50">
      <c r="A192" t="s">
        <v>17</v>
      </c>
      <c r="B192" t="s">
        <v>114</v>
      </c>
      <c r="C192" t="s">
        <v>217</v>
      </c>
      <c r="D192" t="s">
        <v>221</v>
      </c>
      <c r="E192" t="s">
        <v>57</v>
      </c>
      <c r="F192" t="s">
        <v>19</v>
      </c>
      <c r="G192" t="s">
        <v>100</v>
      </c>
      <c r="H192" t="s">
        <v>19</v>
      </c>
      <c r="I192" t="s">
        <v>19</v>
      </c>
      <c r="J192" t="s">
        <v>19</v>
      </c>
      <c r="K192" t="s">
        <v>19</v>
      </c>
      <c r="L192">
        <v>0.363276439651327</v>
      </c>
      <c r="M192">
        <v>0.989474354358856</v>
      </c>
      <c r="N192">
        <v>0</v>
      </c>
      <c r="O192">
        <v>7.01246677393524E-2</v>
      </c>
      <c r="P192">
        <v>0.29179665498292301</v>
      </c>
      <c r="Q192">
        <v>0.35364123655802998</v>
      </c>
      <c r="R192">
        <v>0.52151250381785597</v>
      </c>
      <c r="T192">
        <v>0</v>
      </c>
      <c r="U192">
        <v>5.0381713235295798E-2</v>
      </c>
      <c r="V192">
        <v>8.0113018831302896E-2</v>
      </c>
      <c r="W192">
        <v>3.0652932209276999E-2</v>
      </c>
      <c r="X192">
        <v>0.11529760230337199</v>
      </c>
      <c r="Y192">
        <v>8.9970824279015205E-2</v>
      </c>
      <c r="Z192">
        <v>5.75232482175859E-2</v>
      </c>
      <c r="AA192">
        <v>0.25948784349495602</v>
      </c>
      <c r="AB192">
        <v>5.6712841089711398E-2</v>
      </c>
      <c r="AC192">
        <v>0.125345906649621</v>
      </c>
      <c r="AD192">
        <v>3.6757377941993699E-2</v>
      </c>
      <c r="AE192">
        <v>0.72656577875527195</v>
      </c>
      <c r="AF192">
        <v>0.109725795719334</v>
      </c>
      <c r="AG192">
        <v>0.41539628912554399</v>
      </c>
      <c r="AH192">
        <v>0.81039368704789505</v>
      </c>
      <c r="AI192">
        <v>0.23706340728142</v>
      </c>
      <c r="AJ192">
        <v>1.20426114770313E-2</v>
      </c>
      <c r="AL192">
        <v>0.51649203118550702</v>
      </c>
      <c r="AM192">
        <v>0.17326082786976399</v>
      </c>
      <c r="AN192">
        <v>4.9446231786406399E-2</v>
      </c>
      <c r="AO192" t="s">
        <v>19</v>
      </c>
      <c r="AU192" t="str">
        <f t="shared" si="8"/>
        <v>ITM</v>
      </c>
      <c r="AV192" t="str">
        <f t="shared" si="9"/>
        <v>STM</v>
      </c>
      <c r="AW192" t="str">
        <f t="shared" si="10"/>
        <v>OIL</v>
      </c>
      <c r="AX192" t="str">
        <f t="shared" si="11"/>
        <v>Yes</v>
      </c>
    </row>
    <row r="193" spans="47:50">
      <c r="AU193" t="str">
        <f t="shared" si="8"/>
        <v/>
      </c>
      <c r="AV193" t="str">
        <f t="shared" si="9"/>
        <v/>
      </c>
      <c r="AW193" t="str">
        <f t="shared" si="10"/>
        <v/>
      </c>
      <c r="AX193">
        <f t="shared" si="11"/>
        <v>0</v>
      </c>
    </row>
    <row r="194" spans="47:50">
      <c r="AU194" t="str">
        <f t="shared" si="8"/>
        <v/>
      </c>
      <c r="AV194" t="str">
        <f t="shared" si="9"/>
        <v/>
      </c>
      <c r="AW194" t="str">
        <f t="shared" si="10"/>
        <v/>
      </c>
      <c r="AX194">
        <f t="shared" si="11"/>
        <v>0</v>
      </c>
    </row>
    <row r="195" spans="47:50">
      <c r="AU195" t="str">
        <f t="shared" ref="AU195:AU258" si="12">LEFT(C195,3)</f>
        <v/>
      </c>
      <c r="AV195" t="str">
        <f t="shared" ref="AV195:AV258" si="13">MID(C195,5,3)</f>
        <v/>
      </c>
      <c r="AW195" t="str">
        <f t="shared" ref="AW195:AW258" si="14">RIGHT(C195,3)</f>
        <v/>
      </c>
      <c r="AX195">
        <f t="shared" ref="AX195:AX258" si="15">IFERROR(VLOOKUP(AW195,$AZ$2:$BA$10,2,FALSE),"")</f>
        <v>0</v>
      </c>
    </row>
    <row r="196" spans="47:50">
      <c r="AU196" t="str">
        <f t="shared" si="12"/>
        <v/>
      </c>
      <c r="AV196" t="str">
        <f t="shared" si="13"/>
        <v/>
      </c>
      <c r="AW196" t="str">
        <f t="shared" si="14"/>
        <v/>
      </c>
      <c r="AX196">
        <f t="shared" si="15"/>
        <v>0</v>
      </c>
    </row>
    <row r="197" spans="47:50">
      <c r="AU197" t="str">
        <f t="shared" si="12"/>
        <v/>
      </c>
      <c r="AV197" t="str">
        <f t="shared" si="13"/>
        <v/>
      </c>
      <c r="AW197" t="str">
        <f t="shared" si="14"/>
        <v/>
      </c>
      <c r="AX197">
        <f t="shared" si="15"/>
        <v>0</v>
      </c>
    </row>
    <row r="198" spans="47:50">
      <c r="AU198" t="str">
        <f t="shared" si="12"/>
        <v/>
      </c>
      <c r="AV198" t="str">
        <f t="shared" si="13"/>
        <v/>
      </c>
      <c r="AW198" t="str">
        <f t="shared" si="14"/>
        <v/>
      </c>
      <c r="AX198">
        <f t="shared" si="15"/>
        <v>0</v>
      </c>
    </row>
    <row r="199" spans="47:50">
      <c r="AU199" t="str">
        <f t="shared" si="12"/>
        <v/>
      </c>
      <c r="AV199" t="str">
        <f t="shared" si="13"/>
        <v/>
      </c>
      <c r="AW199" t="str">
        <f t="shared" si="14"/>
        <v/>
      </c>
      <c r="AX199">
        <f t="shared" si="15"/>
        <v>0</v>
      </c>
    </row>
    <row r="200" spans="47:50">
      <c r="AU200" t="str">
        <f t="shared" si="12"/>
        <v/>
      </c>
      <c r="AV200" t="str">
        <f t="shared" si="13"/>
        <v/>
      </c>
      <c r="AW200" t="str">
        <f t="shared" si="14"/>
        <v/>
      </c>
      <c r="AX200">
        <f t="shared" si="15"/>
        <v>0</v>
      </c>
    </row>
    <row r="201" spans="47:50">
      <c r="AU201" t="str">
        <f t="shared" si="12"/>
        <v/>
      </c>
      <c r="AV201" t="str">
        <f t="shared" si="13"/>
        <v/>
      </c>
      <c r="AW201" t="str">
        <f t="shared" si="14"/>
        <v/>
      </c>
      <c r="AX201">
        <f t="shared" si="15"/>
        <v>0</v>
      </c>
    </row>
    <row r="202" spans="47:50">
      <c r="AU202" t="str">
        <f t="shared" si="12"/>
        <v/>
      </c>
      <c r="AV202" t="str">
        <f t="shared" si="13"/>
        <v/>
      </c>
      <c r="AW202" t="str">
        <f t="shared" si="14"/>
        <v/>
      </c>
      <c r="AX202">
        <f t="shared" si="15"/>
        <v>0</v>
      </c>
    </row>
    <row r="203" spans="47:50">
      <c r="AU203" t="str">
        <f t="shared" si="12"/>
        <v/>
      </c>
      <c r="AV203" t="str">
        <f t="shared" si="13"/>
        <v/>
      </c>
      <c r="AW203" t="str">
        <f t="shared" si="14"/>
        <v/>
      </c>
      <c r="AX203">
        <f t="shared" si="15"/>
        <v>0</v>
      </c>
    </row>
    <row r="204" spans="47:50">
      <c r="AU204" t="str">
        <f t="shared" si="12"/>
        <v/>
      </c>
      <c r="AV204" t="str">
        <f t="shared" si="13"/>
        <v/>
      </c>
      <c r="AW204" t="str">
        <f t="shared" si="14"/>
        <v/>
      </c>
      <c r="AX204">
        <f t="shared" si="15"/>
        <v>0</v>
      </c>
    </row>
    <row r="205" spans="47:50">
      <c r="AU205" t="str">
        <f t="shared" si="12"/>
        <v/>
      </c>
      <c r="AV205" t="str">
        <f t="shared" si="13"/>
        <v/>
      </c>
      <c r="AW205" t="str">
        <f t="shared" si="14"/>
        <v/>
      </c>
      <c r="AX205">
        <f t="shared" si="15"/>
        <v>0</v>
      </c>
    </row>
    <row r="206" spans="47:50">
      <c r="AU206" t="str">
        <f t="shared" si="12"/>
        <v/>
      </c>
      <c r="AV206" t="str">
        <f t="shared" si="13"/>
        <v/>
      </c>
      <c r="AW206" t="str">
        <f t="shared" si="14"/>
        <v/>
      </c>
      <c r="AX206">
        <f t="shared" si="15"/>
        <v>0</v>
      </c>
    </row>
    <row r="207" spans="47:50">
      <c r="AU207" t="str">
        <f t="shared" si="12"/>
        <v/>
      </c>
      <c r="AV207" t="str">
        <f t="shared" si="13"/>
        <v/>
      </c>
      <c r="AW207" t="str">
        <f t="shared" si="14"/>
        <v/>
      </c>
      <c r="AX207">
        <f t="shared" si="15"/>
        <v>0</v>
      </c>
    </row>
    <row r="208" spans="47:50">
      <c r="AU208" t="str">
        <f t="shared" si="12"/>
        <v/>
      </c>
      <c r="AV208" t="str">
        <f t="shared" si="13"/>
        <v/>
      </c>
      <c r="AW208" t="str">
        <f t="shared" si="14"/>
        <v/>
      </c>
      <c r="AX208">
        <f t="shared" si="15"/>
        <v>0</v>
      </c>
    </row>
    <row r="209" spans="47:50">
      <c r="AU209" t="str">
        <f t="shared" si="12"/>
        <v/>
      </c>
      <c r="AV209" t="str">
        <f t="shared" si="13"/>
        <v/>
      </c>
      <c r="AW209" t="str">
        <f t="shared" si="14"/>
        <v/>
      </c>
      <c r="AX209">
        <f t="shared" si="15"/>
        <v>0</v>
      </c>
    </row>
    <row r="210" spans="47:50">
      <c r="AU210" t="str">
        <f t="shared" si="12"/>
        <v/>
      </c>
      <c r="AV210" t="str">
        <f t="shared" si="13"/>
        <v/>
      </c>
      <c r="AW210" t="str">
        <f t="shared" si="14"/>
        <v/>
      </c>
      <c r="AX210">
        <f t="shared" si="15"/>
        <v>0</v>
      </c>
    </row>
    <row r="211" spans="47:50">
      <c r="AU211" t="str">
        <f t="shared" si="12"/>
        <v/>
      </c>
      <c r="AV211" t="str">
        <f t="shared" si="13"/>
        <v/>
      </c>
      <c r="AW211" t="str">
        <f t="shared" si="14"/>
        <v/>
      </c>
      <c r="AX211">
        <f t="shared" si="15"/>
        <v>0</v>
      </c>
    </row>
    <row r="212" spans="47:50">
      <c r="AU212" t="str">
        <f t="shared" si="12"/>
        <v/>
      </c>
      <c r="AV212" t="str">
        <f t="shared" si="13"/>
        <v/>
      </c>
      <c r="AW212" t="str">
        <f t="shared" si="14"/>
        <v/>
      </c>
      <c r="AX212">
        <f t="shared" si="15"/>
        <v>0</v>
      </c>
    </row>
    <row r="213" spans="47:50">
      <c r="AU213" t="str">
        <f t="shared" si="12"/>
        <v/>
      </c>
      <c r="AV213" t="str">
        <f t="shared" si="13"/>
        <v/>
      </c>
      <c r="AW213" t="str">
        <f t="shared" si="14"/>
        <v/>
      </c>
      <c r="AX213">
        <f t="shared" si="15"/>
        <v>0</v>
      </c>
    </row>
    <row r="214" spans="47:50">
      <c r="AU214" t="str">
        <f t="shared" si="12"/>
        <v/>
      </c>
      <c r="AV214" t="str">
        <f t="shared" si="13"/>
        <v/>
      </c>
      <c r="AW214" t="str">
        <f t="shared" si="14"/>
        <v/>
      </c>
      <c r="AX214">
        <f t="shared" si="15"/>
        <v>0</v>
      </c>
    </row>
    <row r="215" spans="47:50">
      <c r="AU215" t="str">
        <f t="shared" si="12"/>
        <v/>
      </c>
      <c r="AV215" t="str">
        <f t="shared" si="13"/>
        <v/>
      </c>
      <c r="AW215" t="str">
        <f t="shared" si="14"/>
        <v/>
      </c>
      <c r="AX215">
        <f t="shared" si="15"/>
        <v>0</v>
      </c>
    </row>
    <row r="216" spans="47:50">
      <c r="AU216" t="str">
        <f t="shared" si="12"/>
        <v/>
      </c>
      <c r="AV216" t="str">
        <f t="shared" si="13"/>
        <v/>
      </c>
      <c r="AW216" t="str">
        <f t="shared" si="14"/>
        <v/>
      </c>
      <c r="AX216">
        <f t="shared" si="15"/>
        <v>0</v>
      </c>
    </row>
    <row r="217" spans="47:50">
      <c r="AU217" t="str">
        <f t="shared" si="12"/>
        <v/>
      </c>
      <c r="AV217" t="str">
        <f t="shared" si="13"/>
        <v/>
      </c>
      <c r="AW217" t="str">
        <f t="shared" si="14"/>
        <v/>
      </c>
      <c r="AX217">
        <f t="shared" si="15"/>
        <v>0</v>
      </c>
    </row>
    <row r="218" spans="47:50">
      <c r="AU218" t="str">
        <f t="shared" si="12"/>
        <v/>
      </c>
      <c r="AV218" t="str">
        <f t="shared" si="13"/>
        <v/>
      </c>
      <c r="AW218" t="str">
        <f t="shared" si="14"/>
        <v/>
      </c>
      <c r="AX218">
        <f t="shared" si="15"/>
        <v>0</v>
      </c>
    </row>
    <row r="219" spans="47:50">
      <c r="AU219" t="str">
        <f t="shared" si="12"/>
        <v/>
      </c>
      <c r="AV219" t="str">
        <f t="shared" si="13"/>
        <v/>
      </c>
      <c r="AW219" t="str">
        <f t="shared" si="14"/>
        <v/>
      </c>
      <c r="AX219">
        <f t="shared" si="15"/>
        <v>0</v>
      </c>
    </row>
    <row r="220" spans="47:50">
      <c r="AU220" t="str">
        <f t="shared" si="12"/>
        <v/>
      </c>
      <c r="AV220" t="str">
        <f t="shared" si="13"/>
        <v/>
      </c>
      <c r="AW220" t="str">
        <f t="shared" si="14"/>
        <v/>
      </c>
      <c r="AX220">
        <f t="shared" si="15"/>
        <v>0</v>
      </c>
    </row>
    <row r="221" spans="47:50">
      <c r="AU221" t="str">
        <f t="shared" si="12"/>
        <v/>
      </c>
      <c r="AV221" t="str">
        <f t="shared" si="13"/>
        <v/>
      </c>
      <c r="AW221" t="str">
        <f t="shared" si="14"/>
        <v/>
      </c>
      <c r="AX221">
        <f t="shared" si="15"/>
        <v>0</v>
      </c>
    </row>
    <row r="222" spans="47:50">
      <c r="AU222" t="str">
        <f t="shared" si="12"/>
        <v/>
      </c>
      <c r="AV222" t="str">
        <f t="shared" si="13"/>
        <v/>
      </c>
      <c r="AW222" t="str">
        <f t="shared" si="14"/>
        <v/>
      </c>
      <c r="AX222">
        <f t="shared" si="15"/>
        <v>0</v>
      </c>
    </row>
    <row r="223" spans="47:50">
      <c r="AU223" t="str">
        <f t="shared" si="12"/>
        <v/>
      </c>
      <c r="AV223" t="str">
        <f t="shared" si="13"/>
        <v/>
      </c>
      <c r="AW223" t="str">
        <f t="shared" si="14"/>
        <v/>
      </c>
      <c r="AX223">
        <f t="shared" si="15"/>
        <v>0</v>
      </c>
    </row>
    <row r="224" spans="47:50">
      <c r="AU224" t="str">
        <f t="shared" si="12"/>
        <v/>
      </c>
      <c r="AV224" t="str">
        <f t="shared" si="13"/>
        <v/>
      </c>
      <c r="AW224" t="str">
        <f t="shared" si="14"/>
        <v/>
      </c>
      <c r="AX224">
        <f t="shared" si="15"/>
        <v>0</v>
      </c>
    </row>
    <row r="225" spans="47:50">
      <c r="AU225" t="str">
        <f t="shared" si="12"/>
        <v/>
      </c>
      <c r="AV225" t="str">
        <f t="shared" si="13"/>
        <v/>
      </c>
      <c r="AW225" t="str">
        <f t="shared" si="14"/>
        <v/>
      </c>
      <c r="AX225">
        <f t="shared" si="15"/>
        <v>0</v>
      </c>
    </row>
    <row r="226" spans="47:50">
      <c r="AU226" t="str">
        <f t="shared" si="12"/>
        <v/>
      </c>
      <c r="AV226" t="str">
        <f t="shared" si="13"/>
        <v/>
      </c>
      <c r="AW226" t="str">
        <f t="shared" si="14"/>
        <v/>
      </c>
      <c r="AX226">
        <f t="shared" si="15"/>
        <v>0</v>
      </c>
    </row>
    <row r="227" spans="47:50">
      <c r="AU227" t="str">
        <f t="shared" si="12"/>
        <v/>
      </c>
      <c r="AV227" t="str">
        <f t="shared" si="13"/>
        <v/>
      </c>
      <c r="AW227" t="str">
        <f t="shared" si="14"/>
        <v/>
      </c>
      <c r="AX227">
        <f t="shared" si="15"/>
        <v>0</v>
      </c>
    </row>
    <row r="228" spans="47:50">
      <c r="AU228" t="str">
        <f t="shared" si="12"/>
        <v/>
      </c>
      <c r="AV228" t="str">
        <f t="shared" si="13"/>
        <v/>
      </c>
      <c r="AW228" t="str">
        <f t="shared" si="14"/>
        <v/>
      </c>
      <c r="AX228">
        <f t="shared" si="15"/>
        <v>0</v>
      </c>
    </row>
    <row r="229" spans="47:50">
      <c r="AU229" t="str">
        <f t="shared" si="12"/>
        <v/>
      </c>
      <c r="AV229" t="str">
        <f t="shared" si="13"/>
        <v/>
      </c>
      <c r="AW229" t="str">
        <f t="shared" si="14"/>
        <v/>
      </c>
      <c r="AX229">
        <f t="shared" si="15"/>
        <v>0</v>
      </c>
    </row>
    <row r="230" spans="47:50">
      <c r="AU230" t="str">
        <f t="shared" si="12"/>
        <v/>
      </c>
      <c r="AV230" t="str">
        <f t="shared" si="13"/>
        <v/>
      </c>
      <c r="AW230" t="str">
        <f t="shared" si="14"/>
        <v/>
      </c>
      <c r="AX230">
        <f t="shared" si="15"/>
        <v>0</v>
      </c>
    </row>
    <row r="231" spans="47:50">
      <c r="AU231" t="str">
        <f t="shared" si="12"/>
        <v/>
      </c>
      <c r="AV231" t="str">
        <f t="shared" si="13"/>
        <v/>
      </c>
      <c r="AW231" t="str">
        <f t="shared" si="14"/>
        <v/>
      </c>
      <c r="AX231">
        <f t="shared" si="15"/>
        <v>0</v>
      </c>
    </row>
    <row r="232" spans="47:50">
      <c r="AU232" t="str">
        <f t="shared" si="12"/>
        <v/>
      </c>
      <c r="AV232" t="str">
        <f t="shared" si="13"/>
        <v/>
      </c>
      <c r="AW232" t="str">
        <f t="shared" si="14"/>
        <v/>
      </c>
      <c r="AX232">
        <f t="shared" si="15"/>
        <v>0</v>
      </c>
    </row>
    <row r="233" spans="47:50">
      <c r="AU233" t="str">
        <f t="shared" si="12"/>
        <v/>
      </c>
      <c r="AV233" t="str">
        <f t="shared" si="13"/>
        <v/>
      </c>
      <c r="AW233" t="str">
        <f t="shared" si="14"/>
        <v/>
      </c>
      <c r="AX233">
        <f t="shared" si="15"/>
        <v>0</v>
      </c>
    </row>
    <row r="234" spans="47:50">
      <c r="AU234" t="str">
        <f t="shared" si="12"/>
        <v/>
      </c>
      <c r="AV234" t="str">
        <f t="shared" si="13"/>
        <v/>
      </c>
      <c r="AW234" t="str">
        <f t="shared" si="14"/>
        <v/>
      </c>
      <c r="AX234">
        <f t="shared" si="15"/>
        <v>0</v>
      </c>
    </row>
    <row r="235" spans="47:50">
      <c r="AU235" t="str">
        <f t="shared" si="12"/>
        <v/>
      </c>
      <c r="AV235" t="str">
        <f t="shared" si="13"/>
        <v/>
      </c>
      <c r="AW235" t="str">
        <f t="shared" si="14"/>
        <v/>
      </c>
      <c r="AX235">
        <f t="shared" si="15"/>
        <v>0</v>
      </c>
    </row>
    <row r="236" spans="47:50">
      <c r="AU236" t="str">
        <f t="shared" si="12"/>
        <v/>
      </c>
      <c r="AV236" t="str">
        <f t="shared" si="13"/>
        <v/>
      </c>
      <c r="AW236" t="str">
        <f t="shared" si="14"/>
        <v/>
      </c>
      <c r="AX236">
        <f t="shared" si="15"/>
        <v>0</v>
      </c>
    </row>
    <row r="237" spans="47:50">
      <c r="AU237" t="str">
        <f t="shared" si="12"/>
        <v/>
      </c>
      <c r="AV237" t="str">
        <f t="shared" si="13"/>
        <v/>
      </c>
      <c r="AW237" t="str">
        <f t="shared" si="14"/>
        <v/>
      </c>
      <c r="AX237">
        <f t="shared" si="15"/>
        <v>0</v>
      </c>
    </row>
    <row r="238" spans="47:50">
      <c r="AU238" t="str">
        <f t="shared" si="12"/>
        <v/>
      </c>
      <c r="AV238" t="str">
        <f t="shared" si="13"/>
        <v/>
      </c>
      <c r="AW238" t="str">
        <f t="shared" si="14"/>
        <v/>
      </c>
      <c r="AX238">
        <f t="shared" si="15"/>
        <v>0</v>
      </c>
    </row>
    <row r="239" spans="47:50">
      <c r="AU239" t="str">
        <f t="shared" si="12"/>
        <v/>
      </c>
      <c r="AV239" t="str">
        <f t="shared" si="13"/>
        <v/>
      </c>
      <c r="AW239" t="str">
        <f t="shared" si="14"/>
        <v/>
      </c>
      <c r="AX239">
        <f t="shared" si="15"/>
        <v>0</v>
      </c>
    </row>
    <row r="240" spans="47:50">
      <c r="AU240" t="str">
        <f t="shared" si="12"/>
        <v/>
      </c>
      <c r="AV240" t="str">
        <f t="shared" si="13"/>
        <v/>
      </c>
      <c r="AW240" t="str">
        <f t="shared" si="14"/>
        <v/>
      </c>
      <c r="AX240">
        <f t="shared" si="15"/>
        <v>0</v>
      </c>
    </row>
    <row r="241" spans="47:50">
      <c r="AU241" t="str">
        <f t="shared" si="12"/>
        <v/>
      </c>
      <c r="AV241" t="str">
        <f t="shared" si="13"/>
        <v/>
      </c>
      <c r="AW241" t="str">
        <f t="shared" si="14"/>
        <v/>
      </c>
      <c r="AX241">
        <f t="shared" si="15"/>
        <v>0</v>
      </c>
    </row>
    <row r="242" spans="47:50">
      <c r="AU242" t="str">
        <f t="shared" si="12"/>
        <v/>
      </c>
      <c r="AV242" t="str">
        <f t="shared" si="13"/>
        <v/>
      </c>
      <c r="AW242" t="str">
        <f t="shared" si="14"/>
        <v/>
      </c>
      <c r="AX242">
        <f t="shared" si="15"/>
        <v>0</v>
      </c>
    </row>
    <row r="243" spans="47:50">
      <c r="AU243" t="str">
        <f t="shared" si="12"/>
        <v/>
      </c>
      <c r="AV243" t="str">
        <f t="shared" si="13"/>
        <v/>
      </c>
      <c r="AW243" t="str">
        <f t="shared" si="14"/>
        <v/>
      </c>
      <c r="AX243">
        <f t="shared" si="15"/>
        <v>0</v>
      </c>
    </row>
    <row r="244" spans="47:50">
      <c r="AU244" t="str">
        <f t="shared" si="12"/>
        <v/>
      </c>
      <c r="AV244" t="str">
        <f t="shared" si="13"/>
        <v/>
      </c>
      <c r="AW244" t="str">
        <f t="shared" si="14"/>
        <v/>
      </c>
      <c r="AX244">
        <f t="shared" si="15"/>
        <v>0</v>
      </c>
    </row>
    <row r="245" spans="47:50">
      <c r="AU245" t="str">
        <f t="shared" si="12"/>
        <v/>
      </c>
      <c r="AV245" t="str">
        <f t="shared" si="13"/>
        <v/>
      </c>
      <c r="AW245" t="str">
        <f t="shared" si="14"/>
        <v/>
      </c>
      <c r="AX245">
        <f t="shared" si="15"/>
        <v>0</v>
      </c>
    </row>
    <row r="246" spans="47:50">
      <c r="AU246" t="str">
        <f t="shared" si="12"/>
        <v/>
      </c>
      <c r="AV246" t="str">
        <f t="shared" si="13"/>
        <v/>
      </c>
      <c r="AW246" t="str">
        <f t="shared" si="14"/>
        <v/>
      </c>
      <c r="AX246">
        <f t="shared" si="15"/>
        <v>0</v>
      </c>
    </row>
    <row r="247" spans="47:50">
      <c r="AU247" t="str">
        <f t="shared" si="12"/>
        <v/>
      </c>
      <c r="AV247" t="str">
        <f t="shared" si="13"/>
        <v/>
      </c>
      <c r="AW247" t="str">
        <f t="shared" si="14"/>
        <v/>
      </c>
      <c r="AX247">
        <f t="shared" si="15"/>
        <v>0</v>
      </c>
    </row>
    <row r="248" spans="47:50">
      <c r="AU248" t="str">
        <f t="shared" si="12"/>
        <v/>
      </c>
      <c r="AV248" t="str">
        <f t="shared" si="13"/>
        <v/>
      </c>
      <c r="AW248" t="str">
        <f t="shared" si="14"/>
        <v/>
      </c>
      <c r="AX248">
        <f t="shared" si="15"/>
        <v>0</v>
      </c>
    </row>
    <row r="249" spans="47:50">
      <c r="AU249" t="str">
        <f t="shared" si="12"/>
        <v/>
      </c>
      <c r="AV249" t="str">
        <f t="shared" si="13"/>
        <v/>
      </c>
      <c r="AW249" t="str">
        <f t="shared" si="14"/>
        <v/>
      </c>
      <c r="AX249">
        <f t="shared" si="15"/>
        <v>0</v>
      </c>
    </row>
    <row r="250" spans="47:50">
      <c r="AU250" t="str">
        <f t="shared" si="12"/>
        <v/>
      </c>
      <c r="AV250" t="str">
        <f t="shared" si="13"/>
        <v/>
      </c>
      <c r="AW250" t="str">
        <f t="shared" si="14"/>
        <v/>
      </c>
      <c r="AX250">
        <f t="shared" si="15"/>
        <v>0</v>
      </c>
    </row>
    <row r="251" spans="47:50">
      <c r="AU251" t="str">
        <f t="shared" si="12"/>
        <v/>
      </c>
      <c r="AV251" t="str">
        <f t="shared" si="13"/>
        <v/>
      </c>
      <c r="AW251" t="str">
        <f t="shared" si="14"/>
        <v/>
      </c>
      <c r="AX251">
        <f t="shared" si="15"/>
        <v>0</v>
      </c>
    </row>
    <row r="252" spans="47:50">
      <c r="AU252" t="str">
        <f t="shared" si="12"/>
        <v/>
      </c>
      <c r="AV252" t="str">
        <f t="shared" si="13"/>
        <v/>
      </c>
      <c r="AW252" t="str">
        <f t="shared" si="14"/>
        <v/>
      </c>
      <c r="AX252">
        <f t="shared" si="15"/>
        <v>0</v>
      </c>
    </row>
    <row r="253" spans="47:50">
      <c r="AU253" t="str">
        <f t="shared" si="12"/>
        <v/>
      </c>
      <c r="AV253" t="str">
        <f t="shared" si="13"/>
        <v/>
      </c>
      <c r="AW253" t="str">
        <f t="shared" si="14"/>
        <v/>
      </c>
      <c r="AX253">
        <f t="shared" si="15"/>
        <v>0</v>
      </c>
    </row>
    <row r="254" spans="47:50">
      <c r="AU254" t="str">
        <f t="shared" si="12"/>
        <v/>
      </c>
      <c r="AV254" t="str">
        <f t="shared" si="13"/>
        <v/>
      </c>
      <c r="AW254" t="str">
        <f t="shared" si="14"/>
        <v/>
      </c>
      <c r="AX254">
        <f t="shared" si="15"/>
        <v>0</v>
      </c>
    </row>
    <row r="255" spans="47:50">
      <c r="AU255" t="str">
        <f t="shared" si="12"/>
        <v/>
      </c>
      <c r="AV255" t="str">
        <f t="shared" si="13"/>
        <v/>
      </c>
      <c r="AW255" t="str">
        <f t="shared" si="14"/>
        <v/>
      </c>
      <c r="AX255">
        <f t="shared" si="15"/>
        <v>0</v>
      </c>
    </row>
    <row r="256" spans="47:50">
      <c r="AU256" t="str">
        <f t="shared" si="12"/>
        <v/>
      </c>
      <c r="AV256" t="str">
        <f t="shared" si="13"/>
        <v/>
      </c>
      <c r="AW256" t="str">
        <f t="shared" si="14"/>
        <v/>
      </c>
      <c r="AX256">
        <f t="shared" si="15"/>
        <v>0</v>
      </c>
    </row>
    <row r="257" spans="47:50">
      <c r="AU257" t="str">
        <f t="shared" si="12"/>
        <v/>
      </c>
      <c r="AV257" t="str">
        <f t="shared" si="13"/>
        <v/>
      </c>
      <c r="AW257" t="str">
        <f t="shared" si="14"/>
        <v/>
      </c>
      <c r="AX257">
        <f t="shared" si="15"/>
        <v>0</v>
      </c>
    </row>
    <row r="258" spans="47:50">
      <c r="AU258" t="str">
        <f t="shared" si="12"/>
        <v/>
      </c>
      <c r="AV258" t="str">
        <f t="shared" si="13"/>
        <v/>
      </c>
      <c r="AW258" t="str">
        <f t="shared" si="14"/>
        <v/>
      </c>
      <c r="AX258">
        <f t="shared" si="15"/>
        <v>0</v>
      </c>
    </row>
    <row r="259" spans="47:50">
      <c r="AU259" t="str">
        <f t="shared" ref="AU259:AU322" si="16">LEFT(C259,3)</f>
        <v/>
      </c>
      <c r="AV259" t="str">
        <f t="shared" ref="AV259:AV322" si="17">MID(C259,5,3)</f>
        <v/>
      </c>
      <c r="AW259" t="str">
        <f t="shared" ref="AW259:AW322" si="18">RIGHT(C259,3)</f>
        <v/>
      </c>
      <c r="AX259">
        <f t="shared" ref="AX259:AX322" si="19">IFERROR(VLOOKUP(AW259,$AZ$2:$BA$10,2,FALSE),"")</f>
        <v>0</v>
      </c>
    </row>
    <row r="260" spans="47:50">
      <c r="AU260" t="str">
        <f t="shared" si="16"/>
        <v/>
      </c>
      <c r="AV260" t="str">
        <f t="shared" si="17"/>
        <v/>
      </c>
      <c r="AW260" t="str">
        <f t="shared" si="18"/>
        <v/>
      </c>
      <c r="AX260">
        <f t="shared" si="19"/>
        <v>0</v>
      </c>
    </row>
    <row r="261" spans="47:50">
      <c r="AU261" t="str">
        <f t="shared" si="16"/>
        <v/>
      </c>
      <c r="AV261" t="str">
        <f t="shared" si="17"/>
        <v/>
      </c>
      <c r="AW261" t="str">
        <f t="shared" si="18"/>
        <v/>
      </c>
      <c r="AX261">
        <f t="shared" si="19"/>
        <v>0</v>
      </c>
    </row>
    <row r="262" spans="47:50">
      <c r="AU262" t="str">
        <f t="shared" si="16"/>
        <v/>
      </c>
      <c r="AV262" t="str">
        <f t="shared" si="17"/>
        <v/>
      </c>
      <c r="AW262" t="str">
        <f t="shared" si="18"/>
        <v/>
      </c>
      <c r="AX262">
        <f t="shared" si="19"/>
        <v>0</v>
      </c>
    </row>
    <row r="263" spans="47:50">
      <c r="AU263" t="str">
        <f t="shared" si="16"/>
        <v/>
      </c>
      <c r="AV263" t="str">
        <f t="shared" si="17"/>
        <v/>
      </c>
      <c r="AW263" t="str">
        <f t="shared" si="18"/>
        <v/>
      </c>
      <c r="AX263">
        <f t="shared" si="19"/>
        <v>0</v>
      </c>
    </row>
    <row r="264" spans="47:50">
      <c r="AU264" t="str">
        <f t="shared" si="16"/>
        <v/>
      </c>
      <c r="AV264" t="str">
        <f t="shared" si="17"/>
        <v/>
      </c>
      <c r="AW264" t="str">
        <f t="shared" si="18"/>
        <v/>
      </c>
      <c r="AX264">
        <f t="shared" si="19"/>
        <v>0</v>
      </c>
    </row>
    <row r="265" spans="47:50">
      <c r="AU265" t="str">
        <f t="shared" si="16"/>
        <v/>
      </c>
      <c r="AV265" t="str">
        <f t="shared" si="17"/>
        <v/>
      </c>
      <c r="AW265" t="str">
        <f t="shared" si="18"/>
        <v/>
      </c>
      <c r="AX265">
        <f t="shared" si="19"/>
        <v>0</v>
      </c>
    </row>
    <row r="266" spans="47:50">
      <c r="AU266" t="str">
        <f t="shared" si="16"/>
        <v/>
      </c>
      <c r="AV266" t="str">
        <f t="shared" si="17"/>
        <v/>
      </c>
      <c r="AW266" t="str">
        <f t="shared" si="18"/>
        <v/>
      </c>
      <c r="AX266">
        <f t="shared" si="19"/>
        <v>0</v>
      </c>
    </row>
    <row r="267" spans="47:50">
      <c r="AU267" t="str">
        <f t="shared" si="16"/>
        <v/>
      </c>
      <c r="AV267" t="str">
        <f t="shared" si="17"/>
        <v/>
      </c>
      <c r="AW267" t="str">
        <f t="shared" si="18"/>
        <v/>
      </c>
      <c r="AX267">
        <f t="shared" si="19"/>
        <v>0</v>
      </c>
    </row>
    <row r="268" spans="47:50">
      <c r="AU268" t="str">
        <f t="shared" si="16"/>
        <v/>
      </c>
      <c r="AV268" t="str">
        <f t="shared" si="17"/>
        <v/>
      </c>
      <c r="AW268" t="str">
        <f t="shared" si="18"/>
        <v/>
      </c>
      <c r="AX268">
        <f t="shared" si="19"/>
        <v>0</v>
      </c>
    </row>
    <row r="269" spans="47:50">
      <c r="AU269" t="str">
        <f t="shared" si="16"/>
        <v/>
      </c>
      <c r="AV269" t="str">
        <f t="shared" si="17"/>
        <v/>
      </c>
      <c r="AW269" t="str">
        <f t="shared" si="18"/>
        <v/>
      </c>
      <c r="AX269">
        <f t="shared" si="19"/>
        <v>0</v>
      </c>
    </row>
    <row r="270" spans="47:50">
      <c r="AU270" t="str">
        <f t="shared" si="16"/>
        <v/>
      </c>
      <c r="AV270" t="str">
        <f t="shared" si="17"/>
        <v/>
      </c>
      <c r="AW270" t="str">
        <f t="shared" si="18"/>
        <v/>
      </c>
      <c r="AX270">
        <f t="shared" si="19"/>
        <v>0</v>
      </c>
    </row>
    <row r="271" spans="47:50">
      <c r="AU271" t="str">
        <f t="shared" si="16"/>
        <v/>
      </c>
      <c r="AV271" t="str">
        <f t="shared" si="17"/>
        <v/>
      </c>
      <c r="AW271" t="str">
        <f t="shared" si="18"/>
        <v/>
      </c>
      <c r="AX271">
        <f t="shared" si="19"/>
        <v>0</v>
      </c>
    </row>
    <row r="272" spans="47:50">
      <c r="AU272" t="str">
        <f t="shared" si="16"/>
        <v/>
      </c>
      <c r="AV272" t="str">
        <f t="shared" si="17"/>
        <v/>
      </c>
      <c r="AW272" t="str">
        <f t="shared" si="18"/>
        <v/>
      </c>
      <c r="AX272">
        <f t="shared" si="19"/>
        <v>0</v>
      </c>
    </row>
    <row r="273" spans="47:50">
      <c r="AU273" t="str">
        <f t="shared" si="16"/>
        <v/>
      </c>
      <c r="AV273" t="str">
        <f t="shared" si="17"/>
        <v/>
      </c>
      <c r="AW273" t="str">
        <f t="shared" si="18"/>
        <v/>
      </c>
      <c r="AX273">
        <f t="shared" si="19"/>
        <v>0</v>
      </c>
    </row>
    <row r="274" spans="47:50">
      <c r="AU274" t="str">
        <f t="shared" si="16"/>
        <v/>
      </c>
      <c r="AV274" t="str">
        <f t="shared" si="17"/>
        <v/>
      </c>
      <c r="AW274" t="str">
        <f t="shared" si="18"/>
        <v/>
      </c>
      <c r="AX274">
        <f t="shared" si="19"/>
        <v>0</v>
      </c>
    </row>
    <row r="275" spans="47:50">
      <c r="AU275" t="str">
        <f t="shared" si="16"/>
        <v/>
      </c>
      <c r="AV275" t="str">
        <f t="shared" si="17"/>
        <v/>
      </c>
      <c r="AW275" t="str">
        <f t="shared" si="18"/>
        <v/>
      </c>
      <c r="AX275">
        <f t="shared" si="19"/>
        <v>0</v>
      </c>
    </row>
    <row r="276" spans="47:50">
      <c r="AU276" t="str">
        <f t="shared" si="16"/>
        <v/>
      </c>
      <c r="AV276" t="str">
        <f t="shared" si="17"/>
        <v/>
      </c>
      <c r="AW276" t="str">
        <f t="shared" si="18"/>
        <v/>
      </c>
      <c r="AX276">
        <f t="shared" si="19"/>
        <v>0</v>
      </c>
    </row>
    <row r="277" spans="47:50">
      <c r="AU277" t="str">
        <f t="shared" si="16"/>
        <v/>
      </c>
      <c r="AV277" t="str">
        <f t="shared" si="17"/>
        <v/>
      </c>
      <c r="AW277" t="str">
        <f t="shared" si="18"/>
        <v/>
      </c>
      <c r="AX277">
        <f t="shared" si="19"/>
        <v>0</v>
      </c>
    </row>
    <row r="278" spans="47:50">
      <c r="AU278" t="str">
        <f t="shared" si="16"/>
        <v/>
      </c>
      <c r="AV278" t="str">
        <f t="shared" si="17"/>
        <v/>
      </c>
      <c r="AW278" t="str">
        <f t="shared" si="18"/>
        <v/>
      </c>
      <c r="AX278">
        <f t="shared" si="19"/>
        <v>0</v>
      </c>
    </row>
    <row r="279" spans="47:50">
      <c r="AU279" t="str">
        <f t="shared" si="16"/>
        <v/>
      </c>
      <c r="AV279" t="str">
        <f t="shared" si="17"/>
        <v/>
      </c>
      <c r="AW279" t="str">
        <f t="shared" si="18"/>
        <v/>
      </c>
      <c r="AX279">
        <f t="shared" si="19"/>
        <v>0</v>
      </c>
    </row>
    <row r="280" spans="47:50">
      <c r="AU280" t="str">
        <f t="shared" si="16"/>
        <v/>
      </c>
      <c r="AV280" t="str">
        <f t="shared" si="17"/>
        <v/>
      </c>
      <c r="AW280" t="str">
        <f t="shared" si="18"/>
        <v/>
      </c>
      <c r="AX280">
        <f t="shared" si="19"/>
        <v>0</v>
      </c>
    </row>
    <row r="281" spans="47:50">
      <c r="AU281" t="str">
        <f t="shared" si="16"/>
        <v/>
      </c>
      <c r="AV281" t="str">
        <f t="shared" si="17"/>
        <v/>
      </c>
      <c r="AW281" t="str">
        <f t="shared" si="18"/>
        <v/>
      </c>
      <c r="AX281">
        <f t="shared" si="19"/>
        <v>0</v>
      </c>
    </row>
    <row r="282" spans="47:50">
      <c r="AU282" t="str">
        <f t="shared" si="16"/>
        <v/>
      </c>
      <c r="AV282" t="str">
        <f t="shared" si="17"/>
        <v/>
      </c>
      <c r="AW282" t="str">
        <f t="shared" si="18"/>
        <v/>
      </c>
      <c r="AX282">
        <f t="shared" si="19"/>
        <v>0</v>
      </c>
    </row>
    <row r="283" spans="47:50">
      <c r="AU283" t="str">
        <f t="shared" si="16"/>
        <v/>
      </c>
      <c r="AV283" t="str">
        <f t="shared" si="17"/>
        <v/>
      </c>
      <c r="AW283" t="str">
        <f t="shared" si="18"/>
        <v/>
      </c>
      <c r="AX283">
        <f t="shared" si="19"/>
        <v>0</v>
      </c>
    </row>
    <row r="284" spans="47:50">
      <c r="AU284" t="str">
        <f t="shared" si="16"/>
        <v/>
      </c>
      <c r="AV284" t="str">
        <f t="shared" si="17"/>
        <v/>
      </c>
      <c r="AW284" t="str">
        <f t="shared" si="18"/>
        <v/>
      </c>
      <c r="AX284">
        <f t="shared" si="19"/>
        <v>0</v>
      </c>
    </row>
    <row r="285" spans="47:50">
      <c r="AU285" t="str">
        <f t="shared" si="16"/>
        <v/>
      </c>
      <c r="AV285" t="str">
        <f t="shared" si="17"/>
        <v/>
      </c>
      <c r="AW285" t="str">
        <f t="shared" si="18"/>
        <v/>
      </c>
      <c r="AX285">
        <f t="shared" si="19"/>
        <v>0</v>
      </c>
    </row>
    <row r="286" spans="47:50">
      <c r="AU286" t="str">
        <f t="shared" si="16"/>
        <v/>
      </c>
      <c r="AV286" t="str">
        <f t="shared" si="17"/>
        <v/>
      </c>
      <c r="AW286" t="str">
        <f t="shared" si="18"/>
        <v/>
      </c>
      <c r="AX286">
        <f t="shared" si="19"/>
        <v>0</v>
      </c>
    </row>
    <row r="287" spans="47:50">
      <c r="AU287" t="str">
        <f t="shared" si="16"/>
        <v/>
      </c>
      <c r="AV287" t="str">
        <f t="shared" si="17"/>
        <v/>
      </c>
      <c r="AW287" t="str">
        <f t="shared" si="18"/>
        <v/>
      </c>
      <c r="AX287">
        <f t="shared" si="19"/>
        <v>0</v>
      </c>
    </row>
    <row r="288" spans="47:50">
      <c r="AU288" t="str">
        <f t="shared" si="16"/>
        <v/>
      </c>
      <c r="AV288" t="str">
        <f t="shared" si="17"/>
        <v/>
      </c>
      <c r="AW288" t="str">
        <f t="shared" si="18"/>
        <v/>
      </c>
      <c r="AX288">
        <f t="shared" si="19"/>
        <v>0</v>
      </c>
    </row>
    <row r="289" spans="47:50">
      <c r="AU289" t="str">
        <f t="shared" si="16"/>
        <v/>
      </c>
      <c r="AV289" t="str">
        <f t="shared" si="17"/>
        <v/>
      </c>
      <c r="AW289" t="str">
        <f t="shared" si="18"/>
        <v/>
      </c>
      <c r="AX289">
        <f t="shared" si="19"/>
        <v>0</v>
      </c>
    </row>
    <row r="290" spans="47:50">
      <c r="AU290" t="str">
        <f t="shared" si="16"/>
        <v/>
      </c>
      <c r="AV290" t="str">
        <f t="shared" si="17"/>
        <v/>
      </c>
      <c r="AW290" t="str">
        <f t="shared" si="18"/>
        <v/>
      </c>
      <c r="AX290">
        <f t="shared" si="19"/>
        <v>0</v>
      </c>
    </row>
    <row r="291" spans="47:50">
      <c r="AU291" t="str">
        <f t="shared" si="16"/>
        <v/>
      </c>
      <c r="AV291" t="str">
        <f t="shared" si="17"/>
        <v/>
      </c>
      <c r="AW291" t="str">
        <f t="shared" si="18"/>
        <v/>
      </c>
      <c r="AX291">
        <f t="shared" si="19"/>
        <v>0</v>
      </c>
    </row>
    <row r="292" spans="47:50">
      <c r="AU292" t="str">
        <f t="shared" si="16"/>
        <v/>
      </c>
      <c r="AV292" t="str">
        <f t="shared" si="17"/>
        <v/>
      </c>
      <c r="AW292" t="str">
        <f t="shared" si="18"/>
        <v/>
      </c>
      <c r="AX292">
        <f t="shared" si="19"/>
        <v>0</v>
      </c>
    </row>
    <row r="293" spans="47:50">
      <c r="AU293" t="str">
        <f t="shared" si="16"/>
        <v/>
      </c>
      <c r="AV293" t="str">
        <f t="shared" si="17"/>
        <v/>
      </c>
      <c r="AW293" t="str">
        <f t="shared" si="18"/>
        <v/>
      </c>
      <c r="AX293">
        <f t="shared" si="19"/>
        <v>0</v>
      </c>
    </row>
    <row r="294" spans="47:50">
      <c r="AU294" t="str">
        <f t="shared" si="16"/>
        <v/>
      </c>
      <c r="AV294" t="str">
        <f t="shared" si="17"/>
        <v/>
      </c>
      <c r="AW294" t="str">
        <f t="shared" si="18"/>
        <v/>
      </c>
      <c r="AX294">
        <f t="shared" si="19"/>
        <v>0</v>
      </c>
    </row>
    <row r="295" spans="47:50">
      <c r="AU295" t="str">
        <f t="shared" si="16"/>
        <v/>
      </c>
      <c r="AV295" t="str">
        <f t="shared" si="17"/>
        <v/>
      </c>
      <c r="AW295" t="str">
        <f t="shared" si="18"/>
        <v/>
      </c>
      <c r="AX295">
        <f t="shared" si="19"/>
        <v>0</v>
      </c>
    </row>
    <row r="296" spans="47:50">
      <c r="AU296" t="str">
        <f t="shared" si="16"/>
        <v/>
      </c>
      <c r="AV296" t="str">
        <f t="shared" si="17"/>
        <v/>
      </c>
      <c r="AW296" t="str">
        <f t="shared" si="18"/>
        <v/>
      </c>
      <c r="AX296">
        <f t="shared" si="19"/>
        <v>0</v>
      </c>
    </row>
    <row r="297" spans="47:50">
      <c r="AU297" t="str">
        <f t="shared" si="16"/>
        <v/>
      </c>
      <c r="AV297" t="str">
        <f t="shared" si="17"/>
        <v/>
      </c>
      <c r="AW297" t="str">
        <f t="shared" si="18"/>
        <v/>
      </c>
      <c r="AX297">
        <f t="shared" si="19"/>
        <v>0</v>
      </c>
    </row>
    <row r="298" spans="47:50">
      <c r="AU298" t="str">
        <f t="shared" si="16"/>
        <v/>
      </c>
      <c r="AV298" t="str">
        <f t="shared" si="17"/>
        <v/>
      </c>
      <c r="AW298" t="str">
        <f t="shared" si="18"/>
        <v/>
      </c>
      <c r="AX298">
        <f t="shared" si="19"/>
        <v>0</v>
      </c>
    </row>
    <row r="299" spans="47:50">
      <c r="AU299" t="str">
        <f t="shared" si="16"/>
        <v/>
      </c>
      <c r="AV299" t="str">
        <f t="shared" si="17"/>
        <v/>
      </c>
      <c r="AW299" t="str">
        <f t="shared" si="18"/>
        <v/>
      </c>
      <c r="AX299">
        <f t="shared" si="19"/>
        <v>0</v>
      </c>
    </row>
    <row r="300" spans="47:50">
      <c r="AU300" t="str">
        <f t="shared" si="16"/>
        <v/>
      </c>
      <c r="AV300" t="str">
        <f t="shared" si="17"/>
        <v/>
      </c>
      <c r="AW300" t="str">
        <f t="shared" si="18"/>
        <v/>
      </c>
      <c r="AX300">
        <f t="shared" si="19"/>
        <v>0</v>
      </c>
    </row>
    <row r="301" spans="47:50">
      <c r="AU301" t="str">
        <f t="shared" si="16"/>
        <v/>
      </c>
      <c r="AV301" t="str">
        <f t="shared" si="17"/>
        <v/>
      </c>
      <c r="AW301" t="str">
        <f t="shared" si="18"/>
        <v/>
      </c>
      <c r="AX301">
        <f t="shared" si="19"/>
        <v>0</v>
      </c>
    </row>
    <row r="302" spans="47:50">
      <c r="AU302" t="str">
        <f t="shared" si="16"/>
        <v/>
      </c>
      <c r="AV302" t="str">
        <f t="shared" si="17"/>
        <v/>
      </c>
      <c r="AW302" t="str">
        <f t="shared" si="18"/>
        <v/>
      </c>
      <c r="AX302">
        <f t="shared" si="19"/>
        <v>0</v>
      </c>
    </row>
    <row r="303" spans="47:50">
      <c r="AU303" t="str">
        <f t="shared" si="16"/>
        <v/>
      </c>
      <c r="AV303" t="str">
        <f t="shared" si="17"/>
        <v/>
      </c>
      <c r="AW303" t="str">
        <f t="shared" si="18"/>
        <v/>
      </c>
      <c r="AX303">
        <f t="shared" si="19"/>
        <v>0</v>
      </c>
    </row>
    <row r="304" spans="47:50">
      <c r="AU304" t="str">
        <f t="shared" si="16"/>
        <v/>
      </c>
      <c r="AV304" t="str">
        <f t="shared" si="17"/>
        <v/>
      </c>
      <c r="AW304" t="str">
        <f t="shared" si="18"/>
        <v/>
      </c>
      <c r="AX304">
        <f t="shared" si="19"/>
        <v>0</v>
      </c>
    </row>
    <row r="305" spans="47:50">
      <c r="AU305" t="str">
        <f t="shared" si="16"/>
        <v/>
      </c>
      <c r="AV305" t="str">
        <f t="shared" si="17"/>
        <v/>
      </c>
      <c r="AW305" t="str">
        <f t="shared" si="18"/>
        <v/>
      </c>
      <c r="AX305">
        <f t="shared" si="19"/>
        <v>0</v>
      </c>
    </row>
    <row r="306" spans="47:50">
      <c r="AU306" t="str">
        <f t="shared" si="16"/>
        <v/>
      </c>
      <c r="AV306" t="str">
        <f t="shared" si="17"/>
        <v/>
      </c>
      <c r="AW306" t="str">
        <f t="shared" si="18"/>
        <v/>
      </c>
      <c r="AX306">
        <f t="shared" si="19"/>
        <v>0</v>
      </c>
    </row>
    <row r="307" spans="47:50">
      <c r="AU307" t="str">
        <f t="shared" si="16"/>
        <v/>
      </c>
      <c r="AV307" t="str">
        <f t="shared" si="17"/>
        <v/>
      </c>
      <c r="AW307" t="str">
        <f t="shared" si="18"/>
        <v/>
      </c>
      <c r="AX307">
        <f t="shared" si="19"/>
        <v>0</v>
      </c>
    </row>
    <row r="308" spans="47:50">
      <c r="AU308" t="str">
        <f t="shared" si="16"/>
        <v/>
      </c>
      <c r="AV308" t="str">
        <f t="shared" si="17"/>
        <v/>
      </c>
      <c r="AW308" t="str">
        <f t="shared" si="18"/>
        <v/>
      </c>
      <c r="AX308">
        <f t="shared" si="19"/>
        <v>0</v>
      </c>
    </row>
    <row r="309" spans="47:50">
      <c r="AU309" t="str">
        <f t="shared" si="16"/>
        <v/>
      </c>
      <c r="AV309" t="str">
        <f t="shared" si="17"/>
        <v/>
      </c>
      <c r="AW309" t="str">
        <f t="shared" si="18"/>
        <v/>
      </c>
      <c r="AX309">
        <f t="shared" si="19"/>
        <v>0</v>
      </c>
    </row>
    <row r="310" spans="47:50">
      <c r="AU310" t="str">
        <f t="shared" si="16"/>
        <v/>
      </c>
      <c r="AV310" t="str">
        <f t="shared" si="17"/>
        <v/>
      </c>
      <c r="AW310" t="str">
        <f t="shared" si="18"/>
        <v/>
      </c>
      <c r="AX310">
        <f t="shared" si="19"/>
        <v>0</v>
      </c>
    </row>
    <row r="311" spans="47:50">
      <c r="AU311" t="str">
        <f t="shared" si="16"/>
        <v/>
      </c>
      <c r="AV311" t="str">
        <f t="shared" si="17"/>
        <v/>
      </c>
      <c r="AW311" t="str">
        <f t="shared" si="18"/>
        <v/>
      </c>
      <c r="AX311">
        <f t="shared" si="19"/>
        <v>0</v>
      </c>
    </row>
    <row r="312" spans="47:50">
      <c r="AU312" t="str">
        <f t="shared" si="16"/>
        <v/>
      </c>
      <c r="AV312" t="str">
        <f t="shared" si="17"/>
        <v/>
      </c>
      <c r="AW312" t="str">
        <f t="shared" si="18"/>
        <v/>
      </c>
      <c r="AX312">
        <f t="shared" si="19"/>
        <v>0</v>
      </c>
    </row>
    <row r="313" spans="47:50">
      <c r="AU313" t="str">
        <f t="shared" si="16"/>
        <v/>
      </c>
      <c r="AV313" t="str">
        <f t="shared" si="17"/>
        <v/>
      </c>
      <c r="AW313" t="str">
        <f t="shared" si="18"/>
        <v/>
      </c>
      <c r="AX313">
        <f t="shared" si="19"/>
        <v>0</v>
      </c>
    </row>
    <row r="314" spans="47:50">
      <c r="AU314" t="str">
        <f t="shared" si="16"/>
        <v/>
      </c>
      <c r="AV314" t="str">
        <f t="shared" si="17"/>
        <v/>
      </c>
      <c r="AW314" t="str">
        <f t="shared" si="18"/>
        <v/>
      </c>
      <c r="AX314">
        <f t="shared" si="19"/>
        <v>0</v>
      </c>
    </row>
    <row r="315" spans="47:50">
      <c r="AU315" t="str">
        <f t="shared" si="16"/>
        <v/>
      </c>
      <c r="AV315" t="str">
        <f t="shared" si="17"/>
        <v/>
      </c>
      <c r="AW315" t="str">
        <f t="shared" si="18"/>
        <v/>
      </c>
      <c r="AX315">
        <f t="shared" si="19"/>
        <v>0</v>
      </c>
    </row>
    <row r="316" spans="47:50">
      <c r="AU316" t="str">
        <f t="shared" si="16"/>
        <v/>
      </c>
      <c r="AV316" t="str">
        <f t="shared" si="17"/>
        <v/>
      </c>
      <c r="AW316" t="str">
        <f t="shared" si="18"/>
        <v/>
      </c>
      <c r="AX316">
        <f t="shared" si="19"/>
        <v>0</v>
      </c>
    </row>
    <row r="317" spans="47:50">
      <c r="AU317" t="str">
        <f t="shared" si="16"/>
        <v/>
      </c>
      <c r="AV317" t="str">
        <f t="shared" si="17"/>
        <v/>
      </c>
      <c r="AW317" t="str">
        <f t="shared" si="18"/>
        <v/>
      </c>
      <c r="AX317">
        <f t="shared" si="19"/>
        <v>0</v>
      </c>
    </row>
    <row r="318" spans="47:50">
      <c r="AU318" t="str">
        <f t="shared" si="16"/>
        <v/>
      </c>
      <c r="AV318" t="str">
        <f t="shared" si="17"/>
        <v/>
      </c>
      <c r="AW318" t="str">
        <f t="shared" si="18"/>
        <v/>
      </c>
      <c r="AX318">
        <f t="shared" si="19"/>
        <v>0</v>
      </c>
    </row>
    <row r="319" spans="47:50">
      <c r="AU319" t="str">
        <f t="shared" si="16"/>
        <v/>
      </c>
      <c r="AV319" t="str">
        <f t="shared" si="17"/>
        <v/>
      </c>
      <c r="AW319" t="str">
        <f t="shared" si="18"/>
        <v/>
      </c>
      <c r="AX319">
        <f t="shared" si="19"/>
        <v>0</v>
      </c>
    </row>
    <row r="320" spans="47:50">
      <c r="AU320" t="str">
        <f t="shared" si="16"/>
        <v/>
      </c>
      <c r="AV320" t="str">
        <f t="shared" si="17"/>
        <v/>
      </c>
      <c r="AW320" t="str">
        <f t="shared" si="18"/>
        <v/>
      </c>
      <c r="AX320">
        <f t="shared" si="19"/>
        <v>0</v>
      </c>
    </row>
    <row r="321" spans="47:50">
      <c r="AU321" t="str">
        <f t="shared" si="16"/>
        <v/>
      </c>
      <c r="AV321" t="str">
        <f t="shared" si="17"/>
        <v/>
      </c>
      <c r="AW321" t="str">
        <f t="shared" si="18"/>
        <v/>
      </c>
      <c r="AX321">
        <f t="shared" si="19"/>
        <v>0</v>
      </c>
    </row>
    <row r="322" spans="47:50">
      <c r="AU322" t="str">
        <f t="shared" si="16"/>
        <v/>
      </c>
      <c r="AV322" t="str">
        <f t="shared" si="17"/>
        <v/>
      </c>
      <c r="AW322" t="str">
        <f t="shared" si="18"/>
        <v/>
      </c>
      <c r="AX322">
        <f t="shared" si="19"/>
        <v>0</v>
      </c>
    </row>
    <row r="323" spans="47:50">
      <c r="AU323" t="str">
        <f t="shared" ref="AU323:AU386" si="20">LEFT(C323,3)</f>
        <v/>
      </c>
      <c r="AV323" t="str">
        <f t="shared" ref="AV323:AV386" si="21">MID(C323,5,3)</f>
        <v/>
      </c>
      <c r="AW323" t="str">
        <f t="shared" ref="AW323:AW386" si="22">RIGHT(C323,3)</f>
        <v/>
      </c>
      <c r="AX323">
        <f t="shared" ref="AX323:AX386" si="23">IFERROR(VLOOKUP(AW323,$AZ$2:$BA$10,2,FALSE),"")</f>
        <v>0</v>
      </c>
    </row>
    <row r="324" spans="47:50">
      <c r="AU324" t="str">
        <f t="shared" si="20"/>
        <v/>
      </c>
      <c r="AV324" t="str">
        <f t="shared" si="21"/>
        <v/>
      </c>
      <c r="AW324" t="str">
        <f t="shared" si="22"/>
        <v/>
      </c>
      <c r="AX324">
        <f t="shared" si="23"/>
        <v>0</v>
      </c>
    </row>
    <row r="325" spans="47:50">
      <c r="AU325" t="str">
        <f t="shared" si="20"/>
        <v/>
      </c>
      <c r="AV325" t="str">
        <f t="shared" si="21"/>
        <v/>
      </c>
      <c r="AW325" t="str">
        <f t="shared" si="22"/>
        <v/>
      </c>
      <c r="AX325">
        <f t="shared" si="23"/>
        <v>0</v>
      </c>
    </row>
    <row r="326" spans="47:50">
      <c r="AU326" t="str">
        <f t="shared" si="20"/>
        <v/>
      </c>
      <c r="AV326" t="str">
        <f t="shared" si="21"/>
        <v/>
      </c>
      <c r="AW326" t="str">
        <f t="shared" si="22"/>
        <v/>
      </c>
      <c r="AX326">
        <f t="shared" si="23"/>
        <v>0</v>
      </c>
    </row>
    <row r="327" spans="47:50">
      <c r="AU327" t="str">
        <f t="shared" si="20"/>
        <v/>
      </c>
      <c r="AV327" t="str">
        <f t="shared" si="21"/>
        <v/>
      </c>
      <c r="AW327" t="str">
        <f t="shared" si="22"/>
        <v/>
      </c>
      <c r="AX327">
        <f t="shared" si="23"/>
        <v>0</v>
      </c>
    </row>
    <row r="328" spans="47:50">
      <c r="AU328" t="str">
        <f t="shared" si="20"/>
        <v/>
      </c>
      <c r="AV328" t="str">
        <f t="shared" si="21"/>
        <v/>
      </c>
      <c r="AW328" t="str">
        <f t="shared" si="22"/>
        <v/>
      </c>
      <c r="AX328">
        <f t="shared" si="23"/>
        <v>0</v>
      </c>
    </row>
    <row r="329" spans="47:50">
      <c r="AU329" t="str">
        <f t="shared" si="20"/>
        <v/>
      </c>
      <c r="AV329" t="str">
        <f t="shared" si="21"/>
        <v/>
      </c>
      <c r="AW329" t="str">
        <f t="shared" si="22"/>
        <v/>
      </c>
      <c r="AX329">
        <f t="shared" si="23"/>
        <v>0</v>
      </c>
    </row>
    <row r="330" spans="47:50">
      <c r="AU330" t="str">
        <f t="shared" si="20"/>
        <v/>
      </c>
      <c r="AV330" t="str">
        <f t="shared" si="21"/>
        <v/>
      </c>
      <c r="AW330" t="str">
        <f t="shared" si="22"/>
        <v/>
      </c>
      <c r="AX330">
        <f t="shared" si="23"/>
        <v>0</v>
      </c>
    </row>
    <row r="331" spans="47:50">
      <c r="AU331" t="str">
        <f t="shared" si="20"/>
        <v/>
      </c>
      <c r="AV331" t="str">
        <f t="shared" si="21"/>
        <v/>
      </c>
      <c r="AW331" t="str">
        <f t="shared" si="22"/>
        <v/>
      </c>
      <c r="AX331">
        <f t="shared" si="23"/>
        <v>0</v>
      </c>
    </row>
    <row r="332" spans="47:50">
      <c r="AU332" t="str">
        <f t="shared" si="20"/>
        <v/>
      </c>
      <c r="AV332" t="str">
        <f t="shared" si="21"/>
        <v/>
      </c>
      <c r="AW332" t="str">
        <f t="shared" si="22"/>
        <v/>
      </c>
      <c r="AX332">
        <f t="shared" si="23"/>
        <v>0</v>
      </c>
    </row>
    <row r="333" spans="47:50">
      <c r="AU333" t="str">
        <f t="shared" si="20"/>
        <v/>
      </c>
      <c r="AV333" t="str">
        <f t="shared" si="21"/>
        <v/>
      </c>
      <c r="AW333" t="str">
        <f t="shared" si="22"/>
        <v/>
      </c>
      <c r="AX333">
        <f t="shared" si="23"/>
        <v>0</v>
      </c>
    </row>
    <row r="334" spans="47:50">
      <c r="AU334" t="str">
        <f t="shared" si="20"/>
        <v/>
      </c>
      <c r="AV334" t="str">
        <f t="shared" si="21"/>
        <v/>
      </c>
      <c r="AW334" t="str">
        <f t="shared" si="22"/>
        <v/>
      </c>
      <c r="AX334">
        <f t="shared" si="23"/>
        <v>0</v>
      </c>
    </row>
    <row r="335" spans="47:50">
      <c r="AU335" t="str">
        <f t="shared" si="20"/>
        <v/>
      </c>
      <c r="AV335" t="str">
        <f t="shared" si="21"/>
        <v/>
      </c>
      <c r="AW335" t="str">
        <f t="shared" si="22"/>
        <v/>
      </c>
      <c r="AX335">
        <f t="shared" si="23"/>
        <v>0</v>
      </c>
    </row>
    <row r="336" spans="47:50">
      <c r="AU336" t="str">
        <f t="shared" si="20"/>
        <v/>
      </c>
      <c r="AV336" t="str">
        <f t="shared" si="21"/>
        <v/>
      </c>
      <c r="AW336" t="str">
        <f t="shared" si="22"/>
        <v/>
      </c>
      <c r="AX336">
        <f t="shared" si="23"/>
        <v>0</v>
      </c>
    </row>
    <row r="337" spans="47:50">
      <c r="AU337" t="str">
        <f t="shared" si="20"/>
        <v/>
      </c>
      <c r="AV337" t="str">
        <f t="shared" si="21"/>
        <v/>
      </c>
      <c r="AW337" t="str">
        <f t="shared" si="22"/>
        <v/>
      </c>
      <c r="AX337">
        <f t="shared" si="23"/>
        <v>0</v>
      </c>
    </row>
    <row r="338" spans="47:50">
      <c r="AU338" t="str">
        <f t="shared" si="20"/>
        <v/>
      </c>
      <c r="AV338" t="str">
        <f t="shared" si="21"/>
        <v/>
      </c>
      <c r="AW338" t="str">
        <f t="shared" si="22"/>
        <v/>
      </c>
      <c r="AX338">
        <f t="shared" si="23"/>
        <v>0</v>
      </c>
    </row>
    <row r="339" spans="47:50">
      <c r="AU339" t="str">
        <f t="shared" si="20"/>
        <v/>
      </c>
      <c r="AV339" t="str">
        <f t="shared" si="21"/>
        <v/>
      </c>
      <c r="AW339" t="str">
        <f t="shared" si="22"/>
        <v/>
      </c>
      <c r="AX339">
        <f t="shared" si="23"/>
        <v>0</v>
      </c>
    </row>
    <row r="340" spans="47:50">
      <c r="AU340" t="str">
        <f t="shared" si="20"/>
        <v/>
      </c>
      <c r="AV340" t="str">
        <f t="shared" si="21"/>
        <v/>
      </c>
      <c r="AW340" t="str">
        <f t="shared" si="22"/>
        <v/>
      </c>
      <c r="AX340">
        <f t="shared" si="23"/>
        <v>0</v>
      </c>
    </row>
    <row r="341" spans="47:50">
      <c r="AU341" t="str">
        <f t="shared" si="20"/>
        <v/>
      </c>
      <c r="AV341" t="str">
        <f t="shared" si="21"/>
        <v/>
      </c>
      <c r="AW341" t="str">
        <f t="shared" si="22"/>
        <v/>
      </c>
      <c r="AX341">
        <f t="shared" si="23"/>
        <v>0</v>
      </c>
    </row>
    <row r="342" spans="47:50">
      <c r="AU342" t="str">
        <f t="shared" si="20"/>
        <v/>
      </c>
      <c r="AV342" t="str">
        <f t="shared" si="21"/>
        <v/>
      </c>
      <c r="AW342" t="str">
        <f t="shared" si="22"/>
        <v/>
      </c>
      <c r="AX342">
        <f t="shared" si="23"/>
        <v>0</v>
      </c>
    </row>
    <row r="343" spans="47:50">
      <c r="AU343" t="str">
        <f t="shared" si="20"/>
        <v/>
      </c>
      <c r="AV343" t="str">
        <f t="shared" si="21"/>
        <v/>
      </c>
      <c r="AW343" t="str">
        <f t="shared" si="22"/>
        <v/>
      </c>
      <c r="AX343">
        <f t="shared" si="23"/>
        <v>0</v>
      </c>
    </row>
    <row r="344" spans="47:50">
      <c r="AU344" t="str">
        <f t="shared" si="20"/>
        <v/>
      </c>
      <c r="AV344" t="str">
        <f t="shared" si="21"/>
        <v/>
      </c>
      <c r="AW344" t="str">
        <f t="shared" si="22"/>
        <v/>
      </c>
      <c r="AX344">
        <f t="shared" si="23"/>
        <v>0</v>
      </c>
    </row>
    <row r="345" spans="47:50">
      <c r="AU345" t="str">
        <f t="shared" si="20"/>
        <v/>
      </c>
      <c r="AV345" t="str">
        <f t="shared" si="21"/>
        <v/>
      </c>
      <c r="AW345" t="str">
        <f t="shared" si="22"/>
        <v/>
      </c>
      <c r="AX345">
        <f t="shared" si="23"/>
        <v>0</v>
      </c>
    </row>
    <row r="346" spans="47:50">
      <c r="AU346" t="str">
        <f t="shared" si="20"/>
        <v/>
      </c>
      <c r="AV346" t="str">
        <f t="shared" si="21"/>
        <v/>
      </c>
      <c r="AW346" t="str">
        <f t="shared" si="22"/>
        <v/>
      </c>
      <c r="AX346">
        <f t="shared" si="23"/>
        <v>0</v>
      </c>
    </row>
    <row r="347" spans="47:50">
      <c r="AU347" t="str">
        <f t="shared" si="20"/>
        <v/>
      </c>
      <c r="AV347" t="str">
        <f t="shared" si="21"/>
        <v/>
      </c>
      <c r="AW347" t="str">
        <f t="shared" si="22"/>
        <v/>
      </c>
      <c r="AX347">
        <f t="shared" si="23"/>
        <v>0</v>
      </c>
    </row>
    <row r="348" spans="47:50">
      <c r="AU348" t="str">
        <f t="shared" si="20"/>
        <v/>
      </c>
      <c r="AV348" t="str">
        <f t="shared" si="21"/>
        <v/>
      </c>
      <c r="AW348" t="str">
        <f t="shared" si="22"/>
        <v/>
      </c>
      <c r="AX348">
        <f t="shared" si="23"/>
        <v>0</v>
      </c>
    </row>
    <row r="349" spans="47:50">
      <c r="AU349" t="str">
        <f t="shared" si="20"/>
        <v/>
      </c>
      <c r="AV349" t="str">
        <f t="shared" si="21"/>
        <v/>
      </c>
      <c r="AW349" t="str">
        <f t="shared" si="22"/>
        <v/>
      </c>
      <c r="AX349">
        <f t="shared" si="23"/>
        <v>0</v>
      </c>
    </row>
    <row r="350" spans="47:50">
      <c r="AU350" t="str">
        <f t="shared" si="20"/>
        <v/>
      </c>
      <c r="AV350" t="str">
        <f t="shared" si="21"/>
        <v/>
      </c>
      <c r="AW350" t="str">
        <f t="shared" si="22"/>
        <v/>
      </c>
      <c r="AX350">
        <f t="shared" si="23"/>
        <v>0</v>
      </c>
    </row>
    <row r="351" spans="47:50">
      <c r="AU351" t="str">
        <f t="shared" si="20"/>
        <v/>
      </c>
      <c r="AV351" t="str">
        <f t="shared" si="21"/>
        <v/>
      </c>
      <c r="AW351" t="str">
        <f t="shared" si="22"/>
        <v/>
      </c>
      <c r="AX351">
        <f t="shared" si="23"/>
        <v>0</v>
      </c>
    </row>
    <row r="352" spans="47:50">
      <c r="AU352" t="str">
        <f t="shared" si="20"/>
        <v/>
      </c>
      <c r="AV352" t="str">
        <f t="shared" si="21"/>
        <v/>
      </c>
      <c r="AW352" t="str">
        <f t="shared" si="22"/>
        <v/>
      </c>
      <c r="AX352">
        <f t="shared" si="23"/>
        <v>0</v>
      </c>
    </row>
    <row r="353" spans="47:50">
      <c r="AU353" t="str">
        <f t="shared" si="20"/>
        <v/>
      </c>
      <c r="AV353" t="str">
        <f t="shared" si="21"/>
        <v/>
      </c>
      <c r="AW353" t="str">
        <f t="shared" si="22"/>
        <v/>
      </c>
      <c r="AX353">
        <f t="shared" si="23"/>
        <v>0</v>
      </c>
    </row>
    <row r="354" spans="47:50">
      <c r="AU354" t="str">
        <f t="shared" si="20"/>
        <v/>
      </c>
      <c r="AV354" t="str">
        <f t="shared" si="21"/>
        <v/>
      </c>
      <c r="AW354" t="str">
        <f t="shared" si="22"/>
        <v/>
      </c>
      <c r="AX354">
        <f t="shared" si="23"/>
        <v>0</v>
      </c>
    </row>
    <row r="355" spans="47:50">
      <c r="AU355" t="str">
        <f t="shared" si="20"/>
        <v/>
      </c>
      <c r="AV355" t="str">
        <f t="shared" si="21"/>
        <v/>
      </c>
      <c r="AW355" t="str">
        <f t="shared" si="22"/>
        <v/>
      </c>
      <c r="AX355">
        <f t="shared" si="23"/>
        <v>0</v>
      </c>
    </row>
    <row r="356" spans="47:50">
      <c r="AU356" t="str">
        <f t="shared" si="20"/>
        <v/>
      </c>
      <c r="AV356" t="str">
        <f t="shared" si="21"/>
        <v/>
      </c>
      <c r="AW356" t="str">
        <f t="shared" si="22"/>
        <v/>
      </c>
      <c r="AX356">
        <f t="shared" si="23"/>
        <v>0</v>
      </c>
    </row>
    <row r="357" spans="47:50">
      <c r="AU357" t="str">
        <f t="shared" si="20"/>
        <v/>
      </c>
      <c r="AV357" t="str">
        <f t="shared" si="21"/>
        <v/>
      </c>
      <c r="AW357" t="str">
        <f t="shared" si="22"/>
        <v/>
      </c>
      <c r="AX357">
        <f t="shared" si="23"/>
        <v>0</v>
      </c>
    </row>
    <row r="358" spans="47:50">
      <c r="AU358" t="str">
        <f t="shared" si="20"/>
        <v/>
      </c>
      <c r="AV358" t="str">
        <f t="shared" si="21"/>
        <v/>
      </c>
      <c r="AW358" t="str">
        <f t="shared" si="22"/>
        <v/>
      </c>
      <c r="AX358">
        <f t="shared" si="23"/>
        <v>0</v>
      </c>
    </row>
    <row r="359" spans="47:50">
      <c r="AU359" t="str">
        <f t="shared" si="20"/>
        <v/>
      </c>
      <c r="AV359" t="str">
        <f t="shared" si="21"/>
        <v/>
      </c>
      <c r="AW359" t="str">
        <f t="shared" si="22"/>
        <v/>
      </c>
      <c r="AX359">
        <f t="shared" si="23"/>
        <v>0</v>
      </c>
    </row>
    <row r="360" spans="47:50">
      <c r="AU360" t="str">
        <f t="shared" si="20"/>
        <v/>
      </c>
      <c r="AV360" t="str">
        <f t="shared" si="21"/>
        <v/>
      </c>
      <c r="AW360" t="str">
        <f t="shared" si="22"/>
        <v/>
      </c>
      <c r="AX360">
        <f t="shared" si="23"/>
        <v>0</v>
      </c>
    </row>
    <row r="361" spans="47:50">
      <c r="AU361" t="str">
        <f t="shared" si="20"/>
        <v/>
      </c>
      <c r="AV361" t="str">
        <f t="shared" si="21"/>
        <v/>
      </c>
      <c r="AW361" t="str">
        <f t="shared" si="22"/>
        <v/>
      </c>
      <c r="AX361">
        <f t="shared" si="23"/>
        <v>0</v>
      </c>
    </row>
    <row r="362" spans="47:50">
      <c r="AU362" t="str">
        <f t="shared" si="20"/>
        <v/>
      </c>
      <c r="AV362" t="str">
        <f t="shared" si="21"/>
        <v/>
      </c>
      <c r="AW362" t="str">
        <f t="shared" si="22"/>
        <v/>
      </c>
      <c r="AX362">
        <f t="shared" si="23"/>
        <v>0</v>
      </c>
    </row>
    <row r="363" spans="47:50">
      <c r="AU363" t="str">
        <f t="shared" si="20"/>
        <v/>
      </c>
      <c r="AV363" t="str">
        <f t="shared" si="21"/>
        <v/>
      </c>
      <c r="AW363" t="str">
        <f t="shared" si="22"/>
        <v/>
      </c>
      <c r="AX363">
        <f t="shared" si="23"/>
        <v>0</v>
      </c>
    </row>
    <row r="364" spans="47:50">
      <c r="AU364" t="str">
        <f t="shared" si="20"/>
        <v/>
      </c>
      <c r="AV364" t="str">
        <f t="shared" si="21"/>
        <v/>
      </c>
      <c r="AW364" t="str">
        <f t="shared" si="22"/>
        <v/>
      </c>
      <c r="AX364">
        <f t="shared" si="23"/>
        <v>0</v>
      </c>
    </row>
    <row r="365" spans="47:50">
      <c r="AU365" t="str">
        <f t="shared" si="20"/>
        <v/>
      </c>
      <c r="AV365" t="str">
        <f t="shared" si="21"/>
        <v/>
      </c>
      <c r="AW365" t="str">
        <f t="shared" si="22"/>
        <v/>
      </c>
      <c r="AX365">
        <f t="shared" si="23"/>
        <v>0</v>
      </c>
    </row>
    <row r="366" spans="47:50">
      <c r="AU366" t="str">
        <f t="shared" si="20"/>
        <v/>
      </c>
      <c r="AV366" t="str">
        <f t="shared" si="21"/>
        <v/>
      </c>
      <c r="AW366" t="str">
        <f t="shared" si="22"/>
        <v/>
      </c>
      <c r="AX366">
        <f t="shared" si="23"/>
        <v>0</v>
      </c>
    </row>
    <row r="367" spans="47:50">
      <c r="AU367" t="str">
        <f t="shared" si="20"/>
        <v/>
      </c>
      <c r="AV367" t="str">
        <f t="shared" si="21"/>
        <v/>
      </c>
      <c r="AW367" t="str">
        <f t="shared" si="22"/>
        <v/>
      </c>
      <c r="AX367">
        <f t="shared" si="23"/>
        <v>0</v>
      </c>
    </row>
    <row r="368" spans="47:50">
      <c r="AU368" t="str">
        <f t="shared" si="20"/>
        <v/>
      </c>
      <c r="AV368" t="str">
        <f t="shared" si="21"/>
        <v/>
      </c>
      <c r="AW368" t="str">
        <f t="shared" si="22"/>
        <v/>
      </c>
      <c r="AX368">
        <f t="shared" si="23"/>
        <v>0</v>
      </c>
    </row>
    <row r="369" spans="47:50">
      <c r="AU369" t="str">
        <f t="shared" si="20"/>
        <v/>
      </c>
      <c r="AV369" t="str">
        <f t="shared" si="21"/>
        <v/>
      </c>
      <c r="AW369" t="str">
        <f t="shared" si="22"/>
        <v/>
      </c>
      <c r="AX369">
        <f t="shared" si="23"/>
        <v>0</v>
      </c>
    </row>
    <row r="370" spans="47:50">
      <c r="AU370" t="str">
        <f t="shared" si="20"/>
        <v/>
      </c>
      <c r="AV370" t="str">
        <f t="shared" si="21"/>
        <v/>
      </c>
      <c r="AW370" t="str">
        <f t="shared" si="22"/>
        <v/>
      </c>
      <c r="AX370">
        <f t="shared" si="23"/>
        <v>0</v>
      </c>
    </row>
    <row r="371" spans="47:50">
      <c r="AU371" t="str">
        <f t="shared" si="20"/>
        <v/>
      </c>
      <c r="AV371" t="str">
        <f t="shared" si="21"/>
        <v/>
      </c>
      <c r="AW371" t="str">
        <f t="shared" si="22"/>
        <v/>
      </c>
      <c r="AX371">
        <f t="shared" si="23"/>
        <v>0</v>
      </c>
    </row>
    <row r="372" spans="47:50">
      <c r="AU372" t="str">
        <f t="shared" si="20"/>
        <v/>
      </c>
      <c r="AV372" t="str">
        <f t="shared" si="21"/>
        <v/>
      </c>
      <c r="AW372" t="str">
        <f t="shared" si="22"/>
        <v/>
      </c>
      <c r="AX372">
        <f t="shared" si="23"/>
        <v>0</v>
      </c>
    </row>
    <row r="373" spans="47:50">
      <c r="AU373" t="str">
        <f t="shared" si="20"/>
        <v/>
      </c>
      <c r="AV373" t="str">
        <f t="shared" si="21"/>
        <v/>
      </c>
      <c r="AW373" t="str">
        <f t="shared" si="22"/>
        <v/>
      </c>
      <c r="AX373">
        <f t="shared" si="23"/>
        <v>0</v>
      </c>
    </row>
    <row r="374" spans="47:50">
      <c r="AU374" t="str">
        <f t="shared" si="20"/>
        <v/>
      </c>
      <c r="AV374" t="str">
        <f t="shared" si="21"/>
        <v/>
      </c>
      <c r="AW374" t="str">
        <f t="shared" si="22"/>
        <v/>
      </c>
      <c r="AX374">
        <f t="shared" si="23"/>
        <v>0</v>
      </c>
    </row>
    <row r="375" spans="47:50">
      <c r="AU375" t="str">
        <f t="shared" si="20"/>
        <v/>
      </c>
      <c r="AV375" t="str">
        <f t="shared" si="21"/>
        <v/>
      </c>
      <c r="AW375" t="str">
        <f t="shared" si="22"/>
        <v/>
      </c>
      <c r="AX375">
        <f t="shared" si="23"/>
        <v>0</v>
      </c>
    </row>
    <row r="376" spans="47:50">
      <c r="AU376" t="str">
        <f t="shared" si="20"/>
        <v/>
      </c>
      <c r="AV376" t="str">
        <f t="shared" si="21"/>
        <v/>
      </c>
      <c r="AW376" t="str">
        <f t="shared" si="22"/>
        <v/>
      </c>
      <c r="AX376">
        <f t="shared" si="23"/>
        <v>0</v>
      </c>
    </row>
    <row r="377" spans="47:50">
      <c r="AU377" t="str">
        <f t="shared" si="20"/>
        <v/>
      </c>
      <c r="AV377" t="str">
        <f t="shared" si="21"/>
        <v/>
      </c>
      <c r="AW377" t="str">
        <f t="shared" si="22"/>
        <v/>
      </c>
      <c r="AX377">
        <f t="shared" si="23"/>
        <v>0</v>
      </c>
    </row>
    <row r="378" spans="47:50">
      <c r="AU378" t="str">
        <f t="shared" si="20"/>
        <v/>
      </c>
      <c r="AV378" t="str">
        <f t="shared" si="21"/>
        <v/>
      </c>
      <c r="AW378" t="str">
        <f t="shared" si="22"/>
        <v/>
      </c>
      <c r="AX378">
        <f t="shared" si="23"/>
        <v>0</v>
      </c>
    </row>
    <row r="379" spans="47:50">
      <c r="AU379" t="str">
        <f t="shared" si="20"/>
        <v/>
      </c>
      <c r="AV379" t="str">
        <f t="shared" si="21"/>
        <v/>
      </c>
      <c r="AW379" t="str">
        <f t="shared" si="22"/>
        <v/>
      </c>
      <c r="AX379">
        <f t="shared" si="23"/>
        <v>0</v>
      </c>
    </row>
    <row r="380" spans="47:50">
      <c r="AU380" t="str">
        <f t="shared" si="20"/>
        <v/>
      </c>
      <c r="AV380" t="str">
        <f t="shared" si="21"/>
        <v/>
      </c>
      <c r="AW380" t="str">
        <f t="shared" si="22"/>
        <v/>
      </c>
      <c r="AX380">
        <f t="shared" si="23"/>
        <v>0</v>
      </c>
    </row>
    <row r="381" spans="47:50">
      <c r="AU381" t="str">
        <f t="shared" si="20"/>
        <v/>
      </c>
      <c r="AV381" t="str">
        <f t="shared" si="21"/>
        <v/>
      </c>
      <c r="AW381" t="str">
        <f t="shared" si="22"/>
        <v/>
      </c>
      <c r="AX381">
        <f t="shared" si="23"/>
        <v>0</v>
      </c>
    </row>
    <row r="382" spans="47:50">
      <c r="AU382" t="str">
        <f t="shared" si="20"/>
        <v/>
      </c>
      <c r="AV382" t="str">
        <f t="shared" si="21"/>
        <v/>
      </c>
      <c r="AW382" t="str">
        <f t="shared" si="22"/>
        <v/>
      </c>
      <c r="AX382">
        <f t="shared" si="23"/>
        <v>0</v>
      </c>
    </row>
    <row r="383" spans="47:50">
      <c r="AU383" t="str">
        <f t="shared" si="20"/>
        <v/>
      </c>
      <c r="AV383" t="str">
        <f t="shared" si="21"/>
        <v/>
      </c>
      <c r="AW383" t="str">
        <f t="shared" si="22"/>
        <v/>
      </c>
      <c r="AX383">
        <f t="shared" si="23"/>
        <v>0</v>
      </c>
    </row>
    <row r="384" spans="47:50">
      <c r="AU384" t="str">
        <f t="shared" si="20"/>
        <v/>
      </c>
      <c r="AV384" t="str">
        <f t="shared" si="21"/>
        <v/>
      </c>
      <c r="AW384" t="str">
        <f t="shared" si="22"/>
        <v/>
      </c>
      <c r="AX384">
        <f t="shared" si="23"/>
        <v>0</v>
      </c>
    </row>
    <row r="385" spans="47:50">
      <c r="AU385" t="str">
        <f t="shared" si="20"/>
        <v/>
      </c>
      <c r="AV385" t="str">
        <f t="shared" si="21"/>
        <v/>
      </c>
      <c r="AW385" t="str">
        <f t="shared" si="22"/>
        <v/>
      </c>
      <c r="AX385">
        <f t="shared" si="23"/>
        <v>0</v>
      </c>
    </row>
    <row r="386" spans="47:50">
      <c r="AU386" t="str">
        <f t="shared" si="20"/>
        <v/>
      </c>
      <c r="AV386" t="str">
        <f t="shared" si="21"/>
        <v/>
      </c>
      <c r="AW386" t="str">
        <f t="shared" si="22"/>
        <v/>
      </c>
      <c r="AX386">
        <f t="shared" si="23"/>
        <v>0</v>
      </c>
    </row>
    <row r="387" spans="47:50">
      <c r="AU387" t="str">
        <f t="shared" ref="AU387:AU450" si="24">LEFT(C387,3)</f>
        <v/>
      </c>
      <c r="AV387" t="str">
        <f t="shared" ref="AV387:AV450" si="25">MID(C387,5,3)</f>
        <v/>
      </c>
      <c r="AW387" t="str">
        <f t="shared" ref="AW387:AW450" si="26">RIGHT(C387,3)</f>
        <v/>
      </c>
      <c r="AX387">
        <f t="shared" ref="AX387:AX450" si="27">IFERROR(VLOOKUP(AW387,$AZ$2:$BA$10,2,FALSE),"")</f>
        <v>0</v>
      </c>
    </row>
    <row r="388" spans="47:50">
      <c r="AU388" t="str">
        <f t="shared" si="24"/>
        <v/>
      </c>
      <c r="AV388" t="str">
        <f t="shared" si="25"/>
        <v/>
      </c>
      <c r="AW388" t="str">
        <f t="shared" si="26"/>
        <v/>
      </c>
      <c r="AX388">
        <f t="shared" si="27"/>
        <v>0</v>
      </c>
    </row>
    <row r="389" spans="47:50">
      <c r="AU389" t="str">
        <f t="shared" si="24"/>
        <v/>
      </c>
      <c r="AV389" t="str">
        <f t="shared" si="25"/>
        <v/>
      </c>
      <c r="AW389" t="str">
        <f t="shared" si="26"/>
        <v/>
      </c>
      <c r="AX389">
        <f t="shared" si="27"/>
        <v>0</v>
      </c>
    </row>
    <row r="390" spans="47:50">
      <c r="AU390" t="str">
        <f t="shared" si="24"/>
        <v/>
      </c>
      <c r="AV390" t="str">
        <f t="shared" si="25"/>
        <v/>
      </c>
      <c r="AW390" t="str">
        <f t="shared" si="26"/>
        <v/>
      </c>
      <c r="AX390">
        <f t="shared" si="27"/>
        <v>0</v>
      </c>
    </row>
    <row r="391" spans="47:50">
      <c r="AU391" t="str">
        <f t="shared" si="24"/>
        <v/>
      </c>
      <c r="AV391" t="str">
        <f t="shared" si="25"/>
        <v/>
      </c>
      <c r="AW391" t="str">
        <f t="shared" si="26"/>
        <v/>
      </c>
      <c r="AX391">
        <f t="shared" si="27"/>
        <v>0</v>
      </c>
    </row>
    <row r="392" spans="47:50">
      <c r="AU392" t="str">
        <f t="shared" si="24"/>
        <v/>
      </c>
      <c r="AV392" t="str">
        <f t="shared" si="25"/>
        <v/>
      </c>
      <c r="AW392" t="str">
        <f t="shared" si="26"/>
        <v/>
      </c>
      <c r="AX392">
        <f t="shared" si="27"/>
        <v>0</v>
      </c>
    </row>
    <row r="393" spans="47:50">
      <c r="AU393" t="str">
        <f t="shared" si="24"/>
        <v/>
      </c>
      <c r="AV393" t="str">
        <f t="shared" si="25"/>
        <v/>
      </c>
      <c r="AW393" t="str">
        <f t="shared" si="26"/>
        <v/>
      </c>
      <c r="AX393">
        <f t="shared" si="27"/>
        <v>0</v>
      </c>
    </row>
    <row r="394" spans="47:50">
      <c r="AU394" t="str">
        <f t="shared" si="24"/>
        <v/>
      </c>
      <c r="AV394" t="str">
        <f t="shared" si="25"/>
        <v/>
      </c>
      <c r="AW394" t="str">
        <f t="shared" si="26"/>
        <v/>
      </c>
      <c r="AX394">
        <f t="shared" si="27"/>
        <v>0</v>
      </c>
    </row>
    <row r="395" spans="47:50">
      <c r="AU395" t="str">
        <f t="shared" si="24"/>
        <v/>
      </c>
      <c r="AV395" t="str">
        <f t="shared" si="25"/>
        <v/>
      </c>
      <c r="AW395" t="str">
        <f t="shared" si="26"/>
        <v/>
      </c>
      <c r="AX395">
        <f t="shared" si="27"/>
        <v>0</v>
      </c>
    </row>
    <row r="396" spans="47:50">
      <c r="AU396" t="str">
        <f t="shared" si="24"/>
        <v/>
      </c>
      <c r="AV396" t="str">
        <f t="shared" si="25"/>
        <v/>
      </c>
      <c r="AW396" t="str">
        <f t="shared" si="26"/>
        <v/>
      </c>
      <c r="AX396">
        <f t="shared" si="27"/>
        <v>0</v>
      </c>
    </row>
    <row r="397" spans="47:50">
      <c r="AU397" t="str">
        <f t="shared" si="24"/>
        <v/>
      </c>
      <c r="AV397" t="str">
        <f t="shared" si="25"/>
        <v/>
      </c>
      <c r="AW397" t="str">
        <f t="shared" si="26"/>
        <v/>
      </c>
      <c r="AX397">
        <f t="shared" si="27"/>
        <v>0</v>
      </c>
    </row>
    <row r="398" spans="47:50">
      <c r="AU398" t="str">
        <f t="shared" si="24"/>
        <v/>
      </c>
      <c r="AV398" t="str">
        <f t="shared" si="25"/>
        <v/>
      </c>
      <c r="AW398" t="str">
        <f t="shared" si="26"/>
        <v/>
      </c>
      <c r="AX398">
        <f t="shared" si="27"/>
        <v>0</v>
      </c>
    </row>
    <row r="399" spans="47:50">
      <c r="AU399" t="str">
        <f t="shared" si="24"/>
        <v/>
      </c>
      <c r="AV399" t="str">
        <f t="shared" si="25"/>
        <v/>
      </c>
      <c r="AW399" t="str">
        <f t="shared" si="26"/>
        <v/>
      </c>
      <c r="AX399">
        <f t="shared" si="27"/>
        <v>0</v>
      </c>
    </row>
    <row r="400" spans="47:50">
      <c r="AU400" t="str">
        <f t="shared" si="24"/>
        <v/>
      </c>
      <c r="AV400" t="str">
        <f t="shared" si="25"/>
        <v/>
      </c>
      <c r="AW400" t="str">
        <f t="shared" si="26"/>
        <v/>
      </c>
      <c r="AX400">
        <f t="shared" si="27"/>
        <v>0</v>
      </c>
    </row>
    <row r="401" spans="47:50">
      <c r="AU401" t="str">
        <f t="shared" si="24"/>
        <v/>
      </c>
      <c r="AV401" t="str">
        <f t="shared" si="25"/>
        <v/>
      </c>
      <c r="AW401" t="str">
        <f t="shared" si="26"/>
        <v/>
      </c>
      <c r="AX401">
        <f t="shared" si="27"/>
        <v>0</v>
      </c>
    </row>
    <row r="402" spans="47:50">
      <c r="AU402" t="str">
        <f t="shared" si="24"/>
        <v/>
      </c>
      <c r="AV402" t="str">
        <f t="shared" si="25"/>
        <v/>
      </c>
      <c r="AW402" t="str">
        <f t="shared" si="26"/>
        <v/>
      </c>
      <c r="AX402">
        <f t="shared" si="27"/>
        <v>0</v>
      </c>
    </row>
    <row r="403" spans="47:50">
      <c r="AU403" t="str">
        <f t="shared" si="24"/>
        <v/>
      </c>
      <c r="AV403" t="str">
        <f t="shared" si="25"/>
        <v/>
      </c>
      <c r="AW403" t="str">
        <f t="shared" si="26"/>
        <v/>
      </c>
      <c r="AX403">
        <f t="shared" si="27"/>
        <v>0</v>
      </c>
    </row>
    <row r="404" spans="47:50">
      <c r="AU404" t="str">
        <f t="shared" si="24"/>
        <v/>
      </c>
      <c r="AV404" t="str">
        <f t="shared" si="25"/>
        <v/>
      </c>
      <c r="AW404" t="str">
        <f t="shared" si="26"/>
        <v/>
      </c>
      <c r="AX404">
        <f t="shared" si="27"/>
        <v>0</v>
      </c>
    </row>
    <row r="405" spans="47:50">
      <c r="AU405" t="str">
        <f t="shared" si="24"/>
        <v/>
      </c>
      <c r="AV405" t="str">
        <f t="shared" si="25"/>
        <v/>
      </c>
      <c r="AW405" t="str">
        <f t="shared" si="26"/>
        <v/>
      </c>
      <c r="AX405">
        <f t="shared" si="27"/>
        <v>0</v>
      </c>
    </row>
    <row r="406" spans="47:50">
      <c r="AU406" t="str">
        <f t="shared" si="24"/>
        <v/>
      </c>
      <c r="AV406" t="str">
        <f t="shared" si="25"/>
        <v/>
      </c>
      <c r="AW406" t="str">
        <f t="shared" si="26"/>
        <v/>
      </c>
      <c r="AX406">
        <f t="shared" si="27"/>
        <v>0</v>
      </c>
    </row>
    <row r="407" spans="47:50">
      <c r="AU407" t="str">
        <f t="shared" si="24"/>
        <v/>
      </c>
      <c r="AV407" t="str">
        <f t="shared" si="25"/>
        <v/>
      </c>
      <c r="AW407" t="str">
        <f t="shared" si="26"/>
        <v/>
      </c>
      <c r="AX407">
        <f t="shared" si="27"/>
        <v>0</v>
      </c>
    </row>
    <row r="408" spans="47:50">
      <c r="AU408" t="str">
        <f t="shared" si="24"/>
        <v/>
      </c>
      <c r="AV408" t="str">
        <f t="shared" si="25"/>
        <v/>
      </c>
      <c r="AW408" t="str">
        <f t="shared" si="26"/>
        <v/>
      </c>
      <c r="AX408">
        <f t="shared" si="27"/>
        <v>0</v>
      </c>
    </row>
    <row r="409" spans="47:50">
      <c r="AU409" t="str">
        <f t="shared" si="24"/>
        <v/>
      </c>
      <c r="AV409" t="str">
        <f t="shared" si="25"/>
        <v/>
      </c>
      <c r="AW409" t="str">
        <f t="shared" si="26"/>
        <v/>
      </c>
      <c r="AX409">
        <f t="shared" si="27"/>
        <v>0</v>
      </c>
    </row>
    <row r="410" spans="47:50">
      <c r="AU410" t="str">
        <f t="shared" si="24"/>
        <v/>
      </c>
      <c r="AV410" t="str">
        <f t="shared" si="25"/>
        <v/>
      </c>
      <c r="AW410" t="str">
        <f t="shared" si="26"/>
        <v/>
      </c>
      <c r="AX410">
        <f t="shared" si="27"/>
        <v>0</v>
      </c>
    </row>
    <row r="411" spans="47:50">
      <c r="AU411" t="str">
        <f t="shared" si="24"/>
        <v/>
      </c>
      <c r="AV411" t="str">
        <f t="shared" si="25"/>
        <v/>
      </c>
      <c r="AW411" t="str">
        <f t="shared" si="26"/>
        <v/>
      </c>
      <c r="AX411">
        <f t="shared" si="27"/>
        <v>0</v>
      </c>
    </row>
    <row r="412" spans="47:50">
      <c r="AU412" t="str">
        <f t="shared" si="24"/>
        <v/>
      </c>
      <c r="AV412" t="str">
        <f t="shared" si="25"/>
        <v/>
      </c>
      <c r="AW412" t="str">
        <f t="shared" si="26"/>
        <v/>
      </c>
      <c r="AX412">
        <f t="shared" si="27"/>
        <v>0</v>
      </c>
    </row>
    <row r="413" spans="47:50">
      <c r="AU413" t="str">
        <f t="shared" si="24"/>
        <v/>
      </c>
      <c r="AV413" t="str">
        <f t="shared" si="25"/>
        <v/>
      </c>
      <c r="AW413" t="str">
        <f t="shared" si="26"/>
        <v/>
      </c>
      <c r="AX413">
        <f t="shared" si="27"/>
        <v>0</v>
      </c>
    </row>
    <row r="414" spans="47:50">
      <c r="AU414" t="str">
        <f t="shared" si="24"/>
        <v/>
      </c>
      <c r="AV414" t="str">
        <f t="shared" si="25"/>
        <v/>
      </c>
      <c r="AW414" t="str">
        <f t="shared" si="26"/>
        <v/>
      </c>
      <c r="AX414">
        <f t="shared" si="27"/>
        <v>0</v>
      </c>
    </row>
    <row r="415" spans="47:50">
      <c r="AU415" t="str">
        <f t="shared" si="24"/>
        <v/>
      </c>
      <c r="AV415" t="str">
        <f t="shared" si="25"/>
        <v/>
      </c>
      <c r="AW415" t="str">
        <f t="shared" si="26"/>
        <v/>
      </c>
      <c r="AX415">
        <f t="shared" si="27"/>
        <v>0</v>
      </c>
    </row>
    <row r="416" spans="47:50">
      <c r="AU416" t="str">
        <f t="shared" si="24"/>
        <v/>
      </c>
      <c r="AV416" t="str">
        <f t="shared" si="25"/>
        <v/>
      </c>
      <c r="AW416" t="str">
        <f t="shared" si="26"/>
        <v/>
      </c>
      <c r="AX416">
        <f t="shared" si="27"/>
        <v>0</v>
      </c>
    </row>
    <row r="417" spans="47:50">
      <c r="AU417" t="str">
        <f t="shared" si="24"/>
        <v/>
      </c>
      <c r="AV417" t="str">
        <f t="shared" si="25"/>
        <v/>
      </c>
      <c r="AW417" t="str">
        <f t="shared" si="26"/>
        <v/>
      </c>
      <c r="AX417">
        <f t="shared" si="27"/>
        <v>0</v>
      </c>
    </row>
    <row r="418" spans="47:50">
      <c r="AU418" t="str">
        <f t="shared" si="24"/>
        <v/>
      </c>
      <c r="AV418" t="str">
        <f t="shared" si="25"/>
        <v/>
      </c>
      <c r="AW418" t="str">
        <f t="shared" si="26"/>
        <v/>
      </c>
      <c r="AX418">
        <f t="shared" si="27"/>
        <v>0</v>
      </c>
    </row>
    <row r="419" spans="47:50">
      <c r="AU419" t="str">
        <f t="shared" si="24"/>
        <v/>
      </c>
      <c r="AV419" t="str">
        <f t="shared" si="25"/>
        <v/>
      </c>
      <c r="AW419" t="str">
        <f t="shared" si="26"/>
        <v/>
      </c>
      <c r="AX419">
        <f t="shared" si="27"/>
        <v>0</v>
      </c>
    </row>
    <row r="420" spans="47:50">
      <c r="AU420" t="str">
        <f t="shared" si="24"/>
        <v/>
      </c>
      <c r="AV420" t="str">
        <f t="shared" si="25"/>
        <v/>
      </c>
      <c r="AW420" t="str">
        <f t="shared" si="26"/>
        <v/>
      </c>
      <c r="AX420">
        <f t="shared" si="27"/>
        <v>0</v>
      </c>
    </row>
    <row r="421" spans="47:50">
      <c r="AU421" t="str">
        <f t="shared" si="24"/>
        <v/>
      </c>
      <c r="AV421" t="str">
        <f t="shared" si="25"/>
        <v/>
      </c>
      <c r="AW421" t="str">
        <f t="shared" si="26"/>
        <v/>
      </c>
      <c r="AX421">
        <f t="shared" si="27"/>
        <v>0</v>
      </c>
    </row>
    <row r="422" spans="47:50">
      <c r="AU422" t="str">
        <f t="shared" si="24"/>
        <v/>
      </c>
      <c r="AV422" t="str">
        <f t="shared" si="25"/>
        <v/>
      </c>
      <c r="AW422" t="str">
        <f t="shared" si="26"/>
        <v/>
      </c>
      <c r="AX422">
        <f t="shared" si="27"/>
        <v>0</v>
      </c>
    </row>
    <row r="423" spans="47:50">
      <c r="AU423" t="str">
        <f t="shared" si="24"/>
        <v/>
      </c>
      <c r="AV423" t="str">
        <f t="shared" si="25"/>
        <v/>
      </c>
      <c r="AW423" t="str">
        <f t="shared" si="26"/>
        <v/>
      </c>
      <c r="AX423">
        <f t="shared" si="27"/>
        <v>0</v>
      </c>
    </row>
    <row r="424" spans="47:50">
      <c r="AU424" t="str">
        <f t="shared" si="24"/>
        <v/>
      </c>
      <c r="AV424" t="str">
        <f t="shared" si="25"/>
        <v/>
      </c>
      <c r="AW424" t="str">
        <f t="shared" si="26"/>
        <v/>
      </c>
      <c r="AX424">
        <f t="shared" si="27"/>
        <v>0</v>
      </c>
    </row>
    <row r="425" spans="47:50">
      <c r="AU425" t="str">
        <f t="shared" si="24"/>
        <v/>
      </c>
      <c r="AV425" t="str">
        <f t="shared" si="25"/>
        <v/>
      </c>
      <c r="AW425" t="str">
        <f t="shared" si="26"/>
        <v/>
      </c>
      <c r="AX425">
        <f t="shared" si="27"/>
        <v>0</v>
      </c>
    </row>
    <row r="426" spans="47:50">
      <c r="AU426" t="str">
        <f t="shared" si="24"/>
        <v/>
      </c>
      <c r="AV426" t="str">
        <f t="shared" si="25"/>
        <v/>
      </c>
      <c r="AW426" t="str">
        <f t="shared" si="26"/>
        <v/>
      </c>
      <c r="AX426">
        <f t="shared" si="27"/>
        <v>0</v>
      </c>
    </row>
    <row r="427" spans="47:50">
      <c r="AU427" t="str">
        <f t="shared" si="24"/>
        <v/>
      </c>
      <c r="AV427" t="str">
        <f t="shared" si="25"/>
        <v/>
      </c>
      <c r="AW427" t="str">
        <f t="shared" si="26"/>
        <v/>
      </c>
      <c r="AX427">
        <f t="shared" si="27"/>
        <v>0</v>
      </c>
    </row>
    <row r="428" spans="47:50">
      <c r="AU428" t="str">
        <f t="shared" si="24"/>
        <v/>
      </c>
      <c r="AV428" t="str">
        <f t="shared" si="25"/>
        <v/>
      </c>
      <c r="AW428" t="str">
        <f t="shared" si="26"/>
        <v/>
      </c>
      <c r="AX428">
        <f t="shared" si="27"/>
        <v>0</v>
      </c>
    </row>
    <row r="429" spans="47:50">
      <c r="AU429" t="str">
        <f t="shared" si="24"/>
        <v/>
      </c>
      <c r="AV429" t="str">
        <f t="shared" si="25"/>
        <v/>
      </c>
      <c r="AW429" t="str">
        <f t="shared" si="26"/>
        <v/>
      </c>
      <c r="AX429">
        <f t="shared" si="27"/>
        <v>0</v>
      </c>
    </row>
    <row r="430" spans="47:50">
      <c r="AU430" t="str">
        <f t="shared" si="24"/>
        <v/>
      </c>
      <c r="AV430" t="str">
        <f t="shared" si="25"/>
        <v/>
      </c>
      <c r="AW430" t="str">
        <f t="shared" si="26"/>
        <v/>
      </c>
      <c r="AX430">
        <f t="shared" si="27"/>
        <v>0</v>
      </c>
    </row>
    <row r="431" spans="47:50">
      <c r="AU431" t="str">
        <f t="shared" si="24"/>
        <v/>
      </c>
      <c r="AV431" t="str">
        <f t="shared" si="25"/>
        <v/>
      </c>
      <c r="AW431" t="str">
        <f t="shared" si="26"/>
        <v/>
      </c>
      <c r="AX431">
        <f t="shared" si="27"/>
        <v>0</v>
      </c>
    </row>
    <row r="432" spans="47:50">
      <c r="AU432" t="str">
        <f t="shared" si="24"/>
        <v/>
      </c>
      <c r="AV432" t="str">
        <f t="shared" si="25"/>
        <v/>
      </c>
      <c r="AW432" t="str">
        <f t="shared" si="26"/>
        <v/>
      </c>
      <c r="AX432">
        <f t="shared" si="27"/>
        <v>0</v>
      </c>
    </row>
    <row r="433" spans="47:50">
      <c r="AU433" t="str">
        <f t="shared" si="24"/>
        <v/>
      </c>
      <c r="AV433" t="str">
        <f t="shared" si="25"/>
        <v/>
      </c>
      <c r="AW433" t="str">
        <f t="shared" si="26"/>
        <v/>
      </c>
      <c r="AX433">
        <f t="shared" si="27"/>
        <v>0</v>
      </c>
    </row>
    <row r="434" spans="47:50">
      <c r="AU434" t="str">
        <f t="shared" si="24"/>
        <v/>
      </c>
      <c r="AV434" t="str">
        <f t="shared" si="25"/>
        <v/>
      </c>
      <c r="AW434" t="str">
        <f t="shared" si="26"/>
        <v/>
      </c>
      <c r="AX434">
        <f t="shared" si="27"/>
        <v>0</v>
      </c>
    </row>
    <row r="435" spans="47:50">
      <c r="AU435" t="str">
        <f t="shared" si="24"/>
        <v/>
      </c>
      <c r="AV435" t="str">
        <f t="shared" si="25"/>
        <v/>
      </c>
      <c r="AW435" t="str">
        <f t="shared" si="26"/>
        <v/>
      </c>
      <c r="AX435">
        <f t="shared" si="27"/>
        <v>0</v>
      </c>
    </row>
    <row r="436" spans="47:50">
      <c r="AU436" t="str">
        <f t="shared" si="24"/>
        <v/>
      </c>
      <c r="AV436" t="str">
        <f t="shared" si="25"/>
        <v/>
      </c>
      <c r="AW436" t="str">
        <f t="shared" si="26"/>
        <v/>
      </c>
      <c r="AX436">
        <f t="shared" si="27"/>
        <v>0</v>
      </c>
    </row>
    <row r="437" spans="47:50">
      <c r="AU437" t="str">
        <f t="shared" si="24"/>
        <v/>
      </c>
      <c r="AV437" t="str">
        <f t="shared" si="25"/>
        <v/>
      </c>
      <c r="AW437" t="str">
        <f t="shared" si="26"/>
        <v/>
      </c>
      <c r="AX437">
        <f t="shared" si="27"/>
        <v>0</v>
      </c>
    </row>
    <row r="438" spans="47:50">
      <c r="AU438" t="str">
        <f t="shared" si="24"/>
        <v/>
      </c>
      <c r="AV438" t="str">
        <f t="shared" si="25"/>
        <v/>
      </c>
      <c r="AW438" t="str">
        <f t="shared" si="26"/>
        <v/>
      </c>
      <c r="AX438">
        <f t="shared" si="27"/>
        <v>0</v>
      </c>
    </row>
    <row r="439" spans="47:50">
      <c r="AU439" t="str">
        <f t="shared" si="24"/>
        <v/>
      </c>
      <c r="AV439" t="str">
        <f t="shared" si="25"/>
        <v/>
      </c>
      <c r="AW439" t="str">
        <f t="shared" si="26"/>
        <v/>
      </c>
      <c r="AX439">
        <f t="shared" si="27"/>
        <v>0</v>
      </c>
    </row>
    <row r="440" spans="47:50">
      <c r="AU440" t="str">
        <f t="shared" si="24"/>
        <v/>
      </c>
      <c r="AV440" t="str">
        <f t="shared" si="25"/>
        <v/>
      </c>
      <c r="AW440" t="str">
        <f t="shared" si="26"/>
        <v/>
      </c>
      <c r="AX440">
        <f t="shared" si="27"/>
        <v>0</v>
      </c>
    </row>
    <row r="441" spans="47:50">
      <c r="AU441" t="str">
        <f t="shared" si="24"/>
        <v/>
      </c>
      <c r="AV441" t="str">
        <f t="shared" si="25"/>
        <v/>
      </c>
      <c r="AW441" t="str">
        <f t="shared" si="26"/>
        <v/>
      </c>
      <c r="AX441">
        <f t="shared" si="27"/>
        <v>0</v>
      </c>
    </row>
    <row r="442" spans="47:50">
      <c r="AU442" t="str">
        <f t="shared" si="24"/>
        <v/>
      </c>
      <c r="AV442" t="str">
        <f t="shared" si="25"/>
        <v/>
      </c>
      <c r="AW442" t="str">
        <f t="shared" si="26"/>
        <v/>
      </c>
      <c r="AX442">
        <f t="shared" si="27"/>
        <v>0</v>
      </c>
    </row>
    <row r="443" spans="47:50">
      <c r="AU443" t="str">
        <f t="shared" si="24"/>
        <v/>
      </c>
      <c r="AV443" t="str">
        <f t="shared" si="25"/>
        <v/>
      </c>
      <c r="AW443" t="str">
        <f t="shared" si="26"/>
        <v/>
      </c>
      <c r="AX443">
        <f t="shared" si="27"/>
        <v>0</v>
      </c>
    </row>
    <row r="444" spans="47:50">
      <c r="AU444" t="str">
        <f t="shared" si="24"/>
        <v/>
      </c>
      <c r="AV444" t="str">
        <f t="shared" si="25"/>
        <v/>
      </c>
      <c r="AW444" t="str">
        <f t="shared" si="26"/>
        <v/>
      </c>
      <c r="AX444">
        <f t="shared" si="27"/>
        <v>0</v>
      </c>
    </row>
    <row r="445" spans="47:50">
      <c r="AU445" t="str">
        <f t="shared" si="24"/>
        <v/>
      </c>
      <c r="AV445" t="str">
        <f t="shared" si="25"/>
        <v/>
      </c>
      <c r="AW445" t="str">
        <f t="shared" si="26"/>
        <v/>
      </c>
      <c r="AX445">
        <f t="shared" si="27"/>
        <v>0</v>
      </c>
    </row>
    <row r="446" spans="47:50">
      <c r="AU446" t="str">
        <f t="shared" si="24"/>
        <v/>
      </c>
      <c r="AV446" t="str">
        <f t="shared" si="25"/>
        <v/>
      </c>
      <c r="AW446" t="str">
        <f t="shared" si="26"/>
        <v/>
      </c>
      <c r="AX446">
        <f t="shared" si="27"/>
        <v>0</v>
      </c>
    </row>
    <row r="447" spans="47:50">
      <c r="AU447" t="str">
        <f t="shared" si="24"/>
        <v/>
      </c>
      <c r="AV447" t="str">
        <f t="shared" si="25"/>
        <v/>
      </c>
      <c r="AW447" t="str">
        <f t="shared" si="26"/>
        <v/>
      </c>
      <c r="AX447">
        <f t="shared" si="27"/>
        <v>0</v>
      </c>
    </row>
    <row r="448" spans="47:50">
      <c r="AU448" t="str">
        <f t="shared" si="24"/>
        <v/>
      </c>
      <c r="AV448" t="str">
        <f t="shared" si="25"/>
        <v/>
      </c>
      <c r="AW448" t="str">
        <f t="shared" si="26"/>
        <v/>
      </c>
      <c r="AX448">
        <f t="shared" si="27"/>
        <v>0</v>
      </c>
    </row>
    <row r="449" spans="47:50">
      <c r="AU449" t="str">
        <f t="shared" si="24"/>
        <v/>
      </c>
      <c r="AV449" t="str">
        <f t="shared" si="25"/>
        <v/>
      </c>
      <c r="AW449" t="str">
        <f t="shared" si="26"/>
        <v/>
      </c>
      <c r="AX449">
        <f t="shared" si="27"/>
        <v>0</v>
      </c>
    </row>
    <row r="450" spans="47:50">
      <c r="AU450" t="str">
        <f t="shared" si="24"/>
        <v/>
      </c>
      <c r="AV450" t="str">
        <f t="shared" si="25"/>
        <v/>
      </c>
      <c r="AW450" t="str">
        <f t="shared" si="26"/>
        <v/>
      </c>
      <c r="AX450">
        <f t="shared" si="27"/>
        <v>0</v>
      </c>
    </row>
    <row r="451" spans="47:50">
      <c r="AU451" t="str">
        <f t="shared" ref="AU451:AU514" si="28">LEFT(C451,3)</f>
        <v/>
      </c>
      <c r="AV451" t="str">
        <f t="shared" ref="AV451:AV514" si="29">MID(C451,5,3)</f>
        <v/>
      </c>
      <c r="AW451" t="str">
        <f t="shared" ref="AW451:AW514" si="30">RIGHT(C451,3)</f>
        <v/>
      </c>
      <c r="AX451">
        <f t="shared" ref="AX451:AX514" si="31">IFERROR(VLOOKUP(AW451,$AZ$2:$BA$10,2,FALSE),"")</f>
        <v>0</v>
      </c>
    </row>
    <row r="452" spans="47:50">
      <c r="AU452" t="str">
        <f t="shared" si="28"/>
        <v/>
      </c>
      <c r="AV452" t="str">
        <f t="shared" si="29"/>
        <v/>
      </c>
      <c r="AW452" t="str">
        <f t="shared" si="30"/>
        <v/>
      </c>
      <c r="AX452">
        <f t="shared" si="31"/>
        <v>0</v>
      </c>
    </row>
    <row r="453" spans="47:50">
      <c r="AU453" t="str">
        <f t="shared" si="28"/>
        <v/>
      </c>
      <c r="AV453" t="str">
        <f t="shared" si="29"/>
        <v/>
      </c>
      <c r="AW453" t="str">
        <f t="shared" si="30"/>
        <v/>
      </c>
      <c r="AX453">
        <f t="shared" si="31"/>
        <v>0</v>
      </c>
    </row>
    <row r="454" spans="47:50">
      <c r="AU454" t="str">
        <f t="shared" si="28"/>
        <v/>
      </c>
      <c r="AV454" t="str">
        <f t="shared" si="29"/>
        <v/>
      </c>
      <c r="AW454" t="str">
        <f t="shared" si="30"/>
        <v/>
      </c>
      <c r="AX454">
        <f t="shared" si="31"/>
        <v>0</v>
      </c>
    </row>
    <row r="455" spans="47:50">
      <c r="AU455" t="str">
        <f t="shared" si="28"/>
        <v/>
      </c>
      <c r="AV455" t="str">
        <f t="shared" si="29"/>
        <v/>
      </c>
      <c r="AW455" t="str">
        <f t="shared" si="30"/>
        <v/>
      </c>
      <c r="AX455">
        <f t="shared" si="31"/>
        <v>0</v>
      </c>
    </row>
    <row r="456" spans="47:50">
      <c r="AU456" t="str">
        <f t="shared" si="28"/>
        <v/>
      </c>
      <c r="AV456" t="str">
        <f t="shared" si="29"/>
        <v/>
      </c>
      <c r="AW456" t="str">
        <f t="shared" si="30"/>
        <v/>
      </c>
      <c r="AX456">
        <f t="shared" si="31"/>
        <v>0</v>
      </c>
    </row>
    <row r="457" spans="47:50">
      <c r="AU457" t="str">
        <f t="shared" si="28"/>
        <v/>
      </c>
      <c r="AV457" t="str">
        <f t="shared" si="29"/>
        <v/>
      </c>
      <c r="AW457" t="str">
        <f t="shared" si="30"/>
        <v/>
      </c>
      <c r="AX457">
        <f t="shared" si="31"/>
        <v>0</v>
      </c>
    </row>
    <row r="458" spans="47:50">
      <c r="AU458" t="str">
        <f t="shared" si="28"/>
        <v/>
      </c>
      <c r="AV458" t="str">
        <f t="shared" si="29"/>
        <v/>
      </c>
      <c r="AW458" t="str">
        <f t="shared" si="30"/>
        <v/>
      </c>
      <c r="AX458">
        <f t="shared" si="31"/>
        <v>0</v>
      </c>
    </row>
    <row r="459" spans="47:50">
      <c r="AU459" t="str">
        <f t="shared" si="28"/>
        <v/>
      </c>
      <c r="AV459" t="str">
        <f t="shared" si="29"/>
        <v/>
      </c>
      <c r="AW459" t="str">
        <f t="shared" si="30"/>
        <v/>
      </c>
      <c r="AX459">
        <f t="shared" si="31"/>
        <v>0</v>
      </c>
    </row>
    <row r="460" spans="47:50">
      <c r="AU460" t="str">
        <f t="shared" si="28"/>
        <v/>
      </c>
      <c r="AV460" t="str">
        <f t="shared" si="29"/>
        <v/>
      </c>
      <c r="AW460" t="str">
        <f t="shared" si="30"/>
        <v/>
      </c>
      <c r="AX460">
        <f t="shared" si="31"/>
        <v>0</v>
      </c>
    </row>
    <row r="461" spans="47:50">
      <c r="AU461" t="str">
        <f t="shared" si="28"/>
        <v/>
      </c>
      <c r="AV461" t="str">
        <f t="shared" si="29"/>
        <v/>
      </c>
      <c r="AW461" t="str">
        <f t="shared" si="30"/>
        <v/>
      </c>
      <c r="AX461">
        <f t="shared" si="31"/>
        <v>0</v>
      </c>
    </row>
    <row r="462" spans="47:50">
      <c r="AU462" t="str">
        <f t="shared" si="28"/>
        <v/>
      </c>
      <c r="AV462" t="str">
        <f t="shared" si="29"/>
        <v/>
      </c>
      <c r="AW462" t="str">
        <f t="shared" si="30"/>
        <v/>
      </c>
      <c r="AX462">
        <f t="shared" si="31"/>
        <v>0</v>
      </c>
    </row>
    <row r="463" spans="47:50">
      <c r="AU463" t="str">
        <f t="shared" si="28"/>
        <v/>
      </c>
      <c r="AV463" t="str">
        <f t="shared" si="29"/>
        <v/>
      </c>
      <c r="AW463" t="str">
        <f t="shared" si="30"/>
        <v/>
      </c>
      <c r="AX463">
        <f t="shared" si="31"/>
        <v>0</v>
      </c>
    </row>
    <row r="464" spans="47:50">
      <c r="AU464" t="str">
        <f t="shared" si="28"/>
        <v/>
      </c>
      <c r="AV464" t="str">
        <f t="shared" si="29"/>
        <v/>
      </c>
      <c r="AW464" t="str">
        <f t="shared" si="30"/>
        <v/>
      </c>
      <c r="AX464">
        <f t="shared" si="31"/>
        <v>0</v>
      </c>
    </row>
    <row r="465" spans="47:50">
      <c r="AU465" t="str">
        <f t="shared" si="28"/>
        <v/>
      </c>
      <c r="AV465" t="str">
        <f t="shared" si="29"/>
        <v/>
      </c>
      <c r="AW465" t="str">
        <f t="shared" si="30"/>
        <v/>
      </c>
      <c r="AX465">
        <f t="shared" si="31"/>
        <v>0</v>
      </c>
    </row>
    <row r="466" spans="47:50">
      <c r="AU466" t="str">
        <f t="shared" si="28"/>
        <v/>
      </c>
      <c r="AV466" t="str">
        <f t="shared" si="29"/>
        <v/>
      </c>
      <c r="AW466" t="str">
        <f t="shared" si="30"/>
        <v/>
      </c>
      <c r="AX466">
        <f t="shared" si="31"/>
        <v>0</v>
      </c>
    </row>
    <row r="467" spans="47:50">
      <c r="AU467" t="str">
        <f t="shared" si="28"/>
        <v/>
      </c>
      <c r="AV467" t="str">
        <f t="shared" si="29"/>
        <v/>
      </c>
      <c r="AW467" t="str">
        <f t="shared" si="30"/>
        <v/>
      </c>
      <c r="AX467">
        <f t="shared" si="31"/>
        <v>0</v>
      </c>
    </row>
    <row r="468" spans="47:50">
      <c r="AU468" t="str">
        <f t="shared" si="28"/>
        <v/>
      </c>
      <c r="AV468" t="str">
        <f t="shared" si="29"/>
        <v/>
      </c>
      <c r="AW468" t="str">
        <f t="shared" si="30"/>
        <v/>
      </c>
      <c r="AX468">
        <f t="shared" si="31"/>
        <v>0</v>
      </c>
    </row>
    <row r="469" spans="47:50">
      <c r="AU469" t="str">
        <f t="shared" si="28"/>
        <v/>
      </c>
      <c r="AV469" t="str">
        <f t="shared" si="29"/>
        <v/>
      </c>
      <c r="AW469" t="str">
        <f t="shared" si="30"/>
        <v/>
      </c>
      <c r="AX469">
        <f t="shared" si="31"/>
        <v>0</v>
      </c>
    </row>
    <row r="470" spans="47:50">
      <c r="AU470" t="str">
        <f t="shared" si="28"/>
        <v/>
      </c>
      <c r="AV470" t="str">
        <f t="shared" si="29"/>
        <v/>
      </c>
      <c r="AW470" t="str">
        <f t="shared" si="30"/>
        <v/>
      </c>
      <c r="AX470">
        <f t="shared" si="31"/>
        <v>0</v>
      </c>
    </row>
    <row r="471" spans="47:50">
      <c r="AU471" t="str">
        <f t="shared" si="28"/>
        <v/>
      </c>
      <c r="AV471" t="str">
        <f t="shared" si="29"/>
        <v/>
      </c>
      <c r="AW471" t="str">
        <f t="shared" si="30"/>
        <v/>
      </c>
      <c r="AX471">
        <f t="shared" si="31"/>
        <v>0</v>
      </c>
    </row>
    <row r="472" spans="47:50">
      <c r="AU472" t="str">
        <f t="shared" si="28"/>
        <v/>
      </c>
      <c r="AV472" t="str">
        <f t="shared" si="29"/>
        <v/>
      </c>
      <c r="AW472" t="str">
        <f t="shared" si="30"/>
        <v/>
      </c>
      <c r="AX472">
        <f t="shared" si="31"/>
        <v>0</v>
      </c>
    </row>
    <row r="473" spans="47:50">
      <c r="AU473" t="str">
        <f t="shared" si="28"/>
        <v/>
      </c>
      <c r="AV473" t="str">
        <f t="shared" si="29"/>
        <v/>
      </c>
      <c r="AW473" t="str">
        <f t="shared" si="30"/>
        <v/>
      </c>
      <c r="AX473">
        <f t="shared" si="31"/>
        <v>0</v>
      </c>
    </row>
    <row r="474" spans="47:50">
      <c r="AU474" t="str">
        <f t="shared" si="28"/>
        <v/>
      </c>
      <c r="AV474" t="str">
        <f t="shared" si="29"/>
        <v/>
      </c>
      <c r="AW474" t="str">
        <f t="shared" si="30"/>
        <v/>
      </c>
      <c r="AX474">
        <f t="shared" si="31"/>
        <v>0</v>
      </c>
    </row>
    <row r="475" spans="47:50">
      <c r="AU475" t="str">
        <f t="shared" si="28"/>
        <v/>
      </c>
      <c r="AV475" t="str">
        <f t="shared" si="29"/>
        <v/>
      </c>
      <c r="AW475" t="str">
        <f t="shared" si="30"/>
        <v/>
      </c>
      <c r="AX475">
        <f t="shared" si="31"/>
        <v>0</v>
      </c>
    </row>
    <row r="476" spans="47:50">
      <c r="AU476" t="str">
        <f t="shared" si="28"/>
        <v/>
      </c>
      <c r="AV476" t="str">
        <f t="shared" si="29"/>
        <v/>
      </c>
      <c r="AW476" t="str">
        <f t="shared" si="30"/>
        <v/>
      </c>
      <c r="AX476">
        <f t="shared" si="31"/>
        <v>0</v>
      </c>
    </row>
    <row r="477" spans="47:50">
      <c r="AU477" t="str">
        <f t="shared" si="28"/>
        <v/>
      </c>
      <c r="AV477" t="str">
        <f t="shared" si="29"/>
        <v/>
      </c>
      <c r="AW477" t="str">
        <f t="shared" si="30"/>
        <v/>
      </c>
      <c r="AX477">
        <f t="shared" si="31"/>
        <v>0</v>
      </c>
    </row>
    <row r="478" spans="47:50">
      <c r="AU478" t="str">
        <f t="shared" si="28"/>
        <v/>
      </c>
      <c r="AV478" t="str">
        <f t="shared" si="29"/>
        <v/>
      </c>
      <c r="AW478" t="str">
        <f t="shared" si="30"/>
        <v/>
      </c>
      <c r="AX478">
        <f t="shared" si="31"/>
        <v>0</v>
      </c>
    </row>
    <row r="479" spans="47:50">
      <c r="AU479" t="str">
        <f t="shared" si="28"/>
        <v/>
      </c>
      <c r="AV479" t="str">
        <f t="shared" si="29"/>
        <v/>
      </c>
      <c r="AW479" t="str">
        <f t="shared" si="30"/>
        <v/>
      </c>
      <c r="AX479">
        <f t="shared" si="31"/>
        <v>0</v>
      </c>
    </row>
    <row r="480" spans="47:50">
      <c r="AU480" t="str">
        <f t="shared" si="28"/>
        <v/>
      </c>
      <c r="AV480" t="str">
        <f t="shared" si="29"/>
        <v/>
      </c>
      <c r="AW480" t="str">
        <f t="shared" si="30"/>
        <v/>
      </c>
      <c r="AX480">
        <f t="shared" si="31"/>
        <v>0</v>
      </c>
    </row>
    <row r="481" spans="47:50">
      <c r="AU481" t="str">
        <f t="shared" si="28"/>
        <v/>
      </c>
      <c r="AV481" t="str">
        <f t="shared" si="29"/>
        <v/>
      </c>
      <c r="AW481" t="str">
        <f t="shared" si="30"/>
        <v/>
      </c>
      <c r="AX481">
        <f t="shared" si="31"/>
        <v>0</v>
      </c>
    </row>
    <row r="482" spans="47:50">
      <c r="AU482" t="str">
        <f t="shared" si="28"/>
        <v/>
      </c>
      <c r="AV482" t="str">
        <f t="shared" si="29"/>
        <v/>
      </c>
      <c r="AW482" t="str">
        <f t="shared" si="30"/>
        <v/>
      </c>
      <c r="AX482">
        <f t="shared" si="31"/>
        <v>0</v>
      </c>
    </row>
    <row r="483" spans="47:50">
      <c r="AU483" t="str">
        <f t="shared" si="28"/>
        <v/>
      </c>
      <c r="AV483" t="str">
        <f t="shared" si="29"/>
        <v/>
      </c>
      <c r="AW483" t="str">
        <f t="shared" si="30"/>
        <v/>
      </c>
      <c r="AX483">
        <f t="shared" si="31"/>
        <v>0</v>
      </c>
    </row>
    <row r="484" spans="47:50">
      <c r="AU484" t="str">
        <f t="shared" si="28"/>
        <v/>
      </c>
      <c r="AV484" t="str">
        <f t="shared" si="29"/>
        <v/>
      </c>
      <c r="AW484" t="str">
        <f t="shared" si="30"/>
        <v/>
      </c>
      <c r="AX484">
        <f t="shared" si="31"/>
        <v>0</v>
      </c>
    </row>
    <row r="485" spans="47:50">
      <c r="AU485" t="str">
        <f t="shared" si="28"/>
        <v/>
      </c>
      <c r="AV485" t="str">
        <f t="shared" si="29"/>
        <v/>
      </c>
      <c r="AW485" t="str">
        <f t="shared" si="30"/>
        <v/>
      </c>
      <c r="AX485">
        <f t="shared" si="31"/>
        <v>0</v>
      </c>
    </row>
    <row r="486" spans="47:50">
      <c r="AU486" t="str">
        <f t="shared" si="28"/>
        <v/>
      </c>
      <c r="AV486" t="str">
        <f t="shared" si="29"/>
        <v/>
      </c>
      <c r="AW486" t="str">
        <f t="shared" si="30"/>
        <v/>
      </c>
      <c r="AX486">
        <f t="shared" si="31"/>
        <v>0</v>
      </c>
    </row>
    <row r="487" spans="47:50">
      <c r="AU487" t="str">
        <f t="shared" si="28"/>
        <v/>
      </c>
      <c r="AV487" t="str">
        <f t="shared" si="29"/>
        <v/>
      </c>
      <c r="AW487" t="str">
        <f t="shared" si="30"/>
        <v/>
      </c>
      <c r="AX487">
        <f t="shared" si="31"/>
        <v>0</v>
      </c>
    </row>
    <row r="488" spans="47:50">
      <c r="AU488" t="str">
        <f t="shared" si="28"/>
        <v/>
      </c>
      <c r="AV488" t="str">
        <f t="shared" si="29"/>
        <v/>
      </c>
      <c r="AW488" t="str">
        <f t="shared" si="30"/>
        <v/>
      </c>
      <c r="AX488">
        <f t="shared" si="31"/>
        <v>0</v>
      </c>
    </row>
    <row r="489" spans="47:50">
      <c r="AU489" t="str">
        <f t="shared" si="28"/>
        <v/>
      </c>
      <c r="AV489" t="str">
        <f t="shared" si="29"/>
        <v/>
      </c>
      <c r="AW489" t="str">
        <f t="shared" si="30"/>
        <v/>
      </c>
      <c r="AX489">
        <f t="shared" si="31"/>
        <v>0</v>
      </c>
    </row>
    <row r="490" spans="47:50">
      <c r="AU490" t="str">
        <f t="shared" si="28"/>
        <v/>
      </c>
      <c r="AV490" t="str">
        <f t="shared" si="29"/>
        <v/>
      </c>
      <c r="AW490" t="str">
        <f t="shared" si="30"/>
        <v/>
      </c>
      <c r="AX490">
        <f t="shared" si="31"/>
        <v>0</v>
      </c>
    </row>
    <row r="491" spans="47:50">
      <c r="AU491" t="str">
        <f t="shared" si="28"/>
        <v/>
      </c>
      <c r="AV491" t="str">
        <f t="shared" si="29"/>
        <v/>
      </c>
      <c r="AW491" t="str">
        <f t="shared" si="30"/>
        <v/>
      </c>
      <c r="AX491">
        <f t="shared" si="31"/>
        <v>0</v>
      </c>
    </row>
    <row r="492" spans="47:50">
      <c r="AU492" t="str">
        <f t="shared" si="28"/>
        <v/>
      </c>
      <c r="AV492" t="str">
        <f t="shared" si="29"/>
        <v/>
      </c>
      <c r="AW492" t="str">
        <f t="shared" si="30"/>
        <v/>
      </c>
      <c r="AX492">
        <f t="shared" si="31"/>
        <v>0</v>
      </c>
    </row>
    <row r="493" spans="47:50">
      <c r="AU493" t="str">
        <f t="shared" si="28"/>
        <v/>
      </c>
      <c r="AV493" t="str">
        <f t="shared" si="29"/>
        <v/>
      </c>
      <c r="AW493" t="str">
        <f t="shared" si="30"/>
        <v/>
      </c>
      <c r="AX493">
        <f t="shared" si="31"/>
        <v>0</v>
      </c>
    </row>
    <row r="494" spans="47:50">
      <c r="AU494" t="str">
        <f t="shared" si="28"/>
        <v/>
      </c>
      <c r="AV494" t="str">
        <f t="shared" si="29"/>
        <v/>
      </c>
      <c r="AW494" t="str">
        <f t="shared" si="30"/>
        <v/>
      </c>
      <c r="AX494">
        <f t="shared" si="31"/>
        <v>0</v>
      </c>
    </row>
    <row r="495" spans="47:50">
      <c r="AU495" t="str">
        <f t="shared" si="28"/>
        <v/>
      </c>
      <c r="AV495" t="str">
        <f t="shared" si="29"/>
        <v/>
      </c>
      <c r="AW495" t="str">
        <f t="shared" si="30"/>
        <v/>
      </c>
      <c r="AX495">
        <f t="shared" si="31"/>
        <v>0</v>
      </c>
    </row>
    <row r="496" spans="47:50">
      <c r="AU496" t="str">
        <f t="shared" si="28"/>
        <v/>
      </c>
      <c r="AV496" t="str">
        <f t="shared" si="29"/>
        <v/>
      </c>
      <c r="AW496" t="str">
        <f t="shared" si="30"/>
        <v/>
      </c>
      <c r="AX496">
        <f t="shared" si="31"/>
        <v>0</v>
      </c>
    </row>
    <row r="497" spans="47:50">
      <c r="AU497" t="str">
        <f t="shared" si="28"/>
        <v/>
      </c>
      <c r="AV497" t="str">
        <f t="shared" si="29"/>
        <v/>
      </c>
      <c r="AW497" t="str">
        <f t="shared" si="30"/>
        <v/>
      </c>
      <c r="AX497">
        <f t="shared" si="31"/>
        <v>0</v>
      </c>
    </row>
    <row r="498" spans="47:50">
      <c r="AU498" t="str">
        <f t="shared" si="28"/>
        <v/>
      </c>
      <c r="AV498" t="str">
        <f t="shared" si="29"/>
        <v/>
      </c>
      <c r="AW498" t="str">
        <f t="shared" si="30"/>
        <v/>
      </c>
      <c r="AX498">
        <f t="shared" si="31"/>
        <v>0</v>
      </c>
    </row>
    <row r="499" spans="47:50">
      <c r="AU499" t="str">
        <f t="shared" si="28"/>
        <v/>
      </c>
      <c r="AV499" t="str">
        <f t="shared" si="29"/>
        <v/>
      </c>
      <c r="AW499" t="str">
        <f t="shared" si="30"/>
        <v/>
      </c>
      <c r="AX499">
        <f t="shared" si="31"/>
        <v>0</v>
      </c>
    </row>
    <row r="500" spans="47:50">
      <c r="AU500" t="str">
        <f t="shared" si="28"/>
        <v/>
      </c>
      <c r="AV500" t="str">
        <f t="shared" si="29"/>
        <v/>
      </c>
      <c r="AW500" t="str">
        <f t="shared" si="30"/>
        <v/>
      </c>
      <c r="AX500">
        <f t="shared" si="31"/>
        <v>0</v>
      </c>
    </row>
    <row r="501" spans="47:50">
      <c r="AU501" t="str">
        <f t="shared" si="28"/>
        <v/>
      </c>
      <c r="AV501" t="str">
        <f t="shared" si="29"/>
        <v/>
      </c>
      <c r="AW501" t="str">
        <f t="shared" si="30"/>
        <v/>
      </c>
      <c r="AX501">
        <f t="shared" si="31"/>
        <v>0</v>
      </c>
    </row>
    <row r="502" spans="47:50">
      <c r="AU502" t="str">
        <f t="shared" si="28"/>
        <v/>
      </c>
      <c r="AV502" t="str">
        <f t="shared" si="29"/>
        <v/>
      </c>
      <c r="AW502" t="str">
        <f t="shared" si="30"/>
        <v/>
      </c>
      <c r="AX502">
        <f t="shared" si="31"/>
        <v>0</v>
      </c>
    </row>
    <row r="503" spans="47:50">
      <c r="AU503" t="str">
        <f t="shared" si="28"/>
        <v/>
      </c>
      <c r="AV503" t="str">
        <f t="shared" si="29"/>
        <v/>
      </c>
      <c r="AW503" t="str">
        <f t="shared" si="30"/>
        <v/>
      </c>
      <c r="AX503">
        <f t="shared" si="31"/>
        <v>0</v>
      </c>
    </row>
    <row r="504" spans="47:50">
      <c r="AU504" t="str">
        <f t="shared" si="28"/>
        <v/>
      </c>
      <c r="AV504" t="str">
        <f t="shared" si="29"/>
        <v/>
      </c>
      <c r="AW504" t="str">
        <f t="shared" si="30"/>
        <v/>
      </c>
      <c r="AX504">
        <f t="shared" si="31"/>
        <v>0</v>
      </c>
    </row>
    <row r="505" spans="47:50">
      <c r="AU505" t="str">
        <f t="shared" si="28"/>
        <v/>
      </c>
      <c r="AV505" t="str">
        <f t="shared" si="29"/>
        <v/>
      </c>
      <c r="AW505" t="str">
        <f t="shared" si="30"/>
        <v/>
      </c>
      <c r="AX505">
        <f t="shared" si="31"/>
        <v>0</v>
      </c>
    </row>
    <row r="506" spans="47:50">
      <c r="AU506" t="str">
        <f t="shared" si="28"/>
        <v/>
      </c>
      <c r="AV506" t="str">
        <f t="shared" si="29"/>
        <v/>
      </c>
      <c r="AW506" t="str">
        <f t="shared" si="30"/>
        <v/>
      </c>
      <c r="AX506">
        <f t="shared" si="31"/>
        <v>0</v>
      </c>
    </row>
    <row r="507" spans="47:50">
      <c r="AU507" t="str">
        <f t="shared" si="28"/>
        <v/>
      </c>
      <c r="AV507" t="str">
        <f t="shared" si="29"/>
        <v/>
      </c>
      <c r="AW507" t="str">
        <f t="shared" si="30"/>
        <v/>
      </c>
      <c r="AX507">
        <f t="shared" si="31"/>
        <v>0</v>
      </c>
    </row>
    <row r="508" spans="47:50">
      <c r="AU508" t="str">
        <f t="shared" si="28"/>
        <v/>
      </c>
      <c r="AV508" t="str">
        <f t="shared" si="29"/>
        <v/>
      </c>
      <c r="AW508" t="str">
        <f t="shared" si="30"/>
        <v/>
      </c>
      <c r="AX508">
        <f t="shared" si="31"/>
        <v>0</v>
      </c>
    </row>
    <row r="509" spans="47:50">
      <c r="AU509" t="str">
        <f t="shared" si="28"/>
        <v/>
      </c>
      <c r="AV509" t="str">
        <f t="shared" si="29"/>
        <v/>
      </c>
      <c r="AW509" t="str">
        <f t="shared" si="30"/>
        <v/>
      </c>
      <c r="AX509">
        <f t="shared" si="31"/>
        <v>0</v>
      </c>
    </row>
    <row r="510" spans="47:50">
      <c r="AU510" t="str">
        <f t="shared" si="28"/>
        <v/>
      </c>
      <c r="AV510" t="str">
        <f t="shared" si="29"/>
        <v/>
      </c>
      <c r="AW510" t="str">
        <f t="shared" si="30"/>
        <v/>
      </c>
      <c r="AX510">
        <f t="shared" si="31"/>
        <v>0</v>
      </c>
    </row>
    <row r="511" spans="47:50">
      <c r="AU511" t="str">
        <f t="shared" si="28"/>
        <v/>
      </c>
      <c r="AV511" t="str">
        <f t="shared" si="29"/>
        <v/>
      </c>
      <c r="AW511" t="str">
        <f t="shared" si="30"/>
        <v/>
      </c>
      <c r="AX511">
        <f t="shared" si="31"/>
        <v>0</v>
      </c>
    </row>
    <row r="512" spans="47:50">
      <c r="AU512" t="str">
        <f t="shared" si="28"/>
        <v/>
      </c>
      <c r="AV512" t="str">
        <f t="shared" si="29"/>
        <v/>
      </c>
      <c r="AW512" t="str">
        <f t="shared" si="30"/>
        <v/>
      </c>
      <c r="AX512">
        <f t="shared" si="31"/>
        <v>0</v>
      </c>
    </row>
    <row r="513" spans="47:50">
      <c r="AU513" t="str">
        <f t="shared" si="28"/>
        <v/>
      </c>
      <c r="AV513" t="str">
        <f t="shared" si="29"/>
        <v/>
      </c>
      <c r="AW513" t="str">
        <f t="shared" si="30"/>
        <v/>
      </c>
      <c r="AX513">
        <f t="shared" si="31"/>
        <v>0</v>
      </c>
    </row>
    <row r="514" spans="47:50">
      <c r="AU514" t="str">
        <f t="shared" si="28"/>
        <v/>
      </c>
      <c r="AV514" t="str">
        <f t="shared" si="29"/>
        <v/>
      </c>
      <c r="AW514" t="str">
        <f t="shared" si="30"/>
        <v/>
      </c>
      <c r="AX514">
        <f t="shared" si="31"/>
        <v>0</v>
      </c>
    </row>
    <row r="515" spans="47:50">
      <c r="AU515" t="str">
        <f t="shared" ref="AU515:AU578" si="32">LEFT(C515,3)</f>
        <v/>
      </c>
      <c r="AV515" t="str">
        <f t="shared" ref="AV515:AV578" si="33">MID(C515,5,3)</f>
        <v/>
      </c>
      <c r="AW515" t="str">
        <f t="shared" ref="AW515:AW578" si="34">RIGHT(C515,3)</f>
        <v/>
      </c>
      <c r="AX515">
        <f t="shared" ref="AX515:AX578" si="35">IFERROR(VLOOKUP(AW515,$AZ$2:$BA$10,2,FALSE),"")</f>
        <v>0</v>
      </c>
    </row>
    <row r="516" spans="47:50">
      <c r="AU516" t="str">
        <f t="shared" si="32"/>
        <v/>
      </c>
      <c r="AV516" t="str">
        <f t="shared" si="33"/>
        <v/>
      </c>
      <c r="AW516" t="str">
        <f t="shared" si="34"/>
        <v/>
      </c>
      <c r="AX516">
        <f t="shared" si="35"/>
        <v>0</v>
      </c>
    </row>
    <row r="517" spans="47:50">
      <c r="AU517" t="str">
        <f t="shared" si="32"/>
        <v/>
      </c>
      <c r="AV517" t="str">
        <f t="shared" si="33"/>
        <v/>
      </c>
      <c r="AW517" t="str">
        <f t="shared" si="34"/>
        <v/>
      </c>
      <c r="AX517">
        <f t="shared" si="35"/>
        <v>0</v>
      </c>
    </row>
    <row r="518" spans="47:50">
      <c r="AU518" t="str">
        <f t="shared" si="32"/>
        <v/>
      </c>
      <c r="AV518" t="str">
        <f t="shared" si="33"/>
        <v/>
      </c>
      <c r="AW518" t="str">
        <f t="shared" si="34"/>
        <v/>
      </c>
      <c r="AX518">
        <f t="shared" si="35"/>
        <v>0</v>
      </c>
    </row>
    <row r="519" spans="47:50">
      <c r="AU519" t="str">
        <f t="shared" si="32"/>
        <v/>
      </c>
      <c r="AV519" t="str">
        <f t="shared" si="33"/>
        <v/>
      </c>
      <c r="AW519" t="str">
        <f t="shared" si="34"/>
        <v/>
      </c>
      <c r="AX519">
        <f t="shared" si="35"/>
        <v>0</v>
      </c>
    </row>
    <row r="520" spans="47:50">
      <c r="AU520" t="str">
        <f t="shared" si="32"/>
        <v/>
      </c>
      <c r="AV520" t="str">
        <f t="shared" si="33"/>
        <v/>
      </c>
      <c r="AW520" t="str">
        <f t="shared" si="34"/>
        <v/>
      </c>
      <c r="AX520">
        <f t="shared" si="35"/>
        <v>0</v>
      </c>
    </row>
    <row r="521" spans="47:50">
      <c r="AU521" t="str">
        <f t="shared" si="32"/>
        <v/>
      </c>
      <c r="AV521" t="str">
        <f t="shared" si="33"/>
        <v/>
      </c>
      <c r="AW521" t="str">
        <f t="shared" si="34"/>
        <v/>
      </c>
      <c r="AX521">
        <f t="shared" si="35"/>
        <v>0</v>
      </c>
    </row>
    <row r="522" spans="47:50">
      <c r="AU522" t="str">
        <f t="shared" si="32"/>
        <v/>
      </c>
      <c r="AV522" t="str">
        <f t="shared" si="33"/>
        <v/>
      </c>
      <c r="AW522" t="str">
        <f t="shared" si="34"/>
        <v/>
      </c>
      <c r="AX522">
        <f t="shared" si="35"/>
        <v>0</v>
      </c>
    </row>
    <row r="523" spans="47:50">
      <c r="AU523" t="str">
        <f t="shared" si="32"/>
        <v/>
      </c>
      <c r="AV523" t="str">
        <f t="shared" si="33"/>
        <v/>
      </c>
      <c r="AW523" t="str">
        <f t="shared" si="34"/>
        <v/>
      </c>
      <c r="AX523">
        <f t="shared" si="35"/>
        <v>0</v>
      </c>
    </row>
    <row r="524" spans="47:50">
      <c r="AU524" t="str">
        <f t="shared" si="32"/>
        <v/>
      </c>
      <c r="AV524" t="str">
        <f t="shared" si="33"/>
        <v/>
      </c>
      <c r="AW524" t="str">
        <f t="shared" si="34"/>
        <v/>
      </c>
      <c r="AX524">
        <f t="shared" si="35"/>
        <v>0</v>
      </c>
    </row>
    <row r="525" spans="47:50">
      <c r="AU525" t="str">
        <f t="shared" si="32"/>
        <v/>
      </c>
      <c r="AV525" t="str">
        <f t="shared" si="33"/>
        <v/>
      </c>
      <c r="AW525" t="str">
        <f t="shared" si="34"/>
        <v/>
      </c>
      <c r="AX525">
        <f t="shared" si="35"/>
        <v>0</v>
      </c>
    </row>
    <row r="526" spans="47:50">
      <c r="AU526" t="str">
        <f t="shared" si="32"/>
        <v/>
      </c>
      <c r="AV526" t="str">
        <f t="shared" si="33"/>
        <v/>
      </c>
      <c r="AW526" t="str">
        <f t="shared" si="34"/>
        <v/>
      </c>
      <c r="AX526">
        <f t="shared" si="35"/>
        <v>0</v>
      </c>
    </row>
    <row r="527" spans="47:50">
      <c r="AU527" t="str">
        <f t="shared" si="32"/>
        <v/>
      </c>
      <c r="AV527" t="str">
        <f t="shared" si="33"/>
        <v/>
      </c>
      <c r="AW527" t="str">
        <f t="shared" si="34"/>
        <v/>
      </c>
      <c r="AX527">
        <f t="shared" si="35"/>
        <v>0</v>
      </c>
    </row>
    <row r="528" spans="47:50">
      <c r="AU528" t="str">
        <f t="shared" si="32"/>
        <v/>
      </c>
      <c r="AV528" t="str">
        <f t="shared" si="33"/>
        <v/>
      </c>
      <c r="AW528" t="str">
        <f t="shared" si="34"/>
        <v/>
      </c>
      <c r="AX528">
        <f t="shared" si="35"/>
        <v>0</v>
      </c>
    </row>
    <row r="529" spans="47:50">
      <c r="AU529" t="str">
        <f t="shared" si="32"/>
        <v/>
      </c>
      <c r="AV529" t="str">
        <f t="shared" si="33"/>
        <v/>
      </c>
      <c r="AW529" t="str">
        <f t="shared" si="34"/>
        <v/>
      </c>
      <c r="AX529">
        <f t="shared" si="35"/>
        <v>0</v>
      </c>
    </row>
    <row r="530" spans="47:50">
      <c r="AU530" t="str">
        <f t="shared" si="32"/>
        <v/>
      </c>
      <c r="AV530" t="str">
        <f t="shared" si="33"/>
        <v/>
      </c>
      <c r="AW530" t="str">
        <f t="shared" si="34"/>
        <v/>
      </c>
      <c r="AX530">
        <f t="shared" si="35"/>
        <v>0</v>
      </c>
    </row>
    <row r="531" spans="47:50">
      <c r="AU531" t="str">
        <f t="shared" si="32"/>
        <v/>
      </c>
      <c r="AV531" t="str">
        <f t="shared" si="33"/>
        <v/>
      </c>
      <c r="AW531" t="str">
        <f t="shared" si="34"/>
        <v/>
      </c>
      <c r="AX531">
        <f t="shared" si="35"/>
        <v>0</v>
      </c>
    </row>
    <row r="532" spans="47:50">
      <c r="AU532" t="str">
        <f t="shared" si="32"/>
        <v/>
      </c>
      <c r="AV532" t="str">
        <f t="shared" si="33"/>
        <v/>
      </c>
      <c r="AW532" t="str">
        <f t="shared" si="34"/>
        <v/>
      </c>
      <c r="AX532">
        <f t="shared" si="35"/>
        <v>0</v>
      </c>
    </row>
    <row r="533" spans="47:50">
      <c r="AU533" t="str">
        <f t="shared" si="32"/>
        <v/>
      </c>
      <c r="AV533" t="str">
        <f t="shared" si="33"/>
        <v/>
      </c>
      <c r="AW533" t="str">
        <f t="shared" si="34"/>
        <v/>
      </c>
      <c r="AX533">
        <f t="shared" si="35"/>
        <v>0</v>
      </c>
    </row>
    <row r="534" spans="47:50">
      <c r="AU534" t="str">
        <f t="shared" si="32"/>
        <v/>
      </c>
      <c r="AV534" t="str">
        <f t="shared" si="33"/>
        <v/>
      </c>
      <c r="AW534" t="str">
        <f t="shared" si="34"/>
        <v/>
      </c>
      <c r="AX534">
        <f t="shared" si="35"/>
        <v>0</v>
      </c>
    </row>
    <row r="535" spans="47:50">
      <c r="AU535" t="str">
        <f t="shared" si="32"/>
        <v/>
      </c>
      <c r="AV535" t="str">
        <f t="shared" si="33"/>
        <v/>
      </c>
      <c r="AW535" t="str">
        <f t="shared" si="34"/>
        <v/>
      </c>
      <c r="AX535">
        <f t="shared" si="35"/>
        <v>0</v>
      </c>
    </row>
    <row r="536" spans="47:50">
      <c r="AU536" t="str">
        <f t="shared" si="32"/>
        <v/>
      </c>
      <c r="AV536" t="str">
        <f t="shared" si="33"/>
        <v/>
      </c>
      <c r="AW536" t="str">
        <f t="shared" si="34"/>
        <v/>
      </c>
      <c r="AX536">
        <f t="shared" si="35"/>
        <v>0</v>
      </c>
    </row>
    <row r="537" spans="47:50">
      <c r="AU537" t="str">
        <f t="shared" si="32"/>
        <v/>
      </c>
      <c r="AV537" t="str">
        <f t="shared" si="33"/>
        <v/>
      </c>
      <c r="AW537" t="str">
        <f t="shared" si="34"/>
        <v/>
      </c>
      <c r="AX537">
        <f t="shared" si="35"/>
        <v>0</v>
      </c>
    </row>
    <row r="538" spans="47:50">
      <c r="AU538" t="str">
        <f t="shared" si="32"/>
        <v/>
      </c>
      <c r="AV538" t="str">
        <f t="shared" si="33"/>
        <v/>
      </c>
      <c r="AW538" t="str">
        <f t="shared" si="34"/>
        <v/>
      </c>
      <c r="AX538">
        <f t="shared" si="35"/>
        <v>0</v>
      </c>
    </row>
    <row r="539" spans="47:50">
      <c r="AU539" t="str">
        <f t="shared" si="32"/>
        <v/>
      </c>
      <c r="AV539" t="str">
        <f t="shared" si="33"/>
        <v/>
      </c>
      <c r="AW539" t="str">
        <f t="shared" si="34"/>
        <v/>
      </c>
      <c r="AX539">
        <f t="shared" si="35"/>
        <v>0</v>
      </c>
    </row>
    <row r="540" spans="47:50">
      <c r="AU540" t="str">
        <f t="shared" si="32"/>
        <v/>
      </c>
      <c r="AV540" t="str">
        <f t="shared" si="33"/>
        <v/>
      </c>
      <c r="AW540" t="str">
        <f t="shared" si="34"/>
        <v/>
      </c>
      <c r="AX540">
        <f t="shared" si="35"/>
        <v>0</v>
      </c>
    </row>
    <row r="541" spans="47:50">
      <c r="AU541" t="str">
        <f t="shared" si="32"/>
        <v/>
      </c>
      <c r="AV541" t="str">
        <f t="shared" si="33"/>
        <v/>
      </c>
      <c r="AW541" t="str">
        <f t="shared" si="34"/>
        <v/>
      </c>
      <c r="AX541">
        <f t="shared" si="35"/>
        <v>0</v>
      </c>
    </row>
    <row r="542" spans="47:50">
      <c r="AU542" t="str">
        <f t="shared" si="32"/>
        <v/>
      </c>
      <c r="AV542" t="str">
        <f t="shared" si="33"/>
        <v/>
      </c>
      <c r="AW542" t="str">
        <f t="shared" si="34"/>
        <v/>
      </c>
      <c r="AX542">
        <f t="shared" si="35"/>
        <v>0</v>
      </c>
    </row>
    <row r="543" spans="47:50">
      <c r="AU543" t="str">
        <f t="shared" si="32"/>
        <v/>
      </c>
      <c r="AV543" t="str">
        <f t="shared" si="33"/>
        <v/>
      </c>
      <c r="AW543" t="str">
        <f t="shared" si="34"/>
        <v/>
      </c>
      <c r="AX543">
        <f t="shared" si="35"/>
        <v>0</v>
      </c>
    </row>
    <row r="544" spans="47:50">
      <c r="AU544" t="str">
        <f t="shared" si="32"/>
        <v/>
      </c>
      <c r="AV544" t="str">
        <f t="shared" si="33"/>
        <v/>
      </c>
      <c r="AW544" t="str">
        <f t="shared" si="34"/>
        <v/>
      </c>
      <c r="AX544">
        <f t="shared" si="35"/>
        <v>0</v>
      </c>
    </row>
    <row r="545" spans="47:50">
      <c r="AU545" t="str">
        <f t="shared" si="32"/>
        <v/>
      </c>
      <c r="AV545" t="str">
        <f t="shared" si="33"/>
        <v/>
      </c>
      <c r="AW545" t="str">
        <f t="shared" si="34"/>
        <v/>
      </c>
      <c r="AX545">
        <f t="shared" si="35"/>
        <v>0</v>
      </c>
    </row>
    <row r="546" spans="47:50">
      <c r="AU546" t="str">
        <f t="shared" si="32"/>
        <v/>
      </c>
      <c r="AV546" t="str">
        <f t="shared" si="33"/>
        <v/>
      </c>
      <c r="AW546" t="str">
        <f t="shared" si="34"/>
        <v/>
      </c>
      <c r="AX546">
        <f t="shared" si="35"/>
        <v>0</v>
      </c>
    </row>
    <row r="547" spans="47:50">
      <c r="AU547" t="str">
        <f t="shared" si="32"/>
        <v/>
      </c>
      <c r="AV547" t="str">
        <f t="shared" si="33"/>
        <v/>
      </c>
      <c r="AW547" t="str">
        <f t="shared" si="34"/>
        <v/>
      </c>
      <c r="AX547">
        <f t="shared" si="35"/>
        <v>0</v>
      </c>
    </row>
    <row r="548" spans="47:50">
      <c r="AU548" t="str">
        <f t="shared" si="32"/>
        <v/>
      </c>
      <c r="AV548" t="str">
        <f t="shared" si="33"/>
        <v/>
      </c>
      <c r="AW548" t="str">
        <f t="shared" si="34"/>
        <v/>
      </c>
      <c r="AX548">
        <f t="shared" si="35"/>
        <v>0</v>
      </c>
    </row>
    <row r="549" spans="47:50">
      <c r="AU549" t="str">
        <f t="shared" si="32"/>
        <v/>
      </c>
      <c r="AV549" t="str">
        <f t="shared" si="33"/>
        <v/>
      </c>
      <c r="AW549" t="str">
        <f t="shared" si="34"/>
        <v/>
      </c>
      <c r="AX549">
        <f t="shared" si="35"/>
        <v>0</v>
      </c>
    </row>
    <row r="550" spans="47:50">
      <c r="AU550" t="str">
        <f t="shared" si="32"/>
        <v/>
      </c>
      <c r="AV550" t="str">
        <f t="shared" si="33"/>
        <v/>
      </c>
      <c r="AW550" t="str">
        <f t="shared" si="34"/>
        <v/>
      </c>
      <c r="AX550">
        <f t="shared" si="35"/>
        <v>0</v>
      </c>
    </row>
    <row r="551" spans="47:50">
      <c r="AU551" t="str">
        <f t="shared" si="32"/>
        <v/>
      </c>
      <c r="AV551" t="str">
        <f t="shared" si="33"/>
        <v/>
      </c>
      <c r="AW551" t="str">
        <f t="shared" si="34"/>
        <v/>
      </c>
      <c r="AX551">
        <f t="shared" si="35"/>
        <v>0</v>
      </c>
    </row>
    <row r="552" spans="47:50">
      <c r="AU552" t="str">
        <f t="shared" si="32"/>
        <v/>
      </c>
      <c r="AV552" t="str">
        <f t="shared" si="33"/>
        <v/>
      </c>
      <c r="AW552" t="str">
        <f t="shared" si="34"/>
        <v/>
      </c>
      <c r="AX552">
        <f t="shared" si="35"/>
        <v>0</v>
      </c>
    </row>
    <row r="553" spans="47:50">
      <c r="AU553" t="str">
        <f t="shared" si="32"/>
        <v/>
      </c>
      <c r="AV553" t="str">
        <f t="shared" si="33"/>
        <v/>
      </c>
      <c r="AW553" t="str">
        <f t="shared" si="34"/>
        <v/>
      </c>
      <c r="AX553">
        <f t="shared" si="35"/>
        <v>0</v>
      </c>
    </row>
    <row r="554" spans="47:50">
      <c r="AU554" t="str">
        <f t="shared" si="32"/>
        <v/>
      </c>
      <c r="AV554" t="str">
        <f t="shared" si="33"/>
        <v/>
      </c>
      <c r="AW554" t="str">
        <f t="shared" si="34"/>
        <v/>
      </c>
      <c r="AX554">
        <f t="shared" si="35"/>
        <v>0</v>
      </c>
    </row>
    <row r="555" spans="47:50">
      <c r="AU555" t="str">
        <f t="shared" si="32"/>
        <v/>
      </c>
      <c r="AV555" t="str">
        <f t="shared" si="33"/>
        <v/>
      </c>
      <c r="AW555" t="str">
        <f t="shared" si="34"/>
        <v/>
      </c>
      <c r="AX555">
        <f t="shared" si="35"/>
        <v>0</v>
      </c>
    </row>
    <row r="556" spans="47:50">
      <c r="AU556" t="str">
        <f t="shared" si="32"/>
        <v/>
      </c>
      <c r="AV556" t="str">
        <f t="shared" si="33"/>
        <v/>
      </c>
      <c r="AW556" t="str">
        <f t="shared" si="34"/>
        <v/>
      </c>
      <c r="AX556">
        <f t="shared" si="35"/>
        <v>0</v>
      </c>
    </row>
    <row r="557" spans="47:50">
      <c r="AU557" t="str">
        <f t="shared" si="32"/>
        <v/>
      </c>
      <c r="AV557" t="str">
        <f t="shared" si="33"/>
        <v/>
      </c>
      <c r="AW557" t="str">
        <f t="shared" si="34"/>
        <v/>
      </c>
      <c r="AX557">
        <f t="shared" si="35"/>
        <v>0</v>
      </c>
    </row>
    <row r="558" spans="47:50">
      <c r="AU558" t="str">
        <f t="shared" si="32"/>
        <v/>
      </c>
      <c r="AV558" t="str">
        <f t="shared" si="33"/>
        <v/>
      </c>
      <c r="AW558" t="str">
        <f t="shared" si="34"/>
        <v/>
      </c>
      <c r="AX558">
        <f t="shared" si="35"/>
        <v>0</v>
      </c>
    </row>
    <row r="559" spans="47:50">
      <c r="AU559" t="str">
        <f t="shared" si="32"/>
        <v/>
      </c>
      <c r="AV559" t="str">
        <f t="shared" si="33"/>
        <v/>
      </c>
      <c r="AW559" t="str">
        <f t="shared" si="34"/>
        <v/>
      </c>
      <c r="AX559">
        <f t="shared" si="35"/>
        <v>0</v>
      </c>
    </row>
    <row r="560" spans="47:50">
      <c r="AU560" t="str">
        <f t="shared" si="32"/>
        <v/>
      </c>
      <c r="AV560" t="str">
        <f t="shared" si="33"/>
        <v/>
      </c>
      <c r="AW560" t="str">
        <f t="shared" si="34"/>
        <v/>
      </c>
      <c r="AX560">
        <f t="shared" si="35"/>
        <v>0</v>
      </c>
    </row>
    <row r="561" spans="47:50">
      <c r="AU561" t="str">
        <f t="shared" si="32"/>
        <v/>
      </c>
      <c r="AV561" t="str">
        <f t="shared" si="33"/>
        <v/>
      </c>
      <c r="AW561" t="str">
        <f t="shared" si="34"/>
        <v/>
      </c>
      <c r="AX561">
        <f t="shared" si="35"/>
        <v>0</v>
      </c>
    </row>
    <row r="562" spans="47:50">
      <c r="AU562" t="str">
        <f t="shared" si="32"/>
        <v/>
      </c>
      <c r="AV562" t="str">
        <f t="shared" si="33"/>
        <v/>
      </c>
      <c r="AW562" t="str">
        <f t="shared" si="34"/>
        <v/>
      </c>
      <c r="AX562">
        <f t="shared" si="35"/>
        <v>0</v>
      </c>
    </row>
    <row r="563" spans="47:50">
      <c r="AU563" t="str">
        <f t="shared" si="32"/>
        <v/>
      </c>
      <c r="AV563" t="str">
        <f t="shared" si="33"/>
        <v/>
      </c>
      <c r="AW563" t="str">
        <f t="shared" si="34"/>
        <v/>
      </c>
      <c r="AX563">
        <f t="shared" si="35"/>
        <v>0</v>
      </c>
    </row>
    <row r="564" spans="47:50">
      <c r="AU564" t="str">
        <f t="shared" si="32"/>
        <v/>
      </c>
      <c r="AV564" t="str">
        <f t="shared" si="33"/>
        <v/>
      </c>
      <c r="AW564" t="str">
        <f t="shared" si="34"/>
        <v/>
      </c>
      <c r="AX564">
        <f t="shared" si="35"/>
        <v>0</v>
      </c>
    </row>
    <row r="565" spans="47:50">
      <c r="AU565" t="str">
        <f t="shared" si="32"/>
        <v/>
      </c>
      <c r="AV565" t="str">
        <f t="shared" si="33"/>
        <v/>
      </c>
      <c r="AW565" t="str">
        <f t="shared" si="34"/>
        <v/>
      </c>
      <c r="AX565">
        <f t="shared" si="35"/>
        <v>0</v>
      </c>
    </row>
    <row r="566" spans="47:50">
      <c r="AU566" t="str">
        <f t="shared" si="32"/>
        <v/>
      </c>
      <c r="AV566" t="str">
        <f t="shared" si="33"/>
        <v/>
      </c>
      <c r="AW566" t="str">
        <f t="shared" si="34"/>
        <v/>
      </c>
      <c r="AX566">
        <f t="shared" si="35"/>
        <v>0</v>
      </c>
    </row>
    <row r="567" spans="47:50">
      <c r="AU567" t="str">
        <f t="shared" si="32"/>
        <v/>
      </c>
      <c r="AV567" t="str">
        <f t="shared" si="33"/>
        <v/>
      </c>
      <c r="AW567" t="str">
        <f t="shared" si="34"/>
        <v/>
      </c>
      <c r="AX567">
        <f t="shared" si="35"/>
        <v>0</v>
      </c>
    </row>
    <row r="568" spans="47:50">
      <c r="AU568" t="str">
        <f t="shared" si="32"/>
        <v/>
      </c>
      <c r="AV568" t="str">
        <f t="shared" si="33"/>
        <v/>
      </c>
      <c r="AW568" t="str">
        <f t="shared" si="34"/>
        <v/>
      </c>
      <c r="AX568">
        <f t="shared" si="35"/>
        <v>0</v>
      </c>
    </row>
    <row r="569" spans="47:50">
      <c r="AU569" t="str">
        <f t="shared" si="32"/>
        <v/>
      </c>
      <c r="AV569" t="str">
        <f t="shared" si="33"/>
        <v/>
      </c>
      <c r="AW569" t="str">
        <f t="shared" si="34"/>
        <v/>
      </c>
      <c r="AX569">
        <f t="shared" si="35"/>
        <v>0</v>
      </c>
    </row>
    <row r="570" spans="47:50">
      <c r="AU570" t="str">
        <f t="shared" si="32"/>
        <v/>
      </c>
      <c r="AV570" t="str">
        <f t="shared" si="33"/>
        <v/>
      </c>
      <c r="AW570" t="str">
        <f t="shared" si="34"/>
        <v/>
      </c>
      <c r="AX570">
        <f t="shared" si="35"/>
        <v>0</v>
      </c>
    </row>
    <row r="571" spans="47:50">
      <c r="AU571" t="str">
        <f t="shared" si="32"/>
        <v/>
      </c>
      <c r="AV571" t="str">
        <f t="shared" si="33"/>
        <v/>
      </c>
      <c r="AW571" t="str">
        <f t="shared" si="34"/>
        <v/>
      </c>
      <c r="AX571">
        <f t="shared" si="35"/>
        <v>0</v>
      </c>
    </row>
    <row r="572" spans="47:50">
      <c r="AU572" t="str">
        <f t="shared" si="32"/>
        <v/>
      </c>
      <c r="AV572" t="str">
        <f t="shared" si="33"/>
        <v/>
      </c>
      <c r="AW572" t="str">
        <f t="shared" si="34"/>
        <v/>
      </c>
      <c r="AX572">
        <f t="shared" si="35"/>
        <v>0</v>
      </c>
    </row>
    <row r="573" spans="47:50">
      <c r="AU573" t="str">
        <f t="shared" si="32"/>
        <v/>
      </c>
      <c r="AV573" t="str">
        <f t="shared" si="33"/>
        <v/>
      </c>
      <c r="AW573" t="str">
        <f t="shared" si="34"/>
        <v/>
      </c>
      <c r="AX573">
        <f t="shared" si="35"/>
        <v>0</v>
      </c>
    </row>
    <row r="574" spans="47:50">
      <c r="AU574" t="str">
        <f t="shared" si="32"/>
        <v/>
      </c>
      <c r="AV574" t="str">
        <f t="shared" si="33"/>
        <v/>
      </c>
      <c r="AW574" t="str">
        <f t="shared" si="34"/>
        <v/>
      </c>
      <c r="AX574">
        <f t="shared" si="35"/>
        <v>0</v>
      </c>
    </row>
    <row r="575" spans="47:50">
      <c r="AU575" t="str">
        <f t="shared" si="32"/>
        <v/>
      </c>
      <c r="AV575" t="str">
        <f t="shared" si="33"/>
        <v/>
      </c>
      <c r="AW575" t="str">
        <f t="shared" si="34"/>
        <v/>
      </c>
      <c r="AX575">
        <f t="shared" si="35"/>
        <v>0</v>
      </c>
    </row>
    <row r="576" spans="47:50">
      <c r="AU576" t="str">
        <f t="shared" si="32"/>
        <v/>
      </c>
      <c r="AV576" t="str">
        <f t="shared" si="33"/>
        <v/>
      </c>
      <c r="AW576" t="str">
        <f t="shared" si="34"/>
        <v/>
      </c>
      <c r="AX576">
        <f t="shared" si="35"/>
        <v>0</v>
      </c>
    </row>
    <row r="577" spans="47:50">
      <c r="AU577" t="str">
        <f t="shared" si="32"/>
        <v/>
      </c>
      <c r="AV577" t="str">
        <f t="shared" si="33"/>
        <v/>
      </c>
      <c r="AW577" t="str">
        <f t="shared" si="34"/>
        <v/>
      </c>
      <c r="AX577">
        <f t="shared" si="35"/>
        <v>0</v>
      </c>
    </row>
    <row r="578" spans="47:50">
      <c r="AU578" t="str">
        <f t="shared" si="32"/>
        <v/>
      </c>
      <c r="AV578" t="str">
        <f t="shared" si="33"/>
        <v/>
      </c>
      <c r="AW578" t="str">
        <f t="shared" si="34"/>
        <v/>
      </c>
      <c r="AX578">
        <f t="shared" si="35"/>
        <v>0</v>
      </c>
    </row>
    <row r="579" spans="47:50">
      <c r="AU579" t="str">
        <f t="shared" ref="AU579:AU642" si="36">LEFT(C579,3)</f>
        <v/>
      </c>
      <c r="AV579" t="str">
        <f t="shared" ref="AV579:AV642" si="37">MID(C579,5,3)</f>
        <v/>
      </c>
      <c r="AW579" t="str">
        <f t="shared" ref="AW579:AW642" si="38">RIGHT(C579,3)</f>
        <v/>
      </c>
      <c r="AX579">
        <f t="shared" ref="AX579:AX642" si="39">IFERROR(VLOOKUP(AW579,$AZ$2:$BA$10,2,FALSE),"")</f>
        <v>0</v>
      </c>
    </row>
    <row r="580" spans="47:50">
      <c r="AU580" t="str">
        <f t="shared" si="36"/>
        <v/>
      </c>
      <c r="AV580" t="str">
        <f t="shared" si="37"/>
        <v/>
      </c>
      <c r="AW580" t="str">
        <f t="shared" si="38"/>
        <v/>
      </c>
      <c r="AX580">
        <f t="shared" si="39"/>
        <v>0</v>
      </c>
    </row>
    <row r="581" spans="47:50">
      <c r="AU581" t="str">
        <f t="shared" si="36"/>
        <v/>
      </c>
      <c r="AV581" t="str">
        <f t="shared" si="37"/>
        <v/>
      </c>
      <c r="AW581" t="str">
        <f t="shared" si="38"/>
        <v/>
      </c>
      <c r="AX581">
        <f t="shared" si="39"/>
        <v>0</v>
      </c>
    </row>
    <row r="582" spans="47:50">
      <c r="AU582" t="str">
        <f t="shared" si="36"/>
        <v/>
      </c>
      <c r="AV582" t="str">
        <f t="shared" si="37"/>
        <v/>
      </c>
      <c r="AW582" t="str">
        <f t="shared" si="38"/>
        <v/>
      </c>
      <c r="AX582">
        <f t="shared" si="39"/>
        <v>0</v>
      </c>
    </row>
    <row r="583" spans="47:50">
      <c r="AU583" t="str">
        <f t="shared" si="36"/>
        <v/>
      </c>
      <c r="AV583" t="str">
        <f t="shared" si="37"/>
        <v/>
      </c>
      <c r="AW583" t="str">
        <f t="shared" si="38"/>
        <v/>
      </c>
      <c r="AX583">
        <f t="shared" si="39"/>
        <v>0</v>
      </c>
    </row>
    <row r="584" spans="47:50">
      <c r="AU584" t="str">
        <f t="shared" si="36"/>
        <v/>
      </c>
      <c r="AV584" t="str">
        <f t="shared" si="37"/>
        <v/>
      </c>
      <c r="AW584" t="str">
        <f t="shared" si="38"/>
        <v/>
      </c>
      <c r="AX584">
        <f t="shared" si="39"/>
        <v>0</v>
      </c>
    </row>
    <row r="585" spans="47:50">
      <c r="AU585" t="str">
        <f t="shared" si="36"/>
        <v/>
      </c>
      <c r="AV585" t="str">
        <f t="shared" si="37"/>
        <v/>
      </c>
      <c r="AW585" t="str">
        <f t="shared" si="38"/>
        <v/>
      </c>
      <c r="AX585">
        <f t="shared" si="39"/>
        <v>0</v>
      </c>
    </row>
    <row r="586" spans="47:50">
      <c r="AU586" t="str">
        <f t="shared" si="36"/>
        <v/>
      </c>
      <c r="AV586" t="str">
        <f t="shared" si="37"/>
        <v/>
      </c>
      <c r="AW586" t="str">
        <f t="shared" si="38"/>
        <v/>
      </c>
      <c r="AX586">
        <f t="shared" si="39"/>
        <v>0</v>
      </c>
    </row>
    <row r="587" spans="47:50">
      <c r="AU587" t="str">
        <f t="shared" si="36"/>
        <v/>
      </c>
      <c r="AV587" t="str">
        <f t="shared" si="37"/>
        <v/>
      </c>
      <c r="AW587" t="str">
        <f t="shared" si="38"/>
        <v/>
      </c>
      <c r="AX587">
        <f t="shared" si="39"/>
        <v>0</v>
      </c>
    </row>
    <row r="588" spans="47:50">
      <c r="AU588" t="str">
        <f t="shared" si="36"/>
        <v/>
      </c>
      <c r="AV588" t="str">
        <f t="shared" si="37"/>
        <v/>
      </c>
      <c r="AW588" t="str">
        <f t="shared" si="38"/>
        <v/>
      </c>
      <c r="AX588">
        <f t="shared" si="39"/>
        <v>0</v>
      </c>
    </row>
    <row r="589" spans="47:50">
      <c r="AU589" t="str">
        <f t="shared" si="36"/>
        <v/>
      </c>
      <c r="AV589" t="str">
        <f t="shared" si="37"/>
        <v/>
      </c>
      <c r="AW589" t="str">
        <f t="shared" si="38"/>
        <v/>
      </c>
      <c r="AX589">
        <f t="shared" si="39"/>
        <v>0</v>
      </c>
    </row>
    <row r="590" spans="47:50">
      <c r="AU590" t="str">
        <f t="shared" si="36"/>
        <v/>
      </c>
      <c r="AV590" t="str">
        <f t="shared" si="37"/>
        <v/>
      </c>
      <c r="AW590" t="str">
        <f t="shared" si="38"/>
        <v/>
      </c>
      <c r="AX590">
        <f t="shared" si="39"/>
        <v>0</v>
      </c>
    </row>
    <row r="591" spans="47:50">
      <c r="AU591" t="str">
        <f t="shared" si="36"/>
        <v/>
      </c>
      <c r="AV591" t="str">
        <f t="shared" si="37"/>
        <v/>
      </c>
      <c r="AW591" t="str">
        <f t="shared" si="38"/>
        <v/>
      </c>
      <c r="AX591">
        <f t="shared" si="39"/>
        <v>0</v>
      </c>
    </row>
    <row r="592" spans="47:50">
      <c r="AU592" t="str">
        <f t="shared" si="36"/>
        <v/>
      </c>
      <c r="AV592" t="str">
        <f t="shared" si="37"/>
        <v/>
      </c>
      <c r="AW592" t="str">
        <f t="shared" si="38"/>
        <v/>
      </c>
      <c r="AX592">
        <f t="shared" si="39"/>
        <v>0</v>
      </c>
    </row>
    <row r="593" spans="47:50">
      <c r="AU593" t="str">
        <f t="shared" si="36"/>
        <v/>
      </c>
      <c r="AV593" t="str">
        <f t="shared" si="37"/>
        <v/>
      </c>
      <c r="AW593" t="str">
        <f t="shared" si="38"/>
        <v/>
      </c>
      <c r="AX593">
        <f t="shared" si="39"/>
        <v>0</v>
      </c>
    </row>
    <row r="594" spans="47:50">
      <c r="AU594" t="str">
        <f t="shared" si="36"/>
        <v/>
      </c>
      <c r="AV594" t="str">
        <f t="shared" si="37"/>
        <v/>
      </c>
      <c r="AW594" t="str">
        <f t="shared" si="38"/>
        <v/>
      </c>
      <c r="AX594">
        <f t="shared" si="39"/>
        <v>0</v>
      </c>
    </row>
    <row r="595" spans="47:50">
      <c r="AU595" t="str">
        <f t="shared" si="36"/>
        <v/>
      </c>
      <c r="AV595" t="str">
        <f t="shared" si="37"/>
        <v/>
      </c>
      <c r="AW595" t="str">
        <f t="shared" si="38"/>
        <v/>
      </c>
      <c r="AX595">
        <f t="shared" si="39"/>
        <v>0</v>
      </c>
    </row>
    <row r="596" spans="47:50">
      <c r="AU596" t="str">
        <f t="shared" si="36"/>
        <v/>
      </c>
      <c r="AV596" t="str">
        <f t="shared" si="37"/>
        <v/>
      </c>
      <c r="AW596" t="str">
        <f t="shared" si="38"/>
        <v/>
      </c>
      <c r="AX596">
        <f t="shared" si="39"/>
        <v>0</v>
      </c>
    </row>
    <row r="597" spans="47:50">
      <c r="AU597" t="str">
        <f t="shared" si="36"/>
        <v/>
      </c>
      <c r="AV597" t="str">
        <f t="shared" si="37"/>
        <v/>
      </c>
      <c r="AW597" t="str">
        <f t="shared" si="38"/>
        <v/>
      </c>
      <c r="AX597">
        <f t="shared" si="39"/>
        <v>0</v>
      </c>
    </row>
    <row r="598" spans="47:50">
      <c r="AU598" t="str">
        <f t="shared" si="36"/>
        <v/>
      </c>
      <c r="AV598" t="str">
        <f t="shared" si="37"/>
        <v/>
      </c>
      <c r="AW598" t="str">
        <f t="shared" si="38"/>
        <v/>
      </c>
      <c r="AX598">
        <f t="shared" si="39"/>
        <v>0</v>
      </c>
    </row>
    <row r="599" spans="47:50">
      <c r="AU599" t="str">
        <f t="shared" si="36"/>
        <v/>
      </c>
      <c r="AV599" t="str">
        <f t="shared" si="37"/>
        <v/>
      </c>
      <c r="AW599" t="str">
        <f t="shared" si="38"/>
        <v/>
      </c>
      <c r="AX599">
        <f t="shared" si="39"/>
        <v>0</v>
      </c>
    </row>
    <row r="600" spans="47:50">
      <c r="AU600" t="str">
        <f t="shared" si="36"/>
        <v/>
      </c>
      <c r="AV600" t="str">
        <f t="shared" si="37"/>
        <v/>
      </c>
      <c r="AW600" t="str">
        <f t="shared" si="38"/>
        <v/>
      </c>
      <c r="AX600">
        <f t="shared" si="39"/>
        <v>0</v>
      </c>
    </row>
    <row r="601" spans="47:50">
      <c r="AU601" t="str">
        <f t="shared" si="36"/>
        <v/>
      </c>
      <c r="AV601" t="str">
        <f t="shared" si="37"/>
        <v/>
      </c>
      <c r="AW601" t="str">
        <f t="shared" si="38"/>
        <v/>
      </c>
      <c r="AX601">
        <f t="shared" si="39"/>
        <v>0</v>
      </c>
    </row>
    <row r="602" spans="47:50">
      <c r="AU602" t="str">
        <f t="shared" si="36"/>
        <v/>
      </c>
      <c r="AV602" t="str">
        <f t="shared" si="37"/>
        <v/>
      </c>
      <c r="AW602" t="str">
        <f t="shared" si="38"/>
        <v/>
      </c>
      <c r="AX602">
        <f t="shared" si="39"/>
        <v>0</v>
      </c>
    </row>
    <row r="603" spans="47:50">
      <c r="AU603" t="str">
        <f t="shared" si="36"/>
        <v/>
      </c>
      <c r="AV603" t="str">
        <f t="shared" si="37"/>
        <v/>
      </c>
      <c r="AW603" t="str">
        <f t="shared" si="38"/>
        <v/>
      </c>
      <c r="AX603">
        <f t="shared" si="39"/>
        <v>0</v>
      </c>
    </row>
    <row r="604" spans="47:50">
      <c r="AU604" t="str">
        <f t="shared" si="36"/>
        <v/>
      </c>
      <c r="AV604" t="str">
        <f t="shared" si="37"/>
        <v/>
      </c>
      <c r="AW604" t="str">
        <f t="shared" si="38"/>
        <v/>
      </c>
      <c r="AX604">
        <f t="shared" si="39"/>
        <v>0</v>
      </c>
    </row>
    <row r="605" spans="47:50">
      <c r="AU605" t="str">
        <f t="shared" si="36"/>
        <v/>
      </c>
      <c r="AV605" t="str">
        <f t="shared" si="37"/>
        <v/>
      </c>
      <c r="AW605" t="str">
        <f t="shared" si="38"/>
        <v/>
      </c>
      <c r="AX605">
        <f t="shared" si="39"/>
        <v>0</v>
      </c>
    </row>
    <row r="606" spans="47:50">
      <c r="AU606" t="str">
        <f t="shared" si="36"/>
        <v/>
      </c>
      <c r="AV606" t="str">
        <f t="shared" si="37"/>
        <v/>
      </c>
      <c r="AW606" t="str">
        <f t="shared" si="38"/>
        <v/>
      </c>
      <c r="AX606">
        <f t="shared" si="39"/>
        <v>0</v>
      </c>
    </row>
    <row r="607" spans="47:50">
      <c r="AU607" t="str">
        <f t="shared" si="36"/>
        <v/>
      </c>
      <c r="AV607" t="str">
        <f t="shared" si="37"/>
        <v/>
      </c>
      <c r="AW607" t="str">
        <f t="shared" si="38"/>
        <v/>
      </c>
      <c r="AX607">
        <f t="shared" si="39"/>
        <v>0</v>
      </c>
    </row>
    <row r="608" spans="47:50">
      <c r="AU608" t="str">
        <f t="shared" si="36"/>
        <v/>
      </c>
      <c r="AV608" t="str">
        <f t="shared" si="37"/>
        <v/>
      </c>
      <c r="AW608" t="str">
        <f t="shared" si="38"/>
        <v/>
      </c>
      <c r="AX608">
        <f t="shared" si="39"/>
        <v>0</v>
      </c>
    </row>
    <row r="609" spans="47:50">
      <c r="AU609" t="str">
        <f t="shared" si="36"/>
        <v/>
      </c>
      <c r="AV609" t="str">
        <f t="shared" si="37"/>
        <v/>
      </c>
      <c r="AW609" t="str">
        <f t="shared" si="38"/>
        <v/>
      </c>
      <c r="AX609">
        <f t="shared" si="39"/>
        <v>0</v>
      </c>
    </row>
    <row r="610" spans="47:50">
      <c r="AU610" t="str">
        <f t="shared" si="36"/>
        <v/>
      </c>
      <c r="AV610" t="str">
        <f t="shared" si="37"/>
        <v/>
      </c>
      <c r="AW610" t="str">
        <f t="shared" si="38"/>
        <v/>
      </c>
      <c r="AX610">
        <f t="shared" si="39"/>
        <v>0</v>
      </c>
    </row>
    <row r="611" spans="47:50">
      <c r="AU611" t="str">
        <f t="shared" si="36"/>
        <v/>
      </c>
      <c r="AV611" t="str">
        <f t="shared" si="37"/>
        <v/>
      </c>
      <c r="AW611" t="str">
        <f t="shared" si="38"/>
        <v/>
      </c>
      <c r="AX611">
        <f t="shared" si="39"/>
        <v>0</v>
      </c>
    </row>
    <row r="612" spans="47:50">
      <c r="AU612" t="str">
        <f t="shared" si="36"/>
        <v/>
      </c>
      <c r="AV612" t="str">
        <f t="shared" si="37"/>
        <v/>
      </c>
      <c r="AW612" t="str">
        <f t="shared" si="38"/>
        <v/>
      </c>
      <c r="AX612">
        <f t="shared" si="39"/>
        <v>0</v>
      </c>
    </row>
    <row r="613" spans="47:50">
      <c r="AU613" t="str">
        <f t="shared" si="36"/>
        <v/>
      </c>
      <c r="AV613" t="str">
        <f t="shared" si="37"/>
        <v/>
      </c>
      <c r="AW613" t="str">
        <f t="shared" si="38"/>
        <v/>
      </c>
      <c r="AX613">
        <f t="shared" si="39"/>
        <v>0</v>
      </c>
    </row>
    <row r="614" spans="47:50">
      <c r="AU614" t="str">
        <f t="shared" si="36"/>
        <v/>
      </c>
      <c r="AV614" t="str">
        <f t="shared" si="37"/>
        <v/>
      </c>
      <c r="AW614" t="str">
        <f t="shared" si="38"/>
        <v/>
      </c>
      <c r="AX614">
        <f t="shared" si="39"/>
        <v>0</v>
      </c>
    </row>
    <row r="615" spans="47:50">
      <c r="AU615" t="str">
        <f t="shared" si="36"/>
        <v/>
      </c>
      <c r="AV615" t="str">
        <f t="shared" si="37"/>
        <v/>
      </c>
      <c r="AW615" t="str">
        <f t="shared" si="38"/>
        <v/>
      </c>
      <c r="AX615">
        <f t="shared" si="39"/>
        <v>0</v>
      </c>
    </row>
    <row r="616" spans="47:50">
      <c r="AU616" t="str">
        <f t="shared" si="36"/>
        <v/>
      </c>
      <c r="AV616" t="str">
        <f t="shared" si="37"/>
        <v/>
      </c>
      <c r="AW616" t="str">
        <f t="shared" si="38"/>
        <v/>
      </c>
      <c r="AX616">
        <f t="shared" si="39"/>
        <v>0</v>
      </c>
    </row>
    <row r="617" spans="47:50">
      <c r="AU617" t="str">
        <f t="shared" si="36"/>
        <v/>
      </c>
      <c r="AV617" t="str">
        <f t="shared" si="37"/>
        <v/>
      </c>
      <c r="AW617" t="str">
        <f t="shared" si="38"/>
        <v/>
      </c>
      <c r="AX617">
        <f t="shared" si="39"/>
        <v>0</v>
      </c>
    </row>
    <row r="618" spans="47:50">
      <c r="AU618" t="str">
        <f t="shared" si="36"/>
        <v/>
      </c>
      <c r="AV618" t="str">
        <f t="shared" si="37"/>
        <v/>
      </c>
      <c r="AW618" t="str">
        <f t="shared" si="38"/>
        <v/>
      </c>
      <c r="AX618">
        <f t="shared" si="39"/>
        <v>0</v>
      </c>
    </row>
    <row r="619" spans="47:50">
      <c r="AU619" t="str">
        <f t="shared" si="36"/>
        <v/>
      </c>
      <c r="AV619" t="str">
        <f t="shared" si="37"/>
        <v/>
      </c>
      <c r="AW619" t="str">
        <f t="shared" si="38"/>
        <v/>
      </c>
      <c r="AX619">
        <f t="shared" si="39"/>
        <v>0</v>
      </c>
    </row>
    <row r="620" spans="47:50">
      <c r="AU620" t="str">
        <f t="shared" si="36"/>
        <v/>
      </c>
      <c r="AV620" t="str">
        <f t="shared" si="37"/>
        <v/>
      </c>
      <c r="AW620" t="str">
        <f t="shared" si="38"/>
        <v/>
      </c>
      <c r="AX620">
        <f t="shared" si="39"/>
        <v>0</v>
      </c>
    </row>
    <row r="621" spans="47:50">
      <c r="AU621" t="str">
        <f t="shared" si="36"/>
        <v/>
      </c>
      <c r="AV621" t="str">
        <f t="shared" si="37"/>
        <v/>
      </c>
      <c r="AW621" t="str">
        <f t="shared" si="38"/>
        <v/>
      </c>
      <c r="AX621">
        <f t="shared" si="39"/>
        <v>0</v>
      </c>
    </row>
    <row r="622" spans="47:50">
      <c r="AU622" t="str">
        <f t="shared" si="36"/>
        <v/>
      </c>
      <c r="AV622" t="str">
        <f t="shared" si="37"/>
        <v/>
      </c>
      <c r="AW622" t="str">
        <f t="shared" si="38"/>
        <v/>
      </c>
      <c r="AX622">
        <f t="shared" si="39"/>
        <v>0</v>
      </c>
    </row>
    <row r="623" spans="47:50">
      <c r="AU623" t="str">
        <f t="shared" si="36"/>
        <v/>
      </c>
      <c r="AV623" t="str">
        <f t="shared" si="37"/>
        <v/>
      </c>
      <c r="AW623" t="str">
        <f t="shared" si="38"/>
        <v/>
      </c>
      <c r="AX623">
        <f t="shared" si="39"/>
        <v>0</v>
      </c>
    </row>
    <row r="624" spans="47:50">
      <c r="AU624" t="str">
        <f t="shared" si="36"/>
        <v/>
      </c>
      <c r="AV624" t="str">
        <f t="shared" si="37"/>
        <v/>
      </c>
      <c r="AW624" t="str">
        <f t="shared" si="38"/>
        <v/>
      </c>
      <c r="AX624">
        <f t="shared" si="39"/>
        <v>0</v>
      </c>
    </row>
    <row r="625" spans="47:50">
      <c r="AU625" t="str">
        <f t="shared" si="36"/>
        <v/>
      </c>
      <c r="AV625" t="str">
        <f t="shared" si="37"/>
        <v/>
      </c>
      <c r="AW625" t="str">
        <f t="shared" si="38"/>
        <v/>
      </c>
      <c r="AX625">
        <f t="shared" si="39"/>
        <v>0</v>
      </c>
    </row>
    <row r="626" spans="47:50">
      <c r="AU626" t="str">
        <f t="shared" si="36"/>
        <v/>
      </c>
      <c r="AV626" t="str">
        <f t="shared" si="37"/>
        <v/>
      </c>
      <c r="AW626" t="str">
        <f t="shared" si="38"/>
        <v/>
      </c>
      <c r="AX626">
        <f t="shared" si="39"/>
        <v>0</v>
      </c>
    </row>
    <row r="627" spans="47:50">
      <c r="AU627" t="str">
        <f t="shared" si="36"/>
        <v/>
      </c>
      <c r="AV627" t="str">
        <f t="shared" si="37"/>
        <v/>
      </c>
      <c r="AW627" t="str">
        <f t="shared" si="38"/>
        <v/>
      </c>
      <c r="AX627">
        <f t="shared" si="39"/>
        <v>0</v>
      </c>
    </row>
    <row r="628" spans="47:50">
      <c r="AU628" t="str">
        <f t="shared" si="36"/>
        <v/>
      </c>
      <c r="AV628" t="str">
        <f t="shared" si="37"/>
        <v/>
      </c>
      <c r="AW628" t="str">
        <f t="shared" si="38"/>
        <v/>
      </c>
      <c r="AX628">
        <f t="shared" si="39"/>
        <v>0</v>
      </c>
    </row>
    <row r="629" spans="47:50">
      <c r="AU629" t="str">
        <f t="shared" si="36"/>
        <v/>
      </c>
      <c r="AV629" t="str">
        <f t="shared" si="37"/>
        <v/>
      </c>
      <c r="AW629" t="str">
        <f t="shared" si="38"/>
        <v/>
      </c>
      <c r="AX629">
        <f t="shared" si="39"/>
        <v>0</v>
      </c>
    </row>
    <row r="630" spans="47:50">
      <c r="AU630" t="str">
        <f t="shared" si="36"/>
        <v/>
      </c>
      <c r="AV630" t="str">
        <f t="shared" si="37"/>
        <v/>
      </c>
      <c r="AW630" t="str">
        <f t="shared" si="38"/>
        <v/>
      </c>
      <c r="AX630">
        <f t="shared" si="39"/>
        <v>0</v>
      </c>
    </row>
    <row r="631" spans="47:50">
      <c r="AU631" t="str">
        <f t="shared" si="36"/>
        <v/>
      </c>
      <c r="AV631" t="str">
        <f t="shared" si="37"/>
        <v/>
      </c>
      <c r="AW631" t="str">
        <f t="shared" si="38"/>
        <v/>
      </c>
      <c r="AX631">
        <f t="shared" si="39"/>
        <v>0</v>
      </c>
    </row>
    <row r="632" spans="47:50">
      <c r="AU632" t="str">
        <f t="shared" si="36"/>
        <v/>
      </c>
      <c r="AV632" t="str">
        <f t="shared" si="37"/>
        <v/>
      </c>
      <c r="AW632" t="str">
        <f t="shared" si="38"/>
        <v/>
      </c>
      <c r="AX632">
        <f t="shared" si="39"/>
        <v>0</v>
      </c>
    </row>
    <row r="633" spans="47:50">
      <c r="AU633" t="str">
        <f t="shared" si="36"/>
        <v/>
      </c>
      <c r="AV633" t="str">
        <f t="shared" si="37"/>
        <v/>
      </c>
      <c r="AW633" t="str">
        <f t="shared" si="38"/>
        <v/>
      </c>
      <c r="AX633">
        <f t="shared" si="39"/>
        <v>0</v>
      </c>
    </row>
    <row r="634" spans="47:50">
      <c r="AU634" t="str">
        <f t="shared" si="36"/>
        <v/>
      </c>
      <c r="AV634" t="str">
        <f t="shared" si="37"/>
        <v/>
      </c>
      <c r="AW634" t="str">
        <f t="shared" si="38"/>
        <v/>
      </c>
      <c r="AX634">
        <f t="shared" si="39"/>
        <v>0</v>
      </c>
    </row>
    <row r="635" spans="47:50">
      <c r="AU635" t="str">
        <f t="shared" si="36"/>
        <v/>
      </c>
      <c r="AV635" t="str">
        <f t="shared" si="37"/>
        <v/>
      </c>
      <c r="AW635" t="str">
        <f t="shared" si="38"/>
        <v/>
      </c>
      <c r="AX635">
        <f t="shared" si="39"/>
        <v>0</v>
      </c>
    </row>
    <row r="636" spans="47:50">
      <c r="AU636" t="str">
        <f t="shared" si="36"/>
        <v/>
      </c>
      <c r="AV636" t="str">
        <f t="shared" si="37"/>
        <v/>
      </c>
      <c r="AW636" t="str">
        <f t="shared" si="38"/>
        <v/>
      </c>
      <c r="AX636">
        <f t="shared" si="39"/>
        <v>0</v>
      </c>
    </row>
    <row r="637" spans="47:50">
      <c r="AU637" t="str">
        <f t="shared" si="36"/>
        <v/>
      </c>
      <c r="AV637" t="str">
        <f t="shared" si="37"/>
        <v/>
      </c>
      <c r="AW637" t="str">
        <f t="shared" si="38"/>
        <v/>
      </c>
      <c r="AX637">
        <f t="shared" si="39"/>
        <v>0</v>
      </c>
    </row>
    <row r="638" spans="47:50">
      <c r="AU638" t="str">
        <f t="shared" si="36"/>
        <v/>
      </c>
      <c r="AV638" t="str">
        <f t="shared" si="37"/>
        <v/>
      </c>
      <c r="AW638" t="str">
        <f t="shared" si="38"/>
        <v/>
      </c>
      <c r="AX638">
        <f t="shared" si="39"/>
        <v>0</v>
      </c>
    </row>
    <row r="639" spans="47:50">
      <c r="AU639" t="str">
        <f t="shared" si="36"/>
        <v/>
      </c>
      <c r="AV639" t="str">
        <f t="shared" si="37"/>
        <v/>
      </c>
      <c r="AW639" t="str">
        <f t="shared" si="38"/>
        <v/>
      </c>
      <c r="AX639">
        <f t="shared" si="39"/>
        <v>0</v>
      </c>
    </row>
    <row r="640" spans="47:50">
      <c r="AU640" t="str">
        <f t="shared" si="36"/>
        <v/>
      </c>
      <c r="AV640" t="str">
        <f t="shared" si="37"/>
        <v/>
      </c>
      <c r="AW640" t="str">
        <f t="shared" si="38"/>
        <v/>
      </c>
      <c r="AX640">
        <f t="shared" si="39"/>
        <v>0</v>
      </c>
    </row>
    <row r="641" spans="47:50">
      <c r="AU641" t="str">
        <f t="shared" si="36"/>
        <v/>
      </c>
      <c r="AV641" t="str">
        <f t="shared" si="37"/>
        <v/>
      </c>
      <c r="AW641" t="str">
        <f t="shared" si="38"/>
        <v/>
      </c>
      <c r="AX641">
        <f t="shared" si="39"/>
        <v>0</v>
      </c>
    </row>
    <row r="642" spans="47:50">
      <c r="AU642" t="str">
        <f t="shared" si="36"/>
        <v/>
      </c>
      <c r="AV642" t="str">
        <f t="shared" si="37"/>
        <v/>
      </c>
      <c r="AW642" t="str">
        <f t="shared" si="38"/>
        <v/>
      </c>
      <c r="AX642">
        <f t="shared" si="39"/>
        <v>0</v>
      </c>
    </row>
    <row r="643" spans="47:50">
      <c r="AU643" t="str">
        <f t="shared" ref="AU643:AU663" si="40">LEFT(C643,3)</f>
        <v/>
      </c>
      <c r="AV643" t="str">
        <f t="shared" ref="AV643:AV663" si="41">MID(C643,5,3)</f>
        <v/>
      </c>
      <c r="AW643" t="str">
        <f t="shared" ref="AW643:AW663" si="42">RIGHT(C643,3)</f>
        <v/>
      </c>
      <c r="AX643">
        <f t="shared" ref="AX643:AX663" si="43">IFERROR(VLOOKUP(AW643,$AZ$2:$BA$10,2,FALSE),"")</f>
        <v>0</v>
      </c>
    </row>
    <row r="644" spans="47:50">
      <c r="AU644" t="str">
        <f t="shared" si="40"/>
        <v/>
      </c>
      <c r="AV644" t="str">
        <f t="shared" si="41"/>
        <v/>
      </c>
      <c r="AW644" t="str">
        <f t="shared" si="42"/>
        <v/>
      </c>
      <c r="AX644">
        <f t="shared" si="43"/>
        <v>0</v>
      </c>
    </row>
    <row r="645" spans="47:50">
      <c r="AU645" t="str">
        <f t="shared" si="40"/>
        <v/>
      </c>
      <c r="AV645" t="str">
        <f t="shared" si="41"/>
        <v/>
      </c>
      <c r="AW645" t="str">
        <f t="shared" si="42"/>
        <v/>
      </c>
      <c r="AX645">
        <f t="shared" si="43"/>
        <v>0</v>
      </c>
    </row>
    <row r="646" spans="47:50">
      <c r="AU646" t="str">
        <f t="shared" si="40"/>
        <v/>
      </c>
      <c r="AV646" t="str">
        <f t="shared" si="41"/>
        <v/>
      </c>
      <c r="AW646" t="str">
        <f t="shared" si="42"/>
        <v/>
      </c>
      <c r="AX646">
        <f t="shared" si="43"/>
        <v>0</v>
      </c>
    </row>
    <row r="647" spans="47:50">
      <c r="AU647" t="str">
        <f t="shared" si="40"/>
        <v/>
      </c>
      <c r="AV647" t="str">
        <f t="shared" si="41"/>
        <v/>
      </c>
      <c r="AW647" t="str">
        <f t="shared" si="42"/>
        <v/>
      </c>
      <c r="AX647">
        <f t="shared" si="43"/>
        <v>0</v>
      </c>
    </row>
    <row r="648" spans="47:50">
      <c r="AU648" t="str">
        <f t="shared" si="40"/>
        <v/>
      </c>
      <c r="AV648" t="str">
        <f t="shared" si="41"/>
        <v/>
      </c>
      <c r="AW648" t="str">
        <f t="shared" si="42"/>
        <v/>
      </c>
      <c r="AX648">
        <f t="shared" si="43"/>
        <v>0</v>
      </c>
    </row>
    <row r="649" spans="47:50">
      <c r="AU649" t="str">
        <f t="shared" si="40"/>
        <v/>
      </c>
      <c r="AV649" t="str">
        <f t="shared" si="41"/>
        <v/>
      </c>
      <c r="AW649" t="str">
        <f t="shared" si="42"/>
        <v/>
      </c>
      <c r="AX649">
        <f t="shared" si="43"/>
        <v>0</v>
      </c>
    </row>
    <row r="650" spans="47:50">
      <c r="AU650" t="str">
        <f t="shared" si="40"/>
        <v/>
      </c>
      <c r="AV650" t="str">
        <f t="shared" si="41"/>
        <v/>
      </c>
      <c r="AW650" t="str">
        <f t="shared" si="42"/>
        <v/>
      </c>
      <c r="AX650">
        <f t="shared" si="43"/>
        <v>0</v>
      </c>
    </row>
    <row r="651" spans="47:50">
      <c r="AU651" t="str">
        <f t="shared" si="40"/>
        <v/>
      </c>
      <c r="AV651" t="str">
        <f t="shared" si="41"/>
        <v/>
      </c>
      <c r="AW651" t="str">
        <f t="shared" si="42"/>
        <v/>
      </c>
      <c r="AX651">
        <f t="shared" si="43"/>
        <v>0</v>
      </c>
    </row>
    <row r="652" spans="47:50">
      <c r="AU652" t="str">
        <f t="shared" si="40"/>
        <v/>
      </c>
      <c r="AV652" t="str">
        <f t="shared" si="41"/>
        <v/>
      </c>
      <c r="AW652" t="str">
        <f t="shared" si="42"/>
        <v/>
      </c>
      <c r="AX652">
        <f t="shared" si="43"/>
        <v>0</v>
      </c>
    </row>
    <row r="653" spans="47:50">
      <c r="AU653" t="str">
        <f t="shared" si="40"/>
        <v/>
      </c>
      <c r="AV653" t="str">
        <f t="shared" si="41"/>
        <v/>
      </c>
      <c r="AW653" t="str">
        <f t="shared" si="42"/>
        <v/>
      </c>
      <c r="AX653">
        <f t="shared" si="43"/>
        <v>0</v>
      </c>
    </row>
    <row r="654" spans="47:50">
      <c r="AU654" t="str">
        <f t="shared" si="40"/>
        <v/>
      </c>
      <c r="AV654" t="str">
        <f t="shared" si="41"/>
        <v/>
      </c>
      <c r="AW654" t="str">
        <f t="shared" si="42"/>
        <v/>
      </c>
      <c r="AX654">
        <f t="shared" si="43"/>
        <v>0</v>
      </c>
    </row>
    <row r="655" spans="47:50">
      <c r="AU655" t="str">
        <f t="shared" si="40"/>
        <v/>
      </c>
      <c r="AV655" t="str">
        <f t="shared" si="41"/>
        <v/>
      </c>
      <c r="AW655" t="str">
        <f t="shared" si="42"/>
        <v/>
      </c>
      <c r="AX655">
        <f t="shared" si="43"/>
        <v>0</v>
      </c>
    </row>
    <row r="656" spans="47:50">
      <c r="AU656" t="str">
        <f t="shared" si="40"/>
        <v/>
      </c>
      <c r="AV656" t="str">
        <f t="shared" si="41"/>
        <v/>
      </c>
      <c r="AW656" t="str">
        <f t="shared" si="42"/>
        <v/>
      </c>
      <c r="AX656">
        <f t="shared" si="43"/>
        <v>0</v>
      </c>
    </row>
    <row r="657" spans="47:50">
      <c r="AU657" t="str">
        <f t="shared" si="40"/>
        <v/>
      </c>
      <c r="AV657" t="str">
        <f t="shared" si="41"/>
        <v/>
      </c>
      <c r="AW657" t="str">
        <f t="shared" si="42"/>
        <v/>
      </c>
      <c r="AX657">
        <f t="shared" si="43"/>
        <v>0</v>
      </c>
    </row>
    <row r="658" spans="47:50">
      <c r="AU658" t="str">
        <f t="shared" si="40"/>
        <v/>
      </c>
      <c r="AV658" t="str">
        <f t="shared" si="41"/>
        <v/>
      </c>
      <c r="AW658" t="str">
        <f t="shared" si="42"/>
        <v/>
      </c>
      <c r="AX658">
        <f t="shared" si="43"/>
        <v>0</v>
      </c>
    </row>
    <row r="659" spans="47:50">
      <c r="AU659" t="str">
        <f t="shared" si="40"/>
        <v/>
      </c>
      <c r="AV659" t="str">
        <f t="shared" si="41"/>
        <v/>
      </c>
      <c r="AW659" t="str">
        <f t="shared" si="42"/>
        <v/>
      </c>
      <c r="AX659">
        <f t="shared" si="43"/>
        <v>0</v>
      </c>
    </row>
    <row r="660" spans="47:50">
      <c r="AU660" t="str">
        <f t="shared" si="40"/>
        <v/>
      </c>
      <c r="AV660" t="str">
        <f t="shared" si="41"/>
        <v/>
      </c>
      <c r="AW660" t="str">
        <f t="shared" si="42"/>
        <v/>
      </c>
      <c r="AX660">
        <f t="shared" si="43"/>
        <v>0</v>
      </c>
    </row>
    <row r="661" spans="47:50">
      <c r="AU661" t="str">
        <f t="shared" si="40"/>
        <v/>
      </c>
      <c r="AV661" t="str">
        <f t="shared" si="41"/>
        <v/>
      </c>
      <c r="AW661" t="str">
        <f t="shared" si="42"/>
        <v/>
      </c>
      <c r="AX661">
        <f t="shared" si="43"/>
        <v>0</v>
      </c>
    </row>
    <row r="662" spans="47:50">
      <c r="AU662" t="str">
        <f t="shared" si="40"/>
        <v/>
      </c>
      <c r="AV662" t="str">
        <f t="shared" si="41"/>
        <v/>
      </c>
      <c r="AW662" t="str">
        <f t="shared" si="42"/>
        <v/>
      </c>
      <c r="AX662">
        <f t="shared" si="43"/>
        <v>0</v>
      </c>
    </row>
    <row r="663" spans="47:50">
      <c r="AU663" t="str">
        <f t="shared" si="40"/>
        <v/>
      </c>
      <c r="AV663" t="str">
        <f t="shared" si="41"/>
        <v/>
      </c>
      <c r="AW663" t="str">
        <f t="shared" si="42"/>
        <v/>
      </c>
      <c r="AX663">
        <f t="shared" si="4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AE7C-CF7D-48D3-989F-98992D13863F}">
  <dimension ref="B2:AX75"/>
  <sheetViews>
    <sheetView workbookViewId="0">
      <selection activeCell="S16" sqref="S16"/>
    </sheetView>
  </sheetViews>
  <sheetFormatPr defaultColWidth="8.86328125" defaultRowHeight="14.25"/>
  <cols>
    <col min="1" max="1" width="7.59765625" customWidth="1"/>
    <col min="2" max="3" width="4.86328125" bestFit="1" customWidth="1"/>
    <col min="4" max="5" width="7.59765625" customWidth="1"/>
    <col min="6" max="6" width="11" bestFit="1" customWidth="1"/>
    <col min="7" max="7" width="13.1328125" customWidth="1"/>
    <col min="8" max="14" width="7.59765625" customWidth="1"/>
    <col min="16" max="16" width="6" bestFit="1" customWidth="1"/>
  </cols>
  <sheetData>
    <row r="2" spans="2:50">
      <c r="E2" t="s">
        <v>458</v>
      </c>
    </row>
    <row r="3" spans="2:50">
      <c r="E3" t="s">
        <v>12</v>
      </c>
      <c r="F3" t="s">
        <v>9</v>
      </c>
      <c r="G3" t="s">
        <v>132</v>
      </c>
      <c r="H3" t="s">
        <v>126</v>
      </c>
      <c r="I3" t="s">
        <v>134</v>
      </c>
      <c r="J3" t="s">
        <v>171</v>
      </c>
      <c r="K3" t="str">
        <f>IF(BY_IND!L1="","*"&amp;COLUMN(),BY_IND!L1)</f>
        <v>Africa_north</v>
      </c>
      <c r="L3" t="str">
        <f>IF(BY_IND!M1="","*"&amp;COLUMN(),BY_IND!M1)</f>
        <v>Africa_other</v>
      </c>
      <c r="M3" t="str">
        <f>IF(BY_IND!N1="","*"&amp;COLUMN(),BY_IND!N1)</f>
        <v>Arg-Chi</v>
      </c>
      <c r="N3" t="str">
        <f>IF(BY_IND!O1="","*"&amp;COLUMN(),BY_IND!O1)</f>
        <v>Asia_central</v>
      </c>
      <c r="O3" t="str">
        <f>IF(BY_IND!P1="","*"&amp;COLUMN(),BY_IND!P1)</f>
        <v>Asia_east</v>
      </c>
      <c r="P3" t="str">
        <f>IF(BY_IND!Q1="","*"&amp;COLUMN(),BY_IND!Q1)</f>
        <v>Asia_other</v>
      </c>
      <c r="Q3" t="str">
        <f>IF(BY_IND!R1="","*"&amp;COLUMN(),BY_IND!R1)</f>
        <v>Australia_NZ</v>
      </c>
      <c r="R3" t="str">
        <f>IF(BY_IND!S1="","*"&amp;COLUMN(),BY_IND!S1)</f>
        <v>Brazil</v>
      </c>
      <c r="S3" t="str">
        <f>IF(BY_IND!T1="","*"&amp;COLUMN(),BY_IND!T1)</f>
        <v>Canada</v>
      </c>
      <c r="T3" t="str">
        <f>IF(BY_IND!U1="","*"&amp;COLUMN(),BY_IND!U1)</f>
        <v>China</v>
      </c>
      <c r="U3" t="str">
        <f>IF(BY_IND!V1="","*"&amp;COLUMN(),BY_IND!V1)</f>
        <v>EU_north</v>
      </c>
      <c r="V3" t="str">
        <f>IF(BY_IND!W1="","*"&amp;COLUMN(),BY_IND!W1)</f>
        <v>EU_northeast</v>
      </c>
      <c r="W3" t="str">
        <f>IF(BY_IND!X1="","*"&amp;COLUMN(),BY_IND!X1)</f>
        <v>EU_northwest</v>
      </c>
      <c r="X3" t="str">
        <f>IF(BY_IND!Y1="","*"&amp;COLUMN(),BY_IND!Y1)</f>
        <v>EU_south</v>
      </c>
      <c r="Y3" t="str">
        <f>IF(BY_IND!Z1="","*"&amp;COLUMN(),BY_IND!Z1)</f>
        <v>EU_southeast</v>
      </c>
      <c r="Z3" t="str">
        <f>IF(BY_IND!AA1="","*"&amp;COLUMN(),BY_IND!AA1)</f>
        <v>EU_southwest</v>
      </c>
      <c r="AA3" t="str">
        <f>IF(BY_IND!AB1="","*"&amp;COLUMN(),BY_IND!AB1)</f>
        <v>Europe_other</v>
      </c>
      <c r="AB3" t="str">
        <f>IF(BY_IND!AC1="","*"&amp;COLUMN(),BY_IND!AC1)</f>
        <v>France</v>
      </c>
      <c r="AC3" t="str">
        <f>IF(BY_IND!AD1="","*"&amp;COLUMN(),BY_IND!AD1)</f>
        <v>Germany</v>
      </c>
      <c r="AD3" t="str">
        <f>IF(BY_IND!AE1="","*"&amp;COLUMN(),BY_IND!AE1)</f>
        <v>India</v>
      </c>
      <c r="AE3" t="str">
        <f>IF(BY_IND!AF1="","*"&amp;COLUMN(),BY_IND!AF1)</f>
        <v>LatAm_other</v>
      </c>
      <c r="AF3" t="str">
        <f>IF(BY_IND!AG1="","*"&amp;COLUMN(),BY_IND!AG1)</f>
        <v>Mexico</v>
      </c>
      <c r="AG3" t="str">
        <f>IF(BY_IND!AH1="","*"&amp;COLUMN(),BY_IND!AH1)</f>
        <v>MidEast_other</v>
      </c>
      <c r="AH3" t="str">
        <f>IF(BY_IND!AI1="","*"&amp;COLUMN(),BY_IND!AI1)</f>
        <v>Nor-Ice</v>
      </c>
      <c r="AI3" t="str">
        <f>IF(BY_IND!AJ1="","*"&amp;COLUMN(),BY_IND!AJ1)</f>
        <v>Russia</v>
      </c>
      <c r="AJ3" t="str">
        <f>IF(BY_IND!AK1="","*"&amp;COLUMN(),BY_IND!AK1)</f>
        <v>SaudiArabia</v>
      </c>
      <c r="AK3" t="str">
        <f>IF(BY_IND!AL1="","*"&amp;COLUMN(),BY_IND!AL1)</f>
        <v>SouthAfrica</v>
      </c>
      <c r="AL3" t="str">
        <f>IF(BY_IND!AM1="","*"&amp;COLUMN(),BY_IND!AM1)</f>
        <v>UK</v>
      </c>
      <c r="AM3" t="str">
        <f>IF(BY_IND!AN1="","*"&amp;COLUMN(),BY_IND!AN1)</f>
        <v>USA</v>
      </c>
      <c r="AN3" t="str">
        <f>IF(BY_IND!AO1="","*"&amp;COLUMN(),BY_IND!AO1)</f>
        <v>year2</v>
      </c>
      <c r="AO3" t="str">
        <f>IF(BY_IND!AP1="","*"&amp;COLUMN(),BY_IND!AP1)</f>
        <v>*41</v>
      </c>
    </row>
    <row r="4" spans="2:50">
      <c r="B4" t="s">
        <v>459</v>
      </c>
      <c r="C4" t="s">
        <v>460</v>
      </c>
      <c r="E4">
        <v>2019</v>
      </c>
      <c r="F4" t="str">
        <f>B4&amp;"_"&amp;C4</f>
        <v>ICH_OTH</v>
      </c>
      <c r="G4" t="s">
        <v>461</v>
      </c>
      <c r="H4" t="str">
        <f>F4</f>
        <v>ICH_OTH</v>
      </c>
      <c r="I4" t="str">
        <f>"Fossil-"&amp;F4</f>
        <v>Fossil-ICH_OTH</v>
      </c>
      <c r="K4" s="1">
        <f>SUMIFS(BY_IND!L$2:L$663,BY_IND!$AU$2:$AU$663,'Industry (2)'!$B4,BY_IND!$AV$2:$AV$663,'Industry (2)'!$C4,BY_IND!$AX$2:$AX$663,"Yes")*0.98</f>
        <v>0.82522649981705021</v>
      </c>
      <c r="L4" s="1">
        <f>SUMIFS(BY_IND!M$2:M$663,BY_IND!$AU$2:$AU$663,'Industry (2)'!$B4,BY_IND!$AV$2:$AV$663,'Industry (2)'!$C4,BY_IND!$AX$2:$AX$663,"Yes")*0.98</f>
        <v>0.92862893321911333</v>
      </c>
      <c r="M4" s="1">
        <f>SUMIFS(BY_IND!N$2:N$663,BY_IND!$AU$2:$AU$663,'Industry (2)'!$B4,BY_IND!$AV$2:$AV$663,'Industry (2)'!$C4,BY_IND!$AX$2:$AX$663,"Yes")*0.98</f>
        <v>0.18768382023029773</v>
      </c>
      <c r="N4" s="1">
        <f>SUMIFS(BY_IND!O$2:O$663,BY_IND!$AU$2:$AU$663,'Industry (2)'!$B4,BY_IND!$AV$2:$AV$663,'Industry (2)'!$C4,BY_IND!$AX$2:$AX$663,"Yes")*0.98</f>
        <v>0.78472555035395719</v>
      </c>
      <c r="O4" s="1">
        <f>SUMIFS(BY_IND!P$2:P$663,BY_IND!$AU$2:$AU$663,'Industry (2)'!$B4,BY_IND!$AV$2:$AV$663,'Industry (2)'!$C4,BY_IND!$AX$2:$AX$663,"Yes")*0.98</f>
        <v>0.93023185690628019</v>
      </c>
      <c r="P4" s="1">
        <f>SUMIFS(BY_IND!Q$2:Q$663,BY_IND!$AU$2:$AU$663,'Industry (2)'!$B4,BY_IND!$AV$2:$AV$663,'Industry (2)'!$C4,BY_IND!$AX$2:$AX$663,"Yes")*0.98</f>
        <v>0.88332830898187231</v>
      </c>
      <c r="Q4" s="1">
        <f>SUMIFS(BY_IND!R$2:R$663,BY_IND!$AU$2:$AU$663,'Industry (2)'!$B4,BY_IND!$AV$2:$AV$663,'Industry (2)'!$C4,BY_IND!$AX$2:$AX$663,"Yes")*0.98</f>
        <v>0.8755039861078644</v>
      </c>
      <c r="R4" s="1">
        <f>SUMIFS(BY_IND!S$2:S$663,BY_IND!$AU$2:$AU$663,'Industry (2)'!$B4,BY_IND!$AV$2:$AV$663,'Industry (2)'!$C4,BY_IND!$AX$2:$AX$663,"Yes")*0.98</f>
        <v>0.94154643892076462</v>
      </c>
      <c r="S4" s="1">
        <f>SUMIFS(BY_IND!T$2:T$663,BY_IND!$AU$2:$AU$663,'Industry (2)'!$B4,BY_IND!$AV$2:$AV$663,'Industry (2)'!$C4,BY_IND!$AX$2:$AX$663,"Yes")*0.98</f>
        <v>0.50932241603348161</v>
      </c>
      <c r="T4" s="1">
        <f>SUMIFS(BY_IND!U$2:U$663,BY_IND!$AU$2:$AU$663,'Industry (2)'!$B4,BY_IND!$AV$2:$AV$663,'Industry (2)'!$C4,BY_IND!$AX$2:$AX$663,"Yes")*0.98</f>
        <v>0.90082774046524605</v>
      </c>
      <c r="U4" s="1">
        <f>SUMIFS(BY_IND!V$2:V$663,BY_IND!$AU$2:$AU$663,'Industry (2)'!$B4,BY_IND!$AV$2:$AV$663,'Industry (2)'!$C4,BY_IND!$AX$2:$AX$663,"Yes")*0.98</f>
        <v>0.86644053083555383</v>
      </c>
      <c r="V4" s="1">
        <f>SUMIFS(BY_IND!W$2:W$663,BY_IND!$AU$2:$AU$663,'Industry (2)'!$B4,BY_IND!$AV$2:$AV$663,'Industry (2)'!$C4,BY_IND!$AX$2:$AX$663,"Yes")*0.98</f>
        <v>0.80256757005403234</v>
      </c>
      <c r="W4" s="1">
        <f>SUMIFS(BY_IND!X$2:X$663,BY_IND!$AU$2:$AU$663,'Industry (2)'!$B4,BY_IND!$AV$2:$AV$663,'Industry (2)'!$C4,BY_IND!$AX$2:$AX$663,"Yes")*0.98</f>
        <v>0.89560353010527349</v>
      </c>
      <c r="X4" s="1">
        <f>SUMIFS(BY_IND!Y$2:Y$663,BY_IND!$AU$2:$AU$663,'Industry (2)'!$B4,BY_IND!$AV$2:$AV$663,'Industry (2)'!$C4,BY_IND!$AX$2:$AX$663,"Yes")*0.98</f>
        <v>0.85227162385378652</v>
      </c>
      <c r="Y4" s="1">
        <f>SUMIFS(BY_IND!Z$2:Z$663,BY_IND!$AU$2:$AU$663,'Industry (2)'!$B4,BY_IND!$AV$2:$AV$663,'Industry (2)'!$C4,BY_IND!$AX$2:$AX$663,"Yes")*0.98</f>
        <v>0.9267831335749579</v>
      </c>
      <c r="Z4" s="1">
        <f>SUMIFS(BY_IND!AA$2:AA$663,BY_IND!$AU$2:$AU$663,'Industry (2)'!$B4,BY_IND!$AV$2:$AV$663,'Industry (2)'!$C4,BY_IND!$AX$2:$AX$663,"Yes")*0.98</f>
        <v>0.74156134496778447</v>
      </c>
      <c r="AA4" s="1">
        <f>SUMIFS(BY_IND!AB$2:AB$663,BY_IND!$AU$2:$AU$663,'Industry (2)'!$B4,BY_IND!$AV$2:$AV$663,'Industry (2)'!$C4,BY_IND!$AX$2:$AX$663,"Yes")*0.98</f>
        <v>0.66308972989734527</v>
      </c>
      <c r="AB4" s="1">
        <f>SUMIFS(BY_IND!AC$2:AC$663,BY_IND!$AU$2:$AU$663,'Industry (2)'!$B4,BY_IND!$AV$2:$AV$663,'Industry (2)'!$C4,BY_IND!$AX$2:$AX$663,"Yes")*0.98</f>
        <v>0.63131476395234731</v>
      </c>
      <c r="AC4" s="1">
        <f>SUMIFS(BY_IND!AD$2:AD$663,BY_IND!$AU$2:$AU$663,'Industry (2)'!$B4,BY_IND!$AV$2:$AV$663,'Industry (2)'!$C4,BY_IND!$AX$2:$AX$663,"Yes")*0.98</f>
        <v>0.75266870478319314</v>
      </c>
      <c r="AD4" s="1">
        <f>SUMIFS(BY_IND!AE$2:AE$663,BY_IND!$AU$2:$AU$663,'Industry (2)'!$B4,BY_IND!$AV$2:$AV$663,'Industry (2)'!$C4,BY_IND!$AX$2:$AX$663,"Yes")*0.98</f>
        <v>0.95881641527588513</v>
      </c>
      <c r="AE4" s="1">
        <f>SUMIFS(BY_IND!AF$2:AF$663,BY_IND!$AU$2:$AU$663,'Industry (2)'!$B4,BY_IND!$AV$2:$AV$663,'Industry (2)'!$C4,BY_IND!$AX$2:$AX$663,"Yes")*0.98</f>
        <v>0.88431631265121768</v>
      </c>
      <c r="AF4" s="1">
        <f>SUMIFS(BY_IND!AG$2:AG$663,BY_IND!$AU$2:$AU$663,'Industry (2)'!$B4,BY_IND!$AV$2:$AV$663,'Industry (2)'!$C4,BY_IND!$AX$2:$AX$663,"Yes")*0.98</f>
        <v>0.9006748856462925</v>
      </c>
      <c r="AG4" s="1">
        <f>SUMIFS(BY_IND!AH$2:AH$663,BY_IND!$AU$2:$AU$663,'Industry (2)'!$B4,BY_IND!$AV$2:$AV$663,'Industry (2)'!$C4,BY_IND!$AX$2:$AX$663,"Yes")*0.98</f>
        <v>0.96935996671252311</v>
      </c>
      <c r="AH4" s="1">
        <f>SUMIFS(BY_IND!AI$2:AI$663,BY_IND!$AU$2:$AU$663,'Industry (2)'!$B4,BY_IND!$AV$2:$AV$663,'Industry (2)'!$C4,BY_IND!$AX$2:$AX$663,"Yes")*0.98</f>
        <v>0.76148755996810857</v>
      </c>
      <c r="AI4" s="1">
        <f>SUMIFS(BY_IND!AJ$2:AJ$663,BY_IND!$AU$2:$AU$663,'Industry (2)'!$B4,BY_IND!$AV$2:$AV$663,'Industry (2)'!$C4,BY_IND!$AX$2:$AX$663,"Yes")*0.98</f>
        <v>0.74444974234495809</v>
      </c>
      <c r="AJ4" s="1">
        <f>SUMIFS(BY_IND!AK$2:AK$663,BY_IND!$AU$2:$AU$663,'Industry (2)'!$B4,BY_IND!$AV$2:$AV$663,'Industry (2)'!$C4,BY_IND!$AX$2:$AX$663,"Yes")*0.98</f>
        <v>0</v>
      </c>
      <c r="AK4" s="1">
        <f>SUMIFS(BY_IND!AL$2:AL$663,BY_IND!$AU$2:$AU$663,'Industry (2)'!$B4,BY_IND!$AV$2:$AV$663,'Industry (2)'!$C4,BY_IND!$AX$2:$AX$663,"Yes")*0.98</f>
        <v>0.43774100815723432</v>
      </c>
      <c r="AL4" s="1">
        <f>SUMIFS(BY_IND!AM$2:AM$663,BY_IND!$AU$2:$AU$663,'Industry (2)'!$B4,BY_IND!$AV$2:$AV$663,'Industry (2)'!$C4,BY_IND!$AX$2:$AX$663,"Yes")*0.98</f>
        <v>0.70509403942538551</v>
      </c>
      <c r="AM4" s="1">
        <f>SUMIFS(BY_IND!AN$2:AN$663,BY_IND!$AU$2:$AU$663,'Industry (2)'!$B4,BY_IND!$AV$2:$AV$663,'Industry (2)'!$C4,BY_IND!$AX$2:$AX$663,"Yes")*0.98</f>
        <v>0.82843320900352158</v>
      </c>
      <c r="AN4" s="1">
        <f>SUMIFS(BY_IND!AO$2:AO$663,BY_IND!$AU$2:$AU$663,'Industry (2)'!$B4,BY_IND!$AV$2:$AV$663,'Industry (2)'!$C4,BY_IND!$AX$2:$AX$663,"Yes")*0.98</f>
        <v>0</v>
      </c>
      <c r="AO4" s="1">
        <f>SUMIFS(BY_IND!AP$2:AP$663,BY_IND!$AU$2:$AU$663,'Industry (2)'!$B4,BY_IND!$AV$2:$AV$663,'Industry (2)'!$C4,BY_IND!$AX$2:$AX$663,"Yes")*0.98</f>
        <v>0</v>
      </c>
      <c r="AP4" s="1"/>
      <c r="AQ4" s="1"/>
      <c r="AR4" s="1"/>
      <c r="AS4" s="1"/>
      <c r="AT4" s="1"/>
      <c r="AU4" s="1"/>
      <c r="AV4" s="1"/>
      <c r="AW4" s="1"/>
      <c r="AX4" s="1"/>
    </row>
    <row r="5" spans="2:50">
      <c r="B5" t="s">
        <v>459</v>
      </c>
      <c r="C5" t="s">
        <v>462</v>
      </c>
      <c r="E5">
        <v>2019</v>
      </c>
      <c r="F5" t="str">
        <f t="shared" ref="F5:F13" si="0">B5&amp;"_"&amp;C5</f>
        <v>ICH_PRH</v>
      </c>
      <c r="G5" t="s">
        <v>461</v>
      </c>
      <c r="H5" t="str">
        <f t="shared" ref="H5:H13" si="1">F5</f>
        <v>ICH_PRH</v>
      </c>
      <c r="I5" t="str">
        <f t="shared" ref="I5:I13" si="2">"Fossil-"&amp;F5</f>
        <v>Fossil-ICH_PRH</v>
      </c>
      <c r="K5" s="1">
        <f>SUMIFS(BY_IND!L$2:L$663,BY_IND!$AU$2:$AU$663,'Industry (2)'!$B5,BY_IND!$AV$2:$AV$663,'Industry (2)'!$C5,BY_IND!$AX$2:$AX$663,"Yes")*0.98</f>
        <v>0.81683645345647771</v>
      </c>
      <c r="L5" s="1">
        <f>SUMIFS(BY_IND!M$2:M$663,BY_IND!$AU$2:$AU$663,'Industry (2)'!$B5,BY_IND!$AV$2:$AV$663,'Industry (2)'!$C5,BY_IND!$AX$2:$AX$663,"Yes")*0.98</f>
        <v>0.96652548579518704</v>
      </c>
      <c r="M5" s="1">
        <f>SUMIFS(BY_IND!N$2:N$663,BY_IND!$AU$2:$AU$663,'Industry (2)'!$B5,BY_IND!$AV$2:$AV$663,'Industry (2)'!$C5,BY_IND!$AX$2:$AX$663,"Yes")*0.98</f>
        <v>0.83811745991758912</v>
      </c>
      <c r="N5" s="1">
        <f>SUMIFS(BY_IND!O$2:O$663,BY_IND!$AU$2:$AU$663,'Industry (2)'!$B5,BY_IND!$AV$2:$AV$663,'Industry (2)'!$C5,BY_IND!$AX$2:$AX$663,"Yes")*0.98</f>
        <v>0.94434080252151176</v>
      </c>
      <c r="O5" s="1">
        <f>SUMIFS(BY_IND!P$2:P$663,BY_IND!$AU$2:$AU$663,'Industry (2)'!$B5,BY_IND!$AV$2:$AV$663,'Industry (2)'!$C5,BY_IND!$AX$2:$AX$663,"Yes")*0.98</f>
        <v>0.82424789305793122</v>
      </c>
      <c r="P5" s="1">
        <f>SUMIFS(BY_IND!Q$2:Q$663,BY_IND!$AU$2:$AU$663,'Industry (2)'!$B5,BY_IND!$AV$2:$AV$663,'Industry (2)'!$C5,BY_IND!$AX$2:$AX$663,"Yes")*0.98</f>
        <v>0.92847970719313411</v>
      </c>
      <c r="Q5" s="1">
        <f>SUMIFS(BY_IND!R$2:R$663,BY_IND!$AU$2:$AU$663,'Industry (2)'!$B5,BY_IND!$AV$2:$AV$663,'Industry (2)'!$C5,BY_IND!$AX$2:$AX$663,"Yes")*0.98</f>
        <v>0.93075847118266131</v>
      </c>
      <c r="R5" s="1">
        <f>SUMIFS(BY_IND!S$2:S$663,BY_IND!$AU$2:$AU$663,'Industry (2)'!$B5,BY_IND!$AV$2:$AV$663,'Industry (2)'!$C5,BY_IND!$AX$2:$AX$663,"Yes")*0.98</f>
        <v>0.89083507975637943</v>
      </c>
      <c r="S5" s="1">
        <f>SUMIFS(BY_IND!T$2:T$663,BY_IND!$AU$2:$AU$663,'Industry (2)'!$B5,BY_IND!$AV$2:$AV$663,'Industry (2)'!$C5,BY_IND!$AX$2:$AX$663,"Yes")*0.98</f>
        <v>0.92644765987438649</v>
      </c>
      <c r="T5" s="1">
        <f>SUMIFS(BY_IND!U$2:U$663,BY_IND!$AU$2:$AU$663,'Industry (2)'!$B5,BY_IND!$AV$2:$AV$663,'Industry (2)'!$C5,BY_IND!$AX$2:$AX$663,"Yes")*0.98</f>
        <v>0.90157071282973378</v>
      </c>
      <c r="U5" s="1">
        <f>SUMIFS(BY_IND!V$2:V$663,BY_IND!$AU$2:$AU$663,'Industry (2)'!$B5,BY_IND!$AV$2:$AV$663,'Industry (2)'!$C5,BY_IND!$AX$2:$AX$663,"Yes")*0.98</f>
        <v>0.71224865080102062</v>
      </c>
      <c r="V5" s="1">
        <f>SUMIFS(BY_IND!W$2:W$663,BY_IND!$AU$2:$AU$663,'Industry (2)'!$B5,BY_IND!$AV$2:$AV$663,'Industry (2)'!$C5,BY_IND!$AX$2:$AX$663,"Yes")*0.98</f>
        <v>0.88940126700063327</v>
      </c>
      <c r="W5" s="1">
        <f>SUMIFS(BY_IND!X$2:X$663,BY_IND!$AU$2:$AU$663,'Industry (2)'!$B5,BY_IND!$AV$2:$AV$663,'Industry (2)'!$C5,BY_IND!$AX$2:$AX$663,"Yes")*0.98</f>
        <v>0.93594557914357313</v>
      </c>
      <c r="X5" s="1">
        <f>SUMIFS(BY_IND!Y$2:Y$663,BY_IND!$AU$2:$AU$663,'Industry (2)'!$B5,BY_IND!$AV$2:$AV$663,'Industry (2)'!$C5,BY_IND!$AX$2:$AX$663,"Yes")*0.98</f>
        <v>0.83670097536901278</v>
      </c>
      <c r="Y5" s="1">
        <f>SUMIFS(BY_IND!Z$2:Z$663,BY_IND!$AU$2:$AU$663,'Industry (2)'!$B5,BY_IND!$AV$2:$AV$663,'Industry (2)'!$C5,BY_IND!$AX$2:$AX$663,"Yes")*0.98</f>
        <v>0.91824941921869707</v>
      </c>
      <c r="Z5" s="1">
        <f>SUMIFS(BY_IND!AA$2:AA$663,BY_IND!$AU$2:$AU$663,'Industry (2)'!$B5,BY_IND!$AV$2:$AV$663,'Industry (2)'!$C5,BY_IND!$AX$2:$AX$663,"Yes")*0.98</f>
        <v>0.93748031928579734</v>
      </c>
      <c r="AA5" s="1">
        <f>SUMIFS(BY_IND!AB$2:AB$663,BY_IND!$AU$2:$AU$663,'Industry (2)'!$B5,BY_IND!$AV$2:$AV$663,'Industry (2)'!$C5,BY_IND!$AX$2:$AX$663,"Yes")*0.98</f>
        <v>0.88738322522448332</v>
      </c>
      <c r="AB5" s="1">
        <f>SUMIFS(BY_IND!AC$2:AC$663,BY_IND!$AU$2:$AU$663,'Industry (2)'!$B5,BY_IND!$AV$2:$AV$663,'Industry (2)'!$C5,BY_IND!$AX$2:$AX$663,"Yes")*0.98</f>
        <v>0.91316884543886101</v>
      </c>
      <c r="AC5" s="1">
        <f>SUMIFS(BY_IND!AD$2:AD$663,BY_IND!$AU$2:$AU$663,'Industry (2)'!$B5,BY_IND!$AV$2:$AV$663,'Industry (2)'!$C5,BY_IND!$AX$2:$AX$663,"Yes")*0.98</f>
        <v>0.88193738171867653</v>
      </c>
      <c r="AD5" s="1">
        <f>SUMIFS(BY_IND!AE$2:AE$663,BY_IND!$AU$2:$AU$663,'Industry (2)'!$B5,BY_IND!$AV$2:$AV$663,'Industry (2)'!$C5,BY_IND!$AX$2:$AX$663,"Yes")*0.98</f>
        <v>0.89839600900966721</v>
      </c>
      <c r="AE5" s="1">
        <f>SUMIFS(BY_IND!AF$2:AF$663,BY_IND!$AU$2:$AU$663,'Industry (2)'!$B5,BY_IND!$AV$2:$AV$663,'Industry (2)'!$C5,BY_IND!$AX$2:$AX$663,"Yes")*0.98</f>
        <v>0.90734532180777761</v>
      </c>
      <c r="AF5" s="1">
        <f>SUMIFS(BY_IND!AG$2:AG$663,BY_IND!$AU$2:$AU$663,'Industry (2)'!$B5,BY_IND!$AV$2:$AV$663,'Industry (2)'!$C5,BY_IND!$AX$2:$AX$663,"Yes")*0.98</f>
        <v>0.95389879248265586</v>
      </c>
      <c r="AG5" s="1">
        <f>SUMIFS(BY_IND!AH$2:AH$663,BY_IND!$AU$2:$AU$663,'Industry (2)'!$B5,BY_IND!$AV$2:$AV$663,'Industry (2)'!$C5,BY_IND!$AX$2:$AX$663,"Yes")*0.98</f>
        <v>0.97013459820742953</v>
      </c>
      <c r="AH5" s="1">
        <f>SUMIFS(BY_IND!AI$2:AI$663,BY_IND!$AU$2:$AU$663,'Industry (2)'!$B5,BY_IND!$AV$2:$AV$663,'Industry (2)'!$C5,BY_IND!$AX$2:$AX$663,"Yes")*0.98</f>
        <v>0.78012548189167297</v>
      </c>
      <c r="AI5" s="1">
        <f>SUMIFS(BY_IND!AJ$2:AJ$663,BY_IND!$AU$2:$AU$663,'Industry (2)'!$B5,BY_IND!$AV$2:$AV$663,'Industry (2)'!$C5,BY_IND!$AX$2:$AX$663,"Yes")*0.98</f>
        <v>0.9196031339261832</v>
      </c>
      <c r="AJ5" s="1">
        <f>SUMIFS(BY_IND!AK$2:AK$663,BY_IND!$AU$2:$AU$663,'Industry (2)'!$B5,BY_IND!$AV$2:$AV$663,'Industry (2)'!$C5,BY_IND!$AX$2:$AX$663,"Yes")*0.98</f>
        <v>0</v>
      </c>
      <c r="AK5" s="1">
        <f>SUMIFS(BY_IND!AL$2:AL$663,BY_IND!$AU$2:$AU$663,'Industry (2)'!$B5,BY_IND!$AV$2:$AV$663,'Industry (2)'!$C5,BY_IND!$AX$2:$AX$663,"Yes")*0.98</f>
        <v>0.93843548772321628</v>
      </c>
      <c r="AL5" s="1">
        <f>SUMIFS(BY_IND!AM$2:AM$663,BY_IND!$AU$2:$AU$663,'Industry (2)'!$B5,BY_IND!$AV$2:$AV$663,'Industry (2)'!$C5,BY_IND!$AX$2:$AX$663,"Yes")*0.98</f>
        <v>0.87671562950281912</v>
      </c>
      <c r="AM5" s="1">
        <f>SUMIFS(BY_IND!AN$2:AN$663,BY_IND!$AU$2:$AU$663,'Industry (2)'!$B5,BY_IND!$AV$2:$AV$663,'Industry (2)'!$C5,BY_IND!$AX$2:$AX$663,"Yes")*0.98</f>
        <v>0.9505509875330499</v>
      </c>
      <c r="AN5" s="1">
        <f>SUMIFS(BY_IND!AO$2:AO$663,BY_IND!$AU$2:$AU$663,'Industry (2)'!$B5,BY_IND!$AV$2:$AV$663,'Industry (2)'!$C5,BY_IND!$AX$2:$AX$663,"Yes")*0.98</f>
        <v>0</v>
      </c>
      <c r="AO5" s="1">
        <f>SUMIFS(BY_IND!AP$2:AP$663,BY_IND!$AU$2:$AU$663,'Industry (2)'!$B5,BY_IND!$AV$2:$AV$663,'Industry (2)'!$C5,BY_IND!$AX$2:$AX$663,"Yes")*0.98</f>
        <v>0</v>
      </c>
      <c r="AP5" s="1"/>
      <c r="AQ5" s="1"/>
      <c r="AR5" s="1"/>
      <c r="AS5" s="1"/>
      <c r="AT5" s="1"/>
      <c r="AU5" s="1"/>
      <c r="AV5" s="1"/>
      <c r="AW5" s="1"/>
      <c r="AX5" s="1"/>
    </row>
    <row r="6" spans="2:50">
      <c r="B6" t="s">
        <v>463</v>
      </c>
      <c r="C6" t="s">
        <v>460</v>
      </c>
      <c r="E6">
        <v>2019</v>
      </c>
      <c r="F6" t="str">
        <f t="shared" si="0"/>
        <v>IIS_OTH</v>
      </c>
      <c r="G6" t="s">
        <v>461</v>
      </c>
      <c r="H6" t="str">
        <f t="shared" si="1"/>
        <v>IIS_OTH</v>
      </c>
      <c r="I6" t="str">
        <f t="shared" si="2"/>
        <v>Fossil-IIS_OTH</v>
      </c>
      <c r="K6" s="1">
        <f>SUMIFS(BY_IND!L$2:L$663,BY_IND!$AU$2:$AU$663,'Industry (2)'!$B6,BY_IND!$AV$2:$AV$663,'Industry (2)'!$C6,BY_IND!$AX$2:$AX$663,"Yes")*0.98</f>
        <v>0</v>
      </c>
      <c r="L6" s="1">
        <f>SUMIFS(BY_IND!M$2:M$663,BY_IND!$AU$2:$AU$663,'Industry (2)'!$B6,BY_IND!$AV$2:$AV$663,'Industry (2)'!$C6,BY_IND!$AX$2:$AX$663,"Yes")*0.98</f>
        <v>0</v>
      </c>
      <c r="M6" s="1">
        <f>SUMIFS(BY_IND!N$2:N$663,BY_IND!$AU$2:$AU$663,'Industry (2)'!$B6,BY_IND!$AV$2:$AV$663,'Industry (2)'!$C6,BY_IND!$AX$2:$AX$663,"Yes")*0.98</f>
        <v>0</v>
      </c>
      <c r="N6" s="1">
        <f>SUMIFS(BY_IND!O$2:O$663,BY_IND!$AU$2:$AU$663,'Industry (2)'!$B6,BY_IND!$AV$2:$AV$663,'Industry (2)'!$C6,BY_IND!$AX$2:$AX$663,"Yes")*0.98</f>
        <v>0</v>
      </c>
      <c r="O6" s="1">
        <f>SUMIFS(BY_IND!P$2:P$663,BY_IND!$AU$2:$AU$663,'Industry (2)'!$B6,BY_IND!$AV$2:$AV$663,'Industry (2)'!$C6,BY_IND!$AX$2:$AX$663,"Yes")*0.98</f>
        <v>0</v>
      </c>
      <c r="P6" s="1">
        <f>SUMIFS(BY_IND!Q$2:Q$663,BY_IND!$AU$2:$AU$663,'Industry (2)'!$B6,BY_IND!$AV$2:$AV$663,'Industry (2)'!$C6,BY_IND!$AX$2:$AX$663,"Yes")*0.98</f>
        <v>0</v>
      </c>
      <c r="Q6" s="1">
        <f>SUMIFS(BY_IND!R$2:R$663,BY_IND!$AU$2:$AU$663,'Industry (2)'!$B6,BY_IND!$AV$2:$AV$663,'Industry (2)'!$C6,BY_IND!$AX$2:$AX$663,"Yes")*0.98</f>
        <v>0</v>
      </c>
      <c r="R6" s="1">
        <f>SUMIFS(BY_IND!S$2:S$663,BY_IND!$AU$2:$AU$663,'Industry (2)'!$B6,BY_IND!$AV$2:$AV$663,'Industry (2)'!$C6,BY_IND!$AX$2:$AX$663,"Yes")*0.98</f>
        <v>0</v>
      </c>
      <c r="S6" s="1">
        <f>SUMIFS(BY_IND!T$2:T$663,BY_IND!$AU$2:$AU$663,'Industry (2)'!$B6,BY_IND!$AV$2:$AV$663,'Industry (2)'!$C6,BY_IND!$AX$2:$AX$663,"Yes")*0.98</f>
        <v>0</v>
      </c>
      <c r="T6" s="1">
        <f>SUMIFS(BY_IND!U$2:U$663,BY_IND!$AU$2:$AU$663,'Industry (2)'!$B6,BY_IND!$AV$2:$AV$663,'Industry (2)'!$C6,BY_IND!$AX$2:$AX$663,"Yes")*0.98</f>
        <v>0</v>
      </c>
      <c r="U6" s="1">
        <f>SUMIFS(BY_IND!V$2:V$663,BY_IND!$AU$2:$AU$663,'Industry (2)'!$B6,BY_IND!$AV$2:$AV$663,'Industry (2)'!$C6,BY_IND!$AX$2:$AX$663,"Yes")*0.98</f>
        <v>0</v>
      </c>
      <c r="V6" s="1">
        <f>SUMIFS(BY_IND!W$2:W$663,BY_IND!$AU$2:$AU$663,'Industry (2)'!$B6,BY_IND!$AV$2:$AV$663,'Industry (2)'!$C6,BY_IND!$AX$2:$AX$663,"Yes")*0.98</f>
        <v>0</v>
      </c>
      <c r="W6" s="1">
        <f>SUMIFS(BY_IND!X$2:X$663,BY_IND!$AU$2:$AU$663,'Industry (2)'!$B6,BY_IND!$AV$2:$AV$663,'Industry (2)'!$C6,BY_IND!$AX$2:$AX$663,"Yes")*0.98</f>
        <v>0</v>
      </c>
      <c r="X6" s="1">
        <f>SUMIFS(BY_IND!Y$2:Y$663,BY_IND!$AU$2:$AU$663,'Industry (2)'!$B6,BY_IND!$AV$2:$AV$663,'Industry (2)'!$C6,BY_IND!$AX$2:$AX$663,"Yes")*0.98</f>
        <v>0</v>
      </c>
      <c r="Y6" s="1">
        <f>SUMIFS(BY_IND!Z$2:Z$663,BY_IND!$AU$2:$AU$663,'Industry (2)'!$B6,BY_IND!$AV$2:$AV$663,'Industry (2)'!$C6,BY_IND!$AX$2:$AX$663,"Yes")*0.98</f>
        <v>0</v>
      </c>
      <c r="Z6" s="1">
        <f>SUMIFS(BY_IND!AA$2:AA$663,BY_IND!$AU$2:$AU$663,'Industry (2)'!$B6,BY_IND!$AV$2:$AV$663,'Industry (2)'!$C6,BY_IND!$AX$2:$AX$663,"Yes")*0.98</f>
        <v>0</v>
      </c>
      <c r="AA6" s="1">
        <f>SUMIFS(BY_IND!AB$2:AB$663,BY_IND!$AU$2:$AU$663,'Industry (2)'!$B6,BY_IND!$AV$2:$AV$663,'Industry (2)'!$C6,BY_IND!$AX$2:$AX$663,"Yes")*0.98</f>
        <v>0</v>
      </c>
      <c r="AB6" s="1">
        <f>SUMIFS(BY_IND!AC$2:AC$663,BY_IND!$AU$2:$AU$663,'Industry (2)'!$B6,BY_IND!$AV$2:$AV$663,'Industry (2)'!$C6,BY_IND!$AX$2:$AX$663,"Yes")*0.98</f>
        <v>0</v>
      </c>
      <c r="AC6" s="1">
        <f>SUMIFS(BY_IND!AD$2:AD$663,BY_IND!$AU$2:$AU$663,'Industry (2)'!$B6,BY_IND!$AV$2:$AV$663,'Industry (2)'!$C6,BY_IND!$AX$2:$AX$663,"Yes")*0.98</f>
        <v>0</v>
      </c>
      <c r="AD6" s="1">
        <f>SUMIFS(BY_IND!AE$2:AE$663,BY_IND!$AU$2:$AU$663,'Industry (2)'!$B6,BY_IND!$AV$2:$AV$663,'Industry (2)'!$C6,BY_IND!$AX$2:$AX$663,"Yes")*0.98</f>
        <v>0</v>
      </c>
      <c r="AE6" s="1">
        <f>SUMIFS(BY_IND!AF$2:AF$663,BY_IND!$AU$2:$AU$663,'Industry (2)'!$B6,BY_IND!$AV$2:$AV$663,'Industry (2)'!$C6,BY_IND!$AX$2:$AX$663,"Yes")*0.98</f>
        <v>0</v>
      </c>
      <c r="AF6" s="1">
        <f>SUMIFS(BY_IND!AG$2:AG$663,BY_IND!$AU$2:$AU$663,'Industry (2)'!$B6,BY_IND!$AV$2:$AV$663,'Industry (2)'!$C6,BY_IND!$AX$2:$AX$663,"Yes")*0.98</f>
        <v>0</v>
      </c>
      <c r="AG6" s="1">
        <f>SUMIFS(BY_IND!AH$2:AH$663,BY_IND!$AU$2:$AU$663,'Industry (2)'!$B6,BY_IND!$AV$2:$AV$663,'Industry (2)'!$C6,BY_IND!$AX$2:$AX$663,"Yes")*0.98</f>
        <v>0</v>
      </c>
      <c r="AH6" s="1">
        <f>SUMIFS(BY_IND!AI$2:AI$663,BY_IND!$AU$2:$AU$663,'Industry (2)'!$B6,BY_IND!$AV$2:$AV$663,'Industry (2)'!$C6,BY_IND!$AX$2:$AX$663,"Yes")*0.98</f>
        <v>0</v>
      </c>
      <c r="AI6" s="1">
        <f>SUMIFS(BY_IND!AJ$2:AJ$663,BY_IND!$AU$2:$AU$663,'Industry (2)'!$B6,BY_IND!$AV$2:$AV$663,'Industry (2)'!$C6,BY_IND!$AX$2:$AX$663,"Yes")*0.98</f>
        <v>0</v>
      </c>
      <c r="AJ6" s="1">
        <f>SUMIFS(BY_IND!AK$2:AK$663,BY_IND!$AU$2:$AU$663,'Industry (2)'!$B6,BY_IND!$AV$2:$AV$663,'Industry (2)'!$C6,BY_IND!$AX$2:$AX$663,"Yes")*0.98</f>
        <v>0</v>
      </c>
      <c r="AK6" s="1">
        <f>SUMIFS(BY_IND!AL$2:AL$663,BY_IND!$AU$2:$AU$663,'Industry (2)'!$B6,BY_IND!$AV$2:$AV$663,'Industry (2)'!$C6,BY_IND!$AX$2:$AX$663,"Yes")*0.98</f>
        <v>0</v>
      </c>
      <c r="AL6" s="1">
        <f>SUMIFS(BY_IND!AM$2:AM$663,BY_IND!$AU$2:$AU$663,'Industry (2)'!$B6,BY_IND!$AV$2:$AV$663,'Industry (2)'!$C6,BY_IND!$AX$2:$AX$663,"Yes")*0.98</f>
        <v>0</v>
      </c>
      <c r="AM6" s="1">
        <f>SUMIFS(BY_IND!AN$2:AN$663,BY_IND!$AU$2:$AU$663,'Industry (2)'!$B6,BY_IND!$AV$2:$AV$663,'Industry (2)'!$C6,BY_IND!$AX$2:$AX$663,"Yes")*0.98</f>
        <v>0</v>
      </c>
      <c r="AN6" s="1">
        <f>SUMIFS(BY_IND!AO$2:AO$663,BY_IND!$AU$2:$AU$663,'Industry (2)'!$B6,BY_IND!$AV$2:$AV$663,'Industry (2)'!$C6,BY_IND!$AX$2:$AX$663,"Yes")*0.98</f>
        <v>0</v>
      </c>
      <c r="AO6" s="1">
        <f>SUMIFS(BY_IND!AP$2:AP$663,BY_IND!$AU$2:$AU$663,'Industry (2)'!$B6,BY_IND!$AV$2:$AV$663,'Industry (2)'!$C6,BY_IND!$AX$2:$AX$663,"Yes")*0.98</f>
        <v>0</v>
      </c>
      <c r="AP6" s="1"/>
      <c r="AQ6" s="1"/>
      <c r="AR6" s="1"/>
      <c r="AS6" s="1"/>
      <c r="AT6" s="1"/>
      <c r="AU6" s="1"/>
      <c r="AV6" s="1"/>
      <c r="AW6" s="1"/>
      <c r="AX6" s="1"/>
    </row>
    <row r="7" spans="2:50">
      <c r="B7" t="s">
        <v>463</v>
      </c>
      <c r="C7" t="s">
        <v>462</v>
      </c>
      <c r="E7">
        <v>2019</v>
      </c>
      <c r="F7" t="str">
        <f t="shared" si="0"/>
        <v>IIS_PRH</v>
      </c>
      <c r="G7" t="s">
        <v>461</v>
      </c>
      <c r="H7" t="str">
        <f t="shared" si="1"/>
        <v>IIS_PRH</v>
      </c>
      <c r="I7" t="str">
        <f t="shared" si="2"/>
        <v>Fossil-IIS_PRH</v>
      </c>
      <c r="K7" s="1">
        <f>SUMIFS(BY_IND!L$2:L$663,BY_IND!$AU$2:$AU$663,'Industry (2)'!$B7,BY_IND!$AV$2:$AV$663,'Industry (2)'!$C7,BY_IND!$AX$2:$AX$663,"Yes")*0.98</f>
        <v>0</v>
      </c>
      <c r="L7" s="1">
        <f>SUMIFS(BY_IND!M$2:M$663,BY_IND!$AU$2:$AU$663,'Industry (2)'!$B7,BY_IND!$AV$2:$AV$663,'Industry (2)'!$C7,BY_IND!$AX$2:$AX$663,"Yes")*0.98</f>
        <v>0</v>
      </c>
      <c r="M7" s="1">
        <f>SUMIFS(BY_IND!N$2:N$663,BY_IND!$AU$2:$AU$663,'Industry (2)'!$B7,BY_IND!$AV$2:$AV$663,'Industry (2)'!$C7,BY_IND!$AX$2:$AX$663,"Yes")*0.98</f>
        <v>0</v>
      </c>
      <c r="N7" s="1">
        <f>SUMIFS(BY_IND!O$2:O$663,BY_IND!$AU$2:$AU$663,'Industry (2)'!$B7,BY_IND!$AV$2:$AV$663,'Industry (2)'!$C7,BY_IND!$AX$2:$AX$663,"Yes")*0.98</f>
        <v>0</v>
      </c>
      <c r="O7" s="1">
        <f>SUMIFS(BY_IND!P$2:P$663,BY_IND!$AU$2:$AU$663,'Industry (2)'!$B7,BY_IND!$AV$2:$AV$663,'Industry (2)'!$C7,BY_IND!$AX$2:$AX$663,"Yes")*0.98</f>
        <v>0</v>
      </c>
      <c r="P7" s="1">
        <f>SUMIFS(BY_IND!Q$2:Q$663,BY_IND!$AU$2:$AU$663,'Industry (2)'!$B7,BY_IND!$AV$2:$AV$663,'Industry (2)'!$C7,BY_IND!$AX$2:$AX$663,"Yes")*0.98</f>
        <v>0</v>
      </c>
      <c r="Q7" s="1">
        <f>SUMIFS(BY_IND!R$2:R$663,BY_IND!$AU$2:$AU$663,'Industry (2)'!$B7,BY_IND!$AV$2:$AV$663,'Industry (2)'!$C7,BY_IND!$AX$2:$AX$663,"Yes")*0.98</f>
        <v>0</v>
      </c>
      <c r="R7" s="1">
        <f>SUMIFS(BY_IND!S$2:S$663,BY_IND!$AU$2:$AU$663,'Industry (2)'!$B7,BY_IND!$AV$2:$AV$663,'Industry (2)'!$C7,BY_IND!$AX$2:$AX$663,"Yes")*0.98</f>
        <v>0</v>
      </c>
      <c r="S7" s="1">
        <f>SUMIFS(BY_IND!T$2:T$663,BY_IND!$AU$2:$AU$663,'Industry (2)'!$B7,BY_IND!$AV$2:$AV$663,'Industry (2)'!$C7,BY_IND!$AX$2:$AX$663,"Yes")*0.98</f>
        <v>0</v>
      </c>
      <c r="T7" s="1">
        <f>SUMIFS(BY_IND!U$2:U$663,BY_IND!$AU$2:$AU$663,'Industry (2)'!$B7,BY_IND!$AV$2:$AV$663,'Industry (2)'!$C7,BY_IND!$AX$2:$AX$663,"Yes")*0.98</f>
        <v>0</v>
      </c>
      <c r="U7" s="1">
        <f>SUMIFS(BY_IND!V$2:V$663,BY_IND!$AU$2:$AU$663,'Industry (2)'!$B7,BY_IND!$AV$2:$AV$663,'Industry (2)'!$C7,BY_IND!$AX$2:$AX$663,"Yes")*0.98</f>
        <v>0</v>
      </c>
      <c r="V7" s="1">
        <f>SUMIFS(BY_IND!W$2:W$663,BY_IND!$AU$2:$AU$663,'Industry (2)'!$B7,BY_IND!$AV$2:$AV$663,'Industry (2)'!$C7,BY_IND!$AX$2:$AX$663,"Yes")*0.98</f>
        <v>0</v>
      </c>
      <c r="W7" s="1">
        <f>SUMIFS(BY_IND!X$2:X$663,BY_IND!$AU$2:$AU$663,'Industry (2)'!$B7,BY_IND!$AV$2:$AV$663,'Industry (2)'!$C7,BY_IND!$AX$2:$AX$663,"Yes")*0.98</f>
        <v>0</v>
      </c>
      <c r="X7" s="1">
        <f>SUMIFS(BY_IND!Y$2:Y$663,BY_IND!$AU$2:$AU$663,'Industry (2)'!$B7,BY_IND!$AV$2:$AV$663,'Industry (2)'!$C7,BY_IND!$AX$2:$AX$663,"Yes")*0.98</f>
        <v>0</v>
      </c>
      <c r="Y7" s="1">
        <f>SUMIFS(BY_IND!Z$2:Z$663,BY_IND!$AU$2:$AU$663,'Industry (2)'!$B7,BY_IND!$AV$2:$AV$663,'Industry (2)'!$C7,BY_IND!$AX$2:$AX$663,"Yes")*0.98</f>
        <v>0</v>
      </c>
      <c r="Z7" s="1">
        <f>SUMIFS(BY_IND!AA$2:AA$663,BY_IND!$AU$2:$AU$663,'Industry (2)'!$B7,BY_IND!$AV$2:$AV$663,'Industry (2)'!$C7,BY_IND!$AX$2:$AX$663,"Yes")*0.98</f>
        <v>0</v>
      </c>
      <c r="AA7" s="1">
        <f>SUMIFS(BY_IND!AB$2:AB$663,BY_IND!$AU$2:$AU$663,'Industry (2)'!$B7,BY_IND!$AV$2:$AV$663,'Industry (2)'!$C7,BY_IND!$AX$2:$AX$663,"Yes")*0.98</f>
        <v>0</v>
      </c>
      <c r="AB7" s="1">
        <f>SUMIFS(BY_IND!AC$2:AC$663,BY_IND!$AU$2:$AU$663,'Industry (2)'!$B7,BY_IND!$AV$2:$AV$663,'Industry (2)'!$C7,BY_IND!$AX$2:$AX$663,"Yes")*0.98</f>
        <v>0</v>
      </c>
      <c r="AC7" s="1">
        <f>SUMIFS(BY_IND!AD$2:AD$663,BY_IND!$AU$2:$AU$663,'Industry (2)'!$B7,BY_IND!$AV$2:$AV$663,'Industry (2)'!$C7,BY_IND!$AX$2:$AX$663,"Yes")*0.98</f>
        <v>0</v>
      </c>
      <c r="AD7" s="1">
        <f>SUMIFS(BY_IND!AE$2:AE$663,BY_IND!$AU$2:$AU$663,'Industry (2)'!$B7,BY_IND!$AV$2:$AV$663,'Industry (2)'!$C7,BY_IND!$AX$2:$AX$663,"Yes")*0.98</f>
        <v>0</v>
      </c>
      <c r="AE7" s="1">
        <f>SUMIFS(BY_IND!AF$2:AF$663,BY_IND!$AU$2:$AU$663,'Industry (2)'!$B7,BY_IND!$AV$2:$AV$663,'Industry (2)'!$C7,BY_IND!$AX$2:$AX$663,"Yes")*0.98</f>
        <v>0</v>
      </c>
      <c r="AF7" s="1">
        <f>SUMIFS(BY_IND!AG$2:AG$663,BY_IND!$AU$2:$AU$663,'Industry (2)'!$B7,BY_IND!$AV$2:$AV$663,'Industry (2)'!$C7,BY_IND!$AX$2:$AX$663,"Yes")*0.98</f>
        <v>0</v>
      </c>
      <c r="AG7" s="1">
        <f>SUMIFS(BY_IND!AH$2:AH$663,BY_IND!$AU$2:$AU$663,'Industry (2)'!$B7,BY_IND!$AV$2:$AV$663,'Industry (2)'!$C7,BY_IND!$AX$2:$AX$663,"Yes")*0.98</f>
        <v>0</v>
      </c>
      <c r="AH7" s="1">
        <f>SUMIFS(BY_IND!AI$2:AI$663,BY_IND!$AU$2:$AU$663,'Industry (2)'!$B7,BY_IND!$AV$2:$AV$663,'Industry (2)'!$C7,BY_IND!$AX$2:$AX$663,"Yes")*0.98</f>
        <v>0</v>
      </c>
      <c r="AI7" s="1">
        <f>SUMIFS(BY_IND!AJ$2:AJ$663,BY_IND!$AU$2:$AU$663,'Industry (2)'!$B7,BY_IND!$AV$2:$AV$663,'Industry (2)'!$C7,BY_IND!$AX$2:$AX$663,"Yes")*0.98</f>
        <v>0</v>
      </c>
      <c r="AJ7" s="1">
        <f>SUMIFS(BY_IND!AK$2:AK$663,BY_IND!$AU$2:$AU$663,'Industry (2)'!$B7,BY_IND!$AV$2:$AV$663,'Industry (2)'!$C7,BY_IND!$AX$2:$AX$663,"Yes")*0.98</f>
        <v>0</v>
      </c>
      <c r="AK7" s="1">
        <f>SUMIFS(BY_IND!AL$2:AL$663,BY_IND!$AU$2:$AU$663,'Industry (2)'!$B7,BY_IND!$AV$2:$AV$663,'Industry (2)'!$C7,BY_IND!$AX$2:$AX$663,"Yes")*0.98</f>
        <v>0</v>
      </c>
      <c r="AL7" s="1">
        <f>SUMIFS(BY_IND!AM$2:AM$663,BY_IND!$AU$2:$AU$663,'Industry (2)'!$B7,BY_IND!$AV$2:$AV$663,'Industry (2)'!$C7,BY_IND!$AX$2:$AX$663,"Yes")*0.98</f>
        <v>0</v>
      </c>
      <c r="AM7" s="1">
        <f>SUMIFS(BY_IND!AN$2:AN$663,BY_IND!$AU$2:$AU$663,'Industry (2)'!$B7,BY_IND!$AV$2:$AV$663,'Industry (2)'!$C7,BY_IND!$AX$2:$AX$663,"Yes")*0.98</f>
        <v>0</v>
      </c>
      <c r="AN7" s="1">
        <f>SUMIFS(BY_IND!AO$2:AO$663,BY_IND!$AU$2:$AU$663,'Industry (2)'!$B7,BY_IND!$AV$2:$AV$663,'Industry (2)'!$C7,BY_IND!$AX$2:$AX$663,"Yes")*0.98</f>
        <v>0</v>
      </c>
      <c r="AO7" s="1">
        <f>SUMIFS(BY_IND!AP$2:AP$663,BY_IND!$AU$2:$AU$663,'Industry (2)'!$B7,BY_IND!$AV$2:$AV$663,'Industry (2)'!$C7,BY_IND!$AX$2:$AX$663,"Yes")*0.98</f>
        <v>0</v>
      </c>
      <c r="AP7" s="1"/>
      <c r="AQ7" s="1"/>
      <c r="AR7" s="1"/>
      <c r="AS7" s="1"/>
      <c r="AT7" s="1"/>
      <c r="AU7" s="1"/>
      <c r="AV7" s="1"/>
      <c r="AW7" s="1"/>
      <c r="AX7" s="1"/>
    </row>
    <row r="8" spans="2:50">
      <c r="B8" t="s">
        <v>464</v>
      </c>
      <c r="C8" t="s">
        <v>460</v>
      </c>
      <c r="E8">
        <v>2019</v>
      </c>
      <c r="F8" t="str">
        <f t="shared" si="0"/>
        <v>INF_OTH</v>
      </c>
      <c r="G8" t="s">
        <v>461</v>
      </c>
      <c r="H8" t="str">
        <f t="shared" si="1"/>
        <v>INF_OTH</v>
      </c>
      <c r="I8" t="str">
        <f t="shared" si="2"/>
        <v>Fossil-INF_OTH</v>
      </c>
      <c r="K8" s="1">
        <f>SUMIFS(BY_IND!L$2:L$663,BY_IND!$AU$2:$AU$663,'Industry (2)'!$B8,BY_IND!$AV$2:$AV$663,'Industry (2)'!$C8,BY_IND!$AX$2:$AX$663,"Yes")*0.98</f>
        <v>0.94176591310302926</v>
      </c>
      <c r="L8" s="1">
        <f>SUMIFS(BY_IND!M$2:M$663,BY_IND!$AU$2:$AU$663,'Industry (2)'!$B8,BY_IND!$AV$2:$AV$663,'Industry (2)'!$C8,BY_IND!$AX$2:$AX$663,"Yes")*0.98</f>
        <v>0.61634207609146885</v>
      </c>
      <c r="M8" s="1">
        <f>SUMIFS(BY_IND!N$2:N$663,BY_IND!$AU$2:$AU$663,'Industry (2)'!$B8,BY_IND!$AV$2:$AV$663,'Industry (2)'!$C8,BY_IND!$AX$2:$AX$663,"Yes")*0.98</f>
        <v>8.9651959349434748E-2</v>
      </c>
      <c r="N8" s="1">
        <f>SUMIFS(BY_IND!O$2:O$663,BY_IND!$AU$2:$AU$663,'Industry (2)'!$B8,BY_IND!$AV$2:$AV$663,'Industry (2)'!$C8,BY_IND!$AX$2:$AX$663,"Yes")*0.98</f>
        <v>0.72190379652015113</v>
      </c>
      <c r="O8" s="1">
        <f>SUMIFS(BY_IND!P$2:P$663,BY_IND!$AU$2:$AU$663,'Industry (2)'!$B8,BY_IND!$AV$2:$AV$663,'Industry (2)'!$C8,BY_IND!$AX$2:$AX$663,"Yes")*0.98</f>
        <v>0.90557389174409308</v>
      </c>
      <c r="P8" s="1">
        <f>SUMIFS(BY_IND!Q$2:Q$663,BY_IND!$AU$2:$AU$663,'Industry (2)'!$B8,BY_IND!$AV$2:$AV$663,'Industry (2)'!$C8,BY_IND!$AX$2:$AX$663,"Yes")*0.98</f>
        <v>0.94230213864082435</v>
      </c>
      <c r="Q8" s="1">
        <f>SUMIFS(BY_IND!R$2:R$663,BY_IND!$AU$2:$AU$663,'Industry (2)'!$B8,BY_IND!$AV$2:$AV$663,'Industry (2)'!$C8,BY_IND!$AX$2:$AX$663,"Yes")*0.98</f>
        <v>0.81764942126664542</v>
      </c>
      <c r="R8" s="1">
        <f>SUMIFS(BY_IND!S$2:S$663,BY_IND!$AU$2:$AU$663,'Industry (2)'!$B8,BY_IND!$AV$2:$AV$663,'Industry (2)'!$C8,BY_IND!$AX$2:$AX$663,"Yes")*0.98</f>
        <v>0.94204393075296178</v>
      </c>
      <c r="S8" s="1">
        <f>SUMIFS(BY_IND!T$2:T$663,BY_IND!$AU$2:$AU$663,'Industry (2)'!$B8,BY_IND!$AV$2:$AV$663,'Industry (2)'!$C8,BY_IND!$AX$2:$AX$663,"Yes")*0.98</f>
        <v>0.42089668674014324</v>
      </c>
      <c r="T8" s="1">
        <f>SUMIFS(BY_IND!U$2:U$663,BY_IND!$AU$2:$AU$663,'Industry (2)'!$B8,BY_IND!$AV$2:$AV$663,'Industry (2)'!$C8,BY_IND!$AX$2:$AX$663,"Yes")*0.98</f>
        <v>0.37052062998826962</v>
      </c>
      <c r="U8" s="1">
        <f>SUMIFS(BY_IND!V$2:V$663,BY_IND!$AU$2:$AU$663,'Industry (2)'!$B8,BY_IND!$AV$2:$AV$663,'Industry (2)'!$C8,BY_IND!$AX$2:$AX$663,"Yes")*0.98</f>
        <v>0.87271430158056418</v>
      </c>
      <c r="V8" s="1">
        <f>SUMIFS(BY_IND!W$2:W$663,BY_IND!$AU$2:$AU$663,'Industry (2)'!$B8,BY_IND!$AV$2:$AV$663,'Industry (2)'!$C8,BY_IND!$AX$2:$AX$663,"Yes")*0.98</f>
        <v>0.61879889973909652</v>
      </c>
      <c r="W8" s="1">
        <f>SUMIFS(BY_IND!X$2:X$663,BY_IND!$AU$2:$AU$663,'Industry (2)'!$B8,BY_IND!$AV$2:$AV$663,'Industry (2)'!$C8,BY_IND!$AX$2:$AX$663,"Yes")*0.98</f>
        <v>0.64070315306637415</v>
      </c>
      <c r="X8" s="1">
        <f>SUMIFS(BY_IND!Y$2:Y$663,BY_IND!$AU$2:$AU$663,'Industry (2)'!$B8,BY_IND!$AV$2:$AV$663,'Industry (2)'!$C8,BY_IND!$AX$2:$AX$663,"Yes")*0.98</f>
        <v>0.86614837223116303</v>
      </c>
      <c r="Y8" s="1">
        <f>SUMIFS(BY_IND!Z$2:Z$663,BY_IND!$AU$2:$AU$663,'Industry (2)'!$B8,BY_IND!$AV$2:$AV$663,'Industry (2)'!$C8,BY_IND!$AX$2:$AX$663,"Yes")*0.98</f>
        <v>0.68751830361931288</v>
      </c>
      <c r="Z8" s="1">
        <f>SUMIFS(BY_IND!AA$2:AA$663,BY_IND!$AU$2:$AU$663,'Industry (2)'!$B8,BY_IND!$AV$2:$AV$663,'Industry (2)'!$C8,BY_IND!$AX$2:$AX$663,"Yes")*0.98</f>
        <v>0.84275251707289123</v>
      </c>
      <c r="AA8" s="1">
        <f>SUMIFS(BY_IND!AB$2:AB$663,BY_IND!$AU$2:$AU$663,'Industry (2)'!$B8,BY_IND!$AV$2:$AV$663,'Industry (2)'!$C8,BY_IND!$AX$2:$AX$663,"Yes")*0.98</f>
        <v>0.78787822563759824</v>
      </c>
      <c r="AB8" s="1">
        <f>SUMIFS(BY_IND!AC$2:AC$663,BY_IND!$AU$2:$AU$663,'Industry (2)'!$B8,BY_IND!$AV$2:$AV$663,'Industry (2)'!$C8,BY_IND!$AX$2:$AX$663,"Yes")*0.98</f>
        <v>0.86119222404070295</v>
      </c>
      <c r="AC8" s="1">
        <f>SUMIFS(BY_IND!AD$2:AD$663,BY_IND!$AU$2:$AU$663,'Industry (2)'!$B8,BY_IND!$AV$2:$AV$663,'Industry (2)'!$C8,BY_IND!$AX$2:$AX$663,"Yes")*0.98</f>
        <v>0.63128130889635969</v>
      </c>
      <c r="AD8" s="1">
        <f>SUMIFS(BY_IND!AE$2:AE$663,BY_IND!$AU$2:$AU$663,'Industry (2)'!$B8,BY_IND!$AV$2:$AV$663,'Industry (2)'!$C8,BY_IND!$AX$2:$AX$663,"Yes")*0.98</f>
        <v>0.82618045590813183</v>
      </c>
      <c r="AE8" s="1">
        <f>SUMIFS(BY_IND!AF$2:AF$663,BY_IND!$AU$2:$AU$663,'Industry (2)'!$B8,BY_IND!$AV$2:$AV$663,'Industry (2)'!$C8,BY_IND!$AX$2:$AX$663,"Yes")*0.98</f>
        <v>0.84567412674928333</v>
      </c>
      <c r="AF8" s="1">
        <f>SUMIFS(BY_IND!AG$2:AG$663,BY_IND!$AU$2:$AU$663,'Industry (2)'!$B8,BY_IND!$AV$2:$AV$663,'Industry (2)'!$C8,BY_IND!$AX$2:$AX$663,"Yes")*0.98</f>
        <v>0</v>
      </c>
      <c r="AG8" s="1">
        <f>SUMIFS(BY_IND!AH$2:AH$663,BY_IND!$AU$2:$AU$663,'Industry (2)'!$B8,BY_IND!$AV$2:$AV$663,'Industry (2)'!$C8,BY_IND!$AX$2:$AX$663,"Yes")*0.98</f>
        <v>0</v>
      </c>
      <c r="AH8" s="1">
        <f>SUMIFS(BY_IND!AI$2:AI$663,BY_IND!$AU$2:$AU$663,'Industry (2)'!$B8,BY_IND!$AV$2:$AV$663,'Industry (2)'!$C8,BY_IND!$AX$2:$AX$663,"Yes")*0.98</f>
        <v>0.30480394867433896</v>
      </c>
      <c r="AI8" s="1">
        <f>SUMIFS(BY_IND!AJ$2:AJ$663,BY_IND!$AU$2:$AU$663,'Industry (2)'!$B8,BY_IND!$AV$2:$AV$663,'Industry (2)'!$C8,BY_IND!$AX$2:$AX$663,"Yes")*0.98</f>
        <v>0</v>
      </c>
      <c r="AJ8" s="1">
        <f>SUMIFS(BY_IND!AK$2:AK$663,BY_IND!$AU$2:$AU$663,'Industry (2)'!$B8,BY_IND!$AV$2:$AV$663,'Industry (2)'!$C8,BY_IND!$AX$2:$AX$663,"Yes")*0.98</f>
        <v>0</v>
      </c>
      <c r="AK8" s="1">
        <f>SUMIFS(BY_IND!AL$2:AL$663,BY_IND!$AU$2:$AU$663,'Industry (2)'!$B8,BY_IND!$AV$2:$AV$663,'Industry (2)'!$C8,BY_IND!$AX$2:$AX$663,"Yes")*0.98</f>
        <v>6.7434610193312008E-3</v>
      </c>
      <c r="AL8" s="1">
        <f>SUMIFS(BY_IND!AM$2:AM$663,BY_IND!$AU$2:$AU$663,'Industry (2)'!$B8,BY_IND!$AV$2:$AV$663,'Industry (2)'!$C8,BY_IND!$AX$2:$AX$663,"Yes")*0.98</f>
        <v>0.54282050559274198</v>
      </c>
      <c r="AM8" s="1">
        <f>SUMIFS(BY_IND!AN$2:AN$663,BY_IND!$AU$2:$AU$663,'Industry (2)'!$B8,BY_IND!$AV$2:$AV$663,'Industry (2)'!$C8,BY_IND!$AX$2:$AX$663,"Yes")*0.98</f>
        <v>0.76288294884300845</v>
      </c>
      <c r="AN8" s="1">
        <f>SUMIFS(BY_IND!AO$2:AO$663,BY_IND!$AU$2:$AU$663,'Industry (2)'!$B8,BY_IND!$AV$2:$AV$663,'Industry (2)'!$C8,BY_IND!$AX$2:$AX$663,"Yes")*0.98</f>
        <v>0</v>
      </c>
      <c r="AO8" s="1">
        <f>SUMIFS(BY_IND!AP$2:AP$663,BY_IND!$AU$2:$AU$663,'Industry (2)'!$B8,BY_IND!$AV$2:$AV$663,'Industry (2)'!$C8,BY_IND!$AX$2:$AX$663,"Yes")*0.98</f>
        <v>0</v>
      </c>
      <c r="AP8" s="1"/>
      <c r="AQ8" s="1"/>
      <c r="AR8" s="1"/>
      <c r="AS8" s="1"/>
      <c r="AT8" s="1"/>
      <c r="AU8" s="1"/>
      <c r="AV8" s="1"/>
      <c r="AW8" s="1"/>
      <c r="AX8" s="1"/>
    </row>
    <row r="9" spans="2:50">
      <c r="B9" t="s">
        <v>464</v>
      </c>
      <c r="C9" t="s">
        <v>462</v>
      </c>
      <c r="E9">
        <v>2019</v>
      </c>
      <c r="F9" t="str">
        <f t="shared" si="0"/>
        <v>INF_PRH</v>
      </c>
      <c r="G9" t="s">
        <v>461</v>
      </c>
      <c r="H9" t="str">
        <f t="shared" si="1"/>
        <v>INF_PRH</v>
      </c>
      <c r="I9" t="str">
        <f t="shared" si="2"/>
        <v>Fossil-INF_PRH</v>
      </c>
      <c r="K9" s="1">
        <f>SUMIFS(BY_IND!L$2:L$663,BY_IND!$AU$2:$AU$663,'Industry (2)'!$B9,BY_IND!$AV$2:$AV$663,'Industry (2)'!$C9,BY_IND!$AX$2:$AX$663,"Yes")*0.98</f>
        <v>5.0234014125900922E-2</v>
      </c>
      <c r="L9" s="1">
        <f>SUMIFS(BY_IND!M$2:M$663,BY_IND!$AU$2:$AU$663,'Industry (2)'!$B9,BY_IND!$AV$2:$AV$663,'Industry (2)'!$C9,BY_IND!$AX$2:$AX$663,"Yes")*0.98</f>
        <v>7.3277985697309048E-2</v>
      </c>
      <c r="M9" s="1">
        <f>SUMIFS(BY_IND!N$2:N$663,BY_IND!$AU$2:$AU$663,'Industry (2)'!$B9,BY_IND!$AV$2:$AV$663,'Industry (2)'!$C9,BY_IND!$AX$2:$AX$663,"Yes")*0.98</f>
        <v>0.67213702666467778</v>
      </c>
      <c r="N9" s="1">
        <f>SUMIFS(BY_IND!O$2:O$663,BY_IND!$AU$2:$AU$663,'Industry (2)'!$B9,BY_IND!$AV$2:$AV$663,'Industry (2)'!$C9,BY_IND!$AX$2:$AX$663,"Yes")*0.98</f>
        <v>0.76073730399587169</v>
      </c>
      <c r="O9" s="1">
        <f>SUMIFS(BY_IND!P$2:P$663,BY_IND!$AU$2:$AU$663,'Industry (2)'!$B9,BY_IND!$AV$2:$AV$663,'Industry (2)'!$C9,BY_IND!$AX$2:$AX$663,"Yes")*0.98</f>
        <v>0.63051080187099395</v>
      </c>
      <c r="P9" s="1">
        <f>SUMIFS(BY_IND!Q$2:Q$663,BY_IND!$AU$2:$AU$663,'Industry (2)'!$B9,BY_IND!$AV$2:$AV$663,'Industry (2)'!$C9,BY_IND!$AX$2:$AX$663,"Yes")*0.98</f>
        <v>0.95613589469911597</v>
      </c>
      <c r="Q9" s="1">
        <f>SUMIFS(BY_IND!R$2:R$663,BY_IND!$AU$2:$AU$663,'Industry (2)'!$B9,BY_IND!$AV$2:$AV$663,'Industry (2)'!$C9,BY_IND!$AX$2:$AX$663,"Yes")*0.98</f>
        <v>0.81073528974227549</v>
      </c>
      <c r="R9" s="1">
        <f>SUMIFS(BY_IND!S$2:S$663,BY_IND!$AU$2:$AU$663,'Industry (2)'!$B9,BY_IND!$AV$2:$AV$663,'Industry (2)'!$C9,BY_IND!$AX$2:$AX$663,"Yes")*0.98</f>
        <v>0.66691350947820749</v>
      </c>
      <c r="S9" s="1">
        <f>SUMIFS(BY_IND!T$2:T$663,BY_IND!$AU$2:$AU$663,'Industry (2)'!$B9,BY_IND!$AV$2:$AV$663,'Industry (2)'!$C9,BY_IND!$AX$2:$AX$663,"Yes")*0.98</f>
        <v>0.46910343241109326</v>
      </c>
      <c r="T9" s="1">
        <f>SUMIFS(BY_IND!U$2:U$663,BY_IND!$AU$2:$AU$663,'Industry (2)'!$B9,BY_IND!$AV$2:$AV$663,'Industry (2)'!$C9,BY_IND!$AX$2:$AX$663,"Yes")*0.98</f>
        <v>0.55461332566559407</v>
      </c>
      <c r="U9" s="1">
        <f>SUMIFS(BY_IND!V$2:V$663,BY_IND!$AU$2:$AU$663,'Industry (2)'!$B9,BY_IND!$AV$2:$AV$663,'Industry (2)'!$C9,BY_IND!$AX$2:$AX$663,"Yes")*0.98</f>
        <v>0.26673580495078097</v>
      </c>
      <c r="V9" s="1">
        <f>SUMIFS(BY_IND!W$2:W$663,BY_IND!$AU$2:$AU$663,'Industry (2)'!$B9,BY_IND!$AV$2:$AV$663,'Industry (2)'!$C9,BY_IND!$AX$2:$AX$663,"Yes")*0.98</f>
        <v>0.75577596604074981</v>
      </c>
      <c r="W9" s="1">
        <f>SUMIFS(BY_IND!X$2:X$663,BY_IND!$AU$2:$AU$663,'Industry (2)'!$B9,BY_IND!$AV$2:$AV$663,'Industry (2)'!$C9,BY_IND!$AX$2:$AX$663,"Yes")*0.98</f>
        <v>0.82557167955239574</v>
      </c>
      <c r="X9" s="1">
        <f>SUMIFS(BY_IND!Y$2:Y$663,BY_IND!$AU$2:$AU$663,'Industry (2)'!$B9,BY_IND!$AV$2:$AV$663,'Industry (2)'!$C9,BY_IND!$AX$2:$AX$663,"Yes")*0.98</f>
        <v>0.82062626480228829</v>
      </c>
      <c r="Y9" s="1">
        <f>SUMIFS(BY_IND!Z$2:Z$663,BY_IND!$AU$2:$AU$663,'Industry (2)'!$B9,BY_IND!$AV$2:$AV$663,'Industry (2)'!$C9,BY_IND!$AX$2:$AX$663,"Yes")*0.98</f>
        <v>0.70659514778740407</v>
      </c>
      <c r="Z9" s="1">
        <f>SUMIFS(BY_IND!AA$2:AA$663,BY_IND!$AU$2:$AU$663,'Industry (2)'!$B9,BY_IND!$AV$2:$AV$663,'Industry (2)'!$C9,BY_IND!$AX$2:$AX$663,"Yes")*0.98</f>
        <v>0.73423334570327659</v>
      </c>
      <c r="AA9" s="1">
        <f>SUMIFS(BY_IND!AB$2:AB$663,BY_IND!$AU$2:$AU$663,'Industry (2)'!$B9,BY_IND!$AV$2:$AV$663,'Industry (2)'!$C9,BY_IND!$AX$2:$AX$663,"Yes")*0.98</f>
        <v>0.80449763208823</v>
      </c>
      <c r="AB9" s="1">
        <f>SUMIFS(BY_IND!AC$2:AC$663,BY_IND!$AU$2:$AU$663,'Industry (2)'!$B9,BY_IND!$AV$2:$AV$663,'Industry (2)'!$C9,BY_IND!$AX$2:$AX$663,"Yes")*0.98</f>
        <v>0.58515608346572834</v>
      </c>
      <c r="AC9" s="1">
        <f>SUMIFS(BY_IND!AD$2:AD$663,BY_IND!$AU$2:$AU$663,'Industry (2)'!$B9,BY_IND!$AV$2:$AV$663,'Industry (2)'!$C9,BY_IND!$AX$2:$AX$663,"Yes")*0.98</f>
        <v>0.71864637711495771</v>
      </c>
      <c r="AD9" s="1">
        <f>SUMIFS(BY_IND!AE$2:AE$663,BY_IND!$AU$2:$AU$663,'Industry (2)'!$B9,BY_IND!$AV$2:$AV$663,'Industry (2)'!$C9,BY_IND!$AX$2:$AX$663,"Yes")*0.98</f>
        <v>0.48208847482829281</v>
      </c>
      <c r="AE9" s="1">
        <f>SUMIFS(BY_IND!AF$2:AF$663,BY_IND!$AU$2:$AU$663,'Industry (2)'!$B9,BY_IND!$AV$2:$AV$663,'Industry (2)'!$C9,BY_IND!$AX$2:$AX$663,"Yes")*0.98</f>
        <v>0.39024904959905521</v>
      </c>
      <c r="AF9" s="1">
        <f>SUMIFS(BY_IND!AG$2:AG$663,BY_IND!$AU$2:$AU$663,'Industry (2)'!$B9,BY_IND!$AV$2:$AV$663,'Industry (2)'!$C9,BY_IND!$AX$2:$AX$663,"Yes")*0.98</f>
        <v>0</v>
      </c>
      <c r="AG9" s="1">
        <f>SUMIFS(BY_IND!AH$2:AH$663,BY_IND!$AU$2:$AU$663,'Industry (2)'!$B9,BY_IND!$AV$2:$AV$663,'Industry (2)'!$C9,BY_IND!$AX$2:$AX$663,"Yes")*0.98</f>
        <v>0</v>
      </c>
      <c r="AH9" s="1">
        <f>SUMIFS(BY_IND!AI$2:AI$663,BY_IND!$AU$2:$AU$663,'Industry (2)'!$B9,BY_IND!$AV$2:$AV$663,'Industry (2)'!$C9,BY_IND!$AX$2:$AX$663,"Yes")*0.98</f>
        <v>5.9146264612473742E-2</v>
      </c>
      <c r="AI9" s="1">
        <f>SUMIFS(BY_IND!AJ$2:AJ$663,BY_IND!$AU$2:$AU$663,'Industry (2)'!$B9,BY_IND!$AV$2:$AV$663,'Industry (2)'!$C9,BY_IND!$AX$2:$AX$663,"Yes")*0.98</f>
        <v>0</v>
      </c>
      <c r="AJ9" s="1">
        <f>SUMIFS(BY_IND!AK$2:AK$663,BY_IND!$AU$2:$AU$663,'Industry (2)'!$B9,BY_IND!$AV$2:$AV$663,'Industry (2)'!$C9,BY_IND!$AX$2:$AX$663,"Yes")*0.98</f>
        <v>0</v>
      </c>
      <c r="AK9" s="1">
        <f>SUMIFS(BY_IND!AL$2:AL$663,BY_IND!$AU$2:$AU$663,'Industry (2)'!$B9,BY_IND!$AV$2:$AV$663,'Industry (2)'!$C9,BY_IND!$AX$2:$AX$663,"Yes")*0.98</f>
        <v>0.77520110727761882</v>
      </c>
      <c r="AL9" s="1">
        <f>SUMIFS(BY_IND!AM$2:AM$663,BY_IND!$AU$2:$AU$663,'Industry (2)'!$B9,BY_IND!$AV$2:$AV$663,'Industry (2)'!$C9,BY_IND!$AX$2:$AX$663,"Yes")*0.98</f>
        <v>0.72404737787105022</v>
      </c>
      <c r="AM9" s="1">
        <f>SUMIFS(BY_IND!AN$2:AN$663,BY_IND!$AU$2:$AU$663,'Industry (2)'!$B9,BY_IND!$AV$2:$AV$663,'Industry (2)'!$C9,BY_IND!$AX$2:$AX$663,"Yes")*0.98</f>
        <v>0.78334037263229828</v>
      </c>
      <c r="AN9" s="1">
        <f>SUMIFS(BY_IND!AO$2:AO$663,BY_IND!$AU$2:$AU$663,'Industry (2)'!$B9,BY_IND!$AV$2:$AV$663,'Industry (2)'!$C9,BY_IND!$AX$2:$AX$663,"Yes")*0.98</f>
        <v>0</v>
      </c>
      <c r="AO9" s="1">
        <f>SUMIFS(BY_IND!AP$2:AP$663,BY_IND!$AU$2:$AU$663,'Industry (2)'!$B9,BY_IND!$AV$2:$AV$663,'Industry (2)'!$C9,BY_IND!$AX$2:$AX$663,"Yes")*0.98</f>
        <v>0</v>
      </c>
      <c r="AP9" s="1"/>
      <c r="AQ9" s="1"/>
      <c r="AR9" s="1"/>
      <c r="AS9" s="1"/>
      <c r="AT9" s="1"/>
      <c r="AU9" s="1"/>
      <c r="AV9" s="1"/>
      <c r="AW9" s="1"/>
      <c r="AX9" s="1"/>
    </row>
    <row r="10" spans="2:50">
      <c r="B10" t="s">
        <v>465</v>
      </c>
      <c r="C10" t="s">
        <v>460</v>
      </c>
      <c r="E10">
        <v>2019</v>
      </c>
      <c r="F10" t="str">
        <f t="shared" si="0"/>
        <v>INM_OTH</v>
      </c>
      <c r="G10" t="s">
        <v>461</v>
      </c>
      <c r="H10" t="str">
        <f t="shared" si="1"/>
        <v>INM_OTH</v>
      </c>
      <c r="I10" t="str">
        <f t="shared" si="2"/>
        <v>Fossil-INM_OTH</v>
      </c>
      <c r="K10" s="1">
        <f>SUMIFS(BY_IND!L$2:L$663,BY_IND!$AU$2:$AU$663,'Industry (2)'!$B10,BY_IND!$AV$2:$AV$663,'Industry (2)'!$C10,BY_IND!$AX$2:$AX$663,"Yes")*0.98</f>
        <v>0.95416428181210466</v>
      </c>
      <c r="L10" s="1">
        <f>SUMIFS(BY_IND!M$2:M$663,BY_IND!$AU$2:$AU$663,'Industry (2)'!$B10,BY_IND!$AV$2:$AV$663,'Industry (2)'!$C10,BY_IND!$AX$2:$AX$663,"Yes")*0.98</f>
        <v>0.9542595509673325</v>
      </c>
      <c r="M10" s="1">
        <f>SUMIFS(BY_IND!N$2:N$663,BY_IND!$AU$2:$AU$663,'Industry (2)'!$B10,BY_IND!$AV$2:$AV$663,'Industry (2)'!$C10,BY_IND!$AX$2:$AX$663,"Yes")*0.98</f>
        <v>0.90256264578493806</v>
      </c>
      <c r="N10" s="1">
        <f>SUMIFS(BY_IND!O$2:O$663,BY_IND!$AU$2:$AU$663,'Industry (2)'!$B10,BY_IND!$AV$2:$AV$663,'Industry (2)'!$C10,BY_IND!$AX$2:$AX$663,"Yes")*0.98</f>
        <v>0.92175134055051344</v>
      </c>
      <c r="O10" s="1">
        <f>SUMIFS(BY_IND!P$2:P$663,BY_IND!$AU$2:$AU$663,'Industry (2)'!$B10,BY_IND!$AV$2:$AV$663,'Industry (2)'!$C10,BY_IND!$AX$2:$AX$663,"Yes")*0.98</f>
        <v>0.93421399679737294</v>
      </c>
      <c r="P10" s="1">
        <f>SUMIFS(BY_IND!Q$2:Q$663,BY_IND!$AU$2:$AU$663,'Industry (2)'!$B10,BY_IND!$AV$2:$AV$663,'Industry (2)'!$C10,BY_IND!$AX$2:$AX$663,"Yes")*0.98</f>
        <v>0.92497053640484439</v>
      </c>
      <c r="Q10" s="1">
        <f>SUMIFS(BY_IND!R$2:R$663,BY_IND!$AU$2:$AU$663,'Industry (2)'!$B10,BY_IND!$AV$2:$AV$663,'Industry (2)'!$C10,BY_IND!$AX$2:$AX$663,"Yes")*0.98</f>
        <v>0.91434015255781664</v>
      </c>
      <c r="R10" s="1">
        <f>SUMIFS(BY_IND!S$2:S$663,BY_IND!$AU$2:$AU$663,'Industry (2)'!$B10,BY_IND!$AV$2:$AV$663,'Industry (2)'!$C10,BY_IND!$AX$2:$AX$663,"Yes")*0.98</f>
        <v>0.96074512119866684</v>
      </c>
      <c r="S10" s="1">
        <f>SUMIFS(BY_IND!T$2:T$663,BY_IND!$AU$2:$AU$663,'Industry (2)'!$B10,BY_IND!$AV$2:$AV$663,'Industry (2)'!$C10,BY_IND!$AX$2:$AX$663,"Yes")*0.98</f>
        <v>0.95687157849558768</v>
      </c>
      <c r="T10" s="1">
        <f>SUMIFS(BY_IND!U$2:U$663,BY_IND!$AU$2:$AU$663,'Industry (2)'!$B10,BY_IND!$AV$2:$AV$663,'Industry (2)'!$C10,BY_IND!$AX$2:$AX$663,"Yes")*0.98</f>
        <v>0.78753284994766637</v>
      </c>
      <c r="U10" s="1">
        <f>SUMIFS(BY_IND!V$2:V$663,BY_IND!$AU$2:$AU$663,'Industry (2)'!$B10,BY_IND!$AV$2:$AV$663,'Industry (2)'!$C10,BY_IND!$AX$2:$AX$663,"Yes")*0.98</f>
        <v>0.94890985252914317</v>
      </c>
      <c r="V10" s="1">
        <f>SUMIFS(BY_IND!W$2:W$663,BY_IND!$AU$2:$AU$663,'Industry (2)'!$B10,BY_IND!$AV$2:$AV$663,'Industry (2)'!$C10,BY_IND!$AX$2:$AX$663,"Yes")*0.98</f>
        <v>0.836870606552784</v>
      </c>
      <c r="W10" s="1">
        <f>SUMIFS(BY_IND!X$2:X$663,BY_IND!$AU$2:$AU$663,'Industry (2)'!$B10,BY_IND!$AV$2:$AV$663,'Industry (2)'!$C10,BY_IND!$AX$2:$AX$663,"Yes")*0.98</f>
        <v>0.92697266742018258</v>
      </c>
      <c r="X10" s="1">
        <f>SUMIFS(BY_IND!Y$2:Y$663,BY_IND!$AU$2:$AU$663,'Industry (2)'!$B10,BY_IND!$AV$2:$AV$663,'Industry (2)'!$C10,BY_IND!$AX$2:$AX$663,"Yes")*0.98</f>
        <v>0.94684432629998339</v>
      </c>
      <c r="Y10" s="1">
        <f>SUMIFS(BY_IND!Z$2:Z$663,BY_IND!$AU$2:$AU$663,'Industry (2)'!$B10,BY_IND!$AV$2:$AV$663,'Industry (2)'!$C10,BY_IND!$AX$2:$AX$663,"Yes")*0.98</f>
        <v>0.94208621032039364</v>
      </c>
      <c r="Z10" s="1">
        <f>SUMIFS(BY_IND!AA$2:AA$663,BY_IND!$AU$2:$AU$663,'Industry (2)'!$B10,BY_IND!$AV$2:$AV$663,'Industry (2)'!$C10,BY_IND!$AX$2:$AX$663,"Yes")*0.98</f>
        <v>0.95478905038499617</v>
      </c>
      <c r="AA10" s="1">
        <f>SUMIFS(BY_IND!AB$2:AB$663,BY_IND!$AU$2:$AU$663,'Industry (2)'!$B10,BY_IND!$AV$2:$AV$663,'Industry (2)'!$C10,BY_IND!$AX$2:$AX$663,"Yes")*0.98</f>
        <v>0.95360753578400215</v>
      </c>
      <c r="AB10" s="1">
        <f>SUMIFS(BY_IND!AC$2:AC$663,BY_IND!$AU$2:$AU$663,'Industry (2)'!$B10,BY_IND!$AV$2:$AV$663,'Industry (2)'!$C10,BY_IND!$AX$2:$AX$663,"Yes")*0.98</f>
        <v>0.92863960758667918</v>
      </c>
      <c r="AC10" s="1">
        <f>SUMIFS(BY_IND!AD$2:AD$663,BY_IND!$AU$2:$AU$663,'Industry (2)'!$B10,BY_IND!$AV$2:$AV$663,'Industry (2)'!$C10,BY_IND!$AX$2:$AX$663,"Yes")*0.98</f>
        <v>0.88562100852496961</v>
      </c>
      <c r="AD10" s="1">
        <f>SUMIFS(BY_IND!AE$2:AE$663,BY_IND!$AU$2:$AU$663,'Industry (2)'!$B10,BY_IND!$AV$2:$AV$663,'Industry (2)'!$C10,BY_IND!$AX$2:$AX$663,"Yes")*0.98</f>
        <v>0.96947395836987593</v>
      </c>
      <c r="AE10" s="1">
        <f>SUMIFS(BY_IND!AF$2:AF$663,BY_IND!$AU$2:$AU$663,'Industry (2)'!$B10,BY_IND!$AV$2:$AV$663,'Industry (2)'!$C10,BY_IND!$AX$2:$AX$663,"Yes")*0.98</f>
        <v>0.95224895716689151</v>
      </c>
      <c r="AF10" s="1">
        <f>SUMIFS(BY_IND!AG$2:AG$663,BY_IND!$AU$2:$AU$663,'Industry (2)'!$B10,BY_IND!$AV$2:$AV$663,'Industry (2)'!$C10,BY_IND!$AX$2:$AX$663,"Yes")*0.98</f>
        <v>0.95958034395070635</v>
      </c>
      <c r="AG10" s="1">
        <f>SUMIFS(BY_IND!AH$2:AH$663,BY_IND!$AU$2:$AU$663,'Industry (2)'!$B10,BY_IND!$AV$2:$AV$663,'Industry (2)'!$C10,BY_IND!$AX$2:$AX$663,"Yes")*0.98</f>
        <v>0.96617140088487985</v>
      </c>
      <c r="AH10" s="1">
        <f>SUMIFS(BY_IND!AI$2:AI$663,BY_IND!$AU$2:$AU$663,'Industry (2)'!$B10,BY_IND!$AV$2:$AV$663,'Industry (2)'!$C10,BY_IND!$AX$2:$AX$663,"Yes")*0.98</f>
        <v>0.89655882800167397</v>
      </c>
      <c r="AI10" s="1">
        <f>SUMIFS(BY_IND!AJ$2:AJ$663,BY_IND!$AU$2:$AU$663,'Industry (2)'!$B10,BY_IND!$AV$2:$AV$663,'Industry (2)'!$C10,BY_IND!$AX$2:$AX$663,"Yes")*0.98</f>
        <v>0.89611710956166923</v>
      </c>
      <c r="AJ10" s="1">
        <f>SUMIFS(BY_IND!AK$2:AK$663,BY_IND!$AU$2:$AU$663,'Industry (2)'!$B10,BY_IND!$AV$2:$AV$663,'Industry (2)'!$C10,BY_IND!$AX$2:$AX$663,"Yes")*0.98</f>
        <v>0</v>
      </c>
      <c r="AK10" s="1">
        <f>SUMIFS(BY_IND!AL$2:AL$663,BY_IND!$AU$2:$AU$663,'Industry (2)'!$B10,BY_IND!$AV$2:$AV$663,'Industry (2)'!$C10,BY_IND!$AX$2:$AX$663,"Yes")*0.98</f>
        <v>0.65467169911432066</v>
      </c>
      <c r="AL10" s="1">
        <f>SUMIFS(BY_IND!AM$2:AM$663,BY_IND!$AU$2:$AU$663,'Industry (2)'!$B10,BY_IND!$AV$2:$AV$663,'Industry (2)'!$C10,BY_IND!$AX$2:$AX$663,"Yes")*0.98</f>
        <v>0.87359168211716787</v>
      </c>
      <c r="AM10" s="1">
        <f>SUMIFS(BY_IND!AN$2:AN$663,BY_IND!$AU$2:$AU$663,'Industry (2)'!$B10,BY_IND!$AV$2:$AV$663,'Industry (2)'!$C10,BY_IND!$AX$2:$AX$663,"Yes")*0.98</f>
        <v>0.89498551474508214</v>
      </c>
      <c r="AN10" s="1">
        <f>SUMIFS(BY_IND!AO$2:AO$663,BY_IND!$AU$2:$AU$663,'Industry (2)'!$B10,BY_IND!$AV$2:$AV$663,'Industry (2)'!$C10,BY_IND!$AX$2:$AX$663,"Yes")*0.98</f>
        <v>0</v>
      </c>
      <c r="AO10" s="1">
        <f>SUMIFS(BY_IND!AP$2:AP$663,BY_IND!$AU$2:$AU$663,'Industry (2)'!$B10,BY_IND!$AV$2:$AV$663,'Industry (2)'!$C10,BY_IND!$AX$2:$AX$663,"Yes")*0.98</f>
        <v>0</v>
      </c>
      <c r="AP10" s="1"/>
      <c r="AQ10" s="1"/>
      <c r="AR10" s="1"/>
      <c r="AS10" s="1"/>
      <c r="AT10" s="1"/>
      <c r="AU10" s="1"/>
      <c r="AV10" s="1"/>
      <c r="AW10" s="1"/>
      <c r="AX10" s="1"/>
    </row>
    <row r="11" spans="2:50">
      <c r="B11" t="s">
        <v>465</v>
      </c>
      <c r="C11" t="s">
        <v>462</v>
      </c>
      <c r="E11">
        <v>2019</v>
      </c>
      <c r="F11" t="str">
        <f t="shared" si="0"/>
        <v>INM_PRH</v>
      </c>
      <c r="G11" t="s">
        <v>461</v>
      </c>
      <c r="H11" t="str">
        <f t="shared" si="1"/>
        <v>INM_PRH</v>
      </c>
      <c r="I11" t="str">
        <f t="shared" si="2"/>
        <v>Fossil-INM_PRH</v>
      </c>
      <c r="K11" s="1">
        <f>SUMIFS(BY_IND!L$2:L$663,BY_IND!$AU$2:$AU$663,'Industry (2)'!$B11,BY_IND!$AV$2:$AV$663,'Industry (2)'!$C11,BY_IND!$AX$2:$AX$663,"Yes")*0.98</f>
        <v>0.92385791781461746</v>
      </c>
      <c r="L11" s="1">
        <f>SUMIFS(BY_IND!M$2:M$663,BY_IND!$AU$2:$AU$663,'Industry (2)'!$B11,BY_IND!$AV$2:$AV$663,'Industry (2)'!$C11,BY_IND!$AX$2:$AX$663,"Yes")*0.98</f>
        <v>0.89581691283572995</v>
      </c>
      <c r="M11" s="1">
        <f>SUMIFS(BY_IND!N$2:N$663,BY_IND!$AU$2:$AU$663,'Industry (2)'!$B11,BY_IND!$AV$2:$AV$663,'Industry (2)'!$C11,BY_IND!$AX$2:$AX$663,"Yes")*0.98</f>
        <v>0.88623522344291827</v>
      </c>
      <c r="N11" s="1">
        <f>SUMIFS(BY_IND!O$2:O$663,BY_IND!$AU$2:$AU$663,'Industry (2)'!$B11,BY_IND!$AV$2:$AV$663,'Industry (2)'!$C11,BY_IND!$AX$2:$AX$663,"Yes")*0.98</f>
        <v>0.94489895808484303</v>
      </c>
      <c r="O11" s="1">
        <f>SUMIFS(BY_IND!P$2:P$663,BY_IND!$AU$2:$AU$663,'Industry (2)'!$B11,BY_IND!$AV$2:$AV$663,'Industry (2)'!$C11,BY_IND!$AX$2:$AX$663,"Yes")*0.98</f>
        <v>0.74172394298090694</v>
      </c>
      <c r="P11" s="1">
        <f>SUMIFS(BY_IND!Q$2:Q$663,BY_IND!$AU$2:$AU$663,'Industry (2)'!$B11,BY_IND!$AV$2:$AV$663,'Industry (2)'!$C11,BY_IND!$AX$2:$AX$663,"Yes")*0.98</f>
        <v>0.94375127397865022</v>
      </c>
      <c r="Q11" s="1">
        <f>SUMIFS(BY_IND!R$2:R$663,BY_IND!$AU$2:$AU$663,'Industry (2)'!$B11,BY_IND!$AV$2:$AV$663,'Industry (2)'!$C11,BY_IND!$AX$2:$AX$663,"Yes")*0.98</f>
        <v>0.89329696215804288</v>
      </c>
      <c r="R11" s="1">
        <f>SUMIFS(BY_IND!S$2:S$663,BY_IND!$AU$2:$AU$663,'Industry (2)'!$B11,BY_IND!$AV$2:$AV$663,'Industry (2)'!$C11,BY_IND!$AX$2:$AX$663,"Yes")*0.98</f>
        <v>0.31766663275540952</v>
      </c>
      <c r="S11" s="1">
        <f>SUMIFS(BY_IND!T$2:T$663,BY_IND!$AU$2:$AU$663,'Industry (2)'!$B11,BY_IND!$AV$2:$AV$663,'Industry (2)'!$C11,BY_IND!$AX$2:$AX$663,"Yes")*0.98</f>
        <v>0.81262381190303734</v>
      </c>
      <c r="T11" s="1">
        <f>SUMIFS(BY_IND!U$2:U$663,BY_IND!$AU$2:$AU$663,'Industry (2)'!$B11,BY_IND!$AV$2:$AV$663,'Industry (2)'!$C11,BY_IND!$AX$2:$AX$663,"Yes")*0.98</f>
        <v>0.92132498235037663</v>
      </c>
      <c r="U11" s="1">
        <f>SUMIFS(BY_IND!V$2:V$663,BY_IND!$AU$2:$AU$663,'Industry (2)'!$B11,BY_IND!$AV$2:$AV$663,'Industry (2)'!$C11,BY_IND!$AX$2:$AX$663,"Yes")*0.98</f>
        <v>0.69677745777728117</v>
      </c>
      <c r="V11" s="1">
        <f>SUMIFS(BY_IND!W$2:W$663,BY_IND!$AU$2:$AU$663,'Industry (2)'!$B11,BY_IND!$AV$2:$AV$663,'Industry (2)'!$C11,BY_IND!$AX$2:$AX$663,"Yes")*0.98</f>
        <v>0.60415345815748944</v>
      </c>
      <c r="W11" s="1">
        <f>SUMIFS(BY_IND!X$2:X$663,BY_IND!$AU$2:$AU$663,'Industry (2)'!$B11,BY_IND!$AV$2:$AV$663,'Industry (2)'!$C11,BY_IND!$AX$2:$AX$663,"Yes")*0.98</f>
        <v>0.74053753926364185</v>
      </c>
      <c r="X11" s="1">
        <f>SUMIFS(BY_IND!Y$2:Y$663,BY_IND!$AU$2:$AU$663,'Industry (2)'!$B11,BY_IND!$AV$2:$AV$663,'Industry (2)'!$C11,BY_IND!$AX$2:$AX$663,"Yes")*0.98</f>
        <v>0.77190768851194513</v>
      </c>
      <c r="Y11" s="1">
        <f>SUMIFS(BY_IND!Z$2:Z$663,BY_IND!$AU$2:$AU$663,'Industry (2)'!$B11,BY_IND!$AV$2:$AV$663,'Industry (2)'!$C11,BY_IND!$AX$2:$AX$663,"Yes")*0.98</f>
        <v>0.64508296704749302</v>
      </c>
      <c r="Z11" s="1">
        <f>SUMIFS(BY_IND!AA$2:AA$663,BY_IND!$AU$2:$AU$663,'Industry (2)'!$B11,BY_IND!$AV$2:$AV$663,'Industry (2)'!$C11,BY_IND!$AX$2:$AX$663,"Yes")*0.98</f>
        <v>0.71644934500427182</v>
      </c>
      <c r="AA11" s="1">
        <f>SUMIFS(BY_IND!AB$2:AB$663,BY_IND!$AU$2:$AU$663,'Industry (2)'!$B11,BY_IND!$AV$2:$AV$663,'Industry (2)'!$C11,BY_IND!$AX$2:$AX$663,"Yes")*0.98</f>
        <v>0.8242769847085577</v>
      </c>
      <c r="AB11" s="1">
        <f>SUMIFS(BY_IND!AC$2:AC$663,BY_IND!$AU$2:$AU$663,'Industry (2)'!$B11,BY_IND!$AV$2:$AV$663,'Industry (2)'!$C11,BY_IND!$AX$2:$AX$663,"Yes")*0.98</f>
        <v>0.70800706291426851</v>
      </c>
      <c r="AC11" s="1">
        <f>SUMIFS(BY_IND!AD$2:AD$663,BY_IND!$AU$2:$AU$663,'Industry (2)'!$B11,BY_IND!$AV$2:$AV$663,'Industry (2)'!$C11,BY_IND!$AX$2:$AX$663,"Yes")*0.98</f>
        <v>0.66413167246939697</v>
      </c>
      <c r="AD11" s="1">
        <f>SUMIFS(BY_IND!AE$2:AE$663,BY_IND!$AU$2:$AU$663,'Industry (2)'!$B11,BY_IND!$AV$2:$AV$663,'Industry (2)'!$C11,BY_IND!$AX$2:$AX$663,"Yes")*0.98</f>
        <v>0.96768079967414211</v>
      </c>
      <c r="AE11" s="1">
        <f>SUMIFS(BY_IND!AF$2:AF$663,BY_IND!$AU$2:$AU$663,'Industry (2)'!$B11,BY_IND!$AV$2:$AV$663,'Industry (2)'!$C11,BY_IND!$AX$2:$AX$663,"Yes")*0.98</f>
        <v>0.89722327505010446</v>
      </c>
      <c r="AF11" s="1">
        <f>SUMIFS(BY_IND!AG$2:AG$663,BY_IND!$AU$2:$AU$663,'Industry (2)'!$B11,BY_IND!$AV$2:$AV$663,'Industry (2)'!$C11,BY_IND!$AX$2:$AX$663,"Yes")*0.98</f>
        <v>0.82935880711160936</v>
      </c>
      <c r="AG11" s="1">
        <f>SUMIFS(BY_IND!AH$2:AH$663,BY_IND!$AU$2:$AU$663,'Industry (2)'!$B11,BY_IND!$AV$2:$AV$663,'Industry (2)'!$C11,BY_IND!$AX$2:$AX$663,"Yes")*0.98</f>
        <v>0.96914401246850368</v>
      </c>
      <c r="AH11" s="1">
        <f>SUMIFS(BY_IND!AI$2:AI$663,BY_IND!$AU$2:$AU$663,'Industry (2)'!$B11,BY_IND!$AV$2:$AV$663,'Industry (2)'!$C11,BY_IND!$AX$2:$AX$663,"Yes")*0.98</f>
        <v>0.48055793691310933</v>
      </c>
      <c r="AI11" s="1">
        <f>SUMIFS(BY_IND!AJ$2:AJ$663,BY_IND!$AU$2:$AU$663,'Industry (2)'!$B11,BY_IND!$AV$2:$AV$663,'Industry (2)'!$C11,BY_IND!$AX$2:$AX$663,"Yes")*0.98</f>
        <v>0.92606294938149192</v>
      </c>
      <c r="AJ11" s="1">
        <f>SUMIFS(BY_IND!AK$2:AK$663,BY_IND!$AU$2:$AU$663,'Industry (2)'!$B11,BY_IND!$AV$2:$AV$663,'Industry (2)'!$C11,BY_IND!$AX$2:$AX$663,"Yes")*0.98</f>
        <v>0</v>
      </c>
      <c r="AK11" s="1">
        <f>SUMIFS(BY_IND!AL$2:AL$663,BY_IND!$AU$2:$AU$663,'Industry (2)'!$B11,BY_IND!$AV$2:$AV$663,'Industry (2)'!$C11,BY_IND!$AX$2:$AX$663,"Yes")*0.98</f>
        <v>0.9309525343113455</v>
      </c>
      <c r="AL11" s="1">
        <f>SUMIFS(BY_IND!AM$2:AM$663,BY_IND!$AU$2:$AU$663,'Industry (2)'!$B11,BY_IND!$AV$2:$AV$663,'Industry (2)'!$C11,BY_IND!$AX$2:$AX$663,"Yes")*0.98</f>
        <v>0.76354057816534238</v>
      </c>
      <c r="AM11" s="1">
        <f>SUMIFS(BY_IND!AN$2:AN$663,BY_IND!$AU$2:$AU$663,'Industry (2)'!$B11,BY_IND!$AV$2:$AV$663,'Industry (2)'!$C11,BY_IND!$AX$2:$AX$663,"Yes")*0.98</f>
        <v>0.8948137919261191</v>
      </c>
      <c r="AN11" s="1">
        <f>SUMIFS(BY_IND!AO$2:AO$663,BY_IND!$AU$2:$AU$663,'Industry (2)'!$B11,BY_IND!$AV$2:$AV$663,'Industry (2)'!$C11,BY_IND!$AX$2:$AX$663,"Yes")*0.98</f>
        <v>0</v>
      </c>
      <c r="AO11" s="1">
        <f>SUMIFS(BY_IND!AP$2:AP$663,BY_IND!$AU$2:$AU$663,'Industry (2)'!$B11,BY_IND!$AV$2:$AV$663,'Industry (2)'!$C11,BY_IND!$AX$2:$AX$663,"Yes")*0.98</f>
        <v>0</v>
      </c>
      <c r="AP11" s="1"/>
      <c r="AQ11" s="1"/>
      <c r="AR11" s="1"/>
      <c r="AS11" s="1"/>
      <c r="AT11" s="1"/>
      <c r="AU11" s="1"/>
      <c r="AV11" s="1"/>
      <c r="AW11" s="1"/>
      <c r="AX11" s="1"/>
    </row>
    <row r="12" spans="2:50">
      <c r="B12" t="s">
        <v>466</v>
      </c>
      <c r="C12" t="s">
        <v>460</v>
      </c>
      <c r="E12">
        <v>2019</v>
      </c>
      <c r="F12" t="str">
        <f t="shared" si="0"/>
        <v>IOI_OTH</v>
      </c>
      <c r="G12" t="s">
        <v>461</v>
      </c>
      <c r="H12" t="str">
        <f t="shared" si="1"/>
        <v>IOI_OTH</v>
      </c>
      <c r="I12" t="str">
        <f t="shared" si="2"/>
        <v>Fossil-IOI_OTH</v>
      </c>
      <c r="K12" s="1">
        <f>SUMIFS(BY_IND!L$2:L$663,BY_IND!$AU$2:$AU$663,'Industry (2)'!$B12,BY_IND!$AV$2:$AV$663,'Industry (2)'!$C12,BY_IND!$AX$2:$AX$663,"Yes")*0.98</f>
        <v>0.93382454303761575</v>
      </c>
      <c r="L12" s="1">
        <f>SUMIFS(BY_IND!M$2:M$663,BY_IND!$AU$2:$AU$663,'Industry (2)'!$B12,BY_IND!$AV$2:$AV$663,'Industry (2)'!$C12,BY_IND!$AX$2:$AX$663,"Yes")*0.98</f>
        <v>0.9467586054492777</v>
      </c>
      <c r="M12" s="1">
        <f>SUMIFS(BY_IND!N$2:N$663,BY_IND!$AU$2:$AU$663,'Industry (2)'!$B12,BY_IND!$AV$2:$AV$663,'Industry (2)'!$C12,BY_IND!$AX$2:$AX$663,"Yes")*0.98</f>
        <v>0.94078607771067091</v>
      </c>
      <c r="N12" s="1">
        <f>SUMIFS(BY_IND!O$2:O$663,BY_IND!$AU$2:$AU$663,'Industry (2)'!$B12,BY_IND!$AV$2:$AV$663,'Industry (2)'!$C12,BY_IND!$AX$2:$AX$663,"Yes")*0.98</f>
        <v>0.80123941368669793</v>
      </c>
      <c r="O12" s="1">
        <f>SUMIFS(BY_IND!P$2:P$663,BY_IND!$AU$2:$AU$663,'Industry (2)'!$B12,BY_IND!$AV$2:$AV$663,'Industry (2)'!$C12,BY_IND!$AX$2:$AX$663,"Yes")*0.98</f>
        <v>0.89764059256536466</v>
      </c>
      <c r="P12" s="1">
        <f>SUMIFS(BY_IND!Q$2:Q$663,BY_IND!$AU$2:$AU$663,'Industry (2)'!$B12,BY_IND!$AV$2:$AV$663,'Industry (2)'!$C12,BY_IND!$AX$2:$AX$663,"Yes")*0.98</f>
        <v>0.89458499362340294</v>
      </c>
      <c r="Q12" s="1">
        <f>SUMIFS(BY_IND!R$2:R$663,BY_IND!$AU$2:$AU$663,'Industry (2)'!$B12,BY_IND!$AV$2:$AV$663,'Industry (2)'!$C12,BY_IND!$AX$2:$AX$663,"Yes")*0.98</f>
        <v>0.94106245820554557</v>
      </c>
      <c r="R12" s="1">
        <f>SUMIFS(BY_IND!S$2:S$663,BY_IND!$AU$2:$AU$663,'Industry (2)'!$B12,BY_IND!$AV$2:$AV$663,'Industry (2)'!$C12,BY_IND!$AX$2:$AX$663,"Yes")*0.98</f>
        <v>0.78547286225901669</v>
      </c>
      <c r="S12" s="1">
        <f>SUMIFS(BY_IND!T$2:T$663,BY_IND!$AU$2:$AU$663,'Industry (2)'!$B12,BY_IND!$AV$2:$AV$663,'Industry (2)'!$C12,BY_IND!$AX$2:$AX$663,"Yes")*0.98</f>
        <v>0.94136680168844422</v>
      </c>
      <c r="T12" s="1">
        <f>SUMIFS(BY_IND!U$2:U$663,BY_IND!$AU$2:$AU$663,'Industry (2)'!$B12,BY_IND!$AV$2:$AV$663,'Industry (2)'!$C12,BY_IND!$AX$2:$AX$663,"Yes")*0.98</f>
        <v>0.91167411236241336</v>
      </c>
      <c r="U12" s="1">
        <f>SUMIFS(BY_IND!V$2:V$663,BY_IND!$AU$2:$AU$663,'Industry (2)'!$B12,BY_IND!$AV$2:$AV$663,'Industry (2)'!$C12,BY_IND!$AX$2:$AX$663,"Yes")*0.98</f>
        <v>0.8564332790837017</v>
      </c>
      <c r="V12" s="1">
        <f>SUMIFS(BY_IND!W$2:W$663,BY_IND!$AU$2:$AU$663,'Industry (2)'!$B12,BY_IND!$AV$2:$AV$663,'Industry (2)'!$C12,BY_IND!$AX$2:$AX$663,"Yes")*0.98</f>
        <v>0.60796406011838022</v>
      </c>
      <c r="W12" s="1">
        <f>SUMIFS(BY_IND!X$2:X$663,BY_IND!$AU$2:$AU$663,'Industry (2)'!$B12,BY_IND!$AV$2:$AV$663,'Industry (2)'!$C12,BY_IND!$AX$2:$AX$663,"Yes")*0.98</f>
        <v>0.78247165318614298</v>
      </c>
      <c r="X12" s="1">
        <f>SUMIFS(BY_IND!Y$2:Y$663,BY_IND!$AU$2:$AU$663,'Industry (2)'!$B12,BY_IND!$AV$2:$AV$663,'Industry (2)'!$C12,BY_IND!$AX$2:$AX$663,"Yes")*0.98</f>
        <v>0.59234584918721489</v>
      </c>
      <c r="Y12" s="1">
        <f>SUMIFS(BY_IND!Z$2:Z$663,BY_IND!$AU$2:$AU$663,'Industry (2)'!$B12,BY_IND!$AV$2:$AV$663,'Industry (2)'!$C12,BY_IND!$AX$2:$AX$663,"Yes")*0.98</f>
        <v>0.66924650902365734</v>
      </c>
      <c r="Z12" s="1">
        <f>SUMIFS(BY_IND!AA$2:AA$663,BY_IND!$AU$2:$AU$663,'Industry (2)'!$B12,BY_IND!$AV$2:$AV$663,'Industry (2)'!$C12,BY_IND!$AX$2:$AX$663,"Yes")*0.98</f>
        <v>0.74763523227502249</v>
      </c>
      <c r="AA12" s="1">
        <f>SUMIFS(BY_IND!AB$2:AB$663,BY_IND!$AU$2:$AU$663,'Industry (2)'!$B12,BY_IND!$AV$2:$AV$663,'Industry (2)'!$C12,BY_IND!$AX$2:$AX$663,"Yes")*0.98</f>
        <v>0.66127906380406509</v>
      </c>
      <c r="AB12" s="1">
        <f>SUMIFS(BY_IND!AC$2:AC$663,BY_IND!$AU$2:$AU$663,'Industry (2)'!$B12,BY_IND!$AV$2:$AV$663,'Industry (2)'!$C12,BY_IND!$AX$2:$AX$663,"Yes")*0.98</f>
        <v>0.7458077801974079</v>
      </c>
      <c r="AC12" s="1">
        <f>SUMIFS(BY_IND!AD$2:AD$663,BY_IND!$AU$2:$AU$663,'Industry (2)'!$B12,BY_IND!$AV$2:$AV$663,'Industry (2)'!$C12,BY_IND!$AX$2:$AX$663,"Yes")*0.98</f>
        <v>0.63566458633797596</v>
      </c>
      <c r="AD12" s="1">
        <f>SUMIFS(BY_IND!AE$2:AE$663,BY_IND!$AU$2:$AU$663,'Industry (2)'!$B12,BY_IND!$AV$2:$AV$663,'Industry (2)'!$C12,BY_IND!$AX$2:$AX$663,"Yes")*0.98</f>
        <v>0.91872603011337073</v>
      </c>
      <c r="AE12" s="1">
        <f>SUMIFS(BY_IND!AF$2:AF$663,BY_IND!$AU$2:$AU$663,'Industry (2)'!$B12,BY_IND!$AV$2:$AV$663,'Industry (2)'!$C12,BY_IND!$AX$2:$AX$663,"Yes")*0.98</f>
        <v>0.94350241159533055</v>
      </c>
      <c r="AF12" s="1">
        <f>SUMIFS(BY_IND!AG$2:AG$663,BY_IND!$AU$2:$AU$663,'Industry (2)'!$B12,BY_IND!$AV$2:$AV$663,'Industry (2)'!$C12,BY_IND!$AX$2:$AX$663,"Yes")*0.98</f>
        <v>0.7653293899980872</v>
      </c>
      <c r="AG12" s="1">
        <f>SUMIFS(BY_IND!AH$2:AH$663,BY_IND!$AU$2:$AU$663,'Industry (2)'!$B12,BY_IND!$AV$2:$AV$663,'Industry (2)'!$C12,BY_IND!$AX$2:$AX$663,"Yes")*0.98</f>
        <v>0.92971153207624657</v>
      </c>
      <c r="AH12" s="1">
        <f>SUMIFS(BY_IND!AI$2:AI$663,BY_IND!$AU$2:$AU$663,'Industry (2)'!$B12,BY_IND!$AV$2:$AV$663,'Industry (2)'!$C12,BY_IND!$AX$2:$AX$663,"Yes")*0.98</f>
        <v>0.83854095366090042</v>
      </c>
      <c r="AI12" s="1">
        <f>SUMIFS(BY_IND!AJ$2:AJ$663,BY_IND!$AU$2:$AU$663,'Industry (2)'!$B12,BY_IND!$AV$2:$AV$663,'Industry (2)'!$C12,BY_IND!$AX$2:$AX$663,"Yes")*0.98</f>
        <v>0.95779903220830886</v>
      </c>
      <c r="AJ12" s="1">
        <f>SUMIFS(BY_IND!AK$2:AK$663,BY_IND!$AU$2:$AU$663,'Industry (2)'!$B12,BY_IND!$AV$2:$AV$663,'Industry (2)'!$C12,BY_IND!$AX$2:$AX$663,"Yes")*0.98</f>
        <v>0.96428487230991</v>
      </c>
      <c r="AK12" s="1">
        <f>SUMIFS(BY_IND!AL$2:AL$663,BY_IND!$AU$2:$AU$663,'Industry (2)'!$B12,BY_IND!$AV$2:$AV$663,'Industry (2)'!$C12,BY_IND!$AX$2:$AX$663,"Yes")*0.98</f>
        <v>0.71023458312564858</v>
      </c>
      <c r="AL12" s="1">
        <f>SUMIFS(BY_IND!AM$2:AM$663,BY_IND!$AU$2:$AU$663,'Industry (2)'!$B12,BY_IND!$AV$2:$AV$663,'Industry (2)'!$C12,BY_IND!$AX$2:$AX$663,"Yes")*0.98</f>
        <v>0.91473563934477164</v>
      </c>
      <c r="AM12" s="1">
        <f>SUMIFS(BY_IND!AN$2:AN$663,BY_IND!$AU$2:$AU$663,'Industry (2)'!$B12,BY_IND!$AV$2:$AV$663,'Industry (2)'!$C12,BY_IND!$AX$2:$AX$663,"Yes")*0.98</f>
        <v>0.77929662018910051</v>
      </c>
      <c r="AN12" s="1">
        <f>SUMIFS(BY_IND!AO$2:AO$663,BY_IND!$AU$2:$AU$663,'Industry (2)'!$B12,BY_IND!$AV$2:$AV$663,'Industry (2)'!$C12,BY_IND!$AX$2:$AX$663,"Yes")*0.98</f>
        <v>0</v>
      </c>
      <c r="AO12" s="1">
        <f>SUMIFS(BY_IND!AP$2:AP$663,BY_IND!$AU$2:$AU$663,'Industry (2)'!$B12,BY_IND!$AV$2:$AV$663,'Industry (2)'!$C12,BY_IND!$AX$2:$AX$663,"Yes")*0.98</f>
        <v>0</v>
      </c>
      <c r="AP12" s="1"/>
      <c r="AQ12" s="1"/>
      <c r="AR12" s="1"/>
      <c r="AS12" s="1"/>
      <c r="AT12" s="1"/>
      <c r="AU12" s="1"/>
      <c r="AV12" s="1"/>
      <c r="AW12" s="1"/>
      <c r="AX12" s="1"/>
    </row>
    <row r="13" spans="2:50">
      <c r="B13" t="s">
        <v>466</v>
      </c>
      <c r="C13" t="s">
        <v>462</v>
      </c>
      <c r="E13">
        <v>2019</v>
      </c>
      <c r="F13" t="str">
        <f t="shared" si="0"/>
        <v>IOI_PRH</v>
      </c>
      <c r="G13" t="s">
        <v>461</v>
      </c>
      <c r="H13" t="str">
        <f t="shared" si="1"/>
        <v>IOI_PRH</v>
      </c>
      <c r="I13" t="str">
        <f t="shared" si="2"/>
        <v>Fossil-IOI_PRH</v>
      </c>
      <c r="K13" s="1">
        <f>SUMIFS(BY_IND!L$2:L$663,BY_IND!$AU$2:$AU$663,'Industry (2)'!$B13,BY_IND!$AV$2:$AV$663,'Industry (2)'!$C13,BY_IND!$AX$2:$AX$663,"Yes")*0.98</f>
        <v>0.8786526897242688</v>
      </c>
      <c r="L13" s="1">
        <f>SUMIFS(BY_IND!M$2:M$663,BY_IND!$AU$2:$AU$663,'Industry (2)'!$B13,BY_IND!$AV$2:$AV$663,'Industry (2)'!$C13,BY_IND!$AX$2:$AX$663,"Yes")*0.98</f>
        <v>0.84060624035650522</v>
      </c>
      <c r="M13" s="1">
        <f>SUMIFS(BY_IND!N$2:N$663,BY_IND!$AU$2:$AU$663,'Industry (2)'!$B13,BY_IND!$AV$2:$AV$663,'Industry (2)'!$C13,BY_IND!$AX$2:$AX$663,"Yes")*0.98</f>
        <v>0.92985177299128352</v>
      </c>
      <c r="N13" s="1">
        <f>SUMIFS(BY_IND!O$2:O$663,BY_IND!$AU$2:$AU$663,'Industry (2)'!$B13,BY_IND!$AV$2:$AV$663,'Industry (2)'!$C13,BY_IND!$AX$2:$AX$663,"Yes")*0.98</f>
        <v>0.90720430774232752</v>
      </c>
      <c r="O13" s="1">
        <f>SUMIFS(BY_IND!P$2:P$663,BY_IND!$AU$2:$AU$663,'Industry (2)'!$B13,BY_IND!$AV$2:$AV$663,'Industry (2)'!$C13,BY_IND!$AX$2:$AX$663,"Yes")*0.98</f>
        <v>0.829813215496636</v>
      </c>
      <c r="P13" s="1">
        <f>SUMIFS(BY_IND!Q$2:Q$663,BY_IND!$AU$2:$AU$663,'Industry (2)'!$B13,BY_IND!$AV$2:$AV$663,'Industry (2)'!$C13,BY_IND!$AX$2:$AX$663,"Yes")*0.98</f>
        <v>0.87154709605383196</v>
      </c>
      <c r="Q13" s="1">
        <f>SUMIFS(BY_IND!R$2:R$663,BY_IND!$AU$2:$AU$663,'Industry (2)'!$B13,BY_IND!$AV$2:$AV$663,'Industry (2)'!$C13,BY_IND!$AX$2:$AX$663,"Yes")*0.98</f>
        <v>0.84851444985607383</v>
      </c>
      <c r="R13" s="1">
        <f>SUMIFS(BY_IND!S$2:S$663,BY_IND!$AU$2:$AU$663,'Industry (2)'!$B13,BY_IND!$AV$2:$AV$663,'Industry (2)'!$C13,BY_IND!$AX$2:$AX$663,"Yes")*0.98</f>
        <v>0.71544746967762096</v>
      </c>
      <c r="S13" s="1">
        <f>SUMIFS(BY_IND!T$2:T$663,BY_IND!$AU$2:$AU$663,'Industry (2)'!$B13,BY_IND!$AV$2:$AV$663,'Industry (2)'!$C13,BY_IND!$AX$2:$AX$663,"Yes")*0.98</f>
        <v>0.91831852410428771</v>
      </c>
      <c r="T13" s="1">
        <f>SUMIFS(BY_IND!U$2:U$663,BY_IND!$AU$2:$AU$663,'Industry (2)'!$B13,BY_IND!$AV$2:$AV$663,'Industry (2)'!$C13,BY_IND!$AX$2:$AX$663,"Yes")*0.98</f>
        <v>0.71851143982531085</v>
      </c>
      <c r="U13" s="1">
        <f>SUMIFS(BY_IND!V$2:V$663,BY_IND!$AU$2:$AU$663,'Industry (2)'!$B13,BY_IND!$AV$2:$AV$663,'Industry (2)'!$C13,BY_IND!$AX$2:$AX$663,"Yes")*0.98</f>
        <v>0.33271960845200671</v>
      </c>
      <c r="V13" s="1">
        <f>SUMIFS(BY_IND!W$2:W$663,BY_IND!$AU$2:$AU$663,'Industry (2)'!$B13,BY_IND!$AV$2:$AV$663,'Industry (2)'!$C13,BY_IND!$AX$2:$AX$663,"Yes")*0.98</f>
        <v>0.75935973755532882</v>
      </c>
      <c r="W13" s="1">
        <f>SUMIFS(BY_IND!X$2:X$663,BY_IND!$AU$2:$AU$663,'Industry (2)'!$B13,BY_IND!$AV$2:$AV$663,'Industry (2)'!$C13,BY_IND!$AX$2:$AX$663,"Yes")*0.98</f>
        <v>0.84598713197584097</v>
      </c>
      <c r="X13" s="1">
        <f>SUMIFS(BY_IND!Y$2:Y$663,BY_IND!$AU$2:$AU$663,'Industry (2)'!$B13,BY_IND!$AV$2:$AV$663,'Industry (2)'!$C13,BY_IND!$AX$2:$AX$663,"Yes")*0.98</f>
        <v>0.69704814872626597</v>
      </c>
      <c r="Y13" s="1">
        <f>SUMIFS(BY_IND!Z$2:Z$663,BY_IND!$AU$2:$AU$663,'Industry (2)'!$B13,BY_IND!$AV$2:$AV$663,'Industry (2)'!$C13,BY_IND!$AX$2:$AX$663,"Yes")*0.98</f>
        <v>0.79695828867792684</v>
      </c>
      <c r="Z13" s="1">
        <f>SUMIFS(BY_IND!AA$2:AA$663,BY_IND!$AU$2:$AU$663,'Industry (2)'!$B13,BY_IND!$AV$2:$AV$663,'Industry (2)'!$C13,BY_IND!$AX$2:$AX$663,"Yes")*0.98</f>
        <v>0.80652571880592916</v>
      </c>
      <c r="AA13" s="1">
        <f>SUMIFS(BY_IND!AB$2:AB$663,BY_IND!$AU$2:$AU$663,'Industry (2)'!$B13,BY_IND!$AV$2:$AV$663,'Industry (2)'!$C13,BY_IND!$AX$2:$AX$663,"Yes")*0.98</f>
        <v>0.83860884473879094</v>
      </c>
      <c r="AB13" s="1">
        <f>SUMIFS(BY_IND!AC$2:AC$663,BY_IND!$AU$2:$AU$663,'Industry (2)'!$B13,BY_IND!$AV$2:$AV$663,'Industry (2)'!$C13,BY_IND!$AX$2:$AX$663,"Yes")*0.98</f>
        <v>0.83611952910451515</v>
      </c>
      <c r="AC13" s="1">
        <f>SUMIFS(BY_IND!AD$2:AD$663,BY_IND!$AU$2:$AU$663,'Industry (2)'!$B13,BY_IND!$AV$2:$AV$663,'Industry (2)'!$C13,BY_IND!$AX$2:$AX$663,"Yes")*0.98</f>
        <v>0.81014509810313184</v>
      </c>
      <c r="AD13" s="1">
        <f>SUMIFS(BY_IND!AE$2:AE$663,BY_IND!$AU$2:$AU$663,'Industry (2)'!$B13,BY_IND!$AV$2:$AV$663,'Industry (2)'!$C13,BY_IND!$AX$2:$AX$663,"Yes")*0.98</f>
        <v>0.69759061429429581</v>
      </c>
      <c r="AE13" s="1">
        <f>SUMIFS(BY_IND!AF$2:AF$663,BY_IND!$AU$2:$AU$663,'Industry (2)'!$B13,BY_IND!$AV$2:$AV$663,'Industry (2)'!$C13,BY_IND!$AX$2:$AX$663,"Yes")*0.98</f>
        <v>0.81263127488727949</v>
      </c>
      <c r="AF13" s="1">
        <f>SUMIFS(BY_IND!AG$2:AG$663,BY_IND!$AU$2:$AU$663,'Industry (2)'!$B13,BY_IND!$AV$2:$AV$663,'Industry (2)'!$C13,BY_IND!$AX$2:$AX$663,"Yes")*0.98</f>
        <v>0.63949958566816156</v>
      </c>
      <c r="AG13" s="1">
        <f>SUMIFS(BY_IND!AH$2:AH$663,BY_IND!$AU$2:$AU$663,'Industry (2)'!$B13,BY_IND!$AV$2:$AV$663,'Industry (2)'!$C13,BY_IND!$AX$2:$AX$663,"Yes")*0.98</f>
        <v>0.94699591892454527</v>
      </c>
      <c r="AH13" s="1">
        <f>SUMIFS(BY_IND!AI$2:AI$663,BY_IND!$AU$2:$AU$663,'Industry (2)'!$B13,BY_IND!$AV$2:$AV$663,'Industry (2)'!$C13,BY_IND!$AX$2:$AX$663,"Yes")*0.98</f>
        <v>0.45725872571287679</v>
      </c>
      <c r="AI13" s="1">
        <f>SUMIFS(BY_IND!AJ$2:AJ$663,BY_IND!$AU$2:$AU$663,'Industry (2)'!$B13,BY_IND!$AV$2:$AV$663,'Industry (2)'!$C13,BY_IND!$AX$2:$AX$663,"Yes")*0.98</f>
        <v>0.86820972935191187</v>
      </c>
      <c r="AJ13" s="1">
        <f>SUMIFS(BY_IND!AK$2:AK$663,BY_IND!$AU$2:$AU$663,'Industry (2)'!$B13,BY_IND!$AV$2:$AV$663,'Industry (2)'!$C13,BY_IND!$AX$2:$AX$663,"Yes")*0.98</f>
        <v>0.95856876711505279</v>
      </c>
      <c r="AK13" s="1">
        <f>SUMIFS(BY_IND!AL$2:AL$663,BY_IND!$AU$2:$AU$663,'Industry (2)'!$B13,BY_IND!$AV$2:$AV$663,'Industry (2)'!$C13,BY_IND!$AX$2:$AX$663,"Yes")*0.98</f>
        <v>0.2807270655235834</v>
      </c>
      <c r="AL13" s="1">
        <f>SUMIFS(BY_IND!AM$2:AM$663,BY_IND!$AU$2:$AU$663,'Industry (2)'!$B13,BY_IND!$AV$2:$AV$663,'Industry (2)'!$C13,BY_IND!$AX$2:$AX$663,"Yes")*0.98</f>
        <v>0.76552704974589858</v>
      </c>
      <c r="AM13" s="1">
        <f>SUMIFS(BY_IND!AN$2:AN$663,BY_IND!$AU$2:$AU$663,'Industry (2)'!$B13,BY_IND!$AV$2:$AV$663,'Industry (2)'!$C13,BY_IND!$AX$2:$AX$663,"Yes")*0.98</f>
        <v>0.90457457119959828</v>
      </c>
      <c r="AN13" s="1">
        <f>SUMIFS(BY_IND!AO$2:AO$663,BY_IND!$AU$2:$AU$663,'Industry (2)'!$B13,BY_IND!$AV$2:$AV$663,'Industry (2)'!$C13,BY_IND!$AX$2:$AX$663,"Yes")*0.98</f>
        <v>0</v>
      </c>
      <c r="AO13" s="1">
        <f>SUMIFS(BY_IND!AP$2:AP$663,BY_IND!$AU$2:$AU$663,'Industry (2)'!$B13,BY_IND!$AV$2:$AV$663,'Industry (2)'!$C13,BY_IND!$AX$2:$AX$663,"Yes")*0.98</f>
        <v>0</v>
      </c>
      <c r="AP13" s="1"/>
      <c r="AQ13" s="1"/>
      <c r="AR13" s="1"/>
      <c r="AS13" s="1"/>
      <c r="AT13" s="1"/>
      <c r="AU13" s="1"/>
      <c r="AV13" s="1"/>
      <c r="AW13" s="1"/>
      <c r="AX13" s="1"/>
    </row>
    <row r="14" spans="2:50">
      <c r="E14" t="s">
        <v>145</v>
      </c>
    </row>
    <row r="15" spans="2:50">
      <c r="B15">
        <v>0.6</v>
      </c>
      <c r="E15">
        <v>2050</v>
      </c>
      <c r="F15" t="str">
        <f>F4</f>
        <v>ICH_OTH</v>
      </c>
      <c r="G15" t="str">
        <f t="shared" ref="G15:G35" si="3">G4</f>
        <v>*BFG,*NGA,*OIL,*COA,*OVC</v>
      </c>
      <c r="H15" t="str">
        <f>F15</f>
        <v>ICH_OTH</v>
      </c>
      <c r="I15" t="str">
        <f>"Fossil-"&amp;F15</f>
        <v>Fossil-ICH_OTH</v>
      </c>
      <c r="K15" s="1">
        <f>$B$15*K4</f>
        <v>0.4951358998902301</v>
      </c>
      <c r="L15" s="1">
        <f t="shared" ref="L15:AO23" si="4">$B$15*L4</f>
        <v>0.557177359931468</v>
      </c>
      <c r="M15" s="1">
        <f t="shared" si="4"/>
        <v>0.11261029213817864</v>
      </c>
      <c r="N15" s="1">
        <f t="shared" si="4"/>
        <v>0.47083533021237428</v>
      </c>
      <c r="O15" s="1">
        <f t="shared" si="4"/>
        <v>0.55813911414376804</v>
      </c>
      <c r="P15" s="1">
        <f t="shared" si="4"/>
        <v>0.52999698538912332</v>
      </c>
      <c r="Q15" s="1">
        <f t="shared" si="4"/>
        <v>0.52530239166471859</v>
      </c>
      <c r="R15" s="1">
        <f t="shared" si="4"/>
        <v>0.5649278633524587</v>
      </c>
      <c r="S15" s="1">
        <f t="shared" si="4"/>
        <v>0.30559344962008894</v>
      </c>
      <c r="T15" s="1">
        <f t="shared" si="4"/>
        <v>0.54049664427914756</v>
      </c>
      <c r="U15" s="1">
        <f t="shared" si="4"/>
        <v>0.5198643185013323</v>
      </c>
      <c r="V15" s="1">
        <f t="shared" si="4"/>
        <v>0.48154054203241936</v>
      </c>
      <c r="W15" s="1">
        <f t="shared" si="4"/>
        <v>0.53736211806316403</v>
      </c>
      <c r="X15" s="1">
        <f t="shared" si="4"/>
        <v>0.51136297431227185</v>
      </c>
      <c r="Y15" s="1">
        <f t="shared" si="4"/>
        <v>0.55606988014497472</v>
      </c>
      <c r="Z15" s="1">
        <f t="shared" si="4"/>
        <v>0.44493680698067067</v>
      </c>
      <c r="AA15" s="1">
        <f t="shared" si="4"/>
        <v>0.39785383793840717</v>
      </c>
      <c r="AB15" s="1">
        <f t="shared" si="4"/>
        <v>0.37878885837140835</v>
      </c>
      <c r="AC15" s="1">
        <f t="shared" si="4"/>
        <v>0.45160122286991589</v>
      </c>
      <c r="AD15" s="1">
        <f t="shared" si="4"/>
        <v>0.57528984916553105</v>
      </c>
      <c r="AE15" s="1">
        <f t="shared" si="4"/>
        <v>0.53058978759073061</v>
      </c>
      <c r="AF15" s="1">
        <f t="shared" si="4"/>
        <v>0.54040493138777546</v>
      </c>
      <c r="AG15" s="1">
        <f t="shared" si="4"/>
        <v>0.5816159800275138</v>
      </c>
      <c r="AH15" s="1">
        <f t="shared" si="4"/>
        <v>0.4568925359808651</v>
      </c>
      <c r="AI15" s="1">
        <f t="shared" si="4"/>
        <v>0.44666984540697485</v>
      </c>
      <c r="AJ15" s="1">
        <f t="shared" si="4"/>
        <v>0</v>
      </c>
      <c r="AK15" s="1">
        <f t="shared" si="4"/>
        <v>0.26264460489434061</v>
      </c>
      <c r="AL15" s="1">
        <f t="shared" si="4"/>
        <v>0.42305642365523127</v>
      </c>
      <c r="AM15" s="1">
        <f t="shared" si="4"/>
        <v>0.49705992540211291</v>
      </c>
      <c r="AN15" s="1">
        <f t="shared" si="4"/>
        <v>0</v>
      </c>
      <c r="AO15" s="1">
        <f t="shared" si="4"/>
        <v>0</v>
      </c>
      <c r="AP15" s="1"/>
      <c r="AQ15" s="1"/>
      <c r="AR15" s="1"/>
      <c r="AS15" s="1"/>
      <c r="AT15" s="1"/>
      <c r="AU15" s="1"/>
      <c r="AV15" s="1"/>
      <c r="AW15" s="1"/>
      <c r="AX15" s="1"/>
    </row>
    <row r="16" spans="2:50">
      <c r="E16">
        <v>2050</v>
      </c>
      <c r="F16" t="str">
        <f t="shared" ref="F16:F24" si="5">F5</f>
        <v>ICH_PRH</v>
      </c>
      <c r="G16" t="str">
        <f t="shared" si="3"/>
        <v>*BFG,*NGA,*OIL,*COA,*OVC</v>
      </c>
      <c r="H16" t="str">
        <f t="shared" ref="H16:H24" si="6">F16</f>
        <v>ICH_PRH</v>
      </c>
      <c r="I16" t="str">
        <f t="shared" ref="I16:I24" si="7">"Fossil-"&amp;F16</f>
        <v>Fossil-ICH_PRH</v>
      </c>
      <c r="K16" s="1">
        <f t="shared" ref="K16:Z24" si="8">$B$15*K5</f>
        <v>0.49010187207388661</v>
      </c>
      <c r="L16" s="1">
        <f t="shared" si="8"/>
        <v>0.57991529147711218</v>
      </c>
      <c r="M16" s="1">
        <f t="shared" si="8"/>
        <v>0.50287047595055345</v>
      </c>
      <c r="N16" s="1">
        <f t="shared" si="8"/>
        <v>0.56660448151290699</v>
      </c>
      <c r="O16" s="1">
        <f t="shared" si="8"/>
        <v>0.49454873583475872</v>
      </c>
      <c r="P16" s="1">
        <f t="shared" si="8"/>
        <v>0.55708782431588044</v>
      </c>
      <c r="Q16" s="1">
        <f t="shared" si="8"/>
        <v>0.55845508270959676</v>
      </c>
      <c r="R16" s="1">
        <f t="shared" si="8"/>
        <v>0.53450104785382768</v>
      </c>
      <c r="S16" s="1">
        <f t="shared" si="8"/>
        <v>0.55586859592463189</v>
      </c>
      <c r="T16" s="1">
        <f t="shared" si="8"/>
        <v>0.54094242769784029</v>
      </c>
      <c r="U16" s="1">
        <f t="shared" si="8"/>
        <v>0.42734919048061237</v>
      </c>
      <c r="V16" s="1">
        <f t="shared" si="8"/>
        <v>0.53364076020037998</v>
      </c>
      <c r="W16" s="1">
        <f t="shared" si="8"/>
        <v>0.5615673474861439</v>
      </c>
      <c r="X16" s="1">
        <f t="shared" si="8"/>
        <v>0.50202058522140769</v>
      </c>
      <c r="Y16" s="1">
        <f t="shared" si="8"/>
        <v>0.55094965153121822</v>
      </c>
      <c r="Z16" s="1">
        <f t="shared" si="8"/>
        <v>0.56248819157147834</v>
      </c>
      <c r="AA16" s="1">
        <f t="shared" si="4"/>
        <v>0.53242993513468995</v>
      </c>
      <c r="AB16" s="1">
        <f t="shared" si="4"/>
        <v>0.54790130726331654</v>
      </c>
      <c r="AC16" s="1">
        <f t="shared" si="4"/>
        <v>0.52916242903120592</v>
      </c>
      <c r="AD16" s="1">
        <f t="shared" si="4"/>
        <v>0.53903760540580026</v>
      </c>
      <c r="AE16" s="1">
        <f t="shared" si="4"/>
        <v>0.54440719308466656</v>
      </c>
      <c r="AF16" s="1">
        <f t="shared" si="4"/>
        <v>0.57233927548959351</v>
      </c>
      <c r="AG16" s="1">
        <f t="shared" si="4"/>
        <v>0.58208075892445765</v>
      </c>
      <c r="AH16" s="1">
        <f t="shared" si="4"/>
        <v>0.46807528913500374</v>
      </c>
      <c r="AI16" s="1">
        <f t="shared" si="4"/>
        <v>0.55176188035570994</v>
      </c>
      <c r="AJ16" s="1">
        <f t="shared" si="4"/>
        <v>0</v>
      </c>
      <c r="AK16" s="1">
        <f t="shared" si="4"/>
        <v>0.56306129263392979</v>
      </c>
      <c r="AL16" s="1">
        <f t="shared" si="4"/>
        <v>0.52602937770169145</v>
      </c>
      <c r="AM16" s="1">
        <f t="shared" si="4"/>
        <v>0.57033059251982987</v>
      </c>
      <c r="AN16" s="1">
        <f t="shared" si="4"/>
        <v>0</v>
      </c>
      <c r="AO16" s="1">
        <f t="shared" si="4"/>
        <v>0</v>
      </c>
      <c r="AP16" s="1"/>
      <c r="AQ16" s="1"/>
      <c r="AR16" s="1"/>
      <c r="AS16" s="1"/>
      <c r="AT16" s="1"/>
      <c r="AU16" s="1"/>
      <c r="AV16" s="1"/>
      <c r="AW16" s="1"/>
      <c r="AX16" s="1"/>
    </row>
    <row r="17" spans="5:50">
      <c r="E17">
        <v>2050</v>
      </c>
      <c r="F17" t="str">
        <f t="shared" si="5"/>
        <v>IIS_OTH</v>
      </c>
      <c r="G17" t="str">
        <f t="shared" si="3"/>
        <v>*BFG,*NGA,*OIL,*COA,*OVC</v>
      </c>
      <c r="H17" t="str">
        <f t="shared" si="6"/>
        <v>IIS_OTH</v>
      </c>
      <c r="I17" t="str">
        <f t="shared" si="7"/>
        <v>Fossil-IIS_OTH</v>
      </c>
      <c r="K17" s="1">
        <f t="shared" si="8"/>
        <v>0</v>
      </c>
      <c r="L17" s="1">
        <f t="shared" si="4"/>
        <v>0</v>
      </c>
      <c r="M17" s="1">
        <f t="shared" si="4"/>
        <v>0</v>
      </c>
      <c r="N17" s="1">
        <f t="shared" si="4"/>
        <v>0</v>
      </c>
      <c r="O17" s="1">
        <f t="shared" si="4"/>
        <v>0</v>
      </c>
      <c r="P17" s="1">
        <f t="shared" si="4"/>
        <v>0</v>
      </c>
      <c r="Q17" s="1">
        <f t="shared" si="4"/>
        <v>0</v>
      </c>
      <c r="R17" s="1">
        <f t="shared" si="4"/>
        <v>0</v>
      </c>
      <c r="S17" s="1">
        <f t="shared" si="4"/>
        <v>0</v>
      </c>
      <c r="T17" s="1">
        <f t="shared" si="4"/>
        <v>0</v>
      </c>
      <c r="U17" s="1">
        <f t="shared" si="4"/>
        <v>0</v>
      </c>
      <c r="V17" s="1">
        <f t="shared" si="4"/>
        <v>0</v>
      </c>
      <c r="W17" s="1">
        <f t="shared" si="4"/>
        <v>0</v>
      </c>
      <c r="X17" s="1">
        <f t="shared" si="4"/>
        <v>0</v>
      </c>
      <c r="Y17" s="1">
        <f t="shared" si="4"/>
        <v>0</v>
      </c>
      <c r="Z17" s="1">
        <f t="shared" si="4"/>
        <v>0</v>
      </c>
      <c r="AA17" s="1">
        <f t="shared" si="4"/>
        <v>0</v>
      </c>
      <c r="AB17" s="1">
        <f t="shared" si="4"/>
        <v>0</v>
      </c>
      <c r="AC17" s="1">
        <f t="shared" si="4"/>
        <v>0</v>
      </c>
      <c r="AD17" s="1">
        <f t="shared" si="4"/>
        <v>0</v>
      </c>
      <c r="AE17" s="1">
        <f t="shared" si="4"/>
        <v>0</v>
      </c>
      <c r="AF17" s="1">
        <f t="shared" si="4"/>
        <v>0</v>
      </c>
      <c r="AG17" s="1">
        <f t="shared" si="4"/>
        <v>0</v>
      </c>
      <c r="AH17" s="1">
        <f t="shared" si="4"/>
        <v>0</v>
      </c>
      <c r="AI17" s="1">
        <f t="shared" si="4"/>
        <v>0</v>
      </c>
      <c r="AJ17" s="1">
        <f t="shared" si="4"/>
        <v>0</v>
      </c>
      <c r="AK17" s="1">
        <f t="shared" si="4"/>
        <v>0</v>
      </c>
      <c r="AL17" s="1">
        <f t="shared" si="4"/>
        <v>0</v>
      </c>
      <c r="AM17" s="1">
        <f t="shared" si="4"/>
        <v>0</v>
      </c>
      <c r="AN17" s="1">
        <f t="shared" si="4"/>
        <v>0</v>
      </c>
      <c r="AO17" s="1">
        <f t="shared" si="4"/>
        <v>0</v>
      </c>
      <c r="AP17" s="1"/>
      <c r="AQ17" s="1"/>
      <c r="AR17" s="1"/>
      <c r="AS17" s="1"/>
      <c r="AT17" s="1"/>
      <c r="AU17" s="1"/>
      <c r="AV17" s="1"/>
      <c r="AW17" s="1"/>
      <c r="AX17" s="1"/>
    </row>
    <row r="18" spans="5:50">
      <c r="E18">
        <v>2050</v>
      </c>
      <c r="F18" t="str">
        <f t="shared" si="5"/>
        <v>IIS_PRH</v>
      </c>
      <c r="G18" t="str">
        <f t="shared" si="3"/>
        <v>*BFG,*NGA,*OIL,*COA,*OVC</v>
      </c>
      <c r="H18" t="str">
        <f t="shared" si="6"/>
        <v>IIS_PRH</v>
      </c>
      <c r="I18" t="str">
        <f t="shared" si="7"/>
        <v>Fossil-IIS_PRH</v>
      </c>
      <c r="K18" s="1">
        <f t="shared" si="8"/>
        <v>0</v>
      </c>
      <c r="L18" s="1">
        <f t="shared" si="4"/>
        <v>0</v>
      </c>
      <c r="M18" s="1">
        <f t="shared" si="4"/>
        <v>0</v>
      </c>
      <c r="N18" s="1">
        <f t="shared" si="4"/>
        <v>0</v>
      </c>
      <c r="O18" s="1">
        <f t="shared" si="4"/>
        <v>0</v>
      </c>
      <c r="P18" s="1">
        <f t="shared" si="4"/>
        <v>0</v>
      </c>
      <c r="Q18" s="1">
        <f t="shared" si="4"/>
        <v>0</v>
      </c>
      <c r="R18" s="1">
        <f t="shared" si="4"/>
        <v>0</v>
      </c>
      <c r="S18" s="1">
        <f t="shared" si="4"/>
        <v>0</v>
      </c>
      <c r="T18" s="1">
        <f t="shared" si="4"/>
        <v>0</v>
      </c>
      <c r="U18" s="1">
        <f t="shared" si="4"/>
        <v>0</v>
      </c>
      <c r="V18" s="1">
        <f t="shared" si="4"/>
        <v>0</v>
      </c>
      <c r="W18" s="1">
        <f t="shared" si="4"/>
        <v>0</v>
      </c>
      <c r="X18" s="1">
        <f t="shared" si="4"/>
        <v>0</v>
      </c>
      <c r="Y18" s="1">
        <f t="shared" si="4"/>
        <v>0</v>
      </c>
      <c r="Z18" s="1">
        <f t="shared" si="4"/>
        <v>0</v>
      </c>
      <c r="AA18" s="1">
        <f t="shared" si="4"/>
        <v>0</v>
      </c>
      <c r="AB18" s="1">
        <f t="shared" si="4"/>
        <v>0</v>
      </c>
      <c r="AC18" s="1">
        <f t="shared" si="4"/>
        <v>0</v>
      </c>
      <c r="AD18" s="1">
        <f t="shared" si="4"/>
        <v>0</v>
      </c>
      <c r="AE18" s="1">
        <f t="shared" si="4"/>
        <v>0</v>
      </c>
      <c r="AF18" s="1">
        <f t="shared" si="4"/>
        <v>0</v>
      </c>
      <c r="AG18" s="1">
        <f t="shared" si="4"/>
        <v>0</v>
      </c>
      <c r="AH18" s="1">
        <f t="shared" si="4"/>
        <v>0</v>
      </c>
      <c r="AI18" s="1">
        <f t="shared" si="4"/>
        <v>0</v>
      </c>
      <c r="AJ18" s="1">
        <f t="shared" si="4"/>
        <v>0</v>
      </c>
      <c r="AK18" s="1">
        <f t="shared" si="4"/>
        <v>0</v>
      </c>
      <c r="AL18" s="1">
        <f t="shared" si="4"/>
        <v>0</v>
      </c>
      <c r="AM18" s="1">
        <f t="shared" si="4"/>
        <v>0</v>
      </c>
      <c r="AN18" s="1">
        <f t="shared" si="4"/>
        <v>0</v>
      </c>
      <c r="AO18" s="1">
        <f t="shared" si="4"/>
        <v>0</v>
      </c>
      <c r="AP18" s="1"/>
      <c r="AQ18" s="1"/>
      <c r="AR18" s="1"/>
      <c r="AS18" s="1"/>
      <c r="AT18" s="1"/>
      <c r="AU18" s="1"/>
      <c r="AV18" s="1"/>
      <c r="AW18" s="1"/>
      <c r="AX18" s="1"/>
    </row>
    <row r="19" spans="5:50">
      <c r="E19">
        <v>2050</v>
      </c>
      <c r="F19" t="str">
        <f t="shared" si="5"/>
        <v>INF_OTH</v>
      </c>
      <c r="G19" t="str">
        <f t="shared" si="3"/>
        <v>*BFG,*NGA,*OIL,*COA,*OVC</v>
      </c>
      <c r="H19" t="str">
        <f t="shared" si="6"/>
        <v>INF_OTH</v>
      </c>
      <c r="I19" t="str">
        <f t="shared" si="7"/>
        <v>Fossil-INF_OTH</v>
      </c>
      <c r="K19" s="1">
        <f t="shared" si="8"/>
        <v>0.56505954786181756</v>
      </c>
      <c r="L19" s="1">
        <f t="shared" si="4"/>
        <v>0.36980524565488132</v>
      </c>
      <c r="M19" s="1">
        <f t="shared" si="4"/>
        <v>5.3791175609660846E-2</v>
      </c>
      <c r="N19" s="1">
        <f t="shared" si="4"/>
        <v>0.43314227791209065</v>
      </c>
      <c r="O19" s="1">
        <f t="shared" si="4"/>
        <v>0.54334433504645585</v>
      </c>
      <c r="P19" s="1">
        <f t="shared" si="4"/>
        <v>0.56538128318449454</v>
      </c>
      <c r="Q19" s="1">
        <f t="shared" si="4"/>
        <v>0.49058965275998723</v>
      </c>
      <c r="R19" s="1">
        <f t="shared" si="4"/>
        <v>0.56522635845177704</v>
      </c>
      <c r="S19" s="1">
        <f t="shared" si="4"/>
        <v>0.25253801204408594</v>
      </c>
      <c r="T19" s="1">
        <f t="shared" si="4"/>
        <v>0.22231237799296177</v>
      </c>
      <c r="U19" s="1">
        <f t="shared" si="4"/>
        <v>0.52362858094833853</v>
      </c>
      <c r="V19" s="1">
        <f t="shared" si="4"/>
        <v>0.3712793398434579</v>
      </c>
      <c r="W19" s="1">
        <f t="shared" si="4"/>
        <v>0.3844218918398245</v>
      </c>
      <c r="X19" s="1">
        <f t="shared" si="4"/>
        <v>0.51968902333869782</v>
      </c>
      <c r="Y19" s="1">
        <f t="shared" si="4"/>
        <v>0.41251098217158771</v>
      </c>
      <c r="Z19" s="1">
        <f t="shared" si="4"/>
        <v>0.50565151024373467</v>
      </c>
      <c r="AA19" s="1">
        <f t="shared" si="4"/>
        <v>0.47272693538255894</v>
      </c>
      <c r="AB19" s="1">
        <f t="shared" si="4"/>
        <v>0.51671533442442175</v>
      </c>
      <c r="AC19" s="1">
        <f t="shared" si="4"/>
        <v>0.37876878533781583</v>
      </c>
      <c r="AD19" s="1">
        <f t="shared" si="4"/>
        <v>0.49570827354487906</v>
      </c>
      <c r="AE19" s="1">
        <f t="shared" si="4"/>
        <v>0.50740447604956995</v>
      </c>
      <c r="AF19" s="1">
        <f t="shared" si="4"/>
        <v>0</v>
      </c>
      <c r="AG19" s="1">
        <f t="shared" si="4"/>
        <v>0</v>
      </c>
      <c r="AH19" s="1">
        <f t="shared" si="4"/>
        <v>0.18288236920460338</v>
      </c>
      <c r="AI19" s="1">
        <f t="shared" si="4"/>
        <v>0</v>
      </c>
      <c r="AJ19" s="1">
        <f t="shared" si="4"/>
        <v>0</v>
      </c>
      <c r="AK19" s="1">
        <f t="shared" si="4"/>
        <v>4.0460766115987205E-3</v>
      </c>
      <c r="AL19" s="1">
        <f t="shared" si="4"/>
        <v>0.3256923033556452</v>
      </c>
      <c r="AM19" s="1">
        <f t="shared" si="4"/>
        <v>0.45772976930580506</v>
      </c>
      <c r="AN19" s="1">
        <f t="shared" si="4"/>
        <v>0</v>
      </c>
      <c r="AO19" s="1">
        <f t="shared" si="4"/>
        <v>0</v>
      </c>
      <c r="AP19" s="1"/>
      <c r="AQ19" s="1"/>
      <c r="AR19" s="1"/>
      <c r="AS19" s="1"/>
      <c r="AT19" s="1"/>
      <c r="AU19" s="1"/>
      <c r="AV19" s="1"/>
      <c r="AW19" s="1"/>
      <c r="AX19" s="1"/>
    </row>
    <row r="20" spans="5:50">
      <c r="E20">
        <v>2050</v>
      </c>
      <c r="F20" t="str">
        <f t="shared" si="5"/>
        <v>INF_PRH</v>
      </c>
      <c r="G20" t="str">
        <f t="shared" si="3"/>
        <v>*BFG,*NGA,*OIL,*COA,*OVC</v>
      </c>
      <c r="H20" t="str">
        <f t="shared" si="6"/>
        <v>INF_PRH</v>
      </c>
      <c r="I20" t="str">
        <f t="shared" si="7"/>
        <v>Fossil-INF_PRH</v>
      </c>
      <c r="K20" s="1">
        <f t="shared" si="8"/>
        <v>3.0140408475540552E-2</v>
      </c>
      <c r="L20" s="1">
        <f t="shared" si="4"/>
        <v>4.3966791418385429E-2</v>
      </c>
      <c r="M20" s="1">
        <f t="shared" si="4"/>
        <v>0.40328221599880665</v>
      </c>
      <c r="N20" s="1">
        <f t="shared" si="4"/>
        <v>0.45644238239752299</v>
      </c>
      <c r="O20" s="1">
        <f t="shared" si="4"/>
        <v>0.37830648112259635</v>
      </c>
      <c r="P20" s="1">
        <f t="shared" si="4"/>
        <v>0.57368153681946954</v>
      </c>
      <c r="Q20" s="1">
        <f t="shared" si="4"/>
        <v>0.48644117384536528</v>
      </c>
      <c r="R20" s="1">
        <f t="shared" si="4"/>
        <v>0.40014810568692449</v>
      </c>
      <c r="S20" s="1">
        <f t="shared" si="4"/>
        <v>0.28146205944665592</v>
      </c>
      <c r="T20" s="1">
        <f t="shared" si="4"/>
        <v>0.33276799539935642</v>
      </c>
      <c r="U20" s="1">
        <f t="shared" si="4"/>
        <v>0.16004148297046858</v>
      </c>
      <c r="V20" s="1">
        <f t="shared" si="4"/>
        <v>0.45346557962444989</v>
      </c>
      <c r="W20" s="1">
        <f t="shared" si="4"/>
        <v>0.49534300773143741</v>
      </c>
      <c r="X20" s="1">
        <f t="shared" si="4"/>
        <v>0.49237575888137297</v>
      </c>
      <c r="Y20" s="1">
        <f t="shared" si="4"/>
        <v>0.42395708867244242</v>
      </c>
      <c r="Z20" s="1">
        <f t="shared" si="4"/>
        <v>0.44054000742196592</v>
      </c>
      <c r="AA20" s="1">
        <f t="shared" si="4"/>
        <v>0.48269857925293796</v>
      </c>
      <c r="AB20" s="1">
        <f t="shared" si="4"/>
        <v>0.35109365007943699</v>
      </c>
      <c r="AC20" s="1">
        <f t="shared" si="4"/>
        <v>0.43118782626897462</v>
      </c>
      <c r="AD20" s="1">
        <f t="shared" si="4"/>
        <v>0.28925308489697565</v>
      </c>
      <c r="AE20" s="1">
        <f t="shared" si="4"/>
        <v>0.23414942975943312</v>
      </c>
      <c r="AF20" s="1">
        <f t="shared" si="4"/>
        <v>0</v>
      </c>
      <c r="AG20" s="1">
        <f t="shared" si="4"/>
        <v>0</v>
      </c>
      <c r="AH20" s="1">
        <f t="shared" si="4"/>
        <v>3.5487758767484244E-2</v>
      </c>
      <c r="AI20" s="1">
        <f t="shared" si="4"/>
        <v>0</v>
      </c>
      <c r="AJ20" s="1">
        <f t="shared" si="4"/>
        <v>0</v>
      </c>
      <c r="AK20" s="1">
        <f t="shared" si="4"/>
        <v>0.46512066436657129</v>
      </c>
      <c r="AL20" s="1">
        <f t="shared" si="4"/>
        <v>0.4344284267226301</v>
      </c>
      <c r="AM20" s="1">
        <f t="shared" si="4"/>
        <v>0.47000422357937893</v>
      </c>
      <c r="AN20" s="1">
        <f t="shared" si="4"/>
        <v>0</v>
      </c>
      <c r="AO20" s="1">
        <f t="shared" si="4"/>
        <v>0</v>
      </c>
      <c r="AP20" s="1"/>
      <c r="AQ20" s="1"/>
      <c r="AR20" s="1"/>
      <c r="AS20" s="1"/>
      <c r="AT20" s="1"/>
      <c r="AU20" s="1"/>
      <c r="AV20" s="1"/>
      <c r="AW20" s="1"/>
      <c r="AX20" s="1"/>
    </row>
    <row r="21" spans="5:50">
      <c r="E21">
        <v>2050</v>
      </c>
      <c r="F21" t="str">
        <f t="shared" si="5"/>
        <v>INM_OTH</v>
      </c>
      <c r="G21" t="str">
        <f t="shared" si="3"/>
        <v>*BFG,*NGA,*OIL,*COA,*OVC</v>
      </c>
      <c r="H21" t="str">
        <f t="shared" si="6"/>
        <v>INM_OTH</v>
      </c>
      <c r="I21" t="str">
        <f t="shared" si="7"/>
        <v>Fossil-INM_OTH</v>
      </c>
      <c r="K21" s="1">
        <f t="shared" si="8"/>
        <v>0.57249856908726282</v>
      </c>
      <c r="L21" s="1">
        <f t="shared" si="4"/>
        <v>0.57255573058039944</v>
      </c>
      <c r="M21" s="1">
        <f t="shared" si="4"/>
        <v>0.54153758747096281</v>
      </c>
      <c r="N21" s="1">
        <f t="shared" si="4"/>
        <v>0.55305080433030807</v>
      </c>
      <c r="O21" s="1">
        <f t="shared" si="4"/>
        <v>0.5605283980784237</v>
      </c>
      <c r="P21" s="1">
        <f t="shared" si="4"/>
        <v>0.55498232184290663</v>
      </c>
      <c r="Q21" s="1">
        <f t="shared" si="4"/>
        <v>0.54860409153468992</v>
      </c>
      <c r="R21" s="1">
        <f t="shared" si="4"/>
        <v>0.57644707271920004</v>
      </c>
      <c r="S21" s="1">
        <f t="shared" si="4"/>
        <v>0.57412294709735257</v>
      </c>
      <c r="T21" s="1">
        <f t="shared" si="4"/>
        <v>0.47251970996859982</v>
      </c>
      <c r="U21" s="1">
        <f t="shared" si="4"/>
        <v>0.56934591151748593</v>
      </c>
      <c r="V21" s="1">
        <f t="shared" si="4"/>
        <v>0.50212236393167042</v>
      </c>
      <c r="W21" s="1">
        <f t="shared" si="4"/>
        <v>0.55618360045210957</v>
      </c>
      <c r="X21" s="1">
        <f t="shared" si="4"/>
        <v>0.56810659577999001</v>
      </c>
      <c r="Y21" s="1">
        <f t="shared" si="4"/>
        <v>0.56525172619223618</v>
      </c>
      <c r="Z21" s="1">
        <f t="shared" si="4"/>
        <v>0.57287343023099768</v>
      </c>
      <c r="AA21" s="1">
        <f t="shared" si="4"/>
        <v>0.57216452147040131</v>
      </c>
      <c r="AB21" s="1">
        <f t="shared" si="4"/>
        <v>0.55718376455200747</v>
      </c>
      <c r="AC21" s="1">
        <f t="shared" si="4"/>
        <v>0.53137260511498174</v>
      </c>
      <c r="AD21" s="1">
        <f t="shared" si="4"/>
        <v>0.58168437502192549</v>
      </c>
      <c r="AE21" s="1">
        <f t="shared" si="4"/>
        <v>0.57134937430013488</v>
      </c>
      <c r="AF21" s="1">
        <f t="shared" si="4"/>
        <v>0.57574820637042379</v>
      </c>
      <c r="AG21" s="1">
        <f t="shared" si="4"/>
        <v>0.57970284053092791</v>
      </c>
      <c r="AH21" s="1">
        <f t="shared" si="4"/>
        <v>0.53793529680100438</v>
      </c>
      <c r="AI21" s="1">
        <f t="shared" si="4"/>
        <v>0.5376702657370015</v>
      </c>
      <c r="AJ21" s="1">
        <f t="shared" si="4"/>
        <v>0</v>
      </c>
      <c r="AK21" s="1">
        <f t="shared" si="4"/>
        <v>0.39280301946859236</v>
      </c>
      <c r="AL21" s="1">
        <f t="shared" si="4"/>
        <v>0.52415500927030068</v>
      </c>
      <c r="AM21" s="1">
        <f t="shared" si="4"/>
        <v>0.53699130884704926</v>
      </c>
      <c r="AN21" s="1">
        <f t="shared" si="4"/>
        <v>0</v>
      </c>
      <c r="AO21" s="1">
        <f t="shared" si="4"/>
        <v>0</v>
      </c>
      <c r="AP21" s="1"/>
      <c r="AQ21" s="1"/>
      <c r="AR21" s="1"/>
      <c r="AS21" s="1"/>
      <c r="AT21" s="1"/>
      <c r="AU21" s="1"/>
      <c r="AV21" s="1"/>
      <c r="AW21" s="1"/>
      <c r="AX21" s="1"/>
    </row>
    <row r="22" spans="5:50">
      <c r="E22">
        <v>2050</v>
      </c>
      <c r="F22" t="str">
        <f t="shared" si="5"/>
        <v>INM_PRH</v>
      </c>
      <c r="G22" t="str">
        <f t="shared" si="3"/>
        <v>*BFG,*NGA,*OIL,*COA,*OVC</v>
      </c>
      <c r="H22" t="str">
        <f t="shared" si="6"/>
        <v>INM_PRH</v>
      </c>
      <c r="I22" t="str">
        <f t="shared" si="7"/>
        <v>Fossil-INM_PRH</v>
      </c>
      <c r="K22" s="1">
        <f t="shared" si="8"/>
        <v>0.55431475068877045</v>
      </c>
      <c r="L22" s="1">
        <f t="shared" si="4"/>
        <v>0.53749014770143799</v>
      </c>
      <c r="M22" s="1">
        <f t="shared" si="4"/>
        <v>0.53174113406575096</v>
      </c>
      <c r="N22" s="1">
        <f t="shared" si="4"/>
        <v>0.56693937485090584</v>
      </c>
      <c r="O22" s="1">
        <f t="shared" si="4"/>
        <v>0.44503436578854416</v>
      </c>
      <c r="P22" s="1">
        <f t="shared" si="4"/>
        <v>0.56625076438719013</v>
      </c>
      <c r="Q22" s="1">
        <f t="shared" si="4"/>
        <v>0.53597817729482566</v>
      </c>
      <c r="R22" s="1">
        <f t="shared" si="4"/>
        <v>0.19059997965324571</v>
      </c>
      <c r="S22" s="1">
        <f t="shared" si="4"/>
        <v>0.48757428714182238</v>
      </c>
      <c r="T22" s="1">
        <f t="shared" si="4"/>
        <v>0.55279498941022598</v>
      </c>
      <c r="U22" s="1">
        <f t="shared" si="4"/>
        <v>0.4180664746663687</v>
      </c>
      <c r="V22" s="1">
        <f t="shared" si="4"/>
        <v>0.36249207489449364</v>
      </c>
      <c r="W22" s="1">
        <f t="shared" si="4"/>
        <v>0.44432252355818508</v>
      </c>
      <c r="X22" s="1">
        <f t="shared" si="4"/>
        <v>0.46314461310716704</v>
      </c>
      <c r="Y22" s="1">
        <f t="shared" si="4"/>
        <v>0.38704978022849579</v>
      </c>
      <c r="Z22" s="1">
        <f t="shared" si="4"/>
        <v>0.4298696070025631</v>
      </c>
      <c r="AA22" s="1">
        <f t="shared" si="4"/>
        <v>0.49456619082513459</v>
      </c>
      <c r="AB22" s="1">
        <f t="shared" si="4"/>
        <v>0.42480423774856108</v>
      </c>
      <c r="AC22" s="1">
        <f t="shared" si="4"/>
        <v>0.39847900348163817</v>
      </c>
      <c r="AD22" s="1">
        <f t="shared" si="4"/>
        <v>0.58060847980448527</v>
      </c>
      <c r="AE22" s="1">
        <f t="shared" si="4"/>
        <v>0.5383339650300627</v>
      </c>
      <c r="AF22" s="1">
        <f t="shared" si="4"/>
        <v>0.49761528426696561</v>
      </c>
      <c r="AG22" s="1">
        <f t="shared" si="4"/>
        <v>0.58148640748110214</v>
      </c>
      <c r="AH22" s="1">
        <f t="shared" si="4"/>
        <v>0.28833476214786558</v>
      </c>
      <c r="AI22" s="1">
        <f t="shared" si="4"/>
        <v>0.55563776962889511</v>
      </c>
      <c r="AJ22" s="1">
        <f t="shared" si="4"/>
        <v>0</v>
      </c>
      <c r="AK22" s="1">
        <f t="shared" si="4"/>
        <v>0.55857152058680726</v>
      </c>
      <c r="AL22" s="1">
        <f t="shared" si="4"/>
        <v>0.45812434689920539</v>
      </c>
      <c r="AM22" s="1">
        <f t="shared" si="4"/>
        <v>0.53688827515567139</v>
      </c>
      <c r="AN22" s="1">
        <f t="shared" si="4"/>
        <v>0</v>
      </c>
      <c r="AO22" s="1">
        <f t="shared" si="4"/>
        <v>0</v>
      </c>
      <c r="AP22" s="1"/>
      <c r="AQ22" s="1"/>
      <c r="AR22" s="1"/>
      <c r="AS22" s="1"/>
      <c r="AT22" s="1"/>
      <c r="AU22" s="1"/>
      <c r="AV22" s="1"/>
      <c r="AW22" s="1"/>
      <c r="AX22" s="1"/>
    </row>
    <row r="23" spans="5:50">
      <c r="E23">
        <v>2050</v>
      </c>
      <c r="F23" t="str">
        <f t="shared" si="5"/>
        <v>IOI_OTH</v>
      </c>
      <c r="G23" t="str">
        <f t="shared" si="3"/>
        <v>*BFG,*NGA,*OIL,*COA,*OVC</v>
      </c>
      <c r="H23" t="str">
        <f t="shared" si="6"/>
        <v>IOI_OTH</v>
      </c>
      <c r="I23" t="str">
        <f t="shared" si="7"/>
        <v>Fossil-IOI_OTH</v>
      </c>
      <c r="K23" s="1">
        <f t="shared" si="8"/>
        <v>0.56029472582256945</v>
      </c>
      <c r="L23" s="1">
        <f t="shared" si="4"/>
        <v>0.56805516326956662</v>
      </c>
      <c r="M23" s="1">
        <f t="shared" si="4"/>
        <v>0.56447164662640248</v>
      </c>
      <c r="N23" s="1">
        <f t="shared" si="4"/>
        <v>0.48074364821201876</v>
      </c>
      <c r="O23" s="1">
        <f t="shared" si="4"/>
        <v>0.5385843555392188</v>
      </c>
      <c r="P23" s="1">
        <f t="shared" si="4"/>
        <v>0.53675099617404176</v>
      </c>
      <c r="Q23" s="1">
        <f t="shared" si="4"/>
        <v>0.56463747492332728</v>
      </c>
      <c r="R23" s="1">
        <f t="shared" si="4"/>
        <v>0.47128371735540997</v>
      </c>
      <c r="S23" s="1">
        <f t="shared" si="4"/>
        <v>0.56482008101306647</v>
      </c>
      <c r="T23" s="1">
        <f t="shared" si="4"/>
        <v>0.54700446741744801</v>
      </c>
      <c r="U23" s="1">
        <f t="shared" si="4"/>
        <v>0.513859967450221</v>
      </c>
      <c r="V23" s="1">
        <f t="shared" si="4"/>
        <v>0.36477843607102811</v>
      </c>
      <c r="W23" s="1">
        <f t="shared" si="4"/>
        <v>0.46948299191168574</v>
      </c>
      <c r="X23" s="1">
        <f t="shared" si="4"/>
        <v>0.35540750951232891</v>
      </c>
      <c r="Y23" s="1">
        <f t="shared" si="4"/>
        <v>0.40154790541419438</v>
      </c>
      <c r="Z23" s="1">
        <f t="shared" si="4"/>
        <v>0.44858113936501348</v>
      </c>
      <c r="AA23" s="1">
        <f t="shared" si="4"/>
        <v>0.39676743828243904</v>
      </c>
      <c r="AB23" s="1">
        <f t="shared" si="4"/>
        <v>0.44748466811844473</v>
      </c>
      <c r="AC23" s="1">
        <f t="shared" si="4"/>
        <v>0.38139875180278554</v>
      </c>
      <c r="AD23" s="1">
        <f t="shared" si="4"/>
        <v>0.55123561806802246</v>
      </c>
      <c r="AE23" s="1">
        <f t="shared" si="4"/>
        <v>0.56610144695719833</v>
      </c>
      <c r="AF23" s="1">
        <f t="shared" si="4"/>
        <v>0.45919763399885227</v>
      </c>
      <c r="AG23" s="1">
        <f t="shared" si="4"/>
        <v>0.5578269192457479</v>
      </c>
      <c r="AH23" s="1">
        <f t="shared" si="4"/>
        <v>0.50312457219654028</v>
      </c>
      <c r="AI23" s="1">
        <f t="shared" si="4"/>
        <v>0.57467941932498534</v>
      </c>
      <c r="AJ23" s="1">
        <f t="shared" si="4"/>
        <v>0.57857092338594596</v>
      </c>
      <c r="AK23" s="1">
        <f t="shared" si="4"/>
        <v>0.42614074987538914</v>
      </c>
      <c r="AL23" s="1">
        <f t="shared" si="4"/>
        <v>0.54884138360686296</v>
      </c>
      <c r="AM23" s="1">
        <f t="shared" si="4"/>
        <v>0.46757797211346031</v>
      </c>
      <c r="AN23" s="1">
        <f t="shared" si="4"/>
        <v>0</v>
      </c>
      <c r="AO23" s="1">
        <f t="shared" si="4"/>
        <v>0</v>
      </c>
      <c r="AP23" s="1"/>
      <c r="AQ23" s="1"/>
      <c r="AR23" s="1"/>
      <c r="AS23" s="1"/>
      <c r="AT23" s="1"/>
      <c r="AU23" s="1"/>
      <c r="AV23" s="1"/>
      <c r="AW23" s="1"/>
      <c r="AX23" s="1"/>
    </row>
    <row r="24" spans="5:50">
      <c r="E24">
        <v>2050</v>
      </c>
      <c r="F24" t="str">
        <f t="shared" si="5"/>
        <v>IOI_PRH</v>
      </c>
      <c r="G24" t="str">
        <f t="shared" si="3"/>
        <v>*BFG,*NGA,*OIL,*COA,*OVC</v>
      </c>
      <c r="H24" t="str">
        <f t="shared" si="6"/>
        <v>IOI_PRH</v>
      </c>
      <c r="I24" t="str">
        <f t="shared" si="7"/>
        <v>Fossil-IOI_PRH</v>
      </c>
      <c r="K24" s="1">
        <f t="shared" si="8"/>
        <v>0.52719161383456126</v>
      </c>
      <c r="L24" s="1">
        <f t="shared" si="8"/>
        <v>0.50436374421390306</v>
      </c>
      <c r="M24" s="1">
        <f t="shared" si="8"/>
        <v>0.55791106379477007</v>
      </c>
      <c r="N24" s="1">
        <f t="shared" si="8"/>
        <v>0.54432258464539651</v>
      </c>
      <c r="O24" s="1">
        <f t="shared" si="8"/>
        <v>0.49788792929798159</v>
      </c>
      <c r="P24" s="1">
        <f t="shared" si="8"/>
        <v>0.52292825763229911</v>
      </c>
      <c r="Q24" s="1">
        <f t="shared" si="8"/>
        <v>0.50910866991364423</v>
      </c>
      <c r="R24" s="1">
        <f t="shared" si="8"/>
        <v>0.42926848180657257</v>
      </c>
      <c r="S24" s="1">
        <f t="shared" si="8"/>
        <v>0.55099111446257265</v>
      </c>
      <c r="T24" s="1">
        <f t="shared" si="8"/>
        <v>0.43110686389518649</v>
      </c>
      <c r="U24" s="1">
        <f t="shared" si="8"/>
        <v>0.19963176507120403</v>
      </c>
      <c r="V24" s="1">
        <f t="shared" si="8"/>
        <v>0.45561584253319726</v>
      </c>
      <c r="W24" s="1">
        <f t="shared" si="8"/>
        <v>0.50759227918550454</v>
      </c>
      <c r="X24" s="1">
        <f t="shared" si="8"/>
        <v>0.41822888923575957</v>
      </c>
      <c r="Y24" s="1">
        <f t="shared" si="8"/>
        <v>0.47817497320675606</v>
      </c>
      <c r="Z24" s="1">
        <f t="shared" si="8"/>
        <v>0.48391543128355746</v>
      </c>
      <c r="AA24" s="1">
        <f t="shared" ref="AA24:AO24" si="9">$B$15*AA13</f>
        <v>0.50316530684327454</v>
      </c>
      <c r="AB24" s="1">
        <f t="shared" si="9"/>
        <v>0.50167171746270911</v>
      </c>
      <c r="AC24" s="1">
        <f t="shared" si="9"/>
        <v>0.48608705886187908</v>
      </c>
      <c r="AD24" s="1">
        <f t="shared" si="9"/>
        <v>0.41855436857657746</v>
      </c>
      <c r="AE24" s="1">
        <f t="shared" si="9"/>
        <v>0.48757876493236768</v>
      </c>
      <c r="AF24" s="1">
        <f t="shared" si="9"/>
        <v>0.3836997514008969</v>
      </c>
      <c r="AG24" s="1">
        <f t="shared" si="9"/>
        <v>0.56819755135472716</v>
      </c>
      <c r="AH24" s="1">
        <f t="shared" si="9"/>
        <v>0.27435523542772605</v>
      </c>
      <c r="AI24" s="1">
        <f t="shared" si="9"/>
        <v>0.52092583761114708</v>
      </c>
      <c r="AJ24" s="1">
        <f t="shared" si="9"/>
        <v>0.57514126026903167</v>
      </c>
      <c r="AK24" s="1">
        <f t="shared" si="9"/>
        <v>0.16843623931415003</v>
      </c>
      <c r="AL24" s="1">
        <f t="shared" si="9"/>
        <v>0.45931622984753911</v>
      </c>
      <c r="AM24" s="1">
        <f t="shared" si="9"/>
        <v>0.54274474271975892</v>
      </c>
      <c r="AN24" s="1">
        <f t="shared" si="9"/>
        <v>0</v>
      </c>
      <c r="AO24" s="1">
        <f t="shared" si="9"/>
        <v>0</v>
      </c>
      <c r="AP24" s="1"/>
      <c r="AQ24" s="1"/>
      <c r="AR24" s="1"/>
      <c r="AS24" s="1"/>
      <c r="AT24" s="1"/>
      <c r="AU24" s="1"/>
      <c r="AV24" s="1"/>
      <c r="AW24" s="1"/>
      <c r="AX24" s="1"/>
    </row>
    <row r="25" spans="5:50">
      <c r="E25" t="s">
        <v>145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5:50">
      <c r="E26">
        <v>0</v>
      </c>
      <c r="F26" t="str">
        <f>F15</f>
        <v>ICH_OTH</v>
      </c>
      <c r="G26" t="str">
        <f t="shared" si="3"/>
        <v>*BFG,*NGA,*OIL,*COA,*OVC</v>
      </c>
      <c r="H26" t="str">
        <f>F26</f>
        <v>ICH_OTH</v>
      </c>
      <c r="I26" t="str">
        <f>"Fossil-"&amp;F26</f>
        <v>Fossil-ICH_OTH</v>
      </c>
      <c r="J26">
        <v>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5:50">
      <c r="E27">
        <v>0</v>
      </c>
      <c r="F27" t="str">
        <f t="shared" ref="F27:F35" si="10">F16</f>
        <v>ICH_PRH</v>
      </c>
      <c r="G27" t="str">
        <f t="shared" si="3"/>
        <v>*BFG,*NGA,*OIL,*COA,*OVC</v>
      </c>
      <c r="H27" t="str">
        <f t="shared" ref="H27:H35" si="11">F27</f>
        <v>ICH_PRH</v>
      </c>
      <c r="I27" t="str">
        <f t="shared" ref="I27:I35" si="12">"Fossil-"&amp;F27</f>
        <v>Fossil-ICH_PRH</v>
      </c>
      <c r="J27">
        <v>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5:50">
      <c r="E28">
        <v>0</v>
      </c>
      <c r="F28" t="str">
        <f t="shared" si="10"/>
        <v>IIS_OTH</v>
      </c>
      <c r="G28" t="str">
        <f t="shared" si="3"/>
        <v>*BFG,*NGA,*OIL,*COA,*OVC</v>
      </c>
      <c r="H28" t="str">
        <f t="shared" si="11"/>
        <v>IIS_OTH</v>
      </c>
      <c r="I28" t="str">
        <f t="shared" si="12"/>
        <v>Fossil-IIS_OTH</v>
      </c>
      <c r="J28">
        <v>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5:50">
      <c r="E29">
        <v>0</v>
      </c>
      <c r="F29" t="str">
        <f t="shared" si="10"/>
        <v>IIS_PRH</v>
      </c>
      <c r="G29" t="str">
        <f t="shared" si="3"/>
        <v>*BFG,*NGA,*OIL,*COA,*OVC</v>
      </c>
      <c r="H29" t="str">
        <f t="shared" si="11"/>
        <v>IIS_PRH</v>
      </c>
      <c r="I29" t="str">
        <f t="shared" si="12"/>
        <v>Fossil-IIS_PRH</v>
      </c>
      <c r="J29">
        <v>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5:50">
      <c r="E30">
        <v>0</v>
      </c>
      <c r="F30" t="str">
        <f t="shared" si="10"/>
        <v>INF_OTH</v>
      </c>
      <c r="G30" t="str">
        <f t="shared" si="3"/>
        <v>*BFG,*NGA,*OIL,*COA,*OVC</v>
      </c>
      <c r="H30" t="str">
        <f t="shared" si="11"/>
        <v>INF_OTH</v>
      </c>
      <c r="I30" t="str">
        <f t="shared" si="12"/>
        <v>Fossil-INF_OTH</v>
      </c>
      <c r="J30">
        <v>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5:50">
      <c r="E31">
        <v>0</v>
      </c>
      <c r="F31" t="str">
        <f t="shared" si="10"/>
        <v>INF_PRH</v>
      </c>
      <c r="G31" t="str">
        <f t="shared" si="3"/>
        <v>*BFG,*NGA,*OIL,*COA,*OVC</v>
      </c>
      <c r="H31" t="str">
        <f t="shared" si="11"/>
        <v>INF_PRH</v>
      </c>
      <c r="I31" t="str">
        <f t="shared" si="12"/>
        <v>Fossil-INF_PRH</v>
      </c>
      <c r="J31">
        <v>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5:50">
      <c r="E32">
        <v>0</v>
      </c>
      <c r="F32" t="str">
        <f t="shared" si="10"/>
        <v>INM_OTH</v>
      </c>
      <c r="G32" t="str">
        <f t="shared" si="3"/>
        <v>*BFG,*NGA,*OIL,*COA,*OVC</v>
      </c>
      <c r="H32" t="str">
        <f t="shared" si="11"/>
        <v>INM_OTH</v>
      </c>
      <c r="I32" t="str">
        <f t="shared" si="12"/>
        <v>Fossil-INM_OTH</v>
      </c>
      <c r="J32">
        <v>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5:50">
      <c r="E33">
        <v>0</v>
      </c>
      <c r="F33" t="str">
        <f t="shared" si="10"/>
        <v>INM_PRH</v>
      </c>
      <c r="G33" t="str">
        <f t="shared" si="3"/>
        <v>*BFG,*NGA,*OIL,*COA,*OVC</v>
      </c>
      <c r="H33" t="str">
        <f t="shared" si="11"/>
        <v>INM_PRH</v>
      </c>
      <c r="I33" t="str">
        <f t="shared" si="12"/>
        <v>Fossil-INM_PRH</v>
      </c>
      <c r="J33">
        <v>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5:50">
      <c r="E34">
        <v>0</v>
      </c>
      <c r="F34" t="str">
        <f t="shared" si="10"/>
        <v>IOI_OTH</v>
      </c>
      <c r="G34" t="str">
        <f t="shared" si="3"/>
        <v>*BFG,*NGA,*OIL,*COA,*OVC</v>
      </c>
      <c r="H34" t="str">
        <f t="shared" si="11"/>
        <v>IOI_OTH</v>
      </c>
      <c r="I34" t="str">
        <f t="shared" si="12"/>
        <v>Fossil-IOI_OTH</v>
      </c>
      <c r="J34">
        <v>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5:50">
      <c r="E35">
        <v>0</v>
      </c>
      <c r="F35" t="str">
        <f t="shared" si="10"/>
        <v>IOI_PRH</v>
      </c>
      <c r="G35" t="str">
        <f t="shared" si="3"/>
        <v>*BFG,*NGA,*OIL,*COA,*OVC</v>
      </c>
      <c r="H35" t="str">
        <f t="shared" si="11"/>
        <v>IOI_PRH</v>
      </c>
      <c r="I35" t="str">
        <f t="shared" si="12"/>
        <v>Fossil-IOI_PRH</v>
      </c>
      <c r="J35">
        <v>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5:50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5:50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5:50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5:50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5:50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5:50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5:50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5:50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5:50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5:50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5:50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5:50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5:50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1:50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1:50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1:50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1:50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1:50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1:50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1:50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1:50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1:50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1:50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1:50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1:50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1:50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1:50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1:50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1:50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1:50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1:50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1:50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1:50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1:50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1:50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1:50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1:50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1:50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1:50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1:50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drate</vt:lpstr>
      <vt:lpstr>BY_RESCOM</vt:lpstr>
      <vt:lpstr>RESCOM</vt:lpstr>
      <vt:lpstr>Res tech END</vt:lpstr>
      <vt:lpstr>BY_TRA</vt:lpstr>
      <vt:lpstr>Transport</vt:lpstr>
      <vt:lpstr>Industry&amp;HH2</vt:lpstr>
      <vt:lpstr>BY_IND</vt:lpstr>
      <vt:lpstr>Industry (2)</vt:lpstr>
    </vt:vector>
  </TitlesOfParts>
  <Manager/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2009-05-27T15:40:55Z</dcterms:created>
  <dcterms:modified xsi:type="dcterms:W3CDTF">2025-04-30T14:59:20Z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662075221538543</vt:r8>
  </property>
  <property fmtid="{D5CDD505-2E9C-101B-9397-08002B2CF9AE}" pid="3" name="{A44787D4-0540-4523-9961-78E4036D8C6D}">
    <vt:lpwstr>{6FC98AD7-F2AF-42FD-99BE-9EAABD4832B8}</vt:lpwstr>
  </property>
</Properties>
</file>