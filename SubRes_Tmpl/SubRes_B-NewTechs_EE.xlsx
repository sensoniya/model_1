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MyModels\Tiam_FW_EEU-EnCom\SubRes_Tmpl\"/>
    </mc:Choice>
  </mc:AlternateContent>
  <xr:revisionPtr revIDLastSave="0" documentId="13_ncr:1_{69D95F64-9C1A-4EF0-BB46-FF1222587B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" sheetId="30" r:id="rId1"/>
    <sheet name="RES" sheetId="27" r:id="rId2"/>
    <sheet name="US9R topology" sheetId="29" r:id="rId3"/>
  </sheets>
  <externalReferences>
    <externalReference r:id="rId4"/>
    <externalReference r:id="rId5"/>
    <externalReference r:id="rId6"/>
  </externalReferences>
  <definedNames>
    <definedName name="_xlnm._FilterDatabase" localSheetId="0" hidden="1">COM!$C$4:$C$81</definedName>
    <definedName name="_xlnm._FilterDatabase" localSheetId="1" hidden="1">RES!$C$4:$C$81</definedName>
    <definedName name="Cars_12">'[1]TechRep-Doc'!#REF!</definedName>
    <definedName name="ddddd">[2]AGR_Fuels!$A$2</definedName>
    <definedName name="DISCRATE">'[1]TechRep-Doc'!#REF!</definedName>
    <definedName name="FID_1">[3]AGR_Fuels!$A$2</definedName>
    <definedName name="GROWTH">'[1]TechRep-Doc'!#REF!</definedName>
    <definedName name="GROWTH_TID">'[1]TechRep-Doc'!#REF!</definedName>
    <definedName name="INVCOST">'[1]TechRep-Doc'!#REF!</definedName>
    <definedName name="LIFE">'[1]TechRep-Doc'!#REF!</definedName>
    <definedName name="NAs_CCAR">'[1]TechRep-Doc'!#REF!</definedName>
    <definedName name="SETS">'[1]TechRep-Doc'!#REF!</definedName>
    <definedName name="TRTGAB005">'[1]TechRep-Doc'!#REF!</definedName>
    <definedName name="TRTGAC005">'[1]TechRep-Doc'!#REF!</definedName>
    <definedName name="Trucks_15">'[1]TechRep-Doc'!#REF!</definedName>
    <definedName name="TSUB_COST">'[1]TechRep-Doc'!#REF!</definedName>
    <definedName name="x">[1]AGR_Fuels!$A$2</definedName>
  </definedNames>
  <calcPr calcId="191029" iterateCount="5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6" i="30" l="1"/>
  <c r="R6" i="30"/>
  <c r="AA6" i="30"/>
  <c r="Z6" i="30"/>
  <c r="K6" i="30"/>
  <c r="C5" i="30"/>
  <c r="C6" i="30"/>
  <c r="AH5" i="30"/>
  <c r="R5" i="30"/>
  <c r="AA5" i="30"/>
  <c r="Z5" i="30"/>
  <c r="K5" i="30"/>
  <c r="C5" i="27"/>
  <c r="AH5" i="27"/>
  <c r="AH6" i="27"/>
  <c r="C6" i="27"/>
  <c r="Z6" i="27"/>
  <c r="R6" i="27"/>
  <c r="AA6" i="27"/>
  <c r="K6" i="27"/>
  <c r="Z5" i="27"/>
  <c r="K5" i="27"/>
  <c r="R5" i="27"/>
  <c r="AA5" i="27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" i="29"/>
  <c r="P4" i="29"/>
  <c r="P5" i="29"/>
  <c r="P7" i="29"/>
  <c r="P8" i="29"/>
  <c r="P10" i="29"/>
  <c r="P11" i="29"/>
  <c r="P12" i="29"/>
  <c r="P13" i="29"/>
  <c r="P14" i="29"/>
  <c r="P3" i="29"/>
</calcChain>
</file>

<file path=xl/sharedStrings.xml><?xml version="1.0" encoding="utf-8"?>
<sst xmlns="http://schemas.openxmlformats.org/spreadsheetml/2006/main" count="605" uniqueCount="309">
  <si>
    <t>COMELC</t>
  </si>
  <si>
    <t>COMHFO</t>
  </si>
  <si>
    <t>COMLPG</t>
  </si>
  <si>
    <t>COMNGA</t>
  </si>
  <si>
    <t>COMSOL</t>
  </si>
  <si>
    <t>RESSOL</t>
  </si>
  <si>
    <t>RESLPG</t>
  </si>
  <si>
    <t>RESNGA</t>
  </si>
  <si>
    <t>RESBIO</t>
  </si>
  <si>
    <t>TechName</t>
  </si>
  <si>
    <t>TechDesc</t>
  </si>
  <si>
    <t>RESELC</t>
  </si>
  <si>
    <t>RESKER</t>
  </si>
  <si>
    <t>~FI_Process</t>
  </si>
  <si>
    <t>Tact</t>
  </si>
  <si>
    <t>Tcap</t>
  </si>
  <si>
    <t>PJ</t>
  </si>
  <si>
    <t>Sets</t>
  </si>
  <si>
    <t>\I:</t>
  </si>
  <si>
    <t>RESOIL</t>
  </si>
  <si>
    <t>COMOIL</t>
  </si>
  <si>
    <t>~FI_T: EFF</t>
  </si>
  <si>
    <t>process</t>
  </si>
  <si>
    <t/>
  </si>
  <si>
    <t>RLTECFL</t>
  </si>
  <si>
    <t>RLTECFLR</t>
  </si>
  <si>
    <t>RLTEHPS</t>
  </si>
  <si>
    <t>RLTEHPSR</t>
  </si>
  <si>
    <t>RLTEINC</t>
  </si>
  <si>
    <t>RLTEINCR</t>
  </si>
  <si>
    <t>RLTELED</t>
  </si>
  <si>
    <t>RLTGCFL</t>
  </si>
  <si>
    <t>RLTGCFLR</t>
  </si>
  <si>
    <t>RLTGINC</t>
  </si>
  <si>
    <t>RLTGINCR</t>
  </si>
  <si>
    <t>RLTGLED</t>
  </si>
  <si>
    <t>RLTGLEDR</t>
  </si>
  <si>
    <t>RLTLLED</t>
  </si>
  <si>
    <t>RLTLT12R</t>
  </si>
  <si>
    <t>RLTLT8</t>
  </si>
  <si>
    <t>RLTLT8R</t>
  </si>
  <si>
    <t>RLTRCFL</t>
  </si>
  <si>
    <t>RLTRCFLR</t>
  </si>
  <si>
    <t>RLTRHAL</t>
  </si>
  <si>
    <t>RLTRHALR</t>
  </si>
  <si>
    <t>RLTRINC</t>
  </si>
  <si>
    <t>RLTRINCR</t>
  </si>
  <si>
    <t>RLTRLED</t>
  </si>
  <si>
    <t>RRFBFV1</t>
  </si>
  <si>
    <t>RRFBFV2</t>
  </si>
  <si>
    <t>RRFR</t>
  </si>
  <si>
    <t>RRFSFV1</t>
  </si>
  <si>
    <t>RRFSFV2</t>
  </si>
  <si>
    <t>RRFTFV1</t>
  </si>
  <si>
    <t>RRFTFV2</t>
  </si>
  <si>
    <t>RRFTFV3</t>
  </si>
  <si>
    <t>RSCCACR</t>
  </si>
  <si>
    <t>RSCCACV1</t>
  </si>
  <si>
    <t>RSCCACV2</t>
  </si>
  <si>
    <t>RSCCACV3</t>
  </si>
  <si>
    <t>RSCEHPR</t>
  </si>
  <si>
    <t>RSCEHPV1</t>
  </si>
  <si>
    <t>RSCEHPV2</t>
  </si>
  <si>
    <t>RSCEHPV3</t>
  </si>
  <si>
    <t>RSCGHPR</t>
  </si>
  <si>
    <t>RSCGHPV1</t>
  </si>
  <si>
    <t>RSCGHPV2</t>
  </si>
  <si>
    <t>RSCNHPR</t>
  </si>
  <si>
    <t>RSCNHPV1</t>
  </si>
  <si>
    <t>RSCRACR</t>
  </si>
  <si>
    <t>RSCRACV1</t>
  </si>
  <si>
    <t>RSCRACV2</t>
  </si>
  <si>
    <t>RSCRACV3</t>
  </si>
  <si>
    <t>RSHDFRR</t>
  </si>
  <si>
    <t>RSHDFRV1</t>
  </si>
  <si>
    <t>RSHDFRV2</t>
  </si>
  <si>
    <t>RSHDFRV3</t>
  </si>
  <si>
    <t>RSHDRDR</t>
  </si>
  <si>
    <t>RSHDRDV1</t>
  </si>
  <si>
    <t>RSHDRDV2</t>
  </si>
  <si>
    <t>RSHDRDV3</t>
  </si>
  <si>
    <t>RSHEHPR</t>
  </si>
  <si>
    <t>RSHEHPV1</t>
  </si>
  <si>
    <t>RSHEHPV2</t>
  </si>
  <si>
    <t>RSHEHPV3</t>
  </si>
  <si>
    <t>RSHERDR</t>
  </si>
  <si>
    <t>RSHERDV1</t>
  </si>
  <si>
    <t>RSHGHPR</t>
  </si>
  <si>
    <t>RSHGHPV1</t>
  </si>
  <si>
    <t>RSHGHPV2</t>
  </si>
  <si>
    <t>RSHKFRR</t>
  </si>
  <si>
    <t>RSHKFRV1</t>
  </si>
  <si>
    <t>RSHKFRV2</t>
  </si>
  <si>
    <t>RSHKFRV3</t>
  </si>
  <si>
    <t>RSHLFRR</t>
  </si>
  <si>
    <t>RSHLFRV1</t>
  </si>
  <si>
    <t>RSHLFRV3</t>
  </si>
  <si>
    <t>RSHLFRV4</t>
  </si>
  <si>
    <t>RSHNFRR</t>
  </si>
  <si>
    <t>RSHNFRV1</t>
  </si>
  <si>
    <t>RSHNFRV3</t>
  </si>
  <si>
    <t>RSHNFRV4</t>
  </si>
  <si>
    <t>RSHNHPR</t>
  </si>
  <si>
    <t>RSHNHPV1</t>
  </si>
  <si>
    <t>RSHNRDR</t>
  </si>
  <si>
    <t>RSHNRDV1</t>
  </si>
  <si>
    <t>RSHNRDV2</t>
  </si>
  <si>
    <t>RSHNRDV3</t>
  </si>
  <si>
    <t>RSHWDHR</t>
  </si>
  <si>
    <t>RSHWDHV1</t>
  </si>
  <si>
    <t>RWHDWHR</t>
  </si>
  <si>
    <t>RWHDWHV1</t>
  </si>
  <si>
    <t>RWHDWHV2</t>
  </si>
  <si>
    <t>RWHDWHV3</t>
  </si>
  <si>
    <t>RWHEWHR</t>
  </si>
  <si>
    <t>RWHEWHV1</t>
  </si>
  <si>
    <t>RWHEWHV2</t>
  </si>
  <si>
    <t>RWHEWHV3</t>
  </si>
  <si>
    <t>RWHEWHV4</t>
  </si>
  <si>
    <t>RWHEWHV5</t>
  </si>
  <si>
    <t>RWHLWHR</t>
  </si>
  <si>
    <t>RWHLWHV1</t>
  </si>
  <si>
    <t>RWHLWHV2</t>
  </si>
  <si>
    <t>RWHLWHV3</t>
  </si>
  <si>
    <t>RWHLWHV4</t>
  </si>
  <si>
    <t>RWHNWHR</t>
  </si>
  <si>
    <t>RWHNWHV1</t>
  </si>
  <si>
    <t>RWHNWHV2</t>
  </si>
  <si>
    <t>RWHNWHV3</t>
  </si>
  <si>
    <t>RWHNWHV4</t>
  </si>
  <si>
    <t>RWHSWHR</t>
  </si>
  <si>
    <t>RWHSWHV1</t>
  </si>
  <si>
    <t>~FI_T: LIFE</t>
  </si>
  <si>
    <t>~FI_T: INVCOST~USD05</t>
  </si>
  <si>
    <t>CCKELB</t>
  </si>
  <si>
    <t>CCKELBR</t>
  </si>
  <si>
    <t>CCKELI</t>
  </si>
  <si>
    <t>CCKELIR</t>
  </si>
  <si>
    <t>CCKNGC</t>
  </si>
  <si>
    <t>CCKNGCR</t>
  </si>
  <si>
    <t>CCKNGR</t>
  </si>
  <si>
    <t>CCKNGRR</t>
  </si>
  <si>
    <t>CLTCFL</t>
  </si>
  <si>
    <t>CLTCFLR</t>
  </si>
  <si>
    <t>CLTHAL</t>
  </si>
  <si>
    <t>CLTHALR</t>
  </si>
  <si>
    <t>CLTHID</t>
  </si>
  <si>
    <t>CLTHIDR</t>
  </si>
  <si>
    <t>CLTHLEDHE</t>
  </si>
  <si>
    <t>CLTHLEDST</t>
  </si>
  <si>
    <t>CLTINC</t>
  </si>
  <si>
    <t>CLTINCR</t>
  </si>
  <si>
    <t>CLTLED</t>
  </si>
  <si>
    <t>CLTLEDR</t>
  </si>
  <si>
    <t>CLTT5</t>
  </si>
  <si>
    <t>CLTT5R</t>
  </si>
  <si>
    <t>CLTT8</t>
  </si>
  <si>
    <t>CLTT8R</t>
  </si>
  <si>
    <t>CRFBVMHE</t>
  </si>
  <si>
    <t>CRFBVMR</t>
  </si>
  <si>
    <t>CRFBVMST</t>
  </si>
  <si>
    <t>CRFCENHE</t>
  </si>
  <si>
    <t>CRFCENR</t>
  </si>
  <si>
    <t>CRFCENST</t>
  </si>
  <si>
    <t>CRFICMHE</t>
  </si>
  <si>
    <t>CRFICMR</t>
  </si>
  <si>
    <t>CRFICMST</t>
  </si>
  <si>
    <t>CRFRIFHE</t>
  </si>
  <si>
    <t>CRFRIFR</t>
  </si>
  <si>
    <t>CRFRIFST</t>
  </si>
  <si>
    <t>CRFRIRHE</t>
  </si>
  <si>
    <t>CRFRIRR</t>
  </si>
  <si>
    <t>CRFRIRST</t>
  </si>
  <si>
    <t>CRFRVMHE</t>
  </si>
  <si>
    <t>CRFRVMR</t>
  </si>
  <si>
    <t>CRFRVMST</t>
  </si>
  <si>
    <t>CRFWIFHE</t>
  </si>
  <si>
    <t>CRFWIFR</t>
  </si>
  <si>
    <t>CRFWIFST</t>
  </si>
  <si>
    <t>CRFWIRHE</t>
  </si>
  <si>
    <t>CRFWIRR</t>
  </si>
  <si>
    <t>CRFWIRST</t>
  </si>
  <si>
    <t>CSCAHPHE</t>
  </si>
  <si>
    <t>CSCAHPMD</t>
  </si>
  <si>
    <t>CSCAHPR</t>
  </si>
  <si>
    <t>CSCAHPST</t>
  </si>
  <si>
    <t>CSCCACHE</t>
  </si>
  <si>
    <t>CSCCACMD</t>
  </si>
  <si>
    <t>CSCCACR</t>
  </si>
  <si>
    <t>CSCCACST</t>
  </si>
  <si>
    <t>CSCCCCHE</t>
  </si>
  <si>
    <t>CSCCCCR</t>
  </si>
  <si>
    <t>CSCCCCST</t>
  </si>
  <si>
    <t>CSCCHAR</t>
  </si>
  <si>
    <t>CSCCHER</t>
  </si>
  <si>
    <t>CSCCRCHE</t>
  </si>
  <si>
    <t>CSCCRCR</t>
  </si>
  <si>
    <t>CSCCRCST</t>
  </si>
  <si>
    <t>CSCCSCHE</t>
  </si>
  <si>
    <t>CSCCSCMD</t>
  </si>
  <si>
    <t>CSCCSCR</t>
  </si>
  <si>
    <t>CSCCSCST</t>
  </si>
  <si>
    <t>CSCCSWHE</t>
  </si>
  <si>
    <t>CSCCSWR</t>
  </si>
  <si>
    <t>CSCCSWST</t>
  </si>
  <si>
    <t>CSCGHPHE</t>
  </si>
  <si>
    <t>CSCGHPMD</t>
  </si>
  <si>
    <t>CSCGHPR</t>
  </si>
  <si>
    <t>CSCGHPST</t>
  </si>
  <si>
    <t>CSCNCAST</t>
  </si>
  <si>
    <t>CSCNCEST</t>
  </si>
  <si>
    <t>CSCNHPHE</t>
  </si>
  <si>
    <t>CSCNHPR</t>
  </si>
  <si>
    <t>CSCNHPST</t>
  </si>
  <si>
    <t>CSCNRAST</t>
  </si>
  <si>
    <t>CSCNRCR</t>
  </si>
  <si>
    <t>CSCRACHE</t>
  </si>
  <si>
    <t>CSCRACMD</t>
  </si>
  <si>
    <t>CSCRACR</t>
  </si>
  <si>
    <t>CSCRACST</t>
  </si>
  <si>
    <t>CSCWACHE</t>
  </si>
  <si>
    <t>CSCWACR</t>
  </si>
  <si>
    <t>CSCWACST</t>
  </si>
  <si>
    <t>CSHAHPHE</t>
  </si>
  <si>
    <t>CSHAHPMD</t>
  </si>
  <si>
    <t>CSHAHPR</t>
  </si>
  <si>
    <t>CSHAHPST</t>
  </si>
  <si>
    <t>CSHDSBHE</t>
  </si>
  <si>
    <t>CSHDSBR</t>
  </si>
  <si>
    <t>CSHDSBST</t>
  </si>
  <si>
    <t>CSHDSFR</t>
  </si>
  <si>
    <t>CSHDSFST</t>
  </si>
  <si>
    <t>CSHELBR</t>
  </si>
  <si>
    <t>CSHELBST</t>
  </si>
  <si>
    <t>CSHELOR</t>
  </si>
  <si>
    <t>CSHELOST</t>
  </si>
  <si>
    <t>CSHGHPHE</t>
  </si>
  <si>
    <t>CSHGHPMD</t>
  </si>
  <si>
    <t>CSHGHPR</t>
  </si>
  <si>
    <t>CSHGHPST</t>
  </si>
  <si>
    <t>CSHNGBHE</t>
  </si>
  <si>
    <t>CSHNGBMD</t>
  </si>
  <si>
    <t>CSHNGBR</t>
  </si>
  <si>
    <t>CSHNGBST</t>
  </si>
  <si>
    <t>CSHNGFHE</t>
  </si>
  <si>
    <t>CSHNGFR</t>
  </si>
  <si>
    <t>CSHNGFST</t>
  </si>
  <si>
    <t>CSHNHPR</t>
  </si>
  <si>
    <t>CSHNHPST</t>
  </si>
  <si>
    <t>CWHDWHHE</t>
  </si>
  <si>
    <t>CWHDWHR</t>
  </si>
  <si>
    <t>CWHDWHST</t>
  </si>
  <si>
    <t>CWHEHPHE</t>
  </si>
  <si>
    <t>CWHEHPR</t>
  </si>
  <si>
    <t>CWHEHPST</t>
  </si>
  <si>
    <t>CWHEWHR</t>
  </si>
  <si>
    <t>CWHEWHST</t>
  </si>
  <si>
    <t>CWHNWHHE</t>
  </si>
  <si>
    <t>CWHNWHR</t>
  </si>
  <si>
    <t>CWHNWHST</t>
  </si>
  <si>
    <t>CWHSLNR</t>
  </si>
  <si>
    <t>CWHSLNST</t>
  </si>
  <si>
    <t>PJ/a</t>
  </si>
  <si>
    <t>CVTCAVR</t>
  </si>
  <si>
    <t>CVTVAVR</t>
  </si>
  <si>
    <t>CVTCAVST</t>
  </si>
  <si>
    <t>CVTCAVHE</t>
  </si>
  <si>
    <t>CVTVAVST</t>
  </si>
  <si>
    <t>CVTVAVHE</t>
  </si>
  <si>
    <t>COFELCBS</t>
  </si>
  <si>
    <t>CMDSLBS</t>
  </si>
  <si>
    <t>CMELCBS</t>
  </si>
  <si>
    <t>CMNGABS</t>
  </si>
  <si>
    <t>CMLPGBS</t>
  </si>
  <si>
    <t>CMRFLBS</t>
  </si>
  <si>
    <t>Comm-OUT</t>
  </si>
  <si>
    <t>RFZR</t>
  </si>
  <si>
    <t>RFZCV1</t>
  </si>
  <si>
    <t>RFZCV2</t>
  </si>
  <si>
    <t>RFZUV1</t>
  </si>
  <si>
    <t>RFZUV2</t>
  </si>
  <si>
    <t>ROTHCELC</t>
  </si>
  <si>
    <t>ROTHNGA</t>
  </si>
  <si>
    <t>ROTHLPG</t>
  </si>
  <si>
    <t>commodity</t>
  </si>
  <si>
    <t>COMDSL</t>
  </si>
  <si>
    <t>COMRFL</t>
  </si>
  <si>
    <t>RESDSL</t>
  </si>
  <si>
    <t>select process</t>
  </si>
  <si>
    <t xml:space="preserve">,case </t>
  </si>
  <si>
    <t>when not substring(commodity,1,3) in ('RES','COM') then sector || commodity</t>
  </si>
  <si>
    <t>else commodity</t>
  </si>
  <si>
    <t>end as "commodity"</t>
  </si>
  <si>
    <t>from topology</t>
  </si>
  <si>
    <t>where (process like 'C%' or process like 'R%')</t>
  </si>
  <si>
    <t>and in_out='IN' and region='R1' and scenario='BASE'</t>
  </si>
  <si>
    <t>TIAM</t>
  </si>
  <si>
    <t>RSC</t>
  </si>
  <si>
    <t>RSH</t>
  </si>
  <si>
    <t>RSHINS01</t>
  </si>
  <si>
    <t>RSHINS02</t>
  </si>
  <si>
    <t>RSH - Savings Measure 1</t>
  </si>
  <si>
    <t>CSHINS01</t>
  </si>
  <si>
    <t>CSHINS02</t>
  </si>
  <si>
    <t>CSH - Savings Measure 1</t>
  </si>
  <si>
    <t>CSC</t>
  </si>
  <si>
    <t>CSH</t>
  </si>
  <si>
    <t>CSH - Savings Measure 2</t>
  </si>
  <si>
    <t>RSH - Savings Measure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</si>
</sst>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0" tint="-0.49998474074526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6" fillId="0" borderId="0"/>
    <xf numFmtId="0" fontId="5" fillId="0" borderId="0"/>
    <xf numFmtId="0" fontId="7" fillId="2" borderId="0" applyNumberFormat="0" applyBorder="0" applyAlignment="0" applyProtection="0"/>
    <xf numFmtId="0" fontId="9" fillId="0" borderId="2" applyNumberFormat="0" applyFill="0" applyAlignment="0" applyProtection="0"/>
    <xf numFmtId="0" fontId="8" fillId="0" borderId="3" applyNumberFormat="0" applyFill="0" applyAlignment="0" applyProtection="0"/>
    <xf numFmtId="0" fontId="2" fillId="0" borderId="0"/>
  </cellStyleXfs>
  <cellXfs count="11">
    <xf numFmtId="0" fontId="0" fillId="0" borderId="0" xfId="0"/>
    <xf numFmtId="0" fontId="7" fillId="2" borderId="0" xfId="6"/>
    <xf numFmtId="2" fontId="0" fillId="0" borderId="0" xfId="0" applyNumberFormat="1"/>
    <xf numFmtId="0" fontId="9" fillId="0" borderId="2" xfId="7"/>
    <xf numFmtId="0" fontId="8" fillId="0" borderId="3" xfId="8"/>
    <xf numFmtId="0" fontId="10" fillId="0" borderId="0" xfId="0" applyFont="1"/>
    <xf numFmtId="0" fontId="11" fillId="0" borderId="0" xfId="0" applyFont="1"/>
    <xf numFmtId="0" fontId="12" fillId="0" borderId="0" xfId="0" applyFont="1"/>
    <xf numFmtId="2" fontId="12" fillId="0" borderId="0" xfId="0" applyNumberFormat="1" applyFont="1"/>
    <xf numFmtId="0" fontId="0" fillId="0" borderId="1" xfId="0" applyBorder="1"/>
    <xf numFmtId="2" fontId="0" fillId="0" borderId="1" xfId="0" applyNumberFormat="1" applyBorder="1"/>
  </cellXfs>
  <cellStyles count="10">
    <cellStyle name="Heading 2" xfId="7" builtinId="17"/>
    <cellStyle name="Heading 3" xfId="8" builtinId="18"/>
    <cellStyle name="Neutral" xfId="6" builtinId="28"/>
    <cellStyle name="Normal" xfId="0" builtinId="0"/>
    <cellStyle name="Normal 10" xfId="9" xr:uid="{09D99AE4-0F03-49E2-87EE-854EA8AD38FF}"/>
    <cellStyle name="Normal 2" xfId="1" xr:uid="{00000000-0005-0000-0000-000002000000}"/>
    <cellStyle name="Normal 3" xfId="2" xr:uid="{00000000-0005-0000-0000-000003000000}"/>
    <cellStyle name="Normal 4" xfId="3" xr:uid="{BDF83CD0-89BB-4199-866A-D553777CE7A5}"/>
    <cellStyle name="Normal 5" xfId="4" xr:uid="{1794C544-EE3A-4607-86E8-28380A8A9613}"/>
    <cellStyle name="Normal 5 2" xfId="5" xr:uid="{5E16D926-0FD0-4048-86B5-F3BBC8E439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saic_technology/ResCOM/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YSE~1/LOCALS~1/Temp/Temporary%20Directory%202%20for%20EFDA_TMPL_nov5.zip/SubRes_Tmpl/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EE47-400F-4067-B9A8-D85BD1764A79}">
  <dimension ref="A2:AK81"/>
  <sheetViews>
    <sheetView zoomScale="70" zoomScaleNormal="70" workbookViewId="0">
      <selection activeCell="L17" sqref="L17"/>
    </sheetView>
  </sheetViews>
  <sheetFormatPr defaultRowHeight="13.2" x14ac:dyDescent="0.25"/>
  <cols>
    <col min="1" max="1" width="9.77734375" bestFit="1" customWidth="1"/>
    <col min="2" max="2" width="12.109375" bestFit="1" customWidth="1"/>
    <col min="3" max="3" width="11.33203125" bestFit="1" customWidth="1"/>
    <col min="4" max="5" width="5.5546875" bestFit="1" customWidth="1"/>
    <col min="6" max="6" width="7.21875" bestFit="1" customWidth="1"/>
    <col min="7" max="9" width="5.5546875" bestFit="1" customWidth="1"/>
    <col min="10" max="10" width="2" bestFit="1" customWidth="1"/>
    <col min="11" max="11" width="15" bestFit="1" customWidth="1"/>
    <col min="12" max="13" width="7.5546875" bestFit="1" customWidth="1"/>
    <col min="14" max="16" width="5.5546875" bestFit="1" customWidth="1"/>
    <col min="17" max="17" width="2" bestFit="1" customWidth="1"/>
    <col min="18" max="18" width="12.109375" bestFit="1" customWidth="1"/>
    <col min="19" max="19" width="7.33203125" bestFit="1" customWidth="1"/>
    <col min="20" max="24" width="5.5546875" bestFit="1" customWidth="1"/>
    <col min="25" max="25" width="2.33203125" customWidth="1"/>
    <col min="26" max="26" width="13.109375" bestFit="1" customWidth="1"/>
    <col min="27" max="27" width="12.109375" bestFit="1" customWidth="1"/>
    <col min="28" max="28" width="27" bestFit="1" customWidth="1"/>
    <col min="29" max="29" width="8.6640625" bestFit="1" customWidth="1"/>
    <col min="30" max="30" width="6.5546875" bestFit="1" customWidth="1"/>
    <col min="33" max="34" width="5.33203125" bestFit="1" customWidth="1"/>
    <col min="36" max="36" width="8" bestFit="1" customWidth="1"/>
    <col min="37" max="37" width="7" bestFit="1" customWidth="1"/>
  </cols>
  <sheetData>
    <row r="2" spans="2:37" x14ac:dyDescent="0.25">
      <c r="B2" t="s">
        <v>23</v>
      </c>
    </row>
    <row r="3" spans="2:37" ht="18" thickBot="1" x14ac:dyDescent="0.4">
      <c r="B3" s="3" t="s">
        <v>21</v>
      </c>
      <c r="K3" s="3" t="s">
        <v>133</v>
      </c>
      <c r="R3" s="3" t="s">
        <v>132</v>
      </c>
      <c r="Z3" s="3" t="s">
        <v>13</v>
      </c>
    </row>
    <row r="4" spans="2:37" ht="15.6" thickTop="1" thickBot="1" x14ac:dyDescent="0.35">
      <c r="B4" s="4" t="s">
        <v>22</v>
      </c>
      <c r="C4" s="4" t="s">
        <v>275</v>
      </c>
      <c r="D4" s="4">
        <v>2010</v>
      </c>
      <c r="E4" s="4">
        <v>2011</v>
      </c>
      <c r="F4" s="4">
        <v>2015</v>
      </c>
      <c r="G4" s="4">
        <v>2020</v>
      </c>
      <c r="H4" s="4">
        <v>2030</v>
      </c>
      <c r="I4" s="4">
        <v>2040</v>
      </c>
      <c r="K4" s="4" t="s">
        <v>22</v>
      </c>
      <c r="L4" s="4">
        <v>2011</v>
      </c>
      <c r="M4" s="4">
        <v>2015</v>
      </c>
      <c r="N4" s="4">
        <v>2020</v>
      </c>
      <c r="O4" s="4">
        <v>2030</v>
      </c>
      <c r="P4" s="4">
        <v>2040</v>
      </c>
      <c r="R4" s="4" t="s">
        <v>22</v>
      </c>
      <c r="S4" s="4">
        <v>2010</v>
      </c>
      <c r="T4" s="4">
        <v>2011</v>
      </c>
      <c r="U4" s="4">
        <v>2015</v>
      </c>
      <c r="V4" s="4">
        <v>2020</v>
      </c>
      <c r="W4" s="4">
        <v>2030</v>
      </c>
      <c r="X4" s="4">
        <v>2040</v>
      </c>
      <c r="Z4" s="4" t="s">
        <v>17</v>
      </c>
      <c r="AA4" s="4" t="s">
        <v>9</v>
      </c>
      <c r="AB4" s="4" t="s">
        <v>10</v>
      </c>
      <c r="AC4" s="4" t="s">
        <v>14</v>
      </c>
      <c r="AD4" s="4" t="s">
        <v>15</v>
      </c>
      <c r="AJ4" s="6"/>
      <c r="AK4" s="6"/>
    </row>
    <row r="5" spans="2:37" ht="14.4" x14ac:dyDescent="0.3">
      <c r="B5" s="7" t="s">
        <v>302</v>
      </c>
      <c r="C5" s="7" t="str">
        <f>AG6</f>
        <v>CSH</v>
      </c>
      <c r="D5" s="7"/>
      <c r="E5" s="8">
        <v>1</v>
      </c>
      <c r="F5" s="7"/>
      <c r="G5" s="7"/>
      <c r="H5" s="7"/>
      <c r="I5" s="7"/>
      <c r="J5" s="7"/>
      <c r="K5" s="8" t="str">
        <f>$B5</f>
        <v>CSHINS01</v>
      </c>
      <c r="L5" s="7">
        <v>250</v>
      </c>
      <c r="M5" s="7"/>
      <c r="N5" s="7">
        <v>250</v>
      </c>
      <c r="O5" s="7"/>
      <c r="P5" s="7"/>
      <c r="Q5" s="7"/>
      <c r="R5" s="8" t="str">
        <f>$B5</f>
        <v>CSHINS01</v>
      </c>
      <c r="S5" s="8">
        <v>50</v>
      </c>
      <c r="T5" s="7"/>
      <c r="U5" s="7"/>
      <c r="V5" s="7"/>
      <c r="W5" s="7"/>
      <c r="X5" s="7"/>
      <c r="Y5" s="7"/>
      <c r="Z5" s="7" t="str">
        <f>IF(LEFT(A5,3)="\I:",A5,"DMD")</f>
        <v>DMD</v>
      </c>
      <c r="AA5" s="8" t="str">
        <f>R5</f>
        <v>CSHINS01</v>
      </c>
      <c r="AB5" s="7" t="s">
        <v>304</v>
      </c>
      <c r="AC5" s="7" t="s">
        <v>16</v>
      </c>
      <c r="AD5" s="7" t="s">
        <v>262</v>
      </c>
      <c r="AE5" s="7"/>
      <c r="AF5" s="7"/>
      <c r="AG5" s="1" t="s">
        <v>305</v>
      </c>
      <c r="AH5" s="1" t="str">
        <f t="shared" ref="AH5:AH6" si="0">AG5</f>
        <v>CSC</v>
      </c>
      <c r="AI5" s="7"/>
    </row>
    <row r="6" spans="2:37" ht="14.4" x14ac:dyDescent="0.3">
      <c r="B6" s="7" t="s">
        <v>303</v>
      </c>
      <c r="C6" s="7" t="str">
        <f>C5</f>
        <v>CSH</v>
      </c>
      <c r="D6" s="7"/>
      <c r="E6" s="8">
        <v>1</v>
      </c>
      <c r="F6" s="7"/>
      <c r="G6" s="7"/>
      <c r="H6" s="7"/>
      <c r="I6" s="7"/>
      <c r="J6" s="7"/>
      <c r="K6" s="8" t="str">
        <f>$B6</f>
        <v>CSHINS02</v>
      </c>
      <c r="L6" s="7">
        <v>400</v>
      </c>
      <c r="M6" s="7"/>
      <c r="N6" s="7">
        <v>400</v>
      </c>
      <c r="O6" s="7"/>
      <c r="P6" s="7"/>
      <c r="Q6" s="7"/>
      <c r="R6" s="8" t="str">
        <f>$B6</f>
        <v>CSHINS02</v>
      </c>
      <c r="S6" s="8">
        <v>50</v>
      </c>
      <c r="T6" s="7"/>
      <c r="U6" s="7"/>
      <c r="V6" s="7"/>
      <c r="W6" s="7"/>
      <c r="X6" s="7"/>
      <c r="Y6" s="7"/>
      <c r="Z6" s="7" t="str">
        <f t="shared" ref="Z6" si="1">IF(LEFT(A6,3)="\I:",A6,"DMD")</f>
        <v>DMD</v>
      </c>
      <c r="AA6" s="8" t="str">
        <f>R6</f>
        <v>CSHINS02</v>
      </c>
      <c r="AB6" s="7" t="s">
        <v>307</v>
      </c>
      <c r="AC6" s="7" t="s">
        <v>16</v>
      </c>
      <c r="AD6" s="7" t="s">
        <v>262</v>
      </c>
      <c r="AE6" s="7"/>
      <c r="AF6" s="7"/>
      <c r="AG6" s="1" t="s">
        <v>306</v>
      </c>
      <c r="AH6" s="1" t="str">
        <f t="shared" si="0"/>
        <v>CSH</v>
      </c>
      <c r="AI6" s="7"/>
    </row>
    <row r="13" spans="2:37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37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37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37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t="s">
        <v>18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t="s">
        <v>18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t="s">
        <v>18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4:25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4:25" x14ac:dyDescent="0.2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4:25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4:25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4:25" x14ac:dyDescent="0.25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4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4:2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4:25" x14ac:dyDescent="0.25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4:25" x14ac:dyDescent="0.25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4:25" x14ac:dyDescent="0.25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4:25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4:25" x14ac:dyDescent="0.25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4:25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4:25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4:25" x14ac:dyDescent="0.25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4:25" x14ac:dyDescent="0.25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4:25" x14ac:dyDescent="0.25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4:25" x14ac:dyDescent="0.25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4:25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4:25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4:25" x14ac:dyDescent="0.25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4:25" x14ac:dyDescent="0.2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4:25" x14ac:dyDescent="0.25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4:25" x14ac:dyDescent="0.25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4:25" x14ac:dyDescent="0.25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4:25" x14ac:dyDescent="0.25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4:25" x14ac:dyDescent="0.25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4:25" x14ac:dyDescent="0.25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4:25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4:25" x14ac:dyDescent="0.25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4:25" x14ac:dyDescent="0.25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4:25" x14ac:dyDescent="0.25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t="s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t="s">
        <v>18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6E32-31D3-4DC6-AB7A-55025B5B6145}">
  <dimension ref="A2:AK81"/>
  <sheetViews>
    <sheetView tabSelected="1" zoomScale="85" zoomScaleNormal="85" workbookViewId="0">
      <selection activeCell="N5" sqref="N5:N6"/>
    </sheetView>
  </sheetViews>
  <sheetFormatPr defaultRowHeight="13.2" x14ac:dyDescent="0.25"/>
  <cols>
    <col min="1" max="1" width="9.77734375" bestFit="1" customWidth="1"/>
    <col min="2" max="2" width="12.109375" bestFit="1" customWidth="1"/>
    <col min="3" max="3" width="11.33203125" bestFit="1" customWidth="1"/>
    <col min="4" max="5" width="5.5546875" bestFit="1" customWidth="1"/>
    <col min="6" max="6" width="7.21875" bestFit="1" customWidth="1"/>
    <col min="7" max="9" width="5.5546875" bestFit="1" customWidth="1"/>
    <col min="10" max="10" width="2" bestFit="1" customWidth="1"/>
    <col min="11" max="11" width="15" bestFit="1" customWidth="1"/>
    <col min="12" max="13" width="7.5546875" bestFit="1" customWidth="1"/>
    <col min="14" max="16" width="5.5546875" bestFit="1" customWidth="1"/>
    <col min="17" max="17" width="2" bestFit="1" customWidth="1"/>
    <col min="18" max="18" width="12.109375" bestFit="1" customWidth="1"/>
    <col min="19" max="19" width="7.33203125" bestFit="1" customWidth="1"/>
    <col min="20" max="24" width="5.5546875" bestFit="1" customWidth="1"/>
    <col min="25" max="25" width="2.33203125" customWidth="1"/>
    <col min="26" max="26" width="13.109375" bestFit="1" customWidth="1"/>
    <col min="27" max="27" width="12.109375" bestFit="1" customWidth="1"/>
    <col min="28" max="28" width="27" bestFit="1" customWidth="1"/>
    <col min="29" max="29" width="8.6640625" bestFit="1" customWidth="1"/>
    <col min="30" max="30" width="6.5546875" bestFit="1" customWidth="1"/>
    <col min="33" max="34" width="5.33203125" bestFit="1" customWidth="1"/>
    <col min="36" max="36" width="8" bestFit="1" customWidth="1"/>
    <col min="37" max="37" width="7" bestFit="1" customWidth="1"/>
  </cols>
  <sheetData>
    <row r="2" spans="2:37" x14ac:dyDescent="0.25">
      <c r="B2" t="s">
        <v>23</v>
      </c>
    </row>
    <row r="3" spans="2:37" ht="18" thickBot="1" x14ac:dyDescent="0.4">
      <c r="B3" s="3" t="s">
        <v>21</v>
      </c>
      <c r="K3" s="3" t="s">
        <v>133</v>
      </c>
      <c r="R3" s="3" t="s">
        <v>132</v>
      </c>
      <c r="Z3" s="3" t="s">
        <v>13</v>
      </c>
    </row>
    <row r="4" spans="2:37" ht="15.6" thickTop="1" thickBot="1" x14ac:dyDescent="0.35">
      <c r="B4" s="4" t="s">
        <v>22</v>
      </c>
      <c r="C4" s="4" t="s">
        <v>275</v>
      </c>
      <c r="D4" s="4">
        <v>2010</v>
      </c>
      <c r="E4" s="4">
        <v>2011</v>
      </c>
      <c r="F4" s="4">
        <v>2015</v>
      </c>
      <c r="G4" s="4">
        <v>2020</v>
      </c>
      <c r="H4" s="4">
        <v>2030</v>
      </c>
      <c r="I4" s="4">
        <v>2040</v>
      </c>
      <c r="K4" s="4" t="s">
        <v>22</v>
      </c>
      <c r="L4" s="4">
        <v>2011</v>
      </c>
      <c r="M4" s="4">
        <v>2015</v>
      </c>
      <c r="N4" s="4">
        <v>2020</v>
      </c>
      <c r="O4" s="4">
        <v>2030</v>
      </c>
      <c r="P4" s="4">
        <v>2040</v>
      </c>
      <c r="R4" s="4" t="s">
        <v>22</v>
      </c>
      <c r="S4" s="4">
        <v>2010</v>
      </c>
      <c r="T4" s="4">
        <v>2011</v>
      </c>
      <c r="U4" s="4">
        <v>2015</v>
      </c>
      <c r="V4" s="4">
        <v>2020</v>
      </c>
      <c r="W4" s="4">
        <v>2030</v>
      </c>
      <c r="X4" s="4">
        <v>2040</v>
      </c>
      <c r="Z4" s="4" t="s">
        <v>17</v>
      </c>
      <c r="AA4" s="4" t="s">
        <v>9</v>
      </c>
      <c r="AB4" s="4" t="s">
        <v>10</v>
      </c>
      <c r="AC4" s="4" t="s">
        <v>14</v>
      </c>
      <c r="AD4" s="4" t="s">
        <v>15</v>
      </c>
      <c r="AJ4" s="6"/>
      <c r="AK4" s="6"/>
    </row>
    <row r="5" spans="2:37" ht="14.4" x14ac:dyDescent="0.3">
      <c r="B5" s="7" t="s">
        <v>299</v>
      </c>
      <c r="C5" s="7" t="str">
        <f>AG6</f>
        <v>RSH</v>
      </c>
      <c r="D5" s="7"/>
      <c r="E5" s="8">
        <v>1</v>
      </c>
      <c r="F5" s="7"/>
      <c r="G5" s="7"/>
      <c r="H5" s="7"/>
      <c r="I5" s="7"/>
      <c r="J5" s="7"/>
      <c r="K5" s="8" t="str">
        <f>$B5</f>
        <v>RSHINS01</v>
      </c>
      <c r="L5" s="7">
        <v>250</v>
      </c>
      <c r="M5" s="7"/>
      <c r="N5" s="7">
        <v>250</v>
      </c>
      <c r="O5" s="7"/>
      <c r="P5" s="7"/>
      <c r="Q5" s="7"/>
      <c r="R5" s="8" t="str">
        <f>$B5</f>
        <v>RSHINS01</v>
      </c>
      <c r="S5" s="8">
        <v>50</v>
      </c>
      <c r="T5" s="7"/>
      <c r="U5" s="7"/>
      <c r="V5" s="7"/>
      <c r="W5" s="7"/>
      <c r="X5" s="7"/>
      <c r="Y5" s="7"/>
      <c r="Z5" s="7" t="str">
        <f>IF(LEFT(A5,3)="\I:",A5,"DMD")</f>
        <v>DMD</v>
      </c>
      <c r="AA5" s="8" t="str">
        <f>R5</f>
        <v>RSHINS01</v>
      </c>
      <c r="AB5" s="7" t="s">
        <v>301</v>
      </c>
      <c r="AC5" s="7" t="s">
        <v>16</v>
      </c>
      <c r="AD5" s="7" t="s">
        <v>262</v>
      </c>
      <c r="AE5" s="7"/>
      <c r="AF5" s="7"/>
      <c r="AG5" s="1" t="s">
        <v>297</v>
      </c>
      <c r="AH5" s="1" t="str">
        <f t="shared" ref="AH5:AH6" si="0">AG5</f>
        <v>RSC</v>
      </c>
      <c r="AI5" s="7"/>
    </row>
    <row r="6" spans="2:37" ht="14.4" x14ac:dyDescent="0.3">
      <c r="B6" s="7" t="s">
        <v>300</v>
      </c>
      <c r="C6" s="7" t="str">
        <f>C5</f>
        <v>RSH</v>
      </c>
      <c r="D6" s="7"/>
      <c r="E6" s="8">
        <v>1</v>
      </c>
      <c r="F6" s="7"/>
      <c r="G6" s="7"/>
      <c r="H6" s="7"/>
      <c r="I6" s="7"/>
      <c r="J6" s="7"/>
      <c r="K6" s="8" t="str">
        <f>$B6</f>
        <v>RSHINS02</v>
      </c>
      <c r="L6" s="7">
        <v>400</v>
      </c>
      <c r="M6" s="7"/>
      <c r="N6" s="7">
        <v>400</v>
      </c>
      <c r="O6" s="7"/>
      <c r="P6" s="7"/>
      <c r="Q6" s="7"/>
      <c r="R6" s="8" t="str">
        <f>$B6</f>
        <v>RSHINS02</v>
      </c>
      <c r="S6" s="8">
        <v>50</v>
      </c>
      <c r="T6" s="7"/>
      <c r="U6" s="7"/>
      <c r="V6" s="7"/>
      <c r="W6" s="7"/>
      <c r="X6" s="7"/>
      <c r="Y6" s="7"/>
      <c r="Z6" s="7" t="str">
        <f t="shared" ref="Z6" si="1">IF(LEFT(A6,3)="\I:",A6,"DMD")</f>
        <v>DMD</v>
      </c>
      <c r="AA6" s="8" t="str">
        <f>R6</f>
        <v>RSHINS02</v>
      </c>
      <c r="AB6" s="7" t="s">
        <v>308</v>
      </c>
      <c r="AC6" s="7" t="s">
        <v>16</v>
      </c>
      <c r="AD6" s="7" t="s">
        <v>262</v>
      </c>
      <c r="AE6" s="7"/>
      <c r="AF6" s="7"/>
      <c r="AG6" s="1" t="s">
        <v>298</v>
      </c>
      <c r="AH6" s="1" t="str">
        <f t="shared" si="0"/>
        <v>RSH</v>
      </c>
      <c r="AI6" s="7"/>
    </row>
    <row r="13" spans="2:37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37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37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37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t="s">
        <v>18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t="s">
        <v>18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t="s">
        <v>18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4:25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4:25" x14ac:dyDescent="0.2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4:25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4:25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4:25" x14ac:dyDescent="0.25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4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4:2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4:25" x14ac:dyDescent="0.25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4:25" x14ac:dyDescent="0.25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4:25" x14ac:dyDescent="0.25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4:25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4:25" x14ac:dyDescent="0.25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4:25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4:25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4:25" x14ac:dyDescent="0.25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4:25" x14ac:dyDescent="0.25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4:25" x14ac:dyDescent="0.25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4:25" x14ac:dyDescent="0.25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4:25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4:25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4:25" x14ac:dyDescent="0.25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4:25" x14ac:dyDescent="0.2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4:25" x14ac:dyDescent="0.25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4:25" x14ac:dyDescent="0.25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4:25" x14ac:dyDescent="0.25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4:25" x14ac:dyDescent="0.25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4:25" x14ac:dyDescent="0.25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4:25" x14ac:dyDescent="0.25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4:25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4:25" x14ac:dyDescent="0.25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4:25" x14ac:dyDescent="0.25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4:25" x14ac:dyDescent="0.25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t="s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t="s">
        <v>18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A30C-B102-40EE-9414-DEECA90B4799}">
  <dimension ref="A1:P261"/>
  <sheetViews>
    <sheetView workbookViewId="0"/>
  </sheetViews>
  <sheetFormatPr defaultRowHeight="13.2" x14ac:dyDescent="0.25"/>
  <cols>
    <col min="1" max="1" width="12.44140625" bestFit="1" customWidth="1"/>
    <col min="2" max="2" width="11" bestFit="1" customWidth="1"/>
    <col min="3" max="3" width="9.33203125" bestFit="1" customWidth="1"/>
  </cols>
  <sheetData>
    <row r="1" spans="1:16" ht="15" thickBot="1" x14ac:dyDescent="0.35">
      <c r="A1" s="4" t="s">
        <v>22</v>
      </c>
      <c r="B1" s="4" t="s">
        <v>284</v>
      </c>
      <c r="C1" s="4" t="s">
        <v>296</v>
      </c>
      <c r="E1" s="5" t="s">
        <v>288</v>
      </c>
      <c r="F1" s="5"/>
    </row>
    <row r="2" spans="1:16" ht="14.4" x14ac:dyDescent="0.3">
      <c r="A2" t="s">
        <v>134</v>
      </c>
      <c r="B2" t="s">
        <v>0</v>
      </c>
      <c r="C2" t="str">
        <f>VLOOKUP(B2,$O$2:$P$14,2,FALSE)</f>
        <v>COMELC</v>
      </c>
      <c r="E2" s="5" t="s">
        <v>289</v>
      </c>
      <c r="F2" s="5"/>
      <c r="O2" s="1" t="s">
        <v>285</v>
      </c>
      <c r="P2" s="1" t="s">
        <v>20</v>
      </c>
    </row>
    <row r="3" spans="1:16" ht="14.4" x14ac:dyDescent="0.3">
      <c r="A3" t="s">
        <v>135</v>
      </c>
      <c r="B3" t="s">
        <v>0</v>
      </c>
      <c r="C3" t="str">
        <f t="shared" ref="C3:C66" si="0">VLOOKUP(B3,$O$2:$P$14,2,FALSE)</f>
        <v>COMELC</v>
      </c>
      <c r="E3" s="5"/>
      <c r="F3" s="5" t="s">
        <v>290</v>
      </c>
      <c r="O3" s="1" t="s">
        <v>0</v>
      </c>
      <c r="P3" s="1" t="str">
        <f>O3</f>
        <v>COMELC</v>
      </c>
    </row>
    <row r="4" spans="1:16" ht="14.4" x14ac:dyDescent="0.3">
      <c r="A4" t="s">
        <v>136</v>
      </c>
      <c r="B4" t="s">
        <v>0</v>
      </c>
      <c r="C4" t="str">
        <f t="shared" si="0"/>
        <v>COMELC</v>
      </c>
      <c r="E4" s="5"/>
      <c r="F4" s="5" t="s">
        <v>291</v>
      </c>
      <c r="O4" s="1" t="s">
        <v>2</v>
      </c>
      <c r="P4" s="1" t="str">
        <f t="shared" ref="P4:P14" si="1">O4</f>
        <v>COMLPG</v>
      </c>
    </row>
    <row r="5" spans="1:16" ht="14.4" x14ac:dyDescent="0.3">
      <c r="A5" t="s">
        <v>137</v>
      </c>
      <c r="B5" t="s">
        <v>0</v>
      </c>
      <c r="C5" t="str">
        <f t="shared" si="0"/>
        <v>COMELC</v>
      </c>
      <c r="E5" s="5" t="s">
        <v>292</v>
      </c>
      <c r="F5" s="5"/>
      <c r="O5" s="1" t="s">
        <v>3</v>
      </c>
      <c r="P5" s="1" t="str">
        <f t="shared" si="1"/>
        <v>COMNGA</v>
      </c>
    </row>
    <row r="6" spans="1:16" ht="14.4" x14ac:dyDescent="0.3">
      <c r="A6" t="s">
        <v>138</v>
      </c>
      <c r="B6" t="s">
        <v>3</v>
      </c>
      <c r="C6" t="str">
        <f t="shared" si="0"/>
        <v>COMNGA</v>
      </c>
      <c r="E6" s="5" t="s">
        <v>293</v>
      </c>
      <c r="F6" s="5"/>
      <c r="O6" s="1" t="s">
        <v>286</v>
      </c>
      <c r="P6" s="1" t="s">
        <v>1</v>
      </c>
    </row>
    <row r="7" spans="1:16" ht="14.4" x14ac:dyDescent="0.3">
      <c r="A7" t="s">
        <v>139</v>
      </c>
      <c r="B7" t="s">
        <v>3</v>
      </c>
      <c r="C7" t="str">
        <f t="shared" si="0"/>
        <v>COMNGA</v>
      </c>
      <c r="E7" s="5" t="s">
        <v>294</v>
      </c>
      <c r="F7" s="5"/>
      <c r="O7" s="1" t="s">
        <v>4</v>
      </c>
      <c r="P7" s="1" t="str">
        <f t="shared" si="1"/>
        <v>COMSOL</v>
      </c>
    </row>
    <row r="8" spans="1:16" ht="14.4" x14ac:dyDescent="0.3">
      <c r="A8" t="s">
        <v>140</v>
      </c>
      <c r="B8" t="s">
        <v>3</v>
      </c>
      <c r="C8" t="str">
        <f t="shared" si="0"/>
        <v>COMNGA</v>
      </c>
      <c r="E8" s="5"/>
      <c r="F8" s="5" t="s">
        <v>295</v>
      </c>
      <c r="O8" s="1" t="s">
        <v>8</v>
      </c>
      <c r="P8" s="1" t="str">
        <f t="shared" si="1"/>
        <v>RESBIO</v>
      </c>
    </row>
    <row r="9" spans="1:16" ht="14.4" x14ac:dyDescent="0.3">
      <c r="A9" t="s">
        <v>141</v>
      </c>
      <c r="B9" t="s">
        <v>3</v>
      </c>
      <c r="C9" t="str">
        <f t="shared" si="0"/>
        <v>COMNGA</v>
      </c>
      <c r="O9" s="1" t="s">
        <v>287</v>
      </c>
      <c r="P9" s="1" t="s">
        <v>19</v>
      </c>
    </row>
    <row r="10" spans="1:16" ht="14.4" x14ac:dyDescent="0.3">
      <c r="A10" t="s">
        <v>142</v>
      </c>
      <c r="B10" t="s">
        <v>0</v>
      </c>
      <c r="C10" t="str">
        <f t="shared" si="0"/>
        <v>COMELC</v>
      </c>
      <c r="O10" s="1" t="s">
        <v>11</v>
      </c>
      <c r="P10" s="1" t="str">
        <f t="shared" si="1"/>
        <v>RESELC</v>
      </c>
    </row>
    <row r="11" spans="1:16" ht="14.4" x14ac:dyDescent="0.3">
      <c r="A11" t="s">
        <v>143</v>
      </c>
      <c r="B11" t="s">
        <v>0</v>
      </c>
      <c r="C11" t="str">
        <f t="shared" si="0"/>
        <v>COMELC</v>
      </c>
      <c r="O11" s="1" t="s">
        <v>12</v>
      </c>
      <c r="P11" s="1" t="str">
        <f t="shared" si="1"/>
        <v>RESKER</v>
      </c>
    </row>
    <row r="12" spans="1:16" ht="14.4" x14ac:dyDescent="0.3">
      <c r="A12" t="s">
        <v>144</v>
      </c>
      <c r="B12" t="s">
        <v>0</v>
      </c>
      <c r="C12" t="str">
        <f t="shared" si="0"/>
        <v>COMELC</v>
      </c>
      <c r="O12" s="1" t="s">
        <v>6</v>
      </c>
      <c r="P12" s="1" t="str">
        <f t="shared" si="1"/>
        <v>RESLPG</v>
      </c>
    </row>
    <row r="13" spans="1:16" ht="14.4" x14ac:dyDescent="0.3">
      <c r="A13" t="s">
        <v>145</v>
      </c>
      <c r="B13" t="s">
        <v>0</v>
      </c>
      <c r="C13" t="str">
        <f t="shared" si="0"/>
        <v>COMELC</v>
      </c>
      <c r="O13" s="1" t="s">
        <v>7</v>
      </c>
      <c r="P13" s="1" t="str">
        <f t="shared" si="1"/>
        <v>RESNGA</v>
      </c>
    </row>
    <row r="14" spans="1:16" ht="14.4" x14ac:dyDescent="0.3">
      <c r="A14" t="s">
        <v>146</v>
      </c>
      <c r="B14" t="s">
        <v>0</v>
      </c>
      <c r="C14" t="str">
        <f t="shared" si="0"/>
        <v>COMELC</v>
      </c>
      <c r="O14" s="1" t="s">
        <v>5</v>
      </c>
      <c r="P14" s="1" t="str">
        <f t="shared" si="1"/>
        <v>RESSOL</v>
      </c>
    </row>
    <row r="15" spans="1:16" x14ac:dyDescent="0.25">
      <c r="A15" t="s">
        <v>147</v>
      </c>
      <c r="B15" t="s">
        <v>0</v>
      </c>
      <c r="C15" t="str">
        <f t="shared" si="0"/>
        <v>COMELC</v>
      </c>
    </row>
    <row r="16" spans="1:16" x14ac:dyDescent="0.25">
      <c r="A16" t="s">
        <v>148</v>
      </c>
      <c r="B16" t="s">
        <v>0</v>
      </c>
      <c r="C16" t="str">
        <f t="shared" si="0"/>
        <v>COMELC</v>
      </c>
    </row>
    <row r="17" spans="1:3" x14ac:dyDescent="0.25">
      <c r="A17" t="s">
        <v>149</v>
      </c>
      <c r="B17" t="s">
        <v>0</v>
      </c>
      <c r="C17" t="str">
        <f t="shared" si="0"/>
        <v>COMELC</v>
      </c>
    </row>
    <row r="18" spans="1:3" x14ac:dyDescent="0.25">
      <c r="A18" t="s">
        <v>150</v>
      </c>
      <c r="B18" t="s">
        <v>0</v>
      </c>
      <c r="C18" t="str">
        <f t="shared" si="0"/>
        <v>COMELC</v>
      </c>
    </row>
    <row r="19" spans="1:3" x14ac:dyDescent="0.25">
      <c r="A19" t="s">
        <v>151</v>
      </c>
      <c r="B19" t="s">
        <v>0</v>
      </c>
      <c r="C19" t="str">
        <f t="shared" si="0"/>
        <v>COMELC</v>
      </c>
    </row>
    <row r="20" spans="1:3" x14ac:dyDescent="0.25">
      <c r="A20" t="s">
        <v>152</v>
      </c>
      <c r="B20" t="s">
        <v>0</v>
      </c>
      <c r="C20" t="str">
        <f t="shared" si="0"/>
        <v>COMELC</v>
      </c>
    </row>
    <row r="21" spans="1:3" x14ac:dyDescent="0.25">
      <c r="A21" t="s">
        <v>153</v>
      </c>
      <c r="B21" t="s">
        <v>0</v>
      </c>
      <c r="C21" t="str">
        <f t="shared" si="0"/>
        <v>COMELC</v>
      </c>
    </row>
    <row r="22" spans="1:3" x14ac:dyDescent="0.25">
      <c r="A22" t="s">
        <v>154</v>
      </c>
      <c r="B22" t="s">
        <v>0</v>
      </c>
      <c r="C22" t="str">
        <f t="shared" si="0"/>
        <v>COMELC</v>
      </c>
    </row>
    <row r="23" spans="1:3" x14ac:dyDescent="0.25">
      <c r="A23" t="s">
        <v>155</v>
      </c>
      <c r="B23" t="s">
        <v>0</v>
      </c>
      <c r="C23" t="str">
        <f t="shared" si="0"/>
        <v>COMELC</v>
      </c>
    </row>
    <row r="24" spans="1:3" x14ac:dyDescent="0.25">
      <c r="A24" t="s">
        <v>156</v>
      </c>
      <c r="B24" t="s">
        <v>0</v>
      </c>
      <c r="C24" t="str">
        <f t="shared" si="0"/>
        <v>COMELC</v>
      </c>
    </row>
    <row r="25" spans="1:3" x14ac:dyDescent="0.25">
      <c r="A25" t="s">
        <v>157</v>
      </c>
      <c r="B25" t="s">
        <v>0</v>
      </c>
      <c r="C25" t="str">
        <f t="shared" si="0"/>
        <v>COMELC</v>
      </c>
    </row>
    <row r="26" spans="1:3" x14ac:dyDescent="0.25">
      <c r="A26" t="s">
        <v>270</v>
      </c>
      <c r="B26" t="s">
        <v>285</v>
      </c>
      <c r="C26" t="str">
        <f t="shared" si="0"/>
        <v>COMOIL</v>
      </c>
    </row>
    <row r="27" spans="1:3" x14ac:dyDescent="0.25">
      <c r="A27" t="s">
        <v>271</v>
      </c>
      <c r="B27" t="s">
        <v>0</v>
      </c>
      <c r="C27" t="str">
        <f t="shared" si="0"/>
        <v>COMELC</v>
      </c>
    </row>
    <row r="28" spans="1:3" x14ac:dyDescent="0.25">
      <c r="A28" t="s">
        <v>273</v>
      </c>
      <c r="B28" t="s">
        <v>2</v>
      </c>
      <c r="C28" t="str">
        <f t="shared" si="0"/>
        <v>COMLPG</v>
      </c>
    </row>
    <row r="29" spans="1:3" x14ac:dyDescent="0.25">
      <c r="A29" t="s">
        <v>272</v>
      </c>
      <c r="B29" t="s">
        <v>3</v>
      </c>
      <c r="C29" t="str">
        <f t="shared" si="0"/>
        <v>COMNGA</v>
      </c>
    </row>
    <row r="30" spans="1:3" x14ac:dyDescent="0.25">
      <c r="A30" t="s">
        <v>274</v>
      </c>
      <c r="B30" t="s">
        <v>286</v>
      </c>
      <c r="C30" t="str">
        <f t="shared" si="0"/>
        <v>COMHFO</v>
      </c>
    </row>
    <row r="31" spans="1:3" x14ac:dyDescent="0.25">
      <c r="A31" t="s">
        <v>269</v>
      </c>
      <c r="B31" t="s">
        <v>0</v>
      </c>
      <c r="C31" t="str">
        <f t="shared" si="0"/>
        <v>COMELC</v>
      </c>
    </row>
    <row r="32" spans="1:3" x14ac:dyDescent="0.25">
      <c r="A32" t="s">
        <v>158</v>
      </c>
      <c r="B32" t="s">
        <v>0</v>
      </c>
      <c r="C32" t="str">
        <f t="shared" si="0"/>
        <v>COMELC</v>
      </c>
    </row>
    <row r="33" spans="1:3" x14ac:dyDescent="0.25">
      <c r="A33" t="s">
        <v>159</v>
      </c>
      <c r="B33" t="s">
        <v>0</v>
      </c>
      <c r="C33" t="str">
        <f t="shared" si="0"/>
        <v>COMELC</v>
      </c>
    </row>
    <row r="34" spans="1:3" x14ac:dyDescent="0.25">
      <c r="A34" t="s">
        <v>160</v>
      </c>
      <c r="B34" t="s">
        <v>0</v>
      </c>
      <c r="C34" t="str">
        <f t="shared" si="0"/>
        <v>COMELC</v>
      </c>
    </row>
    <row r="35" spans="1:3" x14ac:dyDescent="0.25">
      <c r="A35" t="s">
        <v>161</v>
      </c>
      <c r="B35" t="s">
        <v>0</v>
      </c>
      <c r="C35" t="str">
        <f t="shared" si="0"/>
        <v>COMELC</v>
      </c>
    </row>
    <row r="36" spans="1:3" x14ac:dyDescent="0.25">
      <c r="A36" t="s">
        <v>162</v>
      </c>
      <c r="B36" t="s">
        <v>0</v>
      </c>
      <c r="C36" t="str">
        <f t="shared" si="0"/>
        <v>COMELC</v>
      </c>
    </row>
    <row r="37" spans="1:3" x14ac:dyDescent="0.25">
      <c r="A37" t="s">
        <v>163</v>
      </c>
      <c r="B37" t="s">
        <v>0</v>
      </c>
      <c r="C37" t="str">
        <f t="shared" si="0"/>
        <v>COMELC</v>
      </c>
    </row>
    <row r="38" spans="1:3" x14ac:dyDescent="0.25">
      <c r="A38" t="s">
        <v>164</v>
      </c>
      <c r="B38" t="s">
        <v>0</v>
      </c>
      <c r="C38" t="str">
        <f t="shared" si="0"/>
        <v>COMELC</v>
      </c>
    </row>
    <row r="39" spans="1:3" x14ac:dyDescent="0.25">
      <c r="A39" t="s">
        <v>165</v>
      </c>
      <c r="B39" t="s">
        <v>0</v>
      </c>
      <c r="C39" t="str">
        <f t="shared" si="0"/>
        <v>COMELC</v>
      </c>
    </row>
    <row r="40" spans="1:3" x14ac:dyDescent="0.25">
      <c r="A40" t="s">
        <v>166</v>
      </c>
      <c r="B40" t="s">
        <v>0</v>
      </c>
      <c r="C40" t="str">
        <f t="shared" si="0"/>
        <v>COMELC</v>
      </c>
    </row>
    <row r="41" spans="1:3" x14ac:dyDescent="0.25">
      <c r="A41" t="s">
        <v>167</v>
      </c>
      <c r="B41" t="s">
        <v>0</v>
      </c>
      <c r="C41" t="str">
        <f t="shared" si="0"/>
        <v>COMELC</v>
      </c>
    </row>
    <row r="42" spans="1:3" x14ac:dyDescent="0.25">
      <c r="A42" t="s">
        <v>168</v>
      </c>
      <c r="B42" t="s">
        <v>0</v>
      </c>
      <c r="C42" t="str">
        <f t="shared" si="0"/>
        <v>COMELC</v>
      </c>
    </row>
    <row r="43" spans="1:3" x14ac:dyDescent="0.25">
      <c r="A43" t="s">
        <v>169</v>
      </c>
      <c r="B43" t="s">
        <v>0</v>
      </c>
      <c r="C43" t="str">
        <f t="shared" si="0"/>
        <v>COMELC</v>
      </c>
    </row>
    <row r="44" spans="1:3" x14ac:dyDescent="0.25">
      <c r="A44" t="s">
        <v>170</v>
      </c>
      <c r="B44" t="s">
        <v>0</v>
      </c>
      <c r="C44" t="str">
        <f t="shared" si="0"/>
        <v>COMELC</v>
      </c>
    </row>
    <row r="45" spans="1:3" x14ac:dyDescent="0.25">
      <c r="A45" t="s">
        <v>171</v>
      </c>
      <c r="B45" t="s">
        <v>0</v>
      </c>
      <c r="C45" t="str">
        <f t="shared" si="0"/>
        <v>COMELC</v>
      </c>
    </row>
    <row r="46" spans="1:3" x14ac:dyDescent="0.25">
      <c r="A46" t="s">
        <v>172</v>
      </c>
      <c r="B46" t="s">
        <v>0</v>
      </c>
      <c r="C46" t="str">
        <f t="shared" si="0"/>
        <v>COMELC</v>
      </c>
    </row>
    <row r="47" spans="1:3" x14ac:dyDescent="0.25">
      <c r="A47" t="s">
        <v>173</v>
      </c>
      <c r="B47" t="s">
        <v>0</v>
      </c>
      <c r="C47" t="str">
        <f t="shared" si="0"/>
        <v>COMELC</v>
      </c>
    </row>
    <row r="48" spans="1:3" x14ac:dyDescent="0.25">
      <c r="A48" t="s">
        <v>174</v>
      </c>
      <c r="B48" t="s">
        <v>0</v>
      </c>
      <c r="C48" t="str">
        <f t="shared" si="0"/>
        <v>COMELC</v>
      </c>
    </row>
    <row r="49" spans="1:3" x14ac:dyDescent="0.25">
      <c r="A49" t="s">
        <v>175</v>
      </c>
      <c r="B49" t="s">
        <v>0</v>
      </c>
      <c r="C49" t="str">
        <f t="shared" si="0"/>
        <v>COMELC</v>
      </c>
    </row>
    <row r="50" spans="1:3" x14ac:dyDescent="0.25">
      <c r="A50" t="s">
        <v>176</v>
      </c>
      <c r="B50" t="s">
        <v>0</v>
      </c>
      <c r="C50" t="str">
        <f t="shared" si="0"/>
        <v>COMELC</v>
      </c>
    </row>
    <row r="51" spans="1:3" x14ac:dyDescent="0.25">
      <c r="A51" t="s">
        <v>177</v>
      </c>
      <c r="B51" t="s">
        <v>0</v>
      </c>
      <c r="C51" t="str">
        <f t="shared" si="0"/>
        <v>COMELC</v>
      </c>
    </row>
    <row r="52" spans="1:3" x14ac:dyDescent="0.25">
      <c r="A52" t="s">
        <v>178</v>
      </c>
      <c r="B52" t="s">
        <v>0</v>
      </c>
      <c r="C52" t="str">
        <f t="shared" si="0"/>
        <v>COMELC</v>
      </c>
    </row>
    <row r="53" spans="1:3" x14ac:dyDescent="0.25">
      <c r="A53" t="s">
        <v>179</v>
      </c>
      <c r="B53" t="s">
        <v>0</v>
      </c>
      <c r="C53" t="str">
        <f t="shared" si="0"/>
        <v>COMELC</v>
      </c>
    </row>
    <row r="54" spans="1:3" x14ac:dyDescent="0.25">
      <c r="A54" t="s">
        <v>180</v>
      </c>
      <c r="B54" t="s">
        <v>0</v>
      </c>
      <c r="C54" t="str">
        <f t="shared" si="0"/>
        <v>COMELC</v>
      </c>
    </row>
    <row r="55" spans="1:3" x14ac:dyDescent="0.25">
      <c r="A55" t="s">
        <v>181</v>
      </c>
      <c r="B55" t="s">
        <v>0</v>
      </c>
      <c r="C55" t="str">
        <f t="shared" si="0"/>
        <v>COMELC</v>
      </c>
    </row>
    <row r="56" spans="1:3" x14ac:dyDescent="0.25">
      <c r="A56" t="s">
        <v>182</v>
      </c>
      <c r="B56" t="s">
        <v>0</v>
      </c>
      <c r="C56" t="str">
        <f t="shared" si="0"/>
        <v>COMELC</v>
      </c>
    </row>
    <row r="57" spans="1:3" x14ac:dyDescent="0.25">
      <c r="A57" t="s">
        <v>183</v>
      </c>
      <c r="B57" t="s">
        <v>0</v>
      </c>
      <c r="C57" t="str">
        <f t="shared" si="0"/>
        <v>COMELC</v>
      </c>
    </row>
    <row r="58" spans="1:3" x14ac:dyDescent="0.25">
      <c r="A58" t="s">
        <v>184</v>
      </c>
      <c r="B58" t="s">
        <v>0</v>
      </c>
      <c r="C58" t="str">
        <f t="shared" si="0"/>
        <v>COMELC</v>
      </c>
    </row>
    <row r="59" spans="1:3" x14ac:dyDescent="0.25">
      <c r="A59" t="s">
        <v>185</v>
      </c>
      <c r="B59" t="s">
        <v>0</v>
      </c>
      <c r="C59" t="str">
        <f t="shared" si="0"/>
        <v>COMELC</v>
      </c>
    </row>
    <row r="60" spans="1:3" x14ac:dyDescent="0.25">
      <c r="A60" t="s">
        <v>186</v>
      </c>
      <c r="B60" t="s">
        <v>0</v>
      </c>
      <c r="C60" t="str">
        <f t="shared" si="0"/>
        <v>COMELC</v>
      </c>
    </row>
    <row r="61" spans="1:3" x14ac:dyDescent="0.25">
      <c r="A61" t="s">
        <v>187</v>
      </c>
      <c r="B61" t="s">
        <v>0</v>
      </c>
      <c r="C61" t="str">
        <f t="shared" si="0"/>
        <v>COMELC</v>
      </c>
    </row>
    <row r="62" spans="1:3" x14ac:dyDescent="0.25">
      <c r="A62" t="s">
        <v>188</v>
      </c>
      <c r="B62" t="s">
        <v>0</v>
      </c>
      <c r="C62" t="str">
        <f t="shared" si="0"/>
        <v>COMELC</v>
      </c>
    </row>
    <row r="63" spans="1:3" x14ac:dyDescent="0.25">
      <c r="A63" t="s">
        <v>189</v>
      </c>
      <c r="B63" t="s">
        <v>0</v>
      </c>
      <c r="C63" t="str">
        <f t="shared" si="0"/>
        <v>COMELC</v>
      </c>
    </row>
    <row r="64" spans="1:3" x14ac:dyDescent="0.25">
      <c r="A64" t="s">
        <v>190</v>
      </c>
      <c r="B64" t="s">
        <v>0</v>
      </c>
      <c r="C64" t="str">
        <f t="shared" si="0"/>
        <v>COMELC</v>
      </c>
    </row>
    <row r="65" spans="1:3" x14ac:dyDescent="0.25">
      <c r="A65" t="s">
        <v>191</v>
      </c>
      <c r="B65" t="s">
        <v>0</v>
      </c>
      <c r="C65" t="str">
        <f t="shared" si="0"/>
        <v>COMELC</v>
      </c>
    </row>
    <row r="66" spans="1:3" x14ac:dyDescent="0.25">
      <c r="A66" t="s">
        <v>192</v>
      </c>
      <c r="B66" t="s">
        <v>0</v>
      </c>
      <c r="C66" t="str">
        <f t="shared" si="0"/>
        <v>COMELC</v>
      </c>
    </row>
    <row r="67" spans="1:3" x14ac:dyDescent="0.25">
      <c r="A67" t="s">
        <v>193</v>
      </c>
      <c r="B67" t="s">
        <v>3</v>
      </c>
      <c r="C67" t="str">
        <f t="shared" ref="C67:C130" si="2">VLOOKUP(B67,$O$2:$P$14,2,FALSE)</f>
        <v>COMNGA</v>
      </c>
    </row>
    <row r="68" spans="1:3" x14ac:dyDescent="0.25">
      <c r="A68" t="s">
        <v>194</v>
      </c>
      <c r="B68" t="s">
        <v>3</v>
      </c>
      <c r="C68" t="str">
        <f t="shared" si="2"/>
        <v>COMNGA</v>
      </c>
    </row>
    <row r="69" spans="1:3" x14ac:dyDescent="0.25">
      <c r="A69" t="s">
        <v>195</v>
      </c>
      <c r="B69" t="s">
        <v>0</v>
      </c>
      <c r="C69" t="str">
        <f t="shared" si="2"/>
        <v>COMELC</v>
      </c>
    </row>
    <row r="70" spans="1:3" x14ac:dyDescent="0.25">
      <c r="A70" t="s">
        <v>196</v>
      </c>
      <c r="B70" t="s">
        <v>0</v>
      </c>
      <c r="C70" t="str">
        <f t="shared" si="2"/>
        <v>COMELC</v>
      </c>
    </row>
    <row r="71" spans="1:3" x14ac:dyDescent="0.25">
      <c r="A71" t="s">
        <v>197</v>
      </c>
      <c r="B71" t="s">
        <v>0</v>
      </c>
      <c r="C71" t="str">
        <f t="shared" si="2"/>
        <v>COMELC</v>
      </c>
    </row>
    <row r="72" spans="1:3" x14ac:dyDescent="0.25">
      <c r="A72" t="s">
        <v>198</v>
      </c>
      <c r="B72" t="s">
        <v>0</v>
      </c>
      <c r="C72" t="str">
        <f t="shared" si="2"/>
        <v>COMELC</v>
      </c>
    </row>
    <row r="73" spans="1:3" x14ac:dyDescent="0.25">
      <c r="A73" t="s">
        <v>199</v>
      </c>
      <c r="B73" t="s">
        <v>0</v>
      </c>
      <c r="C73" t="str">
        <f t="shared" si="2"/>
        <v>COMELC</v>
      </c>
    </row>
    <row r="74" spans="1:3" x14ac:dyDescent="0.25">
      <c r="A74" t="s">
        <v>200</v>
      </c>
      <c r="B74" t="s">
        <v>0</v>
      </c>
      <c r="C74" t="str">
        <f t="shared" si="2"/>
        <v>COMELC</v>
      </c>
    </row>
    <row r="75" spans="1:3" x14ac:dyDescent="0.25">
      <c r="A75" t="s">
        <v>201</v>
      </c>
      <c r="B75" t="s">
        <v>0</v>
      </c>
      <c r="C75" t="str">
        <f t="shared" si="2"/>
        <v>COMELC</v>
      </c>
    </row>
    <row r="76" spans="1:3" x14ac:dyDescent="0.25">
      <c r="A76" t="s">
        <v>202</v>
      </c>
      <c r="B76" t="s">
        <v>0</v>
      </c>
      <c r="C76" t="str">
        <f t="shared" si="2"/>
        <v>COMELC</v>
      </c>
    </row>
    <row r="77" spans="1:3" x14ac:dyDescent="0.25">
      <c r="A77" t="s">
        <v>203</v>
      </c>
      <c r="B77" t="s">
        <v>0</v>
      </c>
      <c r="C77" t="str">
        <f t="shared" si="2"/>
        <v>COMELC</v>
      </c>
    </row>
    <row r="78" spans="1:3" x14ac:dyDescent="0.25">
      <c r="A78" t="s">
        <v>204</v>
      </c>
      <c r="B78" t="s">
        <v>0</v>
      </c>
      <c r="C78" t="str">
        <f t="shared" si="2"/>
        <v>COMELC</v>
      </c>
    </row>
    <row r="79" spans="1:3" x14ac:dyDescent="0.25">
      <c r="A79" t="s">
        <v>205</v>
      </c>
      <c r="B79" t="s">
        <v>0</v>
      </c>
      <c r="C79" t="str">
        <f t="shared" si="2"/>
        <v>COMELC</v>
      </c>
    </row>
    <row r="80" spans="1:3" x14ac:dyDescent="0.25">
      <c r="A80" t="s">
        <v>206</v>
      </c>
      <c r="B80" t="s">
        <v>0</v>
      </c>
      <c r="C80" t="str">
        <f t="shared" si="2"/>
        <v>COMELC</v>
      </c>
    </row>
    <row r="81" spans="1:3" x14ac:dyDescent="0.25">
      <c r="A81" t="s">
        <v>207</v>
      </c>
      <c r="B81" t="s">
        <v>0</v>
      </c>
      <c r="C81" t="str">
        <f t="shared" si="2"/>
        <v>COMELC</v>
      </c>
    </row>
    <row r="82" spans="1:3" x14ac:dyDescent="0.25">
      <c r="A82" t="s">
        <v>208</v>
      </c>
      <c r="B82" t="s">
        <v>0</v>
      </c>
      <c r="C82" t="str">
        <f t="shared" si="2"/>
        <v>COMELC</v>
      </c>
    </row>
    <row r="83" spans="1:3" x14ac:dyDescent="0.25">
      <c r="A83" t="s">
        <v>209</v>
      </c>
      <c r="B83" t="s">
        <v>3</v>
      </c>
      <c r="C83" t="str">
        <f t="shared" si="2"/>
        <v>COMNGA</v>
      </c>
    </row>
    <row r="84" spans="1:3" x14ac:dyDescent="0.25">
      <c r="A84" t="s">
        <v>210</v>
      </c>
      <c r="B84" t="s">
        <v>3</v>
      </c>
      <c r="C84" t="str">
        <f t="shared" si="2"/>
        <v>COMNGA</v>
      </c>
    </row>
    <row r="85" spans="1:3" x14ac:dyDescent="0.25">
      <c r="A85" t="s">
        <v>211</v>
      </c>
      <c r="B85" t="s">
        <v>3</v>
      </c>
      <c r="C85" t="str">
        <f t="shared" si="2"/>
        <v>COMNGA</v>
      </c>
    </row>
    <row r="86" spans="1:3" x14ac:dyDescent="0.25">
      <c r="A86" t="s">
        <v>212</v>
      </c>
      <c r="B86" t="s">
        <v>3</v>
      </c>
      <c r="C86" t="str">
        <f t="shared" si="2"/>
        <v>COMNGA</v>
      </c>
    </row>
    <row r="87" spans="1:3" x14ac:dyDescent="0.25">
      <c r="A87" t="s">
        <v>213</v>
      </c>
      <c r="B87" t="s">
        <v>3</v>
      </c>
      <c r="C87" t="str">
        <f t="shared" si="2"/>
        <v>COMNGA</v>
      </c>
    </row>
    <row r="88" spans="1:3" x14ac:dyDescent="0.25">
      <c r="A88" t="s">
        <v>214</v>
      </c>
      <c r="B88" t="s">
        <v>3</v>
      </c>
      <c r="C88" t="str">
        <f t="shared" si="2"/>
        <v>COMNGA</v>
      </c>
    </row>
    <row r="89" spans="1:3" x14ac:dyDescent="0.25">
      <c r="A89" t="s">
        <v>215</v>
      </c>
      <c r="B89" t="s">
        <v>3</v>
      </c>
      <c r="C89" t="str">
        <f t="shared" si="2"/>
        <v>COMNGA</v>
      </c>
    </row>
    <row r="90" spans="1:3" x14ac:dyDescent="0.25">
      <c r="A90" t="s">
        <v>216</v>
      </c>
      <c r="B90" t="s">
        <v>0</v>
      </c>
      <c r="C90" t="str">
        <f t="shared" si="2"/>
        <v>COMELC</v>
      </c>
    </row>
    <row r="91" spans="1:3" x14ac:dyDescent="0.25">
      <c r="A91" t="s">
        <v>217</v>
      </c>
      <c r="B91" t="s">
        <v>0</v>
      </c>
      <c r="C91" t="str">
        <f t="shared" si="2"/>
        <v>COMELC</v>
      </c>
    </row>
    <row r="92" spans="1:3" x14ac:dyDescent="0.25">
      <c r="A92" t="s">
        <v>218</v>
      </c>
      <c r="B92" t="s">
        <v>0</v>
      </c>
      <c r="C92" t="str">
        <f t="shared" si="2"/>
        <v>COMELC</v>
      </c>
    </row>
    <row r="93" spans="1:3" x14ac:dyDescent="0.25">
      <c r="A93" t="s">
        <v>219</v>
      </c>
      <c r="B93" t="s">
        <v>0</v>
      </c>
      <c r="C93" t="str">
        <f t="shared" si="2"/>
        <v>COMELC</v>
      </c>
    </row>
    <row r="94" spans="1:3" x14ac:dyDescent="0.25">
      <c r="A94" t="s">
        <v>220</v>
      </c>
      <c r="B94" t="s">
        <v>0</v>
      </c>
      <c r="C94" t="str">
        <f t="shared" si="2"/>
        <v>COMELC</v>
      </c>
    </row>
    <row r="95" spans="1:3" x14ac:dyDescent="0.25">
      <c r="A95" t="s">
        <v>221</v>
      </c>
      <c r="B95" t="s">
        <v>0</v>
      </c>
      <c r="C95" t="str">
        <f t="shared" si="2"/>
        <v>COMELC</v>
      </c>
    </row>
    <row r="96" spans="1:3" x14ac:dyDescent="0.25">
      <c r="A96" t="s">
        <v>222</v>
      </c>
      <c r="B96" t="s">
        <v>0</v>
      </c>
      <c r="C96" t="str">
        <f t="shared" si="2"/>
        <v>COMELC</v>
      </c>
    </row>
    <row r="97" spans="1:3" x14ac:dyDescent="0.25">
      <c r="A97" t="s">
        <v>223</v>
      </c>
      <c r="B97" t="s">
        <v>0</v>
      </c>
      <c r="C97" t="str">
        <f t="shared" si="2"/>
        <v>COMELC</v>
      </c>
    </row>
    <row r="98" spans="1:3" x14ac:dyDescent="0.25">
      <c r="A98" t="s">
        <v>224</v>
      </c>
      <c r="B98" t="s">
        <v>0</v>
      </c>
      <c r="C98" t="str">
        <f t="shared" si="2"/>
        <v>COMELC</v>
      </c>
    </row>
    <row r="99" spans="1:3" x14ac:dyDescent="0.25">
      <c r="A99" t="s">
        <v>225</v>
      </c>
      <c r="B99" t="s">
        <v>0</v>
      </c>
      <c r="C99" t="str">
        <f t="shared" si="2"/>
        <v>COMELC</v>
      </c>
    </row>
    <row r="100" spans="1:3" x14ac:dyDescent="0.25">
      <c r="A100" t="s">
        <v>226</v>
      </c>
      <c r="B100" t="s">
        <v>0</v>
      </c>
      <c r="C100" t="str">
        <f t="shared" si="2"/>
        <v>COMELC</v>
      </c>
    </row>
    <row r="101" spans="1:3" x14ac:dyDescent="0.25">
      <c r="A101" t="s">
        <v>227</v>
      </c>
      <c r="B101" t="s">
        <v>285</v>
      </c>
      <c r="C101" t="str">
        <f t="shared" si="2"/>
        <v>COMOIL</v>
      </c>
    </row>
    <row r="102" spans="1:3" x14ac:dyDescent="0.25">
      <c r="A102" t="s">
        <v>228</v>
      </c>
      <c r="B102" t="s">
        <v>285</v>
      </c>
      <c r="C102" t="str">
        <f t="shared" si="2"/>
        <v>COMOIL</v>
      </c>
    </row>
    <row r="103" spans="1:3" x14ac:dyDescent="0.25">
      <c r="A103" t="s">
        <v>229</v>
      </c>
      <c r="B103" t="s">
        <v>285</v>
      </c>
      <c r="C103" t="str">
        <f t="shared" si="2"/>
        <v>COMOIL</v>
      </c>
    </row>
    <row r="104" spans="1:3" x14ac:dyDescent="0.25">
      <c r="A104" t="s">
        <v>230</v>
      </c>
      <c r="B104" t="s">
        <v>285</v>
      </c>
      <c r="C104" t="str">
        <f t="shared" si="2"/>
        <v>COMOIL</v>
      </c>
    </row>
    <row r="105" spans="1:3" x14ac:dyDescent="0.25">
      <c r="A105" t="s">
        <v>231</v>
      </c>
      <c r="B105" t="s">
        <v>285</v>
      </c>
      <c r="C105" t="str">
        <f t="shared" si="2"/>
        <v>COMOIL</v>
      </c>
    </row>
    <row r="106" spans="1:3" x14ac:dyDescent="0.25">
      <c r="A106" t="s">
        <v>232</v>
      </c>
      <c r="B106" t="s">
        <v>0</v>
      </c>
      <c r="C106" t="str">
        <f t="shared" si="2"/>
        <v>COMELC</v>
      </c>
    </row>
    <row r="107" spans="1:3" x14ac:dyDescent="0.25">
      <c r="A107" t="s">
        <v>233</v>
      </c>
      <c r="B107" t="s">
        <v>0</v>
      </c>
      <c r="C107" t="str">
        <f t="shared" si="2"/>
        <v>COMELC</v>
      </c>
    </row>
    <row r="108" spans="1:3" x14ac:dyDescent="0.25">
      <c r="A108" t="s">
        <v>234</v>
      </c>
      <c r="B108" t="s">
        <v>0</v>
      </c>
      <c r="C108" t="str">
        <f t="shared" si="2"/>
        <v>COMELC</v>
      </c>
    </row>
    <row r="109" spans="1:3" x14ac:dyDescent="0.25">
      <c r="A109" t="s">
        <v>235</v>
      </c>
      <c r="B109" t="s">
        <v>0</v>
      </c>
      <c r="C109" t="str">
        <f t="shared" si="2"/>
        <v>COMELC</v>
      </c>
    </row>
    <row r="110" spans="1:3" x14ac:dyDescent="0.25">
      <c r="A110" t="s">
        <v>236</v>
      </c>
      <c r="B110" t="s">
        <v>0</v>
      </c>
      <c r="C110" t="str">
        <f t="shared" si="2"/>
        <v>COMELC</v>
      </c>
    </row>
    <row r="111" spans="1:3" x14ac:dyDescent="0.25">
      <c r="A111" t="s">
        <v>237</v>
      </c>
      <c r="B111" t="s">
        <v>0</v>
      </c>
      <c r="C111" t="str">
        <f t="shared" si="2"/>
        <v>COMELC</v>
      </c>
    </row>
    <row r="112" spans="1:3" x14ac:dyDescent="0.25">
      <c r="A112" t="s">
        <v>238</v>
      </c>
      <c r="B112" t="s">
        <v>0</v>
      </c>
      <c r="C112" t="str">
        <f t="shared" si="2"/>
        <v>COMELC</v>
      </c>
    </row>
    <row r="113" spans="1:3" x14ac:dyDescent="0.25">
      <c r="A113" t="s">
        <v>239</v>
      </c>
      <c r="B113" t="s">
        <v>0</v>
      </c>
      <c r="C113" t="str">
        <f t="shared" si="2"/>
        <v>COMELC</v>
      </c>
    </row>
    <row r="114" spans="1:3" x14ac:dyDescent="0.25">
      <c r="A114" t="s">
        <v>240</v>
      </c>
      <c r="B114" t="s">
        <v>3</v>
      </c>
      <c r="C114" t="str">
        <f t="shared" si="2"/>
        <v>COMNGA</v>
      </c>
    </row>
    <row r="115" spans="1:3" x14ac:dyDescent="0.25">
      <c r="A115" t="s">
        <v>241</v>
      </c>
      <c r="B115" t="s">
        <v>3</v>
      </c>
      <c r="C115" t="str">
        <f t="shared" si="2"/>
        <v>COMNGA</v>
      </c>
    </row>
    <row r="116" spans="1:3" x14ac:dyDescent="0.25">
      <c r="A116" t="s">
        <v>242</v>
      </c>
      <c r="B116" t="s">
        <v>3</v>
      </c>
      <c r="C116" t="str">
        <f t="shared" si="2"/>
        <v>COMNGA</v>
      </c>
    </row>
    <row r="117" spans="1:3" x14ac:dyDescent="0.25">
      <c r="A117" t="s">
        <v>243</v>
      </c>
      <c r="B117" t="s">
        <v>3</v>
      </c>
      <c r="C117" t="str">
        <f t="shared" si="2"/>
        <v>COMNGA</v>
      </c>
    </row>
    <row r="118" spans="1:3" x14ac:dyDescent="0.25">
      <c r="A118" t="s">
        <v>244</v>
      </c>
      <c r="B118" t="s">
        <v>3</v>
      </c>
      <c r="C118" t="str">
        <f t="shared" si="2"/>
        <v>COMNGA</v>
      </c>
    </row>
    <row r="119" spans="1:3" x14ac:dyDescent="0.25">
      <c r="A119" t="s">
        <v>245</v>
      </c>
      <c r="B119" t="s">
        <v>3</v>
      </c>
      <c r="C119" t="str">
        <f t="shared" si="2"/>
        <v>COMNGA</v>
      </c>
    </row>
    <row r="120" spans="1:3" x14ac:dyDescent="0.25">
      <c r="A120" t="s">
        <v>246</v>
      </c>
      <c r="B120" t="s">
        <v>3</v>
      </c>
      <c r="C120" t="str">
        <f t="shared" si="2"/>
        <v>COMNGA</v>
      </c>
    </row>
    <row r="121" spans="1:3" x14ac:dyDescent="0.25">
      <c r="A121" t="s">
        <v>247</v>
      </c>
      <c r="B121" t="s">
        <v>3</v>
      </c>
      <c r="C121" t="str">
        <f t="shared" si="2"/>
        <v>COMNGA</v>
      </c>
    </row>
    <row r="122" spans="1:3" x14ac:dyDescent="0.25">
      <c r="A122" t="s">
        <v>248</v>
      </c>
      <c r="B122" t="s">
        <v>3</v>
      </c>
      <c r="C122" t="str">
        <f t="shared" si="2"/>
        <v>COMNGA</v>
      </c>
    </row>
    <row r="123" spans="1:3" x14ac:dyDescent="0.25">
      <c r="A123" t="s">
        <v>266</v>
      </c>
      <c r="B123" t="s">
        <v>0</v>
      </c>
      <c r="C123" t="str">
        <f t="shared" si="2"/>
        <v>COMELC</v>
      </c>
    </row>
    <row r="124" spans="1:3" x14ac:dyDescent="0.25">
      <c r="A124" t="s">
        <v>263</v>
      </c>
      <c r="B124" t="s">
        <v>0</v>
      </c>
      <c r="C124" t="str">
        <f t="shared" si="2"/>
        <v>COMELC</v>
      </c>
    </row>
    <row r="125" spans="1:3" x14ac:dyDescent="0.25">
      <c r="A125" t="s">
        <v>265</v>
      </c>
      <c r="B125" t="s">
        <v>0</v>
      </c>
      <c r="C125" t="str">
        <f t="shared" si="2"/>
        <v>COMELC</v>
      </c>
    </row>
    <row r="126" spans="1:3" x14ac:dyDescent="0.25">
      <c r="A126" t="s">
        <v>268</v>
      </c>
      <c r="B126" t="s">
        <v>0</v>
      </c>
      <c r="C126" t="str">
        <f t="shared" si="2"/>
        <v>COMELC</v>
      </c>
    </row>
    <row r="127" spans="1:3" x14ac:dyDescent="0.25">
      <c r="A127" t="s">
        <v>264</v>
      </c>
      <c r="B127" t="s">
        <v>0</v>
      </c>
      <c r="C127" t="str">
        <f t="shared" si="2"/>
        <v>COMELC</v>
      </c>
    </row>
    <row r="128" spans="1:3" x14ac:dyDescent="0.25">
      <c r="A128" t="s">
        <v>267</v>
      </c>
      <c r="B128" t="s">
        <v>0</v>
      </c>
      <c r="C128" t="str">
        <f t="shared" si="2"/>
        <v>COMELC</v>
      </c>
    </row>
    <row r="129" spans="1:3" x14ac:dyDescent="0.25">
      <c r="A129" t="s">
        <v>249</v>
      </c>
      <c r="B129" t="s">
        <v>285</v>
      </c>
      <c r="C129" t="str">
        <f t="shared" si="2"/>
        <v>COMOIL</v>
      </c>
    </row>
    <row r="130" spans="1:3" x14ac:dyDescent="0.25">
      <c r="A130" t="s">
        <v>250</v>
      </c>
      <c r="B130" t="s">
        <v>285</v>
      </c>
      <c r="C130" t="str">
        <f t="shared" si="2"/>
        <v>COMOIL</v>
      </c>
    </row>
    <row r="131" spans="1:3" x14ac:dyDescent="0.25">
      <c r="A131" t="s">
        <v>251</v>
      </c>
      <c r="B131" t="s">
        <v>285</v>
      </c>
      <c r="C131" t="str">
        <f t="shared" ref="C131:C194" si="3">VLOOKUP(B131,$O$2:$P$14,2,FALSE)</f>
        <v>COMOIL</v>
      </c>
    </row>
    <row r="132" spans="1:3" x14ac:dyDescent="0.25">
      <c r="A132" t="s">
        <v>252</v>
      </c>
      <c r="B132" t="s">
        <v>0</v>
      </c>
      <c r="C132" t="str">
        <f t="shared" si="3"/>
        <v>COMELC</v>
      </c>
    </row>
    <row r="133" spans="1:3" x14ac:dyDescent="0.25">
      <c r="A133" t="s">
        <v>253</v>
      </c>
      <c r="B133" t="s">
        <v>0</v>
      </c>
      <c r="C133" t="str">
        <f t="shared" si="3"/>
        <v>COMELC</v>
      </c>
    </row>
    <row r="134" spans="1:3" x14ac:dyDescent="0.25">
      <c r="A134" t="s">
        <v>254</v>
      </c>
      <c r="B134" t="s">
        <v>0</v>
      </c>
      <c r="C134" t="str">
        <f t="shared" si="3"/>
        <v>COMELC</v>
      </c>
    </row>
    <row r="135" spans="1:3" x14ac:dyDescent="0.25">
      <c r="A135" t="s">
        <v>255</v>
      </c>
      <c r="B135" t="s">
        <v>0</v>
      </c>
      <c r="C135" t="str">
        <f t="shared" si="3"/>
        <v>COMELC</v>
      </c>
    </row>
    <row r="136" spans="1:3" x14ac:dyDescent="0.25">
      <c r="A136" t="s">
        <v>256</v>
      </c>
      <c r="B136" t="s">
        <v>0</v>
      </c>
      <c r="C136" t="str">
        <f t="shared" si="3"/>
        <v>COMELC</v>
      </c>
    </row>
    <row r="137" spans="1:3" x14ac:dyDescent="0.25">
      <c r="A137" t="s">
        <v>257</v>
      </c>
      <c r="B137" t="s">
        <v>3</v>
      </c>
      <c r="C137" t="str">
        <f t="shared" si="3"/>
        <v>COMNGA</v>
      </c>
    </row>
    <row r="138" spans="1:3" x14ac:dyDescent="0.25">
      <c r="A138" t="s">
        <v>258</v>
      </c>
      <c r="B138" t="s">
        <v>3</v>
      </c>
      <c r="C138" t="str">
        <f t="shared" si="3"/>
        <v>COMNGA</v>
      </c>
    </row>
    <row r="139" spans="1:3" x14ac:dyDescent="0.25">
      <c r="A139" t="s">
        <v>259</v>
      </c>
      <c r="B139" t="s">
        <v>3</v>
      </c>
      <c r="C139" t="str">
        <f t="shared" si="3"/>
        <v>COMNGA</v>
      </c>
    </row>
    <row r="140" spans="1:3" x14ac:dyDescent="0.25">
      <c r="A140" t="s">
        <v>260</v>
      </c>
      <c r="B140" t="s">
        <v>0</v>
      </c>
      <c r="C140" t="str">
        <f t="shared" si="3"/>
        <v>COMELC</v>
      </c>
    </row>
    <row r="141" spans="1:3" x14ac:dyDescent="0.25">
      <c r="A141" t="s">
        <v>260</v>
      </c>
      <c r="B141" t="s">
        <v>4</v>
      </c>
      <c r="C141" t="str">
        <f t="shared" si="3"/>
        <v>COMSOL</v>
      </c>
    </row>
    <row r="142" spans="1:3" x14ac:dyDescent="0.25">
      <c r="A142" t="s">
        <v>261</v>
      </c>
      <c r="B142" t="s">
        <v>0</v>
      </c>
      <c r="C142" t="str">
        <f t="shared" si="3"/>
        <v>COMELC</v>
      </c>
    </row>
    <row r="143" spans="1:3" x14ac:dyDescent="0.25">
      <c r="A143" t="s">
        <v>261</v>
      </c>
      <c r="B143" t="s">
        <v>4</v>
      </c>
      <c r="C143" t="str">
        <f t="shared" si="3"/>
        <v>COMSOL</v>
      </c>
    </row>
    <row r="144" spans="1:3" x14ac:dyDescent="0.25">
      <c r="A144" t="s">
        <v>44</v>
      </c>
      <c r="B144" t="s">
        <v>11</v>
      </c>
      <c r="C144" t="str">
        <f t="shared" si="3"/>
        <v>RESELC</v>
      </c>
    </row>
    <row r="145" spans="1:3" x14ac:dyDescent="0.25">
      <c r="A145" t="s">
        <v>277</v>
      </c>
      <c r="B145" t="s">
        <v>11</v>
      </c>
      <c r="C145" t="str">
        <f t="shared" si="3"/>
        <v>RESELC</v>
      </c>
    </row>
    <row r="146" spans="1:3" x14ac:dyDescent="0.25">
      <c r="A146" t="s">
        <v>278</v>
      </c>
      <c r="B146" t="s">
        <v>11</v>
      </c>
      <c r="C146" t="str">
        <f t="shared" si="3"/>
        <v>RESELC</v>
      </c>
    </row>
    <row r="147" spans="1:3" x14ac:dyDescent="0.25">
      <c r="A147" t="s">
        <v>276</v>
      </c>
      <c r="B147" t="s">
        <v>11</v>
      </c>
      <c r="C147" t="str">
        <f t="shared" si="3"/>
        <v>RESELC</v>
      </c>
    </row>
    <row r="148" spans="1:3" x14ac:dyDescent="0.25">
      <c r="A148" t="s">
        <v>279</v>
      </c>
      <c r="B148" t="s">
        <v>11</v>
      </c>
      <c r="C148" t="str">
        <f t="shared" si="3"/>
        <v>RESELC</v>
      </c>
    </row>
    <row r="149" spans="1:3" x14ac:dyDescent="0.25">
      <c r="A149" t="s">
        <v>280</v>
      </c>
      <c r="B149" t="s">
        <v>11</v>
      </c>
      <c r="C149" t="str">
        <f t="shared" si="3"/>
        <v>RESELC</v>
      </c>
    </row>
    <row r="150" spans="1:3" x14ac:dyDescent="0.25">
      <c r="A150" t="s">
        <v>24</v>
      </c>
      <c r="B150" t="s">
        <v>11</v>
      </c>
      <c r="C150" t="str">
        <f t="shared" si="3"/>
        <v>RESELC</v>
      </c>
    </row>
    <row r="151" spans="1:3" x14ac:dyDescent="0.25">
      <c r="A151" t="s">
        <v>25</v>
      </c>
      <c r="B151" t="s">
        <v>11</v>
      </c>
      <c r="C151" t="str">
        <f t="shared" si="3"/>
        <v>RESELC</v>
      </c>
    </row>
    <row r="152" spans="1:3" x14ac:dyDescent="0.25">
      <c r="A152" t="s">
        <v>26</v>
      </c>
      <c r="B152" t="s">
        <v>11</v>
      </c>
      <c r="C152" t="str">
        <f t="shared" si="3"/>
        <v>RESELC</v>
      </c>
    </row>
    <row r="153" spans="1:3" x14ac:dyDescent="0.25">
      <c r="A153" t="s">
        <v>27</v>
      </c>
      <c r="B153" t="s">
        <v>11</v>
      </c>
      <c r="C153" t="str">
        <f t="shared" si="3"/>
        <v>RESELC</v>
      </c>
    </row>
    <row r="154" spans="1:3" x14ac:dyDescent="0.25">
      <c r="A154" t="s">
        <v>28</v>
      </c>
      <c r="B154" t="s">
        <v>11</v>
      </c>
      <c r="C154" t="str">
        <f t="shared" si="3"/>
        <v>RESELC</v>
      </c>
    </row>
    <row r="155" spans="1:3" x14ac:dyDescent="0.25">
      <c r="A155" t="s">
        <v>29</v>
      </c>
      <c r="B155" t="s">
        <v>11</v>
      </c>
      <c r="C155" t="str">
        <f t="shared" si="3"/>
        <v>RESELC</v>
      </c>
    </row>
    <row r="156" spans="1:3" x14ac:dyDescent="0.25">
      <c r="A156" t="s">
        <v>30</v>
      </c>
      <c r="B156" t="s">
        <v>11</v>
      </c>
      <c r="C156" t="str">
        <f t="shared" si="3"/>
        <v>RESELC</v>
      </c>
    </row>
    <row r="157" spans="1:3" x14ac:dyDescent="0.25">
      <c r="A157" t="s">
        <v>31</v>
      </c>
      <c r="B157" t="s">
        <v>11</v>
      </c>
      <c r="C157" t="str">
        <f t="shared" si="3"/>
        <v>RESELC</v>
      </c>
    </row>
    <row r="158" spans="1:3" x14ac:dyDescent="0.25">
      <c r="A158" t="s">
        <v>32</v>
      </c>
      <c r="B158" t="s">
        <v>11</v>
      </c>
      <c r="C158" t="str">
        <f t="shared" si="3"/>
        <v>RESELC</v>
      </c>
    </row>
    <row r="159" spans="1:3" x14ac:dyDescent="0.25">
      <c r="A159" t="s">
        <v>33</v>
      </c>
      <c r="B159" t="s">
        <v>11</v>
      </c>
      <c r="C159" t="str">
        <f t="shared" si="3"/>
        <v>RESELC</v>
      </c>
    </row>
    <row r="160" spans="1:3" x14ac:dyDescent="0.25">
      <c r="A160" t="s">
        <v>34</v>
      </c>
      <c r="B160" t="s">
        <v>11</v>
      </c>
      <c r="C160" t="str">
        <f t="shared" si="3"/>
        <v>RESELC</v>
      </c>
    </row>
    <row r="161" spans="1:3" x14ac:dyDescent="0.25">
      <c r="A161" t="s">
        <v>35</v>
      </c>
      <c r="B161" t="s">
        <v>11</v>
      </c>
      <c r="C161" t="str">
        <f t="shared" si="3"/>
        <v>RESELC</v>
      </c>
    </row>
    <row r="162" spans="1:3" x14ac:dyDescent="0.25">
      <c r="A162" t="s">
        <v>36</v>
      </c>
      <c r="B162" t="s">
        <v>11</v>
      </c>
      <c r="C162" t="str">
        <f t="shared" si="3"/>
        <v>RESELC</v>
      </c>
    </row>
    <row r="163" spans="1:3" x14ac:dyDescent="0.25">
      <c r="A163" t="s">
        <v>37</v>
      </c>
      <c r="B163" t="s">
        <v>11</v>
      </c>
      <c r="C163" t="str">
        <f t="shared" si="3"/>
        <v>RESELC</v>
      </c>
    </row>
    <row r="164" spans="1:3" x14ac:dyDescent="0.25">
      <c r="A164" t="s">
        <v>38</v>
      </c>
      <c r="B164" t="s">
        <v>11</v>
      </c>
      <c r="C164" t="str">
        <f t="shared" si="3"/>
        <v>RESELC</v>
      </c>
    </row>
    <row r="165" spans="1:3" x14ac:dyDescent="0.25">
      <c r="A165" t="s">
        <v>39</v>
      </c>
      <c r="B165" t="s">
        <v>11</v>
      </c>
      <c r="C165" t="str">
        <f t="shared" si="3"/>
        <v>RESELC</v>
      </c>
    </row>
    <row r="166" spans="1:3" x14ac:dyDescent="0.25">
      <c r="A166" t="s">
        <v>40</v>
      </c>
      <c r="B166" t="s">
        <v>11</v>
      </c>
      <c r="C166" t="str">
        <f t="shared" si="3"/>
        <v>RESELC</v>
      </c>
    </row>
    <row r="167" spans="1:3" x14ac:dyDescent="0.25">
      <c r="A167" t="s">
        <v>41</v>
      </c>
      <c r="B167" t="s">
        <v>11</v>
      </c>
      <c r="C167" t="str">
        <f t="shared" si="3"/>
        <v>RESELC</v>
      </c>
    </row>
    <row r="168" spans="1:3" x14ac:dyDescent="0.25">
      <c r="A168" t="s">
        <v>42</v>
      </c>
      <c r="B168" t="s">
        <v>11</v>
      </c>
      <c r="C168" t="str">
        <f t="shared" si="3"/>
        <v>RESELC</v>
      </c>
    </row>
    <row r="169" spans="1:3" x14ac:dyDescent="0.25">
      <c r="A169" t="s">
        <v>43</v>
      </c>
      <c r="B169" t="s">
        <v>11</v>
      </c>
      <c r="C169" t="str">
        <f t="shared" si="3"/>
        <v>RESELC</v>
      </c>
    </row>
    <row r="170" spans="1:3" x14ac:dyDescent="0.25">
      <c r="A170" t="s">
        <v>45</v>
      </c>
      <c r="B170" t="s">
        <v>11</v>
      </c>
      <c r="C170" t="str">
        <f t="shared" si="3"/>
        <v>RESELC</v>
      </c>
    </row>
    <row r="171" spans="1:3" x14ac:dyDescent="0.25">
      <c r="A171" t="s">
        <v>46</v>
      </c>
      <c r="B171" t="s">
        <v>11</v>
      </c>
      <c r="C171" t="str">
        <f t="shared" si="3"/>
        <v>RESELC</v>
      </c>
    </row>
    <row r="172" spans="1:3" x14ac:dyDescent="0.25">
      <c r="A172" t="s">
        <v>47</v>
      </c>
      <c r="B172" t="s">
        <v>11</v>
      </c>
      <c r="C172" t="str">
        <f t="shared" si="3"/>
        <v>RESELC</v>
      </c>
    </row>
    <row r="173" spans="1:3" x14ac:dyDescent="0.25">
      <c r="A173" t="s">
        <v>281</v>
      </c>
      <c r="B173" t="s">
        <v>11</v>
      </c>
      <c r="C173" t="str">
        <f t="shared" si="3"/>
        <v>RESELC</v>
      </c>
    </row>
    <row r="174" spans="1:3" x14ac:dyDescent="0.25">
      <c r="A174" t="s">
        <v>283</v>
      </c>
      <c r="B174" t="s">
        <v>6</v>
      </c>
      <c r="C174" t="str">
        <f t="shared" si="3"/>
        <v>RESLPG</v>
      </c>
    </row>
    <row r="175" spans="1:3" x14ac:dyDescent="0.25">
      <c r="A175" t="s">
        <v>282</v>
      </c>
      <c r="B175" t="s">
        <v>7</v>
      </c>
      <c r="C175" t="str">
        <f t="shared" si="3"/>
        <v>RESNGA</v>
      </c>
    </row>
    <row r="176" spans="1:3" x14ac:dyDescent="0.25">
      <c r="A176" t="s">
        <v>48</v>
      </c>
      <c r="B176" t="s">
        <v>11</v>
      </c>
      <c r="C176" t="str">
        <f t="shared" si="3"/>
        <v>RESELC</v>
      </c>
    </row>
    <row r="177" spans="1:3" x14ac:dyDescent="0.25">
      <c r="A177" t="s">
        <v>49</v>
      </c>
      <c r="B177" t="s">
        <v>11</v>
      </c>
      <c r="C177" t="str">
        <f t="shared" si="3"/>
        <v>RESELC</v>
      </c>
    </row>
    <row r="178" spans="1:3" x14ac:dyDescent="0.25">
      <c r="A178" t="s">
        <v>50</v>
      </c>
      <c r="B178" t="s">
        <v>11</v>
      </c>
      <c r="C178" t="str">
        <f t="shared" si="3"/>
        <v>RESELC</v>
      </c>
    </row>
    <row r="179" spans="1:3" x14ac:dyDescent="0.25">
      <c r="A179" t="s">
        <v>51</v>
      </c>
      <c r="B179" t="s">
        <v>11</v>
      </c>
      <c r="C179" t="str">
        <f t="shared" si="3"/>
        <v>RESELC</v>
      </c>
    </row>
    <row r="180" spans="1:3" x14ac:dyDescent="0.25">
      <c r="A180" t="s">
        <v>52</v>
      </c>
      <c r="B180" t="s">
        <v>11</v>
      </c>
      <c r="C180" t="str">
        <f t="shared" si="3"/>
        <v>RESELC</v>
      </c>
    </row>
    <row r="181" spans="1:3" x14ac:dyDescent="0.25">
      <c r="A181" t="s">
        <v>53</v>
      </c>
      <c r="B181" t="s">
        <v>11</v>
      </c>
      <c r="C181" t="str">
        <f t="shared" si="3"/>
        <v>RESELC</v>
      </c>
    </row>
    <row r="182" spans="1:3" x14ac:dyDescent="0.25">
      <c r="A182" t="s">
        <v>54</v>
      </c>
      <c r="B182" t="s">
        <v>11</v>
      </c>
      <c r="C182" t="str">
        <f t="shared" si="3"/>
        <v>RESELC</v>
      </c>
    </row>
    <row r="183" spans="1:3" x14ac:dyDescent="0.25">
      <c r="A183" t="s">
        <v>55</v>
      </c>
      <c r="B183" t="s">
        <v>11</v>
      </c>
      <c r="C183" t="str">
        <f t="shared" si="3"/>
        <v>RESELC</v>
      </c>
    </row>
    <row r="184" spans="1:3" x14ac:dyDescent="0.25">
      <c r="A184" t="s">
        <v>56</v>
      </c>
      <c r="B184" t="s">
        <v>11</v>
      </c>
      <c r="C184" t="str">
        <f t="shared" si="3"/>
        <v>RESELC</v>
      </c>
    </row>
    <row r="185" spans="1:3" x14ac:dyDescent="0.25">
      <c r="A185" t="s">
        <v>57</v>
      </c>
      <c r="B185" t="s">
        <v>11</v>
      </c>
      <c r="C185" t="str">
        <f t="shared" si="3"/>
        <v>RESELC</v>
      </c>
    </row>
    <row r="186" spans="1:3" x14ac:dyDescent="0.25">
      <c r="A186" t="s">
        <v>58</v>
      </c>
      <c r="B186" t="s">
        <v>11</v>
      </c>
      <c r="C186" t="str">
        <f t="shared" si="3"/>
        <v>RESELC</v>
      </c>
    </row>
    <row r="187" spans="1:3" x14ac:dyDescent="0.25">
      <c r="A187" t="s">
        <v>59</v>
      </c>
      <c r="B187" t="s">
        <v>11</v>
      </c>
      <c r="C187" t="str">
        <f t="shared" si="3"/>
        <v>RESELC</v>
      </c>
    </row>
    <row r="188" spans="1:3" x14ac:dyDescent="0.25">
      <c r="A188" t="s">
        <v>60</v>
      </c>
      <c r="B188" t="s">
        <v>11</v>
      </c>
      <c r="C188" t="str">
        <f t="shared" si="3"/>
        <v>RESELC</v>
      </c>
    </row>
    <row r="189" spans="1:3" x14ac:dyDescent="0.25">
      <c r="A189" t="s">
        <v>61</v>
      </c>
      <c r="B189" t="s">
        <v>11</v>
      </c>
      <c r="C189" t="str">
        <f t="shared" si="3"/>
        <v>RESELC</v>
      </c>
    </row>
    <row r="190" spans="1:3" x14ac:dyDescent="0.25">
      <c r="A190" t="s">
        <v>62</v>
      </c>
      <c r="B190" t="s">
        <v>11</v>
      </c>
      <c r="C190" t="str">
        <f t="shared" si="3"/>
        <v>RESELC</v>
      </c>
    </row>
    <row r="191" spans="1:3" x14ac:dyDescent="0.25">
      <c r="A191" t="s">
        <v>63</v>
      </c>
      <c r="B191" t="s">
        <v>11</v>
      </c>
      <c r="C191" t="str">
        <f t="shared" si="3"/>
        <v>RESELC</v>
      </c>
    </row>
    <row r="192" spans="1:3" x14ac:dyDescent="0.25">
      <c r="A192" t="s">
        <v>64</v>
      </c>
      <c r="B192" t="s">
        <v>11</v>
      </c>
      <c r="C192" t="str">
        <f t="shared" si="3"/>
        <v>RESELC</v>
      </c>
    </row>
    <row r="193" spans="1:3" x14ac:dyDescent="0.25">
      <c r="A193" t="s">
        <v>65</v>
      </c>
      <c r="B193" t="s">
        <v>11</v>
      </c>
      <c r="C193" t="str">
        <f t="shared" si="3"/>
        <v>RESELC</v>
      </c>
    </row>
    <row r="194" spans="1:3" x14ac:dyDescent="0.25">
      <c r="A194" t="s">
        <v>66</v>
      </c>
      <c r="B194" t="s">
        <v>11</v>
      </c>
      <c r="C194" t="str">
        <f t="shared" si="3"/>
        <v>RESELC</v>
      </c>
    </row>
    <row r="195" spans="1:3" x14ac:dyDescent="0.25">
      <c r="A195" t="s">
        <v>67</v>
      </c>
      <c r="B195" t="s">
        <v>7</v>
      </c>
      <c r="C195" t="str">
        <f t="shared" ref="C195:C258" si="4">VLOOKUP(B195,$O$2:$P$14,2,FALSE)</f>
        <v>RESNGA</v>
      </c>
    </row>
    <row r="196" spans="1:3" x14ac:dyDescent="0.25">
      <c r="A196" t="s">
        <v>68</v>
      </c>
      <c r="B196" t="s">
        <v>7</v>
      </c>
      <c r="C196" t="str">
        <f t="shared" si="4"/>
        <v>RESNGA</v>
      </c>
    </row>
    <row r="197" spans="1:3" x14ac:dyDescent="0.25">
      <c r="A197" t="s">
        <v>69</v>
      </c>
      <c r="B197" t="s">
        <v>11</v>
      </c>
      <c r="C197" t="str">
        <f t="shared" si="4"/>
        <v>RESELC</v>
      </c>
    </row>
    <row r="198" spans="1:3" x14ac:dyDescent="0.25">
      <c r="A198" t="s">
        <v>70</v>
      </c>
      <c r="B198" t="s">
        <v>11</v>
      </c>
      <c r="C198" t="str">
        <f t="shared" si="4"/>
        <v>RESELC</v>
      </c>
    </row>
    <row r="199" spans="1:3" x14ac:dyDescent="0.25">
      <c r="A199" t="s">
        <v>71</v>
      </c>
      <c r="B199" t="s">
        <v>11</v>
      </c>
      <c r="C199" t="str">
        <f t="shared" si="4"/>
        <v>RESELC</v>
      </c>
    </row>
    <row r="200" spans="1:3" x14ac:dyDescent="0.25">
      <c r="A200" t="s">
        <v>72</v>
      </c>
      <c r="B200" t="s">
        <v>11</v>
      </c>
      <c r="C200" t="str">
        <f t="shared" si="4"/>
        <v>RESELC</v>
      </c>
    </row>
    <row r="201" spans="1:3" x14ac:dyDescent="0.25">
      <c r="A201" t="s">
        <v>73</v>
      </c>
      <c r="B201" t="s">
        <v>287</v>
      </c>
      <c r="C201" t="str">
        <f t="shared" si="4"/>
        <v>RESOIL</v>
      </c>
    </row>
    <row r="202" spans="1:3" x14ac:dyDescent="0.25">
      <c r="A202" t="s">
        <v>74</v>
      </c>
      <c r="B202" t="s">
        <v>287</v>
      </c>
      <c r="C202" t="str">
        <f t="shared" si="4"/>
        <v>RESOIL</v>
      </c>
    </row>
    <row r="203" spans="1:3" x14ac:dyDescent="0.25">
      <c r="A203" t="s">
        <v>75</v>
      </c>
      <c r="B203" t="s">
        <v>287</v>
      </c>
      <c r="C203" t="str">
        <f t="shared" si="4"/>
        <v>RESOIL</v>
      </c>
    </row>
    <row r="204" spans="1:3" x14ac:dyDescent="0.25">
      <c r="A204" t="s">
        <v>76</v>
      </c>
      <c r="B204" t="s">
        <v>287</v>
      </c>
      <c r="C204" t="str">
        <f t="shared" si="4"/>
        <v>RESOIL</v>
      </c>
    </row>
    <row r="205" spans="1:3" x14ac:dyDescent="0.25">
      <c r="A205" t="s">
        <v>77</v>
      </c>
      <c r="B205" t="s">
        <v>287</v>
      </c>
      <c r="C205" t="str">
        <f t="shared" si="4"/>
        <v>RESOIL</v>
      </c>
    </row>
    <row r="206" spans="1:3" x14ac:dyDescent="0.25">
      <c r="A206" t="s">
        <v>78</v>
      </c>
      <c r="B206" t="s">
        <v>287</v>
      </c>
      <c r="C206" t="str">
        <f t="shared" si="4"/>
        <v>RESOIL</v>
      </c>
    </row>
    <row r="207" spans="1:3" x14ac:dyDescent="0.25">
      <c r="A207" t="s">
        <v>79</v>
      </c>
      <c r="B207" t="s">
        <v>287</v>
      </c>
      <c r="C207" t="str">
        <f t="shared" si="4"/>
        <v>RESOIL</v>
      </c>
    </row>
    <row r="208" spans="1:3" x14ac:dyDescent="0.25">
      <c r="A208" t="s">
        <v>80</v>
      </c>
      <c r="B208" t="s">
        <v>287</v>
      </c>
      <c r="C208" t="str">
        <f t="shared" si="4"/>
        <v>RESOIL</v>
      </c>
    </row>
    <row r="209" spans="1:3" x14ac:dyDescent="0.25">
      <c r="A209" t="s">
        <v>81</v>
      </c>
      <c r="B209" t="s">
        <v>11</v>
      </c>
      <c r="C209" t="str">
        <f t="shared" si="4"/>
        <v>RESELC</v>
      </c>
    </row>
    <row r="210" spans="1:3" x14ac:dyDescent="0.25">
      <c r="A210" t="s">
        <v>82</v>
      </c>
      <c r="B210" t="s">
        <v>11</v>
      </c>
      <c r="C210" t="str">
        <f t="shared" si="4"/>
        <v>RESELC</v>
      </c>
    </row>
    <row r="211" spans="1:3" x14ac:dyDescent="0.25">
      <c r="A211" t="s">
        <v>83</v>
      </c>
      <c r="B211" t="s">
        <v>11</v>
      </c>
      <c r="C211" t="str">
        <f t="shared" si="4"/>
        <v>RESELC</v>
      </c>
    </row>
    <row r="212" spans="1:3" x14ac:dyDescent="0.25">
      <c r="A212" t="s">
        <v>84</v>
      </c>
      <c r="B212" t="s">
        <v>11</v>
      </c>
      <c r="C212" t="str">
        <f t="shared" si="4"/>
        <v>RESELC</v>
      </c>
    </row>
    <row r="213" spans="1:3" x14ac:dyDescent="0.25">
      <c r="A213" t="s">
        <v>85</v>
      </c>
      <c r="B213" t="s">
        <v>11</v>
      </c>
      <c r="C213" t="str">
        <f t="shared" si="4"/>
        <v>RESELC</v>
      </c>
    </row>
    <row r="214" spans="1:3" x14ac:dyDescent="0.25">
      <c r="A214" t="s">
        <v>86</v>
      </c>
      <c r="B214" t="s">
        <v>11</v>
      </c>
      <c r="C214" t="str">
        <f t="shared" si="4"/>
        <v>RESELC</v>
      </c>
    </row>
    <row r="215" spans="1:3" x14ac:dyDescent="0.25">
      <c r="A215" t="s">
        <v>87</v>
      </c>
      <c r="B215" t="s">
        <v>11</v>
      </c>
      <c r="C215" t="str">
        <f t="shared" si="4"/>
        <v>RESELC</v>
      </c>
    </row>
    <row r="216" spans="1:3" x14ac:dyDescent="0.25">
      <c r="A216" t="s">
        <v>88</v>
      </c>
      <c r="B216" t="s">
        <v>11</v>
      </c>
      <c r="C216" t="str">
        <f t="shared" si="4"/>
        <v>RESELC</v>
      </c>
    </row>
    <row r="217" spans="1:3" x14ac:dyDescent="0.25">
      <c r="A217" t="s">
        <v>89</v>
      </c>
      <c r="B217" t="s">
        <v>11</v>
      </c>
      <c r="C217" t="str">
        <f t="shared" si="4"/>
        <v>RESELC</v>
      </c>
    </row>
    <row r="218" spans="1:3" x14ac:dyDescent="0.25">
      <c r="A218" t="s">
        <v>90</v>
      </c>
      <c r="B218" t="s">
        <v>12</v>
      </c>
      <c r="C218" t="str">
        <f t="shared" si="4"/>
        <v>RESKER</v>
      </c>
    </row>
    <row r="219" spans="1:3" x14ac:dyDescent="0.25">
      <c r="A219" t="s">
        <v>91</v>
      </c>
      <c r="B219" t="s">
        <v>12</v>
      </c>
      <c r="C219" t="str">
        <f t="shared" si="4"/>
        <v>RESKER</v>
      </c>
    </row>
    <row r="220" spans="1:3" x14ac:dyDescent="0.25">
      <c r="A220" t="s">
        <v>92</v>
      </c>
      <c r="B220" t="s">
        <v>12</v>
      </c>
      <c r="C220" t="str">
        <f t="shared" si="4"/>
        <v>RESKER</v>
      </c>
    </row>
    <row r="221" spans="1:3" x14ac:dyDescent="0.25">
      <c r="A221" t="s">
        <v>93</v>
      </c>
      <c r="B221" t="s">
        <v>12</v>
      </c>
      <c r="C221" t="str">
        <f t="shared" si="4"/>
        <v>RESKER</v>
      </c>
    </row>
    <row r="222" spans="1:3" x14ac:dyDescent="0.25">
      <c r="A222" t="s">
        <v>94</v>
      </c>
      <c r="B222" t="s">
        <v>6</v>
      </c>
      <c r="C222" t="str">
        <f t="shared" si="4"/>
        <v>RESLPG</v>
      </c>
    </row>
    <row r="223" spans="1:3" x14ac:dyDescent="0.25">
      <c r="A223" t="s">
        <v>95</v>
      </c>
      <c r="B223" t="s">
        <v>6</v>
      </c>
      <c r="C223" t="str">
        <f t="shared" si="4"/>
        <v>RESLPG</v>
      </c>
    </row>
    <row r="224" spans="1:3" x14ac:dyDescent="0.25">
      <c r="A224" t="s">
        <v>96</v>
      </c>
      <c r="B224" t="s">
        <v>6</v>
      </c>
      <c r="C224" t="str">
        <f t="shared" si="4"/>
        <v>RESLPG</v>
      </c>
    </row>
    <row r="225" spans="1:3" x14ac:dyDescent="0.25">
      <c r="A225" t="s">
        <v>97</v>
      </c>
      <c r="B225" t="s">
        <v>6</v>
      </c>
      <c r="C225" t="str">
        <f t="shared" si="4"/>
        <v>RESLPG</v>
      </c>
    </row>
    <row r="226" spans="1:3" x14ac:dyDescent="0.25">
      <c r="A226" t="s">
        <v>98</v>
      </c>
      <c r="B226" t="s">
        <v>7</v>
      </c>
      <c r="C226" t="str">
        <f t="shared" si="4"/>
        <v>RESNGA</v>
      </c>
    </row>
    <row r="227" spans="1:3" x14ac:dyDescent="0.25">
      <c r="A227" t="s">
        <v>99</v>
      </c>
      <c r="B227" t="s">
        <v>7</v>
      </c>
      <c r="C227" t="str">
        <f t="shared" si="4"/>
        <v>RESNGA</v>
      </c>
    </row>
    <row r="228" spans="1:3" x14ac:dyDescent="0.25">
      <c r="A228" t="s">
        <v>100</v>
      </c>
      <c r="B228" t="s">
        <v>7</v>
      </c>
      <c r="C228" t="str">
        <f t="shared" si="4"/>
        <v>RESNGA</v>
      </c>
    </row>
    <row r="229" spans="1:3" x14ac:dyDescent="0.25">
      <c r="A229" t="s">
        <v>101</v>
      </c>
      <c r="B229" t="s">
        <v>7</v>
      </c>
      <c r="C229" t="str">
        <f t="shared" si="4"/>
        <v>RESNGA</v>
      </c>
    </row>
    <row r="230" spans="1:3" x14ac:dyDescent="0.25">
      <c r="A230" t="s">
        <v>102</v>
      </c>
      <c r="B230" t="s">
        <v>7</v>
      </c>
      <c r="C230" t="str">
        <f t="shared" si="4"/>
        <v>RESNGA</v>
      </c>
    </row>
    <row r="231" spans="1:3" x14ac:dyDescent="0.25">
      <c r="A231" t="s">
        <v>103</v>
      </c>
      <c r="B231" t="s">
        <v>7</v>
      </c>
      <c r="C231" t="str">
        <f t="shared" si="4"/>
        <v>RESNGA</v>
      </c>
    </row>
    <row r="232" spans="1:3" x14ac:dyDescent="0.25">
      <c r="A232" t="s">
        <v>104</v>
      </c>
      <c r="B232" t="s">
        <v>7</v>
      </c>
      <c r="C232" t="str">
        <f t="shared" si="4"/>
        <v>RESNGA</v>
      </c>
    </row>
    <row r="233" spans="1:3" x14ac:dyDescent="0.25">
      <c r="A233" t="s">
        <v>105</v>
      </c>
      <c r="B233" t="s">
        <v>7</v>
      </c>
      <c r="C233" t="str">
        <f t="shared" si="4"/>
        <v>RESNGA</v>
      </c>
    </row>
    <row r="234" spans="1:3" x14ac:dyDescent="0.25">
      <c r="A234" t="s">
        <v>106</v>
      </c>
      <c r="B234" t="s">
        <v>7</v>
      </c>
      <c r="C234" t="str">
        <f t="shared" si="4"/>
        <v>RESNGA</v>
      </c>
    </row>
    <row r="235" spans="1:3" x14ac:dyDescent="0.25">
      <c r="A235" t="s">
        <v>107</v>
      </c>
      <c r="B235" t="s">
        <v>7</v>
      </c>
      <c r="C235" t="str">
        <f t="shared" si="4"/>
        <v>RESNGA</v>
      </c>
    </row>
    <row r="236" spans="1:3" x14ac:dyDescent="0.25">
      <c r="A236" t="s">
        <v>108</v>
      </c>
      <c r="B236" t="s">
        <v>8</v>
      </c>
      <c r="C236" t="str">
        <f t="shared" si="4"/>
        <v>RESBIO</v>
      </c>
    </row>
    <row r="237" spans="1:3" x14ac:dyDescent="0.25">
      <c r="A237" t="s">
        <v>109</v>
      </c>
      <c r="B237" t="s">
        <v>8</v>
      </c>
      <c r="C237" t="str">
        <f t="shared" si="4"/>
        <v>RESBIO</v>
      </c>
    </row>
    <row r="238" spans="1:3" x14ac:dyDescent="0.25">
      <c r="A238" t="s">
        <v>110</v>
      </c>
      <c r="B238" t="s">
        <v>287</v>
      </c>
      <c r="C238" t="str">
        <f t="shared" si="4"/>
        <v>RESOIL</v>
      </c>
    </row>
    <row r="239" spans="1:3" x14ac:dyDescent="0.25">
      <c r="A239" t="s">
        <v>111</v>
      </c>
      <c r="B239" t="s">
        <v>287</v>
      </c>
      <c r="C239" t="str">
        <f t="shared" si="4"/>
        <v>RESOIL</v>
      </c>
    </row>
    <row r="240" spans="1:3" x14ac:dyDescent="0.25">
      <c r="A240" t="s">
        <v>112</v>
      </c>
      <c r="B240" t="s">
        <v>287</v>
      </c>
      <c r="C240" t="str">
        <f t="shared" si="4"/>
        <v>RESOIL</v>
      </c>
    </row>
    <row r="241" spans="1:3" x14ac:dyDescent="0.25">
      <c r="A241" t="s">
        <v>113</v>
      </c>
      <c r="B241" t="s">
        <v>287</v>
      </c>
      <c r="C241" t="str">
        <f t="shared" si="4"/>
        <v>RESOIL</v>
      </c>
    </row>
    <row r="242" spans="1:3" x14ac:dyDescent="0.25">
      <c r="A242" t="s">
        <v>114</v>
      </c>
      <c r="B242" t="s">
        <v>11</v>
      </c>
      <c r="C242" t="str">
        <f t="shared" si="4"/>
        <v>RESELC</v>
      </c>
    </row>
    <row r="243" spans="1:3" x14ac:dyDescent="0.25">
      <c r="A243" t="s">
        <v>115</v>
      </c>
      <c r="B243" t="s">
        <v>11</v>
      </c>
      <c r="C243" t="str">
        <f t="shared" si="4"/>
        <v>RESELC</v>
      </c>
    </row>
    <row r="244" spans="1:3" x14ac:dyDescent="0.25">
      <c r="A244" t="s">
        <v>116</v>
      </c>
      <c r="B244" t="s">
        <v>11</v>
      </c>
      <c r="C244" t="str">
        <f t="shared" si="4"/>
        <v>RESELC</v>
      </c>
    </row>
    <row r="245" spans="1:3" x14ac:dyDescent="0.25">
      <c r="A245" t="s">
        <v>117</v>
      </c>
      <c r="B245" t="s">
        <v>11</v>
      </c>
      <c r="C245" t="str">
        <f t="shared" si="4"/>
        <v>RESELC</v>
      </c>
    </row>
    <row r="246" spans="1:3" x14ac:dyDescent="0.25">
      <c r="A246" t="s">
        <v>118</v>
      </c>
      <c r="B246" t="s">
        <v>11</v>
      </c>
      <c r="C246" t="str">
        <f t="shared" si="4"/>
        <v>RESELC</v>
      </c>
    </row>
    <row r="247" spans="1:3" x14ac:dyDescent="0.25">
      <c r="A247" t="s">
        <v>119</v>
      </c>
      <c r="B247" t="s">
        <v>11</v>
      </c>
      <c r="C247" t="str">
        <f t="shared" si="4"/>
        <v>RESELC</v>
      </c>
    </row>
    <row r="248" spans="1:3" x14ac:dyDescent="0.25">
      <c r="A248" t="s">
        <v>120</v>
      </c>
      <c r="B248" t="s">
        <v>6</v>
      </c>
      <c r="C248" t="str">
        <f t="shared" si="4"/>
        <v>RESLPG</v>
      </c>
    </row>
    <row r="249" spans="1:3" x14ac:dyDescent="0.25">
      <c r="A249" t="s">
        <v>121</v>
      </c>
      <c r="B249" t="s">
        <v>6</v>
      </c>
      <c r="C249" t="str">
        <f t="shared" si="4"/>
        <v>RESLPG</v>
      </c>
    </row>
    <row r="250" spans="1:3" x14ac:dyDescent="0.25">
      <c r="A250" t="s">
        <v>122</v>
      </c>
      <c r="B250" t="s">
        <v>6</v>
      </c>
      <c r="C250" t="str">
        <f t="shared" si="4"/>
        <v>RESLPG</v>
      </c>
    </row>
    <row r="251" spans="1:3" x14ac:dyDescent="0.25">
      <c r="A251" t="s">
        <v>123</v>
      </c>
      <c r="B251" t="s">
        <v>6</v>
      </c>
      <c r="C251" t="str">
        <f t="shared" si="4"/>
        <v>RESLPG</v>
      </c>
    </row>
    <row r="252" spans="1:3" x14ac:dyDescent="0.25">
      <c r="A252" t="s">
        <v>124</v>
      </c>
      <c r="B252" t="s">
        <v>6</v>
      </c>
      <c r="C252" t="str">
        <f t="shared" si="4"/>
        <v>RESLPG</v>
      </c>
    </row>
    <row r="253" spans="1:3" x14ac:dyDescent="0.25">
      <c r="A253" t="s">
        <v>125</v>
      </c>
      <c r="B253" t="s">
        <v>7</v>
      </c>
      <c r="C253" t="str">
        <f t="shared" si="4"/>
        <v>RESNGA</v>
      </c>
    </row>
    <row r="254" spans="1:3" x14ac:dyDescent="0.25">
      <c r="A254" t="s">
        <v>126</v>
      </c>
      <c r="B254" t="s">
        <v>7</v>
      </c>
      <c r="C254" t="str">
        <f t="shared" si="4"/>
        <v>RESNGA</v>
      </c>
    </row>
    <row r="255" spans="1:3" x14ac:dyDescent="0.25">
      <c r="A255" t="s">
        <v>127</v>
      </c>
      <c r="B255" t="s">
        <v>7</v>
      </c>
      <c r="C255" t="str">
        <f t="shared" si="4"/>
        <v>RESNGA</v>
      </c>
    </row>
    <row r="256" spans="1:3" x14ac:dyDescent="0.25">
      <c r="A256" t="s">
        <v>128</v>
      </c>
      <c r="B256" t="s">
        <v>7</v>
      </c>
      <c r="C256" t="str">
        <f t="shared" si="4"/>
        <v>RESNGA</v>
      </c>
    </row>
    <row r="257" spans="1:3" x14ac:dyDescent="0.25">
      <c r="A257" t="s">
        <v>129</v>
      </c>
      <c r="B257" t="s">
        <v>7</v>
      </c>
      <c r="C257" t="str">
        <f t="shared" si="4"/>
        <v>RESNGA</v>
      </c>
    </row>
    <row r="258" spans="1:3" x14ac:dyDescent="0.25">
      <c r="A258" t="s">
        <v>130</v>
      </c>
      <c r="B258" t="s">
        <v>11</v>
      </c>
      <c r="C258" t="str">
        <f t="shared" si="4"/>
        <v>RESELC</v>
      </c>
    </row>
    <row r="259" spans="1:3" x14ac:dyDescent="0.25">
      <c r="A259" t="s">
        <v>130</v>
      </c>
      <c r="B259" t="s">
        <v>5</v>
      </c>
      <c r="C259" t="str">
        <f t="shared" ref="C259:C261" si="5">VLOOKUP(B259,$O$2:$P$14,2,FALSE)</f>
        <v>RESSOL</v>
      </c>
    </row>
    <row r="260" spans="1:3" x14ac:dyDescent="0.25">
      <c r="A260" t="s">
        <v>131</v>
      </c>
      <c r="B260" t="s">
        <v>11</v>
      </c>
      <c r="C260" t="str">
        <f t="shared" si="5"/>
        <v>RESELC</v>
      </c>
    </row>
    <row r="261" spans="1:3" x14ac:dyDescent="0.25">
      <c r="A261" t="s">
        <v>131</v>
      </c>
      <c r="B261" t="s">
        <v>5</v>
      </c>
      <c r="C261" t="str">
        <f t="shared" si="5"/>
        <v>RESSOL</v>
      </c>
    </row>
  </sheetData>
  <sortState xmlns:xlrd2="http://schemas.microsoft.com/office/spreadsheetml/2017/richdata2" ref="O2:O261">
    <sortCondition ref="O2:O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</vt:lpstr>
      <vt:lpstr>RES</vt:lpstr>
      <vt:lpstr>US9R topology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EIA</dc:creator>
  <cp:lastModifiedBy>Rocco De Miglio</cp:lastModifiedBy>
  <cp:lastPrinted>2009-07-07T16:09:17Z</cp:lastPrinted>
  <dcterms:created xsi:type="dcterms:W3CDTF">2003-08-25T15:40:35Z</dcterms:created>
  <dcterms:modified xsi:type="dcterms:W3CDTF">2023-09-18T16:36:01Z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154731392860412</vt:r8>
  </property>
  <property fmtid="{D5CDD505-2E9C-101B-9397-08002B2CF9AE}" pid="3" name="{A44787D4-0540-4523-9961-78E4036D8C6D}">
    <vt:lpwstr>{39246FFC-6704-4C8D-94B2-6074AE34FCE8}</vt:lpwstr>
  </property>
</Properties>
</file>